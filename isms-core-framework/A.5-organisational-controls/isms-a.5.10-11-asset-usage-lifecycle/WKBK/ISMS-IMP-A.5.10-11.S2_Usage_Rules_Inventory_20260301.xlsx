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Usage Rules" sheetId="2" state="visible" r:id="rId2"/>
    <sheet xmlns:r="http://schemas.openxmlformats.org/officeDocument/2006/relationships" name="Permitted Activities" sheetId="3" state="visible" r:id="rId3"/>
    <sheet xmlns:r="http://schemas.openxmlformats.org/officeDocument/2006/relationships" name="Prohibited Activities" sheetId="4" state="visible" r:id="rId4"/>
    <sheet xmlns:r="http://schemas.openxmlformats.org/officeDocument/2006/relationships" name="Handling Requirement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0" borderId="1" pivotButton="0" quotePrefix="0" xfId="0"/>
    <xf numFmtId="0" fontId="0" fillId="11"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8" fillId="0" borderId="0" applyAlignment="1" pivotButton="0" quotePrefix="0" xfId="0">
      <alignment horizontal="left" vertical="center"/>
    </xf>
    <xf numFmtId="0" fontId="9" fillId="8" borderId="0" applyAlignment="1" pivotButton="0" quotePrefix="0" xfId="0">
      <alignment horizontal="left" vertical="center"/>
    </xf>
    <xf numFmtId="0" fontId="10" fillId="9" borderId="1" applyAlignment="1" pivotButton="0" quotePrefix="0" xfId="0">
      <alignment horizontal="center" vertical="center" wrapText="1"/>
    </xf>
    <xf numFmtId="0" fontId="11" fillId="0" borderId="1" pivotButton="0" quotePrefix="0" xfId="0"/>
    <xf numFmtId="0" fontId="11" fillId="0" borderId="1" applyAlignment="1" pivotButton="0" quotePrefix="0" xfId="0">
      <alignment horizontal="center"/>
    </xf>
    <xf numFmtId="164" fontId="11" fillId="0" borderId="1" applyAlignment="1" pivotButton="0" quotePrefix="0" xfId="0">
      <alignment horizontal="center"/>
    </xf>
    <xf numFmtId="0" fontId="10" fillId="9" borderId="1" pivotButton="0" quotePrefix="0" xfId="0"/>
    <xf numFmtId="0" fontId="10" fillId="9" borderId="1" applyAlignment="1" pivotButton="0" quotePrefix="0" xfId="0">
      <alignment horizontal="center"/>
    </xf>
    <xf numFmtId="164" fontId="10" fillId="9" borderId="1" applyAlignment="1" pivotButton="0" quotePrefix="0" xfId="0">
      <alignment horizontal="center"/>
    </xf>
    <xf numFmtId="0" fontId="9" fillId="12" borderId="0" applyAlignment="1" pivotButton="0" quotePrefix="0" xfId="0">
      <alignment horizontal="left" vertical="center"/>
    </xf>
    <xf numFmtId="0" fontId="11" fillId="11" borderId="1" pivotButton="0" quotePrefix="0" xfId="0"/>
    <xf numFmtId="0" fontId="11" fillId="11" borderId="1" applyAlignment="1" pivotButton="0" quotePrefix="0" xfId="0">
      <alignment horizontal="center"/>
    </xf>
    <xf numFmtId="0" fontId="0" fillId="11" borderId="1" pivotButton="0" quotePrefix="0" xfId="0"/>
    <xf numFmtId="0" fontId="1" fillId="8" borderId="1" applyAlignment="1" pivotButton="0" quotePrefix="0" xfId="0">
      <alignment horizontal="center" vertical="center" wrapText="1"/>
    </xf>
    <xf numFmtId="0" fontId="8" fillId="0" borderId="1" applyAlignment="1" pivotButton="0" quotePrefix="0" xfId="0">
      <alignment horizontal="center" vertical="center"/>
    </xf>
    <xf numFmtId="0" fontId="12" fillId="13" borderId="1"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ISMS-IMP-A.5.10-11.S2  -  Usage Rules Inventory
ISO/IEC 27001:2022 — Control A.5.10: Acceptable Use of Information and Other Associated Assets</t>
        </is>
      </c>
    </row>
    <row r="3">
      <c r="A3" s="2" t="inlineStr">
        <is>
          <t>Document Information</t>
        </is>
      </c>
    </row>
    <row r="4">
      <c r="A4" s="3" t="inlineStr">
        <is>
          <t>Document ID</t>
        </is>
      </c>
      <c r="B4" t="inlineStr">
        <is>
          <t>ISMS-IMP-A.5.10-11.S2</t>
        </is>
      </c>
    </row>
    <row r="5">
      <c r="A5" s="3" t="inlineStr">
        <is>
          <t>Workbook Title</t>
        </is>
      </c>
      <c r="B5" t="inlineStr">
        <is>
          <t>Usage Rules Inventory</t>
        </is>
      </c>
    </row>
    <row r="6">
      <c r="A6" s="3" t="inlineStr">
        <is>
          <t>Control Reference</t>
        </is>
      </c>
      <c r="B6" t="inlineStr">
        <is>
          <t>ISO/IEC 27001:2022 — Control A.5.10: Acceptable Use of Information and Other Associated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Usage Rules — document specific rules for each asset type (devices, systems, data).</t>
        </is>
      </c>
    </row>
    <row r="14">
      <c r="A14" t="inlineStr">
        <is>
          <t>2. Complete Permitted Activities — list explicitly permitted uses per asset category.</t>
        </is>
      </c>
    </row>
    <row r="15">
      <c r="A15" t="inlineStr">
        <is>
          <t>3. Complete Prohibited Activities — list explicitly prohibited uses with consequence framework.</t>
        </is>
      </c>
    </row>
    <row r="16">
      <c r="A16" t="inlineStr">
        <is>
          <t>4. Complete Handling Requirements — document classification-based handling procedures.</t>
        </is>
      </c>
    </row>
    <row r="17">
      <c r="A17" t="inlineStr">
        <is>
          <t>5. Maintain Evidence Records with policy documentation and acknowledgement records.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9"/>
  <sheetViews>
    <sheetView showGridLines="0" workbookViewId="0">
      <pane ySplit="3" topLeftCell="A4" activePane="bottomLeft" state="frozen"/>
      <selection pane="bottomLeft" activeCell="A1" sqref="A1"/>
    </sheetView>
  </sheetViews>
  <sheetFormatPr baseColWidth="8" defaultRowHeight="15"/>
  <cols>
    <col width="14" customWidth="1" min="1" max="1"/>
    <col width="25" customWidth="1" min="2" max="2"/>
    <col width="50" customWidth="1" min="3" max="3"/>
    <col width="25" customWidth="1" min="4" max="4"/>
    <col width="22" customWidth="1" min="5" max="5"/>
    <col width="22" customWidth="1" min="6" max="6"/>
    <col width="18" customWidth="1" min="7" max="7"/>
    <col width="18" customWidth="1" min="8" max="8"/>
    <col width="20" customWidth="1" min="9" max="9"/>
    <col width="14" customWidth="1" min="10" max="10"/>
    <col width="22" customWidth="1" min="11" max="11"/>
    <col width="30" customWidth="1" min="12" max="12"/>
  </cols>
  <sheetData>
    <row r="1" ht="35" customHeight="1">
      <c r="A1" s="11" t="inlineStr">
        <is>
          <t>USAGE RULES INVENTORY</t>
        </is>
      </c>
    </row>
    <row r="2">
      <c r="A2" s="12" t="inlineStr">
        <is>
          <t>Document acceptable use rules for each asset category per ISO 27001:2022 A.5.10</t>
        </is>
      </c>
    </row>
    <row r="3">
      <c r="A3" s="13" t="inlineStr">
        <is>
          <t>Rule_ID</t>
        </is>
      </c>
      <c r="B3" s="13" t="inlineStr">
        <is>
          <t>Asset_Category</t>
        </is>
      </c>
      <c r="C3" s="13" t="inlineStr">
        <is>
          <t>Rule_Description</t>
        </is>
      </c>
      <c r="D3" s="13" t="inlineStr">
        <is>
          <t>Classification</t>
        </is>
      </c>
      <c r="E3" s="13" t="inlineStr">
        <is>
          <t>Applies_To</t>
        </is>
      </c>
      <c r="F3" s="13" t="inlineStr">
        <is>
          <t>Enforcement_Method</t>
        </is>
      </c>
      <c r="G3" s="13" t="inlineStr">
        <is>
          <t>Monitoring_Required</t>
        </is>
      </c>
      <c r="H3" s="13" t="inlineStr">
        <is>
          <t>Exception_Process</t>
        </is>
      </c>
      <c r="I3" s="13" t="inlineStr">
        <is>
          <t>Policy_Reference</t>
        </is>
      </c>
      <c r="J3" s="13" t="inlineStr">
        <is>
          <t>Last_Updated</t>
        </is>
      </c>
      <c r="K3" s="13" t="inlineStr">
        <is>
          <t>Owner</t>
        </is>
      </c>
      <c r="L3" s="13" t="inlineStr">
        <is>
          <t>Notes</t>
        </is>
      </c>
    </row>
    <row r="4">
      <c r="A4" s="14" t="inlineStr">
        <is>
          <t>UR-001</t>
        </is>
      </c>
      <c r="B4" s="14" t="inlineStr">
        <is>
          <t>Email</t>
        </is>
      </c>
      <c r="C4" s="14" t="inlineStr">
        <is>
          <t>Business email for work communications only; personal use limited to 10 min/day</t>
        </is>
      </c>
      <c r="D4" s="14" t="inlineStr">
        <is>
          <t>Permitted with Conditions</t>
        </is>
      </c>
      <c r="E4" s="14" t="inlineStr">
        <is>
          <t>All Employees</t>
        </is>
      </c>
      <c r="F4" s="14" t="inlineStr">
        <is>
          <t>Email gateway monitoring</t>
        </is>
      </c>
      <c r="G4" s="14" t="inlineStr">
        <is>
          <t>Yes</t>
        </is>
      </c>
      <c r="H4" s="14" t="inlineStr">
        <is>
          <t>Formal exception request to IT Security</t>
        </is>
      </c>
      <c r="I4" s="14" t="inlineStr">
        <is>
          <t>AUP Section 4.1</t>
        </is>
      </c>
      <c r="J4" s="14" t="inlineStr">
        <is>
          <t>2026-01-15</t>
        </is>
      </c>
      <c r="K4" s="14" t="inlineStr">
        <is>
          <t>IT Security Manager</t>
        </is>
      </c>
      <c r="L4" s="14" t="inlineStr">
        <is>
          <t>Reviewed annually</t>
        </is>
      </c>
    </row>
    <row r="5">
      <c r="A5" s="15" t="inlineStr">
        <is>
          <t>UR-001</t>
        </is>
      </c>
      <c r="B5" s="15" t="inlineStr">
        <is>
          <t>Email</t>
        </is>
      </c>
      <c r="C5" s="15" t="inlineStr">
        <is>
          <t>Business email for work communications only</t>
        </is>
      </c>
      <c r="D5" s="15" t="inlineStr">
        <is>
          <t>Permitted with Conditions</t>
        </is>
      </c>
      <c r="E5" s="16" t="n"/>
      <c r="F5" s="16" t="n"/>
      <c r="G5" s="16" t="n"/>
      <c r="H5" s="16" t="n"/>
      <c r="I5" s="16" t="n"/>
      <c r="J5" s="16" t="n"/>
      <c r="K5" s="16" t="n"/>
      <c r="L5" s="16" t="n"/>
    </row>
    <row r="6">
      <c r="A6" s="15" t="inlineStr">
        <is>
          <t>UR-002</t>
        </is>
      </c>
      <c r="B6" s="15" t="inlineStr">
        <is>
          <t>Email</t>
        </is>
      </c>
      <c r="C6" s="15" t="inlineStr">
        <is>
          <t>No forwarding of confidential data to personal accounts</t>
        </is>
      </c>
      <c r="D6" s="15" t="inlineStr">
        <is>
          <t>Prohibited</t>
        </is>
      </c>
      <c r="E6" s="16" t="n"/>
      <c r="F6" s="16" t="n"/>
      <c r="G6" s="16" t="n"/>
      <c r="H6" s="16" t="n"/>
      <c r="I6" s="16" t="n"/>
      <c r="J6" s="16" t="n"/>
      <c r="K6" s="16" t="n"/>
      <c r="L6" s="16" t="n"/>
    </row>
    <row r="7">
      <c r="A7" s="15" t="inlineStr">
        <is>
          <t>UR-003</t>
        </is>
      </c>
      <c r="B7" s="15" t="inlineStr">
        <is>
          <t>Internet</t>
        </is>
      </c>
      <c r="C7" s="15" t="inlineStr">
        <is>
          <t>Web browsing for business research permitted</t>
        </is>
      </c>
      <c r="D7" s="15" t="inlineStr">
        <is>
          <t>Permitted</t>
        </is>
      </c>
      <c r="E7" s="16" t="n"/>
      <c r="F7" s="16" t="n"/>
      <c r="G7" s="16" t="n"/>
      <c r="H7" s="16" t="n"/>
      <c r="I7" s="16" t="n"/>
      <c r="J7" s="16" t="n"/>
      <c r="K7" s="16" t="n"/>
      <c r="L7" s="16" t="n"/>
    </row>
    <row r="8">
      <c r="A8" s="15" t="inlineStr">
        <is>
          <t>UR-004</t>
        </is>
      </c>
      <c r="B8" s="15" t="inlineStr">
        <is>
          <t>Internet</t>
        </is>
      </c>
      <c r="C8" s="15" t="inlineStr">
        <is>
          <t>No access to prohibited website categories</t>
        </is>
      </c>
      <c r="D8" s="15" t="inlineStr">
        <is>
          <t>Prohibited</t>
        </is>
      </c>
      <c r="E8" s="16" t="n"/>
      <c r="F8" s="16" t="n"/>
      <c r="G8" s="16" t="n"/>
      <c r="H8" s="16" t="n"/>
      <c r="I8" s="16" t="n"/>
      <c r="J8" s="16" t="n"/>
      <c r="K8" s="16" t="n"/>
      <c r="L8" s="16" t="n"/>
    </row>
    <row r="9">
      <c r="A9" s="15" t="inlineStr">
        <is>
          <t>UR-005</t>
        </is>
      </c>
      <c r="B9" s="15" t="inlineStr">
        <is>
          <t>Software</t>
        </is>
      </c>
      <c r="C9" s="15" t="inlineStr">
        <is>
          <t>Only approved software may be installed</t>
        </is>
      </c>
      <c r="D9" s="15" t="inlineStr">
        <is>
          <t>Permitted with Conditions</t>
        </is>
      </c>
      <c r="E9" s="16" t="n"/>
      <c r="F9" s="16" t="n"/>
      <c r="G9" s="16" t="n"/>
      <c r="H9" s="16" t="n"/>
      <c r="I9" s="16" t="n"/>
      <c r="J9" s="16" t="n"/>
      <c r="K9" s="16" t="n"/>
      <c r="L9" s="16" t="n"/>
    </row>
    <row r="10">
      <c r="A10" s="16" t="n"/>
      <c r="B10" s="16" t="n"/>
      <c r="C10" s="16" t="n"/>
      <c r="D10" s="16" t="n"/>
      <c r="E10" s="16" t="n"/>
      <c r="F10" s="16" t="n"/>
      <c r="G10" s="16" t="n"/>
      <c r="H10" s="16" t="n"/>
      <c r="I10" s="16" t="n"/>
      <c r="J10" s="16" t="n"/>
      <c r="K10" s="16" t="n"/>
      <c r="L10" s="16" t="n"/>
    </row>
    <row r="11">
      <c r="A11" s="16" t="n"/>
      <c r="B11" s="16" t="n"/>
      <c r="C11" s="16" t="n"/>
      <c r="D11" s="16" t="n"/>
      <c r="E11" s="16" t="n"/>
      <c r="F11" s="16" t="n"/>
      <c r="G11" s="16" t="n"/>
      <c r="H11" s="16" t="n"/>
      <c r="I11" s="16" t="n"/>
      <c r="J11" s="16" t="n"/>
      <c r="K11" s="16" t="n"/>
      <c r="L11" s="16" t="n"/>
    </row>
    <row r="12">
      <c r="A12" s="16" t="n"/>
      <c r="B12" s="16" t="n"/>
      <c r="C12" s="16" t="n"/>
      <c r="D12" s="16" t="n"/>
      <c r="E12" s="16" t="n"/>
      <c r="F12" s="16" t="n"/>
      <c r="G12" s="16" t="n"/>
      <c r="H12" s="16" t="n"/>
      <c r="I12" s="16" t="n"/>
      <c r="J12" s="16" t="n"/>
      <c r="K12" s="16" t="n"/>
      <c r="L12" s="16" t="n"/>
    </row>
    <row r="13">
      <c r="A13" s="16" t="n"/>
      <c r="B13" s="16" t="n"/>
      <c r="C13" s="16" t="n"/>
      <c r="D13" s="16" t="n"/>
      <c r="E13" s="16" t="n"/>
      <c r="F13" s="16" t="n"/>
      <c r="G13" s="16" t="n"/>
      <c r="H13" s="16" t="n"/>
      <c r="I13" s="16" t="n"/>
      <c r="J13" s="16" t="n"/>
      <c r="K13" s="16" t="n"/>
      <c r="L13" s="16" t="n"/>
    </row>
    <row r="14">
      <c r="A14" s="16" t="n"/>
      <c r="B14" s="16" t="n"/>
      <c r="C14" s="16" t="n"/>
      <c r="D14" s="16" t="n"/>
      <c r="E14" s="16" t="n"/>
      <c r="F14" s="16" t="n"/>
      <c r="G14" s="16" t="n"/>
      <c r="H14" s="16" t="n"/>
      <c r="I14" s="16" t="n"/>
      <c r="J14" s="16" t="n"/>
      <c r="K14" s="16" t="n"/>
      <c r="L14" s="16" t="n"/>
    </row>
    <row r="15">
      <c r="A15" s="16" t="n"/>
      <c r="B15" s="16" t="n"/>
      <c r="C15" s="16" t="n"/>
      <c r="D15" s="16" t="n"/>
      <c r="E15" s="16" t="n"/>
      <c r="F15" s="16" t="n"/>
      <c r="G15" s="16" t="n"/>
      <c r="H15" s="16" t="n"/>
      <c r="I15" s="16" t="n"/>
      <c r="J15" s="16" t="n"/>
      <c r="K15" s="16" t="n"/>
      <c r="L15" s="16" t="n"/>
    </row>
    <row r="16">
      <c r="A16" s="16" t="n"/>
      <c r="B16" s="16" t="n"/>
      <c r="C16" s="16" t="n"/>
      <c r="D16" s="16" t="n"/>
      <c r="E16" s="16" t="n"/>
      <c r="F16" s="16" t="n"/>
      <c r="G16" s="16" t="n"/>
      <c r="H16" s="16" t="n"/>
      <c r="I16" s="16" t="n"/>
      <c r="J16" s="16" t="n"/>
      <c r="K16" s="16" t="n"/>
      <c r="L16" s="16" t="n"/>
    </row>
    <row r="17">
      <c r="A17" s="16" t="n"/>
      <c r="B17" s="16" t="n"/>
      <c r="C17" s="16" t="n"/>
      <c r="D17" s="16" t="n"/>
      <c r="E17" s="16" t="n"/>
      <c r="F17" s="16" t="n"/>
      <c r="G17" s="16" t="n"/>
      <c r="H17" s="16" t="n"/>
      <c r="I17" s="16" t="n"/>
      <c r="J17" s="16" t="n"/>
      <c r="K17" s="16" t="n"/>
      <c r="L17" s="16" t="n"/>
    </row>
    <row r="18">
      <c r="A18" s="16" t="n"/>
      <c r="B18" s="16" t="n"/>
      <c r="C18" s="16" t="n"/>
      <c r="D18" s="16" t="n"/>
      <c r="E18" s="16" t="n"/>
      <c r="F18" s="16" t="n"/>
      <c r="G18" s="16" t="n"/>
      <c r="H18" s="16" t="n"/>
      <c r="I18" s="16" t="n"/>
      <c r="J18" s="16" t="n"/>
      <c r="K18" s="16" t="n"/>
      <c r="L18" s="16" t="n"/>
    </row>
    <row r="19">
      <c r="A19" s="16" t="n"/>
      <c r="B19" s="16" t="n"/>
      <c r="C19" s="16" t="n"/>
      <c r="D19" s="16" t="n"/>
      <c r="E19" s="16" t="n"/>
      <c r="F19" s="16" t="n"/>
      <c r="G19" s="16" t="n"/>
      <c r="H19" s="16" t="n"/>
      <c r="I19" s="16" t="n"/>
      <c r="J19" s="16" t="n"/>
      <c r="K19" s="16" t="n"/>
      <c r="L19" s="16" t="n"/>
    </row>
    <row r="20">
      <c r="A20" s="16" t="n"/>
      <c r="B20" s="16" t="n"/>
      <c r="C20" s="16" t="n"/>
      <c r="D20" s="16" t="n"/>
      <c r="E20" s="16" t="n"/>
      <c r="F20" s="16" t="n"/>
      <c r="G20" s="16" t="n"/>
      <c r="H20" s="16" t="n"/>
      <c r="I20" s="16" t="n"/>
      <c r="J20" s="16" t="n"/>
      <c r="K20" s="16" t="n"/>
      <c r="L20" s="16" t="n"/>
    </row>
    <row r="21">
      <c r="A21" s="16" t="n"/>
      <c r="B21" s="16" t="n"/>
      <c r="C21" s="16" t="n"/>
      <c r="D21" s="16" t="n"/>
      <c r="E21" s="16" t="n"/>
      <c r="F21" s="16" t="n"/>
      <c r="G21" s="16" t="n"/>
      <c r="H21" s="16" t="n"/>
      <c r="I21" s="16" t="n"/>
      <c r="J21" s="16" t="n"/>
      <c r="K21" s="16" t="n"/>
      <c r="L21" s="16" t="n"/>
    </row>
    <row r="22">
      <c r="A22" s="16" t="n"/>
      <c r="B22" s="16" t="n"/>
      <c r="C22" s="16" t="n"/>
      <c r="D22" s="16" t="n"/>
      <c r="E22" s="16" t="n"/>
      <c r="F22" s="16" t="n"/>
      <c r="G22" s="16" t="n"/>
      <c r="H22" s="16" t="n"/>
      <c r="I22" s="16" t="n"/>
      <c r="J22" s="16" t="n"/>
      <c r="K22" s="16" t="n"/>
      <c r="L22" s="16" t="n"/>
    </row>
    <row r="23">
      <c r="A23" s="16" t="n"/>
      <c r="B23" s="16" t="n"/>
      <c r="C23" s="16" t="n"/>
      <c r="D23" s="16" t="n"/>
      <c r="E23" s="16" t="n"/>
      <c r="F23" s="16" t="n"/>
      <c r="G23" s="16" t="n"/>
      <c r="H23" s="16" t="n"/>
      <c r="I23" s="16" t="n"/>
      <c r="J23" s="16" t="n"/>
      <c r="K23" s="16" t="n"/>
      <c r="L23" s="16" t="n"/>
    </row>
    <row r="24">
      <c r="A24" s="16" t="n"/>
      <c r="B24" s="16" t="n"/>
      <c r="C24" s="16" t="n"/>
      <c r="D24" s="16" t="n"/>
      <c r="E24" s="16" t="n"/>
      <c r="F24" s="16" t="n"/>
      <c r="G24" s="16" t="n"/>
      <c r="H24" s="16" t="n"/>
      <c r="I24" s="16" t="n"/>
      <c r="J24" s="16" t="n"/>
      <c r="K24" s="16" t="n"/>
      <c r="L24" s="16" t="n"/>
    </row>
    <row r="25">
      <c r="A25" s="16" t="n"/>
      <c r="B25" s="16" t="n"/>
      <c r="C25" s="16" t="n"/>
      <c r="D25" s="16" t="n"/>
      <c r="E25" s="16" t="n"/>
      <c r="F25" s="16" t="n"/>
      <c r="G25" s="16" t="n"/>
      <c r="H25" s="16" t="n"/>
      <c r="I25" s="16" t="n"/>
      <c r="J25" s="16" t="n"/>
      <c r="K25" s="16" t="n"/>
      <c r="L25" s="16" t="n"/>
    </row>
    <row r="26">
      <c r="A26" s="16" t="n"/>
      <c r="B26" s="16" t="n"/>
      <c r="C26" s="16" t="n"/>
      <c r="D26" s="16" t="n"/>
      <c r="E26" s="16" t="n"/>
      <c r="F26" s="16" t="n"/>
      <c r="G26" s="16" t="n"/>
      <c r="H26" s="16" t="n"/>
      <c r="I26" s="16" t="n"/>
      <c r="J26" s="16" t="n"/>
      <c r="K26" s="16" t="n"/>
      <c r="L26" s="16" t="n"/>
    </row>
    <row r="27">
      <c r="A27" s="16" t="n"/>
      <c r="B27" s="16" t="n"/>
      <c r="C27" s="16" t="n"/>
      <c r="D27" s="16" t="n"/>
      <c r="E27" s="16" t="n"/>
      <c r="F27" s="16" t="n"/>
      <c r="G27" s="16" t="n"/>
      <c r="H27" s="16" t="n"/>
      <c r="I27" s="16" t="n"/>
      <c r="J27" s="16" t="n"/>
      <c r="K27" s="16" t="n"/>
      <c r="L27" s="16" t="n"/>
    </row>
    <row r="28">
      <c r="A28" s="16" t="n"/>
      <c r="B28" s="16" t="n"/>
      <c r="C28" s="16" t="n"/>
      <c r="D28" s="16" t="n"/>
      <c r="E28" s="16" t="n"/>
      <c r="F28" s="16" t="n"/>
      <c r="G28" s="16" t="n"/>
      <c r="H28" s="16" t="n"/>
      <c r="I28" s="16" t="n"/>
      <c r="J28" s="16" t="n"/>
      <c r="K28" s="16" t="n"/>
      <c r="L28" s="16" t="n"/>
    </row>
    <row r="29">
      <c r="A29" s="16" t="n"/>
      <c r="B29" s="16" t="n"/>
      <c r="C29" s="16" t="n"/>
      <c r="D29" s="16" t="n"/>
      <c r="E29" s="16" t="n"/>
      <c r="F29" s="16" t="n"/>
      <c r="G29" s="16" t="n"/>
      <c r="H29" s="16" t="n"/>
      <c r="I29" s="16" t="n"/>
      <c r="J29" s="16" t="n"/>
      <c r="K29" s="16" t="n"/>
      <c r="L29" s="16" t="n"/>
    </row>
    <row r="30">
      <c r="A30" s="16" t="n"/>
      <c r="B30" s="16" t="n"/>
      <c r="C30" s="16" t="n"/>
      <c r="D30" s="16" t="n"/>
      <c r="E30" s="16" t="n"/>
      <c r="F30" s="16" t="n"/>
      <c r="G30" s="16" t="n"/>
      <c r="H30" s="16" t="n"/>
      <c r="I30" s="16" t="n"/>
      <c r="J30" s="16" t="n"/>
      <c r="K30" s="16" t="n"/>
      <c r="L30" s="16" t="n"/>
    </row>
    <row r="31">
      <c r="A31" s="16" t="n"/>
      <c r="B31" s="16" t="n"/>
      <c r="C31" s="16" t="n"/>
      <c r="D31" s="16" t="n"/>
      <c r="E31" s="16" t="n"/>
      <c r="F31" s="16" t="n"/>
      <c r="G31" s="16" t="n"/>
      <c r="H31" s="16" t="n"/>
      <c r="I31" s="16" t="n"/>
      <c r="J31" s="16" t="n"/>
      <c r="K31" s="16" t="n"/>
      <c r="L31" s="16" t="n"/>
    </row>
    <row r="32">
      <c r="A32" s="16" t="n"/>
      <c r="B32" s="16" t="n"/>
      <c r="C32" s="16" t="n"/>
      <c r="D32" s="16" t="n"/>
      <c r="E32" s="16" t="n"/>
      <c r="F32" s="16" t="n"/>
      <c r="G32" s="16" t="n"/>
      <c r="H32" s="16" t="n"/>
      <c r="I32" s="16" t="n"/>
      <c r="J32" s="16" t="n"/>
      <c r="K32" s="16" t="n"/>
      <c r="L32" s="16" t="n"/>
    </row>
    <row r="33">
      <c r="A33" s="16" t="n"/>
      <c r="B33" s="16" t="n"/>
      <c r="C33" s="16" t="n"/>
      <c r="D33" s="16" t="n"/>
      <c r="E33" s="16" t="n"/>
      <c r="F33" s="16" t="n"/>
      <c r="G33" s="16" t="n"/>
      <c r="H33" s="16" t="n"/>
      <c r="I33" s="16" t="n"/>
      <c r="J33" s="16" t="n"/>
      <c r="K33" s="16" t="n"/>
      <c r="L33" s="16" t="n"/>
    </row>
    <row r="34">
      <c r="A34" s="16" t="n"/>
      <c r="B34" s="16" t="n"/>
      <c r="C34" s="16" t="n"/>
      <c r="D34" s="16" t="n"/>
      <c r="E34" s="16" t="n"/>
      <c r="F34" s="16" t="n"/>
      <c r="G34" s="16" t="n"/>
      <c r="H34" s="16" t="n"/>
      <c r="I34" s="16" t="n"/>
      <c r="J34" s="16" t="n"/>
      <c r="K34" s="16" t="n"/>
      <c r="L34" s="16" t="n"/>
    </row>
    <row r="35">
      <c r="A35" s="16" t="n"/>
      <c r="B35" s="16" t="n"/>
      <c r="C35" s="16" t="n"/>
      <c r="D35" s="16" t="n"/>
      <c r="E35" s="16" t="n"/>
      <c r="F35" s="16" t="n"/>
      <c r="G35" s="16" t="n"/>
      <c r="H35" s="16" t="n"/>
      <c r="I35" s="16" t="n"/>
      <c r="J35" s="16" t="n"/>
      <c r="K35" s="16" t="n"/>
      <c r="L35" s="16" t="n"/>
    </row>
    <row r="36">
      <c r="A36" s="16" t="n"/>
      <c r="B36" s="16" t="n"/>
      <c r="C36" s="16" t="n"/>
      <c r="D36" s="16" t="n"/>
      <c r="E36" s="16" t="n"/>
      <c r="F36" s="16" t="n"/>
      <c r="G36" s="16" t="n"/>
      <c r="H36" s="16" t="n"/>
      <c r="I36" s="16" t="n"/>
      <c r="J36" s="16" t="n"/>
      <c r="K36" s="16" t="n"/>
      <c r="L36" s="16" t="n"/>
    </row>
    <row r="37">
      <c r="A37" s="16" t="n"/>
      <c r="B37" s="16" t="n"/>
      <c r="C37" s="16" t="n"/>
      <c r="D37" s="16" t="n"/>
      <c r="E37" s="16" t="n"/>
      <c r="F37" s="16" t="n"/>
      <c r="G37" s="16" t="n"/>
      <c r="H37" s="16" t="n"/>
      <c r="I37" s="16" t="n"/>
      <c r="J37" s="16" t="n"/>
      <c r="K37" s="16" t="n"/>
      <c r="L37" s="16" t="n"/>
    </row>
    <row r="38">
      <c r="A38" s="16" t="n"/>
      <c r="B38" s="16" t="n"/>
      <c r="C38" s="16" t="n"/>
      <c r="D38" s="16" t="n"/>
      <c r="E38" s="16" t="n"/>
      <c r="F38" s="16" t="n"/>
      <c r="G38" s="16" t="n"/>
      <c r="H38" s="16" t="n"/>
      <c r="I38" s="16" t="n"/>
      <c r="J38" s="16" t="n"/>
      <c r="K38" s="16" t="n"/>
      <c r="L38" s="16" t="n"/>
    </row>
    <row r="39">
      <c r="A39" s="16" t="n"/>
      <c r="B39" s="16" t="n"/>
      <c r="C39" s="16" t="n"/>
      <c r="D39" s="16" t="n"/>
      <c r="E39" s="16" t="n"/>
      <c r="F39" s="16" t="n"/>
      <c r="G39" s="16" t="n"/>
      <c r="H39" s="16" t="n"/>
      <c r="I39" s="16" t="n"/>
      <c r="J39" s="16" t="n"/>
      <c r="K39" s="16" t="n"/>
      <c r="L39" s="16" t="n"/>
    </row>
    <row r="40">
      <c r="A40" s="16" t="n"/>
      <c r="B40" s="16" t="n"/>
      <c r="C40" s="16" t="n"/>
      <c r="D40" s="16" t="n"/>
      <c r="E40" s="16" t="n"/>
      <c r="F40" s="16" t="n"/>
      <c r="G40" s="16" t="n"/>
      <c r="H40" s="16" t="n"/>
      <c r="I40" s="16" t="n"/>
      <c r="J40" s="16" t="n"/>
      <c r="K40" s="16" t="n"/>
      <c r="L40" s="16" t="n"/>
    </row>
    <row r="41">
      <c r="A41" s="16" t="n"/>
      <c r="B41" s="16" t="n"/>
      <c r="C41" s="16" t="n"/>
      <c r="D41" s="16" t="n"/>
      <c r="E41" s="16" t="n"/>
      <c r="F41" s="16" t="n"/>
      <c r="G41" s="16" t="n"/>
      <c r="H41" s="16" t="n"/>
      <c r="I41" s="16" t="n"/>
      <c r="J41" s="16" t="n"/>
      <c r="K41" s="16" t="n"/>
      <c r="L41" s="16" t="n"/>
    </row>
    <row r="42">
      <c r="A42" s="16" t="n"/>
      <c r="B42" s="16" t="n"/>
      <c r="C42" s="16" t="n"/>
      <c r="D42" s="16" t="n"/>
      <c r="E42" s="16" t="n"/>
      <c r="F42" s="16" t="n"/>
      <c r="G42" s="16" t="n"/>
      <c r="H42" s="16" t="n"/>
      <c r="I42" s="16" t="n"/>
      <c r="J42" s="16" t="n"/>
      <c r="K42" s="16" t="n"/>
      <c r="L42" s="16" t="n"/>
    </row>
    <row r="43">
      <c r="A43" s="16" t="n"/>
      <c r="B43" s="16" t="n"/>
      <c r="C43" s="16" t="n"/>
      <c r="D43" s="16" t="n"/>
      <c r="E43" s="16" t="n"/>
      <c r="F43" s="16" t="n"/>
      <c r="G43" s="16" t="n"/>
      <c r="H43" s="16" t="n"/>
      <c r="I43" s="16" t="n"/>
      <c r="J43" s="16" t="n"/>
      <c r="K43" s="16" t="n"/>
      <c r="L43" s="16" t="n"/>
    </row>
    <row r="44">
      <c r="A44" s="16" t="n"/>
      <c r="B44" s="16" t="n"/>
      <c r="C44" s="16" t="n"/>
      <c r="D44" s="16" t="n"/>
      <c r="E44" s="16" t="n"/>
      <c r="F44" s="16" t="n"/>
      <c r="G44" s="16" t="n"/>
      <c r="H44" s="16" t="n"/>
      <c r="I44" s="16" t="n"/>
      <c r="J44" s="16" t="n"/>
      <c r="K44" s="16" t="n"/>
      <c r="L44" s="16" t="n"/>
    </row>
    <row r="45">
      <c r="A45" s="16" t="n"/>
      <c r="B45" s="16" t="n"/>
      <c r="C45" s="16" t="n"/>
      <c r="D45" s="16" t="n"/>
      <c r="E45" s="16" t="n"/>
      <c r="F45" s="16" t="n"/>
      <c r="G45" s="16" t="n"/>
      <c r="H45" s="16" t="n"/>
      <c r="I45" s="16" t="n"/>
      <c r="J45" s="16" t="n"/>
      <c r="K45" s="16" t="n"/>
      <c r="L45" s="16" t="n"/>
    </row>
    <row r="46">
      <c r="A46" s="16" t="n"/>
      <c r="B46" s="16" t="n"/>
      <c r="C46" s="16" t="n"/>
      <c r="D46" s="16" t="n"/>
      <c r="E46" s="16" t="n"/>
      <c r="F46" s="16" t="n"/>
      <c r="G46" s="16" t="n"/>
      <c r="H46" s="16" t="n"/>
      <c r="I46" s="16" t="n"/>
      <c r="J46" s="16" t="n"/>
      <c r="K46" s="16" t="n"/>
      <c r="L46" s="16" t="n"/>
    </row>
    <row r="47">
      <c r="A47" s="16" t="n"/>
      <c r="B47" s="16" t="n"/>
      <c r="C47" s="16" t="n"/>
      <c r="D47" s="16" t="n"/>
      <c r="E47" s="16" t="n"/>
      <c r="F47" s="16" t="n"/>
      <c r="G47" s="16" t="n"/>
      <c r="H47" s="16" t="n"/>
      <c r="I47" s="16" t="n"/>
      <c r="J47" s="16" t="n"/>
      <c r="K47" s="16" t="n"/>
      <c r="L47" s="16" t="n"/>
    </row>
    <row r="48">
      <c r="A48" s="16" t="n"/>
      <c r="B48" s="16" t="n"/>
      <c r="C48" s="16" t="n"/>
      <c r="D48" s="16" t="n"/>
      <c r="E48" s="16" t="n"/>
      <c r="F48" s="16" t="n"/>
      <c r="G48" s="16" t="n"/>
      <c r="H48" s="16" t="n"/>
      <c r="I48" s="16" t="n"/>
      <c r="J48" s="16" t="n"/>
      <c r="K48" s="16" t="n"/>
      <c r="L48" s="16" t="n"/>
    </row>
    <row r="49">
      <c r="A49" s="16" t="n"/>
      <c r="B49" s="16" t="n"/>
      <c r="C49" s="16" t="n"/>
      <c r="D49" s="16" t="n"/>
      <c r="E49" s="16" t="n"/>
      <c r="F49" s="16" t="n"/>
      <c r="G49" s="16" t="n"/>
      <c r="H49" s="16" t="n"/>
      <c r="I49" s="16" t="n"/>
      <c r="J49" s="16" t="n"/>
      <c r="K49" s="16" t="n"/>
      <c r="L49" s="16" t="n"/>
    </row>
    <row r="50">
      <c r="A50" s="16" t="n"/>
      <c r="B50" s="16" t="n"/>
      <c r="C50" s="16" t="n"/>
      <c r="D50" s="16" t="n"/>
      <c r="E50" s="16" t="n"/>
      <c r="F50" s="16" t="n"/>
      <c r="G50" s="16" t="n"/>
      <c r="H50" s="16" t="n"/>
      <c r="I50" s="16" t="n"/>
      <c r="J50" s="16" t="n"/>
      <c r="K50" s="16" t="n"/>
      <c r="L50" s="16" t="n"/>
    </row>
    <row r="51">
      <c r="A51" s="16" t="n"/>
      <c r="B51" s="16" t="n"/>
      <c r="C51" s="16" t="n"/>
      <c r="D51" s="16" t="n"/>
      <c r="E51" s="16" t="n"/>
      <c r="F51" s="16" t="n"/>
      <c r="G51" s="16" t="n"/>
      <c r="H51" s="16" t="n"/>
      <c r="I51" s="16" t="n"/>
      <c r="J51" s="16" t="n"/>
      <c r="K51" s="16" t="n"/>
      <c r="L51" s="16" t="n"/>
    </row>
    <row r="52">
      <c r="A52" s="16" t="n"/>
      <c r="B52" s="16" t="n"/>
      <c r="C52" s="16" t="n"/>
      <c r="D52" s="16" t="n"/>
      <c r="E52" s="16" t="n"/>
      <c r="F52" s="16" t="n"/>
      <c r="G52" s="16" t="n"/>
      <c r="H52" s="16" t="n"/>
      <c r="I52" s="16" t="n"/>
      <c r="J52" s="16" t="n"/>
      <c r="K52" s="16" t="n"/>
      <c r="L52" s="16" t="n"/>
    </row>
    <row r="53">
      <c r="A53" s="16" t="n"/>
      <c r="B53" s="16" t="n"/>
      <c r="C53" s="16" t="n"/>
      <c r="D53" s="16" t="n"/>
      <c r="E53" s="16" t="n"/>
      <c r="F53" s="16" t="n"/>
      <c r="G53" s="16" t="n"/>
      <c r="H53" s="16" t="n"/>
      <c r="I53" s="16" t="n"/>
      <c r="J53" s="16" t="n"/>
      <c r="K53" s="16" t="n"/>
      <c r="L53" s="16" t="n"/>
    </row>
    <row r="54">
      <c r="A54" s="16" t="n"/>
      <c r="B54" s="16" t="n"/>
      <c r="C54" s="16" t="n"/>
      <c r="D54" s="16" t="n"/>
      <c r="E54" s="16" t="n"/>
      <c r="F54" s="16" t="n"/>
      <c r="G54" s="16" t="n"/>
      <c r="H54" s="16" t="n"/>
      <c r="I54" s="16" t="n"/>
      <c r="J54" s="16" t="n"/>
      <c r="K54" s="16" t="n"/>
      <c r="L54" s="16" t="n"/>
    </row>
    <row r="55">
      <c r="A55" s="16" t="n"/>
      <c r="B55" s="16" t="n"/>
      <c r="C55" s="16" t="n"/>
      <c r="D55" s="16" t="n"/>
      <c r="E55" s="16" t="n"/>
      <c r="F55" s="16" t="n"/>
      <c r="G55" s="16" t="n"/>
      <c r="H55" s="16" t="n"/>
      <c r="I55" s="16" t="n"/>
      <c r="J55" s="16" t="n"/>
      <c r="K55" s="16" t="n"/>
      <c r="L55" s="16" t="n"/>
    </row>
    <row r="56">
      <c r="A56" s="16" t="n"/>
      <c r="B56" s="16" t="n"/>
      <c r="C56" s="16" t="n"/>
      <c r="D56" s="16" t="n"/>
      <c r="E56" s="16" t="n"/>
      <c r="F56" s="16" t="n"/>
      <c r="G56" s="16" t="n"/>
      <c r="H56" s="16" t="n"/>
      <c r="I56" s="16" t="n"/>
      <c r="J56" s="16" t="n"/>
      <c r="K56" s="16" t="n"/>
      <c r="L56" s="16" t="n"/>
    </row>
    <row r="57">
      <c r="A57" s="16" t="n"/>
      <c r="B57" s="16" t="n"/>
      <c r="C57" s="16" t="n"/>
      <c r="D57" s="16" t="n"/>
      <c r="E57" s="16" t="n"/>
      <c r="F57" s="16" t="n"/>
      <c r="G57" s="16" t="n"/>
      <c r="H57" s="16" t="n"/>
      <c r="I57" s="16" t="n"/>
      <c r="J57" s="16" t="n"/>
      <c r="K57" s="16" t="n"/>
      <c r="L57" s="16" t="n"/>
    </row>
    <row r="58">
      <c r="A58" s="16" t="n"/>
      <c r="B58" s="16" t="n"/>
      <c r="C58" s="16" t="n"/>
      <c r="D58" s="16" t="n"/>
      <c r="E58" s="16" t="n"/>
      <c r="F58" s="16" t="n"/>
      <c r="G58" s="16" t="n"/>
      <c r="H58" s="16" t="n"/>
      <c r="I58" s="16" t="n"/>
      <c r="J58" s="16" t="n"/>
      <c r="K58" s="16" t="n"/>
      <c r="L58" s="16" t="n"/>
    </row>
    <row r="59">
      <c r="A59" s="16" t="n"/>
      <c r="B59" s="16" t="n"/>
      <c r="C59" s="16" t="n"/>
      <c r="D59" s="16" t="n"/>
      <c r="E59" s="16" t="n"/>
      <c r="F59" s="16" t="n"/>
      <c r="G59" s="16" t="n"/>
      <c r="H59" s="16" t="n"/>
      <c r="I59" s="16" t="n"/>
      <c r="J59" s="16" t="n"/>
      <c r="K59" s="16" t="n"/>
      <c r="L59" s="16" t="n"/>
    </row>
  </sheetData>
  <mergeCells count="2">
    <mergeCell ref="A2:L2"/>
    <mergeCell ref="A1:L1"/>
  </mergeCells>
  <dataValidations count="2">
    <dataValidation sqref="D5 D6 D7 D8 D9 D10 D11 D12 D13 D14 D15 D16 D17 D18 D19 D20 D21 D22 D23 D24 D25 D26 D27 D28 D29 D30 D31 D32 D33 D34 D35 D36 D37 D38 D39 D40 D41 D42 D43 D44 D45 D46 D47 D48 D49 D50 D51 D52 D53 D54 D55 D56 D57 D58 D59" showDropDown="0" showInputMessage="0" showErrorMessage="0" allowBlank="0" type="list">
      <formula1>"Permitted,Permitted with Conditions,Prohibited,Not Applicable"</formula1>
    </dataValidation>
    <dataValidation sqref="G5 G6 G7 G8 G9 G10 G11 G12 G13 G14 G15 G16 G17 G18 G19 G20 G21 G22 G23 G24 G25 G26 G27 G28 G29 G30 G31 G32 G33 G34 G35 G36 G37 G38 G39 G40 G41 G42 G43 G44 G45 G46 G47 G48 G49 G50 G51 G52 G53 G54 G55 G56 G57 G58 G59"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4" customWidth="1" min="1" max="1"/>
    <col width="22" customWidth="1" min="2" max="2"/>
    <col width="45" customWidth="1" min="3" max="3"/>
    <col width="35" customWidth="1" min="4" max="4"/>
    <col width="16" customWidth="1" min="5" max="5"/>
    <col width="22" customWidth="1" min="6" max="6"/>
    <col width="20" customWidth="1" min="7" max="7"/>
    <col width="22" customWidth="1" min="8" max="8"/>
    <col width="20" customWidth="1" min="9" max="9"/>
    <col width="30" customWidth="1" min="10" max="10"/>
  </cols>
  <sheetData>
    <row r="1" ht="35" customHeight="1">
      <c r="A1" s="11" t="inlineStr">
        <is>
          <t>PERMITTED ACTIVITIES</t>
        </is>
      </c>
    </row>
    <row r="2">
      <c r="A2" s="12" t="inlineStr">
        <is>
          <t>Document all permitted activities with conditions and approval requirements</t>
        </is>
      </c>
    </row>
    <row r="3">
      <c r="A3" s="13" t="inlineStr">
        <is>
          <t>Activity_ID</t>
        </is>
      </c>
      <c r="B3" s="13" t="inlineStr">
        <is>
          <t>Asset_Category</t>
        </is>
      </c>
      <c r="C3" s="13" t="inlineStr">
        <is>
          <t>Permitted_Activity</t>
        </is>
      </c>
      <c r="D3" s="13" t="inlineStr">
        <is>
          <t>Conditions</t>
        </is>
      </c>
      <c r="E3" s="13" t="inlineStr">
        <is>
          <t>Approval_Required</t>
        </is>
      </c>
      <c r="F3" s="13" t="inlineStr">
        <is>
          <t>Approver_Role</t>
        </is>
      </c>
      <c r="G3" s="13" t="inlineStr">
        <is>
          <t>Time_Restrictions</t>
        </is>
      </c>
      <c r="H3" s="13" t="inlineStr">
        <is>
          <t>Location_Restrictions</t>
        </is>
      </c>
      <c r="I3" s="13" t="inlineStr">
        <is>
          <t>Documentation_Required</t>
        </is>
      </c>
      <c r="J3" s="13" t="inlineStr">
        <is>
          <t>Notes</t>
        </is>
      </c>
    </row>
    <row r="4">
      <c r="A4" s="14" t="inlineStr">
        <is>
          <t>PA-001</t>
        </is>
      </c>
      <c r="B4" s="14" t="inlineStr">
        <is>
          <t>Internet</t>
        </is>
      </c>
      <c r="C4" s="14" t="inlineStr">
        <is>
          <t>Access approved cloud SaaS tools for business purposes</t>
        </is>
      </c>
      <c r="D4" s="14" t="inlineStr">
        <is>
          <t>Must use corporate account; no personal cloud storage</t>
        </is>
      </c>
      <c r="E4" s="14" t="inlineStr">
        <is>
          <t>No</t>
        </is>
      </c>
      <c r="F4" s="14" t="inlineStr">
        <is>
          <t>N/A</t>
        </is>
      </c>
      <c r="G4" s="14" t="inlineStr">
        <is>
          <t>Business hours only</t>
        </is>
      </c>
      <c r="H4" s="14" t="inlineStr">
        <is>
          <t>Office and approved remote locations</t>
        </is>
      </c>
      <c r="I4" s="14" t="inlineStr">
        <is>
          <t>No</t>
        </is>
      </c>
      <c r="J4" s="14" t="inlineStr">
        <is>
          <t>Covered by AUP Section 4.2</t>
        </is>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dataValidations count="1">
    <dataValidation sqref="E5 E6 E7 E8 E9 E10 E11 E12 E13 E14 E15 E16 E17 E18 E19 E20 E21 E22 E23 E24 E25 E26 E27 E28 E29 E30 E31 E32 E33 E34 E35 E36 E37 E38 E39 E40 E41 E42 E43 E44 E45 E46 E47 E48 E49 E50 E51 E52 E53 E54 I5 I6 I7 I8 I9 I10 I11 I12 I13 I14 I15 I16 I17 I18 I19 I20 I21 I22 I23 I24 I25 I26 I27 I28 I29 I30 I31 I32 I33 I34 I35 I36 I37 I38 I39 I40 I41 I42 I43 I44 I45 I46 I47 I48 I49 I50 I51 I52 I53 I54"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9"/>
  <sheetViews>
    <sheetView showGridLines="0" workbookViewId="0">
      <pane ySplit="3" topLeftCell="A4" activePane="bottomLeft" state="frozen"/>
      <selection pane="bottomLeft" activeCell="A1" sqref="A1"/>
    </sheetView>
  </sheetViews>
  <sheetFormatPr baseColWidth="8" defaultRowHeight="15"/>
  <cols>
    <col width="14" customWidth="1" min="1" max="1"/>
    <col width="22" customWidth="1" min="2" max="2"/>
    <col width="45" customWidth="1" min="3" max="3"/>
    <col width="35" customWidth="1" min="4" max="4"/>
    <col width="14" customWidth="1" min="5" max="5"/>
    <col width="25" customWidth="1" min="6" max="6"/>
    <col width="25" customWidth="1" min="7" max="7"/>
    <col width="18" customWidth="1" min="8" max="8"/>
    <col width="18" customWidth="1" min="9" max="9"/>
    <col width="30" customWidth="1" min="10" max="10"/>
  </cols>
  <sheetData>
    <row r="1" ht="35" customHeight="1">
      <c r="A1" s="11" t="inlineStr">
        <is>
          <t>PROHIBITED ACTIVITIES</t>
        </is>
      </c>
    </row>
    <row r="2">
      <c r="A2" s="12" t="inlineStr">
        <is>
          <t>Document all prohibited activities with risk levels and detection methods</t>
        </is>
      </c>
    </row>
    <row r="3">
      <c r="A3" s="13" t="inlineStr">
        <is>
          <t>Prohibition_ID</t>
        </is>
      </c>
      <c r="B3" s="13" t="inlineStr">
        <is>
          <t>Asset_Category</t>
        </is>
      </c>
      <c r="C3" s="13" t="inlineStr">
        <is>
          <t>Prohibited_Activity</t>
        </is>
      </c>
      <c r="D3" s="13" t="inlineStr">
        <is>
          <t>Reason</t>
        </is>
      </c>
      <c r="E3" s="13" t="inlineStr">
        <is>
          <t>Risk_Level</t>
        </is>
      </c>
      <c r="F3" s="13" t="inlineStr">
        <is>
          <t>Detection_Method</t>
        </is>
      </c>
      <c r="G3" s="13" t="inlineStr">
        <is>
          <t>Consequence</t>
        </is>
      </c>
      <c r="H3" s="13" t="inlineStr">
        <is>
          <t>Exception_Possible</t>
        </is>
      </c>
      <c r="I3" s="13" t="inlineStr">
        <is>
          <t>Related_Control</t>
        </is>
      </c>
      <c r="J3" s="13" t="inlineStr">
        <is>
          <t>Notes</t>
        </is>
      </c>
    </row>
    <row r="4">
      <c r="A4" s="14" t="inlineStr">
        <is>
          <t>PH-001</t>
        </is>
      </c>
      <c r="B4" s="14" t="inlineStr">
        <is>
          <t>All Assets</t>
        </is>
      </c>
      <c r="C4" s="14" t="inlineStr">
        <is>
          <t>Sharing credentials with others (passwords, tokens, certificates)</t>
        </is>
      </c>
      <c r="D4" s="14" t="inlineStr">
        <is>
          <t>Account compromise and audit trail loss</t>
        </is>
      </c>
      <c r="E4" s="14" t="inlineStr">
        <is>
          <t>Critical</t>
        </is>
      </c>
      <c r="F4" s="14" t="inlineStr">
        <is>
          <t>SIEM alerts, login anomaly detection</t>
        </is>
      </c>
      <c r="G4" s="14" t="inlineStr">
        <is>
          <t>Formal warning; potential dismissal</t>
        </is>
      </c>
      <c r="H4" s="14" t="inlineStr">
        <is>
          <t>No</t>
        </is>
      </c>
      <c r="I4" s="14" t="inlineStr">
        <is>
          <t>A.5.17</t>
        </is>
      </c>
      <c r="J4" s="14" t="inlineStr">
        <is>
          <t>Zero tolerance policy</t>
        </is>
      </c>
    </row>
    <row r="5">
      <c r="A5" s="15" t="inlineStr">
        <is>
          <t>PH-001</t>
        </is>
      </c>
      <c r="B5" s="15" t="inlineStr">
        <is>
          <t>All Assets</t>
        </is>
      </c>
      <c r="C5" s="15" t="inlineStr">
        <is>
          <t>Sharing credentials with others</t>
        </is>
      </c>
      <c r="D5" s="15" t="inlineStr">
        <is>
          <t>Security breach risk</t>
        </is>
      </c>
      <c r="E5" s="15" t="inlineStr">
        <is>
          <t>Critical</t>
        </is>
      </c>
      <c r="F5" s="16" t="n"/>
      <c r="G5" s="16" t="n"/>
      <c r="H5" s="16" t="n"/>
      <c r="I5" s="16" t="n"/>
      <c r="J5" s="16" t="n"/>
    </row>
    <row r="6">
      <c r="A6" s="15" t="inlineStr">
        <is>
          <t>PH-002</t>
        </is>
      </c>
      <c r="B6" s="15" t="inlineStr">
        <is>
          <t>All Assets</t>
        </is>
      </c>
      <c r="C6" s="15" t="inlineStr">
        <is>
          <t>Disabling security controls</t>
        </is>
      </c>
      <c r="D6" s="15" t="inlineStr">
        <is>
          <t>Compliance violation</t>
        </is>
      </c>
      <c r="E6" s="15" t="inlineStr">
        <is>
          <t>Critical</t>
        </is>
      </c>
      <c r="F6" s="16" t="n"/>
      <c r="G6" s="16" t="n"/>
      <c r="H6" s="16" t="n"/>
      <c r="I6" s="16" t="n"/>
      <c r="J6" s="16" t="n"/>
    </row>
    <row r="7">
      <c r="A7" s="15" t="inlineStr">
        <is>
          <t>PH-003</t>
        </is>
      </c>
      <c r="B7" s="15" t="inlineStr">
        <is>
          <t>Email</t>
        </is>
      </c>
      <c r="C7" s="15" t="inlineStr">
        <is>
          <t>Sending unencrypted sensitive data externally</t>
        </is>
      </c>
      <c r="D7" s="15" t="inlineStr">
        <is>
          <t>Data breach risk</t>
        </is>
      </c>
      <c r="E7" s="15" t="inlineStr">
        <is>
          <t>High</t>
        </is>
      </c>
      <c r="F7" s="16" t="n"/>
      <c r="G7" s="16" t="n"/>
      <c r="H7" s="16" t="n"/>
      <c r="I7" s="16" t="n"/>
      <c r="J7" s="16" t="n"/>
    </row>
    <row r="8">
      <c r="A8" s="15" t="inlineStr">
        <is>
          <t>PH-004</t>
        </is>
      </c>
      <c r="B8" s="15" t="inlineStr">
        <is>
          <t>Software</t>
        </is>
      </c>
      <c r="C8" s="15" t="inlineStr">
        <is>
          <t>Installing unauthorised software</t>
        </is>
      </c>
      <c r="D8" s="15" t="inlineStr">
        <is>
          <t>Malware risk</t>
        </is>
      </c>
      <c r="E8" s="15" t="inlineStr">
        <is>
          <t>High</t>
        </is>
      </c>
      <c r="F8" s="16" t="n"/>
      <c r="G8" s="16" t="n"/>
      <c r="H8" s="16" t="n"/>
      <c r="I8" s="16" t="n"/>
      <c r="J8" s="16" t="n"/>
    </row>
    <row r="9">
      <c r="A9" s="15" t="inlineStr">
        <is>
          <t>PH-005</t>
        </is>
      </c>
      <c r="B9" s="15" t="inlineStr">
        <is>
          <t>Internet</t>
        </is>
      </c>
      <c r="C9" s="15" t="inlineStr">
        <is>
          <t>Accessing illegal or inappropriate content</t>
        </is>
      </c>
      <c r="D9" s="15" t="inlineStr">
        <is>
          <t>Legal/HR risk</t>
        </is>
      </c>
      <c r="E9" s="15" t="inlineStr">
        <is>
          <t>High</t>
        </is>
      </c>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sheetData>
  <mergeCells count="2">
    <mergeCell ref="A1:J1"/>
    <mergeCell ref="A2:J2"/>
  </mergeCells>
  <dataValidations count="2">
    <dataValidation sqref="E5 E6 E7 E8 E9 E10 E11 E12 E13 E14 E15 E16 E17 E18 E19 E20 E21 E22 E23 E24 E25 E26 E27 E28 E29 E30 E31 E32 E33 E34 E35 E36 E37 E38 E39 E40 E41 E42 E43 E44 E45 E46 E47 E48 E49 E50 E51 E52 E53 E54 E55 E56 E57 E58 E59" showDropDown="0" showInputMessage="0" showErrorMessage="0" allowBlank="0" type="list">
      <formula1>"Critical,High,Medium,Low"</formula1>
    </dataValidation>
    <dataValidation sqref="H5 H6 H7 H8 H9 H10 H11 H12 H13 H14 H15 H16 H17 H18 H19 H20 H21 H22 H23 H24 H25 H26 H27 H28 H29 H30 H31 H32 H33 H34 H35 H36 H37 H38 H39 H40 H41 H42 H43 H44 H45 H46 H47 H48 H49 H50 H51 H52 H53 H54 H55 H56 H57 H58 H59"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4" customWidth="1" min="1" max="1"/>
    <col width="22" customWidth="1" min="2" max="2"/>
    <col width="18" customWidth="1" min="3" max="3"/>
    <col width="30" customWidth="1" min="4" max="4"/>
    <col width="30" customWidth="1" min="5" max="5"/>
    <col width="30" customWidth="1" min="6" max="6"/>
    <col width="25" customWidth="1" min="7" max="7"/>
    <col width="16" customWidth="1" min="8" max="8"/>
    <col width="16" customWidth="1" min="9" max="9"/>
    <col width="18" customWidth="1" min="10" max="10"/>
    <col width="30" customWidth="1" min="11" max="11"/>
  </cols>
  <sheetData>
    <row r="1" ht="35" customHeight="1">
      <c r="A1" s="11" t="inlineStr">
        <is>
          <t>ASSET HANDLING REQUIREMENTS</t>
        </is>
      </c>
    </row>
    <row r="2">
      <c r="A2" s="12" t="inlineStr">
        <is>
          <t>Define handling requirements for each asset category by data classification</t>
        </is>
      </c>
    </row>
    <row r="3">
      <c r="A3" s="13" t="inlineStr">
        <is>
          <t>Handling_ID</t>
        </is>
      </c>
      <c r="B3" s="13" t="inlineStr">
        <is>
          <t>Asset_Category</t>
        </is>
      </c>
      <c r="C3" s="13" t="inlineStr">
        <is>
          <t>Data_Classification</t>
        </is>
      </c>
      <c r="D3" s="13" t="inlineStr">
        <is>
          <t>Storage_Requirement</t>
        </is>
      </c>
      <c r="E3" s="13" t="inlineStr">
        <is>
          <t>Transmission_Requirement</t>
        </is>
      </c>
      <c r="F3" s="13" t="inlineStr">
        <is>
          <t>Disposal_Requirement</t>
        </is>
      </c>
      <c r="G3" s="13" t="inlineStr">
        <is>
          <t>Access_Restriction</t>
        </is>
      </c>
      <c r="H3" s="13" t="inlineStr">
        <is>
          <t>Labelling_Required</t>
        </is>
      </c>
      <c r="I3" s="13" t="inlineStr">
        <is>
          <t>Encryption_Required</t>
        </is>
      </c>
      <c r="J3" s="13" t="inlineStr">
        <is>
          <t>Retention_Period</t>
        </is>
      </c>
      <c r="K3" s="13" t="inlineStr">
        <is>
          <t>Notes</t>
        </is>
      </c>
    </row>
    <row r="4">
      <c r="A4" s="14" t="inlineStr">
        <is>
          <t>HR-001</t>
        </is>
      </c>
      <c r="B4" s="14" t="inlineStr">
        <is>
          <t>Information Assets</t>
        </is>
      </c>
      <c r="C4" s="14" t="inlineStr">
        <is>
          <t>Restricted</t>
        </is>
      </c>
      <c r="D4" s="14" t="inlineStr">
        <is>
          <t>Encrypted storage on approved systems only</t>
        </is>
      </c>
      <c r="E4" s="14" t="inlineStr">
        <is>
          <t>TLS 1.2+ encryption in transit; no email</t>
        </is>
      </c>
      <c r="F4" s="14" t="inlineStr">
        <is>
          <t>Secure deletion (DoD 5220.22-M or equivalent)</t>
        </is>
      </c>
      <c r="G4" s="14" t="inlineStr">
        <is>
          <t>Need-to-know basis; CISO approval</t>
        </is>
      </c>
      <c r="H4" s="14" t="inlineStr">
        <is>
          <t>Yes</t>
        </is>
      </c>
      <c r="I4" s="14" t="inlineStr">
        <is>
          <t>Yes</t>
        </is>
      </c>
      <c r="J4" s="14" t="inlineStr">
        <is>
          <t>7 years (regulatory)</t>
        </is>
      </c>
      <c r="K4" s="14" t="inlineStr">
        <is>
          <t>PII data — GDPR/nFADP applies</t>
        </is>
      </c>
    </row>
    <row r="5">
      <c r="A5" s="16" t="n"/>
      <c r="B5" s="16" t="n"/>
      <c r="C5" s="16" t="n"/>
      <c r="D5" s="16" t="n"/>
      <c r="E5" s="16" t="n"/>
      <c r="F5" s="16" t="n"/>
      <c r="G5" s="16" t="n"/>
      <c r="H5" s="16" t="n"/>
      <c r="I5" s="16" t="n"/>
      <c r="J5" s="16" t="n"/>
      <c r="K5" s="16" t="n"/>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sheetData>
  <mergeCells count="2">
    <mergeCell ref="A2:K2"/>
    <mergeCell ref="A1:K1"/>
  </mergeCells>
  <dataValidations count="2">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"Public,Internal,Confidential,Restricted"</formula1>
    </dataValidation>
    <dataValidation sqref="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5" customWidth="1" min="3" max="3"/>
    <col width="20" customWidth="1" min="4" max="4"/>
    <col width="16" customWidth="1" min="5" max="5"/>
    <col width="40" customWidth="1" min="6" max="6"/>
    <col width="25" customWidth="1" min="7" max="7"/>
    <col width="16" customWidth="1" min="8" max="8"/>
  </cols>
  <sheetData>
    <row r="1" ht="35" customHeight="1">
      <c r="A1" s="11" t="inlineStr">
        <is>
          <t>EVIDENCE REGISTER</t>
        </is>
      </c>
    </row>
    <row r="2">
      <c r="A2" s="12" t="inlineStr">
        <is>
          <t>List all evidence files and documents referenced in this assessment (audit traceability)</t>
        </is>
      </c>
    </row>
    <row r="4">
      <c r="A4" s="17" t="inlineStr">
        <is>
          <t>Evidence_ID</t>
        </is>
      </c>
      <c r="B4" s="17" t="inlineStr">
        <is>
          <t>Evidence_Type</t>
        </is>
      </c>
      <c r="C4" s="17" t="inlineStr">
        <is>
          <t>Description</t>
        </is>
      </c>
      <c r="D4" s="17" t="inlineStr">
        <is>
          <t>Related_Rule</t>
        </is>
      </c>
      <c r="E4" s="17" t="inlineStr">
        <is>
          <t>Collection_Date</t>
        </is>
      </c>
      <c r="F4" s="17" t="inlineStr">
        <is>
          <t>Location</t>
        </is>
      </c>
      <c r="G4" s="17" t="inlineStr">
        <is>
          <t>Collected_By</t>
        </is>
      </c>
      <c r="H4" s="17" t="inlineStr">
        <is>
          <t>Valid_Until</t>
        </is>
      </c>
    </row>
    <row r="5">
      <c r="A5" s="14" t="inlineStr">
        <is>
          <t>EV-001</t>
        </is>
      </c>
      <c r="B5" s="14" t="inlineStr">
        <is>
          <t>Policy Document</t>
        </is>
      </c>
      <c r="C5" s="14" t="inlineStr">
        <is>
          <t>Acceptable Use Policy v2.3 — usage rules section</t>
        </is>
      </c>
      <c r="D5" s="14" t="inlineStr">
        <is>
          <t>UR-001</t>
        </is>
      </c>
      <c r="E5" s="14" t="inlineStr">
        <is>
          <t>2026-01-15</t>
        </is>
      </c>
      <c r="F5" s="14" t="inlineStr">
        <is>
          <t>/policies/AUP-v2.3.pdf</t>
        </is>
      </c>
      <c r="G5" s="14" t="inlineStr">
        <is>
          <t>IT Security Manager</t>
        </is>
      </c>
      <c r="H5" s="14" t="inlineStr">
        <is>
          <t>2027-01-15</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"Policy Document,Configuration,Screenshot,Export,Training Record,Attestation"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18" t="inlineStr">
        <is>
          <t>USAGE RULES INVENTORY — SUMMARY DASHBOARD</t>
        </is>
      </c>
      <c r="B1" s="6" t="n"/>
      <c r="C1" s="6" t="n"/>
      <c r="D1" s="6" t="n"/>
      <c r="E1" s="6" t="n"/>
      <c r="F1" s="6" t="n"/>
      <c r="G1" s="6" t="n"/>
    </row>
    <row r="2">
      <c r="A2" s="19" t="inlineStr">
        <is>
          <t>ISO/IEC 27001:2022 — Control A.5.10: Acceptable Use of Information and Other Associated Assets</t>
        </is>
      </c>
    </row>
    <row r="4" ht="20" customHeight="1">
      <c r="A4" s="20" t="inlineStr">
        <is>
          <t>TABLE 1: ASSESSMENT AREA COMPLIANCE OVERVIEW</t>
        </is>
      </c>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Usage Rules Documented</t>
        </is>
      </c>
      <c r="B6" s="23">
        <f>COUNTA('Usage Rules'!B5:B59)</f>
        <v/>
      </c>
      <c r="C6" s="23">
        <f>COUNTIF('Usage Rules'!D5:D59,"Permitted")+COUNTIF('Usage Rules'!D5:D59,"Permitted with Conditions")</f>
        <v/>
      </c>
      <c r="D6" s="23">
        <f>0</f>
        <v/>
      </c>
      <c r="E6" s="23">
        <f>COUNTIF('Usage Rules'!D5:D59,"Not Applicable")</f>
        <v/>
      </c>
      <c r="F6" s="23">
        <f>0</f>
        <v/>
      </c>
      <c r="G6" s="24">
        <f>IFERROR(IF((B6-F6)=0,0,C6/(B6-F6)),"")</f>
        <v/>
      </c>
    </row>
    <row r="7">
      <c r="A7" s="22" t="inlineStr">
        <is>
          <t>Prohibited Activities Defined</t>
        </is>
      </c>
      <c r="B7" s="23">
        <f>COUNTA('Prohibited Activities'!A5:A59)</f>
        <v/>
      </c>
      <c r="C7" s="23">
        <f>COUNTA('Prohibited Activities'!A5:A59)</f>
        <v/>
      </c>
      <c r="D7" s="23">
        <f>0</f>
        <v/>
      </c>
      <c r="E7" s="23">
        <f>0</f>
        <v/>
      </c>
      <c r="F7" s="23">
        <f>0</f>
        <v/>
      </c>
      <c r="G7" s="24">
        <f>IFERROR(IF((B7-F7)=0,0,C7/(B7-F7)),"")</f>
        <v/>
      </c>
    </row>
    <row r="8">
      <c r="A8" s="22" t="inlineStr">
        <is>
          <t>Handling Requirements Defined</t>
        </is>
      </c>
      <c r="B8" s="23">
        <f>COUNTA('Handling Requirements'!A5:A54)</f>
        <v/>
      </c>
      <c r="C8" s="23">
        <f>COUNTA('Handling Requirements'!A5:A54)</f>
        <v/>
      </c>
      <c r="D8" s="23">
        <f>0</f>
        <v/>
      </c>
      <c r="E8" s="23">
        <f>0</f>
        <v/>
      </c>
      <c r="F8" s="23">
        <f>0</f>
        <v/>
      </c>
      <c r="G8" s="24">
        <f>IFERROR(IF((B8-F8)=0,0,C8/(B8-F8)),"")</f>
        <v/>
      </c>
    </row>
    <row r="9">
      <c r="A9" s="25" t="inlineStr">
        <is>
          <t>TOTAL</t>
        </is>
      </c>
      <c r="B9" s="26">
        <f>SUM(B6:B8)</f>
        <v/>
      </c>
      <c r="C9" s="26">
        <f>SUM(C6:C8)</f>
        <v/>
      </c>
      <c r="D9" s="26">
        <f>SUM(D6:D8)</f>
        <v/>
      </c>
      <c r="E9" s="26">
        <f>SUM(E6:E8)</f>
        <v/>
      </c>
      <c r="F9" s="26">
        <f>SUM(F6:F8)</f>
        <v/>
      </c>
      <c r="G9" s="27">
        <f>IFERROR(IF((B9-F9)=0,0,C9/(B9-F9)),"")</f>
        <v/>
      </c>
    </row>
    <row r="11" ht="20" customHeight="1">
      <c r="A11" s="20" t="inlineStr">
        <is>
          <t>TABLE 2: KEY METRICS AND KPIs</t>
        </is>
      </c>
    </row>
    <row r="12">
      <c r="A12" s="26" t="inlineStr">
        <is>
          <t>Metric</t>
        </is>
      </c>
      <c r="B12" s="26" t="inlineStr">
        <is>
          <t>Value</t>
        </is>
      </c>
      <c r="C12" s="26" t="n"/>
      <c r="D12" s="26" t="n"/>
      <c r="E12" s="26" t="n"/>
      <c r="F12" s="26" t="n"/>
      <c r="G12" s="26" t="n"/>
    </row>
    <row r="13">
      <c r="A13" s="22" t="inlineStr">
        <is>
          <t>Total Usage Rules Documented</t>
        </is>
      </c>
      <c r="B13" s="23">
        <f>COUNTA('Usage Rules'!B5:B59)</f>
        <v/>
      </c>
      <c r="C13" s="6" t="n"/>
      <c r="D13" s="6" t="n"/>
      <c r="E13" s="6" t="n"/>
      <c r="F13" s="6" t="n"/>
      <c r="G13" s="6" t="n"/>
    </row>
    <row r="14">
      <c r="A14" s="22" t="inlineStr">
        <is>
          <t>Rules Classified as Permitted</t>
        </is>
      </c>
      <c r="B14" s="23">
        <f>COUNTIF('Usage Rules'!D5:D59,"Permitted")</f>
        <v/>
      </c>
      <c r="C14" s="6" t="n"/>
      <c r="D14" s="6" t="n"/>
      <c r="E14" s="6" t="n"/>
      <c r="F14" s="6" t="n"/>
      <c r="G14" s="6" t="n"/>
    </row>
    <row r="15">
      <c r="A15" s="22" t="inlineStr">
        <is>
          <t>Rules Permitted with Conditions</t>
        </is>
      </c>
      <c r="B15" s="23">
        <f>COUNTIF('Usage Rules'!D5:D59,"Permitted with Conditions")</f>
        <v/>
      </c>
      <c r="C15" s="6" t="n"/>
      <c r="D15" s="6" t="n"/>
      <c r="E15" s="6" t="n"/>
      <c r="F15" s="6" t="n"/>
      <c r="G15" s="6" t="n"/>
    </row>
    <row r="16">
      <c r="A16" s="22" t="inlineStr">
        <is>
          <t>Rules Classified as Prohibited</t>
        </is>
      </c>
      <c r="B16" s="23">
        <f>COUNTIF('Usage Rules'!D5:D59,"Prohibited")</f>
        <v/>
      </c>
      <c r="C16" s="6" t="n"/>
      <c r="D16" s="6" t="n"/>
      <c r="E16" s="6" t="n"/>
      <c r="F16" s="6" t="n"/>
      <c r="G16" s="6" t="n"/>
    </row>
    <row r="17">
      <c r="A17" s="22" t="inlineStr">
        <is>
          <t>Rules with Monitoring Required</t>
        </is>
      </c>
      <c r="B17" s="23">
        <f>COUNTIF('Usage Rules'!G5:G59,"Yes")</f>
        <v/>
      </c>
      <c r="C17" s="6" t="n"/>
      <c r="D17" s="6" t="n"/>
      <c r="E17" s="6" t="n"/>
      <c r="F17" s="6" t="n"/>
      <c r="G17" s="6" t="n"/>
    </row>
    <row r="18">
      <c r="A18" s="22" t="inlineStr">
        <is>
          <t>Total Permitted Activities Documented</t>
        </is>
      </c>
      <c r="B18" s="23">
        <f>COUNTA('Permitted Activities'!A5:A54)</f>
        <v/>
      </c>
      <c r="C18" s="6" t="n"/>
      <c r="D18" s="6" t="n"/>
      <c r="E18" s="6" t="n"/>
      <c r="F18" s="6" t="n"/>
      <c r="G18" s="6" t="n"/>
    </row>
    <row r="19">
      <c r="A19" s="22" t="inlineStr">
        <is>
          <t>Permitted Activities Requiring Approval</t>
        </is>
      </c>
      <c r="B19" s="23">
        <f>COUNTIF('Permitted Activities'!E5:E54,"Yes")</f>
        <v/>
      </c>
      <c r="C19" s="6" t="n"/>
      <c r="D19" s="6" t="n"/>
      <c r="E19" s="6" t="n"/>
      <c r="F19" s="6" t="n"/>
      <c r="G19" s="6" t="n"/>
    </row>
    <row r="20">
      <c r="A20" s="22" t="inlineStr">
        <is>
          <t>Total Prohibited Activities Documented</t>
        </is>
      </c>
      <c r="B20" s="23">
        <f>COUNTA('Prohibited Activities'!A5:A59)</f>
        <v/>
      </c>
      <c r="C20" s="6" t="n"/>
      <c r="D20" s="6" t="n"/>
      <c r="E20" s="6" t="n"/>
      <c r="F20" s="6" t="n"/>
      <c r="G20" s="6" t="n"/>
    </row>
    <row r="21">
      <c r="A21" s="22" t="inlineStr">
        <is>
          <t>Critical-Risk Prohibitions</t>
        </is>
      </c>
      <c r="B21" s="23">
        <f>COUNTIF('Prohibited Activities'!E5:E59,"Critical")</f>
        <v/>
      </c>
      <c r="C21" s="6" t="n"/>
      <c r="D21" s="6" t="n"/>
      <c r="E21" s="6" t="n"/>
      <c r="F21" s="6" t="n"/>
      <c r="G21" s="6" t="n"/>
    </row>
    <row r="22">
      <c r="A22" s="22" t="inlineStr">
        <is>
          <t>High-Risk Prohibitions</t>
        </is>
      </c>
      <c r="B22" s="23">
        <f>COUNTIF('Prohibited Activities'!E5:E59,"High")</f>
        <v/>
      </c>
      <c r="C22" s="6" t="n"/>
      <c r="D22" s="6" t="n"/>
      <c r="E22" s="6" t="n"/>
      <c r="F22" s="6" t="n"/>
      <c r="G22" s="6" t="n"/>
    </row>
    <row r="23">
      <c r="A23" s="22" t="inlineStr">
        <is>
          <t>Prohibitions Allowing Exceptions</t>
        </is>
      </c>
      <c r="B23" s="23">
        <f>COUNTIF('Prohibited Activities'!H5:H59,"Yes")</f>
        <v/>
      </c>
      <c r="C23" s="6" t="n"/>
      <c r="D23" s="6" t="n"/>
      <c r="E23" s="6" t="n"/>
      <c r="F23" s="6" t="n"/>
      <c r="G23" s="6" t="n"/>
    </row>
    <row r="24">
      <c r="A24" s="22" t="inlineStr">
        <is>
          <t>Total Handling Requirements Defined</t>
        </is>
      </c>
      <c r="B24" s="23">
        <f>COUNTA('Handling Requirements'!A5:A54)</f>
        <v/>
      </c>
      <c r="C24" s="6" t="n"/>
      <c r="D24" s="6" t="n"/>
      <c r="E24" s="6" t="n"/>
      <c r="F24" s="6" t="n"/>
      <c r="G24" s="6" t="n"/>
    </row>
    <row r="25">
      <c r="A25" s="22" t="inlineStr">
        <is>
          <t>Requirements for Restricted Data</t>
        </is>
      </c>
      <c r="B25" s="23">
        <f>COUNTIF('Handling Requirements'!C5:C54,"Restricted")</f>
        <v/>
      </c>
      <c r="C25" s="6" t="n"/>
      <c r="D25" s="6" t="n"/>
      <c r="E25" s="6" t="n"/>
      <c r="F25" s="6" t="n"/>
      <c r="G25" s="6" t="n"/>
    </row>
    <row r="26">
      <c r="A26" s="22" t="inlineStr">
        <is>
          <t>Requirements with Encryption Mandated</t>
        </is>
      </c>
      <c r="B26" s="23">
        <f>COUNTIF('Handling Requirements'!I5:I54,"Yes")</f>
        <v/>
      </c>
      <c r="C26" s="6" t="n"/>
      <c r="D26" s="6" t="n"/>
      <c r="E26" s="6" t="n"/>
      <c r="F26" s="6" t="n"/>
      <c r="G26" s="6" t="n"/>
    </row>
    <row r="27">
      <c r="A27" s="22" t="inlineStr">
        <is>
          <t>Requirements with Labelling Required</t>
        </is>
      </c>
      <c r="B27" s="23">
        <f>COUNTIF('Handling Requirements'!H5:H54,"Yes")</f>
        <v/>
      </c>
      <c r="C27" s="6" t="n"/>
      <c r="D27" s="6" t="n"/>
      <c r="E27" s="6" t="n"/>
      <c r="F27" s="6" t="n"/>
      <c r="G27" s="6" t="n"/>
    </row>
    <row r="28">
      <c r="A28" s="6" t="n"/>
      <c r="B28" s="6" t="n"/>
      <c r="C28" s="6" t="n"/>
      <c r="D28" s="6" t="n"/>
      <c r="E28" s="6" t="n"/>
      <c r="F28" s="6" t="n"/>
      <c r="G28" s="6" t="n"/>
    </row>
    <row r="29">
      <c r="A29" s="6" t="n"/>
      <c r="B29" s="6" t="n"/>
      <c r="C29" s="6" t="n"/>
      <c r="D29" s="6" t="n"/>
      <c r="E29" s="6" t="n"/>
      <c r="F29" s="6" t="n"/>
      <c r="G29" s="6" t="n"/>
    </row>
    <row r="31" ht="20" customHeight="1">
      <c r="A31" s="28" t="inlineStr">
        <is>
          <t>TABLE 3: CRITICAL FINDINGS REQUIRING IMMEDIATE ATTENTION</t>
        </is>
      </c>
    </row>
    <row r="32">
      <c r="A32" s="26" t="inlineStr">
        <is>
          <t>Category</t>
        </is>
      </c>
      <c r="B32" s="26" t="inlineStr">
        <is>
          <t>Finding</t>
        </is>
      </c>
      <c r="C32" s="26" t="inlineStr">
        <is>
          <t>Count</t>
        </is>
      </c>
      <c r="D32" s="26" t="inlineStr">
        <is>
          <t>Severity</t>
        </is>
      </c>
      <c r="E32" s="26" t="inlineStr">
        <is>
          <t>Action Required</t>
        </is>
      </c>
      <c r="F32" s="26" t="n"/>
      <c r="G32" s="26" t="n"/>
    </row>
    <row r="33">
      <c r="A33" s="29" t="inlineStr">
        <is>
          <t>Prohibited Activities</t>
        </is>
      </c>
      <c r="B33" s="29" t="inlineStr">
        <is>
          <t>Critical-risk prohibited activities</t>
        </is>
      </c>
      <c r="C33" s="30">
        <f>COUNTIF('Prohibited Activities'!E5:E59,"Critical")</f>
        <v/>
      </c>
      <c r="D33" s="29" t="inlineStr">
        <is>
          <t>Critical</t>
        </is>
      </c>
      <c r="E33" s="29" t="inlineStr">
        <is>
          <t>Verify enforcement</t>
        </is>
      </c>
      <c r="F33" s="29" t="n"/>
      <c r="G33" s="29" t="n"/>
    </row>
    <row r="34">
      <c r="A34" s="29" t="inlineStr">
        <is>
          <t>Prohibited Activities</t>
        </is>
      </c>
      <c r="B34" s="29" t="inlineStr">
        <is>
          <t>High-risk prohibited activities</t>
        </is>
      </c>
      <c r="C34" s="30">
        <f>COUNTIF('Prohibited Activities'!E5:E59,"High")</f>
        <v/>
      </c>
      <c r="D34" s="29" t="inlineStr">
        <is>
          <t>High</t>
        </is>
      </c>
      <c r="E34" s="29" t="inlineStr">
        <is>
          <t>Add detection controls</t>
        </is>
      </c>
      <c r="F34" s="29" t="n"/>
      <c r="G34" s="29" t="n"/>
    </row>
    <row r="35">
      <c r="A35" s="29" t="inlineStr">
        <is>
          <t>Prohibited Activities</t>
        </is>
      </c>
      <c r="B35" s="29" t="inlineStr">
        <is>
          <t>Prohibitions allowing exceptions (review needed)</t>
        </is>
      </c>
      <c r="C35" s="30">
        <f>COUNTIF('Prohibited Activities'!H5:H59,"Yes")</f>
        <v/>
      </c>
      <c r="D35" s="29" t="inlineStr">
        <is>
          <t>High</t>
        </is>
      </c>
      <c r="E35" s="29" t="inlineStr">
        <is>
          <t>Review exception process</t>
        </is>
      </c>
      <c r="F35" s="29" t="n"/>
      <c r="G35" s="29" t="n"/>
    </row>
    <row r="36">
      <c r="A36" s="29" t="inlineStr">
        <is>
          <t>Usage Rules</t>
        </is>
      </c>
      <c r="B36" s="29" t="inlineStr">
        <is>
          <t>Rules without monitoring controls defined</t>
        </is>
      </c>
      <c r="C36" s="30">
        <f>COUNTIF('Usage Rules'!G5:G59,"No")</f>
        <v/>
      </c>
      <c r="D36" s="29" t="inlineStr">
        <is>
          <t>High</t>
        </is>
      </c>
      <c r="E36" s="29" t="inlineStr">
        <is>
          <t>Add monitoring</t>
        </is>
      </c>
      <c r="F36" s="29" t="n"/>
      <c r="G36" s="29" t="n"/>
    </row>
    <row r="37">
      <c r="A37" s="29" t="inlineStr">
        <is>
          <t>Handling Requirements</t>
        </is>
      </c>
      <c r="B37" s="29" t="inlineStr">
        <is>
          <t>Restricted data assets requiring encryption</t>
        </is>
      </c>
      <c r="C37" s="30">
        <f>COUNTIF('Handling Requirements'!I5:I54,"Yes")</f>
        <v/>
      </c>
      <c r="D37" s="29" t="inlineStr">
        <is>
          <t>Medium</t>
        </is>
      </c>
      <c r="E37" s="29" t="inlineStr">
        <is>
          <t>Verify encryption</t>
        </is>
      </c>
      <c r="F37" s="29" t="n"/>
      <c r="G37" s="29" t="n"/>
    </row>
    <row r="38">
      <c r="A38" s="29" t="inlineStr">
        <is>
          <t>Handling Requirements</t>
        </is>
      </c>
      <c r="B38" s="29" t="inlineStr">
        <is>
          <t>Assets requiring labelling (verify compliance)</t>
        </is>
      </c>
      <c r="C38" s="30">
        <f>COUNTIF('Handling Requirements'!H5:H54,"Yes")</f>
        <v/>
      </c>
      <c r="D38" s="29" t="inlineStr">
        <is>
          <t>Medium</t>
        </is>
      </c>
      <c r="E38" s="29" t="inlineStr">
        <is>
          <t>Confirm labels applied</t>
        </is>
      </c>
      <c r="F38" s="29" t="n"/>
      <c r="G38" s="29" t="n"/>
    </row>
    <row r="39">
      <c r="A39" s="31" t="n"/>
      <c r="B39" s="31" t="n"/>
      <c r="C39" s="31" t="n"/>
      <c r="D39" s="31" t="n"/>
      <c r="E39" s="31" t="n"/>
      <c r="F39" s="31" t="n"/>
      <c r="G39" s="31" t="n"/>
    </row>
    <row r="40">
      <c r="A40" s="31" t="n"/>
      <c r="B40" s="31" t="n"/>
      <c r="C40" s="31" t="n"/>
      <c r="D40" s="31" t="n"/>
      <c r="E40" s="31" t="n"/>
      <c r="F40" s="31" t="n"/>
      <c r="G40" s="31" t="n"/>
    </row>
  </sheetData>
  <mergeCells count="5">
    <mergeCell ref="A1:G1"/>
    <mergeCell ref="A31:G31"/>
    <mergeCell ref="A4:G4"/>
    <mergeCell ref="A2:G2"/>
    <mergeCell ref="A11:G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c r="B1" s="6" t="n"/>
      <c r="C1" s="6" t="n"/>
      <c r="D1" s="6" t="n"/>
      <c r="E1" s="6" t="n"/>
    </row>
    <row r="2">
      <c r="A2" s="33" t="inlineStr">
        <is>
          <t>ISO/IEC 27001:2022 — Control A.5.10: Acceptable Use of Information and Other Associated Assets</t>
        </is>
      </c>
      <c r="B2" s="6" t="n"/>
      <c r="C2" s="6" t="n"/>
      <c r="D2" s="6" t="n"/>
      <c r="E2" s="6" t="n"/>
    </row>
    <row r="3">
      <c r="A3" s="34" t="inlineStr">
        <is>
          <t>ASSESSMENT SUMMARY</t>
        </is>
      </c>
      <c r="B3" s="6" t="n"/>
      <c r="C3" s="6" t="n"/>
      <c r="D3" s="6" t="n"/>
      <c r="E3" s="6" t="n"/>
    </row>
    <row r="4">
      <c r="A4" s="3" t="inlineStr">
        <is>
          <t>Document:</t>
        </is>
      </c>
      <c r="B4" s="6" t="inlineStr">
        <is>
          <t>ISMS-IMP-A.5.10-11.S2 - Usage Rules Inventory</t>
        </is>
      </c>
      <c r="C4" s="6" t="n"/>
      <c r="D4" s="6" t="n"/>
      <c r="E4" s="6" t="n"/>
    </row>
    <row r="5">
      <c r="A5" s="3" t="inlineStr">
        <is>
          <t>Assessment Period:</t>
        </is>
      </c>
      <c r="B5" s="31" t="inlineStr"/>
      <c r="C5" s="6" t="n"/>
      <c r="D5" s="6" t="n"/>
      <c r="E5" s="6" t="n"/>
    </row>
    <row r="6">
      <c r="A6" s="3" t="inlineStr">
        <is>
          <t>Overall Compliance Rating:</t>
        </is>
      </c>
      <c r="B6" s="35">
        <f>IFERROR(AVERAGE('Summary Dashboard'!G6:G8),"")</f>
        <v/>
      </c>
      <c r="C6" s="6" t="n"/>
      <c r="D6" s="6" t="n"/>
      <c r="E6" s="6" t="n"/>
    </row>
    <row r="7">
      <c r="A7" s="3" t="inlineStr">
        <is>
          <t>Assessment Status:</t>
        </is>
      </c>
      <c r="B7" s="31" t="inlineStr"/>
      <c r="C7" s="6" t="n"/>
      <c r="D7" s="6" t="n"/>
      <c r="E7" s="6" t="n"/>
    </row>
    <row r="8">
      <c r="A8" s="3" t="inlineStr">
        <is>
          <t>Assessed By:</t>
        </is>
      </c>
      <c r="B8" s="31" t="inlineStr"/>
      <c r="C8" s="6" t="n"/>
      <c r="D8" s="6" t="n"/>
      <c r="E8" s="6" t="n"/>
    </row>
    <row r="11">
      <c r="A11" s="34" t="inlineStr">
        <is>
          <t>COMPLETED BY (ASSESSOR)</t>
        </is>
      </c>
      <c r="B11" s="6" t="n"/>
      <c r="C11" s="6" t="n"/>
      <c r="D11" s="6" t="n"/>
      <c r="E11" s="6" t="n"/>
    </row>
    <row r="12">
      <c r="A12" s="3" t="inlineStr">
        <is>
          <t>Name:</t>
        </is>
      </c>
      <c r="B12" s="31" t="n"/>
      <c r="C12" s="6" t="n"/>
      <c r="D12" s="6" t="n"/>
      <c r="E12" s="6" t="n"/>
    </row>
    <row r="13">
      <c r="A13" s="3" t="inlineStr">
        <is>
          <t>Title:</t>
        </is>
      </c>
      <c r="B13" s="31" t="n"/>
      <c r="C13" s="6" t="n"/>
      <c r="D13" s="6" t="n"/>
      <c r="E13" s="6" t="n"/>
    </row>
    <row r="14">
      <c r="A14" s="3" t="inlineStr">
        <is>
          <t>Date:</t>
        </is>
      </c>
      <c r="B14" s="31" t="n"/>
      <c r="C14" s="6" t="n"/>
      <c r="D14" s="6" t="n"/>
      <c r="E14" s="6" t="n"/>
    </row>
    <row r="15">
      <c r="A15" s="3" t="inlineStr">
        <is>
          <t>Signature:</t>
        </is>
      </c>
      <c r="B15" s="31" t="n"/>
      <c r="C15" s="6" t="n"/>
      <c r="D15" s="6" t="n"/>
      <c r="E15" s="6" t="n"/>
    </row>
    <row r="16">
      <c r="A16" s="3" t="inlineStr">
        <is>
          <t>Comments:</t>
        </is>
      </c>
      <c r="B16" s="31" t="n"/>
      <c r="C16" s="6" t="n"/>
      <c r="D16" s="6" t="n"/>
      <c r="E16" s="6" t="n"/>
    </row>
    <row r="18">
      <c r="A18" s="34" t="inlineStr">
        <is>
          <t>REVIEWED BY (INFORMATION SECURITY OFFICER)</t>
        </is>
      </c>
      <c r="B18" s="6" t="n"/>
      <c r="C18" s="6" t="n"/>
      <c r="D18" s="6" t="n"/>
      <c r="E18" s="6" t="n"/>
    </row>
    <row r="19">
      <c r="A19" s="3" t="inlineStr">
        <is>
          <t>Name:</t>
        </is>
      </c>
      <c r="B19" s="31" t="n"/>
      <c r="C19" s="6" t="n"/>
      <c r="D19" s="6" t="n"/>
      <c r="E19" s="6" t="n"/>
    </row>
    <row r="20">
      <c r="A20" s="3" t="inlineStr">
        <is>
          <t>Title:</t>
        </is>
      </c>
      <c r="B20" s="31" t="n"/>
      <c r="C20" s="6" t="n"/>
      <c r="D20" s="6" t="n"/>
      <c r="E20" s="6" t="n"/>
    </row>
    <row r="21">
      <c r="A21" s="3" t="inlineStr">
        <is>
          <t>Date:</t>
        </is>
      </c>
      <c r="B21" s="31" t="n"/>
      <c r="C21" s="6" t="n"/>
      <c r="D21" s="6" t="n"/>
      <c r="E21" s="6" t="n"/>
    </row>
    <row r="22">
      <c r="A22" s="3" t="inlineStr">
        <is>
          <t>Signature:</t>
        </is>
      </c>
      <c r="B22" s="31" t="n"/>
      <c r="C22" s="6" t="n"/>
      <c r="D22" s="6" t="n"/>
      <c r="E22" s="6" t="n"/>
    </row>
    <row r="23">
      <c r="A23" s="3" t="inlineStr">
        <is>
          <t>Comments:</t>
        </is>
      </c>
      <c r="B23" s="31" t="n"/>
      <c r="C23" s="6" t="n"/>
      <c r="D23" s="6" t="n"/>
      <c r="E23" s="6" t="n"/>
    </row>
    <row r="25">
      <c r="A25" s="36" t="inlineStr">
        <is>
          <t>APPROVED BY (CISO)</t>
        </is>
      </c>
      <c r="B25" s="6" t="n"/>
      <c r="C25" s="6" t="n"/>
      <c r="D25" s="6" t="n"/>
      <c r="E25" s="6" t="n"/>
    </row>
    <row r="26">
      <c r="A26" s="3" t="inlineStr">
        <is>
          <t>Name:</t>
        </is>
      </c>
      <c r="B26" s="31" t="n"/>
      <c r="C26" s="6" t="n"/>
      <c r="D26" s="6" t="n"/>
      <c r="E26" s="6" t="n"/>
    </row>
    <row r="27">
      <c r="A27" s="3" t="inlineStr">
        <is>
          <t>Title:</t>
        </is>
      </c>
      <c r="B27" s="31" t="n"/>
      <c r="C27" s="6" t="n"/>
      <c r="D27" s="6" t="n"/>
      <c r="E27" s="6" t="n"/>
    </row>
    <row r="28">
      <c r="A28" s="3" t="inlineStr">
        <is>
          <t>Date:</t>
        </is>
      </c>
      <c r="B28" s="31" t="n"/>
      <c r="C28" s="6" t="n"/>
      <c r="D28" s="6" t="n"/>
      <c r="E28" s="6" t="n"/>
    </row>
    <row r="29">
      <c r="A29" s="3" t="inlineStr">
        <is>
          <t>Signature:</t>
        </is>
      </c>
      <c r="B29" s="31" t="n"/>
      <c r="C29" s="6" t="n"/>
      <c r="D29" s="6" t="n"/>
      <c r="E29" s="6" t="n"/>
    </row>
    <row r="30">
      <c r="A30" s="3" t="inlineStr">
        <is>
          <t>Comments:</t>
        </is>
      </c>
      <c r="B30" s="31" t="n"/>
      <c r="C30" s="6" t="n"/>
      <c r="D30" s="6" t="n"/>
      <c r="E30" s="6" t="n"/>
    </row>
    <row r="32">
      <c r="A32" s="3" t="inlineStr">
        <is>
          <t>FINAL DECISION:</t>
        </is>
      </c>
      <c r="B32" s="31" t="n"/>
      <c r="C32" s="6" t="n"/>
      <c r="D32" s="6" t="n"/>
      <c r="E32" s="6" t="n"/>
    </row>
    <row r="35">
      <c r="A35" s="34" t="inlineStr">
        <is>
          <t>NEXT REVIEW DETAILS</t>
        </is>
      </c>
      <c r="B35" s="6" t="n"/>
      <c r="C35" s="6" t="n"/>
      <c r="D35" s="6" t="n"/>
      <c r="E35" s="6" t="n"/>
    </row>
    <row r="36">
      <c r="A36" s="3" t="inlineStr">
        <is>
          <t>Next Review Date:</t>
        </is>
      </c>
      <c r="B36" s="31" t="n"/>
      <c r="C36" s="6" t="n"/>
      <c r="D36" s="6" t="n"/>
      <c r="E36" s="6" t="n"/>
    </row>
    <row r="37">
      <c r="A37" s="3" t="inlineStr">
        <is>
          <t>Review Responsible:</t>
        </is>
      </c>
      <c r="B37" s="31" t="n"/>
      <c r="C37" s="6" t="n"/>
      <c r="D37" s="6" t="n"/>
      <c r="E37" s="6" t="n"/>
    </row>
    <row r="38">
      <c r="A38" s="3" t="inlineStr">
        <is>
          <t>Special Considerations:</t>
        </is>
      </c>
      <c r="B38" s="3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ISMS-IMP-A.5.10-11.S2 — Usage Rules Inventory</dc:title>
  <dc:description xmlns:dc="http://purl.org/dc/elements/1.1/">ISMS Implementation Workbook — ISMS-IMP-A.5.10-11.S2</dc:description>
  <dc:subject xmlns:dc="http://purl.org/dc/elements/1.1/">ISO/IEC 27001:2022 — Control A.5.10: Acceptable Use of Information and Other Associated Assets</dc:subject>
  <dcterms:created xmlns:dcterms="http://purl.org/dc/terms/" xmlns:xsi="http://www.w3.org/2001/XMLSchema-instance" xsi:type="dcterms:W3CDTF">2026-03-01T16:57:13Z</dcterms:created>
  <dcterms:modified xmlns:dcterms="http://purl.org/dc/terms/" xmlns:xsi="http://www.w3.org/2001/XMLSchema-instance" xsi:type="dcterms:W3CDTF">2026-03-01T16:57:13Z</dcterms:modified>
</cp:coreProperties>
</file>