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age Rules" sheetId="2" state="visible" r:id="rId2"/>
    <sheet xmlns:r="http://schemas.openxmlformats.org/officeDocument/2006/relationships" name="Permitted Activities" sheetId="3" state="visible" r:id="rId3"/>
    <sheet xmlns:r="http://schemas.openxmlformats.org/officeDocument/2006/relationships" name="Prohibited Activities" sheetId="4" state="visible" r:id="rId4"/>
    <sheet xmlns:r="http://schemas.openxmlformats.org/officeDocument/2006/relationships" name="Handling Requirem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ISMS-IMP-A.5.10-11.S2  -  Usage Rules Inventory
ISO/IEC 27001:2022 — Control A.5.10: Acceptable Use of Information and Other Associated Assets</t>
        </is>
      </c>
    </row>
    <row r="3">
      <c r="A3" s="2" t="inlineStr">
        <is>
          <t>Document Information</t>
        </is>
      </c>
    </row>
    <row r="4">
      <c r="A4" s="3" t="inlineStr">
        <is>
          <t>Document ID</t>
        </is>
      </c>
      <c r="B4" t="inlineStr">
        <is>
          <t>ISMS-IMP-A.5.10-11.S2</t>
        </is>
      </c>
    </row>
    <row r="5">
      <c r="A5" s="3" t="inlineStr">
        <is>
          <t>Workbook Title</t>
        </is>
      </c>
      <c r="B5" t="inlineStr">
        <is>
          <t>Usage Rules Inventory</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Usage Rules — document specific rules for each asset type (devices, systems, data).</t>
        </is>
      </c>
    </row>
    <row r="14">
      <c r="A14" t="inlineStr">
        <is>
          <t>2. Complete Permitted Activities — list explicitly permitted uses per asset category.</t>
        </is>
      </c>
    </row>
    <row r="15">
      <c r="A15" t="inlineStr">
        <is>
          <t>3. Complete Prohibited Activities — list explicitly prohibited uses with consequence framework.</t>
        </is>
      </c>
    </row>
    <row r="16">
      <c r="A16" t="inlineStr">
        <is>
          <t>4. Complete Handling Requirements — document classification-based handling procedures.</t>
        </is>
      </c>
    </row>
    <row r="17">
      <c r="A17" t="inlineStr">
        <is>
          <t>5. Maintain Evidence Records with policy documentation and acknowledgement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50" customWidth="1" min="3" max="3"/>
    <col width="25" customWidth="1" min="4" max="4"/>
    <col width="22" customWidth="1" min="5" max="5"/>
    <col width="22" customWidth="1" min="6" max="6"/>
    <col width="18" customWidth="1" min="7" max="7"/>
    <col width="18" customWidth="1" min="8" max="8"/>
    <col width="20" customWidth="1" min="9" max="9"/>
    <col width="14" customWidth="1" min="10" max="10"/>
    <col width="22" customWidth="1" min="11" max="11"/>
    <col width="30" customWidth="1" min="12" max="12"/>
  </cols>
  <sheetData>
    <row r="1" ht="35" customHeight="1">
      <c r="A1" s="11" t="inlineStr">
        <is>
          <t>USAGE RULES INVENTORY</t>
        </is>
      </c>
    </row>
    <row r="2">
      <c r="A2" s="12" t="inlineStr">
        <is>
          <t>Document acceptable use rules for each asset category per ISO 27001:2022 A.5.10</t>
        </is>
      </c>
    </row>
    <row r="3">
      <c r="A3" s="13" t="inlineStr">
        <is>
          <t>Rule_ID</t>
        </is>
      </c>
      <c r="B3" s="13" t="inlineStr">
        <is>
          <t>Asset_Category</t>
        </is>
      </c>
      <c r="C3" s="13" t="inlineStr">
        <is>
          <t>Rule_Description</t>
        </is>
      </c>
      <c r="D3" s="13" t="inlineStr">
        <is>
          <t>Classification</t>
        </is>
      </c>
      <c r="E3" s="13" t="inlineStr">
        <is>
          <t>Applies_To</t>
        </is>
      </c>
      <c r="F3" s="13" t="inlineStr">
        <is>
          <t>Enforcement_Method</t>
        </is>
      </c>
      <c r="G3" s="13" t="inlineStr">
        <is>
          <t>Monitoring_Required</t>
        </is>
      </c>
      <c r="H3" s="13" t="inlineStr">
        <is>
          <t>Exception_Process</t>
        </is>
      </c>
      <c r="I3" s="13" t="inlineStr">
        <is>
          <t>Policy_Reference</t>
        </is>
      </c>
      <c r="J3" s="13" t="inlineStr">
        <is>
          <t>Last_Updated</t>
        </is>
      </c>
      <c r="K3" s="13" t="inlineStr">
        <is>
          <t>Owner</t>
        </is>
      </c>
      <c r="L3" s="13" t="inlineStr">
        <is>
          <t>Notes</t>
        </is>
      </c>
    </row>
    <row r="4">
      <c r="A4" s="14" t="inlineStr">
        <is>
          <t>UR-001</t>
        </is>
      </c>
      <c r="B4" s="14" t="inlineStr">
        <is>
          <t>Email</t>
        </is>
      </c>
      <c r="C4" s="14" t="inlineStr">
        <is>
          <t>Business email for work communications only; personal use limited to 10 min/day</t>
        </is>
      </c>
      <c r="D4" s="14" t="inlineStr">
        <is>
          <t>Permitted with Conditions</t>
        </is>
      </c>
      <c r="E4" s="14" t="inlineStr">
        <is>
          <t>All Employees</t>
        </is>
      </c>
      <c r="F4" s="14" t="inlineStr">
        <is>
          <t>Email gateway monitoring</t>
        </is>
      </c>
      <c r="G4" s="14" t="inlineStr">
        <is>
          <t>Yes</t>
        </is>
      </c>
      <c r="H4" s="14" t="inlineStr">
        <is>
          <t>Formal exception request to IT Security</t>
        </is>
      </c>
      <c r="I4" s="14" t="inlineStr">
        <is>
          <t>AUP Section 4.1</t>
        </is>
      </c>
      <c r="J4" s="14" t="inlineStr">
        <is>
          <t>2026-01-15</t>
        </is>
      </c>
      <c r="K4" s="14" t="inlineStr">
        <is>
          <t>IT Security Manager</t>
        </is>
      </c>
      <c r="L4" s="14" t="inlineStr">
        <is>
          <t>Reviewed annually</t>
        </is>
      </c>
    </row>
    <row r="5">
      <c r="A5" s="15" t="inlineStr">
        <is>
          <t>UR-001</t>
        </is>
      </c>
      <c r="B5" s="15" t="inlineStr">
        <is>
          <t>Email</t>
        </is>
      </c>
      <c r="C5" s="15" t="inlineStr">
        <is>
          <t>Business email for work communications only</t>
        </is>
      </c>
      <c r="D5" s="15" t="inlineStr">
        <is>
          <t>Permitted with Conditions</t>
        </is>
      </c>
      <c r="E5" s="16" t="n"/>
      <c r="F5" s="16" t="n"/>
      <c r="G5" s="16" t="n"/>
      <c r="H5" s="16" t="n"/>
      <c r="I5" s="16" t="n"/>
      <c r="J5" s="16" t="n"/>
      <c r="K5" s="16" t="n"/>
      <c r="L5" s="16" t="n"/>
    </row>
    <row r="6">
      <c r="A6" s="15" t="inlineStr">
        <is>
          <t>UR-002</t>
        </is>
      </c>
      <c r="B6" s="15" t="inlineStr">
        <is>
          <t>Email</t>
        </is>
      </c>
      <c r="C6" s="15" t="inlineStr">
        <is>
          <t>No forwarding of confidential data to personal accounts</t>
        </is>
      </c>
      <c r="D6" s="15" t="inlineStr">
        <is>
          <t>Prohibited</t>
        </is>
      </c>
      <c r="E6" s="16" t="n"/>
      <c r="F6" s="16" t="n"/>
      <c r="G6" s="16" t="n"/>
      <c r="H6" s="16" t="n"/>
      <c r="I6" s="16" t="n"/>
      <c r="J6" s="16" t="n"/>
      <c r="K6" s="16" t="n"/>
      <c r="L6" s="16" t="n"/>
    </row>
    <row r="7">
      <c r="A7" s="15" t="inlineStr">
        <is>
          <t>UR-003</t>
        </is>
      </c>
      <c r="B7" s="15" t="inlineStr">
        <is>
          <t>Internet</t>
        </is>
      </c>
      <c r="C7" s="15" t="inlineStr">
        <is>
          <t>Web browsing for business research permitted</t>
        </is>
      </c>
      <c r="D7" s="15" t="inlineStr">
        <is>
          <t>Permitted</t>
        </is>
      </c>
      <c r="E7" s="16" t="n"/>
      <c r="F7" s="16" t="n"/>
      <c r="G7" s="16" t="n"/>
      <c r="H7" s="16" t="n"/>
      <c r="I7" s="16" t="n"/>
      <c r="J7" s="16" t="n"/>
      <c r="K7" s="16" t="n"/>
      <c r="L7" s="16" t="n"/>
    </row>
    <row r="8">
      <c r="A8" s="15" t="inlineStr">
        <is>
          <t>UR-004</t>
        </is>
      </c>
      <c r="B8" s="15" t="inlineStr">
        <is>
          <t>Internet</t>
        </is>
      </c>
      <c r="C8" s="15" t="inlineStr">
        <is>
          <t>No access to prohibited website categories</t>
        </is>
      </c>
      <c r="D8" s="15" t="inlineStr">
        <is>
          <t>Prohibited</t>
        </is>
      </c>
      <c r="E8" s="16" t="n"/>
      <c r="F8" s="16" t="n"/>
      <c r="G8" s="16" t="n"/>
      <c r="H8" s="16" t="n"/>
      <c r="I8" s="16" t="n"/>
      <c r="J8" s="16" t="n"/>
      <c r="K8" s="16" t="n"/>
      <c r="L8" s="16" t="n"/>
    </row>
    <row r="9">
      <c r="A9" s="15" t="inlineStr">
        <is>
          <t>UR-005</t>
        </is>
      </c>
      <c r="B9" s="15" t="inlineStr">
        <is>
          <t>Software</t>
        </is>
      </c>
      <c r="C9" s="15" t="inlineStr">
        <is>
          <t>Only approved software may be installed</t>
        </is>
      </c>
      <c r="D9" s="15" t="inlineStr">
        <is>
          <t>Permitted with Conditions</t>
        </is>
      </c>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row r="56">
      <c r="A56" s="16" t="n"/>
      <c r="B56" s="16" t="n"/>
      <c r="C56" s="16" t="n"/>
      <c r="D56" s="16" t="n"/>
      <c r="E56" s="16" t="n"/>
      <c r="F56" s="16" t="n"/>
      <c r="G56" s="16" t="n"/>
      <c r="H56" s="16" t="n"/>
      <c r="I56" s="16" t="n"/>
      <c r="J56" s="16" t="n"/>
      <c r="K56" s="16" t="n"/>
      <c r="L56" s="16" t="n"/>
    </row>
    <row r="57">
      <c r="A57" s="16" t="n"/>
      <c r="B57" s="16" t="n"/>
      <c r="C57" s="16" t="n"/>
      <c r="D57" s="16" t="n"/>
      <c r="E57" s="16" t="n"/>
      <c r="F57" s="16" t="n"/>
      <c r="G57" s="16" t="n"/>
      <c r="H57" s="16" t="n"/>
      <c r="I57" s="16" t="n"/>
      <c r="J57" s="16" t="n"/>
      <c r="K57" s="16" t="n"/>
      <c r="L57" s="16" t="n"/>
    </row>
    <row r="58">
      <c r="A58" s="16" t="n"/>
      <c r="B58" s="16" t="n"/>
      <c r="C58" s="16" t="n"/>
      <c r="D58" s="16" t="n"/>
      <c r="E58" s="16" t="n"/>
      <c r="F58" s="16" t="n"/>
      <c r="G58" s="16" t="n"/>
      <c r="H58" s="16" t="n"/>
      <c r="I58" s="16" t="n"/>
      <c r="J58" s="16" t="n"/>
      <c r="K58" s="16" t="n"/>
      <c r="L58" s="16" t="n"/>
    </row>
    <row r="59">
      <c r="A59" s="16" t="n"/>
      <c r="B59" s="16" t="n"/>
      <c r="C59" s="16" t="n"/>
      <c r="D59" s="16" t="n"/>
      <c r="E59" s="16" t="n"/>
      <c r="F59" s="16" t="n"/>
      <c r="G59" s="16" t="n"/>
      <c r="H59" s="16" t="n"/>
      <c r="I59" s="16" t="n"/>
      <c r="J59" s="16" t="n"/>
      <c r="K59" s="16" t="n"/>
      <c r="L59" s="16" t="n"/>
    </row>
  </sheetData>
  <mergeCells count="2">
    <mergeCell ref="A2:L2"/>
    <mergeCell ref="A1:L1"/>
  </mergeCells>
  <dataValidations count="2">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"Permitted,Permitted with Conditions,Prohibited,Not Applicable"</formula1>
    </dataValidation>
    <dataValidation sqref="G5 G6 G7 G8 G9 G10 G11 G12 G13 G14 G15 G16 G17 G18 G19 G20 G21 G22 G23 G24 G25 G26 G27 G28 G29 G30 G31 G32 G33 G34 G35 G36 G37 G38 G39 G40 G41 G42 G43 G44 G45 G46 G47 G48 G49 G50 G51 G52 G53 G54 G55 G56 G57 G58 G59"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6" customWidth="1" min="5" max="5"/>
    <col width="22" customWidth="1" min="6" max="6"/>
    <col width="20" customWidth="1" min="7" max="7"/>
    <col width="22" customWidth="1" min="8" max="8"/>
    <col width="20" customWidth="1" min="9" max="9"/>
    <col width="30" customWidth="1" min="10" max="10"/>
  </cols>
  <sheetData>
    <row r="1" ht="35" customHeight="1">
      <c r="A1" s="11" t="inlineStr">
        <is>
          <t>PERMITTED ACTIVITIES</t>
        </is>
      </c>
    </row>
    <row r="2">
      <c r="A2" s="12" t="inlineStr">
        <is>
          <t>Document all permitted activities with conditions and approval requirements</t>
        </is>
      </c>
    </row>
    <row r="3">
      <c r="A3" s="13" t="inlineStr">
        <is>
          <t>Activity_ID</t>
        </is>
      </c>
      <c r="B3" s="13" t="inlineStr">
        <is>
          <t>Asset_Category</t>
        </is>
      </c>
      <c r="C3" s="13" t="inlineStr">
        <is>
          <t>Permitted_Activity</t>
        </is>
      </c>
      <c r="D3" s="13" t="inlineStr">
        <is>
          <t>Conditions</t>
        </is>
      </c>
      <c r="E3" s="13" t="inlineStr">
        <is>
          <t>Approval_Required</t>
        </is>
      </c>
      <c r="F3" s="13" t="inlineStr">
        <is>
          <t>Approver_Role</t>
        </is>
      </c>
      <c r="G3" s="13" t="inlineStr">
        <is>
          <t>Time_Restrictions</t>
        </is>
      </c>
      <c r="H3" s="13" t="inlineStr">
        <is>
          <t>Location_Restrictions</t>
        </is>
      </c>
      <c r="I3" s="13" t="inlineStr">
        <is>
          <t>Documentation_Required</t>
        </is>
      </c>
      <c r="J3" s="13" t="inlineStr">
        <is>
          <t>Notes</t>
        </is>
      </c>
    </row>
    <row r="4">
      <c r="A4" s="14" t="inlineStr">
        <is>
          <t>PA-001</t>
        </is>
      </c>
      <c r="B4" s="14" t="inlineStr">
        <is>
          <t>Internet</t>
        </is>
      </c>
      <c r="C4" s="14" t="inlineStr">
        <is>
          <t>Access approved cloud SaaS tools for business purposes</t>
        </is>
      </c>
      <c r="D4" s="14" t="inlineStr">
        <is>
          <t>Must use corporate account; no personal cloud storage</t>
        </is>
      </c>
      <c r="E4" s="14" t="inlineStr">
        <is>
          <t>No</t>
        </is>
      </c>
      <c r="F4" s="14" t="inlineStr">
        <is>
          <t>N/A</t>
        </is>
      </c>
      <c r="G4" s="14" t="inlineStr">
        <is>
          <t>Business hours only</t>
        </is>
      </c>
      <c r="H4" s="14" t="inlineStr">
        <is>
          <t>Office and approved remote locations</t>
        </is>
      </c>
      <c r="I4" s="14" t="inlineStr">
        <is>
          <t>No</t>
        </is>
      </c>
      <c r="J4" s="14" t="inlineStr">
        <is>
          <t>Covered by AUP Section 4.2</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1">
    <dataValidation sqref="E5 E6 E7 E8 E9 E10 E11 E12 E13 E14 E15 E16 E17 E18 E19 E20 E21 E22 E23 E24 E25 E26 E27 E28 E29 E30 E31 E32 E33 E34 E35 E36 E37 E38 E39 E40 E41 E42 E43 E44 E45 E46 E47 E48 E49 E50 E51 E52 E53 E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14" customWidth="1" min="5" max="5"/>
    <col width="25" customWidth="1" min="6" max="6"/>
    <col width="25" customWidth="1" min="7" max="7"/>
    <col width="18" customWidth="1" min="8" max="8"/>
    <col width="18" customWidth="1" min="9" max="9"/>
    <col width="30" customWidth="1" min="10" max="10"/>
  </cols>
  <sheetData>
    <row r="1" ht="35" customHeight="1">
      <c r="A1" s="11" t="inlineStr">
        <is>
          <t>PROHIBITED ACTIVITIES</t>
        </is>
      </c>
    </row>
    <row r="2">
      <c r="A2" s="12" t="inlineStr">
        <is>
          <t>Document all prohibited activities with risk levels and detection methods</t>
        </is>
      </c>
    </row>
    <row r="3">
      <c r="A3" s="13" t="inlineStr">
        <is>
          <t>Prohibition_ID</t>
        </is>
      </c>
      <c r="B3" s="13" t="inlineStr">
        <is>
          <t>Asset_Category</t>
        </is>
      </c>
      <c r="C3" s="13" t="inlineStr">
        <is>
          <t>Prohibited_Activity</t>
        </is>
      </c>
      <c r="D3" s="13" t="inlineStr">
        <is>
          <t>Reason</t>
        </is>
      </c>
      <c r="E3" s="13" t="inlineStr">
        <is>
          <t>Risk_Level</t>
        </is>
      </c>
      <c r="F3" s="13" t="inlineStr">
        <is>
          <t>Detection_Method</t>
        </is>
      </c>
      <c r="G3" s="13" t="inlineStr">
        <is>
          <t>Consequence</t>
        </is>
      </c>
      <c r="H3" s="13" t="inlineStr">
        <is>
          <t>Exception_Possible</t>
        </is>
      </c>
      <c r="I3" s="13" t="inlineStr">
        <is>
          <t>Related_Control</t>
        </is>
      </c>
      <c r="J3" s="13" t="inlineStr">
        <is>
          <t>Notes</t>
        </is>
      </c>
    </row>
    <row r="4">
      <c r="A4" s="14" t="inlineStr">
        <is>
          <t>PH-001</t>
        </is>
      </c>
      <c r="B4" s="14" t="inlineStr">
        <is>
          <t>All Assets</t>
        </is>
      </c>
      <c r="C4" s="14" t="inlineStr">
        <is>
          <t>Sharing credentials with others (passwords, tokens, certificates)</t>
        </is>
      </c>
      <c r="D4" s="14" t="inlineStr">
        <is>
          <t>Account compromise and audit trail loss</t>
        </is>
      </c>
      <c r="E4" s="14" t="inlineStr">
        <is>
          <t>Critical</t>
        </is>
      </c>
      <c r="F4" s="14" t="inlineStr">
        <is>
          <t>SIEM alerts, login anomaly detection</t>
        </is>
      </c>
      <c r="G4" s="14" t="inlineStr">
        <is>
          <t>Formal warning; potential dismissal</t>
        </is>
      </c>
      <c r="H4" s="14" t="inlineStr">
        <is>
          <t>No</t>
        </is>
      </c>
      <c r="I4" s="14" t="inlineStr">
        <is>
          <t>A.5.17</t>
        </is>
      </c>
      <c r="J4" s="14" t="inlineStr">
        <is>
          <t>Zero tolerance policy</t>
        </is>
      </c>
    </row>
    <row r="5">
      <c r="A5" s="15" t="inlineStr">
        <is>
          <t>PH-001</t>
        </is>
      </c>
      <c r="B5" s="15" t="inlineStr">
        <is>
          <t>All Assets</t>
        </is>
      </c>
      <c r="C5" s="15" t="inlineStr">
        <is>
          <t>Sharing credentials with others</t>
        </is>
      </c>
      <c r="D5" s="15" t="inlineStr">
        <is>
          <t>Security breach risk</t>
        </is>
      </c>
      <c r="E5" s="15" t="inlineStr">
        <is>
          <t>Critical</t>
        </is>
      </c>
      <c r="F5" s="16" t="n"/>
      <c r="G5" s="16" t="n"/>
      <c r="H5" s="16" t="n"/>
      <c r="I5" s="16" t="n"/>
      <c r="J5" s="16" t="n"/>
    </row>
    <row r="6">
      <c r="A6" s="15" t="inlineStr">
        <is>
          <t>PH-002</t>
        </is>
      </c>
      <c r="B6" s="15" t="inlineStr">
        <is>
          <t>All Assets</t>
        </is>
      </c>
      <c r="C6" s="15" t="inlineStr">
        <is>
          <t>Disabling security controls</t>
        </is>
      </c>
      <c r="D6" s="15" t="inlineStr">
        <is>
          <t>Compliance violation</t>
        </is>
      </c>
      <c r="E6" s="15" t="inlineStr">
        <is>
          <t>Critical</t>
        </is>
      </c>
      <c r="F6" s="16" t="n"/>
      <c r="G6" s="16" t="n"/>
      <c r="H6" s="16" t="n"/>
      <c r="I6" s="16" t="n"/>
      <c r="J6" s="16" t="n"/>
    </row>
    <row r="7">
      <c r="A7" s="15" t="inlineStr">
        <is>
          <t>PH-003</t>
        </is>
      </c>
      <c r="B7" s="15" t="inlineStr">
        <is>
          <t>Email</t>
        </is>
      </c>
      <c r="C7" s="15" t="inlineStr">
        <is>
          <t>Sending unencrypted sensitive data externally</t>
        </is>
      </c>
      <c r="D7" s="15" t="inlineStr">
        <is>
          <t>Data breach risk</t>
        </is>
      </c>
      <c r="E7" s="15" t="inlineStr">
        <is>
          <t>High</t>
        </is>
      </c>
      <c r="F7" s="16" t="n"/>
      <c r="G7" s="16" t="n"/>
      <c r="H7" s="16" t="n"/>
      <c r="I7" s="16" t="n"/>
      <c r="J7" s="16" t="n"/>
    </row>
    <row r="8">
      <c r="A8" s="15" t="inlineStr">
        <is>
          <t>PH-004</t>
        </is>
      </c>
      <c r="B8" s="15" t="inlineStr">
        <is>
          <t>Software</t>
        </is>
      </c>
      <c r="C8" s="15" t="inlineStr">
        <is>
          <t>Installing unauthorised software</t>
        </is>
      </c>
      <c r="D8" s="15" t="inlineStr">
        <is>
          <t>Malware risk</t>
        </is>
      </c>
      <c r="E8" s="15" t="inlineStr">
        <is>
          <t>High</t>
        </is>
      </c>
      <c r="F8" s="16" t="n"/>
      <c r="G8" s="16" t="n"/>
      <c r="H8" s="16" t="n"/>
      <c r="I8" s="16" t="n"/>
      <c r="J8" s="16" t="n"/>
    </row>
    <row r="9">
      <c r="A9" s="15" t="inlineStr">
        <is>
          <t>PH-005</t>
        </is>
      </c>
      <c r="B9" s="15" t="inlineStr">
        <is>
          <t>Internet</t>
        </is>
      </c>
      <c r="C9" s="15" t="inlineStr">
        <is>
          <t>Accessing illegal or inappropriate content</t>
        </is>
      </c>
      <c r="D9" s="15" t="inlineStr">
        <is>
          <t>Legal/HR risk</t>
        </is>
      </c>
      <c r="E9" s="15" t="inlineStr">
        <is>
          <t>High</t>
        </is>
      </c>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18" customWidth="1" min="3" max="3"/>
    <col width="30" customWidth="1" min="4" max="4"/>
    <col width="30" customWidth="1" min="5" max="5"/>
    <col width="30" customWidth="1" min="6" max="6"/>
    <col width="25" customWidth="1" min="7" max="7"/>
    <col width="16" customWidth="1" min="8" max="8"/>
    <col width="16" customWidth="1" min="9" max="9"/>
    <col width="18" customWidth="1" min="10" max="10"/>
    <col width="30" customWidth="1" min="11" max="11"/>
  </cols>
  <sheetData>
    <row r="1" ht="35" customHeight="1">
      <c r="A1" s="11" t="inlineStr">
        <is>
          <t>ASSET HANDLING REQUIREMENTS</t>
        </is>
      </c>
    </row>
    <row r="2">
      <c r="A2" s="12" t="inlineStr">
        <is>
          <t>Define handling requirements for each asset category by data classification</t>
        </is>
      </c>
    </row>
    <row r="3">
      <c r="A3" s="13" t="inlineStr">
        <is>
          <t>Handling_ID</t>
        </is>
      </c>
      <c r="B3" s="13" t="inlineStr">
        <is>
          <t>Asset_Category</t>
        </is>
      </c>
      <c r="C3" s="13" t="inlineStr">
        <is>
          <t>Data_Classification</t>
        </is>
      </c>
      <c r="D3" s="13" t="inlineStr">
        <is>
          <t>Storage_Requirement</t>
        </is>
      </c>
      <c r="E3" s="13" t="inlineStr">
        <is>
          <t>Transmission_Requirement</t>
        </is>
      </c>
      <c r="F3" s="13" t="inlineStr">
        <is>
          <t>Disposal_Requirement</t>
        </is>
      </c>
      <c r="G3" s="13" t="inlineStr">
        <is>
          <t>Access_Restriction</t>
        </is>
      </c>
      <c r="H3" s="13" t="inlineStr">
        <is>
          <t>Labelling_Required</t>
        </is>
      </c>
      <c r="I3" s="13" t="inlineStr">
        <is>
          <t>Encryption_Required</t>
        </is>
      </c>
      <c r="J3" s="13" t="inlineStr">
        <is>
          <t>Retention_Period</t>
        </is>
      </c>
      <c r="K3" s="13" t="inlineStr">
        <is>
          <t>Notes</t>
        </is>
      </c>
    </row>
    <row r="4">
      <c r="A4" s="14" t="inlineStr">
        <is>
          <t>HR-001</t>
        </is>
      </c>
      <c r="B4" s="14" t="inlineStr">
        <is>
          <t>Information Assets</t>
        </is>
      </c>
      <c r="C4" s="14" t="inlineStr">
        <is>
          <t>Restricted</t>
        </is>
      </c>
      <c r="D4" s="14" t="inlineStr">
        <is>
          <t>Encrypted storage on approved systems only</t>
        </is>
      </c>
      <c r="E4" s="14" t="inlineStr">
        <is>
          <t>TLS 1.2+ encryption in transit; no email</t>
        </is>
      </c>
      <c r="F4" s="14" t="inlineStr">
        <is>
          <t>Secure deletion (DoD 5220.22-M or equivalent)</t>
        </is>
      </c>
      <c r="G4" s="14" t="inlineStr">
        <is>
          <t>Need-to-know basis; CISO approval</t>
        </is>
      </c>
      <c r="H4" s="14" t="inlineStr">
        <is>
          <t>Yes</t>
        </is>
      </c>
      <c r="I4" s="14" t="inlineStr">
        <is>
          <t>Yes</t>
        </is>
      </c>
      <c r="J4" s="14" t="inlineStr">
        <is>
          <t>7 years (regulatory)</t>
        </is>
      </c>
      <c r="K4" s="14" t="inlineStr">
        <is>
          <t>PII data — GDPR/nFADP applies</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"Public,Internal,Confidential,Restricted"</formula1>
    </dataValidation>
    <dataValidation sqref="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7" t="inlineStr">
        <is>
          <t>Evidence_ID</t>
        </is>
      </c>
      <c r="B4" s="17" t="inlineStr">
        <is>
          <t>Evidence_Type</t>
        </is>
      </c>
      <c r="C4" s="17" t="inlineStr">
        <is>
          <t>Description</t>
        </is>
      </c>
      <c r="D4" s="17" t="inlineStr">
        <is>
          <t>Related_Rule</t>
        </is>
      </c>
      <c r="E4" s="17" t="inlineStr">
        <is>
          <t>Collection_Date</t>
        </is>
      </c>
      <c r="F4" s="17" t="inlineStr">
        <is>
          <t>Location</t>
        </is>
      </c>
      <c r="G4" s="17" t="inlineStr">
        <is>
          <t>Collected_By</t>
        </is>
      </c>
      <c r="H4" s="17" t="inlineStr">
        <is>
          <t>Valid_Until</t>
        </is>
      </c>
    </row>
    <row r="5">
      <c r="A5" s="14" t="inlineStr">
        <is>
          <t>EV-001</t>
        </is>
      </c>
      <c r="B5" s="14" t="inlineStr">
        <is>
          <t>Policy Document</t>
        </is>
      </c>
      <c r="C5" s="14" t="inlineStr">
        <is>
          <t>Acceptable Use Policy v2.3 — usage rules section</t>
        </is>
      </c>
      <c r="D5" s="14" t="inlineStr">
        <is>
          <t>UR-001</t>
        </is>
      </c>
      <c r="E5" s="14" t="inlineStr">
        <is>
          <t>2026-01-15</t>
        </is>
      </c>
      <c r="F5" s="14" t="inlineStr">
        <is>
          <t>/policies/AUP-v2.3.pdf</t>
        </is>
      </c>
      <c r="G5" s="14" t="inlineStr">
        <is>
          <t>IT Security Manager</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Document,Configuration,Screenshot,Export,Training Record,Attestation"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USAGE RULES INVENTORY — SUMMARY DASHBOARD</t>
        </is>
      </c>
      <c r="B1" s="6" t="n"/>
      <c r="C1" s="6" t="n"/>
      <c r="D1" s="6" t="n"/>
      <c r="E1" s="6" t="n"/>
      <c r="F1" s="6" t="n"/>
      <c r="G1" s="6" t="n"/>
    </row>
    <row r="2">
      <c r="A2" s="19" t="inlineStr">
        <is>
          <t>ISO/IEC 27001:2022 — Control A.5.10: Acceptable Use of Information and Other Associated Assets</t>
        </is>
      </c>
    </row>
    <row r="4" ht="20" customHeight="1">
      <c r="A4" s="20" t="inlineStr">
        <is>
          <t>TABLE 1: ASSESSMENT AREA COMPLIANCE OVERVIEW</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Usage Rules Documented</t>
        </is>
      </c>
      <c r="B6" s="23">
        <f>COUNTA('Usage Rules'!B5:B59)</f>
        <v/>
      </c>
      <c r="C6" s="23">
        <f>COUNTIF('Usage Rules'!D5:D59,"Permitted")+COUNTIF('Usage Rules'!D5:D59,"Permitted with Conditions")</f>
        <v/>
      </c>
      <c r="D6" s="23">
        <f>0</f>
        <v/>
      </c>
      <c r="E6" s="23">
        <f>COUNTIF('Usage Rules'!D5:D59,"Not Applicable")</f>
        <v/>
      </c>
      <c r="F6" s="23">
        <f>0</f>
        <v/>
      </c>
      <c r="G6" s="24">
        <f>IFERROR(IF((B6-F6)=0,0,C6/(B6-F6)),"")</f>
        <v/>
      </c>
    </row>
    <row r="7">
      <c r="A7" s="22" t="inlineStr">
        <is>
          <t>Prohibited Activities Defined</t>
        </is>
      </c>
      <c r="B7" s="23">
        <f>COUNTA('Prohibited Activities'!A5:A59)</f>
        <v/>
      </c>
      <c r="C7" s="23">
        <f>COUNTA('Prohibited Activities'!A5:A59)</f>
        <v/>
      </c>
      <c r="D7" s="23">
        <f>0</f>
        <v/>
      </c>
      <c r="E7" s="23">
        <f>0</f>
        <v/>
      </c>
      <c r="F7" s="23">
        <f>0</f>
        <v/>
      </c>
      <c r="G7" s="24">
        <f>IFERROR(IF((B7-F7)=0,0,C7/(B7-F7)),"")</f>
        <v/>
      </c>
    </row>
    <row r="8">
      <c r="A8" s="22" t="inlineStr">
        <is>
          <t>Handling Requirements Defined</t>
        </is>
      </c>
      <c r="B8" s="23">
        <f>COUNTA('Handling Requirements'!A5:A54)</f>
        <v/>
      </c>
      <c r="C8" s="23">
        <f>COUNTA('Handling Requirements'!A5:A54)</f>
        <v/>
      </c>
      <c r="D8" s="23">
        <f>0</f>
        <v/>
      </c>
      <c r="E8" s="23">
        <f>0</f>
        <v/>
      </c>
      <c r="F8" s="23">
        <f>0</f>
        <v/>
      </c>
      <c r="G8" s="24">
        <f>IFERROR(IF((B8-F8)=0,0,C8/(B8-F8)),"")</f>
        <v/>
      </c>
    </row>
    <row r="9">
      <c r="A9" s="25" t="inlineStr">
        <is>
          <t>TOTAL</t>
        </is>
      </c>
      <c r="B9" s="26">
        <f>SUM(B6:B8)</f>
        <v/>
      </c>
      <c r="C9" s="26">
        <f>SUM(C6:C8)</f>
        <v/>
      </c>
      <c r="D9" s="26">
        <f>SUM(D6:D8)</f>
        <v/>
      </c>
      <c r="E9" s="26">
        <f>SUM(E6:E8)</f>
        <v/>
      </c>
      <c r="F9" s="26">
        <f>SUM(F6:F8)</f>
        <v/>
      </c>
      <c r="G9" s="27">
        <f>IFERROR(IF((B9-F9)=0,0,C9/(B9-F9)),"")</f>
        <v/>
      </c>
    </row>
    <row r="11" ht="20" customHeight="1">
      <c r="A11" s="20" t="inlineStr">
        <is>
          <t>TABLE 2: KEY METRICS AND KPIs</t>
        </is>
      </c>
    </row>
    <row r="12">
      <c r="A12" s="26" t="inlineStr">
        <is>
          <t>Metric</t>
        </is>
      </c>
      <c r="B12" s="26" t="inlineStr">
        <is>
          <t>Value</t>
        </is>
      </c>
      <c r="C12" s="26" t="n"/>
      <c r="D12" s="26" t="n"/>
      <c r="E12" s="26" t="n"/>
      <c r="F12" s="26" t="n"/>
      <c r="G12" s="26" t="n"/>
    </row>
    <row r="13">
      <c r="A13" s="22" t="inlineStr">
        <is>
          <t>Total Usage Rules Documented</t>
        </is>
      </c>
      <c r="B13" s="23">
        <f>COUNTA('Usage Rules'!B5:B59)</f>
        <v/>
      </c>
      <c r="C13" s="6" t="n"/>
      <c r="D13" s="6" t="n"/>
      <c r="E13" s="6" t="n"/>
      <c r="F13" s="6" t="n"/>
      <c r="G13" s="6" t="n"/>
    </row>
    <row r="14">
      <c r="A14" s="22" t="inlineStr">
        <is>
          <t>Rules Classified as Permitted</t>
        </is>
      </c>
      <c r="B14" s="23">
        <f>COUNTIF('Usage Rules'!D5:D59,"Permitted")</f>
        <v/>
      </c>
      <c r="C14" s="6" t="n"/>
      <c r="D14" s="6" t="n"/>
      <c r="E14" s="6" t="n"/>
      <c r="F14" s="6" t="n"/>
      <c r="G14" s="6" t="n"/>
    </row>
    <row r="15">
      <c r="A15" s="22" t="inlineStr">
        <is>
          <t>Rules Permitted with Conditions</t>
        </is>
      </c>
      <c r="B15" s="23">
        <f>COUNTIF('Usage Rules'!D5:D59,"Permitted with Conditions")</f>
        <v/>
      </c>
      <c r="C15" s="6" t="n"/>
      <c r="D15" s="6" t="n"/>
      <c r="E15" s="6" t="n"/>
      <c r="F15" s="6" t="n"/>
      <c r="G15" s="6" t="n"/>
    </row>
    <row r="16">
      <c r="A16" s="22" t="inlineStr">
        <is>
          <t>Rules Classified as Prohibited</t>
        </is>
      </c>
      <c r="B16" s="23">
        <f>COUNTIF('Usage Rules'!D5:D59,"Prohibited")</f>
        <v/>
      </c>
      <c r="C16" s="6" t="n"/>
      <c r="D16" s="6" t="n"/>
      <c r="E16" s="6" t="n"/>
      <c r="F16" s="6" t="n"/>
      <c r="G16" s="6" t="n"/>
    </row>
    <row r="17">
      <c r="A17" s="22" t="inlineStr">
        <is>
          <t>Rules with Monitoring Required</t>
        </is>
      </c>
      <c r="B17" s="23">
        <f>COUNTIF('Usage Rules'!G5:G59,"Yes")</f>
        <v/>
      </c>
      <c r="C17" s="6" t="n"/>
      <c r="D17" s="6" t="n"/>
      <c r="E17" s="6" t="n"/>
      <c r="F17" s="6" t="n"/>
      <c r="G17" s="6" t="n"/>
    </row>
    <row r="18">
      <c r="A18" s="22" t="inlineStr">
        <is>
          <t>Total Permitted Activities Documented</t>
        </is>
      </c>
      <c r="B18" s="23">
        <f>COUNTA('Permitted Activities'!A5:A54)</f>
        <v/>
      </c>
      <c r="C18" s="6" t="n"/>
      <c r="D18" s="6" t="n"/>
      <c r="E18" s="6" t="n"/>
      <c r="F18" s="6" t="n"/>
      <c r="G18" s="6" t="n"/>
    </row>
    <row r="19">
      <c r="A19" s="22" t="inlineStr">
        <is>
          <t>Permitted Activities Requiring Approval</t>
        </is>
      </c>
      <c r="B19" s="23">
        <f>COUNTIF('Permitted Activities'!E5:E54,"Yes")</f>
        <v/>
      </c>
      <c r="C19" s="6" t="n"/>
      <c r="D19" s="6" t="n"/>
      <c r="E19" s="6" t="n"/>
      <c r="F19" s="6" t="n"/>
      <c r="G19" s="6" t="n"/>
    </row>
    <row r="20">
      <c r="A20" s="22" t="inlineStr">
        <is>
          <t>Total Prohibited Activities Documented</t>
        </is>
      </c>
      <c r="B20" s="23">
        <f>COUNTA('Prohibited Activities'!A5:A59)</f>
        <v/>
      </c>
      <c r="C20" s="6" t="n"/>
      <c r="D20" s="6" t="n"/>
      <c r="E20" s="6" t="n"/>
      <c r="F20" s="6" t="n"/>
      <c r="G20" s="6" t="n"/>
    </row>
    <row r="21">
      <c r="A21" s="22" t="inlineStr">
        <is>
          <t>Critical-Risk Prohibitions</t>
        </is>
      </c>
      <c r="B21" s="23">
        <f>COUNTIF('Prohibited Activities'!E5:E59,"Critical")</f>
        <v/>
      </c>
      <c r="C21" s="6" t="n"/>
      <c r="D21" s="6" t="n"/>
      <c r="E21" s="6" t="n"/>
      <c r="F21" s="6" t="n"/>
      <c r="G21" s="6" t="n"/>
    </row>
    <row r="22">
      <c r="A22" s="22" t="inlineStr">
        <is>
          <t>High-Risk Prohibitions</t>
        </is>
      </c>
      <c r="B22" s="23">
        <f>COUNTIF('Prohibited Activities'!E5:E59,"High")</f>
        <v/>
      </c>
      <c r="C22" s="6" t="n"/>
      <c r="D22" s="6" t="n"/>
      <c r="E22" s="6" t="n"/>
      <c r="F22" s="6" t="n"/>
      <c r="G22" s="6" t="n"/>
    </row>
    <row r="23">
      <c r="A23" s="22" t="inlineStr">
        <is>
          <t>Prohibitions Allowing Exceptions</t>
        </is>
      </c>
      <c r="B23" s="23">
        <f>COUNTIF('Prohibited Activities'!H5:H59,"Yes")</f>
        <v/>
      </c>
      <c r="C23" s="6" t="n"/>
      <c r="D23" s="6" t="n"/>
      <c r="E23" s="6" t="n"/>
      <c r="F23" s="6" t="n"/>
      <c r="G23" s="6" t="n"/>
    </row>
    <row r="24">
      <c r="A24" s="22" t="inlineStr">
        <is>
          <t>Total Handling Requirements Defined</t>
        </is>
      </c>
      <c r="B24" s="23">
        <f>COUNTA('Handling Requirements'!A5:A54)</f>
        <v/>
      </c>
      <c r="C24" s="6" t="n"/>
      <c r="D24" s="6" t="n"/>
      <c r="E24" s="6" t="n"/>
      <c r="F24" s="6" t="n"/>
      <c r="G24" s="6" t="n"/>
    </row>
    <row r="25">
      <c r="A25" s="22" t="inlineStr">
        <is>
          <t>Requirements for Restricted Data</t>
        </is>
      </c>
      <c r="B25" s="23">
        <f>COUNTIF('Handling Requirements'!C5:C54,"Restricted")</f>
        <v/>
      </c>
      <c r="C25" s="6" t="n"/>
      <c r="D25" s="6" t="n"/>
      <c r="E25" s="6" t="n"/>
      <c r="F25" s="6" t="n"/>
      <c r="G25" s="6" t="n"/>
    </row>
    <row r="26">
      <c r="A26" s="22" t="inlineStr">
        <is>
          <t>Requirements with Encryption Mandated</t>
        </is>
      </c>
      <c r="B26" s="23">
        <f>COUNTIF('Handling Requirements'!I5:I54,"Yes")</f>
        <v/>
      </c>
      <c r="C26" s="6" t="n"/>
      <c r="D26" s="6" t="n"/>
      <c r="E26" s="6" t="n"/>
      <c r="F26" s="6" t="n"/>
      <c r="G26" s="6" t="n"/>
    </row>
    <row r="27">
      <c r="A27" s="22" t="inlineStr">
        <is>
          <t>Requirements with Labelling Required</t>
        </is>
      </c>
      <c r="B27" s="23">
        <f>COUNTIF('Handling Requirements'!H5:H54,"Yes")</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ht="20" customHeight="1">
      <c r="A31" s="28" t="inlineStr">
        <is>
          <t>TABLE 3: CRITICAL FINDINGS REQUIRING IMMEDIATE ATTENTION</t>
        </is>
      </c>
    </row>
    <row r="32">
      <c r="A32" s="26" t="inlineStr">
        <is>
          <t>Category</t>
        </is>
      </c>
      <c r="B32" s="26" t="inlineStr">
        <is>
          <t>Finding</t>
        </is>
      </c>
      <c r="C32" s="26" t="inlineStr">
        <is>
          <t>Count</t>
        </is>
      </c>
      <c r="D32" s="26" t="inlineStr">
        <is>
          <t>Severity</t>
        </is>
      </c>
      <c r="E32" s="26" t="inlineStr">
        <is>
          <t>Action Required</t>
        </is>
      </c>
      <c r="F32" s="26" t="n"/>
      <c r="G32" s="26" t="n"/>
    </row>
    <row r="33">
      <c r="A33" s="29" t="inlineStr">
        <is>
          <t>Prohibited Activities</t>
        </is>
      </c>
      <c r="B33" s="29" t="inlineStr">
        <is>
          <t>Critical-risk prohibited activities</t>
        </is>
      </c>
      <c r="C33" s="30">
        <f>COUNTIF('Prohibited Activities'!E5:E59,"Critical")</f>
        <v/>
      </c>
      <c r="D33" s="29" t="inlineStr">
        <is>
          <t>Critical</t>
        </is>
      </c>
      <c r="E33" s="29" t="inlineStr">
        <is>
          <t>Verify enforcement</t>
        </is>
      </c>
      <c r="F33" s="29" t="n"/>
      <c r="G33" s="29" t="n"/>
    </row>
    <row r="34">
      <c r="A34" s="29" t="inlineStr">
        <is>
          <t>Prohibited Activities</t>
        </is>
      </c>
      <c r="B34" s="29" t="inlineStr">
        <is>
          <t>High-risk prohibited activities</t>
        </is>
      </c>
      <c r="C34" s="30">
        <f>COUNTIF('Prohibited Activities'!E5:E59,"High")</f>
        <v/>
      </c>
      <c r="D34" s="29" t="inlineStr">
        <is>
          <t>High</t>
        </is>
      </c>
      <c r="E34" s="29" t="inlineStr">
        <is>
          <t>Add detection controls</t>
        </is>
      </c>
      <c r="F34" s="29" t="n"/>
      <c r="G34" s="29" t="n"/>
    </row>
    <row r="35">
      <c r="A35" s="29" t="inlineStr">
        <is>
          <t>Prohibited Activities</t>
        </is>
      </c>
      <c r="B35" s="29" t="inlineStr">
        <is>
          <t>Prohibitions allowing exceptions (review needed)</t>
        </is>
      </c>
      <c r="C35" s="30">
        <f>COUNTIF('Prohibited Activities'!H5:H59,"Yes")</f>
        <v/>
      </c>
      <c r="D35" s="29" t="inlineStr">
        <is>
          <t>High</t>
        </is>
      </c>
      <c r="E35" s="29" t="inlineStr">
        <is>
          <t>Review exception process</t>
        </is>
      </c>
      <c r="F35" s="29" t="n"/>
      <c r="G35" s="29" t="n"/>
    </row>
    <row r="36">
      <c r="A36" s="29" t="inlineStr">
        <is>
          <t>Usage Rules</t>
        </is>
      </c>
      <c r="B36" s="29" t="inlineStr">
        <is>
          <t>Rules without monitoring controls defined</t>
        </is>
      </c>
      <c r="C36" s="30">
        <f>COUNTIF('Usage Rules'!G5:G59,"No")</f>
        <v/>
      </c>
      <c r="D36" s="29" t="inlineStr">
        <is>
          <t>High</t>
        </is>
      </c>
      <c r="E36" s="29" t="inlineStr">
        <is>
          <t>Add monitoring</t>
        </is>
      </c>
      <c r="F36" s="29" t="n"/>
      <c r="G36" s="29" t="n"/>
    </row>
    <row r="37">
      <c r="A37" s="29" t="inlineStr">
        <is>
          <t>Handling Requirements</t>
        </is>
      </c>
      <c r="B37" s="29" t="inlineStr">
        <is>
          <t>Restricted data assets requiring encryption</t>
        </is>
      </c>
      <c r="C37" s="30">
        <f>COUNTIF('Handling Requirements'!I5:I54,"Yes")</f>
        <v/>
      </c>
      <c r="D37" s="29" t="inlineStr">
        <is>
          <t>Medium</t>
        </is>
      </c>
      <c r="E37" s="29" t="inlineStr">
        <is>
          <t>Verify encryption</t>
        </is>
      </c>
      <c r="F37" s="29" t="n"/>
      <c r="G37" s="29" t="n"/>
    </row>
    <row r="38">
      <c r="A38" s="29" t="inlineStr">
        <is>
          <t>Handling Requirements</t>
        </is>
      </c>
      <c r="B38" s="29" t="inlineStr">
        <is>
          <t>Assets requiring labelling (verify compliance)</t>
        </is>
      </c>
      <c r="C38" s="30">
        <f>COUNTIF('Handling Requirements'!H5:H54,"Yes")</f>
        <v/>
      </c>
      <c r="D38" s="29" t="inlineStr">
        <is>
          <t>Medium</t>
        </is>
      </c>
      <c r="E38" s="29" t="inlineStr">
        <is>
          <t>Confirm labels applied</t>
        </is>
      </c>
      <c r="F38" s="29" t="n"/>
      <c r="G38" s="29" t="n"/>
    </row>
    <row r="39">
      <c r="A39" s="31" t="n"/>
      <c r="B39" s="31" t="n"/>
      <c r="C39" s="31" t="n"/>
      <c r="D39" s="31" t="n"/>
      <c r="E39" s="31" t="n"/>
      <c r="F39" s="31" t="n"/>
      <c r="G39" s="31" t="n"/>
    </row>
    <row r="40">
      <c r="A40" s="31" t="n"/>
      <c r="B40" s="31" t="n"/>
      <c r="C40" s="31" t="n"/>
      <c r="D40" s="31" t="n"/>
      <c r="E40" s="31" t="n"/>
      <c r="F40" s="31" t="n"/>
      <c r="G40" s="31" t="n"/>
    </row>
  </sheetData>
  <mergeCells count="5">
    <mergeCell ref="A1:G1"/>
    <mergeCell ref="A31:G3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A.5.10: Acceptable Use of Information and Other Associated Assets</t>
        </is>
      </c>
      <c r="B2" s="6" t="n"/>
      <c r="C2" s="6" t="n"/>
      <c r="D2" s="6" t="n"/>
      <c r="E2" s="6" t="n"/>
    </row>
    <row r="3">
      <c r="A3" s="34" t="inlineStr">
        <is>
          <t>ASSESSMENT SUMMARY</t>
        </is>
      </c>
      <c r="B3" s="6" t="n"/>
      <c r="C3" s="6" t="n"/>
      <c r="D3" s="6" t="n"/>
      <c r="E3" s="6" t="n"/>
    </row>
    <row r="4">
      <c r="A4" s="3" t="inlineStr">
        <is>
          <t>Document:</t>
        </is>
      </c>
      <c r="B4" s="6" t="inlineStr">
        <is>
          <t>ISMS-IMP-A.5.10-11.S2 - Usage Rules Inventory</t>
        </is>
      </c>
      <c r="C4" s="6" t="n"/>
      <c r="D4" s="6" t="n"/>
      <c r="E4" s="6" t="n"/>
    </row>
    <row r="5">
      <c r="A5" s="3" t="inlineStr">
        <is>
          <t>Assessment Period:</t>
        </is>
      </c>
      <c r="B5" s="31" t="inlineStr"/>
      <c r="C5" s="6" t="n"/>
      <c r="D5" s="6" t="n"/>
      <c r="E5" s="6" t="n"/>
    </row>
    <row r="6">
      <c r="A6" s="3" t="inlineStr">
        <is>
          <t>Overall Compliance Rating:</t>
        </is>
      </c>
      <c r="B6" s="35">
        <f>IFERROR(AVERAGE('Summary Dashboard'!G6:G8),"")</f>
        <v/>
      </c>
      <c r="C6" s="6" t="n"/>
      <c r="D6" s="6" t="n"/>
      <c r="E6" s="6" t="n"/>
    </row>
    <row r="7">
      <c r="A7" s="3" t="inlineStr">
        <is>
          <t>Assessment Status:</t>
        </is>
      </c>
      <c r="B7" s="31" t="inlineStr"/>
      <c r="C7" s="6" t="n"/>
      <c r="D7" s="6" t="n"/>
      <c r="E7" s="6" t="n"/>
    </row>
    <row r="8">
      <c r="A8" s="3" t="inlineStr">
        <is>
          <t>Assessed By:</t>
        </is>
      </c>
      <c r="B8" s="31" t="inlineStr"/>
      <c r="C8" s="6" t="n"/>
      <c r="D8" s="6" t="n"/>
      <c r="E8" s="6" t="n"/>
    </row>
    <row r="11">
      <c r="A11" s="34" t="inlineStr">
        <is>
          <t>COMPLETED BY (ASSESSOR)</t>
        </is>
      </c>
      <c r="B11" s="6" t="n"/>
      <c r="C11" s="6" t="n"/>
      <c r="D11" s="6" t="n"/>
      <c r="E11" s="6" t="n"/>
    </row>
    <row r="12">
      <c r="A12" s="3" t="inlineStr">
        <is>
          <t>Name:</t>
        </is>
      </c>
      <c r="B12" s="31" t="n"/>
      <c r="C12" s="6" t="n"/>
      <c r="D12" s="6" t="n"/>
      <c r="E12" s="6" t="n"/>
    </row>
    <row r="13">
      <c r="A13" s="3" t="inlineStr">
        <is>
          <t>Title:</t>
        </is>
      </c>
      <c r="B13" s="31" t="n"/>
      <c r="C13" s="6" t="n"/>
      <c r="D13" s="6" t="n"/>
      <c r="E13" s="6" t="n"/>
    </row>
    <row r="14">
      <c r="A14" s="3" t="inlineStr">
        <is>
          <t>Date:</t>
        </is>
      </c>
      <c r="B14" s="31" t="n"/>
      <c r="C14" s="6" t="n"/>
      <c r="D14" s="6" t="n"/>
      <c r="E14" s="6" t="n"/>
    </row>
    <row r="15">
      <c r="A15" s="3" t="inlineStr">
        <is>
          <t>Signature:</t>
        </is>
      </c>
      <c r="B15" s="31" t="n"/>
      <c r="C15" s="6" t="n"/>
      <c r="D15" s="6" t="n"/>
      <c r="E15" s="6" t="n"/>
    </row>
    <row r="16">
      <c r="A16" s="3" t="inlineStr">
        <is>
          <t>Comments:</t>
        </is>
      </c>
      <c r="B16" s="31" t="n"/>
      <c r="C16" s="6" t="n"/>
      <c r="D16" s="6" t="n"/>
      <c r="E16" s="6" t="n"/>
    </row>
    <row r="18">
      <c r="A18" s="34" t="inlineStr">
        <is>
          <t>REVIEWED BY (INFORMATION SECURITY OFFICER)</t>
        </is>
      </c>
      <c r="B18" s="6" t="n"/>
      <c r="C18" s="6" t="n"/>
      <c r="D18" s="6" t="n"/>
      <c r="E18" s="6" t="n"/>
    </row>
    <row r="19">
      <c r="A19" s="3" t="inlineStr">
        <is>
          <t>Name:</t>
        </is>
      </c>
      <c r="B19" s="31" t="n"/>
      <c r="C19" s="6" t="n"/>
      <c r="D19" s="6" t="n"/>
      <c r="E19" s="6" t="n"/>
    </row>
    <row r="20">
      <c r="A20" s="3" t="inlineStr">
        <is>
          <t>Title:</t>
        </is>
      </c>
      <c r="B20" s="31" t="n"/>
      <c r="C20" s="6" t="n"/>
      <c r="D20" s="6" t="n"/>
      <c r="E20" s="6" t="n"/>
    </row>
    <row r="21">
      <c r="A21" s="3" t="inlineStr">
        <is>
          <t>Date:</t>
        </is>
      </c>
      <c r="B21" s="31" t="n"/>
      <c r="C21" s="6" t="n"/>
      <c r="D21" s="6" t="n"/>
      <c r="E21" s="6" t="n"/>
    </row>
    <row r="22">
      <c r="A22" s="3" t="inlineStr">
        <is>
          <t>Signature:</t>
        </is>
      </c>
      <c r="B22" s="31" t="n"/>
      <c r="C22" s="6" t="n"/>
      <c r="D22" s="6" t="n"/>
      <c r="E22" s="6" t="n"/>
    </row>
    <row r="23">
      <c r="A23" s="3" t="inlineStr">
        <is>
          <t>Comments:</t>
        </is>
      </c>
      <c r="B23" s="31" t="n"/>
      <c r="C23" s="6" t="n"/>
      <c r="D23" s="6" t="n"/>
      <c r="E23" s="6" t="n"/>
    </row>
    <row r="25">
      <c r="A25" s="36" t="inlineStr">
        <is>
          <t>APPROVED BY (CISO)</t>
        </is>
      </c>
      <c r="B25" s="6" t="n"/>
      <c r="C25" s="6" t="n"/>
      <c r="D25" s="6" t="n"/>
      <c r="E25" s="6" t="n"/>
    </row>
    <row r="26">
      <c r="A26" s="3" t="inlineStr">
        <is>
          <t>Name:</t>
        </is>
      </c>
      <c r="B26" s="31" t="n"/>
      <c r="C26" s="6" t="n"/>
      <c r="D26" s="6" t="n"/>
      <c r="E26" s="6" t="n"/>
    </row>
    <row r="27">
      <c r="A27" s="3" t="inlineStr">
        <is>
          <t>Title:</t>
        </is>
      </c>
      <c r="B27" s="31" t="n"/>
      <c r="C27" s="6" t="n"/>
      <c r="D27" s="6" t="n"/>
      <c r="E27" s="6" t="n"/>
    </row>
    <row r="28">
      <c r="A28" s="3" t="inlineStr">
        <is>
          <t>Date:</t>
        </is>
      </c>
      <c r="B28" s="31" t="n"/>
      <c r="C28" s="6" t="n"/>
      <c r="D28" s="6" t="n"/>
      <c r="E28" s="6" t="n"/>
    </row>
    <row r="29">
      <c r="A29" s="3" t="inlineStr">
        <is>
          <t>Signature:</t>
        </is>
      </c>
      <c r="B29" s="31" t="n"/>
      <c r="C29" s="6" t="n"/>
      <c r="D29" s="6" t="n"/>
      <c r="E29" s="6" t="n"/>
    </row>
    <row r="30">
      <c r="A30" s="3" t="inlineStr">
        <is>
          <t>Comments:</t>
        </is>
      </c>
      <c r="B30" s="31" t="n"/>
      <c r="C30" s="6" t="n"/>
      <c r="D30" s="6" t="n"/>
      <c r="E30" s="6" t="n"/>
    </row>
    <row r="32">
      <c r="A32" s="3" t="inlineStr">
        <is>
          <t>FINAL DECISION:</t>
        </is>
      </c>
      <c r="B32" s="31" t="n"/>
      <c r="C32" s="6" t="n"/>
      <c r="D32" s="6" t="n"/>
      <c r="E32" s="6" t="n"/>
    </row>
    <row r="35">
      <c r="A35" s="34" t="inlineStr">
        <is>
          <t>NEXT REVIEW DETAILS</t>
        </is>
      </c>
      <c r="B35" s="6" t="n"/>
      <c r="C35" s="6" t="n"/>
      <c r="D35" s="6" t="n"/>
      <c r="E35" s="6" t="n"/>
    </row>
    <row r="36">
      <c r="A36" s="3" t="inlineStr">
        <is>
          <t>Next Review Date:</t>
        </is>
      </c>
      <c r="B36" s="31" t="n"/>
      <c r="C36" s="6" t="n"/>
      <c r="D36" s="6" t="n"/>
      <c r="E36" s="6" t="n"/>
    </row>
    <row r="37">
      <c r="A37" s="3" t="inlineStr">
        <is>
          <t>Review Responsible:</t>
        </is>
      </c>
      <c r="B37" s="31" t="n"/>
      <c r="C37" s="6" t="n"/>
      <c r="D37" s="6" t="n"/>
      <c r="E37" s="6" t="n"/>
    </row>
    <row r="38">
      <c r="A38" s="3"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ISMS-IMP-A.5.10-11.S2 — Usage Rules Inventory</dc:title>
  <dc:description xmlns:dc="http://purl.org/dc/elements/1.1/">ISMS Implementation Workbook — ISMS-IMP-A.5.10-11.S2</dc:description>
  <dc:subject xmlns:dc="http://purl.org/dc/elements/1.1/">ISO/IEC 27001:2022 — Control A.5.10: Acceptable Use of Information and Other Associated Assets</dc:subject>
  <dcterms:created xmlns:dcterms="http://purl.org/dc/terms/" xmlns:xsi="http://www.w3.org/2001/XMLSchema-instance" xsi:type="dcterms:W3CDTF">2026-03-01T11:11:34Z</dcterms:created>
  <dcterms:modified xmlns:dcterms="http://purl.org/dc/terms/" xmlns:xsi="http://www.w3.org/2001/XMLSchema-instance" xsi:type="dcterms:W3CDTF">2026-03-01T11:11:34Z</dcterms:modified>
</cp:coreProperties>
</file>