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Assessment" sheetId="2" state="visible" r:id="rId2"/>
    <sheet xmlns:r="http://schemas.openxmlformats.org/officeDocument/2006/relationships" name="Asset Coverage" sheetId="3" state="visible" r:id="rId3"/>
    <sheet xmlns:r="http://schemas.openxmlformats.org/officeDocument/2006/relationships" name="Awareness Tracking" sheetId="4" state="visible" r:id="rId4"/>
    <sheet xmlns:r="http://schemas.openxmlformats.org/officeDocument/2006/relationships" name="Communication Matrix"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4"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ISMS-IMP-A.5.10-11.S1  -  Acceptable Use Policy Assessment
ISO/IEC 27001:2022 — Control A.5.10: Acceptable Use of Information and Other Associated Assets</t>
        </is>
      </c>
    </row>
    <row r="3">
      <c r="A3" s="2" t="inlineStr">
        <is>
          <t>Document Information</t>
        </is>
      </c>
    </row>
    <row r="4">
      <c r="A4" s="3" t="inlineStr">
        <is>
          <t>Document ID</t>
        </is>
      </c>
      <c r="B4" t="inlineStr">
        <is>
          <t>ISMS-IMP-A.5.10-11.S1</t>
        </is>
      </c>
    </row>
    <row r="5">
      <c r="A5" s="3" t="inlineStr">
        <is>
          <t>Workbook Title</t>
        </is>
      </c>
      <c r="B5" t="inlineStr">
        <is>
          <t>Acceptable Use Policy Assessment</t>
        </is>
      </c>
    </row>
    <row r="6">
      <c r="A6" s="3" t="inlineStr">
        <is>
          <t>Control Reference</t>
        </is>
      </c>
      <c r="B6" t="inlineStr">
        <is>
          <t>ISO/IEC 27001:2022 — Control A.5.10: Acceptable Use of Information and Other Associated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Policy Assessment — evaluate acceptable use policy coverage for all asset types.</t>
        </is>
      </c>
    </row>
    <row r="14">
      <c r="A14" t="inlineStr">
        <is>
          <t>2. Complete Asset Coverage — confirm AUP scope includes all information asset categories.</t>
        </is>
      </c>
    </row>
    <row r="15">
      <c r="A15" t="inlineStr">
        <is>
          <t>3. Complete Awareness Tracking — verify all personnel have acknowledged the AUP.</t>
        </is>
      </c>
    </row>
    <row r="16">
      <c r="A16" t="inlineStr">
        <is>
          <t>4. Complete Communication Matrix — confirm AUP is communicated at onboarding and annually.</t>
        </is>
      </c>
    </row>
    <row r="17">
      <c r="A17" t="inlineStr">
        <is>
          <t>5. Maintain Evidence Records with policy acknowledgement signatures and training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45" customWidth="1" min="2" max="2"/>
    <col width="20" customWidth="1" min="3" max="3"/>
    <col width="14" customWidth="1" min="4" max="4"/>
    <col width="20" customWidth="1" min="5" max="5"/>
    <col width="16" customWidth="1" min="6" max="6"/>
    <col width="16" customWidth="1" min="7" max="7"/>
    <col width="22" customWidth="1" min="8" max="8"/>
    <col width="20" customWidth="1" min="9" max="9"/>
    <col width="35" customWidth="1" min="10" max="10"/>
    <col width="18" customWidth="1" min="11" max="11"/>
  </cols>
  <sheetData>
    <row r="1" ht="35" customHeight="1">
      <c r="A1" s="11" t="inlineStr">
        <is>
          <t>ACCEPTABLE USE POLICY ASSESSMENT</t>
        </is>
      </c>
    </row>
    <row r="2">
      <c r="A2" s="12" t="inlineStr">
        <is>
          <t>Assess AUP policy content completeness against ISO 27001:2022 A.5.10 requirements</t>
        </is>
      </c>
    </row>
    <row r="3">
      <c r="A3" s="13" t="inlineStr">
        <is>
          <t>Requirement_ID</t>
        </is>
      </c>
      <c r="B3" s="13" t="inlineStr">
        <is>
          <t>Policy_Requirement</t>
        </is>
      </c>
      <c r="C3" s="13" t="inlineStr">
        <is>
          <t>Category</t>
        </is>
      </c>
      <c r="D3" s="13" t="inlineStr">
        <is>
          <t>Addressed</t>
        </is>
      </c>
      <c r="E3" s="13" t="inlineStr">
        <is>
          <t>Policy_Section</t>
        </is>
      </c>
      <c r="F3" s="13" t="inlineStr">
        <is>
          <t>Clarity_Rating</t>
        </is>
      </c>
      <c r="G3" s="13" t="inlineStr">
        <is>
          <t>Last_Updated</t>
        </is>
      </c>
      <c r="H3" s="13" t="inlineStr">
        <is>
          <t>Owner</t>
        </is>
      </c>
      <c r="I3" s="13" t="inlineStr">
        <is>
          <t>Gap_Status</t>
        </is>
      </c>
      <c r="J3" s="13" t="inlineStr">
        <is>
          <t>Remediation_Notes</t>
        </is>
      </c>
      <c r="K3" s="13" t="inlineStr">
        <is>
          <t>Evidence_Ref</t>
        </is>
      </c>
    </row>
    <row r="4">
      <c r="A4" s="14" t="inlineStr">
        <is>
          <t>REQ-001</t>
        </is>
      </c>
      <c r="B4" s="14" t="inlineStr">
        <is>
          <t>Policy scope defines applicable assets (information, hardware, software, network, cloud)</t>
        </is>
      </c>
      <c r="C4" s="14" t="inlineStr">
        <is>
          <t>Scope</t>
        </is>
      </c>
      <c r="D4" s="14" t="inlineStr">
        <is>
          <t>Yes</t>
        </is>
      </c>
      <c r="E4" s="14" t="inlineStr">
        <is>
          <t>Section 2.1</t>
        </is>
      </c>
      <c r="F4" s="14" t="inlineStr">
        <is>
          <t>Clear</t>
        </is>
      </c>
      <c r="G4" s="14" t="inlineStr">
        <is>
          <t>2026-01-15</t>
        </is>
      </c>
      <c r="H4" s="14" t="inlineStr">
        <is>
          <t>CISO</t>
        </is>
      </c>
      <c r="I4" s="14" t="inlineStr">
        <is>
          <t>Compliant</t>
        </is>
      </c>
      <c r="J4" s="14" t="inlineStr">
        <is>
          <t>Full coverage across all asset types confirmed</t>
        </is>
      </c>
      <c r="K4" s="14" t="inlineStr">
        <is>
          <t>AUP-v2.3.pdf</t>
        </is>
      </c>
    </row>
    <row r="5">
      <c r="A5" s="15" t="inlineStr">
        <is>
          <t>REQ-001</t>
        </is>
      </c>
      <c r="B5" s="15" t="inlineStr">
        <is>
          <t>Policy scope defines applicable assets</t>
        </is>
      </c>
      <c r="C5" s="15" t="inlineStr">
        <is>
          <t>Scope</t>
        </is>
      </c>
      <c r="D5" s="16" t="n"/>
      <c r="E5" s="16" t="n"/>
      <c r="F5" s="16" t="n"/>
      <c r="G5" s="16" t="n"/>
      <c r="H5" s="16" t="n"/>
      <c r="I5" s="16" t="n"/>
      <c r="J5" s="16" t="n"/>
      <c r="K5" s="16" t="n"/>
    </row>
    <row r="6">
      <c r="A6" s="15" t="inlineStr">
        <is>
          <t>REQ-002</t>
        </is>
      </c>
      <c r="B6" s="15" t="inlineStr">
        <is>
          <t>Policy defines acceptable business use</t>
        </is>
      </c>
      <c r="C6" s="15" t="inlineStr">
        <is>
          <t>Permitted Use</t>
        </is>
      </c>
      <c r="D6" s="16" t="n"/>
      <c r="E6" s="16" t="n"/>
      <c r="F6" s="16" t="n"/>
      <c r="G6" s="16" t="n"/>
      <c r="H6" s="16" t="n"/>
      <c r="I6" s="16" t="n"/>
      <c r="J6" s="16" t="n"/>
      <c r="K6" s="16" t="n"/>
    </row>
    <row r="7">
      <c r="A7" s="15" t="inlineStr">
        <is>
          <t>REQ-003</t>
        </is>
      </c>
      <c r="B7" s="15" t="inlineStr">
        <is>
          <t>Policy explicitly prohibits unauthorised activities</t>
        </is>
      </c>
      <c r="C7" s="15" t="inlineStr">
        <is>
          <t>Prohibited Use</t>
        </is>
      </c>
      <c r="D7" s="16" t="n"/>
      <c r="E7" s="16" t="n"/>
      <c r="F7" s="16" t="n"/>
      <c r="G7" s="16" t="n"/>
      <c r="H7" s="16" t="n"/>
      <c r="I7" s="16" t="n"/>
      <c r="J7" s="16" t="n"/>
      <c r="K7" s="16" t="n"/>
    </row>
    <row r="8">
      <c r="A8" s="15" t="inlineStr">
        <is>
          <t>REQ-004</t>
        </is>
      </c>
      <c r="B8" s="15" t="inlineStr">
        <is>
          <t>Personal use guidelines are documented</t>
        </is>
      </c>
      <c r="C8" s="15" t="inlineStr">
        <is>
          <t>Personal Use</t>
        </is>
      </c>
      <c r="D8" s="16" t="n"/>
      <c r="E8" s="16" t="n"/>
      <c r="F8" s="16" t="n"/>
      <c r="G8" s="16" t="n"/>
      <c r="H8" s="16" t="n"/>
      <c r="I8" s="16" t="n"/>
      <c r="J8" s="16" t="n"/>
      <c r="K8" s="16" t="n"/>
    </row>
    <row r="9">
      <c r="A9" s="15" t="inlineStr">
        <is>
          <t>REQ-005</t>
        </is>
      </c>
      <c r="B9" s="15" t="inlineStr">
        <is>
          <t>Monitoring and logging disclosure included</t>
        </is>
      </c>
      <c r="C9" s="15" t="inlineStr">
        <is>
          <t>Monitoring</t>
        </is>
      </c>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3">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"Yes,Partial,No,N/A"</formula1>
    </dataValidation>
    <dataValidation sqref="F5 F6 F7 F8 F9 F10 F11 F12 F13 F14 F15 F16 F17 F18 F19 F20 F21 F22 F23 F24 F25 F26 F27 F28 F29 F30 F31 F32 F33 F34 F35 F36 F37 F38 F39 F40 F41 F42 F43 F44 F45 F46 F47 F48 F49 F50 F51 F52 F53 F54 F55 F56 F57 F58 F59" showDropDown="0" showInputMessage="0" showErrorMessage="0" allowBlank="0" type="list">
      <formula1>"Clear,Needs Improvement,Unclear"</formula1>
    </dataValidation>
    <dataValidation sqref="I5 I6 I7 I8 I9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"Compliant,Gap Identified,Remediation 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6" customWidth="1" min="3" max="3"/>
    <col width="20" customWidth="1" min="4" max="4"/>
    <col width="18" customWidth="1" min="5" max="5"/>
    <col width="18" customWidth="1" min="6" max="6"/>
    <col width="35" customWidth="1" min="7" max="7"/>
    <col width="18" customWidth="1" min="8" max="8"/>
    <col width="18" customWidth="1" min="9" max="9"/>
  </cols>
  <sheetData>
    <row r="1" ht="35" customHeight="1">
      <c r="A1" s="11" t="inlineStr">
        <is>
          <t>ASSET COVERAGE MATRIX</t>
        </is>
      </c>
    </row>
    <row r="2">
      <c r="A2" s="12" t="inlineStr">
        <is>
          <t>Verify acceptable use policy coverage for each information asset category</t>
        </is>
      </c>
    </row>
    <row r="3">
      <c r="A3" s="13" t="inlineStr">
        <is>
          <t>Asset_Category</t>
        </is>
      </c>
      <c r="B3" s="13" t="inlineStr">
        <is>
          <t>Asset_Examples</t>
        </is>
      </c>
      <c r="C3" s="13" t="inlineStr">
        <is>
          <t>Covered_In_AUP</t>
        </is>
      </c>
      <c r="D3" s="13" t="inlineStr">
        <is>
          <t>Policy_Section</t>
        </is>
      </c>
      <c r="E3" s="13" t="inlineStr">
        <is>
          <t>Usage_Rules_Defined</t>
        </is>
      </c>
      <c r="F3" s="13" t="inlineStr">
        <is>
          <t>Handling_Rules_Defined</t>
        </is>
      </c>
      <c r="G3" s="13" t="inlineStr">
        <is>
          <t>Gap_Notes</t>
        </is>
      </c>
      <c r="H3" s="13" t="inlineStr">
        <is>
          <t>Remediation_Required</t>
        </is>
      </c>
      <c r="I3" s="13" t="inlineStr">
        <is>
          <t>Evidence_Ref</t>
        </is>
      </c>
    </row>
    <row r="4">
      <c r="A4" s="14" t="inlineStr">
        <is>
          <t>Information Assets</t>
        </is>
      </c>
      <c r="B4" s="14" t="inlineStr">
        <is>
          <t>Documents, databases, intellectual property, email</t>
        </is>
      </c>
      <c r="C4" s="14" t="inlineStr">
        <is>
          <t>Yes</t>
        </is>
      </c>
      <c r="D4" s="14" t="inlineStr">
        <is>
          <t>Section 3.1</t>
        </is>
      </c>
      <c r="E4" s="14" t="inlineStr">
        <is>
          <t>Yes</t>
        </is>
      </c>
      <c r="F4" s="14" t="inlineStr">
        <is>
          <t>Yes</t>
        </is>
      </c>
      <c r="G4" s="14" t="inlineStr">
        <is>
          <t>Full coverage confirmed</t>
        </is>
      </c>
      <c r="H4" s="14" t="inlineStr">
        <is>
          <t>No</t>
        </is>
      </c>
      <c r="I4" s="14" t="inlineStr">
        <is>
          <t>AUP-v2.3.pdf p.5</t>
        </is>
      </c>
    </row>
    <row r="5">
      <c r="A5" s="15" t="inlineStr">
        <is>
          <t>Information Assets</t>
        </is>
      </c>
      <c r="B5" s="15" t="inlineStr">
        <is>
          <t>Documents, databases, intellectual property</t>
        </is>
      </c>
      <c r="C5" s="16" t="n"/>
      <c r="D5" s="16" t="n"/>
      <c r="E5" s="16" t="n"/>
      <c r="F5" s="16" t="n"/>
      <c r="G5" s="16" t="n"/>
      <c r="H5" s="16" t="n"/>
      <c r="I5" s="16" t="n"/>
    </row>
    <row r="6">
      <c r="A6" s="15" t="inlineStr">
        <is>
          <t>Software Assets</t>
        </is>
      </c>
      <c r="B6" s="15" t="inlineStr">
        <is>
          <t>Applications, operating systems, development tools</t>
        </is>
      </c>
      <c r="C6" s="16" t="n"/>
      <c r="D6" s="16" t="n"/>
      <c r="E6" s="16" t="n"/>
      <c r="F6" s="16" t="n"/>
      <c r="G6" s="16" t="n"/>
      <c r="H6" s="16" t="n"/>
      <c r="I6" s="16" t="n"/>
    </row>
    <row r="7">
      <c r="A7" s="15" t="inlineStr">
        <is>
          <t>Hardware Assets</t>
        </is>
      </c>
      <c r="B7" s="15" t="inlineStr">
        <is>
          <t>Laptops, desktops, servers, mobile devices</t>
        </is>
      </c>
      <c r="C7" s="16" t="n"/>
      <c r="D7" s="16" t="n"/>
      <c r="E7" s="16" t="n"/>
      <c r="F7" s="16" t="n"/>
      <c r="G7" s="16" t="n"/>
      <c r="H7" s="16" t="n"/>
      <c r="I7" s="16" t="n"/>
    </row>
    <row r="8">
      <c r="A8" s="15" t="inlineStr">
        <is>
          <t>Network Assets</t>
        </is>
      </c>
      <c r="B8" s="15" t="inlineStr">
        <is>
          <t>Routers, switches, firewalls, VPN</t>
        </is>
      </c>
      <c r="C8" s="16" t="n"/>
      <c r="D8" s="16" t="n"/>
      <c r="E8" s="16" t="n"/>
      <c r="F8" s="16" t="n"/>
      <c r="G8" s="16" t="n"/>
      <c r="H8" s="16" t="n"/>
      <c r="I8" s="16" t="n"/>
    </row>
    <row r="9">
      <c r="A9" s="15" t="inlineStr">
        <is>
          <t>Cloud Services</t>
        </is>
      </c>
      <c r="B9" s="15" t="inlineStr">
        <is>
          <t>SaaS, IaaS, PaaS platforms</t>
        </is>
      </c>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sheetData>
  <mergeCells count="2">
    <mergeCell ref="A1:I1"/>
    <mergeCell ref="A2:I2"/>
  </mergeCells>
  <dataValidations count="2">
    <dataValidation sqref="C5 C6 C7 C8 C9 C10 C11 C12 C13 C14 C15 C16 C17 C18 C19 C20 C21 C22 C23 C24 C25 C26 C27 C28 C29 C30 C31 C32 C33 C34 C35 C36 C37 C38 C39 C40 C41 C42 C43 C44 C45 C46 C47 C48 C49 C50 C51 C52 C53 C54 C55 C56 C57 C58 C59" showDropDown="0" showInputMessage="0" showErrorMessage="0" allowBlank="0" type="list">
      <formula1>"Yes,Partial,No"</formula1>
    </dataValidation>
    <dataValidation sqref="E5 E6 E7 E8 E9 E10 E11 E12 E13 E14 E15 E16 E17 E18 E19 E20 E21 E22 E23 E24 E25 E26 E27 E28 E29 E30 E31 E32 E33 E34 E35 E36 E37 E38 E39 E40 E41 E42 E43 E44 E45 E46 E47 E48 E49 E50 E51 E52 E53 E54 E55 E56 E57 E58 E59 F5 F6 F7 F8 F9 F10 F11 F12 F13 F14 F15 F16 F17 F18 F19 F20 F21 F22 F23 F24 F25 F26 F27 F28 F29 F30 F31 F32 F33 F34 F35 F36 F37 F38 F39 F40 F41 F42 F43 F44 F45 F46 F47 F48 F49 F50 F51 F52 F53 F54 F55 F56 F57 F58 F59 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5"/>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6" customWidth="1" min="5" max="5"/>
    <col width="18" customWidth="1" min="6" max="6"/>
    <col width="16" customWidth="1" min="7" max="7"/>
    <col width="22" customWidth="1" min="8" max="8"/>
    <col width="22" customWidth="1" min="9" max="9"/>
    <col width="35" customWidth="1" min="10" max="10"/>
  </cols>
  <sheetData>
    <row r="1" ht="35" customHeight="1">
      <c r="A1" s="11" t="inlineStr">
        <is>
          <t>USER AWARENESS AND ACKNOWLEDGMENT TRACKING</t>
        </is>
      </c>
    </row>
    <row r="2">
      <c r="A2" s="12" t="inlineStr">
        <is>
          <t>Track AUP acknowledgment rates by department and monitor awareness campaign effectiveness</t>
        </is>
      </c>
    </row>
    <row r="3">
      <c r="A3" s="13" t="inlineStr">
        <is>
          <t>Department</t>
        </is>
      </c>
      <c r="B3" s="13" t="inlineStr">
        <is>
          <t>Total_Users</t>
        </is>
      </c>
      <c r="C3" s="13" t="inlineStr">
        <is>
          <t>Acknowledged</t>
        </is>
      </c>
      <c r="D3" s="13" t="inlineStr">
        <is>
          <t>Pending</t>
        </is>
      </c>
      <c r="E3" s="13" t="inlineStr">
        <is>
          <t>Acknowledgment_%</t>
        </is>
      </c>
      <c r="F3" s="13" t="inlineStr">
        <is>
          <t>Last_Campaign_Date</t>
        </is>
      </c>
      <c r="G3" s="13" t="inlineStr">
        <is>
          <t>Next_Due_Date</t>
        </is>
      </c>
      <c r="H3" s="13" t="inlineStr">
        <is>
          <t>Campaign_Method</t>
        </is>
      </c>
      <c r="I3" s="13" t="inlineStr">
        <is>
          <t>Escalation_Status</t>
        </is>
      </c>
      <c r="J3" s="13" t="inlineStr">
        <is>
          <t>Notes</t>
        </is>
      </c>
    </row>
    <row r="4">
      <c r="A4" s="14" t="inlineStr">
        <is>
          <t>IT Operations</t>
        </is>
      </c>
      <c r="B4" s="14" t="n">
        <v>45</v>
      </c>
      <c r="C4" s="14" t="n">
        <v>43</v>
      </c>
      <c r="D4" s="14" t="n">
        <v>2</v>
      </c>
      <c r="E4" s="17">
        <f>IF(B4&gt;0,C4/B4,"")</f>
        <v/>
      </c>
      <c r="F4" s="14" t="inlineStr">
        <is>
          <t>2026-01-10</t>
        </is>
      </c>
      <c r="G4" s="14" t="inlineStr">
        <is>
          <t>2027-01-10</t>
        </is>
      </c>
      <c r="H4" s="14" t="inlineStr">
        <is>
          <t>LMS</t>
        </is>
      </c>
      <c r="I4" s="14" t="inlineStr">
        <is>
          <t>None Required</t>
        </is>
      </c>
      <c r="J4" s="14" t="inlineStr">
        <is>
          <t>Two users on extended leave</t>
        </is>
      </c>
    </row>
    <row r="5">
      <c r="A5" s="15" t="inlineStr">
        <is>
          <t>Executive Leadership</t>
        </is>
      </c>
      <c r="B5" s="16" t="n"/>
      <c r="C5" s="16" t="n"/>
      <c r="D5" s="16" t="n"/>
      <c r="E5" s="18">
        <f>IF(B5&gt;0,C5/B5,"")</f>
        <v/>
      </c>
      <c r="F5" s="16" t="n"/>
      <c r="G5" s="16" t="n"/>
      <c r="H5" s="16" t="n"/>
      <c r="I5" s="16" t="n"/>
      <c r="J5" s="16" t="n"/>
    </row>
    <row r="6">
      <c r="A6" s="15" t="inlineStr">
        <is>
          <t>Finance</t>
        </is>
      </c>
      <c r="B6" s="16" t="n"/>
      <c r="C6" s="16" t="n"/>
      <c r="D6" s="16" t="n"/>
      <c r="E6" s="18">
        <f>IF(B6&gt;0,C6/B6,"")</f>
        <v/>
      </c>
      <c r="F6" s="16" t="n"/>
      <c r="G6" s="16" t="n"/>
      <c r="H6" s="16" t="n"/>
      <c r="I6" s="16" t="n"/>
      <c r="J6" s="16" t="n"/>
    </row>
    <row r="7">
      <c r="A7" s="15" t="inlineStr">
        <is>
          <t>Human Resources</t>
        </is>
      </c>
      <c r="B7" s="16" t="n"/>
      <c r="C7" s="16" t="n"/>
      <c r="D7" s="16" t="n"/>
      <c r="E7" s="18">
        <f>IF(B7&gt;0,C7/B7,"")</f>
        <v/>
      </c>
      <c r="F7" s="16" t="n"/>
      <c r="G7" s="16" t="n"/>
      <c r="H7" s="16" t="n"/>
      <c r="I7" s="16" t="n"/>
      <c r="J7" s="16" t="n"/>
    </row>
    <row r="8">
      <c r="A8" s="15" t="inlineStr">
        <is>
          <t>IT Operations</t>
        </is>
      </c>
      <c r="B8" s="16" t="n"/>
      <c r="C8" s="16" t="n"/>
      <c r="D8" s="16" t="n"/>
      <c r="E8" s="18">
        <f>IF(B8&gt;0,C8/B8,"")</f>
        <v/>
      </c>
      <c r="F8" s="16" t="n"/>
      <c r="G8" s="16" t="n"/>
      <c r="H8" s="16" t="n"/>
      <c r="I8" s="16" t="n"/>
      <c r="J8" s="16" t="n"/>
    </row>
    <row r="9">
      <c r="A9" s="15" t="inlineStr">
        <is>
          <t>Software Development</t>
        </is>
      </c>
      <c r="B9" s="16" t="n"/>
      <c r="C9" s="16" t="n"/>
      <c r="D9" s="16" t="n"/>
      <c r="E9" s="18">
        <f>IF(B9&gt;0,C9/B9,"")</f>
        <v/>
      </c>
      <c r="F9" s="16" t="n"/>
      <c r="G9" s="16" t="n"/>
      <c r="H9" s="16" t="n"/>
      <c r="I9" s="16" t="n"/>
      <c r="J9" s="16" t="n"/>
    </row>
    <row r="10">
      <c r="A10" s="15" t="inlineStr">
        <is>
          <t>Sales</t>
        </is>
      </c>
      <c r="B10" s="16" t="n"/>
      <c r="C10" s="16" t="n"/>
      <c r="D10" s="16" t="n"/>
      <c r="E10" s="18">
        <f>IF(B10&gt;0,C10/B10,"")</f>
        <v/>
      </c>
      <c r="F10" s="16" t="n"/>
      <c r="G10" s="16" t="n"/>
      <c r="H10" s="16" t="n"/>
      <c r="I10" s="16" t="n"/>
      <c r="J10" s="16" t="n"/>
    </row>
    <row r="11">
      <c r="A11" s="15" t="inlineStr">
        <is>
          <t>Marketing</t>
        </is>
      </c>
      <c r="B11" s="16" t="n"/>
      <c r="C11" s="16" t="n"/>
      <c r="D11" s="16" t="n"/>
      <c r="E11" s="18">
        <f>IF(B11&gt;0,C11/B11,"")</f>
        <v/>
      </c>
      <c r="F11" s="16" t="n"/>
      <c r="G11" s="16" t="n"/>
      <c r="H11" s="16" t="n"/>
      <c r="I11" s="16" t="n"/>
      <c r="J11" s="16" t="n"/>
    </row>
    <row r="12">
      <c r="A12" s="15" t="inlineStr">
        <is>
          <t>Customer Support</t>
        </is>
      </c>
      <c r="B12" s="16" t="n"/>
      <c r="C12" s="16" t="n"/>
      <c r="D12" s="16" t="n"/>
      <c r="E12" s="18">
        <f>IF(B12&gt;0,C12/B12,"")</f>
        <v/>
      </c>
      <c r="F12" s="16" t="n"/>
      <c r="G12" s="16" t="n"/>
      <c r="H12" s="16" t="n"/>
      <c r="I12" s="16" t="n"/>
      <c r="J12" s="16" t="n"/>
    </row>
    <row r="13">
      <c r="A13" s="15" t="inlineStr">
        <is>
          <t>Legal</t>
        </is>
      </c>
      <c r="B13" s="16" t="n"/>
      <c r="C13" s="16" t="n"/>
      <c r="D13" s="16" t="n"/>
      <c r="E13" s="18">
        <f>IF(B13&gt;0,C13/B13,"")</f>
        <v/>
      </c>
      <c r="F13" s="16" t="n"/>
      <c r="G13" s="16" t="n"/>
      <c r="H13" s="16" t="n"/>
      <c r="I13" s="16" t="n"/>
      <c r="J13" s="16" t="n"/>
    </row>
    <row r="14">
      <c r="A14" s="15" t="inlineStr">
        <is>
          <t>Facilities</t>
        </is>
      </c>
      <c r="B14" s="16" t="n"/>
      <c r="C14" s="16" t="n"/>
      <c r="D14" s="16" t="n"/>
      <c r="E14" s="18">
        <f>IF(B14&gt;0,C14/B14,"")</f>
        <v/>
      </c>
      <c r="F14" s="16" t="n"/>
      <c r="G14" s="16" t="n"/>
      <c r="H14" s="16" t="n"/>
      <c r="I14" s="16" t="n"/>
      <c r="J14" s="16" t="n"/>
    </row>
    <row r="15">
      <c r="A15" s="15" t="inlineStr">
        <is>
          <t>External Contractors</t>
        </is>
      </c>
      <c r="B15" s="16" t="n"/>
      <c r="C15" s="16" t="n"/>
      <c r="D15" s="16" t="n"/>
      <c r="E15" s="18">
        <f>IF(B15&gt;0,C15/B15,"")</f>
        <v/>
      </c>
      <c r="F15" s="16" t="n"/>
      <c r="G15" s="16" t="n"/>
      <c r="H15" s="16" t="n"/>
      <c r="I15" s="16" t="n"/>
      <c r="J15" s="16" t="n"/>
    </row>
    <row r="16">
      <c r="A16" s="16" t="n"/>
      <c r="B16" s="16" t="n"/>
      <c r="C16" s="16" t="n"/>
      <c r="D16" s="16" t="n"/>
      <c r="E16" s="18">
        <f>IF(B16&gt;0,C16/B16,"")</f>
        <v/>
      </c>
      <c r="F16" s="16" t="n"/>
      <c r="G16" s="16" t="n"/>
      <c r="H16" s="16" t="n"/>
      <c r="I16" s="16" t="n"/>
      <c r="J16" s="16" t="n"/>
    </row>
    <row r="17">
      <c r="A17" s="16" t="n"/>
      <c r="B17" s="16" t="n"/>
      <c r="C17" s="16" t="n"/>
      <c r="D17" s="16" t="n"/>
      <c r="E17" s="18">
        <f>IF(B17&gt;0,C17/B17,"")</f>
        <v/>
      </c>
      <c r="F17" s="16" t="n"/>
      <c r="G17" s="16" t="n"/>
      <c r="H17" s="16" t="n"/>
      <c r="I17" s="16" t="n"/>
      <c r="J17" s="16" t="n"/>
    </row>
    <row r="18">
      <c r="A18" s="16" t="n"/>
      <c r="B18" s="16" t="n"/>
      <c r="C18" s="16" t="n"/>
      <c r="D18" s="16" t="n"/>
      <c r="E18" s="18">
        <f>IF(B18&gt;0,C18/B18,"")</f>
        <v/>
      </c>
      <c r="F18" s="16" t="n"/>
      <c r="G18" s="16" t="n"/>
      <c r="H18" s="16" t="n"/>
      <c r="I18" s="16" t="n"/>
      <c r="J18" s="16" t="n"/>
    </row>
    <row r="19">
      <c r="A19" s="16" t="n"/>
      <c r="B19" s="16" t="n"/>
      <c r="C19" s="16" t="n"/>
      <c r="D19" s="16" t="n"/>
      <c r="E19" s="18">
        <f>IF(B19&gt;0,C19/B19,"")</f>
        <v/>
      </c>
      <c r="F19" s="16" t="n"/>
      <c r="G19" s="16" t="n"/>
      <c r="H19" s="16" t="n"/>
      <c r="I19" s="16" t="n"/>
      <c r="J19" s="16" t="n"/>
    </row>
    <row r="20">
      <c r="A20" s="16" t="n"/>
      <c r="B20" s="16" t="n"/>
      <c r="C20" s="16" t="n"/>
      <c r="D20" s="16" t="n"/>
      <c r="E20" s="18">
        <f>IF(B20&gt;0,C20/B20,"")</f>
        <v/>
      </c>
      <c r="F20" s="16" t="n"/>
      <c r="G20" s="16" t="n"/>
      <c r="H20" s="16" t="n"/>
      <c r="I20" s="16" t="n"/>
      <c r="J20" s="16" t="n"/>
    </row>
    <row r="21">
      <c r="A21" s="16" t="n"/>
      <c r="B21" s="16" t="n"/>
      <c r="C21" s="16" t="n"/>
      <c r="D21" s="16" t="n"/>
      <c r="E21" s="18">
        <f>IF(B21&gt;0,C21/B21,"")</f>
        <v/>
      </c>
      <c r="F21" s="16" t="n"/>
      <c r="G21" s="16" t="n"/>
      <c r="H21" s="16" t="n"/>
      <c r="I21" s="16" t="n"/>
      <c r="J21" s="16" t="n"/>
    </row>
    <row r="22">
      <c r="A22" s="16" t="n"/>
      <c r="B22" s="16" t="n"/>
      <c r="C22" s="16" t="n"/>
      <c r="D22" s="16" t="n"/>
      <c r="E22" s="18">
        <f>IF(B22&gt;0,C22/B22,"")</f>
        <v/>
      </c>
      <c r="F22" s="16" t="n"/>
      <c r="G22" s="16" t="n"/>
      <c r="H22" s="16" t="n"/>
      <c r="I22" s="16" t="n"/>
      <c r="J22" s="16" t="n"/>
    </row>
    <row r="23">
      <c r="A23" s="16" t="n"/>
      <c r="B23" s="16" t="n"/>
      <c r="C23" s="16" t="n"/>
      <c r="D23" s="16" t="n"/>
      <c r="E23" s="18">
        <f>IF(B23&gt;0,C23/B23,"")</f>
        <v/>
      </c>
      <c r="F23" s="16" t="n"/>
      <c r="G23" s="16" t="n"/>
      <c r="H23" s="16" t="n"/>
      <c r="I23" s="16" t="n"/>
      <c r="J23" s="16" t="n"/>
    </row>
    <row r="24">
      <c r="A24" s="16" t="n"/>
      <c r="B24" s="16" t="n"/>
      <c r="C24" s="16" t="n"/>
      <c r="D24" s="16" t="n"/>
      <c r="E24" s="18">
        <f>IF(B24&gt;0,C24/B24,"")</f>
        <v/>
      </c>
      <c r="F24" s="16" t="n"/>
      <c r="G24" s="16" t="n"/>
      <c r="H24" s="16" t="n"/>
      <c r="I24" s="16" t="n"/>
      <c r="J24" s="16" t="n"/>
    </row>
    <row r="25">
      <c r="A25" s="16" t="n"/>
      <c r="B25" s="16" t="n"/>
      <c r="C25" s="16" t="n"/>
      <c r="D25" s="16" t="n"/>
      <c r="E25" s="18">
        <f>IF(B25&gt;0,C25/B25,"")</f>
        <v/>
      </c>
      <c r="F25" s="16" t="n"/>
      <c r="G25" s="16" t="n"/>
      <c r="H25" s="16" t="n"/>
      <c r="I25" s="16" t="n"/>
      <c r="J25" s="16" t="n"/>
    </row>
    <row r="26">
      <c r="A26" s="16" t="n"/>
      <c r="B26" s="16" t="n"/>
      <c r="C26" s="16" t="n"/>
      <c r="D26" s="16" t="n"/>
      <c r="E26" s="18">
        <f>IF(B26&gt;0,C26/B26,"")</f>
        <v/>
      </c>
      <c r="F26" s="16" t="n"/>
      <c r="G26" s="16" t="n"/>
      <c r="H26" s="16" t="n"/>
      <c r="I26" s="16" t="n"/>
      <c r="J26" s="16" t="n"/>
    </row>
    <row r="27">
      <c r="A27" s="16" t="n"/>
      <c r="B27" s="16" t="n"/>
      <c r="C27" s="16" t="n"/>
      <c r="D27" s="16" t="n"/>
      <c r="E27" s="18">
        <f>IF(B27&gt;0,C27/B27,"")</f>
        <v/>
      </c>
      <c r="F27" s="16" t="n"/>
      <c r="G27" s="16" t="n"/>
      <c r="H27" s="16" t="n"/>
      <c r="I27" s="16" t="n"/>
      <c r="J27" s="16" t="n"/>
    </row>
    <row r="28">
      <c r="A28" s="16" t="n"/>
      <c r="B28" s="16" t="n"/>
      <c r="C28" s="16" t="n"/>
      <c r="D28" s="16" t="n"/>
      <c r="E28" s="18">
        <f>IF(B28&gt;0,C28/B28,"")</f>
        <v/>
      </c>
      <c r="F28" s="16" t="n"/>
      <c r="G28" s="16" t="n"/>
      <c r="H28" s="16" t="n"/>
      <c r="I28" s="16" t="n"/>
      <c r="J28" s="16" t="n"/>
    </row>
    <row r="29">
      <c r="A29" s="16" t="n"/>
      <c r="B29" s="16" t="n"/>
      <c r="C29" s="16" t="n"/>
      <c r="D29" s="16" t="n"/>
      <c r="E29" s="18">
        <f>IF(B29&gt;0,C29/B29,"")</f>
        <v/>
      </c>
      <c r="F29" s="16" t="n"/>
      <c r="G29" s="16" t="n"/>
      <c r="H29" s="16" t="n"/>
      <c r="I29" s="16" t="n"/>
      <c r="J29" s="16" t="n"/>
    </row>
    <row r="30">
      <c r="A30" s="16" t="n"/>
      <c r="B30" s="16" t="n"/>
      <c r="C30" s="16" t="n"/>
      <c r="D30" s="16" t="n"/>
      <c r="E30" s="18">
        <f>IF(B30&gt;0,C30/B30,"")</f>
        <v/>
      </c>
      <c r="F30" s="16" t="n"/>
      <c r="G30" s="16" t="n"/>
      <c r="H30" s="16" t="n"/>
      <c r="I30" s="16" t="n"/>
      <c r="J30" s="16" t="n"/>
    </row>
    <row r="31">
      <c r="A31" s="16" t="n"/>
      <c r="B31" s="16" t="n"/>
      <c r="C31" s="16" t="n"/>
      <c r="D31" s="16" t="n"/>
      <c r="E31" s="18">
        <f>IF(B31&gt;0,C31/B31,"")</f>
        <v/>
      </c>
      <c r="F31" s="16" t="n"/>
      <c r="G31" s="16" t="n"/>
      <c r="H31" s="16" t="n"/>
      <c r="I31" s="16" t="n"/>
      <c r="J31" s="16" t="n"/>
    </row>
    <row r="32">
      <c r="A32" s="16" t="n"/>
      <c r="B32" s="16" t="n"/>
      <c r="C32" s="16" t="n"/>
      <c r="D32" s="16" t="n"/>
      <c r="E32" s="18">
        <f>IF(B32&gt;0,C32/B32,"")</f>
        <v/>
      </c>
      <c r="F32" s="16" t="n"/>
      <c r="G32" s="16" t="n"/>
      <c r="H32" s="16" t="n"/>
      <c r="I32" s="16" t="n"/>
      <c r="J32" s="16" t="n"/>
    </row>
    <row r="33">
      <c r="A33" s="16" t="n"/>
      <c r="B33" s="16" t="n"/>
      <c r="C33" s="16" t="n"/>
      <c r="D33" s="16" t="n"/>
      <c r="E33" s="18">
        <f>IF(B33&gt;0,C33/B33,"")</f>
        <v/>
      </c>
      <c r="F33" s="16" t="n"/>
      <c r="G33" s="16" t="n"/>
      <c r="H33" s="16" t="n"/>
      <c r="I33" s="16" t="n"/>
      <c r="J33" s="16" t="n"/>
    </row>
    <row r="34">
      <c r="A34" s="16" t="n"/>
      <c r="B34" s="16" t="n"/>
      <c r="C34" s="16" t="n"/>
      <c r="D34" s="16" t="n"/>
      <c r="E34" s="18">
        <f>IF(B34&gt;0,C34/B34,"")</f>
        <v/>
      </c>
      <c r="F34" s="16" t="n"/>
      <c r="G34" s="16" t="n"/>
      <c r="H34" s="16" t="n"/>
      <c r="I34" s="16" t="n"/>
      <c r="J34" s="16" t="n"/>
    </row>
    <row r="35">
      <c r="A35" s="16" t="n"/>
      <c r="B35" s="16" t="n"/>
      <c r="C35" s="16" t="n"/>
      <c r="D35" s="16" t="n"/>
      <c r="E35" s="18">
        <f>IF(B35&gt;0,C35/B35,"")</f>
        <v/>
      </c>
      <c r="F35" s="16" t="n"/>
      <c r="G35" s="16" t="n"/>
      <c r="H35" s="16" t="n"/>
      <c r="I35" s="16" t="n"/>
      <c r="J35" s="16" t="n"/>
    </row>
    <row r="36">
      <c r="A36" s="16" t="n"/>
      <c r="B36" s="16" t="n"/>
      <c r="C36" s="16" t="n"/>
      <c r="D36" s="16" t="n"/>
      <c r="E36" s="18">
        <f>IF(B36&gt;0,C36/B36,"")</f>
        <v/>
      </c>
      <c r="F36" s="16" t="n"/>
      <c r="G36" s="16" t="n"/>
      <c r="H36" s="16" t="n"/>
      <c r="I36" s="16" t="n"/>
      <c r="J36" s="16" t="n"/>
    </row>
    <row r="37">
      <c r="A37" s="16" t="n"/>
      <c r="B37" s="16" t="n"/>
      <c r="C37" s="16" t="n"/>
      <c r="D37" s="16" t="n"/>
      <c r="E37" s="18">
        <f>IF(B37&gt;0,C37/B37,"")</f>
        <v/>
      </c>
      <c r="F37" s="16" t="n"/>
      <c r="G37" s="16" t="n"/>
      <c r="H37" s="16" t="n"/>
      <c r="I37" s="16" t="n"/>
      <c r="J37" s="16" t="n"/>
    </row>
    <row r="38">
      <c r="A38" s="16" t="n"/>
      <c r="B38" s="16" t="n"/>
      <c r="C38" s="16" t="n"/>
      <c r="D38" s="16" t="n"/>
      <c r="E38" s="18">
        <f>IF(B38&gt;0,C38/B38,"")</f>
        <v/>
      </c>
      <c r="F38" s="16" t="n"/>
      <c r="G38" s="16" t="n"/>
      <c r="H38" s="16" t="n"/>
      <c r="I38" s="16" t="n"/>
      <c r="J38" s="16" t="n"/>
    </row>
    <row r="39">
      <c r="A39" s="16" t="n"/>
      <c r="B39" s="16" t="n"/>
      <c r="C39" s="16" t="n"/>
      <c r="D39" s="16" t="n"/>
      <c r="E39" s="18">
        <f>IF(B39&gt;0,C39/B39,"")</f>
        <v/>
      </c>
      <c r="F39" s="16" t="n"/>
      <c r="G39" s="16" t="n"/>
      <c r="H39" s="16" t="n"/>
      <c r="I39" s="16" t="n"/>
      <c r="J39" s="16" t="n"/>
    </row>
    <row r="40">
      <c r="A40" s="16" t="n"/>
      <c r="B40" s="16" t="n"/>
      <c r="C40" s="16" t="n"/>
      <c r="D40" s="16" t="n"/>
      <c r="E40" s="18">
        <f>IF(B40&gt;0,C40/B40,"")</f>
        <v/>
      </c>
      <c r="F40" s="16" t="n"/>
      <c r="G40" s="16" t="n"/>
      <c r="H40" s="16" t="n"/>
      <c r="I40" s="16" t="n"/>
      <c r="J40" s="16" t="n"/>
    </row>
    <row r="41">
      <c r="A41" s="16" t="n"/>
      <c r="B41" s="16" t="n"/>
      <c r="C41" s="16" t="n"/>
      <c r="D41" s="16" t="n"/>
      <c r="E41" s="18">
        <f>IF(B41&gt;0,C41/B41,"")</f>
        <v/>
      </c>
      <c r="F41" s="16" t="n"/>
      <c r="G41" s="16" t="n"/>
      <c r="H41" s="16" t="n"/>
      <c r="I41" s="16" t="n"/>
      <c r="J41" s="16" t="n"/>
    </row>
    <row r="42">
      <c r="A42" s="16" t="n"/>
      <c r="B42" s="16" t="n"/>
      <c r="C42" s="16" t="n"/>
      <c r="D42" s="16" t="n"/>
      <c r="E42" s="18">
        <f>IF(B42&gt;0,C42/B42,"")</f>
        <v/>
      </c>
      <c r="F42" s="16" t="n"/>
      <c r="G42" s="16" t="n"/>
      <c r="H42" s="16" t="n"/>
      <c r="I42" s="16" t="n"/>
      <c r="J42" s="16" t="n"/>
    </row>
    <row r="43">
      <c r="A43" s="16" t="n"/>
      <c r="B43" s="16" t="n"/>
      <c r="C43" s="16" t="n"/>
      <c r="D43" s="16" t="n"/>
      <c r="E43" s="18">
        <f>IF(B43&gt;0,C43/B43,"")</f>
        <v/>
      </c>
      <c r="F43" s="16" t="n"/>
      <c r="G43" s="16" t="n"/>
      <c r="H43" s="16" t="n"/>
      <c r="I43" s="16" t="n"/>
      <c r="J43" s="16" t="n"/>
    </row>
    <row r="44">
      <c r="A44" s="16" t="n"/>
      <c r="B44" s="16" t="n"/>
      <c r="C44" s="16" t="n"/>
      <c r="D44" s="16" t="n"/>
      <c r="E44" s="18">
        <f>IF(B44&gt;0,C44/B44,"")</f>
        <v/>
      </c>
      <c r="F44" s="16" t="n"/>
      <c r="G44" s="16" t="n"/>
      <c r="H44" s="16" t="n"/>
      <c r="I44" s="16" t="n"/>
      <c r="J44" s="16" t="n"/>
    </row>
    <row r="45">
      <c r="A45" s="16" t="n"/>
      <c r="B45" s="16" t="n"/>
      <c r="C45" s="16" t="n"/>
      <c r="D45" s="16" t="n"/>
      <c r="E45" s="18">
        <f>IF(B45&gt;0,C45/B45,"")</f>
        <v/>
      </c>
      <c r="F45" s="16" t="n"/>
      <c r="G45" s="16" t="n"/>
      <c r="H45" s="16" t="n"/>
      <c r="I45" s="16" t="n"/>
      <c r="J45" s="16" t="n"/>
    </row>
    <row r="46">
      <c r="A46" s="16" t="n"/>
      <c r="B46" s="16" t="n"/>
      <c r="C46" s="16" t="n"/>
      <c r="D46" s="16" t="n"/>
      <c r="E46" s="18">
        <f>IF(B46&gt;0,C46/B46,"")</f>
        <v/>
      </c>
      <c r="F46" s="16" t="n"/>
      <c r="G46" s="16" t="n"/>
      <c r="H46" s="16" t="n"/>
      <c r="I46" s="16" t="n"/>
      <c r="J46" s="16" t="n"/>
    </row>
    <row r="47">
      <c r="A47" s="16" t="n"/>
      <c r="B47" s="16" t="n"/>
      <c r="C47" s="16" t="n"/>
      <c r="D47" s="16" t="n"/>
      <c r="E47" s="18">
        <f>IF(B47&gt;0,C47/B47,"")</f>
        <v/>
      </c>
      <c r="F47" s="16" t="n"/>
      <c r="G47" s="16" t="n"/>
      <c r="H47" s="16" t="n"/>
      <c r="I47" s="16" t="n"/>
      <c r="J47" s="16" t="n"/>
    </row>
    <row r="48">
      <c r="A48" s="16" t="n"/>
      <c r="B48" s="16" t="n"/>
      <c r="C48" s="16" t="n"/>
      <c r="D48" s="16" t="n"/>
      <c r="E48" s="18">
        <f>IF(B48&gt;0,C48/B48,"")</f>
        <v/>
      </c>
      <c r="F48" s="16" t="n"/>
      <c r="G48" s="16" t="n"/>
      <c r="H48" s="16" t="n"/>
      <c r="I48" s="16" t="n"/>
      <c r="J48" s="16" t="n"/>
    </row>
    <row r="49">
      <c r="A49" s="16" t="n"/>
      <c r="B49" s="16" t="n"/>
      <c r="C49" s="16" t="n"/>
      <c r="D49" s="16" t="n"/>
      <c r="E49" s="18">
        <f>IF(B49&gt;0,C49/B49,"")</f>
        <v/>
      </c>
      <c r="F49" s="16" t="n"/>
      <c r="G49" s="16" t="n"/>
      <c r="H49" s="16" t="n"/>
      <c r="I49" s="16" t="n"/>
      <c r="J49" s="16" t="n"/>
    </row>
    <row r="50">
      <c r="A50" s="16" t="n"/>
      <c r="B50" s="16" t="n"/>
      <c r="C50" s="16" t="n"/>
      <c r="D50" s="16" t="n"/>
      <c r="E50" s="18">
        <f>IF(B50&gt;0,C50/B50,"")</f>
        <v/>
      </c>
      <c r="F50" s="16" t="n"/>
      <c r="G50" s="16" t="n"/>
      <c r="H50" s="16" t="n"/>
      <c r="I50" s="16" t="n"/>
      <c r="J50" s="16" t="n"/>
    </row>
    <row r="51">
      <c r="A51" s="16" t="n"/>
      <c r="B51" s="16" t="n"/>
      <c r="C51" s="16" t="n"/>
      <c r="D51" s="16" t="n"/>
      <c r="E51" s="18">
        <f>IF(B51&gt;0,C51/B51,"")</f>
        <v/>
      </c>
      <c r="F51" s="16" t="n"/>
      <c r="G51" s="16" t="n"/>
      <c r="H51" s="16" t="n"/>
      <c r="I51" s="16" t="n"/>
      <c r="J51" s="16" t="n"/>
    </row>
    <row r="52">
      <c r="A52" s="16" t="n"/>
      <c r="B52" s="16" t="n"/>
      <c r="C52" s="16" t="n"/>
      <c r="D52" s="16" t="n"/>
      <c r="E52" s="18">
        <f>IF(B52&gt;0,C52/B52,"")</f>
        <v/>
      </c>
      <c r="F52" s="16" t="n"/>
      <c r="G52" s="16" t="n"/>
      <c r="H52" s="16" t="n"/>
      <c r="I52" s="16" t="n"/>
      <c r="J52" s="16" t="n"/>
    </row>
    <row r="53">
      <c r="A53" s="16" t="n"/>
      <c r="B53" s="16" t="n"/>
      <c r="C53" s="16" t="n"/>
      <c r="D53" s="16" t="n"/>
      <c r="E53" s="18">
        <f>IF(B53&gt;0,C53/B53,"")</f>
        <v/>
      </c>
      <c r="F53" s="16" t="n"/>
      <c r="G53" s="16" t="n"/>
      <c r="H53" s="16" t="n"/>
      <c r="I53" s="16" t="n"/>
      <c r="J53" s="16" t="n"/>
    </row>
    <row r="54">
      <c r="A54" s="16" t="n"/>
      <c r="B54" s="16" t="n"/>
      <c r="C54" s="16" t="n"/>
      <c r="D54" s="16" t="n"/>
      <c r="E54" s="18">
        <f>IF(B54&gt;0,C54/B54,"")</f>
        <v/>
      </c>
      <c r="F54" s="16" t="n"/>
      <c r="G54" s="16" t="n"/>
      <c r="H54" s="16" t="n"/>
      <c r="I54" s="16" t="n"/>
      <c r="J54" s="16" t="n"/>
    </row>
    <row r="55">
      <c r="A55" s="16" t="n"/>
      <c r="B55" s="16" t="n"/>
      <c r="C55" s="16" t="n"/>
      <c r="D55" s="16" t="n"/>
      <c r="E55" s="18">
        <f>IF(B55&gt;0,C55/B55,"")</f>
        <v/>
      </c>
      <c r="F55" s="16" t="n"/>
      <c r="G55" s="16" t="n"/>
      <c r="H55" s="16" t="n"/>
      <c r="I55" s="16" t="n"/>
      <c r="J55" s="16" t="n"/>
    </row>
    <row r="56">
      <c r="A56" s="16" t="n"/>
      <c r="B56" s="16" t="n"/>
      <c r="C56" s="16" t="n"/>
      <c r="D56" s="16" t="n"/>
      <c r="E56" s="18">
        <f>IF(B56&gt;0,C56/B56,"")</f>
        <v/>
      </c>
      <c r="F56" s="16" t="n"/>
      <c r="G56" s="16" t="n"/>
      <c r="H56" s="16" t="n"/>
      <c r="I56" s="16" t="n"/>
      <c r="J56" s="16" t="n"/>
    </row>
    <row r="57">
      <c r="A57" s="16" t="n"/>
      <c r="B57" s="16" t="n"/>
      <c r="C57" s="16" t="n"/>
      <c r="D57" s="16" t="n"/>
      <c r="E57" s="18">
        <f>IF(B57&gt;0,C57/B57,"")</f>
        <v/>
      </c>
      <c r="F57" s="16" t="n"/>
      <c r="G57" s="16" t="n"/>
      <c r="H57" s="16" t="n"/>
      <c r="I57" s="16" t="n"/>
      <c r="J57" s="16" t="n"/>
    </row>
    <row r="58">
      <c r="A58" s="16" t="n"/>
      <c r="B58" s="16" t="n"/>
      <c r="C58" s="16" t="n"/>
      <c r="D58" s="16" t="n"/>
      <c r="E58" s="18">
        <f>IF(B58&gt;0,C58/B58,"")</f>
        <v/>
      </c>
      <c r="F58" s="16" t="n"/>
      <c r="G58" s="16" t="n"/>
      <c r="H58" s="16" t="n"/>
      <c r="I58" s="16" t="n"/>
      <c r="J58" s="16" t="n"/>
    </row>
    <row r="59">
      <c r="A59" s="16" t="n"/>
      <c r="B59" s="16" t="n"/>
      <c r="C59" s="16" t="n"/>
      <c r="D59" s="16" t="n"/>
      <c r="E59" s="18">
        <f>IF(B59&gt;0,C59/B59,"")</f>
        <v/>
      </c>
      <c r="F59" s="16" t="n"/>
      <c r="G59" s="16" t="n"/>
      <c r="H59" s="16" t="n"/>
      <c r="I59" s="16" t="n"/>
      <c r="J59" s="16" t="n"/>
    </row>
    <row r="60">
      <c r="A60" s="16" t="n"/>
      <c r="B60" s="16" t="n"/>
      <c r="C60" s="16" t="n"/>
      <c r="D60" s="16" t="n"/>
      <c r="E60" s="18">
        <f>IF(B60&gt;0,C60/B60,"")</f>
        <v/>
      </c>
      <c r="F60" s="16" t="n"/>
      <c r="G60" s="16" t="n"/>
      <c r="H60" s="16" t="n"/>
      <c r="I60" s="16" t="n"/>
      <c r="J60" s="16" t="n"/>
    </row>
    <row r="61">
      <c r="A61" s="16" t="n"/>
      <c r="B61" s="16" t="n"/>
      <c r="C61" s="16" t="n"/>
      <c r="D61" s="16" t="n"/>
      <c r="E61" s="18">
        <f>IF(B61&gt;0,C61/B61,"")</f>
        <v/>
      </c>
      <c r="F61" s="16" t="n"/>
      <c r="G61" s="16" t="n"/>
      <c r="H61" s="16" t="n"/>
      <c r="I61" s="16" t="n"/>
      <c r="J61" s="16" t="n"/>
    </row>
    <row r="62">
      <c r="A62" s="16" t="n"/>
      <c r="B62" s="16" t="n"/>
      <c r="C62" s="16" t="n"/>
      <c r="D62" s="16" t="n"/>
      <c r="E62" s="18">
        <f>IF(B62&gt;0,C62/B62,"")</f>
        <v/>
      </c>
      <c r="F62" s="16" t="n"/>
      <c r="G62" s="16" t="n"/>
      <c r="H62" s="16" t="n"/>
      <c r="I62" s="16" t="n"/>
      <c r="J62" s="16" t="n"/>
    </row>
    <row r="63">
      <c r="A63" s="16" t="n"/>
      <c r="B63" s="16" t="n"/>
      <c r="C63" s="16" t="n"/>
      <c r="D63" s="16" t="n"/>
      <c r="E63" s="18">
        <f>IF(B63&gt;0,C63/B63,"")</f>
        <v/>
      </c>
      <c r="F63" s="16" t="n"/>
      <c r="G63" s="16" t="n"/>
      <c r="H63" s="16" t="n"/>
      <c r="I63" s="16" t="n"/>
      <c r="J63" s="16" t="n"/>
    </row>
    <row r="64">
      <c r="A64" s="16" t="n"/>
      <c r="B64" s="16" t="n"/>
      <c r="C64" s="16" t="n"/>
      <c r="D64" s="16" t="n"/>
      <c r="E64" s="18">
        <f>IF(B64&gt;0,C64/B64,"")</f>
        <v/>
      </c>
      <c r="F64" s="16" t="n"/>
      <c r="G64" s="16" t="n"/>
      <c r="H64" s="16" t="n"/>
      <c r="I64" s="16" t="n"/>
      <c r="J64" s="16" t="n"/>
    </row>
    <row r="65">
      <c r="A65" s="16" t="n"/>
      <c r="B65" s="16" t="n"/>
      <c r="C65" s="16" t="n"/>
      <c r="D65" s="16" t="n"/>
      <c r="E65" s="18">
        <f>IF(B65&gt;0,C65/B65,"")</f>
        <v/>
      </c>
      <c r="F65" s="16" t="n"/>
      <c r="G65" s="16" t="n"/>
      <c r="H65" s="16" t="n"/>
      <c r="I65" s="16" t="n"/>
      <c r="J65" s="16" t="n"/>
    </row>
  </sheetData>
  <mergeCells count="2">
    <mergeCell ref="A1:J1"/>
    <mergeCell ref="A2:J2"/>
  </mergeCells>
  <dataValidations count="2">
    <dataValidation sqref="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type="list">
      <formula1>"Email,LMS,Intranet,In-Person,Onboarding"</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showDropDown="0" showInputMessage="0" showErrorMessage="0" allowBlank="0" type="list">
      <formula1>"None Required,Reminder Sent,Manager Notified,HR Escalation"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2"/>
  <sheetViews>
    <sheetView showGridLines="0" workbookViewId="0">
      <pane ySplit="3" topLeftCell="A4" activePane="bottomLeft" state="frozen"/>
      <selection pane="bottomLeft" activeCell="A1" sqref="A1"/>
    </sheetView>
  </sheetViews>
  <sheetFormatPr baseColWidth="8" defaultRowHeight="15"/>
  <cols>
    <col width="28" customWidth="1" min="1" max="1"/>
    <col width="25" customWidth="1" min="2" max="2"/>
    <col width="18" customWidth="1" min="3" max="3"/>
    <col width="18" customWidth="1" min="4" max="4"/>
    <col width="18" customWidth="1" min="5" max="5"/>
    <col width="22" customWidth="1" min="6" max="6"/>
    <col width="22" customWidth="1" min="7" max="7"/>
    <col width="35" customWidth="1" min="8" max="8"/>
    <col width="18" customWidth="1" min="9" max="9"/>
  </cols>
  <sheetData>
    <row r="1" ht="35" customHeight="1">
      <c r="A1" s="11" t="inlineStr">
        <is>
          <t>POLICY COMMUNICATION MATRIX</t>
        </is>
      </c>
    </row>
    <row r="2">
      <c r="A2" s="12" t="inlineStr">
        <is>
          <t>Assess effectiveness of AUP communication channels and training delivery</t>
        </is>
      </c>
    </row>
    <row r="3">
      <c r="A3" s="13" t="inlineStr">
        <is>
          <t>Communication_Channel</t>
        </is>
      </c>
      <c r="B3" s="13" t="inlineStr">
        <is>
          <t>Audience</t>
        </is>
      </c>
      <c r="C3" s="13" t="inlineStr">
        <is>
          <t>Frequency</t>
        </is>
      </c>
      <c r="D3" s="13" t="inlineStr">
        <is>
          <t>Last_Communication</t>
        </is>
      </c>
      <c r="E3" s="13" t="inlineStr">
        <is>
          <t>Next_Scheduled</t>
        </is>
      </c>
      <c r="F3" s="13" t="inlineStr">
        <is>
          <t>Effectiveness_Rating</t>
        </is>
      </c>
      <c r="G3" s="13" t="inlineStr">
        <is>
          <t>Owner</t>
        </is>
      </c>
      <c r="H3" s="13" t="inlineStr">
        <is>
          <t>Improvement_Actions</t>
        </is>
      </c>
      <c r="I3" s="13" t="inlineStr">
        <is>
          <t>Evidence_Ref</t>
        </is>
      </c>
    </row>
    <row r="4">
      <c r="A4" s="14" t="inlineStr">
        <is>
          <t>New Employee Onboarding</t>
        </is>
      </c>
      <c r="B4" s="14" t="inlineStr">
        <is>
          <t>New hires</t>
        </is>
      </c>
      <c r="C4" s="14" t="inlineStr">
        <is>
          <t>Per hire</t>
        </is>
      </c>
      <c r="D4" s="14" t="inlineStr">
        <is>
          <t>2026-02-01</t>
        </is>
      </c>
      <c r="E4" s="14" t="inlineStr">
        <is>
          <t>2026-03-01</t>
        </is>
      </c>
      <c r="F4" s="14" t="inlineStr">
        <is>
          <t>Highly Effective</t>
        </is>
      </c>
      <c r="G4" s="14" t="inlineStr">
        <is>
          <t>HR Manager</t>
        </is>
      </c>
      <c r="H4" s="14" t="inlineStr">
        <is>
          <t>Include video tutorial module</t>
        </is>
      </c>
      <c r="I4" s="14" t="inlineStr">
        <is>
          <t>HR-ONBOARD-2026</t>
        </is>
      </c>
    </row>
    <row r="5">
      <c r="A5" s="15" t="inlineStr">
        <is>
          <t>New Employee Onboarding</t>
        </is>
      </c>
      <c r="B5" s="15" t="inlineStr">
        <is>
          <t>New hires</t>
        </is>
      </c>
      <c r="C5" s="15" t="inlineStr">
        <is>
          <t>Per hire</t>
        </is>
      </c>
      <c r="D5" s="16" t="n"/>
      <c r="E5" s="16" t="n"/>
      <c r="F5" s="16" t="n"/>
      <c r="G5" s="16" t="n"/>
      <c r="H5" s="16" t="n"/>
      <c r="I5" s="16" t="n"/>
    </row>
    <row r="6">
      <c r="A6" s="15" t="inlineStr">
        <is>
          <t>Annual AUP Refresh Campaign</t>
        </is>
      </c>
      <c r="B6" s="15" t="inlineStr">
        <is>
          <t>All employees</t>
        </is>
      </c>
      <c r="C6" s="15" t="inlineStr">
        <is>
          <t>Annual</t>
        </is>
      </c>
      <c r="D6" s="16" t="n"/>
      <c r="E6" s="16" t="n"/>
      <c r="F6" s="16" t="n"/>
      <c r="G6" s="16" t="n"/>
      <c r="H6" s="16" t="n"/>
      <c r="I6" s="16" t="n"/>
    </row>
    <row r="7">
      <c r="A7" s="15" t="inlineStr">
        <is>
          <t>Intranet Policy Portal</t>
        </is>
      </c>
      <c r="B7" s="15" t="inlineStr">
        <is>
          <t>All employees</t>
        </is>
      </c>
      <c r="C7" s="15" t="inlineStr">
        <is>
          <t>Always available</t>
        </is>
      </c>
      <c r="D7" s="16" t="n"/>
      <c r="E7" s="16" t="n"/>
      <c r="F7" s="16" t="n"/>
      <c r="G7" s="16" t="n"/>
      <c r="H7" s="16" t="n"/>
      <c r="I7" s="16" t="n"/>
    </row>
    <row r="8">
      <c r="A8" s="15" t="inlineStr">
        <is>
          <t>Security Awareness Training</t>
        </is>
      </c>
      <c r="B8" s="15" t="inlineStr">
        <is>
          <t>All employees</t>
        </is>
      </c>
      <c r="C8" s="15" t="inlineStr">
        <is>
          <t>Annual</t>
        </is>
      </c>
      <c r="D8" s="16" t="n"/>
      <c r="E8" s="16" t="n"/>
      <c r="F8" s="16" t="n"/>
      <c r="G8" s="16" t="n"/>
      <c r="H8" s="16" t="n"/>
      <c r="I8" s="16" t="n"/>
    </row>
    <row r="9">
      <c r="A9" s="15" t="inlineStr">
        <is>
          <t>Manager Briefings</t>
        </is>
      </c>
      <c r="B9" s="15" t="inlineStr">
        <is>
          <t>People managers</t>
        </is>
      </c>
      <c r="C9" s="15" t="inlineStr">
        <is>
          <t>Quarterly</t>
        </is>
      </c>
      <c r="D9" s="16" t="n"/>
      <c r="E9" s="16" t="n"/>
      <c r="F9" s="16" t="n"/>
      <c r="G9" s="16" t="n"/>
      <c r="H9" s="16" t="n"/>
      <c r="I9" s="16" t="n"/>
    </row>
    <row r="10">
      <c r="A10" s="15" t="inlineStr">
        <is>
          <t>Contractor Onboarding</t>
        </is>
      </c>
      <c r="B10" s="15" t="inlineStr">
        <is>
          <t>New contractors</t>
        </is>
      </c>
      <c r="C10" s="15" t="inlineStr">
        <is>
          <t>Per engagement</t>
        </is>
      </c>
      <c r="D10" s="16" t="n"/>
      <c r="E10" s="16" t="n"/>
      <c r="F10" s="16" t="n"/>
      <c r="G10" s="16" t="n"/>
      <c r="H10" s="16" t="n"/>
      <c r="I10" s="16" t="n"/>
    </row>
    <row r="11">
      <c r="A11" s="15" t="inlineStr">
        <is>
          <t>Policy Update Notifications</t>
        </is>
      </c>
      <c r="B11" s="15" t="inlineStr">
        <is>
          <t>All employees</t>
        </is>
      </c>
      <c r="C11" s="15" t="inlineStr">
        <is>
          <t>As needed</t>
        </is>
      </c>
      <c r="D11" s="16" t="n"/>
      <c r="E11" s="16" t="n"/>
      <c r="F11" s="16" t="n"/>
      <c r="G11" s="16" t="n"/>
      <c r="H11" s="16" t="n"/>
      <c r="I11" s="16" t="n"/>
    </row>
    <row r="12">
      <c r="A12" s="15" t="inlineStr">
        <is>
          <t>Compliance Reminders</t>
        </is>
      </c>
      <c r="B12" s="15" t="inlineStr">
        <is>
          <t>Non-compliant users</t>
        </is>
      </c>
      <c r="C12" s="15" t="inlineStr">
        <is>
          <t>As needed</t>
        </is>
      </c>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row r="60">
      <c r="A60" s="16" t="n"/>
      <c r="B60" s="16" t="n"/>
      <c r="C60" s="16" t="n"/>
      <c r="D60" s="16" t="n"/>
      <c r="E60" s="16" t="n"/>
      <c r="F60" s="16" t="n"/>
      <c r="G60" s="16" t="n"/>
      <c r="H60" s="16" t="n"/>
      <c r="I60" s="16" t="n"/>
    </row>
    <row r="61">
      <c r="A61" s="16" t="n"/>
      <c r="B61" s="16" t="n"/>
      <c r="C61" s="16" t="n"/>
      <c r="D61" s="16" t="n"/>
      <c r="E61" s="16" t="n"/>
      <c r="F61" s="16" t="n"/>
      <c r="G61" s="16" t="n"/>
      <c r="H61" s="16" t="n"/>
      <c r="I61" s="16" t="n"/>
    </row>
    <row r="62">
      <c r="A62" s="16" t="n"/>
      <c r="B62" s="16" t="n"/>
      <c r="C62" s="16" t="n"/>
      <c r="D62" s="16" t="n"/>
      <c r="E62" s="16" t="n"/>
      <c r="F62" s="16" t="n"/>
      <c r="G62" s="16" t="n"/>
      <c r="H62" s="16" t="n"/>
      <c r="I62" s="16" t="n"/>
    </row>
  </sheetData>
  <mergeCells count="2">
    <mergeCell ref="A1:I1"/>
    <mergeCell ref="A2:I2"/>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"Daily,Weekly,Monthly,Quarterly,Annual,Per hire,As needed,Always available"</formula1>
    </dataValidation>
    <dataValidation sqref="F5 F6 F7 F8 F9 F10 F11 F12 F13 F14 F15 F16 F17 F18 F19 F20 F21 F22 F23 F24 F25 F26 F27 F28 F29 F30 F31 F32 F33 F34 F35 F36 F37 F38 F39 F40 F41 F42 F43 F44 F45 F46 F47 F48 F49 F50 F51 F52 F53 F54 F55 F56 F57 F58 F59 F60 F61 F62" showDropDown="0" showInputMessage="0" showErrorMessage="0" allowBlank="0" type="list">
      <formula1>"Highly Effective,Effective,Needs Improvement,Ineffective"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5"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9" t="inlineStr">
        <is>
          <t>Evidence_ID</t>
        </is>
      </c>
      <c r="B4" s="19" t="inlineStr">
        <is>
          <t>Evidence_Type</t>
        </is>
      </c>
      <c r="C4" s="19" t="inlineStr">
        <is>
          <t>Description</t>
        </is>
      </c>
      <c r="D4" s="19" t="inlineStr">
        <is>
          <t>Related_Requirement</t>
        </is>
      </c>
      <c r="E4" s="19" t="inlineStr">
        <is>
          <t>Collection_Date</t>
        </is>
      </c>
      <c r="F4" s="19" t="inlineStr">
        <is>
          <t>Location</t>
        </is>
      </c>
      <c r="G4" s="19" t="inlineStr">
        <is>
          <t>Collected_By</t>
        </is>
      </c>
      <c r="H4" s="19" t="inlineStr">
        <is>
          <t>Valid_Until</t>
        </is>
      </c>
    </row>
    <row r="5">
      <c r="A5" s="14" t="inlineStr">
        <is>
          <t>EV-001</t>
        </is>
      </c>
      <c r="B5" s="14" t="inlineStr">
        <is>
          <t>Policy Document</t>
        </is>
      </c>
      <c r="C5" s="14" t="inlineStr">
        <is>
          <t>Acceptable Use Policy v2.3 — signed and approved</t>
        </is>
      </c>
      <c r="D5" s="14" t="inlineStr">
        <is>
          <t>REQ-001</t>
        </is>
      </c>
      <c r="E5" s="14" t="inlineStr">
        <is>
          <t>2026-01-15</t>
        </is>
      </c>
      <c r="F5" s="14" t="inlineStr">
        <is>
          <t>/policies/AUP-v2.3.pdf</t>
        </is>
      </c>
      <c r="G5" s="14" t="inlineStr">
        <is>
          <t>CISO</t>
        </is>
      </c>
      <c r="H5" s="14" t="inlineStr">
        <is>
          <t>2027-01-15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Document,Acknowledgment Record,Training Record,Screenshot,Export,Attestation,Email,Meeting Minutes"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0" t="inlineStr">
        <is>
          <t>ACCEPTABLE USE POLICY ASSESSMENT — SUMMARY DASHBOARD</t>
        </is>
      </c>
      <c r="B1" s="6" t="n"/>
      <c r="C1" s="6" t="n"/>
      <c r="D1" s="6" t="n"/>
      <c r="E1" s="6" t="n"/>
      <c r="F1" s="6" t="n"/>
      <c r="G1" s="6" t="n"/>
    </row>
    <row r="2">
      <c r="A2" s="21" t="inlineStr">
        <is>
          <t>ISO/IEC 27001:2022 — Control A.5.10: Acceptable Use of Information and Other Associated Assets</t>
        </is>
      </c>
    </row>
    <row r="4" ht="20" customHeight="1">
      <c r="A4" s="22" t="inlineStr">
        <is>
          <t>TABLE 1: ASSESSMENT AREA COMPLIANCE OVERVIEW</t>
        </is>
      </c>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AUP Policy Requirements</t>
        </is>
      </c>
      <c r="B6" s="25">
        <f>COUNTA('Policy Assessment'!A5:A59)</f>
        <v/>
      </c>
      <c r="C6" s="25">
        <f>COUNTIF('Policy Assessment'!D5:D59,"Yes")</f>
        <v/>
      </c>
      <c r="D6" s="25">
        <f>COUNTIF('Policy Assessment'!D5:D59,"Partial")</f>
        <v/>
      </c>
      <c r="E6" s="25">
        <f>COUNTIF('Policy Assessment'!D5:D59,"No")</f>
        <v/>
      </c>
      <c r="F6" s="25">
        <f>COUNTIF('Policy Assessment'!D5:D59,"N/A")</f>
        <v/>
      </c>
      <c r="G6" s="26">
        <f>IFERROR(IF((B6-F6)=0,0,C6/(B6-F6)),"")</f>
        <v/>
      </c>
    </row>
    <row r="7">
      <c r="A7" s="24" t="inlineStr">
        <is>
          <t>Asset Category Coverage</t>
        </is>
      </c>
      <c r="B7" s="25">
        <f>COUNTA('Asset Coverage'!A5:A59)</f>
        <v/>
      </c>
      <c r="C7" s="25">
        <f>COUNTIF('Asset Coverage'!C5:C59,"Yes")</f>
        <v/>
      </c>
      <c r="D7" s="25">
        <f>COUNTIF('Asset Coverage'!C5:C59,"Partial")</f>
        <v/>
      </c>
      <c r="E7" s="25">
        <f>COUNTIF('Asset Coverage'!C5:C59,"No")</f>
        <v/>
      </c>
      <c r="F7" s="25">
        <f>0</f>
        <v/>
      </c>
      <c r="G7" s="26">
        <f>IFERROR(IF((B7-F7)=0,0,C7/(B7-F7)),"")</f>
        <v/>
      </c>
    </row>
    <row r="8">
      <c r="A8" s="27" t="inlineStr">
        <is>
          <t>TOTAL</t>
        </is>
      </c>
      <c r="B8" s="28">
        <f>SUM(B6:B7)</f>
        <v/>
      </c>
      <c r="C8" s="28">
        <f>SUM(C6:C7)</f>
        <v/>
      </c>
      <c r="D8" s="28">
        <f>SUM(D6:D7)</f>
        <v/>
      </c>
      <c r="E8" s="28">
        <f>SUM(E6:E7)</f>
        <v/>
      </c>
      <c r="F8" s="28">
        <f>SUM(F6:F7)</f>
        <v/>
      </c>
      <c r="G8" s="29">
        <f>IFERROR(IF((B8-F8)=0,0,C8/(B8-F8)),"")</f>
        <v/>
      </c>
    </row>
    <row r="10" ht="20" customHeight="1">
      <c r="A10" s="22" t="inlineStr">
        <is>
          <t>TABLE 2: KEY METRICS AND KPIs</t>
        </is>
      </c>
    </row>
    <row r="11">
      <c r="A11" s="28" t="inlineStr">
        <is>
          <t>Metric</t>
        </is>
      </c>
      <c r="B11" s="28" t="inlineStr">
        <is>
          <t>Value</t>
        </is>
      </c>
      <c r="C11" s="28" t="n"/>
      <c r="D11" s="28" t="n"/>
      <c r="E11" s="28" t="n"/>
      <c r="F11" s="28" t="n"/>
      <c r="G11" s="28" t="n"/>
    </row>
    <row r="12">
      <c r="A12" s="24" t="inlineStr">
        <is>
          <t>Total AUP Requirements Assessed</t>
        </is>
      </c>
      <c r="B12" s="25">
        <f>COUNTA('Policy Assessment'!A5:A59)</f>
        <v/>
      </c>
      <c r="C12" s="6" t="n"/>
      <c r="D12" s="6" t="n"/>
      <c r="E12" s="6" t="n"/>
      <c r="F12" s="6" t="n"/>
      <c r="G12" s="6" t="n"/>
    </row>
    <row r="13">
      <c r="A13" s="24" t="inlineStr">
        <is>
          <t>Requirements Fully Addressed</t>
        </is>
      </c>
      <c r="B13" s="25">
        <f>COUNTIF('Policy Assessment'!D5:D59,"Yes")</f>
        <v/>
      </c>
      <c r="C13" s="6" t="n"/>
      <c r="D13" s="6" t="n"/>
      <c r="E13" s="6" t="n"/>
      <c r="F13" s="6" t="n"/>
      <c r="G13" s="6" t="n"/>
    </row>
    <row r="14">
      <c r="A14" s="24" t="inlineStr">
        <is>
          <t>Requirements Partially Addressed</t>
        </is>
      </c>
      <c r="B14" s="25">
        <f>COUNTIF('Policy Assessment'!D5:D59,"Partial")</f>
        <v/>
      </c>
      <c r="C14" s="6" t="n"/>
      <c r="D14" s="6" t="n"/>
      <c r="E14" s="6" t="n"/>
      <c r="F14" s="6" t="n"/>
      <c r="G14" s="6" t="n"/>
    </row>
    <row r="15">
      <c r="A15" s="24" t="inlineStr">
        <is>
          <t>Requirements with Gaps (No)</t>
        </is>
      </c>
      <c r="B15" s="25">
        <f>COUNTIF('Policy Assessment'!D5:D59,"No")</f>
        <v/>
      </c>
      <c r="C15" s="6" t="n"/>
      <c r="D15" s="6" t="n"/>
      <c r="E15" s="6" t="n"/>
      <c r="F15" s="6" t="n"/>
      <c r="G15" s="6" t="n"/>
    </row>
    <row r="16">
      <c r="A16" s="24" t="inlineStr">
        <is>
          <t>Policy Sections with Clarity Issues</t>
        </is>
      </c>
      <c r="B16" s="25">
        <f>COUNTIF('Policy Assessment'!F5:F59,"Unclear")</f>
        <v/>
      </c>
      <c r="C16" s="6" t="n"/>
      <c r="D16" s="6" t="n"/>
      <c r="E16" s="6" t="n"/>
      <c r="F16" s="6" t="n"/>
      <c r="G16" s="6" t="n"/>
    </row>
    <row r="17">
      <c r="A17" s="24" t="inlineStr">
        <is>
          <t>Asset Categories Assessed</t>
        </is>
      </c>
      <c r="B17" s="25">
        <f>COUNTA('Asset Coverage'!A5:A59)</f>
        <v/>
      </c>
      <c r="C17" s="6" t="n"/>
      <c r="D17" s="6" t="n"/>
      <c r="E17" s="6" t="n"/>
      <c r="F17" s="6" t="n"/>
      <c r="G17" s="6" t="n"/>
    </row>
    <row r="18">
      <c r="A18" s="24" t="inlineStr">
        <is>
          <t>Asset Categories Fully Covered</t>
        </is>
      </c>
      <c r="B18" s="25">
        <f>COUNTIF('Asset Coverage'!C5:C59,"Yes")</f>
        <v/>
      </c>
      <c r="C18" s="6" t="n"/>
      <c r="D18" s="6" t="n"/>
      <c r="E18" s="6" t="n"/>
      <c r="F18" s="6" t="n"/>
      <c r="G18" s="6" t="n"/>
    </row>
    <row r="19">
      <c r="A19" s="24" t="inlineStr">
        <is>
          <t>Asset Categories Partially Covered</t>
        </is>
      </c>
      <c r="B19" s="25">
        <f>COUNTIF('Asset Coverage'!C5:C59,"Partial")</f>
        <v/>
      </c>
      <c r="C19" s="6" t="n"/>
      <c r="D19" s="6" t="n"/>
      <c r="E19" s="6" t="n"/>
      <c r="F19" s="6" t="n"/>
      <c r="G19" s="6" t="n"/>
    </row>
    <row r="20">
      <c r="A20" s="24" t="inlineStr">
        <is>
          <t>Asset Categories NOT Covered</t>
        </is>
      </c>
      <c r="B20" s="25">
        <f>COUNTIF('Asset Coverage'!C5:C59,"No")</f>
        <v/>
      </c>
      <c r="C20" s="6" t="n"/>
      <c r="D20" s="6" t="n"/>
      <c r="E20" s="6" t="n"/>
      <c r="F20" s="6" t="n"/>
      <c r="G20" s="6" t="n"/>
    </row>
    <row r="21">
      <c r="A21" s="24" t="inlineStr">
        <is>
          <t>Departments / Groups Tracked</t>
        </is>
      </c>
      <c r="B21" s="25">
        <f>COUNTA('Awareness Tracking'!A5:A65)</f>
        <v/>
      </c>
      <c r="C21" s="6" t="n"/>
      <c r="D21" s="6" t="n"/>
      <c r="E21" s="6" t="n"/>
      <c r="F21" s="6" t="n"/>
      <c r="G21" s="6" t="n"/>
    </row>
    <row r="22">
      <c r="A22" s="24" t="inlineStr">
        <is>
          <t>Departments with HR Escalation</t>
        </is>
      </c>
      <c r="B22" s="25">
        <f>COUNTIF('Awareness Tracking'!I5:I65,"HR Escalation")</f>
        <v/>
      </c>
      <c r="C22" s="6" t="n"/>
      <c r="D22" s="6" t="n"/>
      <c r="E22" s="6" t="n"/>
      <c r="F22" s="6" t="n"/>
      <c r="G22" s="6" t="n"/>
    </row>
    <row r="23">
      <c r="A23" s="24" t="inlineStr">
        <is>
          <t>Departments with Manager Notification</t>
        </is>
      </c>
      <c r="B23" s="25">
        <f>COUNTIF('Awareness Tracking'!I5:I65,"Manager Notified")</f>
        <v/>
      </c>
      <c r="C23" s="6" t="n"/>
      <c r="D23" s="6" t="n"/>
      <c r="E23" s="6" t="n"/>
      <c r="F23" s="6" t="n"/>
      <c r="G23" s="6" t="n"/>
    </row>
    <row r="24">
      <c r="A24" s="24" t="inlineStr">
        <is>
          <t>Communication Channels Assessed</t>
        </is>
      </c>
      <c r="B24" s="25">
        <f>COUNTA('Communication Matrix'!A5:A62)</f>
        <v/>
      </c>
      <c r="C24" s="6" t="n"/>
      <c r="D24" s="6" t="n"/>
      <c r="E24" s="6" t="n"/>
      <c r="F24" s="6" t="n"/>
      <c r="G24" s="6" t="n"/>
    </row>
    <row r="25">
      <c r="A25" s="24" t="inlineStr">
        <is>
          <t>Channels Rated Highly Effective</t>
        </is>
      </c>
      <c r="B25" s="25">
        <f>COUNTIF('Communication Matrix'!F5:F62,"Highly Effective")</f>
        <v/>
      </c>
      <c r="C25" s="6" t="n"/>
      <c r="D25" s="6" t="n"/>
      <c r="E25" s="6" t="n"/>
      <c r="F25" s="6" t="n"/>
      <c r="G25" s="6" t="n"/>
    </row>
    <row r="26">
      <c r="A26" s="24" t="inlineStr">
        <is>
          <t>Channels Needing Improvement</t>
        </is>
      </c>
      <c r="B26" s="25">
        <f>COUNTIF('Communication Matrix'!F5:F62,"Needs Improvement")+COUNTIF('Communication Matrix'!F5:F62,"Ineffective")</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ht="20" customHeight="1">
      <c r="A30" s="30" t="inlineStr">
        <is>
          <t>TABLE 3: CRITICAL FINDINGS REQUIRING IMMEDIATE ATTENTION</t>
        </is>
      </c>
    </row>
    <row r="31">
      <c r="A31" s="28" t="inlineStr">
        <is>
          <t>Category</t>
        </is>
      </c>
      <c r="B31" s="28" t="inlineStr">
        <is>
          <t>Finding</t>
        </is>
      </c>
      <c r="C31" s="28" t="inlineStr">
        <is>
          <t>Count</t>
        </is>
      </c>
      <c r="D31" s="28" t="inlineStr">
        <is>
          <t>Severity</t>
        </is>
      </c>
      <c r="E31" s="28" t="inlineStr">
        <is>
          <t>Action Required</t>
        </is>
      </c>
      <c r="F31" s="28" t="n"/>
      <c r="G31" s="28" t="n"/>
    </row>
    <row r="32">
      <c r="A32" s="31" t="inlineStr">
        <is>
          <t>AUP Policy Completeness</t>
        </is>
      </c>
      <c r="B32" s="31" t="inlineStr">
        <is>
          <t>Policy requirements with unresolved gaps</t>
        </is>
      </c>
      <c r="C32" s="32">
        <f>COUNTIF('Policy Assessment'!D5:D59,"No")</f>
        <v/>
      </c>
      <c r="D32" s="31" t="inlineStr">
        <is>
          <t>Critical</t>
        </is>
      </c>
      <c r="E32" s="31" t="inlineStr">
        <is>
          <t>Immediate</t>
        </is>
      </c>
      <c r="F32" s="31" t="n"/>
      <c r="G32" s="31" t="n"/>
    </row>
    <row r="33">
      <c r="A33" s="31" t="inlineStr">
        <is>
          <t>AUP Policy Completeness</t>
        </is>
      </c>
      <c r="B33" s="31" t="inlineStr">
        <is>
          <t>Requirements in remediation (gap closure in progress)</t>
        </is>
      </c>
      <c r="C33" s="32">
        <f>COUNTIF('Policy Assessment'!D5:D59,"Partial")</f>
        <v/>
      </c>
      <c r="D33" s="31" t="inlineStr">
        <is>
          <t>High</t>
        </is>
      </c>
      <c r="E33" s="31" t="inlineStr">
        <is>
          <t>Monitor</t>
        </is>
      </c>
      <c r="F33" s="31" t="n"/>
      <c r="G33" s="31" t="n"/>
    </row>
    <row r="34">
      <c r="A34" s="31" t="inlineStr">
        <is>
          <t>AUP Policy Completeness</t>
        </is>
      </c>
      <c r="B34" s="31" t="inlineStr">
        <is>
          <t>Policy sections with unclear language</t>
        </is>
      </c>
      <c r="C34" s="32">
        <f>COUNTIF('Policy Assessment'!F5:F59,"Unclear")</f>
        <v/>
      </c>
      <c r="D34" s="31" t="inlineStr">
        <is>
          <t>High</t>
        </is>
      </c>
      <c r="E34" s="31" t="inlineStr">
        <is>
          <t>Rewrite</t>
        </is>
      </c>
      <c r="F34" s="31" t="n"/>
      <c r="G34" s="31" t="n"/>
    </row>
    <row r="35">
      <c r="A35" s="31" t="inlineStr">
        <is>
          <t>Asset Coverage</t>
        </is>
      </c>
      <c r="B35" s="31" t="inlineStr">
        <is>
          <t>Asset categories not covered in AUP</t>
        </is>
      </c>
      <c r="C35" s="32">
        <f>COUNTIF('Asset Coverage'!C5:C59,"No")</f>
        <v/>
      </c>
      <c r="D35" s="31" t="inlineStr">
        <is>
          <t>Critical</t>
        </is>
      </c>
      <c r="E35" s="31" t="inlineStr">
        <is>
          <t>Extend AUP</t>
        </is>
      </c>
      <c r="F35" s="31" t="n"/>
      <c r="G35" s="31" t="n"/>
    </row>
    <row r="36">
      <c r="A36" s="31" t="inlineStr">
        <is>
          <t>Asset Coverage</t>
        </is>
      </c>
      <c r="B36" s="31" t="inlineStr">
        <is>
          <t>Asset categories with only partial AUP coverage</t>
        </is>
      </c>
      <c r="C36" s="32">
        <f>COUNTIF('Asset Coverage'!C5:C59,"Partial")</f>
        <v/>
      </c>
      <c r="D36" s="31" t="inlineStr">
        <is>
          <t>High</t>
        </is>
      </c>
      <c r="E36" s="31" t="inlineStr">
        <is>
          <t>Complete coverage</t>
        </is>
      </c>
      <c r="F36" s="31" t="n"/>
      <c r="G36" s="31" t="n"/>
    </row>
    <row r="37">
      <c r="A37" s="31" t="inlineStr">
        <is>
          <t>User Awareness</t>
        </is>
      </c>
      <c r="B37" s="31" t="inlineStr">
        <is>
          <t>Departments requiring HR escalation</t>
        </is>
      </c>
      <c r="C37" s="32">
        <f>COUNTIF('Awareness Tracking'!I5:I65,"HR Escalation")</f>
        <v/>
      </c>
      <c r="D37" s="31" t="inlineStr">
        <is>
          <t>High</t>
        </is>
      </c>
      <c r="E37" s="31" t="inlineStr">
        <is>
          <t>Enforce</t>
        </is>
      </c>
      <c r="F37" s="31" t="n"/>
      <c r="G37" s="31" t="n"/>
    </row>
    <row r="38">
      <c r="A38" s="31" t="inlineStr">
        <is>
          <t>Communication</t>
        </is>
      </c>
      <c r="B38" s="31" t="inlineStr">
        <is>
          <t>Communication channels rated ineffective</t>
        </is>
      </c>
      <c r="C38" s="32">
        <f>COUNTIF('Communication Matrix'!F5:F62,"Ineffective")</f>
        <v/>
      </c>
      <c r="D38" s="31" t="inlineStr">
        <is>
          <t>Medium</t>
        </is>
      </c>
      <c r="E38" s="31" t="inlineStr">
        <is>
          <t>Redesign</t>
        </is>
      </c>
      <c r="F38" s="31" t="n"/>
      <c r="G38" s="31" t="n"/>
    </row>
    <row r="39">
      <c r="A39" s="33" t="n"/>
      <c r="B39" s="33" t="n"/>
      <c r="C39" s="33" t="n"/>
      <c r="D39" s="33" t="n"/>
      <c r="E39" s="33" t="n"/>
      <c r="F39" s="33" t="n"/>
      <c r="G39" s="33" t="n"/>
    </row>
    <row r="40">
      <c r="A40" s="33" t="n"/>
      <c r="B40" s="33" t="n"/>
      <c r="C40" s="33" t="n"/>
      <c r="D40" s="33" t="n"/>
      <c r="E40" s="33" t="n"/>
      <c r="F40" s="33" t="n"/>
      <c r="G40" s="33" t="n"/>
    </row>
  </sheetData>
  <mergeCells count="5">
    <mergeCell ref="A1:G1"/>
    <mergeCell ref="A4:G4"/>
    <mergeCell ref="A30:G30"/>
    <mergeCell ref="A2:G2"/>
    <mergeCell ref="A10:G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A.5.10: Acceptable Use of Information and Other Associated Assets</t>
        </is>
      </c>
      <c r="B2" s="6" t="n"/>
      <c r="C2" s="6" t="n"/>
      <c r="D2" s="6" t="n"/>
      <c r="E2" s="6" t="n"/>
    </row>
    <row r="3">
      <c r="A3" s="36" t="inlineStr">
        <is>
          <t>ASSESSMENT SUMMARY</t>
        </is>
      </c>
      <c r="B3" s="6" t="n"/>
      <c r="C3" s="6" t="n"/>
      <c r="D3" s="6" t="n"/>
      <c r="E3" s="6" t="n"/>
    </row>
    <row r="4">
      <c r="A4" s="3" t="inlineStr">
        <is>
          <t>Document:</t>
        </is>
      </c>
      <c r="B4" s="6" t="inlineStr">
        <is>
          <t>ISMS-IMP-A.5.10-11.S1 - Acceptable Use Policy Assessment</t>
        </is>
      </c>
      <c r="C4" s="6" t="n"/>
      <c r="D4" s="6" t="n"/>
      <c r="E4" s="6" t="n"/>
    </row>
    <row r="5">
      <c r="A5" s="3" t="inlineStr">
        <is>
          <t>Assessment Period:</t>
        </is>
      </c>
      <c r="B5" s="33" t="inlineStr"/>
      <c r="C5" s="6" t="n"/>
      <c r="D5" s="6" t="n"/>
      <c r="E5" s="6" t="n"/>
    </row>
    <row r="6">
      <c r="A6" s="3" t="inlineStr">
        <is>
          <t>Overall Compliance Rating:</t>
        </is>
      </c>
      <c r="B6" s="37">
        <f>IFERROR(AVERAGE('Summary Dashboard'!G6:G7),"")</f>
        <v/>
      </c>
      <c r="C6" s="6" t="n"/>
      <c r="D6" s="6" t="n"/>
      <c r="E6" s="6" t="n"/>
    </row>
    <row r="7">
      <c r="A7" s="3" t="inlineStr">
        <is>
          <t>Assessment Status:</t>
        </is>
      </c>
      <c r="B7" s="33" t="inlineStr"/>
      <c r="C7" s="6" t="n"/>
      <c r="D7" s="6" t="n"/>
      <c r="E7" s="6" t="n"/>
    </row>
    <row r="8">
      <c r="A8" s="3" t="inlineStr">
        <is>
          <t>Assessed By:</t>
        </is>
      </c>
      <c r="B8" s="33" t="inlineStr"/>
      <c r="C8" s="6" t="n"/>
      <c r="D8" s="6" t="n"/>
      <c r="E8" s="6" t="n"/>
    </row>
    <row r="11">
      <c r="A11" s="36" t="inlineStr">
        <is>
          <t>COMPLETED BY (ASSESSOR)</t>
        </is>
      </c>
      <c r="B11" s="6" t="n"/>
      <c r="C11" s="6" t="n"/>
      <c r="D11" s="6" t="n"/>
      <c r="E11" s="6" t="n"/>
    </row>
    <row r="12">
      <c r="A12" s="3" t="inlineStr">
        <is>
          <t>Name:</t>
        </is>
      </c>
      <c r="B12" s="33" t="n"/>
      <c r="C12" s="6" t="n"/>
      <c r="D12" s="6" t="n"/>
      <c r="E12" s="6" t="n"/>
    </row>
    <row r="13">
      <c r="A13" s="3" t="inlineStr">
        <is>
          <t>Title:</t>
        </is>
      </c>
      <c r="B13" s="33" t="n"/>
      <c r="C13" s="6" t="n"/>
      <c r="D13" s="6" t="n"/>
      <c r="E13" s="6" t="n"/>
    </row>
    <row r="14">
      <c r="A14" s="3" t="inlineStr">
        <is>
          <t>Date:</t>
        </is>
      </c>
      <c r="B14" s="33" t="n"/>
      <c r="C14" s="6" t="n"/>
      <c r="D14" s="6" t="n"/>
      <c r="E14" s="6" t="n"/>
    </row>
    <row r="15">
      <c r="A15" s="3" t="inlineStr">
        <is>
          <t>Signature:</t>
        </is>
      </c>
      <c r="B15" s="33" t="n"/>
      <c r="C15" s="6" t="n"/>
      <c r="D15" s="6" t="n"/>
      <c r="E15" s="6" t="n"/>
    </row>
    <row r="16">
      <c r="A16" s="3" t="inlineStr">
        <is>
          <t>Comments:</t>
        </is>
      </c>
      <c r="B16" s="33" t="n"/>
      <c r="C16" s="6" t="n"/>
      <c r="D16" s="6" t="n"/>
      <c r="E16" s="6" t="n"/>
    </row>
    <row r="18">
      <c r="A18" s="36" t="inlineStr">
        <is>
          <t>REVIEWED BY (INFORMATION SECURITY OFFICER)</t>
        </is>
      </c>
      <c r="B18" s="6" t="n"/>
      <c r="C18" s="6" t="n"/>
      <c r="D18" s="6" t="n"/>
      <c r="E18" s="6" t="n"/>
    </row>
    <row r="19">
      <c r="A19" s="3" t="inlineStr">
        <is>
          <t>Name:</t>
        </is>
      </c>
      <c r="B19" s="33" t="n"/>
      <c r="C19" s="6" t="n"/>
      <c r="D19" s="6" t="n"/>
      <c r="E19" s="6" t="n"/>
    </row>
    <row r="20">
      <c r="A20" s="3" t="inlineStr">
        <is>
          <t>Title:</t>
        </is>
      </c>
      <c r="B20" s="33" t="n"/>
      <c r="C20" s="6" t="n"/>
      <c r="D20" s="6" t="n"/>
      <c r="E20" s="6" t="n"/>
    </row>
    <row r="21">
      <c r="A21" s="3" t="inlineStr">
        <is>
          <t>Date:</t>
        </is>
      </c>
      <c r="B21" s="33" t="n"/>
      <c r="C21" s="6" t="n"/>
      <c r="D21" s="6" t="n"/>
      <c r="E21" s="6" t="n"/>
    </row>
    <row r="22">
      <c r="A22" s="3" t="inlineStr">
        <is>
          <t>Signature:</t>
        </is>
      </c>
      <c r="B22" s="33" t="n"/>
      <c r="C22" s="6" t="n"/>
      <c r="D22" s="6" t="n"/>
      <c r="E22" s="6" t="n"/>
    </row>
    <row r="23">
      <c r="A23" s="3" t="inlineStr">
        <is>
          <t>Comments:</t>
        </is>
      </c>
      <c r="B23" s="33" t="n"/>
      <c r="C23" s="6" t="n"/>
      <c r="D23" s="6" t="n"/>
      <c r="E23" s="6" t="n"/>
    </row>
    <row r="25">
      <c r="A25" s="38" t="inlineStr">
        <is>
          <t>APPROVED BY (CISO)</t>
        </is>
      </c>
      <c r="B25" s="6" t="n"/>
      <c r="C25" s="6" t="n"/>
      <c r="D25" s="6" t="n"/>
      <c r="E25" s="6" t="n"/>
    </row>
    <row r="26">
      <c r="A26" s="3" t="inlineStr">
        <is>
          <t>Name:</t>
        </is>
      </c>
      <c r="B26" s="33" t="n"/>
      <c r="C26" s="6" t="n"/>
      <c r="D26" s="6" t="n"/>
      <c r="E26" s="6" t="n"/>
    </row>
    <row r="27">
      <c r="A27" s="3" t="inlineStr">
        <is>
          <t>Title:</t>
        </is>
      </c>
      <c r="B27" s="33" t="n"/>
      <c r="C27" s="6" t="n"/>
      <c r="D27" s="6" t="n"/>
      <c r="E27" s="6" t="n"/>
    </row>
    <row r="28">
      <c r="A28" s="3" t="inlineStr">
        <is>
          <t>Date:</t>
        </is>
      </c>
      <c r="B28" s="33" t="n"/>
      <c r="C28" s="6" t="n"/>
      <c r="D28" s="6" t="n"/>
      <c r="E28" s="6" t="n"/>
    </row>
    <row r="29">
      <c r="A29" s="3" t="inlineStr">
        <is>
          <t>Signature:</t>
        </is>
      </c>
      <c r="B29" s="33" t="n"/>
      <c r="C29" s="6" t="n"/>
      <c r="D29" s="6" t="n"/>
      <c r="E29" s="6" t="n"/>
    </row>
    <row r="30">
      <c r="A30" s="3" t="inlineStr">
        <is>
          <t>Comments:</t>
        </is>
      </c>
      <c r="B30" s="33" t="n"/>
      <c r="C30" s="6" t="n"/>
      <c r="D30" s="6" t="n"/>
      <c r="E30" s="6" t="n"/>
    </row>
    <row r="32">
      <c r="A32" s="3" t="inlineStr">
        <is>
          <t>FINAL DECISION:</t>
        </is>
      </c>
      <c r="B32" s="33" t="n"/>
      <c r="C32" s="6" t="n"/>
      <c r="D32" s="6" t="n"/>
      <c r="E32" s="6" t="n"/>
    </row>
    <row r="35">
      <c r="A35" s="36" t="inlineStr">
        <is>
          <t>NEXT REVIEW DETAILS</t>
        </is>
      </c>
      <c r="B35" s="6" t="n"/>
      <c r="C35" s="6" t="n"/>
      <c r="D35" s="6" t="n"/>
      <c r="E35" s="6" t="n"/>
    </row>
    <row r="36">
      <c r="A36" s="3" t="inlineStr">
        <is>
          <t>Next Review Date:</t>
        </is>
      </c>
      <c r="B36" s="33" t="n"/>
      <c r="C36" s="6" t="n"/>
      <c r="D36" s="6" t="n"/>
      <c r="E36" s="6" t="n"/>
    </row>
    <row r="37">
      <c r="A37" s="3" t="inlineStr">
        <is>
          <t>Review Responsible:</t>
        </is>
      </c>
      <c r="B37" s="33" t="n"/>
      <c r="C37" s="6" t="n"/>
      <c r="D37" s="6" t="n"/>
      <c r="E37" s="6" t="n"/>
    </row>
    <row r="38">
      <c r="A38" s="3" t="inlineStr">
        <is>
          <t>Special Considerations:</t>
        </is>
      </c>
      <c r="B38" s="3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ISMS-IMP-A.5.10-11.S1 — Acceptable Use Policy Assessment</dc:title>
  <dc:description xmlns:dc="http://purl.org/dc/elements/1.1/">ISMS Implementation Workbook — ISMS-IMP-A.5.10-11.S1</dc:description>
  <dc:subject xmlns:dc="http://purl.org/dc/elements/1.1/">ISO/IEC 27001:2022 — Control A.5.10: Acceptable Use of Information and Other Associated Assets</dc:subject>
  <dcterms:created xmlns:dcterms="http://purl.org/dc/terms/" xmlns:xsi="http://www.w3.org/2001/XMLSchema-instance" xsi:type="dcterms:W3CDTF">2026-03-10T18:48:34Z</dcterms:created>
  <dcterms:modified xmlns:dcterms="http://purl.org/dc/terms/" xmlns:xsi="http://www.w3.org/2001/XMLSchema-instance" xsi:type="dcterms:W3CDTF">2026-03-10T18:48:34Z</dcterms:modified>
</cp:coreProperties>
</file>