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thority Registry" sheetId="2" state="visible" r:id="rId2"/>
    <sheet xmlns:r="http://schemas.openxmlformats.org/officeDocument/2006/relationships" name="Contact Types" sheetId="3" state="visible" r:id="rId3"/>
    <sheet xmlns:r="http://schemas.openxmlformats.org/officeDocument/2006/relationships" name="Communication Log" sheetId="4" state="visible" r:id="rId4"/>
    <sheet xmlns:r="http://schemas.openxmlformats.org/officeDocument/2006/relationships" name="Verification Register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0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ISMS-IMP-A.5.5-6.S1  -  Authority Contacts Register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ISMS-IMP-A.5.5-6.S1</t>
        </is>
      </c>
    </row>
    <row r="5">
      <c r="A5" s="3" t="inlineStr">
        <is>
          <t>Workbook Title</t>
        </is>
      </c>
      <c r="B5" t="inlineStr">
        <is>
          <t>Authority Contacts Register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Authority Registry — list all regulatory bodies, CERTs, and law enforcement contacts.</t>
        </is>
      </c>
    </row>
    <row r="14">
      <c r="A14" t="inlineStr">
        <is>
          <t>2. Complete Contact Types — classify each contact (Regulatory, Incident Response, Advisory).</t>
        </is>
      </c>
    </row>
    <row r="15">
      <c r="A15" t="inlineStr">
        <is>
          <t>3. Log all contacts in Communication Log with date, method, and outcome.</t>
        </is>
      </c>
    </row>
    <row r="16">
      <c r="A16" t="inlineStr">
        <is>
          <t>4. Complete Verification Register — confirm contact details are current and tested.</t>
        </is>
      </c>
    </row>
    <row r="17">
      <c r="A17" t="inlineStr">
        <is>
          <t>5. Maintain the Evidence Register with correspondence and contact verification records.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25" customWidth="1" min="5" max="5"/>
    <col width="25" customWidth="1" min="6" max="6"/>
    <col width="18" customWidth="1" min="7" max="7"/>
    <col width="30" customWidth="1" min="8" max="8"/>
    <col width="25" customWidth="1" min="9" max="9"/>
    <col width="18" customWidth="1" min="10" max="10"/>
    <col width="35" customWidth="1" min="11" max="11"/>
    <col width="40" customWidth="1" min="12" max="12"/>
    <col width="20" customWidth="1" min="13" max="13"/>
    <col width="18" customWidth="1" min="14" max="14"/>
    <col width="15" customWidth="1" min="15" max="15"/>
    <col width="15" customWidth="1" min="16" max="16"/>
    <col width="15" customWidth="1" min="17" max="17"/>
    <col width="30" customWidth="1" min="18" max="18"/>
    <col width="35" customWidth="1" min="19" max="19"/>
  </cols>
  <sheetData>
    <row r="1" ht="35" customHeight="1">
      <c r="A1" s="11" t="inlineStr">
        <is>
          <t>AUTHORITY REGISTRY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3" t="n"/>
    </row>
    <row r="2">
      <c r="A2" s="14" t="inlineStr">
        <is>
          <t>ISO 27001:2022 | Control A.5.5-6 | Authority Contacts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3" t="n"/>
    </row>
    <row r="3">
      <c r="A3" s="15" t="inlineStr">
        <is>
          <t>Contact ID</t>
        </is>
      </c>
      <c r="B3" s="15" t="inlineStr">
        <is>
          <t>Authority Name</t>
        </is>
      </c>
      <c r="C3" s="15" t="inlineStr">
        <is>
          <t>Authority Type</t>
        </is>
      </c>
      <c r="D3" s="15" t="inlineStr">
        <is>
          <t>Jurisdiction</t>
        </is>
      </c>
      <c r="E3" s="15" t="inlineStr">
        <is>
          <t>Primary Contact Name</t>
        </is>
      </c>
      <c r="F3" s="15" t="inlineStr">
        <is>
          <t>Primary Contact Title</t>
        </is>
      </c>
      <c r="G3" s="15" t="inlineStr">
        <is>
          <t>Primary Phone</t>
        </is>
      </c>
      <c r="H3" s="15" t="inlineStr">
        <is>
          <t>Primary Email</t>
        </is>
      </c>
      <c r="I3" s="15" t="inlineStr">
        <is>
          <t>Secondary Contact Name</t>
        </is>
      </c>
      <c r="J3" s="15" t="inlineStr">
        <is>
          <t>Secondary Phone</t>
        </is>
      </c>
      <c r="K3" s="15" t="inlineStr">
        <is>
          <t>Website</t>
        </is>
      </c>
      <c r="L3" s="15" t="inlineStr">
        <is>
          <t>Physical Address</t>
        </is>
      </c>
      <c r="M3" s="15" t="inlineStr">
        <is>
          <t>Internal Owner</t>
        </is>
      </c>
      <c r="N3" s="15" t="inlineStr">
        <is>
          <t>Owner Department</t>
        </is>
      </c>
      <c r="O3" s="15" t="inlineStr">
        <is>
          <t>Relationship Status</t>
        </is>
      </c>
      <c r="P3" s="15" t="inlineStr">
        <is>
          <t>Last Contact Date</t>
        </is>
      </c>
      <c r="Q3" s="15" t="inlineStr">
        <is>
          <t>Next Review Date</t>
        </is>
      </c>
      <c r="R3" s="15" t="inlineStr">
        <is>
          <t>Escalation Trigger</t>
        </is>
      </c>
      <c r="S3" s="15" t="inlineStr">
        <is>
          <t>Notes</t>
        </is>
      </c>
    </row>
    <row r="4">
      <c r="A4" s="16" t="inlineStr">
        <is>
          <t>AUTH-001</t>
        </is>
      </c>
      <c r="B4" s="16" t="inlineStr">
        <is>
          <t>FDPIC</t>
        </is>
      </c>
      <c r="C4" s="16" t="inlineStr">
        <is>
          <t>Data Protection Authority</t>
        </is>
      </c>
      <c r="D4" s="16" t="inlineStr">
        <is>
          <t>Switzerland</t>
        </is>
      </c>
      <c r="E4" s="16" t="inlineStr">
        <is>
          <t>Office of the Commissioner</t>
        </is>
      </c>
      <c r="F4" s="16" t="inlineStr">
        <is>
          <t>Commissioner</t>
        </is>
      </c>
      <c r="G4" s="16" t="inlineStr">
        <is>
          <t>+41 31 323 27 07</t>
        </is>
      </c>
      <c r="H4" s="16" t="inlineStr">
        <is>
          <t>info@edoeb.admin.ch</t>
        </is>
      </c>
      <c r="I4" s="16" t="inlineStr"/>
      <c r="J4" s="16" t="inlineStr"/>
      <c r="K4" s="16" t="inlineStr">
        <is>
          <t>www.edoeb.admin.ch</t>
        </is>
      </c>
      <c r="L4" s="16" t="inlineStr">
        <is>
          <t>Feldeggweg 1, 3003 Bern</t>
        </is>
      </c>
      <c r="M4" s="16" t="inlineStr">
        <is>
          <t>J. Smith</t>
        </is>
      </c>
      <c r="N4" s="16" t="inlineStr">
        <is>
          <t>Compliance</t>
        </is>
      </c>
      <c r="O4" s="16" t="inlineStr">
        <is>
          <t>Active</t>
        </is>
      </c>
      <c r="P4" s="16" t="inlineStr">
        <is>
          <t>01.01.2026</t>
        </is>
      </c>
      <c r="Q4" s="16" t="inlineStr">
        <is>
          <t>01.01.2027</t>
        </is>
      </c>
      <c r="R4" s="16" t="inlineStr">
        <is>
          <t>Data breach notification</t>
        </is>
      </c>
      <c r="S4" s="16" t="inlineStr">
        <is>
          <t>Key DPA contact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</sheetData>
  <mergeCells count="2">
    <mergeCell ref="A2:S2"/>
    <mergeCell ref="A1:S1"/>
  </mergeCells>
  <dataValidations count="3">
    <dataValidation sqref="C4:C101" showDropDown="0" showInputMessage="0" showErrorMessage="0" allowBlank="0" type="list">
      <formula1>"Law Enforcement,Data Protection Authority,Financial Regulator,Sector Regulator,Emergency Services,Government Cybersecurity,Standards Body,Other"</formula1>
    </dataValidation>
    <dataValidation sqref="D4:D101" showDropDown="0" showInputMessage="0" showErrorMessage="0" allowBlank="0" type="list">
      <formula1>"Switzerland,Germany,Austria,EU,United Kingdom,United States,International,Other"</formula1>
    </dataValidation>
    <dataValidation sqref="O4:O101" showDropDown="0" showInputMessage="0" showErrorMessage="0" allowBlank="0" type="list">
      <formula1>"Active,Inactive,Under Review,Pending"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8" customWidth="1" min="5" max="5"/>
    <col width="15" customWidth="1" min="6" max="6"/>
    <col width="25" customWidth="1" min="7" max="7"/>
    <col width="35" customWidth="1" min="8" max="8"/>
    <col width="35" customWidth="1" min="9" max="9"/>
  </cols>
  <sheetData>
    <row r="1" ht="35" customHeight="1">
      <c r="A1" s="11" t="inlineStr">
        <is>
          <t>CONTACT TYPES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Authority Type Reference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Type Code</t>
        </is>
      </c>
      <c r="B3" s="15" t="inlineStr">
        <is>
          <t>Authority Type</t>
        </is>
      </c>
      <c r="C3" s="15" t="inlineStr">
        <is>
          <t>Description</t>
        </is>
      </c>
      <c r="D3" s="15" t="inlineStr">
        <is>
          <t>Typical Scenarios</t>
        </is>
      </c>
      <c r="E3" s="15" t="inlineStr">
        <is>
          <t>Mandatory Contact</t>
        </is>
      </c>
      <c r="F3" s="15" t="inlineStr">
        <is>
          <t>Response SLA</t>
        </is>
      </c>
      <c r="G3" s="15" t="inlineStr">
        <is>
          <t>Escalation Path</t>
        </is>
      </c>
      <c r="H3" s="15" t="inlineStr">
        <is>
          <t>Required Information</t>
        </is>
      </c>
      <c r="I3" s="15" t="inlineStr">
        <is>
          <t>Example Authorities</t>
        </is>
      </c>
    </row>
    <row r="4">
      <c r="A4" s="18" t="inlineStr">
        <is>
          <t>LE</t>
        </is>
      </c>
      <c r="B4" s="18" t="inlineStr">
        <is>
          <t>Law Enforcement</t>
        </is>
      </c>
      <c r="C4" s="18" t="inlineStr">
        <is>
          <t>Police and cybercrime investigation units</t>
        </is>
      </c>
      <c r="D4" s="18" t="inlineStr">
        <is>
          <t>Security incidents, theft, criminal activity</t>
        </is>
      </c>
      <c r="E4" s="18" t="inlineStr">
        <is>
          <t>Yes (for crimes)</t>
        </is>
      </c>
      <c r="F4" s="18" t="inlineStr">
        <is>
          <t>Immediate</t>
        </is>
      </c>
      <c r="G4" s="18" t="inlineStr">
        <is>
          <t>CISO &gt; Legal &gt; CEO</t>
        </is>
      </c>
      <c r="H4" s="18" t="inlineStr">
        <is>
          <t>Incident details, evidence preservation</t>
        </is>
      </c>
      <c r="I4" s="18" t="inlineStr">
        <is>
          <t>Cantonal Police, Fedpol, Europol</t>
        </is>
      </c>
    </row>
    <row r="5">
      <c r="A5" s="19" t="inlineStr">
        <is>
          <t>DPA</t>
        </is>
      </c>
      <c r="B5" s="19" t="inlineStr">
        <is>
          <t>Data Protection Authority</t>
        </is>
      </c>
      <c r="C5" s="19" t="inlineStr">
        <is>
          <t>Personal data protection regulators</t>
        </is>
      </c>
      <c r="D5" s="19" t="inlineStr">
        <is>
          <t>Data breaches affecting individuals</t>
        </is>
      </c>
      <c r="E5" s="19" t="inlineStr">
        <is>
          <t>Yes (72h breach notification)</t>
        </is>
      </c>
      <c r="F5" s="19" t="inlineStr">
        <is>
          <t>72 hours</t>
        </is>
      </c>
      <c r="G5" s="19" t="inlineStr">
        <is>
          <t>DPO &gt; Legal &gt; CISO</t>
        </is>
      </c>
      <c r="H5" s="19" t="inlineStr">
        <is>
          <t>Breach scope, affected individuals, mitigation</t>
        </is>
      </c>
      <c r="I5" s="19" t="inlineStr">
        <is>
          <t>FDPIC (CH), ICO (UK), CNIL (FR)</t>
        </is>
      </c>
    </row>
    <row r="6">
      <c r="A6" s="19" t="inlineStr">
        <is>
          <t>FIN</t>
        </is>
      </c>
      <c r="B6" s="19" t="inlineStr">
        <is>
          <t>Financial Regulator</t>
        </is>
      </c>
      <c r="C6" s="19" t="inlineStr">
        <is>
          <t>Financial services regulators</t>
        </is>
      </c>
      <c r="D6" s="19" t="inlineStr">
        <is>
          <t>Financial system impacts, regulatory reporting</t>
        </is>
      </c>
      <c r="E6" s="19" t="inlineStr">
        <is>
          <t>Conditional</t>
        </is>
      </c>
      <c r="F6" s="19" t="inlineStr">
        <is>
          <t>Per regulation</t>
        </is>
      </c>
      <c r="G6" s="19" t="inlineStr">
        <is>
          <t>CFO &gt; Legal &gt; CEO</t>
        </is>
      </c>
      <c r="H6" s="19" t="inlineStr">
        <is>
          <t>Financial impact, regulatory requirements</t>
        </is>
      </c>
      <c r="I6" s="19" t="inlineStr">
        <is>
          <t>FINMA (CH), BaFin (DE), SEC (US)</t>
        </is>
      </c>
    </row>
    <row r="7">
      <c r="A7" s="19" t="inlineStr">
        <is>
          <t>SEC</t>
        </is>
      </c>
      <c r="B7" s="19" t="inlineStr">
        <is>
          <t>Sector Regulator</t>
        </is>
      </c>
      <c r="C7" s="19" t="inlineStr">
        <is>
          <t>Industry-specific regulatory bodies</t>
        </is>
      </c>
      <c r="D7" s="19" t="inlineStr">
        <is>
          <t>Industry compliance, sector-specific incidents</t>
        </is>
      </c>
      <c r="E7" s="19" t="inlineStr">
        <is>
          <t>Conditional</t>
        </is>
      </c>
      <c r="F7" s="19" t="inlineStr">
        <is>
          <t>Per regulation</t>
        </is>
      </c>
      <c r="G7" s="19" t="inlineStr">
        <is>
          <t>Compliance &gt; Legal</t>
        </is>
      </c>
      <c r="H7" s="19" t="inlineStr">
        <is>
          <t>Sector-specific details</t>
        </is>
      </c>
      <c r="I7" s="19" t="inlineStr">
        <is>
          <t>OFCOM, BAFU, Swissmedic</t>
        </is>
      </c>
    </row>
    <row r="8">
      <c r="A8" s="19" t="inlineStr">
        <is>
          <t>EME</t>
        </is>
      </c>
      <c r="B8" s="19" t="inlineStr">
        <is>
          <t>Emergency Services</t>
        </is>
      </c>
      <c r="C8" s="19" t="inlineStr">
        <is>
          <t>Fire, ambulance, utilities</t>
        </is>
      </c>
      <c r="D8" s="19" t="inlineStr">
        <is>
          <t>Physical emergencies, facility incidents</t>
        </is>
      </c>
      <c r="E8" s="19" t="inlineStr">
        <is>
          <t>Yes (emergencies)</t>
        </is>
      </c>
      <c r="F8" s="19" t="inlineStr">
        <is>
          <t>Immediate</t>
        </is>
      </c>
      <c r="G8" s="19" t="inlineStr">
        <is>
          <t>Facility Mgr &gt; HR &gt; CEO</t>
        </is>
      </c>
      <c r="H8" s="19" t="inlineStr">
        <is>
          <t>Location, nature of emergency</t>
        </is>
      </c>
      <c r="I8" s="19" t="inlineStr">
        <is>
          <t>Fire Brigade, Ambulance, Police</t>
        </is>
      </c>
    </row>
    <row r="9">
      <c r="A9" s="19" t="inlineStr">
        <is>
          <t>CYB</t>
        </is>
      </c>
      <c r="B9" s="19" t="inlineStr">
        <is>
          <t>Government Cybersecurity</t>
        </is>
      </c>
      <c r="C9" s="19" t="inlineStr">
        <is>
          <t>National cybersecurity centers</t>
        </is>
      </c>
      <c r="D9" s="19" t="inlineStr">
        <is>
          <t>Cyber threats, national security concerns</t>
        </is>
      </c>
      <c r="E9" s="19" t="inlineStr">
        <is>
          <t>Recommended</t>
        </is>
      </c>
      <c r="F9" s="19" t="inlineStr">
        <is>
          <t>24-48 hours</t>
        </is>
      </c>
      <c r="G9" s="19" t="inlineStr">
        <is>
          <t>CISO &gt; Legal</t>
        </is>
      </c>
      <c r="H9" s="19" t="inlineStr">
        <is>
          <t>Threat details, IOCs, impact</t>
        </is>
      </c>
      <c r="I9" s="19" t="inlineStr">
        <is>
          <t>NCSC (CH), BSI (DE), CISA (US)</t>
        </is>
      </c>
    </row>
    <row r="10">
      <c r="A10" s="19" t="inlineStr">
        <is>
          <t>STD</t>
        </is>
      </c>
      <c r="B10" s="19" t="inlineStr">
        <is>
          <t>Standards Body</t>
        </is>
      </c>
      <c r="C10" s="19" t="inlineStr">
        <is>
          <t>Certification and standards organisations</t>
        </is>
      </c>
      <c r="D10" s="19" t="inlineStr">
        <is>
          <t>Certification matters, standard interpretations</t>
        </is>
      </c>
      <c r="E10" s="19" t="inlineStr">
        <is>
          <t>No</t>
        </is>
      </c>
      <c r="F10" s="19" t="inlineStr">
        <is>
          <t>Per agreement</t>
        </is>
      </c>
      <c r="G10" s="19" t="inlineStr">
        <is>
          <t>Quality &gt; Compliance</t>
        </is>
      </c>
      <c r="H10" s="19" t="inlineStr">
        <is>
          <t>Certification scope, queries</t>
        </is>
      </c>
      <c r="I10" s="19" t="inlineStr">
        <is>
          <t>SNV, ISO National Members</t>
        </is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8" customWidth="1" min="5" max="5"/>
    <col width="12" customWidth="1" min="6" max="6"/>
    <col width="35" customWidth="1" min="7" max="7"/>
    <col width="50" customWidth="1" min="8" max="8"/>
    <col width="20" customWidth="1" min="9" max="9"/>
    <col width="25" customWidth="1" min="10" max="10"/>
    <col width="25" customWidth="1" min="11" max="11"/>
    <col width="15" customWidth="1" min="12" max="12"/>
    <col width="15" customWidth="1" min="13" max="13"/>
    <col width="25" customWidth="1" min="14" max="14"/>
    <col width="35" customWidth="1" min="15" max="15"/>
  </cols>
  <sheetData>
    <row r="1" ht="35" customHeight="1">
      <c r="A1" s="11" t="inlineStr">
        <is>
          <t>COMMUNICATION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3" t="n"/>
    </row>
    <row r="2">
      <c r="A2" s="14" t="inlineStr">
        <is>
          <t>ISO 27001:2022 | Control A.5.5-6 | External Communications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3" t="n"/>
    </row>
    <row r="3">
      <c r="A3" s="15" t="inlineStr">
        <is>
          <t>Log ID</t>
        </is>
      </c>
      <c r="B3" s="15" t="inlineStr">
        <is>
          <t>Contact ID</t>
        </is>
      </c>
      <c r="C3" s="15" t="inlineStr">
        <is>
          <t>Authority Name</t>
        </is>
      </c>
      <c r="D3" s="15" t="inlineStr">
        <is>
          <t>Communication Date</t>
        </is>
      </c>
      <c r="E3" s="15" t="inlineStr">
        <is>
          <t>Communication Type</t>
        </is>
      </c>
      <c r="F3" s="15" t="inlineStr">
        <is>
          <t>Direction</t>
        </is>
      </c>
      <c r="G3" s="15" t="inlineStr">
        <is>
          <t>Subject</t>
        </is>
      </c>
      <c r="H3" s="15" t="inlineStr">
        <is>
          <t>Summary</t>
        </is>
      </c>
      <c r="I3" s="15" t="inlineStr">
        <is>
          <t>Our Representative</t>
        </is>
      </c>
      <c r="J3" s="15" t="inlineStr">
        <is>
          <t>Authority Representative</t>
        </is>
      </c>
      <c r="K3" s="15" t="inlineStr">
        <is>
          <t>Outcome</t>
        </is>
      </c>
      <c r="L3" s="15" t="inlineStr">
        <is>
          <t>Follow Up Required</t>
        </is>
      </c>
      <c r="M3" s="15" t="inlineStr">
        <is>
          <t>Follow Up Date</t>
        </is>
      </c>
      <c r="N3" s="15" t="inlineStr">
        <is>
          <t>Evidence Reference</t>
        </is>
      </c>
      <c r="O3" s="15" t="inlineStr">
        <is>
          <t>Notes</t>
        </is>
      </c>
    </row>
    <row r="4">
      <c r="A4" s="16" t="inlineStr">
        <is>
          <t>LOG-001</t>
        </is>
      </c>
      <c r="B4" s="16" t="inlineStr">
        <is>
          <t>AUTH-001</t>
        </is>
      </c>
      <c r="C4" s="16" t="inlineStr">
        <is>
          <t>FDPIC</t>
        </is>
      </c>
      <c r="D4" s="16" t="inlineStr">
        <is>
          <t>01.01.2026</t>
        </is>
      </c>
      <c r="E4" s="16" t="inlineStr">
        <is>
          <t>Email</t>
        </is>
      </c>
      <c r="F4" s="16" t="inlineStr">
        <is>
          <t>Outbound</t>
        </is>
      </c>
      <c r="G4" s="16" t="inlineStr">
        <is>
          <t>Annual Article 12 Notification</t>
        </is>
      </c>
      <c r="H4" s="16" t="inlineStr">
        <is>
          <t>Submitted annual notification per nDSG Art. 12</t>
        </is>
      </c>
      <c r="I4" s="16" t="inlineStr">
        <is>
          <t>J. Smith</t>
        </is>
      </c>
      <c r="J4" s="16" t="inlineStr">
        <is>
          <t>Commissioner Office</t>
        </is>
      </c>
      <c r="K4" s="16" t="inlineStr">
        <is>
          <t>Notification accepted</t>
        </is>
      </c>
      <c r="L4" s="16" t="inlineStr">
        <is>
          <t>No</t>
        </is>
      </c>
      <c r="M4" s="16" t="inlineStr"/>
      <c r="N4" s="16" t="inlineStr">
        <is>
          <t>EVID-001</t>
        </is>
      </c>
      <c r="O4" s="16" t="inlineStr">
        <is>
          <t>Annual notification submitted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mergeCells count="2">
    <mergeCell ref="A1:O1"/>
    <mergeCell ref="A2:O2"/>
  </mergeCells>
  <dataValidations count="3">
    <dataValidation sqref="E4:E201" showDropDown="0" showInputMessage="0" showErrorMessage="0" allowBlank="0" type="list">
      <formula1>"Meeting,Phone Call,Email,Letter,Report Submission,Notification,Other"</formula1>
    </dataValidation>
    <dataValidation sqref="F4:F201" showDropDown="0" showInputMessage="0" showErrorMessage="0" allowBlank="0" type="list">
      <formula1>"Outbound,Inbound"</formula1>
    </dataValidation>
    <dataValidation sqref="L4:L20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35" customWidth="1" min="14" max="14"/>
  </cols>
  <sheetData>
    <row r="1" ht="35" customHeight="1">
      <c r="A1" s="11" t="inlineStr">
        <is>
          <t>VERIFICATION REGISTER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>
      <c r="A2" s="14" t="inlineStr">
        <is>
          <t>ISO 27001:2022 | Control A.5.5-6 | Contact Verification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</row>
    <row r="3">
      <c r="A3" s="15" t="inlineStr">
        <is>
          <t>Verification ID</t>
        </is>
      </c>
      <c r="B3" s="15" t="inlineStr">
        <is>
          <t>Contact ID</t>
        </is>
      </c>
      <c r="C3" s="15" t="inlineStr">
        <is>
          <t>Authority Name</t>
        </is>
      </c>
      <c r="D3" s="15" t="inlineStr">
        <is>
          <t>Verification Date</t>
        </is>
      </c>
      <c r="E3" s="15" t="inlineStr">
        <is>
          <t>Verified By</t>
        </is>
      </c>
      <c r="F3" s="15" t="inlineStr">
        <is>
          <t>Verification Method</t>
        </is>
      </c>
      <c r="G3" s="15" t="inlineStr">
        <is>
          <t>Contact Details Correct</t>
        </is>
      </c>
      <c r="H3" s="15" t="inlineStr">
        <is>
          <t>Escalation Path Tested</t>
        </is>
      </c>
      <c r="I3" s="15" t="inlineStr">
        <is>
          <t>Website Accessible</t>
        </is>
      </c>
      <c r="J3" s="15" t="inlineStr">
        <is>
          <t>Relationship Active</t>
        </is>
      </c>
      <c r="K3" s="15" t="inlineStr">
        <is>
          <t>Issues Found</t>
        </is>
      </c>
      <c r="L3" s="15" t="inlineStr">
        <is>
          <t>Actions Required</t>
        </is>
      </c>
      <c r="M3" s="15" t="inlineStr">
        <is>
          <t>Next Verification</t>
        </is>
      </c>
      <c r="N3" s="15" t="inlineStr">
        <is>
          <t>Notes</t>
        </is>
      </c>
    </row>
    <row r="4">
      <c r="A4" s="16" t="inlineStr">
        <is>
          <t>VER-001</t>
        </is>
      </c>
      <c r="B4" s="16" t="inlineStr">
        <is>
          <t>AUTH-001</t>
        </is>
      </c>
      <c r="C4" s="16" t="inlineStr">
        <is>
          <t>FDPIC</t>
        </is>
      </c>
      <c r="D4" s="16" t="inlineStr">
        <is>
          <t>01.01.2026</t>
        </is>
      </c>
      <c r="E4" s="16" t="inlineStr">
        <is>
          <t>J. Smith</t>
        </is>
      </c>
      <c r="F4" s="16" t="inlineStr">
        <is>
          <t>Website Check</t>
        </is>
      </c>
      <c r="G4" s="16" t="inlineStr">
        <is>
          <t>Yes</t>
        </is>
      </c>
      <c r="H4" s="16" t="inlineStr">
        <is>
          <t>N/A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None</t>
        </is>
      </c>
      <c r="L4" s="16" t="inlineStr">
        <is>
          <t>None</t>
        </is>
      </c>
      <c r="M4" s="16" t="inlineStr">
        <is>
          <t>01.01.2027</t>
        </is>
      </c>
      <c r="N4" s="16" t="inlineStr">
        <is>
          <t>Annual verification completed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</row>
  </sheetData>
  <mergeCells count="2">
    <mergeCell ref="A2:N2"/>
    <mergeCell ref="A1:N1"/>
  </mergeCells>
  <dataValidations count="2">
    <dataValidation sqref="F4:F101" showDropDown="0" showInputMessage="0" showErrorMessage="0" allowBlank="0" type="list">
      <formula1>"Phone Test,Email Test,Website Check,Meeting,Document Review"</formula1>
    </dataValidation>
    <dataValidation sqref="G4:G101 H4:H101 I4:I101 J4:J101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20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1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2" t="inlineStr">
        <is>
          <t>Evidence ID</t>
        </is>
      </c>
      <c r="B4" s="22" t="inlineStr">
        <is>
          <t>Assessment Area</t>
        </is>
      </c>
      <c r="C4" s="22" t="inlineStr">
        <is>
          <t>Evidence Type</t>
        </is>
      </c>
      <c r="D4" s="22" t="inlineStr">
        <is>
          <t>Description</t>
        </is>
      </c>
      <c r="E4" s="22" t="inlineStr">
        <is>
          <t>Location / Path</t>
        </is>
      </c>
      <c r="F4" s="22" t="inlineStr">
        <is>
          <t>Date Collected</t>
        </is>
      </c>
      <c r="G4" s="22" t="inlineStr">
        <is>
          <t>Collected By</t>
        </is>
      </c>
      <c r="H4" s="22" t="inlineStr">
        <is>
          <t>Verification Status</t>
        </is>
      </c>
    </row>
    <row r="5">
      <c r="A5" s="16" t="inlineStr">
        <is>
          <t>EV-001</t>
        </is>
      </c>
      <c r="B5" s="16" t="inlineStr">
        <is>
          <t>Authority Registry</t>
        </is>
      </c>
      <c r="C5" s="16" t="inlineStr">
        <is>
          <t>Policy Document</t>
        </is>
      </c>
      <c r="D5" s="16" t="inlineStr">
        <is>
          <t>ISMS policy document evidence reference</t>
        </is>
      </c>
      <c r="E5" s="16" t="inlineStr">
        <is>
          <t>/evidence/A.5.5-6/</t>
        </is>
      </c>
      <c r="F5" s="16" t="inlineStr">
        <is>
          <t>01.01.2026</t>
        </is>
      </c>
      <c r="G5" s="16" t="inlineStr">
        <is>
          <t>ISMS Manager</t>
        </is>
      </c>
      <c r="H5" s="16" t="inlineStr">
        <is>
          <t>Verified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3" t="inlineStr">
        <is>
          <t>Authority Contacts Register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ISO/IEC 27001:2022 — Controls A.5.5 &amp; A.5.6: Authority contact health, relationship status and communication compliance</t>
        </is>
      </c>
    </row>
    <row r="4" ht="20" customHeight="1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6" t="inlineStr">
        <is>
          <t>Assessment Area</t>
        </is>
      </c>
      <c r="B5" s="26" t="inlineStr">
        <is>
          <t>Total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Compliance %</t>
        </is>
      </c>
    </row>
    <row r="6">
      <c r="A6" s="27" t="inlineStr">
        <is>
          <t>Authority Registry — Contact Health</t>
        </is>
      </c>
      <c r="B6" s="28">
        <f>COUNTA('Authority Registry'!A5:A54)</f>
        <v/>
      </c>
      <c r="C6" s="28">
        <f>COUNTIF('Authority Registry'!O5:O54,"Active")</f>
        <v/>
      </c>
      <c r="D6" s="28">
        <f>COUNTIF('Authority Registry'!O5:O54,"Under Review")</f>
        <v/>
      </c>
      <c r="E6" s="28">
        <f>COUNTIF('Authority Registry'!O5:O54,"Inactive")+COUNTIF('Authority Registry'!O5:O54,"Pending")</f>
        <v/>
      </c>
      <c r="F6" s="29">
        <f>IFERROR(IF((B6-0)=0,0,C6/(B6-0)),"")</f>
        <v/>
      </c>
    </row>
    <row r="7">
      <c r="A7" s="30" t="inlineStr">
        <is>
          <t>TOTAL</t>
        </is>
      </c>
      <c r="B7" s="31">
        <f>SUM(B6:B6)</f>
        <v/>
      </c>
      <c r="C7" s="31">
        <f>SUM(C6:C6)</f>
        <v/>
      </c>
      <c r="D7" s="31">
        <f>SUM(D6:D6)</f>
        <v/>
      </c>
      <c r="E7" s="31">
        <f>SUM(E6:E6)</f>
        <v/>
      </c>
      <c r="F7" s="32">
        <f>IFERROR(IF((B7-0)=0,0,C7/(B7-0)),"")</f>
        <v/>
      </c>
    </row>
    <row r="9" ht="20" customHeight="1">
      <c r="A9" s="25" t="inlineStr">
        <is>
          <t>TABLE 2: KEY PERFORMANCE INDICATORS</t>
        </is>
      </c>
      <c r="B9" s="6" t="n"/>
      <c r="C9" s="6" t="n"/>
      <c r="D9" s="6" t="n"/>
      <c r="E9" s="6" t="n"/>
      <c r="F9" s="6" t="n"/>
    </row>
    <row r="10">
      <c r="A10" s="26" t="inlineStr">
        <is>
          <t>KPI Metric</t>
        </is>
      </c>
      <c r="B10" s="26" t="inlineStr">
        <is>
          <t>Value</t>
        </is>
      </c>
      <c r="C10" s="26" t="inlineStr">
        <is>
          <t>Notes / Subtitle</t>
        </is>
      </c>
      <c r="D10" s="6" t="n"/>
      <c r="E10" s="6" t="n"/>
      <c r="F10" s="6" t="n"/>
    </row>
    <row r="11">
      <c r="A11" s="27" t="inlineStr">
        <is>
          <t>Total Authorities Registered</t>
        </is>
      </c>
      <c r="B11" s="28">
        <f>COUNTA('Authority Registry'!A5:A54)</f>
        <v/>
      </c>
      <c r="C11" s="27" t="inlineStr">
        <is>
          <t>All authorities, regulators and government bodies registered</t>
        </is>
      </c>
      <c r="D11" s="6" t="n"/>
      <c r="E11" s="6" t="n"/>
      <c r="F11" s="6" t="n"/>
    </row>
    <row r="12">
      <c r="A12" s="27" t="inlineStr">
        <is>
          <t>Active Relationships</t>
        </is>
      </c>
      <c r="B12" s="28">
        <f>COUNTIF('Authority Registry'!O5:O54,"Active")</f>
        <v/>
      </c>
      <c r="C12" s="27" t="inlineStr">
        <is>
          <t>Authorities with confirmed active relationship status</t>
        </is>
      </c>
      <c r="D12" s="6" t="n"/>
      <c r="E12" s="6" t="n"/>
      <c r="F12" s="6" t="n"/>
    </row>
    <row r="13">
      <c r="A13" s="27" t="inlineStr">
        <is>
          <t>Data Protection Authorities Registered</t>
        </is>
      </c>
      <c r="B13" s="28">
        <f>COUNTIF('Authority Registry'!C5:C54,"Data Protection Authority")</f>
        <v/>
      </c>
      <c r="C13" s="27" t="inlineStr">
        <is>
          <t>DPAs registered — required for breach notification compliance</t>
        </is>
      </c>
      <c r="D13" s="6" t="n"/>
      <c r="E13" s="6" t="n"/>
      <c r="F13" s="6" t="n"/>
    </row>
    <row r="14">
      <c r="A14" s="27" t="inlineStr">
        <is>
          <t>Law Enforcement Contacts Registered</t>
        </is>
      </c>
      <c r="B14" s="28">
        <f>COUNTIF('Authority Registry'!C5:C54,"Law Enforcement")</f>
        <v/>
      </c>
      <c r="C14" s="27" t="inlineStr">
        <is>
          <t>Law enforcement contacts — required for cybercrime response</t>
        </is>
      </c>
      <c r="D14" s="6" t="n"/>
      <c r="E14" s="6" t="n"/>
      <c r="F14" s="6" t="n"/>
    </row>
    <row r="15">
      <c r="A15" s="27" t="inlineStr">
        <is>
          <t>Communication Events Logged</t>
        </is>
      </c>
      <c r="B15" s="28">
        <f>COUNTA('Communication Log'!A5:A54)</f>
        <v/>
      </c>
      <c r="C15" s="27" t="inlineStr">
        <is>
          <t>Total external communications with authorities logged</t>
        </is>
      </c>
      <c r="D15" s="6" t="n"/>
      <c r="E15" s="6" t="n"/>
      <c r="F15" s="6" t="n"/>
    </row>
    <row r="16">
      <c r="A16" s="27" t="inlineStr">
        <is>
          <t>Pending Follow-Up Actions</t>
        </is>
      </c>
      <c r="B16" s="28">
        <f>COUNTIF('Communication Log'!L5:L54,"Yes")</f>
        <v/>
      </c>
      <c r="C16" s="27" t="inlineStr">
        <is>
          <t>Outstanding follow-up actions from authority communications</t>
        </is>
      </c>
      <c r="D16" s="6" t="n"/>
      <c r="E16" s="6" t="n"/>
      <c r="F16" s="6" t="n"/>
    </row>
    <row r="17">
      <c r="A17" s="27" t="inlineStr">
        <is>
          <t>Verification Records Logged</t>
        </is>
      </c>
      <c r="B17" s="28">
        <f>COUNTA('Verification Register'!A5:A54)</f>
        <v/>
      </c>
      <c r="C17" s="27" t="inlineStr">
        <is>
          <t>Total contact verification activities recorded</t>
        </is>
      </c>
      <c r="D17" s="6" t="n"/>
      <c r="E17" s="6" t="n"/>
      <c r="F17" s="6" t="n"/>
    </row>
    <row r="18">
      <c r="A18" s="27" t="inlineStr">
        <is>
          <t>Contacts Verified as Correct</t>
        </is>
      </c>
      <c r="B18" s="28">
        <f>COUNTIF('Verification Register'!G5:G54,"Yes")</f>
        <v/>
      </c>
      <c r="C18" s="27" t="inlineStr">
        <is>
          <t>Authority contacts confirmed accurate in last verification</t>
        </is>
      </c>
      <c r="D18" s="6" t="n"/>
      <c r="E18" s="6" t="n"/>
      <c r="F18" s="6" t="n"/>
    </row>
    <row r="20" ht="20" customHeight="1">
      <c r="A20" s="33" t="inlineStr">
        <is>
          <t>TABLE 3: CRITICAL FINDINGS REQUIRING IMMEDIATE ATTENTION</t>
        </is>
      </c>
      <c r="B20" s="6" t="n"/>
      <c r="C20" s="6" t="n"/>
      <c r="D20" s="6" t="n"/>
      <c r="E20" s="6" t="n"/>
      <c r="F20" s="6" t="n"/>
    </row>
    <row r="21">
      <c r="A21" s="26" t="inlineStr">
        <is>
          <t>Finding</t>
        </is>
      </c>
      <c r="B21" s="26" t="inlineStr">
        <is>
          <t>Count</t>
        </is>
      </c>
      <c r="C21" s="26" t="inlineStr">
        <is>
          <t>Action Required</t>
        </is>
      </c>
      <c r="D21" s="6" t="n"/>
      <c r="E21" s="6" t="n"/>
      <c r="F21" s="6" t="n"/>
    </row>
    <row r="22">
      <c r="A22" s="34" t="inlineStr">
        <is>
          <t>Inactive Authorities</t>
        </is>
      </c>
      <c r="B22" s="35">
        <f>COUNTIF('Authority Registry'!O5:O54,"Inactive")</f>
        <v/>
      </c>
      <c r="C22" s="36" t="inlineStr">
        <is>
          <t>Review inactive authorities — confirm intentional or reactivate contact</t>
        </is>
      </c>
      <c r="D22" s="6" t="n"/>
      <c r="E22" s="6" t="n"/>
      <c r="F22" s="6" t="n"/>
    </row>
    <row r="23">
      <c r="A23" s="34" t="inlineStr">
        <is>
          <t>Relationships Under Review</t>
        </is>
      </c>
      <c r="B23" s="35">
        <f>COUNTIF('Authority Registry'!O5:O54,"Under Review")</f>
        <v/>
      </c>
      <c r="C23" s="36" t="inlineStr">
        <is>
          <t>Complete review of flagged authorities and update status to Active or Inactive</t>
        </is>
      </c>
      <c r="D23" s="6" t="n"/>
      <c r="E23" s="6" t="n"/>
      <c r="F23" s="6" t="n"/>
    </row>
    <row r="24">
      <c r="A24" s="34" t="inlineStr">
        <is>
          <t>Pending Follow-Up Actions</t>
        </is>
      </c>
      <c r="B24" s="35">
        <f>COUNTIF('Communication Log'!L5:L54,"Yes")</f>
        <v/>
      </c>
      <c r="C24" s="36" t="inlineStr">
        <is>
          <t>Outstanding follow-up actions from authority communications — resolve and log outcomes</t>
        </is>
      </c>
      <c r="D24" s="6" t="n"/>
      <c r="E24" s="6" t="n"/>
      <c r="F24" s="6" t="n"/>
    </row>
  </sheetData>
  <mergeCells count="18">
    <mergeCell ref="C13:F13"/>
    <mergeCell ref="A2:F2"/>
    <mergeCell ref="C18:F18"/>
    <mergeCell ref="C22:F22"/>
    <mergeCell ref="C17:F17"/>
    <mergeCell ref="C23:F23"/>
    <mergeCell ref="A1:F1"/>
    <mergeCell ref="C12:F12"/>
    <mergeCell ref="A9:F9"/>
    <mergeCell ref="C21:F21"/>
    <mergeCell ref="C16:F16"/>
    <mergeCell ref="C15:F15"/>
    <mergeCell ref="C24:F24"/>
    <mergeCell ref="A4:F4"/>
    <mergeCell ref="C11:F11"/>
    <mergeCell ref="C10:F10"/>
    <mergeCell ref="A20:F20"/>
    <mergeCell ref="C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21" t="inlineStr">
        <is>
          <t>ISMS-IMP-A.5.5-6.S1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9" t="inlineStr">
        <is>
          <t>Document:</t>
        </is>
      </c>
      <c r="B4" s="6" t="inlineStr">
        <is>
          <t>ISMS-IMP-A.5.5-6.S1 - Authority Contacts Register</t>
        </is>
      </c>
      <c r="C4" s="6" t="n"/>
      <c r="D4" s="6" t="n"/>
      <c r="E4" s="6" t="n"/>
    </row>
    <row r="5">
      <c r="A5" s="39" t="inlineStr">
        <is>
          <t>Assessment Period:</t>
        </is>
      </c>
      <c r="B5" s="17" t="inlineStr"/>
      <c r="C5" s="17" t="n"/>
      <c r="D5" s="17" t="n"/>
      <c r="E5" s="17" t="n"/>
    </row>
    <row r="6">
      <c r="A6" s="39" t="inlineStr">
        <is>
          <t>Overall Compliance Rate:</t>
        </is>
      </c>
      <c r="B6" s="40">
        <f>IFERROR('Summary Dashboard'!F7,)</f>
        <v/>
      </c>
      <c r="C6" s="6" t="n"/>
      <c r="D6" s="6" t="n"/>
      <c r="E6" s="6" t="n"/>
    </row>
    <row r="7">
      <c r="A7" s="39" t="inlineStr">
        <is>
          <t>Assessment Status:</t>
        </is>
      </c>
      <c r="B7" s="17" t="inlineStr"/>
      <c r="C7" s="17" t="n"/>
      <c r="D7" s="17" t="n"/>
      <c r="E7" s="17" t="n"/>
    </row>
    <row r="8">
      <c r="A8" s="39" t="inlineStr">
        <is>
          <t>Assessed By:</t>
        </is>
      </c>
      <c r="B8" s="17" t="inlineStr"/>
      <c r="C8" s="17" t="n"/>
      <c r="D8" s="17" t="n"/>
      <c r="E8" s="17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9" t="inlineStr">
        <is>
          <t>Name:</t>
        </is>
      </c>
      <c r="B12" s="17" t="n"/>
      <c r="C12" s="17" t="n"/>
      <c r="D12" s="17" t="n"/>
      <c r="E12" s="17" t="n"/>
    </row>
    <row r="13">
      <c r="A13" s="39" t="inlineStr">
        <is>
          <t>Title:</t>
        </is>
      </c>
      <c r="B13" s="17" t="n"/>
      <c r="C13" s="17" t="n"/>
      <c r="D13" s="17" t="n"/>
      <c r="E13" s="17" t="n"/>
    </row>
    <row r="14">
      <c r="A14" s="39" t="inlineStr">
        <is>
          <t>Date:</t>
        </is>
      </c>
      <c r="B14" s="17" t="n"/>
      <c r="C14" s="17" t="n"/>
      <c r="D14" s="17" t="n"/>
      <c r="E14" s="17" t="n"/>
    </row>
    <row r="15">
      <c r="A15" s="39" t="inlineStr">
        <is>
          <t>Signature:</t>
        </is>
      </c>
      <c r="B15" s="17" t="n"/>
      <c r="C15" s="17" t="n"/>
      <c r="D15" s="17" t="n"/>
      <c r="E15" s="17" t="n"/>
    </row>
    <row r="16">
      <c r="A16" s="39" t="inlineStr">
        <is>
          <t>Comments:</t>
        </is>
      </c>
      <c r="B16" s="17" t="n"/>
      <c r="C16" s="17" t="n"/>
      <c r="D16" s="17" t="n"/>
      <c r="E16" s="17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9" t="inlineStr">
        <is>
          <t>Name:</t>
        </is>
      </c>
      <c r="B19" s="17" t="n"/>
      <c r="C19" s="17" t="n"/>
      <c r="D19" s="17" t="n"/>
      <c r="E19" s="17" t="n"/>
    </row>
    <row r="20">
      <c r="A20" s="39" t="inlineStr">
        <is>
          <t>Title:</t>
        </is>
      </c>
      <c r="B20" s="17" t="n"/>
      <c r="C20" s="17" t="n"/>
      <c r="D20" s="17" t="n"/>
      <c r="E20" s="17" t="n"/>
    </row>
    <row r="21">
      <c r="A21" s="39" t="inlineStr">
        <is>
          <t>Date:</t>
        </is>
      </c>
      <c r="B21" s="17" t="n"/>
      <c r="C21" s="17" t="n"/>
      <c r="D21" s="17" t="n"/>
      <c r="E21" s="17" t="n"/>
    </row>
    <row r="22">
      <c r="A22" s="39" t="inlineStr">
        <is>
          <t>Signature:</t>
        </is>
      </c>
      <c r="B22" s="17" t="n"/>
      <c r="C22" s="17" t="n"/>
      <c r="D22" s="17" t="n"/>
      <c r="E22" s="17" t="n"/>
    </row>
    <row r="23">
      <c r="A23" s="39" t="inlineStr">
        <is>
          <t>Comments:</t>
        </is>
      </c>
      <c r="B23" s="17" t="n"/>
      <c r="C23" s="17" t="n"/>
      <c r="D23" s="17" t="n"/>
      <c r="E23" s="17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9" t="inlineStr">
        <is>
          <t>Name:</t>
        </is>
      </c>
      <c r="B26" s="17" t="n"/>
      <c r="C26" s="17" t="n"/>
      <c r="D26" s="17" t="n"/>
      <c r="E26" s="17" t="n"/>
    </row>
    <row r="27">
      <c r="A27" s="39" t="inlineStr">
        <is>
          <t>Title:</t>
        </is>
      </c>
      <c r="B27" s="17" t="n"/>
      <c r="C27" s="17" t="n"/>
      <c r="D27" s="17" t="n"/>
      <c r="E27" s="17" t="n"/>
    </row>
    <row r="28">
      <c r="A28" s="39" t="inlineStr">
        <is>
          <t>Date:</t>
        </is>
      </c>
      <c r="B28" s="17" t="n"/>
      <c r="C28" s="17" t="n"/>
      <c r="D28" s="17" t="n"/>
      <c r="E28" s="17" t="n"/>
    </row>
    <row r="29">
      <c r="A29" s="39" t="inlineStr">
        <is>
          <t>Signature:</t>
        </is>
      </c>
      <c r="B29" s="17" t="n"/>
      <c r="C29" s="17" t="n"/>
      <c r="D29" s="17" t="n"/>
      <c r="E29" s="17" t="n"/>
    </row>
    <row r="30">
      <c r="A30" s="39" t="inlineStr">
        <is>
          <t>Comments:</t>
        </is>
      </c>
      <c r="B30" s="17" t="n"/>
      <c r="C30" s="17" t="n"/>
      <c r="D30" s="17" t="n"/>
      <c r="E30" s="17" t="n"/>
    </row>
    <row r="32">
      <c r="A32" s="42" t="inlineStr">
        <is>
          <t>FINAL DECISION:</t>
        </is>
      </c>
      <c r="B32" s="17" t="n"/>
      <c r="C32" s="17" t="n"/>
      <c r="D32" s="17" t="n"/>
      <c r="E32" s="17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9" t="inlineStr">
        <is>
          <t>Next Review Date:</t>
        </is>
      </c>
      <c r="B36" s="17" t="n"/>
      <c r="C36" s="17" t="n"/>
      <c r="D36" s="17" t="n"/>
      <c r="E36" s="17" t="n"/>
    </row>
    <row r="37">
      <c r="A37" s="39" t="inlineStr">
        <is>
          <t>Review Responsible:</t>
        </is>
      </c>
      <c r="B37" s="17" t="n"/>
      <c r="C37" s="17" t="n"/>
      <c r="D37" s="17" t="n"/>
      <c r="E37" s="17" t="n"/>
    </row>
    <row r="38">
      <c r="A38" s="39" t="inlineStr">
        <is>
          <t>Special Considerations:</t>
        </is>
      </c>
      <c r="B38" s="17" t="n"/>
      <c r="C38" s="17" t="n"/>
      <c r="D38" s="17" t="n"/>
      <c r="E38" s="17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ISMS-IMP-A.5.5-6.S1 — Authority Contacts Register</dc:title>
  <dc:description xmlns:dc="http://purl.org/dc/elements/1.1/">ISMS Implementation Workbook — ISMS-IMP-A.5.5-6.S1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2026-03-07T11:27:42Z</dcterms:created>
  <dcterms:modified xmlns:dcterms="http://purl.org/dc/terms/" xmlns:xsi="http://www.w3.org/2001/XMLSchema-instance" xsi:type="dcterms:W3CDTF">2026-03-07T11:27:42Z</dcterms:modified>
</cp:coreProperties>
</file>