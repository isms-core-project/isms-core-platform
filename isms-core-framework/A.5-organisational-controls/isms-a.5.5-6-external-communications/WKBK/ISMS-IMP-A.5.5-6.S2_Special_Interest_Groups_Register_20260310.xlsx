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Groups Registry" sheetId="2" state="visible" r:id="rId2"/>
    <sheet xmlns:r="http://schemas.openxmlformats.org/officeDocument/2006/relationships" name="Membership Details" sheetId="3" state="visible" r:id="rId3"/>
    <sheet xmlns:r="http://schemas.openxmlformats.org/officeDocument/2006/relationships" name="Engagement Log" sheetId="4" state="visible" r:id="rId4"/>
    <sheet xmlns:r="http://schemas.openxmlformats.org/officeDocument/2006/relationships" name="Intelligence Received" sheetId="5" state="visible" r:id="rId5"/>
    <sheet xmlns:r="http://schemas.openxmlformats.org/officeDocument/2006/relationships" name="Contribution Log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0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ISMS-IMP-A.5.5-6.S2  -  Special Interest Groups Register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ISMS-IMP-A.5.5-6.S2</t>
        </is>
      </c>
    </row>
    <row r="5">
      <c r="A5" s="3" t="inlineStr">
        <is>
          <t>Workbook Title</t>
        </is>
      </c>
      <c r="B5" t="inlineStr">
        <is>
          <t>Special Interest Groups Register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Groups Registry — list all information security forums, ISACs, and professional bodies.</t>
        </is>
      </c>
    </row>
    <row r="14">
      <c r="A14" t="inlineStr">
        <is>
          <t>2. Complete Membership Details — document membership type, renewal dates, and representatives.</t>
        </is>
      </c>
    </row>
    <row r="15">
      <c r="A15" t="inlineStr">
        <is>
          <t>3. Log engagement activities in Engagement Log with dates and outcomes.</t>
        </is>
      </c>
    </row>
    <row r="16">
      <c r="A16" t="inlineStr">
        <is>
          <t>4. Record Intelligence Received — document actionable threat intelligence from groups.</t>
        </is>
      </c>
    </row>
    <row r="17">
      <c r="A17" t="inlineStr">
        <is>
          <t>5. Track contributions in Contribution Log — record organisation inputs to groups.</t>
        </is>
      </c>
    </row>
    <row r="18">
      <c r="A18" t="inlineStr">
        <is>
          <t>6. Maintain the Evidence Register with membership confirmations and intelligence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5" customWidth="1" min="4" max="4"/>
    <col width="15" customWidth="1" min="5" max="5"/>
    <col width="35" customWidth="1" min="6" max="6"/>
    <col width="25" customWidth="1" min="7" max="7"/>
    <col width="30" customWidth="1" min="8" max="8"/>
    <col width="20" customWidth="1" min="9" max="9"/>
    <col width="18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35" customWidth="1" min="19" max="19"/>
  </cols>
  <sheetData>
    <row r="1" ht="35" customHeight="1">
      <c r="A1" s="11" t="inlineStr">
        <is>
          <t>GROUPS REGISTRY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3" t="n"/>
    </row>
    <row r="2">
      <c r="A2" s="14" t="inlineStr">
        <is>
          <t>ISO 27001:2022 | Control A.5.5-6 | Special Interest Groups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3" t="n"/>
    </row>
    <row r="3">
      <c r="A3" s="15" t="inlineStr">
        <is>
          <t>Group ID</t>
        </is>
      </c>
      <c r="B3" s="15" t="inlineStr">
        <is>
          <t>Group Name</t>
        </is>
      </c>
      <c r="C3" s="15" t="inlineStr">
        <is>
          <t>Group Type</t>
        </is>
      </c>
      <c r="D3" s="15" t="inlineStr">
        <is>
          <t>Focus Area</t>
        </is>
      </c>
      <c r="E3" s="15" t="inlineStr">
        <is>
          <t>Geographic Scope</t>
        </is>
      </c>
      <c r="F3" s="15" t="inlineStr">
        <is>
          <t>Website</t>
        </is>
      </c>
      <c r="G3" s="15" t="inlineStr">
        <is>
          <t>Primary Contact</t>
        </is>
      </c>
      <c r="H3" s="15" t="inlineStr">
        <is>
          <t>Contact Email</t>
        </is>
      </c>
      <c r="I3" s="15" t="inlineStr">
        <is>
          <t>Internal Owner</t>
        </is>
      </c>
      <c r="J3" s="15" t="inlineStr">
        <is>
          <t>Owner Department</t>
        </is>
      </c>
      <c r="K3" s="15" t="inlineStr">
        <is>
          <t>Membership Status</t>
        </is>
      </c>
      <c r="L3" s="15" t="inlineStr">
        <is>
          <t>Member Since</t>
        </is>
      </c>
      <c r="M3" s="15" t="inlineStr">
        <is>
          <t>Membership Level</t>
        </is>
      </c>
      <c r="N3" s="15" t="inlineStr">
        <is>
          <t>Annual Cost</t>
        </is>
      </c>
      <c r="O3" s="15" t="inlineStr">
        <is>
          <t>Value Rating</t>
        </is>
      </c>
      <c r="P3" s="15" t="inlineStr">
        <is>
          <t>Last Engagement</t>
        </is>
      </c>
      <c r="Q3" s="15" t="inlineStr">
        <is>
          <t>Next Review</t>
        </is>
      </c>
      <c r="R3" s="15" t="inlineStr">
        <is>
          <t>Strategic Priority</t>
        </is>
      </c>
      <c r="S3" s="15" t="inlineStr">
        <is>
          <t>Notes</t>
        </is>
      </c>
    </row>
    <row r="4">
      <c r="A4" s="16" t="inlineStr">
        <is>
          <t>SIG-001</t>
        </is>
      </c>
      <c r="B4" s="16" t="inlineStr">
        <is>
          <t>FS-ISAC</t>
        </is>
      </c>
      <c r="C4" s="16" t="inlineStr">
        <is>
          <t>ISAC</t>
        </is>
      </c>
      <c r="D4" s="16" t="inlineStr">
        <is>
          <t>Financial Services</t>
        </is>
      </c>
      <c r="E4" s="16" t="inlineStr">
        <is>
          <t>Global</t>
        </is>
      </c>
      <c r="F4" s="16" t="inlineStr">
        <is>
          <t>www.fsisac.com</t>
        </is>
      </c>
      <c r="G4" s="16" t="inlineStr">
        <is>
          <t>ISAC Operations</t>
        </is>
      </c>
      <c r="H4" s="16" t="inlineStr">
        <is>
          <t>info@fsisac.com</t>
        </is>
      </c>
      <c r="I4" s="16" t="inlineStr">
        <is>
          <t>J. Smith</t>
        </is>
      </c>
      <c r="J4" s="16" t="inlineStr">
        <is>
          <t>IT Security</t>
        </is>
      </c>
      <c r="K4" s="16" t="inlineStr">
        <is>
          <t>Active Member</t>
        </is>
      </c>
      <c r="L4" s="16" t="inlineStr">
        <is>
          <t>01.01.2025</t>
        </is>
      </c>
      <c r="M4" s="16" t="inlineStr">
        <is>
          <t>Full</t>
        </is>
      </c>
      <c r="N4" s="16" t="inlineStr">
        <is>
          <t>2500</t>
        </is>
      </c>
      <c r="O4" s="16" t="inlineStr">
        <is>
          <t>High</t>
        </is>
      </c>
      <c r="P4" s="16" t="inlineStr">
        <is>
          <t>01.01.2026</t>
        </is>
      </c>
      <c r="Q4" s="16" t="inlineStr">
        <is>
          <t>01.07.2026</t>
        </is>
      </c>
      <c r="R4" s="16" t="inlineStr">
        <is>
          <t>Critical</t>
        </is>
      </c>
      <c r="S4" s="16" t="inlineStr">
        <is>
          <t>Primary threat intelligence source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</sheetData>
  <mergeCells count="2">
    <mergeCell ref="A2:S2"/>
    <mergeCell ref="A1:S1"/>
  </mergeCells>
  <dataValidations count="7">
    <dataValidation sqref="C4:C101" showDropDown="0" showInputMessage="0" showErrorMessage="0" allowBlank="0" type="list">
      <formula1>"ISAC,Security Forum,Professional Association,Vendor Community,Standards Body,Threat Intel Sharing,Open Source Community,Academic Partnership,Other"</formula1>
    </dataValidation>
    <dataValidation sqref="D4:D101" showDropDown="0" showInputMessage="0" showErrorMessage="0" allowBlank="0" type="list">
      <formula1>"Cybersecurity General,Financial Services,Healthcare,Critical Infrastructure,Cloud Security,Application Security,Threat Intelligence,Governance/Compliance,Technical Standards,Other"</formula1>
    </dataValidation>
    <dataValidation sqref="E4:E101" showDropDown="0" showInputMessage="0" showErrorMessage="0" allowBlank="0" type="list">
      <formula1>"Global,Europe,DACH Region,Switzerland,United States,Asia-Pacific,Other"</formula1>
    </dataValidation>
    <dataValidation sqref="K4:K101" showDropDown="0" showInputMessage="0" showErrorMessage="0" allowBlank="0" type="list">
      <formula1>"Active Member,Pending,Suspended,Former Member,Under Evaluation"</formula1>
    </dataValidation>
    <dataValidation sqref="M4:M101" showDropDown="0" showInputMessage="0" showErrorMessage="0" allowBlank="0" type="list">
      <formula1>"Full,Associate,Observer,Sponsor,Free Tier"</formula1>
    </dataValidation>
    <dataValidation sqref="O4:O101" showDropDown="0" showInputMessage="0" showErrorMessage="0" allowBlank="0" type="list">
      <formula1>"High,Medium,Low,Under Review"</formula1>
    </dataValidation>
    <dataValidation sqref="R4:R101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25" customWidth="1" min="15" max="15"/>
    <col width="40" customWidth="1" min="16" max="16"/>
  </cols>
  <sheetData>
    <row r="1" ht="35" customHeight="1">
      <c r="A1" s="11" t="inlineStr">
        <is>
          <t>MEMBERSHIP DETAILS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>
      <c r="A2" s="14" t="inlineStr">
        <is>
          <t>ISO 27001:2022 | Control A.5.5-6 | Membership Details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n"/>
    </row>
    <row r="3">
      <c r="A3" s="15" t="inlineStr">
        <is>
          <t>Group ID</t>
        </is>
      </c>
      <c r="B3" s="15" t="inlineStr">
        <is>
          <t>Group Name</t>
        </is>
      </c>
      <c r="C3" s="15" t="inlineStr">
        <is>
          <t>Membership Start</t>
        </is>
      </c>
      <c r="D3" s="15" t="inlineStr">
        <is>
          <t>Membership End</t>
        </is>
      </c>
      <c r="E3" s="15" t="inlineStr">
        <is>
          <t>Membership Type</t>
        </is>
      </c>
      <c r="F3" s="15" t="inlineStr">
        <is>
          <t>Access Level</t>
        </is>
      </c>
      <c r="G3" s="15" t="inlineStr">
        <is>
          <t>Portal Credentials</t>
        </is>
      </c>
      <c r="H3" s="15" t="inlineStr">
        <is>
          <t>Mailing Lists Subscribed</t>
        </is>
      </c>
      <c r="I3" s="15" t="inlineStr">
        <is>
          <t>Events Access</t>
        </is>
      </c>
      <c r="J3" s="15" t="inlineStr">
        <is>
          <t>Intel Feed Access</t>
        </is>
      </c>
      <c r="K3" s="15" t="inlineStr">
        <is>
          <t>Publication Access</t>
        </is>
      </c>
      <c r="L3" s="15" t="inlineStr">
        <is>
          <t>Voting Rights</t>
        </is>
      </c>
      <c r="M3" s="15" t="inlineStr">
        <is>
          <t>Annual Fee</t>
        </is>
      </c>
      <c r="N3" s="15" t="inlineStr">
        <is>
          <t>Billing Contact</t>
        </is>
      </c>
      <c r="O3" s="15" t="inlineStr">
        <is>
          <t>Contract Reference</t>
        </is>
      </c>
      <c r="P3" s="15" t="inlineStr">
        <is>
          <t>Benefits Summary</t>
        </is>
      </c>
    </row>
    <row r="4">
      <c r="A4" s="16" t="inlineStr">
        <is>
          <t>SIG-001</t>
        </is>
      </c>
      <c r="B4" s="16" t="inlineStr">
        <is>
          <t>FS-ISAC</t>
        </is>
      </c>
      <c r="C4" s="16" t="inlineStr">
        <is>
          <t>01.01.2025</t>
        </is>
      </c>
      <c r="D4" s="16" t="inlineStr">
        <is>
          <t>31.12.2026</t>
        </is>
      </c>
      <c r="E4" s="16" t="inlineStr">
        <is>
          <t>Corporate</t>
        </is>
      </c>
      <c r="F4" s="16" t="inlineStr">
        <is>
          <t>Full</t>
        </is>
      </c>
      <c r="G4" s="16" t="inlineStr">
        <is>
          <t>Stored in password vault</t>
        </is>
      </c>
      <c r="H4" s="16" t="inlineStr">
        <is>
          <t>All relevant lists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Yes</t>
        </is>
      </c>
      <c r="L4" s="16" t="inlineStr">
        <is>
          <t>Yes</t>
        </is>
      </c>
      <c r="M4" s="16" t="inlineStr">
        <is>
          <t>2500</t>
        </is>
      </c>
      <c r="N4" s="16" t="inlineStr">
        <is>
          <t>J. Finance</t>
        </is>
      </c>
      <c r="O4" s="16" t="inlineStr">
        <is>
          <t>CONTRACT-001</t>
        </is>
      </c>
      <c r="P4" s="16" t="inlineStr">
        <is>
          <t>Full access to intel feeds and working groups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</row>
  </sheetData>
  <mergeCells count="2">
    <mergeCell ref="A1:P1"/>
    <mergeCell ref="A2:P2"/>
  </mergeCells>
  <dataValidations count="3">
    <dataValidation sqref="E4:E101" showDropDown="0" showInputMessage="0" showErrorMessage="0" allowBlank="0" type="list">
      <formula1>"Corporate,Individual,Government,Academic,Non-Profit"</formula1>
    </dataValidation>
    <dataValidation sqref="F4:F101" showDropDown="0" showInputMessage="0" showErrorMessage="0" allowBlank="0" type="list">
      <formula1>"Full,Restricted,Read-Only,None"</formula1>
    </dataValidation>
    <dataValidation sqref="I4:I101 J4:J101 K4:K101 L4:L101" showDropDown="0" showInputMessage="0" showErrorMessage="0" allowBlank="0" type="list">
      <formula1>"Yes,No,Limited"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45" customWidth="1" min="6" max="6"/>
    <col width="25" customWidth="1" min="7" max="7"/>
    <col width="40" customWidth="1" min="8" max="8"/>
    <col width="40" customWidth="1" min="9" max="9"/>
    <col width="35" customWidth="1" min="10" max="10"/>
    <col width="15" customWidth="1" min="11" max="11"/>
    <col width="25" customWidth="1" min="12" max="12"/>
    <col width="35" customWidth="1" min="13" max="13"/>
  </cols>
  <sheetData>
    <row r="1" ht="35" customHeight="1">
      <c r="A1" s="11" t="inlineStr">
        <is>
          <t>ENGAGEMENT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Engagement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Engagement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</t>
        </is>
      </c>
      <c r="E3" s="15" t="inlineStr">
        <is>
          <t>Engagement Type</t>
        </is>
      </c>
      <c r="F3" s="15" t="inlineStr">
        <is>
          <t>Description</t>
        </is>
      </c>
      <c r="G3" s="15" t="inlineStr">
        <is>
          <t>Our Representative</t>
        </is>
      </c>
      <c r="H3" s="15" t="inlineStr">
        <is>
          <t>Key Topics</t>
        </is>
      </c>
      <c r="I3" s="15" t="inlineStr">
        <is>
          <t>Outcomes</t>
        </is>
      </c>
      <c r="J3" s="15" t="inlineStr">
        <is>
          <t>Action Items</t>
        </is>
      </c>
      <c r="K3" s="15" t="inlineStr">
        <is>
          <t>Follow Up Date</t>
        </is>
      </c>
      <c r="L3" s="15" t="inlineStr">
        <is>
          <t>Evidence Reference</t>
        </is>
      </c>
      <c r="M3" s="15" t="inlineStr">
        <is>
          <t>Notes</t>
        </is>
      </c>
    </row>
    <row r="4">
      <c r="A4" s="16" t="inlineStr">
        <is>
          <t>ENG-001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Webinar</t>
        </is>
      </c>
      <c r="F4" s="16" t="inlineStr">
        <is>
          <t>Annual threat landscape briefing</t>
        </is>
      </c>
      <c r="G4" s="16" t="inlineStr">
        <is>
          <t>J. Smith</t>
        </is>
      </c>
      <c r="H4" s="16" t="inlineStr">
        <is>
          <t>2026 financial sector threats</t>
        </is>
      </c>
      <c r="I4" s="16" t="inlineStr">
        <is>
          <t>IOCs distributed to SOC</t>
        </is>
      </c>
      <c r="J4" s="16" t="inlineStr">
        <is>
          <t>Review and update threat model</t>
        </is>
      </c>
      <c r="K4" s="16" t="inlineStr">
        <is>
          <t>15.01.2026</t>
        </is>
      </c>
      <c r="L4" s="16" t="inlineStr">
        <is>
          <t>EVID-001</t>
        </is>
      </c>
      <c r="M4" s="16" t="inlineStr">
        <is>
          <t>Attended annual ISAC threat briefing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</row>
  </sheetData>
  <mergeCells count="2">
    <mergeCell ref="A2:M2"/>
    <mergeCell ref="A1:M1"/>
  </mergeCells>
  <dataValidations count="1">
    <dataValidation sqref="E4:E201" showDropDown="0" showInputMessage="0" showErrorMessage="0" allowBlank="0" type="list">
      <formula1>"Meeting,Webinar,Conference,Working Group,Training,Intel Briefing,Publication Review,Networking Event,Other"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20" customWidth="1" min="5" max="5"/>
    <col width="15" customWidth="1" min="6" max="6"/>
    <col width="40" customWidth="1" min="7" max="7"/>
    <col width="50" customWidth="1" min="8" max="8"/>
    <col width="15" customWidth="1" min="9" max="9"/>
    <col width="35" customWidth="1" min="10" max="10"/>
    <col width="25" customWidth="1" min="11" max="11"/>
    <col width="15" customWidth="1" min="12" max="12"/>
    <col width="30" customWidth="1" min="13" max="13"/>
    <col width="35" customWidth="1" min="14" max="14"/>
  </cols>
  <sheetData>
    <row r="1" ht="35" customHeight="1">
      <c r="A1" s="11" t="inlineStr">
        <is>
          <t>INTELLIGENCE RECEIVED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>
      <c r="A2" s="14" t="inlineStr">
        <is>
          <t>ISO 27001:2022 | Control A.5.5-6 | Intelligence Received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</row>
    <row r="3">
      <c r="A3" s="15" t="inlineStr">
        <is>
          <t>Intel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 Received</t>
        </is>
      </c>
      <c r="E3" s="15" t="inlineStr">
        <is>
          <t>Intel Type</t>
        </is>
      </c>
      <c r="F3" s="15" t="inlineStr">
        <is>
          <t>Classification</t>
        </is>
      </c>
      <c r="G3" s="15" t="inlineStr">
        <is>
          <t>Title</t>
        </is>
      </c>
      <c r="H3" s="15" t="inlineStr">
        <is>
          <t>Summary</t>
        </is>
      </c>
      <c r="I3" s="15" t="inlineStr">
        <is>
          <t>Relevance To Org</t>
        </is>
      </c>
      <c r="J3" s="15" t="inlineStr">
        <is>
          <t>Action Taken</t>
        </is>
      </c>
      <c r="K3" s="15" t="inlineStr">
        <is>
          <t>Distributed To</t>
        </is>
      </c>
      <c r="L3" s="15" t="inlineStr">
        <is>
          <t>Distribution Date</t>
        </is>
      </c>
      <c r="M3" s="15" t="inlineStr">
        <is>
          <t>Evidence Location</t>
        </is>
      </c>
      <c r="N3" s="15" t="inlineStr">
        <is>
          <t>Notes</t>
        </is>
      </c>
    </row>
    <row r="4">
      <c r="A4" s="16" t="inlineStr">
        <is>
          <t>INTEL-001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Threat Advisory</t>
        </is>
      </c>
      <c r="F4" s="16" t="inlineStr">
        <is>
          <t>TLP:AMBER</t>
        </is>
      </c>
      <c r="G4" s="16" t="inlineStr">
        <is>
          <t>Q1 2026 Ransomware Alert — Financial Sector</t>
        </is>
      </c>
      <c r="H4" s="16" t="inlineStr">
        <is>
          <t>Increase in Akira ransomware targeting Swiss banks</t>
        </is>
      </c>
      <c r="I4" s="16" t="inlineStr">
        <is>
          <t>High</t>
        </is>
      </c>
      <c r="J4" s="16" t="inlineStr">
        <is>
          <t>IOCs reviewed and applied in SIEM</t>
        </is>
      </c>
      <c r="K4" s="16" t="inlineStr">
        <is>
          <t>SOC Team</t>
        </is>
      </c>
      <c r="L4" s="16" t="inlineStr">
        <is>
          <t>02.01.2026</t>
        </is>
      </c>
      <c r="M4" s="16" t="inlineStr">
        <is>
          <t>SharePoint/ISMS/Intel/2026</t>
        </is>
      </c>
      <c r="N4" s="16" t="inlineStr">
        <is>
          <t>Mitigations applied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</row>
  </sheetData>
  <mergeCells count="2">
    <mergeCell ref="A2:N2"/>
    <mergeCell ref="A1:N1"/>
  </mergeCells>
  <dataValidations count="3">
    <dataValidation sqref="E4:E201" showDropDown="0" showInputMessage="0" showErrorMessage="0" allowBlank="0" type="list">
      <formula1>"Threat Advisory,IOC Feed,Vulnerability Alert,Best Practice,Research Report,Incident Report,Policy Update,Standards Update,Other"</formula1>
    </dataValidation>
    <dataValidation sqref="F4:F201" showDropDown="0" showInputMessage="0" showErrorMessage="0" allowBlank="0" type="list">
      <formula1>"TLP:RED,TLP:AMBER,TLP:GREEN,TLP:CLEAR,Internal Only,Public"</formula1>
    </dataValidation>
    <dataValidation sqref="I4:I201" showDropDown="0" showInputMessage="0" showErrorMessage="0" allowBlank="0" type="list">
      <formula1>"Critical,High,Medium,Low,Informational"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25" customWidth="1" min="5" max="5"/>
    <col width="35" customWidth="1" min="6" max="6"/>
    <col width="45" customWidth="1" min="7" max="7"/>
    <col width="25" customWidth="1" min="8" max="8"/>
    <col width="15" customWidth="1" min="9" max="9"/>
    <col width="20" customWidth="1" min="10" max="10"/>
    <col width="18" customWidth="1" min="11" max="11"/>
    <col width="18" customWidth="1" min="12" max="12"/>
    <col width="35" customWidth="1" min="13" max="13"/>
  </cols>
  <sheetData>
    <row r="1" ht="35" customHeight="1">
      <c r="A1" s="11" t="inlineStr">
        <is>
          <t>CONTRIBUTION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Contribution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Contribution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</t>
        </is>
      </c>
      <c r="E3" s="15" t="inlineStr">
        <is>
          <t>Contribution Type</t>
        </is>
      </c>
      <c r="F3" s="15" t="inlineStr">
        <is>
          <t>Title</t>
        </is>
      </c>
      <c r="G3" s="15" t="inlineStr">
        <is>
          <t>Description</t>
        </is>
      </c>
      <c r="H3" s="15" t="inlineStr">
        <is>
          <t>Contributor</t>
        </is>
      </c>
      <c r="I3" s="15" t="inlineStr">
        <is>
          <t>Approval Status</t>
        </is>
      </c>
      <c r="J3" s="15" t="inlineStr">
        <is>
          <t>Approved By</t>
        </is>
      </c>
      <c r="K3" s="15" t="inlineStr">
        <is>
          <t>Classification Check</t>
        </is>
      </c>
      <c r="L3" s="15" t="inlineStr">
        <is>
          <t>Publication Status</t>
        </is>
      </c>
      <c r="M3" s="15" t="inlineStr">
        <is>
          <t>Notes</t>
        </is>
      </c>
    </row>
    <row r="4">
      <c r="A4" s="16" t="inlineStr">
        <is>
          <t>CONT-001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IOC Sharing</t>
        </is>
      </c>
      <c r="F4" s="16" t="inlineStr">
        <is>
          <t>Q1 Phishing IOC Contribution</t>
        </is>
      </c>
      <c r="G4" s="16" t="inlineStr">
        <is>
          <t>Shared phishing indicators observed in our environment</t>
        </is>
      </c>
      <c r="H4" s="16" t="inlineStr">
        <is>
          <t>J. Smith</t>
        </is>
      </c>
      <c r="I4" s="16" t="inlineStr">
        <is>
          <t>Approved</t>
        </is>
      </c>
      <c r="J4" s="16" t="inlineStr">
        <is>
          <t>CISO</t>
        </is>
      </c>
      <c r="K4" s="16" t="inlineStr">
        <is>
          <t>Passed</t>
        </is>
      </c>
      <c r="L4" s="16" t="inlineStr">
        <is>
          <t>Published</t>
        </is>
      </c>
      <c r="M4" s="16" t="inlineStr">
        <is>
          <t>Shared with TLP:AMBER classification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</row>
  </sheetData>
  <mergeCells count="2">
    <mergeCell ref="A2:M2"/>
    <mergeCell ref="A1:M1"/>
  </mergeCells>
  <dataValidations count="4">
    <dataValidation sqref="E4:E101" showDropDown="0" showInputMessage="0" showErrorMessage="0" allowBlank="0" type="list">
      <formula1>"IOC Sharing,Incident Report,Best Practice,Research Paper,Presentation,Working Group Contribution,Standards Input,Tool/Script,Other"</formula1>
    </dataValidation>
    <dataValidation sqref="I4:I101" showDropDown="0" showInputMessage="0" showErrorMessage="0" allowBlank="0" type="list">
      <formula1>"Pending,Approved,Rejected,N/A"</formula1>
    </dataValidation>
    <dataValidation sqref="K4:K101" showDropDown="0" showInputMessage="0" showErrorMessage="0" allowBlank="0" type="list">
      <formula1>"Passed,Failed,Pending,N/A"</formula1>
    </dataValidation>
    <dataValidation sqref="L4:L101" showDropDown="0" showInputMessage="0" showErrorMessage="0" allowBlank="0" type="list">
      <formula1>"Published,Pending,Withdrawn"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8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9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0" t="inlineStr">
        <is>
          <t>Evidence ID</t>
        </is>
      </c>
      <c r="B4" s="20" t="inlineStr">
        <is>
          <t>Assessment Area</t>
        </is>
      </c>
      <c r="C4" s="20" t="inlineStr">
        <is>
          <t>Evidence Type</t>
        </is>
      </c>
      <c r="D4" s="20" t="inlineStr">
        <is>
          <t>Description</t>
        </is>
      </c>
      <c r="E4" s="20" t="inlineStr">
        <is>
          <t>Location / Path</t>
        </is>
      </c>
      <c r="F4" s="20" t="inlineStr">
        <is>
          <t>Date Collected</t>
        </is>
      </c>
      <c r="G4" s="20" t="inlineStr">
        <is>
          <t>Collected By</t>
        </is>
      </c>
      <c r="H4" s="20" t="inlineStr">
        <is>
          <t>Verification Status</t>
        </is>
      </c>
    </row>
    <row r="5">
      <c r="A5" s="16" t="inlineStr">
        <is>
          <t>EV-001</t>
        </is>
      </c>
      <c r="B5" s="16" t="inlineStr">
        <is>
          <t>Groups Registry</t>
        </is>
      </c>
      <c r="C5" s="16" t="inlineStr">
        <is>
          <t>Policy Document</t>
        </is>
      </c>
      <c r="D5" s="16" t="inlineStr">
        <is>
          <t>ISMS policy document evidence reference</t>
        </is>
      </c>
      <c r="E5" s="16" t="inlineStr">
        <is>
          <t>/evidence/A.5.5-6/</t>
        </is>
      </c>
      <c r="F5" s="16" t="inlineStr">
        <is>
          <t>01.01.2026</t>
        </is>
      </c>
      <c r="G5" s="16" t="inlineStr">
        <is>
          <t>ISMS Manager</t>
        </is>
      </c>
      <c r="H5" s="16" t="inlineStr">
        <is>
          <t>Verified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1" t="inlineStr">
        <is>
          <t>Special Interest Groups Register — SUMMARY DASHBOARD</t>
        </is>
      </c>
      <c r="B1" s="6" t="n"/>
      <c r="C1" s="6" t="n"/>
      <c r="D1" s="6" t="n"/>
      <c r="E1" s="6" t="n"/>
      <c r="F1" s="6" t="n"/>
    </row>
    <row r="2">
      <c r="A2" s="22" t="inlineStr">
        <is>
          <t>ISO/IEC 27001:2022 — Controls A.5.5 &amp; A.5.6: SIG membership health, engagement activity and intelligence sharing performance</t>
        </is>
      </c>
    </row>
    <row r="4" ht="20" customHeight="1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4" t="inlineStr">
        <is>
          <t>Assessment Area</t>
        </is>
      </c>
      <c r="B5" s="24" t="inlineStr">
        <is>
          <t>Total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Compliance %</t>
        </is>
      </c>
    </row>
    <row r="6">
      <c r="A6" s="25" t="inlineStr">
        <is>
          <t>Groups Registry — Membership Health</t>
        </is>
      </c>
      <c r="B6" s="26">
        <f>COUNTA('Groups Registry'!A5:A54)</f>
        <v/>
      </c>
      <c r="C6" s="26">
        <f>COUNTIF('Groups Registry'!K5:K54,"Active Member")</f>
        <v/>
      </c>
      <c r="D6" s="26">
        <f>COUNTIF('Groups Registry'!K5:K54,"Pending")+COUNTIF('Groups Registry'!K5:K54,"Under Evaluation")</f>
        <v/>
      </c>
      <c r="E6" s="26">
        <f>COUNTIF('Groups Registry'!K5:K54,"Suspended")+COUNTIF('Groups Registry'!K5:K54,"Former Member")</f>
        <v/>
      </c>
      <c r="F6" s="27">
        <f>IFERROR(IF((B6-0)=0,0,C6/(B6-0)),"")</f>
        <v/>
      </c>
    </row>
    <row r="7">
      <c r="A7" s="28" t="inlineStr">
        <is>
          <t>TOTAL</t>
        </is>
      </c>
      <c r="B7" s="29">
        <f>SUM(B6:B6)</f>
        <v/>
      </c>
      <c r="C7" s="29">
        <f>SUM(C6:C6)</f>
        <v/>
      </c>
      <c r="D7" s="29">
        <f>SUM(D6:D6)</f>
        <v/>
      </c>
      <c r="E7" s="29">
        <f>SUM(E6:E6)</f>
        <v/>
      </c>
      <c r="F7" s="30">
        <f>IFERROR(IF((B7-0)=0,0,C7/(B7-0)),"")</f>
        <v/>
      </c>
    </row>
    <row r="9" ht="20" customHeight="1">
      <c r="A9" s="23" t="inlineStr">
        <is>
          <t>TABLE 2: KEY PERFORMANCE INDICATORS</t>
        </is>
      </c>
      <c r="B9" s="6" t="n"/>
      <c r="C9" s="6" t="n"/>
      <c r="D9" s="6" t="n"/>
      <c r="E9" s="6" t="n"/>
      <c r="F9" s="6" t="n"/>
    </row>
    <row r="10">
      <c r="A10" s="24" t="inlineStr">
        <is>
          <t>KPI Metric</t>
        </is>
      </c>
      <c r="B10" s="24" t="inlineStr">
        <is>
          <t>Value</t>
        </is>
      </c>
      <c r="C10" s="24" t="inlineStr">
        <is>
          <t>Notes / Subtitle</t>
        </is>
      </c>
      <c r="D10" s="6" t="n"/>
      <c r="E10" s="6" t="n"/>
      <c r="F10" s="6" t="n"/>
    </row>
    <row r="11">
      <c r="A11" s="25" t="inlineStr">
        <is>
          <t>Total SIGs Registered</t>
        </is>
      </c>
      <c r="B11" s="26">
        <f>COUNTA('Groups Registry'!A5:A54)</f>
        <v/>
      </c>
      <c r="C11" s="25" t="inlineStr">
        <is>
          <t>All special interest groups and professional bodies tracked</t>
        </is>
      </c>
      <c r="D11" s="6" t="n"/>
      <c r="E11" s="6" t="n"/>
      <c r="F11" s="6" t="n"/>
    </row>
    <row r="12">
      <c r="A12" s="25" t="inlineStr">
        <is>
          <t>Active Memberships</t>
        </is>
      </c>
      <c r="B12" s="26">
        <f>COUNTIF('Groups Registry'!K5:K54,"Active Member")</f>
        <v/>
      </c>
      <c r="C12" s="25" t="inlineStr">
        <is>
          <t>Groups with confirmed active membership</t>
        </is>
      </c>
      <c r="D12" s="6" t="n"/>
      <c r="E12" s="6" t="n"/>
      <c r="F12" s="6" t="n"/>
    </row>
    <row r="13">
      <c r="A13" s="25" t="inlineStr">
        <is>
          <t>ISAC Memberships</t>
        </is>
      </c>
      <c r="B13" s="26">
        <f>COUNTIF('Groups Registry'!C5:C54,"ISAC")</f>
        <v/>
      </c>
      <c r="C13" s="25" t="inlineStr">
        <is>
          <t>Information Sharing and Analysis Centre memberships — primary threat intelligence source</t>
        </is>
      </c>
      <c r="D13" s="6" t="n"/>
      <c r="E13" s="6" t="n"/>
      <c r="F13" s="6" t="n"/>
    </row>
    <row r="14">
      <c r="A14" s="25" t="inlineStr">
        <is>
          <t>High-Value Memberships</t>
        </is>
      </c>
      <c r="B14" s="26">
        <f>COUNTIF('Groups Registry'!O5:O54,"High")</f>
        <v/>
      </c>
      <c r="C14" s="25" t="inlineStr">
        <is>
          <t>Groups rated High value to the organisation</t>
        </is>
      </c>
      <c r="D14" s="6" t="n"/>
      <c r="E14" s="6" t="n"/>
      <c r="F14" s="6" t="n"/>
    </row>
    <row r="15">
      <c r="A15" s="25" t="inlineStr">
        <is>
          <t>Engagement Events Logged</t>
        </is>
      </c>
      <c r="B15" s="26">
        <f>COUNTA('Engagement Log'!A5:A54)</f>
        <v/>
      </c>
      <c r="C15" s="25" t="inlineStr">
        <is>
          <t>Total SIG engagement activities recorded</t>
        </is>
      </c>
      <c r="D15" s="6" t="n"/>
      <c r="E15" s="6" t="n"/>
      <c r="F15" s="6" t="n"/>
    </row>
    <row r="16">
      <c r="A16" s="25" t="inlineStr">
        <is>
          <t>Intelligence Items Received</t>
        </is>
      </c>
      <c r="B16" s="26">
        <f>COUNTA('Intelligence Received'!A5:A54)</f>
        <v/>
      </c>
      <c r="C16" s="25" t="inlineStr">
        <is>
          <t>Threat intelligence items received from SIGs</t>
        </is>
      </c>
      <c r="D16" s="6" t="n"/>
      <c r="E16" s="6" t="n"/>
      <c r="F16" s="6" t="n"/>
    </row>
    <row r="17">
      <c r="A17" s="25" t="inlineStr">
        <is>
          <t>Critical or High Relevance Intel</t>
        </is>
      </c>
      <c r="B17" s="26">
        <f>COUNTIF('Intelligence Received'!I5:I54,"Critical")+COUNTIF('Intelligence Received'!I5:I54,"High")</f>
        <v/>
      </c>
      <c r="C17" s="25" t="inlineStr">
        <is>
          <t>Intel items rated Critical or High relevance to the organisation</t>
        </is>
      </c>
      <c r="D17" s="6" t="n"/>
      <c r="E17" s="6" t="n"/>
      <c r="F17" s="6" t="n"/>
    </row>
    <row r="18">
      <c r="A18" s="25" t="inlineStr">
        <is>
          <t>Contributions Made to SIGs</t>
        </is>
      </c>
      <c r="B18" s="26">
        <f>COUNTA('Contribution Log'!A5:A54)</f>
        <v/>
      </c>
      <c r="C18" s="25" t="inlineStr">
        <is>
          <t>Intelligence and knowledge contributions made to special interest groups</t>
        </is>
      </c>
      <c r="D18" s="6" t="n"/>
      <c r="E18" s="6" t="n"/>
      <c r="F18" s="6" t="n"/>
    </row>
    <row r="20" ht="20" customHeight="1">
      <c r="A20" s="31" t="inlineStr">
        <is>
          <t>TABLE 3: CRITICAL FINDINGS REQUIRING IMMEDIATE ATTENTION</t>
        </is>
      </c>
      <c r="B20" s="6" t="n"/>
      <c r="C20" s="6" t="n"/>
      <c r="D20" s="6" t="n"/>
      <c r="E20" s="6" t="n"/>
      <c r="F20" s="6" t="n"/>
    </row>
    <row r="21">
      <c r="A21" s="24" t="inlineStr">
        <is>
          <t>Finding</t>
        </is>
      </c>
      <c r="B21" s="24" t="inlineStr">
        <is>
          <t>Count</t>
        </is>
      </c>
      <c r="C21" s="24" t="inlineStr">
        <is>
          <t>Action Required</t>
        </is>
      </c>
      <c r="D21" s="6" t="n"/>
      <c r="E21" s="6" t="n"/>
      <c r="F21" s="6" t="n"/>
    </row>
    <row r="22">
      <c r="A22" s="32" t="inlineStr">
        <is>
          <t>Suspended Memberships</t>
        </is>
      </c>
      <c r="B22" s="33">
        <f>COUNTIF('Groups Registry'!K5:K54,"Suspended")</f>
        <v/>
      </c>
      <c r="C22" s="34" t="inlineStr">
        <is>
          <t>Investigate reason for suspension — reinstate or formally terminate membership</t>
        </is>
      </c>
      <c r="D22" s="6" t="n"/>
      <c r="E22" s="6" t="n"/>
      <c r="F22" s="6" t="n"/>
    </row>
    <row r="23">
      <c r="A23" s="32" t="inlineStr">
        <is>
          <t>Former Members (not yet archived)</t>
        </is>
      </c>
      <c r="B23" s="33">
        <f>COUNTIF('Groups Registry'!K5:K54,"Former Member")</f>
        <v/>
      </c>
      <c r="C23" s="34" t="inlineStr">
        <is>
          <t>Confirm former memberships are intentional; archive records or pursue reactivation</t>
        </is>
      </c>
      <c r="D23" s="6" t="n"/>
      <c r="E23" s="6" t="n"/>
      <c r="F23" s="6" t="n"/>
    </row>
    <row r="24">
      <c r="A24" s="32" t="inlineStr">
        <is>
          <t>Memberships Under Evaluation (not progressed)</t>
        </is>
      </c>
      <c r="B24" s="33">
        <f>COUNTIF('Groups Registry'!K5:K54,"Under Evaluation")</f>
        <v/>
      </c>
      <c r="C24" s="34" t="inlineStr">
        <is>
          <t>Progress membership evaluations to Active or decline within agreed timeframe</t>
        </is>
      </c>
      <c r="D24" s="6" t="n"/>
      <c r="E24" s="6" t="n"/>
      <c r="F24" s="6" t="n"/>
    </row>
  </sheetData>
  <mergeCells count="18">
    <mergeCell ref="C13:F13"/>
    <mergeCell ref="A2:F2"/>
    <mergeCell ref="C18:F18"/>
    <mergeCell ref="C22:F22"/>
    <mergeCell ref="C17:F17"/>
    <mergeCell ref="C23:F23"/>
    <mergeCell ref="A1:F1"/>
    <mergeCell ref="C12:F12"/>
    <mergeCell ref="A9:F9"/>
    <mergeCell ref="C21:F21"/>
    <mergeCell ref="C16:F16"/>
    <mergeCell ref="C15:F15"/>
    <mergeCell ref="C24:F24"/>
    <mergeCell ref="A4:F4"/>
    <mergeCell ref="C11:F11"/>
    <mergeCell ref="C10:F10"/>
    <mergeCell ref="A20:F20"/>
    <mergeCell ref="C14:F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5" t="inlineStr">
        <is>
          <t>ASSESSMENT APPROVAL AND SIGN-OFF</t>
        </is>
      </c>
      <c r="B1" s="6" t="n"/>
      <c r="C1" s="6" t="n"/>
      <c r="D1" s="6" t="n"/>
      <c r="E1" s="6" t="n"/>
    </row>
    <row r="2">
      <c r="A2" s="19" t="inlineStr">
        <is>
          <t>ISMS-IMP-A.5.5-6.S2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7" t="inlineStr">
        <is>
          <t>Document:</t>
        </is>
      </c>
      <c r="B4" s="6" t="inlineStr">
        <is>
          <t>ISMS-IMP-A.5.5-6.S2 - Special Interest Groups Register</t>
        </is>
      </c>
      <c r="C4" s="6" t="n"/>
      <c r="D4" s="6" t="n"/>
      <c r="E4" s="6" t="n"/>
    </row>
    <row r="5">
      <c r="A5" s="37" t="inlineStr">
        <is>
          <t>Assessment Period:</t>
        </is>
      </c>
      <c r="B5" s="17" t="inlineStr"/>
      <c r="C5" s="17" t="n"/>
      <c r="D5" s="17" t="n"/>
      <c r="E5" s="17" t="n"/>
    </row>
    <row r="6">
      <c r="A6" s="37" t="inlineStr">
        <is>
          <t>Overall Compliance Rate:</t>
        </is>
      </c>
      <c r="B6" s="38">
        <f>IFERROR('Summary Dashboard'!F7,)</f>
        <v/>
      </c>
      <c r="C6" s="6" t="n"/>
      <c r="D6" s="6" t="n"/>
      <c r="E6" s="6" t="n"/>
    </row>
    <row r="7">
      <c r="A7" s="37" t="inlineStr">
        <is>
          <t>Assessment Status:</t>
        </is>
      </c>
      <c r="B7" s="17" t="inlineStr"/>
      <c r="C7" s="17" t="n"/>
      <c r="D7" s="17" t="n"/>
      <c r="E7" s="17" t="n"/>
    </row>
    <row r="8">
      <c r="A8" s="37" t="inlineStr">
        <is>
          <t>Assessed By:</t>
        </is>
      </c>
      <c r="B8" s="17" t="inlineStr"/>
      <c r="C8" s="17" t="n"/>
      <c r="D8" s="17" t="n"/>
      <c r="E8" s="17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7" t="inlineStr">
        <is>
          <t>Name:</t>
        </is>
      </c>
      <c r="B12" s="17" t="n"/>
      <c r="C12" s="17" t="n"/>
      <c r="D12" s="17" t="n"/>
      <c r="E12" s="17" t="n"/>
    </row>
    <row r="13">
      <c r="A13" s="37" t="inlineStr">
        <is>
          <t>Title:</t>
        </is>
      </c>
      <c r="B13" s="17" t="n"/>
      <c r="C13" s="17" t="n"/>
      <c r="D13" s="17" t="n"/>
      <c r="E13" s="17" t="n"/>
    </row>
    <row r="14">
      <c r="A14" s="37" t="inlineStr">
        <is>
          <t>Date:</t>
        </is>
      </c>
      <c r="B14" s="17" t="n"/>
      <c r="C14" s="17" t="n"/>
      <c r="D14" s="17" t="n"/>
      <c r="E14" s="17" t="n"/>
    </row>
    <row r="15">
      <c r="A15" s="37" t="inlineStr">
        <is>
          <t>Signature:</t>
        </is>
      </c>
      <c r="B15" s="17" t="n"/>
      <c r="C15" s="17" t="n"/>
      <c r="D15" s="17" t="n"/>
      <c r="E15" s="17" t="n"/>
    </row>
    <row r="16">
      <c r="A16" s="37" t="inlineStr">
        <is>
          <t>Comments:</t>
        </is>
      </c>
      <c r="B16" s="17" t="n"/>
      <c r="C16" s="17" t="n"/>
      <c r="D16" s="17" t="n"/>
      <c r="E16" s="17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7" t="inlineStr">
        <is>
          <t>Name:</t>
        </is>
      </c>
      <c r="B19" s="17" t="n"/>
      <c r="C19" s="17" t="n"/>
      <c r="D19" s="17" t="n"/>
      <c r="E19" s="17" t="n"/>
    </row>
    <row r="20">
      <c r="A20" s="37" t="inlineStr">
        <is>
          <t>Title:</t>
        </is>
      </c>
      <c r="B20" s="17" t="n"/>
      <c r="C20" s="17" t="n"/>
      <c r="D20" s="17" t="n"/>
      <c r="E20" s="17" t="n"/>
    </row>
    <row r="21">
      <c r="A21" s="37" t="inlineStr">
        <is>
          <t>Date:</t>
        </is>
      </c>
      <c r="B21" s="17" t="n"/>
      <c r="C21" s="17" t="n"/>
      <c r="D21" s="17" t="n"/>
      <c r="E21" s="17" t="n"/>
    </row>
    <row r="22">
      <c r="A22" s="37" t="inlineStr">
        <is>
          <t>Signature:</t>
        </is>
      </c>
      <c r="B22" s="17" t="n"/>
      <c r="C22" s="17" t="n"/>
      <c r="D22" s="17" t="n"/>
      <c r="E22" s="17" t="n"/>
    </row>
    <row r="23">
      <c r="A23" s="37" t="inlineStr">
        <is>
          <t>Comments:</t>
        </is>
      </c>
      <c r="B23" s="17" t="n"/>
      <c r="C23" s="17" t="n"/>
      <c r="D23" s="17" t="n"/>
      <c r="E23" s="17" t="n"/>
    </row>
    <row r="25">
      <c r="A25" s="39" t="inlineStr">
        <is>
          <t>APPROVED BY (CISO)</t>
        </is>
      </c>
      <c r="B25" s="6" t="n"/>
      <c r="C25" s="6" t="n"/>
      <c r="D25" s="6" t="n"/>
      <c r="E25" s="6" t="n"/>
    </row>
    <row r="26">
      <c r="A26" s="37" t="inlineStr">
        <is>
          <t>Name:</t>
        </is>
      </c>
      <c r="B26" s="17" t="n"/>
      <c r="C26" s="17" t="n"/>
      <c r="D26" s="17" t="n"/>
      <c r="E26" s="17" t="n"/>
    </row>
    <row r="27">
      <c r="A27" s="37" t="inlineStr">
        <is>
          <t>Title:</t>
        </is>
      </c>
      <c r="B27" s="17" t="n"/>
      <c r="C27" s="17" t="n"/>
      <c r="D27" s="17" t="n"/>
      <c r="E27" s="17" t="n"/>
    </row>
    <row r="28">
      <c r="A28" s="37" t="inlineStr">
        <is>
          <t>Date:</t>
        </is>
      </c>
      <c r="B28" s="17" t="n"/>
      <c r="C28" s="17" t="n"/>
      <c r="D28" s="17" t="n"/>
      <c r="E28" s="17" t="n"/>
    </row>
    <row r="29">
      <c r="A29" s="37" t="inlineStr">
        <is>
          <t>Signature:</t>
        </is>
      </c>
      <c r="B29" s="17" t="n"/>
      <c r="C29" s="17" t="n"/>
      <c r="D29" s="17" t="n"/>
      <c r="E29" s="17" t="n"/>
    </row>
    <row r="30">
      <c r="A30" s="37" t="inlineStr">
        <is>
          <t>Comments:</t>
        </is>
      </c>
      <c r="B30" s="17" t="n"/>
      <c r="C30" s="17" t="n"/>
      <c r="D30" s="17" t="n"/>
      <c r="E30" s="17" t="n"/>
    </row>
    <row r="32">
      <c r="A32" s="40" t="inlineStr">
        <is>
          <t>FINAL DECISION:</t>
        </is>
      </c>
      <c r="B32" s="17" t="n"/>
      <c r="C32" s="17" t="n"/>
      <c r="D32" s="17" t="n"/>
      <c r="E32" s="17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7" t="inlineStr">
        <is>
          <t>Next Review Date:</t>
        </is>
      </c>
      <c r="B36" s="17" t="n"/>
      <c r="C36" s="17" t="n"/>
      <c r="D36" s="17" t="n"/>
      <c r="E36" s="17" t="n"/>
    </row>
    <row r="37">
      <c r="A37" s="37" t="inlineStr">
        <is>
          <t>Review Responsible:</t>
        </is>
      </c>
      <c r="B37" s="17" t="n"/>
      <c r="C37" s="17" t="n"/>
      <c r="D37" s="17" t="n"/>
      <c r="E37" s="17" t="n"/>
    </row>
    <row r="38">
      <c r="A38" s="37" t="inlineStr">
        <is>
          <t>Special Considerations:</t>
        </is>
      </c>
      <c r="B38" s="17" t="n"/>
      <c r="C38" s="17" t="n"/>
      <c r="D38" s="17" t="n"/>
      <c r="E38" s="17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ISMS-IMP-A.5.5-6.S2 — Special Interest Groups Register</dc:title>
  <dc:description xmlns:dc="http://purl.org/dc/elements/1.1/">ISMS Implementation Workbook — ISMS-IMP-A.5.5-6.S2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2026-03-10T18:48:56Z</dcterms:created>
  <dcterms:modified xmlns:dcterms="http://purl.org/dc/terms/" xmlns:xsi="http://www.w3.org/2001/XMLSchema-instance" xsi:type="dcterms:W3CDTF">2026-03-10T18:48:56Z</dcterms:modified>
</cp:coreProperties>
</file>