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mmunication Scenarios" sheetId="2" state="visible" r:id="rId2"/>
    <sheet xmlns:r="http://schemas.openxmlformats.org/officeDocument/2006/relationships" name="Notification Requirements" sheetId="3" state="visible" r:id="rId3"/>
    <sheet xmlns:r="http://schemas.openxmlformats.org/officeDocument/2006/relationships" name="Escalation Matrix" sheetId="4" state="visible" r:id="rId4"/>
    <sheet xmlns:r="http://schemas.openxmlformats.org/officeDocument/2006/relationships" name="Approval Workflow" sheetId="5" state="visible" r:id="rId5"/>
    <sheet xmlns:r="http://schemas.openxmlformats.org/officeDocument/2006/relationships" name="Communication Template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000000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</font>
    <font>
      <name val="Calibri"/>
      <b val="1"/>
      <color rgb="0000000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12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2" borderId="1" pivotButton="0" quotePrefix="0" xfId="0"/>
    <xf numFmtId="0" fontId="9" fillId="8" borderId="1" applyAlignment="1" pivotButton="0" quotePrefix="0" xfId="0">
      <alignment horizontal="lef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ISMS-IMP-A.5.5-6.S3  -  External Communication Procedures
ISO/IEC 27001:2022 - Control A.5.5-6: Contact with Authorities &amp; Special Interest Groups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ISMS-IMP-A.5.5-6.S3</t>
        </is>
      </c>
    </row>
    <row r="5">
      <c r="A5" s="3" t="inlineStr">
        <is>
          <t>Workbook Title</t>
        </is>
      </c>
      <c r="B5" t="inlineStr">
        <is>
          <t>External Communication Procedures</t>
        </is>
      </c>
    </row>
    <row r="6">
      <c r="A6" s="3" t="inlineStr">
        <is>
          <t>Control Reference</t>
        </is>
      </c>
      <c r="B6" t="inlineStr">
        <is>
          <t>ISO/IEC 27001:2022 - Control A.5.5-6: Contact with Authorities &amp; Special Interest Groups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Communication Scenarios — document all scenarios requiring external communication.</t>
        </is>
      </c>
    </row>
    <row r="14">
      <c r="A14" t="inlineStr">
        <is>
          <t>2. Complete Notification Requirements — map each scenario to notification obligations and timelines.</t>
        </is>
      </c>
    </row>
    <row r="15">
      <c r="A15" t="inlineStr">
        <is>
          <t>3. Build Escalation Matrix — define escalation paths for each communication type.</t>
        </is>
      </c>
    </row>
    <row r="16">
      <c r="A16" t="inlineStr">
        <is>
          <t>4. Document Approval Workflow — confirm who authorises external communications.</t>
        </is>
      </c>
    </row>
    <row r="17">
      <c r="A17" t="inlineStr">
        <is>
          <t>5. Review Communication Templates — verify templates exist for all required scenarios.</t>
        </is>
      </c>
    </row>
    <row r="18">
      <c r="A18" t="inlineStr">
        <is>
          <t>6. Maintain the Evidence Register with procedure documentation and test records.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35" customWidth="1" min="4" max="4"/>
    <col width="25" customWidth="1" min="5" max="5"/>
    <col width="25" customWidth="1" min="6" max="6"/>
    <col width="20" customWidth="1" min="7" max="7"/>
    <col width="15" customWidth="1" min="8" max="8"/>
    <col width="22" customWidth="1" min="9" max="9"/>
    <col width="20" customWidth="1" min="10" max="10"/>
    <col width="40" customWidth="1" min="11" max="11"/>
    <col width="15" customWidth="1" min="12" max="12"/>
    <col width="50" customWidth="1" min="13" max="13"/>
  </cols>
  <sheetData>
    <row r="1" ht="35" customHeight="1">
      <c r="A1" s="11" t="inlineStr">
        <is>
          <t>COMMUNICATION SCENARIOS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Communication Scenarios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Scenario ID</t>
        </is>
      </c>
      <c r="B3" s="15" t="inlineStr">
        <is>
          <t>Scenario Name</t>
        </is>
      </c>
      <c r="C3" s="15" t="inlineStr">
        <is>
          <t>Scenario Category</t>
        </is>
      </c>
      <c r="D3" s="15" t="inlineStr">
        <is>
          <t>Trigger Event</t>
        </is>
      </c>
      <c r="E3" s="15" t="inlineStr">
        <is>
          <t>Primary Authority</t>
        </is>
      </c>
      <c r="F3" s="15" t="inlineStr">
        <is>
          <t>Secondary Authority</t>
        </is>
      </c>
      <c r="G3" s="15" t="inlineStr">
        <is>
          <t>SIG Contact</t>
        </is>
      </c>
      <c r="H3" s="15" t="inlineStr">
        <is>
          <t>Response Time</t>
        </is>
      </c>
      <c r="I3" s="15" t="inlineStr">
        <is>
          <t>Approval Level</t>
        </is>
      </c>
      <c r="J3" s="15" t="inlineStr">
        <is>
          <t>Internal Escalation First</t>
        </is>
      </c>
      <c r="K3" s="15" t="inlineStr">
        <is>
          <t>Documentation Required</t>
        </is>
      </c>
      <c r="L3" s="15" t="inlineStr">
        <is>
          <t>Template Reference</t>
        </is>
      </c>
      <c r="M3" s="15" t="inlineStr">
        <is>
          <t>Procedure Steps</t>
        </is>
      </c>
    </row>
    <row r="4">
      <c r="A4" s="16" t="inlineStr">
        <is>
          <t>SCEN-001</t>
        </is>
      </c>
      <c r="B4" s="16" t="inlineStr">
        <is>
          <t>Personal Data Breach</t>
        </is>
      </c>
      <c r="C4" s="16" t="inlineStr">
        <is>
          <t>Regulatory</t>
        </is>
      </c>
      <c r="D4" s="16" t="inlineStr">
        <is>
          <t>Data breach affecting individuals</t>
        </is>
      </c>
      <c r="E4" s="16" t="inlineStr">
        <is>
          <t>Data Protection Authority</t>
        </is>
      </c>
      <c r="F4" s="16" t="inlineStr">
        <is>
          <t>Sector Regulator (if applicable)</t>
        </is>
      </c>
      <c r="G4" s="16" t="inlineStr">
        <is>
          <t>None</t>
        </is>
      </c>
      <c r="H4" s="16" t="inlineStr">
        <is>
          <t>72 hours</t>
        </is>
      </c>
      <c r="I4" s="16" t="inlineStr">
        <is>
          <t>DPO + Legal + CISO</t>
        </is>
      </c>
      <c r="J4" s="16" t="inlineStr">
        <is>
          <t>Yes</t>
        </is>
      </c>
      <c r="K4" s="16" t="inlineStr">
        <is>
          <t>Breach report, impact assessment, remediation plan</t>
        </is>
      </c>
      <c r="L4" s="16" t="inlineStr">
        <is>
          <t>TPL-DPA-001</t>
        </is>
      </c>
      <c r="M4" s="16" t="inlineStr">
        <is>
          <t>1. Contain breach 2. Assess impact 3. Prepare notification 4. Get approvals 5. Notify DPA</t>
        </is>
      </c>
    </row>
    <row r="5">
      <c r="A5" s="17" t="inlineStr">
        <is>
          <t>SCEN-002</t>
        </is>
      </c>
      <c r="B5" s="17" t="inlineStr">
        <is>
          <t>Cyber Crime Incident</t>
        </is>
      </c>
      <c r="C5" s="17" t="inlineStr">
        <is>
          <t>Law Enforcement</t>
        </is>
      </c>
      <c r="D5" s="17" t="inlineStr">
        <is>
          <t>Criminal activity detected</t>
        </is>
      </c>
      <c r="E5" s="17" t="inlineStr">
        <is>
          <t>Cantonal Police / Fedpol</t>
        </is>
      </c>
      <c r="F5" s="17" t="inlineStr">
        <is>
          <t>NCSC</t>
        </is>
      </c>
      <c r="G5" s="17" t="inlineStr">
        <is>
          <t>FS-ISAC (if applicable)</t>
        </is>
      </c>
      <c r="H5" s="17" t="inlineStr">
        <is>
          <t>Immediate</t>
        </is>
      </c>
      <c r="I5" s="17" t="inlineStr">
        <is>
          <t>CEO + Legal</t>
        </is>
      </c>
      <c r="J5" s="17" t="inlineStr">
        <is>
          <t>Yes</t>
        </is>
      </c>
      <c r="K5" s="17" t="inlineStr">
        <is>
          <t>Incident report, evidence preservation log</t>
        </is>
      </c>
      <c r="L5" s="17" t="inlineStr">
        <is>
          <t>TPL-LE-001</t>
        </is>
      </c>
      <c r="M5" s="17" t="inlineStr">
        <is>
          <t>1. Preserve evidence 2. Document incident 3. CEO approval 4. Contact police</t>
        </is>
      </c>
    </row>
    <row r="6">
      <c r="A6" s="17" t="inlineStr">
        <is>
          <t>SCEN-003</t>
        </is>
      </c>
      <c r="B6" s="17" t="inlineStr">
        <is>
          <t>Critical Vulnerability</t>
        </is>
      </c>
      <c r="C6" s="17" t="inlineStr">
        <is>
          <t>Threat Intel</t>
        </is>
      </c>
      <c r="D6" s="17" t="inlineStr">
        <is>
          <t>Zero-day or critical CVE</t>
        </is>
      </c>
      <c r="E6" s="17" t="inlineStr">
        <is>
          <t>NCSC</t>
        </is>
      </c>
      <c r="F6" s="17" t="inlineStr">
        <is>
          <t>None</t>
        </is>
      </c>
      <c r="G6" s="17" t="inlineStr">
        <is>
          <t>Relevant ISACs</t>
        </is>
      </c>
      <c r="H6" s="17" t="inlineStr">
        <is>
          <t>24 hours</t>
        </is>
      </c>
      <c r="I6" s="17" t="inlineStr">
        <is>
          <t>CISO</t>
        </is>
      </c>
      <c r="J6" s="17" t="inlineStr">
        <is>
          <t>Yes</t>
        </is>
      </c>
      <c r="K6" s="17" t="inlineStr">
        <is>
          <t>Vulnerability details, impact assessment</t>
        </is>
      </c>
      <c r="L6" s="17" t="inlineStr">
        <is>
          <t>TPL-VULN-001</t>
        </is>
      </c>
      <c r="M6" s="17" t="inlineStr">
        <is>
          <t>1. Assess impact 2. Implement mitigations 3. Report to NCSC if requested</t>
        </is>
      </c>
    </row>
    <row r="7">
      <c r="A7" s="17" t="inlineStr">
        <is>
          <t>SCEN-004</t>
        </is>
      </c>
      <c r="B7" s="17" t="inlineStr">
        <is>
          <t>Regulatory Inquiry</t>
        </is>
      </c>
      <c r="C7" s="17" t="inlineStr">
        <is>
          <t>Regulatory</t>
        </is>
      </c>
      <c r="D7" s="17" t="inlineStr">
        <is>
          <t>Formal inquiry received</t>
        </is>
      </c>
      <c r="E7" s="17" t="inlineStr">
        <is>
          <t>Requesting Regulator</t>
        </is>
      </c>
      <c r="F7" s="17" t="inlineStr">
        <is>
          <t>None</t>
        </is>
      </c>
      <c r="G7" s="17" t="inlineStr">
        <is>
          <t>None</t>
        </is>
      </c>
      <c r="H7" s="17" t="inlineStr">
        <is>
          <t>Per inquiry deadline</t>
        </is>
      </c>
      <c r="I7" s="17" t="inlineStr">
        <is>
          <t>Legal + CEO</t>
        </is>
      </c>
      <c r="J7" s="17" t="inlineStr">
        <is>
          <t>Yes</t>
        </is>
      </c>
      <c r="K7" s="17" t="inlineStr">
        <is>
          <t>Inquiry response, supporting evidence</t>
        </is>
      </c>
      <c r="L7" s="17" t="inlineStr">
        <is>
          <t>TPL-REG-001</t>
        </is>
      </c>
      <c r="M7" s="17" t="inlineStr">
        <is>
          <t>1. Acknowledge receipt 2. Legal review 3. Prepare response 4. CEO approval</t>
        </is>
      </c>
    </row>
    <row r="8">
      <c r="A8" s="17" t="inlineStr">
        <is>
          <t>SCEN-005</t>
        </is>
      </c>
      <c r="B8" s="17" t="inlineStr">
        <is>
          <t>Physical Security Incident</t>
        </is>
      </c>
      <c r="C8" s="17" t="inlineStr">
        <is>
          <t>Emergency</t>
        </is>
      </c>
      <c r="D8" s="17" t="inlineStr">
        <is>
          <t>Fire, break-in, or physical threat</t>
        </is>
      </c>
      <c r="E8" s="17" t="inlineStr">
        <is>
          <t>Emergency Services</t>
        </is>
      </c>
      <c r="F8" s="17" t="inlineStr">
        <is>
          <t>Cantonal Police</t>
        </is>
      </c>
      <c r="G8" s="17" t="inlineStr">
        <is>
          <t>None</t>
        </is>
      </c>
      <c r="H8" s="17" t="inlineStr">
        <is>
          <t>Immediate</t>
        </is>
      </c>
      <c r="I8" s="17" t="inlineStr">
        <is>
          <t>Facility Manager / CEO</t>
        </is>
      </c>
      <c r="J8" s="17" t="inlineStr">
        <is>
          <t>No</t>
        </is>
      </c>
      <c r="K8" s="17" t="inlineStr">
        <is>
          <t>Incident report, insurance claim</t>
        </is>
      </c>
      <c r="L8" s="17" t="inlineStr">
        <is>
          <t>TPL-PHYS-001</t>
        </is>
      </c>
      <c r="M8" s="17" t="inlineStr">
        <is>
          <t>1. Ensure safety 2. Call emergency services 3. Secure premises 4. Document</t>
        </is>
      </c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</row>
  </sheetData>
  <mergeCells count="2">
    <mergeCell ref="A2:M2"/>
    <mergeCell ref="A1:M1"/>
  </mergeCells>
  <dataValidations count="3">
    <dataValidation sqref="C4:C51" showDropDown="0" showInputMessage="0" showErrorMessage="0" allowBlank="0" type="list">
      <formula1>"Regulatory,Law Enforcement,Emergency,Threat Intel,Standards,Other"</formula1>
    </dataValidation>
    <dataValidation sqref="I4:I51" showDropDown="0" showInputMessage="0" showErrorMessage="0" allowBlank="0" type="list">
      <formula1>"Department Head,CISO,Legal,DPO + Legal + CISO,CEO + Legal,CEO"</formula1>
    </dataValidation>
    <dataValidation sqref="J4:J5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30" customWidth="1" min="4" max="4"/>
    <col width="40" customWidth="1" min="5" max="5"/>
    <col width="25" customWidth="1" min="6" max="6"/>
    <col width="50" customWidth="1" min="7" max="7"/>
    <col width="25" customWidth="1" min="8" max="8"/>
    <col width="35" customWidth="1" min="9" max="9"/>
    <col width="15" customWidth="1" min="10" max="10"/>
    <col width="15" customWidth="1" min="11" max="11"/>
    <col width="15" customWidth="1" min="12" max="12"/>
    <col width="35" customWidth="1" min="13" max="13"/>
  </cols>
  <sheetData>
    <row r="1" ht="35" customHeight="1">
      <c r="A1" s="11" t="inlineStr">
        <is>
          <t>NOTIFICATION REQUIREMENTS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Notification Requirements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Requirement ID</t>
        </is>
      </c>
      <c r="B3" s="15" t="inlineStr">
        <is>
          <t>Regulation</t>
        </is>
      </c>
      <c r="C3" s="15" t="inlineStr">
        <is>
          <t>Notification Type</t>
        </is>
      </c>
      <c r="D3" s="15" t="inlineStr">
        <is>
          <t>Authority</t>
        </is>
      </c>
      <c r="E3" s="15" t="inlineStr">
        <is>
          <t>Trigger Condition</t>
        </is>
      </c>
      <c r="F3" s="15" t="inlineStr">
        <is>
          <t>Time Limit</t>
        </is>
      </c>
      <c r="G3" s="15" t="inlineStr">
        <is>
          <t>Required Information</t>
        </is>
      </c>
      <c r="H3" s="15" t="inlineStr">
        <is>
          <t>Format</t>
        </is>
      </c>
      <c r="I3" s="15" t="inlineStr">
        <is>
          <t>Penalty for Non Compliance</t>
        </is>
      </c>
      <c r="J3" s="15" t="inlineStr">
        <is>
          <t>Internal Owner</t>
        </is>
      </c>
      <c r="K3" s="15" t="inlineStr">
        <is>
          <t>Procedure Reference</t>
        </is>
      </c>
      <c r="L3" s="15" t="inlineStr">
        <is>
          <t>Last Review Date</t>
        </is>
      </c>
      <c r="M3" s="15" t="inlineStr">
        <is>
          <t>Notes</t>
        </is>
      </c>
    </row>
    <row r="4">
      <c r="A4" s="16" t="inlineStr">
        <is>
          <t>NOT-001</t>
        </is>
      </c>
      <c r="B4" s="16" t="inlineStr">
        <is>
          <t>GDPR Art. 33</t>
        </is>
      </c>
      <c r="C4" s="16" t="inlineStr">
        <is>
          <t>Data Breach Notification</t>
        </is>
      </c>
      <c r="D4" s="16" t="inlineStr">
        <is>
          <t>Lead Supervisory Authority</t>
        </is>
      </c>
      <c r="E4" s="16" t="inlineStr">
        <is>
          <t>Personal data breach likely to result in risk</t>
        </is>
      </c>
      <c r="F4" s="16" t="inlineStr">
        <is>
          <t>72 hours from awareness</t>
        </is>
      </c>
      <c r="G4" s="16" t="inlineStr">
        <is>
          <t>Nature of breach, categories affected, likely consequences, measures taken</t>
        </is>
      </c>
      <c r="H4" s="16" t="inlineStr">
        <is>
          <t>Online portal or prescribed form</t>
        </is>
      </c>
      <c r="I4" s="16" t="inlineStr">
        <is>
          <t>Up to EUR 10M or 2% global turnover</t>
        </is>
      </c>
      <c r="J4" s="16" t="inlineStr">
        <is>
          <t>DPO</t>
        </is>
      </c>
      <c r="K4" s="16" t="inlineStr">
        <is>
          <t>SCEN-001</t>
        </is>
      </c>
      <c r="L4" s="16" t="inlineStr"/>
      <c r="M4" s="16" t="inlineStr">
        <is>
          <t>Applies to all personal data processing</t>
        </is>
      </c>
    </row>
    <row r="5">
      <c r="A5" s="17" t="inlineStr">
        <is>
          <t>NOT-002</t>
        </is>
      </c>
      <c r="B5" s="17" t="inlineStr">
        <is>
          <t>Swiss nDSG Art. 24</t>
        </is>
      </c>
      <c r="C5" s="17" t="inlineStr">
        <is>
          <t>Data Breach Notification</t>
        </is>
      </c>
      <c r="D5" s="17" t="inlineStr">
        <is>
          <t>FDPIC</t>
        </is>
      </c>
      <c r="E5" s="17" t="inlineStr">
        <is>
          <t>Personal data breach with high risk to individuals</t>
        </is>
      </c>
      <c r="F5" s="17" t="inlineStr">
        <is>
          <t>As soon as possible</t>
        </is>
      </c>
      <c r="G5" s="17" t="inlineStr">
        <is>
          <t>Type of breach, effects, measures taken or planned</t>
        </is>
      </c>
      <c r="H5" s="17" t="inlineStr">
        <is>
          <t>Written notification</t>
        </is>
      </c>
      <c r="I5" s="17" t="inlineStr">
        <is>
          <t>Administrative fines up to CHF 250'000</t>
        </is>
      </c>
      <c r="J5" s="17" t="inlineStr">
        <is>
          <t>DPO</t>
        </is>
      </c>
      <c r="K5" s="17" t="inlineStr">
        <is>
          <t>SCEN-001</t>
        </is>
      </c>
      <c r="L5" s="17" t="inlineStr"/>
      <c r="M5" s="17" t="inlineStr">
        <is>
          <t>Swiss Federal data protection law</t>
        </is>
      </c>
    </row>
    <row r="6">
      <c r="A6" s="17" t="inlineStr">
        <is>
          <t>NOT-003</t>
        </is>
      </c>
      <c r="B6" s="17" t="inlineStr">
        <is>
          <t>NIS2 Art. 23</t>
        </is>
      </c>
      <c r="C6" s="17" t="inlineStr">
        <is>
          <t>Significant Incident</t>
        </is>
      </c>
      <c r="D6" s="17" t="inlineStr">
        <is>
          <t>CSIRT/Competent Authority</t>
        </is>
      </c>
      <c r="E6" s="17" t="inlineStr">
        <is>
          <t>Significant impact on service provision</t>
        </is>
      </c>
      <c r="F6" s="17" t="inlineStr">
        <is>
          <t>24h early warning, 72h notification</t>
        </is>
      </c>
      <c r="G6" s="17" t="inlineStr">
        <is>
          <t>Incident details, impact assessment, mitigation measures</t>
        </is>
      </c>
      <c r="H6" s="17" t="inlineStr">
        <is>
          <t>As specified by MS</t>
        </is>
      </c>
      <c r="I6" s="17" t="inlineStr">
        <is>
          <t>Up to EUR 10M or 2% global turnover</t>
        </is>
      </c>
      <c r="J6" s="17" t="inlineStr">
        <is>
          <t>CISO</t>
        </is>
      </c>
      <c r="K6" s="17" t="inlineStr">
        <is>
          <t>SCEN-003</t>
        </is>
      </c>
      <c r="L6" s="17" t="inlineStr"/>
      <c r="M6" s="17" t="inlineStr">
        <is>
          <t>If in-scope for NIS2</t>
        </is>
      </c>
    </row>
    <row r="7">
      <c r="A7" s="17" t="inlineStr">
        <is>
          <t>NOT-004</t>
        </is>
      </c>
      <c r="B7" s="17" t="inlineStr">
        <is>
          <t>FINMA Circular 2023/1</t>
        </is>
      </c>
      <c r="C7" s="17" t="inlineStr">
        <is>
          <t>Cyber Incident</t>
        </is>
      </c>
      <c r="D7" s="17" t="inlineStr">
        <is>
          <t>FINMA</t>
        </is>
      </c>
      <c r="E7" s="17" t="inlineStr">
        <is>
          <t>Critical cyber incident affecting operations</t>
        </is>
      </c>
      <c r="F7" s="17" t="inlineStr">
        <is>
          <t>24 hours</t>
        </is>
      </c>
      <c r="G7" s="17" t="inlineStr">
        <is>
          <t>Nature, scope, timeline, measures taken</t>
        </is>
      </c>
      <c r="H7" s="17" t="inlineStr">
        <is>
          <t>As per FINMA guidance</t>
        </is>
      </c>
      <c r="I7" s="17" t="inlineStr">
        <is>
          <t>Regulatory sanctions</t>
        </is>
      </c>
      <c r="J7" s="17" t="inlineStr">
        <is>
          <t>CISO</t>
        </is>
      </c>
      <c r="K7" s="17" t="inlineStr">
        <is>
          <t>SCEN-002</t>
        </is>
      </c>
      <c r="L7" s="17" t="inlineStr"/>
      <c r="M7" s="17" t="inlineStr">
        <is>
          <t>Swiss financial institutions only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0" customWidth="1" min="4" max="4"/>
    <col width="15" customWidth="1" min="5" max="5"/>
    <col width="12" customWidth="1" min="6" max="6"/>
    <col width="18" customWidth="1" min="7" max="7"/>
    <col width="25" customWidth="1" min="8" max="8"/>
    <col width="35" customWidth="1" min="9" max="9"/>
  </cols>
  <sheetData>
    <row r="1" ht="35" customHeight="1">
      <c r="A1" s="11" t="inlineStr">
        <is>
          <t>ESCALATION MATRIX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14" t="inlineStr">
        <is>
          <t>ISO 27001:2022 | Control A.5.5-6 | Escalation Matrix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5" t="inlineStr">
        <is>
          <t>Level</t>
        </is>
      </c>
      <c r="B3" s="15" t="inlineStr">
        <is>
          <t>Scenario Type</t>
        </is>
      </c>
      <c r="C3" s="15" t="inlineStr">
        <is>
          <t>First Contact</t>
        </is>
      </c>
      <c r="D3" s="15" t="inlineStr">
        <is>
          <t>Escalation 1</t>
        </is>
      </c>
      <c r="E3" s="15" t="inlineStr">
        <is>
          <t>Escalation 2</t>
        </is>
      </c>
      <c r="F3" s="15" t="inlineStr">
        <is>
          <t>Escalation 3</t>
        </is>
      </c>
      <c r="G3" s="15" t="inlineStr">
        <is>
          <t>Time to Escalate</t>
        </is>
      </c>
      <c r="H3" s="15" t="inlineStr">
        <is>
          <t>External Contact Approval</t>
        </is>
      </c>
      <c r="I3" s="15" t="inlineStr">
        <is>
          <t>Notes</t>
        </is>
      </c>
    </row>
    <row r="4">
      <c r="A4" s="19" t="inlineStr">
        <is>
          <t>L1</t>
        </is>
      </c>
      <c r="B4" s="19" t="inlineStr">
        <is>
          <t>Security Incident (Low)</t>
        </is>
      </c>
      <c r="C4" s="19" t="inlineStr">
        <is>
          <t>Security Analyst</t>
        </is>
      </c>
      <c r="D4" s="19" t="inlineStr">
        <is>
          <t>Security Manager</t>
        </is>
      </c>
      <c r="E4" s="19" t="inlineStr">
        <is>
          <t>CISO</t>
        </is>
      </c>
      <c r="F4" s="19" t="inlineStr">
        <is>
          <t>CEO</t>
        </is>
      </c>
      <c r="G4" s="19" t="inlineStr">
        <is>
          <t>2 hours</t>
        </is>
      </c>
      <c r="H4" s="19" t="inlineStr">
        <is>
          <t>CISO</t>
        </is>
      </c>
      <c r="I4" s="19" t="inlineStr"/>
    </row>
    <row r="5">
      <c r="A5" s="6" t="inlineStr">
        <is>
          <t>L2</t>
        </is>
      </c>
      <c r="B5" s="6" t="inlineStr">
        <is>
          <t>Security Incident (Medium)</t>
        </is>
      </c>
      <c r="C5" s="6" t="inlineStr">
        <is>
          <t>Security Manager</t>
        </is>
      </c>
      <c r="D5" s="6" t="inlineStr">
        <is>
          <t>CISO</t>
        </is>
      </c>
      <c r="E5" s="6" t="inlineStr">
        <is>
          <t>CEO</t>
        </is>
      </c>
      <c r="F5" s="6" t="inlineStr">
        <is>
          <t>Board</t>
        </is>
      </c>
      <c r="G5" s="6" t="inlineStr">
        <is>
          <t>1 hour</t>
        </is>
      </c>
      <c r="H5" s="6" t="inlineStr">
        <is>
          <t>CEO</t>
        </is>
      </c>
      <c r="I5" s="6" t="inlineStr"/>
    </row>
    <row r="6">
      <c r="A6" s="6" t="inlineStr">
        <is>
          <t>L3</t>
        </is>
      </c>
      <c r="B6" s="6" t="inlineStr">
        <is>
          <t>Security Incident (High/Critical)</t>
        </is>
      </c>
      <c r="C6" s="6" t="inlineStr">
        <is>
          <t>CISO</t>
        </is>
      </c>
      <c r="D6" s="6" t="inlineStr">
        <is>
          <t>CEO</t>
        </is>
      </c>
      <c r="E6" s="6" t="inlineStr">
        <is>
          <t>Board</t>
        </is>
      </c>
      <c r="F6" s="6" t="inlineStr">
        <is>
          <t>N/A</t>
        </is>
      </c>
      <c r="G6" s="6" t="inlineStr">
        <is>
          <t>30 minutes</t>
        </is>
      </c>
      <c r="H6" s="6" t="inlineStr">
        <is>
          <t>CEO</t>
        </is>
      </c>
      <c r="I6" s="6" t="inlineStr">
        <is>
          <t>Immediate board notification</t>
        </is>
      </c>
    </row>
    <row r="7">
      <c r="A7" s="6" t="inlineStr">
        <is>
          <t>L4</t>
        </is>
      </c>
      <c r="B7" s="6" t="inlineStr">
        <is>
          <t>Data Breach</t>
        </is>
      </c>
      <c r="C7" s="6" t="inlineStr">
        <is>
          <t>DPO</t>
        </is>
      </c>
      <c r="D7" s="6" t="inlineStr">
        <is>
          <t>CISO + Legal</t>
        </is>
      </c>
      <c r="E7" s="6" t="inlineStr">
        <is>
          <t>CEO</t>
        </is>
      </c>
      <c r="F7" s="6" t="inlineStr">
        <is>
          <t>Board</t>
        </is>
      </c>
      <c r="G7" s="6" t="inlineStr">
        <is>
          <t>1 hour</t>
        </is>
      </c>
      <c r="H7" s="6" t="inlineStr">
        <is>
          <t>DPO + Legal + CEO</t>
        </is>
      </c>
      <c r="I7" s="6" t="inlineStr">
        <is>
          <t>72h regulatory clock</t>
        </is>
      </c>
    </row>
    <row r="8">
      <c r="A8" s="6" t="inlineStr">
        <is>
          <t>L5</t>
        </is>
      </c>
      <c r="B8" s="6" t="inlineStr">
        <is>
          <t>Criminal Activity</t>
        </is>
      </c>
      <c r="C8" s="6" t="inlineStr">
        <is>
          <t>Security Manager</t>
        </is>
      </c>
      <c r="D8" s="6" t="inlineStr">
        <is>
          <t>CISO</t>
        </is>
      </c>
      <c r="E8" s="6" t="inlineStr">
        <is>
          <t>Legal</t>
        </is>
      </c>
      <c r="F8" s="6" t="inlineStr">
        <is>
          <t>CEO</t>
        </is>
      </c>
      <c r="G8" s="6" t="inlineStr">
        <is>
          <t>Immediate</t>
        </is>
      </c>
      <c r="H8" s="6" t="inlineStr">
        <is>
          <t>CEO + Legal</t>
        </is>
      </c>
      <c r="I8" s="6" t="inlineStr">
        <is>
          <t>Preserve evidence</t>
        </is>
      </c>
    </row>
    <row r="9">
      <c r="A9" s="6" t="inlineStr">
        <is>
          <t>L6</t>
        </is>
      </c>
      <c r="B9" s="6" t="inlineStr">
        <is>
          <t>Regulatory Inquiry</t>
        </is>
      </c>
      <c r="C9" s="6" t="inlineStr">
        <is>
          <t>Compliance Officer</t>
        </is>
      </c>
      <c r="D9" s="6" t="inlineStr">
        <is>
          <t>Legal</t>
        </is>
      </c>
      <c r="E9" s="6" t="inlineStr">
        <is>
          <t>CEO</t>
        </is>
      </c>
      <c r="F9" s="6" t="inlineStr">
        <is>
          <t>Board</t>
        </is>
      </c>
      <c r="G9" s="6" t="inlineStr">
        <is>
          <t>Per deadline</t>
        </is>
      </c>
      <c r="H9" s="6" t="inlineStr">
        <is>
          <t>Legal + CEO</t>
        </is>
      </c>
      <c r="I9" s="6" t="inlineStr"/>
    </row>
    <row r="10">
      <c r="A10" s="6" t="inlineStr">
        <is>
          <t>L7</t>
        </is>
      </c>
      <c r="B10" s="6" t="inlineStr">
        <is>
          <t>Physical Emergency</t>
        </is>
      </c>
      <c r="C10" s="6" t="inlineStr">
        <is>
          <t>Facility Manager</t>
        </is>
      </c>
      <c r="D10" s="6" t="inlineStr">
        <is>
          <t>HR Director</t>
        </is>
      </c>
      <c r="E10" s="6" t="inlineStr">
        <is>
          <t>CEO</t>
        </is>
      </c>
      <c r="F10" s="6" t="inlineStr">
        <is>
          <t>N/A</t>
        </is>
      </c>
      <c r="G10" s="6" t="inlineStr">
        <is>
          <t>Immediate</t>
        </is>
      </c>
      <c r="H10" s="6" t="inlineStr">
        <is>
          <t>Facility Manager</t>
        </is>
      </c>
      <c r="I10" s="6" t="inlineStr">
        <is>
          <t>Safety first</t>
        </is>
      </c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0" customWidth="1" min="4" max="4"/>
    <col width="20" customWidth="1" min="5" max="5"/>
    <col width="25" customWidth="1" min="6" max="6"/>
    <col width="25" customWidth="1" min="7" max="7"/>
    <col width="40" customWidth="1" min="8" max="8"/>
    <col width="40" customWidth="1" min="9" max="9"/>
  </cols>
  <sheetData>
    <row r="1" ht="35" customHeight="1">
      <c r="A1" s="11" t="inlineStr">
        <is>
          <t>APPROVAL WORKFLOW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14" t="inlineStr">
        <is>
          <t>ISO 27001:2022 | Control A.5.5-6 | Approval Workflow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5" t="inlineStr">
        <is>
          <t>Workflow ID</t>
        </is>
      </c>
      <c r="B3" s="15" t="inlineStr">
        <is>
          <t>Communication Type</t>
        </is>
      </c>
      <c r="C3" s="15" t="inlineStr">
        <is>
          <t>Recipient Type</t>
        </is>
      </c>
      <c r="D3" s="15" t="inlineStr">
        <is>
          <t>Required Approvers</t>
        </is>
      </c>
      <c r="E3" s="15" t="inlineStr">
        <is>
          <t>Approval Sequence</t>
        </is>
      </c>
      <c r="F3" s="15" t="inlineStr">
        <is>
          <t>Max Approval Time</t>
        </is>
      </c>
      <c r="G3" s="15" t="inlineStr">
        <is>
          <t>Delegate When Absent</t>
        </is>
      </c>
      <c r="H3" s="15" t="inlineStr">
        <is>
          <t>Documentation Required</t>
        </is>
      </c>
      <c r="I3" s="15" t="inlineStr">
        <is>
          <t>Post Communication Actions</t>
        </is>
      </c>
    </row>
    <row r="4">
      <c r="A4" s="16" t="inlineStr">
        <is>
          <t>WF-001</t>
        </is>
      </c>
      <c r="B4" s="16" t="inlineStr">
        <is>
          <t>Routine Information Sharing</t>
        </is>
      </c>
      <c r="C4" s="16" t="inlineStr">
        <is>
          <t>Special Interest Group</t>
        </is>
      </c>
      <c r="D4" s="16" t="inlineStr">
        <is>
          <t>Department Head</t>
        </is>
      </c>
      <c r="E4" s="16" t="inlineStr">
        <is>
          <t>Single</t>
        </is>
      </c>
      <c r="F4" s="16" t="inlineStr">
        <is>
          <t>24 hours</t>
        </is>
      </c>
      <c r="G4" s="16" t="inlineStr">
        <is>
          <t>Deputy Head</t>
        </is>
      </c>
      <c r="H4" s="16" t="inlineStr">
        <is>
          <t>Email approval</t>
        </is>
      </c>
      <c r="I4" s="16" t="inlineStr">
        <is>
          <t>Log in engagement register</t>
        </is>
      </c>
    </row>
    <row r="5">
      <c r="A5" s="17" t="inlineStr">
        <is>
          <t>WF-002</t>
        </is>
      </c>
      <c r="B5" s="17" t="inlineStr">
        <is>
          <t>Threat Intelligence Sharing</t>
        </is>
      </c>
      <c r="C5" s="17" t="inlineStr">
        <is>
          <t>ISAC / NCSC</t>
        </is>
      </c>
      <c r="D5" s="17" t="inlineStr">
        <is>
          <t>CISO</t>
        </is>
      </c>
      <c r="E5" s="17" t="inlineStr">
        <is>
          <t>Single</t>
        </is>
      </c>
      <c r="F5" s="17" t="inlineStr">
        <is>
          <t>4 hours</t>
        </is>
      </c>
      <c r="G5" s="17" t="inlineStr">
        <is>
          <t>Security Manager</t>
        </is>
      </c>
      <c r="H5" s="17" t="inlineStr">
        <is>
          <t>Classification review, CISO approval</t>
        </is>
      </c>
      <c r="I5" s="17" t="inlineStr">
        <is>
          <t>Log in contribution register</t>
        </is>
      </c>
    </row>
    <row r="6">
      <c r="A6" s="17" t="inlineStr">
        <is>
          <t>WF-003</t>
        </is>
      </c>
      <c r="B6" s="17" t="inlineStr">
        <is>
          <t>Data Breach Notification</t>
        </is>
      </c>
      <c r="C6" s="17" t="inlineStr">
        <is>
          <t>Data Protection Authority</t>
        </is>
      </c>
      <c r="D6" s="17" t="inlineStr">
        <is>
          <t>DPO + Legal Counsel + CISO</t>
        </is>
      </c>
      <c r="E6" s="17" t="inlineStr">
        <is>
          <t>Parallel then CEO</t>
        </is>
      </c>
      <c r="F6" s="17" t="inlineStr">
        <is>
          <t>24 hours (within 72h window)</t>
        </is>
      </c>
      <c r="G6" s="17" t="inlineStr">
        <is>
          <t>Deputies for each role</t>
        </is>
      </c>
      <c r="H6" s="17" t="inlineStr">
        <is>
          <t>Breach report, impact assessment, approval chain</t>
        </is>
      </c>
      <c r="I6" s="17" t="inlineStr">
        <is>
          <t>Track response, log evidence</t>
        </is>
      </c>
    </row>
    <row r="7">
      <c r="A7" s="17" t="inlineStr">
        <is>
          <t>WF-004</t>
        </is>
      </c>
      <c r="B7" s="17" t="inlineStr">
        <is>
          <t>Law Enforcement Contact</t>
        </is>
      </c>
      <c r="C7" s="17" t="inlineStr">
        <is>
          <t>Police / Fedpol</t>
        </is>
      </c>
      <c r="D7" s="17" t="inlineStr">
        <is>
          <t>CEO + Legal Counsel</t>
        </is>
      </c>
      <c r="E7" s="17" t="inlineStr">
        <is>
          <t>Sequential (Legal then CEO)</t>
        </is>
      </c>
      <c r="F7" s="17" t="inlineStr">
        <is>
          <t>2 hours</t>
        </is>
      </c>
      <c r="G7" s="17" t="inlineStr">
        <is>
          <t>CFO + External Counsel</t>
        </is>
      </c>
      <c r="H7" s="17" t="inlineStr">
        <is>
          <t>Incident report, evidence log, legal review</t>
        </is>
      </c>
      <c r="I7" s="17" t="inlineStr">
        <is>
          <t>Track investigation, update board</t>
        </is>
      </c>
    </row>
    <row r="8">
      <c r="A8" s="17" t="inlineStr">
        <is>
          <t>WF-005</t>
        </is>
      </c>
      <c r="B8" s="17" t="inlineStr">
        <is>
          <t>Regulatory Response</t>
        </is>
      </c>
      <c r="C8" s="17" t="inlineStr">
        <is>
          <t>Any Regulator</t>
        </is>
      </c>
      <c r="D8" s="17" t="inlineStr">
        <is>
          <t>Legal Counsel + CEO</t>
        </is>
      </c>
      <c r="E8" s="17" t="inlineStr">
        <is>
          <t>Sequential</t>
        </is>
      </c>
      <c r="F8" s="17" t="inlineStr">
        <is>
          <t>Per deadline</t>
        </is>
      </c>
      <c r="G8" s="17" t="inlineStr">
        <is>
          <t>External Counsel + CFO</t>
        </is>
      </c>
      <c r="H8" s="17" t="inlineStr">
        <is>
          <t>Response document, supporting evidence</t>
        </is>
      </c>
      <c r="I8" s="17" t="inlineStr">
        <is>
          <t>Track outcome, update compliance</t>
        </is>
      </c>
    </row>
    <row r="9">
      <c r="A9" s="17" t="inlineStr">
        <is>
          <t>WF-006</t>
        </is>
      </c>
      <c r="B9" s="17" t="inlineStr">
        <is>
          <t>Media/Public Statement</t>
        </is>
      </c>
      <c r="C9" s="17" t="inlineStr">
        <is>
          <t>Media / Public</t>
        </is>
      </c>
      <c r="D9" s="17" t="inlineStr">
        <is>
          <t>CEO + Communications</t>
        </is>
      </c>
      <c r="E9" s="17" t="inlineStr">
        <is>
          <t>Parallel</t>
        </is>
      </c>
      <c r="F9" s="17" t="inlineStr">
        <is>
          <t>As needed</t>
        </is>
      </c>
      <c r="G9" s="17" t="inlineStr">
        <is>
          <t>CFO + External PR</t>
        </is>
      </c>
      <c r="H9" s="17" t="inlineStr">
        <is>
          <t>Statement draft, legal review</t>
        </is>
      </c>
      <c r="I9" s="17" t="inlineStr">
        <is>
          <t>Monitor coverage, track response</t>
        </is>
      </c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</sheetData>
  <mergeCells count="2">
    <mergeCell ref="A1:I1"/>
    <mergeCell ref="A2:I2"/>
  </mergeCells>
  <dataValidations count="1">
    <dataValidation sqref="E4:E31" showDropDown="0" showInputMessage="0" showErrorMessage="0" allowBlank="0" type="list">
      <formula1>"Single,Sequential,Parallel,Parallel then CEO"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25" customWidth="1" min="4" max="4"/>
    <col width="60" customWidth="1" min="5" max="5"/>
    <col width="15" customWidth="1" min="6" max="6"/>
    <col width="15" customWidth="1" min="7" max="7"/>
    <col width="15" customWidth="1" min="8" max="8"/>
    <col width="30" customWidth="1" min="9" max="9"/>
    <col width="35" customWidth="1" min="10" max="10"/>
  </cols>
  <sheetData>
    <row r="1" ht="35" customHeight="1">
      <c r="A1" s="11" t="inlineStr">
        <is>
          <t>COMMUNICATION TEMPLATES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2">
      <c r="A2" s="14" t="inlineStr">
        <is>
          <t>ISO 27001:2022 | Control A.5.5-6 | Communication Templates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3" t="n"/>
    </row>
    <row r="3">
      <c r="A3" s="15" t="inlineStr">
        <is>
          <t>Template ID</t>
        </is>
      </c>
      <c r="B3" s="15" t="inlineStr">
        <is>
          <t>Template Name</t>
        </is>
      </c>
      <c r="C3" s="15" t="inlineStr">
        <is>
          <t>Purpose</t>
        </is>
      </c>
      <c r="D3" s="15" t="inlineStr">
        <is>
          <t>Recipient Type</t>
        </is>
      </c>
      <c r="E3" s="15" t="inlineStr">
        <is>
          <t>Required Sections</t>
        </is>
      </c>
      <c r="F3" s="15" t="inlineStr">
        <is>
          <t>Classification</t>
        </is>
      </c>
      <c r="G3" s="15" t="inlineStr">
        <is>
          <t>Review Date</t>
        </is>
      </c>
      <c r="H3" s="15" t="inlineStr">
        <is>
          <t>Owner</t>
        </is>
      </c>
      <c r="I3" s="15" t="inlineStr">
        <is>
          <t>Storage Location</t>
        </is>
      </c>
      <c r="J3" s="15" t="inlineStr">
        <is>
          <t>Notes</t>
        </is>
      </c>
    </row>
    <row r="4">
      <c r="A4" s="16" t="inlineStr">
        <is>
          <t>TPL-DPA-001</t>
        </is>
      </c>
      <c r="B4" s="16" t="inlineStr">
        <is>
          <t>Data Breach Notification (DPA)</t>
        </is>
      </c>
      <c r="C4" s="16" t="inlineStr">
        <is>
          <t>Notify data protection authority of breach</t>
        </is>
      </c>
      <c r="D4" s="16" t="inlineStr">
        <is>
          <t>Data Protection Authority</t>
        </is>
      </c>
      <c r="E4" s="16" t="inlineStr">
        <is>
          <t>Nature of breach, categories affected, approx numbers, consequences, measures taken</t>
        </is>
      </c>
      <c r="F4" s="16" t="inlineStr">
        <is>
          <t>Confidential</t>
        </is>
      </c>
      <c r="G4" s="16" t="inlineStr"/>
      <c r="H4" s="16" t="inlineStr">
        <is>
          <t>DPO</t>
        </is>
      </c>
      <c r="I4" s="16" t="inlineStr">
        <is>
          <t>[SharePoint path]</t>
        </is>
      </c>
      <c r="J4" s="16" t="inlineStr">
        <is>
          <t>Use within 72 hours of awareness</t>
        </is>
      </c>
    </row>
    <row r="5">
      <c r="A5" s="17" t="inlineStr">
        <is>
          <t>TPL-LE-001</t>
        </is>
      </c>
      <c r="B5" s="17" t="inlineStr">
        <is>
          <t>Law Enforcement Report</t>
        </is>
      </c>
      <c r="C5" s="17" t="inlineStr">
        <is>
          <t>Report criminal activity to police</t>
        </is>
      </c>
      <c r="D5" s="17" t="inlineStr">
        <is>
          <t>Law Enforcement</t>
        </is>
      </c>
      <c r="E5" s="17" t="inlineStr">
        <is>
          <t>Incident description, timeline, evidence preserved, point of contact</t>
        </is>
      </c>
      <c r="F5" s="17" t="inlineStr">
        <is>
          <t>Confidential</t>
        </is>
      </c>
      <c r="G5" s="17" t="inlineStr"/>
      <c r="H5" s="17" t="inlineStr">
        <is>
          <t>Legal</t>
        </is>
      </c>
      <c r="I5" s="17" t="inlineStr">
        <is>
          <t>[SharePoint path]</t>
        </is>
      </c>
      <c r="J5" s="17" t="inlineStr">
        <is>
          <t>Preserve chain of custody</t>
        </is>
      </c>
    </row>
    <row r="6">
      <c r="A6" s="17" t="inlineStr">
        <is>
          <t>TPL-VULN-001</t>
        </is>
      </c>
      <c r="B6" s="17" t="inlineStr">
        <is>
          <t>Vulnerability Disclosure</t>
        </is>
      </c>
      <c r="C6" s="17" t="inlineStr">
        <is>
          <t>Share vulnerability details with NCSC</t>
        </is>
      </c>
      <c r="D6" s="17" t="inlineStr">
        <is>
          <t>Government Cybersecurity</t>
        </is>
      </c>
      <c r="E6" s="17" t="inlineStr">
        <is>
          <t>Vulnerability details, affected systems, mitigation status, IOCs</t>
        </is>
      </c>
      <c r="F6" s="17" t="inlineStr">
        <is>
          <t>TLP:AMBER</t>
        </is>
      </c>
      <c r="G6" s="17" t="inlineStr"/>
      <c r="H6" s="17" t="inlineStr">
        <is>
          <t>CISO</t>
        </is>
      </c>
      <c r="I6" s="17" t="inlineStr">
        <is>
          <t>[SharePoint path]</t>
        </is>
      </c>
      <c r="J6" s="17" t="inlineStr">
        <is>
          <t>Anonymize as appropriate</t>
        </is>
      </c>
    </row>
    <row r="7">
      <c r="A7" s="17" t="inlineStr">
        <is>
          <t>TPL-REG-001</t>
        </is>
      </c>
      <c r="B7" s="17" t="inlineStr">
        <is>
          <t>Regulatory Response</t>
        </is>
      </c>
      <c r="C7" s="17" t="inlineStr">
        <is>
          <t>Respond to regulatory inquiries</t>
        </is>
      </c>
      <c r="D7" s="17" t="inlineStr">
        <is>
          <t>Any Regulator</t>
        </is>
      </c>
      <c r="E7" s="17" t="inlineStr">
        <is>
          <t>Reference to inquiry, response summary, supporting evidence list</t>
        </is>
      </c>
      <c r="F7" s="17" t="inlineStr">
        <is>
          <t>Confidential</t>
        </is>
      </c>
      <c r="G7" s="17" t="inlineStr"/>
      <c r="H7" s="17" t="inlineStr">
        <is>
          <t>Legal</t>
        </is>
      </c>
      <c r="I7" s="17" t="inlineStr">
        <is>
          <t>[SharePoint path]</t>
        </is>
      </c>
      <c r="J7" s="17" t="inlineStr">
        <is>
          <t>Track all submissions</t>
        </is>
      </c>
    </row>
    <row r="8">
      <c r="A8" s="17" t="inlineStr">
        <is>
          <t>TPL-ISAC-001</t>
        </is>
      </c>
      <c r="B8" s="17" t="inlineStr">
        <is>
          <t>ISAC Threat Report</t>
        </is>
      </c>
      <c r="C8" s="17" t="inlineStr">
        <is>
          <t>Share threat intelligence with ISAC</t>
        </is>
      </c>
      <c r="D8" s="17" t="inlineStr">
        <is>
          <t>ISAC</t>
        </is>
      </c>
      <c r="E8" s="17" t="inlineStr">
        <is>
          <t>Threat summary, IOCs, TTPs, recommendations</t>
        </is>
      </c>
      <c r="F8" s="17" t="inlineStr">
        <is>
          <t>TLP:AMBER</t>
        </is>
      </c>
      <c r="G8" s="17" t="inlineStr"/>
      <c r="H8" s="17" t="inlineStr">
        <is>
          <t>CISO</t>
        </is>
      </c>
      <c r="I8" s="17" t="inlineStr">
        <is>
          <t>[SharePoint path]</t>
        </is>
      </c>
      <c r="J8" s="17" t="inlineStr">
        <is>
          <t>Classification review required</t>
        </is>
      </c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</row>
  </sheetData>
  <mergeCells count="2">
    <mergeCell ref="A1:J1"/>
    <mergeCell ref="A2:J2"/>
  </mergeCells>
  <dataValidations count="1">
    <dataValidation sqref="F4:F31" showDropDown="0" showInputMessage="0" showErrorMessage="0" allowBlank="0" type="list">
      <formula1>"TLP:RED,TLP:AMBER,TLP:GREEN,TLP:CLEAR,Confidential,Internal,Public"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20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1" t="inlineStr">
        <is>
          <t>ISO/IEC 27001:2022 | Controls A.5.5 &amp; A.5.6 | Evidence Register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2" t="inlineStr">
        <is>
          <t>Evidence ID</t>
        </is>
      </c>
      <c r="B4" s="22" t="inlineStr">
        <is>
          <t>Assessment Area</t>
        </is>
      </c>
      <c r="C4" s="22" t="inlineStr">
        <is>
          <t>Evidence Type</t>
        </is>
      </c>
      <c r="D4" s="22" t="inlineStr">
        <is>
          <t>Description</t>
        </is>
      </c>
      <c r="E4" s="22" t="inlineStr">
        <is>
          <t>Location / Path</t>
        </is>
      </c>
      <c r="F4" s="22" t="inlineStr">
        <is>
          <t>Date Collected</t>
        </is>
      </c>
      <c r="G4" s="22" t="inlineStr">
        <is>
          <t>Collected By</t>
        </is>
      </c>
      <c r="H4" s="22" t="inlineStr">
        <is>
          <t>Verification Status</t>
        </is>
      </c>
    </row>
    <row r="5">
      <c r="A5" s="19" t="inlineStr">
        <is>
          <t>EV-001</t>
        </is>
      </c>
      <c r="B5" s="19" t="inlineStr">
        <is>
          <t>Communication Scenarios</t>
        </is>
      </c>
      <c r="C5" s="19" t="inlineStr">
        <is>
          <t>Policy Document</t>
        </is>
      </c>
      <c r="D5" s="19" t="inlineStr">
        <is>
          <t>ISMS policy document evidence reference</t>
        </is>
      </c>
      <c r="E5" s="19" t="inlineStr">
        <is>
          <t>/evidence/A.5.5-6/</t>
        </is>
      </c>
      <c r="F5" s="19" t="inlineStr">
        <is>
          <t>01.01.2026</t>
        </is>
      </c>
      <c r="G5" s="19" t="inlineStr">
        <is>
          <t>ISMS Manager</t>
        </is>
      </c>
      <c r="H5" s="19" t="inlineStr">
        <is>
          <t>Verified</t>
        </is>
      </c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mergeCells count="2">
    <mergeCell ref="A2:H2"/>
    <mergeCell ref="A1:H1"/>
  </mergeCells>
  <dataValidations count="1">
    <dataValidation sqref="H5:H105" showDropDown="0" showInputMessage="0" showErrorMessage="0" allowBlank="1" type="list">
      <formula1>"Verified,Pending,Not Verified,N/A"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23" t="inlineStr">
        <is>
          <t>External Communication Procedures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ISO/IEC 27001:2022 — Controls A.5.5 &amp; A.5.6: Scenario coverage, notification obligations and procedure completeness</t>
        </is>
      </c>
    </row>
    <row r="4" ht="20" customHeight="1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</row>
    <row r="5">
      <c r="A5" s="26" t="inlineStr">
        <is>
          <t>Assessment Area</t>
        </is>
      </c>
      <c r="B5" s="26" t="inlineStr">
        <is>
          <t>Total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Compliance %</t>
        </is>
      </c>
    </row>
    <row r="6">
      <c r="A6" s="27" t="inlineStr">
        <is>
          <t>Scenario Coverage — Regulatory</t>
        </is>
      </c>
      <c r="B6" s="28">
        <f>COUNTIF('Communication Scenarios'!C5:C58,"Regulatory")</f>
        <v/>
      </c>
      <c r="C6" s="28">
        <f>IF(B6&gt;0,B6,0)</f>
        <v/>
      </c>
      <c r="D6" s="28" t="n">
        <v>0</v>
      </c>
      <c r="E6" s="28">
        <f>IF(B6=0,1,0)</f>
        <v/>
      </c>
      <c r="F6" s="29">
        <f>IFERROR(IF((B6-0)=0,0,C6/(B6-0)),"")</f>
        <v/>
      </c>
    </row>
    <row r="7">
      <c r="A7" s="27" t="inlineStr">
        <is>
          <t>Scenario Coverage — Law Enforcement</t>
        </is>
      </c>
      <c r="B7" s="28">
        <f>COUNTIF('Communication Scenarios'!C5:C58,"Law Enforcement")</f>
        <v/>
      </c>
      <c r="C7" s="28">
        <f>IF(B7&gt;0,B7,0)</f>
        <v/>
      </c>
      <c r="D7" s="28" t="n">
        <v>0</v>
      </c>
      <c r="E7" s="28">
        <f>IF(B7=0,1,0)</f>
        <v/>
      </c>
      <c r="F7" s="29">
        <f>IFERROR(IF((B7-0)=0,0,C7/(B7-0)),"")</f>
        <v/>
      </c>
    </row>
    <row r="8">
      <c r="A8" s="27" t="inlineStr">
        <is>
          <t>Scenario Coverage — Emergency</t>
        </is>
      </c>
      <c r="B8" s="28">
        <f>COUNTIF('Communication Scenarios'!C5:C58,"Emergency")</f>
        <v/>
      </c>
      <c r="C8" s="28">
        <f>IF(B8&gt;0,B8,0)</f>
        <v/>
      </c>
      <c r="D8" s="28" t="n">
        <v>0</v>
      </c>
      <c r="E8" s="28">
        <f>IF(B8=0,1,0)</f>
        <v/>
      </c>
      <c r="F8" s="29">
        <f>IFERROR(IF((B8-0)=0,0,C8/(B8-0)),"")</f>
        <v/>
      </c>
    </row>
    <row r="9">
      <c r="A9" s="27" t="inlineStr">
        <is>
          <t>Scenario Coverage — Threat Intel</t>
        </is>
      </c>
      <c r="B9" s="28">
        <f>COUNTIF('Communication Scenarios'!C5:C58,"Threat Intel")</f>
        <v/>
      </c>
      <c r="C9" s="28">
        <f>IF(B9&gt;0,B9,0)</f>
        <v/>
      </c>
      <c r="D9" s="28" t="n">
        <v>0</v>
      </c>
      <c r="E9" s="28">
        <f>IF(B9=0,1,0)</f>
        <v/>
      </c>
      <c r="F9" s="29">
        <f>IFERROR(IF((B9-0)=0,0,C9/(B9-0)),"")</f>
        <v/>
      </c>
    </row>
    <row r="10">
      <c r="A10" s="27" t="inlineStr">
        <is>
          <t>Scenario Coverage — Standards</t>
        </is>
      </c>
      <c r="B10" s="28">
        <f>COUNTIF('Communication Scenarios'!C5:C58,"Standards")</f>
        <v/>
      </c>
      <c r="C10" s="28">
        <f>IF(B10&gt;0,B10,0)</f>
        <v/>
      </c>
      <c r="D10" s="28" t="n">
        <v>0</v>
      </c>
      <c r="E10" s="28">
        <f>IF(B10=0,1,0)</f>
        <v/>
      </c>
      <c r="F10" s="29">
        <f>IFERROR(IF((B10-0)=0,0,C10/(B10-0)),"")</f>
        <v/>
      </c>
    </row>
    <row r="11">
      <c r="A11" s="27" t="inlineStr">
        <is>
          <t>Scenario Coverage — Other</t>
        </is>
      </c>
      <c r="B11" s="28">
        <f>COUNTIF('Communication Scenarios'!C5:C58,"Other")</f>
        <v/>
      </c>
      <c r="C11" s="28">
        <f>IF(B11&gt;0,B11,0)</f>
        <v/>
      </c>
      <c r="D11" s="28" t="n">
        <v>0</v>
      </c>
      <c r="E11" s="28">
        <f>IF(B11=0,1,0)</f>
        <v/>
      </c>
      <c r="F11" s="29">
        <f>IFERROR(IF((B11-0)=0,0,C11/(B11-0)),"")</f>
        <v/>
      </c>
    </row>
    <row r="12">
      <c r="A12" s="30" t="inlineStr">
        <is>
          <t>TOTAL</t>
        </is>
      </c>
      <c r="B12" s="31">
        <f>SUM(B6:B11)</f>
        <v/>
      </c>
      <c r="C12" s="31">
        <f>SUM(C6:C11)</f>
        <v/>
      </c>
      <c r="D12" s="31">
        <f>SUM(D6:D11)</f>
        <v/>
      </c>
      <c r="E12" s="31">
        <f>SUM(E6:E11)</f>
        <v/>
      </c>
      <c r="F12" s="32">
        <f>IFERROR(IF((B12-0)=0,0,C12/(B12-0)),"")</f>
        <v/>
      </c>
    </row>
    <row r="14" ht="20" customHeight="1">
      <c r="A14" s="25" t="inlineStr">
        <is>
          <t>TABLE 2: KEY PERFORMANCE INDICATORS</t>
        </is>
      </c>
      <c r="B14" s="6" t="n"/>
      <c r="C14" s="6" t="n"/>
      <c r="D14" s="6" t="n"/>
      <c r="E14" s="6" t="n"/>
      <c r="F14" s="6" t="n"/>
    </row>
    <row r="15">
      <c r="A15" s="26" t="inlineStr">
        <is>
          <t>KPI Metric</t>
        </is>
      </c>
      <c r="B15" s="26" t="inlineStr">
        <is>
          <t>Value</t>
        </is>
      </c>
      <c r="C15" s="26" t="inlineStr">
        <is>
          <t>Notes / Subtitle</t>
        </is>
      </c>
      <c r="D15" s="6" t="n"/>
      <c r="E15" s="6" t="n"/>
      <c r="F15" s="6" t="n"/>
    </row>
    <row r="16">
      <c r="A16" s="27" t="inlineStr">
        <is>
          <t>Total Communication Scenarios Defined</t>
        </is>
      </c>
      <c r="B16" s="28">
        <f>COUNTA('Communication Scenarios'!A5:A58)</f>
        <v/>
      </c>
      <c r="C16" s="27" t="inlineStr">
        <is>
          <t>All external communication scenarios documented (including pre-populated)</t>
        </is>
      </c>
      <c r="D16" s="6" t="n"/>
      <c r="E16" s="6" t="n"/>
      <c r="F16" s="6" t="n"/>
    </row>
    <row r="17">
      <c r="A17" s="27" t="inlineStr">
        <is>
          <t>Emergency Scenarios Defined</t>
        </is>
      </c>
      <c r="B17" s="28">
        <f>COUNTIF('Communication Scenarios'!C5:C58,"Emergency")</f>
        <v/>
      </c>
      <c r="C17" s="27" t="inlineStr">
        <is>
          <t>Scenarios covering emergency and crisis communications</t>
        </is>
      </c>
      <c r="D17" s="6" t="n"/>
      <c r="E17" s="6" t="n"/>
      <c r="F17" s="6" t="n"/>
    </row>
    <row r="18">
      <c r="A18" s="27" t="inlineStr">
        <is>
          <t>Regulatory Scenarios Defined</t>
        </is>
      </c>
      <c r="B18" s="28">
        <f>COUNTIF('Communication Scenarios'!C5:C58,"Regulatory")</f>
        <v/>
      </c>
      <c r="C18" s="27" t="inlineStr">
        <is>
          <t>Scenarios covering regulatory notifications and legal obligations</t>
        </is>
      </c>
      <c r="D18" s="6" t="n"/>
      <c r="E18" s="6" t="n"/>
      <c r="F18" s="6" t="n"/>
    </row>
    <row r="19">
      <c r="A19" s="27" t="inlineStr">
        <is>
          <t>Notification Requirements Documented</t>
        </is>
      </c>
      <c r="B19" s="28">
        <f>COUNTA('Notification Requirements'!A5:A57)</f>
        <v/>
      </c>
      <c r="C19" s="27" t="inlineStr">
        <is>
          <t>Formal notification obligations documented (including pre-populated)</t>
        </is>
      </c>
      <c r="D19" s="6" t="n"/>
      <c r="E19" s="6" t="n"/>
      <c r="F19" s="6" t="n"/>
    </row>
    <row r="20">
      <c r="A20" s="27" t="inlineStr">
        <is>
          <t>Communication Templates Available</t>
        </is>
      </c>
      <c r="B20" s="28">
        <f>COUNTA('Communication Templates'!A5:A58)</f>
        <v/>
      </c>
      <c r="C20" s="27" t="inlineStr">
        <is>
          <t>Pre-approved communication templates available for use</t>
        </is>
      </c>
      <c r="D20" s="6" t="n"/>
      <c r="E20" s="6" t="n"/>
      <c r="F20" s="6" t="n"/>
    </row>
    <row r="21">
      <c r="A21" s="27" t="inlineStr">
        <is>
          <t>Approval Workflows Defined</t>
        </is>
      </c>
      <c r="B21" s="28">
        <f>COUNTA('Approval Workflow'!A5:A59)</f>
        <v/>
      </c>
      <c r="C21" s="27" t="inlineStr">
        <is>
          <t>Formal approval sequences for external communications</t>
        </is>
      </c>
      <c r="D21" s="6" t="n"/>
      <c r="E21" s="6" t="n"/>
      <c r="F21" s="6" t="n"/>
    </row>
    <row r="23" ht="20" customHeight="1">
      <c r="A23" s="33" t="inlineStr">
        <is>
          <t>TABLE 3: CRITICAL FINDINGS REQUIRING IMMEDIATE ATTENTION</t>
        </is>
      </c>
      <c r="B23" s="6" t="n"/>
      <c r="C23" s="6" t="n"/>
      <c r="D23" s="6" t="n"/>
      <c r="E23" s="6" t="n"/>
      <c r="F23" s="6" t="n"/>
    </row>
    <row r="24">
      <c r="A24" s="26" t="inlineStr">
        <is>
          <t>Finding</t>
        </is>
      </c>
      <c r="B24" s="26" t="inlineStr">
        <is>
          <t>Count</t>
        </is>
      </c>
      <c r="C24" s="26" t="inlineStr">
        <is>
          <t>Action Required</t>
        </is>
      </c>
      <c r="D24" s="6" t="n"/>
      <c r="E24" s="6" t="n"/>
      <c r="F24" s="6" t="n"/>
    </row>
    <row r="25">
      <c r="A25" s="34" t="inlineStr">
        <is>
          <t>Missing Emergency Scenarios</t>
        </is>
      </c>
      <c r="B25" s="35">
        <f>IF(COUNTIF('Communication Scenarios'!C5:C58,"Emergency")=0,1,0)</f>
        <v/>
      </c>
      <c r="C25" s="36" t="inlineStr">
        <is>
          <t>Define at least one emergency communication scenario — mandatory for ISO 27001 incident response</t>
        </is>
      </c>
      <c r="D25" s="6" t="n"/>
      <c r="E25" s="6" t="n"/>
      <c r="F25" s="6" t="n"/>
    </row>
    <row r="26">
      <c r="A26" s="34" t="inlineStr">
        <is>
          <t>Missing Regulatory Scenarios</t>
        </is>
      </c>
      <c r="B26" s="35">
        <f>IF(COUNTIF('Communication Scenarios'!C5:C58,"Regulatory")=0,1,0)</f>
        <v/>
      </c>
      <c r="C26" s="36" t="inlineStr">
        <is>
          <t>Define at least one regulatory notification scenario (e.g. data breach reporting to DPA)</t>
        </is>
      </c>
      <c r="D26" s="6" t="n"/>
      <c r="E26" s="6" t="n"/>
      <c r="F26" s="6" t="n"/>
    </row>
    <row r="27">
      <c r="A27" s="34" t="inlineStr">
        <is>
          <t>Missing Law Enforcement Scenarios</t>
        </is>
      </c>
      <c r="B27" s="35">
        <f>IF(COUNTIF('Communication Scenarios'!C5:C58,"Law Enforcement")=0,1,0)</f>
        <v/>
      </c>
      <c r="C27" s="36" t="inlineStr">
        <is>
          <t>Define at least one law enforcement communication scenario for cybercrime response</t>
        </is>
      </c>
      <c r="D27" s="6" t="n"/>
      <c r="E27" s="6" t="n"/>
      <c r="F27" s="6" t="n"/>
    </row>
    <row r="28">
      <c r="A28" s="34" t="inlineStr">
        <is>
          <t>Missing Threat Intel Scenarios</t>
        </is>
      </c>
      <c r="B28" s="35">
        <f>IF(COUNTIF('Communication Scenarios'!C5:C58,"Threat Intel")=0,1,0)</f>
        <v/>
      </c>
      <c r="C28" s="36" t="inlineStr">
        <is>
          <t>Define threat intelligence sharing scenarios to cover NCSC and ISAC coordination</t>
        </is>
      </c>
      <c r="D28" s="6" t="n"/>
      <c r="E28" s="6" t="n"/>
      <c r="F28" s="6" t="n"/>
    </row>
  </sheetData>
  <mergeCells count="17">
    <mergeCell ref="A2:F2"/>
    <mergeCell ref="C18:F18"/>
    <mergeCell ref="C17:F17"/>
    <mergeCell ref="A14:F14"/>
    <mergeCell ref="A1:F1"/>
    <mergeCell ref="C20:F20"/>
    <mergeCell ref="A23:F23"/>
    <mergeCell ref="C26:F26"/>
    <mergeCell ref="C27:F27"/>
    <mergeCell ref="C21:F21"/>
    <mergeCell ref="C16:F16"/>
    <mergeCell ref="C15:F15"/>
    <mergeCell ref="A4:F4"/>
    <mergeCell ref="C25:F25"/>
    <mergeCell ref="C24:F24"/>
    <mergeCell ref="C19:F19"/>
    <mergeCell ref="C28:F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21" t="inlineStr">
        <is>
          <t>ISMS-IMP-A.5.5-6.S3 | ISO/IEC 27001:2022 - Control A.5.5-6: Contact with Authorities &amp; Special Interest Groups</t>
        </is>
      </c>
      <c r="B2" s="6" t="n"/>
      <c r="C2" s="6" t="n"/>
      <c r="D2" s="6" t="n"/>
      <c r="E2" s="6" t="n"/>
    </row>
    <row r="3">
      <c r="A3" s="38" t="inlineStr">
        <is>
          <t>ASSESSMENT SUMMARY</t>
        </is>
      </c>
      <c r="B3" s="6" t="n"/>
      <c r="C3" s="6" t="n"/>
      <c r="D3" s="6" t="n"/>
      <c r="E3" s="6" t="n"/>
    </row>
    <row r="4">
      <c r="A4" s="39" t="inlineStr">
        <is>
          <t>Document:</t>
        </is>
      </c>
      <c r="B4" s="6" t="inlineStr">
        <is>
          <t>ISMS-IMP-A.5.5-6.S3 - External Communication Procedures</t>
        </is>
      </c>
      <c r="C4" s="6" t="n"/>
      <c r="D4" s="6" t="n"/>
      <c r="E4" s="6" t="n"/>
    </row>
    <row r="5">
      <c r="A5" s="39" t="inlineStr">
        <is>
          <t>Assessment Period:</t>
        </is>
      </c>
      <c r="B5" s="18" t="inlineStr"/>
      <c r="C5" s="18" t="n"/>
      <c r="D5" s="18" t="n"/>
      <c r="E5" s="18" t="n"/>
    </row>
    <row r="6">
      <c r="A6" s="39" t="inlineStr">
        <is>
          <t>Overall Compliance Rate:</t>
        </is>
      </c>
      <c r="B6" s="40">
        <f>IFERROR('Summary Dashboard'!F12,)</f>
        <v/>
      </c>
      <c r="C6" s="18" t="n"/>
      <c r="D6" s="18" t="n"/>
      <c r="E6" s="18" t="n"/>
    </row>
    <row r="7">
      <c r="A7" s="39" t="inlineStr">
        <is>
          <t>Assessment Status:</t>
        </is>
      </c>
      <c r="B7" s="18" t="inlineStr"/>
      <c r="C7" s="18" t="n"/>
      <c r="D7" s="18" t="n"/>
      <c r="E7" s="18" t="n"/>
    </row>
    <row r="8">
      <c r="A8" s="39" t="inlineStr">
        <is>
          <t>Assessed By:</t>
        </is>
      </c>
      <c r="B8" s="18" t="inlineStr"/>
      <c r="C8" s="18" t="n"/>
      <c r="D8" s="18" t="n"/>
      <c r="E8" s="18" t="n"/>
    </row>
    <row r="11">
      <c r="A11" s="38" t="inlineStr">
        <is>
          <t>COMPLETED BY (ASSESSOR)</t>
        </is>
      </c>
      <c r="B11" s="6" t="n"/>
      <c r="C11" s="6" t="n"/>
      <c r="D11" s="6" t="n"/>
      <c r="E11" s="6" t="n"/>
    </row>
    <row r="12">
      <c r="A12" s="39" t="inlineStr">
        <is>
          <t>Name:</t>
        </is>
      </c>
      <c r="B12" s="18" t="n"/>
      <c r="C12" s="18" t="n"/>
      <c r="D12" s="18" t="n"/>
      <c r="E12" s="18" t="n"/>
    </row>
    <row r="13">
      <c r="A13" s="39" t="inlineStr">
        <is>
          <t>Title:</t>
        </is>
      </c>
      <c r="B13" s="18" t="n"/>
      <c r="C13" s="18" t="n"/>
      <c r="D13" s="18" t="n"/>
      <c r="E13" s="18" t="n"/>
    </row>
    <row r="14">
      <c r="A14" s="39" t="inlineStr">
        <is>
          <t>Date:</t>
        </is>
      </c>
      <c r="B14" s="18" t="n"/>
      <c r="C14" s="18" t="n"/>
      <c r="D14" s="18" t="n"/>
      <c r="E14" s="18" t="n"/>
    </row>
    <row r="15">
      <c r="A15" s="39" t="inlineStr">
        <is>
          <t>Signature:</t>
        </is>
      </c>
      <c r="B15" s="18" t="n"/>
      <c r="C15" s="18" t="n"/>
      <c r="D15" s="18" t="n"/>
      <c r="E15" s="18" t="n"/>
    </row>
    <row r="16">
      <c r="A16" s="39" t="inlineStr">
        <is>
          <t>Comments:</t>
        </is>
      </c>
      <c r="B16" s="18" t="n"/>
      <c r="C16" s="18" t="n"/>
      <c r="D16" s="18" t="n"/>
      <c r="E16" s="18" t="n"/>
    </row>
    <row r="18">
      <c r="A18" s="3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9" t="inlineStr">
        <is>
          <t>Name:</t>
        </is>
      </c>
      <c r="B19" s="18" t="n"/>
      <c r="C19" s="18" t="n"/>
      <c r="D19" s="18" t="n"/>
      <c r="E19" s="18" t="n"/>
    </row>
    <row r="20">
      <c r="A20" s="39" t="inlineStr">
        <is>
          <t>Title:</t>
        </is>
      </c>
      <c r="B20" s="18" t="n"/>
      <c r="C20" s="18" t="n"/>
      <c r="D20" s="18" t="n"/>
      <c r="E20" s="18" t="n"/>
    </row>
    <row r="21">
      <c r="A21" s="39" t="inlineStr">
        <is>
          <t>Date:</t>
        </is>
      </c>
      <c r="B21" s="18" t="n"/>
      <c r="C21" s="18" t="n"/>
      <c r="D21" s="18" t="n"/>
      <c r="E21" s="18" t="n"/>
    </row>
    <row r="22">
      <c r="A22" s="39" t="inlineStr">
        <is>
          <t>Signature:</t>
        </is>
      </c>
      <c r="B22" s="18" t="n"/>
      <c r="C22" s="18" t="n"/>
      <c r="D22" s="18" t="n"/>
      <c r="E22" s="18" t="n"/>
    </row>
    <row r="23">
      <c r="A23" s="39" t="inlineStr">
        <is>
          <t>Comments:</t>
        </is>
      </c>
      <c r="B23" s="18" t="n"/>
      <c r="C23" s="18" t="n"/>
      <c r="D23" s="18" t="n"/>
      <c r="E23" s="18" t="n"/>
    </row>
    <row r="25">
      <c r="A25" s="41" t="inlineStr">
        <is>
          <t>APPROVED BY (CISO)</t>
        </is>
      </c>
      <c r="B25" s="6" t="n"/>
      <c r="C25" s="6" t="n"/>
      <c r="D25" s="6" t="n"/>
      <c r="E25" s="6" t="n"/>
    </row>
    <row r="26">
      <c r="A26" s="39" t="inlineStr">
        <is>
          <t>Name:</t>
        </is>
      </c>
      <c r="B26" s="18" t="n"/>
      <c r="C26" s="18" t="n"/>
      <c r="D26" s="18" t="n"/>
      <c r="E26" s="18" t="n"/>
    </row>
    <row r="27">
      <c r="A27" s="39" t="inlineStr">
        <is>
          <t>Title:</t>
        </is>
      </c>
      <c r="B27" s="18" t="n"/>
      <c r="C27" s="18" t="n"/>
      <c r="D27" s="18" t="n"/>
      <c r="E27" s="18" t="n"/>
    </row>
    <row r="28">
      <c r="A28" s="39" t="inlineStr">
        <is>
          <t>Date:</t>
        </is>
      </c>
      <c r="B28" s="18" t="n"/>
      <c r="C28" s="18" t="n"/>
      <c r="D28" s="18" t="n"/>
      <c r="E28" s="18" t="n"/>
    </row>
    <row r="29">
      <c r="A29" s="39" t="inlineStr">
        <is>
          <t>Signature:</t>
        </is>
      </c>
      <c r="B29" s="18" t="n"/>
      <c r="C29" s="18" t="n"/>
      <c r="D29" s="18" t="n"/>
      <c r="E29" s="18" t="n"/>
    </row>
    <row r="30">
      <c r="A30" s="39" t="inlineStr">
        <is>
          <t>Comments:</t>
        </is>
      </c>
      <c r="B30" s="18" t="n"/>
      <c r="C30" s="18" t="n"/>
      <c r="D30" s="18" t="n"/>
      <c r="E30" s="18" t="n"/>
    </row>
    <row r="32">
      <c r="A32" s="42" t="inlineStr">
        <is>
          <t>FINAL DECISION:</t>
        </is>
      </c>
      <c r="B32" s="18" t="n"/>
      <c r="C32" s="18" t="n"/>
      <c r="D32" s="18" t="n"/>
      <c r="E32" s="18" t="n"/>
    </row>
    <row r="35">
      <c r="A35" s="38" t="inlineStr">
        <is>
          <t>NEXT REVIEW DETAILS</t>
        </is>
      </c>
      <c r="B35" s="6" t="n"/>
      <c r="C35" s="6" t="n"/>
      <c r="D35" s="6" t="n"/>
      <c r="E35" s="6" t="n"/>
    </row>
    <row r="36">
      <c r="A36" s="39" t="inlineStr">
        <is>
          <t>Next Review Date:</t>
        </is>
      </c>
      <c r="B36" s="18" t="n"/>
      <c r="C36" s="18" t="n"/>
      <c r="D36" s="18" t="n"/>
      <c r="E36" s="18" t="n"/>
    </row>
    <row r="37">
      <c r="A37" s="39" t="inlineStr">
        <is>
          <t>Review Responsible:</t>
        </is>
      </c>
      <c r="B37" s="18" t="n"/>
      <c r="C37" s="18" t="n"/>
      <c r="D37" s="18" t="n"/>
      <c r="E37" s="18" t="n"/>
    </row>
    <row r="38">
      <c r="A38" s="39" t="inlineStr">
        <is>
          <t>Special Considerations:</t>
        </is>
      </c>
      <c r="B38" s="18" t="n"/>
      <c r="C38" s="18" t="n"/>
      <c r="D38" s="18" t="n"/>
      <c r="E38" s="18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ISMS-IMP-A.5.5-6.S3 — External Communication Procedures</dc:title>
  <dc:description xmlns:dc="http://purl.org/dc/elements/1.1/">ISMS Implementation Workbook — ISMS-IMP-A.5.5-6.S3</dc:description>
  <dc:subject xmlns:dc="http://purl.org/dc/elements/1.1/">ISO/IEC 27001:2022 — Control A.5.5-6: Contact with Authorities &amp; Special Interest Groups</dc:subject>
  <dcterms:created xmlns:dcterms="http://purl.org/dc/terms/" xmlns:xsi="http://www.w3.org/2001/XMLSchema-instance" xsi:type="dcterms:W3CDTF">2026-03-10T18:48:56Z</dcterms:created>
  <dcterms:modified xmlns:dcterms="http://purl.org/dc/terms/" xmlns:xsi="http://www.w3.org/2001/XMLSchema-instance" xsi:type="dcterms:W3CDTF">2026-03-10T18:48:56Z</dcterms:modified>
</cp:coreProperties>
</file>