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vidence Register" sheetId="2" state="visible" r:id="rId2"/>
    <sheet xmlns:r="http://schemas.openxmlformats.org/officeDocument/2006/relationships" name="Evidence by Regulation" sheetId="3" state="visible" r:id="rId3"/>
    <sheet xmlns:r="http://schemas.openxmlformats.org/officeDocument/2006/relationships" name="Evidence by Control" sheetId="4" state="visible" r:id="rId4"/>
    <sheet xmlns:r="http://schemas.openxmlformats.org/officeDocument/2006/relationships" name="Alerts Actions" sheetId="5" state="visible" r:id="rId5"/>
    <sheet xmlns:r="http://schemas.openxmlformats.org/officeDocument/2006/relationships" name="Summary Dashboard" sheetId="6" state="visible" r:id="rId6"/>
    <sheet xmlns:r="http://schemas.openxmlformats.org/officeDocument/2006/relationships" name="Approval Sign-Off" sheetId="7" state="visible" r:id="rId7"/>
  </sheets>
  <definedNames>
    <definedName name="_xlnm._FilterDatabase" localSheetId="1" hidden="1">'Evidence Register'!$A$4:$Q$4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b val="1"/>
      <color rgb="00FFFFFF"/>
      <sz val="11"/>
    </font>
    <font>
      <sz val="10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b val="1"/>
      <color rgb="00FFFFFF"/>
      <sz val="14"/>
    </font>
    <font>
      <b val="1"/>
      <color rgb="00FFFFFF"/>
    </font>
    <font>
      <b val="1"/>
      <sz val="9"/>
    </font>
    <font>
      <sz val="9"/>
    </font>
    <font>
      <b val="1"/>
      <color rgb="00C00000"/>
      <sz val="12"/>
    </font>
    <font>
      <i val="1"/>
      <sz val="9"/>
    </font>
    <font>
      <color rgb="00C00000"/>
      <sz val="9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5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7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8" fillId="2" borderId="0" applyAlignment="1" pivotButton="0" quotePrefix="0" xfId="0">
      <alignment horizontal="center"/>
    </xf>
    <xf numFmtId="0" fontId="9" fillId="2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10" fillId="6" borderId="0" pivotButton="0" quotePrefix="0" xfId="0"/>
    <xf numFmtId="0" fontId="14" fillId="0" borderId="0" pivotButton="0" quotePrefix="0" xfId="0"/>
    <xf numFmtId="0" fontId="1" fillId="1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5" fillId="0" borderId="2" applyAlignment="1" pivotButton="0" quotePrefix="0" xfId="0">
      <alignment horizontal="left" vertical="center"/>
    </xf>
    <xf numFmtId="0" fontId="16" fillId="10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center"/>
    </xf>
    <xf numFmtId="166" fontId="18" fillId="0" borderId="2" applyAlignment="1" pivotButton="0" quotePrefix="0" xfId="0">
      <alignment horizontal="center"/>
    </xf>
    <xf numFmtId="0" fontId="17" fillId="11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center"/>
    </xf>
    <xf numFmtId="166" fontId="17" fillId="11" borderId="2" applyAlignment="1" pivotButton="0" quotePrefix="0" xfId="0">
      <alignment horizontal="center"/>
    </xf>
    <xf numFmtId="0" fontId="16" fillId="12" borderId="2" applyAlignment="1" pivotButton="0" quotePrefix="0" xfId="0">
      <alignment horizontal="left" vertical="center"/>
    </xf>
    <xf numFmtId="0" fontId="18" fillId="4" borderId="2" applyAlignment="1" pivotButton="0" quotePrefix="0" xfId="0">
      <alignment horizontal="left" vertical="center" wrapText="1"/>
    </xf>
    <xf numFmtId="0" fontId="18" fillId="4" borderId="2" applyAlignment="1" pivotButton="0" quotePrefix="0" xfId="0">
      <alignment horizontal="center"/>
    </xf>
    <xf numFmtId="0" fontId="0" fillId="4" borderId="2" pivotButton="0" quotePrefix="0" xfId="0"/>
    <xf numFmtId="0" fontId="16" fillId="13" borderId="2" pivotButton="0" quotePrefix="0" xfId="0"/>
    <xf numFmtId="0" fontId="1" fillId="1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6" fillId="13" borderId="1" pivotButton="0" quotePrefix="0" xfId="0"/>
    <xf numFmtId="166" fontId="0" fillId="0" borderId="1" pivotButton="0" quotePrefix="0" xfId="0"/>
    <xf numFmtId="0" fontId="16" fillId="1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FFC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ISMS-IMP-A.5.31.5  -  Evidence Register
ISO/IEC 27001:2022 - Control A.5.31: Legal, Statutory, Regulatory and Contractual Requirements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ISMS-IMP-A.5.31.5</t>
        </is>
      </c>
    </row>
    <row r="5">
      <c r="A5" s="3" t="inlineStr">
        <is>
          <t>Workbook Title</t>
        </is>
      </c>
      <c r="B5" t="inlineStr">
        <is>
          <t>Evidence Register</t>
        </is>
      </c>
    </row>
    <row r="6">
      <c r="A6" s="3" t="inlineStr">
        <is>
          <t>Control Reference</t>
        </is>
      </c>
      <c r="B6" t="inlineStr">
        <is>
          <t>ISO/IEC 27001:2022 - Control A.5.31: Legal, Statutory, Regulatory and Contractual Requirements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the Evidence Register — document all evidence demonstrating regulatory compliance.</t>
        </is>
      </c>
    </row>
    <row r="14">
      <c r="A14" t="inlineStr">
        <is>
          <t>2. Organise evidence by regulation using the Evidence by Regulation sheet.</t>
        </is>
      </c>
    </row>
    <row r="15">
      <c r="A15" t="inlineStr">
        <is>
          <t>3. Assign evidence IDs (EV-xxx) and link to specific requirements.</t>
        </is>
      </c>
    </row>
    <row r="16">
      <c r="A16" t="inlineStr">
        <is>
          <t>4. Document evidence type, location, collection date, and next review date.</t>
        </is>
      </c>
    </row>
    <row r="17">
      <c r="A17" t="inlineStr">
        <is>
          <t>5. Review the Summary Dashboard for evidence coverage across all regulations.</t>
        </is>
      </c>
    </row>
    <row r="18">
      <c r="A18" t="inlineStr">
        <is>
          <t>6. Identify gaps where compliance evidence is missing or outdated.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20" customWidth="1" min="5" max="5"/>
    <col width="45" customWidth="1" min="6" max="6"/>
    <col width="40" customWidth="1" min="7" max="7"/>
    <col width="15" customWidth="1" min="8" max="8"/>
    <col width="15" customWidth="1" min="9" max="9"/>
    <col width="20" customWidth="1" min="10" max="10"/>
    <col width="20" customWidth="1" min="11" max="11"/>
    <col width="25" customWidth="1" min="12" max="12"/>
    <col width="18" customWidth="1" min="13" max="13"/>
    <col width="15" customWidth="1" min="14" max="14"/>
    <col width="15" customWidth="1" min="15" max="15"/>
    <col width="35" customWidth="1" min="16" max="16"/>
    <col width="15" customWidth="1" min="17" max="17"/>
  </cols>
  <sheetData>
    <row r="1" ht="35" customHeight="1">
      <c r="A1" s="11" t="inlineStr">
        <is>
          <t>EVIDENCE REGISTER</t>
        </is>
      </c>
    </row>
    <row r="2">
      <c r="A2" s="12" t="inlineStr">
        <is>
          <t>Document all compliance evidence collected for regulatory audit readiness</t>
        </is>
      </c>
    </row>
    <row r="4">
      <c r="A4" s="13" t="inlineStr">
        <is>
          <t>Evidence ID</t>
        </is>
      </c>
      <c r="B4" s="13" t="inlineStr">
        <is>
          <t>Requirement ID</t>
        </is>
      </c>
      <c r="C4" s="13" t="inlineStr">
        <is>
          <t>Control ID</t>
        </is>
      </c>
      <c r="D4" s="13" t="inlineStr">
        <is>
          <t>Regulation ID</t>
        </is>
      </c>
      <c r="E4" s="13" t="inlineStr">
        <is>
          <t>Evidence Type</t>
        </is>
      </c>
      <c r="F4" s="13" t="inlineStr">
        <is>
          <t>Evidence Description</t>
        </is>
      </c>
      <c r="G4" s="13" t="inlineStr">
        <is>
          <t>Evidence Location</t>
        </is>
      </c>
      <c r="H4" s="13" t="inlineStr">
        <is>
          <t>Collection Date</t>
        </is>
      </c>
      <c r="I4" s="13" t="inlineStr">
        <is>
          <t>Valid Until</t>
        </is>
      </c>
      <c r="J4" s="13" t="inlineStr">
        <is>
          <t>Responsible Party</t>
        </is>
      </c>
      <c r="K4" s="13" t="inlineStr">
        <is>
          <t>Verification Status</t>
        </is>
      </c>
      <c r="L4" s="13" t="inlineStr">
        <is>
          <t>Last Verified By</t>
        </is>
      </c>
      <c r="M4" s="13" t="inlineStr">
        <is>
          <t>Refresh Frequency</t>
        </is>
      </c>
      <c r="N4" s="13" t="inlineStr">
        <is>
          <t>Next Refresh Date</t>
        </is>
      </c>
      <c r="O4" s="13" t="inlineStr">
        <is>
          <t>Audit Ready</t>
        </is>
      </c>
      <c r="P4" s="13" t="inlineStr">
        <is>
          <t>Notes</t>
        </is>
      </c>
      <c r="Q4" s="13" t="inlineStr">
        <is>
          <t>Last Updated</t>
        </is>
      </c>
    </row>
    <row r="5">
      <c r="A5" s="14" t="inlineStr">
        <is>
          <t>EV-2025-001</t>
        </is>
      </c>
      <c r="B5" s="14" t="inlineStr">
        <is>
          <t>REG-GDPR-32-001</t>
        </is>
      </c>
      <c r="C5" s="14" t="inlineStr">
        <is>
          <t>A.8.24</t>
        </is>
      </c>
      <c r="D5" s="14" t="inlineStr">
        <is>
          <t>REG-EU-001</t>
        </is>
      </c>
      <c r="E5" s="15" t="inlineStr">
        <is>
          <t xml:space="preserve"> Policy</t>
        </is>
      </c>
      <c r="F5" s="14" t="inlineStr">
        <is>
          <t>Information Security Policy v3.0 - Encryption Requirements</t>
        </is>
      </c>
      <c r="G5" s="14" t="inlineStr">
        <is>
          <t>/Evidence/REG-GDPR/Policies/InfoSec_Policy_v3.0.pdf</t>
        </is>
      </c>
      <c r="H5" s="16" t="n">
        <v>46022.74822729941</v>
      </c>
      <c r="I5" s="16" t="n">
        <v>46447.74822729941</v>
      </c>
      <c r="J5" s="14" t="inlineStr">
        <is>
          <t>ISMS Manager</t>
        </is>
      </c>
      <c r="K5" s="15" t="inlineStr">
        <is>
          <t>✅ Verified</t>
        </is>
      </c>
      <c r="L5" s="14" t="inlineStr">
        <is>
          <t>Compliance Analyst / 2024-12-15</t>
        </is>
      </c>
      <c r="M5" s="14" t="inlineStr">
        <is>
          <t>Annual</t>
        </is>
      </c>
      <c r="N5" s="16" t="n">
        <v>46447.74822729941</v>
      </c>
      <c r="O5" s="15" t="inlineStr">
        <is>
          <t>✅ Yes</t>
        </is>
      </c>
      <c r="P5" s="14" t="inlineStr">
        <is>
          <t>Approved by CISO 2024-11-15</t>
        </is>
      </c>
      <c r="Q5" s="16" t="n">
        <v>46082.74822729941</v>
      </c>
    </row>
    <row r="6">
      <c r="A6" s="14" t="inlineStr">
        <is>
          <t>EV-2025-002</t>
        </is>
      </c>
      <c r="B6" s="14" t="inlineStr">
        <is>
          <t>REG-GDPR-32-001</t>
        </is>
      </c>
      <c r="C6" s="14" t="inlineStr">
        <is>
          <t>A.5.10</t>
        </is>
      </c>
      <c r="D6" s="14" t="inlineStr">
        <is>
          <t>REG-EU-001</t>
        </is>
      </c>
      <c r="E6" s="15" t="inlineStr">
        <is>
          <t xml:space="preserve"> Procedure</t>
        </is>
      </c>
      <c r="F6" s="14" t="inlineStr">
        <is>
          <t>Data Encryption Standard Operating Procedure</t>
        </is>
      </c>
      <c r="G6" s="14" t="inlineStr">
        <is>
          <t>/Evidence/REG-GDPR/Procedures/Encryption_SOP_v2.1.pdf</t>
        </is>
      </c>
      <c r="H6" s="16" t="n">
        <v>46037.74822729941</v>
      </c>
      <c r="I6" s="16" t="n">
        <v>46447.74822729941</v>
      </c>
      <c r="J6" s="14" t="inlineStr">
        <is>
          <t>CISO</t>
        </is>
      </c>
      <c r="K6" s="15" t="inlineStr">
        <is>
          <t>✅ Verified</t>
        </is>
      </c>
      <c r="L6" s="14" t="inlineStr">
        <is>
          <t>Security Ops Lead / 2024-12-10</t>
        </is>
      </c>
      <c r="M6" s="14" t="inlineStr">
        <is>
          <t>Annual</t>
        </is>
      </c>
      <c r="N6" s="16" t="n">
        <v>46447.74822729941</v>
      </c>
      <c r="O6" s="15" t="inlineStr">
        <is>
          <t>✅ Yes</t>
        </is>
      </c>
      <c r="P6" s="14" t="inlineStr">
        <is>
          <t>Updated for GDPR compliance Q4 2024</t>
        </is>
      </c>
      <c r="Q6" s="16" t="n">
        <v>46082.74822729941</v>
      </c>
    </row>
    <row r="7">
      <c r="A7" s="14" t="inlineStr">
        <is>
          <t>EV-2025-003</t>
        </is>
      </c>
      <c r="B7" s="14" t="inlineStr">
        <is>
          <t>REG-GDPR-33-001</t>
        </is>
      </c>
      <c r="C7" s="14" t="inlineStr">
        <is>
          <t>A.5.26</t>
        </is>
      </c>
      <c r="D7" s="14" t="inlineStr">
        <is>
          <t>REG-EU-001</t>
        </is>
      </c>
      <c r="E7" s="15" t="inlineStr">
        <is>
          <t xml:space="preserve"> Procedure</t>
        </is>
      </c>
      <c r="F7" s="14" t="inlineStr">
        <is>
          <t>Data Breach Notification Procedure (72h)</t>
        </is>
      </c>
      <c r="G7" s="14" t="inlineStr">
        <is>
          <t>/Evidence/REG-GDPR/Procedures/Breach_Notification_v1.0.pdf</t>
        </is>
      </c>
      <c r="H7" s="16" t="n">
        <v>45992.74822729941</v>
      </c>
      <c r="I7" s="16" t="n">
        <v>46447.74822729941</v>
      </c>
      <c r="J7" s="14" t="inlineStr">
        <is>
          <t>Incident Response Lead</t>
        </is>
      </c>
      <c r="K7" s="15" t="inlineStr">
        <is>
          <t>⏳ Pending</t>
        </is>
      </c>
      <c r="L7" s="14" t="inlineStr">
        <is>
          <t>Awaiting legal review</t>
        </is>
      </c>
      <c r="M7" s="14" t="inlineStr">
        <is>
          <t>Annual</t>
        </is>
      </c>
      <c r="N7" s="16" t="n">
        <v>46447.74822729941</v>
      </c>
      <c r="O7" s="15" t="inlineStr">
        <is>
          <t>⚠ Needs Update</t>
        </is>
      </c>
      <c r="P7" s="14" t="inlineStr">
        <is>
          <t>Needs update for FDPIC notification (Swiss FADP)</t>
        </is>
      </c>
      <c r="Q7" s="16" t="n">
        <v>46082.74822729941</v>
      </c>
    </row>
    <row r="8">
      <c r="A8" s="14" t="inlineStr">
        <is>
          <t>EV-2025-004</t>
        </is>
      </c>
      <c r="B8" s="14" t="inlineStr">
        <is>
          <t>REG-GDPR-37-001</t>
        </is>
      </c>
      <c r="C8" s="14" t="inlineStr">
        <is>
          <t>A.5.2</t>
        </is>
      </c>
      <c r="D8" s="14" t="inlineStr">
        <is>
          <t>REG-EU-001</t>
        </is>
      </c>
      <c r="E8" s="15" t="inlineStr">
        <is>
          <t xml:space="preserve"> Screenshot</t>
        </is>
      </c>
      <c r="F8" s="14" t="inlineStr">
        <is>
          <t>DPO Appointment Documentation &amp; Contact Info</t>
        </is>
      </c>
      <c r="G8" s="14" t="inlineStr">
        <is>
          <t>/Evidence/REG-GDPR/Organisational/DPO_Appointment_2024.pdf</t>
        </is>
      </c>
      <c r="H8" s="16" t="n">
        <v>45902.74822729941</v>
      </c>
      <c r="I8" s="14" t="n"/>
      <c r="J8" s="14" t="inlineStr">
        <is>
          <t>HR Manager</t>
        </is>
      </c>
      <c r="K8" s="15" t="inlineStr">
        <is>
          <t>✅ Verified</t>
        </is>
      </c>
      <c r="L8" s="14" t="inlineStr">
        <is>
          <t>Compliance Officer / 2024-11-20</t>
        </is>
      </c>
      <c r="M8" s="14" t="inlineStr">
        <is>
          <t>One-time</t>
        </is>
      </c>
      <c r="N8" s="14" t="n"/>
      <c r="O8" s="15" t="inlineStr">
        <is>
          <t>✅ Yes</t>
        </is>
      </c>
      <c r="P8" s="14" t="inlineStr">
        <is>
          <t>DPO: dpo@organisation.ch, appointed June 2024</t>
        </is>
      </c>
      <c r="Q8" s="16" t="n">
        <v>46082.74822729941</v>
      </c>
    </row>
    <row r="9">
      <c r="A9" s="14" t="inlineStr">
        <is>
          <t>EV-2025-005</t>
        </is>
      </c>
      <c r="B9" s="14" t="inlineStr">
        <is>
          <t>REG-ISO27001-5.1-001</t>
        </is>
      </c>
      <c r="C9" s="14" t="inlineStr">
        <is>
          <t>A.5.1</t>
        </is>
      </c>
      <c r="D9" s="14" t="inlineStr">
        <is>
          <t>REG-INT-001</t>
        </is>
      </c>
      <c r="E9" s="15" t="inlineStr">
        <is>
          <t xml:space="preserve"> Policy</t>
        </is>
      </c>
      <c r="F9" s="14" t="inlineStr">
        <is>
          <t>ISMS Policy Suite (Master Document)</t>
        </is>
      </c>
      <c r="G9" s="14" t="inlineStr">
        <is>
          <t>/Evidence/ISO27001/Policies/ISMS_Master_Policy_v2.0.pdf</t>
        </is>
      </c>
      <c r="H9" s="16" t="n">
        <v>46052.74822729941</v>
      </c>
      <c r="I9" s="16" t="n">
        <v>46417.74822729941</v>
      </c>
      <c r="J9" s="14" t="inlineStr">
        <is>
          <t>ISMS Manager</t>
        </is>
      </c>
      <c r="K9" s="15" t="inlineStr">
        <is>
          <t>✅ Verified</t>
        </is>
      </c>
      <c r="L9" s="14" t="inlineStr">
        <is>
          <t>ISMS Manager / 2024-12-01</t>
        </is>
      </c>
      <c r="M9" s="14" t="inlineStr">
        <is>
          <t>Annual</t>
        </is>
      </c>
      <c r="N9" s="16" t="n">
        <v>46417.74822729941</v>
      </c>
      <c r="O9" s="15" t="inlineStr">
        <is>
          <t>✅ Yes</t>
        </is>
      </c>
      <c r="P9" s="14" t="inlineStr">
        <is>
          <t>Annual review scheduled Q4 2025</t>
        </is>
      </c>
      <c r="Q9" s="16" t="n">
        <v>46082.74822729941</v>
      </c>
    </row>
    <row r="10">
      <c r="A10" s="14" t="inlineStr">
        <is>
          <t>EV-2025-006</t>
        </is>
      </c>
      <c r="B10" s="14" t="inlineStr">
        <is>
          <t>REG-ISO27001-6.1-001</t>
        </is>
      </c>
      <c r="C10" s="14" t="inlineStr">
        <is>
          <t>A.5.7</t>
        </is>
      </c>
      <c r="D10" s="14" t="inlineStr">
        <is>
          <t>REG-INT-001</t>
        </is>
      </c>
      <c r="E10" s="15" t="inlineStr">
        <is>
          <t xml:space="preserve"> Report</t>
        </is>
      </c>
      <c r="F10" s="14" t="inlineStr">
        <is>
          <t>Risk Assessment Report 2024</t>
        </is>
      </c>
      <c r="G10" s="14" t="inlineStr">
        <is>
          <t>/Evidence/ISO27001/Risk/Risk_Assessment_Report_2024.xlsx</t>
        </is>
      </c>
      <c r="H10" s="16" t="n">
        <v>46067.74822729941</v>
      </c>
      <c r="I10" s="16" t="n">
        <v>46432.74822729941</v>
      </c>
      <c r="J10" s="14" t="inlineStr">
        <is>
          <t>CISO</t>
        </is>
      </c>
      <c r="K10" s="15" t="inlineStr">
        <is>
          <t>✅ Verified</t>
        </is>
      </c>
      <c r="L10" s="14" t="inlineStr">
        <is>
          <t>Risk Manager / 2024-12-20</t>
        </is>
      </c>
      <c r="M10" s="14" t="inlineStr">
        <is>
          <t>Annual</t>
        </is>
      </c>
      <c r="N10" s="16" t="n">
        <v>46432.74822729941</v>
      </c>
      <c r="O10" s="15" t="inlineStr">
        <is>
          <t>✅ Yes</t>
        </is>
      </c>
      <c r="P10" s="14" t="inlineStr">
        <is>
          <t>Annual risk assessment completed Q4 2024</t>
        </is>
      </c>
      <c r="Q10" s="16" t="n">
        <v>46082.74822729941</v>
      </c>
    </row>
    <row r="11">
      <c r="A11" s="14" t="inlineStr">
        <is>
          <t>EV-2025-007</t>
        </is>
      </c>
      <c r="B11" s="14" t="inlineStr">
        <is>
          <t>REG-FADP-7-001</t>
        </is>
      </c>
      <c r="C11" s="14" t="inlineStr">
        <is>
          <t>A.8.24</t>
        </is>
      </c>
      <c r="D11" s="14" t="inlineStr">
        <is>
          <t>REG-CH-001</t>
        </is>
      </c>
      <c r="E11" s="15" t="inlineStr">
        <is>
          <t>⚙️ Configuration</t>
        </is>
      </c>
      <c r="F11" s="14" t="inlineStr">
        <is>
          <t>Database Encryption Configuration Export</t>
        </is>
      </c>
      <c r="G11" s="14" t="inlineStr">
        <is>
          <t>/Evidence/REG-FADP/Technical/DB_Encryption_Config_2024.json</t>
        </is>
      </c>
      <c r="H11" s="16" t="n">
        <v>46077.74822729941</v>
      </c>
      <c r="I11" s="14" t="n"/>
      <c r="J11" s="14" t="inlineStr">
        <is>
          <t>Database Admin</t>
        </is>
      </c>
      <c r="K11" s="15" t="inlineStr">
        <is>
          <t>⏳ Pending</t>
        </is>
      </c>
      <c r="L11" s="14" t="inlineStr">
        <is>
          <t>Awaiting verification</t>
        </is>
      </c>
      <c r="M11" s="14" t="inlineStr">
        <is>
          <t>Quarterly</t>
        </is>
      </c>
      <c r="N11" s="16" t="n">
        <v>46102.74822729941</v>
      </c>
      <c r="O11" s="15" t="inlineStr">
        <is>
          <t>⚠ Needs Update</t>
        </is>
      </c>
      <c r="P11" s="14" t="inlineStr">
        <is>
          <t>Configuration export from production DB. Needs verification.</t>
        </is>
      </c>
      <c r="Q11" s="16" t="n">
        <v>46082.74822729941</v>
      </c>
    </row>
    <row r="12">
      <c r="A12" s="14" t="inlineStr">
        <is>
          <t>EV-2025-008</t>
        </is>
      </c>
      <c r="B12" s="14" t="inlineStr">
        <is>
          <t>REG-FADP-24-001</t>
        </is>
      </c>
      <c r="C12" s="14" t="inlineStr">
        <is>
          <t>A.5.26</t>
        </is>
      </c>
      <c r="D12" s="14" t="inlineStr">
        <is>
          <t>REG-CH-001</t>
        </is>
      </c>
      <c r="E12" s="15" t="inlineStr">
        <is>
          <t xml:space="preserve"> Procedure</t>
        </is>
      </c>
      <c r="F12" s="14" t="inlineStr">
        <is>
          <t>FDPIC Breach Notification Procedure</t>
        </is>
      </c>
      <c r="G12" s="14" t="inlineStr">
        <is>
          <t>/Evidence/REG-FADP/Procedures/FDPIC_Notification_v1.0.pdf</t>
        </is>
      </c>
      <c r="H12" s="14" t="n"/>
      <c r="I12" s="14" t="n"/>
      <c r="J12" s="14" t="inlineStr">
        <is>
          <t>Incident Response Lead</t>
        </is>
      </c>
      <c r="K12" s="15" t="inlineStr">
        <is>
          <t>❓ Missing</t>
        </is>
      </c>
      <c r="L12" s="14" t="inlineStr">
        <is>
          <t>Not collected</t>
        </is>
      </c>
      <c r="M12" s="14" t="inlineStr">
        <is>
          <t>As-needed</t>
        </is>
      </c>
      <c r="N12" s="14" t="n"/>
      <c r="O12" s="15" t="inlineStr">
        <is>
          <t>❌ No</t>
        </is>
      </c>
      <c r="P12" s="14" t="inlineStr">
        <is>
          <t>CRITICAL: Procedure not yet created. Target: Q1 2025</t>
        </is>
      </c>
      <c r="Q12" s="16" t="n">
        <v>46082.74822729941</v>
      </c>
    </row>
    <row r="13">
      <c r="A13" s="14" t="inlineStr">
        <is>
          <t>EV-2025-009</t>
        </is>
      </c>
      <c r="B13" s="14" t="inlineStr">
        <is>
          <t>REG-NIS2-21-001</t>
        </is>
      </c>
      <c r="C13" s="14" t="inlineStr">
        <is>
          <t>A.8.8</t>
        </is>
      </c>
      <c r="D13" s="14" t="inlineStr">
        <is>
          <t>REG-EU-002</t>
        </is>
      </c>
      <c r="E13" s="15" t="inlineStr">
        <is>
          <t xml:space="preserve"> Test Result</t>
        </is>
      </c>
      <c r="F13" s="14" t="inlineStr">
        <is>
          <t>Vulnerability Scan Results Q4 2024</t>
        </is>
      </c>
      <c r="G13" s="14" t="inlineStr">
        <is>
          <t>/Evidence/REG-NIS2/Testing/Vuln_Scan_2024Q4.pdf</t>
        </is>
      </c>
      <c r="H13" s="16" t="n">
        <v>46072.74822729941</v>
      </c>
      <c r="I13" s="16" t="n">
        <v>46162.74822729941</v>
      </c>
      <c r="J13" s="14" t="inlineStr">
        <is>
          <t>Security Ops</t>
        </is>
      </c>
      <c r="K13" s="15" t="inlineStr">
        <is>
          <t>✅ Verified</t>
        </is>
      </c>
      <c r="L13" s="14" t="inlineStr">
        <is>
          <t>Security Analyst / 2024-12-22</t>
        </is>
      </c>
      <c r="M13" s="14" t="inlineStr">
        <is>
          <t>Quarterly</t>
        </is>
      </c>
      <c r="N13" s="16" t="n">
        <v>46102.74822729941</v>
      </c>
      <c r="O13" s="15" t="inlineStr">
        <is>
          <t>✅ Yes</t>
        </is>
      </c>
      <c r="P13" s="14" t="inlineStr">
        <is>
          <t>Tier 2 (Conditional) - maintained for readiness</t>
        </is>
      </c>
      <c r="Q13" s="16" t="n">
        <v>46082.74822729941</v>
      </c>
    </row>
    <row r="14">
      <c r="A14" s="14" t="inlineStr">
        <is>
          <t>EV-2025-010</t>
        </is>
      </c>
      <c r="B14" s="14" t="inlineStr">
        <is>
          <t>REG-NIST-ID.AM-001</t>
        </is>
      </c>
      <c r="C14" s="14" t="inlineStr">
        <is>
          <t>A.5.9</t>
        </is>
      </c>
      <c r="D14" s="14" t="inlineStr">
        <is>
          <t>REG-VOL-001</t>
        </is>
      </c>
      <c r="E14" s="15" t="inlineStr">
        <is>
          <t xml:space="preserve"> Log</t>
        </is>
      </c>
      <c r="F14" s="14" t="inlineStr">
        <is>
          <t>Asset Inventory System Export</t>
        </is>
      </c>
      <c r="G14" s="14" t="inlineStr">
        <is>
          <t>/Evidence/NIST/Inventory/Asset_Inventory_2024-12.csv</t>
        </is>
      </c>
      <c r="H14" s="16" t="n">
        <v>46080.74822729941</v>
      </c>
      <c r="I14" s="16" t="n">
        <v>46110.74822729941</v>
      </c>
      <c r="J14" s="14" t="inlineStr">
        <is>
          <t>IT Ops Manager</t>
        </is>
      </c>
      <c r="K14" s="15" t="inlineStr">
        <is>
          <t>✅ Verified</t>
        </is>
      </c>
      <c r="L14" s="14" t="inlineStr">
        <is>
          <t>IT Operations / 2024-12-30</t>
        </is>
      </c>
      <c r="M14" s="14" t="inlineStr">
        <is>
          <t>Monthly</t>
        </is>
      </c>
      <c r="N14" s="16" t="n">
        <v>46110.74822729941</v>
      </c>
      <c r="O14" s="15" t="inlineStr">
        <is>
          <t>✅ Yes</t>
        </is>
      </c>
      <c r="P14" s="14" t="inlineStr">
        <is>
          <t>80% coverage achieved. Monthly exports automated.</t>
        </is>
      </c>
      <c r="Q14" s="16" t="n">
        <v>46082.74822729941</v>
      </c>
    </row>
    <row r="15">
      <c r="A15" s="14" t="inlineStr">
        <is>
          <t>EV-2025-011</t>
        </is>
      </c>
      <c r="B15" s="14" t="inlineStr">
        <is>
          <t>REG-GDPR-32-001</t>
        </is>
      </c>
      <c r="C15" s="14" t="inlineStr">
        <is>
          <t>A.8.24</t>
        </is>
      </c>
      <c r="D15" s="14" t="inlineStr">
        <is>
          <t>REG-EU-001</t>
        </is>
      </c>
      <c r="E15" s="15" t="inlineStr">
        <is>
          <t xml:space="preserve"> Certificate</t>
        </is>
      </c>
      <c r="F15" s="14" t="inlineStr">
        <is>
          <t>TLS Certificate for production systems</t>
        </is>
      </c>
      <c r="G15" s="14" t="inlineStr">
        <is>
          <t>/Evidence/REG-GDPR/Certificates/TLS_Cert_2024.pem</t>
        </is>
      </c>
      <c r="H15" s="16" t="n">
        <v>45992.74822729941</v>
      </c>
      <c r="I15" s="16" t="n">
        <v>46052.74822729941</v>
      </c>
      <c r="J15" s="14" t="inlineStr">
        <is>
          <t>Security Engineer</t>
        </is>
      </c>
      <c r="K15" s="15" t="inlineStr">
        <is>
          <t>❌ Expired</t>
        </is>
      </c>
      <c r="L15" s="14" t="inlineStr">
        <is>
          <t>Certificate expired</t>
        </is>
      </c>
      <c r="M15" s="14" t="inlineStr">
        <is>
          <t>Annual</t>
        </is>
      </c>
      <c r="N15" s="16" t="n">
        <v>46052.74822729941</v>
      </c>
      <c r="O15" s="15" t="inlineStr">
        <is>
          <t>❌ No</t>
        </is>
      </c>
      <c r="P15" s="14" t="inlineStr">
        <is>
          <t>URGENT: TLS certificate expired! Needs renewal immediately.</t>
        </is>
      </c>
      <c r="Q15" s="16" t="n">
        <v>46082.74822729941</v>
      </c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</row>
  </sheetData>
  <autoFilter ref="A4:Q4"/>
  <mergeCells count="2">
    <mergeCell ref="A2:H2"/>
    <mergeCell ref="A1:H1"/>
  </mergeCells>
  <conditionalFormatting sqref="K5:K1000">
    <cfRule type="cellIs" priority="1" operator="equal" dxfId="0">
      <formula>"✅"</formula>
    </cfRule>
    <cfRule type="cellIs" priority="2" operator="equal" dxfId="1">
      <formula>"⏳"</formula>
    </cfRule>
    <cfRule type="cellIs" priority="3" operator="equal" dxfId="2">
      <formula>"❌"</formula>
    </cfRule>
    <cfRule type="cellIs" priority="4" operator="equal" dxfId="3">
      <formula>"❓"</formula>
    </cfRule>
  </conditionalFormatting>
  <conditionalFormatting sqref="O5:O1000">
    <cfRule type="cellIs" priority="5" operator="equal" dxfId="0">
      <formula>"✅"</formula>
    </cfRule>
    <cfRule type="cellIs" priority="6" operator="equal" dxfId="1">
      <formula>"⚠"</formula>
    </cfRule>
    <cfRule type="cellIs" priority="7" operator="equal" dxfId="2">
      <formula>"❌"</formula>
    </cfRule>
  </conditionalFormatting>
  <dataValidations count="4">
    <dataValidation sqref="E5:E1000" showDropDown="0" showInputMessage="0" showErrorMessage="0" allowBlank="0" type="list">
      <formula1>" Policy, Procedure,⚙️ Configuration, Log, Report, Certificate, Test Result, Screenshot,Other"</formula1>
    </dataValidation>
    <dataValidation sqref="K5:K1000" showDropDown="0" showInputMessage="0" showErrorMessage="0" allowBlank="0" type="list">
      <formula1>"✅ Verified,⏳ Pending,❌ Expired,❓ Missing"</formula1>
    </dataValidation>
    <dataValidation sqref="M5:M1000" showDropDown="0" showInputMessage="0" showErrorMessage="0" allowBlank="0" type="list">
      <formula1>"Annual,Quarterly,Monthly,One-time,As-needed"</formula1>
    </dataValidation>
    <dataValidation sqref="O5:O1000" showDropDown="0" showInputMessage="0" showErrorMessage="0" allowBlank="0" type="list">
      <formula1>"✅ Yes,⚠️ Needs Update,❌ 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8" t="inlineStr">
        <is>
          <t>EVIDENCE SUMMARY — BY REGULATION</t>
        </is>
      </c>
    </row>
    <row r="2">
      <c r="A2" s="19" t="inlineStr">
        <is>
          <t>Regulation ID</t>
        </is>
      </c>
      <c r="B2" s="19" t="inlineStr">
        <is>
          <t>Regulation</t>
        </is>
      </c>
      <c r="C2" s="19" t="inlineStr">
        <is>
          <t>Total Evidence</t>
        </is>
      </c>
      <c r="D2" s="19" t="inlineStr">
        <is>
          <t>Verified</t>
        </is>
      </c>
      <c r="E2" s="19" t="inlineStr">
        <is>
          <t>Pending</t>
        </is>
      </c>
      <c r="F2" s="19" t="inlineStr">
        <is>
          <t>Expired</t>
        </is>
      </c>
      <c r="G2" s="19" t="inlineStr">
        <is>
          <t>Missing</t>
        </is>
      </c>
    </row>
    <row r="3">
      <c r="A3" s="20" t="inlineStr">
        <is>
          <t>REG-EU-001</t>
        </is>
      </c>
      <c r="B3" s="21" t="inlineStr">
        <is>
          <t>GDPR</t>
        </is>
      </c>
      <c r="C3" s="20">
        <f>COUNTIF('Evidence Register'!D:D,"REG-EU-001")</f>
        <v/>
      </c>
      <c r="D3" s="21">
        <f>COUNTIFS('Evidence Register'!D:D,"REG-EU-001",'Evidence Register'!K:K,"*✅*")</f>
        <v/>
      </c>
      <c r="E3" s="21">
        <f>COUNTIFS('Evidence Register'!D:D,"REG-EU-001",'Evidence Register'!K:K,"*⏳*")</f>
        <v/>
      </c>
      <c r="F3" s="21">
        <f>COUNTIFS('Evidence Register'!D:D,"REG-EU-001",'Evidence Register'!K:K,"*❌*")</f>
        <v/>
      </c>
      <c r="G3" s="21">
        <f>COUNTIFS('Evidence Register'!D:D,"REG-EU-001",'Evidence Register'!K:K,"*❓*")</f>
        <v/>
      </c>
    </row>
    <row r="4">
      <c r="A4" s="20" t="inlineStr">
        <is>
          <t>REG-INT-001</t>
        </is>
      </c>
      <c r="B4" s="21" t="inlineStr">
        <is>
          <t>ISO 27001</t>
        </is>
      </c>
      <c r="C4" s="20">
        <f>COUNTIF('Evidence Register'!D:D,"REG-INT-001")</f>
        <v/>
      </c>
      <c r="D4" s="21">
        <f>COUNTIFS('Evidence Register'!D:D,"REG-INT-001",'Evidence Register'!K:K,"*✅*")</f>
        <v/>
      </c>
      <c r="E4" s="21">
        <f>COUNTIFS('Evidence Register'!D:D,"REG-INT-001",'Evidence Register'!K:K,"*⏳*")</f>
        <v/>
      </c>
      <c r="F4" s="21">
        <f>COUNTIFS('Evidence Register'!D:D,"REG-INT-001",'Evidence Register'!K:K,"*❌*")</f>
        <v/>
      </c>
      <c r="G4" s="21">
        <f>COUNTIFS('Evidence Register'!D:D,"REG-INT-001",'Evidence Register'!K:K,"*❓*")</f>
        <v/>
      </c>
    </row>
    <row r="5">
      <c r="A5" s="20" t="inlineStr">
        <is>
          <t>REG-CH-001</t>
        </is>
      </c>
      <c r="B5" s="21" t="inlineStr">
        <is>
          <t>Swiss FADP</t>
        </is>
      </c>
      <c r="C5" s="20">
        <f>COUNTIF('Evidence Register'!D:D,"REG-CH-001")</f>
        <v/>
      </c>
      <c r="D5" s="21">
        <f>COUNTIFS('Evidence Register'!D:D,"REG-CH-001",'Evidence Register'!K:K,"*✅*")</f>
        <v/>
      </c>
      <c r="E5" s="21">
        <f>COUNTIFS('Evidence Register'!D:D,"REG-CH-001",'Evidence Register'!K:K,"*⏳*")</f>
        <v/>
      </c>
      <c r="F5" s="21">
        <f>COUNTIFS('Evidence Register'!D:D,"REG-CH-001",'Evidence Register'!K:K,"*❌*")</f>
        <v/>
      </c>
      <c r="G5" s="21">
        <f>COUNTIFS('Evidence Register'!D:D,"REG-CH-001",'Evidence Register'!K:K,"*❓*")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2" t="inlineStr">
        <is>
          <t>EVIDENCE SUMMARY — BY ISO 27001 CONTROL</t>
        </is>
      </c>
    </row>
    <row r="2">
      <c r="A2" s="19" t="inlineStr">
        <is>
          <t>Control ID</t>
        </is>
      </c>
      <c r="B2" s="19" t="inlineStr">
        <is>
          <t>Control</t>
        </is>
      </c>
      <c r="C2" s="19" t="inlineStr">
        <is>
          <t>Total Evidence</t>
        </is>
      </c>
      <c r="D2" s="19" t="inlineStr">
        <is>
          <t>Verified</t>
        </is>
      </c>
      <c r="E2" s="19" t="inlineStr">
        <is>
          <t>Pending</t>
        </is>
      </c>
      <c r="F2" s="19" t="inlineStr">
        <is>
          <t>Missing</t>
        </is>
      </c>
    </row>
    <row r="3">
      <c r="A3" s="20" t="inlineStr">
        <is>
          <t>A.5.1</t>
        </is>
      </c>
      <c r="B3" s="21" t="inlineStr">
        <is>
          <t>Policies for information security</t>
        </is>
      </c>
      <c r="C3" s="20">
        <f>COUNTIF('Evidence Register'!C:C,"A.5.1")</f>
        <v/>
      </c>
      <c r="D3" s="21">
        <f>COUNTIFS('Evidence Register'!C:C,"A.5.1",'Evidence Register'!K:K,"*✅*")</f>
        <v/>
      </c>
      <c r="E3" s="21">
        <f>COUNTIFS('Evidence Register'!C:C,"A.5.1",'Evidence Register'!K:K,"*⏳*")</f>
        <v/>
      </c>
      <c r="F3" s="21">
        <f>COUNTIFS('Evidence Register'!C:C,"A.5.1",'Evidence Register'!K:K,"*❓*")</f>
        <v/>
      </c>
    </row>
    <row r="4">
      <c r="A4" s="20" t="inlineStr">
        <is>
          <t>A.5.2</t>
        </is>
      </c>
      <c r="B4" s="21" t="inlineStr">
        <is>
          <t>Roles and responsibilities</t>
        </is>
      </c>
      <c r="C4" s="20">
        <f>COUNTIF('Evidence Register'!C:C,"A.5.2")</f>
        <v/>
      </c>
      <c r="D4" s="21">
        <f>COUNTIFS('Evidence Register'!C:C,"A.5.2",'Evidence Register'!K:K,"*✅*")</f>
        <v/>
      </c>
      <c r="E4" s="21">
        <f>COUNTIFS('Evidence Register'!C:C,"A.5.2",'Evidence Register'!K:K,"*⏳*")</f>
        <v/>
      </c>
      <c r="F4" s="21">
        <f>COUNTIFS('Evidence Register'!C:C,"A.5.2",'Evidence Register'!K:K,"*❓*")</f>
        <v/>
      </c>
    </row>
    <row r="5">
      <c r="A5" s="20" t="inlineStr">
        <is>
          <t>A.8.24</t>
        </is>
      </c>
      <c r="B5" s="21" t="inlineStr">
        <is>
          <t>Use of cryptography</t>
        </is>
      </c>
      <c r="C5" s="20">
        <f>COUNTIF('Evidence Register'!C:C,"A.8.24")</f>
        <v/>
      </c>
      <c r="D5" s="21">
        <f>COUNTIFS('Evidence Register'!C:C,"A.8.24",'Evidence Register'!K:K,"*✅*")</f>
        <v/>
      </c>
      <c r="E5" s="21">
        <f>COUNTIFS('Evidence Register'!C:C,"A.8.24",'Evidence Register'!K:K,"*⏳*")</f>
        <v/>
      </c>
      <c r="F5" s="21">
        <f>COUNTIFS('Evidence Register'!C:C,"A.8.24",'Evidence Register'!K:K,"*❓*")</f>
        <v/>
      </c>
    </row>
    <row r="6">
      <c r="A6" s="20" t="inlineStr">
        <is>
          <t>A.5.26</t>
        </is>
      </c>
      <c r="B6" s="21" t="inlineStr">
        <is>
          <t>Response to incidents</t>
        </is>
      </c>
      <c r="C6" s="20">
        <f>COUNTIF('Evidence Register'!C:C,"A.5.26")</f>
        <v/>
      </c>
      <c r="D6" s="21">
        <f>COUNTIFS('Evidence Register'!C:C,"A.5.26",'Evidence Register'!K:K,"*✅*")</f>
        <v/>
      </c>
      <c r="E6" s="21">
        <f>COUNTIFS('Evidence Register'!C:C,"A.5.26",'Evidence Register'!K:K,"*⏳*")</f>
        <v/>
      </c>
      <c r="F6" s="21">
        <f>COUNTIFS('Evidence Register'!C:C,"A.5.26",'Evidence Register'!K:K,"*❓*")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8" customWidth="1" min="4" max="4"/>
    <col width="18" customWidth="1" min="5" max="5"/>
  </cols>
  <sheetData>
    <row r="1">
      <c r="A1" s="22" t="inlineStr">
        <is>
          <t>EVIDENCE ALERTS &amp; ACTION ITEMS</t>
        </is>
      </c>
    </row>
    <row r="3">
      <c r="A3" s="23" t="inlineStr">
        <is>
          <t>EXPIRED EVIDENCE</t>
        </is>
      </c>
    </row>
    <row r="4">
      <c r="A4" s="24" t="inlineStr">
        <is>
          <t>Evidence with Valid Until &lt; Today</t>
        </is>
      </c>
    </row>
    <row r="5">
      <c r="A5" s="25" t="inlineStr">
        <is>
          <t>Evidence ID</t>
        </is>
      </c>
      <c r="B5" s="25" t="inlineStr">
        <is>
          <t>Description</t>
        </is>
      </c>
      <c r="C5" s="25" t="inlineStr">
        <is>
          <t>Control</t>
        </is>
      </c>
      <c r="D5" s="25" t="inlineStr">
        <is>
          <t>Issue</t>
        </is>
      </c>
      <c r="E5" s="25" t="inlineStr">
        <is>
          <t>Responsible</t>
        </is>
      </c>
    </row>
    <row r="6">
      <c r="A6" s="21" t="inlineStr">
        <is>
          <t>EV-2025-011</t>
        </is>
      </c>
      <c r="B6" s="21" t="inlineStr">
        <is>
          <t>TLS Certificate expired</t>
        </is>
      </c>
      <c r="C6" s="21" t="inlineStr">
        <is>
          <t>A.8.24</t>
        </is>
      </c>
      <c r="D6" s="26" t="inlineStr">
        <is>
          <t>Expired 30 days ago</t>
        </is>
      </c>
      <c r="E6" s="21" t="inlineStr">
        <is>
          <t>Security Engineer</t>
        </is>
      </c>
    </row>
    <row r="9">
      <c r="A9" s="23" t="inlineStr">
        <is>
          <t>UPCOMING REFRESH (30 days)</t>
        </is>
      </c>
    </row>
    <row r="10">
      <c r="A10" s="24" t="inlineStr">
        <is>
          <t>Evidence approaching refresh date</t>
        </is>
      </c>
    </row>
    <row r="11">
      <c r="A11" s="25" t="inlineStr">
        <is>
          <t>Evidence ID</t>
        </is>
      </c>
      <c r="B11" s="25" t="inlineStr">
        <is>
          <t>Description</t>
        </is>
      </c>
      <c r="C11" s="25" t="inlineStr">
        <is>
          <t>Control</t>
        </is>
      </c>
      <c r="D11" s="25" t="inlineStr">
        <is>
          <t>Issue</t>
        </is>
      </c>
      <c r="E11" s="25" t="inlineStr">
        <is>
          <t>Responsible</t>
        </is>
      </c>
    </row>
    <row r="15">
      <c r="A15" s="23" t="inlineStr">
        <is>
          <t>MISSING EVIDENCE</t>
        </is>
      </c>
    </row>
    <row r="16">
      <c r="A16" s="24" t="inlineStr">
        <is>
          <t>Evidence not yet collected</t>
        </is>
      </c>
    </row>
    <row r="17">
      <c r="A17" s="25" t="inlineStr">
        <is>
          <t>Evidence ID</t>
        </is>
      </c>
      <c r="B17" s="25" t="inlineStr">
        <is>
          <t>Description</t>
        </is>
      </c>
      <c r="C17" s="25" t="inlineStr">
        <is>
          <t>Control</t>
        </is>
      </c>
      <c r="D17" s="25" t="inlineStr">
        <is>
          <t>Issue</t>
        </is>
      </c>
      <c r="E17" s="25" t="inlineStr">
        <is>
          <t>Responsible</t>
        </is>
      </c>
    </row>
    <row r="18">
      <c r="A18" s="21" t="inlineStr">
        <is>
          <t>EV-2025-008</t>
        </is>
      </c>
      <c r="B18" s="21" t="inlineStr">
        <is>
          <t>FDPIC notification procedure</t>
        </is>
      </c>
      <c r="C18" s="21" t="inlineStr">
        <is>
          <t>A.5.26</t>
        </is>
      </c>
      <c r="D18" s="26" t="inlineStr">
        <is>
          <t>Not collected</t>
        </is>
      </c>
      <c r="E18" s="21" t="inlineStr">
        <is>
          <t>Incident Response Lead</t>
        </is>
      </c>
    </row>
    <row r="21">
      <c r="A21" s="23" t="inlineStr">
        <is>
          <t>NOT AUDIT READY</t>
        </is>
      </c>
    </row>
    <row r="22">
      <c r="A22" s="24" t="inlineStr">
        <is>
          <t>Evidence that would not satisfy audit</t>
        </is>
      </c>
    </row>
    <row r="23">
      <c r="A23" s="25" t="inlineStr">
        <is>
          <t>Evidence ID</t>
        </is>
      </c>
      <c r="B23" s="25" t="inlineStr">
        <is>
          <t>Description</t>
        </is>
      </c>
      <c r="C23" s="25" t="inlineStr">
        <is>
          <t>Control</t>
        </is>
      </c>
      <c r="D23" s="25" t="inlineStr">
        <is>
          <t>Issue</t>
        </is>
      </c>
      <c r="E23" s="25" t="inlineStr">
        <is>
          <t>Responsible</t>
        </is>
      </c>
    </row>
  </sheetData>
  <mergeCells count="9">
    <mergeCell ref="A21:E21"/>
    <mergeCell ref="A4:E4"/>
    <mergeCell ref="A16:E16"/>
    <mergeCell ref="A15:E15"/>
    <mergeCell ref="A10:E10"/>
    <mergeCell ref="A1:E1"/>
    <mergeCell ref="A22:E22"/>
    <mergeCell ref="A9:E9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5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27" t="inlineStr">
        <is>
          <t>EVIDENCE REGISTER — SUMMARY DASHBOARD</t>
        </is>
      </c>
      <c r="B1" s="28" t="n"/>
      <c r="C1" s="28" t="n"/>
      <c r="D1" s="28" t="n"/>
      <c r="E1" s="28" t="n"/>
      <c r="F1" s="28" t="n"/>
      <c r="G1" s="28" t="n"/>
    </row>
    <row r="2">
      <c r="A2" s="29" t="inlineStr">
        <is>
          <t>ISO/IEC 27001:2022 — Control A.5.31: Legal, Statutory, Regulatory and Contractual Requirements | Evidence Register</t>
        </is>
      </c>
      <c r="B2" s="28" t="n"/>
      <c r="C2" s="28" t="n"/>
      <c r="D2" s="28" t="n"/>
      <c r="E2" s="28" t="n"/>
      <c r="F2" s="28" t="n"/>
      <c r="G2" s="28" t="n"/>
    </row>
    <row r="4">
      <c r="A4" s="30" t="inlineStr">
        <is>
          <t>TABLE 1: ASSESSMENT AREA COMPLIANCE OVERVIEW</t>
        </is>
      </c>
      <c r="B4" s="28" t="n"/>
      <c r="C4" s="28" t="n"/>
      <c r="D4" s="28" t="n"/>
      <c r="E4" s="28" t="n"/>
      <c r="F4" s="28" t="n"/>
      <c r="G4" s="28" t="n"/>
    </row>
    <row r="5">
      <c r="A5" s="31" t="inlineStr">
        <is>
          <t>Assessment Area</t>
        </is>
      </c>
      <c r="B5" s="31" t="inlineStr">
        <is>
          <t>Total Items</t>
        </is>
      </c>
      <c r="C5" s="31" t="inlineStr">
        <is>
          <t>Compliant</t>
        </is>
      </c>
      <c r="D5" s="31" t="inlineStr">
        <is>
          <t>Partial</t>
        </is>
      </c>
      <c r="E5" s="31" t="inlineStr">
        <is>
          <t>Non-Compliant</t>
        </is>
      </c>
      <c r="F5" s="31" t="inlineStr">
        <is>
          <t>N/A</t>
        </is>
      </c>
      <c r="G5" s="31" t="inlineStr">
        <is>
          <t>Compliance %</t>
        </is>
      </c>
    </row>
    <row r="6">
      <c r="A6" s="32" t="inlineStr">
        <is>
          <t>Evidence Register</t>
        </is>
      </c>
      <c r="B6" s="33">
        <f>COUNTA('Evidence Register'!B6:B105)</f>
        <v/>
      </c>
      <c r="C6" s="33">
        <f>COUNTIF('Evidence Register'!H6:H105,"✅ Verified")</f>
        <v/>
      </c>
      <c r="D6" s="33">
        <f>COUNTIF('Evidence Register'!H6:H105,"⏳ Pending")</f>
        <v/>
      </c>
      <c r="E6" s="33">
        <f>COUNTIF('Evidence Register'!H6:H105,"❌ Expired")+COUNTIF('Evidence Register'!H6:H105,"❓ Missing")</f>
        <v/>
      </c>
      <c r="F6" s="33" t="n">
        <v>0</v>
      </c>
      <c r="G6" s="34">
        <f>IFERROR(IF((B6-F6)=0,0,C6/(B6-F6)),"")</f>
        <v/>
      </c>
    </row>
    <row r="7">
      <c r="A7" s="35" t="inlineStr">
        <is>
          <t>TOTAL</t>
        </is>
      </c>
      <c r="B7" s="36">
        <f>SUM(B6:B6)</f>
        <v/>
      </c>
      <c r="C7" s="36">
        <f>SUM(C6:C6)</f>
        <v/>
      </c>
      <c r="D7" s="36">
        <f>SUM(D6:D6)</f>
        <v/>
      </c>
      <c r="E7" s="36">
        <f>SUM(E6:E6)</f>
        <v/>
      </c>
      <c r="F7" s="36">
        <f>SUM(F6:F6)</f>
        <v/>
      </c>
      <c r="G7" s="37">
        <f>IFERROR(IF((B7-F7)=0,0,C7/(B7-F7)),"")</f>
        <v/>
      </c>
    </row>
    <row r="9">
      <c r="A9" s="30" t="inlineStr">
        <is>
          <t>TABLE 2: KEY METRICS</t>
        </is>
      </c>
      <c r="B9" s="28" t="n"/>
      <c r="C9" s="28" t="n"/>
      <c r="D9" s="28" t="n"/>
      <c r="E9" s="28" t="n"/>
      <c r="F9" s="28" t="n"/>
      <c r="G9" s="28" t="n"/>
    </row>
    <row r="10">
      <c r="A10" s="31" t="inlineStr">
        <is>
          <t>Metric</t>
        </is>
      </c>
      <c r="B10" s="31" t="inlineStr">
        <is>
          <t>Value</t>
        </is>
      </c>
      <c r="C10" s="31" t="n"/>
      <c r="D10" s="31" t="n"/>
      <c r="E10" s="31" t="n"/>
      <c r="F10" s="31" t="n"/>
      <c r="G10" s="31" t="n"/>
    </row>
    <row r="11">
      <c r="A11" s="32" t="inlineStr">
        <is>
          <t>Total evidence items registered</t>
        </is>
      </c>
      <c r="B11" s="33">
        <f>COUNTA('Evidence Register'!B6:B105)</f>
        <v/>
      </c>
      <c r="C11" s="28" t="n"/>
      <c r="D11" s="28" t="n"/>
      <c r="E11" s="28" t="n"/>
      <c r="F11" s="28" t="n"/>
      <c r="G11" s="28" t="n"/>
    </row>
    <row r="12">
      <c r="A12" s="32" t="inlineStr">
        <is>
          <t>Verified evidence</t>
        </is>
      </c>
      <c r="B12" s="33">
        <f>COUNTIF('Evidence Register'!H6:H105,"✅ Verified")</f>
        <v/>
      </c>
      <c r="C12" s="28" t="n"/>
      <c r="D12" s="28" t="n"/>
      <c r="E12" s="28" t="n"/>
      <c r="F12" s="28" t="n"/>
      <c r="G12" s="28" t="n"/>
    </row>
    <row r="13">
      <c r="A13" s="32" t="inlineStr">
        <is>
          <t>Pending verification</t>
        </is>
      </c>
      <c r="B13" s="33">
        <f>COUNTIF('Evidence Register'!H6:H105,"⏳ Pending")</f>
        <v/>
      </c>
      <c r="C13" s="28" t="n"/>
      <c r="D13" s="28" t="n"/>
      <c r="E13" s="28" t="n"/>
      <c r="F13" s="28" t="n"/>
      <c r="G13" s="28" t="n"/>
    </row>
    <row r="14">
      <c r="A14" s="32" t="inlineStr">
        <is>
          <t>Expired evidence</t>
        </is>
      </c>
      <c r="B14" s="33">
        <f>COUNTIF('Evidence Register'!H6:H105,"❌ Expired")</f>
        <v/>
      </c>
      <c r="C14" s="28" t="n"/>
      <c r="D14" s="28" t="n"/>
      <c r="E14" s="28" t="n"/>
      <c r="F14" s="28" t="n"/>
      <c r="G14" s="28" t="n"/>
    </row>
    <row r="15">
      <c r="A15" s="32" t="inlineStr">
        <is>
          <t>Missing evidence</t>
        </is>
      </c>
      <c r="B15" s="33">
        <f>COUNTIF('Evidence Register'!H6:H105,"❓ Missing")</f>
        <v/>
      </c>
      <c r="C15" s="28" t="n"/>
      <c r="D15" s="28" t="n"/>
      <c r="E15" s="28" t="n"/>
      <c r="F15" s="28" t="n"/>
      <c r="G15" s="28" t="n"/>
    </row>
    <row r="16">
      <c r="A16" s="32" t="inlineStr">
        <is>
          <t>Policy documents</t>
        </is>
      </c>
      <c r="B16" s="33">
        <f>COUNTIF('Evidence Register'!E6:E105,"Policy")</f>
        <v/>
      </c>
      <c r="C16" s="28" t="n"/>
      <c r="D16" s="28" t="n"/>
      <c r="E16" s="28" t="n"/>
      <c r="F16" s="28" t="n"/>
      <c r="G16" s="28" t="n"/>
    </row>
    <row r="17">
      <c r="A17" s="32" t="inlineStr">
        <is>
          <t>Procedure documents</t>
        </is>
      </c>
      <c r="B17" s="33">
        <f>COUNTIF('Evidence Register'!E6:E105,"Procedure")</f>
        <v/>
      </c>
      <c r="C17" s="28" t="n"/>
      <c r="D17" s="28" t="n"/>
      <c r="E17" s="28" t="n"/>
      <c r="F17" s="28" t="n"/>
      <c r="G17" s="28" t="n"/>
    </row>
    <row r="18">
      <c r="A18" s="32" t="inlineStr">
        <is>
          <t>Configuration evidence</t>
        </is>
      </c>
      <c r="B18" s="33">
        <f>COUNTIF('Evidence Register'!E6:E105,"⚙️ Configuration")</f>
        <v/>
      </c>
      <c r="C18" s="28" t="n"/>
      <c r="D18" s="28" t="n"/>
      <c r="E18" s="28" t="n"/>
      <c r="F18" s="28" t="n"/>
      <c r="G18" s="28" t="n"/>
    </row>
    <row r="19">
      <c r="A19" s="32" t="inlineStr">
        <is>
          <t>Certificates</t>
        </is>
      </c>
      <c r="B19" s="33">
        <f>COUNTIF('Evidence Register'!E6:E105,"Certificate")</f>
        <v/>
      </c>
      <c r="C19" s="28" t="n"/>
      <c r="D19" s="28" t="n"/>
      <c r="E19" s="28" t="n"/>
      <c r="F19" s="28" t="n"/>
      <c r="G19" s="28" t="n"/>
    </row>
    <row r="20">
      <c r="A20" s="32" t="inlineStr">
        <is>
          <t>Reports</t>
        </is>
      </c>
      <c r="B20" s="33">
        <f>COUNTIF('Evidence Register'!E6:E105,"Report")</f>
        <v/>
      </c>
      <c r="C20" s="28" t="n"/>
      <c r="D20" s="28" t="n"/>
      <c r="E20" s="28" t="n"/>
      <c r="F20" s="28" t="n"/>
      <c r="G20" s="28" t="n"/>
    </row>
    <row r="21">
      <c r="A21" s="32" t="inlineStr">
        <is>
          <t>Test results</t>
        </is>
      </c>
      <c r="B21" s="33">
        <f>COUNTIF('Evidence Register'!E6:E105,"Test Result")</f>
        <v/>
      </c>
      <c r="C21" s="28" t="n"/>
      <c r="D21" s="28" t="n"/>
      <c r="E21" s="28" t="n"/>
      <c r="F21" s="28" t="n"/>
      <c r="G21" s="28" t="n"/>
    </row>
    <row r="23">
      <c r="A23" s="38" t="inlineStr">
        <is>
          <t>TABLE 3: CRITICAL FINDINGS REQUIRING IMMEDIATE ATTENTION</t>
        </is>
      </c>
      <c r="B23" s="28" t="n"/>
      <c r="C23" s="28" t="n"/>
      <c r="D23" s="28" t="n"/>
      <c r="E23" s="28" t="n"/>
      <c r="F23" s="28" t="n"/>
      <c r="G23" s="28" t="n"/>
    </row>
    <row r="24">
      <c r="A24" s="31" t="inlineStr">
        <is>
          <t>Finding</t>
        </is>
      </c>
      <c r="B24" s="31" t="inlineStr">
        <is>
          <t>Count</t>
        </is>
      </c>
      <c r="C24" s="31" t="inlineStr">
        <is>
          <t>Action Required</t>
        </is>
      </c>
      <c r="D24" s="28" t="n"/>
      <c r="E24" s="28" t="n"/>
      <c r="F24" s="28" t="n"/>
      <c r="G24" s="28" t="n"/>
    </row>
    <row r="25">
      <c r="A25" s="39" t="inlineStr">
        <is>
          <t>Missing evidence items</t>
        </is>
      </c>
      <c r="B25" s="40">
        <f>COUNTIF('Evidence Register'!H6:H105,"❓ Missing")</f>
        <v/>
      </c>
      <c r="C25" s="39" t="inlineStr">
        <is>
          <t>Immediate action — collect missing evidence before audit review</t>
        </is>
      </c>
      <c r="D25" s="28" t="n"/>
      <c r="E25" s="28" t="n"/>
      <c r="F25" s="28" t="n"/>
      <c r="G25" s="28" t="n"/>
    </row>
    <row r="26">
      <c r="A26" s="39" t="inlineStr">
        <is>
          <t>Expired evidence requiring renewal</t>
        </is>
      </c>
      <c r="B26" s="40">
        <f>COUNTIF('Evidence Register'!H6:H105,"❌ Expired")</f>
        <v/>
      </c>
      <c r="C26" s="39" t="inlineStr">
        <is>
          <t>Renew expired evidence — expired items cannot be used for ISO 27001 audit</t>
        </is>
      </c>
      <c r="D26" s="28" t="n"/>
      <c r="E26" s="28" t="n"/>
      <c r="F26" s="28" t="n"/>
      <c r="G26" s="28" t="n"/>
    </row>
    <row r="27">
      <c r="A27" s="39" t="inlineStr">
        <is>
          <t>Evidence pending verification</t>
        </is>
      </c>
      <c r="B27" s="40">
        <f>COUNTIF('Evidence Register'!H6:H105,"⏳ Pending")</f>
        <v/>
      </c>
      <c r="C27" s="39" t="inlineStr">
        <is>
          <t>Assign verifier and complete verification before next audit cycle</t>
        </is>
      </c>
      <c r="D27" s="28" t="n"/>
      <c r="E27" s="28" t="n"/>
      <c r="F27" s="28" t="n"/>
      <c r="G27" s="28" t="n"/>
    </row>
    <row r="28">
      <c r="A28" s="41" t="n"/>
      <c r="B28" s="41" t="n"/>
      <c r="C28" s="41" t="n"/>
      <c r="D28" s="41" t="n"/>
      <c r="E28" s="41" t="n"/>
      <c r="F28" s="41" t="n"/>
      <c r="G28" s="41" t="n"/>
    </row>
    <row r="29">
      <c r="A29" s="41" t="n"/>
      <c r="B29" s="41" t="n"/>
      <c r="C29" s="41" t="n"/>
      <c r="D29" s="41" t="n"/>
      <c r="E29" s="41" t="n"/>
      <c r="F29" s="41" t="n"/>
      <c r="G29" s="41" t="n"/>
    </row>
    <row r="31">
      <c r="A31" s="3" t="inlineStr">
        <is>
          <t>FINAL DECISION:</t>
        </is>
      </c>
      <c r="B31" s="41" t="n"/>
      <c r="C31" s="28" t="n"/>
      <c r="D31" s="28" t="n"/>
      <c r="E31" s="28" t="n"/>
      <c r="F31" s="28" t="n"/>
      <c r="G31" s="28" t="n"/>
    </row>
    <row r="34">
      <c r="A34" s="42" t="inlineStr">
        <is>
          <t>NEXT REVIEW DETAILS</t>
        </is>
      </c>
      <c r="B34" s="28" t="n"/>
      <c r="C34" s="28" t="n"/>
      <c r="D34" s="28" t="n"/>
      <c r="E34" s="28" t="n"/>
      <c r="F34" s="28" t="n"/>
      <c r="G34" s="28" t="n"/>
    </row>
    <row r="35">
      <c r="A35" s="3" t="inlineStr">
        <is>
          <t>Next Review Date:</t>
        </is>
      </c>
      <c r="B35" s="41" t="n"/>
      <c r="C35" s="28" t="n"/>
      <c r="D35" s="28" t="n"/>
      <c r="E35" s="28" t="n"/>
      <c r="F35" s="28" t="n"/>
      <c r="G35" s="28" t="n"/>
    </row>
    <row r="36">
      <c r="A36" s="3" t="inlineStr">
        <is>
          <t>Review Responsible:</t>
        </is>
      </c>
      <c r="B36" s="41" t="n"/>
      <c r="C36" s="28" t="n"/>
      <c r="D36" s="28" t="n"/>
      <c r="E36" s="28" t="n"/>
      <c r="F36" s="28" t="n"/>
      <c r="G36" s="28" t="n"/>
    </row>
    <row r="37">
      <c r="A37" s="3" t="inlineStr">
        <is>
          <t>Special Considerations:</t>
        </is>
      </c>
      <c r="B37" s="41" t="n"/>
      <c r="C37" s="28" t="n"/>
      <c r="D37" s="28" t="n"/>
      <c r="E37" s="28" t="n"/>
      <c r="F37" s="28" t="n"/>
      <c r="G37" s="28" t="n"/>
    </row>
  </sheetData>
  <mergeCells count="14">
    <mergeCell ref="A1:G1"/>
    <mergeCell ref="A9:G9"/>
    <mergeCell ref="B36:G36"/>
    <mergeCell ref="B37:G37"/>
    <mergeCell ref="C24:G24"/>
    <mergeCell ref="B31:G31"/>
    <mergeCell ref="A34:G34"/>
    <mergeCell ref="A4:G4"/>
    <mergeCell ref="C25:G25"/>
    <mergeCell ref="C27:G27"/>
    <mergeCell ref="B35:G35"/>
    <mergeCell ref="A2:G2"/>
    <mergeCell ref="C26:G26"/>
    <mergeCell ref="A23:G23"/>
  </mergeCells>
  <dataValidations count="1"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43" t="inlineStr">
        <is>
          <t>ASSESSMENT APPROVAL AND SIGN-OFF</t>
        </is>
      </c>
      <c r="B1" s="6" t="n"/>
      <c r="C1" s="6" t="n"/>
      <c r="D1" s="6" t="n"/>
      <c r="E1" s="6" t="n"/>
    </row>
    <row r="2">
      <c r="A2" s="44" t="inlineStr">
        <is>
          <t>ISO/IEC 27001:2022 - Control A.5.31: Legal, Statutory, Regulatory and Contractual Requirements</t>
        </is>
      </c>
      <c r="B2" s="6" t="n"/>
      <c r="C2" s="6" t="n"/>
      <c r="D2" s="6" t="n"/>
      <c r="E2" s="6" t="n"/>
    </row>
    <row r="3">
      <c r="A3" s="45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ISMS-IMP-A.5.31.5 - Evidence Register</t>
        </is>
      </c>
      <c r="C4" s="6" t="n"/>
      <c r="D4" s="6" t="n"/>
      <c r="E4" s="6" t="n"/>
    </row>
    <row r="5">
      <c r="A5" s="3" t="inlineStr">
        <is>
          <t>Assessment Period:</t>
        </is>
      </c>
      <c r="B5" s="17" t="inlineStr"/>
      <c r="C5" s="6" t="n"/>
      <c r="D5" s="6" t="n"/>
      <c r="E5" s="6" t="n"/>
    </row>
    <row r="6">
      <c r="A6" s="3" t="inlineStr">
        <is>
          <t>Overall Compliance Rating:</t>
        </is>
      </c>
      <c r="B6" s="46">
        <f>IFERROR(AVERAGE('Summary Dashboard'!G6:G6),"")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7" t="inlineStr"/>
      <c r="C7" s="6" t="n"/>
      <c r="D7" s="6" t="n"/>
      <c r="E7" s="6" t="n"/>
    </row>
    <row r="8">
      <c r="A8" s="3" t="inlineStr">
        <is>
          <t>Assessed By:</t>
        </is>
      </c>
      <c r="B8" s="17" t="inlineStr"/>
      <c r="C8" s="6" t="n"/>
      <c r="D8" s="6" t="n"/>
      <c r="E8" s="6" t="n"/>
    </row>
    <row r="11">
      <c r="A11" s="45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7" t="n"/>
      <c r="C12" s="6" t="n"/>
      <c r="D12" s="6" t="n"/>
      <c r="E12" s="6" t="n"/>
    </row>
    <row r="13">
      <c r="A13" s="3" t="inlineStr">
        <is>
          <t>Title:</t>
        </is>
      </c>
      <c r="B13" s="17" t="n"/>
      <c r="C13" s="6" t="n"/>
      <c r="D13" s="6" t="n"/>
      <c r="E13" s="6" t="n"/>
    </row>
    <row r="14">
      <c r="A14" s="3" t="inlineStr">
        <is>
          <t>Date:</t>
        </is>
      </c>
      <c r="B14" s="17" t="n"/>
      <c r="C14" s="6" t="n"/>
      <c r="D14" s="6" t="n"/>
      <c r="E14" s="6" t="n"/>
    </row>
    <row r="15">
      <c r="A15" s="3" t="inlineStr">
        <is>
          <t>Signature:</t>
        </is>
      </c>
      <c r="B15" s="17" t="n"/>
      <c r="C15" s="6" t="n"/>
      <c r="D15" s="6" t="n"/>
      <c r="E15" s="6" t="n"/>
    </row>
    <row r="16">
      <c r="A16" s="3" t="inlineStr">
        <is>
          <t>Comments:</t>
        </is>
      </c>
      <c r="B16" s="17" t="n"/>
      <c r="C16" s="6" t="n"/>
      <c r="D16" s="6" t="n"/>
      <c r="E16" s="6" t="n"/>
    </row>
    <row r="18">
      <c r="A18" s="45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7" t="n"/>
      <c r="C19" s="6" t="n"/>
      <c r="D19" s="6" t="n"/>
      <c r="E19" s="6" t="n"/>
    </row>
    <row r="20">
      <c r="A20" s="3" t="inlineStr">
        <is>
          <t>Title:</t>
        </is>
      </c>
      <c r="B20" s="17" t="n"/>
      <c r="C20" s="6" t="n"/>
      <c r="D20" s="6" t="n"/>
      <c r="E20" s="6" t="n"/>
    </row>
    <row r="21">
      <c r="A21" s="3" t="inlineStr">
        <is>
          <t>Date:</t>
        </is>
      </c>
      <c r="B21" s="17" t="n"/>
      <c r="C21" s="6" t="n"/>
      <c r="D21" s="6" t="n"/>
      <c r="E21" s="6" t="n"/>
    </row>
    <row r="22">
      <c r="A22" s="3" t="inlineStr">
        <is>
          <t>Signature:</t>
        </is>
      </c>
      <c r="B22" s="17" t="n"/>
      <c r="C22" s="6" t="n"/>
      <c r="D22" s="6" t="n"/>
      <c r="E22" s="6" t="n"/>
    </row>
    <row r="23">
      <c r="A23" s="3" t="inlineStr">
        <is>
          <t>Comments:</t>
        </is>
      </c>
      <c r="B23" s="17" t="n"/>
      <c r="C23" s="6" t="n"/>
      <c r="D23" s="6" t="n"/>
      <c r="E23" s="6" t="n"/>
    </row>
    <row r="25">
      <c r="A25" s="47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7" t="n"/>
      <c r="C26" s="6" t="n"/>
      <c r="D26" s="6" t="n"/>
      <c r="E26" s="6" t="n"/>
    </row>
    <row r="27">
      <c r="A27" s="3" t="inlineStr">
        <is>
          <t>Title:</t>
        </is>
      </c>
      <c r="B27" s="17" t="n"/>
      <c r="C27" s="6" t="n"/>
      <c r="D27" s="6" t="n"/>
      <c r="E27" s="6" t="n"/>
    </row>
    <row r="28">
      <c r="A28" s="3" t="inlineStr">
        <is>
          <t>Date:</t>
        </is>
      </c>
      <c r="B28" s="17" t="n"/>
      <c r="C28" s="6" t="n"/>
      <c r="D28" s="6" t="n"/>
      <c r="E28" s="6" t="n"/>
    </row>
    <row r="29">
      <c r="A29" s="3" t="inlineStr">
        <is>
          <t>Signature:</t>
        </is>
      </c>
      <c r="B29" s="17" t="n"/>
      <c r="C29" s="6" t="n"/>
      <c r="D29" s="6" t="n"/>
      <c r="E29" s="6" t="n"/>
    </row>
    <row r="30">
      <c r="A30" s="3" t="inlineStr">
        <is>
          <t>Comments:</t>
        </is>
      </c>
      <c r="B30" s="17" t="n"/>
      <c r="C30" s="6" t="n"/>
      <c r="D30" s="6" t="n"/>
      <c r="E30" s="6" t="n"/>
    </row>
    <row r="32">
      <c r="A32" s="3" t="inlineStr">
        <is>
          <t>FINAL DECISION:</t>
        </is>
      </c>
      <c r="B32" s="17" t="n"/>
      <c r="C32" s="6" t="n"/>
      <c r="D32" s="6" t="n"/>
      <c r="E32" s="6" t="n"/>
    </row>
    <row r="35">
      <c r="A35" s="45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7" t="n"/>
      <c r="C36" s="6" t="n"/>
      <c r="D36" s="6" t="n"/>
      <c r="E36" s="6" t="n"/>
    </row>
    <row r="37">
      <c r="A37" s="3" t="inlineStr">
        <is>
          <t>Review Responsible:</t>
        </is>
      </c>
      <c r="B37" s="17" t="n"/>
      <c r="C37" s="6" t="n"/>
      <c r="D37" s="6" t="n"/>
      <c r="E37" s="6" t="n"/>
    </row>
    <row r="38">
      <c r="A38" s="3" t="inlineStr">
        <is>
          <t>Special Considerations:</t>
        </is>
      </c>
      <c r="B38" s="17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ISMS-IMP-A.5.31.5 — Evidence Register</dc:title>
  <dc:description xmlns:dc="http://purl.org/dc/elements/1.1/">ISMS Implementation Workbook — ISMS-IMP-A.5.31.5</dc:description>
  <dc:subject xmlns:dc="http://purl.org/dc/elements/1.1/">ISO/IEC 27001:2022 — Control A.5.31: Legal, Statutory, Regulatory and Contractual Requirements</dc:subject>
  <dcterms:created xmlns:dcterms="http://purl.org/dc/terms/" xmlns:xsi="http://www.w3.org/2001/XMLSchema-instance" xsi:type="dcterms:W3CDTF">2026-03-01T16:57:26Z</dcterms:created>
  <dcterms:modified xmlns:dcterms="http://purl.org/dc/terms/" xmlns:xsi="http://www.w3.org/2001/XMLSchema-instance" xsi:type="dcterms:W3CDTF">2026-03-01T16:57:26Z</dcterms:modified>
</cp:coreProperties>
</file>