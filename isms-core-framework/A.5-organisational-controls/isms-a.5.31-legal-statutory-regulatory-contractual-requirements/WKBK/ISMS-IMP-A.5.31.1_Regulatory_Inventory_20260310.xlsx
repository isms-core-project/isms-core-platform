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Regulatory Inventory" sheetId="2" state="visible" r:id="rId2"/>
    <sheet xmlns:r="http://schemas.openxmlformats.org/officeDocument/2006/relationships" name="Summary Dashboard" sheetId="3" state="visible" r:id="rId3"/>
    <sheet xmlns:r="http://schemas.openxmlformats.org/officeDocument/2006/relationships" name="Approval Sign-Off" sheetId="4" state="visible" r:id="rId4"/>
  </sheets>
  <definedNames>
    <definedName name="_xlnm._FilterDatabase" localSheetId="1" hidden="1">'Regulatory Inventory'!$A$2:$P$2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0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/>
    </xf>
    <xf numFmtId="166" fontId="9" fillId="0" borderId="2" applyAlignment="1" pivotButton="0" quotePrefix="0" xfId="0">
      <alignment horizontal="center"/>
    </xf>
    <xf numFmtId="0" fontId="8" fillId="9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center"/>
    </xf>
    <xf numFmtId="166" fontId="8" fillId="9" borderId="2" applyAlignment="1" pivotButton="0" quotePrefix="0" xfId="0">
      <alignment horizontal="center"/>
    </xf>
    <xf numFmtId="0" fontId="2" fillId="10" borderId="2" applyAlignment="1" pivotButton="0" quotePrefix="0" xfId="0">
      <alignment horizontal="left" vertical="center"/>
    </xf>
    <xf numFmtId="0" fontId="9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/>
    </xf>
    <xf numFmtId="0" fontId="0" fillId="11" borderId="2" pivotButton="0" quotePrefix="0" xfId="0"/>
    <xf numFmtId="0" fontId="2" fillId="12" borderId="2" pivotButton="0" quotePrefix="0" xfId="0"/>
    <xf numFmtId="0" fontId="1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2" fillId="12" borderId="1" pivotButton="0" quotePrefix="0" xfId="0"/>
    <xf numFmtId="0" fontId="0" fillId="11" borderId="1" pivotButton="0" quotePrefix="0" xfId="0"/>
    <xf numFmtId="166" fontId="0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FFCC"/>
          <bgColor rgb="00FFFFCC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ISMS-IMP-A.5.31.1  -  Regulatory Inventory
ISO/IEC 27001:2022 - Control A.5.31: Legal, Statutory, Regulatory and Contractual Requirements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ISMS-IMP-A.5.31.1</t>
        </is>
      </c>
    </row>
    <row r="5">
      <c r="A5" s="3" t="inlineStr">
        <is>
          <t>Workbook Title</t>
        </is>
      </c>
      <c r="B5" t="inlineStr">
        <is>
          <t>Regulatory Inventory</t>
        </is>
      </c>
    </row>
    <row r="6">
      <c r="A6" s="3" t="inlineStr">
        <is>
          <t>Control Reference</t>
        </is>
      </c>
      <c r="B6" t="inlineStr">
        <is>
          <t>ISO/IEC 27001:2022 - Control A.5.31: Legal, Statutory, Regulatory and Contractual Requirements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the Regulatory Inventory — list all applicable laws, regulations, and standards.</t>
        </is>
      </c>
    </row>
    <row r="14">
      <c r="A14" t="inlineStr">
        <is>
          <t>2. Document jurisdiction, effective date, and responsible owner for each requirement.</t>
        </is>
      </c>
    </row>
    <row r="15">
      <c r="A15" t="inlineStr">
        <is>
          <t>3. Classify requirements by type (Privacy, Financial, Sector-specific, Contractual).</t>
        </is>
      </c>
    </row>
    <row r="16">
      <c r="A16" t="inlineStr">
        <is>
          <t>4. Identify the organisational functions affected by each regulatory obligation.</t>
        </is>
      </c>
    </row>
    <row r="17">
      <c r="A17" t="inlineStr">
        <is>
          <t>5. Review the Summary Dashboard for overall regulatory coverage status.</t>
        </is>
      </c>
    </row>
    <row r="18">
      <c r="A18" t="inlineStr">
        <is>
          <t>6. Maintain the Evidence Register with legal registers and regulatory source documents.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20" customWidth="1" min="4" max="4"/>
    <col width="25" customWidth="1" min="5" max="5"/>
    <col width="30" customWidth="1" min="6" max="6"/>
    <col width="15" customWidth="1" min="7" max="7"/>
    <col width="18" customWidth="1" min="8" max="8"/>
    <col width="20" customWidth="1" min="9" max="9"/>
    <col width="50" customWidth="1" min="10" max="10"/>
    <col width="50" customWidth="1" min="11" max="11"/>
    <col width="35" customWidth="1" min="12" max="12"/>
    <col width="15" customWidth="1" min="13" max="13"/>
    <col width="20" customWidth="1" min="14" max="14"/>
    <col width="40" customWidth="1" min="15" max="15"/>
    <col width="15" customWidth="1" min="16" max="16"/>
  </cols>
  <sheetData>
    <row r="1" ht="35" customHeight="1">
      <c r="A1" s="11" t="inlineStr">
        <is>
          <t>REGULATORY INVENTORY</t>
        </is>
      </c>
    </row>
    <row r="2">
      <c r="A2" s="12" t="inlineStr">
        <is>
          <t>Regulation ID</t>
        </is>
      </c>
      <c r="B2" s="12" t="inlineStr">
        <is>
          <t>Regulation Name</t>
        </is>
      </c>
      <c r="C2" s="12" t="inlineStr">
        <is>
          <t>Short Name / Acronym</t>
        </is>
      </c>
      <c r="D2" s="12" t="inlineStr">
        <is>
          <t>Jurisdiction</t>
        </is>
      </c>
      <c r="E2" s="12" t="inlineStr">
        <is>
          <t>Issuing Authority</t>
        </is>
      </c>
      <c r="F2" s="12" t="inlineStr">
        <is>
          <t>Citation</t>
        </is>
      </c>
      <c r="G2" s="12" t="inlineStr">
        <is>
          <t>Effective Date</t>
        </is>
      </c>
      <c r="H2" s="12" t="inlineStr">
        <is>
          <t>Tier</t>
        </is>
      </c>
      <c r="I2" s="12" t="inlineStr">
        <is>
          <t>Applicability Status</t>
        </is>
      </c>
      <c r="J2" s="12" t="inlineStr">
        <is>
          <t>Applicability Rationale</t>
        </is>
      </c>
      <c r="K2" s="12" t="inlineStr">
        <is>
          <t>Key Requirements (Summary)</t>
        </is>
      </c>
      <c r="L2" s="12" t="inlineStr">
        <is>
          <t>Assessment Reference</t>
        </is>
      </c>
      <c r="M2" s="12" t="inlineStr">
        <is>
          <t>Next Review Date</t>
        </is>
      </c>
      <c r="N2" s="12" t="inlineStr">
        <is>
          <t>Responsible Party</t>
        </is>
      </c>
      <c r="O2" s="12" t="inlineStr">
        <is>
          <t>Notes</t>
        </is>
      </c>
      <c r="P2" s="12" t="inlineStr">
        <is>
          <t>Last Updated</t>
        </is>
      </c>
    </row>
    <row r="3">
      <c r="A3" s="13" t="inlineStr">
        <is>
          <t>REG-EU-001</t>
        </is>
      </c>
      <c r="B3" s="13" t="inlineStr">
        <is>
          <t>General Data Protection Regulation</t>
        </is>
      </c>
      <c r="C3" s="13" t="inlineStr">
        <is>
          <t>GDPR</t>
        </is>
      </c>
      <c r="D3" s="13" t="inlineStr">
        <is>
          <t>European Union</t>
        </is>
      </c>
      <c r="E3" s="13" t="inlineStr">
        <is>
          <t>European Commission</t>
        </is>
      </c>
      <c r="F3" s="13" t="inlineStr">
        <is>
          <t>Regulation (EU) 2016/679</t>
        </is>
      </c>
      <c r="G3" s="14" t="n">
        <v>43245</v>
      </c>
      <c r="H3" s="13" t="inlineStr">
        <is>
          <t>1-Mandatory</t>
        </is>
      </c>
      <c r="I3" s="13" t="inlineStr">
        <is>
          <t>Applicable</t>
        </is>
      </c>
      <c r="J3" s="13" t="inlineStr">
        <is>
          <t>Legal obligation - [Organisation] processes personal data of EU residents and has operations in EU member states.</t>
        </is>
      </c>
      <c r="K3" s="13" t="inlineStr">
        <is>
          <t>• Data protection by design and default
• Breach notification within 72 hours
• DPO appointment required
• Data subject rights (access, erasure, portability)</t>
        </is>
      </c>
      <c r="L3" s="13" t="inlineStr">
        <is>
          <t>/Assessments/2024/REG-EU-001_GDPR_Assessment.pdf</t>
        </is>
      </c>
      <c r="M3" s="14" t="n">
        <v>46022</v>
      </c>
      <c r="N3" s="13" t="inlineStr">
        <is>
          <t>Compliance Officer</t>
        </is>
      </c>
      <c r="O3" s="13" t="inlineStr">
        <is>
          <t>Annual review required. Regular updates from EDPB guidance.</t>
        </is>
      </c>
      <c r="P3" s="14" t="n">
        <v>46091.82553590959</v>
      </c>
    </row>
    <row r="4">
      <c r="A4" s="13" t="inlineStr">
        <is>
          <t>REG-INT-001</t>
        </is>
      </c>
      <c r="B4" s="13" t="inlineStr">
        <is>
          <t>Information Security Management Systems - Requirements</t>
        </is>
      </c>
      <c r="C4" s="13" t="inlineStr">
        <is>
          <t>ISO 27001:2022</t>
        </is>
      </c>
      <c r="D4" s="13" t="inlineStr">
        <is>
          <t>International</t>
        </is>
      </c>
      <c r="E4" s="13" t="inlineStr">
        <is>
          <t>ISO/IEC</t>
        </is>
      </c>
      <c r="F4" s="13" t="inlineStr">
        <is>
          <t>ISO/IEC 27001:2022</t>
        </is>
      </c>
      <c r="G4" s="14" t="n">
        <v>44859</v>
      </c>
      <c r="H4" s="13" t="inlineStr">
        <is>
          <t>1-Mandatory</t>
        </is>
      </c>
      <c r="I4" s="13" t="inlineStr">
        <is>
          <t>Applicable</t>
        </is>
      </c>
      <c r="J4" s="13" t="inlineStr">
        <is>
          <t>Contractual obligation - required by multiple enterprise customers and certification pursued for competitive advantage.</t>
        </is>
      </c>
      <c r="K4" s="13" t="inlineStr">
        <is>
          <t>• 93 Annex A controls assessment
• Risk assessment and treatment
• Statement of Applicability
• Management review and continual improvement</t>
        </is>
      </c>
      <c r="L4" s="13" t="inlineStr">
        <is>
          <t>/Assessments/2024/REG-INT-001_ISO27001_Assessment.pdf</t>
        </is>
      </c>
      <c r="M4" s="14" t="n">
        <v>45961</v>
      </c>
      <c r="N4" s="13" t="inlineStr">
        <is>
          <t>ISMS Manager</t>
        </is>
      </c>
      <c r="O4" s="13" t="inlineStr">
        <is>
          <t>Certification audit scheduled Q4 2025. Control A.5.31 addresses this regulatory inventory.</t>
        </is>
      </c>
      <c r="P4" s="14" t="n">
        <v>46091.82553590959</v>
      </c>
    </row>
    <row r="5">
      <c r="A5" s="13" t="inlineStr">
        <is>
          <t>REG-CH-001</t>
        </is>
      </c>
      <c r="B5" s="13" t="inlineStr">
        <is>
          <t>Federal Act on Data Protection</t>
        </is>
      </c>
      <c r="C5" s="13" t="inlineStr">
        <is>
          <t>FADP / nFADP</t>
        </is>
      </c>
      <c r="D5" s="13" t="inlineStr">
        <is>
          <t>Switzerland</t>
        </is>
      </c>
      <c r="E5" s="13" t="inlineStr">
        <is>
          <t>Swiss Federal Council</t>
        </is>
      </c>
      <c r="F5" s="13" t="inlineStr">
        <is>
          <t>SR 235.1 (revised 2020)</t>
        </is>
      </c>
      <c r="G5" s="14" t="n">
        <v>45170</v>
      </c>
      <c r="H5" s="13" t="inlineStr">
        <is>
          <t>1-Mandatory</t>
        </is>
      </c>
      <c r="I5" s="13" t="inlineStr">
        <is>
          <t>Applicable</t>
        </is>
      </c>
      <c r="J5" s="13" t="inlineStr">
        <is>
          <t>Legal obligation - [Organisation] headquartered in Switzerland and processes personal data of Swiss residents.</t>
        </is>
      </c>
      <c r="K5" s="13" t="inlineStr">
        <is>
          <t>• Data protection by design
• Breach notification to FDPIC
• Cross-border data transfer restrictions
• Data processing register maintenance</t>
        </is>
      </c>
      <c r="L5" s="13" t="inlineStr">
        <is>
          <t>/Assessments/2024/REG-CH-001_FADP_Assessment.pdf</t>
        </is>
      </c>
      <c r="M5" s="14" t="n">
        <v>45930</v>
      </c>
      <c r="N5" s="13" t="inlineStr">
        <is>
          <t>Compliance Officer</t>
        </is>
      </c>
      <c r="O5" s="13" t="inlineStr">
        <is>
          <t>Swiss FADP similar to GDPR but with Swiss-specific requirements. Regular FDPIC guidance updates.</t>
        </is>
      </c>
      <c r="P5" s="14" t="n">
        <v>46091.82553590959</v>
      </c>
    </row>
    <row r="6">
      <c r="A6" s="13" t="inlineStr">
        <is>
          <t>REG-EU-002</t>
        </is>
      </c>
      <c r="B6" s="13" t="inlineStr">
        <is>
          <t>Network and Information Systems Directive (Revised)</t>
        </is>
      </c>
      <c r="C6" s="13" t="inlineStr">
        <is>
          <t>NIS2</t>
        </is>
      </c>
      <c r="D6" s="13" t="inlineStr">
        <is>
          <t>European Union</t>
        </is>
      </c>
      <c r="E6" s="13" t="inlineStr">
        <is>
          <t>European Commission</t>
        </is>
      </c>
      <c r="F6" s="13" t="inlineStr">
        <is>
          <t>Directive (EU) 2022/2555</t>
        </is>
      </c>
      <c r="G6" s="14" t="n">
        <v>45582</v>
      </c>
      <c r="H6" s="13" t="inlineStr">
        <is>
          <t>2-Conditional</t>
        </is>
      </c>
      <c r="I6" s="13" t="inlineStr">
        <is>
          <t>Conditional</t>
        </is>
      </c>
      <c r="J6" s="13" t="inlineStr">
        <is>
          <t>Conditional applicability - would apply if [Organisation] qualifies as 'essential' or 'important' entity under NIS2 definitions. Currently under size thresholds but approaching.</t>
        </is>
      </c>
      <c r="K6" s="13" t="inlineStr">
        <is>
          <t>• Cybersecurity risk management measures
• Incident reporting (24/72 hours)
• Supply chain security
• Executive accountability</t>
        </is>
      </c>
      <c r="L6" s="13" t="inlineStr">
        <is>
          <t>/Assessments/2024/REG-EU-002_NIS2_Conditional_Assessment.pdf</t>
        </is>
      </c>
      <c r="M6" s="14" t="n">
        <v>45777</v>
      </c>
      <c r="N6" s="13" t="inlineStr">
        <is>
          <t>CISO</t>
        </is>
      </c>
      <c r="O6" s="13" t="inlineStr">
        <is>
          <t>Monitor: Annual revenue, employee count, critical services. Reassess Q2 2025 based on growth projections.</t>
        </is>
      </c>
      <c r="P6" s="14" t="n">
        <v>46091.82553590959</v>
      </c>
    </row>
    <row r="7">
      <c r="A7" s="13" t="inlineStr">
        <is>
          <t>REG-EU-003</t>
        </is>
      </c>
      <c r="B7" s="13" t="inlineStr">
        <is>
          <t>Digital Operational Resilience Act</t>
        </is>
      </c>
      <c r="C7" s="13" t="inlineStr">
        <is>
          <t>DORA</t>
        </is>
      </c>
      <c r="D7" s="13" t="inlineStr">
        <is>
          <t>European Union</t>
        </is>
      </c>
      <c r="E7" s="13" t="inlineStr">
        <is>
          <t>European Commission</t>
        </is>
      </c>
      <c r="F7" s="13" t="inlineStr">
        <is>
          <t>Regulation (EU) 2022/2554</t>
        </is>
      </c>
      <c r="G7" s="14" t="n">
        <v>45674</v>
      </c>
      <c r="H7" s="13" t="inlineStr">
        <is>
          <t>2-Conditional</t>
        </is>
      </c>
      <c r="I7" s="13" t="inlineStr">
        <is>
          <t>Not Applicable</t>
        </is>
      </c>
      <c r="J7" s="13" t="inlineStr">
        <is>
          <t>Not currently applicable - DORA applies to financial entities. [Organisation] not in financial services sector. Would apply only if we enter fintech market.</t>
        </is>
      </c>
      <c r="K7" s="13" t="inlineStr">
        <is>
          <t>• ICT risk management framework
• Digital resilience testing
• Third-party ICT service provider oversight
• Incident reporting to authorities</t>
        </is>
      </c>
      <c r="L7" s="13" t="inlineStr">
        <is>
          <t>/Assessments/2024/REG-EU-003_DORA_Not_Applicable.pdf</t>
        </is>
      </c>
      <c r="M7" s="14" t="n">
        <v>46053</v>
      </c>
      <c r="N7" s="13" t="inlineStr">
        <is>
          <t>Compliance Officer</t>
        </is>
      </c>
      <c r="O7" s="13" t="inlineStr">
        <is>
          <t>Reassess if: (1) Enter financial services market, (2) Provide services to financial entities, (3) Acquire fintech companies.</t>
        </is>
      </c>
      <c r="P7" s="14" t="n">
        <v>46091.82553590959</v>
      </c>
    </row>
    <row r="8">
      <c r="A8" s="13" t="inlineStr">
        <is>
          <t>REG-US-001</t>
        </is>
      </c>
      <c r="B8" s="13" t="inlineStr">
        <is>
          <t>California Consumer Privacy Act</t>
        </is>
      </c>
      <c r="C8" s="13" t="inlineStr">
        <is>
          <t>CCPA / CPRA</t>
        </is>
      </c>
      <c r="D8" s="13" t="inlineStr">
        <is>
          <t>United States (California)</t>
        </is>
      </c>
      <c r="E8" s="13" t="inlineStr">
        <is>
          <t>State of California</t>
        </is>
      </c>
      <c r="F8" s="13" t="inlineStr">
        <is>
          <t>California Civil Code §§ 1798.100–1798.199</t>
        </is>
      </c>
      <c r="G8" s="14" t="n">
        <v>43831</v>
      </c>
      <c r="H8" s="13" t="inlineStr">
        <is>
          <t>2-Conditional</t>
        </is>
      </c>
      <c r="I8" s="13" t="inlineStr">
        <is>
          <t>Under Review</t>
        </is>
      </c>
      <c r="J8" s="13" t="inlineStr">
        <is>
          <t>Under assessment - [Organisation] has some California customers. Reviewing if thresholds met (revenue from CA, number of CA consumers, data sold).</t>
        </is>
      </c>
      <c r="K8" s="13" t="inlineStr">
        <is>
          <t>• Consumer rights (know, delete, opt-out)
• Privacy notice requirements
• Data sale disclosure and opt-out
• Risk assessments for high-risk processing</t>
        </is>
      </c>
      <c r="L8" s="13" t="inlineStr">
        <is>
          <t>/Assessments/2024/REG-US-001_CCPA_Under_Assessment.pdf</t>
        </is>
      </c>
      <c r="M8" s="14" t="n">
        <v>45747</v>
      </c>
      <c r="N8" s="13" t="inlineStr">
        <is>
          <t>Compliance Officer / Legal Counsel</t>
        </is>
      </c>
      <c r="O8" s="13" t="inlineStr">
        <is>
          <t>Legal counsel reviewing Q1 2025. Decision expected by Q2 2025 based on California revenue analysis.</t>
        </is>
      </c>
      <c r="P8" s="14" t="n">
        <v>46091.82553590959</v>
      </c>
    </row>
    <row r="9">
      <c r="A9" s="13" t="inlineStr">
        <is>
          <t>REG-VOL-001</t>
        </is>
      </c>
      <c r="B9" s="13" t="inlineStr">
        <is>
          <t>Cybersecurity Framework</t>
        </is>
      </c>
      <c r="C9" s="13" t="inlineStr">
        <is>
          <t>NIST CSF 2.0</t>
        </is>
      </c>
      <c r="D9" s="13" t="inlineStr">
        <is>
          <t>International (US-origin)</t>
        </is>
      </c>
      <c r="E9" s="13" t="inlineStr">
        <is>
          <t>NIST</t>
        </is>
      </c>
      <c r="F9" s="13" t="inlineStr">
        <is>
          <t>NIST Cybersecurity Framework (CSF) 2.0 v2.0</t>
        </is>
      </c>
      <c r="G9" s="14" t="n">
        <v>45348</v>
      </c>
      <c r="H9" s="13" t="inlineStr">
        <is>
          <t>3-Informational</t>
        </is>
      </c>
      <c r="I9" s="13" t="inlineStr">
        <is>
          <t>Applicable</t>
        </is>
      </c>
      <c r="J9" s="13" t="inlineStr">
        <is>
          <t>Voluntary framework - adopted as best practice reference for cybersecurity program. Used for gap analysis and benchmarking.</t>
        </is>
      </c>
      <c r="K9" s="13" t="inlineStr">
        <is>
          <t>• Govern, Identify, Protect, Detect, Respond, Recover functions
• Organisational profile and implementation tiers
• Supply chain risk management</t>
        </is>
      </c>
      <c r="L9" s="13" t="inlineStr">
        <is>
          <t>/Assessments/2024/REG-VOL-001_NIST_CSF_Mapping.xlsx</t>
        </is>
      </c>
      <c r="M9" s="14" t="n">
        <v>46081</v>
      </c>
      <c r="N9" s="13" t="inlineStr">
        <is>
          <t>CISO</t>
        </is>
      </c>
      <c r="O9" s="13" t="inlineStr">
        <is>
          <t>Used for internal maturity assessment. Not required but helpful for continuous improvement.</t>
        </is>
      </c>
      <c r="P9" s="14" t="n">
        <v>46091.82553590959</v>
      </c>
    </row>
    <row r="10">
      <c r="A10" s="13" t="inlineStr">
        <is>
          <t>REG-VOL-002</t>
        </is>
      </c>
      <c r="B10" s="13" t="inlineStr">
        <is>
          <t>Cloud Controls Matrix</t>
        </is>
      </c>
      <c r="C10" s="13" t="inlineStr">
        <is>
          <t>CCM v4.0</t>
        </is>
      </c>
      <c r="D10" s="13" t="inlineStr">
        <is>
          <t>International</t>
        </is>
      </c>
      <c r="E10" s="13" t="inlineStr">
        <is>
          <t>Cloud Security Alliance</t>
        </is>
      </c>
      <c r="F10" s="13" t="inlineStr">
        <is>
          <t>CSA CCM v4.0.10</t>
        </is>
      </c>
      <c r="G10" s="14" t="n">
        <v>44409</v>
      </c>
      <c r="H10" s="13" t="inlineStr">
        <is>
          <t>3-Informational</t>
        </is>
      </c>
      <c r="I10" s="13" t="inlineStr">
        <is>
          <t>Applicable</t>
        </is>
      </c>
      <c r="J10" s="13" t="inlineStr">
        <is>
          <t>Voluntary framework - used for cloud vendor assessments and internal cloud security control mapping.</t>
        </is>
      </c>
      <c r="K10" s="13" t="inlineStr">
        <is>
          <t>• 197 cloud security controls across 17 domains
• Mapping to ISO 27001, SOC 2, GDPR, etc.
• Vendor assessment questionnaires</t>
        </is>
      </c>
      <c r="L10" s="13" t="inlineStr">
        <is>
          <t>/Assessments/2024/REG-VOL-002_CCM_Mapping.xlsx</t>
        </is>
      </c>
      <c r="M10" s="14" t="n">
        <v>46265</v>
      </c>
      <c r="N10" s="13" t="inlineStr">
        <is>
          <t>Cloud Security Lead</t>
        </is>
      </c>
      <c r="O10" s="13" t="inlineStr">
        <is>
          <t>Used in Control A.5.23 (Cloud Services) vendor due diligence. CAIQ questionnaires sent to cloud vendors.</t>
        </is>
      </c>
      <c r="P10" s="14" t="n">
        <v>46091.82553590959</v>
      </c>
    </row>
  </sheetData>
  <autoFilter ref="A2:P2"/>
  <mergeCells count="1">
    <mergeCell ref="A1:P1"/>
  </mergeCells>
  <conditionalFormatting sqref="H2:H1000">
    <cfRule type="cellIs" priority="1" operator="equal" dxfId="0">
      <formula>"1-Mandatory"</formula>
    </cfRule>
    <cfRule type="cellIs" priority="2" operator="equal" dxfId="1">
      <formula>"2-Conditional"</formula>
    </cfRule>
    <cfRule type="cellIs" priority="3" operator="equal" dxfId="2">
      <formula>"3-Informational"</formula>
    </cfRule>
  </conditionalFormatting>
  <conditionalFormatting sqref="I2:I1000">
    <cfRule type="cellIs" priority="4" operator="equal" dxfId="2">
      <formula>"Applicable"</formula>
    </cfRule>
    <cfRule type="cellIs" priority="5" operator="equal" dxfId="1">
      <formula>"Conditional"</formula>
    </cfRule>
    <cfRule type="cellIs" priority="6" operator="equal" dxfId="3">
      <formula>"Not Applicable"</formula>
    </cfRule>
    <cfRule type="cellIs" priority="7" operator="equal" dxfId="3">
      <formula>"Under Review"</formula>
    </cfRule>
  </conditionalFormatting>
  <dataValidations count="2">
    <dataValidation sqref="H2:H1000" showDropDown="0" showInputMessage="0" showErrorMessage="0" allowBlank="0" errorTitle="Invalid Tier" error="Please select from the list" type="list">
      <formula1>"1-Mandatory,2-Conditional,3-Informational"</formula1>
    </dataValidation>
    <dataValidation sqref="I2:I1000" showDropDown="0" showInputMessage="0" showErrorMessage="0" allowBlank="0" errorTitle="Invalid Status" error="Please select from the list" type="list">
      <formula1>"Applicable,Conditional,Not Applicable,Under 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5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5" t="inlineStr">
        <is>
          <t>REGULATORY INVENTORY — SUMMARY DASHBOARD</t>
        </is>
      </c>
      <c r="B1" s="16" t="n"/>
      <c r="C1" s="16" t="n"/>
      <c r="D1" s="16" t="n"/>
      <c r="E1" s="16" t="n"/>
      <c r="F1" s="16" t="n"/>
      <c r="G1" s="16" t="n"/>
    </row>
    <row r="2">
      <c r="A2" s="17" t="inlineStr">
        <is>
          <t>ISO/IEC 27001:2022 — Control A.5.31: Legal, Statutory, Regulatory and Contractual Requirements | Regulatory Inventory</t>
        </is>
      </c>
      <c r="B2" s="16" t="n"/>
      <c r="C2" s="16" t="n"/>
      <c r="D2" s="16" t="n"/>
      <c r="E2" s="16" t="n"/>
      <c r="F2" s="16" t="n"/>
      <c r="G2" s="16" t="n"/>
    </row>
    <row r="4">
      <c r="A4" s="18" t="inlineStr">
        <is>
          <t>TABLE 1: ASSESSMENT AREA COMPLIANCE OVERVIEW</t>
        </is>
      </c>
      <c r="B4" s="16" t="n"/>
      <c r="C4" s="16" t="n"/>
      <c r="D4" s="16" t="n"/>
      <c r="E4" s="16" t="n"/>
      <c r="F4" s="16" t="n"/>
      <c r="G4" s="16" t="n"/>
    </row>
    <row r="5">
      <c r="A5" s="19" t="inlineStr">
        <is>
          <t>Assessment Area</t>
        </is>
      </c>
      <c r="B5" s="19" t="inlineStr">
        <is>
          <t>Total Items</t>
        </is>
      </c>
      <c r="C5" s="19" t="inlineStr">
        <is>
          <t>Compliant</t>
        </is>
      </c>
      <c r="D5" s="19" t="inlineStr">
        <is>
          <t>Partial</t>
        </is>
      </c>
      <c r="E5" s="19" t="inlineStr">
        <is>
          <t>Non-Compliant</t>
        </is>
      </c>
      <c r="F5" s="19" t="inlineStr">
        <is>
          <t>N/A</t>
        </is>
      </c>
      <c r="G5" s="19" t="inlineStr">
        <is>
          <t>Compliance %</t>
        </is>
      </c>
    </row>
    <row r="6">
      <c r="A6" s="20" t="inlineStr">
        <is>
          <t>Regulatory Inventory</t>
        </is>
      </c>
      <c r="B6" s="21">
        <f>COUNTA('Regulatory Inventory'!A3:A1000)</f>
        <v/>
      </c>
      <c r="C6" s="21">
        <f>COUNTIF('Regulatory Inventory'!I3:I1000,"Applicable")</f>
        <v/>
      </c>
      <c r="D6" s="21">
        <f>COUNTIF('Regulatory Inventory'!I3:I1000,"Conditional")+COUNTIF('Regulatory Inventory'!I3:I1000,"Under Review")</f>
        <v/>
      </c>
      <c r="E6" s="21">
        <f>COUNTIF('Regulatory Inventory'!I3:I1000,"Not Applicable")</f>
        <v/>
      </c>
      <c r="F6" s="21" t="n">
        <v>0</v>
      </c>
      <c r="G6" s="22">
        <f>IFERROR(IF((B6-F6)=0,0,C6/(B6-F6)),"")</f>
        <v/>
      </c>
    </row>
    <row r="7">
      <c r="A7" s="23" t="inlineStr">
        <is>
          <t>TOTAL</t>
        </is>
      </c>
      <c r="B7" s="24">
        <f>SUM(B6:B6)</f>
        <v/>
      </c>
      <c r="C7" s="24">
        <f>SUM(C6:C6)</f>
        <v/>
      </c>
      <c r="D7" s="24">
        <f>SUM(D6:D6)</f>
        <v/>
      </c>
      <c r="E7" s="24">
        <f>SUM(E6:E6)</f>
        <v/>
      </c>
      <c r="F7" s="24">
        <f>SUM(F6:F6)</f>
        <v/>
      </c>
      <c r="G7" s="25">
        <f>IFERROR(IF((B7-F7)=0,0,C7/(B7-F7)),"")</f>
        <v/>
      </c>
    </row>
    <row r="9">
      <c r="A9" s="18" t="inlineStr">
        <is>
          <t>TABLE 2: KEY METRICS</t>
        </is>
      </c>
      <c r="B9" s="16" t="n"/>
      <c r="C9" s="16" t="n"/>
      <c r="D9" s="16" t="n"/>
      <c r="E9" s="16" t="n"/>
      <c r="F9" s="16" t="n"/>
      <c r="G9" s="16" t="n"/>
    </row>
    <row r="10">
      <c r="A10" s="19" t="inlineStr">
        <is>
          <t>Metric</t>
        </is>
      </c>
      <c r="B10" s="19" t="inlineStr">
        <is>
          <t>Value</t>
        </is>
      </c>
      <c r="C10" s="19" t="n"/>
      <c r="D10" s="19" t="n"/>
      <c r="E10" s="19" t="n"/>
      <c r="F10" s="19" t="n"/>
      <c r="G10" s="19" t="n"/>
    </row>
    <row r="11">
      <c r="A11" s="20" t="inlineStr">
        <is>
          <t>Tier 1 (Mandatory) regulations</t>
        </is>
      </c>
      <c r="B11" s="21">
        <f>COUNTIF('Regulatory Inventory'!H3:H1000,"1-Mandatory")</f>
        <v/>
      </c>
      <c r="C11" s="16" t="n"/>
      <c r="D11" s="16" t="n"/>
      <c r="E11" s="16" t="n"/>
      <c r="F11" s="16" t="n"/>
      <c r="G11" s="16" t="n"/>
    </row>
    <row r="12">
      <c r="A12" s="20" t="inlineStr">
        <is>
          <t>Tier 2 (Conditional) regulations</t>
        </is>
      </c>
      <c r="B12" s="21">
        <f>COUNTIF('Regulatory Inventory'!H3:H1000,"2-Conditional")</f>
        <v/>
      </c>
      <c r="C12" s="16" t="n"/>
      <c r="D12" s="16" t="n"/>
      <c r="E12" s="16" t="n"/>
      <c r="F12" s="16" t="n"/>
      <c r="G12" s="16" t="n"/>
    </row>
    <row r="13">
      <c r="A13" s="20" t="inlineStr">
        <is>
          <t>Tier 3 (Informational) frameworks</t>
        </is>
      </c>
      <c r="B13" s="21">
        <f>COUNTIF('Regulatory Inventory'!H3:H1000,"3-Informational")</f>
        <v/>
      </c>
      <c r="C13" s="16" t="n"/>
      <c r="D13" s="16" t="n"/>
      <c r="E13" s="16" t="n"/>
      <c r="F13" s="16" t="n"/>
      <c r="G13" s="16" t="n"/>
    </row>
    <row r="14">
      <c r="A14" s="20" t="inlineStr">
        <is>
          <t>Applicable regulations confirmed</t>
        </is>
      </c>
      <c r="B14" s="21">
        <f>COUNTIF('Regulatory Inventory'!I3:I1000,"Applicable")</f>
        <v/>
      </c>
      <c r="C14" s="16" t="n"/>
      <c r="D14" s="16" t="n"/>
      <c r="E14" s="16" t="n"/>
      <c r="F14" s="16" t="n"/>
      <c r="G14" s="16" t="n"/>
    </row>
    <row r="15">
      <c r="A15" s="20" t="inlineStr">
        <is>
          <t>Conditional (trigger monitoring required)</t>
        </is>
      </c>
      <c r="B15" s="21">
        <f>COUNTIF('Regulatory Inventory'!I3:I1000,"Conditional")</f>
        <v/>
      </c>
      <c r="C15" s="16" t="n"/>
      <c r="D15" s="16" t="n"/>
      <c r="E15" s="16" t="n"/>
      <c r="F15" s="16" t="n"/>
      <c r="G15" s="16" t="n"/>
    </row>
    <row r="16">
      <c r="A16" s="20" t="inlineStr">
        <is>
          <t>Not Applicable (formally excluded)</t>
        </is>
      </c>
      <c r="B16" s="21">
        <f>COUNTIF('Regulatory Inventory'!I3:I1000,"Not Applicable")</f>
        <v/>
      </c>
      <c r="C16" s="16" t="n"/>
      <c r="D16" s="16" t="n"/>
      <c r="E16" s="16" t="n"/>
      <c r="F16" s="16" t="n"/>
      <c r="G16" s="16" t="n"/>
    </row>
    <row r="17">
      <c r="A17" s="20" t="inlineStr">
        <is>
          <t>Under Review (assessment pending)</t>
        </is>
      </c>
      <c r="B17" s="21">
        <f>COUNTIF('Regulatory Inventory'!I3:I1000,"Under Review")</f>
        <v/>
      </c>
      <c r="C17" s="16" t="n"/>
      <c r="D17" s="16" t="n"/>
      <c r="E17" s="16" t="n"/>
      <c r="F17" s="16" t="n"/>
      <c r="G17" s="16" t="n"/>
    </row>
    <row r="18">
      <c r="A18" s="20" t="inlineStr">
        <is>
          <t>Mandatory + Applicable (highest priority)</t>
        </is>
      </c>
      <c r="B18" s="21">
        <f>COUNTIFS('Regulatory Inventory'!H3:H1000,"1-Mandatory",'Regulatory Inventory'!I3:I1000,"Applicable")</f>
        <v/>
      </c>
      <c r="C18" s="16" t="n"/>
      <c r="D18" s="16" t="n"/>
      <c r="E18" s="16" t="n"/>
      <c r="F18" s="16" t="n"/>
      <c r="G18" s="16" t="n"/>
    </row>
    <row r="19">
      <c r="A19" s="20" t="inlineStr">
        <is>
          <t>Regulations with documented rationale</t>
        </is>
      </c>
      <c r="B19" s="21">
        <f>COUNTA('Regulatory Inventory'!J3:J1000)</f>
        <v/>
      </c>
      <c r="C19" s="16" t="n"/>
      <c r="D19" s="16" t="n"/>
      <c r="E19" s="16" t="n"/>
      <c r="F19" s="16" t="n"/>
      <c r="G19" s="16" t="n"/>
    </row>
    <row r="20">
      <c r="A20" s="20" t="inlineStr">
        <is>
          <t>Total regulations in inventory</t>
        </is>
      </c>
      <c r="B20" s="21">
        <f>COUNTA('Regulatory Inventory'!A3:A1000)</f>
        <v/>
      </c>
      <c r="C20" s="16" t="n"/>
      <c r="D20" s="16" t="n"/>
      <c r="E20" s="16" t="n"/>
      <c r="F20" s="16" t="n"/>
      <c r="G20" s="16" t="n"/>
    </row>
    <row r="22">
      <c r="A22" s="26" t="inlineStr">
        <is>
          <t>TABLE 3: CRITICAL FINDINGS REQUIRING IMMEDIATE ATTENTION</t>
        </is>
      </c>
      <c r="B22" s="16" t="n"/>
      <c r="C22" s="16" t="n"/>
      <c r="D22" s="16" t="n"/>
      <c r="E22" s="16" t="n"/>
      <c r="F22" s="16" t="n"/>
      <c r="G22" s="16" t="n"/>
    </row>
    <row r="23">
      <c r="A23" s="19" t="inlineStr">
        <is>
          <t>Finding</t>
        </is>
      </c>
      <c r="B23" s="19" t="inlineStr">
        <is>
          <t>Count</t>
        </is>
      </c>
      <c r="C23" s="19" t="inlineStr">
        <is>
          <t>Action Required</t>
        </is>
      </c>
      <c r="D23" s="16" t="n"/>
      <c r="E23" s="16" t="n"/>
      <c r="F23" s="16" t="n"/>
      <c r="G23" s="16" t="n"/>
    </row>
    <row r="24">
      <c r="A24" s="27" t="inlineStr">
        <is>
          <t>Mandatory regulations with 'Not Applicable' status</t>
        </is>
      </c>
      <c r="B24" s="28">
        <f>COUNTIFS('Regulatory Inventory'!H3:H1000,"1-Mandatory",'Regulatory Inventory'!I3:I1000,"Not Applicable")</f>
        <v/>
      </c>
      <c r="C24" s="27" t="inlineStr">
        <is>
          <t>Immediate review — Tier 1 obligations cannot be excluded without legal counsel sign-off</t>
        </is>
      </c>
      <c r="D24" s="16" t="n"/>
      <c r="E24" s="16" t="n"/>
      <c r="F24" s="16" t="n"/>
      <c r="G24" s="16" t="n"/>
    </row>
    <row r="25">
      <c r="A25" s="27" t="inlineStr">
        <is>
          <t>Regulations with no applicability rationale</t>
        </is>
      </c>
      <c r="B25" s="28">
        <f>COUNTA('Regulatory Inventory'!A3:A1000)-COUNTA('Regulatory Inventory'!J3:J1000)</f>
        <v/>
      </c>
      <c r="C25" s="27" t="inlineStr">
        <is>
          <t>Document rationale in column J — required for ISO 27001 audit evidence</t>
        </is>
      </c>
      <c r="D25" s="16" t="n"/>
      <c r="E25" s="16" t="n"/>
      <c r="F25" s="16" t="n"/>
      <c r="G25" s="16" t="n"/>
    </row>
    <row r="26">
      <c r="A26" s="27" t="inlineStr">
        <is>
          <t>Regulations still Under Review (unresolved)</t>
        </is>
      </c>
      <c r="B26" s="28">
        <f>COUNTIF('Regulatory Inventory'!I3:I1000,"Under Review")</f>
        <v/>
      </c>
      <c r="C26" s="27" t="inlineStr">
        <is>
          <t>Assign Compliance Officer to resolve pending applicability determinations</t>
        </is>
      </c>
      <c r="D26" s="16" t="n"/>
      <c r="E26" s="16" t="n"/>
      <c r="F26" s="16" t="n"/>
      <c r="G26" s="16" t="n"/>
    </row>
    <row r="27">
      <c r="A27" s="29" t="n"/>
      <c r="B27" s="29" t="n"/>
      <c r="C27" s="29" t="n"/>
      <c r="D27" s="29" t="n"/>
      <c r="E27" s="29" t="n"/>
      <c r="F27" s="29" t="n"/>
      <c r="G27" s="29" t="n"/>
    </row>
    <row r="28">
      <c r="A28" s="29" t="n"/>
      <c r="B28" s="29" t="n"/>
      <c r="C28" s="29" t="n"/>
      <c r="D28" s="29" t="n"/>
      <c r="E28" s="29" t="n"/>
      <c r="F28" s="29" t="n"/>
      <c r="G28" s="29" t="n"/>
    </row>
    <row r="30">
      <c r="A30" s="3" t="inlineStr">
        <is>
          <t>FINAL DECISION:</t>
        </is>
      </c>
      <c r="B30" s="29" t="n"/>
      <c r="C30" s="16" t="n"/>
      <c r="D30" s="16" t="n"/>
      <c r="E30" s="16" t="n"/>
      <c r="F30" s="16" t="n"/>
      <c r="G30" s="16" t="n"/>
    </row>
    <row r="33">
      <c r="A33" s="30" t="inlineStr">
        <is>
          <t>NEXT REVIEW DETAILS</t>
        </is>
      </c>
      <c r="B33" s="16" t="n"/>
      <c r="C33" s="16" t="n"/>
      <c r="D33" s="16" t="n"/>
      <c r="E33" s="16" t="n"/>
      <c r="F33" s="16" t="n"/>
      <c r="G33" s="16" t="n"/>
    </row>
    <row r="34">
      <c r="A34" s="3" t="inlineStr">
        <is>
          <t>Next Review Date:</t>
        </is>
      </c>
      <c r="B34" s="29" t="n"/>
      <c r="C34" s="16" t="n"/>
      <c r="D34" s="16" t="n"/>
      <c r="E34" s="16" t="n"/>
      <c r="F34" s="16" t="n"/>
      <c r="G34" s="16" t="n"/>
    </row>
    <row r="35">
      <c r="A35" s="3" t="inlineStr">
        <is>
          <t>Review Responsible:</t>
        </is>
      </c>
      <c r="B35" s="29" t="n"/>
      <c r="C35" s="16" t="n"/>
      <c r="D35" s="16" t="n"/>
      <c r="E35" s="16" t="n"/>
      <c r="F35" s="16" t="n"/>
      <c r="G35" s="16" t="n"/>
    </row>
    <row r="36">
      <c r="A36" s="3" t="inlineStr">
        <is>
          <t>Special Considerations:</t>
        </is>
      </c>
      <c r="B36" s="29" t="n"/>
      <c r="C36" s="16" t="n"/>
      <c r="D36" s="16" t="n"/>
      <c r="E36" s="16" t="n"/>
      <c r="F36" s="16" t="n"/>
      <c r="G36" s="16" t="n"/>
    </row>
  </sheetData>
  <mergeCells count="14">
    <mergeCell ref="B34:G34"/>
    <mergeCell ref="A1:G1"/>
    <mergeCell ref="A9:G9"/>
    <mergeCell ref="B36:G36"/>
    <mergeCell ref="C24:G24"/>
    <mergeCell ref="A22:G22"/>
    <mergeCell ref="A4:G4"/>
    <mergeCell ref="C25:G25"/>
    <mergeCell ref="B35:G35"/>
    <mergeCell ref="A2:G2"/>
    <mergeCell ref="C23:G23"/>
    <mergeCell ref="B30:G30"/>
    <mergeCell ref="A33:G33"/>
    <mergeCell ref="C26:G26"/>
  </mergeCells>
  <dataValidations count="1">
    <dataValidation sqref="B30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1" t="inlineStr">
        <is>
          <t>ASSESSMENT APPROVAL AND SIGN-OFF</t>
        </is>
      </c>
      <c r="B1" s="6" t="n"/>
      <c r="C1" s="6" t="n"/>
      <c r="D1" s="6" t="n"/>
      <c r="E1" s="6" t="n"/>
    </row>
    <row r="2">
      <c r="A2" s="32" t="inlineStr">
        <is>
          <t>ISO/IEC 27001:2022 - Control A.5.31: Legal, Statutory, Regulatory and Contractual Requirements</t>
        </is>
      </c>
      <c r="B2" s="6" t="n"/>
      <c r="C2" s="6" t="n"/>
      <c r="D2" s="6" t="n"/>
      <c r="E2" s="6" t="n"/>
    </row>
    <row r="3">
      <c r="A3" s="33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ISMS-IMP-A.5.31.1 - Regulatory Inventory</t>
        </is>
      </c>
      <c r="C4" s="6" t="n"/>
      <c r="D4" s="6" t="n"/>
      <c r="E4" s="6" t="n"/>
    </row>
    <row r="5">
      <c r="A5" s="3" t="inlineStr">
        <is>
          <t>Assessment Period:</t>
        </is>
      </c>
      <c r="B5" s="34" t="inlineStr"/>
      <c r="C5" s="6" t="n"/>
      <c r="D5" s="6" t="n"/>
      <c r="E5" s="6" t="n"/>
    </row>
    <row r="6">
      <c r="A6" s="3" t="inlineStr">
        <is>
          <t>Overall Compliance Rating:</t>
        </is>
      </c>
      <c r="B6" s="35">
        <f>IFERROR(AVERAGE('Summary Dashboard'!G6:G6),"")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34" t="inlineStr"/>
      <c r="C7" s="6" t="n"/>
      <c r="D7" s="6" t="n"/>
      <c r="E7" s="6" t="n"/>
    </row>
    <row r="8">
      <c r="A8" s="3" t="inlineStr">
        <is>
          <t>Assessed By:</t>
        </is>
      </c>
      <c r="B8" s="34" t="inlineStr"/>
      <c r="C8" s="6" t="n"/>
      <c r="D8" s="6" t="n"/>
      <c r="E8" s="6" t="n"/>
    </row>
    <row r="11">
      <c r="A11" s="33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34" t="n"/>
      <c r="C12" s="6" t="n"/>
      <c r="D12" s="6" t="n"/>
      <c r="E12" s="6" t="n"/>
    </row>
    <row r="13">
      <c r="A13" s="3" t="inlineStr">
        <is>
          <t>Title:</t>
        </is>
      </c>
      <c r="B13" s="34" t="n"/>
      <c r="C13" s="6" t="n"/>
      <c r="D13" s="6" t="n"/>
      <c r="E13" s="6" t="n"/>
    </row>
    <row r="14">
      <c r="A14" s="3" t="inlineStr">
        <is>
          <t>Date:</t>
        </is>
      </c>
      <c r="B14" s="34" t="n"/>
      <c r="C14" s="6" t="n"/>
      <c r="D14" s="6" t="n"/>
      <c r="E14" s="6" t="n"/>
    </row>
    <row r="15">
      <c r="A15" s="3" t="inlineStr">
        <is>
          <t>Signature:</t>
        </is>
      </c>
      <c r="B15" s="34" t="n"/>
      <c r="C15" s="6" t="n"/>
      <c r="D15" s="6" t="n"/>
      <c r="E15" s="6" t="n"/>
    </row>
    <row r="16">
      <c r="A16" s="3" t="inlineStr">
        <is>
          <t>Comments:</t>
        </is>
      </c>
      <c r="B16" s="34" t="n"/>
      <c r="C16" s="6" t="n"/>
      <c r="D16" s="6" t="n"/>
      <c r="E16" s="6" t="n"/>
    </row>
    <row r="18">
      <c r="A18" s="33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34" t="n"/>
      <c r="C19" s="6" t="n"/>
      <c r="D19" s="6" t="n"/>
      <c r="E19" s="6" t="n"/>
    </row>
    <row r="20">
      <c r="A20" s="3" t="inlineStr">
        <is>
          <t>Title:</t>
        </is>
      </c>
      <c r="B20" s="34" t="n"/>
      <c r="C20" s="6" t="n"/>
      <c r="D20" s="6" t="n"/>
      <c r="E20" s="6" t="n"/>
    </row>
    <row r="21">
      <c r="A21" s="3" t="inlineStr">
        <is>
          <t>Date:</t>
        </is>
      </c>
      <c r="B21" s="34" t="n"/>
      <c r="C21" s="6" t="n"/>
      <c r="D21" s="6" t="n"/>
      <c r="E21" s="6" t="n"/>
    </row>
    <row r="22">
      <c r="A22" s="3" t="inlineStr">
        <is>
          <t>Signature:</t>
        </is>
      </c>
      <c r="B22" s="34" t="n"/>
      <c r="C22" s="6" t="n"/>
      <c r="D22" s="6" t="n"/>
      <c r="E22" s="6" t="n"/>
    </row>
    <row r="23">
      <c r="A23" s="3" t="inlineStr">
        <is>
          <t>Comments:</t>
        </is>
      </c>
      <c r="B23" s="34" t="n"/>
      <c r="C23" s="6" t="n"/>
      <c r="D23" s="6" t="n"/>
      <c r="E23" s="6" t="n"/>
    </row>
    <row r="25">
      <c r="A25" s="36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34" t="n"/>
      <c r="C26" s="6" t="n"/>
      <c r="D26" s="6" t="n"/>
      <c r="E26" s="6" t="n"/>
    </row>
    <row r="27">
      <c r="A27" s="3" t="inlineStr">
        <is>
          <t>Title:</t>
        </is>
      </c>
      <c r="B27" s="34" t="n"/>
      <c r="C27" s="6" t="n"/>
      <c r="D27" s="6" t="n"/>
      <c r="E27" s="6" t="n"/>
    </row>
    <row r="28">
      <c r="A28" s="3" t="inlineStr">
        <is>
          <t>Date:</t>
        </is>
      </c>
      <c r="B28" s="34" t="n"/>
      <c r="C28" s="6" t="n"/>
      <c r="D28" s="6" t="n"/>
      <c r="E28" s="6" t="n"/>
    </row>
    <row r="29">
      <c r="A29" s="3" t="inlineStr">
        <is>
          <t>Signature:</t>
        </is>
      </c>
      <c r="B29" s="34" t="n"/>
      <c r="C29" s="6" t="n"/>
      <c r="D29" s="6" t="n"/>
      <c r="E29" s="6" t="n"/>
    </row>
    <row r="30">
      <c r="A30" s="3" t="inlineStr">
        <is>
          <t>Comments:</t>
        </is>
      </c>
      <c r="B30" s="34" t="n"/>
      <c r="C30" s="6" t="n"/>
      <c r="D30" s="6" t="n"/>
      <c r="E30" s="6" t="n"/>
    </row>
    <row r="32">
      <c r="A32" s="3" t="inlineStr">
        <is>
          <t>FINAL DECISION:</t>
        </is>
      </c>
      <c r="B32" s="34" t="n"/>
      <c r="C32" s="6" t="n"/>
      <c r="D32" s="6" t="n"/>
      <c r="E32" s="6" t="n"/>
    </row>
    <row r="35">
      <c r="A35" s="33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34" t="n"/>
      <c r="C36" s="6" t="n"/>
      <c r="D36" s="6" t="n"/>
      <c r="E36" s="6" t="n"/>
    </row>
    <row r="37">
      <c r="A37" s="3" t="inlineStr">
        <is>
          <t>Review Responsible:</t>
        </is>
      </c>
      <c r="B37" s="34" t="n"/>
      <c r="C37" s="6" t="n"/>
      <c r="D37" s="6" t="n"/>
      <c r="E37" s="6" t="n"/>
    </row>
    <row r="38">
      <c r="A38" s="3" t="inlineStr">
        <is>
          <t>Special Considerations:</t>
        </is>
      </c>
      <c r="B38" s="34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ISMS-IMP-A.5.31.1 — Regulatory Inventory</dc:title>
  <dc:description xmlns:dc="http://purl.org/dc/elements/1.1/">ISMS Implementation Workbook — ISMS-IMP-A.5.31.1</dc:description>
  <dc:subject xmlns:dc="http://purl.org/dc/elements/1.1/">ISO/IEC 27001:2022 — Control A.5.31: Legal, Statutory, Regulatory and Contractual Requirements</dc:subject>
  <dcterms:created xmlns:dcterms="http://purl.org/dc/terms/" xmlns:xsi="http://www.w3.org/2001/XMLSchema-instance" xsi:type="dcterms:W3CDTF">2026-03-10T18:48:46Z</dcterms:created>
  <dcterms:modified xmlns:dcterms="http://purl.org/dc/terms/" xmlns:xsi="http://www.w3.org/2001/XMLSchema-instance" xsi:type="dcterms:W3CDTF">2026-03-10T18:48:46Z</dcterms:modified>
</cp:coreProperties>
</file>