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pplicability Assessment" sheetId="2" state="visible" r:id="rId2"/>
    <sheet xmlns:r="http://schemas.openxmlformats.org/officeDocument/2006/relationships" name="Template Blank" sheetId="3" state="visible" r:id="rId3"/>
    <sheet xmlns:r="http://schemas.openxmlformats.org/officeDocument/2006/relationships" name="Summary Dashboard" sheetId="4" state="visible" r:id="rId4"/>
    <sheet xmlns:r="http://schemas.openxmlformats.org/officeDocument/2006/relationships" name="Approval Sign-O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b val="1"/>
      <sz val="9"/>
    </font>
    <font>
      <name val="Calibri"/>
      <sz val="9"/>
    </font>
    <font>
      <b val="1"/>
      <sz val="11"/>
    </font>
    <font>
      <name val="Calibri"/>
      <b val="1"/>
      <color rgb="00FFFFFF"/>
      <sz val="10"/>
    </font>
    <font>
      <b val="1"/>
      <sz val="10"/>
    </font>
    <font>
      <sz val="10"/>
    </font>
    <font>
      <i val="1"/>
      <sz val="9"/>
    </font>
    <font>
      <name val="Calibri"/>
      <b val="1"/>
      <sz val="12"/>
    </font>
    <font>
      <name val="Calibri"/>
      <b val="1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8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0" fontId="0" fillId="8" borderId="2" pivotButton="0" quotePrefix="0" xfId="0"/>
    <xf numFmtId="0" fontId="2" fillId="9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1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11" borderId="2" applyAlignment="1" pivotButton="0" quotePrefix="0" xfId="0">
      <alignment horizontal="left" vertical="center" wrapText="1"/>
    </xf>
    <xf numFmtId="0" fontId="0" fillId="12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8" fillId="3" borderId="2" applyAlignment="1" pivotButton="0" quotePrefix="0" xfId="0">
      <alignment horizontal="center" vertical="center"/>
    </xf>
    <xf numFmtId="0" fontId="9" fillId="5" borderId="2" pivotButton="0" quotePrefix="0" xfId="0"/>
    <xf numFmtId="0" fontId="0" fillId="5" borderId="2" pivotButton="0" quotePrefix="0" xfId="0"/>
    <xf numFmtId="0" fontId="1" fillId="2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3" fillId="0" borderId="3" applyAlignment="1" pivotButton="0" quotePrefix="0" xfId="0">
      <alignment horizontal="left" vertical="center"/>
    </xf>
    <xf numFmtId="0" fontId="14" fillId="2" borderId="3" applyAlignment="1" pivotButton="0" quotePrefix="0" xfId="0">
      <alignment horizontal="left" vertical="center"/>
    </xf>
    <xf numFmtId="0" fontId="15" fillId="3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/>
    </xf>
    <xf numFmtId="164" fontId="16" fillId="0" borderId="3" applyAlignment="1" pivotButton="0" quotePrefix="0" xfId="0">
      <alignment horizontal="center"/>
    </xf>
    <xf numFmtId="0" fontId="15" fillId="3" borderId="3" applyAlignment="1" pivotButton="0" quotePrefix="0" xfId="0">
      <alignment horizontal="left" vertical="center" wrapText="1"/>
    </xf>
    <xf numFmtId="0" fontId="15" fillId="3" borderId="3" applyAlignment="1" pivotButton="0" quotePrefix="0" xfId="0">
      <alignment horizontal="center"/>
    </xf>
    <xf numFmtId="164" fontId="15" fillId="3" borderId="3" applyAlignment="1" pivotButton="0" quotePrefix="0" xfId="0">
      <alignment horizontal="center"/>
    </xf>
    <xf numFmtId="0" fontId="14" fillId="13" borderId="3" applyAlignment="1" pivotButton="0" quotePrefix="0" xfId="0">
      <alignment horizontal="left" vertical="center"/>
    </xf>
    <xf numFmtId="0" fontId="16" fillId="4" borderId="3" applyAlignment="1" pivotButton="0" quotePrefix="0" xfId="0">
      <alignment horizontal="left" vertical="center" wrapText="1"/>
    </xf>
    <xf numFmtId="0" fontId="16" fillId="4" borderId="3" applyAlignment="1" pivotButton="0" quotePrefix="0" xfId="0">
      <alignment horizontal="center"/>
    </xf>
    <xf numFmtId="0" fontId="0" fillId="4" borderId="3" pivotButton="0" quotePrefix="0" xfId="0"/>
    <xf numFmtId="0" fontId="14" fillId="14" borderId="3" pivotButton="0" quotePrefix="0" xfId="0"/>
    <xf numFmtId="0" fontId="1" fillId="2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/>
    </xf>
    <xf numFmtId="0" fontId="14" fillId="14" borderId="2" pivotButton="0" quotePrefix="0" xfId="0"/>
    <xf numFmtId="0" fontId="0" fillId="4" borderId="2" pivotButton="0" quotePrefix="0" xfId="0"/>
    <xf numFmtId="164" fontId="0" fillId="0" borderId="2" pivotButton="0" quotePrefix="0" xfId="0"/>
    <xf numFmtId="0" fontId="14" fillId="2" borderId="2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FFCC"/>
          <bgColor rgb="00FFFFC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ISMS-IMP-A.5.31.2  -  Applicability Matrix
ISO/IEC 27001:2022 - Control A.5.31: Legal, Statutory, Regulatory and Contractual Requirements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ISMS-IMP-A.5.31.2</t>
        </is>
      </c>
    </row>
    <row r="5">
      <c r="A5" s="3" t="inlineStr">
        <is>
          <t>Workbook Title</t>
        </is>
      </c>
      <c r="B5" t="inlineStr">
        <is>
          <t>Applicability Matrix</t>
        </is>
      </c>
    </row>
    <row r="6">
      <c r="A6" s="3" t="inlineStr">
        <is>
          <t>Control Reference</t>
        </is>
      </c>
      <c r="B6" t="inlineStr">
        <is>
          <t>ISO/IEC 27001:2022 - Control A.5.31: Legal, Statutory, Regulatory and Contractual Requirements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the Applicability Assessment — map each regulatory requirement to the organisation.</t>
        </is>
      </c>
    </row>
    <row r="14">
      <c r="A14" t="inlineStr">
        <is>
          <t>2. Use the Template Blank sheet to assess newly identified regulations.</t>
        </is>
      </c>
    </row>
    <row r="15">
      <c r="A15" t="inlineStr">
        <is>
          <t>3. Document applicability rationale for included and excluded requirements.</t>
        </is>
      </c>
    </row>
    <row r="16">
      <c r="A16" t="inlineStr">
        <is>
          <t>4. Assign compliance owners and target compliance dates for each applicable requirement.</t>
        </is>
      </c>
    </row>
    <row r="17">
      <c r="A17" t="inlineStr">
        <is>
          <t>5. Review the Summary Dashboard for applicability assessment completeness.</t>
        </is>
      </c>
    </row>
    <row r="18">
      <c r="A18" t="inlineStr">
        <is>
          <t>6. Maintain the Evidence Register with applicability determination records.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5" customWidth="1" min="4" max="4"/>
    <col width="25" customWidth="1" min="5" max="5"/>
    <col width="25" customWidth="1" min="6" max="6"/>
  </cols>
  <sheetData>
    <row r="1">
      <c r="A1" s="11" t="inlineStr">
        <is>
          <t>SECTION A: REGULATION IDENTIFICATION</t>
        </is>
      </c>
    </row>
    <row r="2">
      <c r="A2" s="12" t="inlineStr">
        <is>
          <t>Regulation ID:</t>
        </is>
      </c>
      <c r="B2" s="13" t="inlineStr">
        <is>
          <t>REG-EU-002</t>
        </is>
      </c>
    </row>
    <row r="3">
      <c r="A3" s="12" t="inlineStr">
        <is>
          <t>Regulation Name:</t>
        </is>
      </c>
      <c r="B3" s="13" t="inlineStr">
        <is>
          <t>Network and Information Systems Directive (Revised)</t>
        </is>
      </c>
    </row>
    <row r="4">
      <c r="A4" s="12" t="inlineStr">
        <is>
          <t>Jurisdiction:</t>
        </is>
      </c>
      <c r="B4" s="13" t="inlineStr">
        <is>
          <t>European Union</t>
        </is>
      </c>
    </row>
    <row r="5">
      <c r="A5" s="12" t="inlineStr">
        <is>
          <t>Issuing Authority:</t>
        </is>
      </c>
      <c r="B5" s="13" t="inlineStr">
        <is>
          <t>European Commission</t>
        </is>
      </c>
    </row>
    <row r="6">
      <c r="A6" s="12" t="inlineStr">
        <is>
          <t>Citation:</t>
        </is>
      </c>
      <c r="B6" s="13" t="inlineStr">
        <is>
          <t>Directive (EU) 2022/2555</t>
        </is>
      </c>
    </row>
    <row r="7">
      <c r="A7" s="12" t="inlineStr">
        <is>
          <t>Effective Date:</t>
        </is>
      </c>
      <c r="B7" s="13" t="inlineStr">
        <is>
          <t>2024-10-17</t>
        </is>
      </c>
    </row>
    <row r="8">
      <c r="A8" s="12" t="inlineStr">
        <is>
          <t>Assessment Date:</t>
        </is>
      </c>
      <c r="B8" s="13" t="inlineStr"/>
    </row>
    <row r="9">
      <c r="A9" s="12" t="inlineStr">
        <is>
          <t>Assessor:</t>
        </is>
      </c>
      <c r="B9" s="13" t="inlineStr">
        <is>
          <t>Compliance Officer / CISO</t>
        </is>
      </c>
    </row>
    <row r="10">
      <c r="A10" s="12" t="inlineStr">
        <is>
          <t>Trigger Event:</t>
        </is>
      </c>
      <c r="B10" s="13" t="inlineStr">
        <is>
          <t>Annual review of Tier 2 regulations; assessing if NIS2 thresholds now met</t>
        </is>
      </c>
    </row>
    <row r="12">
      <c r="A12" s="11" t="inlineStr">
        <is>
          <t>SECTION B: GEOGRAPHIC SCOPE ASSESSMENT</t>
        </is>
      </c>
    </row>
    <row r="13">
      <c r="A13" s="14" t="inlineStr">
        <is>
          <t>Question</t>
        </is>
      </c>
      <c r="C13" s="14" t="inlineStr">
        <is>
          <t>Y/N</t>
        </is>
      </c>
      <c r="D13" s="14" t="inlineStr">
        <is>
          <t>Evidence / Notes</t>
        </is>
      </c>
    </row>
    <row r="14">
      <c r="A14" s="15" t="inlineStr">
        <is>
          <t>G1: Physical operations in jurisdiction?</t>
        </is>
      </c>
      <c r="C14" s="16" t="n"/>
      <c r="D14" s="17" t="n"/>
    </row>
    <row r="15">
      <c r="A15" s="15" t="inlineStr">
        <is>
          <t>G2: Legal entities registered in jurisdiction?</t>
        </is>
      </c>
      <c r="C15" s="16" t="n"/>
      <c r="D15" s="17" t="n"/>
    </row>
    <row r="16">
      <c r="A16" s="15" t="inlineStr">
        <is>
          <t>G3: Employees located in jurisdiction?</t>
        </is>
      </c>
      <c r="C16" s="16" t="n"/>
      <c r="D16" s="17" t="n"/>
    </row>
    <row r="17">
      <c r="A17" s="15" t="inlineStr">
        <is>
          <t>G4: Customers located in jurisdiction?</t>
        </is>
      </c>
      <c r="C17" s="16" t="inlineStr">
        <is>
          <t>Y</t>
        </is>
      </c>
      <c r="D17" s="17" t="n"/>
    </row>
    <row r="18">
      <c r="A18" s="15" t="inlineStr">
        <is>
          <t>G5: Data subjects in jurisdiction?</t>
        </is>
      </c>
      <c r="C18" s="16" t="inlineStr">
        <is>
          <t>Y</t>
        </is>
      </c>
      <c r="D18" s="17" t="n"/>
    </row>
    <row r="19">
      <c r="A19" s="15" t="inlineStr">
        <is>
          <t>G6: Actively targeting jurisdiction (marketing, sales)?</t>
        </is>
      </c>
      <c r="C19" s="16" t="n"/>
      <c r="D19" s="17" t="n"/>
    </row>
    <row r="20">
      <c r="A20" s="15" t="inlineStr">
        <is>
          <t>G7: Extraterritorial application to [Organisation]?</t>
        </is>
      </c>
      <c r="C20" s="16" t="inlineStr">
        <is>
          <t>Y</t>
        </is>
      </c>
      <c r="D20" s="17" t="n"/>
    </row>
    <row r="22">
      <c r="A22" s="18" t="inlineStr">
        <is>
          <t>Geographic Score:</t>
        </is>
      </c>
      <c r="C22" s="19">
        <f>COUNTIF(C14:C20,"Y")</f>
        <v/>
      </c>
    </row>
    <row r="23">
      <c r="A23" s="18" t="inlineStr">
        <is>
          <t>Geographic Rating:</t>
        </is>
      </c>
      <c r="C23" s="19">
        <f>IF(C22&lt;=1,"Low",IF(C22&lt;=3,"Moderate","High"))</f>
        <v/>
      </c>
    </row>
    <row r="25">
      <c r="A25" s="11" t="inlineStr">
        <is>
          <t>SECTION C: OPERATIONAL SCOPE ASSESSMENT</t>
        </is>
      </c>
    </row>
    <row r="26">
      <c r="A26" s="14" t="inlineStr">
        <is>
          <t>Question</t>
        </is>
      </c>
      <c r="C26" s="14" t="inlineStr">
        <is>
          <t>Y/N</t>
        </is>
      </c>
      <c r="D26" s="14" t="inlineStr">
        <is>
          <t>Evidence / Notes</t>
        </is>
      </c>
    </row>
    <row r="27">
      <c r="A27" s="15" t="inlineStr">
        <is>
          <t>O1: Services offered covered by regulation?</t>
        </is>
      </c>
      <c r="C27" s="16" t="inlineStr">
        <is>
          <t>Y</t>
        </is>
      </c>
      <c r="D27" s="17" t="n"/>
    </row>
    <row r="28">
      <c r="A28" s="15" t="inlineStr">
        <is>
          <t>O2: Industry sectors operated in covered?</t>
        </is>
      </c>
      <c r="C28" s="16" t="n"/>
      <c r="D28" s="17" t="n"/>
    </row>
    <row r="29">
      <c r="A29" s="15" t="inlineStr">
        <is>
          <t>O3: Data types processed covered by regulation?</t>
        </is>
      </c>
      <c r="C29" s="16" t="inlineStr">
        <is>
          <t>Y</t>
        </is>
      </c>
      <c r="D29" s="17" t="n"/>
    </row>
    <row r="30">
      <c r="A30" s="15" t="inlineStr">
        <is>
          <t>O4: Size/revenue/employee thresholds met?</t>
        </is>
      </c>
      <c r="C30" s="16" t="n"/>
      <c r="D30" s="17" t="n"/>
    </row>
    <row r="31">
      <c r="A31" s="15" t="inlineStr">
        <is>
          <t>O5: Specific operations or activities covered?</t>
        </is>
      </c>
      <c r="C31" s="16" t="n"/>
      <c r="D31" s="17" t="n"/>
    </row>
    <row r="33">
      <c r="A33" s="18" t="inlineStr">
        <is>
          <t>Operational Score:</t>
        </is>
      </c>
      <c r="C33" s="19">
        <f>COUNTIF(C27:C31,"Y")</f>
        <v/>
      </c>
    </row>
    <row r="34">
      <c r="A34" s="18" t="inlineStr">
        <is>
          <t>Operational Rating:</t>
        </is>
      </c>
      <c r="C34" s="19">
        <f>IF(C33&lt;=1,"Low",IF(C33&lt;=3,"Moderate","High"))</f>
        <v/>
      </c>
    </row>
    <row r="36">
      <c r="A36" s="11" t="inlineStr">
        <is>
          <t>SECTION D: CONTRACTUAL SCOPE ASSESSMENT</t>
        </is>
      </c>
    </row>
    <row r="37">
      <c r="A37" s="14" t="inlineStr">
        <is>
          <t>Question</t>
        </is>
      </c>
      <c r="C37" s="14" t="inlineStr">
        <is>
          <t>Y/N</t>
        </is>
      </c>
      <c r="D37" s="14" t="inlineStr">
        <is>
          <t>Evidence / Notes</t>
        </is>
      </c>
    </row>
    <row r="38">
      <c r="A38" s="15" t="inlineStr">
        <is>
          <t>C1: Contracts explicitly require compliance?</t>
        </is>
      </c>
      <c r="C38" s="16" t="n"/>
      <c r="D38" s="17" t="n"/>
    </row>
    <row r="39">
      <c r="A39" s="15" t="inlineStr">
        <is>
          <t>C2: Certifications/attestations required?</t>
        </is>
      </c>
      <c r="C39" s="16" t="n"/>
      <c r="D39" s="17" t="n"/>
    </row>
    <row r="40">
      <c r="A40" s="15" t="inlineStr">
        <is>
          <t>C3: Audit rights granted to customers/partners?</t>
        </is>
      </c>
      <c r="C40" s="16" t="n"/>
      <c r="D40" s="17" t="n"/>
    </row>
    <row r="41">
      <c r="A41" s="15" t="inlineStr">
        <is>
          <t>C4: Market expectation or industry norm?</t>
        </is>
      </c>
      <c r="C41" s="16" t="inlineStr">
        <is>
          <t>Y</t>
        </is>
      </c>
      <c r="D41" s="17" t="n"/>
    </row>
    <row r="43">
      <c r="A43" s="18" t="inlineStr">
        <is>
          <t>Contractual Score:</t>
        </is>
      </c>
      <c r="C43" s="19">
        <f>COUNTIF(C38:C41,"Y")</f>
        <v/>
      </c>
    </row>
    <row r="44">
      <c r="A44" s="18" t="inlineStr">
        <is>
          <t>Contractual Rating:</t>
        </is>
      </c>
      <c r="C44" s="19">
        <f>IF(C43=0,"None",IF(C43&lt;=2,"Moderate","High"))</f>
        <v/>
      </c>
    </row>
    <row r="46">
      <c r="A46" s="11" t="inlineStr">
        <is>
          <t>SECTION E: OVERALL DETERMINATION</t>
        </is>
      </c>
    </row>
    <row r="47">
      <c r="A47" s="20" t="inlineStr">
        <is>
          <t>Summary of Assessment Scores:</t>
        </is>
      </c>
    </row>
    <row r="48">
      <c r="A48" s="21" t="inlineStr">
        <is>
          <t>Geographic:</t>
        </is>
      </c>
      <c r="B48" s="22" t="inlineStr">
        <is>
          <t>[See Section B]</t>
        </is>
      </c>
    </row>
    <row r="49">
      <c r="A49" s="21" t="inlineStr">
        <is>
          <t>Operational:</t>
        </is>
      </c>
      <c r="B49" s="22" t="inlineStr">
        <is>
          <t>[See Section C]</t>
        </is>
      </c>
    </row>
    <row r="50">
      <c r="A50" s="21" t="inlineStr">
        <is>
          <t>Contractual:</t>
        </is>
      </c>
      <c r="B50" s="22" t="inlineStr">
        <is>
          <t>[See Section D]</t>
        </is>
      </c>
    </row>
    <row r="52">
      <c r="A52" s="12" t="inlineStr">
        <is>
          <t>Applicability Determination:</t>
        </is>
      </c>
      <c r="B52" s="13" t="inlineStr">
        <is>
          <t>Conditionally Applicable</t>
        </is>
      </c>
    </row>
    <row r="53">
      <c r="A53" s="12" t="inlineStr">
        <is>
          <t>Rationale:</t>
        </is>
      </c>
      <c r="B53" s="13" t="inlineStr">
        <is>
          <t>NIS2 applies to 'essential' and 'important' entities. Current assessment: [Organisation] approaching but not yet meeting size thresholds (€10M revenue, 50 employees). Geographic scope: High (EU operations, EU customers). Operational scope: Moderate (digital services). Contractual: Low (market expectation only). DETERMINATION: Conditionally Applicable - would become Tier 1 if size thresholds exceeded.</t>
        </is>
      </c>
    </row>
    <row r="54"/>
    <row r="55"/>
    <row r="56"/>
    <row r="57">
      <c r="A57" s="12" t="inlineStr">
        <is>
          <t>Tier Assignment:</t>
        </is>
      </c>
      <c r="B57" s="13" t="inlineStr">
        <is>
          <t>Tier 2 (Conditional)</t>
        </is>
      </c>
    </row>
    <row r="58">
      <c r="A58" s="12" t="inlineStr">
        <is>
          <t>Tier Rationale:</t>
        </is>
      </c>
      <c r="B58" s="13" t="inlineStr">
        <is>
          <t>Tier 2 (Conditional): NIS2 would apply when [Organisation] meets 'medium-sized enterprise' thresholds OR is designated as essential/important entity by national authority. Currently monitoring revenue growth and employee count quarterly.</t>
        </is>
      </c>
    </row>
    <row r="59"/>
    <row r="60"/>
    <row r="61">
      <c r="A61" s="12" t="inlineStr">
        <is>
          <t>Condition for Tier 1 Upgrade:</t>
        </is>
      </c>
      <c r="B61" s="13" t="inlineStr">
        <is>
          <t>TRIGGER: Annual revenue exceeds €10M OR employee count exceeds 50 OR designated by national authority. Reassess quarterly during growth phase.</t>
        </is>
      </c>
    </row>
    <row r="62"/>
    <row r="64">
      <c r="A64" s="11" t="inlineStr">
        <is>
          <t>SECTION F: APPROVAL &amp; SIGN-OFF</t>
        </is>
      </c>
    </row>
    <row r="65">
      <c r="A65" s="23" t="inlineStr">
        <is>
          <t>Role</t>
        </is>
      </c>
      <c r="B65" s="23" t="inlineStr">
        <is>
          <t>Name</t>
        </is>
      </c>
      <c r="C65" s="23" t="inlineStr">
        <is>
          <t>Date</t>
        </is>
      </c>
      <c r="D65" s="23" t="inlineStr">
        <is>
          <t>Signature / Comments</t>
        </is>
      </c>
    </row>
    <row r="66">
      <c r="A66" s="24" t="inlineStr">
        <is>
          <t>Prepared By:</t>
        </is>
      </c>
      <c r="B66" s="25" t="n"/>
      <c r="C66" s="25" t="n"/>
      <c r="D66" s="25" t="n"/>
    </row>
    <row r="67">
      <c r="A67" s="24" t="inlineStr">
        <is>
          <t>Reviewed By (Compliance Officer):</t>
        </is>
      </c>
      <c r="B67" s="25" t="n"/>
      <c r="C67" s="25" t="n"/>
      <c r="D67" s="25" t="n"/>
    </row>
    <row r="68">
      <c r="A68" s="24" t="inlineStr">
        <is>
          <t>Reviewed By (Legal Counsel):</t>
        </is>
      </c>
      <c r="B68" s="25" t="n"/>
      <c r="C68" s="25" t="n"/>
      <c r="D68" s="25" t="n"/>
    </row>
    <row r="69">
      <c r="A69" s="24" t="inlineStr">
        <is>
          <t>Approved By (ISMS Manager):</t>
        </is>
      </c>
      <c r="B69" s="25" t="n"/>
      <c r="C69" s="25" t="n"/>
      <c r="D69" s="25" t="n"/>
    </row>
  </sheetData>
  <mergeCells count="62">
    <mergeCell ref="B4:F4"/>
    <mergeCell ref="A30:B30"/>
    <mergeCell ref="B7:F7"/>
    <mergeCell ref="A15:B15"/>
    <mergeCell ref="D27:F27"/>
    <mergeCell ref="A46:F46"/>
    <mergeCell ref="D41:F41"/>
    <mergeCell ref="A53"/>
    <mergeCell ref="B3:F3"/>
    <mergeCell ref="D17:F17"/>
    <mergeCell ref="A12:F12"/>
    <mergeCell ref="B53:F56"/>
    <mergeCell ref="D16:F16"/>
    <mergeCell ref="B52:C52"/>
    <mergeCell ref="A58"/>
    <mergeCell ref="A16:B16"/>
    <mergeCell ref="D28:F28"/>
    <mergeCell ref="B2:F2"/>
    <mergeCell ref="A41:B41"/>
    <mergeCell ref="D18:F18"/>
    <mergeCell ref="B58:F60"/>
    <mergeCell ref="B8:F8"/>
    <mergeCell ref="A18:B18"/>
    <mergeCell ref="A27:B27"/>
    <mergeCell ref="D30:F30"/>
    <mergeCell ref="D15:F15"/>
    <mergeCell ref="D39:F39"/>
    <mergeCell ref="B57:C57"/>
    <mergeCell ref="A34:B34"/>
    <mergeCell ref="D38:F38"/>
    <mergeCell ref="A61"/>
    <mergeCell ref="D14:F14"/>
    <mergeCell ref="D29:F29"/>
    <mergeCell ref="B10:F10"/>
    <mergeCell ref="A33:B33"/>
    <mergeCell ref="A47:B47"/>
    <mergeCell ref="A14:B14"/>
    <mergeCell ref="A17:B17"/>
    <mergeCell ref="A23:B23"/>
    <mergeCell ref="D20:F20"/>
    <mergeCell ref="B9:F9"/>
    <mergeCell ref="A22:B22"/>
    <mergeCell ref="A64:F64"/>
    <mergeCell ref="A20:B20"/>
    <mergeCell ref="D19:F19"/>
    <mergeCell ref="A38:B38"/>
    <mergeCell ref="B61:F62"/>
    <mergeCell ref="B6:F6"/>
    <mergeCell ref="A29:B29"/>
    <mergeCell ref="A36:F36"/>
    <mergeCell ref="A43:B43"/>
    <mergeCell ref="A19:B19"/>
    <mergeCell ref="A1:F1"/>
    <mergeCell ref="D31:F31"/>
    <mergeCell ref="B5:F5"/>
    <mergeCell ref="A28:B28"/>
    <mergeCell ref="D40:F40"/>
    <mergeCell ref="A44:B44"/>
    <mergeCell ref="A40:B40"/>
    <mergeCell ref="A31:B31"/>
    <mergeCell ref="A39:B39"/>
    <mergeCell ref="A25:F25"/>
  </mergeCells>
  <conditionalFormatting sqref="C1:C100">
    <cfRule type="cellIs" priority="1" operator="equal" dxfId="0">
      <formula>"Low"</formula>
    </cfRule>
    <cfRule type="cellIs" priority="2" operator="equal" dxfId="1">
      <formula>"Moderate"</formula>
    </cfRule>
    <cfRule type="cellIs" priority="3" operator="equal" dxfId="2">
      <formula>"High"</formula>
    </cfRule>
    <cfRule type="cellIs" priority="4" operator="equal" dxfId="0">
      <formula>"None"</formula>
    </cfRule>
  </conditionalFormatting>
  <dataValidations count="3">
    <dataValidation sqref="C1:C100" showDropDown="0" showInputMessage="0" showErrorMessage="0" allowBlank="1" errorTitle="Invalid Answer" error="Please enter Y or N" type="list">
      <formula1>"Y,N"</formula1>
    </dataValidation>
    <dataValidation sqref="B52:B60" showDropDown="0" showInputMessage="0" showErrorMessage="0" allowBlank="1" type="list">
      <formula1>"Applicable,Conditionally Applicable,Not Applicable,Uncertain"</formula1>
    </dataValidation>
    <dataValidation sqref="B62:B70" showDropDown="0" showInputMessage="0" showErrorMessage="0" allowBlank="1" type="list">
      <formula1>"Tier 1 (Mandatory),Tier 2 (Conditional),Tier 3 (Informational),N/A"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5" customWidth="1" min="4" max="4"/>
    <col width="25" customWidth="1" min="5" max="5"/>
    <col width="25" customWidth="1" min="6" max="6"/>
  </cols>
  <sheetData>
    <row r="1">
      <c r="A1" s="11" t="inlineStr">
        <is>
          <t>SECTION A: REGULATION IDENTIFICATION</t>
        </is>
      </c>
    </row>
    <row r="2">
      <c r="A2" s="12" t="inlineStr">
        <is>
          <t>Regulation ID:</t>
        </is>
      </c>
      <c r="B2" s="13" t="inlineStr"/>
    </row>
    <row r="3">
      <c r="A3" s="12" t="inlineStr">
        <is>
          <t>Regulation Name:</t>
        </is>
      </c>
      <c r="B3" s="13" t="inlineStr"/>
    </row>
    <row r="4">
      <c r="A4" s="12" t="inlineStr">
        <is>
          <t>Jurisdiction:</t>
        </is>
      </c>
      <c r="B4" s="13" t="inlineStr"/>
    </row>
    <row r="5">
      <c r="A5" s="12" t="inlineStr">
        <is>
          <t>Issuing Authority:</t>
        </is>
      </c>
      <c r="B5" s="13" t="inlineStr"/>
    </row>
    <row r="6">
      <c r="A6" s="12" t="inlineStr">
        <is>
          <t>Citation:</t>
        </is>
      </c>
      <c r="B6" s="13" t="inlineStr"/>
    </row>
    <row r="7">
      <c r="A7" s="12" t="inlineStr">
        <is>
          <t>Effective Date:</t>
        </is>
      </c>
      <c r="B7" s="13" t="inlineStr"/>
    </row>
    <row r="8">
      <c r="A8" s="12" t="inlineStr">
        <is>
          <t>Assessment Date:</t>
        </is>
      </c>
      <c r="B8" s="13" t="inlineStr"/>
    </row>
    <row r="9">
      <c r="A9" s="12" t="inlineStr">
        <is>
          <t>Assessor:</t>
        </is>
      </c>
      <c r="B9" s="13" t="inlineStr"/>
    </row>
    <row r="10">
      <c r="A10" s="12" t="inlineStr">
        <is>
          <t>Trigger Event:</t>
        </is>
      </c>
      <c r="B10" s="13" t="inlineStr"/>
    </row>
    <row r="12">
      <c r="A12" s="11" t="inlineStr">
        <is>
          <t>SECTION B: GEOGRAPHIC SCOPE ASSESSMENT</t>
        </is>
      </c>
    </row>
    <row r="13">
      <c r="A13" s="14" t="inlineStr">
        <is>
          <t>Question</t>
        </is>
      </c>
      <c r="C13" s="14" t="inlineStr">
        <is>
          <t>Y/N</t>
        </is>
      </c>
      <c r="D13" s="14" t="inlineStr">
        <is>
          <t>Evidence / Notes</t>
        </is>
      </c>
    </row>
    <row r="14">
      <c r="A14" s="15" t="inlineStr">
        <is>
          <t>G1: Physical operations in jurisdiction?</t>
        </is>
      </c>
      <c r="C14" s="16" t="n"/>
      <c r="D14" s="17" t="n"/>
    </row>
    <row r="15">
      <c r="A15" s="15" t="inlineStr">
        <is>
          <t>G2: Legal entities registered in jurisdiction?</t>
        </is>
      </c>
      <c r="C15" s="16" t="n"/>
      <c r="D15" s="17" t="n"/>
    </row>
    <row r="16">
      <c r="A16" s="15" t="inlineStr">
        <is>
          <t>G3: Employees located in jurisdiction?</t>
        </is>
      </c>
      <c r="C16" s="16" t="n"/>
      <c r="D16" s="17" t="n"/>
    </row>
    <row r="17">
      <c r="A17" s="15" t="inlineStr">
        <is>
          <t>G4: Customers located in jurisdiction?</t>
        </is>
      </c>
      <c r="C17" s="16" t="n"/>
      <c r="D17" s="17" t="n"/>
    </row>
    <row r="18">
      <c r="A18" s="15" t="inlineStr">
        <is>
          <t>G5: Data subjects in jurisdiction?</t>
        </is>
      </c>
      <c r="C18" s="16" t="n"/>
      <c r="D18" s="17" t="n"/>
    </row>
    <row r="19">
      <c r="A19" s="15" t="inlineStr">
        <is>
          <t>G6: Actively targeting jurisdiction (marketing, sales)?</t>
        </is>
      </c>
      <c r="C19" s="16" t="n"/>
      <c r="D19" s="17" t="n"/>
    </row>
    <row r="20">
      <c r="A20" s="15" t="inlineStr">
        <is>
          <t>G7: Extraterritorial application to [Organisation]?</t>
        </is>
      </c>
      <c r="C20" s="16" t="n"/>
      <c r="D20" s="17" t="n"/>
    </row>
    <row r="22">
      <c r="A22" s="18" t="inlineStr">
        <is>
          <t>Geographic Score:</t>
        </is>
      </c>
      <c r="C22" s="19">
        <f>COUNTIF(C14:C20,"Y")</f>
        <v/>
      </c>
    </row>
    <row r="23">
      <c r="A23" s="18" t="inlineStr">
        <is>
          <t>Geographic Rating:</t>
        </is>
      </c>
      <c r="C23" s="19">
        <f>IF(C22&lt;=1,"Low",IF(C22&lt;=3,"Moderate","High"))</f>
        <v/>
      </c>
    </row>
    <row r="25">
      <c r="A25" s="11" t="inlineStr">
        <is>
          <t>SECTION C: OPERATIONAL SCOPE ASSESSMENT</t>
        </is>
      </c>
    </row>
    <row r="26">
      <c r="A26" s="14" t="inlineStr">
        <is>
          <t>Question</t>
        </is>
      </c>
      <c r="C26" s="14" t="inlineStr">
        <is>
          <t>Y/N</t>
        </is>
      </c>
      <c r="D26" s="14" t="inlineStr">
        <is>
          <t>Evidence / Notes</t>
        </is>
      </c>
    </row>
    <row r="27">
      <c r="A27" s="15" t="inlineStr">
        <is>
          <t>O1: Services offered covered by regulation?</t>
        </is>
      </c>
      <c r="C27" s="16" t="n"/>
      <c r="D27" s="17" t="n"/>
    </row>
    <row r="28">
      <c r="A28" s="15" t="inlineStr">
        <is>
          <t>O2: Industry sectors operated in covered?</t>
        </is>
      </c>
      <c r="C28" s="16" t="n"/>
      <c r="D28" s="17" t="n"/>
    </row>
    <row r="29">
      <c r="A29" s="15" t="inlineStr">
        <is>
          <t>O3: Data types processed covered by regulation?</t>
        </is>
      </c>
      <c r="C29" s="16" t="n"/>
      <c r="D29" s="17" t="n"/>
    </row>
    <row r="30">
      <c r="A30" s="15" t="inlineStr">
        <is>
          <t>O4: Size/revenue/employee thresholds met?</t>
        </is>
      </c>
      <c r="C30" s="16" t="n"/>
      <c r="D30" s="17" t="n"/>
    </row>
    <row r="31">
      <c r="A31" s="15" t="inlineStr">
        <is>
          <t>O5: Specific operations or activities covered?</t>
        </is>
      </c>
      <c r="C31" s="16" t="n"/>
      <c r="D31" s="17" t="n"/>
    </row>
    <row r="33">
      <c r="A33" s="18" t="inlineStr">
        <is>
          <t>Operational Score:</t>
        </is>
      </c>
      <c r="C33" s="19">
        <f>COUNTIF(C27:C31,"Y")</f>
        <v/>
      </c>
    </row>
    <row r="34">
      <c r="A34" s="18" t="inlineStr">
        <is>
          <t>Operational Rating:</t>
        </is>
      </c>
      <c r="C34" s="19">
        <f>IF(C33&lt;=1,"Low",IF(C33&lt;=3,"Moderate","High"))</f>
        <v/>
      </c>
    </row>
    <row r="36">
      <c r="A36" s="11" t="inlineStr">
        <is>
          <t>SECTION D: CONTRACTUAL SCOPE ASSESSMENT</t>
        </is>
      </c>
    </row>
    <row r="37">
      <c r="A37" s="14" t="inlineStr">
        <is>
          <t>Question</t>
        </is>
      </c>
      <c r="C37" s="14" t="inlineStr">
        <is>
          <t>Y/N</t>
        </is>
      </c>
      <c r="D37" s="14" t="inlineStr">
        <is>
          <t>Evidence / Notes</t>
        </is>
      </c>
    </row>
    <row r="38">
      <c r="A38" s="15" t="inlineStr">
        <is>
          <t>C1: Contracts explicitly require compliance?</t>
        </is>
      </c>
      <c r="C38" s="16" t="n"/>
      <c r="D38" s="17" t="n"/>
    </row>
    <row r="39">
      <c r="A39" s="15" t="inlineStr">
        <is>
          <t>C2: Certifications/attestations required?</t>
        </is>
      </c>
      <c r="C39" s="16" t="n"/>
      <c r="D39" s="17" t="n"/>
    </row>
    <row r="40">
      <c r="A40" s="15" t="inlineStr">
        <is>
          <t>C3: Audit rights granted to customers/partners?</t>
        </is>
      </c>
      <c r="C40" s="16" t="n"/>
      <c r="D40" s="17" t="n"/>
    </row>
    <row r="41">
      <c r="A41" s="15" t="inlineStr">
        <is>
          <t>C4: Market expectation or industry norm?</t>
        </is>
      </c>
      <c r="C41" s="16" t="n"/>
      <c r="D41" s="17" t="n"/>
    </row>
    <row r="43">
      <c r="A43" s="18" t="inlineStr">
        <is>
          <t>Contractual Score:</t>
        </is>
      </c>
      <c r="C43" s="19">
        <f>COUNTIF(C38:C41,"Y")</f>
        <v/>
      </c>
    </row>
    <row r="44">
      <c r="A44" s="18" t="inlineStr">
        <is>
          <t>Contractual Rating:</t>
        </is>
      </c>
      <c r="C44" s="19">
        <f>IF(C43=0,"None",IF(C43&lt;=2,"Moderate","High"))</f>
        <v/>
      </c>
    </row>
    <row r="46">
      <c r="A46" s="11" t="inlineStr">
        <is>
          <t>SECTION E: OVERALL DETERMINATION</t>
        </is>
      </c>
    </row>
    <row r="47">
      <c r="A47" s="20" t="inlineStr">
        <is>
          <t>Summary of Assessment Scores:</t>
        </is>
      </c>
    </row>
    <row r="48">
      <c r="A48" s="21" t="inlineStr">
        <is>
          <t>Geographic:</t>
        </is>
      </c>
      <c r="B48" s="22" t="inlineStr">
        <is>
          <t>[See Section B]</t>
        </is>
      </c>
    </row>
    <row r="49">
      <c r="A49" s="21" t="inlineStr">
        <is>
          <t>Operational:</t>
        </is>
      </c>
      <c r="B49" s="22" t="inlineStr">
        <is>
          <t>[See Section C]</t>
        </is>
      </c>
    </row>
    <row r="50">
      <c r="A50" s="21" t="inlineStr">
        <is>
          <t>Contractual:</t>
        </is>
      </c>
      <c r="B50" s="22" t="inlineStr">
        <is>
          <t>[See Section D]</t>
        </is>
      </c>
    </row>
    <row r="52">
      <c r="A52" s="12" t="inlineStr">
        <is>
          <t>Applicability Determination:</t>
        </is>
      </c>
      <c r="B52" s="13" t="inlineStr"/>
    </row>
    <row r="53">
      <c r="A53" s="12" t="inlineStr">
        <is>
          <t>Rationale:</t>
        </is>
      </c>
      <c r="B53" s="13" t="n"/>
    </row>
    <row r="54"/>
    <row r="55"/>
    <row r="56"/>
    <row r="57">
      <c r="A57" s="12" t="inlineStr">
        <is>
          <t>Tier Assignment:</t>
        </is>
      </c>
      <c r="B57" s="13" t="inlineStr"/>
    </row>
    <row r="58">
      <c r="A58" s="12" t="inlineStr">
        <is>
          <t>Tier Rationale:</t>
        </is>
      </c>
      <c r="B58" s="13" t="n"/>
    </row>
    <row r="59"/>
    <row r="60"/>
    <row r="61">
      <c r="A61" s="12" t="inlineStr">
        <is>
          <t>Condition for Tier 1 Upgrade:</t>
        </is>
      </c>
      <c r="B61" s="13" t="n"/>
    </row>
    <row r="62"/>
    <row r="64">
      <c r="A64" s="11" t="inlineStr">
        <is>
          <t>SECTION F: APPROVAL &amp; SIGN-OFF</t>
        </is>
      </c>
    </row>
    <row r="65">
      <c r="A65" s="23" t="inlineStr">
        <is>
          <t>Role</t>
        </is>
      </c>
      <c r="B65" s="23" t="inlineStr">
        <is>
          <t>Name</t>
        </is>
      </c>
      <c r="C65" s="23" t="inlineStr">
        <is>
          <t>Date</t>
        </is>
      </c>
      <c r="D65" s="23" t="inlineStr">
        <is>
          <t>Signature / Comments</t>
        </is>
      </c>
    </row>
    <row r="66">
      <c r="A66" s="24" t="inlineStr">
        <is>
          <t>Prepared By:</t>
        </is>
      </c>
      <c r="B66" s="25" t="n"/>
      <c r="C66" s="25" t="n"/>
      <c r="D66" s="25" t="n"/>
    </row>
    <row r="67">
      <c r="A67" s="24" t="inlineStr">
        <is>
          <t>Reviewed By (Compliance Officer):</t>
        </is>
      </c>
      <c r="B67" s="25" t="n"/>
      <c r="C67" s="25" t="n"/>
      <c r="D67" s="25" t="n"/>
    </row>
    <row r="68">
      <c r="A68" s="24" t="inlineStr">
        <is>
          <t>Reviewed By (Legal Counsel):</t>
        </is>
      </c>
      <c r="B68" s="25" t="n"/>
      <c r="C68" s="25" t="n"/>
      <c r="D68" s="25" t="n"/>
    </row>
    <row r="69">
      <c r="A69" s="24" t="inlineStr">
        <is>
          <t>Approved By (ISMS Manager):</t>
        </is>
      </c>
      <c r="B69" s="25" t="n"/>
      <c r="C69" s="25" t="n"/>
      <c r="D69" s="25" t="n"/>
    </row>
  </sheetData>
  <mergeCells count="62">
    <mergeCell ref="B4:F4"/>
    <mergeCell ref="A30:B30"/>
    <mergeCell ref="B7:F7"/>
    <mergeCell ref="A15:B15"/>
    <mergeCell ref="D27:F27"/>
    <mergeCell ref="A46:F46"/>
    <mergeCell ref="D41:F41"/>
    <mergeCell ref="A53"/>
    <mergeCell ref="B3:F3"/>
    <mergeCell ref="D17:F17"/>
    <mergeCell ref="A12:F12"/>
    <mergeCell ref="B53:F56"/>
    <mergeCell ref="D16:F16"/>
    <mergeCell ref="B52:C52"/>
    <mergeCell ref="A58"/>
    <mergeCell ref="A16:B16"/>
    <mergeCell ref="D28:F28"/>
    <mergeCell ref="B2:F2"/>
    <mergeCell ref="A41:B41"/>
    <mergeCell ref="D18:F18"/>
    <mergeCell ref="B58:F60"/>
    <mergeCell ref="B8:F8"/>
    <mergeCell ref="A18:B18"/>
    <mergeCell ref="A27:B27"/>
    <mergeCell ref="D30:F30"/>
    <mergeCell ref="D15:F15"/>
    <mergeCell ref="D39:F39"/>
    <mergeCell ref="B57:C57"/>
    <mergeCell ref="A34:B34"/>
    <mergeCell ref="D38:F38"/>
    <mergeCell ref="A61"/>
    <mergeCell ref="D14:F14"/>
    <mergeCell ref="D29:F29"/>
    <mergeCell ref="B10:F10"/>
    <mergeCell ref="A33:B33"/>
    <mergeCell ref="A47:B47"/>
    <mergeCell ref="A14:B14"/>
    <mergeCell ref="A17:B17"/>
    <mergeCell ref="A23:B23"/>
    <mergeCell ref="D20:F20"/>
    <mergeCell ref="B9:F9"/>
    <mergeCell ref="A22:B22"/>
    <mergeCell ref="A64:F64"/>
    <mergeCell ref="A20:B20"/>
    <mergeCell ref="D19:F19"/>
    <mergeCell ref="A38:B38"/>
    <mergeCell ref="B61:F62"/>
    <mergeCell ref="B6:F6"/>
    <mergeCell ref="A29:B29"/>
    <mergeCell ref="A36:F36"/>
    <mergeCell ref="A43:B43"/>
    <mergeCell ref="A19:B19"/>
    <mergeCell ref="A1:F1"/>
    <mergeCell ref="D31:F31"/>
    <mergeCell ref="B5:F5"/>
    <mergeCell ref="A28:B28"/>
    <mergeCell ref="D40:F40"/>
    <mergeCell ref="A44:B44"/>
    <mergeCell ref="A40:B40"/>
    <mergeCell ref="A31:B31"/>
    <mergeCell ref="A39:B39"/>
    <mergeCell ref="A25:F25"/>
  </mergeCells>
  <conditionalFormatting sqref="C1:C100">
    <cfRule type="cellIs" priority="1" operator="equal" dxfId="0">
      <formula>"Low"</formula>
    </cfRule>
    <cfRule type="cellIs" priority="2" operator="equal" dxfId="1">
      <formula>"Moderate"</formula>
    </cfRule>
    <cfRule type="cellIs" priority="3" operator="equal" dxfId="2">
      <formula>"High"</formula>
    </cfRule>
    <cfRule type="cellIs" priority="4" operator="equal" dxfId="0">
      <formula>"None"</formula>
    </cfRule>
  </conditionalFormatting>
  <dataValidations count="3">
    <dataValidation sqref="C1:C100" showDropDown="0" showInputMessage="0" showErrorMessage="0" allowBlank="1" errorTitle="Invalid Answer" error="Please enter Y or N" type="list">
      <formula1>"Y,N"</formula1>
    </dataValidation>
    <dataValidation sqref="B52:B60" showDropDown="0" showInputMessage="0" showErrorMessage="0" allowBlank="1" type="list">
      <formula1>"Applicable,Conditionally Applicable,Not Applicable,Uncertain"</formula1>
    </dataValidation>
    <dataValidation sqref="B62:B70" showDropDown="0" showInputMessage="0" showErrorMessage="0" allowBlank="1" type="list">
      <formula1>"Tier 1 (Mandatory),Tier 2 (Conditional),Tier 3 (Informational),N/A"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6" t="inlineStr">
        <is>
          <t>APPLICABILITY MATRIX — SUMMARY DASHBOARD</t>
        </is>
      </c>
      <c r="B1" s="27" t="n"/>
      <c r="C1" s="27" t="n"/>
      <c r="D1" s="27" t="n"/>
      <c r="E1" s="27" t="n"/>
      <c r="F1" s="27" t="n"/>
      <c r="G1" s="27" t="n"/>
    </row>
    <row r="2">
      <c r="A2" s="28" t="inlineStr">
        <is>
          <t>ISO/IEC 27001:2022 — Control A.5.31: Legal, Statutory, Regulatory and Contractual Requirements | Applicability Matrix</t>
        </is>
      </c>
      <c r="B2" s="27" t="n"/>
      <c r="C2" s="27" t="n"/>
      <c r="D2" s="27" t="n"/>
      <c r="E2" s="27" t="n"/>
      <c r="F2" s="27" t="n"/>
      <c r="G2" s="27" t="n"/>
    </row>
    <row r="4">
      <c r="A4" s="29" t="inlineStr">
        <is>
          <t>TABLE 1: ASSESSMENT AREA COMPLIANCE OVERVIEW</t>
        </is>
      </c>
      <c r="B4" s="27" t="n"/>
      <c r="C4" s="27" t="n"/>
      <c r="D4" s="27" t="n"/>
      <c r="E4" s="27" t="n"/>
      <c r="F4" s="27" t="n"/>
      <c r="G4" s="27" t="n"/>
    </row>
    <row r="5">
      <c r="A5" s="30" t="inlineStr">
        <is>
          <t>Assessment Area</t>
        </is>
      </c>
      <c r="B5" s="30" t="inlineStr">
        <is>
          <t>Total Items</t>
        </is>
      </c>
      <c r="C5" s="30" t="inlineStr">
        <is>
          <t>Compliant</t>
        </is>
      </c>
      <c r="D5" s="30" t="inlineStr">
        <is>
          <t>Partial</t>
        </is>
      </c>
      <c r="E5" s="30" t="inlineStr">
        <is>
          <t>Non-Compliant</t>
        </is>
      </c>
      <c r="F5" s="30" t="inlineStr">
        <is>
          <t>N/A</t>
        </is>
      </c>
      <c r="G5" s="30" t="inlineStr">
        <is>
          <t>Compliance %</t>
        </is>
      </c>
    </row>
    <row r="6">
      <c r="A6" s="31" t="inlineStr">
        <is>
          <t>Applicability Assessment</t>
        </is>
      </c>
      <c r="B6" s="32">
        <f>COUNTA('Applicability Assessment'!C2:C100)</f>
        <v/>
      </c>
      <c r="C6" s="32">
        <f>COUNTIF('Applicability Assessment'!C2:C100,"Y")</f>
        <v/>
      </c>
      <c r="D6" s="32" t="n">
        <v>0</v>
      </c>
      <c r="E6" s="32">
        <f>COUNTIF('Applicability Assessment'!C2:C100,"N")</f>
        <v/>
      </c>
      <c r="F6" s="32">
        <f>B6-C6-D6-E6</f>
        <v/>
      </c>
      <c r="G6" s="33">
        <f>IFERROR(IF((B6-F6)=0,0,C6/(B6-F6)),"")</f>
        <v/>
      </c>
    </row>
    <row r="7">
      <c r="A7" s="34" t="inlineStr">
        <is>
          <t>TOTAL</t>
        </is>
      </c>
      <c r="B7" s="35">
        <f>SUM(B6:B6)</f>
        <v/>
      </c>
      <c r="C7" s="35">
        <f>SUM(C6:C6)</f>
        <v/>
      </c>
      <c r="D7" s="35">
        <f>SUM(D6:D6)</f>
        <v/>
      </c>
      <c r="E7" s="35">
        <f>SUM(E6:E6)</f>
        <v/>
      </c>
      <c r="F7" s="35">
        <f>SUM(F6:F6)</f>
        <v/>
      </c>
      <c r="G7" s="36">
        <f>IFERROR(IF((B7-F7)=0,0,C7/(B7-F7)),"")</f>
        <v/>
      </c>
    </row>
    <row r="9">
      <c r="A9" s="29" t="inlineStr">
        <is>
          <t>TABLE 2: KEY METRICS</t>
        </is>
      </c>
      <c r="B9" s="27" t="n"/>
      <c r="C9" s="27" t="n"/>
      <c r="D9" s="27" t="n"/>
      <c r="E9" s="27" t="n"/>
      <c r="F9" s="27" t="n"/>
      <c r="G9" s="27" t="n"/>
    </row>
    <row r="10">
      <c r="A10" s="30" t="inlineStr">
        <is>
          <t>Metric</t>
        </is>
      </c>
      <c r="B10" s="30" t="inlineStr">
        <is>
          <t>Value</t>
        </is>
      </c>
      <c r="C10" s="30" t="n"/>
      <c r="D10" s="30" t="n"/>
      <c r="E10" s="30" t="n"/>
      <c r="F10" s="30" t="n"/>
      <c r="G10" s="30" t="n"/>
    </row>
    <row r="11">
      <c r="A11" s="31" t="inlineStr">
        <is>
          <t>Total scope questions answered</t>
        </is>
      </c>
      <c r="B11" s="32">
        <f>COUNTA('Applicability Assessment'!C2:C100)</f>
        <v/>
      </c>
      <c r="C11" s="27" t="n"/>
      <c r="D11" s="27" t="n"/>
      <c r="E11" s="27" t="n"/>
      <c r="F11" s="27" t="n"/>
      <c r="G11" s="27" t="n"/>
    </row>
    <row r="12">
      <c r="A12" s="31" t="inlineStr">
        <is>
          <t>Geographic scope indicators (Yes)</t>
        </is>
      </c>
      <c r="B12" s="32">
        <f>COUNTIF('Applicability Assessment'!C2:C24,"Y")</f>
        <v/>
      </c>
      <c r="C12" s="27" t="n"/>
      <c r="D12" s="27" t="n"/>
      <c r="E12" s="27" t="n"/>
      <c r="F12" s="27" t="n"/>
      <c r="G12" s="27" t="n"/>
    </row>
    <row r="13">
      <c r="A13" s="31" t="inlineStr">
        <is>
          <t>Operational scope indicators (Yes)</t>
        </is>
      </c>
      <c r="B13" s="32">
        <f>COUNTIF('Applicability Assessment'!C25:C65,"Y")</f>
        <v/>
      </c>
      <c r="C13" s="27" t="n"/>
      <c r="D13" s="27" t="n"/>
      <c r="E13" s="27" t="n"/>
      <c r="F13" s="27" t="n"/>
      <c r="G13" s="27" t="n"/>
    </row>
    <row r="14">
      <c r="A14" s="31" t="inlineStr">
        <is>
          <t>Contractual scope indicators (Yes)</t>
        </is>
      </c>
      <c r="B14" s="32">
        <f>COUNTIF('Applicability Assessment'!C36:C65,"Y")</f>
        <v/>
      </c>
      <c r="C14" s="27" t="n"/>
      <c r="D14" s="27" t="n"/>
      <c r="E14" s="27" t="n"/>
      <c r="F14" s="27" t="n"/>
      <c r="G14" s="27" t="n"/>
    </row>
    <row r="15">
      <c r="A15" s="31" t="inlineStr">
        <is>
          <t>Negative scope determinations (No answers)</t>
        </is>
      </c>
      <c r="B15" s="32">
        <f>COUNTIF('Applicability Assessment'!C2:C100,"N")</f>
        <v/>
      </c>
      <c r="C15" s="27" t="n"/>
      <c r="D15" s="27" t="n"/>
      <c r="E15" s="27" t="n"/>
      <c r="F15" s="27" t="n"/>
      <c r="G15" s="27" t="n"/>
    </row>
    <row r="17">
      <c r="A17" s="37" t="inlineStr">
        <is>
          <t>TABLE 3: CRITICAL FINDINGS REQUIRING IMMEDIATE ATTENTION</t>
        </is>
      </c>
      <c r="B17" s="27" t="n"/>
      <c r="C17" s="27" t="n"/>
      <c r="D17" s="27" t="n"/>
      <c r="E17" s="27" t="n"/>
      <c r="F17" s="27" t="n"/>
      <c r="G17" s="27" t="n"/>
    </row>
    <row r="18">
      <c r="A18" s="30" t="inlineStr">
        <is>
          <t>Finding</t>
        </is>
      </c>
      <c r="B18" s="30" t="inlineStr">
        <is>
          <t>Count</t>
        </is>
      </c>
      <c r="C18" s="30" t="inlineStr">
        <is>
          <t>Action Required</t>
        </is>
      </c>
      <c r="D18" s="27" t="n"/>
      <c r="E18" s="27" t="n"/>
      <c r="F18" s="27" t="n"/>
      <c r="G18" s="27" t="n"/>
    </row>
    <row r="19">
      <c r="A19" s="38" t="inlineStr">
        <is>
          <t>Total unanswered questions</t>
        </is>
      </c>
      <c r="B19" s="39">
        <f>COUNTBLANK('Applicability Assessment'!C2:C100)</f>
        <v/>
      </c>
      <c r="C19" s="38" t="inlineStr">
        <is>
          <t>Complete all Y/N questions to produce valid applicability assessment</t>
        </is>
      </c>
      <c r="D19" s="27" t="n"/>
      <c r="E19" s="27" t="n"/>
      <c r="F19" s="27" t="n"/>
      <c r="G19" s="27" t="n"/>
    </row>
    <row r="20">
      <c r="A20" s="38" t="inlineStr">
        <is>
          <t>Negative scope determinations (No answers)</t>
        </is>
      </c>
      <c r="B20" s="39">
        <f>COUNTIF('Applicability Assessment'!C2:C100,"N")</f>
        <v/>
      </c>
      <c r="C20" s="38" t="inlineStr">
        <is>
          <t>Review each N answer with legal counsel to confirm exclusion rationale</t>
        </is>
      </c>
      <c r="D20" s="27" t="n"/>
      <c r="E20" s="27" t="n"/>
      <c r="F20" s="27" t="n"/>
      <c r="G20" s="27" t="n"/>
    </row>
    <row r="21">
      <c r="A21" s="38" t="inlineStr">
        <is>
          <t>Geographic scope questions unanswered</t>
        </is>
      </c>
      <c r="B21" s="39">
        <f>COUNTBLANK('Applicability Assessment'!C2:C30)</f>
        <v/>
      </c>
      <c r="C21" s="38" t="inlineStr">
        <is>
          <t>Complete all geographic scope questions before finalising applicability</t>
        </is>
      </c>
      <c r="D21" s="27" t="n"/>
      <c r="E21" s="27" t="n"/>
      <c r="F21" s="27" t="n"/>
      <c r="G21" s="27" t="n"/>
    </row>
    <row r="22">
      <c r="A22" s="40" t="n"/>
      <c r="B22" s="40" t="n"/>
      <c r="C22" s="40" t="n"/>
      <c r="D22" s="40" t="n"/>
      <c r="E22" s="40" t="n"/>
      <c r="F22" s="40" t="n"/>
      <c r="G22" s="40" t="n"/>
    </row>
    <row r="23">
      <c r="A23" s="40" t="n"/>
      <c r="B23" s="40" t="n"/>
      <c r="C23" s="40" t="n"/>
      <c r="D23" s="40" t="n"/>
      <c r="E23" s="40" t="n"/>
      <c r="F23" s="40" t="n"/>
      <c r="G23" s="40" t="n"/>
    </row>
    <row r="25">
      <c r="A25" s="3" t="inlineStr">
        <is>
          <t>FINAL DECISION:</t>
        </is>
      </c>
      <c r="B25" s="40" t="n"/>
      <c r="C25" s="27" t="n"/>
      <c r="D25" s="27" t="n"/>
      <c r="E25" s="27" t="n"/>
      <c r="F25" s="27" t="n"/>
      <c r="G25" s="27" t="n"/>
    </row>
    <row r="28">
      <c r="A28" s="41" t="inlineStr">
        <is>
          <t>NEXT REVIEW DETAILS</t>
        </is>
      </c>
      <c r="B28" s="27" t="n"/>
      <c r="C28" s="27" t="n"/>
      <c r="D28" s="27" t="n"/>
      <c r="E28" s="27" t="n"/>
      <c r="F28" s="27" t="n"/>
      <c r="G28" s="27" t="n"/>
    </row>
    <row r="29">
      <c r="A29" s="3" t="inlineStr">
        <is>
          <t>Next Review Date:</t>
        </is>
      </c>
      <c r="B29" s="40" t="n"/>
      <c r="C29" s="27" t="n"/>
      <c r="D29" s="27" t="n"/>
      <c r="E29" s="27" t="n"/>
      <c r="F29" s="27" t="n"/>
      <c r="G29" s="27" t="n"/>
    </row>
    <row r="30">
      <c r="A30" s="3" t="inlineStr">
        <is>
          <t>Review Responsible:</t>
        </is>
      </c>
      <c r="B30" s="40" t="n"/>
      <c r="C30" s="27" t="n"/>
      <c r="D30" s="27" t="n"/>
      <c r="E30" s="27" t="n"/>
      <c r="F30" s="27" t="n"/>
      <c r="G30" s="27" t="n"/>
    </row>
    <row r="31">
      <c r="A31" s="3" t="inlineStr">
        <is>
          <t>Special Considerations:</t>
        </is>
      </c>
      <c r="B31" s="40" t="n"/>
      <c r="C31" s="27" t="n"/>
      <c r="D31" s="27" t="n"/>
      <c r="E31" s="27" t="n"/>
      <c r="F31" s="27" t="n"/>
      <c r="G31" s="27" t="n"/>
    </row>
  </sheetData>
  <mergeCells count="14">
    <mergeCell ref="C21:G21"/>
    <mergeCell ref="A1:G1"/>
    <mergeCell ref="A17:G17"/>
    <mergeCell ref="A9:G9"/>
    <mergeCell ref="C20:G20"/>
    <mergeCell ref="B31:G31"/>
    <mergeCell ref="A4:G4"/>
    <mergeCell ref="C19:G19"/>
    <mergeCell ref="A2:G2"/>
    <mergeCell ref="A28:G28"/>
    <mergeCell ref="B30:G30"/>
    <mergeCell ref="C18:G18"/>
    <mergeCell ref="B29:G29"/>
    <mergeCell ref="B25:G25"/>
  </mergeCells>
  <dataValidations count="1">
    <dataValidation sqref="B25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2" t="inlineStr">
        <is>
          <t>ASSESSMENT APPROVAL AND SIGN-OFF</t>
        </is>
      </c>
      <c r="B1" s="6" t="n"/>
      <c r="C1" s="6" t="n"/>
      <c r="D1" s="6" t="n"/>
      <c r="E1" s="6" t="n"/>
    </row>
    <row r="2">
      <c r="A2" s="43" t="inlineStr">
        <is>
          <t>ISO/IEC 27001:2022 - Control A.5.31: Legal, Statutory, Regulatory and Contractual Requirements</t>
        </is>
      </c>
      <c r="B2" s="6" t="n"/>
      <c r="C2" s="6" t="n"/>
      <c r="D2" s="6" t="n"/>
      <c r="E2" s="6" t="n"/>
    </row>
    <row r="3">
      <c r="A3" s="44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ISMS-IMP-A.5.31.2 - Applicability Matrix</t>
        </is>
      </c>
      <c r="C4" s="6" t="n"/>
      <c r="D4" s="6" t="n"/>
      <c r="E4" s="6" t="n"/>
    </row>
    <row r="5">
      <c r="A5" s="3" t="inlineStr">
        <is>
          <t>Assessment Period:</t>
        </is>
      </c>
      <c r="B5" s="45" t="inlineStr"/>
      <c r="C5" s="6" t="n"/>
      <c r="D5" s="6" t="n"/>
      <c r="E5" s="6" t="n"/>
    </row>
    <row r="6">
      <c r="A6" s="3" t="inlineStr">
        <is>
          <t>Overall Compliance Rating:</t>
        </is>
      </c>
      <c r="B6" s="46">
        <f>IFERROR(AVERAGE('Summary Dashboard'!G6:G6),"")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45" t="inlineStr"/>
      <c r="C7" s="6" t="n"/>
      <c r="D7" s="6" t="n"/>
      <c r="E7" s="6" t="n"/>
    </row>
    <row r="8">
      <c r="A8" s="3" t="inlineStr">
        <is>
          <t>Assessed By:</t>
        </is>
      </c>
      <c r="B8" s="45" t="inlineStr"/>
      <c r="C8" s="6" t="n"/>
      <c r="D8" s="6" t="n"/>
      <c r="E8" s="6" t="n"/>
    </row>
    <row r="11">
      <c r="A11" s="44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45" t="n"/>
      <c r="C12" s="6" t="n"/>
      <c r="D12" s="6" t="n"/>
      <c r="E12" s="6" t="n"/>
    </row>
    <row r="13">
      <c r="A13" s="3" t="inlineStr">
        <is>
          <t>Title:</t>
        </is>
      </c>
      <c r="B13" s="45" t="n"/>
      <c r="C13" s="6" t="n"/>
      <c r="D13" s="6" t="n"/>
      <c r="E13" s="6" t="n"/>
    </row>
    <row r="14">
      <c r="A14" s="3" t="inlineStr">
        <is>
          <t>Date:</t>
        </is>
      </c>
      <c r="B14" s="45" t="n"/>
      <c r="C14" s="6" t="n"/>
      <c r="D14" s="6" t="n"/>
      <c r="E14" s="6" t="n"/>
    </row>
    <row r="15">
      <c r="A15" s="3" t="inlineStr">
        <is>
          <t>Signature:</t>
        </is>
      </c>
      <c r="B15" s="45" t="n"/>
      <c r="C15" s="6" t="n"/>
      <c r="D15" s="6" t="n"/>
      <c r="E15" s="6" t="n"/>
    </row>
    <row r="16">
      <c r="A16" s="3" t="inlineStr">
        <is>
          <t>Comments:</t>
        </is>
      </c>
      <c r="B16" s="45" t="n"/>
      <c r="C16" s="6" t="n"/>
      <c r="D16" s="6" t="n"/>
      <c r="E16" s="6" t="n"/>
    </row>
    <row r="18">
      <c r="A18" s="44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45" t="n"/>
      <c r="C19" s="6" t="n"/>
      <c r="D19" s="6" t="n"/>
      <c r="E19" s="6" t="n"/>
    </row>
    <row r="20">
      <c r="A20" s="3" t="inlineStr">
        <is>
          <t>Title:</t>
        </is>
      </c>
      <c r="B20" s="45" t="n"/>
      <c r="C20" s="6" t="n"/>
      <c r="D20" s="6" t="n"/>
      <c r="E20" s="6" t="n"/>
    </row>
    <row r="21">
      <c r="A21" s="3" t="inlineStr">
        <is>
          <t>Date:</t>
        </is>
      </c>
      <c r="B21" s="45" t="n"/>
      <c r="C21" s="6" t="n"/>
      <c r="D21" s="6" t="n"/>
      <c r="E21" s="6" t="n"/>
    </row>
    <row r="22">
      <c r="A22" s="3" t="inlineStr">
        <is>
          <t>Signature:</t>
        </is>
      </c>
      <c r="B22" s="45" t="n"/>
      <c r="C22" s="6" t="n"/>
      <c r="D22" s="6" t="n"/>
      <c r="E22" s="6" t="n"/>
    </row>
    <row r="23">
      <c r="A23" s="3" t="inlineStr">
        <is>
          <t>Comments:</t>
        </is>
      </c>
      <c r="B23" s="45" t="n"/>
      <c r="C23" s="6" t="n"/>
      <c r="D23" s="6" t="n"/>
      <c r="E23" s="6" t="n"/>
    </row>
    <row r="25">
      <c r="A25" s="47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45" t="n"/>
      <c r="C26" s="6" t="n"/>
      <c r="D26" s="6" t="n"/>
      <c r="E26" s="6" t="n"/>
    </row>
    <row r="27">
      <c r="A27" s="3" t="inlineStr">
        <is>
          <t>Title:</t>
        </is>
      </c>
      <c r="B27" s="45" t="n"/>
      <c r="C27" s="6" t="n"/>
      <c r="D27" s="6" t="n"/>
      <c r="E27" s="6" t="n"/>
    </row>
    <row r="28">
      <c r="A28" s="3" t="inlineStr">
        <is>
          <t>Date:</t>
        </is>
      </c>
      <c r="B28" s="45" t="n"/>
      <c r="C28" s="6" t="n"/>
      <c r="D28" s="6" t="n"/>
      <c r="E28" s="6" t="n"/>
    </row>
    <row r="29">
      <c r="A29" s="3" t="inlineStr">
        <is>
          <t>Signature:</t>
        </is>
      </c>
      <c r="B29" s="45" t="n"/>
      <c r="C29" s="6" t="n"/>
      <c r="D29" s="6" t="n"/>
      <c r="E29" s="6" t="n"/>
    </row>
    <row r="30">
      <c r="A30" s="3" t="inlineStr">
        <is>
          <t>Comments:</t>
        </is>
      </c>
      <c r="B30" s="45" t="n"/>
      <c r="C30" s="6" t="n"/>
      <c r="D30" s="6" t="n"/>
      <c r="E30" s="6" t="n"/>
    </row>
    <row r="32">
      <c r="A32" s="3" t="inlineStr">
        <is>
          <t>FINAL DECISION:</t>
        </is>
      </c>
      <c r="B32" s="45" t="n"/>
      <c r="C32" s="6" t="n"/>
      <c r="D32" s="6" t="n"/>
      <c r="E32" s="6" t="n"/>
    </row>
    <row r="35">
      <c r="A35" s="44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45" t="n"/>
      <c r="C36" s="6" t="n"/>
      <c r="D36" s="6" t="n"/>
      <c r="E36" s="6" t="n"/>
    </row>
    <row r="37">
      <c r="A37" s="3" t="inlineStr">
        <is>
          <t>Review Responsible:</t>
        </is>
      </c>
      <c r="B37" s="45" t="n"/>
      <c r="C37" s="6" t="n"/>
      <c r="D37" s="6" t="n"/>
      <c r="E37" s="6" t="n"/>
    </row>
    <row r="38">
      <c r="A38" s="3" t="inlineStr">
        <is>
          <t>Special Considerations:</t>
        </is>
      </c>
      <c r="B38" s="4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ISMS-IMP-A.5.31.2 — Applicability Matrix</dc:title>
  <dc:description xmlns:dc="http://purl.org/dc/elements/1.1/">ISMS Implementation Workbook — ISMS-IMP-A.5.31.2</dc:description>
  <dc:subject xmlns:dc="http://purl.org/dc/elements/1.1/">ISO/IEC 27001:2022 — Control A.5.31: Legal, Statutory, Regulatory and Contractual Requirements</dc:subject>
  <dcterms:created xmlns:dcterms="http://purl.org/dc/terms/" xmlns:xsi="http://www.w3.org/2001/XMLSchema-instance" xsi:type="dcterms:W3CDTF">2026-03-07T11:27:32Z</dcterms:created>
  <dcterms:modified xmlns:dcterms="http://purl.org/dc/terms/" xmlns:xsi="http://www.w3.org/2001/XMLSchema-instance" xsi:type="dcterms:W3CDTF">2026-03-07T11:27:32Z</dcterms:modified>
</cp:coreProperties>
</file>