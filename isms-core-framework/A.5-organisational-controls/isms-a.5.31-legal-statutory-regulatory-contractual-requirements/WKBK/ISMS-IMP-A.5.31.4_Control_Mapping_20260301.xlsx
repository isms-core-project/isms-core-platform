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Control Mapping Matrix" sheetId="2" state="visible" r:id="rId2"/>
    <sheet xmlns:r="http://schemas.openxmlformats.org/officeDocument/2006/relationships" name="ISO27001 Controls Reference" sheetId="3" state="visible" r:id="rId3"/>
    <sheet xmlns:r="http://schemas.openxmlformats.org/officeDocument/2006/relationships" name="Mapping Guidelines" sheetId="4" state="visible" r:id="rId4"/>
    <sheet xmlns:r="http://schemas.openxmlformats.org/officeDocument/2006/relationships" name="Gap Summary" sheetId="5" state="visible" r:id="rId5"/>
    <sheet xmlns:r="http://schemas.openxmlformats.org/officeDocument/2006/relationships" name="Summary Dashboard" sheetId="6" state="visible" r:id="rId6"/>
    <sheet xmlns:r="http://schemas.openxmlformats.org/officeDocument/2006/relationships" name="Approval Sign-Off" sheetId="7" state="visible" r:id="rId7"/>
  </sheets>
  <definedNames>
    <definedName name="_xlnm._FilterDatabase" localSheetId="2" hidden="1">'ISO27001 Controls Reference'!$A$2:$E$2</definedName>
    <definedName name="_xlnm._FilterDatabase" localSheetId="4" hidden="1">'Gap Summary'!$A$2:$F$2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3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2"/>
    </font>
    <font>
      <name val="Calibri"/>
      <b val="1"/>
    </font>
    <font>
      <name val="Calibri"/>
      <b val="1"/>
      <sz val="10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sz val="9"/>
    </font>
    <font>
      <b val="1"/>
      <color rgb="00FFFFFF"/>
      <sz val="10"/>
    </font>
    <font>
      <sz val="9"/>
    </font>
    <font>
      <name val="Calibri"/>
      <b val="1"/>
      <color rgb="00FFFFFF"/>
      <sz val="16"/>
    </font>
    <font>
      <name val="Calibri"/>
      <sz val="10"/>
    </font>
    <font>
      <b val="1"/>
      <sz val="12"/>
    </font>
    <font>
      <b val="1"/>
    </font>
    <font>
      <b val="1"/>
      <color rgb="00C00000"/>
    </font>
    <font>
      <b val="1"/>
      <color rgb="00FF9900"/>
    </font>
    <font>
      <b val="1"/>
      <color rgb="0000B050"/>
    </font>
    <font>
      <b val="1"/>
      <color rgb="00C00000"/>
      <sz val="12"/>
    </font>
    <font>
      <i val="1"/>
      <color rgb="00808080"/>
      <sz val="9"/>
    </font>
    <font>
      <name val="Calibri"/>
      <i val="1"/>
      <color rgb="00003366"/>
      <sz val="10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</fonts>
  <fills count="13">
    <fill>
      <patternFill/>
    </fill>
    <fill>
      <patternFill patternType="gray125"/>
    </fill>
    <fill>
      <patternFill patternType="solid">
        <fgColor rgb="00003366"/>
      </patternFill>
    </fill>
    <fill>
      <patternFill patternType="solid">
        <fgColor rgb="00FFFFCC"/>
      </patternFill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003366"/>
        <bgColor rgb="00003366"/>
      </patternFill>
    </fill>
    <fill>
      <patternFill patternType="solid">
        <fgColor rgb="00FFC7CE"/>
        <bgColor rgb="00FFC7CE"/>
      </patternFill>
    </fill>
    <fill>
      <patternFill patternType="solid">
        <fgColor rgb="00D9D9D9"/>
        <bgColor rgb="00D9D9D9"/>
      </patternFill>
    </fill>
    <fill>
      <patternFill patternType="solid">
        <fgColor rgb="00C00000"/>
        <bgColor rgb="00C00000"/>
      </patternFill>
    </fill>
    <fill>
      <patternFill patternType="solid">
        <fgColor rgb="00FFFFCC"/>
        <bgColor rgb="00FFFFCC"/>
      </patternFill>
    </fill>
    <fill>
      <patternFill patternType="solid">
        <fgColor rgb="004472C4"/>
        <bgColor rgb="004472C4"/>
      </patternFill>
    </fill>
  </fills>
  <borders count="7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1" fillId="7" borderId="0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textRotation="90" wrapText="1"/>
    </xf>
    <xf numFmtId="0" fontId="7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wrapText="1"/>
    </xf>
    <xf numFmtId="0" fontId="10" fillId="7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top" wrapText="1"/>
    </xf>
    <xf numFmtId="0" fontId="9" fillId="8" borderId="1" applyAlignment="1" pivotButton="0" quotePrefix="0" xfId="0">
      <alignment horizontal="left" vertical="center" wrapText="1"/>
    </xf>
    <xf numFmtId="0" fontId="12" fillId="9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applyAlignment="1" pivotButton="0" quotePrefix="0" xfId="0">
      <alignment horizontal="left" wrapText="1"/>
    </xf>
    <xf numFmtId="0" fontId="1" fillId="7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19" fillId="0" borderId="2" applyAlignment="1" pivotButton="0" quotePrefix="0" xfId="0">
      <alignment horizontal="left" vertical="center"/>
    </xf>
    <xf numFmtId="0" fontId="20" fillId="7" borderId="2" applyAlignment="1" pivotButton="0" quotePrefix="0" xfId="0">
      <alignment horizontal="left" vertical="center"/>
    </xf>
    <xf numFmtId="0" fontId="21" fillId="9" borderId="2" applyAlignment="1" pivotButton="0" quotePrefix="0" xfId="0">
      <alignment horizontal="center" vertical="center" wrapText="1"/>
    </xf>
    <xf numFmtId="0" fontId="22" fillId="0" borderId="2" applyAlignment="1" pivotButton="0" quotePrefix="0" xfId="0">
      <alignment horizontal="left" vertical="center" wrapText="1"/>
    </xf>
    <xf numFmtId="0" fontId="22" fillId="0" borderId="2" applyAlignment="1" pivotButton="0" quotePrefix="0" xfId="0">
      <alignment horizontal="center"/>
    </xf>
    <xf numFmtId="164" fontId="22" fillId="0" borderId="2" applyAlignment="1" pivotButton="0" quotePrefix="0" xfId="0">
      <alignment horizontal="center"/>
    </xf>
    <xf numFmtId="0" fontId="21" fillId="9" borderId="2" applyAlignment="1" pivotButton="0" quotePrefix="0" xfId="0">
      <alignment horizontal="left" vertical="center" wrapText="1"/>
    </xf>
    <xf numFmtId="0" fontId="21" fillId="9" borderId="2" applyAlignment="1" pivotButton="0" quotePrefix="0" xfId="0">
      <alignment horizontal="center"/>
    </xf>
    <xf numFmtId="164" fontId="21" fillId="9" borderId="2" applyAlignment="1" pivotButton="0" quotePrefix="0" xfId="0">
      <alignment horizontal="center"/>
    </xf>
    <xf numFmtId="0" fontId="20" fillId="10" borderId="2" applyAlignment="1" pivotButton="0" quotePrefix="0" xfId="0">
      <alignment horizontal="left" vertical="center"/>
    </xf>
    <xf numFmtId="0" fontId="22" fillId="11" borderId="2" applyAlignment="1" pivotButton="0" quotePrefix="0" xfId="0">
      <alignment horizontal="left" vertical="center" wrapText="1"/>
    </xf>
    <xf numFmtId="0" fontId="22" fillId="11" borderId="2" applyAlignment="1" pivotButton="0" quotePrefix="0" xfId="0">
      <alignment horizontal="center"/>
    </xf>
    <xf numFmtId="0" fontId="0" fillId="11" borderId="2" pivotButton="0" quotePrefix="0" xfId="0"/>
    <xf numFmtId="0" fontId="20" fillId="12" borderId="2" pivotButton="0" quotePrefix="0" xfId="0"/>
    <xf numFmtId="0" fontId="1" fillId="7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/>
    </xf>
    <xf numFmtId="0" fontId="20" fillId="12" borderId="1" pivotButton="0" quotePrefix="0" xfId="0"/>
    <xf numFmtId="0" fontId="0" fillId="11" borderId="1" pivotButton="0" quotePrefix="0" xfId="0"/>
    <xf numFmtId="164" fontId="0" fillId="0" borderId="1" pivotButton="0" quotePrefix="0" xfId="0"/>
    <xf numFmtId="0" fontId="20" fillId="7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FFCC"/>
          <bgColor rgb="00FFFFCC"/>
        </patternFill>
      </fill>
    </dxf>
    <dxf>
      <fill>
        <patternFill patternType="solid">
          <fgColor rgb="00D9D9D9"/>
          <b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70" customWidth="1" min="3" max="3"/>
  </cols>
  <sheetData>
    <row r="1" ht="40" customHeight="1">
      <c r="A1" s="1" t="inlineStr">
        <is>
          <t>ISMS-IMP-A.5.31.4  -  Control Mapping
ISO/IEC 27001:2022 - Control A.5.31: Legal, Statutory, Regulatory and Contractual Requirements</t>
        </is>
      </c>
    </row>
    <row r="3">
      <c r="A3" s="2" t="inlineStr">
        <is>
          <t>Document Information</t>
        </is>
      </c>
    </row>
    <row r="4">
      <c r="A4" s="3" t="inlineStr">
        <is>
          <t>Document ID</t>
        </is>
      </c>
      <c r="B4" t="inlineStr">
        <is>
          <t>ISMS-IMP-A.5.31.4</t>
        </is>
      </c>
    </row>
    <row r="5">
      <c r="A5" s="3" t="inlineStr">
        <is>
          <t>Workbook Title</t>
        </is>
      </c>
      <c r="B5" t="inlineStr">
        <is>
          <t>Control Mapping</t>
        </is>
      </c>
    </row>
    <row r="6">
      <c r="A6" s="3" t="inlineStr">
        <is>
          <t>Control Reference</t>
        </is>
      </c>
      <c r="B6" t="inlineStr">
        <is>
          <t>ISO/IEC 27001:2022 - Control A.5.31: Legal, Statutory, Regulatory and Contractual Requirements</t>
        </is>
      </c>
    </row>
    <row r="7">
      <c r="A7" s="3" t="inlineStr">
        <is>
          <t>Version</t>
        </is>
      </c>
      <c r="B7" t="inlineStr">
        <is>
          <t>1.0</t>
        </is>
      </c>
    </row>
    <row r="8">
      <c r="A8" s="3" t="inlineStr">
        <is>
          <t>Assessment Date</t>
        </is>
      </c>
      <c r="B8" s="4" t="inlineStr"/>
    </row>
    <row r="9">
      <c r="A9" s="3" t="inlineStr">
        <is>
          <t>Completed By</t>
        </is>
      </c>
      <c r="B9" s="4" t="inlineStr"/>
    </row>
    <row r="10">
      <c r="A10" s="3" t="inlineStr">
        <is>
          <t>Organisation</t>
        </is>
      </c>
      <c r="B10" s="4" t="inlineStr"/>
    </row>
    <row r="12">
      <c r="A12" s="2" t="inlineStr">
        <is>
          <t>Instructions</t>
        </is>
      </c>
    </row>
    <row r="13">
      <c r="A13" t="inlineStr">
        <is>
          <t>1. Review this Instructions &amp; Legend sheet before starting the assessment.</t>
        </is>
      </c>
    </row>
    <row r="14">
      <c r="A14" t="inlineStr">
        <is>
          <t>2. Map each requirement to ISO 27001:2022 controls using P (Primary), S (Supporting), or Su (Supplementary).</t>
        </is>
      </c>
    </row>
    <row r="15">
      <c r="A15" t="inlineStr">
        <is>
          <t>3. Grey (F2F2F2) rows are sample rows — do not edit them.</t>
        </is>
      </c>
    </row>
    <row r="16">
      <c r="A16" t="inlineStr">
        <is>
          <t>4. Use the Gap Summary sheet to identify unmapped requirements.</t>
        </is>
      </c>
    </row>
    <row r="17">
      <c r="A17" t="inlineStr">
        <is>
          <t>5. Obtain sign-off in the Approval Sign-Off sheet when the assessment is complete.</t>
        </is>
      </c>
    </row>
    <row r="21">
      <c r="A21" s="2" t="inlineStr">
        <is>
          <t>Status Legend</t>
        </is>
      </c>
    </row>
    <row r="22">
      <c r="A22" s="5" t="inlineStr">
        <is>
          <t>Symbol</t>
        </is>
      </c>
      <c r="B22" s="5" t="inlineStr">
        <is>
          <t>Status</t>
        </is>
      </c>
      <c r="C22" s="5" t="inlineStr">
        <is>
          <t>Description</t>
        </is>
      </c>
    </row>
    <row r="23">
      <c r="A23" s="6" t="inlineStr">
        <is>
          <t>P</t>
        </is>
      </c>
      <c r="B23" s="7" t="inlineStr">
        <is>
          <t>Primary</t>
        </is>
      </c>
      <c r="C23" s="8" t="inlineStr">
        <is>
          <t>This control is the primary mechanism addressing the requirement</t>
        </is>
      </c>
    </row>
    <row r="24">
      <c r="A24" s="6" t="inlineStr">
        <is>
          <t>S</t>
        </is>
      </c>
      <c r="B24" s="9" t="inlineStr">
        <is>
          <t>Supporting</t>
        </is>
      </c>
      <c r="C24" s="8" t="inlineStr">
        <is>
          <t>This control supports the primary control for this requirement</t>
        </is>
      </c>
    </row>
    <row r="25">
      <c r="A25" s="6" t="inlineStr">
        <is>
          <t>Su</t>
        </is>
      </c>
      <c r="B25" s="8" t="inlineStr">
        <is>
          <t>Supplementary</t>
        </is>
      </c>
      <c r="C25" s="8" t="inlineStr">
        <is>
          <t>This control supplements but is not the main control</t>
        </is>
      </c>
    </row>
    <row r="26">
      <c r="A26" s="6" t="inlineStr">
        <is>
          <t>—</t>
        </is>
      </c>
      <c r="B26" s="8" t="inlineStr">
        <is>
          <t>Not Applicable</t>
        </is>
      </c>
      <c r="C26" s="8" t="inlineStr">
        <is>
          <t>This control is not relevant to the requirement</t>
        </is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S1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0" customWidth="1" min="2" max="2"/>
    <col width="15" customWidth="1" min="3" max="3"/>
    <col width="12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  <col width="4" customWidth="1" min="48" max="48"/>
    <col width="4" customWidth="1" min="49" max="49"/>
    <col width="4" customWidth="1" min="50" max="50"/>
    <col width="4" customWidth="1" min="51" max="51"/>
    <col width="4" customWidth="1" min="52" max="52"/>
    <col width="4" customWidth="1" min="53" max="53"/>
    <col width="4" customWidth="1" min="54" max="54"/>
    <col width="4" customWidth="1" min="55" max="55"/>
    <col width="4" customWidth="1" min="56" max="56"/>
    <col width="4" customWidth="1" min="57" max="57"/>
    <col width="4" customWidth="1" min="58" max="58"/>
    <col width="4" customWidth="1" min="59" max="59"/>
    <col width="4" customWidth="1" min="60" max="60"/>
    <col width="4" customWidth="1" min="61" max="61"/>
    <col width="4" customWidth="1" min="62" max="62"/>
    <col width="4" customWidth="1" min="63" max="63"/>
    <col width="4" customWidth="1" min="64" max="64"/>
    <col width="4" customWidth="1" min="65" max="65"/>
    <col width="4" customWidth="1" min="66" max="66"/>
    <col width="4" customWidth="1" min="67" max="67"/>
    <col width="4" customWidth="1" min="68" max="68"/>
    <col width="4" customWidth="1" min="69" max="69"/>
    <col width="4" customWidth="1" min="70" max="70"/>
    <col width="4" customWidth="1" min="71" max="71"/>
    <col width="4" customWidth="1" min="72" max="72"/>
    <col width="4" customWidth="1" min="73" max="73"/>
    <col width="4" customWidth="1" min="74" max="74"/>
    <col width="4" customWidth="1" min="75" max="75"/>
    <col width="4" customWidth="1" min="76" max="76"/>
    <col width="4" customWidth="1" min="77" max="77"/>
    <col width="4" customWidth="1" min="78" max="78"/>
    <col width="4" customWidth="1" min="79" max="79"/>
    <col width="4" customWidth="1" min="80" max="80"/>
    <col width="4" customWidth="1" min="81" max="81"/>
    <col width="4" customWidth="1" min="82" max="82"/>
    <col width="4" customWidth="1" min="83" max="83"/>
    <col width="4" customWidth="1" min="84" max="84"/>
    <col width="4" customWidth="1" min="85" max="85"/>
    <col width="4" customWidth="1" min="86" max="86"/>
    <col width="4" customWidth="1" min="87" max="87"/>
    <col width="4" customWidth="1" min="88" max="88"/>
    <col width="4" customWidth="1" min="89" max="89"/>
    <col width="4" customWidth="1" min="90" max="90"/>
    <col width="4" customWidth="1" min="91" max="91"/>
    <col width="4" customWidth="1" min="92" max="92"/>
    <col width="4" customWidth="1" min="93" max="93"/>
    <col width="4" customWidth="1" min="94" max="94"/>
    <col width="4" customWidth="1" min="95" max="95"/>
    <col width="4" customWidth="1" min="96" max="96"/>
    <col width="4" customWidth="1" min="97" max="97"/>
  </cols>
  <sheetData>
    <row r="1" ht="35" customHeight="1">
      <c r="A1" s="10" t="inlineStr">
        <is>
          <t>CONTROL MAPPING MATRIX</t>
        </is>
      </c>
    </row>
    <row r="2">
      <c r="A2" s="11" t="inlineStr">
        <is>
          <t>Requirement ID</t>
        </is>
      </c>
      <c r="B2" s="11" t="inlineStr">
        <is>
          <t>Interpreted Requirement</t>
        </is>
      </c>
      <c r="C2" s="11" t="inlineStr">
        <is>
          <t>Category</t>
        </is>
      </c>
      <c r="D2" s="11" t="inlineStr">
        <is>
          <t>Priority</t>
        </is>
      </c>
      <c r="E2" s="12" t="inlineStr">
        <is>
          <t>A.5.1</t>
        </is>
      </c>
      <c r="F2" s="12" t="inlineStr">
        <is>
          <t>A.5.2</t>
        </is>
      </c>
      <c r="G2" s="12" t="inlineStr">
        <is>
          <t>A.5.3</t>
        </is>
      </c>
      <c r="H2" s="12" t="inlineStr">
        <is>
          <t>A.5.4</t>
        </is>
      </c>
      <c r="I2" s="12" t="inlineStr">
        <is>
          <t>A.5.5</t>
        </is>
      </c>
      <c r="J2" s="12" t="inlineStr">
        <is>
          <t>A.5.6</t>
        </is>
      </c>
      <c r="K2" s="12" t="inlineStr">
        <is>
          <t>A.5.7</t>
        </is>
      </c>
      <c r="L2" s="12" t="inlineStr">
        <is>
          <t>A.5.8</t>
        </is>
      </c>
      <c r="M2" s="12" t="inlineStr">
        <is>
          <t>A.5.9</t>
        </is>
      </c>
      <c r="N2" s="12" t="inlineStr">
        <is>
          <t>A.5.10</t>
        </is>
      </c>
      <c r="O2" s="12" t="inlineStr">
        <is>
          <t>A.5.11</t>
        </is>
      </c>
      <c r="P2" s="12" t="inlineStr">
        <is>
          <t>A.5.12</t>
        </is>
      </c>
      <c r="Q2" s="12" t="inlineStr">
        <is>
          <t>A.5.13</t>
        </is>
      </c>
      <c r="R2" s="12" t="inlineStr">
        <is>
          <t>A.5.14</t>
        </is>
      </c>
      <c r="S2" s="12" t="inlineStr">
        <is>
          <t>A.5.15</t>
        </is>
      </c>
      <c r="T2" s="12" t="inlineStr">
        <is>
          <t>A.5.16</t>
        </is>
      </c>
      <c r="U2" s="12" t="inlineStr">
        <is>
          <t>A.5.17</t>
        </is>
      </c>
      <c r="V2" s="12" t="inlineStr">
        <is>
          <t>A.5.18</t>
        </is>
      </c>
      <c r="W2" s="12" t="inlineStr">
        <is>
          <t>A.5.19</t>
        </is>
      </c>
      <c r="X2" s="12" t="inlineStr">
        <is>
          <t>A.5.20</t>
        </is>
      </c>
      <c r="Y2" s="12" t="inlineStr">
        <is>
          <t>A.5.21</t>
        </is>
      </c>
      <c r="Z2" s="12" t="inlineStr">
        <is>
          <t>A.5.22</t>
        </is>
      </c>
      <c r="AA2" s="12" t="inlineStr">
        <is>
          <t>A.5.23</t>
        </is>
      </c>
      <c r="AB2" s="12" t="inlineStr">
        <is>
          <t>A.5.24</t>
        </is>
      </c>
      <c r="AC2" s="12" t="inlineStr">
        <is>
          <t>A.5.25</t>
        </is>
      </c>
      <c r="AD2" s="12" t="inlineStr">
        <is>
          <t>A.5.26</t>
        </is>
      </c>
      <c r="AE2" s="12" t="inlineStr">
        <is>
          <t>A.5.27</t>
        </is>
      </c>
      <c r="AF2" s="12" t="inlineStr">
        <is>
          <t>A.5.28</t>
        </is>
      </c>
      <c r="AG2" s="12" t="inlineStr">
        <is>
          <t>A.5.29</t>
        </is>
      </c>
      <c r="AH2" s="12" t="inlineStr">
        <is>
          <t>A.5.30</t>
        </is>
      </c>
      <c r="AI2" s="12" t="inlineStr">
        <is>
          <t>A.5.31</t>
        </is>
      </c>
      <c r="AJ2" s="12" t="inlineStr">
        <is>
          <t>A.5.32</t>
        </is>
      </c>
      <c r="AK2" s="12" t="inlineStr">
        <is>
          <t>A.5.33</t>
        </is>
      </c>
      <c r="AL2" s="12" t="inlineStr">
        <is>
          <t>A.5.34</t>
        </is>
      </c>
      <c r="AM2" s="12" t="inlineStr">
        <is>
          <t>A.5.35</t>
        </is>
      </c>
      <c r="AN2" s="12" t="inlineStr">
        <is>
          <t>A.5.36</t>
        </is>
      </c>
      <c r="AO2" s="12" t="inlineStr">
        <is>
          <t>A.5.37</t>
        </is>
      </c>
      <c r="AP2" s="12" t="inlineStr">
        <is>
          <t>A.6.1</t>
        </is>
      </c>
      <c r="AQ2" s="12" t="inlineStr">
        <is>
          <t>A.6.2</t>
        </is>
      </c>
      <c r="AR2" s="12" t="inlineStr">
        <is>
          <t>A.6.3</t>
        </is>
      </c>
      <c r="AS2" s="12" t="inlineStr">
        <is>
          <t>A.6.4</t>
        </is>
      </c>
      <c r="AT2" s="12" t="inlineStr">
        <is>
          <t>A.6.5</t>
        </is>
      </c>
      <c r="AU2" s="12" t="inlineStr">
        <is>
          <t>A.6.6</t>
        </is>
      </c>
      <c r="AV2" s="12" t="inlineStr">
        <is>
          <t>A.6.7</t>
        </is>
      </c>
      <c r="AW2" s="12" t="inlineStr">
        <is>
          <t>A.6.8</t>
        </is>
      </c>
      <c r="AX2" s="12" t="inlineStr">
        <is>
          <t>A.7.1</t>
        </is>
      </c>
      <c r="AY2" s="12" t="inlineStr">
        <is>
          <t>A.7.2</t>
        </is>
      </c>
      <c r="AZ2" s="12" t="inlineStr">
        <is>
          <t>A.7.3</t>
        </is>
      </c>
      <c r="BA2" s="12" t="inlineStr">
        <is>
          <t>A.7.4</t>
        </is>
      </c>
      <c r="BB2" s="12" t="inlineStr">
        <is>
          <t>A.7.5</t>
        </is>
      </c>
      <c r="BC2" s="12" t="inlineStr">
        <is>
          <t>A.7.6</t>
        </is>
      </c>
      <c r="BD2" s="12" t="inlineStr">
        <is>
          <t>A.7.7</t>
        </is>
      </c>
      <c r="BE2" s="12" t="inlineStr">
        <is>
          <t>A.7.8</t>
        </is>
      </c>
      <c r="BF2" s="12" t="inlineStr">
        <is>
          <t>A.7.9</t>
        </is>
      </c>
      <c r="BG2" s="12" t="inlineStr">
        <is>
          <t>A.7.10</t>
        </is>
      </c>
      <c r="BH2" s="12" t="inlineStr">
        <is>
          <t>A.7.11</t>
        </is>
      </c>
      <c r="BI2" s="12" t="inlineStr">
        <is>
          <t>A.7.12</t>
        </is>
      </c>
      <c r="BJ2" s="12" t="inlineStr">
        <is>
          <t>A.7.13</t>
        </is>
      </c>
      <c r="BK2" s="12" t="inlineStr">
        <is>
          <t>A.7.14</t>
        </is>
      </c>
      <c r="BL2" s="12" t="inlineStr">
        <is>
          <t>A.8.1</t>
        </is>
      </c>
      <c r="BM2" s="12" t="inlineStr">
        <is>
          <t>A.8.2</t>
        </is>
      </c>
      <c r="BN2" s="12" t="inlineStr">
        <is>
          <t>A.8.3</t>
        </is>
      </c>
      <c r="BO2" s="12" t="inlineStr">
        <is>
          <t>A.8.4</t>
        </is>
      </c>
      <c r="BP2" s="12" t="inlineStr">
        <is>
          <t>A.8.5</t>
        </is>
      </c>
      <c r="BQ2" s="12" t="inlineStr">
        <is>
          <t>A.8.6</t>
        </is>
      </c>
      <c r="BR2" s="12" t="inlineStr">
        <is>
          <t>A.8.7</t>
        </is>
      </c>
      <c r="BS2" s="12" t="inlineStr">
        <is>
          <t>A.8.8</t>
        </is>
      </c>
      <c r="BT2" s="12" t="inlineStr">
        <is>
          <t>A.8.9</t>
        </is>
      </c>
      <c r="BU2" s="12" t="inlineStr">
        <is>
          <t>A.8.10</t>
        </is>
      </c>
      <c r="BV2" s="12" t="inlineStr">
        <is>
          <t>A.8.11</t>
        </is>
      </c>
      <c r="BW2" s="12" t="inlineStr">
        <is>
          <t>A.8.12</t>
        </is>
      </c>
      <c r="BX2" s="12" t="inlineStr">
        <is>
          <t>A.8.13</t>
        </is>
      </c>
      <c r="BY2" s="12" t="inlineStr">
        <is>
          <t>A.8.14</t>
        </is>
      </c>
      <c r="BZ2" s="12" t="inlineStr">
        <is>
          <t>A.8.15</t>
        </is>
      </c>
      <c r="CA2" s="12" t="inlineStr">
        <is>
          <t>A.8.16</t>
        </is>
      </c>
      <c r="CB2" s="12" t="inlineStr">
        <is>
          <t>A.8.17</t>
        </is>
      </c>
      <c r="CC2" s="12" t="inlineStr">
        <is>
          <t>A.8.18</t>
        </is>
      </c>
      <c r="CD2" s="12" t="inlineStr">
        <is>
          <t>A.8.19</t>
        </is>
      </c>
      <c r="CE2" s="12" t="inlineStr">
        <is>
          <t>A.8.20</t>
        </is>
      </c>
      <c r="CF2" s="12" t="inlineStr">
        <is>
          <t>A.8.21</t>
        </is>
      </c>
      <c r="CG2" s="12" t="inlineStr">
        <is>
          <t>A.8.22</t>
        </is>
      </c>
      <c r="CH2" s="12" t="inlineStr">
        <is>
          <t>A.8.23</t>
        </is>
      </c>
      <c r="CI2" s="12" t="inlineStr">
        <is>
          <t>A.8.24</t>
        </is>
      </c>
      <c r="CJ2" s="12" t="inlineStr">
        <is>
          <t>A.8.25</t>
        </is>
      </c>
      <c r="CK2" s="12" t="inlineStr">
        <is>
          <t>A.8.26</t>
        </is>
      </c>
      <c r="CL2" s="12" t="inlineStr">
        <is>
          <t>A.8.27</t>
        </is>
      </c>
      <c r="CM2" s="12" t="inlineStr">
        <is>
          <t>A.8.28</t>
        </is>
      </c>
      <c r="CN2" s="12" t="inlineStr">
        <is>
          <t>A.8.29</t>
        </is>
      </c>
      <c r="CO2" s="12" t="inlineStr">
        <is>
          <t>A.8.30</t>
        </is>
      </c>
      <c r="CP2" s="12" t="inlineStr">
        <is>
          <t>A.8.31</t>
        </is>
      </c>
      <c r="CQ2" s="12" t="inlineStr">
        <is>
          <t>A.8.32</t>
        </is>
      </c>
      <c r="CR2" s="12" t="inlineStr">
        <is>
          <t>A.8.33</t>
        </is>
      </c>
      <c r="CS2" s="12" t="inlineStr">
        <is>
          <t>A.8.34</t>
        </is>
      </c>
    </row>
    <row r="3">
      <c r="A3" s="13" t="inlineStr">
        <is>
          <t>REG-GDPR-32-001</t>
        </is>
      </c>
      <c r="B3" s="13" t="inlineStr">
        <is>
          <t>Implement encryption for personal data</t>
        </is>
      </c>
      <c r="C3" s="13" t="inlineStr">
        <is>
          <t>Technical</t>
        </is>
      </c>
      <c r="D3" s="13" t="inlineStr">
        <is>
          <t>High</t>
        </is>
      </c>
      <c r="E3" s="14" t="inlineStr"/>
      <c r="F3" s="14" t="inlineStr"/>
      <c r="G3" s="14" t="inlineStr"/>
      <c r="H3" s="14" t="inlineStr"/>
      <c r="I3" s="14" t="inlineStr"/>
      <c r="J3" s="14" t="inlineStr"/>
      <c r="K3" s="14" t="inlineStr"/>
      <c r="L3" s="14" t="inlineStr"/>
      <c r="M3" s="14" t="inlineStr"/>
      <c r="N3" s="14" t="inlineStr">
        <is>
          <t>S</t>
        </is>
      </c>
      <c r="O3" s="14" t="inlineStr"/>
      <c r="P3" s="14" t="inlineStr"/>
      <c r="Q3" s="14" t="inlineStr"/>
      <c r="R3" s="14" t="inlineStr"/>
      <c r="S3" s="14" t="inlineStr"/>
      <c r="T3" s="14" t="inlineStr"/>
      <c r="U3" s="14" t="inlineStr"/>
      <c r="V3" s="14" t="inlineStr"/>
      <c r="W3" s="14" t="inlineStr"/>
      <c r="X3" s="14" t="inlineStr"/>
      <c r="Y3" s="14" t="inlineStr"/>
      <c r="Z3" s="14" t="inlineStr"/>
      <c r="AA3" s="14" t="inlineStr"/>
      <c r="AB3" s="14" t="inlineStr"/>
      <c r="AC3" s="14" t="inlineStr"/>
      <c r="AD3" s="14" t="inlineStr"/>
      <c r="AE3" s="14" t="inlineStr"/>
      <c r="AF3" s="14" t="inlineStr"/>
      <c r="AG3" s="14" t="inlineStr"/>
      <c r="AH3" s="14" t="inlineStr"/>
      <c r="AI3" s="14" t="inlineStr"/>
      <c r="AJ3" s="14" t="inlineStr"/>
      <c r="AK3" s="14" t="inlineStr"/>
      <c r="AL3" s="14" t="inlineStr"/>
      <c r="AM3" s="14" t="inlineStr"/>
      <c r="AN3" s="14" t="inlineStr"/>
      <c r="AO3" s="14" t="inlineStr"/>
      <c r="AP3" s="14" t="inlineStr"/>
      <c r="AQ3" s="14" t="inlineStr"/>
      <c r="AR3" s="14" t="inlineStr"/>
      <c r="AS3" s="14" t="inlineStr"/>
      <c r="AT3" s="14" t="inlineStr"/>
      <c r="AU3" s="14" t="inlineStr"/>
      <c r="AV3" s="14" t="inlineStr"/>
      <c r="AW3" s="14" t="inlineStr"/>
      <c r="AX3" s="14" t="inlineStr"/>
      <c r="AY3" s="14" t="inlineStr"/>
      <c r="AZ3" s="14" t="inlineStr"/>
      <c r="BA3" s="14" t="inlineStr"/>
      <c r="BB3" s="14" t="inlineStr"/>
      <c r="BC3" s="14" t="inlineStr"/>
      <c r="BD3" s="14" t="inlineStr"/>
      <c r="BE3" s="14" t="inlineStr"/>
      <c r="BF3" s="14" t="inlineStr"/>
      <c r="BG3" s="14" t="inlineStr"/>
      <c r="BH3" s="14" t="inlineStr"/>
      <c r="BI3" s="14" t="inlineStr"/>
      <c r="BJ3" s="14" t="inlineStr"/>
      <c r="BK3" s="14" t="inlineStr"/>
      <c r="BL3" s="14" t="inlineStr"/>
      <c r="BM3" s="14" t="inlineStr"/>
      <c r="BN3" s="14" t="inlineStr"/>
      <c r="BO3" s="14" t="inlineStr"/>
      <c r="BP3" s="14" t="inlineStr"/>
      <c r="BQ3" s="14" t="inlineStr"/>
      <c r="BR3" s="14" t="inlineStr"/>
      <c r="BS3" s="14" t="inlineStr"/>
      <c r="BT3" s="14" t="inlineStr"/>
      <c r="BU3" s="14" t="inlineStr"/>
      <c r="BV3" s="14" t="inlineStr"/>
      <c r="BW3" s="14" t="inlineStr"/>
      <c r="BX3" s="14" t="inlineStr"/>
      <c r="BY3" s="14" t="inlineStr"/>
      <c r="BZ3" s="14" t="inlineStr"/>
      <c r="CA3" s="14" t="inlineStr"/>
      <c r="CB3" s="14" t="inlineStr"/>
      <c r="CC3" s="14" t="inlineStr"/>
      <c r="CD3" s="14" t="inlineStr"/>
      <c r="CE3" s="14" t="inlineStr"/>
      <c r="CF3" s="14" t="inlineStr"/>
      <c r="CG3" s="14" t="inlineStr"/>
      <c r="CH3" s="14" t="inlineStr"/>
      <c r="CI3" s="14" t="inlineStr">
        <is>
          <t>P</t>
        </is>
      </c>
      <c r="CJ3" s="14" t="inlineStr"/>
      <c r="CK3" s="14" t="inlineStr"/>
      <c r="CL3" s="14" t="inlineStr"/>
      <c r="CM3" s="14" t="inlineStr"/>
      <c r="CN3" s="14" t="inlineStr"/>
      <c r="CO3" s="14" t="inlineStr"/>
      <c r="CP3" s="14" t="inlineStr"/>
      <c r="CQ3" s="14" t="inlineStr"/>
      <c r="CR3" s="14" t="inlineStr"/>
      <c r="CS3" s="14" t="inlineStr"/>
    </row>
    <row r="4">
      <c r="A4" s="13" t="inlineStr">
        <is>
          <t>REG-GDPR-33-001</t>
        </is>
      </c>
      <c r="B4" s="13" t="inlineStr">
        <is>
          <t>Notify DPA within 72h of breach</t>
        </is>
      </c>
      <c r="C4" s="13" t="inlineStr">
        <is>
          <t>Reporting</t>
        </is>
      </c>
      <c r="D4" s="13" t="inlineStr">
        <is>
          <t>High</t>
        </is>
      </c>
      <c r="E4" s="14" t="inlineStr"/>
      <c r="F4" s="14" t="inlineStr"/>
      <c r="G4" s="14" t="inlineStr"/>
      <c r="H4" s="14" t="inlineStr"/>
      <c r="I4" s="14" t="inlineStr"/>
      <c r="J4" s="14" t="inlineStr"/>
      <c r="K4" s="14" t="inlineStr"/>
      <c r="L4" s="14" t="inlineStr"/>
      <c r="M4" s="14" t="inlineStr"/>
      <c r="N4" s="14" t="inlineStr"/>
      <c r="O4" s="14" t="inlineStr"/>
      <c r="P4" s="14" t="inlineStr"/>
      <c r="Q4" s="14" t="inlineStr"/>
      <c r="R4" s="14" t="inlineStr"/>
      <c r="S4" s="14" t="inlineStr"/>
      <c r="T4" s="14" t="inlineStr"/>
      <c r="U4" s="14" t="inlineStr"/>
      <c r="V4" s="14" t="inlineStr"/>
      <c r="W4" s="14" t="inlineStr"/>
      <c r="X4" s="14" t="inlineStr"/>
      <c r="Y4" s="14" t="inlineStr"/>
      <c r="Z4" s="14" t="inlineStr"/>
      <c r="AA4" s="14" t="inlineStr"/>
      <c r="AB4" s="14" t="inlineStr"/>
      <c r="AC4" s="14" t="inlineStr">
        <is>
          <t>S</t>
        </is>
      </c>
      <c r="AD4" s="14" t="inlineStr">
        <is>
          <t>P</t>
        </is>
      </c>
      <c r="AE4" s="14" t="inlineStr"/>
      <c r="AF4" s="14" t="inlineStr"/>
      <c r="AG4" s="14" t="inlineStr"/>
      <c r="AH4" s="14" t="inlineStr"/>
      <c r="AI4" s="14" t="inlineStr"/>
      <c r="AJ4" s="14" t="inlineStr"/>
      <c r="AK4" s="14" t="inlineStr"/>
      <c r="AL4" s="14" t="inlineStr"/>
      <c r="AM4" s="14" t="inlineStr"/>
      <c r="AN4" s="14" t="inlineStr"/>
      <c r="AO4" s="14" t="inlineStr"/>
      <c r="AP4" s="14" t="inlineStr"/>
      <c r="AQ4" s="14" t="inlineStr"/>
      <c r="AR4" s="14" t="inlineStr"/>
      <c r="AS4" s="14" t="inlineStr"/>
      <c r="AT4" s="14" t="inlineStr"/>
      <c r="AU4" s="14" t="inlineStr"/>
      <c r="AV4" s="14" t="inlineStr"/>
      <c r="AW4" s="14" t="inlineStr"/>
      <c r="AX4" s="14" t="inlineStr"/>
      <c r="AY4" s="14" t="inlineStr"/>
      <c r="AZ4" s="14" t="inlineStr"/>
      <c r="BA4" s="14" t="inlineStr"/>
      <c r="BB4" s="14" t="inlineStr"/>
      <c r="BC4" s="14" t="inlineStr"/>
      <c r="BD4" s="14" t="inlineStr"/>
      <c r="BE4" s="14" t="inlineStr"/>
      <c r="BF4" s="14" t="inlineStr"/>
      <c r="BG4" s="14" t="inlineStr"/>
      <c r="BH4" s="14" t="inlineStr"/>
      <c r="BI4" s="14" t="inlineStr"/>
      <c r="BJ4" s="14" t="inlineStr"/>
      <c r="BK4" s="14" t="inlineStr"/>
      <c r="BL4" s="14" t="inlineStr"/>
      <c r="BM4" s="14" t="inlineStr"/>
      <c r="BN4" s="14" t="inlineStr"/>
      <c r="BO4" s="14" t="inlineStr"/>
      <c r="BP4" s="14" t="inlineStr"/>
      <c r="BQ4" s="14" t="inlineStr"/>
      <c r="BR4" s="14" t="inlineStr"/>
      <c r="BS4" s="14" t="inlineStr"/>
      <c r="BT4" s="14" t="inlineStr"/>
      <c r="BU4" s="14" t="inlineStr"/>
      <c r="BV4" s="14" t="inlineStr"/>
      <c r="BW4" s="14" t="inlineStr"/>
      <c r="BX4" s="14" t="inlineStr"/>
      <c r="BY4" s="14" t="inlineStr"/>
      <c r="BZ4" s="14" t="inlineStr"/>
      <c r="CA4" s="14" t="inlineStr"/>
      <c r="CB4" s="14" t="inlineStr"/>
      <c r="CC4" s="14" t="inlineStr"/>
      <c r="CD4" s="14" t="inlineStr"/>
      <c r="CE4" s="14" t="inlineStr"/>
      <c r="CF4" s="14" t="inlineStr"/>
      <c r="CG4" s="14" t="inlineStr"/>
      <c r="CH4" s="14" t="inlineStr"/>
      <c r="CI4" s="14" t="inlineStr"/>
      <c r="CJ4" s="14" t="inlineStr"/>
      <c r="CK4" s="14" t="inlineStr"/>
      <c r="CL4" s="14" t="inlineStr"/>
      <c r="CM4" s="14" t="inlineStr"/>
      <c r="CN4" s="14" t="inlineStr"/>
      <c r="CO4" s="14" t="inlineStr"/>
      <c r="CP4" s="14" t="inlineStr"/>
      <c r="CQ4" s="14" t="inlineStr"/>
      <c r="CR4" s="14" t="inlineStr"/>
      <c r="CS4" s="14" t="inlineStr"/>
    </row>
    <row r="5">
      <c r="A5" s="13" t="inlineStr">
        <is>
          <t>REG-GDPR-37-001</t>
        </is>
      </c>
      <c r="B5" s="13" t="inlineStr">
        <is>
          <t>Appoint Data Protection Officer</t>
        </is>
      </c>
      <c r="C5" s="13" t="inlineStr">
        <is>
          <t>Organisational</t>
        </is>
      </c>
      <c r="D5" s="13" t="inlineStr">
        <is>
          <t>High</t>
        </is>
      </c>
      <c r="E5" s="14" t="inlineStr"/>
      <c r="F5" s="14" t="inlineStr">
        <is>
          <t>P</t>
        </is>
      </c>
      <c r="G5" s="14" t="inlineStr"/>
      <c r="H5" s="14" t="inlineStr"/>
      <c r="I5" s="14" t="inlineStr"/>
      <c r="J5" s="14" t="inlineStr"/>
      <c r="K5" s="14" t="inlineStr"/>
      <c r="L5" s="14" t="inlineStr"/>
      <c r="M5" s="14" t="inlineStr"/>
      <c r="N5" s="14" t="inlineStr"/>
      <c r="O5" s="14" t="inlineStr"/>
      <c r="P5" s="14" t="inlineStr"/>
      <c r="Q5" s="14" t="inlineStr"/>
      <c r="R5" s="14" t="inlineStr"/>
      <c r="S5" s="14" t="inlineStr"/>
      <c r="T5" s="14" t="inlineStr"/>
      <c r="U5" s="14" t="inlineStr"/>
      <c r="V5" s="14" t="inlineStr"/>
      <c r="W5" s="14" t="inlineStr"/>
      <c r="X5" s="14" t="inlineStr"/>
      <c r="Y5" s="14" t="inlineStr"/>
      <c r="Z5" s="14" t="inlineStr"/>
      <c r="AA5" s="14" t="inlineStr"/>
      <c r="AB5" s="14" t="inlineStr"/>
      <c r="AC5" s="14" t="inlineStr"/>
      <c r="AD5" s="14" t="inlineStr"/>
      <c r="AE5" s="14" t="inlineStr"/>
      <c r="AF5" s="14" t="inlineStr"/>
      <c r="AG5" s="14" t="inlineStr"/>
      <c r="AH5" s="14" t="inlineStr"/>
      <c r="AI5" s="14" t="inlineStr"/>
      <c r="AJ5" s="14" t="inlineStr"/>
      <c r="AK5" s="14" t="inlineStr"/>
      <c r="AL5" s="14" t="inlineStr"/>
      <c r="AM5" s="14" t="inlineStr"/>
      <c r="AN5" s="14" t="inlineStr"/>
      <c r="AO5" s="14" t="inlineStr"/>
      <c r="AP5" s="14" t="inlineStr">
        <is>
          <t>Su</t>
        </is>
      </c>
      <c r="AQ5" s="14" t="inlineStr"/>
      <c r="AR5" s="14" t="inlineStr"/>
      <c r="AS5" s="14" t="inlineStr"/>
      <c r="AT5" s="14" t="inlineStr"/>
      <c r="AU5" s="14" t="inlineStr"/>
      <c r="AV5" s="14" t="inlineStr"/>
      <c r="AW5" s="14" t="inlineStr"/>
      <c r="AX5" s="14" t="inlineStr"/>
      <c r="AY5" s="14" t="inlineStr"/>
      <c r="AZ5" s="14" t="inlineStr"/>
      <c r="BA5" s="14" t="inlineStr"/>
      <c r="BB5" s="14" t="inlineStr"/>
      <c r="BC5" s="14" t="inlineStr"/>
      <c r="BD5" s="14" t="inlineStr"/>
      <c r="BE5" s="14" t="inlineStr"/>
      <c r="BF5" s="14" t="inlineStr"/>
      <c r="BG5" s="14" t="inlineStr"/>
      <c r="BH5" s="14" t="inlineStr"/>
      <c r="BI5" s="14" t="inlineStr"/>
      <c r="BJ5" s="14" t="inlineStr"/>
      <c r="BK5" s="14" t="inlineStr"/>
      <c r="BL5" s="14" t="inlineStr"/>
      <c r="BM5" s="14" t="inlineStr"/>
      <c r="BN5" s="14" t="inlineStr"/>
      <c r="BO5" s="14" t="inlineStr"/>
      <c r="BP5" s="14" t="inlineStr"/>
      <c r="BQ5" s="14" t="inlineStr"/>
      <c r="BR5" s="14" t="inlineStr"/>
      <c r="BS5" s="14" t="inlineStr"/>
      <c r="BT5" s="14" t="inlineStr"/>
      <c r="BU5" s="14" t="inlineStr"/>
      <c r="BV5" s="14" t="inlineStr"/>
      <c r="BW5" s="14" t="inlineStr"/>
      <c r="BX5" s="14" t="inlineStr"/>
      <c r="BY5" s="14" t="inlineStr"/>
      <c r="BZ5" s="14" t="inlineStr"/>
      <c r="CA5" s="14" t="inlineStr"/>
      <c r="CB5" s="14" t="inlineStr"/>
      <c r="CC5" s="14" t="inlineStr"/>
      <c r="CD5" s="14" t="inlineStr"/>
      <c r="CE5" s="14" t="inlineStr"/>
      <c r="CF5" s="14" t="inlineStr"/>
      <c r="CG5" s="14" t="inlineStr"/>
      <c r="CH5" s="14" t="inlineStr"/>
      <c r="CI5" s="14" t="inlineStr"/>
      <c r="CJ5" s="14" t="inlineStr"/>
      <c r="CK5" s="14" t="inlineStr"/>
      <c r="CL5" s="14" t="inlineStr"/>
      <c r="CM5" s="14" t="inlineStr"/>
      <c r="CN5" s="14" t="inlineStr"/>
      <c r="CO5" s="14" t="inlineStr"/>
      <c r="CP5" s="14" t="inlineStr"/>
      <c r="CQ5" s="14" t="inlineStr"/>
      <c r="CR5" s="14" t="inlineStr"/>
      <c r="CS5" s="14" t="inlineStr"/>
    </row>
    <row r="6">
      <c r="A6" s="13" t="inlineStr">
        <is>
          <t>REG-ISO27001-5.1-001</t>
        </is>
      </c>
      <c r="B6" s="13" t="inlineStr">
        <is>
          <t>Establish information security policies</t>
        </is>
      </c>
      <c r="C6" s="13" t="inlineStr">
        <is>
          <t>Organisational</t>
        </is>
      </c>
      <c r="D6" s="13" t="inlineStr">
        <is>
          <t>High</t>
        </is>
      </c>
      <c r="E6" s="14" t="inlineStr">
        <is>
          <t>P</t>
        </is>
      </c>
      <c r="F6" s="14" t="inlineStr"/>
      <c r="G6" s="14" t="inlineStr"/>
      <c r="H6" s="14" t="inlineStr"/>
      <c r="I6" s="14" t="inlineStr"/>
      <c r="J6" s="14" t="inlineStr"/>
      <c r="K6" s="14" t="inlineStr"/>
      <c r="L6" s="14" t="inlineStr"/>
      <c r="M6" s="14" t="inlineStr"/>
      <c r="N6" s="14" t="inlineStr"/>
      <c r="O6" s="14" t="inlineStr"/>
      <c r="P6" s="14" t="inlineStr"/>
      <c r="Q6" s="14" t="inlineStr"/>
      <c r="R6" s="14" t="inlineStr"/>
      <c r="S6" s="14" t="inlineStr"/>
      <c r="T6" s="14" t="inlineStr"/>
      <c r="U6" s="14" t="inlineStr"/>
      <c r="V6" s="14" t="inlineStr"/>
      <c r="W6" s="14" t="inlineStr"/>
      <c r="X6" s="14" t="inlineStr"/>
      <c r="Y6" s="14" t="inlineStr"/>
      <c r="Z6" s="14" t="inlineStr"/>
      <c r="AA6" s="14" t="inlineStr"/>
      <c r="AB6" s="14" t="inlineStr"/>
      <c r="AC6" s="14" t="inlineStr"/>
      <c r="AD6" s="14" t="inlineStr"/>
      <c r="AE6" s="14" t="inlineStr"/>
      <c r="AF6" s="14" t="inlineStr"/>
      <c r="AG6" s="14" t="inlineStr"/>
      <c r="AH6" s="14" t="inlineStr"/>
      <c r="AI6" s="14" t="inlineStr"/>
      <c r="AJ6" s="14" t="inlineStr"/>
      <c r="AK6" s="14" t="inlineStr"/>
      <c r="AL6" s="14" t="inlineStr"/>
      <c r="AM6" s="14" t="inlineStr"/>
      <c r="AN6" s="14" t="inlineStr"/>
      <c r="AO6" s="14" t="inlineStr"/>
      <c r="AP6" s="14" t="inlineStr"/>
      <c r="AQ6" s="14" t="inlineStr"/>
      <c r="AR6" s="14" t="inlineStr"/>
      <c r="AS6" s="14" t="inlineStr"/>
      <c r="AT6" s="14" t="inlineStr"/>
      <c r="AU6" s="14" t="inlineStr"/>
      <c r="AV6" s="14" t="inlineStr"/>
      <c r="AW6" s="14" t="inlineStr"/>
      <c r="AX6" s="14" t="inlineStr"/>
      <c r="AY6" s="14" t="inlineStr"/>
      <c r="AZ6" s="14" t="inlineStr"/>
      <c r="BA6" s="14" t="inlineStr"/>
      <c r="BB6" s="14" t="inlineStr"/>
      <c r="BC6" s="14" t="inlineStr"/>
      <c r="BD6" s="14" t="inlineStr"/>
      <c r="BE6" s="14" t="inlineStr"/>
      <c r="BF6" s="14" t="inlineStr"/>
      <c r="BG6" s="14" t="inlineStr"/>
      <c r="BH6" s="14" t="inlineStr"/>
      <c r="BI6" s="14" t="inlineStr"/>
      <c r="BJ6" s="14" t="inlineStr"/>
      <c r="BK6" s="14" t="inlineStr"/>
      <c r="BL6" s="14" t="inlineStr"/>
      <c r="BM6" s="14" t="inlineStr"/>
      <c r="BN6" s="14" t="inlineStr"/>
      <c r="BO6" s="14" t="inlineStr"/>
      <c r="BP6" s="14" t="inlineStr"/>
      <c r="BQ6" s="14" t="inlineStr"/>
      <c r="BR6" s="14" t="inlineStr"/>
      <c r="BS6" s="14" t="inlineStr"/>
      <c r="BT6" s="14" t="inlineStr"/>
      <c r="BU6" s="14" t="inlineStr"/>
      <c r="BV6" s="14" t="inlineStr"/>
      <c r="BW6" s="14" t="inlineStr"/>
      <c r="BX6" s="14" t="inlineStr"/>
      <c r="BY6" s="14" t="inlineStr"/>
      <c r="BZ6" s="14" t="inlineStr"/>
      <c r="CA6" s="14" t="inlineStr"/>
      <c r="CB6" s="14" t="inlineStr"/>
      <c r="CC6" s="14" t="inlineStr"/>
      <c r="CD6" s="14" t="inlineStr"/>
      <c r="CE6" s="14" t="inlineStr"/>
      <c r="CF6" s="14" t="inlineStr"/>
      <c r="CG6" s="14" t="inlineStr"/>
      <c r="CH6" s="14" t="inlineStr"/>
      <c r="CI6" s="14" t="inlineStr"/>
      <c r="CJ6" s="14" t="inlineStr"/>
      <c r="CK6" s="14" t="inlineStr"/>
      <c r="CL6" s="14" t="inlineStr"/>
      <c r="CM6" s="14" t="inlineStr"/>
      <c r="CN6" s="14" t="inlineStr"/>
      <c r="CO6" s="14" t="inlineStr"/>
      <c r="CP6" s="14" t="inlineStr"/>
      <c r="CQ6" s="14" t="inlineStr"/>
      <c r="CR6" s="14" t="inlineStr"/>
      <c r="CS6" s="14" t="inlineStr"/>
    </row>
    <row r="7">
      <c r="A7" s="13" t="inlineStr">
        <is>
          <t>REG-ISO27001-6.1-001</t>
        </is>
      </c>
      <c r="B7" s="13" t="inlineStr">
        <is>
          <t>Define risk assessment process</t>
        </is>
      </c>
      <c r="C7" s="13" t="inlineStr">
        <is>
          <t>Organisational</t>
        </is>
      </c>
      <c r="D7" s="13" t="inlineStr">
        <is>
          <t>High</t>
        </is>
      </c>
      <c r="E7" s="14" t="inlineStr"/>
      <c r="F7" s="14" t="inlineStr"/>
      <c r="G7" s="14" t="inlineStr"/>
      <c r="H7" s="14" t="inlineStr"/>
      <c r="I7" s="14" t="inlineStr"/>
      <c r="J7" s="14" t="inlineStr"/>
      <c r="K7" s="14" t="inlineStr">
        <is>
          <t>P</t>
        </is>
      </c>
      <c r="L7" s="14" t="inlineStr"/>
      <c r="M7" s="14" t="inlineStr"/>
      <c r="N7" s="14" t="inlineStr"/>
      <c r="O7" s="14" t="inlineStr"/>
      <c r="P7" s="14" t="inlineStr"/>
      <c r="Q7" s="14" t="inlineStr"/>
      <c r="R7" s="14" t="inlineStr"/>
      <c r="S7" s="14" t="inlineStr"/>
      <c r="T7" s="14" t="inlineStr"/>
      <c r="U7" s="14" t="inlineStr"/>
      <c r="V7" s="14" t="inlineStr"/>
      <c r="W7" s="14" t="inlineStr"/>
      <c r="X7" s="14" t="inlineStr"/>
      <c r="Y7" s="14" t="inlineStr"/>
      <c r="Z7" s="14" t="inlineStr"/>
      <c r="AA7" s="14" t="inlineStr"/>
      <c r="AB7" s="14" t="inlineStr"/>
      <c r="AC7" s="14" t="inlineStr"/>
      <c r="AD7" s="14" t="inlineStr"/>
      <c r="AE7" s="14" t="inlineStr"/>
      <c r="AF7" s="14" t="inlineStr"/>
      <c r="AG7" s="14" t="inlineStr"/>
      <c r="AH7" s="14" t="inlineStr"/>
      <c r="AI7" s="14" t="inlineStr"/>
      <c r="AJ7" s="14" t="inlineStr"/>
      <c r="AK7" s="14" t="inlineStr"/>
      <c r="AL7" s="14" t="inlineStr"/>
      <c r="AM7" s="14" t="inlineStr"/>
      <c r="AN7" s="14" t="inlineStr"/>
      <c r="AO7" s="14" t="inlineStr"/>
      <c r="AP7" s="14" t="inlineStr"/>
      <c r="AQ7" s="14" t="inlineStr"/>
      <c r="AR7" s="14" t="inlineStr"/>
      <c r="AS7" s="14" t="inlineStr"/>
      <c r="AT7" s="14" t="inlineStr"/>
      <c r="AU7" s="14" t="inlineStr"/>
      <c r="AV7" s="14" t="inlineStr"/>
      <c r="AW7" s="14" t="inlineStr"/>
      <c r="AX7" s="14" t="inlineStr"/>
      <c r="AY7" s="14" t="inlineStr"/>
      <c r="AZ7" s="14" t="inlineStr"/>
      <c r="BA7" s="14" t="inlineStr"/>
      <c r="BB7" s="14" t="inlineStr"/>
      <c r="BC7" s="14" t="inlineStr"/>
      <c r="BD7" s="14" t="inlineStr"/>
      <c r="BE7" s="14" t="inlineStr"/>
      <c r="BF7" s="14" t="inlineStr"/>
      <c r="BG7" s="14" t="inlineStr"/>
      <c r="BH7" s="14" t="inlineStr"/>
      <c r="BI7" s="14" t="inlineStr"/>
      <c r="BJ7" s="14" t="inlineStr"/>
      <c r="BK7" s="14" t="inlineStr"/>
      <c r="BL7" s="14" t="inlineStr"/>
      <c r="BM7" s="14" t="inlineStr"/>
      <c r="BN7" s="14" t="inlineStr"/>
      <c r="BO7" s="14" t="inlineStr"/>
      <c r="BP7" s="14" t="inlineStr"/>
      <c r="BQ7" s="14" t="inlineStr"/>
      <c r="BR7" s="14" t="inlineStr"/>
      <c r="BS7" s="14" t="inlineStr">
        <is>
          <t>S</t>
        </is>
      </c>
      <c r="BT7" s="14" t="inlineStr"/>
      <c r="BU7" s="14" t="inlineStr"/>
      <c r="BV7" s="14" t="inlineStr"/>
      <c r="BW7" s="14" t="inlineStr"/>
      <c r="BX7" s="14" t="inlineStr"/>
      <c r="BY7" s="14" t="inlineStr"/>
      <c r="BZ7" s="14" t="inlineStr"/>
      <c r="CA7" s="14" t="inlineStr"/>
      <c r="CB7" s="14" t="inlineStr"/>
      <c r="CC7" s="14" t="inlineStr"/>
      <c r="CD7" s="14" t="inlineStr"/>
      <c r="CE7" s="14" t="inlineStr"/>
      <c r="CF7" s="14" t="inlineStr"/>
      <c r="CG7" s="14" t="inlineStr"/>
      <c r="CH7" s="14" t="inlineStr"/>
      <c r="CI7" s="14" t="inlineStr"/>
      <c r="CJ7" s="14" t="inlineStr"/>
      <c r="CK7" s="14" t="inlineStr"/>
      <c r="CL7" s="14" t="inlineStr"/>
      <c r="CM7" s="14" t="inlineStr"/>
      <c r="CN7" s="14" t="inlineStr"/>
      <c r="CO7" s="14" t="inlineStr"/>
      <c r="CP7" s="14" t="inlineStr"/>
      <c r="CQ7" s="14" t="inlineStr"/>
      <c r="CR7" s="14" t="inlineStr"/>
      <c r="CS7" s="14" t="inlineStr"/>
    </row>
    <row r="8">
      <c r="A8" s="13" t="inlineStr">
        <is>
          <t>REG-ISO27001-8.1-001</t>
        </is>
      </c>
      <c r="B8" s="13" t="inlineStr">
        <is>
          <t>Implement Annex A controls</t>
        </is>
      </c>
      <c r="C8" s="13" t="inlineStr">
        <is>
          <t>Technical</t>
        </is>
      </c>
      <c r="D8" s="13" t="inlineStr">
        <is>
          <t>High</t>
        </is>
      </c>
      <c r="E8" s="14" t="inlineStr"/>
      <c r="F8" s="14" t="inlineStr"/>
      <c r="G8" s="14" t="inlineStr"/>
      <c r="H8" s="14" t="inlineStr"/>
      <c r="I8" s="14" t="inlineStr"/>
      <c r="J8" s="14" t="inlineStr"/>
      <c r="K8" s="14" t="inlineStr"/>
      <c r="L8" s="14" t="inlineStr"/>
      <c r="M8" s="14" t="inlineStr"/>
      <c r="N8" s="14" t="inlineStr"/>
      <c r="O8" s="14" t="inlineStr"/>
      <c r="P8" s="14" t="inlineStr"/>
      <c r="Q8" s="14" t="inlineStr"/>
      <c r="R8" s="14" t="inlineStr"/>
      <c r="S8" s="14" t="inlineStr"/>
      <c r="T8" s="14" t="inlineStr"/>
      <c r="U8" s="14" t="inlineStr"/>
      <c r="V8" s="14" t="inlineStr"/>
      <c r="W8" s="14" t="inlineStr"/>
      <c r="X8" s="14" t="inlineStr"/>
      <c r="Y8" s="14" t="inlineStr"/>
      <c r="Z8" s="14" t="inlineStr"/>
      <c r="AA8" s="14" t="inlineStr"/>
      <c r="AB8" s="14" t="inlineStr"/>
      <c r="AC8" s="14" t="inlineStr"/>
      <c r="AD8" s="14" t="inlineStr"/>
      <c r="AE8" s="14" t="inlineStr"/>
      <c r="AF8" s="14" t="inlineStr"/>
      <c r="AG8" s="14" t="inlineStr"/>
      <c r="AH8" s="14" t="inlineStr"/>
      <c r="AI8" s="14" t="inlineStr"/>
      <c r="AJ8" s="14" t="inlineStr"/>
      <c r="AK8" s="14" t="inlineStr"/>
      <c r="AL8" s="14" t="inlineStr"/>
      <c r="AM8" s="14" t="inlineStr"/>
      <c r="AN8" s="14" t="inlineStr"/>
      <c r="AO8" s="14" t="inlineStr"/>
      <c r="AP8" s="14" t="inlineStr"/>
      <c r="AQ8" s="14" t="inlineStr"/>
      <c r="AR8" s="14" t="inlineStr"/>
      <c r="AS8" s="14" t="inlineStr"/>
      <c r="AT8" s="14" t="inlineStr"/>
      <c r="AU8" s="14" t="inlineStr"/>
      <c r="AV8" s="14" t="inlineStr"/>
      <c r="AW8" s="14" t="inlineStr"/>
      <c r="AX8" s="14" t="inlineStr"/>
      <c r="AY8" s="14" t="inlineStr"/>
      <c r="AZ8" s="14" t="inlineStr"/>
      <c r="BA8" s="14" t="inlineStr"/>
      <c r="BB8" s="14" t="inlineStr"/>
      <c r="BC8" s="14" t="inlineStr"/>
      <c r="BD8" s="14" t="inlineStr"/>
      <c r="BE8" s="14" t="inlineStr"/>
      <c r="BF8" s="14" t="inlineStr"/>
      <c r="BG8" s="14" t="inlineStr"/>
      <c r="BH8" s="14" t="inlineStr"/>
      <c r="BI8" s="14" t="inlineStr"/>
      <c r="BJ8" s="14" t="inlineStr"/>
      <c r="BK8" s="14" t="inlineStr"/>
      <c r="BL8" s="14" t="inlineStr"/>
      <c r="BM8" s="14" t="inlineStr"/>
      <c r="BN8" s="14" t="inlineStr"/>
      <c r="BO8" s="14" t="inlineStr"/>
      <c r="BP8" s="14" t="inlineStr"/>
      <c r="BQ8" s="14" t="inlineStr"/>
      <c r="BR8" s="14" t="inlineStr"/>
      <c r="BS8" s="14" t="inlineStr"/>
      <c r="BT8" s="14" t="inlineStr"/>
      <c r="BU8" s="14" t="inlineStr"/>
      <c r="BV8" s="14" t="inlineStr"/>
      <c r="BW8" s="14" t="inlineStr"/>
      <c r="BX8" s="14" t="inlineStr"/>
      <c r="BY8" s="14" t="inlineStr"/>
      <c r="BZ8" s="14" t="inlineStr"/>
      <c r="CA8" s="14" t="inlineStr"/>
      <c r="CB8" s="14" t="inlineStr"/>
      <c r="CC8" s="14" t="inlineStr"/>
      <c r="CD8" s="14" t="inlineStr"/>
      <c r="CE8" s="14" t="inlineStr"/>
      <c r="CF8" s="14" t="inlineStr"/>
      <c r="CG8" s="14" t="inlineStr"/>
      <c r="CH8" s="14" t="inlineStr"/>
      <c r="CI8" s="14" t="inlineStr"/>
      <c r="CJ8" s="14" t="inlineStr"/>
      <c r="CK8" s="14" t="inlineStr"/>
      <c r="CL8" s="14" t="inlineStr"/>
      <c r="CM8" s="14" t="inlineStr"/>
      <c r="CN8" s="14" t="inlineStr"/>
      <c r="CO8" s="14" t="inlineStr"/>
      <c r="CP8" s="14" t="inlineStr"/>
      <c r="CQ8" s="14" t="inlineStr"/>
      <c r="CR8" s="14" t="inlineStr"/>
      <c r="CS8" s="14" t="inlineStr"/>
    </row>
    <row r="9">
      <c r="A9" s="13" t="inlineStr">
        <is>
          <t>REG-FADP-7-001</t>
        </is>
      </c>
      <c r="B9" s="13" t="inlineStr">
        <is>
          <t>Risk-appropriate protection measures</t>
        </is>
      </c>
      <c r="C9" s="13" t="inlineStr">
        <is>
          <t>Technical</t>
        </is>
      </c>
      <c r="D9" s="13" t="inlineStr">
        <is>
          <t>High</t>
        </is>
      </c>
      <c r="E9" s="14" t="inlineStr"/>
      <c r="F9" s="14" t="inlineStr"/>
      <c r="G9" s="14" t="inlineStr"/>
      <c r="H9" s="14" t="inlineStr"/>
      <c r="I9" s="14" t="inlineStr"/>
      <c r="J9" s="14" t="inlineStr"/>
      <c r="K9" s="14" t="inlineStr"/>
      <c r="L9" s="14" t="inlineStr"/>
      <c r="M9" s="14" t="inlineStr"/>
      <c r="N9" s="14" t="inlineStr">
        <is>
          <t>P</t>
        </is>
      </c>
      <c r="O9" s="14" t="inlineStr"/>
      <c r="P9" s="14" t="inlineStr"/>
      <c r="Q9" s="14" t="inlineStr"/>
      <c r="R9" s="14" t="inlineStr">
        <is>
          <t>S</t>
        </is>
      </c>
      <c r="S9" s="14" t="inlineStr"/>
      <c r="T9" s="14" t="inlineStr"/>
      <c r="U9" s="14" t="inlineStr"/>
      <c r="V9" s="14" t="inlineStr"/>
      <c r="W9" s="14" t="inlineStr"/>
      <c r="X9" s="14" t="inlineStr"/>
      <c r="Y9" s="14" t="inlineStr"/>
      <c r="Z9" s="14" t="inlineStr"/>
      <c r="AA9" s="14" t="inlineStr"/>
      <c r="AB9" s="14" t="inlineStr"/>
      <c r="AC9" s="14" t="inlineStr"/>
      <c r="AD9" s="14" t="inlineStr"/>
      <c r="AE9" s="14" t="inlineStr"/>
      <c r="AF9" s="14" t="inlineStr"/>
      <c r="AG9" s="14" t="inlineStr"/>
      <c r="AH9" s="14" t="inlineStr"/>
      <c r="AI9" s="14" t="inlineStr"/>
      <c r="AJ9" s="14" t="inlineStr"/>
      <c r="AK9" s="14" t="inlineStr"/>
      <c r="AL9" s="14" t="inlineStr"/>
      <c r="AM9" s="14" t="inlineStr"/>
      <c r="AN9" s="14" t="inlineStr"/>
      <c r="AO9" s="14" t="inlineStr"/>
      <c r="AP9" s="14" t="inlineStr"/>
      <c r="AQ9" s="14" t="inlineStr"/>
      <c r="AR9" s="14" t="inlineStr"/>
      <c r="AS9" s="14" t="inlineStr"/>
      <c r="AT9" s="14" t="inlineStr"/>
      <c r="AU9" s="14" t="inlineStr"/>
      <c r="AV9" s="14" t="inlineStr"/>
      <c r="AW9" s="14" t="inlineStr"/>
      <c r="AX9" s="14" t="inlineStr"/>
      <c r="AY9" s="14" t="inlineStr"/>
      <c r="AZ9" s="14" t="inlineStr"/>
      <c r="BA9" s="14" t="inlineStr"/>
      <c r="BB9" s="14" t="inlineStr"/>
      <c r="BC9" s="14" t="inlineStr"/>
      <c r="BD9" s="14" t="inlineStr"/>
      <c r="BE9" s="14" t="inlineStr"/>
      <c r="BF9" s="14" t="inlineStr"/>
      <c r="BG9" s="14" t="inlineStr"/>
      <c r="BH9" s="14" t="inlineStr"/>
      <c r="BI9" s="14" t="inlineStr"/>
      <c r="BJ9" s="14" t="inlineStr"/>
      <c r="BK9" s="14" t="inlineStr"/>
      <c r="BL9" s="14" t="inlineStr"/>
      <c r="BM9" s="14" t="inlineStr"/>
      <c r="BN9" s="14" t="inlineStr"/>
      <c r="BO9" s="14" t="inlineStr"/>
      <c r="BP9" s="14" t="inlineStr"/>
      <c r="BQ9" s="14" t="inlineStr"/>
      <c r="BR9" s="14" t="inlineStr"/>
      <c r="BS9" s="14" t="inlineStr"/>
      <c r="BT9" s="14" t="inlineStr"/>
      <c r="BU9" s="14" t="inlineStr"/>
      <c r="BV9" s="14" t="inlineStr"/>
      <c r="BW9" s="14" t="inlineStr"/>
      <c r="BX9" s="14" t="inlineStr"/>
      <c r="BY9" s="14" t="inlineStr"/>
      <c r="BZ9" s="14" t="inlineStr"/>
      <c r="CA9" s="14" t="inlineStr"/>
      <c r="CB9" s="14" t="inlineStr"/>
      <c r="CC9" s="14" t="inlineStr"/>
      <c r="CD9" s="14" t="inlineStr"/>
      <c r="CE9" s="14" t="inlineStr"/>
      <c r="CF9" s="14" t="inlineStr"/>
      <c r="CG9" s="14" t="inlineStr"/>
      <c r="CH9" s="14" t="inlineStr"/>
      <c r="CI9" s="14" t="inlineStr">
        <is>
          <t>S</t>
        </is>
      </c>
      <c r="CJ9" s="14" t="inlineStr"/>
      <c r="CK9" s="14" t="inlineStr"/>
      <c r="CL9" s="14" t="inlineStr"/>
      <c r="CM9" s="14" t="inlineStr"/>
      <c r="CN9" s="14" t="inlineStr"/>
      <c r="CO9" s="14" t="inlineStr"/>
      <c r="CP9" s="14" t="inlineStr"/>
      <c r="CQ9" s="14" t="inlineStr"/>
      <c r="CR9" s="14" t="inlineStr"/>
      <c r="CS9" s="14" t="inlineStr"/>
    </row>
    <row r="10">
      <c r="A10" s="13" t="inlineStr">
        <is>
          <t>REG-FADP-24-001</t>
        </is>
      </c>
      <c r="B10" s="13" t="inlineStr">
        <is>
          <t>Notify FDPIC of high-risk breaches</t>
        </is>
      </c>
      <c r="C10" s="13" t="inlineStr">
        <is>
          <t>Reporting</t>
        </is>
      </c>
      <c r="D10" s="13" t="inlineStr">
        <is>
          <t>High</t>
        </is>
      </c>
      <c r="E10" s="14" t="inlineStr"/>
      <c r="F10" s="14" t="inlineStr"/>
      <c r="G10" s="14" t="inlineStr"/>
      <c r="H10" s="14" t="inlineStr"/>
      <c r="I10" s="14" t="inlineStr"/>
      <c r="J10" s="14" t="inlineStr"/>
      <c r="K10" s="14" t="inlineStr"/>
      <c r="L10" s="14" t="inlineStr"/>
      <c r="M10" s="14" t="inlineStr"/>
      <c r="N10" s="14" t="inlineStr"/>
      <c r="O10" s="14" t="inlineStr"/>
      <c r="P10" s="14" t="inlineStr"/>
      <c r="Q10" s="14" t="inlineStr"/>
      <c r="R10" s="14" t="inlineStr"/>
      <c r="S10" s="14" t="inlineStr"/>
      <c r="T10" s="14" t="inlineStr"/>
      <c r="U10" s="14" t="inlineStr"/>
      <c r="V10" s="14" t="inlineStr"/>
      <c r="W10" s="14" t="inlineStr"/>
      <c r="X10" s="14" t="inlineStr"/>
      <c r="Y10" s="14" t="inlineStr"/>
      <c r="Z10" s="14" t="inlineStr"/>
      <c r="AA10" s="14" t="inlineStr"/>
      <c r="AB10" s="14" t="inlineStr"/>
      <c r="AC10" s="14" t="inlineStr">
        <is>
          <t>S</t>
        </is>
      </c>
      <c r="AD10" s="14" t="inlineStr">
        <is>
          <t>P</t>
        </is>
      </c>
      <c r="AE10" s="14" t="inlineStr"/>
      <c r="AF10" s="14" t="inlineStr"/>
      <c r="AG10" s="14" t="inlineStr"/>
      <c r="AH10" s="14" t="inlineStr"/>
      <c r="AI10" s="14" t="inlineStr"/>
      <c r="AJ10" s="14" t="inlineStr"/>
      <c r="AK10" s="14" t="inlineStr"/>
      <c r="AL10" s="14" t="inlineStr"/>
      <c r="AM10" s="14" t="inlineStr"/>
      <c r="AN10" s="14" t="inlineStr"/>
      <c r="AO10" s="14" t="inlineStr"/>
      <c r="AP10" s="14" t="inlineStr"/>
      <c r="AQ10" s="14" t="inlineStr"/>
      <c r="AR10" s="14" t="inlineStr"/>
      <c r="AS10" s="14" t="inlineStr"/>
      <c r="AT10" s="14" t="inlineStr"/>
      <c r="AU10" s="14" t="inlineStr"/>
      <c r="AV10" s="14" t="inlineStr"/>
      <c r="AW10" s="14" t="inlineStr"/>
      <c r="AX10" s="14" t="inlineStr"/>
      <c r="AY10" s="14" t="inlineStr"/>
      <c r="AZ10" s="14" t="inlineStr"/>
      <c r="BA10" s="14" t="inlineStr"/>
      <c r="BB10" s="14" t="inlineStr"/>
      <c r="BC10" s="14" t="inlineStr"/>
      <c r="BD10" s="14" t="inlineStr"/>
      <c r="BE10" s="14" t="inlineStr"/>
      <c r="BF10" s="14" t="inlineStr"/>
      <c r="BG10" s="14" t="inlineStr"/>
      <c r="BH10" s="14" t="inlineStr"/>
      <c r="BI10" s="14" t="inlineStr"/>
      <c r="BJ10" s="14" t="inlineStr"/>
      <c r="BK10" s="14" t="inlineStr"/>
      <c r="BL10" s="14" t="inlineStr"/>
      <c r="BM10" s="14" t="inlineStr"/>
      <c r="BN10" s="14" t="inlineStr"/>
      <c r="BO10" s="14" t="inlineStr"/>
      <c r="BP10" s="14" t="inlineStr"/>
      <c r="BQ10" s="14" t="inlineStr"/>
      <c r="BR10" s="14" t="inlineStr"/>
      <c r="BS10" s="14" t="inlineStr"/>
      <c r="BT10" s="14" t="inlineStr"/>
      <c r="BU10" s="14" t="inlineStr"/>
      <c r="BV10" s="14" t="inlineStr"/>
      <c r="BW10" s="14" t="inlineStr"/>
      <c r="BX10" s="14" t="inlineStr"/>
      <c r="BY10" s="14" t="inlineStr"/>
      <c r="BZ10" s="14" t="inlineStr"/>
      <c r="CA10" s="14" t="inlineStr"/>
      <c r="CB10" s="14" t="inlineStr"/>
      <c r="CC10" s="14" t="inlineStr"/>
      <c r="CD10" s="14" t="inlineStr"/>
      <c r="CE10" s="14" t="inlineStr"/>
      <c r="CF10" s="14" t="inlineStr"/>
      <c r="CG10" s="14" t="inlineStr"/>
      <c r="CH10" s="14" t="inlineStr"/>
      <c r="CI10" s="14" t="inlineStr"/>
      <c r="CJ10" s="14" t="inlineStr"/>
      <c r="CK10" s="14" t="inlineStr"/>
      <c r="CL10" s="14" t="inlineStr"/>
      <c r="CM10" s="14" t="inlineStr"/>
      <c r="CN10" s="14" t="inlineStr"/>
      <c r="CO10" s="14" t="inlineStr"/>
      <c r="CP10" s="14" t="inlineStr"/>
      <c r="CQ10" s="14" t="inlineStr"/>
      <c r="CR10" s="14" t="inlineStr"/>
      <c r="CS10" s="14" t="inlineStr"/>
    </row>
    <row r="11">
      <c r="A11" s="13" t="inlineStr">
        <is>
          <t>REG-NIS2-21-001</t>
        </is>
      </c>
      <c r="B11" s="13" t="inlineStr">
        <is>
          <t>Risk management for network security</t>
        </is>
      </c>
      <c r="C11" s="13" t="inlineStr">
        <is>
          <t>Technical</t>
        </is>
      </c>
      <c r="D11" s="13" t="inlineStr">
        <is>
          <t>Medium</t>
        </is>
      </c>
      <c r="E11" s="14" t="inlineStr"/>
      <c r="F11" s="14" t="inlineStr"/>
      <c r="G11" s="14" t="inlineStr"/>
      <c r="H11" s="14" t="inlineStr"/>
      <c r="I11" s="14" t="inlineStr"/>
      <c r="J11" s="14" t="inlineStr"/>
      <c r="K11" s="14" t="inlineStr">
        <is>
          <t>P</t>
        </is>
      </c>
      <c r="L11" s="14" t="inlineStr"/>
      <c r="M11" s="14" t="inlineStr"/>
      <c r="N11" s="14" t="inlineStr"/>
      <c r="O11" s="14" t="inlineStr"/>
      <c r="P11" s="14" t="inlineStr"/>
      <c r="Q11" s="14" t="inlineStr"/>
      <c r="R11" s="14" t="inlineStr"/>
      <c r="S11" s="14" t="inlineStr"/>
      <c r="T11" s="14" t="inlineStr"/>
      <c r="U11" s="14" t="inlineStr"/>
      <c r="V11" s="14" t="inlineStr"/>
      <c r="W11" s="14" t="inlineStr"/>
      <c r="X11" s="14" t="inlineStr"/>
      <c r="Y11" s="14" t="inlineStr"/>
      <c r="Z11" s="14" t="inlineStr"/>
      <c r="AA11" s="14" t="inlineStr"/>
      <c r="AB11" s="14" t="inlineStr"/>
      <c r="AC11" s="14" t="inlineStr"/>
      <c r="AD11" s="14" t="inlineStr"/>
      <c r="AE11" s="14" t="inlineStr"/>
      <c r="AF11" s="14" t="inlineStr"/>
      <c r="AG11" s="14" t="inlineStr"/>
      <c r="AH11" s="14" t="inlineStr"/>
      <c r="AI11" s="14" t="inlineStr"/>
      <c r="AJ11" s="14" t="inlineStr"/>
      <c r="AK11" s="14" t="inlineStr"/>
      <c r="AL11" s="14" t="inlineStr"/>
      <c r="AM11" s="14" t="inlineStr"/>
      <c r="AN11" s="14" t="inlineStr"/>
      <c r="AO11" s="14" t="inlineStr"/>
      <c r="AP11" s="14" t="inlineStr"/>
      <c r="AQ11" s="14" t="inlineStr"/>
      <c r="AR11" s="14" t="inlineStr"/>
      <c r="AS11" s="14" t="inlineStr"/>
      <c r="AT11" s="14" t="inlineStr"/>
      <c r="AU11" s="14" t="inlineStr"/>
      <c r="AV11" s="14" t="inlineStr"/>
      <c r="AW11" s="14" t="inlineStr"/>
      <c r="AX11" s="14" t="inlineStr"/>
      <c r="AY11" s="14" t="inlineStr"/>
      <c r="AZ11" s="14" t="inlineStr"/>
      <c r="BA11" s="14" t="inlineStr"/>
      <c r="BB11" s="14" t="inlineStr"/>
      <c r="BC11" s="14" t="inlineStr"/>
      <c r="BD11" s="14" t="inlineStr"/>
      <c r="BE11" s="14" t="inlineStr"/>
      <c r="BF11" s="14" t="inlineStr"/>
      <c r="BG11" s="14" t="inlineStr"/>
      <c r="BH11" s="14" t="inlineStr"/>
      <c r="BI11" s="14" t="inlineStr"/>
      <c r="BJ11" s="14" t="inlineStr"/>
      <c r="BK11" s="14" t="inlineStr"/>
      <c r="BL11" s="14" t="inlineStr"/>
      <c r="BM11" s="14" t="inlineStr"/>
      <c r="BN11" s="14" t="inlineStr"/>
      <c r="BO11" s="14" t="inlineStr"/>
      <c r="BP11" s="14" t="inlineStr"/>
      <c r="BQ11" s="14" t="inlineStr"/>
      <c r="BR11" s="14" t="inlineStr"/>
      <c r="BS11" s="14" t="inlineStr">
        <is>
          <t>S</t>
        </is>
      </c>
      <c r="BT11" s="14" t="inlineStr"/>
      <c r="BU11" s="14" t="inlineStr"/>
      <c r="BV11" s="14" t="inlineStr"/>
      <c r="BW11" s="14" t="inlineStr"/>
      <c r="BX11" s="14" t="inlineStr"/>
      <c r="BY11" s="14" t="inlineStr"/>
      <c r="BZ11" s="14" t="inlineStr"/>
      <c r="CA11" s="14" t="inlineStr"/>
      <c r="CB11" s="14" t="inlineStr"/>
      <c r="CC11" s="14" t="inlineStr"/>
      <c r="CD11" s="14" t="inlineStr"/>
      <c r="CE11" s="14" t="inlineStr">
        <is>
          <t>S</t>
        </is>
      </c>
      <c r="CF11" s="14" t="inlineStr"/>
      <c r="CG11" s="14" t="inlineStr"/>
      <c r="CH11" s="14" t="inlineStr"/>
      <c r="CI11" s="14" t="inlineStr"/>
      <c r="CJ11" s="14" t="inlineStr"/>
      <c r="CK11" s="14" t="inlineStr"/>
      <c r="CL11" s="14" t="inlineStr"/>
      <c r="CM11" s="14" t="inlineStr"/>
      <c r="CN11" s="14" t="inlineStr"/>
      <c r="CO11" s="14" t="inlineStr"/>
      <c r="CP11" s="14" t="inlineStr"/>
      <c r="CQ11" s="14" t="inlineStr"/>
      <c r="CR11" s="14" t="inlineStr"/>
      <c r="CS11" s="14" t="inlineStr"/>
    </row>
    <row r="12">
      <c r="A12" s="13" t="inlineStr">
        <is>
          <t>REG-NIS2-23-001</t>
        </is>
      </c>
      <c r="B12" s="13" t="inlineStr">
        <is>
          <t>Incident notification to CSIRT</t>
        </is>
      </c>
      <c r="C12" s="13" t="inlineStr">
        <is>
          <t>Reporting</t>
        </is>
      </c>
      <c r="D12" s="13" t="inlineStr">
        <is>
          <t>Medium</t>
        </is>
      </c>
      <c r="E12" s="14" t="inlineStr"/>
      <c r="F12" s="14" t="inlineStr"/>
      <c r="G12" s="14" t="inlineStr"/>
      <c r="H12" s="14" t="inlineStr"/>
      <c r="I12" s="14" t="inlineStr"/>
      <c r="J12" s="14" t="inlineStr"/>
      <c r="K12" s="14" t="inlineStr"/>
      <c r="L12" s="14" t="inlineStr"/>
      <c r="M12" s="14" t="inlineStr"/>
      <c r="N12" s="14" t="inlineStr"/>
      <c r="O12" s="14" t="inlineStr"/>
      <c r="P12" s="14" t="inlineStr"/>
      <c r="Q12" s="14" t="inlineStr"/>
      <c r="R12" s="14" t="inlineStr"/>
      <c r="S12" s="14" t="inlineStr"/>
      <c r="T12" s="14" t="inlineStr"/>
      <c r="U12" s="14" t="inlineStr"/>
      <c r="V12" s="14" t="inlineStr"/>
      <c r="W12" s="14" t="inlineStr"/>
      <c r="X12" s="14" t="inlineStr"/>
      <c r="Y12" s="14" t="inlineStr"/>
      <c r="Z12" s="14" t="inlineStr"/>
      <c r="AA12" s="14" t="inlineStr"/>
      <c r="AB12" s="14" t="inlineStr"/>
      <c r="AC12" s="14" t="inlineStr"/>
      <c r="AD12" s="14" t="inlineStr">
        <is>
          <t>P</t>
        </is>
      </c>
      <c r="AE12" s="14" t="inlineStr">
        <is>
          <t>Su</t>
        </is>
      </c>
      <c r="AF12" s="14" t="inlineStr"/>
      <c r="AG12" s="14" t="inlineStr"/>
      <c r="AH12" s="14" t="inlineStr"/>
      <c r="AI12" s="14" t="inlineStr"/>
      <c r="AJ12" s="14" t="inlineStr"/>
      <c r="AK12" s="14" t="inlineStr"/>
      <c r="AL12" s="14" t="inlineStr"/>
      <c r="AM12" s="14" t="inlineStr"/>
      <c r="AN12" s="14" t="inlineStr"/>
      <c r="AO12" s="14" t="inlineStr"/>
      <c r="AP12" s="14" t="inlineStr"/>
      <c r="AQ12" s="14" t="inlineStr"/>
      <c r="AR12" s="14" t="inlineStr"/>
      <c r="AS12" s="14" t="inlineStr"/>
      <c r="AT12" s="14" t="inlineStr"/>
      <c r="AU12" s="14" t="inlineStr"/>
      <c r="AV12" s="14" t="inlineStr"/>
      <c r="AW12" s="14" t="inlineStr"/>
      <c r="AX12" s="14" t="inlineStr"/>
      <c r="AY12" s="14" t="inlineStr"/>
      <c r="AZ12" s="14" t="inlineStr"/>
      <c r="BA12" s="14" t="inlineStr"/>
      <c r="BB12" s="14" t="inlineStr"/>
      <c r="BC12" s="14" t="inlineStr"/>
      <c r="BD12" s="14" t="inlineStr"/>
      <c r="BE12" s="14" t="inlineStr"/>
      <c r="BF12" s="14" t="inlineStr"/>
      <c r="BG12" s="14" t="inlineStr"/>
      <c r="BH12" s="14" t="inlineStr"/>
      <c r="BI12" s="14" t="inlineStr"/>
      <c r="BJ12" s="14" t="inlineStr"/>
      <c r="BK12" s="14" t="inlineStr"/>
      <c r="BL12" s="14" t="inlineStr"/>
      <c r="BM12" s="14" t="inlineStr"/>
      <c r="BN12" s="14" t="inlineStr"/>
      <c r="BO12" s="14" t="inlineStr"/>
      <c r="BP12" s="14" t="inlineStr"/>
      <c r="BQ12" s="14" t="inlineStr"/>
      <c r="BR12" s="14" t="inlineStr"/>
      <c r="BS12" s="14" t="inlineStr"/>
      <c r="BT12" s="14" t="inlineStr"/>
      <c r="BU12" s="14" t="inlineStr"/>
      <c r="BV12" s="14" t="inlineStr"/>
      <c r="BW12" s="14" t="inlineStr"/>
      <c r="BX12" s="14" t="inlineStr"/>
      <c r="BY12" s="14" t="inlineStr"/>
      <c r="BZ12" s="14" t="inlineStr"/>
      <c r="CA12" s="14" t="inlineStr"/>
      <c r="CB12" s="14" t="inlineStr"/>
      <c r="CC12" s="14" t="inlineStr"/>
      <c r="CD12" s="14" t="inlineStr"/>
      <c r="CE12" s="14" t="inlineStr"/>
      <c r="CF12" s="14" t="inlineStr"/>
      <c r="CG12" s="14" t="inlineStr"/>
      <c r="CH12" s="14" t="inlineStr"/>
      <c r="CI12" s="14" t="inlineStr"/>
      <c r="CJ12" s="14" t="inlineStr"/>
      <c r="CK12" s="14" t="inlineStr"/>
      <c r="CL12" s="14" t="inlineStr"/>
      <c r="CM12" s="14" t="inlineStr"/>
      <c r="CN12" s="14" t="inlineStr"/>
      <c r="CO12" s="14" t="inlineStr"/>
      <c r="CP12" s="14" t="inlineStr"/>
      <c r="CQ12" s="14" t="inlineStr"/>
      <c r="CR12" s="14" t="inlineStr"/>
      <c r="CS12" s="14" t="inlineStr"/>
    </row>
  </sheetData>
  <mergeCells count="1">
    <mergeCell ref="A1:CS1"/>
  </mergeCells>
  <conditionalFormatting sqref="E3:CS100">
    <cfRule type="cellIs" priority="1" operator="equal" dxfId="0">
      <formula>"P"</formula>
    </cfRule>
    <cfRule type="cellIs" priority="2" operator="equal" dxfId="1">
      <formula>"S"</formula>
    </cfRule>
    <cfRule type="cellIs" priority="3" operator="equal" dxfId="2">
      <formula>"Su"</formula>
    </cfRule>
  </conditionalFormatting>
  <dataValidations count="1">
    <dataValidation sqref="E3:CS100" showDropDown="0" showInputMessage="0" showErrorMessage="0" allowBlank="1" errorTitle="Invalid Mapping" error="Please enter P, S, Su, or leave blank" type="list">
      <formula1>"P,S,Su,"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18" customWidth="1" min="3" max="3"/>
    <col width="20" customWidth="1" min="4" max="4"/>
    <col width="60" customWidth="1" min="5" max="5"/>
  </cols>
  <sheetData>
    <row r="1" ht="35" customHeight="1">
      <c r="A1" s="10" t="inlineStr">
        <is>
          <t>ISO/IEC 27001:2022 ANNEX A CONTROLS REFERENCE</t>
        </is>
      </c>
    </row>
    <row r="2">
      <c r="A2" s="15" t="inlineStr">
        <is>
          <t>Control ID</t>
        </is>
      </c>
      <c r="B2" s="15" t="inlineStr">
        <is>
          <t>Control Name</t>
        </is>
      </c>
      <c r="C2" s="15" t="inlineStr">
        <is>
          <t>Control Type</t>
        </is>
      </c>
      <c r="D2" s="15" t="inlineStr">
        <is>
          <t>Section</t>
        </is>
      </c>
      <c r="E2" s="15" t="inlineStr">
        <is>
          <t>Brief Description</t>
        </is>
      </c>
    </row>
    <row r="3">
      <c r="A3" s="16" t="inlineStr">
        <is>
          <t>A.5.1</t>
        </is>
      </c>
      <c r="B3" s="16" t="inlineStr">
        <is>
          <t>Policies for information security</t>
        </is>
      </c>
      <c r="C3" s="16" t="inlineStr">
        <is>
          <t>Organisational</t>
        </is>
      </c>
      <c r="D3" s="16" t="inlineStr">
        <is>
          <t>5 - Organisational Controls</t>
        </is>
      </c>
      <c r="E3" s="16" t="inlineStr">
        <is>
          <t>Policies for information security requirements</t>
        </is>
      </c>
    </row>
    <row r="4">
      <c r="A4" s="16" t="inlineStr">
        <is>
          <t>A.5.2</t>
        </is>
      </c>
      <c r="B4" s="16" t="inlineStr">
        <is>
          <t>Information security roles and responsibilities</t>
        </is>
      </c>
      <c r="C4" s="16" t="inlineStr">
        <is>
          <t>Organisational</t>
        </is>
      </c>
      <c r="D4" s="16" t="inlineStr">
        <is>
          <t>5 - Organisational Controls</t>
        </is>
      </c>
      <c r="E4" s="16" t="inlineStr">
        <is>
          <t>Information security roles and responsibilities requirements</t>
        </is>
      </c>
    </row>
    <row r="5">
      <c r="A5" s="16" t="inlineStr">
        <is>
          <t>A.5.3</t>
        </is>
      </c>
      <c r="B5" s="16" t="inlineStr">
        <is>
          <t>Segregation of duties</t>
        </is>
      </c>
      <c r="C5" s="16" t="inlineStr">
        <is>
          <t>Organisational</t>
        </is>
      </c>
      <c r="D5" s="16" t="inlineStr">
        <is>
          <t>5 - Organisational Controls</t>
        </is>
      </c>
      <c r="E5" s="16" t="inlineStr">
        <is>
          <t>Segregation of duties requirements</t>
        </is>
      </c>
    </row>
    <row r="6">
      <c r="A6" s="16" t="inlineStr">
        <is>
          <t>A.5.4</t>
        </is>
      </c>
      <c r="B6" s="16" t="inlineStr">
        <is>
          <t>Management responsibilities</t>
        </is>
      </c>
      <c r="C6" s="16" t="inlineStr">
        <is>
          <t>Organisational</t>
        </is>
      </c>
      <c r="D6" s="16" t="inlineStr">
        <is>
          <t>5 - Organisational Controls</t>
        </is>
      </c>
      <c r="E6" s="16" t="inlineStr">
        <is>
          <t>Management responsibilities requirements</t>
        </is>
      </c>
    </row>
    <row r="7">
      <c r="A7" s="16" t="inlineStr">
        <is>
          <t>A.5.5</t>
        </is>
      </c>
      <c r="B7" s="16" t="inlineStr">
        <is>
          <t>Contact with authorities</t>
        </is>
      </c>
      <c r="C7" s="16" t="inlineStr">
        <is>
          <t>Organisational</t>
        </is>
      </c>
      <c r="D7" s="16" t="inlineStr">
        <is>
          <t>5 - Organisational Controls</t>
        </is>
      </c>
      <c r="E7" s="16" t="inlineStr">
        <is>
          <t>Contact with authorities requirements</t>
        </is>
      </c>
    </row>
    <row r="8">
      <c r="A8" s="16" t="inlineStr">
        <is>
          <t>A.5.6</t>
        </is>
      </c>
      <c r="B8" s="16" t="inlineStr">
        <is>
          <t>Contact with special interest groups</t>
        </is>
      </c>
      <c r="C8" s="16" t="inlineStr">
        <is>
          <t>Organisational</t>
        </is>
      </c>
      <c r="D8" s="16" t="inlineStr">
        <is>
          <t>5 - Organisational Controls</t>
        </is>
      </c>
      <c r="E8" s="16" t="inlineStr">
        <is>
          <t>Contact with special interest groups requirements</t>
        </is>
      </c>
    </row>
    <row r="9">
      <c r="A9" s="16" t="inlineStr">
        <is>
          <t>A.5.7</t>
        </is>
      </c>
      <c r="B9" s="16" t="inlineStr">
        <is>
          <t>Threat intelligence</t>
        </is>
      </c>
      <c r="C9" s="16" t="inlineStr">
        <is>
          <t>Organisational</t>
        </is>
      </c>
      <c r="D9" s="16" t="inlineStr">
        <is>
          <t>5 - Organisational Controls</t>
        </is>
      </c>
      <c r="E9" s="16" t="inlineStr">
        <is>
          <t>Threat intelligence requirements</t>
        </is>
      </c>
    </row>
    <row r="10">
      <c r="A10" s="16" t="inlineStr">
        <is>
          <t>A.5.8</t>
        </is>
      </c>
      <c r="B10" s="16" t="inlineStr">
        <is>
          <t>Information security in project management</t>
        </is>
      </c>
      <c r="C10" s="16" t="inlineStr">
        <is>
          <t>Organisational</t>
        </is>
      </c>
      <c r="D10" s="16" t="inlineStr">
        <is>
          <t>5 - Organisational Controls</t>
        </is>
      </c>
      <c r="E10" s="16" t="inlineStr">
        <is>
          <t>Information security in project management requirements</t>
        </is>
      </c>
    </row>
    <row r="11">
      <c r="A11" s="16" t="inlineStr">
        <is>
          <t>A.5.9</t>
        </is>
      </c>
      <c r="B11" s="16" t="inlineStr">
        <is>
          <t>Inventory of information and other associated assets</t>
        </is>
      </c>
      <c r="C11" s="16" t="inlineStr">
        <is>
          <t>Organisational</t>
        </is>
      </c>
      <c r="D11" s="16" t="inlineStr">
        <is>
          <t>5 - Organisational Controls</t>
        </is>
      </c>
      <c r="E11" s="16" t="inlineStr">
        <is>
          <t>Inventory of information and other associated assets requirements</t>
        </is>
      </c>
    </row>
    <row r="12">
      <c r="A12" s="16" t="inlineStr">
        <is>
          <t>A.5.10</t>
        </is>
      </c>
      <c r="B12" s="16" t="inlineStr">
        <is>
          <t>Acceptable use of information and other associated assets</t>
        </is>
      </c>
      <c r="C12" s="16" t="inlineStr">
        <is>
          <t>Organisational</t>
        </is>
      </c>
      <c r="D12" s="16" t="inlineStr">
        <is>
          <t>5 - Organisational Controls</t>
        </is>
      </c>
      <c r="E12" s="16" t="inlineStr">
        <is>
          <t>Acceptable use of information and other associated assets requirements</t>
        </is>
      </c>
    </row>
    <row r="13">
      <c r="A13" s="16" t="inlineStr">
        <is>
          <t>A.5.11</t>
        </is>
      </c>
      <c r="B13" s="16" t="inlineStr">
        <is>
          <t>Return of assets</t>
        </is>
      </c>
      <c r="C13" s="16" t="inlineStr">
        <is>
          <t>Organisational</t>
        </is>
      </c>
      <c r="D13" s="16" t="inlineStr">
        <is>
          <t>5 - Organisational Controls</t>
        </is>
      </c>
      <c r="E13" s="16" t="inlineStr">
        <is>
          <t>Return of assets requirements</t>
        </is>
      </c>
    </row>
    <row r="14">
      <c r="A14" s="16" t="inlineStr">
        <is>
          <t>A.5.12</t>
        </is>
      </c>
      <c r="B14" s="16" t="inlineStr">
        <is>
          <t>Classification of information</t>
        </is>
      </c>
      <c r="C14" s="16" t="inlineStr">
        <is>
          <t>Organisational</t>
        </is>
      </c>
      <c r="D14" s="16" t="inlineStr">
        <is>
          <t>5 - Organisational Controls</t>
        </is>
      </c>
      <c r="E14" s="16" t="inlineStr">
        <is>
          <t>Classification of information requirements</t>
        </is>
      </c>
    </row>
    <row r="15">
      <c r="A15" s="16" t="inlineStr">
        <is>
          <t>A.5.13</t>
        </is>
      </c>
      <c r="B15" s="16" t="inlineStr">
        <is>
          <t>Labelling of information</t>
        </is>
      </c>
      <c r="C15" s="16" t="inlineStr">
        <is>
          <t>Organisational</t>
        </is>
      </c>
      <c r="D15" s="16" t="inlineStr">
        <is>
          <t>5 - Organisational Controls</t>
        </is>
      </c>
      <c r="E15" s="16" t="inlineStr">
        <is>
          <t>Labelling of information requirements</t>
        </is>
      </c>
    </row>
    <row r="16">
      <c r="A16" s="16" t="inlineStr">
        <is>
          <t>A.5.14</t>
        </is>
      </c>
      <c r="B16" s="16" t="inlineStr">
        <is>
          <t>Information transfer</t>
        </is>
      </c>
      <c r="C16" s="16" t="inlineStr">
        <is>
          <t>Organisational</t>
        </is>
      </c>
      <c r="D16" s="16" t="inlineStr">
        <is>
          <t>5 - Organisational Controls</t>
        </is>
      </c>
      <c r="E16" s="16" t="inlineStr">
        <is>
          <t>Information transfer requirements</t>
        </is>
      </c>
    </row>
    <row r="17">
      <c r="A17" s="16" t="inlineStr">
        <is>
          <t>A.5.15</t>
        </is>
      </c>
      <c r="B17" s="16" t="inlineStr">
        <is>
          <t>Access control</t>
        </is>
      </c>
      <c r="C17" s="16" t="inlineStr">
        <is>
          <t>Organisational</t>
        </is>
      </c>
      <c r="D17" s="16" t="inlineStr">
        <is>
          <t>5 - Organisational Controls</t>
        </is>
      </c>
      <c r="E17" s="16" t="inlineStr">
        <is>
          <t>Access control requirements</t>
        </is>
      </c>
    </row>
    <row r="18">
      <c r="A18" s="16" t="inlineStr">
        <is>
          <t>A.5.16</t>
        </is>
      </c>
      <c r="B18" s="16" t="inlineStr">
        <is>
          <t>Identity management</t>
        </is>
      </c>
      <c r="C18" s="16" t="inlineStr">
        <is>
          <t>Organisational</t>
        </is>
      </c>
      <c r="D18" s="16" t="inlineStr">
        <is>
          <t>5 - Organisational Controls</t>
        </is>
      </c>
      <c r="E18" s="16" t="inlineStr">
        <is>
          <t>Identity management requirements</t>
        </is>
      </c>
    </row>
    <row r="19">
      <c r="A19" s="16" t="inlineStr">
        <is>
          <t>A.5.17</t>
        </is>
      </c>
      <c r="B19" s="16" t="inlineStr">
        <is>
          <t>Authentication information</t>
        </is>
      </c>
      <c r="C19" s="16" t="inlineStr">
        <is>
          <t>Organisational</t>
        </is>
      </c>
      <c r="D19" s="16" t="inlineStr">
        <is>
          <t>5 - Organisational Controls</t>
        </is>
      </c>
      <c r="E19" s="16" t="inlineStr">
        <is>
          <t>Authentication information requirements</t>
        </is>
      </c>
    </row>
    <row r="20">
      <c r="A20" s="16" t="inlineStr">
        <is>
          <t>A.5.18</t>
        </is>
      </c>
      <c r="B20" s="16" t="inlineStr">
        <is>
          <t>Access rights</t>
        </is>
      </c>
      <c r="C20" s="16" t="inlineStr">
        <is>
          <t>Organisational</t>
        </is>
      </c>
      <c r="D20" s="16" t="inlineStr">
        <is>
          <t>5 - Organisational Controls</t>
        </is>
      </c>
      <c r="E20" s="16" t="inlineStr">
        <is>
          <t>Access rights requirements</t>
        </is>
      </c>
    </row>
    <row r="21">
      <c r="A21" s="16" t="inlineStr">
        <is>
          <t>A.5.19</t>
        </is>
      </c>
      <c r="B21" s="16" t="inlineStr">
        <is>
          <t>Information security in supplier relationships</t>
        </is>
      </c>
      <c r="C21" s="16" t="inlineStr">
        <is>
          <t>Organisational</t>
        </is>
      </c>
      <c r="D21" s="16" t="inlineStr">
        <is>
          <t>5 - Organisational Controls</t>
        </is>
      </c>
      <c r="E21" s="16" t="inlineStr">
        <is>
          <t>Information security in supplier relationships requirements</t>
        </is>
      </c>
    </row>
    <row r="22">
      <c r="A22" s="16" t="inlineStr">
        <is>
          <t>A.5.20</t>
        </is>
      </c>
      <c r="B22" s="16" t="inlineStr">
        <is>
          <t>Addressing information security within supplier agreements</t>
        </is>
      </c>
      <c r="C22" s="16" t="inlineStr">
        <is>
          <t>Organisational</t>
        </is>
      </c>
      <c r="D22" s="16" t="inlineStr">
        <is>
          <t>5 - Organisational Controls</t>
        </is>
      </c>
      <c r="E22" s="16" t="inlineStr">
        <is>
          <t>Addressing information security within supplier agreements requirements</t>
        </is>
      </c>
    </row>
    <row r="23">
      <c r="A23" s="16" t="inlineStr">
        <is>
          <t>A.5.21</t>
        </is>
      </c>
      <c r="B23" s="16" t="inlineStr">
        <is>
          <t>Managing information security in the ICT supply chain</t>
        </is>
      </c>
      <c r="C23" s="16" t="inlineStr">
        <is>
          <t>Organisational</t>
        </is>
      </c>
      <c r="D23" s="16" t="inlineStr">
        <is>
          <t>5 - Organisational Controls</t>
        </is>
      </c>
      <c r="E23" s="16" t="inlineStr">
        <is>
          <t>Managing information security in the ICT supply chain requirements</t>
        </is>
      </c>
    </row>
    <row r="24">
      <c r="A24" s="16" t="inlineStr">
        <is>
          <t>A.5.22</t>
        </is>
      </c>
      <c r="B24" s="16" t="inlineStr">
        <is>
          <t>Monitoring, review and change management of supplier services</t>
        </is>
      </c>
      <c r="C24" s="16" t="inlineStr">
        <is>
          <t>Organisational</t>
        </is>
      </c>
      <c r="D24" s="16" t="inlineStr">
        <is>
          <t>5 - Organisational Controls</t>
        </is>
      </c>
      <c r="E24" s="16" t="inlineStr">
        <is>
          <t>Monitoring, review and change management of supplier services requirements</t>
        </is>
      </c>
    </row>
    <row r="25">
      <c r="A25" s="16" t="inlineStr">
        <is>
          <t>A.5.23</t>
        </is>
      </c>
      <c r="B25" s="16" t="inlineStr">
        <is>
          <t>Information security for use of cloud services</t>
        </is>
      </c>
      <c r="C25" s="16" t="inlineStr">
        <is>
          <t>Organisational</t>
        </is>
      </c>
      <c r="D25" s="16" t="inlineStr">
        <is>
          <t>5 - Organisational Controls</t>
        </is>
      </c>
      <c r="E25" s="16" t="inlineStr">
        <is>
          <t>Information security for use of cloud services requirements</t>
        </is>
      </c>
    </row>
    <row r="26">
      <c r="A26" s="16" t="inlineStr">
        <is>
          <t>A.5.24</t>
        </is>
      </c>
      <c r="B26" s="16" t="inlineStr">
        <is>
          <t>Information security incident management planning and preparation</t>
        </is>
      </c>
      <c r="C26" s="16" t="inlineStr">
        <is>
          <t>Organisational</t>
        </is>
      </c>
      <c r="D26" s="16" t="inlineStr">
        <is>
          <t>5 - Organisational Controls</t>
        </is>
      </c>
      <c r="E26" s="16" t="inlineStr">
        <is>
          <t>Information security incident management planning and preparation requirements</t>
        </is>
      </c>
    </row>
    <row r="27">
      <c r="A27" s="16" t="inlineStr">
        <is>
          <t>A.5.25</t>
        </is>
      </c>
      <c r="B27" s="16" t="inlineStr">
        <is>
          <t>Assessment and decision on information security events</t>
        </is>
      </c>
      <c r="C27" s="16" t="inlineStr">
        <is>
          <t>Organisational</t>
        </is>
      </c>
      <c r="D27" s="16" t="inlineStr">
        <is>
          <t>5 - Organisational Controls</t>
        </is>
      </c>
      <c r="E27" s="16" t="inlineStr">
        <is>
          <t>Assessment and decision on information security events requirements</t>
        </is>
      </c>
    </row>
    <row r="28">
      <c r="A28" s="16" t="inlineStr">
        <is>
          <t>A.5.26</t>
        </is>
      </c>
      <c r="B28" s="16" t="inlineStr">
        <is>
          <t>Response to information security incidents</t>
        </is>
      </c>
      <c r="C28" s="16" t="inlineStr">
        <is>
          <t>Organisational</t>
        </is>
      </c>
      <c r="D28" s="16" t="inlineStr">
        <is>
          <t>5 - Organisational Controls</t>
        </is>
      </c>
      <c r="E28" s="16" t="inlineStr">
        <is>
          <t>Response to information security incidents requirements</t>
        </is>
      </c>
    </row>
    <row r="29">
      <c r="A29" s="16" t="inlineStr">
        <is>
          <t>A.5.27</t>
        </is>
      </c>
      <c r="B29" s="16" t="inlineStr">
        <is>
          <t>Learning from information security incidents</t>
        </is>
      </c>
      <c r="C29" s="16" t="inlineStr">
        <is>
          <t>Organisational</t>
        </is>
      </c>
      <c r="D29" s="16" t="inlineStr">
        <is>
          <t>5 - Organisational Controls</t>
        </is>
      </c>
      <c r="E29" s="16" t="inlineStr">
        <is>
          <t>Learning from information security incidents requirements</t>
        </is>
      </c>
    </row>
    <row r="30">
      <c r="A30" s="16" t="inlineStr">
        <is>
          <t>A.5.28</t>
        </is>
      </c>
      <c r="B30" s="16" t="inlineStr">
        <is>
          <t>Collection of evidence</t>
        </is>
      </c>
      <c r="C30" s="16" t="inlineStr">
        <is>
          <t>Organisational</t>
        </is>
      </c>
      <c r="D30" s="16" t="inlineStr">
        <is>
          <t>5 - Organisational Controls</t>
        </is>
      </c>
      <c r="E30" s="16" t="inlineStr">
        <is>
          <t>Collection of evidence requirements</t>
        </is>
      </c>
    </row>
    <row r="31">
      <c r="A31" s="16" t="inlineStr">
        <is>
          <t>A.5.29</t>
        </is>
      </c>
      <c r="B31" s="16" t="inlineStr">
        <is>
          <t>Information security during disruption</t>
        </is>
      </c>
      <c r="C31" s="16" t="inlineStr">
        <is>
          <t>Organisational</t>
        </is>
      </c>
      <c r="D31" s="16" t="inlineStr">
        <is>
          <t>5 - Organisational Controls</t>
        </is>
      </c>
      <c r="E31" s="16" t="inlineStr">
        <is>
          <t>Information security during disruption requirements</t>
        </is>
      </c>
    </row>
    <row r="32">
      <c r="A32" s="16" t="inlineStr">
        <is>
          <t>A.5.30</t>
        </is>
      </c>
      <c r="B32" s="16" t="inlineStr">
        <is>
          <t>ICT readiness for business continuity</t>
        </is>
      </c>
      <c r="C32" s="16" t="inlineStr">
        <is>
          <t>Organisational</t>
        </is>
      </c>
      <c r="D32" s="16" t="inlineStr">
        <is>
          <t>5 - Organisational Controls</t>
        </is>
      </c>
      <c r="E32" s="16" t="inlineStr">
        <is>
          <t>ICT readiness for business continuity requirements</t>
        </is>
      </c>
    </row>
    <row r="33">
      <c r="A33" s="16" t="inlineStr">
        <is>
          <t>A.5.31</t>
        </is>
      </c>
      <c r="B33" s="16" t="inlineStr">
        <is>
          <t>Legal, statutory, regulatory and contractual requirements</t>
        </is>
      </c>
      <c r="C33" s="16" t="inlineStr">
        <is>
          <t>Organisational</t>
        </is>
      </c>
      <c r="D33" s="16" t="inlineStr">
        <is>
          <t>5 - Organisational Controls</t>
        </is>
      </c>
      <c r="E33" s="16" t="inlineStr">
        <is>
          <t>Legal, statutory, regulatory and contractual requirements requirements</t>
        </is>
      </c>
    </row>
    <row r="34">
      <c r="A34" s="16" t="inlineStr">
        <is>
          <t>A.5.32</t>
        </is>
      </c>
      <c r="B34" s="16" t="inlineStr">
        <is>
          <t>Intellectual property rights</t>
        </is>
      </c>
      <c r="C34" s="16" t="inlineStr">
        <is>
          <t>Organisational</t>
        </is>
      </c>
      <c r="D34" s="16" t="inlineStr">
        <is>
          <t>5 - Organisational Controls</t>
        </is>
      </c>
      <c r="E34" s="16" t="inlineStr">
        <is>
          <t>Intellectual property rights requirements</t>
        </is>
      </c>
    </row>
    <row r="35">
      <c r="A35" s="16" t="inlineStr">
        <is>
          <t>A.5.33</t>
        </is>
      </c>
      <c r="B35" s="16" t="inlineStr">
        <is>
          <t>Protection of records</t>
        </is>
      </c>
      <c r="C35" s="16" t="inlineStr">
        <is>
          <t>Organisational</t>
        </is>
      </c>
      <c r="D35" s="16" t="inlineStr">
        <is>
          <t>5 - Organisational Controls</t>
        </is>
      </c>
      <c r="E35" s="16" t="inlineStr">
        <is>
          <t>Protection of records requirements</t>
        </is>
      </c>
    </row>
    <row r="36">
      <c r="A36" s="16" t="inlineStr">
        <is>
          <t>A.5.34</t>
        </is>
      </c>
      <c r="B36" s="16" t="inlineStr">
        <is>
          <t>Privacy and protection of PII</t>
        </is>
      </c>
      <c r="C36" s="16" t="inlineStr">
        <is>
          <t>Organisational</t>
        </is>
      </c>
      <c r="D36" s="16" t="inlineStr">
        <is>
          <t>5 - Organisational Controls</t>
        </is>
      </c>
      <c r="E36" s="16" t="inlineStr">
        <is>
          <t>Privacy and protection of PII requirements</t>
        </is>
      </c>
    </row>
    <row r="37">
      <c r="A37" s="16" t="inlineStr">
        <is>
          <t>A.5.35</t>
        </is>
      </c>
      <c r="B37" s="16" t="inlineStr">
        <is>
          <t>Independent review of information security</t>
        </is>
      </c>
      <c r="C37" s="16" t="inlineStr">
        <is>
          <t>Organisational</t>
        </is>
      </c>
      <c r="D37" s="16" t="inlineStr">
        <is>
          <t>5 - Organisational Controls</t>
        </is>
      </c>
      <c r="E37" s="16" t="inlineStr">
        <is>
          <t>Independent review of information security requirements</t>
        </is>
      </c>
    </row>
    <row r="38">
      <c r="A38" s="16" t="inlineStr">
        <is>
          <t>A.5.36</t>
        </is>
      </c>
      <c r="B38" s="16" t="inlineStr">
        <is>
          <t>Compliance with policies, rules and standards for information security</t>
        </is>
      </c>
      <c r="C38" s="16" t="inlineStr">
        <is>
          <t>Organisational</t>
        </is>
      </c>
      <c r="D38" s="16" t="inlineStr">
        <is>
          <t>5 - Organisational Controls</t>
        </is>
      </c>
      <c r="E38" s="16" t="inlineStr">
        <is>
          <t>Compliance with policies, rules and standards for information security requirements</t>
        </is>
      </c>
    </row>
    <row r="39">
      <c r="A39" s="16" t="inlineStr">
        <is>
          <t>A.5.37</t>
        </is>
      </c>
      <c r="B39" s="16" t="inlineStr">
        <is>
          <t>Documented operating procedures</t>
        </is>
      </c>
      <c r="C39" s="16" t="inlineStr">
        <is>
          <t>Organisational</t>
        </is>
      </c>
      <c r="D39" s="16" t="inlineStr">
        <is>
          <t>5 - Organisational Controls</t>
        </is>
      </c>
      <c r="E39" s="16" t="inlineStr">
        <is>
          <t>Documented operating procedures requirements</t>
        </is>
      </c>
    </row>
    <row r="40">
      <c r="A40" s="16" t="inlineStr">
        <is>
          <t>A.6.1</t>
        </is>
      </c>
      <c r="B40" s="16" t="inlineStr">
        <is>
          <t>Screening</t>
        </is>
      </c>
      <c r="C40" s="16" t="inlineStr">
        <is>
          <t>People</t>
        </is>
      </c>
      <c r="D40" s="16" t="inlineStr">
        <is>
          <t>6 - People Controls</t>
        </is>
      </c>
      <c r="E40" s="16" t="inlineStr">
        <is>
          <t>Screening requirements</t>
        </is>
      </c>
    </row>
    <row r="41">
      <c r="A41" s="16" t="inlineStr">
        <is>
          <t>A.6.2</t>
        </is>
      </c>
      <c r="B41" s="16" t="inlineStr">
        <is>
          <t>Terms and conditions of employment</t>
        </is>
      </c>
      <c r="C41" s="16" t="inlineStr">
        <is>
          <t>People</t>
        </is>
      </c>
      <c r="D41" s="16" t="inlineStr">
        <is>
          <t>6 - People Controls</t>
        </is>
      </c>
      <c r="E41" s="16" t="inlineStr">
        <is>
          <t>Terms and conditions of employment requirements</t>
        </is>
      </c>
    </row>
    <row r="42">
      <c r="A42" s="16" t="inlineStr">
        <is>
          <t>A.6.3</t>
        </is>
      </c>
      <c r="B42" s="16" t="inlineStr">
        <is>
          <t>Information security awareness, education and training</t>
        </is>
      </c>
      <c r="C42" s="16" t="inlineStr">
        <is>
          <t>People</t>
        </is>
      </c>
      <c r="D42" s="16" t="inlineStr">
        <is>
          <t>6 - People Controls</t>
        </is>
      </c>
      <c r="E42" s="16" t="inlineStr">
        <is>
          <t>Information security awareness, education and training requirements</t>
        </is>
      </c>
    </row>
    <row r="43">
      <c r="A43" s="16" t="inlineStr">
        <is>
          <t>A.6.4</t>
        </is>
      </c>
      <c r="B43" s="16" t="inlineStr">
        <is>
          <t>Disciplinary process</t>
        </is>
      </c>
      <c r="C43" s="16" t="inlineStr">
        <is>
          <t>People</t>
        </is>
      </c>
      <c r="D43" s="16" t="inlineStr">
        <is>
          <t>6 - People Controls</t>
        </is>
      </c>
      <c r="E43" s="16" t="inlineStr">
        <is>
          <t>Disciplinary process requirements</t>
        </is>
      </c>
    </row>
    <row r="44">
      <c r="A44" s="16" t="inlineStr">
        <is>
          <t>A.6.5</t>
        </is>
      </c>
      <c r="B44" s="16" t="inlineStr">
        <is>
          <t>Responsibilities after termination or change of employment</t>
        </is>
      </c>
      <c r="C44" s="16" t="inlineStr">
        <is>
          <t>People</t>
        </is>
      </c>
      <c r="D44" s="16" t="inlineStr">
        <is>
          <t>6 - People Controls</t>
        </is>
      </c>
      <c r="E44" s="16" t="inlineStr">
        <is>
          <t>Responsibilities after termination or change of employment requirements</t>
        </is>
      </c>
    </row>
    <row r="45">
      <c r="A45" s="16" t="inlineStr">
        <is>
          <t>A.6.6</t>
        </is>
      </c>
      <c r="B45" s="16" t="inlineStr">
        <is>
          <t>Confidentiality or non-disclosure agreements</t>
        </is>
      </c>
      <c r="C45" s="16" t="inlineStr">
        <is>
          <t>People</t>
        </is>
      </c>
      <c r="D45" s="16" t="inlineStr">
        <is>
          <t>6 - People Controls</t>
        </is>
      </c>
      <c r="E45" s="16" t="inlineStr">
        <is>
          <t>Confidentiality or non-disclosure agreements requirements</t>
        </is>
      </c>
    </row>
    <row r="46">
      <c r="A46" s="16" t="inlineStr">
        <is>
          <t>A.6.7</t>
        </is>
      </c>
      <c r="B46" s="16" t="inlineStr">
        <is>
          <t>Remote working</t>
        </is>
      </c>
      <c r="C46" s="16" t="inlineStr">
        <is>
          <t>People</t>
        </is>
      </c>
      <c r="D46" s="16" t="inlineStr">
        <is>
          <t>6 - People Controls</t>
        </is>
      </c>
      <c r="E46" s="16" t="inlineStr">
        <is>
          <t>Remote working requirements</t>
        </is>
      </c>
    </row>
    <row r="47">
      <c r="A47" s="16" t="inlineStr">
        <is>
          <t>A.6.8</t>
        </is>
      </c>
      <c r="B47" s="16" t="inlineStr">
        <is>
          <t>Information security event reporting</t>
        </is>
      </c>
      <c r="C47" s="16" t="inlineStr">
        <is>
          <t>People</t>
        </is>
      </c>
      <c r="D47" s="16" t="inlineStr">
        <is>
          <t>6 - People Controls</t>
        </is>
      </c>
      <c r="E47" s="16" t="inlineStr">
        <is>
          <t>Information security event reporting requirements</t>
        </is>
      </c>
    </row>
    <row r="48">
      <c r="A48" s="16" t="inlineStr">
        <is>
          <t>A.7.1</t>
        </is>
      </c>
      <c r="B48" s="16" t="inlineStr">
        <is>
          <t>Physical security perimeters</t>
        </is>
      </c>
      <c r="C48" s="16" t="inlineStr">
        <is>
          <t>Physical</t>
        </is>
      </c>
      <c r="D48" s="16" t="inlineStr">
        <is>
          <t>7 - Physical Controls</t>
        </is>
      </c>
      <c r="E48" s="16" t="inlineStr">
        <is>
          <t>Physical security perimeters requirements</t>
        </is>
      </c>
    </row>
    <row r="49">
      <c r="A49" s="16" t="inlineStr">
        <is>
          <t>A.7.2</t>
        </is>
      </c>
      <c r="B49" s="16" t="inlineStr">
        <is>
          <t>Physical entry</t>
        </is>
      </c>
      <c r="C49" s="16" t="inlineStr">
        <is>
          <t>Physical</t>
        </is>
      </c>
      <c r="D49" s="16" t="inlineStr">
        <is>
          <t>7 - Physical Controls</t>
        </is>
      </c>
      <c r="E49" s="16" t="inlineStr">
        <is>
          <t>Physical entry requirements</t>
        </is>
      </c>
    </row>
    <row r="50">
      <c r="A50" s="16" t="inlineStr">
        <is>
          <t>A.7.3</t>
        </is>
      </c>
      <c r="B50" s="16" t="inlineStr">
        <is>
          <t>Securing offices, rooms and facilities</t>
        </is>
      </c>
      <c r="C50" s="16" t="inlineStr">
        <is>
          <t>Physical</t>
        </is>
      </c>
      <c r="D50" s="16" t="inlineStr">
        <is>
          <t>7 - Physical Controls</t>
        </is>
      </c>
      <c r="E50" s="16" t="inlineStr">
        <is>
          <t>Securing offices, rooms and facilities requirements</t>
        </is>
      </c>
    </row>
    <row r="51">
      <c r="A51" s="16" t="inlineStr">
        <is>
          <t>A.7.4</t>
        </is>
      </c>
      <c r="B51" s="16" t="inlineStr">
        <is>
          <t>Physical security monitoring</t>
        </is>
      </c>
      <c r="C51" s="16" t="inlineStr">
        <is>
          <t>Physical</t>
        </is>
      </c>
      <c r="D51" s="16" t="inlineStr">
        <is>
          <t>7 - Physical Controls</t>
        </is>
      </c>
      <c r="E51" s="16" t="inlineStr">
        <is>
          <t>Physical security monitoring requirements</t>
        </is>
      </c>
    </row>
    <row r="52">
      <c r="A52" s="16" t="inlineStr">
        <is>
          <t>A.7.5</t>
        </is>
      </c>
      <c r="B52" s="16" t="inlineStr">
        <is>
          <t>Protecting against physical and environmental threats</t>
        </is>
      </c>
      <c r="C52" s="16" t="inlineStr">
        <is>
          <t>Physical</t>
        </is>
      </c>
      <c r="D52" s="16" t="inlineStr">
        <is>
          <t>7 - Physical Controls</t>
        </is>
      </c>
      <c r="E52" s="16" t="inlineStr">
        <is>
          <t>Protecting against physical and environmental threats requirements</t>
        </is>
      </c>
    </row>
    <row r="53">
      <c r="A53" s="16" t="inlineStr">
        <is>
          <t>A.7.6</t>
        </is>
      </c>
      <c r="B53" s="16" t="inlineStr">
        <is>
          <t>Working in secure areas</t>
        </is>
      </c>
      <c r="C53" s="16" t="inlineStr">
        <is>
          <t>Physical</t>
        </is>
      </c>
      <c r="D53" s="16" t="inlineStr">
        <is>
          <t>7 - Physical Controls</t>
        </is>
      </c>
      <c r="E53" s="16" t="inlineStr">
        <is>
          <t>Working in secure areas requirements</t>
        </is>
      </c>
    </row>
    <row r="54">
      <c r="A54" s="16" t="inlineStr">
        <is>
          <t>A.7.7</t>
        </is>
      </c>
      <c r="B54" s="16" t="inlineStr">
        <is>
          <t>Clear desk and clear screen</t>
        </is>
      </c>
      <c r="C54" s="16" t="inlineStr">
        <is>
          <t>Physical</t>
        </is>
      </c>
      <c r="D54" s="16" t="inlineStr">
        <is>
          <t>7 - Physical Controls</t>
        </is>
      </c>
      <c r="E54" s="16" t="inlineStr">
        <is>
          <t>Clear desk and clear screen requirements</t>
        </is>
      </c>
    </row>
    <row r="55">
      <c r="A55" s="16" t="inlineStr">
        <is>
          <t>A.7.8</t>
        </is>
      </c>
      <c r="B55" s="16" t="inlineStr">
        <is>
          <t>Equipment siting and protection</t>
        </is>
      </c>
      <c r="C55" s="16" t="inlineStr">
        <is>
          <t>Physical</t>
        </is>
      </c>
      <c r="D55" s="16" t="inlineStr">
        <is>
          <t>7 - Physical Controls</t>
        </is>
      </c>
      <c r="E55" s="16" t="inlineStr">
        <is>
          <t>Equipment siting and protection requirements</t>
        </is>
      </c>
    </row>
    <row r="56">
      <c r="A56" s="16" t="inlineStr">
        <is>
          <t>A.7.9</t>
        </is>
      </c>
      <c r="B56" s="16" t="inlineStr">
        <is>
          <t>Security of assets off-premises</t>
        </is>
      </c>
      <c r="C56" s="16" t="inlineStr">
        <is>
          <t>Physical</t>
        </is>
      </c>
      <c r="D56" s="16" t="inlineStr">
        <is>
          <t>7 - Physical Controls</t>
        </is>
      </c>
      <c r="E56" s="16" t="inlineStr">
        <is>
          <t>Security of assets off-premises requirements</t>
        </is>
      </c>
    </row>
    <row r="57">
      <c r="A57" s="16" t="inlineStr">
        <is>
          <t>A.7.10</t>
        </is>
      </c>
      <c r="B57" s="16" t="inlineStr">
        <is>
          <t>Storage media</t>
        </is>
      </c>
      <c r="C57" s="16" t="inlineStr">
        <is>
          <t>Physical</t>
        </is>
      </c>
      <c r="D57" s="16" t="inlineStr">
        <is>
          <t>7 - Physical Controls</t>
        </is>
      </c>
      <c r="E57" s="16" t="inlineStr">
        <is>
          <t>Storage media requirements</t>
        </is>
      </c>
    </row>
    <row r="58">
      <c r="A58" s="16" t="inlineStr">
        <is>
          <t>A.7.11</t>
        </is>
      </c>
      <c r="B58" s="16" t="inlineStr">
        <is>
          <t>Supporting utilities</t>
        </is>
      </c>
      <c r="C58" s="16" t="inlineStr">
        <is>
          <t>Physical</t>
        </is>
      </c>
      <c r="D58" s="16" t="inlineStr">
        <is>
          <t>7 - Physical Controls</t>
        </is>
      </c>
      <c r="E58" s="16" t="inlineStr">
        <is>
          <t>Supporting utilities requirements</t>
        </is>
      </c>
    </row>
    <row r="59">
      <c r="A59" s="16" t="inlineStr">
        <is>
          <t>A.7.12</t>
        </is>
      </c>
      <c r="B59" s="16" t="inlineStr">
        <is>
          <t>Cabling security</t>
        </is>
      </c>
      <c r="C59" s="16" t="inlineStr">
        <is>
          <t>Physical</t>
        </is>
      </c>
      <c r="D59" s="16" t="inlineStr">
        <is>
          <t>7 - Physical Controls</t>
        </is>
      </c>
      <c r="E59" s="16" t="inlineStr">
        <is>
          <t>Cabling security requirements</t>
        </is>
      </c>
    </row>
    <row r="60">
      <c r="A60" s="16" t="inlineStr">
        <is>
          <t>A.7.13</t>
        </is>
      </c>
      <c r="B60" s="16" t="inlineStr">
        <is>
          <t>Equipment maintenance</t>
        </is>
      </c>
      <c r="C60" s="16" t="inlineStr">
        <is>
          <t>Physical</t>
        </is>
      </c>
      <c r="D60" s="16" t="inlineStr">
        <is>
          <t>7 - Physical Controls</t>
        </is>
      </c>
      <c r="E60" s="16" t="inlineStr">
        <is>
          <t>Equipment maintenance requirements</t>
        </is>
      </c>
    </row>
    <row r="61">
      <c r="A61" s="16" t="inlineStr">
        <is>
          <t>A.7.14</t>
        </is>
      </c>
      <c r="B61" s="16" t="inlineStr">
        <is>
          <t>Secure disposal or re-use of equipment</t>
        </is>
      </c>
      <c r="C61" s="16" t="inlineStr">
        <is>
          <t>Physical</t>
        </is>
      </c>
      <c r="D61" s="16" t="inlineStr">
        <is>
          <t>7 - Physical Controls</t>
        </is>
      </c>
      <c r="E61" s="16" t="inlineStr">
        <is>
          <t>Secure disposal or re-use of equipment requirements</t>
        </is>
      </c>
    </row>
    <row r="62">
      <c r="A62" s="16" t="inlineStr">
        <is>
          <t>A.8.1</t>
        </is>
      </c>
      <c r="B62" s="16" t="inlineStr">
        <is>
          <t>User endpoint devices</t>
        </is>
      </c>
      <c r="C62" s="16" t="inlineStr">
        <is>
          <t>Technological</t>
        </is>
      </c>
      <c r="D62" s="16" t="inlineStr">
        <is>
          <t>8 - Technological Controls</t>
        </is>
      </c>
      <c r="E62" s="16" t="inlineStr">
        <is>
          <t>User endpoint devices requirements</t>
        </is>
      </c>
    </row>
    <row r="63">
      <c r="A63" s="16" t="inlineStr">
        <is>
          <t>A.8.2</t>
        </is>
      </c>
      <c r="B63" s="16" t="inlineStr">
        <is>
          <t>Privileged access rights</t>
        </is>
      </c>
      <c r="C63" s="16" t="inlineStr">
        <is>
          <t>Technological</t>
        </is>
      </c>
      <c r="D63" s="16" t="inlineStr">
        <is>
          <t>8 - Technological Controls</t>
        </is>
      </c>
      <c r="E63" s="16" t="inlineStr">
        <is>
          <t>Privileged access rights requirements</t>
        </is>
      </c>
    </row>
    <row r="64">
      <c r="A64" s="16" t="inlineStr">
        <is>
          <t>A.8.3</t>
        </is>
      </c>
      <c r="B64" s="16" t="inlineStr">
        <is>
          <t>Information access restriction</t>
        </is>
      </c>
      <c r="C64" s="16" t="inlineStr">
        <is>
          <t>Technological</t>
        </is>
      </c>
      <c r="D64" s="16" t="inlineStr">
        <is>
          <t>8 - Technological Controls</t>
        </is>
      </c>
      <c r="E64" s="16" t="inlineStr">
        <is>
          <t>Information access restriction requirements</t>
        </is>
      </c>
    </row>
    <row r="65">
      <c r="A65" s="16" t="inlineStr">
        <is>
          <t>A.8.4</t>
        </is>
      </c>
      <c r="B65" s="16" t="inlineStr">
        <is>
          <t>Access to source code</t>
        </is>
      </c>
      <c r="C65" s="16" t="inlineStr">
        <is>
          <t>Technological</t>
        </is>
      </c>
      <c r="D65" s="16" t="inlineStr">
        <is>
          <t>8 - Technological Controls</t>
        </is>
      </c>
      <c r="E65" s="16" t="inlineStr">
        <is>
          <t>Access to source code requirements</t>
        </is>
      </c>
    </row>
    <row r="66">
      <c r="A66" s="16" t="inlineStr">
        <is>
          <t>A.8.5</t>
        </is>
      </c>
      <c r="B66" s="16" t="inlineStr">
        <is>
          <t>Secure authentication</t>
        </is>
      </c>
      <c r="C66" s="16" t="inlineStr">
        <is>
          <t>Technological</t>
        </is>
      </c>
      <c r="D66" s="16" t="inlineStr">
        <is>
          <t>8 - Technological Controls</t>
        </is>
      </c>
      <c r="E66" s="16" t="inlineStr">
        <is>
          <t>Secure authentication requirements</t>
        </is>
      </c>
    </row>
    <row r="67">
      <c r="A67" s="16" t="inlineStr">
        <is>
          <t>A.8.6</t>
        </is>
      </c>
      <c r="B67" s="16" t="inlineStr">
        <is>
          <t>Capacity management</t>
        </is>
      </c>
      <c r="C67" s="16" t="inlineStr">
        <is>
          <t>Technological</t>
        </is>
      </c>
      <c r="D67" s="16" t="inlineStr">
        <is>
          <t>8 - Technological Controls</t>
        </is>
      </c>
      <c r="E67" s="16" t="inlineStr">
        <is>
          <t>Capacity management requirements</t>
        </is>
      </c>
    </row>
    <row r="68">
      <c r="A68" s="16" t="inlineStr">
        <is>
          <t>A.8.7</t>
        </is>
      </c>
      <c r="B68" s="16" t="inlineStr">
        <is>
          <t>Protection against malware</t>
        </is>
      </c>
      <c r="C68" s="16" t="inlineStr">
        <is>
          <t>Technological</t>
        </is>
      </c>
      <c r="D68" s="16" t="inlineStr">
        <is>
          <t>8 - Technological Controls</t>
        </is>
      </c>
      <c r="E68" s="16" t="inlineStr">
        <is>
          <t>Protection against malware requirements</t>
        </is>
      </c>
    </row>
    <row r="69">
      <c r="A69" s="16" t="inlineStr">
        <is>
          <t>A.8.8</t>
        </is>
      </c>
      <c r="B69" s="16" t="inlineStr">
        <is>
          <t>Management of technical vulnerabilities</t>
        </is>
      </c>
      <c r="C69" s="16" t="inlineStr">
        <is>
          <t>Technological</t>
        </is>
      </c>
      <c r="D69" s="16" t="inlineStr">
        <is>
          <t>8 - Technological Controls</t>
        </is>
      </c>
      <c r="E69" s="16" t="inlineStr">
        <is>
          <t>Management of technical vulnerabilities requirements</t>
        </is>
      </c>
    </row>
    <row r="70">
      <c r="A70" s="16" t="inlineStr">
        <is>
          <t>A.8.9</t>
        </is>
      </c>
      <c r="B70" s="16" t="inlineStr">
        <is>
          <t>Configuration management</t>
        </is>
      </c>
      <c r="C70" s="16" t="inlineStr">
        <is>
          <t>Technological</t>
        </is>
      </c>
      <c r="D70" s="16" t="inlineStr">
        <is>
          <t>8 - Technological Controls</t>
        </is>
      </c>
      <c r="E70" s="16" t="inlineStr">
        <is>
          <t>Configuration management requirements</t>
        </is>
      </c>
    </row>
    <row r="71">
      <c r="A71" s="16" t="inlineStr">
        <is>
          <t>A.8.10</t>
        </is>
      </c>
      <c r="B71" s="16" t="inlineStr">
        <is>
          <t>Information deletion</t>
        </is>
      </c>
      <c r="C71" s="16" t="inlineStr">
        <is>
          <t>Technological</t>
        </is>
      </c>
      <c r="D71" s="16" t="inlineStr">
        <is>
          <t>8 - Technological Controls</t>
        </is>
      </c>
      <c r="E71" s="16" t="inlineStr">
        <is>
          <t>Information deletion requirements</t>
        </is>
      </c>
    </row>
    <row r="72">
      <c r="A72" s="16" t="inlineStr">
        <is>
          <t>A.8.11</t>
        </is>
      </c>
      <c r="B72" s="16" t="inlineStr">
        <is>
          <t>Data masking</t>
        </is>
      </c>
      <c r="C72" s="16" t="inlineStr">
        <is>
          <t>Technological</t>
        </is>
      </c>
      <c r="D72" s="16" t="inlineStr">
        <is>
          <t>8 - Technological Controls</t>
        </is>
      </c>
      <c r="E72" s="16" t="inlineStr">
        <is>
          <t>Data masking requirements</t>
        </is>
      </c>
    </row>
    <row r="73">
      <c r="A73" s="16" t="inlineStr">
        <is>
          <t>A.8.12</t>
        </is>
      </c>
      <c r="B73" s="16" t="inlineStr">
        <is>
          <t>Data leakage prevention</t>
        </is>
      </c>
      <c r="C73" s="16" t="inlineStr">
        <is>
          <t>Technological</t>
        </is>
      </c>
      <c r="D73" s="16" t="inlineStr">
        <is>
          <t>8 - Technological Controls</t>
        </is>
      </c>
      <c r="E73" s="16" t="inlineStr">
        <is>
          <t>Data leakage prevention requirements</t>
        </is>
      </c>
    </row>
    <row r="74">
      <c r="A74" s="16" t="inlineStr">
        <is>
          <t>A.8.13</t>
        </is>
      </c>
      <c r="B74" s="16" t="inlineStr">
        <is>
          <t>Information backup</t>
        </is>
      </c>
      <c r="C74" s="16" t="inlineStr">
        <is>
          <t>Technological</t>
        </is>
      </c>
      <c r="D74" s="16" t="inlineStr">
        <is>
          <t>8 - Technological Controls</t>
        </is>
      </c>
      <c r="E74" s="16" t="inlineStr">
        <is>
          <t>Information backup requirements</t>
        </is>
      </c>
    </row>
    <row r="75">
      <c r="A75" s="16" t="inlineStr">
        <is>
          <t>A.8.14</t>
        </is>
      </c>
      <c r="B75" s="16" t="inlineStr">
        <is>
          <t>Redundancy of information processing facilities</t>
        </is>
      </c>
      <c r="C75" s="16" t="inlineStr">
        <is>
          <t>Technological</t>
        </is>
      </c>
      <c r="D75" s="16" t="inlineStr">
        <is>
          <t>8 - Technological Controls</t>
        </is>
      </c>
      <c r="E75" s="16" t="inlineStr">
        <is>
          <t>Redundancy of information processing facilities requirements</t>
        </is>
      </c>
    </row>
    <row r="76">
      <c r="A76" s="16" t="inlineStr">
        <is>
          <t>A.8.15</t>
        </is>
      </c>
      <c r="B76" s="16" t="inlineStr">
        <is>
          <t>Logging</t>
        </is>
      </c>
      <c r="C76" s="16" t="inlineStr">
        <is>
          <t>Technological</t>
        </is>
      </c>
      <c r="D76" s="16" t="inlineStr">
        <is>
          <t>8 - Technological Controls</t>
        </is>
      </c>
      <c r="E76" s="16" t="inlineStr">
        <is>
          <t>Logging requirements</t>
        </is>
      </c>
    </row>
    <row r="77">
      <c r="A77" s="16" t="inlineStr">
        <is>
          <t>A.8.16</t>
        </is>
      </c>
      <c r="B77" s="16" t="inlineStr">
        <is>
          <t>Monitoring activities</t>
        </is>
      </c>
      <c r="C77" s="16" t="inlineStr">
        <is>
          <t>Technological</t>
        </is>
      </c>
      <c r="D77" s="16" t="inlineStr">
        <is>
          <t>8 - Technological Controls</t>
        </is>
      </c>
      <c r="E77" s="16" t="inlineStr">
        <is>
          <t>Monitoring activities requirements</t>
        </is>
      </c>
    </row>
    <row r="78">
      <c r="A78" s="16" t="inlineStr">
        <is>
          <t>A.8.17</t>
        </is>
      </c>
      <c r="B78" s="16" t="inlineStr">
        <is>
          <t>Clock synchronization</t>
        </is>
      </c>
      <c r="C78" s="16" t="inlineStr">
        <is>
          <t>Technological</t>
        </is>
      </c>
      <c r="D78" s="16" t="inlineStr">
        <is>
          <t>8 - Technological Controls</t>
        </is>
      </c>
      <c r="E78" s="16" t="inlineStr">
        <is>
          <t>Clock synchronization requirements</t>
        </is>
      </c>
    </row>
    <row r="79">
      <c r="A79" s="16" t="inlineStr">
        <is>
          <t>A.8.18</t>
        </is>
      </c>
      <c r="B79" s="16" t="inlineStr">
        <is>
          <t>Use of privileged utility programs</t>
        </is>
      </c>
      <c r="C79" s="16" t="inlineStr">
        <is>
          <t>Technological</t>
        </is>
      </c>
      <c r="D79" s="16" t="inlineStr">
        <is>
          <t>8 - Technological Controls</t>
        </is>
      </c>
      <c r="E79" s="16" t="inlineStr">
        <is>
          <t>Use of privileged utility programs requirements</t>
        </is>
      </c>
    </row>
    <row r="80">
      <c r="A80" s="16" t="inlineStr">
        <is>
          <t>A.8.19</t>
        </is>
      </c>
      <c r="B80" s="16" t="inlineStr">
        <is>
          <t>Installation of software on operational systems</t>
        </is>
      </c>
      <c r="C80" s="16" t="inlineStr">
        <is>
          <t>Technological</t>
        </is>
      </c>
      <c r="D80" s="16" t="inlineStr">
        <is>
          <t>8 - Technological Controls</t>
        </is>
      </c>
      <c r="E80" s="16" t="inlineStr">
        <is>
          <t>Installation of software on operational systems requirements</t>
        </is>
      </c>
    </row>
    <row r="81">
      <c r="A81" s="16" t="inlineStr">
        <is>
          <t>A.8.20</t>
        </is>
      </c>
      <c r="B81" s="16" t="inlineStr">
        <is>
          <t>Networks security</t>
        </is>
      </c>
      <c r="C81" s="16" t="inlineStr">
        <is>
          <t>Technological</t>
        </is>
      </c>
      <c r="D81" s="16" t="inlineStr">
        <is>
          <t>8 - Technological Controls</t>
        </is>
      </c>
      <c r="E81" s="16" t="inlineStr">
        <is>
          <t>Networks security requirements</t>
        </is>
      </c>
    </row>
    <row r="82">
      <c r="A82" s="16" t="inlineStr">
        <is>
          <t>A.8.21</t>
        </is>
      </c>
      <c r="B82" s="16" t="inlineStr">
        <is>
          <t>Security of network services</t>
        </is>
      </c>
      <c r="C82" s="16" t="inlineStr">
        <is>
          <t>Technological</t>
        </is>
      </c>
      <c r="D82" s="16" t="inlineStr">
        <is>
          <t>8 - Technological Controls</t>
        </is>
      </c>
      <c r="E82" s="16" t="inlineStr">
        <is>
          <t>Security of network services requirements</t>
        </is>
      </c>
    </row>
    <row r="83">
      <c r="A83" s="16" t="inlineStr">
        <is>
          <t>A.8.22</t>
        </is>
      </c>
      <c r="B83" s="16" t="inlineStr">
        <is>
          <t>Segregation of networks</t>
        </is>
      </c>
      <c r="C83" s="16" t="inlineStr">
        <is>
          <t>Technological</t>
        </is>
      </c>
      <c r="D83" s="16" t="inlineStr">
        <is>
          <t>8 - Technological Controls</t>
        </is>
      </c>
      <c r="E83" s="16" t="inlineStr">
        <is>
          <t>Segregation of networks requirements</t>
        </is>
      </c>
    </row>
    <row r="84">
      <c r="A84" s="16" t="inlineStr">
        <is>
          <t>A.8.23</t>
        </is>
      </c>
      <c r="B84" s="16" t="inlineStr">
        <is>
          <t>Web filtering</t>
        </is>
      </c>
      <c r="C84" s="16" t="inlineStr">
        <is>
          <t>Technological</t>
        </is>
      </c>
      <c r="D84" s="16" t="inlineStr">
        <is>
          <t>8 - Technological Controls</t>
        </is>
      </c>
      <c r="E84" s="16" t="inlineStr">
        <is>
          <t>Web filtering requirements</t>
        </is>
      </c>
    </row>
    <row r="85">
      <c r="A85" s="16" t="inlineStr">
        <is>
          <t>A.8.24</t>
        </is>
      </c>
      <c r="B85" s="16" t="inlineStr">
        <is>
          <t>Use of cryptography</t>
        </is>
      </c>
      <c r="C85" s="16" t="inlineStr">
        <is>
          <t>Technological</t>
        </is>
      </c>
      <c r="D85" s="16" t="inlineStr">
        <is>
          <t>8 - Technological Controls</t>
        </is>
      </c>
      <c r="E85" s="16" t="inlineStr">
        <is>
          <t>Use of cryptography requirements</t>
        </is>
      </c>
    </row>
    <row r="86">
      <c r="A86" s="16" t="inlineStr">
        <is>
          <t>A.8.25</t>
        </is>
      </c>
      <c r="B86" s="16" t="inlineStr">
        <is>
          <t>Secure development life cycle</t>
        </is>
      </c>
      <c r="C86" s="16" t="inlineStr">
        <is>
          <t>Technological</t>
        </is>
      </c>
      <c r="D86" s="16" t="inlineStr">
        <is>
          <t>8 - Technological Controls</t>
        </is>
      </c>
      <c r="E86" s="16" t="inlineStr">
        <is>
          <t>Secure development life cycle requirements</t>
        </is>
      </c>
    </row>
    <row r="87">
      <c r="A87" s="16" t="inlineStr">
        <is>
          <t>A.8.26</t>
        </is>
      </c>
      <c r="B87" s="16" t="inlineStr">
        <is>
          <t>Application security requirements</t>
        </is>
      </c>
      <c r="C87" s="16" t="inlineStr">
        <is>
          <t>Technological</t>
        </is>
      </c>
      <c r="D87" s="16" t="inlineStr">
        <is>
          <t>8 - Technological Controls</t>
        </is>
      </c>
      <c r="E87" s="16" t="inlineStr">
        <is>
          <t>Application security requirements requirements</t>
        </is>
      </c>
    </row>
    <row r="88">
      <c r="A88" s="16" t="inlineStr">
        <is>
          <t>A.8.27</t>
        </is>
      </c>
      <c r="B88" s="16" t="inlineStr">
        <is>
          <t>Secure system architecture and engineering principles</t>
        </is>
      </c>
      <c r="C88" s="16" t="inlineStr">
        <is>
          <t>Technological</t>
        </is>
      </c>
      <c r="D88" s="16" t="inlineStr">
        <is>
          <t>8 - Technological Controls</t>
        </is>
      </c>
      <c r="E88" s="16" t="inlineStr">
        <is>
          <t>Secure system architecture and engineering principles requirements</t>
        </is>
      </c>
    </row>
    <row r="89">
      <c r="A89" s="16" t="inlineStr">
        <is>
          <t>A.8.28</t>
        </is>
      </c>
      <c r="B89" s="16" t="inlineStr">
        <is>
          <t>Secure coding</t>
        </is>
      </c>
      <c r="C89" s="16" t="inlineStr">
        <is>
          <t>Technological</t>
        </is>
      </c>
      <c r="D89" s="16" t="inlineStr">
        <is>
          <t>8 - Technological Controls</t>
        </is>
      </c>
      <c r="E89" s="16" t="inlineStr">
        <is>
          <t>Secure coding requirements</t>
        </is>
      </c>
    </row>
    <row r="90">
      <c r="A90" s="16" t="inlineStr">
        <is>
          <t>A.8.29</t>
        </is>
      </c>
      <c r="B90" s="16" t="inlineStr">
        <is>
          <t>Security testing in development and acceptance</t>
        </is>
      </c>
      <c r="C90" s="16" t="inlineStr">
        <is>
          <t>Technological</t>
        </is>
      </c>
      <c r="D90" s="16" t="inlineStr">
        <is>
          <t>8 - Technological Controls</t>
        </is>
      </c>
      <c r="E90" s="16" t="inlineStr">
        <is>
          <t>Security testing in development and acceptance requirements</t>
        </is>
      </c>
    </row>
    <row r="91">
      <c r="A91" s="16" t="inlineStr">
        <is>
          <t>A.8.30</t>
        </is>
      </c>
      <c r="B91" s="16" t="inlineStr">
        <is>
          <t>Outsourced development</t>
        </is>
      </c>
      <c r="C91" s="16" t="inlineStr">
        <is>
          <t>Technological</t>
        </is>
      </c>
      <c r="D91" s="16" t="inlineStr">
        <is>
          <t>8 - Technological Controls</t>
        </is>
      </c>
      <c r="E91" s="16" t="inlineStr">
        <is>
          <t>Outsourced development requirements</t>
        </is>
      </c>
    </row>
    <row r="92">
      <c r="A92" s="16" t="inlineStr">
        <is>
          <t>A.8.31</t>
        </is>
      </c>
      <c r="B92" s="16" t="inlineStr">
        <is>
          <t>Separation of development, test and production environments</t>
        </is>
      </c>
      <c r="C92" s="16" t="inlineStr">
        <is>
          <t>Technological</t>
        </is>
      </c>
      <c r="D92" s="16" t="inlineStr">
        <is>
          <t>8 - Technological Controls</t>
        </is>
      </c>
      <c r="E92" s="16" t="inlineStr">
        <is>
          <t>Separation of development, test and production environments requirements</t>
        </is>
      </c>
    </row>
    <row r="93">
      <c r="A93" s="16" t="inlineStr">
        <is>
          <t>A.8.32</t>
        </is>
      </c>
      <c r="B93" s="16" t="inlineStr">
        <is>
          <t>Change management</t>
        </is>
      </c>
      <c r="C93" s="16" t="inlineStr">
        <is>
          <t>Technological</t>
        </is>
      </c>
      <c r="D93" s="16" t="inlineStr">
        <is>
          <t>8 - Technological Controls</t>
        </is>
      </c>
      <c r="E93" s="16" t="inlineStr">
        <is>
          <t>Change management requirements</t>
        </is>
      </c>
    </row>
    <row r="94">
      <c r="A94" s="16" t="inlineStr">
        <is>
          <t>A.8.33</t>
        </is>
      </c>
      <c r="B94" s="16" t="inlineStr">
        <is>
          <t>Test information</t>
        </is>
      </c>
      <c r="C94" s="16" t="inlineStr">
        <is>
          <t>Technological</t>
        </is>
      </c>
      <c r="D94" s="16" t="inlineStr">
        <is>
          <t>8 - Technological Controls</t>
        </is>
      </c>
      <c r="E94" s="16" t="inlineStr">
        <is>
          <t>Test information requirements</t>
        </is>
      </c>
    </row>
    <row r="95">
      <c r="A95" s="16" t="inlineStr">
        <is>
          <t>A.8.34</t>
        </is>
      </c>
      <c r="B95" s="16" t="inlineStr">
        <is>
          <t>Protection of information systems during audit testing</t>
        </is>
      </c>
      <c r="C95" s="16" t="inlineStr">
        <is>
          <t>Technological</t>
        </is>
      </c>
      <c r="D95" s="16" t="inlineStr">
        <is>
          <t>8 - Technological Controls</t>
        </is>
      </c>
      <c r="E95" s="16" t="inlineStr">
        <is>
          <t>Protection of information systems during audit testing requirements</t>
        </is>
      </c>
    </row>
  </sheetData>
  <autoFilter ref="A2:E2"/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5" customWidth="1" min="1" max="1"/>
  </cols>
  <sheetData>
    <row r="1" ht="35" customHeight="1">
      <c r="A1" s="17" t="inlineStr">
        <is>
          <t>ISMS-IMP-A.5.31.4 | CONTROL MAPPING MATRIX — GUIDELINES | ISO/IEC 27001:2022 — CONTROL A.5.31</t>
        </is>
      </c>
    </row>
    <row r="2">
      <c r="A2" s="18" t="inlineStr"/>
    </row>
    <row r="3">
      <c r="A3" s="18" t="inlineStr">
        <is>
          <t>PURPOSE:</t>
        </is>
      </c>
    </row>
    <row r="4">
      <c r="A4" s="18" t="inlineStr">
        <is>
          <t>Map regulatory requirements to ISO 27001 Annex A controls.</t>
        </is>
      </c>
    </row>
    <row r="5">
      <c r="A5" s="18" t="inlineStr">
        <is>
          <t>Identifies which controls satisfy which requirements and reveals gaps.</t>
        </is>
      </c>
    </row>
    <row r="6">
      <c r="A6" s="18" t="inlineStr"/>
    </row>
    <row r="7">
      <c r="A7" s="18" t="inlineStr">
        <is>
          <t>MAPPING TYPES:</t>
        </is>
      </c>
    </row>
    <row r="8">
      <c r="A8" s="18" t="inlineStr"/>
    </row>
    <row r="9">
      <c r="A9" s="18" t="inlineStr">
        <is>
          <t>P (Primary):</t>
        </is>
      </c>
    </row>
    <row r="10">
      <c r="A10" s="18" t="inlineStr">
        <is>
          <t xml:space="preserve">  • Control DIRECTLY and SUBSTANTIALLY satisfies requirement</t>
        </is>
      </c>
    </row>
    <row r="11">
      <c r="A11" s="18" t="inlineStr">
        <is>
          <t xml:space="preserve">  • This is the 'go-to' control for this requirement</t>
        </is>
      </c>
    </row>
    <row r="12">
      <c r="A12" s="18" t="inlineStr">
        <is>
          <t xml:space="preserve">  • Example: Encryption requirement → A.8.24 Use of Cryptography</t>
        </is>
      </c>
    </row>
    <row r="13">
      <c r="A13" s="18" t="inlineStr">
        <is>
          <t xml:space="preserve">  • Example: DPO appointment → A.5.2 Roles and Responsibilities</t>
        </is>
      </c>
    </row>
    <row r="14">
      <c r="A14" s="18" t="inlineStr"/>
    </row>
    <row r="15">
      <c r="A15" s="18" t="inlineStr">
        <is>
          <t>S (Secondary):</t>
        </is>
      </c>
    </row>
    <row r="16">
      <c r="A16" s="18" t="inlineStr">
        <is>
          <t xml:space="preserve">  • Control PARTIALLY satisfies requirement</t>
        </is>
      </c>
    </row>
    <row r="17">
      <c r="A17" s="18" t="inlineStr">
        <is>
          <t xml:space="preserve">  • Additional controls or measures needed for full satisfaction</t>
        </is>
      </c>
    </row>
    <row r="18">
      <c r="A18" s="18" t="inlineStr">
        <is>
          <t xml:space="preserve">  • Example: Access control requirement → A.5.15 Access Control (partial),</t>
        </is>
      </c>
    </row>
    <row r="19">
      <c r="A19" s="18" t="inlineStr">
        <is>
          <t xml:space="preserve">    also needs A.8.2 Privileged Access Rights (specific implementation)</t>
        </is>
      </c>
    </row>
    <row r="20">
      <c r="A20" s="18" t="inlineStr"/>
    </row>
    <row r="21">
      <c r="A21" s="18" t="inlineStr">
        <is>
          <t>Su (Supporting):</t>
        </is>
      </c>
    </row>
    <row r="22">
      <c r="A22" s="18" t="inlineStr">
        <is>
          <t xml:space="preserve">  • Control INDIRECTLY supports requirement</t>
        </is>
      </c>
    </row>
    <row r="23">
      <c r="A23" s="18" t="inlineStr">
        <is>
          <t xml:space="preserve">  • Contributes but doesn't directly satisfy</t>
        </is>
      </c>
    </row>
    <row r="24">
      <c r="A24" s="18" t="inlineStr">
        <is>
          <t xml:space="preserve">  • Example: Technical security requirement → A.6.3 Awareness Training (supporting)</t>
        </is>
      </c>
    </row>
    <row r="25">
      <c r="A25" s="18" t="inlineStr">
        <is>
          <t xml:space="preserve">    (training doesn't satisfy technical requirement but supports implementation)</t>
        </is>
      </c>
    </row>
    <row r="26">
      <c r="A26" s="18" t="inlineStr"/>
    </row>
    <row r="27">
      <c r="A27" s="18" t="inlineStr">
        <is>
          <t>Blank:</t>
        </is>
      </c>
    </row>
    <row r="28">
      <c r="A28" s="18" t="inlineStr">
        <is>
          <t xml:space="preserve">  • Control not applicable to this requirement</t>
        </is>
      </c>
    </row>
    <row r="29">
      <c r="A29" s="18" t="inlineStr">
        <is>
          <t xml:space="preserve">  • Most cells will be blank (requirements typically map to 1-5 controls)</t>
        </is>
      </c>
    </row>
    <row r="30">
      <c r="A30" s="18" t="inlineStr"/>
    </row>
    <row r="31">
      <c r="A31" s="18" t="inlineStr">
        <is>
          <t>GAP IDENTIFICATION:</t>
        </is>
      </c>
    </row>
    <row r="32">
      <c r="A32" s="18" t="inlineStr"/>
    </row>
    <row r="33">
      <c r="A33" s="18" t="inlineStr">
        <is>
          <t>Complete Gap:</t>
        </is>
      </c>
    </row>
    <row r="34">
      <c r="A34" s="18" t="inlineStr">
        <is>
          <t xml:space="preserve">  • Requirement row with NO 'P' (Primary) mappings</t>
        </is>
      </c>
    </row>
    <row r="35">
      <c r="A35" s="18" t="inlineStr">
        <is>
          <t xml:space="preserve">  • This requirement is NOT currently satisfied by any control</t>
        </is>
      </c>
    </row>
    <row r="36">
      <c r="A36" s="18" t="inlineStr">
        <is>
          <t xml:space="preserve">  • Action: Implement new control or enhance existing control to Primary level</t>
        </is>
      </c>
    </row>
    <row r="37">
      <c r="A37" s="18" t="inlineStr"/>
    </row>
    <row r="38">
      <c r="A38" s="18" t="inlineStr">
        <is>
          <t>Partial Gap:</t>
        </is>
      </c>
    </row>
    <row r="39">
      <c r="A39" s="18" t="inlineStr">
        <is>
          <t xml:space="preserve">  • Requirement row with only 'S' (Secondary) or 'Su' (Supporting) mappings</t>
        </is>
      </c>
    </row>
    <row r="40">
      <c r="A40" s="18" t="inlineStr">
        <is>
          <t xml:space="preserve">  • Requirement partially addressed but not fully satisfied</t>
        </is>
      </c>
    </row>
    <row r="41">
      <c r="A41" s="18" t="inlineStr">
        <is>
          <t xml:space="preserve">  • Action: Enhance secondary controls to primary level or add missing controls</t>
        </is>
      </c>
    </row>
    <row r="42">
      <c r="A42" s="18" t="inlineStr"/>
    </row>
    <row r="43">
      <c r="A43" s="18" t="inlineStr">
        <is>
          <t>No Gap:</t>
        </is>
      </c>
    </row>
    <row r="44">
      <c r="A44" s="18" t="inlineStr">
        <is>
          <t xml:space="preserve">  • Requirement row with at least one 'P' (Primary) mapping</t>
        </is>
      </c>
    </row>
    <row r="45">
      <c r="A45" s="18" t="inlineStr">
        <is>
          <t xml:space="preserve">  • Requirement is satisfied (may also have additional S/Su for defense-in-depth)</t>
        </is>
      </c>
    </row>
    <row r="46">
      <c r="A46" s="18" t="inlineStr"/>
    </row>
    <row r="47">
      <c r="A47" s="18" t="inlineStr">
        <is>
          <t>USING THIS MATRIX:</t>
        </is>
      </c>
    </row>
    <row r="48">
      <c r="A48" s="18" t="inlineStr"/>
    </row>
    <row r="49">
      <c r="A49" s="18" t="inlineStr">
        <is>
          <t>Step 1 - Review Requirements:</t>
        </is>
      </c>
    </row>
    <row r="50">
      <c r="A50" s="18" t="inlineStr">
        <is>
          <t xml:space="preserve">  • Import requirements from Workbook 3 (Requirements Register)</t>
        </is>
      </c>
    </row>
    <row r="51">
      <c r="A51" s="18" t="inlineStr">
        <is>
          <t xml:space="preserve">  • Or manually add requirements to rows</t>
        </is>
      </c>
    </row>
    <row r="52">
      <c r="A52" s="18" t="inlineStr"/>
    </row>
    <row r="53">
      <c r="A53" s="18" t="inlineStr">
        <is>
          <t>Step 2 - For Each Requirement:</t>
        </is>
      </c>
    </row>
    <row r="54">
      <c r="A54" s="18" t="inlineStr">
        <is>
          <t xml:space="preserve">  • Review ISO 27001 controls (use Sheet 2 reference)</t>
        </is>
      </c>
    </row>
    <row r="55">
      <c r="A55" s="18" t="inlineStr">
        <is>
          <t xml:space="preserve">  • Identify which controls address this requirement</t>
        </is>
      </c>
    </row>
    <row r="56">
      <c r="A56" s="18" t="inlineStr">
        <is>
          <t xml:space="preserve">  • Enter P, S, or Su in appropriate control columns</t>
        </is>
      </c>
    </row>
    <row r="57">
      <c r="A57" s="18" t="inlineStr">
        <is>
          <t xml:space="preserve">  • Leave blank where control not relevant</t>
        </is>
      </c>
    </row>
    <row r="58">
      <c r="A58" s="18" t="inlineStr"/>
    </row>
    <row r="59">
      <c r="A59" s="18" t="inlineStr">
        <is>
          <t>Step 3 - Identify Gaps:</t>
        </is>
      </c>
    </row>
    <row r="60">
      <c r="A60" s="18" t="inlineStr">
        <is>
          <t xml:space="preserve">  • Review Gap Summary sheet (Sheet 4)</t>
        </is>
      </c>
    </row>
    <row r="61">
      <c r="A61" s="18" t="inlineStr">
        <is>
          <t xml:space="preserve">  • Focus on requirements with no Primary mappings</t>
        </is>
      </c>
    </row>
    <row r="62">
      <c r="A62" s="18" t="inlineStr">
        <is>
          <t xml:space="preserve">  • Prioritize gaps by requirement priority (High/Medium/Low)</t>
        </is>
      </c>
    </row>
    <row r="63">
      <c r="A63" s="18" t="inlineStr"/>
    </row>
    <row r="64">
      <c r="A64" s="18" t="inlineStr">
        <is>
          <t>Step 4 - Gap Remediation:</t>
        </is>
      </c>
    </row>
    <row r="65">
      <c r="A65" s="18" t="inlineStr">
        <is>
          <t xml:space="preserve">  • For complete gaps: Implement new control or significantly enhance existing</t>
        </is>
      </c>
    </row>
    <row r="66">
      <c r="A66" s="18" t="inlineStr">
        <is>
          <t xml:space="preserve">  • For partial gaps: Enhance secondary controls or add complementary controls</t>
        </is>
      </c>
    </row>
    <row r="67">
      <c r="A67" s="18" t="inlineStr">
        <is>
          <t xml:space="preserve">  • Update Gap Status in Requirements Register (Workbook 3)</t>
        </is>
      </c>
    </row>
    <row r="68">
      <c r="A68" s="18" t="inlineStr"/>
    </row>
    <row r="69">
      <c r="A69" s="18" t="inlineStr">
        <is>
          <t>WORKFLOW:</t>
        </is>
      </c>
    </row>
    <row r="70">
      <c r="A70" s="18" t="inlineStr">
        <is>
          <t>Requirements (Workbook 3) → Mapping (this workbook) → Gap Analysis → Remediation → Evidence (Workbook 5)</t>
        </is>
      </c>
    </row>
    <row r="71">
      <c r="A71" s="18" t="inlineStr"/>
    </row>
    <row r="72">
      <c r="A72" s="18" t="inlineStr">
        <is>
          <t>TIPS:</t>
        </is>
      </c>
    </row>
    <row r="73">
      <c r="A73" s="18" t="inlineStr"/>
    </row>
    <row r="74">
      <c r="A74" s="18" t="inlineStr">
        <is>
          <t>Start with High-Priority Requirements:</t>
        </is>
      </c>
    </row>
    <row r="75">
      <c r="A75" s="18" t="inlineStr">
        <is>
          <t xml:space="preserve">  • Focus mapping effort on Tier 1 regulations first</t>
        </is>
      </c>
    </row>
    <row r="76">
      <c r="A76" s="18" t="inlineStr">
        <is>
          <t xml:space="preserve">  • High High priority requirements need immediate attention</t>
        </is>
      </c>
    </row>
    <row r="77">
      <c r="A77" s="18" t="inlineStr"/>
    </row>
    <row r="78">
      <c r="A78" s="18" t="inlineStr">
        <is>
          <t>One Requirement = Multiple Controls (Common):</t>
        </is>
      </c>
    </row>
    <row r="79">
      <c r="A79" s="18" t="inlineStr">
        <is>
          <t xml:space="preserve">  • Security requirements often need multiple controls working together</t>
        </is>
      </c>
    </row>
    <row r="80">
      <c r="A80" s="18" t="inlineStr">
        <is>
          <t xml:space="preserve">  • Example: Data protection may need A.8.24 (encryption) + A.8.11 (masking) + A.5.10 (acceptable use)</t>
        </is>
      </c>
    </row>
    <row r="81">
      <c r="A81" s="18" t="inlineStr"/>
    </row>
    <row r="82">
      <c r="A82" s="18" t="inlineStr">
        <is>
          <t>One Control = Multiple Requirements (Common):</t>
        </is>
      </c>
    </row>
    <row r="83">
      <c r="A83" s="18" t="inlineStr">
        <is>
          <t xml:space="preserve">  • Controls often satisfy multiple regulatory requirements</t>
        </is>
      </c>
    </row>
    <row r="84">
      <c r="A84" s="18" t="inlineStr">
        <is>
          <t xml:space="preserve">  • Example: A.5.26 (Incident Response) satisfies GDPR, FADP, NIS2 notification requirements</t>
        </is>
      </c>
    </row>
    <row r="85">
      <c r="A85" s="18" t="inlineStr"/>
    </row>
    <row r="86">
      <c r="A86" s="18" t="inlineStr">
        <is>
          <t>Defense-in-Depth:</t>
        </is>
      </c>
    </row>
    <row r="87">
      <c r="A87" s="18" t="inlineStr">
        <is>
          <t xml:space="preserve">  • It's OK (and good!) to have P + S + Su mappings for one requirement</t>
        </is>
      </c>
    </row>
    <row r="88">
      <c r="A88" s="18" t="inlineStr">
        <is>
          <t xml:space="preserve">  • Primary control satisfies, secondary/supporting provide additional assurance</t>
        </is>
      </c>
    </row>
    <row r="89">
      <c r="A89" s="18" t="inlineStr"/>
    </row>
    <row r="90">
      <c r="A90" s="18" t="inlineStr">
        <is>
          <t>Don't Force Mappings:</t>
        </is>
      </c>
    </row>
    <row r="91">
      <c r="A91" s="18" t="inlineStr">
        <is>
          <t xml:space="preserve">  • If control truly doesn't relate to requirement, leave blank</t>
        </is>
      </c>
    </row>
    <row r="92">
      <c r="A92" s="18" t="inlineStr">
        <is>
          <t xml:space="preserve">  • Most cells should be blank - that's normal</t>
        </is>
      </c>
    </row>
    <row r="93">
      <c r="A93" s="18" t="inlineStr"/>
    </row>
    <row r="94">
      <c r="A94" s="18" t="inlineStr">
        <is>
          <t>COLOR CODING:</t>
        </is>
      </c>
    </row>
    <row r="95">
      <c r="A95" s="18" t="inlineStr"/>
    </row>
    <row r="96">
      <c r="A96" s="18" t="inlineStr">
        <is>
          <t>Mapping Cells:</t>
        </is>
      </c>
    </row>
    <row r="97">
      <c r="A97" s="18" t="inlineStr">
        <is>
          <t xml:space="preserve">  • Green background = P (Primary) - Requirement satisfied</t>
        </is>
      </c>
    </row>
    <row r="98">
      <c r="A98" s="18" t="inlineStr">
        <is>
          <t xml:space="preserve">  • Yellow background = S (Secondary) - Partial satisfaction</t>
        </is>
      </c>
    </row>
    <row r="99">
      <c r="A99" s="18" t="inlineStr">
        <is>
          <t xml:space="preserve">  • Light blue background = Su (Supporting) - Indirect support</t>
        </is>
      </c>
    </row>
    <row r="100">
      <c r="A100" s="18" t="inlineStr">
        <is>
          <t xml:space="preserve">  • No color = Blank (not applicable)</t>
        </is>
      </c>
    </row>
    <row r="101">
      <c r="A101" s="18" t="inlineStr"/>
    </row>
    <row r="102">
      <c r="A102" s="18" t="inlineStr">
        <is>
          <t>QUALITY CHECKS:</t>
        </is>
      </c>
    </row>
    <row r="103">
      <c r="A103" s="18" t="inlineStr"/>
    </row>
    <row r="104">
      <c r="A104" s="18" t="inlineStr">
        <is>
          <t>✓ All high-priority requirements have at least one Primary mapping</t>
        </is>
      </c>
    </row>
    <row r="105">
      <c r="A105" s="18" t="inlineStr">
        <is>
          <t>✓ Mapping choices are logical (control actually addresses requirement)</t>
        </is>
      </c>
    </row>
    <row r="106">
      <c r="A106" s="18" t="inlineStr">
        <is>
          <t>✓ Gap Summary reviewed and remediation plan created</t>
        </is>
      </c>
    </row>
    <row r="107">
      <c r="A107" s="18" t="inlineStr">
        <is>
          <t>✓ Gaps documented in Requirements Register (Workbook 3)</t>
        </is>
      </c>
    </row>
    <row r="108">
      <c r="A108" s="18" t="inlineStr">
        <is>
          <t>✓ Evidence collection planned for mapped controls (Workbook 5)</t>
        </is>
      </c>
    </row>
    <row r="109">
      <c r="A109" s="18" t="inlineStr"/>
    </row>
    <row r="110">
      <c r="A110" s="18" t="inlineStr">
        <is>
          <t>COMMON MAPPING EXAMPLES:</t>
        </is>
      </c>
    </row>
    <row r="111">
      <c r="A111" s="18" t="inlineStr"/>
    </row>
    <row r="112">
      <c r="A112" s="18" t="inlineStr">
        <is>
          <t>Encryption Requirements:</t>
        </is>
      </c>
    </row>
    <row r="113">
      <c r="A113" s="18" t="inlineStr">
        <is>
          <t xml:space="preserve">  • Primary: A.8.24 Use of Cryptography</t>
        </is>
      </c>
    </row>
    <row r="114">
      <c r="A114" s="18" t="inlineStr">
        <is>
          <t xml:space="preserve">  • Secondary: A.5.10 Acceptable Use (defines when encryption required)</t>
        </is>
      </c>
    </row>
    <row r="115">
      <c r="A115" s="18" t="inlineStr"/>
    </row>
    <row r="116">
      <c r="A116" s="18" t="inlineStr">
        <is>
          <t>Breach Notification:</t>
        </is>
      </c>
    </row>
    <row r="117">
      <c r="A117" s="18" t="inlineStr">
        <is>
          <t xml:space="preserve">  • Primary: A.5.26 Response to Information Security Incidents</t>
        </is>
      </c>
    </row>
    <row r="118">
      <c r="A118" s="18" t="inlineStr">
        <is>
          <t xml:space="preserve">  • Secondary: A.5.25 Assessment and Decision on Events (detection)</t>
        </is>
      </c>
    </row>
    <row r="119">
      <c r="A119" s="18" t="inlineStr">
        <is>
          <t xml:space="preserve">  • Supporting: A.6.8 Event Reporting (enables detection)</t>
        </is>
      </c>
    </row>
    <row r="120">
      <c r="A120" s="18" t="inlineStr"/>
    </row>
    <row r="121">
      <c r="A121" s="18" t="inlineStr">
        <is>
          <t>Access Control:</t>
        </is>
      </c>
    </row>
    <row r="122">
      <c r="A122" s="18" t="inlineStr">
        <is>
          <t xml:space="preserve">  • Primary: A.5.15 Access Control</t>
        </is>
      </c>
    </row>
    <row r="123">
      <c r="A123" s="18" t="inlineStr">
        <is>
          <t xml:space="preserve">  • Primary: A.5.18 Access Rights</t>
        </is>
      </c>
    </row>
    <row r="124">
      <c r="A124" s="18" t="inlineStr">
        <is>
          <t xml:space="preserve">  • Secondary: A.5.16 Identity Management</t>
        </is>
      </c>
    </row>
    <row r="125">
      <c r="A125" s="18" t="inlineStr">
        <is>
          <t xml:space="preserve">  • Secondary: A.8.2 Privileged Access Rights</t>
        </is>
      </c>
    </row>
    <row r="126">
      <c r="A126" s="18" t="inlineStr">
        <is>
          <t xml:space="preserve">  • Secondary: A.8.3 Information Access Restriction</t>
        </is>
      </c>
    </row>
    <row r="127">
      <c r="A127" s="18" t="inlineStr"/>
    </row>
    <row r="128">
      <c r="A128" s="18" t="inlineStr">
        <is>
          <t>Policies &amp; Governance:</t>
        </is>
      </c>
    </row>
    <row r="129">
      <c r="A129" s="18" t="inlineStr">
        <is>
          <t xml:space="preserve">  • Primary: A.5.1 Policies for Information Security</t>
        </is>
      </c>
    </row>
    <row r="130">
      <c r="A130" s="18" t="inlineStr">
        <is>
          <t xml:space="preserve">  • Supporting: A.5.2 Information Security Roles</t>
        </is>
      </c>
    </row>
    <row r="131">
      <c r="A131" s="18" t="inlineStr">
        <is>
          <t xml:space="preserve">  • Supporting: A.5.4 Management Responsibilities</t>
        </is>
      </c>
    </row>
    <row r="132">
      <c r="A132" s="18" t="inlineStr"/>
    </row>
    <row r="133">
      <c r="A133" s="18" t="inlineStr">
        <is>
          <t>RELATED PROCESSES:</t>
        </is>
      </c>
    </row>
    <row r="134">
      <c r="A134" s="18" t="inlineStr">
        <is>
          <t xml:space="preserve">  • IMP-5.31.3: Requirements Extraction Process (source of requirements)</t>
        </is>
      </c>
    </row>
    <row r="135">
      <c r="A135" s="18" t="inlineStr">
        <is>
          <t xml:space="preserve">  • IMP-5.31.4: Control Mapping Process (how to use this workbook)</t>
        </is>
      </c>
    </row>
    <row r="136">
      <c r="A136" s="18" t="inlineStr">
        <is>
          <t xml:space="preserve">  • IMP-5.31.5: Evidence Management Process (next step after mapping)</t>
        </is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45" customWidth="1" min="2" max="2"/>
    <col width="15" customWidth="1" min="3" max="3"/>
    <col width="12" customWidth="1" min="4" max="4"/>
    <col width="18" customWidth="1" min="5" max="5"/>
    <col width="50" customWidth="1" min="6" max="6"/>
  </cols>
  <sheetData>
    <row r="1" ht="35" customHeight="1">
      <c r="A1" s="10" t="inlineStr">
        <is>
          <t>GAP ANALYSIS SUMMARY</t>
        </is>
      </c>
    </row>
    <row r="2">
      <c r="A2" s="15" t="inlineStr">
        <is>
          <t>Requirement ID</t>
        </is>
      </c>
      <c r="B2" s="15" t="inlineStr">
        <is>
          <t>Requirement Text</t>
        </is>
      </c>
      <c r="C2" s="15" t="inlineStr">
        <is>
          <t>Category</t>
        </is>
      </c>
      <c r="D2" s="15" t="inlineStr">
        <is>
          <t>Priority</t>
        </is>
      </c>
      <c r="E2" s="15" t="inlineStr">
        <is>
          <t>Gap Type</t>
        </is>
      </c>
      <c r="F2" s="15" t="inlineStr">
        <is>
          <t>Notes</t>
        </is>
      </c>
    </row>
    <row r="3">
      <c r="A3" s="16" t="inlineStr">
        <is>
          <t>REG-ISO27001-8.1-001</t>
        </is>
      </c>
      <c r="B3" s="16" t="inlineStr">
        <is>
          <t>Implement Annex A controls</t>
        </is>
      </c>
      <c r="C3" s="16" t="inlineStr">
        <is>
          <t>Technical</t>
        </is>
      </c>
      <c r="D3" s="19" t="inlineStr">
        <is>
          <t>High</t>
        </is>
      </c>
      <c r="E3" s="19" t="inlineStr">
        <is>
          <t>❌ Complete Gap</t>
        </is>
      </c>
      <c r="F3" s="16" t="inlineStr">
        <is>
          <t>This is a meta-requirement covering all 93 controls. Gap analysis shows 28 controls not yet implemented.</t>
        </is>
      </c>
    </row>
    <row r="6">
      <c r="A6" s="20" t="inlineStr">
        <is>
          <t>GAP SUMMARY STATISTICS</t>
        </is>
      </c>
    </row>
    <row r="8">
      <c r="A8" s="21" t="inlineStr">
        <is>
          <t>Total Requirements Mapped:</t>
        </is>
      </c>
      <c r="B8" t="inlineStr">
        <is>
          <t>10</t>
        </is>
      </c>
    </row>
    <row r="9">
      <c r="A9" s="21" t="inlineStr">
        <is>
          <t>Complete Gaps (No Primary Mapping):</t>
        </is>
      </c>
      <c r="B9" s="22" t="inlineStr">
        <is>
          <t>1</t>
        </is>
      </c>
    </row>
    <row r="10">
      <c r="A10" s="21" t="inlineStr">
        <is>
          <t>Partial Gaps (Only Secondary/Supporting):</t>
        </is>
      </c>
      <c r="B10" s="23" t="inlineStr">
        <is>
          <t>0</t>
        </is>
      </c>
    </row>
    <row r="11">
      <c r="A11" s="21" t="inlineStr">
        <is>
          <t>No Gaps (Primary Mapping Exists):</t>
        </is>
      </c>
      <c r="B11" s="24" t="inlineStr">
        <is>
          <t>9</t>
        </is>
      </c>
    </row>
    <row r="13">
      <c r="A13" s="21" t="inlineStr">
        <is>
          <t>High High Priority Gaps:</t>
        </is>
      </c>
      <c r="B13" s="25" t="inlineStr">
        <is>
          <t>1</t>
        </is>
      </c>
    </row>
    <row r="14">
      <c r="A14" s="21" t="inlineStr">
        <is>
          <t>Medium Medium Priority Gaps:</t>
        </is>
      </c>
      <c r="B14" t="inlineStr">
        <is>
          <t>0</t>
        </is>
      </c>
    </row>
    <row r="15">
      <c r="A15" s="21" t="inlineStr">
        <is>
          <t>Low Low Priority Gaps:</t>
        </is>
      </c>
      <c r="B15" t="inlineStr">
        <is>
          <t>0</t>
        </is>
      </c>
    </row>
    <row r="18">
      <c r="A18" s="26" t="inlineStr">
        <is>
          <t>NOTE: This is sample data. In production use, formulas would auto-calculate gaps from the mapping matrix.</t>
        </is>
      </c>
    </row>
  </sheetData>
  <autoFilter ref="A2:F2"/>
  <mergeCells count="3">
    <mergeCell ref="A6:F6"/>
    <mergeCell ref="A1:F1"/>
    <mergeCell ref="A18:F1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0" customWidth="1" min="1" max="1"/>
    <col width="12" customWidth="1" min="2" max="2"/>
    <col width="18" customWidth="1" min="3" max="3"/>
    <col width="15" customWidth="1" min="4" max="4"/>
    <col width="18" customWidth="1" min="5" max="5"/>
    <col width="12" customWidth="1" min="6" max="6"/>
    <col width="15" customWidth="1" min="7" max="7"/>
  </cols>
  <sheetData>
    <row r="1" ht="35" customHeight="1">
      <c r="A1" s="27" t="inlineStr">
        <is>
          <t>CONTROL MAPPING — SUMMARY DASHBOARD</t>
        </is>
      </c>
      <c r="B1" s="28" t="n"/>
      <c r="C1" s="28" t="n"/>
      <c r="D1" s="28" t="n"/>
      <c r="E1" s="28" t="n"/>
      <c r="F1" s="28" t="n"/>
      <c r="G1" s="28" t="n"/>
    </row>
    <row r="2">
      <c r="A2" s="29" t="inlineStr">
        <is>
          <t>ISO/IEC 27001:2022 — Control A.5.31: Legal, Statutory, Regulatory and Contractual Requirements | Control Mapping</t>
        </is>
      </c>
      <c r="B2" s="28" t="n"/>
      <c r="C2" s="28" t="n"/>
      <c r="D2" s="28" t="n"/>
      <c r="E2" s="28" t="n"/>
      <c r="F2" s="28" t="n"/>
      <c r="G2" s="28" t="n"/>
    </row>
    <row r="4">
      <c r="A4" s="30" t="inlineStr">
        <is>
          <t>TABLE 1: ASSESSMENT AREA COMPLIANCE OVERVIEW</t>
        </is>
      </c>
      <c r="B4" s="28" t="n"/>
      <c r="C4" s="28" t="n"/>
      <c r="D4" s="28" t="n"/>
      <c r="E4" s="28" t="n"/>
      <c r="F4" s="28" t="n"/>
      <c r="G4" s="28" t="n"/>
    </row>
    <row r="5">
      <c r="A5" s="31" t="inlineStr">
        <is>
          <t>Assessment Area</t>
        </is>
      </c>
      <c r="B5" s="31" t="inlineStr">
        <is>
          <t>Total Items</t>
        </is>
      </c>
      <c r="C5" s="31" t="inlineStr">
        <is>
          <t>Compliant</t>
        </is>
      </c>
      <c r="D5" s="31" t="inlineStr">
        <is>
          <t>Partial</t>
        </is>
      </c>
      <c r="E5" s="31" t="inlineStr">
        <is>
          <t>Non-Compliant</t>
        </is>
      </c>
      <c r="F5" s="31" t="inlineStr">
        <is>
          <t>N/A</t>
        </is>
      </c>
      <c r="G5" s="31" t="inlineStr">
        <is>
          <t>Compliance %</t>
        </is>
      </c>
    </row>
    <row r="6">
      <c r="A6" s="32" t="inlineStr">
        <is>
          <t>Control Mapping Coverage</t>
        </is>
      </c>
      <c r="B6" s="33">
        <f>COUNTA('Control Mapping Matrix'!A3:A1000)</f>
        <v/>
      </c>
      <c r="C6" s="33">
        <f>B6-COUNTA('Gap Summary'!A3:A1000)</f>
        <v/>
      </c>
      <c r="D6" s="33" t="n">
        <v>0</v>
      </c>
      <c r="E6" s="33">
        <f>COUNTA('Gap Summary'!A3:A1000)</f>
        <v/>
      </c>
      <c r="F6" s="33" t="n">
        <v>0</v>
      </c>
      <c r="G6" s="34">
        <f>IFERROR(IF((B6-F6)=0,0,C6/(B6-F6)),"")</f>
        <v/>
      </c>
    </row>
    <row r="7">
      <c r="A7" s="35" t="inlineStr">
        <is>
          <t>TOTAL</t>
        </is>
      </c>
      <c r="B7" s="36">
        <f>SUM(B6:B6)</f>
        <v/>
      </c>
      <c r="C7" s="36">
        <f>SUM(C6:C6)</f>
        <v/>
      </c>
      <c r="D7" s="36">
        <f>SUM(D6:D6)</f>
        <v/>
      </c>
      <c r="E7" s="36">
        <f>SUM(E6:E6)</f>
        <v/>
      </c>
      <c r="F7" s="36">
        <f>SUM(F6:F6)</f>
        <v/>
      </c>
      <c r="G7" s="37">
        <f>IFERROR(IF((B7-F7)=0,0,C7/(B7-F7)),"")</f>
        <v/>
      </c>
    </row>
    <row r="9">
      <c r="A9" s="30" t="inlineStr">
        <is>
          <t>TABLE 2: KEY METRICS</t>
        </is>
      </c>
      <c r="B9" s="28" t="n"/>
      <c r="C9" s="28" t="n"/>
      <c r="D9" s="28" t="n"/>
      <c r="E9" s="28" t="n"/>
      <c r="F9" s="28" t="n"/>
      <c r="G9" s="28" t="n"/>
    </row>
    <row r="10">
      <c r="A10" s="31" t="inlineStr">
        <is>
          <t>Metric</t>
        </is>
      </c>
      <c r="B10" s="31" t="inlineStr">
        <is>
          <t>Value</t>
        </is>
      </c>
      <c r="C10" s="31" t="n"/>
      <c r="D10" s="31" t="n"/>
      <c r="E10" s="31" t="n"/>
      <c r="F10" s="31" t="n"/>
      <c r="G10" s="31" t="n"/>
    </row>
    <row r="11">
      <c r="A11" s="32" t="inlineStr">
        <is>
          <t>Total requirements in scope</t>
        </is>
      </c>
      <c r="B11" s="33">
        <f>COUNTA('Control Mapping Matrix'!A3:A1000)</f>
        <v/>
      </c>
      <c r="C11" s="28" t="n"/>
      <c r="D11" s="28" t="n"/>
      <c r="E11" s="28" t="n"/>
      <c r="F11" s="28" t="n"/>
      <c r="G11" s="28" t="n"/>
    </row>
    <row r="12">
      <c r="A12" s="32" t="inlineStr">
        <is>
          <t>Requirements with Primary control mapped</t>
        </is>
      </c>
      <c r="B12" s="33">
        <f>B6-COUNTA('Gap Summary'!A3:A1000)</f>
        <v/>
      </c>
      <c r="C12" s="28" t="n"/>
      <c r="D12" s="28" t="n"/>
      <c r="E12" s="28" t="n"/>
      <c r="F12" s="28" t="n"/>
      <c r="G12" s="28" t="n"/>
    </row>
    <row r="13">
      <c r="A13" s="32" t="inlineStr">
        <is>
          <t>Requirements in gap analysis</t>
        </is>
      </c>
      <c r="B13" s="33">
        <f>COUNTA('Gap Summary'!A3:A1000)</f>
        <v/>
      </c>
      <c r="C13" s="28" t="n"/>
      <c r="D13" s="28" t="n"/>
      <c r="E13" s="28" t="n"/>
      <c r="F13" s="28" t="n"/>
      <c r="G13" s="28" t="n"/>
    </row>
    <row r="14">
      <c r="A14" s="32" t="inlineStr">
        <is>
          <t>Total ISO 27001 controls referenced</t>
        </is>
      </c>
      <c r="B14" s="33">
        <f>COUNTA('ISO27001 Controls Reference'!A3:A1000)</f>
        <v/>
      </c>
      <c r="C14" s="28" t="n"/>
      <c r="D14" s="28" t="n"/>
      <c r="E14" s="28" t="n"/>
      <c r="F14" s="28" t="n"/>
      <c r="G14" s="28" t="n"/>
    </row>
    <row r="16">
      <c r="A16" s="38" t="inlineStr">
        <is>
          <t>TABLE 3: CRITICAL FINDINGS REQUIRING IMMEDIATE ATTENTION</t>
        </is>
      </c>
      <c r="B16" s="28" t="n"/>
      <c r="C16" s="28" t="n"/>
      <c r="D16" s="28" t="n"/>
      <c r="E16" s="28" t="n"/>
      <c r="F16" s="28" t="n"/>
      <c r="G16" s="28" t="n"/>
    </row>
    <row r="17">
      <c r="A17" s="31" t="inlineStr">
        <is>
          <t>Finding</t>
        </is>
      </c>
      <c r="B17" s="31" t="inlineStr">
        <is>
          <t>Count</t>
        </is>
      </c>
      <c r="C17" s="31" t="inlineStr">
        <is>
          <t>Action Required</t>
        </is>
      </c>
      <c r="D17" s="28" t="n"/>
      <c r="E17" s="28" t="n"/>
      <c r="F17" s="28" t="n"/>
      <c r="G17" s="28" t="n"/>
    </row>
    <row r="18">
      <c r="A18" s="39" t="inlineStr">
        <is>
          <t>Requirements in gap analysis (no adequate control)</t>
        </is>
      </c>
      <c r="B18" s="40">
        <f>COUNTA('Gap Summary'!A3:A1000)</f>
        <v/>
      </c>
      <c r="C18" s="39" t="inlineStr">
        <is>
          <t>Review Gap Summary sheet — implement controls or accept risk for each gap item</t>
        </is>
      </c>
      <c r="D18" s="28" t="n"/>
      <c r="E18" s="28" t="n"/>
      <c r="F18" s="28" t="n"/>
      <c r="G18" s="28" t="n"/>
    </row>
    <row r="19">
      <c r="A19" s="39" t="inlineStr">
        <is>
          <t>Total requirements not yet mapped</t>
        </is>
      </c>
      <c r="B19" s="40">
        <f>COUNTA('Control Mapping Matrix'!A3:A1000)-COUNTA('Mapping Guidelines'!A3:A1000)</f>
        <v/>
      </c>
      <c r="C19" s="39" t="inlineStr">
        <is>
          <t>Complete control mapping for all extracted requirements before gap analysis</t>
        </is>
      </c>
      <c r="D19" s="28" t="n"/>
      <c r="E19" s="28" t="n"/>
      <c r="F19" s="28" t="n"/>
      <c r="G19" s="28" t="n"/>
    </row>
    <row r="20">
      <c r="A20" s="41" t="n"/>
      <c r="B20" s="41" t="n"/>
      <c r="C20" s="41" t="n"/>
      <c r="D20" s="41" t="n"/>
      <c r="E20" s="41" t="n"/>
      <c r="F20" s="41" t="n"/>
      <c r="G20" s="41" t="n"/>
    </row>
    <row r="21">
      <c r="A21" s="41" t="n"/>
      <c r="B21" s="41" t="n"/>
      <c r="C21" s="41" t="n"/>
      <c r="D21" s="41" t="n"/>
      <c r="E21" s="41" t="n"/>
      <c r="F21" s="41" t="n"/>
      <c r="G21" s="41" t="n"/>
    </row>
    <row r="23">
      <c r="A23" s="3" t="inlineStr">
        <is>
          <t>FINAL DECISION:</t>
        </is>
      </c>
      <c r="B23" s="41" t="n"/>
      <c r="C23" s="28" t="n"/>
      <c r="D23" s="28" t="n"/>
      <c r="E23" s="28" t="n"/>
      <c r="F23" s="28" t="n"/>
      <c r="G23" s="28" t="n"/>
    </row>
    <row r="26">
      <c r="A26" s="42" t="inlineStr">
        <is>
          <t>NEXT REVIEW DETAILS</t>
        </is>
      </c>
      <c r="B26" s="28" t="n"/>
      <c r="C26" s="28" t="n"/>
      <c r="D26" s="28" t="n"/>
      <c r="E26" s="28" t="n"/>
      <c r="F26" s="28" t="n"/>
      <c r="G26" s="28" t="n"/>
    </row>
    <row r="27">
      <c r="A27" s="3" t="inlineStr">
        <is>
          <t>Next Review Date:</t>
        </is>
      </c>
      <c r="B27" s="41" t="n"/>
      <c r="C27" s="28" t="n"/>
      <c r="D27" s="28" t="n"/>
      <c r="E27" s="28" t="n"/>
      <c r="F27" s="28" t="n"/>
      <c r="G27" s="28" t="n"/>
    </row>
    <row r="28">
      <c r="A28" s="3" t="inlineStr">
        <is>
          <t>Review Responsible:</t>
        </is>
      </c>
      <c r="B28" s="41" t="n"/>
      <c r="C28" s="28" t="n"/>
      <c r="D28" s="28" t="n"/>
      <c r="E28" s="28" t="n"/>
      <c r="F28" s="28" t="n"/>
      <c r="G28" s="28" t="n"/>
    </row>
    <row r="29">
      <c r="A29" s="3" t="inlineStr">
        <is>
          <t>Special Considerations:</t>
        </is>
      </c>
      <c r="B29" s="41" t="n"/>
      <c r="C29" s="28" t="n"/>
      <c r="D29" s="28" t="n"/>
      <c r="E29" s="28" t="n"/>
      <c r="F29" s="28" t="n"/>
      <c r="G29" s="28" t="n"/>
    </row>
  </sheetData>
  <mergeCells count="13">
    <mergeCell ref="A1:G1"/>
    <mergeCell ref="B28:G28"/>
    <mergeCell ref="A9:G9"/>
    <mergeCell ref="B23:G23"/>
    <mergeCell ref="B27:G27"/>
    <mergeCell ref="A4:G4"/>
    <mergeCell ref="A26:G26"/>
    <mergeCell ref="C19:G19"/>
    <mergeCell ref="A16:G16"/>
    <mergeCell ref="A2:G2"/>
    <mergeCell ref="C18:G18"/>
    <mergeCell ref="B29:G29"/>
    <mergeCell ref="C17:G17"/>
  </mergeCells>
  <dataValidations count="1">
    <dataValidation sqref="B23" showDropDown="0" showInputMessage="0" showErrorMessage="0" allowBlank="1" type="list">
      <formula1>"Approved,Approved with Conditions,Rejected,Deferred"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5" customWidth="1" min="2" max="2"/>
    <col width="20" customWidth="1" min="3" max="3"/>
    <col width="20" customWidth="1" min="4" max="4"/>
    <col width="20" customWidth="1" min="5" max="5"/>
  </cols>
  <sheetData>
    <row r="1" ht="35" customHeight="1">
      <c r="A1" s="43" t="inlineStr">
        <is>
          <t>ASSESSMENT APPROVAL AND SIGN-OFF</t>
        </is>
      </c>
      <c r="B1" s="6" t="n"/>
      <c r="C1" s="6" t="n"/>
      <c r="D1" s="6" t="n"/>
      <c r="E1" s="6" t="n"/>
    </row>
    <row r="2">
      <c r="A2" s="44" t="inlineStr">
        <is>
          <t>ISO/IEC 27001:2022 - Control A.5.31: Legal, Statutory, Regulatory and Contractual Requirements</t>
        </is>
      </c>
      <c r="B2" s="6" t="n"/>
      <c r="C2" s="6" t="n"/>
      <c r="D2" s="6" t="n"/>
      <c r="E2" s="6" t="n"/>
    </row>
    <row r="3">
      <c r="A3" s="45" t="inlineStr">
        <is>
          <t>ASSESSMENT SUMMARY</t>
        </is>
      </c>
      <c r="B3" s="6" t="n"/>
      <c r="C3" s="6" t="n"/>
      <c r="D3" s="6" t="n"/>
      <c r="E3" s="6" t="n"/>
    </row>
    <row r="4">
      <c r="A4" s="3" t="inlineStr">
        <is>
          <t>Document:</t>
        </is>
      </c>
      <c r="B4" s="6" t="inlineStr">
        <is>
          <t>ISMS-IMP-A.5.31.4 - Control Mapping</t>
        </is>
      </c>
      <c r="C4" s="6" t="n"/>
      <c r="D4" s="6" t="n"/>
      <c r="E4" s="6" t="n"/>
    </row>
    <row r="5">
      <c r="A5" s="3" t="inlineStr">
        <is>
          <t>Assessment Period:</t>
        </is>
      </c>
      <c r="B5" s="46" t="inlineStr"/>
      <c r="C5" s="6" t="n"/>
      <c r="D5" s="6" t="n"/>
      <c r="E5" s="6" t="n"/>
    </row>
    <row r="6">
      <c r="A6" s="3" t="inlineStr">
        <is>
          <t>Overall Compliance Rating:</t>
        </is>
      </c>
      <c r="B6" s="47">
        <f>IFERROR(AVERAGE('Summary Dashboard'!G6:G6),"")</f>
        <v/>
      </c>
      <c r="C6" s="6" t="n"/>
      <c r="D6" s="6" t="n"/>
      <c r="E6" s="6" t="n"/>
    </row>
    <row r="7">
      <c r="A7" s="3" t="inlineStr">
        <is>
          <t>Assessment Status:</t>
        </is>
      </c>
      <c r="B7" s="46" t="inlineStr"/>
      <c r="C7" s="6" t="n"/>
      <c r="D7" s="6" t="n"/>
      <c r="E7" s="6" t="n"/>
    </row>
    <row r="8">
      <c r="A8" s="3" t="inlineStr">
        <is>
          <t>Assessed By:</t>
        </is>
      </c>
      <c r="B8" s="46" t="inlineStr"/>
      <c r="C8" s="6" t="n"/>
      <c r="D8" s="6" t="n"/>
      <c r="E8" s="6" t="n"/>
    </row>
    <row r="11">
      <c r="A11" s="45" t="inlineStr">
        <is>
          <t>COMPLETED BY (ASSESSOR)</t>
        </is>
      </c>
      <c r="B11" s="6" t="n"/>
      <c r="C11" s="6" t="n"/>
      <c r="D11" s="6" t="n"/>
      <c r="E11" s="6" t="n"/>
    </row>
    <row r="12">
      <c r="A12" s="3" t="inlineStr">
        <is>
          <t>Name:</t>
        </is>
      </c>
      <c r="B12" s="46" t="n"/>
      <c r="C12" s="6" t="n"/>
      <c r="D12" s="6" t="n"/>
      <c r="E12" s="6" t="n"/>
    </row>
    <row r="13">
      <c r="A13" s="3" t="inlineStr">
        <is>
          <t>Title:</t>
        </is>
      </c>
      <c r="B13" s="46" t="n"/>
      <c r="C13" s="6" t="n"/>
      <c r="D13" s="6" t="n"/>
      <c r="E13" s="6" t="n"/>
    </row>
    <row r="14">
      <c r="A14" s="3" t="inlineStr">
        <is>
          <t>Date:</t>
        </is>
      </c>
      <c r="B14" s="46" t="n"/>
      <c r="C14" s="6" t="n"/>
      <c r="D14" s="6" t="n"/>
      <c r="E14" s="6" t="n"/>
    </row>
    <row r="15">
      <c r="A15" s="3" t="inlineStr">
        <is>
          <t>Signature:</t>
        </is>
      </c>
      <c r="B15" s="46" t="n"/>
      <c r="C15" s="6" t="n"/>
      <c r="D15" s="6" t="n"/>
      <c r="E15" s="6" t="n"/>
    </row>
    <row r="16">
      <c r="A16" s="3" t="inlineStr">
        <is>
          <t>Comments:</t>
        </is>
      </c>
      <c r="B16" s="46" t="n"/>
      <c r="C16" s="6" t="n"/>
      <c r="D16" s="6" t="n"/>
      <c r="E16" s="6" t="n"/>
    </row>
    <row r="18">
      <c r="A18" s="45" t="inlineStr">
        <is>
          <t>REVIEWED BY (INFORMATION SECURITY OFFICER)</t>
        </is>
      </c>
      <c r="B18" s="6" t="n"/>
      <c r="C18" s="6" t="n"/>
      <c r="D18" s="6" t="n"/>
      <c r="E18" s="6" t="n"/>
    </row>
    <row r="19">
      <c r="A19" s="3" t="inlineStr">
        <is>
          <t>Name:</t>
        </is>
      </c>
      <c r="B19" s="46" t="n"/>
      <c r="C19" s="6" t="n"/>
      <c r="D19" s="6" t="n"/>
      <c r="E19" s="6" t="n"/>
    </row>
    <row r="20">
      <c r="A20" s="3" t="inlineStr">
        <is>
          <t>Title:</t>
        </is>
      </c>
      <c r="B20" s="46" t="n"/>
      <c r="C20" s="6" t="n"/>
      <c r="D20" s="6" t="n"/>
      <c r="E20" s="6" t="n"/>
    </row>
    <row r="21">
      <c r="A21" s="3" t="inlineStr">
        <is>
          <t>Date:</t>
        </is>
      </c>
      <c r="B21" s="46" t="n"/>
      <c r="C21" s="6" t="n"/>
      <c r="D21" s="6" t="n"/>
      <c r="E21" s="6" t="n"/>
    </row>
    <row r="22">
      <c r="A22" s="3" t="inlineStr">
        <is>
          <t>Signature:</t>
        </is>
      </c>
      <c r="B22" s="46" t="n"/>
      <c r="C22" s="6" t="n"/>
      <c r="D22" s="6" t="n"/>
      <c r="E22" s="6" t="n"/>
    </row>
    <row r="23">
      <c r="A23" s="3" t="inlineStr">
        <is>
          <t>Comments:</t>
        </is>
      </c>
      <c r="B23" s="46" t="n"/>
      <c r="C23" s="6" t="n"/>
      <c r="D23" s="6" t="n"/>
      <c r="E23" s="6" t="n"/>
    </row>
    <row r="25">
      <c r="A25" s="48" t="inlineStr">
        <is>
          <t>APPROVED BY (CISO)</t>
        </is>
      </c>
      <c r="B25" s="6" t="n"/>
      <c r="C25" s="6" t="n"/>
      <c r="D25" s="6" t="n"/>
      <c r="E25" s="6" t="n"/>
    </row>
    <row r="26">
      <c r="A26" s="3" t="inlineStr">
        <is>
          <t>Name:</t>
        </is>
      </c>
      <c r="B26" s="46" t="n"/>
      <c r="C26" s="6" t="n"/>
      <c r="D26" s="6" t="n"/>
      <c r="E26" s="6" t="n"/>
    </row>
    <row r="27">
      <c r="A27" s="3" t="inlineStr">
        <is>
          <t>Title:</t>
        </is>
      </c>
      <c r="B27" s="46" t="n"/>
      <c r="C27" s="6" t="n"/>
      <c r="D27" s="6" t="n"/>
      <c r="E27" s="6" t="n"/>
    </row>
    <row r="28">
      <c r="A28" s="3" t="inlineStr">
        <is>
          <t>Date:</t>
        </is>
      </c>
      <c r="B28" s="46" t="n"/>
      <c r="C28" s="6" t="n"/>
      <c r="D28" s="6" t="n"/>
      <c r="E28" s="6" t="n"/>
    </row>
    <row r="29">
      <c r="A29" s="3" t="inlineStr">
        <is>
          <t>Signature:</t>
        </is>
      </c>
      <c r="B29" s="46" t="n"/>
      <c r="C29" s="6" t="n"/>
      <c r="D29" s="6" t="n"/>
      <c r="E29" s="6" t="n"/>
    </row>
    <row r="30">
      <c r="A30" s="3" t="inlineStr">
        <is>
          <t>Comments:</t>
        </is>
      </c>
      <c r="B30" s="46" t="n"/>
      <c r="C30" s="6" t="n"/>
      <c r="D30" s="6" t="n"/>
      <c r="E30" s="6" t="n"/>
    </row>
    <row r="32">
      <c r="A32" s="3" t="inlineStr">
        <is>
          <t>FINAL DECISION:</t>
        </is>
      </c>
      <c r="B32" s="46" t="n"/>
      <c r="C32" s="6" t="n"/>
      <c r="D32" s="6" t="n"/>
      <c r="E32" s="6" t="n"/>
    </row>
    <row r="35">
      <c r="A35" s="45" t="inlineStr">
        <is>
          <t>NEXT REVIEW DETAILS</t>
        </is>
      </c>
      <c r="B35" s="6" t="n"/>
      <c r="C35" s="6" t="n"/>
      <c r="D35" s="6" t="n"/>
      <c r="E35" s="6" t="n"/>
    </row>
    <row r="36">
      <c r="A36" s="3" t="inlineStr">
        <is>
          <t>Next Review Date:</t>
        </is>
      </c>
      <c r="B36" s="46" t="n"/>
      <c r="C36" s="6" t="n"/>
      <c r="D36" s="6" t="n"/>
      <c r="E36" s="6" t="n"/>
    </row>
    <row r="37">
      <c r="A37" s="3" t="inlineStr">
        <is>
          <t>Review Responsible:</t>
        </is>
      </c>
      <c r="B37" s="46" t="n"/>
      <c r="C37" s="6" t="n"/>
      <c r="D37" s="6" t="n"/>
      <c r="E37" s="6" t="n"/>
    </row>
    <row r="38">
      <c r="A38" s="3" t="inlineStr">
        <is>
          <t>Special Considerations:</t>
        </is>
      </c>
      <c r="B38" s="46" t="n"/>
      <c r="C38" s="6" t="n"/>
      <c r="D38" s="6" t="n"/>
      <c r="E38" s="6" t="n"/>
    </row>
  </sheetData>
  <mergeCells count="31">
    <mergeCell ref="B6:E6"/>
    <mergeCell ref="B30:E30"/>
    <mergeCell ref="A11:E11"/>
    <mergeCell ref="B15:E15"/>
    <mergeCell ref="A1:E1"/>
    <mergeCell ref="B5:E5"/>
    <mergeCell ref="B20:E20"/>
    <mergeCell ref="B36:E36"/>
    <mergeCell ref="B32:E32"/>
    <mergeCell ref="B26:E26"/>
    <mergeCell ref="B4:E4"/>
    <mergeCell ref="A25:E25"/>
    <mergeCell ref="B16:E16"/>
    <mergeCell ref="B7:E7"/>
    <mergeCell ref="A18:E18"/>
    <mergeCell ref="B22:E22"/>
    <mergeCell ref="A3:E3"/>
    <mergeCell ref="B27:E27"/>
    <mergeCell ref="A2:E2"/>
    <mergeCell ref="B12:E12"/>
    <mergeCell ref="B21:E21"/>
    <mergeCell ref="B14:E14"/>
    <mergeCell ref="B23:E23"/>
    <mergeCell ref="A35:E35"/>
    <mergeCell ref="B8:E8"/>
    <mergeCell ref="B13:E13"/>
    <mergeCell ref="B38:E38"/>
    <mergeCell ref="B29:E29"/>
    <mergeCell ref="B19:E19"/>
    <mergeCell ref="B37:E37"/>
    <mergeCell ref="B28:E28"/>
  </mergeCells>
  <dataValidations count="2">
    <dataValidation sqref="B7" showDropDown="0" showInputMessage="0" showErrorMessage="0" allowBlank="1" type="list">
      <formula1>"Draft,Final,Requires remediation,Re-assessment required"</formula1>
    </dataValidation>
    <dataValidation sqref="B32" showDropDown="0" showInputMessage="0" showErrorMessage="0" allowBlank="1" type="list">
      <formula1>"Approved,Approved with Conditions,Rejected,Deferred"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ISMS Core Contributors</dc:creator>
  <dc:title xmlns:dc="http://purl.org/dc/elements/1.1/">ISMS-IMP-A.5.31.4 — Control Mapping</dc:title>
  <dc:description xmlns:dc="http://purl.org/dc/elements/1.1/">ISMS Implementation Workbook — ISMS-IMP-A.5.31.4</dc:description>
  <dc:subject xmlns:dc="http://purl.org/dc/elements/1.1/">ISO/IEC 27001:2022 — Control A.5.31: Legal, Statutory, Regulatory and Contractual Requirements</dc:subject>
  <dcterms:created xmlns:dcterms="http://purl.org/dc/terms/" xmlns:xsi="http://www.w3.org/2001/XMLSchema-instance" xsi:type="dcterms:W3CDTF">2026-03-01T11:12:10Z</dcterms:created>
  <dcterms:modified xmlns:dcterms="http://purl.org/dc/terms/" xmlns:xsi="http://www.w3.org/2001/XMLSchema-instance" xsi:type="dcterms:W3CDTF">2026-03-01T11:12:10Z</dcterms:modified>
</cp:coreProperties>
</file>