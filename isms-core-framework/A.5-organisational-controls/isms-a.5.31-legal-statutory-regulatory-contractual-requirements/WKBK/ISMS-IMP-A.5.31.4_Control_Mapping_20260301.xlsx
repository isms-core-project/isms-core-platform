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ol Mapping Matrix" sheetId="2" state="visible" r:id="rId2"/>
    <sheet xmlns:r="http://schemas.openxmlformats.org/officeDocument/2006/relationships" name="ISO27001 Controls Reference" sheetId="3" state="visible" r:id="rId3"/>
    <sheet xmlns:r="http://schemas.openxmlformats.org/officeDocument/2006/relationships" name="Mapping Guidelines" sheetId="4" state="visible" r:id="rId4"/>
    <sheet xmlns:r="http://schemas.openxmlformats.org/officeDocument/2006/relationships" name="Gap Summary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2" hidden="1">'ISO27001 Controls Reference'!$A$2:$E$2</definedName>
    <definedName name="_xlnm._FilterDatabase" localSheetId="4" hidden="1">'Gap Summary'!$A$2:$F$2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b val="1"/>
      <color rgb="00FFFFFF"/>
      <sz val="10"/>
    </font>
    <font>
      <sz val="9"/>
    </font>
    <font>
      <name val="Calibri"/>
      <b val="1"/>
      <color rgb="00FFFFFF"/>
      <sz val="16"/>
    </font>
    <font>
      <name val="Calibri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textRotation="90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/>
    </xf>
    <xf numFmtId="164" fontId="15" fillId="0" borderId="2" applyAlignment="1" pivotButton="0" quotePrefix="0" xfId="0">
      <alignment horizontal="center"/>
    </xf>
    <xf numFmtId="0" fontId="14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/>
    </xf>
    <xf numFmtId="164" fontId="14" fillId="8" borderId="2" applyAlignment="1" pivotButton="0" quotePrefix="0" xfId="0">
      <alignment horizontal="center"/>
    </xf>
    <xf numFmtId="0" fontId="13" fillId="9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/>
    </xf>
    <xf numFmtId="0" fontId="0" fillId="10" borderId="2" pivotButton="0" quotePrefix="0" xfId="0"/>
    <xf numFmtId="0" fontId="13" fillId="11" borderId="2" pivotButton="0" quotePrefix="0" xfId="0"/>
    <xf numFmtId="0" fontId="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11" borderId="1" pivotButton="0" quotePrefix="0" xfId="0"/>
    <xf numFmtId="0" fontId="0" fillId="10" borderId="1" pivotButton="0" quotePrefix="0" xfId="0"/>
    <xf numFmtId="164" fontId="0" fillId="0" borderId="1" pivotButton="0" quotePrefix="0" xfId="0"/>
    <xf numFmtId="0" fontId="13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ISMS-IMP-A.5.31.4  -  Control Mapping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ISMS-IMP-A.5.31.4</t>
        </is>
      </c>
    </row>
    <row r="5">
      <c r="A5" s="3" t="inlineStr">
        <is>
          <t>Workbook Title</t>
        </is>
      </c>
      <c r="B5" t="inlineStr">
        <is>
          <t>Control Mapping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Map each requirement to ISO 27001:2022 controls using P (Primary), S (Supporting), or Su (Supplementary).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Use the Gap Summary sheet to identify unmapped requirements.</t>
        </is>
      </c>
    </row>
    <row r="17">
      <c r="A17" t="inlineStr">
        <is>
          <t>5. Obtain sign-off in the Approval Sign-Off sheet when the assessment is complete.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P</t>
        </is>
      </c>
      <c r="B23" s="7" t="inlineStr">
        <is>
          <t>Primary</t>
        </is>
      </c>
      <c r="C23" s="8" t="inlineStr">
        <is>
          <t>This control is the primary mechanism addressing the requirement</t>
        </is>
      </c>
    </row>
    <row r="24">
      <c r="A24" s="6" t="inlineStr">
        <is>
          <t>S</t>
        </is>
      </c>
      <c r="B24" s="9" t="inlineStr">
        <is>
          <t>Supporting</t>
        </is>
      </c>
      <c r="C24" s="8" t="inlineStr">
        <is>
          <t>This control supports the primary control for this requirement</t>
        </is>
      </c>
    </row>
    <row r="25">
      <c r="A25" s="6" t="inlineStr">
        <is>
          <t>Su</t>
        </is>
      </c>
      <c r="B25" s="8" t="inlineStr">
        <is>
          <t>Supplementary</t>
        </is>
      </c>
      <c r="C25" s="8" t="inlineStr">
        <is>
          <t>This control supplements but is not the main control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This control is not relevant to the requirement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</cols>
  <sheetData>
    <row r="1" ht="35" customHeight="1">
      <c r="A1" s="10" t="inlineStr">
        <is>
          <t>CONTROL MAPPING MATRIX</t>
        </is>
      </c>
    </row>
    <row r="2">
      <c r="A2" s="11" t="inlineStr">
        <is>
          <t>Requirement ID</t>
        </is>
      </c>
      <c r="B2" s="11" t="inlineStr">
        <is>
          <t>Interpreted Requirement</t>
        </is>
      </c>
      <c r="C2" s="11" t="inlineStr">
        <is>
          <t>Category</t>
        </is>
      </c>
      <c r="D2" s="11" t="inlineStr">
        <is>
          <t>Priority</t>
        </is>
      </c>
      <c r="E2" s="12" t="inlineStr">
        <is>
          <t>A.5.1</t>
        </is>
      </c>
      <c r="F2" s="12" t="inlineStr">
        <is>
          <t>A.5.2</t>
        </is>
      </c>
      <c r="G2" s="12" t="inlineStr">
        <is>
          <t>A.5.3</t>
        </is>
      </c>
      <c r="H2" s="12" t="inlineStr">
        <is>
          <t>A.5.4</t>
        </is>
      </c>
      <c r="I2" s="12" t="inlineStr">
        <is>
          <t>A.5.5</t>
        </is>
      </c>
      <c r="J2" s="12" t="inlineStr">
        <is>
          <t>A.5.6</t>
        </is>
      </c>
      <c r="K2" s="12" t="inlineStr">
        <is>
          <t>A.5.7</t>
        </is>
      </c>
      <c r="L2" s="12" t="inlineStr">
        <is>
          <t>A.5.8</t>
        </is>
      </c>
      <c r="M2" s="12" t="inlineStr">
        <is>
          <t>A.5.9</t>
        </is>
      </c>
      <c r="N2" s="12" t="inlineStr">
        <is>
          <t>A.5.10</t>
        </is>
      </c>
      <c r="O2" s="12" t="inlineStr">
        <is>
          <t>A.5.11</t>
        </is>
      </c>
      <c r="P2" s="12" t="inlineStr">
        <is>
          <t>A.5.12</t>
        </is>
      </c>
      <c r="Q2" s="12" t="inlineStr">
        <is>
          <t>A.5.13</t>
        </is>
      </c>
      <c r="R2" s="12" t="inlineStr">
        <is>
          <t>A.5.14</t>
        </is>
      </c>
      <c r="S2" s="12" t="inlineStr">
        <is>
          <t>A.5.15</t>
        </is>
      </c>
      <c r="T2" s="12" t="inlineStr">
        <is>
          <t>A.5.16</t>
        </is>
      </c>
      <c r="U2" s="12" t="inlineStr">
        <is>
          <t>A.5.17</t>
        </is>
      </c>
      <c r="V2" s="12" t="inlineStr">
        <is>
          <t>A.5.18</t>
        </is>
      </c>
      <c r="W2" s="12" t="inlineStr">
        <is>
          <t>A.5.19</t>
        </is>
      </c>
      <c r="X2" s="12" t="inlineStr">
        <is>
          <t>A.5.20</t>
        </is>
      </c>
      <c r="Y2" s="12" t="inlineStr">
        <is>
          <t>A.5.21</t>
        </is>
      </c>
      <c r="Z2" s="12" t="inlineStr">
        <is>
          <t>A.5.22</t>
        </is>
      </c>
      <c r="AA2" s="12" t="inlineStr">
        <is>
          <t>A.5.23</t>
        </is>
      </c>
      <c r="AB2" s="12" t="inlineStr">
        <is>
          <t>A.5.24</t>
        </is>
      </c>
      <c r="AC2" s="12" t="inlineStr">
        <is>
          <t>A.5.25</t>
        </is>
      </c>
      <c r="AD2" s="12" t="inlineStr">
        <is>
          <t>A.5.26</t>
        </is>
      </c>
      <c r="AE2" s="12" t="inlineStr">
        <is>
          <t>A.5.27</t>
        </is>
      </c>
      <c r="AF2" s="12" t="inlineStr">
        <is>
          <t>A.5.28</t>
        </is>
      </c>
      <c r="AG2" s="12" t="inlineStr">
        <is>
          <t>A.5.29</t>
        </is>
      </c>
      <c r="AH2" s="12" t="inlineStr">
        <is>
          <t>A.5.30</t>
        </is>
      </c>
      <c r="AI2" s="12" t="inlineStr">
        <is>
          <t>A.5.31</t>
        </is>
      </c>
      <c r="AJ2" s="12" t="inlineStr">
        <is>
          <t>A.5.32</t>
        </is>
      </c>
      <c r="AK2" s="12" t="inlineStr">
        <is>
          <t>A.5.33</t>
        </is>
      </c>
      <c r="AL2" s="12" t="inlineStr">
        <is>
          <t>A.5.34</t>
        </is>
      </c>
      <c r="AM2" s="12" t="inlineStr">
        <is>
          <t>A.5.35</t>
        </is>
      </c>
      <c r="AN2" s="12" t="inlineStr">
        <is>
          <t>A.5.36</t>
        </is>
      </c>
      <c r="AO2" s="12" t="inlineStr">
        <is>
          <t>A.5.37</t>
        </is>
      </c>
      <c r="AP2" s="12" t="inlineStr">
        <is>
          <t>A.6.1</t>
        </is>
      </c>
      <c r="AQ2" s="12" t="inlineStr">
        <is>
          <t>A.6.2</t>
        </is>
      </c>
      <c r="AR2" s="12" t="inlineStr">
        <is>
          <t>A.6.3</t>
        </is>
      </c>
      <c r="AS2" s="12" t="inlineStr">
        <is>
          <t>A.6.4</t>
        </is>
      </c>
      <c r="AT2" s="12" t="inlineStr">
        <is>
          <t>A.6.5</t>
        </is>
      </c>
      <c r="AU2" s="12" t="inlineStr">
        <is>
          <t>A.6.6</t>
        </is>
      </c>
      <c r="AV2" s="12" t="inlineStr">
        <is>
          <t>A.6.7</t>
        </is>
      </c>
      <c r="AW2" s="12" t="inlineStr">
        <is>
          <t>A.6.8</t>
        </is>
      </c>
      <c r="AX2" s="12" t="inlineStr">
        <is>
          <t>A.7.1</t>
        </is>
      </c>
      <c r="AY2" s="12" t="inlineStr">
        <is>
          <t>A.7.2</t>
        </is>
      </c>
      <c r="AZ2" s="12" t="inlineStr">
        <is>
          <t>A.7.3</t>
        </is>
      </c>
      <c r="BA2" s="12" t="inlineStr">
        <is>
          <t>A.7.4</t>
        </is>
      </c>
      <c r="BB2" s="12" t="inlineStr">
        <is>
          <t>A.7.5</t>
        </is>
      </c>
      <c r="BC2" s="12" t="inlineStr">
        <is>
          <t>A.7.6</t>
        </is>
      </c>
      <c r="BD2" s="12" t="inlineStr">
        <is>
          <t>A.7.7</t>
        </is>
      </c>
      <c r="BE2" s="12" t="inlineStr">
        <is>
          <t>A.7.8</t>
        </is>
      </c>
      <c r="BF2" s="12" t="inlineStr">
        <is>
          <t>A.7.9</t>
        </is>
      </c>
      <c r="BG2" s="12" t="inlineStr">
        <is>
          <t>A.7.10</t>
        </is>
      </c>
      <c r="BH2" s="12" t="inlineStr">
        <is>
          <t>A.7.11</t>
        </is>
      </c>
      <c r="BI2" s="12" t="inlineStr">
        <is>
          <t>A.7.12</t>
        </is>
      </c>
      <c r="BJ2" s="12" t="inlineStr">
        <is>
          <t>A.7.13</t>
        </is>
      </c>
      <c r="BK2" s="12" t="inlineStr">
        <is>
          <t>A.7.14</t>
        </is>
      </c>
      <c r="BL2" s="12" t="inlineStr">
        <is>
          <t>A.8.1</t>
        </is>
      </c>
      <c r="BM2" s="12" t="inlineStr">
        <is>
          <t>A.8.2</t>
        </is>
      </c>
      <c r="BN2" s="12" t="inlineStr">
        <is>
          <t>A.8.3</t>
        </is>
      </c>
      <c r="BO2" s="12" t="inlineStr">
        <is>
          <t>A.8.4</t>
        </is>
      </c>
      <c r="BP2" s="12" t="inlineStr">
        <is>
          <t>A.8.5</t>
        </is>
      </c>
      <c r="BQ2" s="12" t="inlineStr">
        <is>
          <t>A.8.6</t>
        </is>
      </c>
      <c r="BR2" s="12" t="inlineStr">
        <is>
          <t>A.8.7</t>
        </is>
      </c>
      <c r="BS2" s="12" t="inlineStr">
        <is>
          <t>A.8.8</t>
        </is>
      </c>
      <c r="BT2" s="12" t="inlineStr">
        <is>
          <t>A.8.9</t>
        </is>
      </c>
      <c r="BU2" s="12" t="inlineStr">
        <is>
          <t>A.8.10</t>
        </is>
      </c>
      <c r="BV2" s="12" t="inlineStr">
        <is>
          <t>A.8.11</t>
        </is>
      </c>
      <c r="BW2" s="12" t="inlineStr">
        <is>
          <t>A.8.12</t>
        </is>
      </c>
      <c r="BX2" s="12" t="inlineStr">
        <is>
          <t>A.8.13</t>
        </is>
      </c>
      <c r="BY2" s="12" t="inlineStr">
        <is>
          <t>A.8.14</t>
        </is>
      </c>
      <c r="BZ2" s="12" t="inlineStr">
        <is>
          <t>A.8.15</t>
        </is>
      </c>
      <c r="CA2" s="12" t="inlineStr">
        <is>
          <t>A.8.16</t>
        </is>
      </c>
      <c r="CB2" s="12" t="inlineStr">
        <is>
          <t>A.8.17</t>
        </is>
      </c>
      <c r="CC2" s="12" t="inlineStr">
        <is>
          <t>A.8.18</t>
        </is>
      </c>
      <c r="CD2" s="12" t="inlineStr">
        <is>
          <t>A.8.19</t>
        </is>
      </c>
      <c r="CE2" s="12" t="inlineStr">
        <is>
          <t>A.8.20</t>
        </is>
      </c>
      <c r="CF2" s="12" t="inlineStr">
        <is>
          <t>A.8.21</t>
        </is>
      </c>
      <c r="CG2" s="12" t="inlineStr">
        <is>
          <t>A.8.22</t>
        </is>
      </c>
      <c r="CH2" s="12" t="inlineStr">
        <is>
          <t>A.8.23</t>
        </is>
      </c>
      <c r="CI2" s="12" t="inlineStr">
        <is>
          <t>A.8.24</t>
        </is>
      </c>
      <c r="CJ2" s="12" t="inlineStr">
        <is>
          <t>A.8.25</t>
        </is>
      </c>
      <c r="CK2" s="12" t="inlineStr">
        <is>
          <t>A.8.26</t>
        </is>
      </c>
      <c r="CL2" s="12" t="inlineStr">
        <is>
          <t>A.8.27</t>
        </is>
      </c>
      <c r="CM2" s="12" t="inlineStr">
        <is>
          <t>A.8.28</t>
        </is>
      </c>
      <c r="CN2" s="12" t="inlineStr">
        <is>
          <t>A.8.29</t>
        </is>
      </c>
      <c r="CO2" s="12" t="inlineStr">
        <is>
          <t>A.8.30</t>
        </is>
      </c>
      <c r="CP2" s="12" t="inlineStr">
        <is>
          <t>A.8.31</t>
        </is>
      </c>
      <c r="CQ2" s="12" t="inlineStr">
        <is>
          <t>A.8.32</t>
        </is>
      </c>
      <c r="CR2" s="12" t="inlineStr">
        <is>
          <t>A.8.33</t>
        </is>
      </c>
      <c r="CS2" s="12" t="inlineStr">
        <is>
          <t>A.8.34</t>
        </is>
      </c>
    </row>
    <row r="3">
      <c r="A3" s="13" t="inlineStr">
        <is>
          <t>REG-GDPR-32-001</t>
        </is>
      </c>
      <c r="B3" s="13" t="inlineStr">
        <is>
          <t>Implement encryption for personal data</t>
        </is>
      </c>
      <c r="C3" s="13" t="inlineStr">
        <is>
          <t>Technical</t>
        </is>
      </c>
      <c r="D3" s="13" t="inlineStr">
        <is>
          <t>High</t>
        </is>
      </c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>
        <is>
          <t>S</t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>
        <is>
          <t>P</t>
        </is>
      </c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</row>
    <row r="4">
      <c r="A4" s="13" t="inlineStr">
        <is>
          <t>REG-GDPR-33-001</t>
        </is>
      </c>
      <c r="B4" s="13" t="inlineStr">
        <is>
          <t>Notify DPA within 72h of breach</t>
        </is>
      </c>
      <c r="C4" s="13" t="inlineStr">
        <is>
          <t>Reporting</t>
        </is>
      </c>
      <c r="D4" s="13" t="inlineStr">
        <is>
          <t>High</t>
        </is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>
        <is>
          <t>S</t>
        </is>
      </c>
      <c r="AD4" s="14" t="inlineStr">
        <is>
          <t>P</t>
        </is>
      </c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</row>
    <row r="5">
      <c r="A5" s="13" t="inlineStr">
        <is>
          <t>REG-GDPR-37-001</t>
        </is>
      </c>
      <c r="B5" s="13" t="inlineStr">
        <is>
          <t>Appoint Data Protection Officer</t>
        </is>
      </c>
      <c r="C5" s="13" t="inlineStr">
        <is>
          <t>Organisational</t>
        </is>
      </c>
      <c r="D5" s="13" t="inlineStr">
        <is>
          <t>High</t>
        </is>
      </c>
      <c r="E5" s="14" t="inlineStr"/>
      <c r="F5" s="14" t="inlineStr">
        <is>
          <t>P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>
        <is>
          <t>Su</t>
        </is>
      </c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4" t="inlineStr"/>
      <c r="BI5" s="14" t="inlineStr"/>
      <c r="BJ5" s="14" t="inlineStr"/>
      <c r="BK5" s="14" t="inlineStr"/>
      <c r="BL5" s="14" t="inlineStr"/>
      <c r="BM5" s="14" t="inlineStr"/>
      <c r="BN5" s="14" t="inlineStr"/>
      <c r="BO5" s="14" t="inlineStr"/>
      <c r="BP5" s="14" t="inlineStr"/>
      <c r="BQ5" s="14" t="inlineStr"/>
      <c r="BR5" s="14" t="inlineStr"/>
      <c r="BS5" s="14" t="inlineStr"/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4" t="inlineStr"/>
      <c r="CS5" s="14" t="inlineStr"/>
    </row>
    <row r="6">
      <c r="A6" s="13" t="inlineStr">
        <is>
          <t>REG-ISO27001-5.1-001</t>
        </is>
      </c>
      <c r="B6" s="13" t="inlineStr">
        <is>
          <t>Establish information security policies</t>
        </is>
      </c>
      <c r="C6" s="13" t="inlineStr">
        <is>
          <t>Organisational</t>
        </is>
      </c>
      <c r="D6" s="13" t="inlineStr">
        <is>
          <t>High</t>
        </is>
      </c>
      <c r="E6" s="14" t="inlineStr">
        <is>
          <t>P</t>
        </is>
      </c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</row>
    <row r="7">
      <c r="A7" s="13" t="inlineStr">
        <is>
          <t>REG-ISO27001-6.1-001</t>
        </is>
      </c>
      <c r="B7" s="13" t="inlineStr">
        <is>
          <t>Define risk assessment process</t>
        </is>
      </c>
      <c r="C7" s="13" t="inlineStr">
        <is>
          <t>Organisational</t>
        </is>
      </c>
      <c r="D7" s="13" t="inlineStr">
        <is>
          <t>High</t>
        </is>
      </c>
      <c r="E7" s="14" t="inlineStr"/>
      <c r="F7" s="14" t="inlineStr"/>
      <c r="G7" s="14" t="inlineStr"/>
      <c r="H7" s="14" t="inlineStr"/>
      <c r="I7" s="14" t="inlineStr"/>
      <c r="J7" s="14" t="inlineStr"/>
      <c r="K7" s="14" t="inlineStr">
        <is>
          <t>P</t>
        </is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4" t="inlineStr"/>
      <c r="BC7" s="14" t="inlineStr"/>
      <c r="BD7" s="14" t="inlineStr"/>
      <c r="BE7" s="14" t="inlineStr"/>
      <c r="BF7" s="14" t="inlineStr"/>
      <c r="BG7" s="14" t="inlineStr"/>
      <c r="BH7" s="14" t="inlineStr"/>
      <c r="BI7" s="14" t="inlineStr"/>
      <c r="BJ7" s="14" t="inlineStr"/>
      <c r="BK7" s="14" t="inlineStr"/>
      <c r="BL7" s="14" t="inlineStr"/>
      <c r="BM7" s="14" t="inlineStr"/>
      <c r="BN7" s="14" t="inlineStr"/>
      <c r="BO7" s="14" t="inlineStr"/>
      <c r="BP7" s="14" t="inlineStr"/>
      <c r="BQ7" s="14" t="inlineStr"/>
      <c r="BR7" s="14" t="inlineStr"/>
      <c r="BS7" s="14" t="inlineStr">
        <is>
          <t>S</t>
        </is>
      </c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</row>
    <row r="8">
      <c r="A8" s="13" t="inlineStr">
        <is>
          <t>REG-ISO27001-8.1-001</t>
        </is>
      </c>
      <c r="B8" s="13" t="inlineStr">
        <is>
          <t>Implement Annex A controls</t>
        </is>
      </c>
      <c r="C8" s="13" t="inlineStr">
        <is>
          <t>Technical</t>
        </is>
      </c>
      <c r="D8" s="13" t="inlineStr">
        <is>
          <t>High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4" t="inlineStr"/>
      <c r="BL8" s="14" t="inlineStr"/>
      <c r="BM8" s="14" t="inlineStr"/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</row>
    <row r="9">
      <c r="A9" s="13" t="inlineStr">
        <is>
          <t>REG-FADP-7-001</t>
        </is>
      </c>
      <c r="B9" s="13" t="inlineStr">
        <is>
          <t>Risk-appropriate protection measures</t>
        </is>
      </c>
      <c r="C9" s="13" t="inlineStr">
        <is>
          <t>Technical</t>
        </is>
      </c>
      <c r="D9" s="13" t="inlineStr">
        <is>
          <t>High</t>
        </is>
      </c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>
        <is>
          <t>P</t>
        </is>
      </c>
      <c r="O9" s="14" t="inlineStr"/>
      <c r="P9" s="14" t="inlineStr"/>
      <c r="Q9" s="14" t="inlineStr"/>
      <c r="R9" s="14" t="inlineStr">
        <is>
          <t>S</t>
        </is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4" t="inlineStr"/>
      <c r="BX9" s="14" t="inlineStr"/>
      <c r="BY9" s="14" t="inlineStr"/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>
        <is>
          <t>S</t>
        </is>
      </c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</row>
    <row r="10">
      <c r="A10" s="13" t="inlineStr">
        <is>
          <t>REG-FADP-24-001</t>
        </is>
      </c>
      <c r="B10" s="13" t="inlineStr">
        <is>
          <t>Notify FDPIC of high-risk breaches</t>
        </is>
      </c>
      <c r="C10" s="13" t="inlineStr">
        <is>
          <t>Reporting</t>
        </is>
      </c>
      <c r="D10" s="13" t="inlineStr">
        <is>
          <t>High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>
        <is>
          <t>S</t>
        </is>
      </c>
      <c r="AD10" s="14" t="inlineStr">
        <is>
          <t>P</t>
        </is>
      </c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4" t="inlineStr"/>
      <c r="CS10" s="14" t="inlineStr"/>
    </row>
    <row r="11">
      <c r="A11" s="13" t="inlineStr">
        <is>
          <t>REG-NIS2-21-001</t>
        </is>
      </c>
      <c r="B11" s="13" t="inlineStr">
        <is>
          <t>Risk management for network security</t>
        </is>
      </c>
      <c r="C11" s="13" t="inlineStr">
        <is>
          <t>Technical</t>
        </is>
      </c>
      <c r="D11" s="13" t="inlineStr">
        <is>
          <t>Medium</t>
        </is>
      </c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P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4" t="inlineStr"/>
      <c r="BF11" s="14" t="inlineStr"/>
      <c r="BG11" s="14" t="inlineStr"/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>
        <is>
          <t>S</t>
        </is>
      </c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>
        <is>
          <t>S</t>
        </is>
      </c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</row>
    <row r="12">
      <c r="A12" s="13" t="inlineStr">
        <is>
          <t>REG-NIS2-23-001</t>
        </is>
      </c>
      <c r="B12" s="13" t="inlineStr">
        <is>
          <t>Incident notification to CSIRT</t>
        </is>
      </c>
      <c r="C12" s="13" t="inlineStr">
        <is>
          <t>Reporting</t>
        </is>
      </c>
      <c r="D12" s="13" t="inlineStr">
        <is>
          <t>Medium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>
        <is>
          <t>P</t>
        </is>
      </c>
      <c r="AE12" s="14" t="inlineStr">
        <is>
          <t>Su</t>
        </is>
      </c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4" t="inlineStr"/>
      <c r="CS12" s="14" t="inlineStr"/>
    </row>
  </sheetData>
  <mergeCells count="1">
    <mergeCell ref="A1:CS1"/>
  </mergeCells>
  <conditionalFormatting sqref="E3:CS100">
    <cfRule type="cellIs" priority="1" operator="equal" dxfId="0">
      <formula>"P"</formula>
    </cfRule>
    <cfRule type="cellIs" priority="2" operator="equal" dxfId="1">
      <formula>"S"</formula>
    </cfRule>
    <cfRule type="cellIs" priority="3" operator="equal" dxfId="2">
      <formula>"Su"</formula>
    </cfRule>
  </conditionalFormatting>
  <dataValidations count="1">
    <dataValidation sqref="E3:CS100" showDropDown="0" showInputMessage="0" showErrorMessage="0" allowBlank="1" errorTitle="Invalid Mapping" error="Please enter P, S, Su, or leave blank" type="list">
      <formula1>"P,S,Su,"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0" customWidth="1" min="4" max="4"/>
    <col width="60" customWidth="1" min="5" max="5"/>
  </cols>
  <sheetData>
    <row r="1" ht="35" customHeight="1">
      <c r="A1" s="10" t="inlineStr">
        <is>
          <t>ISO/IEC 27001:2022 ANNEX A CONTROLS REFERENCE</t>
        </is>
      </c>
    </row>
    <row r="2">
      <c r="A2" s="15" t="inlineStr">
        <is>
          <t>Control ID</t>
        </is>
      </c>
      <c r="B2" s="15" t="inlineStr">
        <is>
          <t>Control Name</t>
        </is>
      </c>
      <c r="C2" s="15" t="inlineStr">
        <is>
          <t>Control Type</t>
        </is>
      </c>
      <c r="D2" s="15" t="inlineStr">
        <is>
          <t>Section</t>
        </is>
      </c>
      <c r="E2" s="15" t="inlineStr">
        <is>
          <t>Brief Description</t>
        </is>
      </c>
    </row>
    <row r="3">
      <c r="A3" s="16" t="inlineStr">
        <is>
          <t>A.5.1</t>
        </is>
      </c>
      <c r="B3" s="16" t="inlineStr">
        <is>
          <t>Policies for information security</t>
        </is>
      </c>
      <c r="C3" s="16" t="inlineStr">
        <is>
          <t>Organisational</t>
        </is>
      </c>
      <c r="D3" s="16" t="inlineStr">
        <is>
          <t>5 - Organisational Controls</t>
        </is>
      </c>
      <c r="E3" s="16" t="inlineStr">
        <is>
          <t>Policies for information security requirements</t>
        </is>
      </c>
    </row>
    <row r="4">
      <c r="A4" s="16" t="inlineStr">
        <is>
          <t>A.5.2</t>
        </is>
      </c>
      <c r="B4" s="16" t="inlineStr">
        <is>
          <t>Information security roles and responsibilities</t>
        </is>
      </c>
      <c r="C4" s="16" t="inlineStr">
        <is>
          <t>Organisational</t>
        </is>
      </c>
      <c r="D4" s="16" t="inlineStr">
        <is>
          <t>5 - Organisational Controls</t>
        </is>
      </c>
      <c r="E4" s="16" t="inlineStr">
        <is>
          <t>Information security roles and responsibilities requirements</t>
        </is>
      </c>
    </row>
    <row r="5">
      <c r="A5" s="16" t="inlineStr">
        <is>
          <t>A.5.3</t>
        </is>
      </c>
      <c r="B5" s="16" t="inlineStr">
        <is>
          <t>Segregation of duties</t>
        </is>
      </c>
      <c r="C5" s="16" t="inlineStr">
        <is>
          <t>Organisational</t>
        </is>
      </c>
      <c r="D5" s="16" t="inlineStr">
        <is>
          <t>5 - Organisational Controls</t>
        </is>
      </c>
      <c r="E5" s="16" t="inlineStr">
        <is>
          <t>Segregation of duties requirements</t>
        </is>
      </c>
    </row>
    <row r="6">
      <c r="A6" s="16" t="inlineStr">
        <is>
          <t>A.5.4</t>
        </is>
      </c>
      <c r="B6" s="16" t="inlineStr">
        <is>
          <t>Management responsibilities</t>
        </is>
      </c>
      <c r="C6" s="16" t="inlineStr">
        <is>
          <t>Organisational</t>
        </is>
      </c>
      <c r="D6" s="16" t="inlineStr">
        <is>
          <t>5 - Organisational Controls</t>
        </is>
      </c>
      <c r="E6" s="16" t="inlineStr">
        <is>
          <t>Management responsibilities requirements</t>
        </is>
      </c>
    </row>
    <row r="7">
      <c r="A7" s="16" t="inlineStr">
        <is>
          <t>A.5.5</t>
        </is>
      </c>
      <c r="B7" s="16" t="inlineStr">
        <is>
          <t>Contact with authorities</t>
        </is>
      </c>
      <c r="C7" s="16" t="inlineStr">
        <is>
          <t>Organisational</t>
        </is>
      </c>
      <c r="D7" s="16" t="inlineStr">
        <is>
          <t>5 - Organisational Controls</t>
        </is>
      </c>
      <c r="E7" s="16" t="inlineStr">
        <is>
          <t>Contact with authorities requirements</t>
        </is>
      </c>
    </row>
    <row r="8">
      <c r="A8" s="16" t="inlineStr">
        <is>
          <t>A.5.6</t>
        </is>
      </c>
      <c r="B8" s="16" t="inlineStr">
        <is>
          <t>Contact with special interest groups</t>
        </is>
      </c>
      <c r="C8" s="16" t="inlineStr">
        <is>
          <t>Organisational</t>
        </is>
      </c>
      <c r="D8" s="16" t="inlineStr">
        <is>
          <t>5 - Organisational Controls</t>
        </is>
      </c>
      <c r="E8" s="16" t="inlineStr">
        <is>
          <t>Contact with special interest groups requirements</t>
        </is>
      </c>
    </row>
    <row r="9">
      <c r="A9" s="16" t="inlineStr">
        <is>
          <t>A.5.7</t>
        </is>
      </c>
      <c r="B9" s="16" t="inlineStr">
        <is>
          <t>Threat intelligence</t>
        </is>
      </c>
      <c r="C9" s="16" t="inlineStr">
        <is>
          <t>Organisational</t>
        </is>
      </c>
      <c r="D9" s="16" t="inlineStr">
        <is>
          <t>5 - Organisational Controls</t>
        </is>
      </c>
      <c r="E9" s="16" t="inlineStr">
        <is>
          <t>Threat intelligence requirements</t>
        </is>
      </c>
    </row>
    <row r="10">
      <c r="A10" s="16" t="inlineStr">
        <is>
          <t>A.5.8</t>
        </is>
      </c>
      <c r="B10" s="16" t="inlineStr">
        <is>
          <t>Information security in project management</t>
        </is>
      </c>
      <c r="C10" s="16" t="inlineStr">
        <is>
          <t>Organisational</t>
        </is>
      </c>
      <c r="D10" s="16" t="inlineStr">
        <is>
          <t>5 - Organisational Controls</t>
        </is>
      </c>
      <c r="E10" s="16" t="inlineStr">
        <is>
          <t>Information security in project management requirements</t>
        </is>
      </c>
    </row>
    <row r="11">
      <c r="A11" s="16" t="inlineStr">
        <is>
          <t>A.5.9</t>
        </is>
      </c>
      <c r="B11" s="16" t="inlineStr">
        <is>
          <t>Inventory of information and other associated assets</t>
        </is>
      </c>
      <c r="C11" s="16" t="inlineStr">
        <is>
          <t>Organisational</t>
        </is>
      </c>
      <c r="D11" s="16" t="inlineStr">
        <is>
          <t>5 - Organisational Controls</t>
        </is>
      </c>
      <c r="E11" s="16" t="inlineStr">
        <is>
          <t>Inventory of information and other associated assets requirements</t>
        </is>
      </c>
    </row>
    <row r="12">
      <c r="A12" s="16" t="inlineStr">
        <is>
          <t>A.5.10</t>
        </is>
      </c>
      <c r="B12" s="16" t="inlineStr">
        <is>
          <t>Acceptable use of information and other associated assets</t>
        </is>
      </c>
      <c r="C12" s="16" t="inlineStr">
        <is>
          <t>Organisational</t>
        </is>
      </c>
      <c r="D12" s="16" t="inlineStr">
        <is>
          <t>5 - Organisational Controls</t>
        </is>
      </c>
      <c r="E12" s="16" t="inlineStr">
        <is>
          <t>Acceptable use of information and other associated assets requirements</t>
        </is>
      </c>
    </row>
    <row r="13">
      <c r="A13" s="16" t="inlineStr">
        <is>
          <t>A.5.11</t>
        </is>
      </c>
      <c r="B13" s="16" t="inlineStr">
        <is>
          <t>Return of assets</t>
        </is>
      </c>
      <c r="C13" s="16" t="inlineStr">
        <is>
          <t>Organisational</t>
        </is>
      </c>
      <c r="D13" s="16" t="inlineStr">
        <is>
          <t>5 - Organisational Controls</t>
        </is>
      </c>
      <c r="E13" s="16" t="inlineStr">
        <is>
          <t>Return of assets requirements</t>
        </is>
      </c>
    </row>
    <row r="14">
      <c r="A14" s="16" t="inlineStr">
        <is>
          <t>A.5.12</t>
        </is>
      </c>
      <c r="B14" s="16" t="inlineStr">
        <is>
          <t>Classification of information</t>
        </is>
      </c>
      <c r="C14" s="16" t="inlineStr">
        <is>
          <t>Organisational</t>
        </is>
      </c>
      <c r="D14" s="16" t="inlineStr">
        <is>
          <t>5 - Organisational Controls</t>
        </is>
      </c>
      <c r="E14" s="16" t="inlineStr">
        <is>
          <t>Classification of information requirements</t>
        </is>
      </c>
    </row>
    <row r="15">
      <c r="A15" s="16" t="inlineStr">
        <is>
          <t>A.5.13</t>
        </is>
      </c>
      <c r="B15" s="16" t="inlineStr">
        <is>
          <t>Labelling of information</t>
        </is>
      </c>
      <c r="C15" s="16" t="inlineStr">
        <is>
          <t>Organisational</t>
        </is>
      </c>
      <c r="D15" s="16" t="inlineStr">
        <is>
          <t>5 - Organisational Controls</t>
        </is>
      </c>
      <c r="E15" s="16" t="inlineStr">
        <is>
          <t>Labelling of information requirements</t>
        </is>
      </c>
    </row>
    <row r="16">
      <c r="A16" s="16" t="inlineStr">
        <is>
          <t>A.5.14</t>
        </is>
      </c>
      <c r="B16" s="16" t="inlineStr">
        <is>
          <t>Information transfer</t>
        </is>
      </c>
      <c r="C16" s="16" t="inlineStr">
        <is>
          <t>Organisational</t>
        </is>
      </c>
      <c r="D16" s="16" t="inlineStr">
        <is>
          <t>5 - Organisational Controls</t>
        </is>
      </c>
      <c r="E16" s="16" t="inlineStr">
        <is>
          <t>Information transfer requirements</t>
        </is>
      </c>
    </row>
    <row r="17">
      <c r="A17" s="16" t="inlineStr">
        <is>
          <t>A.5.15</t>
        </is>
      </c>
      <c r="B17" s="16" t="inlineStr">
        <is>
          <t>Access control</t>
        </is>
      </c>
      <c r="C17" s="16" t="inlineStr">
        <is>
          <t>Organisational</t>
        </is>
      </c>
      <c r="D17" s="16" t="inlineStr">
        <is>
          <t>5 - Organisational Controls</t>
        </is>
      </c>
      <c r="E17" s="16" t="inlineStr">
        <is>
          <t>Access control requirements</t>
        </is>
      </c>
    </row>
    <row r="18">
      <c r="A18" s="16" t="inlineStr">
        <is>
          <t>A.5.16</t>
        </is>
      </c>
      <c r="B18" s="16" t="inlineStr">
        <is>
          <t>Identity management</t>
        </is>
      </c>
      <c r="C18" s="16" t="inlineStr">
        <is>
          <t>Organisational</t>
        </is>
      </c>
      <c r="D18" s="16" t="inlineStr">
        <is>
          <t>5 - Organisational Controls</t>
        </is>
      </c>
      <c r="E18" s="16" t="inlineStr">
        <is>
          <t>Identity management requirements</t>
        </is>
      </c>
    </row>
    <row r="19">
      <c r="A19" s="16" t="inlineStr">
        <is>
          <t>A.5.17</t>
        </is>
      </c>
      <c r="B19" s="16" t="inlineStr">
        <is>
          <t>Authentication information</t>
        </is>
      </c>
      <c r="C19" s="16" t="inlineStr">
        <is>
          <t>Organisational</t>
        </is>
      </c>
      <c r="D19" s="16" t="inlineStr">
        <is>
          <t>5 - Organisational Controls</t>
        </is>
      </c>
      <c r="E19" s="16" t="inlineStr">
        <is>
          <t>Authentication information requirements</t>
        </is>
      </c>
    </row>
    <row r="20">
      <c r="A20" s="16" t="inlineStr">
        <is>
          <t>A.5.18</t>
        </is>
      </c>
      <c r="B20" s="16" t="inlineStr">
        <is>
          <t>Access rights</t>
        </is>
      </c>
      <c r="C20" s="16" t="inlineStr">
        <is>
          <t>Organisational</t>
        </is>
      </c>
      <c r="D20" s="16" t="inlineStr">
        <is>
          <t>5 - Organisational Controls</t>
        </is>
      </c>
      <c r="E20" s="16" t="inlineStr">
        <is>
          <t>Access rights requirements</t>
        </is>
      </c>
    </row>
    <row r="21">
      <c r="A21" s="16" t="inlineStr">
        <is>
          <t>A.5.19</t>
        </is>
      </c>
      <c r="B21" s="16" t="inlineStr">
        <is>
          <t>Information security in supplier relationships</t>
        </is>
      </c>
      <c r="C21" s="16" t="inlineStr">
        <is>
          <t>Organisational</t>
        </is>
      </c>
      <c r="D21" s="16" t="inlineStr">
        <is>
          <t>5 - Organisational Controls</t>
        </is>
      </c>
      <c r="E21" s="16" t="inlineStr">
        <is>
          <t>Information security in supplier relationships requirements</t>
        </is>
      </c>
    </row>
    <row r="22">
      <c r="A22" s="16" t="inlineStr">
        <is>
          <t>A.5.20</t>
        </is>
      </c>
      <c r="B22" s="16" t="inlineStr">
        <is>
          <t>Addressing information security within supplier agreements</t>
        </is>
      </c>
      <c r="C22" s="16" t="inlineStr">
        <is>
          <t>Organisational</t>
        </is>
      </c>
      <c r="D22" s="16" t="inlineStr">
        <is>
          <t>5 - Organisational Controls</t>
        </is>
      </c>
      <c r="E22" s="16" t="inlineStr">
        <is>
          <t>Addressing information security within supplier agreements requirements</t>
        </is>
      </c>
    </row>
    <row r="23">
      <c r="A23" s="16" t="inlineStr">
        <is>
          <t>A.5.21</t>
        </is>
      </c>
      <c r="B23" s="16" t="inlineStr">
        <is>
          <t>Managing information security in the ICT supply chain</t>
        </is>
      </c>
      <c r="C23" s="16" t="inlineStr">
        <is>
          <t>Organisational</t>
        </is>
      </c>
      <c r="D23" s="16" t="inlineStr">
        <is>
          <t>5 - Organisational Controls</t>
        </is>
      </c>
      <c r="E23" s="16" t="inlineStr">
        <is>
          <t>Managing information security in the ICT supply chain requirements</t>
        </is>
      </c>
    </row>
    <row r="24">
      <c r="A24" s="16" t="inlineStr">
        <is>
          <t>A.5.22</t>
        </is>
      </c>
      <c r="B24" s="16" t="inlineStr">
        <is>
          <t>Monitoring, review and change management of supplier services</t>
        </is>
      </c>
      <c r="C24" s="16" t="inlineStr">
        <is>
          <t>Organisational</t>
        </is>
      </c>
      <c r="D24" s="16" t="inlineStr">
        <is>
          <t>5 - Organisational Controls</t>
        </is>
      </c>
      <c r="E24" s="16" t="inlineStr">
        <is>
          <t>Monitoring, review and change management of supplier services requirements</t>
        </is>
      </c>
    </row>
    <row r="25">
      <c r="A25" s="16" t="inlineStr">
        <is>
          <t>A.5.23</t>
        </is>
      </c>
      <c r="B25" s="16" t="inlineStr">
        <is>
          <t>Information security for use of cloud services</t>
        </is>
      </c>
      <c r="C25" s="16" t="inlineStr">
        <is>
          <t>Organisational</t>
        </is>
      </c>
      <c r="D25" s="16" t="inlineStr">
        <is>
          <t>5 - Organisational Controls</t>
        </is>
      </c>
      <c r="E25" s="16" t="inlineStr">
        <is>
          <t>Information security for use of cloud services requirements</t>
        </is>
      </c>
    </row>
    <row r="26">
      <c r="A26" s="16" t="inlineStr">
        <is>
          <t>A.5.24</t>
        </is>
      </c>
      <c r="B26" s="16" t="inlineStr">
        <is>
          <t>Information security incident management planning and preparation</t>
        </is>
      </c>
      <c r="C26" s="16" t="inlineStr">
        <is>
          <t>Organisational</t>
        </is>
      </c>
      <c r="D26" s="16" t="inlineStr">
        <is>
          <t>5 - Organisational Controls</t>
        </is>
      </c>
      <c r="E26" s="16" t="inlineStr">
        <is>
          <t>Information security incident management planning and preparation requirements</t>
        </is>
      </c>
    </row>
    <row r="27">
      <c r="A27" s="16" t="inlineStr">
        <is>
          <t>A.5.25</t>
        </is>
      </c>
      <c r="B27" s="16" t="inlineStr">
        <is>
          <t>Assessment and decision on information security events</t>
        </is>
      </c>
      <c r="C27" s="16" t="inlineStr">
        <is>
          <t>Organisational</t>
        </is>
      </c>
      <c r="D27" s="16" t="inlineStr">
        <is>
          <t>5 - Organisational Controls</t>
        </is>
      </c>
      <c r="E27" s="16" t="inlineStr">
        <is>
          <t>Assessment and decision on information security events requirements</t>
        </is>
      </c>
    </row>
    <row r="28">
      <c r="A28" s="16" t="inlineStr">
        <is>
          <t>A.5.26</t>
        </is>
      </c>
      <c r="B28" s="16" t="inlineStr">
        <is>
          <t>Response to information security incidents</t>
        </is>
      </c>
      <c r="C28" s="16" t="inlineStr">
        <is>
          <t>Organisational</t>
        </is>
      </c>
      <c r="D28" s="16" t="inlineStr">
        <is>
          <t>5 - Organisational Controls</t>
        </is>
      </c>
      <c r="E28" s="16" t="inlineStr">
        <is>
          <t>Response to information security incidents requirements</t>
        </is>
      </c>
    </row>
    <row r="29">
      <c r="A29" s="16" t="inlineStr">
        <is>
          <t>A.5.27</t>
        </is>
      </c>
      <c r="B29" s="16" t="inlineStr">
        <is>
          <t>Learning from information security incidents</t>
        </is>
      </c>
      <c r="C29" s="16" t="inlineStr">
        <is>
          <t>Organisational</t>
        </is>
      </c>
      <c r="D29" s="16" t="inlineStr">
        <is>
          <t>5 - Organisational Controls</t>
        </is>
      </c>
      <c r="E29" s="16" t="inlineStr">
        <is>
          <t>Learning from information security incidents requirements</t>
        </is>
      </c>
    </row>
    <row r="30">
      <c r="A30" s="16" t="inlineStr">
        <is>
          <t>A.5.28</t>
        </is>
      </c>
      <c r="B30" s="16" t="inlineStr">
        <is>
          <t>Collection of evidence</t>
        </is>
      </c>
      <c r="C30" s="16" t="inlineStr">
        <is>
          <t>Organisational</t>
        </is>
      </c>
      <c r="D30" s="16" t="inlineStr">
        <is>
          <t>5 - Organisational Controls</t>
        </is>
      </c>
      <c r="E30" s="16" t="inlineStr">
        <is>
          <t>Collection of evidence requirements</t>
        </is>
      </c>
    </row>
    <row r="31">
      <c r="A31" s="16" t="inlineStr">
        <is>
          <t>A.5.29</t>
        </is>
      </c>
      <c r="B31" s="16" t="inlineStr">
        <is>
          <t>Information security during disruption</t>
        </is>
      </c>
      <c r="C31" s="16" t="inlineStr">
        <is>
          <t>Organisational</t>
        </is>
      </c>
      <c r="D31" s="16" t="inlineStr">
        <is>
          <t>5 - Organisational Controls</t>
        </is>
      </c>
      <c r="E31" s="16" t="inlineStr">
        <is>
          <t>Information security during disruption requirements</t>
        </is>
      </c>
    </row>
    <row r="32">
      <c r="A32" s="16" t="inlineStr">
        <is>
          <t>A.5.30</t>
        </is>
      </c>
      <c r="B32" s="16" t="inlineStr">
        <is>
          <t>ICT readiness for business continuity</t>
        </is>
      </c>
      <c r="C32" s="16" t="inlineStr">
        <is>
          <t>Organisational</t>
        </is>
      </c>
      <c r="D32" s="16" t="inlineStr">
        <is>
          <t>5 - Organisational Controls</t>
        </is>
      </c>
      <c r="E32" s="16" t="inlineStr">
        <is>
          <t>ICT readiness for business continuity requirements</t>
        </is>
      </c>
    </row>
    <row r="33">
      <c r="A33" s="16" t="inlineStr">
        <is>
          <t>A.5.31</t>
        </is>
      </c>
      <c r="B33" s="16" t="inlineStr">
        <is>
          <t>Legal, statutory, regulatory and contractual requirements</t>
        </is>
      </c>
      <c r="C33" s="16" t="inlineStr">
        <is>
          <t>Organisational</t>
        </is>
      </c>
      <c r="D33" s="16" t="inlineStr">
        <is>
          <t>5 - Organisational Controls</t>
        </is>
      </c>
      <c r="E33" s="16" t="inlineStr">
        <is>
          <t>Legal, statutory, regulatory and contractual requirements requirements</t>
        </is>
      </c>
    </row>
    <row r="34">
      <c r="A34" s="16" t="inlineStr">
        <is>
          <t>A.5.32</t>
        </is>
      </c>
      <c r="B34" s="16" t="inlineStr">
        <is>
          <t>Intellectual property rights</t>
        </is>
      </c>
      <c r="C34" s="16" t="inlineStr">
        <is>
          <t>Organisational</t>
        </is>
      </c>
      <c r="D34" s="16" t="inlineStr">
        <is>
          <t>5 - Organisational Controls</t>
        </is>
      </c>
      <c r="E34" s="16" t="inlineStr">
        <is>
          <t>Intellectual property rights requirements</t>
        </is>
      </c>
    </row>
    <row r="35">
      <c r="A35" s="16" t="inlineStr">
        <is>
          <t>A.5.33</t>
        </is>
      </c>
      <c r="B35" s="16" t="inlineStr">
        <is>
          <t>Protection of records</t>
        </is>
      </c>
      <c r="C35" s="16" t="inlineStr">
        <is>
          <t>Organisational</t>
        </is>
      </c>
      <c r="D35" s="16" t="inlineStr">
        <is>
          <t>5 - Organisational Controls</t>
        </is>
      </c>
      <c r="E35" s="16" t="inlineStr">
        <is>
          <t>Protection of records requirements</t>
        </is>
      </c>
    </row>
    <row r="36">
      <c r="A36" s="16" t="inlineStr">
        <is>
          <t>A.5.34</t>
        </is>
      </c>
      <c r="B36" s="16" t="inlineStr">
        <is>
          <t>Privacy and protection of PII</t>
        </is>
      </c>
      <c r="C36" s="16" t="inlineStr">
        <is>
          <t>Organisational</t>
        </is>
      </c>
      <c r="D36" s="16" t="inlineStr">
        <is>
          <t>5 - Organisational Controls</t>
        </is>
      </c>
      <c r="E36" s="16" t="inlineStr">
        <is>
          <t>Privacy and protection of PII requirements</t>
        </is>
      </c>
    </row>
    <row r="37">
      <c r="A37" s="16" t="inlineStr">
        <is>
          <t>A.5.35</t>
        </is>
      </c>
      <c r="B37" s="16" t="inlineStr">
        <is>
          <t>Independent review of information security</t>
        </is>
      </c>
      <c r="C37" s="16" t="inlineStr">
        <is>
          <t>Organisational</t>
        </is>
      </c>
      <c r="D37" s="16" t="inlineStr">
        <is>
          <t>5 - Organisational Controls</t>
        </is>
      </c>
      <c r="E37" s="16" t="inlineStr">
        <is>
          <t>Independent review of information security requirements</t>
        </is>
      </c>
    </row>
    <row r="38">
      <c r="A38" s="16" t="inlineStr">
        <is>
          <t>A.5.36</t>
        </is>
      </c>
      <c r="B38" s="16" t="inlineStr">
        <is>
          <t>Compliance with policies, rules and standards for information security</t>
        </is>
      </c>
      <c r="C38" s="16" t="inlineStr">
        <is>
          <t>Organisational</t>
        </is>
      </c>
      <c r="D38" s="16" t="inlineStr">
        <is>
          <t>5 - Organisational Controls</t>
        </is>
      </c>
      <c r="E38" s="16" t="inlineStr">
        <is>
          <t>Compliance with policies, rules and standards for information security requirements</t>
        </is>
      </c>
    </row>
    <row r="39">
      <c r="A39" s="16" t="inlineStr">
        <is>
          <t>A.5.37</t>
        </is>
      </c>
      <c r="B39" s="16" t="inlineStr">
        <is>
          <t>Documented operating procedures</t>
        </is>
      </c>
      <c r="C39" s="16" t="inlineStr">
        <is>
          <t>Organisational</t>
        </is>
      </c>
      <c r="D39" s="16" t="inlineStr">
        <is>
          <t>5 - Organisational Controls</t>
        </is>
      </c>
      <c r="E39" s="16" t="inlineStr">
        <is>
          <t>Documented operating procedures requirements</t>
        </is>
      </c>
    </row>
    <row r="40">
      <c r="A40" s="16" t="inlineStr">
        <is>
          <t>A.6.1</t>
        </is>
      </c>
      <c r="B40" s="16" t="inlineStr">
        <is>
          <t>Screening</t>
        </is>
      </c>
      <c r="C40" s="16" t="inlineStr">
        <is>
          <t>People</t>
        </is>
      </c>
      <c r="D40" s="16" t="inlineStr">
        <is>
          <t>6 - People Controls</t>
        </is>
      </c>
      <c r="E40" s="16" t="inlineStr">
        <is>
          <t>Screening requirements</t>
        </is>
      </c>
    </row>
    <row r="41">
      <c r="A41" s="16" t="inlineStr">
        <is>
          <t>A.6.2</t>
        </is>
      </c>
      <c r="B41" s="16" t="inlineStr">
        <is>
          <t>Terms and conditions of employment</t>
        </is>
      </c>
      <c r="C41" s="16" t="inlineStr">
        <is>
          <t>People</t>
        </is>
      </c>
      <c r="D41" s="16" t="inlineStr">
        <is>
          <t>6 - People Controls</t>
        </is>
      </c>
      <c r="E41" s="16" t="inlineStr">
        <is>
          <t>Terms and conditions of employment requirements</t>
        </is>
      </c>
    </row>
    <row r="42">
      <c r="A42" s="16" t="inlineStr">
        <is>
          <t>A.6.3</t>
        </is>
      </c>
      <c r="B42" s="16" t="inlineStr">
        <is>
          <t>Information security awareness, education and training</t>
        </is>
      </c>
      <c r="C42" s="16" t="inlineStr">
        <is>
          <t>People</t>
        </is>
      </c>
      <c r="D42" s="16" t="inlineStr">
        <is>
          <t>6 - People Controls</t>
        </is>
      </c>
      <c r="E42" s="16" t="inlineStr">
        <is>
          <t>Information security awareness, education and training requirements</t>
        </is>
      </c>
    </row>
    <row r="43">
      <c r="A43" s="16" t="inlineStr">
        <is>
          <t>A.6.4</t>
        </is>
      </c>
      <c r="B43" s="16" t="inlineStr">
        <is>
          <t>Disciplinary process</t>
        </is>
      </c>
      <c r="C43" s="16" t="inlineStr">
        <is>
          <t>People</t>
        </is>
      </c>
      <c r="D43" s="16" t="inlineStr">
        <is>
          <t>6 - People Controls</t>
        </is>
      </c>
      <c r="E43" s="16" t="inlineStr">
        <is>
          <t>Disciplinary process requirements</t>
        </is>
      </c>
    </row>
    <row r="44">
      <c r="A44" s="16" t="inlineStr">
        <is>
          <t>A.6.5</t>
        </is>
      </c>
      <c r="B44" s="16" t="inlineStr">
        <is>
          <t>Responsibilities after termination or change of employment</t>
        </is>
      </c>
      <c r="C44" s="16" t="inlineStr">
        <is>
          <t>People</t>
        </is>
      </c>
      <c r="D44" s="16" t="inlineStr">
        <is>
          <t>6 - People Controls</t>
        </is>
      </c>
      <c r="E44" s="16" t="inlineStr">
        <is>
          <t>Responsibilities after termination or change of employment requirements</t>
        </is>
      </c>
    </row>
    <row r="45">
      <c r="A45" s="16" t="inlineStr">
        <is>
          <t>A.6.6</t>
        </is>
      </c>
      <c r="B45" s="16" t="inlineStr">
        <is>
          <t>Confidentiality or non-disclosure agreements</t>
        </is>
      </c>
      <c r="C45" s="16" t="inlineStr">
        <is>
          <t>People</t>
        </is>
      </c>
      <c r="D45" s="16" t="inlineStr">
        <is>
          <t>6 - People Controls</t>
        </is>
      </c>
      <c r="E45" s="16" t="inlineStr">
        <is>
          <t>Confidentiality or non-disclosure agreements requirements</t>
        </is>
      </c>
    </row>
    <row r="46">
      <c r="A46" s="16" t="inlineStr">
        <is>
          <t>A.6.7</t>
        </is>
      </c>
      <c r="B46" s="16" t="inlineStr">
        <is>
          <t>Remote working</t>
        </is>
      </c>
      <c r="C46" s="16" t="inlineStr">
        <is>
          <t>People</t>
        </is>
      </c>
      <c r="D46" s="16" t="inlineStr">
        <is>
          <t>6 - People Controls</t>
        </is>
      </c>
      <c r="E46" s="16" t="inlineStr">
        <is>
          <t>Remote working requirements</t>
        </is>
      </c>
    </row>
    <row r="47">
      <c r="A47" s="16" t="inlineStr">
        <is>
          <t>A.6.8</t>
        </is>
      </c>
      <c r="B47" s="16" t="inlineStr">
        <is>
          <t>Information security event reporting</t>
        </is>
      </c>
      <c r="C47" s="16" t="inlineStr">
        <is>
          <t>People</t>
        </is>
      </c>
      <c r="D47" s="16" t="inlineStr">
        <is>
          <t>6 - People Controls</t>
        </is>
      </c>
      <c r="E47" s="16" t="inlineStr">
        <is>
          <t>Information security event reporting requirements</t>
        </is>
      </c>
    </row>
    <row r="48">
      <c r="A48" s="16" t="inlineStr">
        <is>
          <t>A.7.1</t>
        </is>
      </c>
      <c r="B48" s="16" t="inlineStr">
        <is>
          <t>Physical security perimeters</t>
        </is>
      </c>
      <c r="C48" s="16" t="inlineStr">
        <is>
          <t>Physical</t>
        </is>
      </c>
      <c r="D48" s="16" t="inlineStr">
        <is>
          <t>7 - Physical Controls</t>
        </is>
      </c>
      <c r="E48" s="16" t="inlineStr">
        <is>
          <t>Physical security perimeters requirements</t>
        </is>
      </c>
    </row>
    <row r="49">
      <c r="A49" s="16" t="inlineStr">
        <is>
          <t>A.7.2</t>
        </is>
      </c>
      <c r="B49" s="16" t="inlineStr">
        <is>
          <t>Physical entry</t>
        </is>
      </c>
      <c r="C49" s="16" t="inlineStr">
        <is>
          <t>Physical</t>
        </is>
      </c>
      <c r="D49" s="16" t="inlineStr">
        <is>
          <t>7 - Physical Controls</t>
        </is>
      </c>
      <c r="E49" s="16" t="inlineStr">
        <is>
          <t>Physical entry requirements</t>
        </is>
      </c>
    </row>
    <row r="50">
      <c r="A50" s="16" t="inlineStr">
        <is>
          <t>A.7.3</t>
        </is>
      </c>
      <c r="B50" s="16" t="inlineStr">
        <is>
          <t>Securing offices, rooms and facilities</t>
        </is>
      </c>
      <c r="C50" s="16" t="inlineStr">
        <is>
          <t>Physical</t>
        </is>
      </c>
      <c r="D50" s="16" t="inlineStr">
        <is>
          <t>7 - Physical Controls</t>
        </is>
      </c>
      <c r="E50" s="16" t="inlineStr">
        <is>
          <t>Securing offices, rooms and facilities requirements</t>
        </is>
      </c>
    </row>
    <row r="51">
      <c r="A51" s="16" t="inlineStr">
        <is>
          <t>A.7.4</t>
        </is>
      </c>
      <c r="B51" s="16" t="inlineStr">
        <is>
          <t>Physical security monitoring</t>
        </is>
      </c>
      <c r="C51" s="16" t="inlineStr">
        <is>
          <t>Physical</t>
        </is>
      </c>
      <c r="D51" s="16" t="inlineStr">
        <is>
          <t>7 - Physical Controls</t>
        </is>
      </c>
      <c r="E51" s="16" t="inlineStr">
        <is>
          <t>Physical security monitoring requirements</t>
        </is>
      </c>
    </row>
    <row r="52">
      <c r="A52" s="16" t="inlineStr">
        <is>
          <t>A.7.5</t>
        </is>
      </c>
      <c r="B52" s="16" t="inlineStr">
        <is>
          <t>Protecting against physical and environmental threats</t>
        </is>
      </c>
      <c r="C52" s="16" t="inlineStr">
        <is>
          <t>Physical</t>
        </is>
      </c>
      <c r="D52" s="16" t="inlineStr">
        <is>
          <t>7 - Physical Controls</t>
        </is>
      </c>
      <c r="E52" s="16" t="inlineStr">
        <is>
          <t>Protecting against physical and environmental threats requirements</t>
        </is>
      </c>
    </row>
    <row r="53">
      <c r="A53" s="16" t="inlineStr">
        <is>
          <t>A.7.6</t>
        </is>
      </c>
      <c r="B53" s="16" t="inlineStr">
        <is>
          <t>Working in secure areas</t>
        </is>
      </c>
      <c r="C53" s="16" t="inlineStr">
        <is>
          <t>Physical</t>
        </is>
      </c>
      <c r="D53" s="16" t="inlineStr">
        <is>
          <t>7 - Physical Controls</t>
        </is>
      </c>
      <c r="E53" s="16" t="inlineStr">
        <is>
          <t>Working in secure areas requirements</t>
        </is>
      </c>
    </row>
    <row r="54">
      <c r="A54" s="16" t="inlineStr">
        <is>
          <t>A.7.7</t>
        </is>
      </c>
      <c r="B54" s="16" t="inlineStr">
        <is>
          <t>Clear desk and clear screen</t>
        </is>
      </c>
      <c r="C54" s="16" t="inlineStr">
        <is>
          <t>Physical</t>
        </is>
      </c>
      <c r="D54" s="16" t="inlineStr">
        <is>
          <t>7 - Physical Controls</t>
        </is>
      </c>
      <c r="E54" s="16" t="inlineStr">
        <is>
          <t>Clear desk and clear screen requirements</t>
        </is>
      </c>
    </row>
    <row r="55">
      <c r="A55" s="16" t="inlineStr">
        <is>
          <t>A.7.8</t>
        </is>
      </c>
      <c r="B55" s="16" t="inlineStr">
        <is>
          <t>Equipment siting and protection</t>
        </is>
      </c>
      <c r="C55" s="16" t="inlineStr">
        <is>
          <t>Physical</t>
        </is>
      </c>
      <c r="D55" s="16" t="inlineStr">
        <is>
          <t>7 - Physical Controls</t>
        </is>
      </c>
      <c r="E55" s="16" t="inlineStr">
        <is>
          <t>Equipment siting and protection requirements</t>
        </is>
      </c>
    </row>
    <row r="56">
      <c r="A56" s="16" t="inlineStr">
        <is>
          <t>A.7.9</t>
        </is>
      </c>
      <c r="B56" s="16" t="inlineStr">
        <is>
          <t>Security of assets off-premises</t>
        </is>
      </c>
      <c r="C56" s="16" t="inlineStr">
        <is>
          <t>Physical</t>
        </is>
      </c>
      <c r="D56" s="16" t="inlineStr">
        <is>
          <t>7 - Physical Controls</t>
        </is>
      </c>
      <c r="E56" s="16" t="inlineStr">
        <is>
          <t>Security of assets off-premises requirements</t>
        </is>
      </c>
    </row>
    <row r="57">
      <c r="A57" s="16" t="inlineStr">
        <is>
          <t>A.7.10</t>
        </is>
      </c>
      <c r="B57" s="16" t="inlineStr">
        <is>
          <t>Storage media</t>
        </is>
      </c>
      <c r="C57" s="16" t="inlineStr">
        <is>
          <t>Physical</t>
        </is>
      </c>
      <c r="D57" s="16" t="inlineStr">
        <is>
          <t>7 - Physical Controls</t>
        </is>
      </c>
      <c r="E57" s="16" t="inlineStr">
        <is>
          <t>Storage media requirements</t>
        </is>
      </c>
    </row>
    <row r="58">
      <c r="A58" s="16" t="inlineStr">
        <is>
          <t>A.7.11</t>
        </is>
      </c>
      <c r="B58" s="16" t="inlineStr">
        <is>
          <t>Supporting utilities</t>
        </is>
      </c>
      <c r="C58" s="16" t="inlineStr">
        <is>
          <t>Physical</t>
        </is>
      </c>
      <c r="D58" s="16" t="inlineStr">
        <is>
          <t>7 - Physical Controls</t>
        </is>
      </c>
      <c r="E58" s="16" t="inlineStr">
        <is>
          <t>Supporting utilities requirements</t>
        </is>
      </c>
    </row>
    <row r="59">
      <c r="A59" s="16" t="inlineStr">
        <is>
          <t>A.7.12</t>
        </is>
      </c>
      <c r="B59" s="16" t="inlineStr">
        <is>
          <t>Cabling security</t>
        </is>
      </c>
      <c r="C59" s="16" t="inlineStr">
        <is>
          <t>Physical</t>
        </is>
      </c>
      <c r="D59" s="16" t="inlineStr">
        <is>
          <t>7 - Physical Controls</t>
        </is>
      </c>
      <c r="E59" s="16" t="inlineStr">
        <is>
          <t>Cabling security requirements</t>
        </is>
      </c>
    </row>
    <row r="60">
      <c r="A60" s="16" t="inlineStr">
        <is>
          <t>A.7.13</t>
        </is>
      </c>
      <c r="B60" s="16" t="inlineStr">
        <is>
          <t>Equipment maintenance</t>
        </is>
      </c>
      <c r="C60" s="16" t="inlineStr">
        <is>
          <t>Physical</t>
        </is>
      </c>
      <c r="D60" s="16" t="inlineStr">
        <is>
          <t>7 - Physical Controls</t>
        </is>
      </c>
      <c r="E60" s="16" t="inlineStr">
        <is>
          <t>Equipment maintenance requirements</t>
        </is>
      </c>
    </row>
    <row r="61">
      <c r="A61" s="16" t="inlineStr">
        <is>
          <t>A.7.14</t>
        </is>
      </c>
      <c r="B61" s="16" t="inlineStr">
        <is>
          <t>Secure disposal or re-use of equipment</t>
        </is>
      </c>
      <c r="C61" s="16" t="inlineStr">
        <is>
          <t>Physical</t>
        </is>
      </c>
      <c r="D61" s="16" t="inlineStr">
        <is>
          <t>7 - Physical Controls</t>
        </is>
      </c>
      <c r="E61" s="16" t="inlineStr">
        <is>
          <t>Secure disposal or re-use of equipment requirements</t>
        </is>
      </c>
    </row>
    <row r="62">
      <c r="A62" s="16" t="inlineStr">
        <is>
          <t>A.8.1</t>
        </is>
      </c>
      <c r="B62" s="16" t="inlineStr">
        <is>
          <t>User endpoint devices</t>
        </is>
      </c>
      <c r="C62" s="16" t="inlineStr">
        <is>
          <t>Technological</t>
        </is>
      </c>
      <c r="D62" s="16" t="inlineStr">
        <is>
          <t>8 - Technological Controls</t>
        </is>
      </c>
      <c r="E62" s="16" t="inlineStr">
        <is>
          <t>User endpoint devices requirements</t>
        </is>
      </c>
    </row>
    <row r="63">
      <c r="A63" s="16" t="inlineStr">
        <is>
          <t>A.8.2</t>
        </is>
      </c>
      <c r="B63" s="16" t="inlineStr">
        <is>
          <t>Privileged access rights</t>
        </is>
      </c>
      <c r="C63" s="16" t="inlineStr">
        <is>
          <t>Technological</t>
        </is>
      </c>
      <c r="D63" s="16" t="inlineStr">
        <is>
          <t>8 - Technological Controls</t>
        </is>
      </c>
      <c r="E63" s="16" t="inlineStr">
        <is>
          <t>Privileged access rights requirements</t>
        </is>
      </c>
    </row>
    <row r="64">
      <c r="A64" s="16" t="inlineStr">
        <is>
          <t>A.8.3</t>
        </is>
      </c>
      <c r="B64" s="16" t="inlineStr">
        <is>
          <t>Information access restriction</t>
        </is>
      </c>
      <c r="C64" s="16" t="inlineStr">
        <is>
          <t>Technological</t>
        </is>
      </c>
      <c r="D64" s="16" t="inlineStr">
        <is>
          <t>8 - Technological Controls</t>
        </is>
      </c>
      <c r="E64" s="16" t="inlineStr">
        <is>
          <t>Information access restriction requirements</t>
        </is>
      </c>
    </row>
    <row r="65">
      <c r="A65" s="16" t="inlineStr">
        <is>
          <t>A.8.4</t>
        </is>
      </c>
      <c r="B65" s="16" t="inlineStr">
        <is>
          <t>Access to source code</t>
        </is>
      </c>
      <c r="C65" s="16" t="inlineStr">
        <is>
          <t>Technological</t>
        </is>
      </c>
      <c r="D65" s="16" t="inlineStr">
        <is>
          <t>8 - Technological Controls</t>
        </is>
      </c>
      <c r="E65" s="16" t="inlineStr">
        <is>
          <t>Access to source code requirements</t>
        </is>
      </c>
    </row>
    <row r="66">
      <c r="A66" s="16" t="inlineStr">
        <is>
          <t>A.8.5</t>
        </is>
      </c>
      <c r="B66" s="16" t="inlineStr">
        <is>
          <t>Secure authentication</t>
        </is>
      </c>
      <c r="C66" s="16" t="inlineStr">
        <is>
          <t>Technological</t>
        </is>
      </c>
      <c r="D66" s="16" t="inlineStr">
        <is>
          <t>8 - Technological Controls</t>
        </is>
      </c>
      <c r="E66" s="16" t="inlineStr">
        <is>
          <t>Secure authentication requirements</t>
        </is>
      </c>
    </row>
    <row r="67">
      <c r="A67" s="16" t="inlineStr">
        <is>
          <t>A.8.6</t>
        </is>
      </c>
      <c r="B67" s="16" t="inlineStr">
        <is>
          <t>Capacity management</t>
        </is>
      </c>
      <c r="C67" s="16" t="inlineStr">
        <is>
          <t>Technological</t>
        </is>
      </c>
      <c r="D67" s="16" t="inlineStr">
        <is>
          <t>8 - Technological Controls</t>
        </is>
      </c>
      <c r="E67" s="16" t="inlineStr">
        <is>
          <t>Capacity management requirements</t>
        </is>
      </c>
    </row>
    <row r="68">
      <c r="A68" s="16" t="inlineStr">
        <is>
          <t>A.8.7</t>
        </is>
      </c>
      <c r="B68" s="16" t="inlineStr">
        <is>
          <t>Protection against malware</t>
        </is>
      </c>
      <c r="C68" s="16" t="inlineStr">
        <is>
          <t>Technological</t>
        </is>
      </c>
      <c r="D68" s="16" t="inlineStr">
        <is>
          <t>8 - Technological Controls</t>
        </is>
      </c>
      <c r="E68" s="16" t="inlineStr">
        <is>
          <t>Protection against malware requirements</t>
        </is>
      </c>
    </row>
    <row r="69">
      <c r="A69" s="16" t="inlineStr">
        <is>
          <t>A.8.8</t>
        </is>
      </c>
      <c r="B69" s="16" t="inlineStr">
        <is>
          <t>Management of technical vulnerabilities</t>
        </is>
      </c>
      <c r="C69" s="16" t="inlineStr">
        <is>
          <t>Technological</t>
        </is>
      </c>
      <c r="D69" s="16" t="inlineStr">
        <is>
          <t>8 - Technological Controls</t>
        </is>
      </c>
      <c r="E69" s="16" t="inlineStr">
        <is>
          <t>Management of technical vulnerabilities requirements</t>
        </is>
      </c>
    </row>
    <row r="70">
      <c r="A70" s="16" t="inlineStr">
        <is>
          <t>A.8.9</t>
        </is>
      </c>
      <c r="B70" s="16" t="inlineStr">
        <is>
          <t>Configuration management</t>
        </is>
      </c>
      <c r="C70" s="16" t="inlineStr">
        <is>
          <t>Technological</t>
        </is>
      </c>
      <c r="D70" s="16" t="inlineStr">
        <is>
          <t>8 - Technological Controls</t>
        </is>
      </c>
      <c r="E70" s="16" t="inlineStr">
        <is>
          <t>Configuration management requirements</t>
        </is>
      </c>
    </row>
    <row r="71">
      <c r="A71" s="16" t="inlineStr">
        <is>
          <t>A.8.10</t>
        </is>
      </c>
      <c r="B71" s="16" t="inlineStr">
        <is>
          <t>Information deletion</t>
        </is>
      </c>
      <c r="C71" s="16" t="inlineStr">
        <is>
          <t>Technological</t>
        </is>
      </c>
      <c r="D71" s="16" t="inlineStr">
        <is>
          <t>8 - Technological Controls</t>
        </is>
      </c>
      <c r="E71" s="16" t="inlineStr">
        <is>
          <t>Information deletion requirements</t>
        </is>
      </c>
    </row>
    <row r="72">
      <c r="A72" s="16" t="inlineStr">
        <is>
          <t>A.8.11</t>
        </is>
      </c>
      <c r="B72" s="16" t="inlineStr">
        <is>
          <t>Data masking</t>
        </is>
      </c>
      <c r="C72" s="16" t="inlineStr">
        <is>
          <t>Technological</t>
        </is>
      </c>
      <c r="D72" s="16" t="inlineStr">
        <is>
          <t>8 - Technological Controls</t>
        </is>
      </c>
      <c r="E72" s="16" t="inlineStr">
        <is>
          <t>Data masking requirements</t>
        </is>
      </c>
    </row>
    <row r="73">
      <c r="A73" s="16" t="inlineStr">
        <is>
          <t>A.8.12</t>
        </is>
      </c>
      <c r="B73" s="16" t="inlineStr">
        <is>
          <t>Data leakage prevention</t>
        </is>
      </c>
      <c r="C73" s="16" t="inlineStr">
        <is>
          <t>Technological</t>
        </is>
      </c>
      <c r="D73" s="16" t="inlineStr">
        <is>
          <t>8 - Technological Controls</t>
        </is>
      </c>
      <c r="E73" s="16" t="inlineStr">
        <is>
          <t>Data leakage prevention requirements</t>
        </is>
      </c>
    </row>
    <row r="74">
      <c r="A74" s="16" t="inlineStr">
        <is>
          <t>A.8.13</t>
        </is>
      </c>
      <c r="B74" s="16" t="inlineStr">
        <is>
          <t>Information backup</t>
        </is>
      </c>
      <c r="C74" s="16" t="inlineStr">
        <is>
          <t>Technological</t>
        </is>
      </c>
      <c r="D74" s="16" t="inlineStr">
        <is>
          <t>8 - Technological Controls</t>
        </is>
      </c>
      <c r="E74" s="16" t="inlineStr">
        <is>
          <t>Information backup requirements</t>
        </is>
      </c>
    </row>
    <row r="75">
      <c r="A75" s="16" t="inlineStr">
        <is>
          <t>A.8.14</t>
        </is>
      </c>
      <c r="B75" s="16" t="inlineStr">
        <is>
          <t>Redundancy of information processing facilities</t>
        </is>
      </c>
      <c r="C75" s="16" t="inlineStr">
        <is>
          <t>Technological</t>
        </is>
      </c>
      <c r="D75" s="16" t="inlineStr">
        <is>
          <t>8 - Technological Controls</t>
        </is>
      </c>
      <c r="E75" s="16" t="inlineStr">
        <is>
          <t>Redundancy of information processing facilities requirements</t>
        </is>
      </c>
    </row>
    <row r="76">
      <c r="A76" s="16" t="inlineStr">
        <is>
          <t>A.8.15</t>
        </is>
      </c>
      <c r="B76" s="16" t="inlineStr">
        <is>
          <t>Logging</t>
        </is>
      </c>
      <c r="C76" s="16" t="inlineStr">
        <is>
          <t>Technological</t>
        </is>
      </c>
      <c r="D76" s="16" t="inlineStr">
        <is>
          <t>8 - Technological Controls</t>
        </is>
      </c>
      <c r="E76" s="16" t="inlineStr">
        <is>
          <t>Logging requirements</t>
        </is>
      </c>
    </row>
    <row r="77">
      <c r="A77" s="16" t="inlineStr">
        <is>
          <t>A.8.16</t>
        </is>
      </c>
      <c r="B77" s="16" t="inlineStr">
        <is>
          <t>Monitoring activities</t>
        </is>
      </c>
      <c r="C77" s="16" t="inlineStr">
        <is>
          <t>Technological</t>
        </is>
      </c>
      <c r="D77" s="16" t="inlineStr">
        <is>
          <t>8 - Technological Controls</t>
        </is>
      </c>
      <c r="E77" s="16" t="inlineStr">
        <is>
          <t>Monitoring activities requirements</t>
        </is>
      </c>
    </row>
    <row r="78">
      <c r="A78" s="16" t="inlineStr">
        <is>
          <t>A.8.17</t>
        </is>
      </c>
      <c r="B78" s="16" t="inlineStr">
        <is>
          <t>Clock synchronization</t>
        </is>
      </c>
      <c r="C78" s="16" t="inlineStr">
        <is>
          <t>Technological</t>
        </is>
      </c>
      <c r="D78" s="16" t="inlineStr">
        <is>
          <t>8 - Technological Controls</t>
        </is>
      </c>
      <c r="E78" s="16" t="inlineStr">
        <is>
          <t>Clock synchronization requirements</t>
        </is>
      </c>
    </row>
    <row r="79">
      <c r="A79" s="16" t="inlineStr">
        <is>
          <t>A.8.18</t>
        </is>
      </c>
      <c r="B79" s="16" t="inlineStr">
        <is>
          <t>Use of privileged utility programs</t>
        </is>
      </c>
      <c r="C79" s="16" t="inlineStr">
        <is>
          <t>Technological</t>
        </is>
      </c>
      <c r="D79" s="16" t="inlineStr">
        <is>
          <t>8 - Technological Controls</t>
        </is>
      </c>
      <c r="E79" s="16" t="inlineStr">
        <is>
          <t>Use of privileged utility programs requirements</t>
        </is>
      </c>
    </row>
    <row r="80">
      <c r="A80" s="16" t="inlineStr">
        <is>
          <t>A.8.19</t>
        </is>
      </c>
      <c r="B80" s="16" t="inlineStr">
        <is>
          <t>Installation of software on operational systems</t>
        </is>
      </c>
      <c r="C80" s="16" t="inlineStr">
        <is>
          <t>Technological</t>
        </is>
      </c>
      <c r="D80" s="16" t="inlineStr">
        <is>
          <t>8 - Technological Controls</t>
        </is>
      </c>
      <c r="E80" s="16" t="inlineStr">
        <is>
          <t>Installation of software on operational systems requirements</t>
        </is>
      </c>
    </row>
    <row r="81">
      <c r="A81" s="16" t="inlineStr">
        <is>
          <t>A.8.20</t>
        </is>
      </c>
      <c r="B81" s="16" t="inlineStr">
        <is>
          <t>Networks security</t>
        </is>
      </c>
      <c r="C81" s="16" t="inlineStr">
        <is>
          <t>Technological</t>
        </is>
      </c>
      <c r="D81" s="16" t="inlineStr">
        <is>
          <t>8 - Technological Controls</t>
        </is>
      </c>
      <c r="E81" s="16" t="inlineStr">
        <is>
          <t>Networks security requirements</t>
        </is>
      </c>
    </row>
    <row r="82">
      <c r="A82" s="16" t="inlineStr">
        <is>
          <t>A.8.21</t>
        </is>
      </c>
      <c r="B82" s="16" t="inlineStr">
        <is>
          <t>Security of network services</t>
        </is>
      </c>
      <c r="C82" s="16" t="inlineStr">
        <is>
          <t>Technological</t>
        </is>
      </c>
      <c r="D82" s="16" t="inlineStr">
        <is>
          <t>8 - Technological Controls</t>
        </is>
      </c>
      <c r="E82" s="16" t="inlineStr">
        <is>
          <t>Security of network services requirements</t>
        </is>
      </c>
    </row>
    <row r="83">
      <c r="A83" s="16" t="inlineStr">
        <is>
          <t>A.8.22</t>
        </is>
      </c>
      <c r="B83" s="16" t="inlineStr">
        <is>
          <t>Segregation of networks</t>
        </is>
      </c>
      <c r="C83" s="16" t="inlineStr">
        <is>
          <t>Technological</t>
        </is>
      </c>
      <c r="D83" s="16" t="inlineStr">
        <is>
          <t>8 - Technological Controls</t>
        </is>
      </c>
      <c r="E83" s="16" t="inlineStr">
        <is>
          <t>Segregation of networks requirements</t>
        </is>
      </c>
    </row>
    <row r="84">
      <c r="A84" s="16" t="inlineStr">
        <is>
          <t>A.8.23</t>
        </is>
      </c>
      <c r="B84" s="16" t="inlineStr">
        <is>
          <t>Web filtering</t>
        </is>
      </c>
      <c r="C84" s="16" t="inlineStr">
        <is>
          <t>Technological</t>
        </is>
      </c>
      <c r="D84" s="16" t="inlineStr">
        <is>
          <t>8 - Technological Controls</t>
        </is>
      </c>
      <c r="E84" s="16" t="inlineStr">
        <is>
          <t>Web filtering requirements</t>
        </is>
      </c>
    </row>
    <row r="85">
      <c r="A85" s="16" t="inlineStr">
        <is>
          <t>A.8.24</t>
        </is>
      </c>
      <c r="B85" s="16" t="inlineStr">
        <is>
          <t>Use of cryptography</t>
        </is>
      </c>
      <c r="C85" s="16" t="inlineStr">
        <is>
          <t>Technological</t>
        </is>
      </c>
      <c r="D85" s="16" t="inlineStr">
        <is>
          <t>8 - Technological Controls</t>
        </is>
      </c>
      <c r="E85" s="16" t="inlineStr">
        <is>
          <t>Use of cryptography requirements</t>
        </is>
      </c>
    </row>
    <row r="86">
      <c r="A86" s="16" t="inlineStr">
        <is>
          <t>A.8.25</t>
        </is>
      </c>
      <c r="B86" s="16" t="inlineStr">
        <is>
          <t>Secure development life cycle</t>
        </is>
      </c>
      <c r="C86" s="16" t="inlineStr">
        <is>
          <t>Technological</t>
        </is>
      </c>
      <c r="D86" s="16" t="inlineStr">
        <is>
          <t>8 - Technological Controls</t>
        </is>
      </c>
      <c r="E86" s="16" t="inlineStr">
        <is>
          <t>Secure development life cycle requirements</t>
        </is>
      </c>
    </row>
    <row r="87">
      <c r="A87" s="16" t="inlineStr">
        <is>
          <t>A.8.26</t>
        </is>
      </c>
      <c r="B87" s="16" t="inlineStr">
        <is>
          <t>Application security requirements</t>
        </is>
      </c>
      <c r="C87" s="16" t="inlineStr">
        <is>
          <t>Technological</t>
        </is>
      </c>
      <c r="D87" s="16" t="inlineStr">
        <is>
          <t>8 - Technological Controls</t>
        </is>
      </c>
      <c r="E87" s="16" t="inlineStr">
        <is>
          <t>Application security requirements requirements</t>
        </is>
      </c>
    </row>
    <row r="88">
      <c r="A88" s="16" t="inlineStr">
        <is>
          <t>A.8.27</t>
        </is>
      </c>
      <c r="B88" s="16" t="inlineStr">
        <is>
          <t>Secure system architecture and engineering principles</t>
        </is>
      </c>
      <c r="C88" s="16" t="inlineStr">
        <is>
          <t>Technological</t>
        </is>
      </c>
      <c r="D88" s="16" t="inlineStr">
        <is>
          <t>8 - Technological Controls</t>
        </is>
      </c>
      <c r="E88" s="16" t="inlineStr">
        <is>
          <t>Secure system architecture and engineering principles requirements</t>
        </is>
      </c>
    </row>
    <row r="89">
      <c r="A89" s="16" t="inlineStr">
        <is>
          <t>A.8.28</t>
        </is>
      </c>
      <c r="B89" s="16" t="inlineStr">
        <is>
          <t>Secure coding</t>
        </is>
      </c>
      <c r="C89" s="16" t="inlineStr">
        <is>
          <t>Technological</t>
        </is>
      </c>
      <c r="D89" s="16" t="inlineStr">
        <is>
          <t>8 - Technological Controls</t>
        </is>
      </c>
      <c r="E89" s="16" t="inlineStr">
        <is>
          <t>Secure coding requirements</t>
        </is>
      </c>
    </row>
    <row r="90">
      <c r="A90" s="16" t="inlineStr">
        <is>
          <t>A.8.29</t>
        </is>
      </c>
      <c r="B90" s="16" t="inlineStr">
        <is>
          <t>Security testing in development and acceptance</t>
        </is>
      </c>
      <c r="C90" s="16" t="inlineStr">
        <is>
          <t>Technological</t>
        </is>
      </c>
      <c r="D90" s="16" t="inlineStr">
        <is>
          <t>8 - Technological Controls</t>
        </is>
      </c>
      <c r="E90" s="16" t="inlineStr">
        <is>
          <t>Security testing in development and acceptance requirements</t>
        </is>
      </c>
    </row>
    <row r="91">
      <c r="A91" s="16" t="inlineStr">
        <is>
          <t>A.8.30</t>
        </is>
      </c>
      <c r="B91" s="16" t="inlineStr">
        <is>
          <t>Outsourced development</t>
        </is>
      </c>
      <c r="C91" s="16" t="inlineStr">
        <is>
          <t>Technological</t>
        </is>
      </c>
      <c r="D91" s="16" t="inlineStr">
        <is>
          <t>8 - Technological Controls</t>
        </is>
      </c>
      <c r="E91" s="16" t="inlineStr">
        <is>
          <t>Outsourced development requirements</t>
        </is>
      </c>
    </row>
    <row r="92">
      <c r="A92" s="16" t="inlineStr">
        <is>
          <t>A.8.31</t>
        </is>
      </c>
      <c r="B92" s="16" t="inlineStr">
        <is>
          <t>Separation of development, test and production environments</t>
        </is>
      </c>
      <c r="C92" s="16" t="inlineStr">
        <is>
          <t>Technological</t>
        </is>
      </c>
      <c r="D92" s="16" t="inlineStr">
        <is>
          <t>8 - Technological Controls</t>
        </is>
      </c>
      <c r="E92" s="16" t="inlineStr">
        <is>
          <t>Separation of development, test and production environments requirements</t>
        </is>
      </c>
    </row>
    <row r="93">
      <c r="A93" s="16" t="inlineStr">
        <is>
          <t>A.8.32</t>
        </is>
      </c>
      <c r="B93" s="16" t="inlineStr">
        <is>
          <t>Change management</t>
        </is>
      </c>
      <c r="C93" s="16" t="inlineStr">
        <is>
          <t>Technological</t>
        </is>
      </c>
      <c r="D93" s="16" t="inlineStr">
        <is>
          <t>8 - Technological Controls</t>
        </is>
      </c>
      <c r="E93" s="16" t="inlineStr">
        <is>
          <t>Change management requirements</t>
        </is>
      </c>
    </row>
    <row r="94">
      <c r="A94" s="16" t="inlineStr">
        <is>
          <t>A.8.33</t>
        </is>
      </c>
      <c r="B94" s="16" t="inlineStr">
        <is>
          <t>Test information</t>
        </is>
      </c>
      <c r="C94" s="16" t="inlineStr">
        <is>
          <t>Technological</t>
        </is>
      </c>
      <c r="D94" s="16" t="inlineStr">
        <is>
          <t>8 - Technological Controls</t>
        </is>
      </c>
      <c r="E94" s="16" t="inlineStr">
        <is>
          <t>Test information requirements</t>
        </is>
      </c>
    </row>
    <row r="95">
      <c r="A95" s="16" t="inlineStr">
        <is>
          <t>A.8.34</t>
        </is>
      </c>
      <c r="B95" s="16" t="inlineStr">
        <is>
          <t>Protection of information systems during audit testing</t>
        </is>
      </c>
      <c r="C95" s="16" t="inlineStr">
        <is>
          <t>Technological</t>
        </is>
      </c>
      <c r="D95" s="16" t="inlineStr">
        <is>
          <t>8 - Technological Controls</t>
        </is>
      </c>
      <c r="E95" s="16" t="inlineStr">
        <is>
          <t>Protection of information systems during audit testing requirements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 ht="35" customHeight="1">
      <c r="A1" s="17" t="inlineStr">
        <is>
          <t>ISMS-IMP-A.5.31.4 | CONTROL MAPPING MATRIX — GUIDELINES | ISO/IEC 27001:2022 — CONTROL A.5.31</t>
        </is>
      </c>
    </row>
    <row r="2">
      <c r="A2" s="18" t="inlineStr"/>
    </row>
    <row r="3">
      <c r="A3" s="18" t="inlineStr">
        <is>
          <t>PURPOSE:</t>
        </is>
      </c>
    </row>
    <row r="4">
      <c r="A4" s="18" t="inlineStr">
        <is>
          <t>Map regulatory requirements to ISO 27001 Annex A controls.</t>
        </is>
      </c>
    </row>
    <row r="5">
      <c r="A5" s="18" t="inlineStr">
        <is>
          <t>Identifies which controls satisfy which requirements and reveals gaps.</t>
        </is>
      </c>
    </row>
    <row r="6">
      <c r="A6" s="18" t="inlineStr"/>
    </row>
    <row r="7">
      <c r="A7" s="18" t="inlineStr">
        <is>
          <t>MAPPING TYPES:</t>
        </is>
      </c>
    </row>
    <row r="8">
      <c r="A8" s="18" t="inlineStr"/>
    </row>
    <row r="9">
      <c r="A9" s="18" t="inlineStr">
        <is>
          <t>P (Primary):</t>
        </is>
      </c>
    </row>
    <row r="10">
      <c r="A10" s="18" t="inlineStr">
        <is>
          <t xml:space="preserve">  • Control DIRECTLY and SUBSTANTIALLY satisfies requirement</t>
        </is>
      </c>
    </row>
    <row r="11">
      <c r="A11" s="18" t="inlineStr">
        <is>
          <t xml:space="preserve">  • This is the 'go-to' control for this requirement</t>
        </is>
      </c>
    </row>
    <row r="12">
      <c r="A12" s="18" t="inlineStr">
        <is>
          <t xml:space="preserve">  • Example: Encryption requirement → A.8.24 Use of Cryptography</t>
        </is>
      </c>
    </row>
    <row r="13">
      <c r="A13" s="18" t="inlineStr">
        <is>
          <t xml:space="preserve">  • Example: DPO appointment → A.5.2 Roles and Responsibilities</t>
        </is>
      </c>
    </row>
    <row r="14">
      <c r="A14" s="18" t="inlineStr"/>
    </row>
    <row r="15">
      <c r="A15" s="18" t="inlineStr">
        <is>
          <t>S (Secondary):</t>
        </is>
      </c>
    </row>
    <row r="16">
      <c r="A16" s="18" t="inlineStr">
        <is>
          <t xml:space="preserve">  • Control PARTIALLY satisfies requirement</t>
        </is>
      </c>
    </row>
    <row r="17">
      <c r="A17" s="18" t="inlineStr">
        <is>
          <t xml:space="preserve">  • Additional controls or measures needed for full satisfaction</t>
        </is>
      </c>
    </row>
    <row r="18">
      <c r="A18" s="18" t="inlineStr">
        <is>
          <t xml:space="preserve">  • Example: Access control requirement → A.5.15 Access Control (partial),</t>
        </is>
      </c>
    </row>
    <row r="19">
      <c r="A19" s="18" t="inlineStr">
        <is>
          <t xml:space="preserve">    also needs A.8.2 Privileged Access Rights (specific implementation)</t>
        </is>
      </c>
    </row>
    <row r="20">
      <c r="A20" s="18" t="inlineStr"/>
    </row>
    <row r="21">
      <c r="A21" s="18" t="inlineStr">
        <is>
          <t>Su (Supporting):</t>
        </is>
      </c>
    </row>
    <row r="22">
      <c r="A22" s="18" t="inlineStr">
        <is>
          <t xml:space="preserve">  • Control INDIRECTLY supports requirement</t>
        </is>
      </c>
    </row>
    <row r="23">
      <c r="A23" s="18" t="inlineStr">
        <is>
          <t xml:space="preserve">  • Contributes but doesn't directly satisfy</t>
        </is>
      </c>
    </row>
    <row r="24">
      <c r="A24" s="18" t="inlineStr">
        <is>
          <t xml:space="preserve">  • Example: Technical security requirement → A.6.3 Awareness Training (supporting)</t>
        </is>
      </c>
    </row>
    <row r="25">
      <c r="A25" s="18" t="inlineStr">
        <is>
          <t xml:space="preserve">    (training doesn't satisfy technical requirement but supports implementation)</t>
        </is>
      </c>
    </row>
    <row r="26">
      <c r="A26" s="18" t="inlineStr"/>
    </row>
    <row r="27">
      <c r="A27" s="18" t="inlineStr">
        <is>
          <t>Blank:</t>
        </is>
      </c>
    </row>
    <row r="28">
      <c r="A28" s="18" t="inlineStr">
        <is>
          <t xml:space="preserve">  • Control not applicable to this requirement</t>
        </is>
      </c>
    </row>
    <row r="29">
      <c r="A29" s="18" t="inlineStr">
        <is>
          <t xml:space="preserve">  • Most cells will be blank (requirements typically map to 1-5 controls)</t>
        </is>
      </c>
    </row>
    <row r="30">
      <c r="A30" s="18" t="inlineStr"/>
    </row>
    <row r="31">
      <c r="A31" s="18" t="inlineStr">
        <is>
          <t>GAP IDENTIFICATION:</t>
        </is>
      </c>
    </row>
    <row r="32">
      <c r="A32" s="18" t="inlineStr"/>
    </row>
    <row r="33">
      <c r="A33" s="18" t="inlineStr">
        <is>
          <t>Complete Gap:</t>
        </is>
      </c>
    </row>
    <row r="34">
      <c r="A34" s="18" t="inlineStr">
        <is>
          <t xml:space="preserve">  • Requirement row with NO 'P' (Primary) mappings</t>
        </is>
      </c>
    </row>
    <row r="35">
      <c r="A35" s="18" t="inlineStr">
        <is>
          <t xml:space="preserve">  • This requirement is NOT currently satisfied by any control</t>
        </is>
      </c>
    </row>
    <row r="36">
      <c r="A36" s="18" t="inlineStr">
        <is>
          <t xml:space="preserve">  • Action: Implement new control or enhance existing control to Primary level</t>
        </is>
      </c>
    </row>
    <row r="37">
      <c r="A37" s="18" t="inlineStr"/>
    </row>
    <row r="38">
      <c r="A38" s="18" t="inlineStr">
        <is>
          <t>Partial Gap:</t>
        </is>
      </c>
    </row>
    <row r="39">
      <c r="A39" s="18" t="inlineStr">
        <is>
          <t xml:space="preserve">  • Requirement row with only 'S' (Secondary) or 'Su' (Supporting) mappings</t>
        </is>
      </c>
    </row>
    <row r="40">
      <c r="A40" s="18" t="inlineStr">
        <is>
          <t xml:space="preserve">  • Requirement partially addressed but not fully satisfied</t>
        </is>
      </c>
    </row>
    <row r="41">
      <c r="A41" s="18" t="inlineStr">
        <is>
          <t xml:space="preserve">  • Action: Enhance secondary controls to primary level or add missing controls</t>
        </is>
      </c>
    </row>
    <row r="42">
      <c r="A42" s="18" t="inlineStr"/>
    </row>
    <row r="43">
      <c r="A43" s="18" t="inlineStr">
        <is>
          <t>No Gap:</t>
        </is>
      </c>
    </row>
    <row r="44">
      <c r="A44" s="18" t="inlineStr">
        <is>
          <t xml:space="preserve">  • Requirement row with at least one 'P' (Primary) mapping</t>
        </is>
      </c>
    </row>
    <row r="45">
      <c r="A45" s="18" t="inlineStr">
        <is>
          <t xml:space="preserve">  • Requirement is satisfied (may also have additional S/Su for defense-in-depth)</t>
        </is>
      </c>
    </row>
    <row r="46">
      <c r="A46" s="18" t="inlineStr"/>
    </row>
    <row r="47">
      <c r="A47" s="18" t="inlineStr">
        <is>
          <t>USING THIS MATRIX:</t>
        </is>
      </c>
    </row>
    <row r="48">
      <c r="A48" s="18" t="inlineStr"/>
    </row>
    <row r="49">
      <c r="A49" s="18" t="inlineStr">
        <is>
          <t>Step 1 - Review Requirements:</t>
        </is>
      </c>
    </row>
    <row r="50">
      <c r="A50" s="18" t="inlineStr">
        <is>
          <t xml:space="preserve">  • Import requirements from Workbook 3 (Requirements Register)</t>
        </is>
      </c>
    </row>
    <row r="51">
      <c r="A51" s="18" t="inlineStr">
        <is>
          <t xml:space="preserve">  • Or manually add requirements to rows</t>
        </is>
      </c>
    </row>
    <row r="52">
      <c r="A52" s="18" t="inlineStr"/>
    </row>
    <row r="53">
      <c r="A53" s="18" t="inlineStr">
        <is>
          <t>Step 2 - For Each Requirement:</t>
        </is>
      </c>
    </row>
    <row r="54">
      <c r="A54" s="18" t="inlineStr">
        <is>
          <t xml:space="preserve">  • Review ISO 27001 controls (use Sheet 2 reference)</t>
        </is>
      </c>
    </row>
    <row r="55">
      <c r="A55" s="18" t="inlineStr">
        <is>
          <t xml:space="preserve">  • Identify which controls address this requirement</t>
        </is>
      </c>
    </row>
    <row r="56">
      <c r="A56" s="18" t="inlineStr">
        <is>
          <t xml:space="preserve">  • Enter P, S, or Su in appropriate control columns</t>
        </is>
      </c>
    </row>
    <row r="57">
      <c r="A57" s="18" t="inlineStr">
        <is>
          <t xml:space="preserve">  • Leave blank where control not relevant</t>
        </is>
      </c>
    </row>
    <row r="58">
      <c r="A58" s="18" t="inlineStr"/>
    </row>
    <row r="59">
      <c r="A59" s="18" t="inlineStr">
        <is>
          <t>Step 3 - Identify Gaps:</t>
        </is>
      </c>
    </row>
    <row r="60">
      <c r="A60" s="18" t="inlineStr">
        <is>
          <t xml:space="preserve">  • Review Gap Summary sheet (Sheet 4)</t>
        </is>
      </c>
    </row>
    <row r="61">
      <c r="A61" s="18" t="inlineStr">
        <is>
          <t xml:space="preserve">  • Focus on requirements with no Primary mappings</t>
        </is>
      </c>
    </row>
    <row r="62">
      <c r="A62" s="18" t="inlineStr">
        <is>
          <t xml:space="preserve">  • Prioritize gaps by requirement priority (High/Medium/Low)</t>
        </is>
      </c>
    </row>
    <row r="63">
      <c r="A63" s="18" t="inlineStr"/>
    </row>
    <row r="64">
      <c r="A64" s="18" t="inlineStr">
        <is>
          <t>Step 4 - Gap Remediation:</t>
        </is>
      </c>
    </row>
    <row r="65">
      <c r="A65" s="18" t="inlineStr">
        <is>
          <t xml:space="preserve">  • For complete gaps: Implement new control or significantly enhance existing</t>
        </is>
      </c>
    </row>
    <row r="66">
      <c r="A66" s="18" t="inlineStr">
        <is>
          <t xml:space="preserve">  • For partial gaps: Enhance secondary controls or add complementary controls</t>
        </is>
      </c>
    </row>
    <row r="67">
      <c r="A67" s="18" t="inlineStr">
        <is>
          <t xml:space="preserve">  • Update Gap Status in Requirements Register (Workbook 3)</t>
        </is>
      </c>
    </row>
    <row r="68">
      <c r="A68" s="18" t="inlineStr"/>
    </row>
    <row r="69">
      <c r="A69" s="18" t="inlineStr">
        <is>
          <t>WORKFLOW:</t>
        </is>
      </c>
    </row>
    <row r="70">
      <c r="A70" s="18" t="inlineStr">
        <is>
          <t>Requirements (Workbook 3) → Mapping (this workbook) → Gap Analysis → Remediation → Evidence (Workbook 5)</t>
        </is>
      </c>
    </row>
    <row r="71">
      <c r="A71" s="18" t="inlineStr"/>
    </row>
    <row r="72">
      <c r="A72" s="18" t="inlineStr">
        <is>
          <t>TIPS:</t>
        </is>
      </c>
    </row>
    <row r="73">
      <c r="A73" s="18" t="inlineStr"/>
    </row>
    <row r="74">
      <c r="A74" s="18" t="inlineStr">
        <is>
          <t>Start with High-Priority Requirements:</t>
        </is>
      </c>
    </row>
    <row r="75">
      <c r="A75" s="18" t="inlineStr">
        <is>
          <t xml:space="preserve">  • Focus mapping effort on Tier 1 regulations first</t>
        </is>
      </c>
    </row>
    <row r="76">
      <c r="A76" s="18" t="inlineStr">
        <is>
          <t xml:space="preserve">  • High High priority requirements need immediate attention</t>
        </is>
      </c>
    </row>
    <row r="77">
      <c r="A77" s="18" t="inlineStr"/>
    </row>
    <row r="78">
      <c r="A78" s="18" t="inlineStr">
        <is>
          <t>One Requirement = Multiple Controls (Common):</t>
        </is>
      </c>
    </row>
    <row r="79">
      <c r="A79" s="18" t="inlineStr">
        <is>
          <t xml:space="preserve">  • Security requirements often need multiple controls working together</t>
        </is>
      </c>
    </row>
    <row r="80">
      <c r="A80" s="18" t="inlineStr">
        <is>
          <t xml:space="preserve">  • Example: Data protection may need A.8.24 (encryption) + A.8.11 (masking) + A.5.10 (acceptable use)</t>
        </is>
      </c>
    </row>
    <row r="81">
      <c r="A81" s="18" t="inlineStr"/>
    </row>
    <row r="82">
      <c r="A82" s="18" t="inlineStr">
        <is>
          <t>One Control = Multiple Requirements (Common):</t>
        </is>
      </c>
    </row>
    <row r="83">
      <c r="A83" s="18" t="inlineStr">
        <is>
          <t xml:space="preserve">  • Controls often satisfy multiple regulatory requirements</t>
        </is>
      </c>
    </row>
    <row r="84">
      <c r="A84" s="18" t="inlineStr">
        <is>
          <t xml:space="preserve">  • Example: A.5.26 (Incident Response) satisfies GDPR, FADP, NIS2 notification requirements</t>
        </is>
      </c>
    </row>
    <row r="85">
      <c r="A85" s="18" t="inlineStr"/>
    </row>
    <row r="86">
      <c r="A86" s="18" t="inlineStr">
        <is>
          <t>Defense-in-Depth:</t>
        </is>
      </c>
    </row>
    <row r="87">
      <c r="A87" s="18" t="inlineStr">
        <is>
          <t xml:space="preserve">  • It's OK (and good!) to have P + S + Su mappings for one requirement</t>
        </is>
      </c>
    </row>
    <row r="88">
      <c r="A88" s="18" t="inlineStr">
        <is>
          <t xml:space="preserve">  • Primary control satisfies, secondary/supporting provide additional assurance</t>
        </is>
      </c>
    </row>
    <row r="89">
      <c r="A89" s="18" t="inlineStr"/>
    </row>
    <row r="90">
      <c r="A90" s="18" t="inlineStr">
        <is>
          <t>Don't Force Mappings:</t>
        </is>
      </c>
    </row>
    <row r="91">
      <c r="A91" s="18" t="inlineStr">
        <is>
          <t xml:space="preserve">  • If control truly doesn't relate to requirement, leave blank</t>
        </is>
      </c>
    </row>
    <row r="92">
      <c r="A92" s="18" t="inlineStr">
        <is>
          <t xml:space="preserve">  • Most cells should be blank - that's normal</t>
        </is>
      </c>
    </row>
    <row r="93">
      <c r="A93" s="18" t="inlineStr"/>
    </row>
    <row r="94">
      <c r="A94" s="18" t="inlineStr">
        <is>
          <t>COLOR CODING:</t>
        </is>
      </c>
    </row>
    <row r="95">
      <c r="A95" s="18" t="inlineStr"/>
    </row>
    <row r="96">
      <c r="A96" s="18" t="inlineStr">
        <is>
          <t>Mapping Cells:</t>
        </is>
      </c>
    </row>
    <row r="97">
      <c r="A97" s="18" t="inlineStr">
        <is>
          <t xml:space="preserve">  • Green background = P (Primary) - Requirement satisfied</t>
        </is>
      </c>
    </row>
    <row r="98">
      <c r="A98" s="18" t="inlineStr">
        <is>
          <t xml:space="preserve">  • Yellow background = S (Secondary) - Partial satisfaction</t>
        </is>
      </c>
    </row>
    <row r="99">
      <c r="A99" s="18" t="inlineStr">
        <is>
          <t xml:space="preserve">  • Light blue background = Su (Supporting) - Indirect support</t>
        </is>
      </c>
    </row>
    <row r="100">
      <c r="A100" s="18" t="inlineStr">
        <is>
          <t xml:space="preserve">  • No color = Blank (not applicable)</t>
        </is>
      </c>
    </row>
    <row r="101">
      <c r="A101" s="18" t="inlineStr"/>
    </row>
    <row r="102">
      <c r="A102" s="18" t="inlineStr">
        <is>
          <t>QUALITY CHECKS:</t>
        </is>
      </c>
    </row>
    <row r="103">
      <c r="A103" s="18" t="inlineStr"/>
    </row>
    <row r="104">
      <c r="A104" s="18" t="inlineStr">
        <is>
          <t>✓ All high-priority requirements have at least one Primary mapping</t>
        </is>
      </c>
    </row>
    <row r="105">
      <c r="A105" s="18" t="inlineStr">
        <is>
          <t>✓ Mapping choices are logical (control actually addresses requirement)</t>
        </is>
      </c>
    </row>
    <row r="106">
      <c r="A106" s="18" t="inlineStr">
        <is>
          <t>✓ Gap Summary reviewed and remediation plan created</t>
        </is>
      </c>
    </row>
    <row r="107">
      <c r="A107" s="18" t="inlineStr">
        <is>
          <t>✓ Gaps documented in Requirements Register (Workbook 3)</t>
        </is>
      </c>
    </row>
    <row r="108">
      <c r="A108" s="18" t="inlineStr">
        <is>
          <t>✓ Evidence collection planned for mapped controls (Workbook 5)</t>
        </is>
      </c>
    </row>
    <row r="109">
      <c r="A109" s="18" t="inlineStr"/>
    </row>
    <row r="110">
      <c r="A110" s="18" t="inlineStr">
        <is>
          <t>COMMON MAPPING EXAMPLES:</t>
        </is>
      </c>
    </row>
    <row r="111">
      <c r="A111" s="18" t="inlineStr"/>
    </row>
    <row r="112">
      <c r="A112" s="18" t="inlineStr">
        <is>
          <t>Encryption Requirements:</t>
        </is>
      </c>
    </row>
    <row r="113">
      <c r="A113" s="18" t="inlineStr">
        <is>
          <t xml:space="preserve">  • Primary: A.8.24 Use of Cryptography</t>
        </is>
      </c>
    </row>
    <row r="114">
      <c r="A114" s="18" t="inlineStr">
        <is>
          <t xml:space="preserve">  • Secondary: A.5.10 Acceptable Use (defines when encryption required)</t>
        </is>
      </c>
    </row>
    <row r="115">
      <c r="A115" s="18" t="inlineStr"/>
    </row>
    <row r="116">
      <c r="A116" s="18" t="inlineStr">
        <is>
          <t>Breach Notification:</t>
        </is>
      </c>
    </row>
    <row r="117">
      <c r="A117" s="18" t="inlineStr">
        <is>
          <t xml:space="preserve">  • Primary: A.5.26 Response to Information Security Incidents</t>
        </is>
      </c>
    </row>
    <row r="118">
      <c r="A118" s="18" t="inlineStr">
        <is>
          <t xml:space="preserve">  • Secondary: A.5.25 Assessment and Decision on Events (detection)</t>
        </is>
      </c>
    </row>
    <row r="119">
      <c r="A119" s="18" t="inlineStr">
        <is>
          <t xml:space="preserve">  • Supporting: A.6.8 Event Reporting (enables detection)</t>
        </is>
      </c>
    </row>
    <row r="120">
      <c r="A120" s="18" t="inlineStr"/>
    </row>
    <row r="121">
      <c r="A121" s="18" t="inlineStr">
        <is>
          <t>Access Control:</t>
        </is>
      </c>
    </row>
    <row r="122">
      <c r="A122" s="18" t="inlineStr">
        <is>
          <t xml:space="preserve">  • Primary: A.5.15 Access Control</t>
        </is>
      </c>
    </row>
    <row r="123">
      <c r="A123" s="18" t="inlineStr">
        <is>
          <t xml:space="preserve">  • Primary: A.5.18 Access Rights</t>
        </is>
      </c>
    </row>
    <row r="124">
      <c r="A124" s="18" t="inlineStr">
        <is>
          <t xml:space="preserve">  • Secondary: A.5.16 Identity Management</t>
        </is>
      </c>
    </row>
    <row r="125">
      <c r="A125" s="18" t="inlineStr">
        <is>
          <t xml:space="preserve">  • Secondary: A.8.2 Privileged Access Rights</t>
        </is>
      </c>
    </row>
    <row r="126">
      <c r="A126" s="18" t="inlineStr">
        <is>
          <t xml:space="preserve">  • Secondary: A.8.3 Information Access Restriction</t>
        </is>
      </c>
    </row>
    <row r="127">
      <c r="A127" s="18" t="inlineStr"/>
    </row>
    <row r="128">
      <c r="A128" s="18" t="inlineStr">
        <is>
          <t>Policies &amp; Governance:</t>
        </is>
      </c>
    </row>
    <row r="129">
      <c r="A129" s="18" t="inlineStr">
        <is>
          <t xml:space="preserve">  • Primary: A.5.1 Policies for Information Security</t>
        </is>
      </c>
    </row>
    <row r="130">
      <c r="A130" s="18" t="inlineStr">
        <is>
          <t xml:space="preserve">  • Supporting: A.5.2 Information Security Roles</t>
        </is>
      </c>
    </row>
    <row r="131">
      <c r="A131" s="18" t="inlineStr">
        <is>
          <t xml:space="preserve">  • Supporting: A.5.4 Management Responsibilities</t>
        </is>
      </c>
    </row>
    <row r="132">
      <c r="A132" s="18" t="inlineStr"/>
    </row>
    <row r="133">
      <c r="A133" s="18" t="inlineStr">
        <is>
          <t>RELATED PROCESSES:</t>
        </is>
      </c>
    </row>
    <row r="134">
      <c r="A134" s="18" t="inlineStr">
        <is>
          <t xml:space="preserve">  • IMP-5.31.3: Requirements Extraction Process (source of requirements)</t>
        </is>
      </c>
    </row>
    <row r="135">
      <c r="A135" s="18" t="inlineStr">
        <is>
          <t xml:space="preserve">  • IMP-5.31.4: Control Mapping Process (how to use this workbook)</t>
        </is>
      </c>
    </row>
    <row r="136">
      <c r="A136" s="18" t="inlineStr">
        <is>
          <t xml:space="preserve">  • IMP-5.31.5: Evidence Management Process (next step after mapping)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2" customWidth="1" min="4" max="4"/>
    <col width="18" customWidth="1" min="5" max="5"/>
    <col width="50" customWidth="1" min="6" max="6"/>
  </cols>
  <sheetData>
    <row r="1" ht="35" customHeight="1">
      <c r="A1" s="10" t="inlineStr">
        <is>
          <t>GAP ANALYSIS SUMMARY</t>
        </is>
      </c>
    </row>
    <row r="2">
      <c r="A2" s="15" t="inlineStr">
        <is>
          <t>Requirement ID</t>
        </is>
      </c>
      <c r="B2" s="15" t="inlineStr">
        <is>
          <t>Requirement Text</t>
        </is>
      </c>
      <c r="C2" s="15" t="inlineStr">
        <is>
          <t>Category</t>
        </is>
      </c>
      <c r="D2" s="15" t="inlineStr">
        <is>
          <t>Priority</t>
        </is>
      </c>
      <c r="E2" s="15" t="inlineStr">
        <is>
          <t>Gap Type</t>
        </is>
      </c>
      <c r="F2" s="15" t="inlineStr">
        <is>
          <t>Notes</t>
        </is>
      </c>
    </row>
    <row r="3">
      <c r="A3" s="19" t="inlineStr">
        <is>
          <t>REG-ISO27001-8.1-001</t>
        </is>
      </c>
      <c r="B3" s="19" t="inlineStr">
        <is>
          <t>Implement Annex A controls</t>
        </is>
      </c>
      <c r="C3" s="19" t="inlineStr">
        <is>
          <t>Technical</t>
        </is>
      </c>
      <c r="D3" s="19" t="inlineStr">
        <is>
          <t>High</t>
        </is>
      </c>
      <c r="E3" s="19" t="inlineStr">
        <is>
          <t>❌ Complete Gap</t>
        </is>
      </c>
      <c r="F3" s="19" t="inlineStr">
        <is>
          <t>This is a meta-requirement covering all 93 controls. Gap analysis shows 28 controls not yet implemented.</t>
        </is>
      </c>
    </row>
  </sheetData>
  <autoFilter ref="A2:F2"/>
  <mergeCells count="1">
    <mergeCell ref="A1:F1"/>
  </mergeCells>
  <dataValidations count="3">
    <dataValidation sqref="C4:C1000" showDropDown="0" showInputMessage="0" showErrorMessage="0" allowBlank="1" type="list">
      <formula1>"Technical,Organisational,Legal/Regulatory,Operational,Physical"</formula1>
    </dataValidation>
    <dataValidation sqref="D4:D1000" showDropDown="0" showInputMessage="0" showErrorMessage="0" allowBlank="1" type="list">
      <formula1>"High,Medium,Low"</formula1>
    </dataValidation>
    <dataValidation sqref="E4:E1000" showDropDown="0" showInputMessage="0" showErrorMessage="0" allowBlank="1" type="list">
      <formula1>"❌ Complete Gap,⚠ Partial Gap,✅ No Gap"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CONTROL MAPPING — SUMMARY DASHBOARD</t>
        </is>
      </c>
      <c r="B1" s="21" t="n"/>
      <c r="C1" s="21" t="n"/>
      <c r="D1" s="21" t="n"/>
      <c r="E1" s="21" t="n"/>
      <c r="F1" s="21" t="n"/>
      <c r="G1" s="21" t="n"/>
    </row>
    <row r="2">
      <c r="A2" s="22" t="inlineStr">
        <is>
          <t>ISO/IEC 27001:2022 — Control A.5.31: Legal, Statutory, Regulatory and Contractual Requirements | Control Mapping</t>
        </is>
      </c>
      <c r="B2" s="21" t="n"/>
      <c r="C2" s="21" t="n"/>
      <c r="D2" s="21" t="n"/>
      <c r="E2" s="21" t="n"/>
      <c r="F2" s="21" t="n"/>
      <c r="G2" s="21" t="n"/>
    </row>
    <row r="4">
      <c r="A4" s="23" t="inlineStr">
        <is>
          <t>TABLE 1: ASSESSMENT AREA COMPLIANCE OVERVIEW</t>
        </is>
      </c>
      <c r="B4" s="21" t="n"/>
      <c r="C4" s="21" t="n"/>
      <c r="D4" s="21" t="n"/>
      <c r="E4" s="21" t="n"/>
      <c r="F4" s="21" t="n"/>
      <c r="G4" s="21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Control Mapping Coverage</t>
        </is>
      </c>
      <c r="B6" s="26">
        <f>COUNTA('Control Mapping Matrix'!A3:A1000)</f>
        <v/>
      </c>
      <c r="C6" s="26">
        <f>B6-COUNTA('Gap Summary'!A4:A1000)</f>
        <v/>
      </c>
      <c r="D6" s="26" t="n">
        <v>0</v>
      </c>
      <c r="E6" s="26">
        <f>COUNTA('Gap Summary'!A4:A1000)</f>
        <v/>
      </c>
      <c r="F6" s="26" t="n">
        <v>0</v>
      </c>
      <c r="G6" s="27">
        <f>IFERROR(IF((B6-F6)=0,0,C6/(B6-F6)),"")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29">
        <f>SUM(F6:F6)</f>
        <v/>
      </c>
      <c r="G7" s="30">
        <f>IFERROR(IF((B7-F7)=0,0,C7/(B7-F7)),"")</f>
        <v/>
      </c>
    </row>
    <row r="9">
      <c r="A9" s="23" t="inlineStr">
        <is>
          <t>TABLE 2: KEY METRICS</t>
        </is>
      </c>
      <c r="B9" s="21" t="n"/>
      <c r="C9" s="21" t="n"/>
      <c r="D9" s="21" t="n"/>
      <c r="E9" s="21" t="n"/>
      <c r="F9" s="21" t="n"/>
      <c r="G9" s="21" t="n"/>
    </row>
    <row r="10">
      <c r="A10" s="24" t="inlineStr">
        <is>
          <t>Metric</t>
        </is>
      </c>
      <c r="B10" s="24" t="inlineStr">
        <is>
          <t>Value</t>
        </is>
      </c>
      <c r="C10" s="24" t="n"/>
      <c r="D10" s="24" t="n"/>
      <c r="E10" s="24" t="n"/>
      <c r="F10" s="24" t="n"/>
      <c r="G10" s="24" t="n"/>
    </row>
    <row r="11">
      <c r="A11" s="25" t="inlineStr">
        <is>
          <t>Total requirements in scope</t>
        </is>
      </c>
      <c r="B11" s="26">
        <f>COUNTA('Control Mapping Matrix'!A3:A1000)</f>
        <v/>
      </c>
      <c r="C11" s="21" t="n"/>
      <c r="D11" s="21" t="n"/>
      <c r="E11" s="21" t="n"/>
      <c r="F11" s="21" t="n"/>
      <c r="G11" s="21" t="n"/>
    </row>
    <row r="12">
      <c r="A12" s="25" t="inlineStr">
        <is>
          <t>Requirements with Primary control mapped</t>
        </is>
      </c>
      <c r="B12" s="26">
        <f>B6-COUNTA('Gap Summary'!A4:A1000)</f>
        <v/>
      </c>
      <c r="C12" s="21" t="n"/>
      <c r="D12" s="21" t="n"/>
      <c r="E12" s="21" t="n"/>
      <c r="F12" s="21" t="n"/>
      <c r="G12" s="21" t="n"/>
    </row>
    <row r="13">
      <c r="A13" s="25" t="inlineStr">
        <is>
          <t>Requirements in gap analysis</t>
        </is>
      </c>
      <c r="B13" s="26">
        <f>COUNTA('Gap Summary'!A4:A1000)</f>
        <v/>
      </c>
      <c r="C13" s="21" t="n"/>
      <c r="D13" s="21" t="n"/>
      <c r="E13" s="21" t="n"/>
      <c r="F13" s="21" t="n"/>
      <c r="G13" s="21" t="n"/>
    </row>
    <row r="14">
      <c r="A14" s="25" t="inlineStr">
        <is>
          <t>Total ISO 27001 controls referenced</t>
        </is>
      </c>
      <c r="B14" s="26">
        <f>COUNTA('ISO27001 Controls Reference'!A3:A1000)</f>
        <v/>
      </c>
      <c r="C14" s="21" t="n"/>
      <c r="D14" s="21" t="n"/>
      <c r="E14" s="21" t="n"/>
      <c r="F14" s="21" t="n"/>
      <c r="G14" s="21" t="n"/>
    </row>
    <row r="16">
      <c r="A16" s="31" t="inlineStr">
        <is>
          <t>TABLE 3: CRITICAL FINDINGS REQUIRING IMMEDIATE ATTENTION</t>
        </is>
      </c>
      <c r="B16" s="21" t="n"/>
      <c r="C16" s="21" t="n"/>
      <c r="D16" s="21" t="n"/>
      <c r="E16" s="21" t="n"/>
      <c r="F16" s="21" t="n"/>
      <c r="G16" s="21" t="n"/>
    </row>
    <row r="17">
      <c r="A17" s="24" t="inlineStr">
        <is>
          <t>Finding</t>
        </is>
      </c>
      <c r="B17" s="24" t="inlineStr">
        <is>
          <t>Count</t>
        </is>
      </c>
      <c r="C17" s="24" t="inlineStr">
        <is>
          <t>Action Required</t>
        </is>
      </c>
      <c r="D17" s="21" t="n"/>
      <c r="E17" s="21" t="n"/>
      <c r="F17" s="21" t="n"/>
      <c r="G17" s="21" t="n"/>
    </row>
    <row r="18">
      <c r="A18" s="32" t="inlineStr">
        <is>
          <t>Requirements in gap analysis (no adequate control)</t>
        </is>
      </c>
      <c r="B18" s="33">
        <f>COUNTA('Gap Summary'!A4:A1000)</f>
        <v/>
      </c>
      <c r="C18" s="32" t="inlineStr">
        <is>
          <t>Review Gap Summary sheet — implement controls or accept risk for each gap item</t>
        </is>
      </c>
      <c r="D18" s="21" t="n"/>
      <c r="E18" s="21" t="n"/>
      <c r="F18" s="21" t="n"/>
      <c r="G18" s="21" t="n"/>
    </row>
    <row r="19">
      <c r="A19" s="32" t="inlineStr">
        <is>
          <t>Total requirements not yet mapped</t>
        </is>
      </c>
      <c r="B19" s="33">
        <f>COUNTA('Control Mapping Matrix'!A3:A1000)-COUNTA('Mapping Guidelines'!A3:A1000)</f>
        <v/>
      </c>
      <c r="C19" s="32" t="inlineStr">
        <is>
          <t>Complete control mapping for all extracted requirements before gap analysis</t>
        </is>
      </c>
      <c r="D19" s="21" t="n"/>
      <c r="E19" s="21" t="n"/>
      <c r="F19" s="21" t="n"/>
      <c r="G19" s="21" t="n"/>
    </row>
    <row r="20">
      <c r="A20" s="34" t="n"/>
      <c r="B20" s="34" t="n"/>
      <c r="C20" s="34" t="n"/>
      <c r="D20" s="34" t="n"/>
      <c r="E20" s="34" t="n"/>
      <c r="F20" s="34" t="n"/>
      <c r="G20" s="34" t="n"/>
    </row>
    <row r="21">
      <c r="A21" s="34" t="n"/>
      <c r="B21" s="34" t="n"/>
      <c r="C21" s="34" t="n"/>
      <c r="D21" s="34" t="n"/>
      <c r="E21" s="34" t="n"/>
      <c r="F21" s="34" t="n"/>
      <c r="G21" s="34" t="n"/>
    </row>
    <row r="23">
      <c r="A23" s="3" t="inlineStr">
        <is>
          <t>FINAL DECISION:</t>
        </is>
      </c>
      <c r="B23" s="34" t="n"/>
      <c r="C23" s="21" t="n"/>
      <c r="D23" s="21" t="n"/>
      <c r="E23" s="21" t="n"/>
      <c r="F23" s="21" t="n"/>
      <c r="G23" s="21" t="n"/>
    </row>
    <row r="26">
      <c r="A26" s="35" t="inlineStr">
        <is>
          <t>NEXT REVIEW DETAILS</t>
        </is>
      </c>
      <c r="B26" s="21" t="n"/>
      <c r="C26" s="21" t="n"/>
      <c r="D26" s="21" t="n"/>
      <c r="E26" s="21" t="n"/>
      <c r="F26" s="21" t="n"/>
      <c r="G26" s="21" t="n"/>
    </row>
    <row r="27">
      <c r="A27" s="3" t="inlineStr">
        <is>
          <t>Next Review Date:</t>
        </is>
      </c>
      <c r="B27" s="34" t="n"/>
      <c r="C27" s="21" t="n"/>
      <c r="D27" s="21" t="n"/>
      <c r="E27" s="21" t="n"/>
      <c r="F27" s="21" t="n"/>
      <c r="G27" s="21" t="n"/>
    </row>
    <row r="28">
      <c r="A28" s="3" t="inlineStr">
        <is>
          <t>Review Responsible:</t>
        </is>
      </c>
      <c r="B28" s="34" t="n"/>
      <c r="C28" s="21" t="n"/>
      <c r="D28" s="21" t="n"/>
      <c r="E28" s="21" t="n"/>
      <c r="F28" s="21" t="n"/>
      <c r="G28" s="21" t="n"/>
    </row>
    <row r="29">
      <c r="A29" s="3" t="inlineStr">
        <is>
          <t>Special Considerations:</t>
        </is>
      </c>
      <c r="B29" s="34" t="n"/>
      <c r="C29" s="21" t="n"/>
      <c r="D29" s="21" t="n"/>
      <c r="E29" s="21" t="n"/>
      <c r="F29" s="21" t="n"/>
      <c r="G29" s="21" t="n"/>
    </row>
  </sheetData>
  <mergeCells count="13">
    <mergeCell ref="A1:G1"/>
    <mergeCell ref="B28:G28"/>
    <mergeCell ref="A9:G9"/>
    <mergeCell ref="B23:G23"/>
    <mergeCell ref="B27:G27"/>
    <mergeCell ref="A4:G4"/>
    <mergeCell ref="A26:G26"/>
    <mergeCell ref="C19:G19"/>
    <mergeCell ref="A16:G16"/>
    <mergeCell ref="A2:G2"/>
    <mergeCell ref="C18:G18"/>
    <mergeCell ref="B29:G29"/>
    <mergeCell ref="C17:G17"/>
  </mergeCells>
  <dataValidations count="1">
    <dataValidation sqref="B2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6" t="inlineStr">
        <is>
          <t>ASSESSMENT APPROVAL AND SIGN-OFF</t>
        </is>
      </c>
      <c r="B1" s="6" t="n"/>
      <c r="C1" s="6" t="n"/>
      <c r="D1" s="6" t="n"/>
      <c r="E1" s="6" t="n"/>
    </row>
    <row r="2">
      <c r="A2" s="37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ISMS-IMP-A.5.31.4 - Control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39" t="inlineStr"/>
      <c r="C5" s="6" t="n"/>
      <c r="D5" s="6" t="n"/>
      <c r="E5" s="6" t="n"/>
    </row>
    <row r="6">
      <c r="A6" s="3" t="inlineStr">
        <is>
          <t>Overall Compliance Rating:</t>
        </is>
      </c>
      <c r="B6" s="40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9" t="inlineStr"/>
      <c r="C7" s="6" t="n"/>
      <c r="D7" s="6" t="n"/>
      <c r="E7" s="6" t="n"/>
    </row>
    <row r="8">
      <c r="A8" s="3" t="inlineStr">
        <is>
          <t>Assessed By:</t>
        </is>
      </c>
      <c r="B8" s="39" t="inlineStr"/>
      <c r="C8" s="6" t="n"/>
      <c r="D8" s="6" t="n"/>
      <c r="E8" s="6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9" t="n"/>
      <c r="C12" s="6" t="n"/>
      <c r="D12" s="6" t="n"/>
      <c r="E12" s="6" t="n"/>
    </row>
    <row r="13">
      <c r="A13" s="3" t="inlineStr">
        <is>
          <t>Title:</t>
        </is>
      </c>
      <c r="B13" s="39" t="n"/>
      <c r="C13" s="6" t="n"/>
      <c r="D13" s="6" t="n"/>
      <c r="E13" s="6" t="n"/>
    </row>
    <row r="14">
      <c r="A14" s="3" t="inlineStr">
        <is>
          <t>Date:</t>
        </is>
      </c>
      <c r="B14" s="39" t="n"/>
      <c r="C14" s="6" t="n"/>
      <c r="D14" s="6" t="n"/>
      <c r="E14" s="6" t="n"/>
    </row>
    <row r="15">
      <c r="A15" s="3" t="inlineStr">
        <is>
          <t>Signature:</t>
        </is>
      </c>
      <c r="B15" s="39" t="n"/>
      <c r="C15" s="6" t="n"/>
      <c r="D15" s="6" t="n"/>
      <c r="E15" s="6" t="n"/>
    </row>
    <row r="16">
      <c r="A16" s="3" t="inlineStr">
        <is>
          <t>Comments:</t>
        </is>
      </c>
      <c r="B16" s="39" t="n"/>
      <c r="C16" s="6" t="n"/>
      <c r="D16" s="6" t="n"/>
      <c r="E16" s="6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9" t="n"/>
      <c r="C19" s="6" t="n"/>
      <c r="D19" s="6" t="n"/>
      <c r="E19" s="6" t="n"/>
    </row>
    <row r="20">
      <c r="A20" s="3" t="inlineStr">
        <is>
          <t>Title:</t>
        </is>
      </c>
      <c r="B20" s="39" t="n"/>
      <c r="C20" s="6" t="n"/>
      <c r="D20" s="6" t="n"/>
      <c r="E20" s="6" t="n"/>
    </row>
    <row r="21">
      <c r="A21" s="3" t="inlineStr">
        <is>
          <t>Date:</t>
        </is>
      </c>
      <c r="B21" s="39" t="n"/>
      <c r="C21" s="6" t="n"/>
      <c r="D21" s="6" t="n"/>
      <c r="E21" s="6" t="n"/>
    </row>
    <row r="22">
      <c r="A22" s="3" t="inlineStr">
        <is>
          <t>Signature:</t>
        </is>
      </c>
      <c r="B22" s="39" t="n"/>
      <c r="C22" s="6" t="n"/>
      <c r="D22" s="6" t="n"/>
      <c r="E22" s="6" t="n"/>
    </row>
    <row r="23">
      <c r="A23" s="3" t="inlineStr">
        <is>
          <t>Comments:</t>
        </is>
      </c>
      <c r="B23" s="39" t="n"/>
      <c r="C23" s="6" t="n"/>
      <c r="D23" s="6" t="n"/>
      <c r="E23" s="6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9" t="n"/>
      <c r="C26" s="6" t="n"/>
      <c r="D26" s="6" t="n"/>
      <c r="E26" s="6" t="n"/>
    </row>
    <row r="27">
      <c r="A27" s="3" t="inlineStr">
        <is>
          <t>Title:</t>
        </is>
      </c>
      <c r="B27" s="39" t="n"/>
      <c r="C27" s="6" t="n"/>
      <c r="D27" s="6" t="n"/>
      <c r="E27" s="6" t="n"/>
    </row>
    <row r="28">
      <c r="A28" s="3" t="inlineStr">
        <is>
          <t>Date:</t>
        </is>
      </c>
      <c r="B28" s="39" t="n"/>
      <c r="C28" s="6" t="n"/>
      <c r="D28" s="6" t="n"/>
      <c r="E28" s="6" t="n"/>
    </row>
    <row r="29">
      <c r="A29" s="3" t="inlineStr">
        <is>
          <t>Signature:</t>
        </is>
      </c>
      <c r="B29" s="39" t="n"/>
      <c r="C29" s="6" t="n"/>
      <c r="D29" s="6" t="n"/>
      <c r="E29" s="6" t="n"/>
    </row>
    <row r="30">
      <c r="A30" s="3" t="inlineStr">
        <is>
          <t>Comments:</t>
        </is>
      </c>
      <c r="B30" s="39" t="n"/>
      <c r="C30" s="6" t="n"/>
      <c r="D30" s="6" t="n"/>
      <c r="E30" s="6" t="n"/>
    </row>
    <row r="32">
      <c r="A32" s="3" t="inlineStr">
        <is>
          <t>FINAL DECISION:</t>
        </is>
      </c>
      <c r="B32" s="39" t="n"/>
      <c r="C32" s="6" t="n"/>
      <c r="D32" s="6" t="n"/>
      <c r="E32" s="6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9" t="n"/>
      <c r="C36" s="6" t="n"/>
      <c r="D36" s="6" t="n"/>
      <c r="E36" s="6" t="n"/>
    </row>
    <row r="37">
      <c r="A37" s="3" t="inlineStr">
        <is>
          <t>Review Responsible:</t>
        </is>
      </c>
      <c r="B37" s="39" t="n"/>
      <c r="C37" s="6" t="n"/>
      <c r="D37" s="6" t="n"/>
      <c r="E37" s="6" t="n"/>
    </row>
    <row r="38">
      <c r="A38" s="3" t="inlineStr">
        <is>
          <t>Special Considerations:</t>
        </is>
      </c>
      <c r="B38" s="39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ISMS-IMP-A.5.31.4 — Control Mapping</dc:title>
  <dc:description xmlns:dc="http://purl.org/dc/elements/1.1/">ISMS Implementation Workbook — ISMS-IMP-A.5.31.4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2026-03-02T20:09:48Z</dcterms:created>
  <dcterms:modified xmlns:dcterms="http://purl.org/dc/terms/" xmlns:xsi="http://www.w3.org/2001/XMLSchema-instance" xsi:type="dcterms:W3CDTF">2026-03-02T20:09:48Z</dcterms:modified>
</cp:coreProperties>
</file>