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quirements Register" sheetId="2" state="visible" r:id="rId2"/>
    <sheet xmlns:r="http://schemas.openxmlformats.org/officeDocument/2006/relationships" name="Summary Dashboard" sheetId="3" state="visible" r:id="rId3"/>
    <sheet xmlns:r="http://schemas.openxmlformats.org/officeDocument/2006/relationships" name="Approval Sign-Off" sheetId="4" state="visible" r:id="rId4"/>
    <sheet xmlns:r="http://schemas.openxmlformats.org/officeDocument/2006/relationships" name="Extraction Worksheet" sheetId="5" state="visible" r:id="rId5"/>
  </sheets>
  <definedNames>
    <definedName name="_xlnm._FilterDatabase" localSheetId="1" hidden="1">'Requirements Register'!$A$2:$R$2</definedName>
    <definedName name="_xlnm._FilterDatabase" localSheetId="4" hidden="1">'Extraction Worksheet'!$A$2:$I$2</definedName>
  </definedNames>
  <calcPr calcId="124519" fullCalcOnLoad="1"/>
</workbook>
</file>

<file path=xl/styles.xml><?xml version="1.0" encoding="utf-8"?>
<styleSheet xmlns="http://schemas.openxmlformats.org/spreadsheetml/2006/main">
  <numFmts count="3">
    <numFmt numFmtId="164" formatCode="yyyy-mm-dd h:mm:ss"/>
    <numFmt numFmtId="165" formatCode="DD.MM.YYYY"/>
    <numFmt numFmtId="166" formatCode="0.0%"/>
  </numFmts>
  <fonts count="12">
    <font>
      <name val="Calibri"/>
      <family val="2"/>
      <color theme="1"/>
      <sz val="11"/>
      <scheme val="minor"/>
    </font>
    <font>
      <name val="Calibri"/>
      <b val="1"/>
      <color rgb="00FFFFFF"/>
      <sz val="14"/>
    </font>
    <font>
      <name val="Calibri"/>
      <b val="1"/>
      <color rgb="00FFFFFF"/>
      <sz val="11"/>
    </font>
    <font>
      <name val="Calibri"/>
      <sz val="10"/>
    </font>
    <font>
      <name val="Calibri"/>
      <b val="1"/>
      <sz val="12"/>
    </font>
    <font>
      <name val="Calibri"/>
      <b val="1"/>
    </font>
    <font>
      <name val="Calibri"/>
      <b val="1"/>
      <sz val="10"/>
    </font>
    <font>
      <name val="Calibri"/>
      <i val="1"/>
      <color rgb="00003366"/>
      <sz val="10"/>
    </font>
    <font>
      <name val="Calibri"/>
      <b val="1"/>
      <color rgb="00000000"/>
      <sz val="10"/>
    </font>
    <font>
      <name val="Calibri"/>
      <color rgb="00000000"/>
      <sz val="10"/>
    </font>
    <font>
      <b val="1"/>
      <color rgb="00FFFFFF"/>
      <sz val="10"/>
    </font>
    <font>
      <sz val="9"/>
    </font>
  </fonts>
  <fills count="13">
    <fill>
      <patternFill/>
    </fill>
    <fill>
      <patternFill patternType="gray125"/>
    </fill>
    <fill>
      <patternFill patternType="solid">
        <fgColor rgb="00003366"/>
        <bgColor rgb="00003366"/>
      </patternFill>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D9D9"/>
        <bgColor rgb="00D9D9D9"/>
      </patternFill>
    </fill>
    <fill>
      <patternFill patternType="solid">
        <fgColor rgb="00C00000"/>
        <bgColor rgb="00C00000"/>
      </patternFill>
    </fill>
    <fill>
      <patternFill patternType="solid">
        <fgColor rgb="00FFFFCC"/>
        <bgColor rgb="00FFFFCC"/>
      </patternFill>
    </fill>
    <fill>
      <patternFill patternType="solid">
        <fgColor rgb="004472C4"/>
        <bgColor rgb="004472C4"/>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1">
    <xf numFmtId="0" fontId="0" fillId="0" borderId="0" pivotButton="0" quotePrefix="0" xfId="0"/>
    <xf numFmtId="0" fontId="1" fillId="3" borderId="0" applyAlignment="1" pivotButton="0" quotePrefix="0" xfId="0">
      <alignment horizontal="center" vertical="center" wrapText="1"/>
    </xf>
    <xf numFmtId="0" fontId="4" fillId="0" borderId="0" pivotButton="0" quotePrefix="0" xfId="0"/>
    <xf numFmtId="0" fontId="5" fillId="0" borderId="0" pivotButton="0" quotePrefix="0" xfId="0"/>
    <xf numFmtId="0" fontId="0" fillId="4" borderId="1" pivotButton="0" quotePrefix="0" xfId="0"/>
    <xf numFmtId="0" fontId="6" fillId="5" borderId="1" applyAlignment="1" pivotButton="0" quotePrefix="0" xfId="0">
      <alignment horizontal="center" vertical="center" wrapText="1"/>
    </xf>
    <xf numFmtId="0" fontId="0" fillId="0" borderId="1" pivotButton="0" quotePrefix="0" xfId="0"/>
    <xf numFmtId="0" fontId="0" fillId="6" borderId="1" applyAlignment="1" pivotButton="0" quotePrefix="0" xfId="0">
      <alignment horizontal="left" vertical="center" wrapText="1"/>
    </xf>
    <xf numFmtId="0" fontId="0" fillId="0" borderId="1" applyAlignment="1" pivotButton="0" quotePrefix="0" xfId="0">
      <alignment horizontal="left" vertical="center" wrapText="1"/>
    </xf>
    <xf numFmtId="0" fontId="0" fillId="7" borderId="1" applyAlignment="1" pivotButton="0" quotePrefix="0" xfId="0">
      <alignment horizontal="left" vertical="center" wrapText="1"/>
    </xf>
    <xf numFmtId="0" fontId="0" fillId="8" borderId="1" applyAlignment="1" pivotButton="0" quotePrefix="0" xfId="0">
      <alignment horizontal="left" vertical="center" wrapText="1"/>
    </xf>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165" fontId="3" fillId="0" borderId="1" applyAlignment="1" pivotButton="0" quotePrefix="0" xfId="0">
      <alignment horizontal="center" vertical="center"/>
    </xf>
    <xf numFmtId="0" fontId="1" fillId="2" borderId="2" applyAlignment="1" pivotButton="0" quotePrefix="0" xfId="0">
      <alignment horizontal="center" vertical="center" wrapText="1"/>
    </xf>
    <xf numFmtId="0" fontId="0" fillId="0" borderId="2" pivotButton="0" quotePrefix="0" xfId="0"/>
    <xf numFmtId="0" fontId="7" fillId="0" borderId="2" applyAlignment="1" pivotButton="0" quotePrefix="0" xfId="0">
      <alignment horizontal="left" vertical="center"/>
    </xf>
    <xf numFmtId="0" fontId="2" fillId="2" borderId="2" applyAlignment="1" pivotButton="0" quotePrefix="0" xfId="0">
      <alignment horizontal="left" vertical="center"/>
    </xf>
    <xf numFmtId="0" fontId="8" fillId="9" borderId="2" applyAlignment="1" pivotButton="0" quotePrefix="0" xfId="0">
      <alignment horizontal="center" vertical="center" wrapText="1"/>
    </xf>
    <xf numFmtId="0" fontId="9" fillId="0" borderId="2" applyAlignment="1" pivotButton="0" quotePrefix="0" xfId="0">
      <alignment horizontal="left" vertical="center" wrapText="1"/>
    </xf>
    <xf numFmtId="0" fontId="9" fillId="0" borderId="2" applyAlignment="1" pivotButton="0" quotePrefix="0" xfId="0">
      <alignment horizontal="center"/>
    </xf>
    <xf numFmtId="166" fontId="9" fillId="0" borderId="2" applyAlignment="1" pivotButton="0" quotePrefix="0" xfId="0">
      <alignment horizontal="center"/>
    </xf>
    <xf numFmtId="0" fontId="8" fillId="9" borderId="2" applyAlignment="1" pivotButton="0" quotePrefix="0" xfId="0">
      <alignment horizontal="left" vertical="center" wrapText="1"/>
    </xf>
    <xf numFmtId="0" fontId="8" fillId="9" borderId="2" applyAlignment="1" pivotButton="0" quotePrefix="0" xfId="0">
      <alignment horizontal="center"/>
    </xf>
    <xf numFmtId="166" fontId="8" fillId="9" borderId="2" applyAlignment="1" pivotButton="0" quotePrefix="0" xfId="0">
      <alignment horizontal="center"/>
    </xf>
    <xf numFmtId="0" fontId="2" fillId="10" borderId="2" applyAlignment="1" pivotButton="0" quotePrefix="0" xfId="0">
      <alignment horizontal="left" vertical="center"/>
    </xf>
    <xf numFmtId="0" fontId="9" fillId="11" borderId="2" applyAlignment="1" pivotButton="0" quotePrefix="0" xfId="0">
      <alignment horizontal="left" vertical="center" wrapText="1"/>
    </xf>
    <xf numFmtId="0" fontId="9" fillId="11" borderId="2" applyAlignment="1" pivotButton="0" quotePrefix="0" xfId="0">
      <alignment horizontal="center"/>
    </xf>
    <xf numFmtId="0" fontId="0" fillId="11" borderId="2" pivotButton="0" quotePrefix="0" xfId="0"/>
    <xf numFmtId="0" fontId="2" fillId="12" borderId="2" pivotButton="0" quotePrefix="0" xfId="0"/>
    <xf numFmtId="0" fontId="1" fillId="2" borderId="1" applyAlignment="1" pivotButton="0" quotePrefix="0" xfId="0">
      <alignment horizontal="center" vertical="center" wrapText="1"/>
    </xf>
    <xf numFmtId="0" fontId="7" fillId="0" borderId="1" applyAlignment="1" pivotButton="0" quotePrefix="0" xfId="0">
      <alignment horizontal="center" vertical="center"/>
    </xf>
    <xf numFmtId="0" fontId="2" fillId="12" borderId="1" pivotButton="0" quotePrefix="0" xfId="0"/>
    <xf numFmtId="0" fontId="0" fillId="11" borderId="1" pivotButton="0" quotePrefix="0" xfId="0"/>
    <xf numFmtId="166" fontId="0" fillId="0" borderId="1" pivotButton="0" quotePrefix="0" xfId="0"/>
    <xf numFmtId="0" fontId="2" fillId="2" borderId="1" pivotButton="0" quotePrefix="0" xfId="0"/>
    <xf numFmtId="0" fontId="10" fillId="2" borderId="0"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1" applyAlignment="1" pivotButton="0" quotePrefix="0" xfId="0">
      <alignment horizontal="left" vertical="center" wrapText="1"/>
    </xf>
  </cellXfs>
  <cellStyles count="1">
    <cellStyle name="Normal" xfId="0" builtinId="0" hidden="0"/>
  </cellStyles>
  <dxfs count="5">
    <dxf>
      <fill>
        <patternFill patternType="solid">
          <fgColor rgb="00FFC7CE"/>
          <bgColor rgb="00FFC7CE"/>
        </patternFill>
      </fill>
    </dxf>
    <dxf>
      <fill>
        <patternFill patternType="solid">
          <fgColor rgb="00FFFFCC"/>
          <bgColor rgb="00FFFFCC"/>
        </patternFill>
      </fill>
    </dxf>
    <dxf>
      <fill>
        <patternFill patternType="solid">
          <fgColor rgb="00C6EFCE"/>
          <bgColor rgb="00C6EFCE"/>
        </patternFill>
      </fill>
    </dxf>
    <dxf>
      <fill>
        <patternFill patternType="solid">
          <fgColor rgb="00D9D9D9"/>
          <bgColor rgb="00D9D9D9"/>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ISMS-IMP-A.5.31.3  -  Requirements Register
ISO/IEC 27001:2022 - Control A.5.31: Legal, Statutory, Regulatory and Contractual Requirements</t>
        </is>
      </c>
    </row>
    <row r="3">
      <c r="A3" s="2" t="inlineStr">
        <is>
          <t>Document Information</t>
        </is>
      </c>
    </row>
    <row r="4">
      <c r="A4" s="3" t="inlineStr">
        <is>
          <t>Document ID</t>
        </is>
      </c>
      <c r="B4" t="inlineStr">
        <is>
          <t>ISMS-IMP-A.5.31.3</t>
        </is>
      </c>
    </row>
    <row r="5">
      <c r="A5" s="3" t="inlineStr">
        <is>
          <t>Workbook Title</t>
        </is>
      </c>
      <c r="B5" t="inlineStr">
        <is>
          <t>Requirements Register</t>
        </is>
      </c>
    </row>
    <row r="6">
      <c r="A6" s="3" t="inlineStr">
        <is>
          <t>Control Reference</t>
        </is>
      </c>
      <c r="B6" t="inlineStr">
        <is>
          <t>ISO/IEC 27001:2022 - Control A.5.31: Legal, Statutory, Regulatory and Contractual Requirements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Requirements Register — extract specific obligations from each regulation.</t>
        </is>
      </c>
    </row>
    <row r="14">
      <c r="A14" t="inlineStr">
        <is>
          <t>2. Use the Extraction Worksheet to review regulations article by article.</t>
        </is>
      </c>
    </row>
    <row r="15">
      <c r="A15" t="inlineStr">
        <is>
          <t>3. Map each requirement to the responsible control owner and business process.</t>
        </is>
      </c>
    </row>
    <row r="16">
      <c r="A16" t="inlineStr">
        <is>
          <t>4. Document compliance status (Compliant, Partial, Non-Compliant) with evidence references.</t>
        </is>
      </c>
    </row>
    <row r="17">
      <c r="A17" t="inlineStr">
        <is>
          <t>5. Identify gaps and create remediation items for non-compliant requirements.</t>
        </is>
      </c>
    </row>
    <row r="18">
      <c r="A18" t="inlineStr">
        <is>
          <t>6. Maintain the Evidence Register with requirement source documents and assessments.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35" customWidth="1" min="3" max="3"/>
    <col width="20" customWidth="1" min="4" max="4"/>
    <col width="50" customWidth="1" min="5" max="5"/>
    <col width="50" customWidth="1" min="6" max="6"/>
    <col width="18" customWidth="1" min="7" max="7"/>
    <col width="15" customWidth="1" min="8" max="8"/>
    <col width="18" customWidth="1" min="9" max="9"/>
    <col width="20" customWidth="1" min="10" max="10"/>
    <col width="25" customWidth="1" min="11" max="11"/>
    <col width="18" customWidth="1" min="12" max="12"/>
    <col width="20" customWidth="1" min="13" max="13"/>
    <col width="40" customWidth="1" min="14" max="14"/>
    <col width="25" customWidth="1" min="15" max="15"/>
    <col width="25" customWidth="1" min="16" max="16"/>
    <col width="25" customWidth="1" min="17" max="17"/>
    <col width="15" customWidth="1" min="18" max="18"/>
  </cols>
  <sheetData>
    <row r="1" ht="35" customHeight="1">
      <c r="A1" s="11" t="inlineStr">
        <is>
          <t>REQUIREMENTS REGISTER</t>
        </is>
      </c>
    </row>
    <row r="2">
      <c r="A2" s="12" t="inlineStr">
        <is>
          <t>Requirement ID</t>
        </is>
      </c>
      <c r="B2" s="12" t="inlineStr">
        <is>
          <t>Regulation ID</t>
        </is>
      </c>
      <c r="C2" s="12" t="inlineStr">
        <is>
          <t>Regulation Name</t>
        </is>
      </c>
      <c r="D2" s="12" t="inlineStr">
        <is>
          <t>Citation</t>
        </is>
      </c>
      <c r="E2" s="12" t="inlineStr">
        <is>
          <t>Original Requirement Text</t>
        </is>
      </c>
      <c r="F2" s="12" t="inlineStr">
        <is>
          <t>Interpreted Requirement</t>
        </is>
      </c>
      <c r="G2" s="12" t="inlineStr">
        <is>
          <t>Category</t>
        </is>
      </c>
      <c r="H2" s="12" t="inlineStr">
        <is>
          <t>Priority</t>
        </is>
      </c>
      <c r="I2" s="12" t="inlineStr">
        <is>
          <t>Implementation Deadline</t>
        </is>
      </c>
      <c r="J2" s="12" t="inlineStr">
        <is>
          <t>Implementation Status</t>
        </is>
      </c>
      <c r="K2" s="12" t="inlineStr">
        <is>
          <t>Mapped Controls</t>
        </is>
      </c>
      <c r="L2" s="12" t="inlineStr">
        <is>
          <t>Gap Status</t>
        </is>
      </c>
      <c r="M2" s="12" t="inlineStr">
        <is>
          <t>Responsible Party</t>
        </is>
      </c>
      <c r="N2" s="12" t="inlineStr">
        <is>
          <t>Notes</t>
        </is>
      </c>
      <c r="O2" s="12" t="inlineStr">
        <is>
          <t>Extracted By</t>
        </is>
      </c>
      <c r="P2" s="12" t="inlineStr">
        <is>
          <t>Reviewed By</t>
        </is>
      </c>
      <c r="Q2" s="12" t="inlineStr">
        <is>
          <t>Approved By</t>
        </is>
      </c>
      <c r="R2" s="12" t="inlineStr">
        <is>
          <t>Last Updated</t>
        </is>
      </c>
    </row>
    <row r="3">
      <c r="A3" s="13" t="inlineStr">
        <is>
          <t>REG-GDPR-32-001</t>
        </is>
      </c>
      <c r="B3" s="13" t="inlineStr">
        <is>
          <t>REG-EU-001</t>
        </is>
      </c>
      <c r="C3" s="13" t="inlineStr">
        <is>
          <t>GDPR</t>
        </is>
      </c>
      <c r="D3" s="13" t="inlineStr">
        <is>
          <t>Article 32(1)(a)</t>
        </is>
      </c>
      <c r="E3" s="13" t="inlineStr">
        <is>
          <t>The controller and the processor shall implement appropriate technical and organisational measures to ensure a level of security appropriate to the risk, including inter alia as appropriate: (a) the pseudonymisation and encryption of personal data</t>
        </is>
      </c>
      <c r="F3" s="13" t="inlineStr">
        <is>
          <t>Implement encryption for personal data at rest and in transit where appropriate based on risk assessment</t>
        </is>
      </c>
      <c r="G3" s="13" t="inlineStr">
        <is>
          <t>Technical</t>
        </is>
      </c>
      <c r="H3" s="14" t="inlineStr">
        <is>
          <t>High</t>
        </is>
      </c>
      <c r="I3" s="15" t="n">
        <v>45809</v>
      </c>
      <c r="J3" s="14" t="inlineStr">
        <is>
          <t>⏳ In Progress</t>
        </is>
      </c>
      <c r="K3" s="13" t="inlineStr">
        <is>
          <t>A.8.24, A.5.10</t>
        </is>
      </c>
      <c r="L3" s="14" t="inlineStr">
        <is>
          <t>⚠ Partial Gap</t>
        </is>
      </c>
      <c r="M3" s="13" t="inlineStr">
        <is>
          <t>CISO</t>
        </is>
      </c>
      <c r="N3" s="13" t="inlineStr">
        <is>
          <t>Encryption in transit complete (TLS 1.3). Database encryption in progress (Q1 2025).</t>
        </is>
      </c>
      <c r="O3" s="13" t="inlineStr">
        <is>
          <t>Compliance Analyst / 2024-11-15</t>
        </is>
      </c>
      <c r="P3" s="13" t="inlineStr">
        <is>
          <t>Legal Counsel / 2024-11-20</t>
        </is>
      </c>
      <c r="Q3" s="13" t="inlineStr">
        <is>
          <t>Compliance Officer / 2024-11-22</t>
        </is>
      </c>
      <c r="R3" s="15" t="n">
        <v>46082.50844681912</v>
      </c>
    </row>
    <row r="4">
      <c r="A4" s="13" t="inlineStr">
        <is>
          <t>REG-GDPR-33-001</t>
        </is>
      </c>
      <c r="B4" s="13" t="inlineStr">
        <is>
          <t>REG-EU-001</t>
        </is>
      </c>
      <c r="C4" s="13" t="inlineStr">
        <is>
          <t>GDPR</t>
        </is>
      </c>
      <c r="D4" s="13" t="inlineStr">
        <is>
          <t>Article 33(1)</t>
        </is>
      </c>
      <c r="E4" s="13" t="inlineStr">
        <is>
          <t>In the case of a personal data breach, the controller shall without undue delay and, where feasible, not later than 72 hours after having become aware of it, notify the personal data breach to the supervisory authority</t>
        </is>
      </c>
      <c r="F4" s="13" t="inlineStr">
        <is>
          <t>Notify data protection authority within 72 hours of becoming aware of personal data breach</t>
        </is>
      </c>
      <c r="G4" s="13" t="inlineStr">
        <is>
          <t>Reporting</t>
        </is>
      </c>
      <c r="H4" s="14" t="inlineStr">
        <is>
          <t>High</t>
        </is>
      </c>
      <c r="I4" s="15" t="n">
        <v>45717</v>
      </c>
      <c r="J4" s="14" t="inlineStr">
        <is>
          <t>➖ Not Started</t>
        </is>
      </c>
      <c r="K4" s="13" t="inlineStr">
        <is>
          <t>A.5.26, A.5.25</t>
        </is>
      </c>
      <c r="L4" s="14" t="inlineStr">
        <is>
          <t>❌ Complete Gap</t>
        </is>
      </c>
      <c r="M4" s="13" t="inlineStr">
        <is>
          <t>Incident Response Lead</t>
        </is>
      </c>
      <c r="N4" s="13" t="inlineStr">
        <is>
          <t>Requires incident response procedure update and SIEM alerting configuration.</t>
        </is>
      </c>
      <c r="O4" s="13" t="inlineStr">
        <is>
          <t>Compliance Analyst / 2024-11-15</t>
        </is>
      </c>
      <c r="P4" s="13" t="inlineStr">
        <is>
          <t>Legal Counsel / 2024-11-20</t>
        </is>
      </c>
      <c r="Q4" s="13" t="inlineStr">
        <is>
          <t>Compliance Officer / 2024-11-22</t>
        </is>
      </c>
      <c r="R4" s="15" t="n">
        <v>46082.50844681912</v>
      </c>
    </row>
    <row r="5">
      <c r="A5" s="13" t="inlineStr">
        <is>
          <t>REG-GDPR-37-001</t>
        </is>
      </c>
      <c r="B5" s="13" t="inlineStr">
        <is>
          <t>REG-EU-001</t>
        </is>
      </c>
      <c r="C5" s="13" t="inlineStr">
        <is>
          <t>GDPR</t>
        </is>
      </c>
      <c r="D5" s="13" t="inlineStr">
        <is>
          <t>Article 37(1)</t>
        </is>
      </c>
      <c r="E5" s="13" t="inlineStr">
        <is>
          <t>The controller and the processor shall designate a data protection officer in cases where processing is carried out by a public authority or body</t>
        </is>
      </c>
      <c r="F5" s="13" t="inlineStr">
        <is>
          <t>Appoint Data Protection Officer (DPO) where required by Article 37 criteria</t>
        </is>
      </c>
      <c r="G5" s="13" t="inlineStr">
        <is>
          <t>Organisational</t>
        </is>
      </c>
      <c r="H5" s="14" t="inlineStr">
        <is>
          <t>High</t>
        </is>
      </c>
      <c r="I5" s="15" t="n">
        <v>45657</v>
      </c>
      <c r="J5" s="14" t="inlineStr">
        <is>
          <t>✅ Implemented</t>
        </is>
      </c>
      <c r="K5" s="13" t="inlineStr">
        <is>
          <t>A.5.2, A.6.1</t>
        </is>
      </c>
      <c r="L5" s="14" t="inlineStr">
        <is>
          <t>✅ No Gap</t>
        </is>
      </c>
      <c r="M5" s="13" t="inlineStr">
        <is>
          <t>Executive Management</t>
        </is>
      </c>
      <c r="N5" s="13" t="inlineStr">
        <is>
          <t>DPO appointed June 2024. Contact: dpo@organisation.ch</t>
        </is>
      </c>
      <c r="O5" s="13" t="inlineStr">
        <is>
          <t>Compliance Analyst / 2024-11-15</t>
        </is>
      </c>
      <c r="P5" s="13" t="inlineStr">
        <is>
          <t>Legal Counsel / 2024-11-20</t>
        </is>
      </c>
      <c r="Q5" s="13" t="inlineStr">
        <is>
          <t>Compliance Officer / 2024-11-22</t>
        </is>
      </c>
      <c r="R5" s="15" t="n">
        <v>46082.50844681912</v>
      </c>
    </row>
    <row r="6">
      <c r="A6" s="13" t="inlineStr">
        <is>
          <t>REG-ISO27001-5.1-001</t>
        </is>
      </c>
      <c r="B6" s="13" t="inlineStr">
        <is>
          <t>REG-INT-001</t>
        </is>
      </c>
      <c r="C6" s="13" t="inlineStr">
        <is>
          <t>ISO 27001:2022</t>
        </is>
      </c>
      <c r="D6" s="13" t="inlineStr">
        <is>
          <t>Clause 5.1 / A.5.1</t>
        </is>
      </c>
      <c r="E6" s="13" t="inlineStr">
        <is>
          <t>Top management shall establish, implement and maintain information security policies that are approved, communicated to all relevant parties, and available as documented information</t>
        </is>
      </c>
      <c r="F6" s="13" t="inlineStr">
        <is>
          <t>Establish, document, approve, and communicate information security policies to all relevant parties</t>
        </is>
      </c>
      <c r="G6" s="13" t="inlineStr">
        <is>
          <t>Organisational</t>
        </is>
      </c>
      <c r="H6" s="14" t="inlineStr">
        <is>
          <t>High</t>
        </is>
      </c>
      <c r="I6" s="15" t="n">
        <v>45688</v>
      </c>
      <c r="J6" s="14" t="inlineStr">
        <is>
          <t>✅ Implemented</t>
        </is>
      </c>
      <c r="K6" s="13" t="inlineStr">
        <is>
          <t>A.5.1</t>
        </is>
      </c>
      <c r="L6" s="14" t="inlineStr">
        <is>
          <t>✅ No Gap</t>
        </is>
      </c>
      <c r="M6" s="13" t="inlineStr">
        <is>
          <t>ISMS Manager</t>
        </is>
      </c>
      <c r="N6" s="13" t="inlineStr">
        <is>
          <t>ISMS policies documented and approved. Annual review scheduled Q4.</t>
        </is>
      </c>
      <c r="O6" s="13" t="inlineStr">
        <is>
          <t>ISMS Analyst / 2024-10-01</t>
        </is>
      </c>
      <c r="P6" s="13" t="inlineStr">
        <is>
          <t>ISMS Manager / 2024-10-05</t>
        </is>
      </c>
      <c r="Q6" s="13" t="inlineStr">
        <is>
          <t>Executive Management / 2024-10-10</t>
        </is>
      </c>
      <c r="R6" s="15" t="n">
        <v>46082.50844681912</v>
      </c>
    </row>
    <row r="7">
      <c r="A7" s="13" t="inlineStr">
        <is>
          <t>REG-ISO27001-6.1-001</t>
        </is>
      </c>
      <c r="B7" s="13" t="inlineStr">
        <is>
          <t>REG-INT-001</t>
        </is>
      </c>
      <c r="C7" s="13" t="inlineStr">
        <is>
          <t>ISO 27001:2022</t>
        </is>
      </c>
      <c r="D7" s="13" t="inlineStr">
        <is>
          <t>Clause 6.1.2</t>
        </is>
      </c>
      <c r="E7" s="13" t="inlineStr">
        <is>
          <t>The organisation shall define and apply an information security risk assessment process</t>
        </is>
      </c>
      <c r="F7" s="13" t="inlineStr">
        <is>
          <t>Define and implement systematic information security risk assessment process</t>
        </is>
      </c>
      <c r="G7" s="13" t="inlineStr">
        <is>
          <t>Organisational</t>
        </is>
      </c>
      <c r="H7" s="14" t="inlineStr">
        <is>
          <t>High</t>
        </is>
      </c>
      <c r="I7" s="15" t="n">
        <v>45716</v>
      </c>
      <c r="J7" s="14" t="inlineStr">
        <is>
          <t>⏳ In Progress</t>
        </is>
      </c>
      <c r="K7" s="13" t="inlineStr">
        <is>
          <t>A.5.7, A.8.8</t>
        </is>
      </c>
      <c r="L7" s="14" t="inlineStr">
        <is>
          <t>⚠ Partial Gap</t>
        </is>
      </c>
      <c r="M7" s="13" t="inlineStr">
        <is>
          <t>CISO</t>
        </is>
      </c>
      <c r="N7" s="13" t="inlineStr">
        <is>
          <t>Risk assessment methodology documented. Tool selection in progress (Q1 2025).</t>
        </is>
      </c>
      <c r="O7" s="13" t="inlineStr">
        <is>
          <t>ISMS Analyst / 2024-10-01</t>
        </is>
      </c>
      <c r="P7" s="13" t="inlineStr">
        <is>
          <t>ISMS Manager / 2024-10-05</t>
        </is>
      </c>
      <c r="Q7" s="13" t="inlineStr">
        <is>
          <t>Executive Management / 2024-10-10</t>
        </is>
      </c>
      <c r="R7" s="15" t="n">
        <v>46082.50844681912</v>
      </c>
    </row>
    <row r="8">
      <c r="A8" s="13" t="inlineStr">
        <is>
          <t>REG-ISO27001-8.1-001</t>
        </is>
      </c>
      <c r="B8" s="13" t="inlineStr">
        <is>
          <t>REG-INT-001</t>
        </is>
      </c>
      <c r="C8" s="13" t="inlineStr">
        <is>
          <t>ISO 27001:2022</t>
        </is>
      </c>
      <c r="D8" s="13" t="inlineStr">
        <is>
          <t>Clause 8.1 / Annex A</t>
        </is>
      </c>
      <c r="E8" s="13" t="inlineStr">
        <is>
          <t>The organisation shall plan, implement and control the processes needed to meet information security requirements, and to implement the actions determined in 6.1</t>
        </is>
      </c>
      <c r="F8" s="13" t="inlineStr">
        <is>
          <t>Implement and control all applicable Annex A controls as documented in Statement of Applicability</t>
        </is>
      </c>
      <c r="G8" s="13" t="inlineStr">
        <is>
          <t>Technical</t>
        </is>
      </c>
      <c r="H8" s="14" t="inlineStr">
        <is>
          <t>High</t>
        </is>
      </c>
      <c r="I8" s="15" t="n">
        <v>45930</v>
      </c>
      <c r="J8" s="14" t="inlineStr">
        <is>
          <t>⏳ In Progress</t>
        </is>
      </c>
      <c r="K8" s="13" t="inlineStr">
        <is>
          <t>All 93 Annex A controls</t>
        </is>
      </c>
      <c r="L8" s="14" t="inlineStr">
        <is>
          <t>⚠ Partial Gap</t>
        </is>
      </c>
      <c r="M8" s="13" t="inlineStr">
        <is>
          <t>ISMS Manager</t>
        </is>
      </c>
      <c r="N8" s="13" t="inlineStr">
        <is>
          <t>Control implementation roadmap in progress. 65/93 controls implemented (70%).</t>
        </is>
      </c>
      <c r="O8" s="13" t="inlineStr">
        <is>
          <t>ISMS Analyst / 2024-10-01</t>
        </is>
      </c>
      <c r="P8" s="13" t="inlineStr">
        <is>
          <t>ISMS Manager / 2024-10-05</t>
        </is>
      </c>
      <c r="Q8" s="13" t="inlineStr">
        <is>
          <t>Executive Management / 2024-10-10</t>
        </is>
      </c>
      <c r="R8" s="15" t="n">
        <v>46082.50844681912</v>
      </c>
    </row>
    <row r="9">
      <c r="A9" s="13" t="inlineStr">
        <is>
          <t>REG-FADP-7-001</t>
        </is>
      </c>
      <c r="B9" s="13" t="inlineStr">
        <is>
          <t>REG-CH-001</t>
        </is>
      </c>
      <c r="C9" s="13" t="inlineStr">
        <is>
          <t>Swiss FADP</t>
        </is>
      </c>
      <c r="D9" s="13" t="inlineStr">
        <is>
          <t>Article 7</t>
        </is>
      </c>
      <c r="E9" s="13" t="inlineStr">
        <is>
          <t>The controller shall implement appropriate technical and organisational measures to ensure a level of data security appropriate to the risk to the personality and fundamental rights of the data subject arising from the processing</t>
        </is>
      </c>
      <c r="F9" s="13" t="inlineStr">
        <is>
          <t>Implement risk-appropriate technical and organisational measures to protect personal data</t>
        </is>
      </c>
      <c r="G9" s="13" t="inlineStr">
        <is>
          <t>Technical</t>
        </is>
      </c>
      <c r="H9" s="14" t="inlineStr">
        <is>
          <t>High</t>
        </is>
      </c>
      <c r="I9" s="15" t="n">
        <v>45838</v>
      </c>
      <c r="J9" s="14" t="inlineStr">
        <is>
          <t>⏳ In Progress</t>
        </is>
      </c>
      <c r="K9" s="13" t="inlineStr">
        <is>
          <t>A.5.10, A.5.14, A.8.1-8.34</t>
        </is>
      </c>
      <c r="L9" s="14" t="inlineStr">
        <is>
          <t>⚠ Partial Gap</t>
        </is>
      </c>
      <c r="M9" s="13" t="inlineStr">
        <is>
          <t>CISO</t>
        </is>
      </c>
      <c r="N9" s="13" t="inlineStr">
        <is>
          <t>Overlaps significantly with GDPR Art. 32. Using ISO 27001 controls framework.</t>
        </is>
      </c>
      <c r="O9" s="13" t="inlineStr">
        <is>
          <t>Compliance Analyst / 2024-12-01</t>
        </is>
      </c>
      <c r="P9" s="13" t="inlineStr">
        <is>
          <t>Legal Counsel (CH) / 2024-12-05</t>
        </is>
      </c>
      <c r="Q9" s="13" t="inlineStr">
        <is>
          <t>Compliance Officer / 2024-12-08</t>
        </is>
      </c>
      <c r="R9" s="15" t="n">
        <v>46082.50844681912</v>
      </c>
    </row>
    <row r="10">
      <c r="A10" s="13" t="inlineStr">
        <is>
          <t>REG-FADP-24-001</t>
        </is>
      </c>
      <c r="B10" s="13" t="inlineStr">
        <is>
          <t>REG-CH-001</t>
        </is>
      </c>
      <c r="C10" s="13" t="inlineStr">
        <is>
          <t>Swiss FADP</t>
        </is>
      </c>
      <c r="D10" s="13" t="inlineStr">
        <is>
          <t>Article 24</t>
        </is>
      </c>
      <c r="E10" s="13" t="inlineStr">
        <is>
          <t>Controllers and processors shall notify the Federal Data Protection and Information Commissioner (FDPIC) of any data breach likely to result in a high risk to the personality or fundamental rights of the data subject as quickly as possible</t>
        </is>
      </c>
      <c r="F10" s="13" t="inlineStr">
        <is>
          <t>Notify FDPIC of high-risk data breaches as quickly as possible</t>
        </is>
      </c>
      <c r="G10" s="13" t="inlineStr">
        <is>
          <t>Reporting</t>
        </is>
      </c>
      <c r="H10" s="14" t="inlineStr">
        <is>
          <t>High</t>
        </is>
      </c>
      <c r="I10" s="15" t="n">
        <v>45717</v>
      </c>
      <c r="J10" s="14" t="inlineStr">
        <is>
          <t>➖ Not Started</t>
        </is>
      </c>
      <c r="K10" s="13" t="inlineStr">
        <is>
          <t>A.5.26, A.5.25</t>
        </is>
      </c>
      <c r="L10" s="14" t="inlineStr">
        <is>
          <t>❌ Complete Gap</t>
        </is>
      </c>
      <c r="M10" s="13" t="inlineStr">
        <is>
          <t>Incident Response Lead</t>
        </is>
      </c>
      <c r="N10" s="13" t="inlineStr">
        <is>
          <t>Similar to GDPR but reported to FDPIC. No 72-hour explicit deadline but 'quickly as possible'.</t>
        </is>
      </c>
      <c r="O10" s="13" t="inlineStr">
        <is>
          <t>Compliance Analyst / 2024-12-01</t>
        </is>
      </c>
      <c r="P10" s="13" t="inlineStr">
        <is>
          <t>Legal Counsel (CH) / 2024-12-05</t>
        </is>
      </c>
      <c r="Q10" s="13" t="inlineStr">
        <is>
          <t>Compliance Officer / 2024-12-08</t>
        </is>
      </c>
      <c r="R10" s="15" t="n">
        <v>46082.50844681912</v>
      </c>
    </row>
    <row r="11">
      <c r="A11" s="13" t="inlineStr">
        <is>
          <t>REG-NIS2-21-001</t>
        </is>
      </c>
      <c r="B11" s="13" t="inlineStr">
        <is>
          <t>REG-EU-002</t>
        </is>
      </c>
      <c r="C11" s="13" t="inlineStr">
        <is>
          <t>NIS2</t>
        </is>
      </c>
      <c r="D11" s="13" t="inlineStr">
        <is>
          <t>Article 21</t>
        </is>
      </c>
      <c r="E11" s="13" t="inlineStr">
        <is>
          <t>Essential and important entities shall take appropriate and proportionate technical, operational and organisational measures to manage the risks posed to the security of network and information systems</t>
        </is>
      </c>
      <c r="F11" s="13" t="inlineStr">
        <is>
          <t>Implement risk management measures for network and information systems security</t>
        </is>
      </c>
      <c r="G11" s="13" t="inlineStr">
        <is>
          <t>Technical</t>
        </is>
      </c>
      <c r="H11" s="14" t="inlineStr">
        <is>
          <t>Medium</t>
        </is>
      </c>
      <c r="I11" s="15" t="n">
        <v>45947</v>
      </c>
      <c r="J11" s="14" t="inlineStr">
        <is>
          <t>➖ Not Started</t>
        </is>
      </c>
      <c r="K11" s="13" t="inlineStr">
        <is>
          <t>A.5.7, A.8.8, A.8.20</t>
        </is>
      </c>
      <c r="L11" s="14" t="inlineStr">
        <is>
          <t>TBD</t>
        </is>
      </c>
      <c r="M11" s="13" t="inlineStr">
        <is>
          <t>CISO</t>
        </is>
      </c>
      <c r="N11" s="13" t="inlineStr">
        <is>
          <t>Tier 2 (Conditional): Only applicable if thresholds met. Monitor quarterly.</t>
        </is>
      </c>
      <c r="O11" s="13" t="inlineStr">
        <is>
          <t>Compliance Analyst / 2024-12-10</t>
        </is>
      </c>
      <c r="P11" s="13" t="inlineStr">
        <is>
          <t>Legal Counsel / 2024-12-12</t>
        </is>
      </c>
      <c r="Q11" s="13" t="inlineStr">
        <is>
          <t>Compliance Officer / 2024-12-15</t>
        </is>
      </c>
      <c r="R11" s="15" t="n">
        <v>46082.50844681912</v>
      </c>
    </row>
    <row r="12">
      <c r="A12" s="13" t="inlineStr">
        <is>
          <t>REG-NIS2-23-001</t>
        </is>
      </c>
      <c r="B12" s="13" t="inlineStr">
        <is>
          <t>REG-EU-002</t>
        </is>
      </c>
      <c r="C12" s="13" t="inlineStr">
        <is>
          <t>NIS2</t>
        </is>
      </c>
      <c r="D12" s="13" t="inlineStr">
        <is>
          <t>Article 23</t>
        </is>
      </c>
      <c r="E12" s="13" t="inlineStr">
        <is>
          <t>Essential and important entities shall notify, without undue delay, the CSIRT or, where applicable, the competent authority, of any incident having a significant impact on the provision of their services</t>
        </is>
      </c>
      <c r="F12" s="13" t="inlineStr">
        <is>
          <t>Notify CSIRT/competent authority of significant incidents without undue delay</t>
        </is>
      </c>
      <c r="G12" s="13" t="inlineStr">
        <is>
          <t>Reporting</t>
        </is>
      </c>
      <c r="H12" s="14" t="inlineStr">
        <is>
          <t>Medium</t>
        </is>
      </c>
      <c r="I12" s="15" t="n">
        <v>45947</v>
      </c>
      <c r="J12" s="14" t="inlineStr">
        <is>
          <t>➖ Not Started</t>
        </is>
      </c>
      <c r="K12" s="13" t="inlineStr">
        <is>
          <t>A.5.26, A.5.27</t>
        </is>
      </c>
      <c r="L12" s="14" t="inlineStr">
        <is>
          <t>TBD</t>
        </is>
      </c>
      <c r="M12" s="13" t="inlineStr">
        <is>
          <t>Incident Response Lead</t>
        </is>
      </c>
      <c r="N12" s="13" t="inlineStr">
        <is>
          <t>Tier 2 (Conditional): Two-stage notification (24h initial, 72h detailed report).</t>
        </is>
      </c>
      <c r="O12" s="13" t="inlineStr">
        <is>
          <t>Compliance Analyst / 2024-12-10</t>
        </is>
      </c>
      <c r="P12" s="13" t="inlineStr">
        <is>
          <t>Legal Counsel / 2024-12-12</t>
        </is>
      </c>
      <c r="Q12" s="13" t="inlineStr">
        <is>
          <t>Compliance Officer / 2024-12-15</t>
        </is>
      </c>
      <c r="R12" s="15" t="n">
        <v>46082.50844681912</v>
      </c>
    </row>
    <row r="13">
      <c r="A13" s="13" t="inlineStr">
        <is>
          <t>REG-NIST-ID.AM-001</t>
        </is>
      </c>
      <c r="B13" s="13" t="inlineStr">
        <is>
          <t>REG-VOL-001</t>
        </is>
      </c>
      <c r="C13" s="13" t="inlineStr">
        <is>
          <t>NIST CSF 2.0</t>
        </is>
      </c>
      <c r="D13" s="13" t="inlineStr">
        <is>
          <t>ID.AM-1</t>
        </is>
      </c>
      <c r="E13" s="13" t="inlineStr">
        <is>
          <t>Inventories of hardware managed by the organisation are maintained</t>
        </is>
      </c>
      <c r="F13" s="13" t="inlineStr">
        <is>
          <t>Maintain inventory of all hardware assets managed by organisation</t>
        </is>
      </c>
      <c r="G13" s="13" t="inlineStr">
        <is>
          <t>Organisational</t>
        </is>
      </c>
      <c r="H13" s="14" t="inlineStr">
        <is>
          <t>Low</t>
        </is>
      </c>
      <c r="I13" s="15" t="n">
        <v>46203</v>
      </c>
      <c r="J13" s="14" t="inlineStr">
        <is>
          <t>⏳ In Progress</t>
        </is>
      </c>
      <c r="K13" s="13" t="inlineStr">
        <is>
          <t>A.5.9, A.8.9</t>
        </is>
      </c>
      <c r="L13" s="14" t="inlineStr">
        <is>
          <t>⚠ Partial Gap</t>
        </is>
      </c>
      <c r="M13" s="13" t="inlineStr">
        <is>
          <t>IT Operations Manager</t>
        </is>
      </c>
      <c r="N13" s="13" t="inlineStr">
        <is>
          <t>Tier 3 (Informational): Voluntary framework. Asset inventory tool deployed (80% coverage).</t>
        </is>
      </c>
      <c r="O13" s="13" t="inlineStr">
        <is>
          <t>Security Analyst / 2024-11-01</t>
        </is>
      </c>
      <c r="P13" s="13" t="inlineStr">
        <is>
          <t>CISO / 2024-11-05</t>
        </is>
      </c>
      <c r="Q13" s="13" t="inlineStr">
        <is>
          <t>ISMS Manager / 2024-11-08</t>
        </is>
      </c>
      <c r="R13" s="15" t="n">
        <v>46082.50844681912</v>
      </c>
    </row>
    <row r="14">
      <c r="A14" s="13" t="inlineStr">
        <is>
          <t>REG-NIST-PR.DS-001</t>
        </is>
      </c>
      <c r="B14" s="13" t="inlineStr">
        <is>
          <t>REG-VOL-001</t>
        </is>
      </c>
      <c r="C14" s="13" t="inlineStr">
        <is>
          <t>NIST CSF 2.0</t>
        </is>
      </c>
      <c r="D14" s="13" t="inlineStr">
        <is>
          <t>PR.DS-1</t>
        </is>
      </c>
      <c r="E14" s="13" t="inlineStr">
        <is>
          <t>Data-at-rest is protected</t>
        </is>
      </c>
      <c r="F14" s="13" t="inlineStr">
        <is>
          <t>Implement protection measures for data at rest (encryption, access controls)</t>
        </is>
      </c>
      <c r="G14" s="13" t="inlineStr">
        <is>
          <t>Technical</t>
        </is>
      </c>
      <c r="H14" s="14" t="inlineStr">
        <is>
          <t>Low</t>
        </is>
      </c>
      <c r="I14" s="15" t="n">
        <v>46203</v>
      </c>
      <c r="J14" s="14" t="inlineStr">
        <is>
          <t>⏳ In Progress</t>
        </is>
      </c>
      <c r="K14" s="13" t="inlineStr">
        <is>
          <t>A.8.24, A.5.10, A.8.11</t>
        </is>
      </c>
      <c r="L14" s="14" t="inlineStr">
        <is>
          <t>⚠ Partial Gap</t>
        </is>
      </c>
      <c r="M14" s="13" t="inlineStr">
        <is>
          <t>CISO</t>
        </is>
      </c>
      <c r="N14" s="13" t="inlineStr">
        <is>
          <t>Tier 3 (Informational): Overlaps with GDPR/FADP requirements.</t>
        </is>
      </c>
      <c r="O14" s="13" t="inlineStr">
        <is>
          <t>Security Analyst / 2024-11-01</t>
        </is>
      </c>
      <c r="P14" s="13" t="inlineStr">
        <is>
          <t>CISO / 2024-11-05</t>
        </is>
      </c>
      <c r="Q14" s="13" t="inlineStr">
        <is>
          <t>ISMS Manager / 2024-11-08</t>
        </is>
      </c>
      <c r="R14" s="15" t="n">
        <v>46082.50844681912</v>
      </c>
    </row>
  </sheetData>
  <autoFilter ref="A2:R2"/>
  <mergeCells count="1">
    <mergeCell ref="A1:R1"/>
  </mergeCells>
  <conditionalFormatting sqref="H2:H1000">
    <cfRule type="cellIs" priority="1" operator="equal" dxfId="0">
      <formula>"High"</formula>
    </cfRule>
    <cfRule type="cellIs" priority="2" operator="equal" dxfId="1">
      <formula>"Medium"</formula>
    </cfRule>
    <cfRule type="cellIs" priority="3" operator="equal" dxfId="2">
      <formula>"Low"</formula>
    </cfRule>
  </conditionalFormatting>
  <conditionalFormatting sqref="J2:J1000">
    <cfRule type="cellIs" priority="4" operator="equal" dxfId="3">
      <formula>"➖"</formula>
    </cfRule>
    <cfRule type="cellIs" priority="5" operator="equal" dxfId="1">
      <formula>"⏳"</formula>
    </cfRule>
    <cfRule type="cellIs" priority="6" operator="equal" dxfId="2">
      <formula>"✅"</formula>
    </cfRule>
    <cfRule type="cellIs" priority="7" operator="equal" dxfId="4">
      <formula>"❓"</formula>
    </cfRule>
  </conditionalFormatting>
  <conditionalFormatting sqref="L2:L1000">
    <cfRule type="cellIs" priority="8" operator="equal" dxfId="0">
      <formula>"❌"</formula>
    </cfRule>
    <cfRule type="cellIs" priority="9" operator="equal" dxfId="1">
      <formula>"⚠"</formula>
    </cfRule>
    <cfRule type="cellIs" priority="10" operator="equal" dxfId="2">
      <formula>"✅"</formula>
    </cfRule>
    <cfRule type="cellIs" priority="11" operator="equal" dxfId="3">
      <formula>"TBD"</formula>
    </cfRule>
  </conditionalFormatting>
  <dataValidations count="4">
    <dataValidation sqref="G2:G1000" showDropDown="0" showInputMessage="0" showErrorMessage="0" allowBlank="0" errorTitle="Invalid Category" error="Please select from the list" type="list">
      <formula1>"Technical,Organisational,Reporting,Operational"</formula1>
    </dataValidation>
    <dataValidation sqref="H2:H1000" showDropDown="0" showInputMessage="0" showErrorMessage="0" allowBlank="0" errorTitle="Invalid Priority" error="Please select from the list" type="list">
      <formula1>"High,Medium,Low"</formula1>
    </dataValidation>
    <dataValidation sqref="J2:J1000" showDropDown="0" showInputMessage="0" showErrorMessage="0" allowBlank="0" errorTitle="Invalid Status" error="Please select from the list" type="list">
      <formula1>"➖ Not Started,⏳ In Progress,✅ Implemented,❓ N/A"</formula1>
    </dataValidation>
    <dataValidation sqref="L2:L1000" showDropDown="0" showInputMessage="0" showErrorMessage="0" allowBlank="0" errorTitle="Invalid Gap Status" error="Please select from the list" type="list">
      <formula1>"❌ Complete Gap,⚠️ Partial Gap,✅ No Gap,TBD TBD"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50" customWidth="1" min="1" max="1"/>
    <col width="12" customWidth="1" min="2" max="2"/>
    <col width="18" customWidth="1" min="3" max="3"/>
    <col width="15" customWidth="1" min="4" max="4"/>
    <col width="18" customWidth="1" min="5" max="5"/>
    <col width="12" customWidth="1" min="6" max="6"/>
    <col width="15" customWidth="1" min="7" max="7"/>
  </cols>
  <sheetData>
    <row r="1" ht="35" customHeight="1">
      <c r="A1" s="16" t="inlineStr">
        <is>
          <t>REQUIREMENTS REGISTER — SUMMARY DASHBOARD</t>
        </is>
      </c>
      <c r="B1" s="17" t="n"/>
      <c r="C1" s="17" t="n"/>
      <c r="D1" s="17" t="n"/>
      <c r="E1" s="17" t="n"/>
      <c r="F1" s="17" t="n"/>
      <c r="G1" s="17" t="n"/>
    </row>
    <row r="2">
      <c r="A2" s="18" t="inlineStr">
        <is>
          <t>ISO/IEC 27001:2022 — Control A.5.31: Legal, Statutory, Regulatory and Contractual Requirements | Requirements Register</t>
        </is>
      </c>
      <c r="B2" s="17" t="n"/>
      <c r="C2" s="17" t="n"/>
      <c r="D2" s="17" t="n"/>
      <c r="E2" s="17" t="n"/>
      <c r="F2" s="17" t="n"/>
      <c r="G2" s="17" t="n"/>
    </row>
    <row r="4">
      <c r="A4" s="19" t="inlineStr">
        <is>
          <t>TABLE 1: ASSESSMENT AREA COMPLIANCE OVERVIEW</t>
        </is>
      </c>
      <c r="B4" s="17" t="n"/>
      <c r="C4" s="17" t="n"/>
      <c r="D4" s="17" t="n"/>
      <c r="E4" s="17" t="n"/>
      <c r="F4" s="17" t="n"/>
      <c r="G4" s="17" t="n"/>
    </row>
    <row r="5">
      <c r="A5" s="20" t="inlineStr">
        <is>
          <t>Assessment Area</t>
        </is>
      </c>
      <c r="B5" s="20" t="inlineStr">
        <is>
          <t>Total Items</t>
        </is>
      </c>
      <c r="C5" s="20" t="inlineStr">
        <is>
          <t>Compliant</t>
        </is>
      </c>
      <c r="D5" s="20" t="inlineStr">
        <is>
          <t>Partial</t>
        </is>
      </c>
      <c r="E5" s="20" t="inlineStr">
        <is>
          <t>Non-Compliant</t>
        </is>
      </c>
      <c r="F5" s="20" t="inlineStr">
        <is>
          <t>N/A</t>
        </is>
      </c>
      <c r="G5" s="20" t="inlineStr">
        <is>
          <t>Compliance %</t>
        </is>
      </c>
    </row>
    <row r="6">
      <c r="A6" s="21" t="inlineStr">
        <is>
          <t>Requirements Register</t>
        </is>
      </c>
      <c r="B6" s="22">
        <f>COUNTA('Requirements Register'!A3:A1000)</f>
        <v/>
      </c>
      <c r="C6" s="22">
        <f>COUNTIF('Requirements Register'!J3:J1000,"✅ Implemented")</f>
        <v/>
      </c>
      <c r="D6" s="22">
        <f>COUNTIF('Requirements Register'!J3:J1000,"⏳ In Progress")</f>
        <v/>
      </c>
      <c r="E6" s="22">
        <f>COUNTIF('Requirements Register'!J3:J1000,"➖ Not Started")</f>
        <v/>
      </c>
      <c r="F6" s="22">
        <f>COUNTIF('Requirements Register'!J3:J1000,"❓ N/A")</f>
        <v/>
      </c>
      <c r="G6" s="23">
        <f>IFERROR(IF((B6-F6)=0,0,C6/(B6-F6)),"")</f>
        <v/>
      </c>
    </row>
    <row r="7">
      <c r="A7" s="24" t="inlineStr">
        <is>
          <t>TOTAL</t>
        </is>
      </c>
      <c r="B7" s="25">
        <f>SUM(B6:B6)</f>
        <v/>
      </c>
      <c r="C7" s="25">
        <f>SUM(C6:C6)</f>
        <v/>
      </c>
      <c r="D7" s="25">
        <f>SUM(D6:D6)</f>
        <v/>
      </c>
      <c r="E7" s="25">
        <f>SUM(E6:E6)</f>
        <v/>
      </c>
      <c r="F7" s="25">
        <f>SUM(F6:F6)</f>
        <v/>
      </c>
      <c r="G7" s="26">
        <f>IFERROR(IF((B7-F7)=0,0,C7/(B7-F7)),"")</f>
        <v/>
      </c>
    </row>
    <row r="9">
      <c r="A9" s="19" t="inlineStr">
        <is>
          <t>TABLE 2: KEY METRICS</t>
        </is>
      </c>
      <c r="B9" s="17" t="n"/>
      <c r="C9" s="17" t="n"/>
      <c r="D9" s="17" t="n"/>
      <c r="E9" s="17" t="n"/>
      <c r="F9" s="17" t="n"/>
      <c r="G9" s="17" t="n"/>
    </row>
    <row r="10">
      <c r="A10" s="20" t="inlineStr">
        <is>
          <t>Metric</t>
        </is>
      </c>
      <c r="B10" s="20" t="inlineStr">
        <is>
          <t>Value</t>
        </is>
      </c>
      <c r="C10" s="20" t="n"/>
      <c r="D10" s="20" t="n"/>
      <c r="E10" s="20" t="n"/>
      <c r="F10" s="20" t="n"/>
      <c r="G10" s="20" t="n"/>
    </row>
    <row r="11">
      <c r="A11" s="21" t="inlineStr">
        <is>
          <t>Total requirements extracted</t>
        </is>
      </c>
      <c r="B11" s="22">
        <f>COUNTA('Requirements Register'!A3:A1000)</f>
        <v/>
      </c>
      <c r="C11" s="17" t="n"/>
      <c r="D11" s="17" t="n"/>
      <c r="E11" s="17" t="n"/>
      <c r="F11" s="17" t="n"/>
      <c r="G11" s="17" t="n"/>
    </row>
    <row r="12">
      <c r="A12" s="21" t="inlineStr">
        <is>
          <t>High priority requirements</t>
        </is>
      </c>
      <c r="B12" s="22">
        <f>COUNTIF('Requirements Register'!H3:H1000,"High")</f>
        <v/>
      </c>
      <c r="C12" s="17" t="n"/>
      <c r="D12" s="17" t="n"/>
      <c r="E12" s="17" t="n"/>
      <c r="F12" s="17" t="n"/>
      <c r="G12" s="17" t="n"/>
    </row>
    <row r="13">
      <c r="A13" s="21" t="inlineStr">
        <is>
          <t>Medium priority requirements</t>
        </is>
      </c>
      <c r="B13" s="22">
        <f>COUNTIF('Requirements Register'!H3:H1000,"Medium")</f>
        <v/>
      </c>
      <c r="C13" s="17" t="n"/>
      <c r="D13" s="17" t="n"/>
      <c r="E13" s="17" t="n"/>
      <c r="F13" s="17" t="n"/>
      <c r="G13" s="17" t="n"/>
    </row>
    <row r="14">
      <c r="A14" s="21" t="inlineStr">
        <is>
          <t>Technical requirements</t>
        </is>
      </c>
      <c r="B14" s="22">
        <f>COUNTIF('Requirements Register'!G3:G1000,"Technical")</f>
        <v/>
      </c>
      <c r="C14" s="17" t="n"/>
      <c r="D14" s="17" t="n"/>
      <c r="E14" s="17" t="n"/>
      <c r="F14" s="17" t="n"/>
      <c r="G14" s="17" t="n"/>
    </row>
    <row r="15">
      <c r="A15" s="21" t="inlineStr">
        <is>
          <t>Organisational requirements</t>
        </is>
      </c>
      <c r="B15" s="22">
        <f>COUNTIF('Requirements Register'!G3:G1000,"Organisational")</f>
        <v/>
      </c>
      <c r="C15" s="17" t="n"/>
      <c r="D15" s="17" t="n"/>
      <c r="E15" s="17" t="n"/>
      <c r="F15" s="17" t="n"/>
      <c r="G15" s="17" t="n"/>
    </row>
    <row r="16">
      <c r="A16" s="21" t="inlineStr">
        <is>
          <t>Reporting requirements</t>
        </is>
      </c>
      <c r="B16" s="22">
        <f>COUNTIF('Requirements Register'!G3:G1000,"Reporting")</f>
        <v/>
      </c>
      <c r="C16" s="17" t="n"/>
      <c r="D16" s="17" t="n"/>
      <c r="E16" s="17" t="n"/>
      <c r="F16" s="17" t="n"/>
      <c r="G16" s="17" t="n"/>
    </row>
    <row r="17">
      <c r="A17" s="21" t="inlineStr">
        <is>
          <t>Operational requirements</t>
        </is>
      </c>
      <c r="B17" s="22">
        <f>COUNTIF('Requirements Register'!G3:G1000,"Operational")</f>
        <v/>
      </c>
      <c r="C17" s="17" t="n"/>
      <c r="D17" s="17" t="n"/>
      <c r="E17" s="17" t="n"/>
      <c r="F17" s="17" t="n"/>
      <c r="G17" s="17" t="n"/>
    </row>
    <row r="18">
      <c r="A18" s="21" t="inlineStr">
        <is>
          <t>Requirements implemented</t>
        </is>
      </c>
      <c r="B18" s="22">
        <f>COUNTIF('Requirements Register'!J3:J1000,"✅ Implemented")</f>
        <v/>
      </c>
      <c r="C18" s="17" t="n"/>
      <c r="D18" s="17" t="n"/>
      <c r="E18" s="17" t="n"/>
      <c r="F18" s="17" t="n"/>
      <c r="G18" s="17" t="n"/>
    </row>
    <row r="19">
      <c r="A19" s="21" t="inlineStr">
        <is>
          <t>Requirements in progress</t>
        </is>
      </c>
      <c r="B19" s="22">
        <f>COUNTIF('Requirements Register'!J3:J1000,"⏳ In Progress")</f>
        <v/>
      </c>
      <c r="C19" s="17" t="n"/>
      <c r="D19" s="17" t="n"/>
      <c r="E19" s="17" t="n"/>
      <c r="F19" s="17" t="n"/>
      <c r="G19" s="17" t="n"/>
    </row>
    <row r="20">
      <c r="A20" s="21" t="inlineStr">
        <is>
          <t>Requirements not started</t>
        </is>
      </c>
      <c r="B20" s="22">
        <f>COUNTIF('Requirements Register'!J3:J1000,"➖ Not Started")</f>
        <v/>
      </c>
      <c r="C20" s="17" t="n"/>
      <c r="D20" s="17" t="n"/>
      <c r="E20" s="17" t="n"/>
      <c r="F20" s="17" t="n"/>
      <c r="G20" s="17" t="n"/>
    </row>
    <row r="21">
      <c r="A21" s="21" t="inlineStr">
        <is>
          <t>Requirements with no gap</t>
        </is>
      </c>
      <c r="B21" s="22">
        <f>COUNTIF('Requirements Register'!L3:L1000,"✅ No Gap")</f>
        <v/>
      </c>
      <c r="C21" s="17" t="n"/>
      <c r="D21" s="17" t="n"/>
      <c r="E21" s="17" t="n"/>
      <c r="F21" s="17" t="n"/>
      <c r="G21" s="17" t="n"/>
    </row>
    <row r="22">
      <c r="A22" s="21" t="inlineStr">
        <is>
          <t>Requirements with partial gap</t>
        </is>
      </c>
      <c r="B22" s="22">
        <f>COUNTIF('Requirements Register'!L3:L1000,"⚠️ Partial Gap")</f>
        <v/>
      </c>
      <c r="C22" s="17" t="n"/>
      <c r="D22" s="17" t="n"/>
      <c r="E22" s="17" t="n"/>
      <c r="F22" s="17" t="n"/>
      <c r="G22" s="17" t="n"/>
    </row>
    <row r="23">
      <c r="A23" s="21" t="inlineStr">
        <is>
          <t>Requirements with complete gap</t>
        </is>
      </c>
      <c r="B23" s="22">
        <f>COUNTIF('Requirements Register'!L3:L1000,"❌ Complete Gap")</f>
        <v/>
      </c>
      <c r="C23" s="17" t="n"/>
      <c r="D23" s="17" t="n"/>
      <c r="E23" s="17" t="n"/>
      <c r="F23" s="17" t="n"/>
      <c r="G23" s="17" t="n"/>
    </row>
    <row r="25">
      <c r="A25" s="27" t="inlineStr">
        <is>
          <t>TABLE 3: CRITICAL FINDINGS REQUIRING IMMEDIATE ATTENTION</t>
        </is>
      </c>
      <c r="B25" s="17" t="n"/>
      <c r="C25" s="17" t="n"/>
      <c r="D25" s="17" t="n"/>
      <c r="E25" s="17" t="n"/>
      <c r="F25" s="17" t="n"/>
      <c r="G25" s="17" t="n"/>
    </row>
    <row r="26">
      <c r="A26" s="20" t="inlineStr">
        <is>
          <t>Finding</t>
        </is>
      </c>
      <c r="B26" s="20" t="inlineStr">
        <is>
          <t>Count</t>
        </is>
      </c>
      <c r="C26" s="20" t="inlineStr">
        <is>
          <t>Action Required</t>
        </is>
      </c>
      <c r="D26" s="17" t="n"/>
      <c r="E26" s="17" t="n"/>
      <c r="F26" s="17" t="n"/>
      <c r="G26" s="17" t="n"/>
    </row>
    <row r="27">
      <c r="A27" s="28" t="inlineStr">
        <is>
          <t>High-priority requirements Not Started</t>
        </is>
      </c>
      <c r="B27" s="29">
        <f>COUNTIFS('Requirements Register'!H3:H1000,"High",'Requirements Register'!J3:J1000,"➖ Not Started")</f>
        <v/>
      </c>
      <c r="C27" s="28" t="inlineStr">
        <is>
          <t>Immediate escalation — assign owners and implementation deadlines for all High priority requirements</t>
        </is>
      </c>
      <c r="D27" s="17" t="n"/>
      <c r="E27" s="17" t="n"/>
      <c r="F27" s="17" t="n"/>
      <c r="G27" s="17" t="n"/>
    </row>
    <row r="28">
      <c r="A28" s="28" t="inlineStr">
        <is>
          <t>Complete gaps (requirements with no control)</t>
        </is>
      </c>
      <c r="B28" s="29">
        <f>COUNTIF('Requirements Register'!L3:L1000,"❌ Complete Gap")</f>
        <v/>
      </c>
      <c r="C28" s="28" t="inlineStr">
        <is>
          <t>Risk acceptance or control implementation required for all complete gap requirements</t>
        </is>
      </c>
      <c r="D28" s="17" t="n"/>
      <c r="E28" s="17" t="n"/>
      <c r="F28" s="17" t="n"/>
      <c r="G28" s="17" t="n"/>
    </row>
    <row r="29">
      <c r="A29" s="28" t="inlineStr">
        <is>
          <t>High-priority requirements with complete gap</t>
        </is>
      </c>
      <c r="B29" s="29">
        <f>COUNTIFS('Requirements Register'!H3:H1000,"High",'Requirements Register'!L3:L1000,"❌ Complete Gap")</f>
        <v/>
      </c>
      <c r="C29" s="28" t="inlineStr">
        <is>
          <t>Critical compliance gap — immediate remediation plan required</t>
        </is>
      </c>
      <c r="D29" s="17" t="n"/>
      <c r="E29" s="17" t="n"/>
      <c r="F29" s="17" t="n"/>
      <c r="G29" s="17" t="n"/>
    </row>
    <row r="30">
      <c r="A30" s="30" t="n"/>
      <c r="B30" s="30" t="n"/>
      <c r="C30" s="30" t="n"/>
      <c r="D30" s="30" t="n"/>
      <c r="E30" s="30" t="n"/>
      <c r="F30" s="30" t="n"/>
      <c r="G30" s="30" t="n"/>
    </row>
    <row r="31">
      <c r="A31" s="30" t="n"/>
      <c r="B31" s="30" t="n"/>
      <c r="C31" s="30" t="n"/>
      <c r="D31" s="30" t="n"/>
      <c r="E31" s="30" t="n"/>
      <c r="F31" s="30" t="n"/>
      <c r="G31" s="30" t="n"/>
    </row>
    <row r="33">
      <c r="A33" s="3" t="inlineStr">
        <is>
          <t>FINAL DECISION:</t>
        </is>
      </c>
      <c r="B33" s="30" t="n"/>
      <c r="C33" s="17" t="n"/>
      <c r="D33" s="17" t="n"/>
      <c r="E33" s="17" t="n"/>
      <c r="F33" s="17" t="n"/>
      <c r="G33" s="17" t="n"/>
    </row>
    <row r="36">
      <c r="A36" s="31" t="inlineStr">
        <is>
          <t>NEXT REVIEW DETAILS</t>
        </is>
      </c>
      <c r="B36" s="17" t="n"/>
      <c r="C36" s="17" t="n"/>
      <c r="D36" s="17" t="n"/>
      <c r="E36" s="17" t="n"/>
      <c r="F36" s="17" t="n"/>
      <c r="G36" s="17" t="n"/>
    </row>
    <row r="37">
      <c r="A37" s="3" t="inlineStr">
        <is>
          <t>Next Review Date:</t>
        </is>
      </c>
      <c r="B37" s="30" t="n"/>
      <c r="C37" s="17" t="n"/>
      <c r="D37" s="17" t="n"/>
      <c r="E37" s="17" t="n"/>
      <c r="F37" s="17" t="n"/>
      <c r="G37" s="17" t="n"/>
    </row>
    <row r="38">
      <c r="A38" s="3" t="inlineStr">
        <is>
          <t>Review Responsible:</t>
        </is>
      </c>
      <c r="B38" s="30" t="n"/>
      <c r="C38" s="17" t="n"/>
      <c r="D38" s="17" t="n"/>
      <c r="E38" s="17" t="n"/>
      <c r="F38" s="17" t="n"/>
      <c r="G38" s="17" t="n"/>
    </row>
    <row r="39">
      <c r="A39" s="3" t="inlineStr">
        <is>
          <t>Special Considerations:</t>
        </is>
      </c>
      <c r="B39" s="30" t="n"/>
      <c r="C39" s="17" t="n"/>
      <c r="D39" s="17" t="n"/>
      <c r="E39" s="17" t="n"/>
      <c r="F39" s="17" t="n"/>
      <c r="G39" s="17" t="n"/>
    </row>
  </sheetData>
  <mergeCells count="14">
    <mergeCell ref="B38:G38"/>
    <mergeCell ref="A36:G36"/>
    <mergeCell ref="C29:G29"/>
    <mergeCell ref="A1:G1"/>
    <mergeCell ref="B39:G39"/>
    <mergeCell ref="A9:G9"/>
    <mergeCell ref="B37:G37"/>
    <mergeCell ref="A4:G4"/>
    <mergeCell ref="C28:G28"/>
    <mergeCell ref="C27:G27"/>
    <mergeCell ref="A2:G2"/>
    <mergeCell ref="A25:G25"/>
    <mergeCell ref="B33:G33"/>
    <mergeCell ref="C26:G26"/>
  </mergeCells>
  <dataValidations count="1">
    <dataValidation sqref="B33" showDropDown="0" showInputMessage="0" showErrorMessage="0" allowBlank="1" type="list">
      <formula1>"Approved,Approved with Conditions,Rejected,Deferred"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33" t="inlineStr">
        <is>
          <t>ISO/IEC 27001:2022 - Control A.5.31: Legal, Statutory, Regulatory and Contractual Requirements</t>
        </is>
      </c>
      <c r="B2" s="6" t="n"/>
      <c r="C2" s="6" t="n"/>
      <c r="D2" s="6" t="n"/>
      <c r="E2" s="6" t="n"/>
    </row>
    <row r="3">
      <c r="A3" s="34" t="inlineStr">
        <is>
          <t>ASSESSMENT SUMMARY</t>
        </is>
      </c>
      <c r="B3" s="6" t="n"/>
      <c r="C3" s="6" t="n"/>
      <c r="D3" s="6" t="n"/>
      <c r="E3" s="6" t="n"/>
    </row>
    <row r="4">
      <c r="A4" s="3" t="inlineStr">
        <is>
          <t>Document:</t>
        </is>
      </c>
      <c r="B4" s="6" t="inlineStr">
        <is>
          <t>ISMS-IMP-A.5.31.3 - Requirements Register</t>
        </is>
      </c>
      <c r="C4" s="6" t="n"/>
      <c r="D4" s="6" t="n"/>
      <c r="E4" s="6" t="n"/>
    </row>
    <row r="5">
      <c r="A5" s="3" t="inlineStr">
        <is>
          <t>Assessment Period:</t>
        </is>
      </c>
      <c r="B5" s="35" t="inlineStr"/>
      <c r="C5" s="6" t="n"/>
      <c r="D5" s="6" t="n"/>
      <c r="E5" s="6" t="n"/>
    </row>
    <row r="6">
      <c r="A6" s="3" t="inlineStr">
        <is>
          <t>Overall Compliance Rating:</t>
        </is>
      </c>
      <c r="B6" s="36">
        <f>IFERROR(AVERAGE('Summary Dashboard'!G6:G6),"")</f>
        <v/>
      </c>
      <c r="C6" s="6" t="n"/>
      <c r="D6" s="6" t="n"/>
      <c r="E6" s="6" t="n"/>
    </row>
    <row r="7">
      <c r="A7" s="3" t="inlineStr">
        <is>
          <t>Assessment Status:</t>
        </is>
      </c>
      <c r="B7" s="35" t="inlineStr"/>
      <c r="C7" s="6" t="n"/>
      <c r="D7" s="6" t="n"/>
      <c r="E7" s="6" t="n"/>
    </row>
    <row r="8">
      <c r="A8" s="3" t="inlineStr">
        <is>
          <t>Assessed By:</t>
        </is>
      </c>
      <c r="B8" s="35" t="inlineStr"/>
      <c r="C8" s="6" t="n"/>
      <c r="D8" s="6" t="n"/>
      <c r="E8" s="6" t="n"/>
    </row>
    <row r="11">
      <c r="A11" s="34" t="inlineStr">
        <is>
          <t>COMPLETED BY (ASSESSOR)</t>
        </is>
      </c>
      <c r="B11" s="6" t="n"/>
      <c r="C11" s="6" t="n"/>
      <c r="D11" s="6" t="n"/>
      <c r="E11" s="6" t="n"/>
    </row>
    <row r="12">
      <c r="A12" s="3" t="inlineStr">
        <is>
          <t>Name:</t>
        </is>
      </c>
      <c r="B12" s="35" t="n"/>
      <c r="C12" s="6" t="n"/>
      <c r="D12" s="6" t="n"/>
      <c r="E12" s="6" t="n"/>
    </row>
    <row r="13">
      <c r="A13" s="3" t="inlineStr">
        <is>
          <t>Title:</t>
        </is>
      </c>
      <c r="B13" s="35" t="n"/>
      <c r="C13" s="6" t="n"/>
      <c r="D13" s="6" t="n"/>
      <c r="E13" s="6" t="n"/>
    </row>
    <row r="14">
      <c r="A14" s="3" t="inlineStr">
        <is>
          <t>Date:</t>
        </is>
      </c>
      <c r="B14" s="35" t="n"/>
      <c r="C14" s="6" t="n"/>
      <c r="D14" s="6" t="n"/>
      <c r="E14" s="6" t="n"/>
    </row>
    <row r="15">
      <c r="A15" s="3" t="inlineStr">
        <is>
          <t>Signature:</t>
        </is>
      </c>
      <c r="B15" s="35" t="n"/>
      <c r="C15" s="6" t="n"/>
      <c r="D15" s="6" t="n"/>
      <c r="E15" s="6" t="n"/>
    </row>
    <row r="16">
      <c r="A16" s="3" t="inlineStr">
        <is>
          <t>Comments:</t>
        </is>
      </c>
      <c r="B16" s="35" t="n"/>
      <c r="C16" s="6" t="n"/>
      <c r="D16" s="6" t="n"/>
      <c r="E16" s="6" t="n"/>
    </row>
    <row r="18">
      <c r="A18" s="34" t="inlineStr">
        <is>
          <t>REVIEWED BY (INFORMATION SECURITY OFFICER)</t>
        </is>
      </c>
      <c r="B18" s="6" t="n"/>
      <c r="C18" s="6" t="n"/>
      <c r="D18" s="6" t="n"/>
      <c r="E18" s="6" t="n"/>
    </row>
    <row r="19">
      <c r="A19" s="3" t="inlineStr">
        <is>
          <t>Name:</t>
        </is>
      </c>
      <c r="B19" s="35" t="n"/>
      <c r="C19" s="6" t="n"/>
      <c r="D19" s="6" t="n"/>
      <c r="E19" s="6" t="n"/>
    </row>
    <row r="20">
      <c r="A20" s="3" t="inlineStr">
        <is>
          <t>Title:</t>
        </is>
      </c>
      <c r="B20" s="35" t="n"/>
      <c r="C20" s="6" t="n"/>
      <c r="D20" s="6" t="n"/>
      <c r="E20" s="6" t="n"/>
    </row>
    <row r="21">
      <c r="A21" s="3" t="inlineStr">
        <is>
          <t>Date:</t>
        </is>
      </c>
      <c r="B21" s="35" t="n"/>
      <c r="C21" s="6" t="n"/>
      <c r="D21" s="6" t="n"/>
      <c r="E21" s="6" t="n"/>
    </row>
    <row r="22">
      <c r="A22" s="3" t="inlineStr">
        <is>
          <t>Signature:</t>
        </is>
      </c>
      <c r="B22" s="35" t="n"/>
      <c r="C22" s="6" t="n"/>
      <c r="D22" s="6" t="n"/>
      <c r="E22" s="6" t="n"/>
    </row>
    <row r="23">
      <c r="A23" s="3" t="inlineStr">
        <is>
          <t>Comments:</t>
        </is>
      </c>
      <c r="B23" s="35" t="n"/>
      <c r="C23" s="6" t="n"/>
      <c r="D23" s="6" t="n"/>
      <c r="E23" s="6" t="n"/>
    </row>
    <row r="25">
      <c r="A25" s="37" t="inlineStr">
        <is>
          <t>APPROVED BY (CISO)</t>
        </is>
      </c>
      <c r="B25" s="6" t="n"/>
      <c r="C25" s="6" t="n"/>
      <c r="D25" s="6" t="n"/>
      <c r="E25" s="6" t="n"/>
    </row>
    <row r="26">
      <c r="A26" s="3" t="inlineStr">
        <is>
          <t>Name:</t>
        </is>
      </c>
      <c r="B26" s="35" t="n"/>
      <c r="C26" s="6" t="n"/>
      <c r="D26" s="6" t="n"/>
      <c r="E26" s="6" t="n"/>
    </row>
    <row r="27">
      <c r="A27" s="3" t="inlineStr">
        <is>
          <t>Title:</t>
        </is>
      </c>
      <c r="B27" s="35" t="n"/>
      <c r="C27" s="6" t="n"/>
      <c r="D27" s="6" t="n"/>
      <c r="E27" s="6" t="n"/>
    </row>
    <row r="28">
      <c r="A28" s="3" t="inlineStr">
        <is>
          <t>Date:</t>
        </is>
      </c>
      <c r="B28" s="35" t="n"/>
      <c r="C28" s="6" t="n"/>
      <c r="D28" s="6" t="n"/>
      <c r="E28" s="6" t="n"/>
    </row>
    <row r="29">
      <c r="A29" s="3" t="inlineStr">
        <is>
          <t>Signature:</t>
        </is>
      </c>
      <c r="B29" s="35" t="n"/>
      <c r="C29" s="6" t="n"/>
      <c r="D29" s="6" t="n"/>
      <c r="E29" s="6" t="n"/>
    </row>
    <row r="30">
      <c r="A30" s="3" t="inlineStr">
        <is>
          <t>Comments:</t>
        </is>
      </c>
      <c r="B30" s="35" t="n"/>
      <c r="C30" s="6" t="n"/>
      <c r="D30" s="6" t="n"/>
      <c r="E30" s="6" t="n"/>
    </row>
    <row r="32">
      <c r="A32" s="3" t="inlineStr">
        <is>
          <t>FINAL DECISION:</t>
        </is>
      </c>
      <c r="B32" s="35" t="n"/>
      <c r="C32" s="6" t="n"/>
      <c r="D32" s="6" t="n"/>
      <c r="E32" s="6" t="n"/>
    </row>
    <row r="35">
      <c r="A35" s="34" t="inlineStr">
        <is>
          <t>NEXT REVIEW DETAILS</t>
        </is>
      </c>
      <c r="B35" s="6" t="n"/>
      <c r="C35" s="6" t="n"/>
      <c r="D35" s="6" t="n"/>
      <c r="E35" s="6" t="n"/>
    </row>
    <row r="36">
      <c r="A36" s="3" t="inlineStr">
        <is>
          <t>Next Review Date:</t>
        </is>
      </c>
      <c r="B36" s="35" t="n"/>
      <c r="C36" s="6" t="n"/>
      <c r="D36" s="6" t="n"/>
      <c r="E36" s="6" t="n"/>
    </row>
    <row r="37">
      <c r="A37" s="3" t="inlineStr">
        <is>
          <t>Review Responsible:</t>
        </is>
      </c>
      <c r="B37" s="35" t="n"/>
      <c r="C37" s="6" t="n"/>
      <c r="D37" s="6" t="n"/>
      <c r="E37" s="6" t="n"/>
    </row>
    <row r="38">
      <c r="A38" s="3" t="inlineStr">
        <is>
          <t>Special Considerations:</t>
        </is>
      </c>
      <c r="B38" s="3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showGridLines="0" workbookViewId="0">
      <pane ySplit="2" topLeftCell="A3" activePane="bottomLeft" state="frozen"/>
      <selection pane="bottomLeft" activeCell="A1" sqref="A1"/>
    </sheetView>
  </sheetViews>
  <sheetFormatPr baseColWidth="8" defaultRowHeight="15"/>
  <cols>
    <col width="12" customWidth="1" min="1" max="1"/>
    <col width="25" customWidth="1" min="2" max="2"/>
    <col width="40" customWidth="1" min="3" max="3"/>
    <col width="18" customWidth="1" min="4" max="4"/>
    <col width="18" customWidth="1" min="5" max="5"/>
    <col width="12" customWidth="1" min="6" max="6"/>
    <col width="15" customWidth="1" min="7" max="7"/>
    <col width="20" customWidth="1" min="8" max="8"/>
    <col width="30" customWidth="1" min="9" max="9"/>
  </cols>
  <sheetData>
    <row r="1" ht="35" customHeight="1">
      <c r="A1" s="11" t="inlineStr">
        <is>
          <t>EXTRACTION WORKSHEET — ARTICLE-BY-ARTICLE REVIEW</t>
        </is>
      </c>
    </row>
    <row r="2">
      <c r="A2" s="38" t="inlineStr">
        <is>
          <t>Article #</t>
        </is>
      </c>
      <c r="B2" s="38" t="inlineStr">
        <is>
          <t>Article Title</t>
        </is>
      </c>
      <c r="C2" s="38" t="inlineStr">
        <is>
          <t>Summary</t>
        </is>
      </c>
      <c r="D2" s="38" t="inlineStr">
        <is>
          <t>Contains Obligations?</t>
        </is>
      </c>
      <c r="E2" s="38" t="inlineStr">
        <is>
          <t>Est. # Requirements</t>
        </is>
      </c>
      <c r="F2" s="38" t="inlineStr">
        <is>
          <t>Complexity</t>
        </is>
      </c>
      <c r="G2" s="38" t="inlineStr">
        <is>
          <t>Legal Review?</t>
        </is>
      </c>
      <c r="H2" s="38" t="inlineStr">
        <is>
          <t>Status</t>
        </is>
      </c>
      <c r="I2" s="38" t="inlineStr">
        <is>
          <t>Notes</t>
        </is>
      </c>
    </row>
    <row r="3">
      <c r="A3" s="39" t="inlineStr">
        <is>
          <t>Art. 32</t>
        </is>
      </c>
      <c r="B3" s="40" t="inlineStr">
        <is>
          <t>Security of processing</t>
        </is>
      </c>
      <c r="C3" s="40" t="inlineStr">
        <is>
          <t>Requirements for technical and organisational measures</t>
        </is>
      </c>
      <c r="D3" s="39" t="inlineStr">
        <is>
          <t>Y</t>
        </is>
      </c>
      <c r="E3" s="39" t="inlineStr">
        <is>
          <t>5</t>
        </is>
      </c>
      <c r="F3" s="39" t="inlineStr">
        <is>
          <t>M</t>
        </is>
      </c>
      <c r="G3" s="39" t="inlineStr">
        <is>
          <t>N</t>
        </is>
      </c>
      <c r="H3" s="39" t="inlineStr">
        <is>
          <t>✅ Complete</t>
        </is>
      </c>
      <c r="I3" s="40" t="inlineStr">
        <is>
          <t>5 requirements extracted</t>
        </is>
      </c>
    </row>
    <row r="4">
      <c r="A4" s="39" t="inlineStr">
        <is>
          <t>Art. 33</t>
        </is>
      </c>
      <c r="B4" s="40" t="inlineStr">
        <is>
          <t>Breach notification</t>
        </is>
      </c>
      <c r="C4" s="40" t="inlineStr">
        <is>
          <t>72-hour notification requirement</t>
        </is>
      </c>
      <c r="D4" s="39" t="inlineStr">
        <is>
          <t>Y</t>
        </is>
      </c>
      <c r="E4" s="39" t="inlineStr">
        <is>
          <t>1</t>
        </is>
      </c>
      <c r="F4" s="39" t="inlineStr">
        <is>
          <t>S</t>
        </is>
      </c>
      <c r="G4" s="39" t="inlineStr">
        <is>
          <t>Y</t>
        </is>
      </c>
      <c r="H4" s="39" t="inlineStr">
        <is>
          <t>✅ Complete</t>
        </is>
      </c>
      <c r="I4" s="40" t="inlineStr">
        <is>
          <t>1 requirement extracted</t>
        </is>
      </c>
    </row>
    <row r="5">
      <c r="A5" s="39" t="inlineStr">
        <is>
          <t>Art. 34</t>
        </is>
      </c>
      <c r="B5" s="40" t="inlineStr">
        <is>
          <t>Communication to data subjects</t>
        </is>
      </c>
      <c r="C5" s="40" t="inlineStr">
        <is>
          <t>Notification to affected individuals</t>
        </is>
      </c>
      <c r="D5" s="39" t="inlineStr">
        <is>
          <t>Y</t>
        </is>
      </c>
      <c r="E5" s="39" t="inlineStr">
        <is>
          <t>2</t>
        </is>
      </c>
      <c r="F5" s="39" t="inlineStr">
        <is>
          <t>M</t>
        </is>
      </c>
      <c r="G5" s="39" t="inlineStr">
        <is>
          <t>Y</t>
        </is>
      </c>
      <c r="H5" s="39" t="inlineStr">
        <is>
          <t>⏳ In Progress</t>
        </is>
      </c>
      <c r="I5" s="40" t="inlineStr"/>
    </row>
    <row r="6">
      <c r="A6" s="39" t="inlineStr">
        <is>
          <t>Art. 35</t>
        </is>
      </c>
      <c r="B6" s="40" t="inlineStr">
        <is>
          <t>Data protection impact assessment</t>
        </is>
      </c>
      <c r="C6" s="40" t="inlineStr">
        <is>
          <t>DPIA requirements and process</t>
        </is>
      </c>
      <c r="D6" s="39" t="inlineStr">
        <is>
          <t>Y</t>
        </is>
      </c>
      <c r="E6" s="39" t="inlineStr">
        <is>
          <t>4</t>
        </is>
      </c>
      <c r="F6" s="39" t="inlineStr">
        <is>
          <t>C</t>
        </is>
      </c>
      <c r="G6" s="39" t="inlineStr">
        <is>
          <t>Y</t>
        </is>
      </c>
      <c r="H6" s="39" t="inlineStr">
        <is>
          <t>➖ Not Started</t>
        </is>
      </c>
      <c r="I6" s="40" t="inlineStr"/>
    </row>
    <row r="7">
      <c r="A7" s="39" t="inlineStr">
        <is>
          <t>Art. 36</t>
        </is>
      </c>
      <c r="B7" s="40" t="inlineStr">
        <is>
          <t>Prior consultation</t>
        </is>
      </c>
      <c r="C7" s="40" t="inlineStr">
        <is>
          <t>Consultation with supervisory authority</t>
        </is>
      </c>
      <c r="D7" s="39" t="inlineStr">
        <is>
          <t>Y</t>
        </is>
      </c>
      <c r="E7" s="39" t="inlineStr">
        <is>
          <t>1</t>
        </is>
      </c>
      <c r="F7" s="39" t="inlineStr">
        <is>
          <t>M</t>
        </is>
      </c>
      <c r="G7" s="39" t="inlineStr">
        <is>
          <t>Y</t>
        </is>
      </c>
      <c r="H7" s="39" t="inlineStr">
        <is>
          <t>➖ Not Started</t>
        </is>
      </c>
      <c r="I7" s="40" t="inlineStr"/>
    </row>
  </sheetData>
  <autoFilter ref="A2:I2"/>
  <mergeCells count="1">
    <mergeCell ref="A1:I1"/>
  </mergeCells>
  <dataValidations count="4">
    <dataValidation sqref="D3:D100" showDropDown="0" showInputMessage="0" showErrorMessage="0" allowBlank="1" type="list">
      <formula1>"Y,N"</formula1>
    </dataValidation>
    <dataValidation sqref="F3:F100" showDropDown="0" showInputMessage="0" showErrorMessage="0" allowBlank="1" type="list">
      <formula1>"S,M,C"</formula1>
    </dataValidation>
    <dataValidation sqref="G3:G100" showDropDown="0" showInputMessage="0" showErrorMessage="0" allowBlank="1" type="list">
      <formula1>"Y,N"</formula1>
    </dataValidation>
    <dataValidation sqref="H3:H100" showDropDown="0" showInputMessage="0" showErrorMessage="0" allowBlank="1" type="list">
      <formula1>"➖ Not Started,⏳ In Progress,✅ Complete"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ISMS-IMP-A.5.31.3 — Requirements Register</dc:title>
  <dc:description xmlns:dc="http://purl.org/dc/elements/1.1/">ISMS Implementation Workbook — ISMS-IMP-A.5.31.3</dc:description>
  <dc:subject xmlns:dc="http://purl.org/dc/elements/1.1/">ISO/IEC 27001:2022 — Control A.5.31: Legal, Statutory, Regulatory and Contractual Requirements</dc:subject>
  <dcterms:created xmlns:dcterms="http://purl.org/dc/terms/" xmlns:xsi="http://www.w3.org/2001/XMLSchema-instance" xsi:type="dcterms:W3CDTF">2026-03-01T11:12:09Z</dcterms:created>
  <dcterms:modified xmlns:dcterms="http://purl.org/dc/terms/" xmlns:xsi="http://www.w3.org/2001/XMLSchema-instance" xsi:type="dcterms:W3CDTF">2026-03-01T11:12:09Z</dcterms:modified>
</cp:coreProperties>
</file>