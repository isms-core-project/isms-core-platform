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IP Asset Inventory" sheetId="2" state="visible" r:id="rId2"/>
    <sheet xmlns:r="http://schemas.openxmlformats.org/officeDocument/2006/relationships" name="IP Protection Assessment" sheetId="3" state="visible" r:id="rId3"/>
    <sheet xmlns:r="http://schemas.openxmlformats.org/officeDocument/2006/relationships" name="Third-Party IP Register" sheetId="4" state="visible" r:id="rId4"/>
    <sheet xmlns:r="http://schemas.openxmlformats.org/officeDocument/2006/relationships" name="Software License Compliance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ISMS-IMP-A.5.32-33.S1  -  IP Rights Inventory
ISO/IEC 27001:2022 - Control A.5.32: Intellectual Property Rights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ISMS-IMP-A.5.32-33.S1</t>
        </is>
      </c>
    </row>
    <row r="5">
      <c r="A5" s="3" t="inlineStr">
        <is>
          <t>Workbook Title</t>
        </is>
      </c>
      <c r="B5" t="inlineStr">
        <is>
          <t>IP Rights Inventory</t>
        </is>
      </c>
    </row>
    <row r="6">
      <c r="A6" s="3" t="inlineStr">
        <is>
          <t>Control Reference</t>
        </is>
      </c>
      <c r="B6" t="inlineStr">
        <is>
          <t>ISO/IEC 27001:2022 - Control A.5.32: Intellectual Property Rights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IP Asset Inventory — list all intellectual property assets (software, content, data).</t>
        </is>
      </c>
    </row>
    <row r="14">
      <c r="A14" t="inlineStr">
        <is>
          <t>2. Complete IP Protection Assessment — evaluate controls protecting each IP asset.</t>
        </is>
      </c>
    </row>
    <row r="15">
      <c r="A15" t="inlineStr">
        <is>
          <t>3. Complete Third-Party IP Register — document third-party IP in use and licence obligations.</t>
        </is>
      </c>
    </row>
    <row r="16">
      <c r="A16" t="inlineStr">
        <is>
          <t>4. Complete Software License Compliance — verify all software licences are current and compliant.</t>
        </is>
      </c>
    </row>
    <row r="17">
      <c r="A17" t="inlineStr">
        <is>
          <t>5. Complete Gap Analysis — identify IP assets with inadequate protection controls.</t>
        </is>
      </c>
    </row>
    <row r="18">
      <c r="A18" t="inlineStr">
        <is>
          <t>6. Maintain the Evidence Register with licence agreements and protection control evidence.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45" customWidth="1" min="4" max="4"/>
    <col width="20" customWidth="1" min="5" max="5"/>
    <col width="20" customWidth="1" min="6" max="6"/>
    <col width="18" customWidth="1" min="7" max="7"/>
    <col width="12" customWidth="1" min="8" max="8"/>
    <col width="15" customWidth="1" min="9" max="9"/>
    <col width="12" customWidth="1" min="10" max="10"/>
    <col width="12" customWidth="1" min="11" max="11"/>
    <col width="30" customWidth="1" min="12" max="12"/>
  </cols>
  <sheetData>
    <row r="1" ht="35" customHeight="1">
      <c r="A1" s="11" t="inlineStr">
        <is>
          <t>IP ASSET INVENTORY</t>
        </is>
      </c>
    </row>
    <row r="2">
      <c r="A2" s="12" t="inlineStr">
        <is>
          <t>Comprehensive register of all organisational intellectual property</t>
        </is>
      </c>
    </row>
    <row r="3" ht="5" customHeight="1"/>
    <row r="4">
      <c r="A4" s="13" t="inlineStr">
        <is>
          <t>IP Asset ID</t>
        </is>
      </c>
      <c r="B4" s="13" t="inlineStr">
        <is>
          <t>IP Asset Name</t>
        </is>
      </c>
      <c r="C4" s="13" t="inlineStr">
        <is>
          <t>IP Category</t>
        </is>
      </c>
      <c r="D4" s="13" t="inlineStr">
        <is>
          <t>Description</t>
        </is>
      </c>
      <c r="E4" s="13" t="inlineStr">
        <is>
          <t>IP Owner</t>
        </is>
      </c>
      <c r="F4" s="13" t="inlineStr">
        <is>
          <t>Custodian</t>
        </is>
      </c>
      <c r="G4" s="13" t="inlineStr">
        <is>
          <t>Legal Protection Status</t>
        </is>
      </c>
      <c r="H4" s="13" t="inlineStr">
        <is>
          <t>Business Value</t>
        </is>
      </c>
      <c r="I4" s="13" t="inlineStr">
        <is>
          <t>Classification</t>
        </is>
      </c>
      <c r="J4" s="13" t="inlineStr">
        <is>
          <t>Creation Date</t>
        </is>
      </c>
      <c r="K4" s="13" t="inlineStr">
        <is>
          <t>Last Review</t>
        </is>
      </c>
      <c r="L4" s="13" t="inlineStr">
        <is>
          <t>Notes</t>
        </is>
      </c>
    </row>
    <row r="5">
      <c r="A5" s="14" t="inlineStr">
        <is>
          <t>IP-001</t>
        </is>
      </c>
      <c r="B5" s="14" t="inlineStr">
        <is>
          <t>Customer Analytics Algorithm</t>
        </is>
      </c>
      <c r="C5" s="14" t="inlineStr">
        <is>
          <t>Trade Secret</t>
        </is>
      </c>
      <c r="D5" s="14" t="inlineStr">
        <is>
          <t>Proprietary algorithm for customer churn prediction</t>
        </is>
      </c>
      <c r="E5" s="14" t="inlineStr">
        <is>
          <t>Chief Data Officer</t>
        </is>
      </c>
      <c r="F5" s="14" t="inlineStr">
        <is>
          <t>Analytics Team Lead</t>
        </is>
      </c>
      <c r="G5" s="14" t="inlineStr">
        <is>
          <t>Registered</t>
        </is>
      </c>
      <c r="H5" s="14" t="inlineStr">
        <is>
          <t>High</t>
        </is>
      </c>
      <c r="I5" s="14" t="inlineStr">
        <is>
          <t>Restricted</t>
        </is>
      </c>
      <c r="J5" s="14" t="inlineStr">
        <is>
          <t>2023-01-15</t>
        </is>
      </c>
      <c r="K5" s="14" t="inlineStr">
        <is>
          <t>2025-01-15</t>
        </is>
      </c>
      <c r="L5" s="14" t="inlineStr">
        <is>
          <t>Annual review completed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4">
    <dataValidation sqref="C6:C55" showDropDown="0" showInputMessage="0" showErrorMessage="0" allowBlank="1" type="list">
      <formula1>"Trade Secret,Patent,Copyright,Trademark"</formula1>
    </dataValidation>
    <dataValidation sqref="G6:G55" showDropDown="0" showInputMessage="0" showErrorMessage="0" allowBlank="1" type="list">
      <formula1>"Registered,Pending,Unregistered,N/A"</formula1>
    </dataValidation>
    <dataValidation sqref="H6:H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"Restricted,Confidential,Internal,Public"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25" customWidth="1" min="6" max="6"/>
    <col width="25" customWidth="1" min="7" max="7"/>
    <col width="18" customWidth="1" min="8" max="8"/>
    <col width="35" customWidth="1" min="9" max="9"/>
    <col width="35" customWidth="1" min="10" max="10"/>
    <col width="15" customWidth="1" min="11" max="11"/>
  </cols>
  <sheetData>
    <row r="1" ht="35" customHeight="1">
      <c r="A1" s="11" t="inlineStr">
        <is>
          <t>IP PROTECTION ASSESSMENT</t>
        </is>
      </c>
    </row>
    <row r="2">
      <c r="A2" s="12" t="inlineStr">
        <is>
          <t>Protection controls assessment for each IP asset</t>
        </is>
      </c>
    </row>
    <row r="3" ht="5" customHeight="1"/>
    <row r="4">
      <c r="A4" s="13" t="inlineStr">
        <is>
          <t>IP Asset ID</t>
        </is>
      </c>
      <c r="B4" s="13" t="inlineStr">
        <is>
          <t>IP Asset Name</t>
        </is>
      </c>
      <c r="C4" s="13" t="inlineStr">
        <is>
          <t>Access Control</t>
        </is>
      </c>
      <c r="D4" s="13" t="inlineStr">
        <is>
          <t>Technical Controls</t>
        </is>
      </c>
      <c r="E4" s="13" t="inlineStr">
        <is>
          <t>Administrative Controls</t>
        </is>
      </c>
      <c r="F4" s="13" t="inlineStr">
        <is>
          <t>Physical Controls</t>
        </is>
      </c>
      <c r="G4" s="13" t="inlineStr">
        <is>
          <t>Legal Protection</t>
        </is>
      </c>
      <c r="H4" s="13" t="inlineStr">
        <is>
          <t>Control Effectiveness</t>
        </is>
      </c>
      <c r="I4" s="13" t="inlineStr">
        <is>
          <t>Gap Description</t>
        </is>
      </c>
      <c r="J4" s="13" t="inlineStr">
        <is>
          <t>Remediation Needed</t>
        </is>
      </c>
      <c r="K4" s="13" t="inlineStr">
        <is>
          <t>Status</t>
        </is>
      </c>
    </row>
    <row r="5">
      <c r="A5" s="14" t="inlineStr">
        <is>
          <t>IP-001</t>
        </is>
      </c>
      <c r="B5" s="14" t="inlineStr">
        <is>
          <t>Customer Analytics Algorithm</t>
        </is>
      </c>
      <c r="C5" s="14" t="inlineStr">
        <is>
          <t>Role-based access, need-to-know basis</t>
        </is>
      </c>
      <c r="D5" s="14" t="inlineStr">
        <is>
          <t>Encryption at rest, code obfuscation</t>
        </is>
      </c>
      <c r="E5" s="14" t="inlineStr">
        <is>
          <t>NDA for all staff with access</t>
        </is>
      </c>
      <c r="F5" s="14" t="inlineStr">
        <is>
          <t>Secure server room, access cards</t>
        </is>
      </c>
      <c r="G5" s="14" t="inlineStr">
        <is>
          <t>Trade secret protection registered</t>
        </is>
      </c>
      <c r="H5" s="14" t="inlineStr">
        <is>
          <t>Effective</t>
        </is>
      </c>
      <c r="I5" s="14" t="inlineStr"/>
      <c r="J5" s="14" t="inlineStr"/>
      <c r="K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2">
    <dataValidation sqref="H6:H55" showDropDown="0" showInputMessage="0" showErrorMessage="0" allowBlank="1" type="list">
      <formula1>"Effective,Partial,Ineffective"</formula1>
    </dataValidation>
    <dataValidation sqref="K6:K55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12" customWidth="1" min="9" max="9"/>
    <col width="18" customWidth="1" min="10" max="10"/>
    <col width="30" customWidth="1" min="11" max="11"/>
  </cols>
  <sheetData>
    <row r="1" ht="35" customHeight="1">
      <c r="A1" s="11" t="inlineStr">
        <is>
          <t>THIRD-PARTY IP REGISTER</t>
        </is>
      </c>
    </row>
    <row r="2">
      <c r="A2" s="12" t="inlineStr">
        <is>
          <t>Licensed software, content, and third-party intellectual property</t>
        </is>
      </c>
    </row>
    <row r="3" ht="5" customHeight="1"/>
    <row r="4">
      <c r="A4" s="13" t="inlineStr">
        <is>
          <t>Third-Party IP ID</t>
        </is>
      </c>
      <c r="B4" s="13" t="inlineStr">
        <is>
          <t>Software/Content Name</t>
        </is>
      </c>
      <c r="C4" s="13" t="inlineStr">
        <is>
          <t>Vendor</t>
        </is>
      </c>
      <c r="D4" s="13" t="inlineStr">
        <is>
          <t>License Type</t>
        </is>
      </c>
      <c r="E4" s="13" t="inlineStr">
        <is>
          <t>License Quantity</t>
        </is>
      </c>
      <c r="F4" s="13" t="inlineStr">
        <is>
          <t>Deployed Quantity</t>
        </is>
      </c>
      <c r="G4" s="13" t="inlineStr">
        <is>
          <t>Compliance Status</t>
        </is>
      </c>
      <c r="H4" s="13" t="inlineStr">
        <is>
          <t>Contract Reference</t>
        </is>
      </c>
      <c r="I4" s="13" t="inlineStr">
        <is>
          <t>Renewal Date</t>
        </is>
      </c>
      <c r="J4" s="13" t="inlineStr">
        <is>
          <t>Open Source License</t>
        </is>
      </c>
      <c r="K4" s="13" t="inlineStr">
        <is>
          <t>Notes</t>
        </is>
      </c>
    </row>
    <row r="5">
      <c r="A5" s="14" t="inlineStr">
        <is>
          <t>TP-001</t>
        </is>
      </c>
      <c r="B5" s="14" t="inlineStr">
        <is>
          <t>Microsoft 365</t>
        </is>
      </c>
      <c r="C5" s="14" t="inlineStr">
        <is>
          <t>Microsoft</t>
        </is>
      </c>
      <c r="D5" s="14" t="inlineStr">
        <is>
          <t>Subscription</t>
        </is>
      </c>
      <c r="E5" s="14" t="inlineStr">
        <is>
          <t>500</t>
        </is>
      </c>
      <c r="F5" s="14" t="inlineStr">
        <is>
          <t>487</t>
        </is>
      </c>
      <c r="G5" s="14" t="inlineStr">
        <is>
          <t>Compliant</t>
        </is>
      </c>
      <c r="H5" s="14" t="inlineStr">
        <is>
          <t>MSA-2024-001</t>
        </is>
      </c>
      <c r="I5" s="14" t="inlineStr">
        <is>
          <t>2026-12-31</t>
        </is>
      </c>
      <c r="J5" s="14" t="inlineStr">
        <is>
          <t>N/A</t>
        </is>
      </c>
      <c r="K5" s="14" t="inlineStr">
        <is>
          <t>Enterprise agreement, includes Teams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D6:D55" showDropDown="0" showInputMessage="0" showErrorMessage="0" allowBlank="1" type="list">
      <formula1>"Perpetual,Subscription,Open Source,Freeware"</formula1>
    </dataValidation>
    <dataValidation sqref="G6:G55" showDropDown="0" showInputMessage="0" showErrorMessage="0" allowBlank="1" type="list">
      <formula1>"Compliant,Over-deployed,Under-utilised"</formula1>
    </dataValidation>
    <dataValidation sqref="J6:J55" showDropDown="0" showInputMessage="0" showErrorMessage="0" allowBlank="1" type="list">
      <formula1>"GPL,Apache,MIT,BSD,LGPL,MPL,Other,N/A"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 ht="35" customHeight="1">
      <c r="A1" s="11" t="inlineStr">
        <is>
          <t>SOFTWARE LICENSE COMPLIANCE</t>
        </is>
      </c>
    </row>
    <row r="2">
      <c r="A2" s="12" t="inlineStr">
        <is>
          <t>License entitlement vs deployment reconciliation</t>
        </is>
      </c>
    </row>
    <row r="3" ht="5" customHeight="1"/>
    <row r="4">
      <c r="A4" s="13" t="inlineStr">
        <is>
          <t>Software Name</t>
        </is>
      </c>
      <c r="B4" s="13" t="inlineStr">
        <is>
          <t>Vendor</t>
        </is>
      </c>
      <c r="C4" s="13" t="inlineStr">
        <is>
          <t>License Model</t>
        </is>
      </c>
      <c r="D4" s="13" t="inlineStr">
        <is>
          <t>Entitled</t>
        </is>
      </c>
      <c r="E4" s="13" t="inlineStr">
        <is>
          <t>Deployed</t>
        </is>
      </c>
      <c r="F4" s="13" t="inlineStr">
        <is>
          <t>Variance</t>
        </is>
      </c>
      <c r="G4" s="13" t="inlineStr">
        <is>
          <t>Compliance Risk</t>
        </is>
      </c>
      <c r="H4" s="13" t="inlineStr">
        <is>
          <t>Remediation Action</t>
        </is>
      </c>
      <c r="I4" s="13" t="inlineStr">
        <is>
          <t>Due Date</t>
        </is>
      </c>
      <c r="J4" s="13" t="inlineStr">
        <is>
          <t>Status</t>
        </is>
      </c>
    </row>
    <row r="5">
      <c r="A5" s="14" t="inlineStr">
        <is>
          <t>Microsoft Windows Server</t>
        </is>
      </c>
      <c r="B5" s="14" t="inlineStr">
        <is>
          <t>Microsoft</t>
        </is>
      </c>
      <c r="C5" s="14" t="inlineStr">
        <is>
          <t>Per Core</t>
        </is>
      </c>
      <c r="D5" s="14" t="inlineStr">
        <is>
          <t>48</t>
        </is>
      </c>
      <c r="E5" s="14" t="inlineStr">
        <is>
          <t>48</t>
        </is>
      </c>
      <c r="F5" s="14" t="inlineStr">
        <is>
          <t>0</t>
        </is>
      </c>
      <c r="G5" s="14" t="inlineStr">
        <is>
          <t>None</t>
        </is>
      </c>
      <c r="H5" s="14" t="inlineStr">
        <is>
          <t>No action required — fully licensed</t>
        </is>
      </c>
      <c r="I5" s="14" t="inlineStr">
        <is>
          <t>N/A</t>
        </is>
      </c>
      <c r="J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>
        <f>IF(AND(D6&lt;&gt;"",E6&lt;&gt;""),E6-D6,"")</f>
        <v/>
      </c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>
        <f>IF(AND(D7&lt;&gt;"",E7&lt;&gt;""),E7-D7,"")</f>
        <v/>
      </c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>
        <f>IF(AND(D8&lt;&gt;"",E8&lt;&gt;""),E8-D8,"")</f>
        <v/>
      </c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>
        <f>IF(AND(D9&lt;&gt;"",E9&lt;&gt;""),E9-D9,"")</f>
        <v/>
      </c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>
        <f>IF(AND(D10&lt;&gt;"",E10&lt;&gt;""),E10-D10,"")</f>
        <v/>
      </c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>
        <f>IF(AND(D11&lt;&gt;"",E11&lt;&gt;""),E11-D11,"")</f>
        <v/>
      </c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>
        <f>IF(AND(D12&lt;&gt;"",E12&lt;&gt;""),E12-D12,"")</f>
        <v/>
      </c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>
        <f>IF(AND(D13&lt;&gt;"",E13&lt;&gt;""),E13-D13,"")</f>
        <v/>
      </c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>
        <f>IF(AND(D14&lt;&gt;"",E14&lt;&gt;""),E14-D14,"")</f>
        <v/>
      </c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>
        <f>IF(AND(D15&lt;&gt;"",E15&lt;&gt;""),E15-D15,"")</f>
        <v/>
      </c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>
        <f>IF(AND(D16&lt;&gt;"",E16&lt;&gt;""),E16-D16,"")</f>
        <v/>
      </c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>
        <f>IF(AND(D17&lt;&gt;"",E17&lt;&gt;""),E17-D17,"")</f>
        <v/>
      </c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>
        <f>IF(AND(D18&lt;&gt;"",E18&lt;&gt;""),E18-D18,"")</f>
        <v/>
      </c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>
        <f>IF(AND(D19&lt;&gt;"",E19&lt;&gt;""),E19-D19,"")</f>
        <v/>
      </c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>
        <f>IF(AND(D20&lt;&gt;"",E20&lt;&gt;""),E20-D20,"")</f>
        <v/>
      </c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>
        <f>IF(AND(D21&lt;&gt;"",E21&lt;&gt;""),E21-D21,"")</f>
        <v/>
      </c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>
        <f>IF(AND(D22&lt;&gt;"",E22&lt;&gt;""),E22-D22,"")</f>
        <v/>
      </c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>
        <f>IF(AND(D23&lt;&gt;"",E23&lt;&gt;""),E23-D23,"")</f>
        <v/>
      </c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>
        <f>IF(AND(D24&lt;&gt;"",E24&lt;&gt;""),E24-D24,"")</f>
        <v/>
      </c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>
        <f>IF(AND(D25&lt;&gt;"",E25&lt;&gt;""),E25-D25,"")</f>
        <v/>
      </c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>
        <f>IF(AND(D26&lt;&gt;"",E26&lt;&gt;""),E26-D26,"")</f>
        <v/>
      </c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>
        <f>IF(AND(D27&lt;&gt;"",E27&lt;&gt;""),E27-D27,"")</f>
        <v/>
      </c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>
        <f>IF(AND(D28&lt;&gt;"",E28&lt;&gt;""),E28-D28,"")</f>
        <v/>
      </c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>
        <f>IF(AND(D29&lt;&gt;"",E29&lt;&gt;""),E29-D29,"")</f>
        <v/>
      </c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>
        <f>IF(AND(D30&lt;&gt;"",E30&lt;&gt;""),E30-D30,"")</f>
        <v/>
      </c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>
        <f>IF(AND(D31&lt;&gt;"",E31&lt;&gt;""),E31-D31,"")</f>
        <v/>
      </c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>
        <f>IF(AND(D32&lt;&gt;"",E32&lt;&gt;""),E32-D32,"")</f>
        <v/>
      </c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>
        <f>IF(AND(D33&lt;&gt;"",E33&lt;&gt;""),E33-D33,"")</f>
        <v/>
      </c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>
        <f>IF(AND(D34&lt;&gt;"",E34&lt;&gt;""),E34-D34,"")</f>
        <v/>
      </c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>
        <f>IF(AND(D35&lt;&gt;"",E35&lt;&gt;""),E35-D35,"")</f>
        <v/>
      </c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>
        <f>IF(AND(D36&lt;&gt;"",E36&lt;&gt;""),E36-D36,"")</f>
        <v/>
      </c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>
        <f>IF(AND(D37&lt;&gt;"",E37&lt;&gt;""),E37-D37,"")</f>
        <v/>
      </c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>
        <f>IF(AND(D38&lt;&gt;"",E38&lt;&gt;""),E38-D38,"")</f>
        <v/>
      </c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>
        <f>IF(AND(D39&lt;&gt;"",E39&lt;&gt;""),E39-D39,"")</f>
        <v/>
      </c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>
        <f>IF(AND(D40&lt;&gt;"",E40&lt;&gt;""),E40-D40,"")</f>
        <v/>
      </c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>
        <f>IF(AND(D41&lt;&gt;"",E41&lt;&gt;""),E41-D41,"")</f>
        <v/>
      </c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>
        <f>IF(AND(D42&lt;&gt;"",E42&lt;&gt;""),E42-D42,"")</f>
        <v/>
      </c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>
        <f>IF(AND(D43&lt;&gt;"",E43&lt;&gt;""),E43-D43,"")</f>
        <v/>
      </c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>
        <f>IF(AND(D44&lt;&gt;"",E44&lt;&gt;""),E44-D44,"")</f>
        <v/>
      </c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>
        <f>IF(AND(D45&lt;&gt;"",E45&lt;&gt;""),E45-D45,"")</f>
        <v/>
      </c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>
        <f>IF(AND(D46&lt;&gt;"",E46&lt;&gt;""),E46-D46,"")</f>
        <v/>
      </c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>
        <f>IF(AND(D47&lt;&gt;"",E47&lt;&gt;""),E47-D47,"")</f>
        <v/>
      </c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>
        <f>IF(AND(D48&lt;&gt;"",E48&lt;&gt;""),E48-D48,"")</f>
        <v/>
      </c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>
        <f>IF(AND(D49&lt;&gt;"",E49&lt;&gt;""),E49-D49,"")</f>
        <v/>
      </c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>
        <f>IF(AND(D50&lt;&gt;"",E50&lt;&gt;""),E50-D50,"")</f>
        <v/>
      </c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>
        <f>IF(AND(D51&lt;&gt;"",E51&lt;&gt;""),E51-D51,"")</f>
        <v/>
      </c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>
        <f>IF(AND(D52&lt;&gt;"",E52&lt;&gt;""),E52-D52,"")</f>
        <v/>
      </c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>
        <f>IF(AND(D53&lt;&gt;"",E53&lt;&gt;""),E53-D53,"")</f>
        <v/>
      </c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>
        <f>IF(AND(D54&lt;&gt;"",E54&lt;&gt;""),E54-D54,"")</f>
        <v/>
      </c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>
        <f>IF(AND(D55&lt;&gt;"",E55&lt;&gt;""),E55-D55,"")</f>
        <v/>
      </c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C6:C55" showDropDown="0" showInputMessage="0" showErrorMessage="0" allowBlank="1" type="list">
      <formula1>"Named User,Device,Enterprise,Per Core,Subscription"</formula1>
    </dataValidation>
    <dataValidation sqref="G6:G55" showDropDown="0" showInputMessage="0" showErrorMessage="0" allowBlank="1" type="list">
      <formula1>"High,Medium,Low,None"</formula1>
    </dataValidation>
    <dataValidation sqref="J6:J55" showDropDown="0" showInputMessage="0" showErrorMessage="0" allowBlank="1" type="list">
      <formula1>"Open,In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15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5" customHeight="1">
      <c r="A1" s="11" t="inlineStr">
        <is>
          <t>GAP ANALYSIS</t>
        </is>
      </c>
    </row>
    <row r="2">
      <c r="A2" s="12" t="inlineStr">
        <is>
          <t>Identified protection and compliance gaps with remediation tracking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IP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GAP-001</t>
        </is>
      </c>
      <c r="B5" s="14" t="inlineStr">
        <is>
          <t>Compliance</t>
        </is>
      </c>
      <c r="C5" s="14" t="inlineStr">
        <is>
          <t>Two software titles deployed without valid licence</t>
        </is>
      </c>
      <c r="D5" s="14" t="inlineStr">
        <is>
          <t>TP-002 Adobe Creative Cloud</t>
        </is>
      </c>
      <c r="E5" s="14" t="inlineStr">
        <is>
          <t>High</t>
        </is>
      </c>
      <c r="F5" s="14" t="inlineStr">
        <is>
          <t>Purchase 2 additional licences immediately</t>
        </is>
      </c>
      <c r="G5" s="14" t="inlineStr">
        <is>
          <t>Procurement Manager</t>
        </is>
      </c>
      <c r="H5" s="14" t="inlineStr">
        <is>
          <t>2026-03-15</t>
        </is>
      </c>
      <c r="I5" s="14" t="inlineStr">
        <is>
          <t>Open</t>
        </is>
      </c>
      <c r="J5" s="14" t="inlineStr">
        <is>
          <t>Urgent — licence audit finding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B6:B55" showDropDown="0" showInputMessage="0" showErrorMessage="0" allowBlank="1" type="list">
      <formula1>"Protection,Compliance,Documentation,Process"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5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6" t="inlineStr">
        <is>
          <t>Audit evidence supporting IP protection assessment</t>
        </is>
      </c>
    </row>
    <row r="3" ht="5" customHeight="1"/>
    <row r="4">
      <c r="A4" s="17" t="inlineStr">
        <is>
          <t>Evidence ID</t>
        </is>
      </c>
      <c r="B4" s="17" t="inlineStr">
        <is>
          <t>Description</t>
        </is>
      </c>
      <c r="C4" s="17" t="inlineStr">
        <is>
          <t>Evidence Type</t>
        </is>
      </c>
      <c r="D4" s="17" t="inlineStr">
        <is>
          <t>Related Item</t>
        </is>
      </c>
      <c r="E4" s="17" t="inlineStr">
        <is>
          <t>Storage Location</t>
        </is>
      </c>
      <c r="F4" s="17" t="inlineStr">
        <is>
          <t>Collected Date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8" t="inlineStr">
        <is>
          <t>IP asset inventory register review</t>
        </is>
      </c>
      <c r="C5" s="18" t="inlineStr">
        <is>
          <t>Document</t>
        </is>
      </c>
      <c r="D5" s="18" t="inlineStr">
        <is>
          <t>IP Asset Inventory</t>
        </is>
      </c>
      <c r="E5" s="18" t="inlineStr">
        <is>
          <t>/evidence/ip-rights/asset-register-2026.xlsx</t>
        </is>
      </c>
      <c r="F5" s="18" t="inlineStr">
        <is>
          <t>2026-02-01</t>
        </is>
      </c>
      <c r="G5" s="18" t="inlineStr">
        <is>
          <t>Legal Counsel</t>
        </is>
      </c>
      <c r="H5" s="18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"Document,Screenshot,Report,Configuration,Certificate,Other"</formula1>
    </dataValidation>
    <dataValidation sqref="H6:H105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IP RIGHTS INVENTORY — SUMMARY DASHBOARD</t>
        </is>
      </c>
      <c r="B1" s="6" t="n"/>
      <c r="C1" s="6" t="n"/>
      <c r="D1" s="6" t="n"/>
      <c r="E1" s="6" t="n"/>
      <c r="F1" s="6" t="n"/>
      <c r="G1" s="6" t="n"/>
    </row>
    <row r="2">
      <c r="A2" s="20" t="inlineStr">
        <is>
          <t>ISO/IEC 27001:2022 — Control A.5.32: Intellectual Property Rights</t>
        </is>
      </c>
    </row>
    <row r="4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IP Asset Inventory</t>
        </is>
      </c>
      <c r="B6" s="24">
        <f>COUNTA('IP Asset Inventory'!B6:B55)</f>
        <v/>
      </c>
      <c r="C6" s="24">
        <f>COUNTIF('IP Asset Inventory'!G6:G55,"Registered")</f>
        <v/>
      </c>
      <c r="D6" s="24">
        <f>COUNTIF('IP Asset Inventory'!G6:G55,"Pending")</f>
        <v/>
      </c>
      <c r="E6" s="24">
        <f>COUNTIF('IP Asset Inventory'!G6:G55,"Unregistered")</f>
        <v/>
      </c>
      <c r="F6" s="24">
        <f>COUNTIF('IP Asset Inventory'!G6:G55,"N/A")</f>
        <v/>
      </c>
      <c r="G6" s="25">
        <f>IFERROR(IF((B6-F6)=0,0,C6/(B6-F6)),"")</f>
        <v/>
      </c>
    </row>
    <row r="7">
      <c r="A7" s="23" t="inlineStr">
        <is>
          <t>IP Protection Assessment</t>
        </is>
      </c>
      <c r="B7" s="24">
        <f>COUNTA('IP Protection Assessment'!B6:B55)</f>
        <v/>
      </c>
      <c r="C7" s="24">
        <f>COUNTIF('IP Protection Assessment'!H6:H55,"Effective")</f>
        <v/>
      </c>
      <c r="D7" s="24">
        <f>COUNTIF('IP Protection Assessment'!H6:H55,"Partial")</f>
        <v/>
      </c>
      <c r="E7" s="24">
        <f>COUNTIF('IP Protection Assessment'!H6:H55,"Ineffective")</f>
        <v/>
      </c>
      <c r="F7" s="24" t="n">
        <v>0</v>
      </c>
      <c r="G7" s="25">
        <f>IFERROR(IF((B7-F7)=0,0,C7/(B7-F7)),"")</f>
        <v/>
      </c>
    </row>
    <row r="8">
      <c r="A8" s="23" t="inlineStr">
        <is>
          <t>Third-Party IP Register</t>
        </is>
      </c>
      <c r="B8" s="24">
        <f>COUNTA('Third-Party IP Register'!B6:B55)</f>
        <v/>
      </c>
      <c r="C8" s="24">
        <f>COUNTIF('Third-Party IP Register'!G6:G55,"Compliant")</f>
        <v/>
      </c>
      <c r="D8" s="24">
        <f>COUNTIF('Third-Party IP Register'!G6:G55,"Under-utilised")</f>
        <v/>
      </c>
      <c r="E8" s="24">
        <f>COUNTIF('Third-Party IP Register'!G6:G55,"Over-deployed")</f>
        <v/>
      </c>
      <c r="F8" s="24" t="n">
        <v>0</v>
      </c>
      <c r="G8" s="25">
        <f>IFERROR(IF((B8-F8)=0,0,C8/(B8-F8)),"")</f>
        <v/>
      </c>
    </row>
    <row r="9">
      <c r="A9" s="23" t="inlineStr">
        <is>
          <t>Software License Compliance</t>
        </is>
      </c>
      <c r="B9" s="24">
        <f>COUNTA('Software License Compliance'!A6:A55)</f>
        <v/>
      </c>
      <c r="C9" s="24">
        <f>COUNTIF('Software License Compliance'!J6:J55,"Complete")</f>
        <v/>
      </c>
      <c r="D9" s="24">
        <f>COUNTIF('Software License Compliance'!J6:J55,"In Progress")</f>
        <v/>
      </c>
      <c r="E9" s="24">
        <f>COUNTIF('Software License Compliance'!J6:J55,"Open")</f>
        <v/>
      </c>
      <c r="F9" s="24">
        <f>COUNTIF('Software License Compliance'!J6:J55,"N/A")</f>
        <v/>
      </c>
      <c r="G9" s="25">
        <f>IFERROR(IF((B9-F9)=0,0,C9/(B9-F9)),"")</f>
        <v/>
      </c>
    </row>
    <row r="10">
      <c r="A10" s="26" t="inlineStr">
        <is>
          <t>TOTAL</t>
        </is>
      </c>
      <c r="B10" s="27">
        <f>SUM(B6:B9)</f>
        <v/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8">
        <f>IFERROR(IF((B10-F10)=0,0,C10/(B10-F10)),"")</f>
        <v/>
      </c>
    </row>
    <row r="12">
      <c r="A12" s="21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7" t="inlineStr">
        <is>
          <t>Metric</t>
        </is>
      </c>
      <c r="B13" s="27" t="inlineStr">
        <is>
          <t>Value</t>
        </is>
      </c>
      <c r="C13" s="27" t="n"/>
      <c r="D13" s="27" t="n"/>
      <c r="E13" s="27" t="n"/>
      <c r="F13" s="27" t="n"/>
      <c r="G13" s="27" t="n"/>
    </row>
    <row r="14">
      <c r="A14" s="26" t="inlineStr">
        <is>
          <t>IP Asset Inventory Metrics</t>
        </is>
      </c>
      <c r="B14" s="29" t="n"/>
      <c r="C14" s="29" t="n"/>
      <c r="D14" s="29" t="n"/>
      <c r="E14" s="29" t="n"/>
      <c r="F14" s="29" t="n"/>
      <c r="G14" s="29" t="n"/>
    </row>
    <row r="15">
      <c r="A15" s="23" t="inlineStr">
        <is>
          <t>Total IP Assets Documented</t>
        </is>
      </c>
      <c r="B15" s="24">
        <f>COUNTA('IP Asset Inventory'!B6:B55)</f>
        <v/>
      </c>
      <c r="C15" s="6" t="n"/>
      <c r="D15" s="6" t="n"/>
      <c r="E15" s="6" t="n"/>
      <c r="F15" s="6" t="n"/>
      <c r="G15" s="6" t="n"/>
    </row>
    <row r="16">
      <c r="A16" s="23" t="inlineStr">
        <is>
          <t>High Business Value Assets</t>
        </is>
      </c>
      <c r="B16" s="24">
        <f>COUNTIF('IP Asset Inventory'!H6:H55,"High")</f>
        <v/>
      </c>
      <c r="C16" s="6" t="n"/>
      <c r="D16" s="6" t="n"/>
      <c r="E16" s="6" t="n"/>
      <c r="F16" s="6" t="n"/>
      <c r="G16" s="6" t="n"/>
    </row>
    <row r="17">
      <c r="A17" s="23" t="inlineStr">
        <is>
          <t>Registered (Protected) IP Assets</t>
        </is>
      </c>
      <c r="B17" s="24">
        <f>COUNTIF('IP Asset Inventory'!G6:G55,"Registered")</f>
        <v/>
      </c>
      <c r="C17" s="6" t="n"/>
      <c r="D17" s="6" t="n"/>
      <c r="E17" s="6" t="n"/>
      <c r="F17" s="6" t="n"/>
      <c r="G17" s="6" t="n"/>
    </row>
    <row r="18">
      <c r="A18" s="23" t="inlineStr">
        <is>
          <t>Pending Registration</t>
        </is>
      </c>
      <c r="B18" s="24">
        <f>COUNTIF('IP Asset Inventory'!G6:G55,"Pending")</f>
        <v/>
      </c>
      <c r="C18" s="6" t="n"/>
      <c r="D18" s="6" t="n"/>
      <c r="E18" s="6" t="n"/>
      <c r="F18" s="6" t="n"/>
      <c r="G18" s="6" t="n"/>
    </row>
    <row r="19">
      <c r="A19" s="23" t="inlineStr">
        <is>
          <t>Unregistered (At Risk) Assets</t>
        </is>
      </c>
      <c r="B19" s="24">
        <f>COUNTIF('IP Asset Inventory'!G6:G55,"Unregistered")</f>
        <v/>
      </c>
      <c r="C19" s="6" t="n"/>
      <c r="D19" s="6" t="n"/>
      <c r="E19" s="6" t="n"/>
      <c r="F19" s="6" t="n"/>
      <c r="G19" s="6" t="n"/>
    </row>
    <row r="20">
      <c r="A20" s="23" t="inlineStr">
        <is>
          <t>Trade Secrets Documented</t>
        </is>
      </c>
      <c r="B20" s="24">
        <f>COUNTIF('IP Asset Inventory'!C6:C55,"Trade Secret")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Restricted Classification Assets</t>
        </is>
      </c>
      <c r="B21" s="24">
        <f>COUNTIF('IP Asset Inventory'!I6:I55,"Restricted")</f>
        <v/>
      </c>
      <c r="C21" s="6" t="n"/>
      <c r="D21" s="6" t="n"/>
      <c r="E21" s="6" t="n"/>
      <c r="F21" s="6" t="n"/>
      <c r="G21" s="6" t="n"/>
    </row>
    <row r="22">
      <c r="A22" s="26" t="inlineStr">
        <is>
          <t>IP Protection Assessment Metrics</t>
        </is>
      </c>
      <c r="B22" s="29" t="n"/>
      <c r="C22" s="29" t="n"/>
      <c r="D22" s="29" t="n"/>
      <c r="E22" s="29" t="n"/>
      <c r="F22" s="29" t="n"/>
      <c r="G22" s="29" t="n"/>
    </row>
    <row r="23">
      <c r="A23" s="23" t="inlineStr">
        <is>
          <t>Total Assessments</t>
        </is>
      </c>
      <c r="B23" s="24">
        <f>COUNTA('IP Protection Assessment'!B6:B55)</f>
        <v/>
      </c>
      <c r="C23" s="6" t="n"/>
      <c r="D23" s="6" t="n"/>
      <c r="E23" s="6" t="n"/>
      <c r="F23" s="6" t="n"/>
      <c r="G23" s="6" t="n"/>
    </row>
    <row r="24">
      <c r="A24" s="23" t="inlineStr">
        <is>
          <t>Controls Rated Effective</t>
        </is>
      </c>
      <c r="B24" s="24">
        <f>COUNTIF('IP Protection Assessment'!H6:H55,"Effective")</f>
        <v/>
      </c>
      <c r="C24" s="6" t="n"/>
      <c r="D24" s="6" t="n"/>
      <c r="E24" s="6" t="n"/>
      <c r="F24" s="6" t="n"/>
      <c r="G24" s="6" t="n"/>
    </row>
    <row r="25">
      <c r="A25" s="23" t="inlineStr">
        <is>
          <t>Controls Partially Effective</t>
        </is>
      </c>
      <c r="B25" s="24">
        <f>COUNTIF('IP Protection Assessment'!H6:H55,"Partial")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Remediation Completed</t>
        </is>
      </c>
      <c r="B26" s="24">
        <f>COUNTIF('IP Protection Assessment'!K6:K55,"Complete")</f>
        <v/>
      </c>
      <c r="C26" s="6" t="n"/>
      <c r="D26" s="6" t="n"/>
      <c r="E26" s="6" t="n"/>
      <c r="F26" s="6" t="n"/>
      <c r="G26" s="6" t="n"/>
    </row>
    <row r="27">
      <c r="A27" s="23" t="inlineStr">
        <is>
          <t>Remediation In Progress</t>
        </is>
      </c>
      <c r="B27" s="24">
        <f>COUNTIF('IP Protection Assessment'!K6:K55,"In Progress")</f>
        <v/>
      </c>
      <c r="C27" s="6" t="n"/>
      <c r="D27" s="6" t="n"/>
      <c r="E27" s="6" t="n"/>
      <c r="F27" s="6" t="n"/>
      <c r="G27" s="6" t="n"/>
    </row>
    <row r="28">
      <c r="A28" s="26" t="inlineStr">
        <is>
          <t>Third-Party IP Metrics</t>
        </is>
      </c>
      <c r="B28" s="29" t="n"/>
      <c r="C28" s="29" t="n"/>
      <c r="D28" s="29" t="n"/>
      <c r="E28" s="29" t="n"/>
      <c r="F28" s="29" t="n"/>
      <c r="G28" s="29" t="n"/>
    </row>
    <row r="29">
      <c r="A29" s="23" t="inlineStr">
        <is>
          <t>Total Third-Party IP Items</t>
        </is>
      </c>
      <c r="B29" s="24">
        <f>COUNTA('Third-Party IP Register'!B6:B55)</f>
        <v/>
      </c>
      <c r="C29" s="6" t="n"/>
      <c r="D29" s="6" t="n"/>
      <c r="E29" s="6" t="n"/>
      <c r="F29" s="6" t="n"/>
      <c r="G29" s="6" t="n"/>
    </row>
    <row r="30">
      <c r="A30" s="23" t="inlineStr">
        <is>
          <t>License Compliant Items</t>
        </is>
      </c>
      <c r="B30" s="24">
        <f>COUNTIF('Third-Party IP Register'!G6:G55,"Compliant")</f>
        <v/>
      </c>
      <c r="C30" s="6" t="n"/>
      <c r="D30" s="6" t="n"/>
      <c r="E30" s="6" t="n"/>
      <c r="F30" s="6" t="n"/>
      <c r="G30" s="6" t="n"/>
    </row>
    <row r="31">
      <c r="A31" s="23" t="inlineStr">
        <is>
          <t>Over-Deployed Licenses</t>
        </is>
      </c>
      <c r="B31" s="24">
        <f>COUNTIF('Third-Party IP Register'!G6:G55,"Over-deployed")</f>
        <v/>
      </c>
      <c r="C31" s="6" t="n"/>
      <c r="D31" s="6" t="n"/>
      <c r="E31" s="6" t="n"/>
      <c r="F31" s="6" t="n"/>
      <c r="G31" s="6" t="n"/>
    </row>
    <row r="32">
      <c r="A32" s="23" t="inlineStr">
        <is>
          <t>Open Source Components</t>
        </is>
      </c>
      <c r="B32" s="24">
        <f>COUNTIF('Third-Party IP Register'!D6:D55,"Open Source")</f>
        <v/>
      </c>
      <c r="C32" s="6" t="n"/>
      <c r="D32" s="6" t="n"/>
      <c r="E32" s="6" t="n"/>
      <c r="F32" s="6" t="n"/>
      <c r="G32" s="6" t="n"/>
    </row>
    <row r="33">
      <c r="A33" s="23" t="inlineStr">
        <is>
          <t>Subscription Licenses</t>
        </is>
      </c>
      <c r="B33" s="24">
        <f>COUNTIF('Third-Party IP Register'!D6:D55,"Subscription")</f>
        <v/>
      </c>
      <c r="C33" s="6" t="n"/>
      <c r="D33" s="6" t="n"/>
      <c r="E33" s="6" t="n"/>
      <c r="F33" s="6" t="n"/>
      <c r="G33" s="6" t="n"/>
    </row>
    <row r="34">
      <c r="A34" s="26" t="inlineStr">
        <is>
          <t>Software License Metrics</t>
        </is>
      </c>
      <c r="B34" s="29" t="n"/>
      <c r="C34" s="29" t="n"/>
      <c r="D34" s="29" t="n"/>
      <c r="E34" s="29" t="n"/>
      <c r="F34" s="29" t="n"/>
      <c r="G34" s="29" t="n"/>
    </row>
    <row r="35">
      <c r="A35" s="23" t="inlineStr">
        <is>
          <t>Total Software Items Tracked</t>
        </is>
      </c>
      <c r="B35" s="24">
        <f>COUNTA('Software License Compliance'!A6:A55)</f>
        <v/>
      </c>
      <c r="C35" s="6" t="n"/>
      <c r="D35" s="6" t="n"/>
      <c r="E35" s="6" t="n"/>
      <c r="F35" s="6" t="n"/>
      <c r="G35" s="6" t="n"/>
    </row>
    <row r="36">
      <c r="A36" s="23" t="inlineStr">
        <is>
          <t>High Compliance Risk Items</t>
        </is>
      </c>
      <c r="B36" s="24">
        <f>COUNTIF('Software License Compliance'!G6:G55,"High")</f>
        <v/>
      </c>
      <c r="C36" s="6" t="n"/>
      <c r="D36" s="6" t="n"/>
      <c r="E36" s="6" t="n"/>
      <c r="F36" s="6" t="n"/>
      <c r="G36" s="6" t="n"/>
    </row>
    <row r="37">
      <c r="A37" s="23" t="inlineStr">
        <is>
          <t>Remediations Open</t>
        </is>
      </c>
      <c r="B37" s="24">
        <f>COUNTIF('Software License Compliance'!J6:J55,"Open")</f>
        <v/>
      </c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1">
      <c r="A41" s="30" t="inlineStr">
        <is>
          <t>TABLE 3: CRITICAL FINDINGS REQUIRING IMMEDIATE ATTENTION</t>
        </is>
      </c>
      <c r="B41" s="6" t="n"/>
      <c r="C41" s="6" t="n"/>
      <c r="D41" s="6" t="n"/>
      <c r="E41" s="6" t="n"/>
      <c r="F41" s="6" t="n"/>
      <c r="G41" s="6" t="n"/>
    </row>
    <row r="42">
      <c r="A42" s="27" t="inlineStr">
        <is>
          <t>Category</t>
        </is>
      </c>
      <c r="B42" s="27" t="inlineStr">
        <is>
          <t>Finding</t>
        </is>
      </c>
      <c r="C42" s="27" t="inlineStr">
        <is>
          <t>Count</t>
        </is>
      </c>
      <c r="D42" s="27" t="inlineStr">
        <is>
          <t>Severity</t>
        </is>
      </c>
      <c r="E42" s="27" t="inlineStr">
        <is>
          <t>Action Required</t>
        </is>
      </c>
      <c r="F42" s="27" t="n"/>
      <c r="G42" s="27" t="n"/>
    </row>
    <row r="43">
      <c r="A43" s="31" t="inlineStr">
        <is>
          <t>IP Asset Inventory</t>
        </is>
      </c>
      <c r="B43" s="31" t="inlineStr">
        <is>
          <t>Unregistered high-value IP assets</t>
        </is>
      </c>
      <c r="C43" s="32">
        <f>COUNTIFS('IP Asset Inventory'!G6:G55,"Unregistered",'IP Asset Inventory'!H6:H55,"High")</f>
        <v/>
      </c>
      <c r="D43" s="31" t="inlineStr">
        <is>
          <t>Critical</t>
        </is>
      </c>
      <c r="E43" s="31" t="inlineStr">
        <is>
          <t>Immediate</t>
        </is>
      </c>
      <c r="F43" s="31" t="n"/>
      <c r="G43" s="31" t="n"/>
    </row>
    <row r="44">
      <c r="A44" s="31" t="inlineStr">
        <is>
          <t>IP Asset Inventory</t>
        </is>
      </c>
      <c r="B44" s="31" t="inlineStr">
        <is>
          <t>Restricted assets without registration</t>
        </is>
      </c>
      <c r="C44" s="32">
        <f>COUNTIFS('IP Asset Inventory'!I6:I55,"Restricted",'IP Asset Inventory'!G6:G55,"Unregistered")</f>
        <v/>
      </c>
      <c r="D44" s="31" t="inlineStr">
        <is>
          <t>Critical</t>
        </is>
      </c>
      <c r="E44" s="31" t="inlineStr">
        <is>
          <t>Immediate</t>
        </is>
      </c>
      <c r="F44" s="31" t="n"/>
      <c r="G44" s="31" t="n"/>
    </row>
    <row r="45">
      <c r="A45" s="31" t="inlineStr">
        <is>
          <t>IP Protection Assessment</t>
        </is>
      </c>
      <c r="B45" s="31" t="inlineStr">
        <is>
          <t>Ineffective protection controls</t>
        </is>
      </c>
      <c r="C45" s="32">
        <f>COUNTIF('IP Protection Assessment'!H6:H55,"Ineffective")</f>
        <v/>
      </c>
      <c r="D45" s="31" t="inlineStr">
        <is>
          <t>Critical</t>
        </is>
      </c>
      <c r="E45" s="31" t="inlineStr">
        <is>
          <t>Immediate</t>
        </is>
      </c>
      <c r="F45" s="31" t="n"/>
      <c r="G45" s="31" t="n"/>
    </row>
    <row r="46">
      <c r="A46" s="31" t="inlineStr">
        <is>
          <t>IP Protection Assessment</t>
        </is>
      </c>
      <c r="B46" s="31" t="inlineStr">
        <is>
          <t>Remediation not started</t>
        </is>
      </c>
      <c r="C46" s="32">
        <f>COUNTIF('IP Protection Assessment'!K6:K55,"Not Started")</f>
        <v/>
      </c>
      <c r="D46" s="31" t="inlineStr">
        <is>
          <t>High</t>
        </is>
      </c>
      <c r="E46" s="31" t="inlineStr">
        <is>
          <t>Urgent</t>
        </is>
      </c>
      <c r="F46" s="31" t="n"/>
      <c r="G46" s="31" t="n"/>
    </row>
    <row r="47">
      <c r="A47" s="31" t="inlineStr">
        <is>
          <t>Third-Party IP Register</t>
        </is>
      </c>
      <c r="B47" s="31" t="inlineStr">
        <is>
          <t>Over-deployed licenses (licence violation)</t>
        </is>
      </c>
      <c r="C47" s="32">
        <f>COUNTIF('Third-Party IP Register'!G6:G55,"Over-deployed")</f>
        <v/>
      </c>
      <c r="D47" s="31" t="inlineStr">
        <is>
          <t>Critical</t>
        </is>
      </c>
      <c r="E47" s="31" t="inlineStr">
        <is>
          <t>Immediate</t>
        </is>
      </c>
      <c r="F47" s="31" t="n"/>
      <c r="G47" s="31" t="n"/>
    </row>
    <row r="48">
      <c r="A48" s="31" t="inlineStr">
        <is>
          <t>Software License Compliance</t>
        </is>
      </c>
      <c r="B48" s="31" t="inlineStr">
        <is>
          <t>High compliance risk items</t>
        </is>
      </c>
      <c r="C48" s="32">
        <f>COUNTIF('Software License Compliance'!G6:G55,"High")</f>
        <v/>
      </c>
      <c r="D48" s="31" t="inlineStr">
        <is>
          <t>Critical</t>
        </is>
      </c>
      <c r="E48" s="31" t="inlineStr">
        <is>
          <t>Immediate</t>
        </is>
      </c>
      <c r="F48" s="31" t="n"/>
      <c r="G48" s="31" t="n"/>
    </row>
    <row r="49">
      <c r="A49" s="31" t="inlineStr">
        <is>
          <t>Software License Compliance</t>
        </is>
      </c>
      <c r="B49" s="31" t="inlineStr">
        <is>
          <t>Open remediations</t>
        </is>
      </c>
      <c r="C49" s="32">
        <f>COUNTIF('Software License Compliance'!J6:J55,"Open")</f>
        <v/>
      </c>
      <c r="D49" s="31" t="inlineStr">
        <is>
          <t>High</t>
        </is>
      </c>
      <c r="E49" s="31" t="inlineStr">
        <is>
          <t>Urgent</t>
        </is>
      </c>
      <c r="F49" s="31" t="n"/>
      <c r="G49" s="31" t="n"/>
    </row>
    <row r="50">
      <c r="A50" s="31" t="inlineStr">
        <is>
          <t>Gap Analysis</t>
        </is>
      </c>
      <c r="B50" s="31" t="inlineStr">
        <is>
          <t>Open high-risk gaps</t>
        </is>
      </c>
      <c r="C50" s="32">
        <f>COUNTIFS('Gap Analysis'!E6:E55,"High",'Gap Analysis'!I6:I55,"Open")</f>
        <v/>
      </c>
      <c r="D50" s="31" t="inlineStr">
        <is>
          <t>High</t>
        </is>
      </c>
      <c r="E50" s="31" t="inlineStr">
        <is>
          <t>Urgent</t>
        </is>
      </c>
      <c r="F50" s="31" t="n"/>
      <c r="G50" s="31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</sheetData>
  <mergeCells count="5">
    <mergeCell ref="A1:G1"/>
    <mergeCell ref="A12:G12"/>
    <mergeCell ref="A4:G4"/>
    <mergeCell ref="A2:G2"/>
    <mergeCell ref="A41:G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A.5.32: Intellectual Property Rights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ISMS-IMP-A.5.32-33.S1 - IP Rights Inventory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ISMS-IMP-A.5.32-33.S1 — IP Rights Inventory</dc:title>
  <dc:description xmlns:dc="http://purl.org/dc/elements/1.1/">ISMS Implementation Workbook — ISMS-IMP-A.5.32-33.S1</dc:description>
  <dc:subject xmlns:dc="http://purl.org/dc/elements/1.1/">ISO/IEC 27001:2022 — Control A.5.32: Intellectual Property Rights</dc:subject>
  <dcterms:created xmlns:dcterms="http://purl.org/dc/terms/" xmlns:xsi="http://www.w3.org/2001/XMLSchema-instance" xsi:type="dcterms:W3CDTF">2026-03-10T18:48:47Z</dcterms:created>
  <dcterms:modified xmlns:dcterms="http://purl.org/dc/terms/" xmlns:xsi="http://www.w3.org/2001/XMLSchema-instance" xsi:type="dcterms:W3CDTF">2026-03-10T18:48:47Z</dcterms:modified>
</cp:coreProperties>
</file>