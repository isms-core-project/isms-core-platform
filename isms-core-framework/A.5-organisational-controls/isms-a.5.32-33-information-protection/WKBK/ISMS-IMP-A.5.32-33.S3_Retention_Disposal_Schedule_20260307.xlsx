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Retention Schedule" sheetId="2" state="visible" r:id="rId2"/>
    <sheet xmlns:r="http://schemas.openxmlformats.org/officeDocument/2006/relationships" name="Regulatory Mapping" sheetId="3" state="visible" r:id="rId3"/>
    <sheet xmlns:r="http://schemas.openxmlformats.org/officeDocument/2006/relationships" name="Disposal Queue" sheetId="4" state="visible" r:id="rId4"/>
    <sheet xmlns:r="http://schemas.openxmlformats.org/officeDocument/2006/relationships" name="Disposal Method Matrix" sheetId="5" state="visible" r:id="rId5"/>
    <sheet xmlns:r="http://schemas.openxmlformats.org/officeDocument/2006/relationships" name="Destruction Verification" sheetId="6" state="visible" r:id="rId6"/>
    <sheet xmlns:r="http://schemas.openxmlformats.org/officeDocument/2006/relationships" name="Exception Register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FFFFFF"/>
      <sz val="10"/>
    </font>
    <font>
      <b val="1"/>
      <color rgb="00FFFFFF"/>
      <sz val="14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center" wrapText="1"/>
    </xf>
    <xf numFmtId="0" fontId="0" fillId="12" borderId="1" pivotButton="0" quotePrefix="0" xfId="0"/>
    <xf numFmtId="0" fontId="0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10" fillId="8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0" fontId="11" fillId="10" borderId="1" pivotButton="0" quotePrefix="0" xfId="0"/>
    <xf numFmtId="0" fontId="11" fillId="1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/>
    </xf>
    <xf numFmtId="0" fontId="0" fillId="10" borderId="1" pivotButton="0" quotePrefix="0" xfId="0"/>
    <xf numFmtId="0" fontId="10" fillId="13" borderId="1" pivotButton="0" quotePrefix="0" xfId="0"/>
    <xf numFmtId="0" fontId="12" fillId="12" borderId="1" pivotButton="0" quotePrefix="0" xfId="0"/>
    <xf numFmtId="0" fontId="12" fillId="12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9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ISMS-IMP-A.5.32-33.S3  -  Retention Disposal Schedule
ISO/IEC 27001:2022 - Control A.5.33: Protection of Records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ISMS-IMP-A.5.32-33.S3</t>
        </is>
      </c>
    </row>
    <row r="5">
      <c r="A5" s="3" t="inlineStr">
        <is>
          <t>Workbook Title</t>
        </is>
      </c>
      <c r="B5" t="inlineStr">
        <is>
          <t>Retention Disposal Schedule</t>
        </is>
      </c>
    </row>
    <row r="6">
      <c r="A6" s="3" t="inlineStr">
        <is>
          <t>Control Reference</t>
        </is>
      </c>
      <c r="B6" t="inlineStr">
        <is>
          <t>ISO/IEC 27001:2022 - Control A.5.33: Protection of Records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Retention Schedule — document retention periods for all records categories.</t>
        </is>
      </c>
    </row>
    <row r="14">
      <c r="A14" t="inlineStr">
        <is>
          <t>2. Complete Regulatory Mapping — align retention periods to legal and regulatory requirements.</t>
        </is>
      </c>
    </row>
    <row r="15">
      <c r="A15" t="inlineStr">
        <is>
          <t>3. Review Disposal Queue — identify records past their retention period requiring disposal.</t>
        </is>
      </c>
    </row>
    <row r="16">
      <c r="A16" t="inlineStr">
        <is>
          <t>4. Complete Disposal Method Matrix — map record types to approved disposal methods.</t>
        </is>
      </c>
    </row>
    <row r="17">
      <c r="A17" t="inlineStr">
        <is>
          <t>5. Complete Destruction Verification — document disposal with certificates of destruction.</t>
        </is>
      </c>
    </row>
    <row r="18">
      <c r="A18" t="inlineStr">
        <is>
          <t>6. Complete Exception Register — record any records retained beyond standard periods with justification.</t>
        </is>
      </c>
    </row>
    <row r="19">
      <c r="A19" t="inlineStr">
        <is>
          <t>7. Complete Gap Analysis — identify retention or disposal process gaps.</t>
        </is>
      </c>
    </row>
    <row r="20">
      <c r="A20" t="inlineStr">
        <is>
          <t>8. Maintain the Evidence Register with retention schedules and disposal records.</t>
        </is>
      </c>
    </row>
    <row r="21">
      <c r="A21" t="inlineStr">
        <is>
          <t>9. Obtain final approval and sign-off in the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15" customWidth="1" min="4" max="4"/>
    <col width="3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 ht="35" customHeight="1">
      <c r="A1" s="11" t="inlineStr">
        <is>
          <t>RETENTION SCHEDULE</t>
        </is>
      </c>
    </row>
    <row r="2">
      <c r="A2" s="12" t="inlineStr">
        <is>
          <t>Retention periods for all record categories</t>
        </is>
      </c>
    </row>
    <row r="3" ht="5" customHeight="1"/>
    <row r="4">
      <c r="A4" s="13" t="inlineStr">
        <is>
          <t>Record Category ID</t>
        </is>
      </c>
      <c r="B4" s="13" t="inlineStr">
        <is>
          <t>Category Name</t>
        </is>
      </c>
      <c r="C4" s="13" t="inlineStr">
        <is>
          <t>Retention Period</t>
        </is>
      </c>
      <c r="D4" s="13" t="inlineStr">
        <is>
          <t>Retention Basis</t>
        </is>
      </c>
      <c r="E4" s="13" t="inlineStr">
        <is>
          <t>Basis Detail</t>
        </is>
      </c>
      <c r="F4" s="13" t="inlineStr">
        <is>
          <t>Retention Trigger</t>
        </is>
      </c>
      <c r="G4" s="13" t="inlineStr">
        <is>
          <t>Grace Period</t>
        </is>
      </c>
      <c r="H4" s="13" t="inlineStr">
        <is>
          <t>Review Cycle</t>
        </is>
      </c>
      <c r="I4" s="13" t="inlineStr">
        <is>
          <t>Last Review</t>
        </is>
      </c>
      <c r="J4" s="13" t="inlineStr">
        <is>
          <t>Next Review</t>
        </is>
      </c>
      <c r="K4" s="13" t="inlineStr">
        <is>
          <t>Notes</t>
        </is>
      </c>
    </row>
    <row r="5">
      <c r="A5" s="14" t="inlineStr">
        <is>
          <t>REC-001</t>
        </is>
      </c>
      <c r="B5" s="14" t="inlineStr">
        <is>
          <t>Financial Ledgers</t>
        </is>
      </c>
      <c r="C5" s="14" t="inlineStr">
        <is>
          <t>10 years</t>
        </is>
      </c>
      <c r="D5" s="14" t="inlineStr">
        <is>
          <t>Regulatory</t>
        </is>
      </c>
      <c r="E5" s="14" t="inlineStr">
        <is>
          <t>Swiss CO Art. 958f</t>
        </is>
      </c>
      <c r="F5" s="14" t="inlineStr">
        <is>
          <t>Year-End</t>
        </is>
      </c>
      <c r="G5" s="14" t="inlineStr">
        <is>
          <t>90 days</t>
        </is>
      </c>
      <c r="H5" s="14" t="inlineStr">
        <is>
          <t>Annual</t>
        </is>
      </c>
      <c r="I5" s="14" t="inlineStr">
        <is>
          <t>2025-12-31</t>
        </is>
      </c>
      <c r="J5" s="14" t="inlineStr">
        <is>
          <t>2026-12-31</t>
        </is>
      </c>
      <c r="K5" s="14" t="inlineStr">
        <is>
          <t>Mandatory regulatory retention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3">
    <dataValidation sqref="D6:D55" showDropDown="0" showInputMessage="0" showErrorMessage="0" allowBlank="1" type="list">
      <formula1>"Regulatory,Contractual,Business,Mixed"</formula1>
    </dataValidation>
    <dataValidation sqref="F6:F55" showDropDown="0" showInputMessage="0" showErrorMessage="0" allowBlank="1" type="list">
      <formula1>"Creation,Year-End,Contract End,Last Activity,Event-Based"</formula1>
    </dataValidation>
    <dataValidation sqref="H6:H55" showDropDown="0" showInputMessage="0" showErrorMessage="0" allowBlank="1" type="list">
      <formula1>"Annual,Biennial,Triennial"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35" customWidth="1" min="4" max="4"/>
    <col width="18" customWidth="1" min="5" max="5"/>
    <col width="18" customWidth="1" min="6" max="6"/>
    <col width="30" customWidth="1" min="7" max="7"/>
    <col width="12" customWidth="1" min="8" max="8"/>
    <col width="20" customWidth="1" min="9" max="9"/>
    <col width="30" customWidth="1" min="10" max="10"/>
  </cols>
  <sheetData>
    <row r="1" ht="35" customHeight="1">
      <c r="A1" s="11" t="inlineStr">
        <is>
          <t>REGULATORY MAPPING</t>
        </is>
      </c>
    </row>
    <row r="2">
      <c r="A2" s="12" t="inlineStr">
        <is>
          <t>Regulations driving record retention requirements</t>
        </is>
      </c>
    </row>
    <row r="3" ht="5" customHeight="1"/>
    <row r="4">
      <c r="A4" s="13" t="inlineStr">
        <is>
          <t>Regulation ID</t>
        </is>
      </c>
      <c r="B4" s="13" t="inlineStr">
        <is>
          <t>Regulation Name</t>
        </is>
      </c>
      <c r="C4" s="13" t="inlineStr">
        <is>
          <t>Section/Article</t>
        </is>
      </c>
      <c r="D4" s="13" t="inlineStr">
        <is>
          <t>Record Types Affected</t>
        </is>
      </c>
      <c r="E4" s="13" t="inlineStr">
        <is>
          <t>Required Retention</t>
        </is>
      </c>
      <c r="F4" s="13" t="inlineStr">
        <is>
          <t>Retention Trigger</t>
        </is>
      </c>
      <c r="G4" s="13" t="inlineStr">
        <is>
          <t>Penalty for Non-Compliance</t>
        </is>
      </c>
      <c r="H4" s="13" t="inlineStr">
        <is>
          <t>Last Review</t>
        </is>
      </c>
      <c r="I4" s="13" t="inlineStr">
        <is>
          <t>Reviewer</t>
        </is>
      </c>
      <c r="J4" s="13" t="inlineStr">
        <is>
          <t>Notes</t>
        </is>
      </c>
    </row>
    <row r="5">
      <c r="A5" s="14" t="inlineStr">
        <is>
          <t>REG-001</t>
        </is>
      </c>
      <c r="B5" s="14" t="inlineStr">
        <is>
          <t>Swiss Code of Obligations</t>
        </is>
      </c>
      <c r="C5" s="14" t="inlineStr">
        <is>
          <t>Art. 958f</t>
        </is>
      </c>
      <c r="D5" s="14" t="inlineStr">
        <is>
          <t>Bookkeeping, financial records</t>
        </is>
      </c>
      <c r="E5" s="14" t="inlineStr">
        <is>
          <t>10 years</t>
        </is>
      </c>
      <c r="F5" s="14" t="inlineStr">
        <is>
          <t>Fiscal year end</t>
        </is>
      </c>
      <c r="G5" s="14" t="inlineStr">
        <is>
          <t>Administrative fines, audit findings</t>
        </is>
      </c>
      <c r="H5" s="14" t="inlineStr">
        <is>
          <t>2026-01-01</t>
        </is>
      </c>
      <c r="I5" s="14" t="inlineStr">
        <is>
          <t>Legal Counsel</t>
        </is>
      </c>
      <c r="J5" s="14" t="inlineStr">
        <is>
          <t>Core financial records retention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5" customWidth="1" min="4" max="4"/>
    <col width="18" customWidth="1" min="5" max="5"/>
    <col width="15" customWidth="1" min="6" max="6"/>
    <col width="15" customWidth="1" min="7" max="7"/>
    <col width="18" customWidth="1" min="8" max="8"/>
    <col width="20" customWidth="1" min="9" max="9"/>
    <col width="15" customWidth="1" min="10" max="10"/>
    <col width="30" customWidth="1" min="11" max="11"/>
  </cols>
  <sheetData>
    <row r="1" ht="35" customHeight="1">
      <c r="A1" s="11" t="inlineStr">
        <is>
          <t>DISPOSAL QUEUE</t>
        </is>
      </c>
    </row>
    <row r="2">
      <c r="A2" s="12" t="inlineStr">
        <is>
          <t>Records due or approaching disposal date</t>
        </is>
      </c>
    </row>
    <row r="3" ht="5" customHeight="1"/>
    <row r="4">
      <c r="A4" s="13" t="inlineStr">
        <is>
          <t>Queue ID</t>
        </is>
      </c>
      <c r="B4" s="13" t="inlineStr">
        <is>
          <t>Record Category</t>
        </is>
      </c>
      <c r="C4" s="13" t="inlineStr">
        <is>
          <t>Retention End Date</t>
        </is>
      </c>
      <c r="D4" s="13" t="inlineStr">
        <is>
          <t>Volume - Physical</t>
        </is>
      </c>
      <c r="E4" s="13" t="inlineStr">
        <is>
          <t>Volume - Electronic</t>
        </is>
      </c>
      <c r="F4" s="13" t="inlineStr">
        <is>
          <t>Legal Hold Status</t>
        </is>
      </c>
      <c r="G4" s="13" t="inlineStr">
        <is>
          <t>Disposal Priority</t>
        </is>
      </c>
      <c r="H4" s="13" t="inlineStr">
        <is>
          <t>Target Disposal Date</t>
        </is>
      </c>
      <c r="I4" s="13" t="inlineStr">
        <is>
          <t>Assigned To</t>
        </is>
      </c>
      <c r="J4" s="13" t="inlineStr">
        <is>
          <t>Status</t>
        </is>
      </c>
      <c r="K4" s="13" t="inlineStr">
        <is>
          <t>Notes</t>
        </is>
      </c>
    </row>
    <row r="5">
      <c r="A5" s="14" t="inlineStr">
        <is>
          <t>DQ-001</t>
        </is>
      </c>
      <c r="B5" s="14" t="inlineStr">
        <is>
          <t>Financial Ledgers 2015</t>
        </is>
      </c>
      <c r="C5" s="14" t="inlineStr">
        <is>
          <t>2025-12-31</t>
        </is>
      </c>
      <c r="D5" s="14" t="inlineStr">
        <is>
          <t>3 archive boxes</t>
        </is>
      </c>
      <c r="E5" s="14" t="inlineStr">
        <is>
          <t>2.4 GB</t>
        </is>
      </c>
      <c r="F5" s="14" t="inlineStr">
        <is>
          <t>No</t>
        </is>
      </c>
      <c r="G5" s="14" t="inlineStr">
        <is>
          <t>High</t>
        </is>
      </c>
      <c r="H5" s="14" t="inlineStr">
        <is>
          <t>2026-03-31</t>
        </is>
      </c>
      <c r="I5" s="14" t="inlineStr">
        <is>
          <t>Records Manager</t>
        </is>
      </c>
      <c r="J5" s="14" t="inlineStr">
        <is>
          <t>Pending</t>
        </is>
      </c>
      <c r="K5" s="14" t="inlineStr">
        <is>
          <t>10-year retention period expired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3">
    <dataValidation sqref="F6:F55" showDropDown="0" showInputMessage="0" showErrorMessage="0" allowBlank="1" type="list">
      <formula1>"Yes,No,Checking"</formula1>
    </dataValidation>
    <dataValidation sqref="G6:G55" showDropDown="0" showInputMessage="0" showErrorMessage="0" allowBlank="1" type="list">
      <formula1>"High,Medium,Low"</formula1>
    </dataValidation>
    <dataValidation sqref="J6:J55" showDropDown="0" showInputMessage="0" showErrorMessage="0" allowBlank="1" type="list">
      <formula1>"Pending,In Progress,Complete,On Hold"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25" customWidth="1" min="7" max="7"/>
    <col width="30" customWidth="1" min="8" max="8"/>
  </cols>
  <sheetData>
    <row r="1" ht="35" customHeight="1">
      <c r="A1" s="11" t="inlineStr">
        <is>
          <t>DISPOSAL METHOD MATRIX</t>
        </is>
      </c>
    </row>
    <row r="2">
      <c r="A2" s="12" t="inlineStr">
        <is>
          <t>Appropriate disposal methods by classification level</t>
        </is>
      </c>
    </row>
    <row r="3" ht="5" customHeight="1"/>
    <row r="4">
      <c r="A4" s="13" t="inlineStr">
        <is>
          <t>Classification</t>
        </is>
      </c>
      <c r="B4" s="13" t="inlineStr">
        <is>
          <t>Physical - Paper</t>
        </is>
      </c>
      <c r="C4" s="13" t="inlineStr">
        <is>
          <t>Physical - Media</t>
        </is>
      </c>
      <c r="D4" s="13" t="inlineStr">
        <is>
          <t>Electronic - On-Prem</t>
        </is>
      </c>
      <c r="E4" s="13" t="inlineStr">
        <is>
          <t>Electronic - Cloud</t>
        </is>
      </c>
      <c r="F4" s="13" t="inlineStr">
        <is>
          <t>Verification Required</t>
        </is>
      </c>
      <c r="G4" s="13" t="inlineStr">
        <is>
          <t>Approved Vendors</t>
        </is>
      </c>
      <c r="H4" s="13" t="inlineStr">
        <is>
          <t>Special Handling</t>
        </is>
      </c>
    </row>
    <row r="5">
      <c r="A5" s="16" t="inlineStr">
        <is>
          <t>Restricted</t>
        </is>
      </c>
      <c r="B5" s="16" t="inlineStr">
        <is>
          <t>Cross-cut P-5, witnessed incineration</t>
        </is>
      </c>
      <c r="C5" s="16" t="inlineStr">
        <is>
          <t>Degaussing + physical destruction</t>
        </is>
      </c>
      <c r="D5" s="16" t="inlineStr">
        <is>
          <t>NIST 800-88 Rev. 2 Purge, cryptographic erasure</t>
        </is>
      </c>
      <c r="E5" s="16" t="inlineStr">
        <is>
          <t>Provider purge + verification certificate</t>
        </is>
      </c>
      <c r="F5" s="16" t="inlineStr">
        <is>
          <t>Certificate of destruction, witness signature</t>
        </is>
      </c>
      <c r="G5" s="16" t="inlineStr">
        <is>
          <t>[List approved vendors]</t>
        </is>
      </c>
      <c r="H5" s="16" t="inlineStr">
        <is>
          <t>Witnessed destruction required</t>
        </is>
      </c>
    </row>
    <row r="6">
      <c r="A6" s="16" t="inlineStr">
        <is>
          <t>Confidential</t>
        </is>
      </c>
      <c r="B6" s="16" t="inlineStr">
        <is>
          <t>Cross-cut shredding P-4</t>
        </is>
      </c>
      <c r="C6" s="16" t="inlineStr">
        <is>
          <t>Degaussing or physical destruction</t>
        </is>
      </c>
      <c r="D6" s="16" t="inlineStr">
        <is>
          <t>NIST 800-88 Rev. 2 Clear, secure deletion</t>
        </is>
      </c>
      <c r="E6" s="16" t="inlineStr">
        <is>
          <t>Provider deletion + confirmation</t>
        </is>
      </c>
      <c r="F6" s="16" t="inlineStr">
        <is>
          <t>Certificate of destruction</t>
        </is>
      </c>
      <c r="G6" s="16" t="inlineStr">
        <is>
          <t>[List approved vendors]</t>
        </is>
      </c>
      <c r="H6" s="16" t="inlineStr">
        <is>
          <t>Batch processing acceptable</t>
        </is>
      </c>
    </row>
    <row r="7">
      <c r="A7" s="16" t="inlineStr">
        <is>
          <t>Internal</t>
        </is>
      </c>
      <c r="B7" s="16" t="inlineStr">
        <is>
          <t>Standard shredding P-3</t>
        </is>
      </c>
      <c r="C7" s="16" t="inlineStr">
        <is>
          <t>Standard deletion or physical destruction</t>
        </is>
      </c>
      <c r="D7" s="16" t="inlineStr">
        <is>
          <t>Secure deletion with verification</t>
        </is>
      </c>
      <c r="E7" s="16" t="inlineStr">
        <is>
          <t>Standard deletion</t>
        </is>
      </c>
      <c r="F7" s="16" t="inlineStr">
        <is>
          <t>Disposal log entry</t>
        </is>
      </c>
      <c r="G7" s="16" t="inlineStr">
        <is>
          <t>Internal IT or approved vendor</t>
        </is>
      </c>
      <c r="H7" s="16" t="inlineStr">
        <is>
          <t>Standard process</t>
        </is>
      </c>
    </row>
    <row r="8">
      <c r="A8" s="16" t="inlineStr">
        <is>
          <t>Public</t>
        </is>
      </c>
      <c r="B8" s="16" t="inlineStr">
        <is>
          <t>Recycling acceptable</t>
        </is>
      </c>
      <c r="C8" s="16" t="inlineStr">
        <is>
          <t>Standard disposal or recycling</t>
        </is>
      </c>
      <c r="D8" s="16" t="inlineStr">
        <is>
          <t>Standard deletion</t>
        </is>
      </c>
      <c r="E8" s="16" t="inlineStr">
        <is>
          <t>Standard deletion</t>
        </is>
      </c>
      <c r="F8" s="16" t="inlineStr">
        <is>
          <t>Disposal log entry</t>
        </is>
      </c>
      <c r="G8" s="16" t="inlineStr">
        <is>
          <t>Any certified recycler</t>
        </is>
      </c>
      <c r="H8" s="16" t="inlineStr">
        <is>
          <t>No special requirements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30" customWidth="1" min="5" max="5"/>
    <col width="20" customWidth="1" min="6" max="6"/>
    <col width="20" customWidth="1" min="7" max="7"/>
    <col width="20" customWidth="1" min="8" max="8"/>
    <col width="30" customWidth="1" min="9" max="9"/>
    <col width="18" customWidth="1" min="10" max="10"/>
  </cols>
  <sheetData>
    <row r="1" ht="35" customHeight="1">
      <c r="A1" s="11" t="inlineStr">
        <is>
          <t>DESTRUCTION VERIFICATION</t>
        </is>
      </c>
    </row>
    <row r="2">
      <c r="A2" s="12" t="inlineStr">
        <is>
          <t>Evidence of secure record destruction</t>
        </is>
      </c>
    </row>
    <row r="3" ht="5" customHeight="1"/>
    <row r="4">
      <c r="A4" s="13" t="inlineStr">
        <is>
          <t>Destruction ID</t>
        </is>
      </c>
      <c r="B4" s="13" t="inlineStr">
        <is>
          <t>Record Category</t>
        </is>
      </c>
      <c r="C4" s="13" t="inlineStr">
        <is>
          <t>Volume</t>
        </is>
      </c>
      <c r="D4" s="13" t="inlineStr">
        <is>
          <t>Destruction Date</t>
        </is>
      </c>
      <c r="E4" s="13" t="inlineStr">
        <is>
          <t>Method Used</t>
        </is>
      </c>
      <c r="F4" s="13" t="inlineStr">
        <is>
          <t>Performed By</t>
        </is>
      </c>
      <c r="G4" s="13" t="inlineStr">
        <is>
          <t>Witness</t>
        </is>
      </c>
      <c r="H4" s="13" t="inlineStr">
        <is>
          <t>Certificate Reference</t>
        </is>
      </c>
      <c r="I4" s="13" t="inlineStr">
        <is>
          <t>Storage Location</t>
        </is>
      </c>
      <c r="J4" s="13" t="inlineStr">
        <is>
          <t>Verification Status</t>
        </is>
      </c>
    </row>
    <row r="5">
      <c r="A5" s="14" t="inlineStr">
        <is>
          <t>DEST-001</t>
        </is>
      </c>
      <c r="B5" s="14" t="inlineStr">
        <is>
          <t>Financial Ledgers 2014</t>
        </is>
      </c>
      <c r="C5" s="14" t="inlineStr">
        <is>
          <t>3 archive boxes</t>
        </is>
      </c>
      <c r="D5" s="14" t="inlineStr">
        <is>
          <t>2026-01-15</t>
        </is>
      </c>
      <c r="E5" s="14" t="inlineStr">
        <is>
          <t>Cross-cut shredding P-4, witnessed</t>
        </is>
      </c>
      <c r="F5" s="14" t="inlineStr">
        <is>
          <t>Secure Shredding GmbH</t>
        </is>
      </c>
      <c r="G5" s="14" t="inlineStr">
        <is>
          <t>Records Manager</t>
        </is>
      </c>
      <c r="H5" s="14" t="inlineStr">
        <is>
          <t>CERT-2026-001</t>
        </is>
      </c>
      <c r="I5" s="14" t="inlineStr">
        <is>
          <t>/evidence/destruction/cert-2026-001.pdf</t>
        </is>
      </c>
      <c r="J5" s="14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1">
    <dataValidation sqref="J6:J55" showDropDown="0" showInputMessage="0" showErrorMessage="0" allowBlank="1" type="list">
      <formula1>"Verified,Pending,Not Verified"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8" customWidth="1" min="5" max="5"/>
    <col width="35" customWidth="1" min="6" max="6"/>
    <col width="20" customWidth="1" min="7" max="7"/>
    <col width="20" customWidth="1" min="8" max="8"/>
    <col width="15" customWidth="1" min="9" max="9"/>
    <col width="18" customWidth="1" min="10" max="10"/>
    <col width="12" customWidth="1" min="11" max="11"/>
  </cols>
  <sheetData>
    <row r="1" ht="35" customHeight="1">
      <c r="A1" s="11" t="inlineStr">
        <is>
          <t>EXCEPTION REGISTER</t>
        </is>
      </c>
    </row>
    <row r="2">
      <c r="A2" s="12" t="inlineStr">
        <is>
          <t>Retention extensions and early disposals</t>
        </is>
      </c>
    </row>
    <row r="3" ht="5" customHeight="1"/>
    <row r="4">
      <c r="A4" s="13" t="inlineStr">
        <is>
          <t>Exception ID</t>
        </is>
      </c>
      <c r="B4" s="13" t="inlineStr">
        <is>
          <t>Exception Type</t>
        </is>
      </c>
      <c r="C4" s="13" t="inlineStr">
        <is>
          <t>Record Category</t>
        </is>
      </c>
      <c r="D4" s="13" t="inlineStr">
        <is>
          <t>Original Retention</t>
        </is>
      </c>
      <c r="E4" s="13" t="inlineStr">
        <is>
          <t>New Retention</t>
        </is>
      </c>
      <c r="F4" s="13" t="inlineStr">
        <is>
          <t>Reason</t>
        </is>
      </c>
      <c r="G4" s="13" t="inlineStr">
        <is>
          <t>Requested By</t>
        </is>
      </c>
      <c r="H4" s="13" t="inlineStr">
        <is>
          <t>Approved By</t>
        </is>
      </c>
      <c r="I4" s="13" t="inlineStr">
        <is>
          <t>Approval Date</t>
        </is>
      </c>
      <c r="J4" s="13" t="inlineStr">
        <is>
          <t>Expiration</t>
        </is>
      </c>
      <c r="K4" s="13" t="inlineStr">
        <is>
          <t>Status</t>
        </is>
      </c>
    </row>
    <row r="5">
      <c r="A5" s="14" t="inlineStr">
        <is>
          <t>EXC-001</t>
        </is>
      </c>
      <c r="B5" s="14" t="inlineStr">
        <is>
          <t>Extension</t>
        </is>
      </c>
      <c r="C5" s="14" t="inlineStr">
        <is>
          <t>Personnel Files — Former Employees</t>
        </is>
      </c>
      <c r="D5" s="14" t="inlineStr">
        <is>
          <t>Employment + 10 years</t>
        </is>
      </c>
      <c r="E5" s="14" t="inlineStr">
        <is>
          <t>Employment + 15 years</t>
        </is>
      </c>
      <c r="F5" s="14" t="inlineStr">
        <is>
          <t>Ongoing litigation requires extended retention</t>
        </is>
      </c>
      <c r="G5" s="14" t="inlineStr">
        <is>
          <t>Legal Counsel</t>
        </is>
      </c>
      <c r="H5" s="14" t="inlineStr">
        <is>
          <t>CISO</t>
        </is>
      </c>
      <c r="I5" s="14" t="inlineStr">
        <is>
          <t>2025-09-01</t>
        </is>
      </c>
      <c r="J5" s="14" t="inlineStr">
        <is>
          <t>2030-12-31</t>
        </is>
      </c>
      <c r="K5" s="14" t="inlineStr">
        <is>
          <t>Active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2">
    <dataValidation sqref="B6:B55" showDropDown="0" showInputMessage="0" showErrorMessage="0" allowBlank="1" type="list">
      <formula1>"Extension,Early Disposal"</formula1>
    </dataValidation>
    <dataValidation sqref="K6:K55" showDropDown="0" showInputMessage="0" showErrorMessage="0" allowBlank="1" type="list">
      <formula1>"Active,Expired,Cancelled"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5" customWidth="1" min="3" max="3"/>
    <col width="20" customWidth="1" min="4" max="4"/>
    <col width="12" customWidth="1" min="5" max="5"/>
    <col width="40" customWidth="1" min="6" max="6"/>
    <col width="20" customWidth="1" min="7" max="7"/>
    <col width="12" customWidth="1" min="8" max="8"/>
    <col width="15" customWidth="1" min="9" max="9"/>
  </cols>
  <sheetData>
    <row r="1" ht="35" customHeight="1">
      <c r="A1" s="11" t="inlineStr">
        <is>
          <t>GAP ANALYSIS</t>
        </is>
      </c>
    </row>
    <row r="2">
      <c r="A2" s="12" t="inlineStr">
        <is>
          <t>Identified retention and disposal issues</t>
        </is>
      </c>
    </row>
    <row r="3" ht="5" customHeight="1"/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Related Item</t>
        </is>
      </c>
      <c r="E4" s="13" t="inlineStr">
        <is>
          <t>Risk Rating</t>
        </is>
      </c>
      <c r="F4" s="13" t="inlineStr">
        <is>
          <t>Remediation Action</t>
        </is>
      </c>
      <c r="G4" s="13" t="inlineStr">
        <is>
          <t>Owner</t>
        </is>
      </c>
      <c r="H4" s="13" t="inlineStr">
        <is>
          <t>Due Date</t>
        </is>
      </c>
      <c r="I4" s="13" t="inlineStr">
        <is>
          <t>Status</t>
        </is>
      </c>
    </row>
    <row r="5">
      <c r="A5" s="14" t="inlineStr">
        <is>
          <t>GAP-001</t>
        </is>
      </c>
      <c r="B5" s="14" t="inlineStr">
        <is>
          <t>Disposal</t>
        </is>
      </c>
      <c r="C5" s="14" t="inlineStr">
        <is>
          <t>12 record categories have no documented disposal method</t>
        </is>
      </c>
      <c r="D5" s="14" t="inlineStr">
        <is>
          <t>Disposal Method Matrix</t>
        </is>
      </c>
      <c r="E5" s="14" t="inlineStr">
        <is>
          <t>High</t>
        </is>
      </c>
      <c r="F5" s="14" t="inlineStr">
        <is>
          <t>Define disposal methods for all record categories in matrix</t>
        </is>
      </c>
      <c r="G5" s="14" t="inlineStr">
        <is>
          <t>Records Manager</t>
        </is>
      </c>
      <c r="H5" s="14" t="inlineStr">
        <is>
          <t>2026-04-15</t>
        </is>
      </c>
      <c r="I5" s="14" t="inlineStr">
        <is>
          <t>Open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dataValidations count="3">
    <dataValidation sqref="B6:B55" showDropDown="0" showInputMessage="0" showErrorMessage="0" allowBlank="1" type="list">
      <formula1>"Retention,Disposal,Verification,Process"</formula1>
    </dataValidation>
    <dataValidation sqref="E6:E55" showDropDown="0" showInputMessage="0" showErrorMessage="0" allowBlank="1" type="list">
      <formula1>"High,Medium,Low"</formula1>
    </dataValidation>
    <dataValidation sqref="I6:I55" showDropDown="0" showInputMessage="0" showErrorMessage="0" allowBlank="1" type="list">
      <formula1>"Open,In Progress,Complete"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2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11" t="inlineStr">
        <is>
          <t>EVIDENCE REGISTER</t>
        </is>
      </c>
    </row>
    <row r="2">
      <c r="A2" s="17" t="inlineStr">
        <is>
          <t>Audit evidence supporting retention and disposal</t>
        </is>
      </c>
    </row>
    <row r="3" ht="5" customHeight="1"/>
    <row r="4">
      <c r="A4" s="18" t="inlineStr">
        <is>
          <t>Evidence ID</t>
        </is>
      </c>
      <c r="B4" s="18" t="inlineStr">
        <is>
          <t>Description</t>
        </is>
      </c>
      <c r="C4" s="18" t="inlineStr">
        <is>
          <t>Evidence Type</t>
        </is>
      </c>
      <c r="D4" s="18" t="inlineStr">
        <is>
          <t>Related Item</t>
        </is>
      </c>
      <c r="E4" s="18" t="inlineStr">
        <is>
          <t>Storage Location</t>
        </is>
      </c>
      <c r="F4" s="18" t="inlineStr">
        <is>
          <t>Collected Date</t>
        </is>
      </c>
      <c r="G4" s="18" t="inlineStr">
        <is>
          <t>Collected By</t>
        </is>
      </c>
      <c r="H4" s="18" t="inlineStr">
        <is>
          <t>Verification Status</t>
        </is>
      </c>
    </row>
    <row r="5">
      <c r="A5" s="19" t="inlineStr">
        <is>
          <t>EV-001</t>
        </is>
      </c>
      <c r="B5" s="19" t="inlineStr">
        <is>
          <t>Certificate of destruction — Financial Ledgers 2014</t>
        </is>
      </c>
      <c r="C5" s="19" t="inlineStr">
        <is>
          <t>Certificate</t>
        </is>
      </c>
      <c r="D5" s="19" t="inlineStr">
        <is>
          <t>Destruction Verification DEST-001</t>
        </is>
      </c>
      <c r="E5" s="19" t="inlineStr">
        <is>
          <t>/evidence/destruction/cert-2026-001.pdf</t>
        </is>
      </c>
      <c r="F5" s="19" t="inlineStr">
        <is>
          <t>2026-01-15</t>
        </is>
      </c>
      <c r="G5" s="19" t="inlineStr">
        <is>
          <t>Records Manager</t>
        </is>
      </c>
      <c r="H5" s="19" t="inlineStr">
        <is>
          <t>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"Certificate,Log,Approval,Report,Other"</formula1>
    </dataValidation>
    <dataValidation sqref="H6:H105" showDropDown="0" showInputMessage="0" showErrorMessage="0" allowBlank="1" type="list">
      <formula1>"Verified,Pending,Expired"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0" t="inlineStr">
        <is>
          <t>RETENTION DISPOSAL SCHEDULE — SUMMARY DASHBOARD</t>
        </is>
      </c>
      <c r="B1" s="6" t="n"/>
      <c r="C1" s="6" t="n"/>
      <c r="D1" s="6" t="n"/>
      <c r="E1" s="6" t="n"/>
      <c r="F1" s="6" t="n"/>
      <c r="G1" s="6" t="n"/>
    </row>
    <row r="2">
      <c r="A2" s="21" t="inlineStr">
        <is>
          <t>ISO/IEC 27001:2022 — Control A.5.33: Protection of Records — Retention &amp; Disposal</t>
        </is>
      </c>
    </row>
    <row r="4">
      <c r="A4" s="22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3" t="inlineStr">
        <is>
          <t>Assessment Area</t>
        </is>
      </c>
      <c r="B5" s="23" t="inlineStr">
        <is>
          <t>Total Items</t>
        </is>
      </c>
      <c r="C5" s="23" t="inlineStr">
        <is>
          <t>Compliant</t>
        </is>
      </c>
      <c r="D5" s="23" t="inlineStr">
        <is>
          <t>Partial</t>
        </is>
      </c>
      <c r="E5" s="23" t="inlineStr">
        <is>
          <t>Non-Compliant</t>
        </is>
      </c>
      <c r="F5" s="23" t="inlineStr">
        <is>
          <t>N/A</t>
        </is>
      </c>
      <c r="G5" s="23" t="inlineStr">
        <is>
          <t>Compliance %</t>
        </is>
      </c>
    </row>
    <row r="6">
      <c r="A6" s="24" t="inlineStr">
        <is>
          <t>Retention Schedule</t>
        </is>
      </c>
      <c r="B6" s="25">
        <f>COUNTA('Retention Schedule'!B6:B55)</f>
        <v/>
      </c>
      <c r="C6" s="25">
        <f>COUNTIF('Retention Schedule'!H6:H55,"Annual")</f>
        <v/>
      </c>
      <c r="D6" s="25">
        <f>COUNTIF('Retention Schedule'!H6:H55,"Biennial")</f>
        <v/>
      </c>
      <c r="E6" s="25">
        <f>COUNTIF('Retention Schedule'!H6:H55,"Triennial")</f>
        <v/>
      </c>
      <c r="F6" s="25" t="n">
        <v>0</v>
      </c>
      <c r="G6" s="26">
        <f>IFERROR(IF((B6-F6)=0,0,C6/(B6-F6)),"")</f>
        <v/>
      </c>
    </row>
    <row r="7">
      <c r="A7" s="24" t="inlineStr">
        <is>
          <t>Disposal Queue</t>
        </is>
      </c>
      <c r="B7" s="25">
        <f>COUNTA('Disposal Queue'!B6:B55)</f>
        <v/>
      </c>
      <c r="C7" s="25">
        <f>COUNTIF('Disposal Queue'!J6:J55,"Complete")</f>
        <v/>
      </c>
      <c r="D7" s="25">
        <f>COUNTIF('Disposal Queue'!J6:J55,"In Progress")</f>
        <v/>
      </c>
      <c r="E7" s="25">
        <f>COUNTIF('Disposal Queue'!J6:J55,"Pending")</f>
        <v/>
      </c>
      <c r="F7" s="25">
        <f>COUNTIF('Disposal Queue'!J6:J55,"On Hold")</f>
        <v/>
      </c>
      <c r="G7" s="26">
        <f>IFERROR(IF((B7-F7)=0,0,C7/(B7-F7)),"")</f>
        <v/>
      </c>
    </row>
    <row r="8">
      <c r="A8" s="24" t="inlineStr">
        <is>
          <t>Destruction Verification</t>
        </is>
      </c>
      <c r="B8" s="25">
        <f>COUNTA('Destruction Verification'!B6:B55)</f>
        <v/>
      </c>
      <c r="C8" s="25">
        <f>COUNTIF('Destruction Verification'!J6:J55,"Verified")</f>
        <v/>
      </c>
      <c r="D8" s="25">
        <f>COUNTIF('Destruction Verification'!J6:J55,"Pending")</f>
        <v/>
      </c>
      <c r="E8" s="25">
        <f>COUNTIF('Destruction Verification'!J6:J55,"Not Verified")</f>
        <v/>
      </c>
      <c r="F8" s="25" t="n">
        <v>0</v>
      </c>
      <c r="G8" s="26">
        <f>IFERROR(IF((B8-F8)=0,0,C8/(B8-F8)),"")</f>
        <v/>
      </c>
    </row>
    <row r="9">
      <c r="A9" s="24" t="inlineStr">
        <is>
          <t>Exception Register</t>
        </is>
      </c>
      <c r="B9" s="25">
        <f>COUNTA('Exception Register'!B6:B55)</f>
        <v/>
      </c>
      <c r="C9" s="25">
        <f>COUNTIF('Exception Register'!K6:K55,"Expired")+COUNTIF('Exception Register'!K6:K55,"Cancelled")</f>
        <v/>
      </c>
      <c r="D9" s="25" t="n">
        <v>0</v>
      </c>
      <c r="E9" s="25">
        <f>COUNTIF('Exception Register'!K6:K55,"Active")</f>
        <v/>
      </c>
      <c r="F9" s="25" t="n">
        <v>0</v>
      </c>
      <c r="G9" s="26">
        <f>IFERROR(IF((B9-F9)=0,0,C9/(B9-F9)),"")</f>
        <v/>
      </c>
    </row>
    <row r="10">
      <c r="A10" s="27" t="inlineStr">
        <is>
          <t>TOTAL</t>
        </is>
      </c>
      <c r="B10" s="28">
        <f>SUM(B6:B9)</f>
        <v/>
      </c>
      <c r="C10" s="28">
        <f>SUM(C6:C9)</f>
        <v/>
      </c>
      <c r="D10" s="28">
        <f>SUM(D6:D9)</f>
        <v/>
      </c>
      <c r="E10" s="28">
        <f>SUM(E6:E9)</f>
        <v/>
      </c>
      <c r="F10" s="28">
        <f>SUM(F6:F9)</f>
        <v/>
      </c>
      <c r="G10" s="29">
        <f>IFERROR(IF((B10-F10)=0,0,C10/(B10-F10)),"")</f>
        <v/>
      </c>
    </row>
    <row r="12">
      <c r="A12" s="22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8" t="inlineStr">
        <is>
          <t>Metric</t>
        </is>
      </c>
      <c r="B13" s="28" t="inlineStr">
        <is>
          <t>Value</t>
        </is>
      </c>
      <c r="C13" s="28" t="n"/>
      <c r="D13" s="28" t="n"/>
      <c r="E13" s="28" t="n"/>
      <c r="F13" s="28" t="n"/>
      <c r="G13" s="28" t="n"/>
    </row>
    <row r="14">
      <c r="A14" s="27" t="inlineStr">
        <is>
          <t>Retention Schedule Metrics</t>
        </is>
      </c>
      <c r="B14" s="30" t="n"/>
      <c r="C14" s="30" t="n"/>
      <c r="D14" s="30" t="n"/>
      <c r="E14" s="30" t="n"/>
      <c r="F14" s="30" t="n"/>
      <c r="G14" s="30" t="n"/>
    </row>
    <row r="15">
      <c r="A15" s="24" t="inlineStr">
        <is>
          <t>Total Record Categories Scheduled</t>
        </is>
      </c>
      <c r="B15" s="25">
        <f>COUNTA('Retention Schedule'!B6:B55)</f>
        <v/>
      </c>
      <c r="C15" s="6" t="n"/>
      <c r="D15" s="6" t="n"/>
      <c r="E15" s="6" t="n"/>
      <c r="F15" s="6" t="n"/>
      <c r="G15" s="6" t="n"/>
    </row>
    <row r="16">
      <c r="A16" s="24" t="inlineStr">
        <is>
          <t>Regulatory-Driven Retention</t>
        </is>
      </c>
      <c r="B16" s="25">
        <f>COUNTIF('Retention Schedule'!D6:D55,"Regulatory")</f>
        <v/>
      </c>
      <c r="C16" s="6" t="n"/>
      <c r="D16" s="6" t="n"/>
      <c r="E16" s="6" t="n"/>
      <c r="F16" s="6" t="n"/>
      <c r="G16" s="6" t="n"/>
    </row>
    <row r="17">
      <c r="A17" s="24" t="inlineStr">
        <is>
          <t>Contractual Retention</t>
        </is>
      </c>
      <c r="B17" s="25">
        <f>COUNTIF('Retention Schedule'!D6:D55,"Contractual")</f>
        <v/>
      </c>
      <c r="C17" s="6" t="n"/>
      <c r="D17" s="6" t="n"/>
      <c r="E17" s="6" t="n"/>
      <c r="F17" s="6" t="n"/>
      <c r="G17" s="6" t="n"/>
    </row>
    <row r="18">
      <c r="A18" s="24" t="inlineStr">
        <is>
          <t>Annual Review Cycle</t>
        </is>
      </c>
      <c r="B18" s="25">
        <f>COUNTIF('Retention Schedule'!H6:H55,"Annual")</f>
        <v/>
      </c>
      <c r="C18" s="6" t="n"/>
      <c r="D18" s="6" t="n"/>
      <c r="E18" s="6" t="n"/>
      <c r="F18" s="6" t="n"/>
      <c r="G18" s="6" t="n"/>
    </row>
    <row r="19">
      <c r="A19" s="24" t="inlineStr">
        <is>
          <t>Biennial or Longer Review Cycle</t>
        </is>
      </c>
      <c r="B19" s="25">
        <f>COUNTIF('Retention Schedule'!H6:H55,"Biennial")+COUNTIF('Retention Schedule'!H6:H55,"Triennial")</f>
        <v/>
      </c>
      <c r="C19" s="6" t="n"/>
      <c r="D19" s="6" t="n"/>
      <c r="E19" s="6" t="n"/>
      <c r="F19" s="6" t="n"/>
      <c r="G19" s="6" t="n"/>
    </row>
    <row r="20">
      <c r="A20" s="27" t="inlineStr">
        <is>
          <t>Disposal Queue Metrics</t>
        </is>
      </c>
      <c r="B20" s="30" t="n"/>
      <c r="C20" s="30" t="n"/>
      <c r="D20" s="30" t="n"/>
      <c r="E20" s="30" t="n"/>
      <c r="F20" s="30" t="n"/>
      <c r="G20" s="30" t="n"/>
    </row>
    <row r="21">
      <c r="A21" s="24" t="inlineStr">
        <is>
          <t>Total Items in Disposal Queue</t>
        </is>
      </c>
      <c r="B21" s="25">
        <f>COUNTA('Disposal Queue'!B6:B55)</f>
        <v/>
      </c>
      <c r="C21" s="6" t="n"/>
      <c r="D21" s="6" t="n"/>
      <c r="E21" s="6" t="n"/>
      <c r="F21" s="6" t="n"/>
      <c r="G21" s="6" t="n"/>
    </row>
    <row r="22">
      <c r="A22" s="24" t="inlineStr">
        <is>
          <t>Disposals Complete</t>
        </is>
      </c>
      <c r="B22" s="25">
        <f>COUNTIF('Disposal Queue'!J6:J55,"Complete")</f>
        <v/>
      </c>
      <c r="C22" s="6" t="n"/>
      <c r="D22" s="6" t="n"/>
      <c r="E22" s="6" t="n"/>
      <c r="F22" s="6" t="n"/>
      <c r="G22" s="6" t="n"/>
    </row>
    <row r="23">
      <c r="A23" s="24" t="inlineStr">
        <is>
          <t>Disposals Pending</t>
        </is>
      </c>
      <c r="B23" s="25">
        <f>COUNTIF('Disposal Queue'!J6:J55,"Pending")</f>
        <v/>
      </c>
      <c r="C23" s="6" t="n"/>
      <c r="D23" s="6" t="n"/>
      <c r="E23" s="6" t="n"/>
      <c r="F23" s="6" t="n"/>
      <c r="G23" s="6" t="n"/>
    </row>
    <row r="24">
      <c r="A24" s="24" t="inlineStr">
        <is>
          <t>Items on Legal Hold</t>
        </is>
      </c>
      <c r="B24" s="25">
        <f>COUNTIF('Disposal Queue'!F6:F55,"Yes")</f>
        <v/>
      </c>
      <c r="C24" s="6" t="n"/>
      <c r="D24" s="6" t="n"/>
      <c r="E24" s="6" t="n"/>
      <c r="F24" s="6" t="n"/>
      <c r="G24" s="6" t="n"/>
    </row>
    <row r="25">
      <c r="A25" s="24" t="inlineStr">
        <is>
          <t>High Priority Disposals</t>
        </is>
      </c>
      <c r="B25" s="25">
        <f>COUNTIF('Disposal Queue'!G6:G55,"High")</f>
        <v/>
      </c>
      <c r="C25" s="6" t="n"/>
      <c r="D25" s="6" t="n"/>
      <c r="E25" s="6" t="n"/>
      <c r="F25" s="6" t="n"/>
      <c r="G25" s="6" t="n"/>
    </row>
    <row r="26">
      <c r="A26" s="27" t="inlineStr">
        <is>
          <t>Destruction Verification Metrics</t>
        </is>
      </c>
      <c r="B26" s="30" t="n"/>
      <c r="C26" s="30" t="n"/>
      <c r="D26" s="30" t="n"/>
      <c r="E26" s="30" t="n"/>
      <c r="F26" s="30" t="n"/>
      <c r="G26" s="30" t="n"/>
    </row>
    <row r="27">
      <c r="A27" s="24" t="inlineStr">
        <is>
          <t>Total Destruction Records</t>
        </is>
      </c>
      <c r="B27" s="25">
        <f>COUNTA('Destruction Verification'!B6:B55)</f>
        <v/>
      </c>
      <c r="C27" s="6" t="n"/>
      <c r="D27" s="6" t="n"/>
      <c r="E27" s="6" t="n"/>
      <c r="F27" s="6" t="n"/>
      <c r="G27" s="6" t="n"/>
    </row>
    <row r="28">
      <c r="A28" s="24" t="inlineStr">
        <is>
          <t>Verified Destructions</t>
        </is>
      </c>
      <c r="B28" s="25">
        <f>COUNTIF('Destruction Verification'!J6:J55,"Verified")</f>
        <v/>
      </c>
      <c r="C28" s="6" t="n"/>
      <c r="D28" s="6" t="n"/>
      <c r="E28" s="6" t="n"/>
      <c r="F28" s="6" t="n"/>
      <c r="G28" s="6" t="n"/>
    </row>
    <row r="29">
      <c r="A29" s="24" t="inlineStr">
        <is>
          <t>Pending Verifications</t>
        </is>
      </c>
      <c r="B29" s="25">
        <f>COUNTIF('Destruction Verification'!J6:J55,"Pending")</f>
        <v/>
      </c>
      <c r="C29" s="6" t="n"/>
      <c r="D29" s="6" t="n"/>
      <c r="E29" s="6" t="n"/>
      <c r="F29" s="6" t="n"/>
      <c r="G29" s="6" t="n"/>
    </row>
    <row r="30">
      <c r="A30" s="24" t="inlineStr">
        <is>
          <t>Not Verified</t>
        </is>
      </c>
      <c r="B30" s="25">
        <f>COUNTIF('Destruction Verification'!J6:J55,"Not Verified")</f>
        <v/>
      </c>
      <c r="C30" s="6" t="n"/>
      <c r="D30" s="6" t="n"/>
      <c r="E30" s="6" t="n"/>
      <c r="F30" s="6" t="n"/>
      <c r="G30" s="6" t="n"/>
    </row>
    <row r="31">
      <c r="A31" s="27" t="inlineStr">
        <is>
          <t>Exception Register Metrics</t>
        </is>
      </c>
      <c r="B31" s="30" t="n"/>
      <c r="C31" s="30" t="n"/>
      <c r="D31" s="30" t="n"/>
      <c r="E31" s="30" t="n"/>
      <c r="F31" s="30" t="n"/>
      <c r="G31" s="30" t="n"/>
    </row>
    <row r="32">
      <c r="A32" s="24" t="inlineStr">
        <is>
          <t>Active Exceptions</t>
        </is>
      </c>
      <c r="B32" s="25">
        <f>COUNTIF('Exception Register'!K6:K55,"Active")</f>
        <v/>
      </c>
      <c r="C32" s="6" t="n"/>
      <c r="D32" s="6" t="n"/>
      <c r="E32" s="6" t="n"/>
      <c r="F32" s="6" t="n"/>
      <c r="G32" s="6" t="n"/>
    </row>
    <row r="33">
      <c r="A33" s="24" t="inlineStr">
        <is>
          <t>Retention Extensions</t>
        </is>
      </c>
      <c r="B33" s="25">
        <f>COUNTIF('Exception Register'!B6:B55,"Extension")</f>
        <v/>
      </c>
      <c r="C33" s="6" t="n"/>
      <c r="D33" s="6" t="n"/>
      <c r="E33" s="6" t="n"/>
      <c r="F33" s="6" t="n"/>
      <c r="G33" s="6" t="n"/>
    </row>
    <row r="34">
      <c r="A34" s="24" t="inlineStr">
        <is>
          <t>Early Disposals</t>
        </is>
      </c>
      <c r="B34" s="25">
        <f>COUNTIF('Exception Register'!B6:B55,"Early Disposal")</f>
        <v/>
      </c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8">
      <c r="A38" s="31" t="inlineStr">
        <is>
          <t>TABLE 3: CRITICAL FINDINGS REQUIRING IMMEDIATE ATTENTION</t>
        </is>
      </c>
      <c r="B38" s="6" t="n"/>
      <c r="C38" s="6" t="n"/>
      <c r="D38" s="6" t="n"/>
      <c r="E38" s="6" t="n"/>
      <c r="F38" s="6" t="n"/>
      <c r="G38" s="6" t="n"/>
    </row>
    <row r="39">
      <c r="A39" s="28" t="inlineStr">
        <is>
          <t>Category</t>
        </is>
      </c>
      <c r="B39" s="28" t="inlineStr">
        <is>
          <t>Finding</t>
        </is>
      </c>
      <c r="C39" s="28" t="inlineStr">
        <is>
          <t>Count</t>
        </is>
      </c>
      <c r="D39" s="28" t="inlineStr">
        <is>
          <t>Severity</t>
        </is>
      </c>
      <c r="E39" s="28" t="inlineStr">
        <is>
          <t>Action Required</t>
        </is>
      </c>
      <c r="F39" s="28" t="n"/>
      <c r="G39" s="28" t="n"/>
    </row>
    <row r="40">
      <c r="A40" s="32" t="inlineStr">
        <is>
          <t>Disposal Queue</t>
        </is>
      </c>
      <c r="B40" s="32" t="inlineStr">
        <is>
          <t>Overdue (pending) disposals</t>
        </is>
      </c>
      <c r="C40" s="33">
        <f>COUNTIF('Disposal Queue'!J6:J55,"Pending")</f>
        <v/>
      </c>
      <c r="D40" s="32" t="inlineStr">
        <is>
          <t>Critical</t>
        </is>
      </c>
      <c r="E40" s="32" t="inlineStr">
        <is>
          <t>Immediate</t>
        </is>
      </c>
      <c r="F40" s="32" t="n"/>
      <c r="G40" s="32" t="n"/>
    </row>
    <row r="41">
      <c r="A41" s="32" t="inlineStr">
        <is>
          <t>Disposal Queue</t>
        </is>
      </c>
      <c r="B41" s="32" t="inlineStr">
        <is>
          <t>High priority outstanding disposals</t>
        </is>
      </c>
      <c r="C41" s="33">
        <f>COUNTIFS('Disposal Queue'!G6:G55,"High",'Disposal Queue'!J6:J55,"Pending")</f>
        <v/>
      </c>
      <c r="D41" s="32" t="inlineStr">
        <is>
          <t>Critical</t>
        </is>
      </c>
      <c r="E41" s="32" t="inlineStr">
        <is>
          <t>Immediate</t>
        </is>
      </c>
      <c r="F41" s="32" t="n"/>
      <c r="G41" s="32" t="n"/>
    </row>
    <row r="42">
      <c r="A42" s="32" t="inlineStr">
        <is>
          <t>Destruction Verification</t>
        </is>
      </c>
      <c r="B42" s="32" t="inlineStr">
        <is>
          <t>Destructions not verified</t>
        </is>
      </c>
      <c r="C42" s="33">
        <f>COUNTIF('Destruction Verification'!J6:J55,"Not Verified")</f>
        <v/>
      </c>
      <c r="D42" s="32" t="inlineStr">
        <is>
          <t>Critical</t>
        </is>
      </c>
      <c r="E42" s="32" t="inlineStr">
        <is>
          <t>Immediate</t>
        </is>
      </c>
      <c r="F42" s="32" t="n"/>
      <c r="G42" s="32" t="n"/>
    </row>
    <row r="43">
      <c r="A43" s="32" t="inlineStr">
        <is>
          <t>Destruction Verification</t>
        </is>
      </c>
      <c r="B43" s="32" t="inlineStr">
        <is>
          <t>Verifications pending</t>
        </is>
      </c>
      <c r="C43" s="33">
        <f>COUNTIF('Destruction Verification'!J6:J55,"Pending")</f>
        <v/>
      </c>
      <c r="D43" s="32" t="inlineStr">
        <is>
          <t>High</t>
        </is>
      </c>
      <c r="E43" s="32" t="inlineStr">
        <is>
          <t>Urgent</t>
        </is>
      </c>
      <c r="F43" s="32" t="n"/>
      <c r="G43" s="32" t="n"/>
    </row>
    <row r="44">
      <c r="A44" s="32" t="inlineStr">
        <is>
          <t>Exception Register</t>
        </is>
      </c>
      <c r="B44" s="32" t="inlineStr">
        <is>
          <t>Active exceptions requiring review</t>
        </is>
      </c>
      <c r="C44" s="33">
        <f>COUNTIF('Exception Register'!K6:K55,"Active")</f>
        <v/>
      </c>
      <c r="D44" s="32" t="inlineStr">
        <is>
          <t>High</t>
        </is>
      </c>
      <c r="E44" s="32" t="inlineStr">
        <is>
          <t>Urgent</t>
        </is>
      </c>
      <c r="F44" s="32" t="n"/>
      <c r="G44" s="32" t="n"/>
    </row>
    <row r="45">
      <c r="A45" s="32" t="inlineStr">
        <is>
          <t>Disposal Queue</t>
        </is>
      </c>
      <c r="B45" s="32" t="inlineStr">
        <is>
          <t>Items with legal hold — disposal blocked</t>
        </is>
      </c>
      <c r="C45" s="33">
        <f>COUNTIF('Disposal Queue'!F6:F55,"Yes")</f>
        <v/>
      </c>
      <c r="D45" s="32" t="inlineStr">
        <is>
          <t>High</t>
        </is>
      </c>
      <c r="E45" s="32" t="inlineStr">
        <is>
          <t>Monitor</t>
        </is>
      </c>
      <c r="F45" s="32" t="n"/>
      <c r="G45" s="32" t="n"/>
    </row>
    <row r="46">
      <c r="A46" s="32" t="inlineStr">
        <is>
          <t>Gap Analysis</t>
        </is>
      </c>
      <c r="B46" s="32" t="inlineStr">
        <is>
          <t>Open retention gaps</t>
        </is>
      </c>
      <c r="C46" s="33">
        <f>COUNTIFS('Gap Analysis'!B6:B55,"Retention",'Gap Analysis'!I6:I55,"Open")</f>
        <v/>
      </c>
      <c r="D46" s="32" t="inlineStr">
        <is>
          <t>High</t>
        </is>
      </c>
      <c r="E46" s="32" t="inlineStr">
        <is>
          <t>Urgent</t>
        </is>
      </c>
      <c r="F46" s="32" t="n"/>
      <c r="G46" s="32" t="n"/>
    </row>
    <row r="47">
      <c r="A47" s="32" t="inlineStr">
        <is>
          <t>Gap Analysis</t>
        </is>
      </c>
      <c r="B47" s="32" t="inlineStr">
        <is>
          <t>Open disposal gaps</t>
        </is>
      </c>
      <c r="C47" s="33">
        <f>COUNTIFS('Gap Analysis'!B6:B55,"Disposal",'Gap Analysis'!I6:I55,"Open")</f>
        <v/>
      </c>
      <c r="D47" s="32" t="inlineStr">
        <is>
          <t>High</t>
        </is>
      </c>
      <c r="E47" s="32" t="inlineStr">
        <is>
          <t>Urgent</t>
        </is>
      </c>
      <c r="F47" s="32" t="n"/>
      <c r="G47" s="32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</sheetData>
  <mergeCells count="5">
    <mergeCell ref="A1:G1"/>
    <mergeCell ref="A12:G12"/>
    <mergeCell ref="A4:G4"/>
    <mergeCell ref="A38:G38"/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4" t="inlineStr">
        <is>
          <t>ASSESSMENT APPROVAL AND SIGN-OFF</t>
        </is>
      </c>
      <c r="B1" s="6" t="n"/>
      <c r="C1" s="6" t="n"/>
      <c r="D1" s="6" t="n"/>
      <c r="E1" s="6" t="n"/>
    </row>
    <row r="2">
      <c r="A2" s="35" t="inlineStr">
        <is>
          <t>ISO/IEC 27001:2022 - Control A.5.33: Protection of Records</t>
        </is>
      </c>
      <c r="B2" s="6" t="n"/>
      <c r="C2" s="6" t="n"/>
      <c r="D2" s="6" t="n"/>
      <c r="E2" s="6" t="n"/>
    </row>
    <row r="3">
      <c r="A3" s="36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ISMS-IMP-A.5.32-33.S3 - Retention Disposal Schedule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37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36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36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8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36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ISMS-IMP-A.5.32-33.S3 — Retention Disposal Schedule</dc:title>
  <dc:description xmlns:dc="http://purl.org/dc/elements/1.1/">ISMS Implementation Workbook — ISMS-IMP-A.5.32-33.S3</dc:description>
  <dc:subject xmlns:dc="http://purl.org/dc/elements/1.1/">ISO/IEC 27001:2022 — Control A.5.33: Protection of Records</dc:subject>
  <dcterms:created xmlns:dcterms="http://purl.org/dc/terms/" xmlns:xsi="http://www.w3.org/2001/XMLSchema-instance" xsi:type="dcterms:W3CDTF">2026-03-07T11:27:34Z</dcterms:created>
  <dcterms:modified xmlns:dcterms="http://purl.org/dc/terms/" xmlns:xsi="http://www.w3.org/2001/XMLSchema-instance" xsi:type="dcterms:W3CDTF">2026-03-07T11:27:34Z</dcterms:modified>
</cp:coreProperties>
</file>