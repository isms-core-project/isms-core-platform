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cords Category Inventory" sheetId="2" state="visible" r:id="rId2"/>
    <sheet xmlns:r="http://schemas.openxmlformats.org/officeDocument/2006/relationships" name="Protection Controls" sheetId="3" state="visible" r:id="rId3"/>
    <sheet xmlns:r="http://schemas.openxmlformats.org/officeDocument/2006/relationships" name="Integrity Verification" sheetId="4" state="visible" r:id="rId4"/>
    <sheet xmlns:r="http://schemas.openxmlformats.org/officeDocument/2006/relationships" name="Access Control Review" sheetId="5" state="visible" r:id="rId5"/>
    <sheet xmlns:r="http://schemas.openxmlformats.org/officeDocument/2006/relationships" name="Legal Hold Register" sheetId="6" state="visible" r:id="rId6"/>
    <sheet xmlns:r="http://schemas.openxmlformats.org/officeDocument/2006/relationships" name="Backup Verification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ISMS-IMP-A.5.32-33.S2  -  Records Protection Assessment
ISO/IEC 27001:2022 - Control A.5.33: Protection of Records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ISMS-IMP-A.5.32-33.S2</t>
        </is>
      </c>
    </row>
    <row r="5">
      <c r="A5" s="3" t="inlineStr">
        <is>
          <t>Workbook Title</t>
        </is>
      </c>
      <c r="B5" t="inlineStr">
        <is>
          <t>Records Protection Assessment</t>
        </is>
      </c>
    </row>
    <row r="6">
      <c r="A6" s="3" t="inlineStr">
        <is>
          <t>Control Reference</t>
        </is>
      </c>
      <c r="B6" t="inlineStr">
        <is>
          <t>ISO/IEC 27001:2022 - Control A.5.33: Protection of Records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Records Category Inventory — classify all records by type and retention requirement.</t>
        </is>
      </c>
    </row>
    <row r="14">
      <c r="A14" t="inlineStr">
        <is>
          <t>2. Complete Protection Controls — assess controls protecting records (access, encryption, backup).</t>
        </is>
      </c>
    </row>
    <row r="15">
      <c r="A15" t="inlineStr">
        <is>
          <t>3. Complete Integrity Verification — verify records integrity controls (checksums, audit trails).</t>
        </is>
      </c>
    </row>
    <row r="16">
      <c r="A16" t="inlineStr">
        <is>
          <t>4. Complete Access Control Review — confirm only authorised personnel can access sensitive records.</t>
        </is>
      </c>
    </row>
    <row r="17">
      <c r="A17" t="inlineStr">
        <is>
          <t>5. Complete Legal Hold Register — track records under legal hold with hold dates and reasons.</t>
        </is>
      </c>
    </row>
    <row r="18">
      <c r="A18" t="inlineStr">
        <is>
          <t>6. Complete Backup Verification — confirm records are included in backup and restoration is tested.</t>
        </is>
      </c>
    </row>
    <row r="19">
      <c r="A19" t="inlineStr">
        <is>
          <t>7. Complete Gap Analysis — identify categories with insufficient protection.</t>
        </is>
      </c>
    </row>
    <row r="20">
      <c r="A20" t="inlineStr">
        <is>
          <t>8. Maintain the Evidence Register with protection assessments and test results.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40" customWidth="1" min="4" max="4"/>
    <col width="18" customWidth="1" min="5" max="5"/>
    <col width="30" customWidth="1" min="6" max="6"/>
    <col width="12" customWidth="1" min="7" max="7"/>
    <col width="30" customWidth="1" min="8" max="8"/>
    <col width="15" customWidth="1" min="9" max="9"/>
    <col width="15" customWidth="1" min="10" max="10"/>
    <col width="18" customWidth="1" min="11" max="11"/>
    <col width="30" customWidth="1" min="12" max="12"/>
  </cols>
  <sheetData>
    <row r="1" ht="35" customHeight="1">
      <c r="A1" s="11" t="inlineStr">
        <is>
          <t>RECORDS CATEGORY INVENTORY</t>
        </is>
      </c>
    </row>
    <row r="2">
      <c r="A2" s="12" t="inlineStr">
        <is>
          <t>Comprehensive register of all record categories requiring protection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Record Type</t>
        </is>
      </c>
      <c r="D4" s="13" t="inlineStr">
        <is>
          <t>Description</t>
        </is>
      </c>
      <c r="E4" s="13" t="inlineStr">
        <is>
          <t>Custodian Department</t>
        </is>
      </c>
      <c r="F4" s="13" t="inlineStr">
        <is>
          <t>Storage Location</t>
        </is>
      </c>
      <c r="G4" s="13" t="inlineStr">
        <is>
          <t>Format</t>
        </is>
      </c>
      <c r="H4" s="13" t="inlineStr">
        <is>
          <t>Retention Requirement</t>
        </is>
      </c>
      <c r="I4" s="13" t="inlineStr">
        <is>
          <t>Confidentiality</t>
        </is>
      </c>
      <c r="J4" s="13" t="inlineStr">
        <is>
          <t>Integrity Requirement</t>
        </is>
      </c>
      <c r="K4" s="13" t="inlineStr">
        <is>
          <t>Availability Requirement</t>
        </is>
      </c>
      <c r="L4" s="13" t="inlineStr">
        <is>
          <t>Notes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Financial</t>
        </is>
      </c>
      <c r="D5" s="14" t="inlineStr">
        <is>
          <t>General ledger, sub-ledgers, journal entries</t>
        </is>
      </c>
      <c r="E5" s="14" t="inlineStr">
        <is>
          <t>Finance</t>
        </is>
      </c>
      <c r="F5" s="14" t="inlineStr">
        <is>
          <t>SAP ERP, Archive Server</t>
        </is>
      </c>
      <c r="G5" s="14" t="inlineStr">
        <is>
          <t>Electronic</t>
        </is>
      </c>
      <c r="H5" s="14" t="inlineStr">
        <is>
          <t>Swiss CO Art. 958f - 10 years</t>
        </is>
      </c>
      <c r="I5" s="14" t="inlineStr">
        <is>
          <t>Confidential</t>
        </is>
      </c>
      <c r="J5" s="14" t="inlineStr">
        <is>
          <t>Critical</t>
        </is>
      </c>
      <c r="K5" s="14" t="inlineStr">
        <is>
          <t>Business Critical</t>
        </is>
      </c>
      <c r="L5" s="14" t="inlineStr">
        <is>
          <t>Integrity critical for audit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5">
    <dataValidation sqref="C6:C55" showDropDown="0" showInputMessage="0" showErrorMessage="0" allowBlank="1" type="list">
      <formula1>"Financial,Personnel,Legal,Operational,Technical,Security,Regulatory"</formula1>
    </dataValidation>
    <dataValidation sqref="G6:G55" showDropDown="0" showInputMessage="0" showErrorMessage="0" allowBlank="1" type="list">
      <formula1>"Physical,Electronic,Both"</formula1>
    </dataValidation>
    <dataValidation sqref="I6:I55" showDropDown="0" showInputMessage="0" showErrorMessage="0" allowBlank="1" type="list">
      <formula1>"Restricted,Confidential,Internal,Public"</formula1>
    </dataValidation>
    <dataValidation sqref="J6:J55" showDropDown="0" showInputMessage="0" showErrorMessage="0" allowBlank="1" type="list">
      <formula1>"Critical,High,Standard"</formula1>
    </dataValidation>
    <dataValidation sqref="K6:K55" showDropDown="0" showInputMessage="0" showErrorMessage="0" allowBlank="1" type="list">
      <formula1>"Mission Critical,Business Critical,Standard"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5" customWidth="1" min="4" max="4"/>
    <col width="35" customWidth="1" min="5" max="5"/>
    <col width="25" customWidth="1" min="6" max="6"/>
    <col width="18" customWidth="1" min="7" max="7"/>
    <col width="35" customWidth="1" min="8" max="8"/>
    <col width="35" customWidth="1" min="9" max="9"/>
    <col width="15" customWidth="1" min="10" max="10"/>
  </cols>
  <sheetData>
    <row r="1" ht="35" customHeight="1">
      <c r="A1" s="11" t="inlineStr">
        <is>
          <t>PROTECTION CONTROLS ASSESSMENT</t>
        </is>
      </c>
    </row>
    <row r="2">
      <c r="A2" s="12" t="inlineStr">
        <is>
          <t>Confidentiality, integrity, and availability controls per record category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Confidentiality Controls</t>
        </is>
      </c>
      <c r="D4" s="13" t="inlineStr">
        <is>
          <t>Integrity Controls</t>
        </is>
      </c>
      <c r="E4" s="13" t="inlineStr">
        <is>
          <t>Availability Controls</t>
        </is>
      </c>
      <c r="F4" s="13" t="inlineStr">
        <is>
          <t>Physical Controls</t>
        </is>
      </c>
      <c r="G4" s="13" t="inlineStr">
        <is>
          <t>Control Effectiveness</t>
        </is>
      </c>
      <c r="H4" s="13" t="inlineStr">
        <is>
          <t>Gap Description</t>
        </is>
      </c>
      <c r="I4" s="13" t="inlineStr">
        <is>
          <t>Remediation Needed</t>
        </is>
      </c>
      <c r="J4" s="13" t="inlineStr">
        <is>
          <t>Status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AES-256 encryption, role-based access, MFA required</t>
        </is>
      </c>
      <c r="D5" s="14" t="inlineStr">
        <is>
          <t>Digital signatures, WORM storage, daily integrity checks</t>
        </is>
      </c>
      <c r="E5" s="14" t="inlineStr">
        <is>
          <t>99.9% SLA, geo-redundant backup, 4-hour RTO</t>
        </is>
      </c>
      <c r="F5" s="14" t="inlineStr">
        <is>
          <t>Server room physical controls, CCTV</t>
        </is>
      </c>
      <c r="G5" s="14" t="inlineStr">
        <is>
          <t>Effective</t>
        </is>
      </c>
      <c r="H5" s="14" t="inlineStr"/>
      <c r="I5" s="14" t="inlineStr"/>
      <c r="J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2">
    <dataValidation sqref="G6:G55" showDropDown="0" showInputMessage="0" showErrorMessage="0" allowBlank="1" type="list">
      <formula1>"Effective,Partial,Ineffective"</formula1>
    </dataValidation>
    <dataValidation sqref="J6:J55" showDropDown="0" showInputMessage="0" showErrorMessage="0" allowBlank="1" type="list">
      <formula1>"Complete,In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2" customWidth="1" min="4" max="4"/>
    <col width="35" customWidth="1" min="5" max="5"/>
    <col width="25" customWidth="1" min="6" max="6"/>
    <col width="25" customWidth="1" min="7" max="7"/>
    <col width="12" customWidth="1" min="8" max="8"/>
    <col width="30" customWidth="1" min="9" max="9"/>
    <col width="30" customWidth="1" min="10" max="10"/>
  </cols>
  <sheetData>
    <row r="1" ht="35" customHeight="1">
      <c r="A1" s="11" t="inlineStr">
        <is>
          <t>INTEGRITY VERIFICATION</t>
        </is>
      </c>
    </row>
    <row r="2">
      <c r="A2" s="12" t="inlineStr">
        <is>
          <t>Testing and verification of record integrity mechanisms</t>
        </is>
      </c>
    </row>
    <row r="3" ht="5" customHeight="1"/>
    <row r="4">
      <c r="A4" s="13" t="inlineStr">
        <is>
          <t>Test ID</t>
        </is>
      </c>
      <c r="B4" s="13" t="inlineStr">
        <is>
          <t>Record Category</t>
        </is>
      </c>
      <c r="C4" s="13" t="inlineStr">
        <is>
          <t>Integrity Mechanism</t>
        </is>
      </c>
      <c r="D4" s="13" t="inlineStr">
        <is>
          <t>Test Date</t>
        </is>
      </c>
      <c r="E4" s="13" t="inlineStr">
        <is>
          <t>Test Performed</t>
        </is>
      </c>
      <c r="F4" s="13" t="inlineStr">
        <is>
          <t>Expected Result</t>
        </is>
      </c>
      <c r="G4" s="13" t="inlineStr">
        <is>
          <t>Actual Result</t>
        </is>
      </c>
      <c r="H4" s="13" t="inlineStr">
        <is>
          <t>Status</t>
        </is>
      </c>
      <c r="I4" s="13" t="inlineStr">
        <is>
          <t>Issues</t>
        </is>
      </c>
      <c r="J4" s="13" t="inlineStr">
        <is>
          <t>Remediation</t>
        </is>
      </c>
    </row>
    <row r="5">
      <c r="A5" s="14" t="inlineStr">
        <is>
          <t>INT-001</t>
        </is>
      </c>
      <c r="B5" s="14" t="inlineStr">
        <is>
          <t>Financial Ledgers</t>
        </is>
      </c>
      <c r="C5" s="14" t="inlineStr">
        <is>
          <t>Digital Signature</t>
        </is>
      </c>
      <c r="D5" s="14" t="inlineStr">
        <is>
          <t>2026-01-15</t>
        </is>
      </c>
      <c r="E5" s="14" t="inlineStr">
        <is>
          <t>SHA-256 hash verification of all ledger entries</t>
        </is>
      </c>
      <c r="F5" s="14" t="inlineStr">
        <is>
          <t>All hashes match baseline</t>
        </is>
      </c>
      <c r="G5" s="14" t="inlineStr">
        <is>
          <t>All hashes match baseline</t>
        </is>
      </c>
      <c r="H5" s="14" t="inlineStr">
        <is>
          <t>Pass</t>
        </is>
      </c>
      <c r="I5" s="14" t="inlineStr"/>
      <c r="J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2">
    <dataValidation sqref="C6:C55" showDropDown="0" showInputMessage="0" showErrorMessage="0" allowBlank="1" type="list">
      <formula1>"Checksum,Digital Signature,WORM,Audit Log,Database Constraints,Other"</formula1>
    </dataValidation>
    <dataValidation sqref="H6:H55" showDropDown="0" showInputMessage="0" showErrorMessage="0" allowBlank="1" type="list">
      <formula1>"Pass,Fail,Partial,Not Tested"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2" customWidth="1" min="4" max="4"/>
    <col width="15" customWidth="1" min="5" max="5"/>
    <col width="18" customWidth="1" min="6" max="6"/>
    <col width="15" customWidth="1" min="7" max="7"/>
    <col width="15" customWidth="1" min="8" max="8"/>
    <col width="30" customWidth="1" min="9" max="9"/>
    <col width="30" customWidth="1" min="10" max="10"/>
    <col width="15" customWidth="1" min="11" max="11"/>
  </cols>
  <sheetData>
    <row r="1" ht="35" customHeight="1">
      <c r="A1" s="11" t="inlineStr">
        <is>
          <t>ACCESS CONTROL REVIEW</t>
        </is>
      </c>
    </row>
    <row r="2">
      <c r="A2" s="12" t="inlineStr">
        <is>
          <t>Assessment of access controls for record storage systems</t>
        </is>
      </c>
    </row>
    <row r="3" ht="5" customHeight="1"/>
    <row r="4">
      <c r="A4" s="13" t="inlineStr">
        <is>
          <t>System Name</t>
        </is>
      </c>
      <c r="B4" s="13" t="inlineStr">
        <is>
          <t>Record Categories</t>
        </is>
      </c>
      <c r="C4" s="13" t="inlineStr">
        <is>
          <t>Access Control Type</t>
        </is>
      </c>
      <c r="D4" s="13" t="inlineStr">
        <is>
          <t>User Count</t>
        </is>
      </c>
      <c r="E4" s="13" t="inlineStr">
        <is>
          <t>Privileged Users</t>
        </is>
      </c>
      <c r="F4" s="13" t="inlineStr">
        <is>
          <t>Last Access Review</t>
        </is>
      </c>
      <c r="G4" s="13" t="inlineStr">
        <is>
          <t>Access Logging</t>
        </is>
      </c>
      <c r="H4" s="13" t="inlineStr">
        <is>
          <t>Log Retention</t>
        </is>
      </c>
      <c r="I4" s="13" t="inlineStr">
        <is>
          <t>Issues</t>
        </is>
      </c>
      <c r="J4" s="13" t="inlineStr">
        <is>
          <t>Remediation</t>
        </is>
      </c>
      <c r="K4" s="13" t="inlineStr">
        <is>
          <t>Status</t>
        </is>
      </c>
    </row>
    <row r="5">
      <c r="A5" s="14" t="inlineStr">
        <is>
          <t>SAP ERP</t>
        </is>
      </c>
      <c r="B5" s="14" t="inlineStr">
        <is>
          <t>Financial Ledgers, Personnel Records</t>
        </is>
      </c>
      <c r="C5" s="14" t="inlineStr">
        <is>
          <t>RBAC</t>
        </is>
      </c>
      <c r="D5" s="14" t="inlineStr">
        <is>
          <t>245</t>
        </is>
      </c>
      <c r="E5" s="14" t="inlineStr">
        <is>
          <t>8</t>
        </is>
      </c>
      <c r="F5" s="14" t="inlineStr">
        <is>
          <t>2026-01-01</t>
        </is>
      </c>
      <c r="G5" s="14" t="inlineStr">
        <is>
          <t>Yes</t>
        </is>
      </c>
      <c r="H5" s="14" t="inlineStr">
        <is>
          <t>7 years</t>
        </is>
      </c>
      <c r="I5" s="14" t="inlineStr"/>
      <c r="J5" s="14" t="inlineStr"/>
      <c r="K5" s="14" t="inlineStr">
        <is>
          <t>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C6:C55" showDropDown="0" showInputMessage="0" showErrorMessage="0" allowBlank="1" type="list">
      <formula1>"RBAC,DAC,MAC,Mixed"</formula1>
    </dataValidation>
    <dataValidation sqref="G6:G55" showDropDown="0" showInputMessage="0" showErrorMessage="0" allowBlank="1" type="list">
      <formula1>"Yes,No,Partial"</formula1>
    </dataValidation>
    <dataValidation sqref="K6:K55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5" customWidth="1" min="4" max="4"/>
    <col width="35" customWidth="1" min="5" max="5"/>
    <col width="30" customWidth="1" min="6" max="6"/>
    <col width="15" customWidth="1" min="7" max="7"/>
    <col width="15" customWidth="1" min="8" max="8"/>
    <col width="12" customWidth="1" min="9" max="9"/>
    <col width="35" customWidth="1" min="10" max="10"/>
  </cols>
  <sheetData>
    <row r="1" ht="35" customHeight="1">
      <c r="A1" s="11" t="inlineStr">
        <is>
          <t>LEGAL HOLD REGISTER</t>
        </is>
      </c>
    </row>
    <row r="2">
      <c r="A2" s="12" t="inlineStr">
        <is>
          <t>Litigation and investigation holds affecting record retention</t>
        </is>
      </c>
    </row>
    <row r="3" ht="5" customHeight="1"/>
    <row r="4">
      <c r="A4" s="13" t="inlineStr">
        <is>
          <t>Hold ID</t>
        </is>
      </c>
      <c r="B4" s="13" t="inlineStr">
        <is>
          <t>Matter Name</t>
        </is>
      </c>
      <c r="C4" s="13" t="inlineStr">
        <is>
          <t>Legal Counsel</t>
        </is>
      </c>
      <c r="D4" s="13" t="inlineStr">
        <is>
          <t>Effective Date</t>
        </is>
      </c>
      <c r="E4" s="13" t="inlineStr">
        <is>
          <t>Record Categories</t>
        </is>
      </c>
      <c r="F4" s="13" t="inlineStr">
        <is>
          <t>Custodians Notified</t>
        </is>
      </c>
      <c r="G4" s="13" t="inlineStr">
        <is>
          <t>Notification Date</t>
        </is>
      </c>
      <c r="H4" s="13" t="inlineStr">
        <is>
          <t>Release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LH-001</t>
        </is>
      </c>
      <c r="B5" s="14" t="inlineStr">
        <is>
          <t>Supplier Contract Dispute 2025</t>
        </is>
      </c>
      <c r="C5" s="14" t="inlineStr">
        <is>
          <t>Dr. Anna Fischer</t>
        </is>
      </c>
      <c r="D5" s="14" t="inlineStr">
        <is>
          <t>2025-06-01</t>
        </is>
      </c>
      <c r="E5" s="14" t="inlineStr">
        <is>
          <t>Financial Ledgers, Contract Records</t>
        </is>
      </c>
      <c r="F5" s="14" t="inlineStr">
        <is>
          <t>Finance Director, Legal Team</t>
        </is>
      </c>
      <c r="G5" s="14" t="inlineStr">
        <is>
          <t>2025-06-02</t>
        </is>
      </c>
      <c r="H5" s="14" t="inlineStr"/>
      <c r="I5" s="14" t="inlineStr">
        <is>
          <t>Active</t>
        </is>
      </c>
      <c r="J5" s="14" t="inlineStr">
        <is>
          <t>All custodians acknowledged hold notice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1">
    <dataValidation sqref="I6:I55" showDropDown="0" showInputMessage="0" showErrorMessage="0" allowBlank="1" type="list">
      <formula1>"Active,Released,Pending"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5" customWidth="1" min="4" max="4"/>
    <col width="15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30" customWidth="1" min="13" max="13"/>
  </cols>
  <sheetData>
    <row r="1" ht="35" customHeight="1">
      <c r="A1" s="11" t="inlineStr">
        <is>
          <t>BACKUP VERIFICATION</t>
        </is>
      </c>
    </row>
    <row r="2">
      <c r="A2" s="12" t="inlineStr">
        <is>
          <t>Backup and recovery verification for records availability</t>
        </is>
      </c>
    </row>
    <row r="3" ht="5" customHeight="1"/>
    <row r="4">
      <c r="A4" s="13" t="inlineStr">
        <is>
          <t>Record Category</t>
        </is>
      </c>
      <c r="B4" s="13" t="inlineStr">
        <is>
          <t>Backup System</t>
        </is>
      </c>
      <c r="C4" s="13" t="inlineStr">
        <is>
          <t>Backup Frequency</t>
        </is>
      </c>
      <c r="D4" s="13" t="inlineStr">
        <is>
          <t>Backup Location</t>
        </is>
      </c>
      <c r="E4" s="13" t="inlineStr">
        <is>
          <t>Last Backup Date</t>
        </is>
      </c>
      <c r="F4" s="13" t="inlineStr">
        <is>
          <t>Last Verification</t>
        </is>
      </c>
      <c r="G4" s="13" t="inlineStr">
        <is>
          <t>Last Recovery Test</t>
        </is>
      </c>
      <c r="H4" s="13" t="inlineStr">
        <is>
          <t>RTO Target</t>
        </is>
      </c>
      <c r="I4" s="13" t="inlineStr">
        <is>
          <t>RTO Achieved</t>
        </is>
      </c>
      <c r="J4" s="13" t="inlineStr">
        <is>
          <t>RPO Target</t>
        </is>
      </c>
      <c r="K4" s="13" t="inlineStr">
        <is>
          <t>RPO Achieved</t>
        </is>
      </c>
      <c r="L4" s="13" t="inlineStr">
        <is>
          <t>Status</t>
        </is>
      </c>
      <c r="M4" s="13" t="inlineStr">
        <is>
          <t>Issues</t>
        </is>
      </c>
    </row>
    <row r="5">
      <c r="A5" s="14" t="inlineStr">
        <is>
          <t>Financial Ledgers</t>
        </is>
      </c>
      <c r="B5" s="14" t="inlineStr">
        <is>
          <t>Veeam Backup &amp; Replication</t>
        </is>
      </c>
      <c r="C5" s="14" t="inlineStr">
        <is>
          <t>Daily</t>
        </is>
      </c>
      <c r="D5" s="14" t="inlineStr">
        <is>
          <t>Secondary DC (Geneva) + Azure Blob</t>
        </is>
      </c>
      <c r="E5" s="14" t="inlineStr">
        <is>
          <t>2026-02-22</t>
        </is>
      </c>
      <c r="F5" s="14" t="inlineStr">
        <is>
          <t>2026-02-22</t>
        </is>
      </c>
      <c r="G5" s="14" t="inlineStr">
        <is>
          <t>2026-01-15</t>
        </is>
      </c>
      <c r="H5" s="14" t="inlineStr">
        <is>
          <t>4 hours</t>
        </is>
      </c>
      <c r="I5" s="14" t="inlineStr">
        <is>
          <t>2.5 hours</t>
        </is>
      </c>
      <c r="J5" s="14" t="inlineStr">
        <is>
          <t>1 hour</t>
        </is>
      </c>
      <c r="K5" s="14" t="inlineStr">
        <is>
          <t>45 minutes</t>
        </is>
      </c>
      <c r="L5" s="14" t="inlineStr">
        <is>
          <t>Compliant</t>
        </is>
      </c>
      <c r="M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</sheetData>
  <mergeCells count="2">
    <mergeCell ref="A2:M2"/>
    <mergeCell ref="A1:M1"/>
  </mergeCells>
  <dataValidations count="2">
    <dataValidation sqref="C6:C55" showDropDown="0" showInputMessage="0" showErrorMessage="0" allowBlank="1" type="list">
      <formula1>"Real-time,Hourly,Daily,Weekly,Monthly"</formula1>
    </dataValidation>
    <dataValidation sqref="L6:L55" showDropDown="0" showInputMessage="0" showErrorMessage="0" allowBlank="1" type="list">
      <formula1>"Compliant,Non-Compliant"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5" customHeight="1">
      <c r="A1" s="11" t="inlineStr">
        <is>
          <t>GAP ANALYSIS</t>
        </is>
      </c>
    </row>
    <row r="2">
      <c r="A2" s="12" t="inlineStr">
        <is>
          <t>Identified protection gaps with remediation tracking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Record Category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GAP-001</t>
        </is>
      </c>
      <c r="B5" s="14" t="inlineStr">
        <is>
          <t>Integrity</t>
        </is>
      </c>
      <c r="C5" s="14" t="inlineStr">
        <is>
          <t>Backup server logs not protected against tampering</t>
        </is>
      </c>
      <c r="D5" s="14" t="inlineStr">
        <is>
          <t>Security Audit Logs</t>
        </is>
      </c>
      <c r="E5" s="14" t="inlineStr">
        <is>
          <t>High</t>
        </is>
      </c>
      <c r="F5" s="14" t="inlineStr">
        <is>
          <t>Implement WORM storage for backup log repository</t>
        </is>
      </c>
      <c r="G5" s="14" t="inlineStr">
        <is>
          <t>IT Operations Manager</t>
        </is>
      </c>
      <c r="H5" s="14" t="inlineStr">
        <is>
          <t>2026-04-01</t>
        </is>
      </c>
      <c r="I5" s="14" t="inlineStr">
        <is>
          <t>Open</t>
        </is>
      </c>
      <c r="J5" s="14" t="inlineStr">
        <is>
          <t>Log integrity critical for audit trail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B6:B55" showDropDown="0" showInputMessage="0" showErrorMessage="0" allowBlank="1" type="list">
      <formula1>"Confidentiality,Integrity,Availability,Process"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Progress,Complete,Accepted"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6" t="inlineStr">
        <is>
          <t>Audit evidence supporting records protection assessment</t>
        </is>
      </c>
    </row>
    <row r="3" ht="5" customHeight="1"/>
    <row r="4">
      <c r="A4" s="17" t="inlineStr">
        <is>
          <t>Evidence ID</t>
        </is>
      </c>
      <c r="B4" s="17" t="inlineStr">
        <is>
          <t>Description</t>
        </is>
      </c>
      <c r="C4" s="17" t="inlineStr">
        <is>
          <t>Evidence Type</t>
        </is>
      </c>
      <c r="D4" s="17" t="inlineStr">
        <is>
          <t>Related Item</t>
        </is>
      </c>
      <c r="E4" s="17" t="inlineStr">
        <is>
          <t>Storage Location</t>
        </is>
      </c>
      <c r="F4" s="17" t="inlineStr">
        <is>
          <t>Collected Date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8" t="inlineStr">
        <is>
          <t>Records protection controls review</t>
        </is>
      </c>
      <c r="C5" s="18" t="inlineStr">
        <is>
          <t>Document</t>
        </is>
      </c>
      <c r="D5" s="18" t="inlineStr">
        <is>
          <t>Protection Controls</t>
        </is>
      </c>
      <c r="E5" s="18" t="inlineStr">
        <is>
          <t>/evidence/records/protection-controls-review-2026.pdf</t>
        </is>
      </c>
      <c r="F5" s="18" t="inlineStr">
        <is>
          <t>2026-02-01</t>
        </is>
      </c>
      <c r="G5" s="18" t="inlineStr">
        <is>
          <t>Records Manager</t>
        </is>
      </c>
      <c r="H5" s="18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"Document,Screenshot,Report,Log,Configuration,Other"</formula1>
    </dataValidation>
    <dataValidation sqref="H6:H105" showDropDown="0" showInputMessage="0" showErrorMessage="0" allowBlank="1" type="list">
      <formula1>"Verified,Pending Review,Not 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RECORDS PROTECTION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20" t="inlineStr">
        <is>
          <t>ISO/IEC 27001:2022 — Control A.5.33: Protection of Records</t>
        </is>
      </c>
    </row>
    <row r="4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Records Category Inventory</t>
        </is>
      </c>
      <c r="B6" s="24">
        <f>COUNTA('Records Category Inventory'!B6:B55)</f>
        <v/>
      </c>
      <c r="C6" s="24">
        <f>COUNTIF('Records Category Inventory'!I6:I55,"Restricted")+COUNTIF('Records Category Inventory'!I6:I55,"Confidential")</f>
        <v/>
      </c>
      <c r="D6" s="24">
        <f>COUNTIF('Records Category Inventory'!I6:I55,"Internal")</f>
        <v/>
      </c>
      <c r="E6" s="24">
        <f>COUNTIF('Records Category Inventory'!I6:I55,"Public")</f>
        <v/>
      </c>
      <c r="F6" s="24" t="n">
        <v>0</v>
      </c>
      <c r="G6" s="25">
        <f>IFERROR(IF((B6-F6)=0,0,C6/(B6-F6)),"")</f>
        <v/>
      </c>
    </row>
    <row r="7">
      <c r="A7" s="23" t="inlineStr">
        <is>
          <t>Protection Controls</t>
        </is>
      </c>
      <c r="B7" s="24">
        <f>COUNTA('Protection Controls'!B6:B55)</f>
        <v/>
      </c>
      <c r="C7" s="24">
        <f>COUNTIF('Protection Controls'!G6:G55,"Effective")</f>
        <v/>
      </c>
      <c r="D7" s="24">
        <f>COUNTIF('Protection Controls'!G6:G55,"Partial")</f>
        <v/>
      </c>
      <c r="E7" s="24">
        <f>COUNTIF('Protection Controls'!G6:G55,"Ineffective")</f>
        <v/>
      </c>
      <c r="F7" s="24" t="n">
        <v>0</v>
      </c>
      <c r="G7" s="25">
        <f>IFERROR(IF((B7-F7)=0,0,C7/(B7-F7)),"")</f>
        <v/>
      </c>
    </row>
    <row r="8">
      <c r="A8" s="23" t="inlineStr">
        <is>
          <t>Integrity Verification</t>
        </is>
      </c>
      <c r="B8" s="24">
        <f>COUNTA('Integrity Verification'!B6:B55)</f>
        <v/>
      </c>
      <c r="C8" s="24">
        <f>COUNTIF('Integrity Verification'!H6:H55,"Pass")</f>
        <v/>
      </c>
      <c r="D8" s="24">
        <f>COUNTIF('Integrity Verification'!H6:H55,"Partial")</f>
        <v/>
      </c>
      <c r="E8" s="24">
        <f>COUNTIF('Integrity Verification'!H6:H55,"Fail")</f>
        <v/>
      </c>
      <c r="F8" s="24">
        <f>COUNTIF('Integrity Verification'!H6:H55,"Not Tested")</f>
        <v/>
      </c>
      <c r="G8" s="25">
        <f>IFERROR(IF((B8-F8)=0,0,C8/(B8-F8)),"")</f>
        <v/>
      </c>
    </row>
    <row r="9">
      <c r="A9" s="23" t="inlineStr">
        <is>
          <t>Access Control Review</t>
        </is>
      </c>
      <c r="B9" s="24">
        <f>COUNTA('Access Control Review'!A6:A55)</f>
        <v/>
      </c>
      <c r="C9" s="24">
        <f>COUNTIF('Access Control Review'!K6:K55,"Compliant")</f>
        <v/>
      </c>
      <c r="D9" s="24">
        <f>COUNTIF('Access Control Review'!K6:K55,"Partial")</f>
        <v/>
      </c>
      <c r="E9" s="24">
        <f>COUNTIF('Access Control Review'!K6:K55,"Non-Compliant")</f>
        <v/>
      </c>
      <c r="F9" s="24" t="n">
        <v>0</v>
      </c>
      <c r="G9" s="25">
        <f>IFERROR(IF((B9-F9)=0,0,C9/(B9-F9)),"")</f>
        <v/>
      </c>
    </row>
    <row r="10">
      <c r="A10" s="23" t="inlineStr">
        <is>
          <t>Backup Verification</t>
        </is>
      </c>
      <c r="B10" s="24">
        <f>COUNTA('Backup Verification'!A6:A55)</f>
        <v/>
      </c>
      <c r="C10" s="24">
        <f>COUNTIF('Backup Verification'!L6:L55,"Compliant")</f>
        <v/>
      </c>
      <c r="D10" s="24" t="n">
        <v>0</v>
      </c>
      <c r="E10" s="24">
        <f>COUNTIF('Backup Verification'!L6:L55,"Non-Compliant")</f>
        <v/>
      </c>
      <c r="F10" s="24" t="n">
        <v>0</v>
      </c>
      <c r="G10" s="25">
        <f>IFERROR(IF((B10-F10)=0,0,C10/(B10-F10)),"")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IFERROR(IF((B11-F11)=0,0,C11/(B11-F11)),"")</f>
        <v/>
      </c>
    </row>
    <row r="13">
      <c r="A13" s="21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26" t="inlineStr">
        <is>
          <t>Records Inventory Metrics</t>
        </is>
      </c>
      <c r="B15" s="29" t="n"/>
      <c r="C15" s="29" t="n"/>
      <c r="D15" s="29" t="n"/>
      <c r="E15" s="29" t="n"/>
      <c r="F15" s="29" t="n"/>
      <c r="G15" s="29" t="n"/>
    </row>
    <row r="16">
      <c r="A16" s="23" t="inlineStr">
        <is>
          <t>Total Record Categories</t>
        </is>
      </c>
      <c r="B16" s="24">
        <f>COUNTA('Records Category Inventory'!B6:B55)</f>
        <v/>
      </c>
      <c r="C16" s="6" t="n"/>
      <c r="D16" s="6" t="n"/>
      <c r="E16" s="6" t="n"/>
      <c r="F16" s="6" t="n"/>
      <c r="G16" s="6" t="n"/>
    </row>
    <row r="17">
      <c r="A17" s="23" t="inlineStr">
        <is>
          <t>Financial Records</t>
        </is>
      </c>
      <c r="B17" s="24">
        <f>COUNTIF('Records Category Inventory'!C6:C55,"Financial")</f>
        <v/>
      </c>
      <c r="C17" s="6" t="n"/>
      <c r="D17" s="6" t="n"/>
      <c r="E17" s="6" t="n"/>
      <c r="F17" s="6" t="n"/>
      <c r="G17" s="6" t="n"/>
    </row>
    <row r="18">
      <c r="A18" s="23" t="inlineStr">
        <is>
          <t>Personnel Records</t>
        </is>
      </c>
      <c r="B18" s="24">
        <f>COUNTIF('Records Category Inventory'!C6:C55,"Personnel")</f>
        <v/>
      </c>
      <c r="C18" s="6" t="n"/>
      <c r="D18" s="6" t="n"/>
      <c r="E18" s="6" t="n"/>
      <c r="F18" s="6" t="n"/>
      <c r="G18" s="6" t="n"/>
    </row>
    <row r="19">
      <c r="A19" s="23" t="inlineStr">
        <is>
          <t>Critical Integrity Requirement</t>
        </is>
      </c>
      <c r="B19" s="24">
        <f>COUNTIF('Records Category Inventory'!J6:J55,"Critical")</f>
        <v/>
      </c>
      <c r="C19" s="6" t="n"/>
      <c r="D19" s="6" t="n"/>
      <c r="E19" s="6" t="n"/>
      <c r="F19" s="6" t="n"/>
      <c r="G19" s="6" t="n"/>
    </row>
    <row r="20">
      <c r="A20" s="23" t="inlineStr">
        <is>
          <t>Mission Critical Availability</t>
        </is>
      </c>
      <c r="B20" s="24">
        <f>COUNTIF('Records Category Inventory'!K6:K55,"Mission Critical")</f>
        <v/>
      </c>
      <c r="C20" s="6" t="n"/>
      <c r="D20" s="6" t="n"/>
      <c r="E20" s="6" t="n"/>
      <c r="F20" s="6" t="n"/>
      <c r="G20" s="6" t="n"/>
    </row>
    <row r="21">
      <c r="A21" s="23" t="inlineStr">
        <is>
          <t>Electronic Records</t>
        </is>
      </c>
      <c r="B21" s="24">
        <f>COUNTIF('Records Category Inventory'!G6:G55,"Electronic")</f>
        <v/>
      </c>
      <c r="C21" s="6" t="n"/>
      <c r="D21" s="6" t="n"/>
      <c r="E21" s="6" t="n"/>
      <c r="F21" s="6" t="n"/>
      <c r="G21" s="6" t="n"/>
    </row>
    <row r="22">
      <c r="A22" s="26" t="inlineStr">
        <is>
          <t>Protection Control Metrics</t>
        </is>
      </c>
      <c r="B22" s="29" t="n"/>
      <c r="C22" s="29" t="n"/>
      <c r="D22" s="29" t="n"/>
      <c r="E22" s="29" t="n"/>
      <c r="F22" s="29" t="n"/>
      <c r="G22" s="29" t="n"/>
    </row>
    <row r="23">
      <c r="A23" s="23" t="inlineStr">
        <is>
          <t>Total Controls Assessed</t>
        </is>
      </c>
      <c r="B23" s="24">
        <f>COUNTA('Protection Controls'!B6:B55)</f>
        <v/>
      </c>
      <c r="C23" s="6" t="n"/>
      <c r="D23" s="6" t="n"/>
      <c r="E23" s="6" t="n"/>
      <c r="F23" s="6" t="n"/>
      <c r="G23" s="6" t="n"/>
    </row>
    <row r="24">
      <c r="A24" s="23" t="inlineStr">
        <is>
          <t>Effective Controls</t>
        </is>
      </c>
      <c r="B24" s="24">
        <f>COUNTIF('Protection Controls'!G6:G55,"Effective")</f>
        <v/>
      </c>
      <c r="C24" s="6" t="n"/>
      <c r="D24" s="6" t="n"/>
      <c r="E24" s="6" t="n"/>
      <c r="F24" s="6" t="n"/>
      <c r="G24" s="6" t="n"/>
    </row>
    <row r="25">
      <c r="A25" s="23" t="inlineStr">
        <is>
          <t>Ineffective Controls</t>
        </is>
      </c>
      <c r="B25" s="24">
        <f>COUNTIF('Protection Controls'!G6:G55,"Ineffective")</f>
        <v/>
      </c>
      <c r="C25" s="6" t="n"/>
      <c r="D25" s="6" t="n"/>
      <c r="E25" s="6" t="n"/>
      <c r="F25" s="6" t="n"/>
      <c r="G25" s="6" t="n"/>
    </row>
    <row r="26">
      <c r="A26" s="26" t="inlineStr">
        <is>
          <t>Integrity and Access Metrics</t>
        </is>
      </c>
      <c r="B26" s="29" t="n"/>
      <c r="C26" s="29" t="n"/>
      <c r="D26" s="29" t="n"/>
      <c r="E26" s="29" t="n"/>
      <c r="F26" s="29" t="n"/>
      <c r="G26" s="29" t="n"/>
    </row>
    <row r="27">
      <c r="A27" s="23" t="inlineStr">
        <is>
          <t>Integrity Tests Passed</t>
        </is>
      </c>
      <c r="B27" s="24">
        <f>COUNTIF('Integrity Verification'!H6:H55,"Pass")</f>
        <v/>
      </c>
      <c r="C27" s="6" t="n"/>
      <c r="D27" s="6" t="n"/>
      <c r="E27" s="6" t="n"/>
      <c r="F27" s="6" t="n"/>
      <c r="G27" s="6" t="n"/>
    </row>
    <row r="28">
      <c r="A28" s="23" t="inlineStr">
        <is>
          <t>Integrity Tests Failed</t>
        </is>
      </c>
      <c r="B28" s="24">
        <f>COUNTIF('Integrity Verification'!H6:H55,"Fail")</f>
        <v/>
      </c>
      <c r="C28" s="6" t="n"/>
      <c r="D28" s="6" t="n"/>
      <c r="E28" s="6" t="n"/>
      <c r="F28" s="6" t="n"/>
      <c r="G28" s="6" t="n"/>
    </row>
    <row r="29">
      <c r="A29" s="23" t="inlineStr">
        <is>
          <t>Systems with Access Logging</t>
        </is>
      </c>
      <c r="B29" s="24">
        <f>COUNTIF('Access Control Review'!G6:G55,"Yes")</f>
        <v/>
      </c>
      <c r="C29" s="6" t="n"/>
      <c r="D29" s="6" t="n"/>
      <c r="E29" s="6" t="n"/>
      <c r="F29" s="6" t="n"/>
      <c r="G29" s="6" t="n"/>
    </row>
    <row r="30">
      <c r="A30" s="23" t="inlineStr">
        <is>
          <t>Non-Compliant Access Controls</t>
        </is>
      </c>
      <c r="B30" s="24">
        <f>COUNTIF('Access Control Review'!K6:K55,"Non-Compliant")</f>
        <v/>
      </c>
      <c r="C30" s="6" t="n"/>
      <c r="D30" s="6" t="n"/>
      <c r="E30" s="6" t="n"/>
      <c r="F30" s="6" t="n"/>
      <c r="G30" s="6" t="n"/>
    </row>
    <row r="31">
      <c r="A31" s="26" t="inlineStr">
        <is>
          <t>Legal Hold and Backup Metrics</t>
        </is>
      </c>
      <c r="B31" s="29" t="n"/>
      <c r="C31" s="29" t="n"/>
      <c r="D31" s="29" t="n"/>
      <c r="E31" s="29" t="n"/>
      <c r="F31" s="29" t="n"/>
      <c r="G31" s="29" t="n"/>
    </row>
    <row r="32">
      <c r="A32" s="23" t="inlineStr">
        <is>
          <t>Active Legal Holds</t>
        </is>
      </c>
      <c r="B32" s="24">
        <f>COUNTIF('Legal Hold Register'!I6:I55,"Active")</f>
        <v/>
      </c>
      <c r="C32" s="6" t="n"/>
      <c r="D32" s="6" t="n"/>
      <c r="E32" s="6" t="n"/>
      <c r="F32" s="6" t="n"/>
      <c r="G32" s="6" t="n"/>
    </row>
    <row r="33">
      <c r="A33" s="23" t="inlineStr">
        <is>
          <t>Released Legal Holds</t>
        </is>
      </c>
      <c r="B33" s="24">
        <f>COUNTIF('Legal Hold Register'!I6:I55,"Released")</f>
        <v/>
      </c>
      <c r="C33" s="6" t="n"/>
      <c r="D33" s="6" t="n"/>
      <c r="E33" s="6" t="n"/>
      <c r="F33" s="6" t="n"/>
      <c r="G33" s="6" t="n"/>
    </row>
    <row r="34">
      <c r="A34" s="23" t="inlineStr">
        <is>
          <t>Daily Backup Frequency Systems</t>
        </is>
      </c>
      <c r="B34" s="24">
        <f>COUNTIF('Backup Verification'!C6:C55,"Daily")</f>
        <v/>
      </c>
      <c r="C34" s="6" t="n"/>
      <c r="D34" s="6" t="n"/>
      <c r="E34" s="6" t="n"/>
      <c r="F34" s="6" t="n"/>
      <c r="G34" s="6" t="n"/>
    </row>
    <row r="35">
      <c r="A35" s="23" t="inlineStr">
        <is>
          <t>Backup Non-Compliant</t>
        </is>
      </c>
      <c r="B35" s="24">
        <f>COUNTIF('Backup Verification'!L6:L55,"Non-Compliant")</f>
        <v/>
      </c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9">
      <c r="A39" s="30" t="inlineStr">
        <is>
          <t>TABLE 3: CRITICAL FINDINGS REQUIRING IMMEDIATE ATTENTION</t>
        </is>
      </c>
      <c r="B39" s="6" t="n"/>
      <c r="C39" s="6" t="n"/>
      <c r="D39" s="6" t="n"/>
      <c r="E39" s="6" t="n"/>
      <c r="F39" s="6" t="n"/>
      <c r="G39" s="6" t="n"/>
    </row>
    <row r="40">
      <c r="A40" s="27" t="inlineStr">
        <is>
          <t>Category</t>
        </is>
      </c>
      <c r="B40" s="27" t="inlineStr">
        <is>
          <t>Finding</t>
        </is>
      </c>
      <c r="C40" s="27" t="inlineStr">
        <is>
          <t>Count</t>
        </is>
      </c>
      <c r="D40" s="27" t="inlineStr">
        <is>
          <t>Severity</t>
        </is>
      </c>
      <c r="E40" s="27" t="inlineStr">
        <is>
          <t>Action Required</t>
        </is>
      </c>
      <c r="F40" s="27" t="n"/>
      <c r="G40" s="27" t="n"/>
    </row>
    <row r="41">
      <c r="A41" s="31" t="inlineStr">
        <is>
          <t>Protection Controls</t>
        </is>
      </c>
      <c r="B41" s="31" t="inlineStr">
        <is>
          <t>Ineffective CIA controls</t>
        </is>
      </c>
      <c r="C41" s="32">
        <f>COUNTIF('Protection Controls'!G6:G55,"Ineffective")</f>
        <v/>
      </c>
      <c r="D41" s="31" t="inlineStr">
        <is>
          <t>Critical</t>
        </is>
      </c>
      <c r="E41" s="31" t="inlineStr">
        <is>
          <t>Immediate</t>
        </is>
      </c>
      <c r="F41" s="31" t="n"/>
      <c r="G41" s="31" t="n"/>
    </row>
    <row r="42">
      <c r="A42" s="31" t="inlineStr">
        <is>
          <t>Integrity Verification</t>
        </is>
      </c>
      <c r="B42" s="31" t="inlineStr">
        <is>
          <t>Integrity tests failed</t>
        </is>
      </c>
      <c r="C42" s="32">
        <f>COUNTIF('Integrity Verification'!H6:H55,"Fail")</f>
        <v/>
      </c>
      <c r="D42" s="31" t="inlineStr">
        <is>
          <t>Critical</t>
        </is>
      </c>
      <c r="E42" s="31" t="inlineStr">
        <is>
          <t>Immediate</t>
        </is>
      </c>
      <c r="F42" s="31" t="n"/>
      <c r="G42" s="31" t="n"/>
    </row>
    <row r="43">
      <c r="A43" s="31" t="inlineStr">
        <is>
          <t>Access Control Review</t>
        </is>
      </c>
      <c r="B43" s="31" t="inlineStr">
        <is>
          <t>Non-compliant access controls</t>
        </is>
      </c>
      <c r="C43" s="32">
        <f>COUNTIF('Access Control Review'!K6:K55,"Non-Compliant")</f>
        <v/>
      </c>
      <c r="D43" s="31" t="inlineStr">
        <is>
          <t>Critical</t>
        </is>
      </c>
      <c r="E43" s="31" t="inlineStr">
        <is>
          <t>Immediate</t>
        </is>
      </c>
      <c r="F43" s="31" t="n"/>
      <c r="G43" s="31" t="n"/>
    </row>
    <row r="44">
      <c r="A44" s="31" t="inlineStr">
        <is>
          <t>Backup Verification</t>
        </is>
      </c>
      <c r="B44" s="31" t="inlineStr">
        <is>
          <t>Backup non-compliant</t>
        </is>
      </c>
      <c r="C44" s="32">
        <f>COUNTIF('Backup Verification'!L6:L55,"Non-Compliant")</f>
        <v/>
      </c>
      <c r="D44" s="31" t="inlineStr">
        <is>
          <t>Critical</t>
        </is>
      </c>
      <c r="E44" s="31" t="inlineStr">
        <is>
          <t>Immediate</t>
        </is>
      </c>
      <c r="F44" s="31" t="n"/>
      <c r="G44" s="31" t="n"/>
    </row>
    <row r="45">
      <c r="A45" s="31" t="inlineStr">
        <is>
          <t>Access Control Review</t>
        </is>
      </c>
      <c r="B45" s="31" t="inlineStr">
        <is>
          <t>Systems without access logging</t>
        </is>
      </c>
      <c r="C45" s="32">
        <f>COUNTIF('Access Control Review'!G6:G55,"No")</f>
        <v/>
      </c>
      <c r="D45" s="31" t="inlineStr">
        <is>
          <t>High</t>
        </is>
      </c>
      <c r="E45" s="31" t="inlineStr">
        <is>
          <t>Urgent</t>
        </is>
      </c>
      <c r="F45" s="31" t="n"/>
      <c r="G45" s="31" t="n"/>
    </row>
    <row r="46">
      <c r="A46" s="31" t="inlineStr">
        <is>
          <t>Integrity Verification</t>
        </is>
      </c>
      <c r="B46" s="31" t="inlineStr">
        <is>
          <t>Tests not yet performed</t>
        </is>
      </c>
      <c r="C46" s="32">
        <f>COUNTIF('Integrity Verification'!H6:H55,"Not Tested")</f>
        <v/>
      </c>
      <c r="D46" s="31" t="inlineStr">
        <is>
          <t>High</t>
        </is>
      </c>
      <c r="E46" s="31" t="inlineStr">
        <is>
          <t>Urgent</t>
        </is>
      </c>
      <c r="F46" s="31" t="n"/>
      <c r="G46" s="31" t="n"/>
    </row>
    <row r="47">
      <c r="A47" s="31" t="inlineStr">
        <is>
          <t>Gap Analysis</t>
        </is>
      </c>
      <c r="B47" s="31" t="inlineStr">
        <is>
          <t>Open confidentiality gaps</t>
        </is>
      </c>
      <c r="C47" s="32">
        <f>COUNTIFS('Gap Analysis'!B6:B55,"Confidentiality",'Gap Analysis'!I6:I55,"Open")</f>
        <v/>
      </c>
      <c r="D47" s="31" t="inlineStr">
        <is>
          <t>High</t>
        </is>
      </c>
      <c r="E47" s="31" t="inlineStr">
        <is>
          <t>Urgent</t>
        </is>
      </c>
      <c r="F47" s="31" t="n"/>
      <c r="G47" s="31" t="n"/>
    </row>
    <row r="48">
      <c r="A48" s="31" t="inlineStr">
        <is>
          <t>Gap Analysis</t>
        </is>
      </c>
      <c r="B48" s="31" t="inlineStr">
        <is>
          <t>Open high-risk gaps</t>
        </is>
      </c>
      <c r="C48" s="32">
        <f>COUNTIFS('Gap Analysis'!E6:E55,"High",'Gap Analysis'!I6:I55,"Open")</f>
        <v/>
      </c>
      <c r="D48" s="31" t="inlineStr">
        <is>
          <t>High</t>
        </is>
      </c>
      <c r="E48" s="31" t="inlineStr">
        <is>
          <t>Urgent</t>
        </is>
      </c>
      <c r="F48" s="31" t="n"/>
      <c r="G48" s="31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</sheetData>
  <mergeCells count="5">
    <mergeCell ref="A13:G13"/>
    <mergeCell ref="A1:G1"/>
    <mergeCell ref="A39:G39"/>
    <mergeCell ref="A4:G4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A.5.33: Protection of Records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ISMS-IMP-A.5.32-33.S2 - Records Protection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ISMS-IMP-A.5.32-33.S2 — Records Protection Assessment</dc:title>
  <dc:description xmlns:dc="http://purl.org/dc/elements/1.1/">ISMS Implementation Workbook — ISMS-IMP-A.5.32-33.S2</dc:description>
  <dc:subject xmlns:dc="http://purl.org/dc/elements/1.1/">ISO/IEC 27001:2022 — Control A.5.33: Protection of Records</dc:subject>
  <dcterms:created xmlns:dcterms="http://purl.org/dc/terms/" xmlns:xsi="http://www.w3.org/2001/XMLSchema-instance" xsi:type="dcterms:W3CDTF">2026-03-07T11:27:34Z</dcterms:created>
  <dcterms:modified xmlns:dcterms="http://purl.org/dc/terms/" xmlns:xsi="http://www.w3.org/2001/XMLSchema-instance" xsi:type="dcterms:W3CDTF">2026-03-07T11:27:34Z</dcterms:modified>
</cp:coreProperties>
</file>