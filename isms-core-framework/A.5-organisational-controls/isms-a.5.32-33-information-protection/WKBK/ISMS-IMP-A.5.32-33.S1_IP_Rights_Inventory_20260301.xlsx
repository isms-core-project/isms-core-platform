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 &amp; Legend" sheetId="1" state="visible" r:id="rId1"/>
    <sheet xmlns:r="http://schemas.openxmlformats.org/officeDocument/2006/relationships" name="IP Asset Inventory" sheetId="2" state="visible" r:id="rId2"/>
    <sheet xmlns:r="http://schemas.openxmlformats.org/officeDocument/2006/relationships" name="IP Protection Assessment" sheetId="3" state="visible" r:id="rId3"/>
    <sheet xmlns:r="http://schemas.openxmlformats.org/officeDocument/2006/relationships" name="Third-Party IP Register" sheetId="4" state="visible" r:id="rId4"/>
    <sheet xmlns:r="http://schemas.openxmlformats.org/officeDocument/2006/relationships" name="Software License Compliance" sheetId="5" state="visible" r:id="rId5"/>
    <sheet xmlns:r="http://schemas.openxmlformats.org/officeDocument/2006/relationships" name="Gap Analysis" sheetId="6" state="visible" r:id="rId6"/>
    <sheet xmlns:r="http://schemas.openxmlformats.org/officeDocument/2006/relationships" name="Evidence Register" sheetId="7" state="visible" r:id="rId7"/>
    <sheet xmlns:r="http://schemas.openxmlformats.org/officeDocument/2006/relationships" name="Summary Dashboard" sheetId="8" state="visible" r:id="rId8"/>
    <sheet xmlns:r="http://schemas.openxmlformats.org/officeDocument/2006/relationships" name="Approval Sign-Off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sz val="12"/>
    </font>
    <font>
      <name val="Calibri"/>
      <b val="1"/>
    </font>
    <font>
      <name val="Calibri"/>
      <b val="1"/>
      <sz val="10"/>
    </font>
    <font>
      <name val="Calibri"/>
      <b val="1"/>
      <color rgb="00FFFFFF"/>
      <sz val="11"/>
    </font>
    <font>
      <name val="Calibri"/>
      <i val="1"/>
      <sz val="10"/>
    </font>
    <font>
      <name val="Calibri"/>
      <b val="1"/>
      <color rgb="00FFFFFF"/>
      <sz val="10"/>
    </font>
    <font>
      <b val="1"/>
      <color rgb="00FFFFFF"/>
      <sz val="14"/>
    </font>
    <font>
      <name val="Calibri"/>
      <i val="1"/>
      <color rgb="00003366"/>
      <sz val="10"/>
    </font>
    <font>
      <b val="1"/>
      <color rgb="00FFFFFF"/>
      <sz val="11"/>
    </font>
    <font>
      <b val="1"/>
      <color rgb="00000000"/>
    </font>
    <font>
      <color rgb="00000000"/>
    </font>
  </fonts>
  <fills count="14">
    <fill>
      <patternFill/>
    </fill>
    <fill>
      <patternFill patternType="gray125"/>
    </fill>
    <fill>
      <patternFill patternType="solid">
        <fgColor rgb="00003366"/>
      </patternFill>
    </fill>
    <fill>
      <patternFill patternType="solid">
        <fgColor rgb="00FFFFCC"/>
      </patternFill>
    </fill>
    <fill>
      <patternFill patternType="solid">
        <fgColor rgb="00D9D9D9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D9D9D9"/>
        <bgColor rgb="00D9D9D9"/>
      </patternFill>
    </fill>
    <fill>
      <patternFill patternType="solid">
        <fgColor rgb="00F2F2F2"/>
        <bgColor rgb="00F2F2F2"/>
      </patternFill>
    </fill>
    <fill>
      <patternFill patternType="solid">
        <fgColor rgb="00FFFFCC"/>
        <bgColor rgb="00FFFFCC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0" borderId="0" pivotButton="0" quotePrefix="0" xfId="0"/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0" fillId="5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6" borderId="1" applyAlignment="1" pivotButton="0" quotePrefix="0" xfId="0">
      <alignment horizontal="left" vertical="center" wrapText="1"/>
    </xf>
    <xf numFmtId="0" fontId="0" fillId="7" borderId="1" applyAlignment="1" pivotButton="0" quotePrefix="0" xfId="0">
      <alignment horizontal="left" vertical="center" wrapText="1"/>
    </xf>
    <xf numFmtId="0" fontId="1" fillId="8" borderId="0" applyAlignment="1" pivotButton="0" quotePrefix="0" xfId="0">
      <alignment horizontal="center" vertical="center" wrapText="1"/>
    </xf>
    <xf numFmtId="0" fontId="5" fillId="9" borderId="0" applyAlignment="1" pivotButton="0" quotePrefix="0" xfId="0">
      <alignment horizontal="center" vertical="center" wrapText="1"/>
    </xf>
    <xf numFmtId="0" fontId="4" fillId="10" borderId="0" applyAlignment="1" pivotButton="0" quotePrefix="0" xfId="0">
      <alignment horizontal="center" vertical="center" wrapText="1"/>
    </xf>
    <xf numFmtId="0" fontId="0" fillId="11" borderId="1" applyAlignment="1" pivotButton="0" quotePrefix="0" xfId="0">
      <alignment vertical="center" wrapText="1"/>
    </xf>
    <xf numFmtId="0" fontId="0" fillId="12" borderId="1" pivotButton="0" quotePrefix="0" xfId="0"/>
    <xf numFmtId="0" fontId="6" fillId="0" borderId="0" applyAlignment="1" pivotButton="0" quotePrefix="0" xfId="0">
      <alignment horizontal="left" vertical="center" wrapText="1"/>
    </xf>
    <xf numFmtId="0" fontId="7" fillId="8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8" fillId="8" borderId="1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left" vertical="center"/>
    </xf>
    <xf numFmtId="0" fontId="10" fillId="8" borderId="1" pivotButton="0" quotePrefix="0" xfId="0"/>
    <xf numFmtId="0" fontId="11" fillId="10" borderId="1" applyAlignment="1" pivotButton="0" quotePrefix="0" xfId="0">
      <alignment horizontal="center" vertical="center" wrapText="1"/>
    </xf>
    <xf numFmtId="0" fontId="12" fillId="0" borderId="1" pivotButton="0" quotePrefix="0" xfId="0"/>
    <xf numFmtId="0" fontId="12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0" fontId="11" fillId="10" borderId="1" pivotButton="0" quotePrefix="0" xfId="0"/>
    <xf numFmtId="0" fontId="11" fillId="10" borderId="1" applyAlignment="1" pivotButton="0" quotePrefix="0" xfId="0">
      <alignment horizontal="center"/>
    </xf>
    <xf numFmtId="164" fontId="11" fillId="10" borderId="1" applyAlignment="1" pivotButton="0" quotePrefix="0" xfId="0">
      <alignment horizontal="center"/>
    </xf>
    <xf numFmtId="0" fontId="0" fillId="10" borderId="1" pivotButton="0" quotePrefix="0" xfId="0"/>
    <xf numFmtId="0" fontId="10" fillId="13" borderId="1" pivotButton="0" quotePrefix="0" xfId="0"/>
    <xf numFmtId="0" fontId="12" fillId="12" borderId="1" pivotButton="0" quotePrefix="0" xfId="0"/>
    <xf numFmtId="0" fontId="12" fillId="12" borderId="1" applyAlignment="1" pivotButton="0" quotePrefix="0" xfId="0">
      <alignment horizontal="center"/>
    </xf>
    <xf numFmtId="0" fontId="1" fillId="8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/>
    </xf>
    <xf numFmtId="0" fontId="5" fillId="9" borderId="1" pivotButton="0" quotePrefix="0" xfId="0"/>
    <xf numFmtId="164" fontId="0" fillId="0" borderId="1" pivotButton="0" quotePrefix="0" xfId="0"/>
    <xf numFmtId="0" fontId="5" fillId="8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45" customWidth="1" min="2" max="2"/>
    <col width="70" customWidth="1" min="3" max="3"/>
  </cols>
  <sheetData>
    <row r="1" ht="40" customHeight="1">
      <c r="A1" s="1" t="inlineStr">
        <is>
          <t>ISMS-IMP-A.5.32-33.S1  -  IP Rights Inventory
ISO/IEC 27001:2022 - Control A.5.32: Intellectual Property Rights</t>
        </is>
      </c>
    </row>
    <row r="3">
      <c r="A3" s="2" t="inlineStr">
        <is>
          <t>Document Information</t>
        </is>
      </c>
    </row>
    <row r="4">
      <c r="A4" s="3" t="inlineStr">
        <is>
          <t>Document ID</t>
        </is>
      </c>
      <c r="B4" t="inlineStr">
        <is>
          <t>ISMS-IMP-A.5.32-33.S1</t>
        </is>
      </c>
    </row>
    <row r="5">
      <c r="A5" s="3" t="inlineStr">
        <is>
          <t>Workbook Title</t>
        </is>
      </c>
      <c r="B5" t="inlineStr">
        <is>
          <t>IP Rights Inventory</t>
        </is>
      </c>
    </row>
    <row r="6">
      <c r="A6" s="3" t="inlineStr">
        <is>
          <t>Control Reference</t>
        </is>
      </c>
      <c r="B6" t="inlineStr">
        <is>
          <t>ISO/IEC 27001:2022 - Control A.5.32: Intellectual Property Rights</t>
        </is>
      </c>
    </row>
    <row r="7">
      <c r="A7" s="3" t="inlineStr">
        <is>
          <t>Version</t>
        </is>
      </c>
      <c r="B7" t="inlineStr">
        <is>
          <t>1.0</t>
        </is>
      </c>
    </row>
    <row r="8">
      <c r="A8" s="3" t="inlineStr">
        <is>
          <t>Assessment Date</t>
        </is>
      </c>
      <c r="B8" s="4" t="inlineStr"/>
    </row>
    <row r="9">
      <c r="A9" s="3" t="inlineStr">
        <is>
          <t>Completed By</t>
        </is>
      </c>
      <c r="B9" s="4" t="inlineStr"/>
    </row>
    <row r="10">
      <c r="A10" s="3" t="inlineStr">
        <is>
          <t>Organisation</t>
        </is>
      </c>
      <c r="B10" s="4" t="inlineStr"/>
    </row>
    <row r="12">
      <c r="A12" s="2" t="inlineStr">
        <is>
          <t>Instructions</t>
        </is>
      </c>
    </row>
    <row r="13">
      <c r="A13" t="inlineStr">
        <is>
          <t>1. Complete IP Asset Inventory — list all intellectual property assets (software, content, data).</t>
        </is>
      </c>
    </row>
    <row r="14">
      <c r="A14" t="inlineStr">
        <is>
          <t>2. Complete IP Protection Assessment — evaluate controls protecting each IP asset.</t>
        </is>
      </c>
    </row>
    <row r="15">
      <c r="A15" t="inlineStr">
        <is>
          <t>3. Complete Third-Party IP Register — document third-party IP in use and licence obligations.</t>
        </is>
      </c>
    </row>
    <row r="16">
      <c r="A16" t="inlineStr">
        <is>
          <t>4. Complete Software License Compliance — verify all software licences are current and compliant.</t>
        </is>
      </c>
    </row>
    <row r="17">
      <c r="A17" t="inlineStr">
        <is>
          <t>5. Complete Gap Analysis — identify IP assets with inadequate protection controls.</t>
        </is>
      </c>
    </row>
    <row r="18">
      <c r="A18" t="inlineStr">
        <is>
          <t>6. Maintain the Evidence Register with licence agreements and protection control evidence.</t>
        </is>
      </c>
    </row>
    <row r="19">
      <c r="A19" t="inlineStr">
        <is>
          <t>7. Obtain final approval and sign-off in the Approval Sign-Off sheet.</t>
        </is>
      </c>
    </row>
    <row r="21">
      <c r="A21" s="2" t="inlineStr">
        <is>
          <t>Status Legend</t>
        </is>
      </c>
    </row>
    <row r="22">
      <c r="A22" s="5" t="inlineStr">
        <is>
          <t>Symbol</t>
        </is>
      </c>
      <c r="B22" s="5" t="inlineStr">
        <is>
          <t>Status</t>
        </is>
      </c>
      <c r="C22" s="5" t="inlineStr">
        <is>
          <t>Description</t>
        </is>
      </c>
    </row>
    <row r="23">
      <c r="A23" s="6" t="inlineStr">
        <is>
          <t>✓</t>
        </is>
      </c>
      <c r="B23" s="7" t="inlineStr">
        <is>
          <t>Compliant / Complete</t>
        </is>
      </c>
      <c r="C23" s="8" t="inlineStr">
        <is>
          <t>Requirement fully met</t>
        </is>
      </c>
    </row>
    <row r="24">
      <c r="A24" s="6" t="inlineStr">
        <is>
          <t>⚠</t>
        </is>
      </c>
      <c r="B24" s="9" t="inlineStr">
        <is>
          <t>Partial / In Progress</t>
        </is>
      </c>
      <c r="C24" s="8" t="inlineStr">
        <is>
          <t>Partially met or in progress</t>
        </is>
      </c>
    </row>
    <row r="25">
      <c r="A25" s="6" t="inlineStr">
        <is>
          <t>✗</t>
        </is>
      </c>
      <c r="B25" s="10" t="inlineStr">
        <is>
          <t>Non-Compliant / Not Started</t>
        </is>
      </c>
      <c r="C25" s="8" t="inlineStr">
        <is>
          <t>Requirement not met</t>
        </is>
      </c>
    </row>
    <row r="26">
      <c r="A26" s="6" t="inlineStr">
        <is>
          <t>—</t>
        </is>
      </c>
      <c r="B26" s="8" t="inlineStr">
        <is>
          <t>Not Applicable</t>
        </is>
      </c>
      <c r="C26" s="8" t="inlineStr">
        <is>
          <t>Not applicable to this assessment</t>
        </is>
      </c>
    </row>
  </sheetData>
  <mergeCells count="1"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5" customWidth="1" min="3" max="3"/>
    <col width="45" customWidth="1" min="4" max="4"/>
    <col width="20" customWidth="1" min="5" max="5"/>
    <col width="20" customWidth="1" min="6" max="6"/>
    <col width="18" customWidth="1" min="7" max="7"/>
    <col width="12" customWidth="1" min="8" max="8"/>
    <col width="15" customWidth="1" min="9" max="9"/>
    <col width="12" customWidth="1" min="10" max="10"/>
    <col width="12" customWidth="1" min="11" max="11"/>
    <col width="30" customWidth="1" min="12" max="12"/>
  </cols>
  <sheetData>
    <row r="1" ht="35" customHeight="1">
      <c r="A1" s="11" t="inlineStr">
        <is>
          <t>IP ASSET INVENTORY</t>
        </is>
      </c>
    </row>
    <row r="2">
      <c r="A2" s="12" t="inlineStr">
        <is>
          <t>Comprehensive register of all organisational intellectual property</t>
        </is>
      </c>
    </row>
    <row r="3" ht="5" customHeight="1"/>
    <row r="4">
      <c r="A4" s="13" t="inlineStr">
        <is>
          <t>IP Asset ID</t>
        </is>
      </c>
      <c r="B4" s="13" t="inlineStr">
        <is>
          <t>IP Asset Name</t>
        </is>
      </c>
      <c r="C4" s="13" t="inlineStr">
        <is>
          <t>IP Category</t>
        </is>
      </c>
      <c r="D4" s="13" t="inlineStr">
        <is>
          <t>Description</t>
        </is>
      </c>
      <c r="E4" s="13" t="inlineStr">
        <is>
          <t>IP Owner</t>
        </is>
      </c>
      <c r="F4" s="13" t="inlineStr">
        <is>
          <t>Custodian</t>
        </is>
      </c>
      <c r="G4" s="13" t="inlineStr">
        <is>
          <t>Legal Protection Status</t>
        </is>
      </c>
      <c r="H4" s="13" t="inlineStr">
        <is>
          <t>Business Value</t>
        </is>
      </c>
      <c r="I4" s="13" t="inlineStr">
        <is>
          <t>Classification</t>
        </is>
      </c>
      <c r="J4" s="13" t="inlineStr">
        <is>
          <t>Creation Date</t>
        </is>
      </c>
      <c r="K4" s="13" t="inlineStr">
        <is>
          <t>Last Review</t>
        </is>
      </c>
      <c r="L4" s="13" t="inlineStr">
        <is>
          <t>Notes</t>
        </is>
      </c>
    </row>
    <row r="5">
      <c r="A5" s="14" t="inlineStr">
        <is>
          <t>IP-001</t>
        </is>
      </c>
      <c r="B5" s="14" t="inlineStr">
        <is>
          <t>Customer Analytics Algorithm</t>
        </is>
      </c>
      <c r="C5" s="14" t="inlineStr">
        <is>
          <t>Trade Secret</t>
        </is>
      </c>
      <c r="D5" s="14" t="inlineStr">
        <is>
          <t>Proprietary algorithm for customer churn prediction</t>
        </is>
      </c>
      <c r="E5" s="14" t="inlineStr">
        <is>
          <t>Chief Data Officer</t>
        </is>
      </c>
      <c r="F5" s="14" t="inlineStr">
        <is>
          <t>Analytics Team Lead</t>
        </is>
      </c>
      <c r="G5" s="14" t="inlineStr">
        <is>
          <t>Registered</t>
        </is>
      </c>
      <c r="H5" s="14" t="inlineStr">
        <is>
          <t>High</t>
        </is>
      </c>
      <c r="I5" s="14" t="inlineStr">
        <is>
          <t>Restricted</t>
        </is>
      </c>
      <c r="J5" s="14" t="inlineStr">
        <is>
          <t>2023-01-15</t>
        </is>
      </c>
      <c r="K5" s="14" t="inlineStr">
        <is>
          <t>2025-01-15</t>
        </is>
      </c>
      <c r="L5" s="14" t="inlineStr">
        <is>
          <t>Annual review completed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  <c r="L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  <c r="L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  <c r="L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  <c r="L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  <c r="L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  <c r="L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  <c r="L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  <c r="L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  <c r="L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  <c r="L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  <c r="L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  <c r="L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  <c r="L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  <c r="L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  <c r="L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  <c r="L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  <c r="L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  <c r="L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  <c r="L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  <c r="L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  <c r="L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  <c r="L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  <c r="L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  <c r="L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  <c r="L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  <c r="L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  <c r="L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  <c r="L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  <c r="L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  <c r="L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  <c r="L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  <c r="L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  <c r="L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  <c r="L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  <c r="L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  <c r="L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  <c r="L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  <c r="L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  <c r="L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  <c r="L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  <c r="L55" s="15" t="n"/>
    </row>
  </sheetData>
  <mergeCells count="2">
    <mergeCell ref="A2:L2"/>
    <mergeCell ref="A1:L1"/>
  </mergeCells>
  <dataValidations count="4">
    <dataValidation sqref="C6:C55" showDropDown="0" showInputMessage="0" showErrorMessage="0" allowBlank="1" type="list">
      <formula1>"Trade Secret,Patent,Copyright,Trademark"</formula1>
    </dataValidation>
    <dataValidation sqref="G6:G55" showDropDown="0" showInputMessage="0" showErrorMessage="0" allowBlank="1" type="list">
      <formula1>"Registered,Pending,Unregistered,N/A"</formula1>
    </dataValidation>
    <dataValidation sqref="H6:H55" showDropDown="0" showInputMessage="0" showErrorMessage="0" allowBlank="1" type="list">
      <formula1>"High,Medium,Low"</formula1>
    </dataValidation>
    <dataValidation sqref="I6:I55" showDropDown="0" showInputMessage="0" showErrorMessage="0" allowBlank="1" type="list">
      <formula1>"Restricted,Confidential,Internal,Public"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25" customWidth="1" min="2" max="2"/>
    <col width="30" customWidth="1" min="3" max="3"/>
    <col width="30" customWidth="1" min="4" max="4"/>
    <col width="30" customWidth="1" min="5" max="5"/>
    <col width="25" customWidth="1" min="6" max="6"/>
    <col width="25" customWidth="1" min="7" max="7"/>
    <col width="18" customWidth="1" min="8" max="8"/>
    <col width="35" customWidth="1" min="9" max="9"/>
    <col width="35" customWidth="1" min="10" max="10"/>
    <col width="15" customWidth="1" min="11" max="11"/>
  </cols>
  <sheetData>
    <row r="1" ht="35" customHeight="1">
      <c r="A1" s="11" t="inlineStr">
        <is>
          <t>IP PROTECTION ASSESSMENT</t>
        </is>
      </c>
    </row>
    <row r="2">
      <c r="A2" s="12" t="inlineStr">
        <is>
          <t>Protection controls assessment for each IP asset</t>
        </is>
      </c>
    </row>
    <row r="3" ht="5" customHeight="1"/>
    <row r="4">
      <c r="A4" s="13" t="inlineStr">
        <is>
          <t>IP Asset ID</t>
        </is>
      </c>
      <c r="B4" s="13" t="inlineStr">
        <is>
          <t>IP Asset Name</t>
        </is>
      </c>
      <c r="C4" s="13" t="inlineStr">
        <is>
          <t>Access Control</t>
        </is>
      </c>
      <c r="D4" s="13" t="inlineStr">
        <is>
          <t>Technical Controls</t>
        </is>
      </c>
      <c r="E4" s="13" t="inlineStr">
        <is>
          <t>Administrative Controls</t>
        </is>
      </c>
      <c r="F4" s="13" t="inlineStr">
        <is>
          <t>Physical Controls</t>
        </is>
      </c>
      <c r="G4" s="13" t="inlineStr">
        <is>
          <t>Legal Protection</t>
        </is>
      </c>
      <c r="H4" s="13" t="inlineStr">
        <is>
          <t>Control Effectiveness</t>
        </is>
      </c>
      <c r="I4" s="13" t="inlineStr">
        <is>
          <t>Gap Description</t>
        </is>
      </c>
      <c r="J4" s="13" t="inlineStr">
        <is>
          <t>Remediation Needed</t>
        </is>
      </c>
      <c r="K4" s="13" t="inlineStr">
        <is>
          <t>Status</t>
        </is>
      </c>
    </row>
    <row r="5">
      <c r="A5" s="14" t="inlineStr">
        <is>
          <t>IP-001</t>
        </is>
      </c>
      <c r="B5" s="14" t="inlineStr">
        <is>
          <t>Customer Analytics Algorithm</t>
        </is>
      </c>
      <c r="C5" s="14" t="inlineStr">
        <is>
          <t>Role-based access, need-to-know basis</t>
        </is>
      </c>
      <c r="D5" s="14" t="inlineStr">
        <is>
          <t>Encryption at rest, code obfuscation</t>
        </is>
      </c>
      <c r="E5" s="14" t="inlineStr">
        <is>
          <t>NDA for all staff with access</t>
        </is>
      </c>
      <c r="F5" s="14" t="inlineStr">
        <is>
          <t>Secure server room, access cards</t>
        </is>
      </c>
      <c r="G5" s="14" t="inlineStr">
        <is>
          <t>Trade secret protection registered</t>
        </is>
      </c>
      <c r="H5" s="14" t="inlineStr">
        <is>
          <t>Effective</t>
        </is>
      </c>
      <c r="I5" s="14" t="inlineStr"/>
      <c r="J5" s="14" t="inlineStr"/>
      <c r="K5" s="14" t="inlineStr">
        <is>
          <t>Complete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2">
    <dataValidation sqref="H6:H55" showDropDown="0" showInputMessage="0" showErrorMessage="0" allowBlank="1" type="list">
      <formula1>"Effective,Partial,Ineffective"</formula1>
    </dataValidation>
    <dataValidation sqref="K6:K55" showDropDown="0" showInputMessage="0" showErrorMessage="0" allowBlank="1" type="list">
      <formula1>"Complete,In Progress,Not Started"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30" customWidth="1" min="2" max="2"/>
    <col width="20" customWidth="1" min="3" max="3"/>
    <col width="15" customWidth="1" min="4" max="4"/>
    <col width="15" customWidth="1" min="5" max="5"/>
    <col width="15" customWidth="1" min="6" max="6"/>
    <col width="18" customWidth="1" min="7" max="7"/>
    <col width="20" customWidth="1" min="8" max="8"/>
    <col width="12" customWidth="1" min="9" max="9"/>
    <col width="18" customWidth="1" min="10" max="10"/>
    <col width="30" customWidth="1" min="11" max="11"/>
  </cols>
  <sheetData>
    <row r="1" ht="35" customHeight="1">
      <c r="A1" s="11" t="inlineStr">
        <is>
          <t>THIRD-PARTY IP REGISTER</t>
        </is>
      </c>
    </row>
    <row r="2">
      <c r="A2" s="12" t="inlineStr">
        <is>
          <t>Licensed software, content, and third-party intellectual property</t>
        </is>
      </c>
    </row>
    <row r="3" ht="5" customHeight="1"/>
    <row r="4">
      <c r="A4" s="13" t="inlineStr">
        <is>
          <t>Third-Party IP ID</t>
        </is>
      </c>
      <c r="B4" s="13" t="inlineStr">
        <is>
          <t>Software/Content Name</t>
        </is>
      </c>
      <c r="C4" s="13" t="inlineStr">
        <is>
          <t>Vendor</t>
        </is>
      </c>
      <c r="D4" s="13" t="inlineStr">
        <is>
          <t>License Type</t>
        </is>
      </c>
      <c r="E4" s="13" t="inlineStr">
        <is>
          <t>License Quantity</t>
        </is>
      </c>
      <c r="F4" s="13" t="inlineStr">
        <is>
          <t>Deployed Quantity</t>
        </is>
      </c>
      <c r="G4" s="13" t="inlineStr">
        <is>
          <t>Compliance Status</t>
        </is>
      </c>
      <c r="H4" s="13" t="inlineStr">
        <is>
          <t>Contract Reference</t>
        </is>
      </c>
      <c r="I4" s="13" t="inlineStr">
        <is>
          <t>Renewal Date</t>
        </is>
      </c>
      <c r="J4" s="13" t="inlineStr">
        <is>
          <t>Open Source License</t>
        </is>
      </c>
      <c r="K4" s="13" t="inlineStr">
        <is>
          <t>Notes</t>
        </is>
      </c>
    </row>
    <row r="5">
      <c r="A5" s="14" t="inlineStr">
        <is>
          <t>TP-001</t>
        </is>
      </c>
      <c r="B5" s="14" t="inlineStr">
        <is>
          <t>Microsoft 365</t>
        </is>
      </c>
      <c r="C5" s="14" t="inlineStr">
        <is>
          <t>Microsoft</t>
        </is>
      </c>
      <c r="D5" s="14" t="inlineStr">
        <is>
          <t>Subscription</t>
        </is>
      </c>
      <c r="E5" s="14" t="inlineStr">
        <is>
          <t>500</t>
        </is>
      </c>
      <c r="F5" s="14" t="inlineStr">
        <is>
          <t>487</t>
        </is>
      </c>
      <c r="G5" s="14" t="inlineStr">
        <is>
          <t>Compliant</t>
        </is>
      </c>
      <c r="H5" s="14" t="inlineStr">
        <is>
          <t>MSA-2024-001</t>
        </is>
      </c>
      <c r="I5" s="14" t="inlineStr">
        <is>
          <t>2026-12-31</t>
        </is>
      </c>
      <c r="J5" s="14" t="inlineStr">
        <is>
          <t>N/A</t>
        </is>
      </c>
      <c r="K5" s="14" t="inlineStr">
        <is>
          <t>Enterprise agreement, includes Teams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  <c r="K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  <c r="K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  <c r="K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  <c r="K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  <c r="K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  <c r="K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  <c r="K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  <c r="K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  <c r="K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  <c r="K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  <c r="K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  <c r="K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  <c r="K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  <c r="K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  <c r="K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  <c r="K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  <c r="K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  <c r="K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  <c r="K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  <c r="K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  <c r="K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  <c r="K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  <c r="K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  <c r="K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  <c r="K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  <c r="K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  <c r="K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  <c r="K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  <c r="K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  <c r="K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  <c r="K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  <c r="K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  <c r="K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  <c r="K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  <c r="K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  <c r="K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  <c r="K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  <c r="K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  <c r="K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  <c r="K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  <c r="K55" s="15" t="n"/>
    </row>
  </sheetData>
  <mergeCells count="2">
    <mergeCell ref="A2:K2"/>
    <mergeCell ref="A1:K1"/>
  </mergeCells>
  <dataValidations count="3">
    <dataValidation sqref="D6:D55" showDropDown="0" showInputMessage="0" showErrorMessage="0" allowBlank="1" type="list">
      <formula1>"Perpetual,Subscription,Open Source,Freeware"</formula1>
    </dataValidation>
    <dataValidation sqref="G6:G55" showDropDown="0" showInputMessage="0" showErrorMessage="0" allowBlank="1" type="list">
      <formula1>"Compliant,Over-deployed,Under-utilised"</formula1>
    </dataValidation>
    <dataValidation sqref="J6:J55" showDropDown="0" showInputMessage="0" showErrorMessage="0" allowBlank="1" type="list">
      <formula1>"GPL,Apache,MIT,BSD,LGPL,MPL,Other,N/A"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20" customWidth="1" min="2" max="2"/>
    <col width="18" customWidth="1" min="3" max="3"/>
    <col width="12" customWidth="1" min="4" max="4"/>
    <col width="12" customWidth="1" min="5" max="5"/>
    <col width="12" customWidth="1" min="6" max="6"/>
    <col width="15" customWidth="1" min="7" max="7"/>
    <col width="35" customWidth="1" min="8" max="8"/>
    <col width="12" customWidth="1" min="9" max="9"/>
    <col width="15" customWidth="1" min="10" max="10"/>
  </cols>
  <sheetData>
    <row r="1" ht="35" customHeight="1">
      <c r="A1" s="11" t="inlineStr">
        <is>
          <t>SOFTWARE LICENSE COMPLIANCE</t>
        </is>
      </c>
    </row>
    <row r="2">
      <c r="A2" s="12" t="inlineStr">
        <is>
          <t>License entitlement vs deployment reconciliation</t>
        </is>
      </c>
    </row>
    <row r="3" ht="5" customHeight="1"/>
    <row r="4">
      <c r="A4" s="13" t="inlineStr">
        <is>
          <t>Software Name</t>
        </is>
      </c>
      <c r="B4" s="13" t="inlineStr">
        <is>
          <t>Vendor</t>
        </is>
      </c>
      <c r="C4" s="13" t="inlineStr">
        <is>
          <t>License Model</t>
        </is>
      </c>
      <c r="D4" s="13" t="inlineStr">
        <is>
          <t>Entitled</t>
        </is>
      </c>
      <c r="E4" s="13" t="inlineStr">
        <is>
          <t>Deployed</t>
        </is>
      </c>
      <c r="F4" s="13" t="inlineStr">
        <is>
          <t>Variance</t>
        </is>
      </c>
      <c r="G4" s="13" t="inlineStr">
        <is>
          <t>Compliance Risk</t>
        </is>
      </c>
      <c r="H4" s="13" t="inlineStr">
        <is>
          <t>Remediation Action</t>
        </is>
      </c>
      <c r="I4" s="13" t="inlineStr">
        <is>
          <t>Due Date</t>
        </is>
      </c>
      <c r="J4" s="13" t="inlineStr">
        <is>
          <t>Status</t>
        </is>
      </c>
    </row>
    <row r="5">
      <c r="A5" s="14" t="inlineStr">
        <is>
          <t>Microsoft Windows Server</t>
        </is>
      </c>
      <c r="B5" s="14" t="inlineStr">
        <is>
          <t>Microsoft</t>
        </is>
      </c>
      <c r="C5" s="14" t="inlineStr">
        <is>
          <t>Per Core</t>
        </is>
      </c>
      <c r="D5" s="14" t="inlineStr">
        <is>
          <t>48</t>
        </is>
      </c>
      <c r="E5" s="14" t="inlineStr">
        <is>
          <t>48</t>
        </is>
      </c>
      <c r="F5" s="14" t="inlineStr">
        <is>
          <t>0</t>
        </is>
      </c>
      <c r="G5" s="14" t="inlineStr">
        <is>
          <t>None</t>
        </is>
      </c>
      <c r="H5" s="14" t="inlineStr">
        <is>
          <t>No action required — fully licensed</t>
        </is>
      </c>
      <c r="I5" s="14" t="inlineStr">
        <is>
          <t>N/A</t>
        </is>
      </c>
      <c r="J5" s="14" t="inlineStr">
        <is>
          <t>Complete</t>
        </is>
      </c>
    </row>
    <row r="6">
      <c r="A6" s="15" t="n"/>
      <c r="B6" s="15" t="n"/>
      <c r="C6" s="15" t="n"/>
      <c r="D6" s="15" t="n"/>
      <c r="E6" s="15" t="n"/>
      <c r="F6" s="15">
        <f>IF(AND(D6&lt;&gt;"",E6&lt;&gt;""),E6-D6,"")</f>
        <v/>
      </c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>
        <f>IF(AND(D7&lt;&gt;"",E7&lt;&gt;""),E7-D7,"")</f>
        <v/>
      </c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>
        <f>IF(AND(D8&lt;&gt;"",E8&lt;&gt;""),E8-D8,"")</f>
        <v/>
      </c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>
        <f>IF(AND(D9&lt;&gt;"",E9&lt;&gt;""),E9-D9,"")</f>
        <v/>
      </c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>
        <f>IF(AND(D10&lt;&gt;"",E10&lt;&gt;""),E10-D10,"")</f>
        <v/>
      </c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>
        <f>IF(AND(D11&lt;&gt;"",E11&lt;&gt;""),E11-D11,"")</f>
        <v/>
      </c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>
        <f>IF(AND(D12&lt;&gt;"",E12&lt;&gt;""),E12-D12,"")</f>
        <v/>
      </c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>
        <f>IF(AND(D13&lt;&gt;"",E13&lt;&gt;""),E13-D13,"")</f>
        <v/>
      </c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>
        <f>IF(AND(D14&lt;&gt;"",E14&lt;&gt;""),E14-D14,"")</f>
        <v/>
      </c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>
        <f>IF(AND(D15&lt;&gt;"",E15&lt;&gt;""),E15-D15,"")</f>
        <v/>
      </c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>
        <f>IF(AND(D16&lt;&gt;"",E16&lt;&gt;""),E16-D16,"")</f>
        <v/>
      </c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>
        <f>IF(AND(D17&lt;&gt;"",E17&lt;&gt;""),E17-D17,"")</f>
        <v/>
      </c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>
        <f>IF(AND(D18&lt;&gt;"",E18&lt;&gt;""),E18-D18,"")</f>
        <v/>
      </c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>
        <f>IF(AND(D19&lt;&gt;"",E19&lt;&gt;""),E19-D19,"")</f>
        <v/>
      </c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>
        <f>IF(AND(D20&lt;&gt;"",E20&lt;&gt;""),E20-D20,"")</f>
        <v/>
      </c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>
        <f>IF(AND(D21&lt;&gt;"",E21&lt;&gt;""),E21-D21,"")</f>
        <v/>
      </c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>
        <f>IF(AND(D22&lt;&gt;"",E22&lt;&gt;""),E22-D22,"")</f>
        <v/>
      </c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>
        <f>IF(AND(D23&lt;&gt;"",E23&lt;&gt;""),E23-D23,"")</f>
        <v/>
      </c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>
        <f>IF(AND(D24&lt;&gt;"",E24&lt;&gt;""),E24-D24,"")</f>
        <v/>
      </c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>
        <f>IF(AND(D25&lt;&gt;"",E25&lt;&gt;""),E25-D25,"")</f>
        <v/>
      </c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>
        <f>IF(AND(D26&lt;&gt;"",E26&lt;&gt;""),E26-D26,"")</f>
        <v/>
      </c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>
        <f>IF(AND(D27&lt;&gt;"",E27&lt;&gt;""),E27-D27,"")</f>
        <v/>
      </c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>
        <f>IF(AND(D28&lt;&gt;"",E28&lt;&gt;""),E28-D28,"")</f>
        <v/>
      </c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>
        <f>IF(AND(D29&lt;&gt;"",E29&lt;&gt;""),E29-D29,"")</f>
        <v/>
      </c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>
        <f>IF(AND(D30&lt;&gt;"",E30&lt;&gt;""),E30-D30,"")</f>
        <v/>
      </c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>
        <f>IF(AND(D31&lt;&gt;"",E31&lt;&gt;""),E31-D31,"")</f>
        <v/>
      </c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>
        <f>IF(AND(D32&lt;&gt;"",E32&lt;&gt;""),E32-D32,"")</f>
        <v/>
      </c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>
        <f>IF(AND(D33&lt;&gt;"",E33&lt;&gt;""),E33-D33,"")</f>
        <v/>
      </c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>
        <f>IF(AND(D34&lt;&gt;"",E34&lt;&gt;""),E34-D34,"")</f>
        <v/>
      </c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>
        <f>IF(AND(D35&lt;&gt;"",E35&lt;&gt;""),E35-D35,"")</f>
        <v/>
      </c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>
        <f>IF(AND(D36&lt;&gt;"",E36&lt;&gt;""),E36-D36,"")</f>
        <v/>
      </c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>
        <f>IF(AND(D37&lt;&gt;"",E37&lt;&gt;""),E37-D37,"")</f>
        <v/>
      </c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>
        <f>IF(AND(D38&lt;&gt;"",E38&lt;&gt;""),E38-D38,"")</f>
        <v/>
      </c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>
        <f>IF(AND(D39&lt;&gt;"",E39&lt;&gt;""),E39-D39,"")</f>
        <v/>
      </c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>
        <f>IF(AND(D40&lt;&gt;"",E40&lt;&gt;""),E40-D40,"")</f>
        <v/>
      </c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>
        <f>IF(AND(D41&lt;&gt;"",E41&lt;&gt;""),E41-D41,"")</f>
        <v/>
      </c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>
        <f>IF(AND(D42&lt;&gt;"",E42&lt;&gt;""),E42-D42,"")</f>
        <v/>
      </c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>
        <f>IF(AND(D43&lt;&gt;"",E43&lt;&gt;""),E43-D43,"")</f>
        <v/>
      </c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>
        <f>IF(AND(D44&lt;&gt;"",E44&lt;&gt;""),E44-D44,"")</f>
        <v/>
      </c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>
        <f>IF(AND(D45&lt;&gt;"",E45&lt;&gt;""),E45-D45,"")</f>
        <v/>
      </c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>
        <f>IF(AND(D46&lt;&gt;"",E46&lt;&gt;""),E46-D46,"")</f>
        <v/>
      </c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>
        <f>IF(AND(D47&lt;&gt;"",E47&lt;&gt;""),E47-D47,"")</f>
        <v/>
      </c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>
        <f>IF(AND(D48&lt;&gt;"",E48&lt;&gt;""),E48-D48,"")</f>
        <v/>
      </c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>
        <f>IF(AND(D49&lt;&gt;"",E49&lt;&gt;""),E49-D49,"")</f>
        <v/>
      </c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>
        <f>IF(AND(D50&lt;&gt;"",E50&lt;&gt;""),E50-D50,"")</f>
        <v/>
      </c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>
        <f>IF(AND(D51&lt;&gt;"",E51&lt;&gt;""),E51-D51,"")</f>
        <v/>
      </c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>
        <f>IF(AND(D52&lt;&gt;"",E52&lt;&gt;""),E52-D52,"")</f>
        <v/>
      </c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>
        <f>IF(AND(D53&lt;&gt;"",E53&lt;&gt;""),E53-D53,"")</f>
        <v/>
      </c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>
        <f>IF(AND(D54&lt;&gt;"",E54&lt;&gt;""),E54-D54,"")</f>
        <v/>
      </c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>
        <f>IF(AND(D55&lt;&gt;"",E55&lt;&gt;""),E55-D55,"")</f>
        <v/>
      </c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3">
    <dataValidation sqref="C6:C55" showDropDown="0" showInputMessage="0" showErrorMessage="0" allowBlank="1" type="list">
      <formula1>"Named User,Device,Enterprise,Per Core,Subscription"</formula1>
    </dataValidation>
    <dataValidation sqref="G6:G55" showDropDown="0" showInputMessage="0" showErrorMessage="0" allowBlank="1" type="list">
      <formula1>"High,Medium,Low,None"</formula1>
    </dataValidation>
    <dataValidation sqref="J6:J55" showDropDown="0" showInputMessage="0" showErrorMessage="0" allowBlank="1" type="list">
      <formula1>"Open,In Progress,Complete,N/A"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5" customWidth="1" min="2" max="2"/>
    <col width="45" customWidth="1" min="3" max="3"/>
    <col width="15" customWidth="1" min="4" max="4"/>
    <col width="12" customWidth="1" min="5" max="5"/>
    <col width="40" customWidth="1" min="6" max="6"/>
    <col width="20" customWidth="1" min="7" max="7"/>
    <col width="12" customWidth="1" min="8" max="8"/>
    <col width="15" customWidth="1" min="9" max="9"/>
    <col width="30" customWidth="1" min="10" max="10"/>
  </cols>
  <sheetData>
    <row r="1" ht="35" customHeight="1">
      <c r="A1" s="11" t="inlineStr">
        <is>
          <t>GAP ANALYSIS</t>
        </is>
      </c>
    </row>
    <row r="2">
      <c r="A2" s="12" t="inlineStr">
        <is>
          <t>Identified protection and compliance gaps with remediation tracking</t>
        </is>
      </c>
    </row>
    <row r="3" ht="5" customHeight="1"/>
    <row r="4">
      <c r="A4" s="13" t="inlineStr">
        <is>
          <t>Gap ID</t>
        </is>
      </c>
      <c r="B4" s="13" t="inlineStr">
        <is>
          <t>Gap Category</t>
        </is>
      </c>
      <c r="C4" s="13" t="inlineStr">
        <is>
          <t>Description</t>
        </is>
      </c>
      <c r="D4" s="13" t="inlineStr">
        <is>
          <t>Related IP</t>
        </is>
      </c>
      <c r="E4" s="13" t="inlineStr">
        <is>
          <t>Risk Rating</t>
        </is>
      </c>
      <c r="F4" s="13" t="inlineStr">
        <is>
          <t>Remediation Action</t>
        </is>
      </c>
      <c r="G4" s="13" t="inlineStr">
        <is>
          <t>Owner</t>
        </is>
      </c>
      <c r="H4" s="13" t="inlineStr">
        <is>
          <t>Due Date</t>
        </is>
      </c>
      <c r="I4" s="13" t="inlineStr">
        <is>
          <t>Status</t>
        </is>
      </c>
      <c r="J4" s="13" t="inlineStr">
        <is>
          <t>Notes</t>
        </is>
      </c>
    </row>
    <row r="5">
      <c r="A5" s="14" t="inlineStr">
        <is>
          <t>GAP-001</t>
        </is>
      </c>
      <c r="B5" s="14" t="inlineStr">
        <is>
          <t>Compliance</t>
        </is>
      </c>
      <c r="C5" s="14" t="inlineStr">
        <is>
          <t>Two software titles deployed without valid licence</t>
        </is>
      </c>
      <c r="D5" s="14" t="inlineStr">
        <is>
          <t>TP-002 Adobe Creative Cloud</t>
        </is>
      </c>
      <c r="E5" s="14" t="inlineStr">
        <is>
          <t>High</t>
        </is>
      </c>
      <c r="F5" s="14" t="inlineStr">
        <is>
          <t>Purchase 2 additional licences immediately</t>
        </is>
      </c>
      <c r="G5" s="14" t="inlineStr">
        <is>
          <t>Procurement Manager</t>
        </is>
      </c>
      <c r="H5" s="14" t="inlineStr">
        <is>
          <t>2026-03-15</t>
        </is>
      </c>
      <c r="I5" s="14" t="inlineStr">
        <is>
          <t>Open</t>
        </is>
      </c>
      <c r="J5" s="14" t="inlineStr">
        <is>
          <t>Urgent — licence audit finding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  <c r="I6" s="15" t="n"/>
      <c r="J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  <c r="I7" s="15" t="n"/>
      <c r="J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  <c r="I8" s="15" t="n"/>
      <c r="J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  <c r="I10" s="15" t="n"/>
      <c r="J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  <c r="I12" s="15" t="n"/>
      <c r="J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  <c r="I14" s="15" t="n"/>
      <c r="J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  <c r="I16" s="15" t="n"/>
      <c r="J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  <c r="I18" s="15" t="n"/>
      <c r="J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  <c r="I20" s="15" t="n"/>
      <c r="J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  <c r="I22" s="15" t="n"/>
      <c r="J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  <c r="I24" s="15" t="n"/>
      <c r="J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  <c r="I26" s="15" t="n"/>
      <c r="J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  <c r="I28" s="15" t="n"/>
      <c r="J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  <c r="I29" s="15" t="n"/>
      <c r="J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  <c r="I30" s="15" t="n"/>
      <c r="J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  <c r="I31" s="15" t="n"/>
      <c r="J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  <c r="I32" s="15" t="n"/>
      <c r="J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  <c r="I33" s="15" t="n"/>
      <c r="J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  <c r="I34" s="15" t="n"/>
      <c r="J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  <c r="I35" s="15" t="n"/>
      <c r="J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  <c r="I36" s="15" t="n"/>
      <c r="J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  <c r="I37" s="15" t="n"/>
      <c r="J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  <c r="I38" s="15" t="n"/>
      <c r="J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  <c r="I39" s="15" t="n"/>
      <c r="J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  <c r="I40" s="15" t="n"/>
      <c r="J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  <c r="I41" s="15" t="n"/>
      <c r="J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  <c r="I42" s="15" t="n"/>
      <c r="J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  <c r="I43" s="15" t="n"/>
      <c r="J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  <c r="I44" s="15" t="n"/>
      <c r="J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  <c r="I45" s="15" t="n"/>
      <c r="J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  <c r="I46" s="15" t="n"/>
      <c r="J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  <c r="I47" s="15" t="n"/>
      <c r="J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  <c r="I48" s="15" t="n"/>
      <c r="J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  <c r="I49" s="15" t="n"/>
      <c r="J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  <c r="I50" s="15" t="n"/>
      <c r="J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  <c r="I51" s="15" t="n"/>
      <c r="J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  <c r="I52" s="15" t="n"/>
      <c r="J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  <c r="I53" s="15" t="n"/>
      <c r="J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  <c r="I54" s="15" t="n"/>
      <c r="J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  <c r="I55" s="15" t="n"/>
      <c r="J55" s="15" t="n"/>
    </row>
  </sheetData>
  <mergeCells count="2">
    <mergeCell ref="A1:J1"/>
    <mergeCell ref="A2:J2"/>
  </mergeCells>
  <dataValidations count="3">
    <dataValidation sqref="B6:B55" showDropDown="0" showInputMessage="0" showErrorMessage="0" allowBlank="1" type="list">
      <formula1>"Protection,Compliance,Documentation,Process"</formula1>
    </dataValidation>
    <dataValidation sqref="E6:E55" showDropDown="0" showInputMessage="0" showErrorMessage="0" allowBlank="1" type="list">
      <formula1>"High,Medium,Low"</formula1>
    </dataValidation>
    <dataValidation sqref="I6:I55" showDropDown="0" showInputMessage="0" showErrorMessage="0" allowBlank="1" type="list">
      <formula1>"Open,In Progress,Complete,Accepted"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0" customWidth="1" min="2" max="2"/>
    <col width="18" customWidth="1" min="3" max="3"/>
    <col width="15" customWidth="1" min="4" max="4"/>
    <col width="35" customWidth="1" min="5" max="5"/>
    <col width="15" customWidth="1" min="6" max="6"/>
    <col width="20" customWidth="1" min="7" max="7"/>
    <col width="18" customWidth="1" min="8" max="8"/>
  </cols>
  <sheetData>
    <row r="1" ht="35" customHeight="1">
      <c r="A1" s="11" t="inlineStr">
        <is>
          <t>EVIDENCE REGISTER</t>
        </is>
      </c>
    </row>
    <row r="2">
      <c r="A2" s="16" t="inlineStr">
        <is>
          <t>Audit evidence supporting IP protection assessment</t>
        </is>
      </c>
    </row>
    <row r="3" ht="5" customHeight="1"/>
    <row r="4">
      <c r="A4" s="17" t="inlineStr">
        <is>
          <t>Evidence ID</t>
        </is>
      </c>
      <c r="B4" s="17" t="inlineStr">
        <is>
          <t>Description</t>
        </is>
      </c>
      <c r="C4" s="17" t="inlineStr">
        <is>
          <t>Evidence Type</t>
        </is>
      </c>
      <c r="D4" s="17" t="inlineStr">
        <is>
          <t>Related Item</t>
        </is>
      </c>
      <c r="E4" s="17" t="inlineStr">
        <is>
          <t>Storage Location</t>
        </is>
      </c>
      <c r="F4" s="17" t="inlineStr">
        <is>
          <t>Collected Date</t>
        </is>
      </c>
      <c r="G4" s="17" t="inlineStr">
        <is>
          <t>Collected By</t>
        </is>
      </c>
      <c r="H4" s="17" t="inlineStr">
        <is>
          <t>Verification Status</t>
        </is>
      </c>
    </row>
    <row r="5">
      <c r="A5" s="18" t="inlineStr">
        <is>
          <t>EV-001</t>
        </is>
      </c>
      <c r="B5" s="18" t="inlineStr">
        <is>
          <t>IP asset inventory register review</t>
        </is>
      </c>
      <c r="C5" s="18" t="inlineStr">
        <is>
          <t>Document</t>
        </is>
      </c>
      <c r="D5" s="18" t="inlineStr">
        <is>
          <t>IP Asset Inventory</t>
        </is>
      </c>
      <c r="E5" s="18" t="inlineStr">
        <is>
          <t>/evidence/ip-rights/asset-register-2026.xlsx</t>
        </is>
      </c>
      <c r="F5" s="18" t="inlineStr">
        <is>
          <t>2026-02-01</t>
        </is>
      </c>
      <c r="G5" s="18" t="inlineStr">
        <is>
          <t>Legal Counsel</t>
        </is>
      </c>
      <c r="H5" s="18" t="inlineStr">
        <is>
          <t>Verified</t>
        </is>
      </c>
    </row>
    <row r="6">
      <c r="A6" s="15" t="n"/>
      <c r="B6" s="15" t="n"/>
      <c r="C6" s="15" t="n"/>
      <c r="D6" s="15" t="n"/>
      <c r="E6" s="15" t="n"/>
      <c r="F6" s="15" t="n"/>
      <c r="G6" s="15" t="n"/>
      <c r="H6" s="15" t="n"/>
    </row>
    <row r="7">
      <c r="A7" s="15" t="n"/>
      <c r="B7" s="15" t="n"/>
      <c r="C7" s="15" t="n"/>
      <c r="D7" s="15" t="n"/>
      <c r="E7" s="15" t="n"/>
      <c r="F7" s="15" t="n"/>
      <c r="G7" s="15" t="n"/>
      <c r="H7" s="15" t="n"/>
    </row>
    <row r="8">
      <c r="A8" s="15" t="n"/>
      <c r="B8" s="15" t="n"/>
      <c r="C8" s="15" t="n"/>
      <c r="D8" s="15" t="n"/>
      <c r="E8" s="15" t="n"/>
      <c r="F8" s="15" t="n"/>
      <c r="G8" s="15" t="n"/>
      <c r="H8" s="15" t="n"/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</row>
    <row r="10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</row>
    <row r="14">
      <c r="A14" s="15" t="n"/>
      <c r="B14" s="15" t="n"/>
      <c r="C14" s="15" t="n"/>
      <c r="D14" s="15" t="n"/>
      <c r="E14" s="15" t="n"/>
      <c r="F14" s="15" t="n"/>
      <c r="G14" s="15" t="n"/>
      <c r="H14" s="15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5" t="n"/>
      <c r="B16" s="15" t="n"/>
      <c r="C16" s="15" t="n"/>
      <c r="D16" s="15" t="n"/>
      <c r="E16" s="15" t="n"/>
      <c r="F16" s="15" t="n"/>
      <c r="G16" s="15" t="n"/>
      <c r="H16" s="15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5" t="n"/>
      <c r="B18" s="15" t="n"/>
      <c r="C18" s="15" t="n"/>
      <c r="D18" s="15" t="n"/>
      <c r="E18" s="15" t="n"/>
      <c r="F18" s="15" t="n"/>
      <c r="G18" s="15" t="n"/>
      <c r="H18" s="15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5" t="n"/>
      <c r="B20" s="15" t="n"/>
      <c r="C20" s="15" t="n"/>
      <c r="D20" s="15" t="n"/>
      <c r="E20" s="15" t="n"/>
      <c r="F20" s="15" t="n"/>
      <c r="G20" s="15" t="n"/>
      <c r="H20" s="15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5" t="n"/>
      <c r="B22" s="15" t="n"/>
      <c r="C22" s="15" t="n"/>
      <c r="D22" s="15" t="n"/>
      <c r="E22" s="15" t="n"/>
      <c r="F22" s="15" t="n"/>
      <c r="G22" s="15" t="n"/>
      <c r="H22" s="15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5" t="n"/>
      <c r="B24" s="15" t="n"/>
      <c r="C24" s="15" t="n"/>
      <c r="D24" s="15" t="n"/>
      <c r="E24" s="15" t="n"/>
      <c r="F24" s="15" t="n"/>
      <c r="G24" s="15" t="n"/>
      <c r="H24" s="15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5" t="n"/>
      <c r="B26" s="15" t="n"/>
      <c r="C26" s="15" t="n"/>
      <c r="D26" s="15" t="n"/>
      <c r="E26" s="15" t="n"/>
      <c r="F26" s="15" t="n"/>
      <c r="G26" s="15" t="n"/>
      <c r="H26" s="15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5" t="n"/>
      <c r="B28" s="15" t="n"/>
      <c r="C28" s="15" t="n"/>
      <c r="D28" s="15" t="n"/>
      <c r="E28" s="15" t="n"/>
      <c r="F28" s="15" t="n"/>
      <c r="G28" s="15" t="n"/>
      <c r="H28" s="15" t="n"/>
    </row>
    <row r="29">
      <c r="A29" s="15" t="n"/>
      <c r="B29" s="15" t="n"/>
      <c r="C29" s="15" t="n"/>
      <c r="D29" s="15" t="n"/>
      <c r="E29" s="15" t="n"/>
      <c r="F29" s="15" t="n"/>
      <c r="G29" s="15" t="n"/>
      <c r="H29" s="15" t="n"/>
    </row>
    <row r="30">
      <c r="A30" s="15" t="n"/>
      <c r="B30" s="15" t="n"/>
      <c r="C30" s="15" t="n"/>
      <c r="D30" s="15" t="n"/>
      <c r="E30" s="15" t="n"/>
      <c r="F30" s="15" t="n"/>
      <c r="G30" s="15" t="n"/>
      <c r="H30" s="15" t="n"/>
    </row>
    <row r="31">
      <c r="A31" s="15" t="n"/>
      <c r="B31" s="15" t="n"/>
      <c r="C31" s="15" t="n"/>
      <c r="D31" s="15" t="n"/>
      <c r="E31" s="15" t="n"/>
      <c r="F31" s="15" t="n"/>
      <c r="G31" s="15" t="n"/>
      <c r="H31" s="15" t="n"/>
    </row>
    <row r="32">
      <c r="A32" s="15" t="n"/>
      <c r="B32" s="15" t="n"/>
      <c r="C32" s="15" t="n"/>
      <c r="D32" s="15" t="n"/>
      <c r="E32" s="15" t="n"/>
      <c r="F32" s="15" t="n"/>
      <c r="G32" s="15" t="n"/>
      <c r="H32" s="15" t="n"/>
    </row>
    <row r="33">
      <c r="A33" s="15" t="n"/>
      <c r="B33" s="15" t="n"/>
      <c r="C33" s="15" t="n"/>
      <c r="D33" s="15" t="n"/>
      <c r="E33" s="15" t="n"/>
      <c r="F33" s="15" t="n"/>
      <c r="G33" s="15" t="n"/>
      <c r="H33" s="15" t="n"/>
    </row>
    <row r="34">
      <c r="A34" s="15" t="n"/>
      <c r="B34" s="15" t="n"/>
      <c r="C34" s="15" t="n"/>
      <c r="D34" s="15" t="n"/>
      <c r="E34" s="15" t="n"/>
      <c r="F34" s="15" t="n"/>
      <c r="G34" s="15" t="n"/>
      <c r="H34" s="15" t="n"/>
    </row>
    <row r="35">
      <c r="A35" s="15" t="n"/>
      <c r="B35" s="15" t="n"/>
      <c r="C35" s="15" t="n"/>
      <c r="D35" s="15" t="n"/>
      <c r="E35" s="15" t="n"/>
      <c r="F35" s="15" t="n"/>
      <c r="G35" s="15" t="n"/>
      <c r="H35" s="15" t="n"/>
    </row>
    <row r="36">
      <c r="A36" s="15" t="n"/>
      <c r="B36" s="15" t="n"/>
      <c r="C36" s="15" t="n"/>
      <c r="D36" s="15" t="n"/>
      <c r="E36" s="15" t="n"/>
      <c r="F36" s="15" t="n"/>
      <c r="G36" s="15" t="n"/>
      <c r="H36" s="15" t="n"/>
    </row>
    <row r="37">
      <c r="A37" s="15" t="n"/>
      <c r="B37" s="15" t="n"/>
      <c r="C37" s="15" t="n"/>
      <c r="D37" s="15" t="n"/>
      <c r="E37" s="15" t="n"/>
      <c r="F37" s="15" t="n"/>
      <c r="G37" s="15" t="n"/>
      <c r="H37" s="15" t="n"/>
    </row>
    <row r="38">
      <c r="A38" s="15" t="n"/>
      <c r="B38" s="15" t="n"/>
      <c r="C38" s="15" t="n"/>
      <c r="D38" s="15" t="n"/>
      <c r="E38" s="15" t="n"/>
      <c r="F38" s="15" t="n"/>
      <c r="G38" s="15" t="n"/>
      <c r="H38" s="15" t="n"/>
    </row>
    <row r="39">
      <c r="A39" s="15" t="n"/>
      <c r="B39" s="15" t="n"/>
      <c r="C39" s="15" t="n"/>
      <c r="D39" s="15" t="n"/>
      <c r="E39" s="15" t="n"/>
      <c r="F39" s="15" t="n"/>
      <c r="G39" s="15" t="n"/>
      <c r="H39" s="15" t="n"/>
    </row>
    <row r="40">
      <c r="A40" s="15" t="n"/>
      <c r="B40" s="15" t="n"/>
      <c r="C40" s="15" t="n"/>
      <c r="D40" s="15" t="n"/>
      <c r="E40" s="15" t="n"/>
      <c r="F40" s="15" t="n"/>
      <c r="G40" s="15" t="n"/>
      <c r="H40" s="15" t="n"/>
    </row>
    <row r="41">
      <c r="A41" s="15" t="n"/>
      <c r="B41" s="15" t="n"/>
      <c r="C41" s="15" t="n"/>
      <c r="D41" s="15" t="n"/>
      <c r="E41" s="15" t="n"/>
      <c r="F41" s="15" t="n"/>
      <c r="G41" s="15" t="n"/>
      <c r="H41" s="15" t="n"/>
    </row>
    <row r="42">
      <c r="A42" s="15" t="n"/>
      <c r="B42" s="15" t="n"/>
      <c r="C42" s="15" t="n"/>
      <c r="D42" s="15" t="n"/>
      <c r="E42" s="15" t="n"/>
      <c r="F42" s="15" t="n"/>
      <c r="G42" s="15" t="n"/>
      <c r="H42" s="15" t="n"/>
    </row>
    <row r="43">
      <c r="A43" s="15" t="n"/>
      <c r="B43" s="15" t="n"/>
      <c r="C43" s="15" t="n"/>
      <c r="D43" s="15" t="n"/>
      <c r="E43" s="15" t="n"/>
      <c r="F43" s="15" t="n"/>
      <c r="G43" s="15" t="n"/>
      <c r="H43" s="15" t="n"/>
    </row>
    <row r="44">
      <c r="A44" s="15" t="n"/>
      <c r="B44" s="15" t="n"/>
      <c r="C44" s="15" t="n"/>
      <c r="D44" s="15" t="n"/>
      <c r="E44" s="15" t="n"/>
      <c r="F44" s="15" t="n"/>
      <c r="G44" s="15" t="n"/>
      <c r="H44" s="15" t="n"/>
    </row>
    <row r="45">
      <c r="A45" s="15" t="n"/>
      <c r="B45" s="15" t="n"/>
      <c r="C45" s="15" t="n"/>
      <c r="D45" s="15" t="n"/>
      <c r="E45" s="15" t="n"/>
      <c r="F45" s="15" t="n"/>
      <c r="G45" s="15" t="n"/>
      <c r="H45" s="15" t="n"/>
    </row>
    <row r="46">
      <c r="A46" s="15" t="n"/>
      <c r="B46" s="15" t="n"/>
      <c r="C46" s="15" t="n"/>
      <c r="D46" s="15" t="n"/>
      <c r="E46" s="15" t="n"/>
      <c r="F46" s="15" t="n"/>
      <c r="G46" s="15" t="n"/>
      <c r="H46" s="15" t="n"/>
    </row>
    <row r="47">
      <c r="A47" s="15" t="n"/>
      <c r="B47" s="15" t="n"/>
      <c r="C47" s="15" t="n"/>
      <c r="D47" s="15" t="n"/>
      <c r="E47" s="15" t="n"/>
      <c r="F47" s="15" t="n"/>
      <c r="G47" s="15" t="n"/>
      <c r="H47" s="15" t="n"/>
    </row>
    <row r="48">
      <c r="A48" s="15" t="n"/>
      <c r="B48" s="15" t="n"/>
      <c r="C48" s="15" t="n"/>
      <c r="D48" s="15" t="n"/>
      <c r="E48" s="15" t="n"/>
      <c r="F48" s="15" t="n"/>
      <c r="G48" s="15" t="n"/>
      <c r="H48" s="15" t="n"/>
    </row>
    <row r="49">
      <c r="A49" s="15" t="n"/>
      <c r="B49" s="15" t="n"/>
      <c r="C49" s="15" t="n"/>
      <c r="D49" s="15" t="n"/>
      <c r="E49" s="15" t="n"/>
      <c r="F49" s="15" t="n"/>
      <c r="G49" s="15" t="n"/>
      <c r="H49" s="15" t="n"/>
    </row>
    <row r="50">
      <c r="A50" s="15" t="n"/>
      <c r="B50" s="15" t="n"/>
      <c r="C50" s="15" t="n"/>
      <c r="D50" s="15" t="n"/>
      <c r="E50" s="15" t="n"/>
      <c r="F50" s="15" t="n"/>
      <c r="G50" s="15" t="n"/>
      <c r="H50" s="15" t="n"/>
    </row>
    <row r="51">
      <c r="A51" s="15" t="n"/>
      <c r="B51" s="15" t="n"/>
      <c r="C51" s="15" t="n"/>
      <c r="D51" s="15" t="n"/>
      <c r="E51" s="15" t="n"/>
      <c r="F51" s="15" t="n"/>
      <c r="G51" s="15" t="n"/>
      <c r="H51" s="15" t="n"/>
    </row>
    <row r="52">
      <c r="A52" s="15" t="n"/>
      <c r="B52" s="15" t="n"/>
      <c r="C52" s="15" t="n"/>
      <c r="D52" s="15" t="n"/>
      <c r="E52" s="15" t="n"/>
      <c r="F52" s="15" t="n"/>
      <c r="G52" s="15" t="n"/>
      <c r="H52" s="15" t="n"/>
    </row>
    <row r="53">
      <c r="A53" s="15" t="n"/>
      <c r="B53" s="15" t="n"/>
      <c r="C53" s="15" t="n"/>
      <c r="D53" s="15" t="n"/>
      <c r="E53" s="15" t="n"/>
      <c r="F53" s="15" t="n"/>
      <c r="G53" s="15" t="n"/>
      <c r="H53" s="15" t="n"/>
    </row>
    <row r="54">
      <c r="A54" s="15" t="n"/>
      <c r="B54" s="15" t="n"/>
      <c r="C54" s="15" t="n"/>
      <c r="D54" s="15" t="n"/>
      <c r="E54" s="15" t="n"/>
      <c r="F54" s="15" t="n"/>
      <c r="G54" s="15" t="n"/>
      <c r="H54" s="15" t="n"/>
    </row>
    <row r="55">
      <c r="A55" s="15" t="n"/>
      <c r="B55" s="15" t="n"/>
      <c r="C55" s="15" t="n"/>
      <c r="D55" s="15" t="n"/>
      <c r="E55" s="15" t="n"/>
      <c r="F55" s="15" t="n"/>
      <c r="G55" s="15" t="n"/>
      <c r="H55" s="15" t="n"/>
    </row>
    <row r="56">
      <c r="A56" s="15" t="n"/>
      <c r="B56" s="15" t="n"/>
      <c r="C56" s="15" t="n"/>
      <c r="D56" s="15" t="n"/>
      <c r="E56" s="15" t="n"/>
      <c r="F56" s="15" t="n"/>
      <c r="G56" s="15" t="n"/>
      <c r="H56" s="15" t="n"/>
    </row>
    <row r="57">
      <c r="A57" s="15" t="n"/>
      <c r="B57" s="15" t="n"/>
      <c r="C57" s="15" t="n"/>
      <c r="D57" s="15" t="n"/>
      <c r="E57" s="15" t="n"/>
      <c r="F57" s="15" t="n"/>
      <c r="G57" s="15" t="n"/>
      <c r="H57" s="15" t="n"/>
    </row>
    <row r="58">
      <c r="A58" s="15" t="n"/>
      <c r="B58" s="15" t="n"/>
      <c r="C58" s="15" t="n"/>
      <c r="D58" s="15" t="n"/>
      <c r="E58" s="15" t="n"/>
      <c r="F58" s="15" t="n"/>
      <c r="G58" s="15" t="n"/>
      <c r="H58" s="15" t="n"/>
    </row>
    <row r="59">
      <c r="A59" s="15" t="n"/>
      <c r="B59" s="15" t="n"/>
      <c r="C59" s="15" t="n"/>
      <c r="D59" s="15" t="n"/>
      <c r="E59" s="15" t="n"/>
      <c r="F59" s="15" t="n"/>
      <c r="G59" s="15" t="n"/>
      <c r="H59" s="15" t="n"/>
    </row>
    <row r="60">
      <c r="A60" s="15" t="n"/>
      <c r="B60" s="15" t="n"/>
      <c r="C60" s="15" t="n"/>
      <c r="D60" s="15" t="n"/>
      <c r="E60" s="15" t="n"/>
      <c r="F60" s="15" t="n"/>
      <c r="G60" s="15" t="n"/>
      <c r="H60" s="15" t="n"/>
    </row>
    <row r="61">
      <c r="A61" s="15" t="n"/>
      <c r="B61" s="15" t="n"/>
      <c r="C61" s="15" t="n"/>
      <c r="D61" s="15" t="n"/>
      <c r="E61" s="15" t="n"/>
      <c r="F61" s="15" t="n"/>
      <c r="G61" s="15" t="n"/>
      <c r="H61" s="15" t="n"/>
    </row>
    <row r="62">
      <c r="A62" s="15" t="n"/>
      <c r="B62" s="15" t="n"/>
      <c r="C62" s="15" t="n"/>
      <c r="D62" s="15" t="n"/>
      <c r="E62" s="15" t="n"/>
      <c r="F62" s="15" t="n"/>
      <c r="G62" s="15" t="n"/>
      <c r="H62" s="15" t="n"/>
    </row>
    <row r="63">
      <c r="A63" s="15" t="n"/>
      <c r="B63" s="15" t="n"/>
      <c r="C63" s="15" t="n"/>
      <c r="D63" s="15" t="n"/>
      <c r="E63" s="15" t="n"/>
      <c r="F63" s="15" t="n"/>
      <c r="G63" s="15" t="n"/>
      <c r="H63" s="15" t="n"/>
    </row>
    <row r="64">
      <c r="A64" s="15" t="n"/>
      <c r="B64" s="15" t="n"/>
      <c r="C64" s="15" t="n"/>
      <c r="D64" s="15" t="n"/>
      <c r="E64" s="15" t="n"/>
      <c r="F64" s="15" t="n"/>
      <c r="G64" s="15" t="n"/>
      <c r="H64" s="15" t="n"/>
    </row>
    <row r="65">
      <c r="A65" s="15" t="n"/>
      <c r="B65" s="15" t="n"/>
      <c r="C65" s="15" t="n"/>
      <c r="D65" s="15" t="n"/>
      <c r="E65" s="15" t="n"/>
      <c r="F65" s="15" t="n"/>
      <c r="G65" s="15" t="n"/>
      <c r="H65" s="15" t="n"/>
    </row>
    <row r="66">
      <c r="A66" s="15" t="n"/>
      <c r="B66" s="15" t="n"/>
      <c r="C66" s="15" t="n"/>
      <c r="D66" s="15" t="n"/>
      <c r="E66" s="15" t="n"/>
      <c r="F66" s="15" t="n"/>
      <c r="G66" s="15" t="n"/>
      <c r="H66" s="15" t="n"/>
    </row>
    <row r="67">
      <c r="A67" s="15" t="n"/>
      <c r="B67" s="15" t="n"/>
      <c r="C67" s="15" t="n"/>
      <c r="D67" s="15" t="n"/>
      <c r="E67" s="15" t="n"/>
      <c r="F67" s="15" t="n"/>
      <c r="G67" s="15" t="n"/>
      <c r="H67" s="15" t="n"/>
    </row>
    <row r="68">
      <c r="A68" s="15" t="n"/>
      <c r="B68" s="15" t="n"/>
      <c r="C68" s="15" t="n"/>
      <c r="D68" s="15" t="n"/>
      <c r="E68" s="15" t="n"/>
      <c r="F68" s="15" t="n"/>
      <c r="G68" s="15" t="n"/>
      <c r="H68" s="15" t="n"/>
    </row>
    <row r="69">
      <c r="A69" s="15" t="n"/>
      <c r="B69" s="15" t="n"/>
      <c r="C69" s="15" t="n"/>
      <c r="D69" s="15" t="n"/>
      <c r="E69" s="15" t="n"/>
      <c r="F69" s="15" t="n"/>
      <c r="G69" s="15" t="n"/>
      <c r="H69" s="15" t="n"/>
    </row>
    <row r="70">
      <c r="A70" s="15" t="n"/>
      <c r="B70" s="15" t="n"/>
      <c r="C70" s="15" t="n"/>
      <c r="D70" s="15" t="n"/>
      <c r="E70" s="15" t="n"/>
      <c r="F70" s="15" t="n"/>
      <c r="G70" s="15" t="n"/>
      <c r="H70" s="15" t="n"/>
    </row>
    <row r="71">
      <c r="A71" s="15" t="n"/>
      <c r="B71" s="15" t="n"/>
      <c r="C71" s="15" t="n"/>
      <c r="D71" s="15" t="n"/>
      <c r="E71" s="15" t="n"/>
      <c r="F71" s="15" t="n"/>
      <c r="G71" s="15" t="n"/>
      <c r="H71" s="15" t="n"/>
    </row>
    <row r="72">
      <c r="A72" s="15" t="n"/>
      <c r="B72" s="15" t="n"/>
      <c r="C72" s="15" t="n"/>
      <c r="D72" s="15" t="n"/>
      <c r="E72" s="15" t="n"/>
      <c r="F72" s="15" t="n"/>
      <c r="G72" s="15" t="n"/>
      <c r="H72" s="15" t="n"/>
    </row>
    <row r="73">
      <c r="A73" s="15" t="n"/>
      <c r="B73" s="15" t="n"/>
      <c r="C73" s="15" t="n"/>
      <c r="D73" s="15" t="n"/>
      <c r="E73" s="15" t="n"/>
      <c r="F73" s="15" t="n"/>
      <c r="G73" s="15" t="n"/>
      <c r="H73" s="15" t="n"/>
    </row>
    <row r="74">
      <c r="A74" s="15" t="n"/>
      <c r="B74" s="15" t="n"/>
      <c r="C74" s="15" t="n"/>
      <c r="D74" s="15" t="n"/>
      <c r="E74" s="15" t="n"/>
      <c r="F74" s="15" t="n"/>
      <c r="G74" s="15" t="n"/>
      <c r="H74" s="15" t="n"/>
    </row>
    <row r="75">
      <c r="A75" s="15" t="n"/>
      <c r="B75" s="15" t="n"/>
      <c r="C75" s="15" t="n"/>
      <c r="D75" s="15" t="n"/>
      <c r="E75" s="15" t="n"/>
      <c r="F75" s="15" t="n"/>
      <c r="G75" s="15" t="n"/>
      <c r="H75" s="15" t="n"/>
    </row>
    <row r="76">
      <c r="A76" s="15" t="n"/>
      <c r="B76" s="15" t="n"/>
      <c r="C76" s="15" t="n"/>
      <c r="D76" s="15" t="n"/>
      <c r="E76" s="15" t="n"/>
      <c r="F76" s="15" t="n"/>
      <c r="G76" s="15" t="n"/>
      <c r="H76" s="15" t="n"/>
    </row>
    <row r="77">
      <c r="A77" s="15" t="n"/>
      <c r="B77" s="15" t="n"/>
      <c r="C77" s="15" t="n"/>
      <c r="D77" s="15" t="n"/>
      <c r="E77" s="15" t="n"/>
      <c r="F77" s="15" t="n"/>
      <c r="G77" s="15" t="n"/>
      <c r="H77" s="15" t="n"/>
    </row>
    <row r="78">
      <c r="A78" s="15" t="n"/>
      <c r="B78" s="15" t="n"/>
      <c r="C78" s="15" t="n"/>
      <c r="D78" s="15" t="n"/>
      <c r="E78" s="15" t="n"/>
      <c r="F78" s="15" t="n"/>
      <c r="G78" s="15" t="n"/>
      <c r="H78" s="15" t="n"/>
    </row>
    <row r="79">
      <c r="A79" s="15" t="n"/>
      <c r="B79" s="15" t="n"/>
      <c r="C79" s="15" t="n"/>
      <c r="D79" s="15" t="n"/>
      <c r="E79" s="15" t="n"/>
      <c r="F79" s="15" t="n"/>
      <c r="G79" s="15" t="n"/>
      <c r="H79" s="15" t="n"/>
    </row>
    <row r="80">
      <c r="A80" s="15" t="n"/>
      <c r="B80" s="15" t="n"/>
      <c r="C80" s="15" t="n"/>
      <c r="D80" s="15" t="n"/>
      <c r="E80" s="15" t="n"/>
      <c r="F80" s="15" t="n"/>
      <c r="G80" s="15" t="n"/>
      <c r="H80" s="15" t="n"/>
    </row>
    <row r="81">
      <c r="A81" s="15" t="n"/>
      <c r="B81" s="15" t="n"/>
      <c r="C81" s="15" t="n"/>
      <c r="D81" s="15" t="n"/>
      <c r="E81" s="15" t="n"/>
      <c r="F81" s="15" t="n"/>
      <c r="G81" s="15" t="n"/>
      <c r="H81" s="15" t="n"/>
    </row>
    <row r="82">
      <c r="A82" s="15" t="n"/>
      <c r="B82" s="15" t="n"/>
      <c r="C82" s="15" t="n"/>
      <c r="D82" s="15" t="n"/>
      <c r="E82" s="15" t="n"/>
      <c r="F82" s="15" t="n"/>
      <c r="G82" s="15" t="n"/>
      <c r="H82" s="15" t="n"/>
    </row>
    <row r="83">
      <c r="A83" s="15" t="n"/>
      <c r="B83" s="15" t="n"/>
      <c r="C83" s="15" t="n"/>
      <c r="D83" s="15" t="n"/>
      <c r="E83" s="15" t="n"/>
      <c r="F83" s="15" t="n"/>
      <c r="G83" s="15" t="n"/>
      <c r="H83" s="15" t="n"/>
    </row>
    <row r="84">
      <c r="A84" s="15" t="n"/>
      <c r="B84" s="15" t="n"/>
      <c r="C84" s="15" t="n"/>
      <c r="D84" s="15" t="n"/>
      <c r="E84" s="15" t="n"/>
      <c r="F84" s="15" t="n"/>
      <c r="G84" s="15" t="n"/>
      <c r="H84" s="15" t="n"/>
    </row>
    <row r="85">
      <c r="A85" s="15" t="n"/>
      <c r="B85" s="15" t="n"/>
      <c r="C85" s="15" t="n"/>
      <c r="D85" s="15" t="n"/>
      <c r="E85" s="15" t="n"/>
      <c r="F85" s="15" t="n"/>
      <c r="G85" s="15" t="n"/>
      <c r="H85" s="15" t="n"/>
    </row>
    <row r="86">
      <c r="A86" s="15" t="n"/>
      <c r="B86" s="15" t="n"/>
      <c r="C86" s="15" t="n"/>
      <c r="D86" s="15" t="n"/>
      <c r="E86" s="15" t="n"/>
      <c r="F86" s="15" t="n"/>
      <c r="G86" s="15" t="n"/>
      <c r="H86" s="15" t="n"/>
    </row>
    <row r="87">
      <c r="A87" s="15" t="n"/>
      <c r="B87" s="15" t="n"/>
      <c r="C87" s="15" t="n"/>
      <c r="D87" s="15" t="n"/>
      <c r="E87" s="15" t="n"/>
      <c r="F87" s="15" t="n"/>
      <c r="G87" s="15" t="n"/>
      <c r="H87" s="15" t="n"/>
    </row>
    <row r="88">
      <c r="A88" s="15" t="n"/>
      <c r="B88" s="15" t="n"/>
      <c r="C88" s="15" t="n"/>
      <c r="D88" s="15" t="n"/>
      <c r="E88" s="15" t="n"/>
      <c r="F88" s="15" t="n"/>
      <c r="G88" s="15" t="n"/>
      <c r="H88" s="15" t="n"/>
    </row>
    <row r="89">
      <c r="A89" s="15" t="n"/>
      <c r="B89" s="15" t="n"/>
      <c r="C89" s="15" t="n"/>
      <c r="D89" s="15" t="n"/>
      <c r="E89" s="15" t="n"/>
      <c r="F89" s="15" t="n"/>
      <c r="G89" s="15" t="n"/>
      <c r="H89" s="15" t="n"/>
    </row>
    <row r="90">
      <c r="A90" s="15" t="n"/>
      <c r="B90" s="15" t="n"/>
      <c r="C90" s="15" t="n"/>
      <c r="D90" s="15" t="n"/>
      <c r="E90" s="15" t="n"/>
      <c r="F90" s="15" t="n"/>
      <c r="G90" s="15" t="n"/>
      <c r="H90" s="15" t="n"/>
    </row>
    <row r="91">
      <c r="A91" s="15" t="n"/>
      <c r="B91" s="15" t="n"/>
      <c r="C91" s="15" t="n"/>
      <c r="D91" s="15" t="n"/>
      <c r="E91" s="15" t="n"/>
      <c r="F91" s="15" t="n"/>
      <c r="G91" s="15" t="n"/>
      <c r="H91" s="15" t="n"/>
    </row>
    <row r="92">
      <c r="A92" s="15" t="n"/>
      <c r="B92" s="15" t="n"/>
      <c r="C92" s="15" t="n"/>
      <c r="D92" s="15" t="n"/>
      <c r="E92" s="15" t="n"/>
      <c r="F92" s="15" t="n"/>
      <c r="G92" s="15" t="n"/>
      <c r="H92" s="15" t="n"/>
    </row>
    <row r="93">
      <c r="A93" s="15" t="n"/>
      <c r="B93" s="15" t="n"/>
      <c r="C93" s="15" t="n"/>
      <c r="D93" s="15" t="n"/>
      <c r="E93" s="15" t="n"/>
      <c r="F93" s="15" t="n"/>
      <c r="G93" s="15" t="n"/>
      <c r="H93" s="15" t="n"/>
    </row>
    <row r="94">
      <c r="A94" s="15" t="n"/>
      <c r="B94" s="15" t="n"/>
      <c r="C94" s="15" t="n"/>
      <c r="D94" s="15" t="n"/>
      <c r="E94" s="15" t="n"/>
      <c r="F94" s="15" t="n"/>
      <c r="G94" s="15" t="n"/>
      <c r="H94" s="15" t="n"/>
    </row>
    <row r="95">
      <c r="A95" s="15" t="n"/>
      <c r="B95" s="15" t="n"/>
      <c r="C95" s="15" t="n"/>
      <c r="D95" s="15" t="n"/>
      <c r="E95" s="15" t="n"/>
      <c r="F95" s="15" t="n"/>
      <c r="G95" s="15" t="n"/>
      <c r="H95" s="15" t="n"/>
    </row>
    <row r="96">
      <c r="A96" s="15" t="n"/>
      <c r="B96" s="15" t="n"/>
      <c r="C96" s="15" t="n"/>
      <c r="D96" s="15" t="n"/>
      <c r="E96" s="15" t="n"/>
      <c r="F96" s="15" t="n"/>
      <c r="G96" s="15" t="n"/>
      <c r="H96" s="15" t="n"/>
    </row>
    <row r="97">
      <c r="A97" s="15" t="n"/>
      <c r="B97" s="15" t="n"/>
      <c r="C97" s="15" t="n"/>
      <c r="D97" s="15" t="n"/>
      <c r="E97" s="15" t="n"/>
      <c r="F97" s="15" t="n"/>
      <c r="G97" s="15" t="n"/>
      <c r="H97" s="15" t="n"/>
    </row>
    <row r="98">
      <c r="A98" s="15" t="n"/>
      <c r="B98" s="15" t="n"/>
      <c r="C98" s="15" t="n"/>
      <c r="D98" s="15" t="n"/>
      <c r="E98" s="15" t="n"/>
      <c r="F98" s="15" t="n"/>
      <c r="G98" s="15" t="n"/>
      <c r="H98" s="15" t="n"/>
    </row>
    <row r="99">
      <c r="A99" s="15" t="n"/>
      <c r="B99" s="15" t="n"/>
      <c r="C99" s="15" t="n"/>
      <c r="D99" s="15" t="n"/>
      <c r="E99" s="15" t="n"/>
      <c r="F99" s="15" t="n"/>
      <c r="G99" s="15" t="n"/>
      <c r="H99" s="15" t="n"/>
    </row>
    <row r="100">
      <c r="A100" s="15" t="n"/>
      <c r="B100" s="15" t="n"/>
      <c r="C100" s="15" t="n"/>
      <c r="D100" s="15" t="n"/>
      <c r="E100" s="15" t="n"/>
      <c r="F100" s="15" t="n"/>
      <c r="G100" s="15" t="n"/>
      <c r="H100" s="15" t="n"/>
    </row>
    <row r="101">
      <c r="A101" s="15" t="n"/>
      <c r="B101" s="15" t="n"/>
      <c r="C101" s="15" t="n"/>
      <c r="D101" s="15" t="n"/>
      <c r="E101" s="15" t="n"/>
      <c r="F101" s="15" t="n"/>
      <c r="G101" s="15" t="n"/>
      <c r="H101" s="15" t="n"/>
    </row>
    <row r="102">
      <c r="A102" s="15" t="n"/>
      <c r="B102" s="15" t="n"/>
      <c r="C102" s="15" t="n"/>
      <c r="D102" s="15" t="n"/>
      <c r="E102" s="15" t="n"/>
      <c r="F102" s="15" t="n"/>
      <c r="G102" s="15" t="n"/>
      <c r="H102" s="15" t="n"/>
    </row>
    <row r="103">
      <c r="A103" s="15" t="n"/>
      <c r="B103" s="15" t="n"/>
      <c r="C103" s="15" t="n"/>
      <c r="D103" s="15" t="n"/>
      <c r="E103" s="15" t="n"/>
      <c r="F103" s="15" t="n"/>
      <c r="G103" s="15" t="n"/>
      <c r="H103" s="15" t="n"/>
    </row>
    <row r="104">
      <c r="A104" s="15" t="n"/>
      <c r="B104" s="15" t="n"/>
      <c r="C104" s="15" t="n"/>
      <c r="D104" s="15" t="n"/>
      <c r="E104" s="15" t="n"/>
      <c r="F104" s="15" t="n"/>
      <c r="G104" s="15" t="n"/>
      <c r="H104" s="15" t="n"/>
    </row>
    <row r="105">
      <c r="A105" s="15" t="n"/>
      <c r="B105" s="15" t="n"/>
      <c r="C105" s="15" t="n"/>
      <c r="D105" s="15" t="n"/>
      <c r="E105" s="15" t="n"/>
      <c r="F105" s="15" t="n"/>
      <c r="G105" s="15" t="n"/>
      <c r="H105" s="15" t="n"/>
    </row>
  </sheetData>
  <mergeCells count="2">
    <mergeCell ref="A2:H2"/>
    <mergeCell ref="A1:H1"/>
  </mergeCells>
  <dataValidations count="2">
    <dataValidation sqref="C6:C105" showDropDown="0" showInputMessage="0" showErrorMessage="0" allowBlank="1" type="list">
      <formula1>"Document,Screenshot,Report,Configuration,Certificate,Other"</formula1>
    </dataValidation>
    <dataValidation sqref="H6:H105" showDropDown="0" showInputMessage="0" showErrorMessage="0" allowBlank="1" type="list">
      <formula1>"Verified,Pending Review,Not Verified,Expired"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5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0" customWidth="1" min="1" max="1"/>
    <col width="18" customWidth="1" min="2" max="2"/>
    <col width="16" customWidth="1" min="3" max="3"/>
    <col width="18" customWidth="1" min="4" max="4"/>
    <col width="18" customWidth="1" min="5" max="5"/>
    <col width="12" customWidth="1" min="6" max="6"/>
    <col width="15" customWidth="1" min="7" max="7"/>
  </cols>
  <sheetData>
    <row r="1" ht="35" customHeight="1">
      <c r="A1" s="19" t="inlineStr">
        <is>
          <t>IP RIGHTS INVENTORY — SUMMARY DASHBOARD</t>
        </is>
      </c>
      <c r="B1" s="6" t="n"/>
      <c r="C1" s="6" t="n"/>
      <c r="D1" s="6" t="n"/>
      <c r="E1" s="6" t="n"/>
      <c r="F1" s="6" t="n"/>
      <c r="G1" s="6" t="n"/>
    </row>
    <row r="2">
      <c r="A2" s="20" t="inlineStr">
        <is>
          <t>ISO/IEC 27001:2022 — Control A.5.32: Intellectual Property Rights</t>
        </is>
      </c>
    </row>
    <row r="4">
      <c r="A4" s="21" t="inlineStr">
        <is>
          <t>TABLE 1: ASSESSMENT AREA COMPLIANCE OVERVIEW</t>
        </is>
      </c>
      <c r="B4" s="6" t="n"/>
      <c r="C4" s="6" t="n"/>
      <c r="D4" s="6" t="n"/>
      <c r="E4" s="6" t="n"/>
      <c r="F4" s="6" t="n"/>
      <c r="G4" s="6" t="n"/>
    </row>
    <row r="5">
      <c r="A5" s="22" t="inlineStr">
        <is>
          <t>Assessment Area</t>
        </is>
      </c>
      <c r="B5" s="22" t="inlineStr">
        <is>
          <t>Total Items</t>
        </is>
      </c>
      <c r="C5" s="22" t="inlineStr">
        <is>
          <t>Compliant</t>
        </is>
      </c>
      <c r="D5" s="22" t="inlineStr">
        <is>
          <t>Partial</t>
        </is>
      </c>
      <c r="E5" s="22" t="inlineStr">
        <is>
          <t>Non-Compliant</t>
        </is>
      </c>
      <c r="F5" s="22" t="inlineStr">
        <is>
          <t>N/A</t>
        </is>
      </c>
      <c r="G5" s="22" t="inlineStr">
        <is>
          <t>Compliance %</t>
        </is>
      </c>
    </row>
    <row r="6">
      <c r="A6" s="23" t="inlineStr">
        <is>
          <t>IP Asset Inventory</t>
        </is>
      </c>
      <c r="B6" s="24">
        <f>COUNTA('IP Asset Inventory'!B6:B55)</f>
        <v/>
      </c>
      <c r="C6" s="24">
        <f>COUNTIF('IP Asset Inventory'!G6:G55,"Registered")</f>
        <v/>
      </c>
      <c r="D6" s="24">
        <f>COUNTIF('IP Asset Inventory'!G6:G55,"Pending")</f>
        <v/>
      </c>
      <c r="E6" s="24">
        <f>COUNTIF('IP Asset Inventory'!G6:G55,"Unregistered")</f>
        <v/>
      </c>
      <c r="F6" s="24">
        <f>COUNTIF('IP Asset Inventory'!G6:G55,"N/A")</f>
        <v/>
      </c>
      <c r="G6" s="25">
        <f>IFERROR(IF((B6-F6)=0,0,C6/(B6-F6)),"")</f>
        <v/>
      </c>
    </row>
    <row r="7">
      <c r="A7" s="23" t="inlineStr">
        <is>
          <t>IP Protection Assessment</t>
        </is>
      </c>
      <c r="B7" s="24">
        <f>COUNTA('IP Protection Assessment'!B6:B55)</f>
        <v/>
      </c>
      <c r="C7" s="24">
        <f>COUNTIF('IP Protection Assessment'!H6:H55,"Effective")</f>
        <v/>
      </c>
      <c r="D7" s="24">
        <f>COUNTIF('IP Protection Assessment'!H6:H55,"Partial")</f>
        <v/>
      </c>
      <c r="E7" s="24">
        <f>COUNTIF('IP Protection Assessment'!H6:H55,"Ineffective")</f>
        <v/>
      </c>
      <c r="F7" s="24" t="n">
        <v>0</v>
      </c>
      <c r="G7" s="25">
        <f>IFERROR(IF((B7-F7)=0,0,C7/(B7-F7)),"")</f>
        <v/>
      </c>
    </row>
    <row r="8">
      <c r="A8" s="23" t="inlineStr">
        <is>
          <t>Third-Party IP Register</t>
        </is>
      </c>
      <c r="B8" s="24">
        <f>COUNTA('Third-Party IP Register'!B6:B55)</f>
        <v/>
      </c>
      <c r="C8" s="24">
        <f>COUNTIF('Third-Party IP Register'!G6:G55,"Compliant")</f>
        <v/>
      </c>
      <c r="D8" s="24">
        <f>COUNTIF('Third-Party IP Register'!G6:G55,"Under-utilised")</f>
        <v/>
      </c>
      <c r="E8" s="24">
        <f>COUNTIF('Third-Party IP Register'!G6:G55,"Over-deployed")</f>
        <v/>
      </c>
      <c r="F8" s="24" t="n">
        <v>0</v>
      </c>
      <c r="G8" s="25">
        <f>IFERROR(IF((B8-F8)=0,0,C8/(B8-F8)),"")</f>
        <v/>
      </c>
    </row>
    <row r="9">
      <c r="A9" s="23" t="inlineStr">
        <is>
          <t>Software License Compliance</t>
        </is>
      </c>
      <c r="B9" s="24">
        <f>COUNTA('Software License Compliance'!A6:A55)</f>
        <v/>
      </c>
      <c r="C9" s="24">
        <f>COUNTIF('Software License Compliance'!J6:J55,"Complete")</f>
        <v/>
      </c>
      <c r="D9" s="24">
        <f>COUNTIF('Software License Compliance'!J6:J55,"In Progress")</f>
        <v/>
      </c>
      <c r="E9" s="24">
        <f>COUNTIF('Software License Compliance'!J6:J55,"Open")</f>
        <v/>
      </c>
      <c r="F9" s="24">
        <f>COUNTIF('Software License Compliance'!J6:J55,"N/A")</f>
        <v/>
      </c>
      <c r="G9" s="25">
        <f>IFERROR(IF((B9-F9)=0,0,C9/(B9-F9)),"")</f>
        <v/>
      </c>
    </row>
    <row r="10">
      <c r="A10" s="26" t="inlineStr">
        <is>
          <t>TOTAL</t>
        </is>
      </c>
      <c r="B10" s="27">
        <f>SUM(B6:B9)</f>
        <v/>
      </c>
      <c r="C10" s="27">
        <f>SUM(C6:C9)</f>
        <v/>
      </c>
      <c r="D10" s="27">
        <f>SUM(D6:D9)</f>
        <v/>
      </c>
      <c r="E10" s="27">
        <f>SUM(E6:E9)</f>
        <v/>
      </c>
      <c r="F10" s="27">
        <f>SUM(F6:F9)</f>
        <v/>
      </c>
      <c r="G10" s="28">
        <f>IFERROR(IF((B10-F10)=0,0,C10/(B10-F10)),"")</f>
        <v/>
      </c>
    </row>
    <row r="12">
      <c r="A12" s="21" t="inlineStr">
        <is>
          <t>TABLE 2: KEY METRICS</t>
        </is>
      </c>
      <c r="B12" s="6" t="n"/>
      <c r="C12" s="6" t="n"/>
      <c r="D12" s="6" t="n"/>
      <c r="E12" s="6" t="n"/>
      <c r="F12" s="6" t="n"/>
      <c r="G12" s="6" t="n"/>
    </row>
    <row r="13">
      <c r="A13" s="27" t="inlineStr">
        <is>
          <t>Metric</t>
        </is>
      </c>
      <c r="B13" s="27" t="inlineStr">
        <is>
          <t>Value</t>
        </is>
      </c>
      <c r="C13" s="27" t="n"/>
      <c r="D13" s="27" t="n"/>
      <c r="E13" s="27" t="n"/>
      <c r="F13" s="27" t="n"/>
      <c r="G13" s="27" t="n"/>
    </row>
    <row r="14">
      <c r="A14" s="26" t="inlineStr">
        <is>
          <t>IP Asset Inventory Metrics</t>
        </is>
      </c>
      <c r="B14" s="29" t="n"/>
      <c r="C14" s="29" t="n"/>
      <c r="D14" s="29" t="n"/>
      <c r="E14" s="29" t="n"/>
      <c r="F14" s="29" t="n"/>
      <c r="G14" s="29" t="n"/>
    </row>
    <row r="15">
      <c r="A15" s="23" t="inlineStr">
        <is>
          <t>Total IP Assets Documented</t>
        </is>
      </c>
      <c r="B15" s="24">
        <f>COUNTA('IP Asset Inventory'!B6:B55)</f>
        <v/>
      </c>
      <c r="C15" s="6" t="n"/>
      <c r="D15" s="6" t="n"/>
      <c r="E15" s="6" t="n"/>
      <c r="F15" s="6" t="n"/>
      <c r="G15" s="6" t="n"/>
    </row>
    <row r="16">
      <c r="A16" s="23" t="inlineStr">
        <is>
          <t>High Business Value Assets</t>
        </is>
      </c>
      <c r="B16" s="24">
        <f>COUNTIF('IP Asset Inventory'!H6:H55,"High")</f>
        <v/>
      </c>
      <c r="C16" s="6" t="n"/>
      <c r="D16" s="6" t="n"/>
      <c r="E16" s="6" t="n"/>
      <c r="F16" s="6" t="n"/>
      <c r="G16" s="6" t="n"/>
    </row>
    <row r="17">
      <c r="A17" s="23" t="inlineStr">
        <is>
          <t>Registered (Protected) IP Assets</t>
        </is>
      </c>
      <c r="B17" s="24">
        <f>COUNTIF('IP Asset Inventory'!G6:G55,"Registered")</f>
        <v/>
      </c>
      <c r="C17" s="6" t="n"/>
      <c r="D17" s="6" t="n"/>
      <c r="E17" s="6" t="n"/>
      <c r="F17" s="6" t="n"/>
      <c r="G17" s="6" t="n"/>
    </row>
    <row r="18">
      <c r="A18" s="23" t="inlineStr">
        <is>
          <t>Pending Registration</t>
        </is>
      </c>
      <c r="B18" s="24">
        <f>COUNTIF('IP Asset Inventory'!G6:G55,"Pending")</f>
        <v/>
      </c>
      <c r="C18" s="6" t="n"/>
      <c r="D18" s="6" t="n"/>
      <c r="E18" s="6" t="n"/>
      <c r="F18" s="6" t="n"/>
      <c r="G18" s="6" t="n"/>
    </row>
    <row r="19">
      <c r="A19" s="23" t="inlineStr">
        <is>
          <t>Unregistered (At Risk) Assets</t>
        </is>
      </c>
      <c r="B19" s="24">
        <f>COUNTIF('IP Asset Inventory'!G6:G55,"Unregistered")</f>
        <v/>
      </c>
      <c r="C19" s="6" t="n"/>
      <c r="D19" s="6" t="n"/>
      <c r="E19" s="6" t="n"/>
      <c r="F19" s="6" t="n"/>
      <c r="G19" s="6" t="n"/>
    </row>
    <row r="20">
      <c r="A20" s="23" t="inlineStr">
        <is>
          <t>Trade Secrets Documented</t>
        </is>
      </c>
      <c r="B20" s="24">
        <f>COUNTIF('IP Asset Inventory'!C6:C55,"Trade Secret")</f>
        <v/>
      </c>
      <c r="C20" s="6" t="n"/>
      <c r="D20" s="6" t="n"/>
      <c r="E20" s="6" t="n"/>
      <c r="F20" s="6" t="n"/>
      <c r="G20" s="6" t="n"/>
    </row>
    <row r="21">
      <c r="A21" s="23" t="inlineStr">
        <is>
          <t>Restricted Classification Assets</t>
        </is>
      </c>
      <c r="B21" s="24">
        <f>COUNTIF('IP Asset Inventory'!I6:I55,"Restricted")</f>
        <v/>
      </c>
      <c r="C21" s="6" t="n"/>
      <c r="D21" s="6" t="n"/>
      <c r="E21" s="6" t="n"/>
      <c r="F21" s="6" t="n"/>
      <c r="G21" s="6" t="n"/>
    </row>
    <row r="22">
      <c r="A22" s="26" t="inlineStr">
        <is>
          <t>IP Protection Assessment Metrics</t>
        </is>
      </c>
      <c r="B22" s="29" t="n"/>
      <c r="C22" s="29" t="n"/>
      <c r="D22" s="29" t="n"/>
      <c r="E22" s="29" t="n"/>
      <c r="F22" s="29" t="n"/>
      <c r="G22" s="29" t="n"/>
    </row>
    <row r="23">
      <c r="A23" s="23" t="inlineStr">
        <is>
          <t>Total Assessments</t>
        </is>
      </c>
      <c r="B23" s="24">
        <f>COUNTA('IP Protection Assessment'!B6:B55)</f>
        <v/>
      </c>
      <c r="C23" s="6" t="n"/>
      <c r="D23" s="6" t="n"/>
      <c r="E23" s="6" t="n"/>
      <c r="F23" s="6" t="n"/>
      <c r="G23" s="6" t="n"/>
    </row>
    <row r="24">
      <c r="A24" s="23" t="inlineStr">
        <is>
          <t>Controls Rated Effective</t>
        </is>
      </c>
      <c r="B24" s="24">
        <f>COUNTIF('IP Protection Assessment'!H6:H55,"Effective")</f>
        <v/>
      </c>
      <c r="C24" s="6" t="n"/>
      <c r="D24" s="6" t="n"/>
      <c r="E24" s="6" t="n"/>
      <c r="F24" s="6" t="n"/>
      <c r="G24" s="6" t="n"/>
    </row>
    <row r="25">
      <c r="A25" s="23" t="inlineStr">
        <is>
          <t>Controls Partially Effective</t>
        </is>
      </c>
      <c r="B25" s="24">
        <f>COUNTIF('IP Protection Assessment'!H6:H55,"Partial")</f>
        <v/>
      </c>
      <c r="C25" s="6" t="n"/>
      <c r="D25" s="6" t="n"/>
      <c r="E25" s="6" t="n"/>
      <c r="F25" s="6" t="n"/>
      <c r="G25" s="6" t="n"/>
    </row>
    <row r="26">
      <c r="A26" s="23" t="inlineStr">
        <is>
          <t>Remediation Completed</t>
        </is>
      </c>
      <c r="B26" s="24">
        <f>COUNTIF('IP Protection Assessment'!K6:K55,"Complete")</f>
        <v/>
      </c>
      <c r="C26" s="6" t="n"/>
      <c r="D26" s="6" t="n"/>
      <c r="E26" s="6" t="n"/>
      <c r="F26" s="6" t="n"/>
      <c r="G26" s="6" t="n"/>
    </row>
    <row r="27">
      <c r="A27" s="23" t="inlineStr">
        <is>
          <t>Remediation In Progress</t>
        </is>
      </c>
      <c r="B27" s="24">
        <f>COUNTIF('IP Protection Assessment'!K6:K55,"In Progress")</f>
        <v/>
      </c>
      <c r="C27" s="6" t="n"/>
      <c r="D27" s="6" t="n"/>
      <c r="E27" s="6" t="n"/>
      <c r="F27" s="6" t="n"/>
      <c r="G27" s="6" t="n"/>
    </row>
    <row r="28">
      <c r="A28" s="26" t="inlineStr">
        <is>
          <t>Third-Party IP Metrics</t>
        </is>
      </c>
      <c r="B28" s="29" t="n"/>
      <c r="C28" s="29" t="n"/>
      <c r="D28" s="29" t="n"/>
      <c r="E28" s="29" t="n"/>
      <c r="F28" s="29" t="n"/>
      <c r="G28" s="29" t="n"/>
    </row>
    <row r="29">
      <c r="A29" s="23" t="inlineStr">
        <is>
          <t>Total Third-Party IP Items</t>
        </is>
      </c>
      <c r="B29" s="24">
        <f>COUNTA('Third-Party IP Register'!B6:B55)</f>
        <v/>
      </c>
      <c r="C29" s="6" t="n"/>
      <c r="D29" s="6" t="n"/>
      <c r="E29" s="6" t="n"/>
      <c r="F29" s="6" t="n"/>
      <c r="G29" s="6" t="n"/>
    </row>
    <row r="30">
      <c r="A30" s="23" t="inlineStr">
        <is>
          <t>License Compliant Items</t>
        </is>
      </c>
      <c r="B30" s="24">
        <f>COUNTIF('Third-Party IP Register'!G6:G55,"Compliant")</f>
        <v/>
      </c>
      <c r="C30" s="6" t="n"/>
      <c r="D30" s="6" t="n"/>
      <c r="E30" s="6" t="n"/>
      <c r="F30" s="6" t="n"/>
      <c r="G30" s="6" t="n"/>
    </row>
    <row r="31">
      <c r="A31" s="23" t="inlineStr">
        <is>
          <t>Over-Deployed Licenses</t>
        </is>
      </c>
      <c r="B31" s="24">
        <f>COUNTIF('Third-Party IP Register'!G6:G55,"Over-deployed")</f>
        <v/>
      </c>
      <c r="C31" s="6" t="n"/>
      <c r="D31" s="6" t="n"/>
      <c r="E31" s="6" t="n"/>
      <c r="F31" s="6" t="n"/>
      <c r="G31" s="6" t="n"/>
    </row>
    <row r="32">
      <c r="A32" s="23" t="inlineStr">
        <is>
          <t>Open Source Components</t>
        </is>
      </c>
      <c r="B32" s="24">
        <f>COUNTIF('Third-Party IP Register'!D6:D55,"Open Source")</f>
        <v/>
      </c>
      <c r="C32" s="6" t="n"/>
      <c r="D32" s="6" t="n"/>
      <c r="E32" s="6" t="n"/>
      <c r="F32" s="6" t="n"/>
      <c r="G32" s="6" t="n"/>
    </row>
    <row r="33">
      <c r="A33" s="23" t="inlineStr">
        <is>
          <t>Subscription Licenses</t>
        </is>
      </c>
      <c r="B33" s="24">
        <f>COUNTIF('Third-Party IP Register'!D6:D55,"Subscription")</f>
        <v/>
      </c>
      <c r="C33" s="6" t="n"/>
      <c r="D33" s="6" t="n"/>
      <c r="E33" s="6" t="n"/>
      <c r="F33" s="6" t="n"/>
      <c r="G33" s="6" t="n"/>
    </row>
    <row r="34">
      <c r="A34" s="26" t="inlineStr">
        <is>
          <t>Software License Metrics</t>
        </is>
      </c>
      <c r="B34" s="29" t="n"/>
      <c r="C34" s="29" t="n"/>
      <c r="D34" s="29" t="n"/>
      <c r="E34" s="29" t="n"/>
      <c r="F34" s="29" t="n"/>
      <c r="G34" s="29" t="n"/>
    </row>
    <row r="35">
      <c r="A35" s="23" t="inlineStr">
        <is>
          <t>Total Software Items Tracked</t>
        </is>
      </c>
      <c r="B35" s="24">
        <f>COUNTA('Software License Compliance'!A6:A55)</f>
        <v/>
      </c>
      <c r="C35" s="6" t="n"/>
      <c r="D35" s="6" t="n"/>
      <c r="E35" s="6" t="n"/>
      <c r="F35" s="6" t="n"/>
      <c r="G35" s="6" t="n"/>
    </row>
    <row r="36">
      <c r="A36" s="23" t="inlineStr">
        <is>
          <t>High Compliance Risk Items</t>
        </is>
      </c>
      <c r="B36" s="24">
        <f>COUNTIF('Software License Compliance'!G6:G55,"High")</f>
        <v/>
      </c>
      <c r="C36" s="6" t="n"/>
      <c r="D36" s="6" t="n"/>
      <c r="E36" s="6" t="n"/>
      <c r="F36" s="6" t="n"/>
      <c r="G36" s="6" t="n"/>
    </row>
    <row r="37">
      <c r="A37" s="23" t="inlineStr">
        <is>
          <t>Remediations Open</t>
        </is>
      </c>
      <c r="B37" s="24">
        <f>COUNTIF('Software License Compliance'!J6:J55,"Open")</f>
        <v/>
      </c>
      <c r="C37" s="6" t="n"/>
      <c r="D37" s="6" t="n"/>
      <c r="E37" s="6" t="n"/>
      <c r="F37" s="6" t="n"/>
      <c r="G37" s="6" t="n"/>
    </row>
    <row r="38">
      <c r="A38" s="6" t="n"/>
      <c r="B38" s="6" t="n"/>
      <c r="C38" s="6" t="n"/>
      <c r="D38" s="6" t="n"/>
      <c r="E38" s="6" t="n"/>
      <c r="F38" s="6" t="n"/>
      <c r="G38" s="6" t="n"/>
    </row>
    <row r="39">
      <c r="A39" s="6" t="n"/>
      <c r="B39" s="6" t="n"/>
      <c r="C39" s="6" t="n"/>
      <c r="D39" s="6" t="n"/>
      <c r="E39" s="6" t="n"/>
      <c r="F39" s="6" t="n"/>
      <c r="G39" s="6" t="n"/>
    </row>
    <row r="41">
      <c r="A41" s="30" t="inlineStr">
        <is>
          <t>TABLE 3: CRITICAL FINDINGS REQUIRING IMMEDIATE ATTENTION</t>
        </is>
      </c>
      <c r="B41" s="6" t="n"/>
      <c r="C41" s="6" t="n"/>
      <c r="D41" s="6" t="n"/>
      <c r="E41" s="6" t="n"/>
      <c r="F41" s="6" t="n"/>
      <c r="G41" s="6" t="n"/>
    </row>
    <row r="42">
      <c r="A42" s="27" t="inlineStr">
        <is>
          <t>Category</t>
        </is>
      </c>
      <c r="B42" s="27" t="inlineStr">
        <is>
          <t>Finding</t>
        </is>
      </c>
      <c r="C42" s="27" t="inlineStr">
        <is>
          <t>Count</t>
        </is>
      </c>
      <c r="D42" s="27" t="inlineStr">
        <is>
          <t>Severity</t>
        </is>
      </c>
      <c r="E42" s="27" t="inlineStr">
        <is>
          <t>Action Required</t>
        </is>
      </c>
      <c r="F42" s="27" t="n"/>
      <c r="G42" s="27" t="n"/>
    </row>
    <row r="43">
      <c r="A43" s="31" t="inlineStr">
        <is>
          <t>IP Asset Inventory</t>
        </is>
      </c>
      <c r="B43" s="31" t="inlineStr">
        <is>
          <t>Unregistered high-value IP assets</t>
        </is>
      </c>
      <c r="C43" s="32">
        <f>COUNTIFS('IP Asset Inventory'!G6:G55,"Unregistered",'IP Asset Inventory'!H6:H55,"High")</f>
        <v/>
      </c>
      <c r="D43" s="31" t="inlineStr">
        <is>
          <t>Critical</t>
        </is>
      </c>
      <c r="E43" s="31" t="inlineStr">
        <is>
          <t>Immediate</t>
        </is>
      </c>
      <c r="F43" s="31" t="n"/>
      <c r="G43" s="31" t="n"/>
    </row>
    <row r="44">
      <c r="A44" s="31" t="inlineStr">
        <is>
          <t>IP Asset Inventory</t>
        </is>
      </c>
      <c r="B44" s="31" t="inlineStr">
        <is>
          <t>Restricted assets without registration</t>
        </is>
      </c>
      <c r="C44" s="32">
        <f>COUNTIFS('IP Asset Inventory'!I6:I55,"Restricted",'IP Asset Inventory'!G6:G55,"Unregistered")</f>
        <v/>
      </c>
      <c r="D44" s="31" t="inlineStr">
        <is>
          <t>Critical</t>
        </is>
      </c>
      <c r="E44" s="31" t="inlineStr">
        <is>
          <t>Immediate</t>
        </is>
      </c>
      <c r="F44" s="31" t="n"/>
      <c r="G44" s="31" t="n"/>
    </row>
    <row r="45">
      <c r="A45" s="31" t="inlineStr">
        <is>
          <t>IP Protection Assessment</t>
        </is>
      </c>
      <c r="B45" s="31" t="inlineStr">
        <is>
          <t>Ineffective protection controls</t>
        </is>
      </c>
      <c r="C45" s="32">
        <f>COUNTIF('IP Protection Assessment'!H6:H55,"Ineffective")</f>
        <v/>
      </c>
      <c r="D45" s="31" t="inlineStr">
        <is>
          <t>Critical</t>
        </is>
      </c>
      <c r="E45" s="31" t="inlineStr">
        <is>
          <t>Immediate</t>
        </is>
      </c>
      <c r="F45" s="31" t="n"/>
      <c r="G45" s="31" t="n"/>
    </row>
    <row r="46">
      <c r="A46" s="31" t="inlineStr">
        <is>
          <t>IP Protection Assessment</t>
        </is>
      </c>
      <c r="B46" s="31" t="inlineStr">
        <is>
          <t>Remediation not started</t>
        </is>
      </c>
      <c r="C46" s="32">
        <f>COUNTIF('IP Protection Assessment'!K6:K55,"Not Started")</f>
        <v/>
      </c>
      <c r="D46" s="31" t="inlineStr">
        <is>
          <t>High</t>
        </is>
      </c>
      <c r="E46" s="31" t="inlineStr">
        <is>
          <t>Urgent</t>
        </is>
      </c>
      <c r="F46" s="31" t="n"/>
      <c r="G46" s="31" t="n"/>
    </row>
    <row r="47">
      <c r="A47" s="31" t="inlineStr">
        <is>
          <t>Third-Party IP Register</t>
        </is>
      </c>
      <c r="B47" s="31" t="inlineStr">
        <is>
          <t>Over-deployed licenses (licence violation)</t>
        </is>
      </c>
      <c r="C47" s="32">
        <f>COUNTIF('Third-Party IP Register'!G6:G55,"Over-deployed")</f>
        <v/>
      </c>
      <c r="D47" s="31" t="inlineStr">
        <is>
          <t>Critical</t>
        </is>
      </c>
      <c r="E47" s="31" t="inlineStr">
        <is>
          <t>Immediate</t>
        </is>
      </c>
      <c r="F47" s="31" t="n"/>
      <c r="G47" s="31" t="n"/>
    </row>
    <row r="48">
      <c r="A48" s="31" t="inlineStr">
        <is>
          <t>Software License Compliance</t>
        </is>
      </c>
      <c r="B48" s="31" t="inlineStr">
        <is>
          <t>High compliance risk items</t>
        </is>
      </c>
      <c r="C48" s="32">
        <f>COUNTIF('Software License Compliance'!G6:G55,"High")</f>
        <v/>
      </c>
      <c r="D48" s="31" t="inlineStr">
        <is>
          <t>Critical</t>
        </is>
      </c>
      <c r="E48" s="31" t="inlineStr">
        <is>
          <t>Immediate</t>
        </is>
      </c>
      <c r="F48" s="31" t="n"/>
      <c r="G48" s="31" t="n"/>
    </row>
    <row r="49">
      <c r="A49" s="31" t="inlineStr">
        <is>
          <t>Software License Compliance</t>
        </is>
      </c>
      <c r="B49" s="31" t="inlineStr">
        <is>
          <t>Open remediations</t>
        </is>
      </c>
      <c r="C49" s="32">
        <f>COUNTIF('Software License Compliance'!J6:J55,"Open")</f>
        <v/>
      </c>
      <c r="D49" s="31" t="inlineStr">
        <is>
          <t>High</t>
        </is>
      </c>
      <c r="E49" s="31" t="inlineStr">
        <is>
          <t>Urgent</t>
        </is>
      </c>
      <c r="F49" s="31" t="n"/>
      <c r="G49" s="31" t="n"/>
    </row>
    <row r="50">
      <c r="A50" s="31" t="inlineStr">
        <is>
          <t>Gap Analysis</t>
        </is>
      </c>
      <c r="B50" s="31" t="inlineStr">
        <is>
          <t>Open high-risk gaps</t>
        </is>
      </c>
      <c r="C50" s="32">
        <f>COUNTIFS('Gap Analysis'!E6:E55,"High",'Gap Analysis'!I6:I55,"Open")</f>
        <v/>
      </c>
      <c r="D50" s="31" t="inlineStr">
        <is>
          <t>High</t>
        </is>
      </c>
      <c r="E50" s="31" t="inlineStr">
        <is>
          <t>Urgent</t>
        </is>
      </c>
      <c r="F50" s="31" t="n"/>
      <c r="G50" s="31" t="n"/>
    </row>
    <row r="51">
      <c r="A51" s="15" t="n"/>
      <c r="B51" s="15" t="n"/>
      <c r="C51" s="15" t="n"/>
      <c r="D51" s="15" t="n"/>
      <c r="E51" s="15" t="n"/>
      <c r="F51" s="15" t="n"/>
      <c r="G51" s="15" t="n"/>
    </row>
    <row r="52">
      <c r="A52" s="15" t="n"/>
      <c r="B52" s="15" t="n"/>
      <c r="C52" s="15" t="n"/>
      <c r="D52" s="15" t="n"/>
      <c r="E52" s="15" t="n"/>
      <c r="F52" s="15" t="n"/>
      <c r="G52" s="15" t="n"/>
    </row>
  </sheetData>
  <mergeCells count="5">
    <mergeCell ref="A1:G1"/>
    <mergeCell ref="A12:G12"/>
    <mergeCell ref="A4:G4"/>
    <mergeCell ref="A2:G2"/>
    <mergeCell ref="A41:G4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2" customWidth="1" min="1" max="1"/>
    <col width="25" customWidth="1" min="2" max="2"/>
    <col width="20" customWidth="1" min="3" max="3"/>
    <col width="20" customWidth="1" min="4" max="4"/>
    <col width="20" customWidth="1" min="5" max="5"/>
  </cols>
  <sheetData>
    <row r="1" ht="35" customHeight="1">
      <c r="A1" s="33" t="inlineStr">
        <is>
          <t>ASSESSMENT APPROVAL AND SIGN-OFF</t>
        </is>
      </c>
      <c r="B1" s="6" t="n"/>
      <c r="C1" s="6" t="n"/>
      <c r="D1" s="6" t="n"/>
      <c r="E1" s="6" t="n"/>
    </row>
    <row r="2">
      <c r="A2" s="34" t="inlineStr">
        <is>
          <t>ISO/IEC 27001:2022 - Control A.5.32: Intellectual Property Rights</t>
        </is>
      </c>
      <c r="B2" s="6" t="n"/>
      <c r="C2" s="6" t="n"/>
      <c r="D2" s="6" t="n"/>
      <c r="E2" s="6" t="n"/>
    </row>
    <row r="3">
      <c r="A3" s="35" t="inlineStr">
        <is>
          <t>ASSESSMENT SUMMARY</t>
        </is>
      </c>
      <c r="B3" s="6" t="n"/>
      <c r="C3" s="6" t="n"/>
      <c r="D3" s="6" t="n"/>
      <c r="E3" s="6" t="n"/>
    </row>
    <row r="4">
      <c r="A4" s="3" t="inlineStr">
        <is>
          <t>Document:</t>
        </is>
      </c>
      <c r="B4" s="6" t="inlineStr">
        <is>
          <t>ISMS-IMP-A.5.32-33.S1 - IP Rights Inventory</t>
        </is>
      </c>
      <c r="C4" s="6" t="n"/>
      <c r="D4" s="6" t="n"/>
      <c r="E4" s="6" t="n"/>
    </row>
    <row r="5">
      <c r="A5" s="3" t="inlineStr">
        <is>
          <t>Assessment Period:</t>
        </is>
      </c>
      <c r="B5" s="15" t="inlineStr"/>
      <c r="C5" s="6" t="n"/>
      <c r="D5" s="6" t="n"/>
      <c r="E5" s="6" t="n"/>
    </row>
    <row r="6">
      <c r="A6" s="3" t="inlineStr">
        <is>
          <t>Overall Compliance Rating:</t>
        </is>
      </c>
      <c r="B6" s="36">
        <f>IFERROR(AVERAGE('Summary Dashboard'!G6:G9),"")</f>
        <v/>
      </c>
      <c r="C6" s="6" t="n"/>
      <c r="D6" s="6" t="n"/>
      <c r="E6" s="6" t="n"/>
    </row>
    <row r="7">
      <c r="A7" s="3" t="inlineStr">
        <is>
          <t>Assessment Status:</t>
        </is>
      </c>
      <c r="B7" s="15" t="inlineStr"/>
      <c r="C7" s="6" t="n"/>
      <c r="D7" s="6" t="n"/>
      <c r="E7" s="6" t="n"/>
    </row>
    <row r="8">
      <c r="A8" s="3" t="inlineStr">
        <is>
          <t>Assessed By:</t>
        </is>
      </c>
      <c r="B8" s="15" t="inlineStr"/>
      <c r="C8" s="6" t="n"/>
      <c r="D8" s="6" t="n"/>
      <c r="E8" s="6" t="n"/>
    </row>
    <row r="11">
      <c r="A11" s="35" t="inlineStr">
        <is>
          <t>COMPLETED BY (ASSESSOR)</t>
        </is>
      </c>
      <c r="B11" s="6" t="n"/>
      <c r="C11" s="6" t="n"/>
      <c r="D11" s="6" t="n"/>
      <c r="E11" s="6" t="n"/>
    </row>
    <row r="12">
      <c r="A12" s="3" t="inlineStr">
        <is>
          <t>Name:</t>
        </is>
      </c>
      <c r="B12" s="15" t="n"/>
      <c r="C12" s="6" t="n"/>
      <c r="D12" s="6" t="n"/>
      <c r="E12" s="6" t="n"/>
    </row>
    <row r="13">
      <c r="A13" s="3" t="inlineStr">
        <is>
          <t>Title:</t>
        </is>
      </c>
      <c r="B13" s="15" t="n"/>
      <c r="C13" s="6" t="n"/>
      <c r="D13" s="6" t="n"/>
      <c r="E13" s="6" t="n"/>
    </row>
    <row r="14">
      <c r="A14" s="3" t="inlineStr">
        <is>
          <t>Date:</t>
        </is>
      </c>
      <c r="B14" s="15" t="n"/>
      <c r="C14" s="6" t="n"/>
      <c r="D14" s="6" t="n"/>
      <c r="E14" s="6" t="n"/>
    </row>
    <row r="15">
      <c r="A15" s="3" t="inlineStr">
        <is>
          <t>Signature:</t>
        </is>
      </c>
      <c r="B15" s="15" t="n"/>
      <c r="C15" s="6" t="n"/>
      <c r="D15" s="6" t="n"/>
      <c r="E15" s="6" t="n"/>
    </row>
    <row r="16">
      <c r="A16" s="3" t="inlineStr">
        <is>
          <t>Comments:</t>
        </is>
      </c>
      <c r="B16" s="15" t="n"/>
      <c r="C16" s="6" t="n"/>
      <c r="D16" s="6" t="n"/>
      <c r="E16" s="6" t="n"/>
    </row>
    <row r="18">
      <c r="A18" s="35" t="inlineStr">
        <is>
          <t>REVIEWED BY (INFORMATION SECURITY OFFICER)</t>
        </is>
      </c>
      <c r="B18" s="6" t="n"/>
      <c r="C18" s="6" t="n"/>
      <c r="D18" s="6" t="n"/>
      <c r="E18" s="6" t="n"/>
    </row>
    <row r="19">
      <c r="A19" s="3" t="inlineStr">
        <is>
          <t>Name:</t>
        </is>
      </c>
      <c r="B19" s="15" t="n"/>
      <c r="C19" s="6" t="n"/>
      <c r="D19" s="6" t="n"/>
      <c r="E19" s="6" t="n"/>
    </row>
    <row r="20">
      <c r="A20" s="3" t="inlineStr">
        <is>
          <t>Title:</t>
        </is>
      </c>
      <c r="B20" s="15" t="n"/>
      <c r="C20" s="6" t="n"/>
      <c r="D20" s="6" t="n"/>
      <c r="E20" s="6" t="n"/>
    </row>
    <row r="21">
      <c r="A21" s="3" t="inlineStr">
        <is>
          <t>Date:</t>
        </is>
      </c>
      <c r="B21" s="15" t="n"/>
      <c r="C21" s="6" t="n"/>
      <c r="D21" s="6" t="n"/>
      <c r="E21" s="6" t="n"/>
    </row>
    <row r="22">
      <c r="A22" s="3" t="inlineStr">
        <is>
          <t>Signature:</t>
        </is>
      </c>
      <c r="B22" s="15" t="n"/>
      <c r="C22" s="6" t="n"/>
      <c r="D22" s="6" t="n"/>
      <c r="E22" s="6" t="n"/>
    </row>
    <row r="23">
      <c r="A23" s="3" t="inlineStr">
        <is>
          <t>Comments:</t>
        </is>
      </c>
      <c r="B23" s="15" t="n"/>
      <c r="C23" s="6" t="n"/>
      <c r="D23" s="6" t="n"/>
      <c r="E23" s="6" t="n"/>
    </row>
    <row r="25">
      <c r="A25" s="37" t="inlineStr">
        <is>
          <t>APPROVED BY (CISO)</t>
        </is>
      </c>
      <c r="B25" s="6" t="n"/>
      <c r="C25" s="6" t="n"/>
      <c r="D25" s="6" t="n"/>
      <c r="E25" s="6" t="n"/>
    </row>
    <row r="26">
      <c r="A26" s="3" t="inlineStr">
        <is>
          <t>Name:</t>
        </is>
      </c>
      <c r="B26" s="15" t="n"/>
      <c r="C26" s="6" t="n"/>
      <c r="D26" s="6" t="n"/>
      <c r="E26" s="6" t="n"/>
    </row>
    <row r="27">
      <c r="A27" s="3" t="inlineStr">
        <is>
          <t>Title:</t>
        </is>
      </c>
      <c r="B27" s="15" t="n"/>
      <c r="C27" s="6" t="n"/>
      <c r="D27" s="6" t="n"/>
      <c r="E27" s="6" t="n"/>
    </row>
    <row r="28">
      <c r="A28" s="3" t="inlineStr">
        <is>
          <t>Date:</t>
        </is>
      </c>
      <c r="B28" s="15" t="n"/>
      <c r="C28" s="6" t="n"/>
      <c r="D28" s="6" t="n"/>
      <c r="E28" s="6" t="n"/>
    </row>
    <row r="29">
      <c r="A29" s="3" t="inlineStr">
        <is>
          <t>Signature:</t>
        </is>
      </c>
      <c r="B29" s="15" t="n"/>
      <c r="C29" s="6" t="n"/>
      <c r="D29" s="6" t="n"/>
      <c r="E29" s="6" t="n"/>
    </row>
    <row r="30">
      <c r="A30" s="3" t="inlineStr">
        <is>
          <t>Comments:</t>
        </is>
      </c>
      <c r="B30" s="15" t="n"/>
      <c r="C30" s="6" t="n"/>
      <c r="D30" s="6" t="n"/>
      <c r="E30" s="6" t="n"/>
    </row>
    <row r="32">
      <c r="A32" s="3" t="inlineStr">
        <is>
          <t>FINAL DECISION:</t>
        </is>
      </c>
      <c r="B32" s="15" t="n"/>
      <c r="C32" s="6" t="n"/>
      <c r="D32" s="6" t="n"/>
      <c r="E32" s="6" t="n"/>
    </row>
    <row r="35">
      <c r="A35" s="35" t="inlineStr">
        <is>
          <t>NEXT REVIEW DETAILS</t>
        </is>
      </c>
      <c r="B35" s="6" t="n"/>
      <c r="C35" s="6" t="n"/>
      <c r="D35" s="6" t="n"/>
      <c r="E35" s="6" t="n"/>
    </row>
    <row r="36">
      <c r="A36" s="3" t="inlineStr">
        <is>
          <t>Next Review Date:</t>
        </is>
      </c>
      <c r="B36" s="15" t="n"/>
      <c r="C36" s="6" t="n"/>
      <c r="D36" s="6" t="n"/>
      <c r="E36" s="6" t="n"/>
    </row>
    <row r="37">
      <c r="A37" s="3" t="inlineStr">
        <is>
          <t>Review Responsible:</t>
        </is>
      </c>
      <c r="B37" s="15" t="n"/>
      <c r="C37" s="6" t="n"/>
      <c r="D37" s="6" t="n"/>
      <c r="E37" s="6" t="n"/>
    </row>
    <row r="38">
      <c r="A38" s="3" t="inlineStr">
        <is>
          <t>Special Considerations:</t>
        </is>
      </c>
      <c r="B38" s="15" t="n"/>
      <c r="C38" s="6" t="n"/>
      <c r="D38" s="6" t="n"/>
      <c r="E38" s="6" t="n"/>
    </row>
  </sheetData>
  <mergeCells count="31">
    <mergeCell ref="B6:E6"/>
    <mergeCell ref="B30:E30"/>
    <mergeCell ref="A11:E11"/>
    <mergeCell ref="B15:E15"/>
    <mergeCell ref="A1:E1"/>
    <mergeCell ref="B5:E5"/>
    <mergeCell ref="B20:E20"/>
    <mergeCell ref="B36:E36"/>
    <mergeCell ref="B32:E32"/>
    <mergeCell ref="B26:E26"/>
    <mergeCell ref="B4:E4"/>
    <mergeCell ref="A25:E25"/>
    <mergeCell ref="B16:E16"/>
    <mergeCell ref="B7:E7"/>
    <mergeCell ref="A18:E18"/>
    <mergeCell ref="B22:E22"/>
    <mergeCell ref="A3:E3"/>
    <mergeCell ref="B27:E27"/>
    <mergeCell ref="A2:E2"/>
    <mergeCell ref="B12:E12"/>
    <mergeCell ref="B21:E21"/>
    <mergeCell ref="B14:E14"/>
    <mergeCell ref="B23:E23"/>
    <mergeCell ref="A35:E35"/>
    <mergeCell ref="B8:E8"/>
    <mergeCell ref="B13:E13"/>
    <mergeCell ref="B38:E38"/>
    <mergeCell ref="B29:E29"/>
    <mergeCell ref="B19:E19"/>
    <mergeCell ref="B37:E37"/>
    <mergeCell ref="B28:E28"/>
  </mergeCells>
  <dataValidations count="2">
    <dataValidation sqref="B7" showDropDown="0" showInputMessage="0" showErrorMessage="0" allowBlank="1" type="list">
      <formula1>"Draft,Final,Requires remediation,Re-assessment required"</formula1>
    </dataValidation>
    <dataValidation sqref="B32" showDropDown="0" showInputMessage="0" showErrorMessage="0" allowBlank="1" type="list">
      <formula1>"Approved,Approved with Conditions,Rejected,Deferred"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ISMS Core Contributors</dc:creator>
  <dc:title xmlns:dc="http://purl.org/dc/elements/1.1/">ISMS-IMP-A.5.32-33.S1 — IP Rights Inventory</dc:title>
  <dc:description xmlns:dc="http://purl.org/dc/elements/1.1/">ISMS Implementation Workbook — ISMS-IMP-A.5.32-33.S1</dc:description>
  <dc:subject xmlns:dc="http://purl.org/dc/elements/1.1/">ISO/IEC 27001:2022 — Control A.5.32: Intellectual Property Rights</dc:subject>
  <dcterms:created xmlns:dcterms="http://purl.org/dc/terms/" xmlns:xsi="http://www.w3.org/2001/XMLSchema-instance" xsi:type="dcterms:W3CDTF">2026-03-01T11:12:10Z</dcterms:created>
  <dcterms:modified xmlns:dcterms="http://purl.org/dc/terms/" xmlns:xsi="http://www.w3.org/2001/XMLSchema-instance" xsi:type="dcterms:W3CDTF">2026-03-01T11:12:10Z</dcterms:modified>
</cp:coreProperties>
</file>