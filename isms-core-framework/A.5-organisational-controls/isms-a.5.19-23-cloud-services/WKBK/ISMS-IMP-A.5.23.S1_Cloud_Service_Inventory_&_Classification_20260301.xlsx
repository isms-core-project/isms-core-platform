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SaaS Services" sheetId="2" state="visible" r:id="rId2"/>
    <sheet xmlns:r="http://schemas.openxmlformats.org/officeDocument/2006/relationships" name="3. IaaS PaaS Services" sheetId="3" state="visible" r:id="rId3"/>
    <sheet xmlns:r="http://schemas.openxmlformats.org/officeDocument/2006/relationships" name="4. Cloud Security Services" sheetId="4" state="visible" r:id="rId4"/>
    <sheet xmlns:r="http://schemas.openxmlformats.org/officeDocument/2006/relationships" name="5. Cloud Storage Services" sheetId="5" state="visible" r:id="rId5"/>
    <sheet xmlns:r="http://schemas.openxmlformats.org/officeDocument/2006/relationships" name="6. Data Classification" sheetId="6" state="visible" r:id="rId6"/>
    <sheet xmlns:r="http://schemas.openxmlformats.org/officeDocument/2006/relationships" name="7. Service Criticality"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b val="1"/>
      <sz val="11"/>
    </font>
    <font>
      <i val="1"/>
      <color rgb="00666666"/>
    </font>
    <font>
      <name val="Calibri"/>
      <b val="1"/>
      <color rgb="00FFFFFF"/>
      <sz val="11"/>
    </font>
    <font>
      <name val="Calibri"/>
      <b val="1"/>
      <color rgb="00FFFFFF"/>
      <sz val="12"/>
    </font>
    <font>
      <i val="1"/>
      <sz val="10"/>
    </font>
    <font>
      <i val="1"/>
    </font>
    <font>
      <name val="Calibri"/>
      <i val="1"/>
      <color rgb="00666666"/>
    </font>
    <font>
      <name val="Calibri"/>
      <i val="1"/>
      <color rgb="00003366"/>
      <sz val="10"/>
    </font>
    <font>
      <b val="1"/>
      <color rgb="00FFFFFF"/>
      <sz val="11"/>
    </font>
    <font>
      <name val="Calibri"/>
      <b val="1"/>
      <color rgb="00000000"/>
      <sz val="1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0" applyAlignment="1" pivotButton="0" quotePrefix="0" xfId="0">
      <alignment horizontal="left" vertical="center" wrapText="1"/>
    </xf>
    <xf numFmtId="0" fontId="6" fillId="0" borderId="0" pivotButton="0" quotePrefix="0" xfId="0"/>
    <xf numFmtId="0" fontId="0" fillId="10" borderId="1" pivotButton="0" quotePrefix="0" xfId="0"/>
    <xf numFmtId="0" fontId="4" fillId="11" borderId="1" applyAlignment="1" pivotButton="0" quotePrefix="0" xfId="0">
      <alignment horizontal="center" vertical="center" wrapText="1"/>
    </xf>
    <xf numFmtId="0" fontId="7" fillId="9" borderId="1" pivotButton="0" quotePrefix="0" xfId="0"/>
    <xf numFmtId="0" fontId="0" fillId="9" borderId="1" pivotButton="0" quotePrefix="0" xfId="0"/>
    <xf numFmtId="0" fontId="8" fillId="8" borderId="1" applyAlignment="1" pivotButton="0" quotePrefix="0" xfId="0">
      <alignment horizontal="center" vertical="center" wrapText="1"/>
    </xf>
    <xf numFmtId="0" fontId="1" fillId="8" borderId="0" applyAlignment="1" pivotButton="0" quotePrefix="0" xfId="0">
      <alignment horizontal="center" vertical="center" wrapText="1"/>
    </xf>
    <xf numFmtId="0" fontId="5" fillId="9" borderId="0" applyAlignment="1" pivotButton="0" quotePrefix="0" xfId="0">
      <alignment horizontal="center" vertical="center" wrapText="1"/>
    </xf>
    <xf numFmtId="0" fontId="9" fillId="12" borderId="0" applyAlignment="1" pivotButton="0" quotePrefix="0" xfId="0">
      <alignment horizontal="center" vertical="center"/>
    </xf>
    <xf numFmtId="0" fontId="0" fillId="0" borderId="0" applyAlignment="1" pivotButton="0" quotePrefix="0" xfId="0">
      <alignment horizontal="left" vertical="center" wrapText="1"/>
    </xf>
    <xf numFmtId="0" fontId="9" fillId="13" borderId="0" applyAlignment="1" pivotButton="0" quotePrefix="0" xfId="0">
      <alignment horizontal="center" vertical="center"/>
    </xf>
    <xf numFmtId="0" fontId="10" fillId="0" borderId="0" applyAlignment="1" pivotButton="0" quotePrefix="0" xfId="0">
      <alignment horizontal="left" wrapText="1"/>
    </xf>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13" fillId="0" borderId="0" applyAlignment="1" pivotButton="0" quotePrefix="0" xfId="0">
      <alignment horizontal="left" vertical="center"/>
    </xf>
    <xf numFmtId="0" fontId="14" fillId="8" borderId="0" pivotButton="0" quotePrefix="0" xfId="0"/>
    <xf numFmtId="0" fontId="15" fillId="11" borderId="1" applyAlignment="1" pivotButton="0" quotePrefix="0" xfId="0">
      <alignment horizontal="center" vertical="center" wrapText="1"/>
    </xf>
    <xf numFmtId="0" fontId="16" fillId="0" borderId="0" pivotButton="0" quotePrefix="0" xfId="0"/>
    <xf numFmtId="0" fontId="13" fillId="0" borderId="1" applyAlignment="1" pivotButton="0" quotePrefix="0" xfId="0">
      <alignment horizontal="center" vertical="center"/>
    </xf>
    <xf numFmtId="0" fontId="8" fillId="12" borderId="1" pivotButton="0" quotePrefix="0" xfId="0"/>
    <xf numFmtId="164" fontId="0" fillId="0" borderId="1" pivotButton="0" quotePrefix="0" xfId="0"/>
    <xf numFmtId="0" fontId="8" fillId="8" borderId="1" pivotButton="0" quotePrefix="0" xfId="0"/>
  </cellXfs>
  <cellStyles count="1">
    <cellStyle name="Normal" xfId="0" builtinId="0" hidden="0"/>
  </cellStyles>
  <dxfs count="3">
    <dxf>
      <fill>
        <patternFill patternType="solid">
          <fgColor rgb="00FFC000"/>
          <bgColor rgb="00FFC000"/>
        </patternFill>
      </fill>
    </dxf>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ISMS-IMP-A.5.23.S1  -  Cloud Service Inventory &amp; Classification
ISO/IEC 27001:2022 - Control A.5.19-23: Information Security for Use of Cloud Services</t>
        </is>
      </c>
    </row>
    <row r="3">
      <c r="A3" s="2" t="inlineStr">
        <is>
          <t>Document Information</t>
        </is>
      </c>
    </row>
    <row r="4">
      <c r="A4" s="3" t="inlineStr">
        <is>
          <t>Document ID</t>
        </is>
      </c>
      <c r="B4" t="inlineStr">
        <is>
          <t>ISMS-IMP-A.5.23.S1</t>
        </is>
      </c>
    </row>
    <row r="5">
      <c r="A5" s="3" t="inlineStr">
        <is>
          <t>Workbook Title</t>
        </is>
      </c>
      <c r="B5" t="inlineStr">
        <is>
          <t>Cloud Service Inventory &amp; Classification</t>
        </is>
      </c>
    </row>
    <row r="6">
      <c r="A6" s="3" t="inlineStr">
        <is>
          <t>Control Reference</t>
        </is>
      </c>
      <c r="B6" t="inlineStr">
        <is>
          <t>ISO/IEC 27001:2022 - Control A.5.19-23: Information Security for Use of Cloud Services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sheet for all cloud services in your inventory.</t>
        </is>
      </c>
    </row>
    <row r="14">
      <c r="A14" t="inlineStr">
        <is>
          <t>2. Use dropdown menus for standardised entries.</t>
        </is>
      </c>
    </row>
    <row r="15">
      <c r="A15" t="inlineStr">
        <is>
          <t>3. Fill in yellow-highlighted cells with your service-specific information.</t>
        </is>
      </c>
    </row>
    <row r="16">
      <c r="A16" t="inlineStr">
        <is>
          <t>4. Complete regulatory columns (Y-AG) for DORA/NIS2/AI Act/CLOUD Act as applicable.</t>
        </is>
      </c>
    </row>
    <row r="17">
      <c r="A17" t="inlineStr">
        <is>
          <t>5. Provide evidence location for each inventory entry.</t>
        </is>
      </c>
    </row>
    <row r="18">
      <c r="A18" t="inlineStr">
        <is>
          <t>6. Classify each service by deployment model, data sensitivity, and business criticality.</t>
        </is>
      </c>
    </row>
    <row r="19">
      <c r="A19" t="inlineStr">
        <is>
          <t>7. Update the inventory when cloud services are added, changed, or decommissioned.</t>
        </is>
      </c>
    </row>
    <row r="20">
      <c r="A20" t="inlineStr">
        <is>
          <t>8. Summary Dashboard auto-calculates compliance statistics.</t>
        </is>
      </c>
    </row>
    <row r="21">
      <c r="A21" t="inlineStr">
        <is>
          <t>9. Maintain the Evidence Register with all supporting documentation.</t>
        </is>
      </c>
    </row>
    <row r="22">
      <c r="A22" t="inlineStr">
        <is>
          <t>10. Obtain final approval and sign-off from Cloud Security Owner and CISO.</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row r="31">
      <c r="A31" s="2" t="inlineStr">
        <is>
          <t>Regulatory Compliance</t>
        </is>
      </c>
    </row>
    <row r="32">
      <c r="A32" t="inlineStr">
        <is>
          <t>This workbook includes regulatory compliance tracking for:</t>
        </is>
      </c>
    </row>
    <row r="33">
      <c r="A33" t="inlineStr">
        <is>
          <t>• DORA (Digital Operational Resilience Act) — EU financial entity requirements</t>
        </is>
      </c>
    </row>
    <row r="34">
      <c r="A34" t="inlineStr">
        <is>
          <t>• NIS2 (Network and Information Security Directive 2) — Essential/important entities</t>
        </is>
      </c>
    </row>
    <row r="35">
      <c r="A35" t="inlineStr">
        <is>
          <t>• EU AI Act — AI system classification and provider evaluation</t>
        </is>
      </c>
    </row>
    <row r="36">
      <c r="A36" t="inlineStr">
        <is>
          <t>• US CLOUD Act — Jurisdictional risk for US-headquartered providers</t>
        </is>
      </c>
    </row>
    <row r="37">
      <c r="A37" t="inlineStr"/>
    </row>
    <row r="38">
      <c r="A38" t="inlineStr">
        <is>
          <t>Regulatory columns (Y–AG) are included in each assessment sheet.</t>
        </is>
      </c>
    </row>
    <row r="39">
      <c r="A39" t="inlineStr">
        <is>
          <t>Complete only the regulatory sections applicable to your organisation.</t>
        </is>
      </c>
    </row>
    <row r="41">
      <c r="A41" s="2" t="inlineStr">
        <is>
          <t>Acceptable Evidence (examples)</t>
        </is>
      </c>
    </row>
    <row r="42">
      <c r="A42" t="inlineStr">
        <is>
          <t>✓ Cloud service contracts and terms of service</t>
        </is>
      </c>
    </row>
    <row r="43">
      <c r="A43" t="inlineStr">
        <is>
          <t>✓ Data Processing Agreement (DPA) / Addendum</t>
        </is>
      </c>
    </row>
    <row r="44">
      <c r="A44" t="inlineStr">
        <is>
          <t>✓ Service Level Agreement (SLA)</t>
        </is>
      </c>
    </row>
    <row r="45">
      <c r="A45" t="inlineStr">
        <is>
          <t>✓ ISO 27001 / ISO 27017 / ISO 27018 certificate (current)</t>
        </is>
      </c>
    </row>
    <row r="46">
      <c r="A46" t="inlineStr">
        <is>
          <t>✓ SOC 2 Type II report (within last 12 months)</t>
        </is>
      </c>
    </row>
    <row r="47">
      <c r="A47" t="inlineStr">
        <is>
          <t>✓ CSA STAR registration or certification</t>
        </is>
      </c>
    </row>
    <row r="48">
      <c r="A48" t="inlineStr">
        <is>
          <t>✓ GDPR/nFADP compliance attestation</t>
        </is>
      </c>
    </row>
    <row r="49">
      <c r="A49" t="inlineStr">
        <is>
          <t>✓ Data residency and sovereignty documentation</t>
        </is>
      </c>
    </row>
    <row r="50">
      <c r="A50" t="inlineStr">
        <is>
          <t>✓ Cloud service architecture diagrams</t>
        </is>
      </c>
    </row>
    <row r="51">
      <c r="A51" t="inlineStr">
        <is>
          <t>✓ Business impact assessment for each cloud service</t>
        </is>
      </c>
    </row>
    <row r="52">
      <c r="A52" t="inlineStr">
        <is>
          <t>✓ Risk assessment documentation</t>
        </is>
      </c>
    </row>
    <row r="53">
      <c r="A53" t="inlineStr">
        <is>
          <t>✓ Shared responsibility model documentation</t>
        </is>
      </c>
    </row>
    <row r="54">
      <c r="A54" t="inlineStr">
        <is>
          <t>✓ Exit strategy and data portability plan</t>
        </is>
      </c>
    </row>
    <row r="55">
      <c r="A55" t="inlineStr">
        <is>
          <t>✓ Encryption and key management documentation</t>
        </is>
      </c>
    </row>
    <row r="56">
      <c r="A56" t="inlineStr">
        <is>
          <t>✓ Jurisdictional risk assessment (for US-nexus providers)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83"/>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35" customHeight="1">
      <c r="A1" s="11" t="inlineStr">
        <is>
          <t>SAAS SERVICES INVENTORY
All SaaS applications must be documented with data classification (Policy S5 Section 2.1)</t>
        </is>
      </c>
    </row>
    <row r="2">
      <c r="A2" s="12" t="inlineStr">
        <is>
          <t>SaaS Services | Inventory and regulatory assessment of all Software-as-a-Service applications (DORA / NIS2 / AI Act / CLOUD Act)</t>
        </is>
      </c>
    </row>
    <row r="3">
      <c r="A3" s="13" t="inlineStr">
        <is>
          <t>Does your organisation use SaaS applications?</t>
        </is>
      </c>
    </row>
    <row r="4">
      <c r="A4" t="inlineStr">
        <is>
          <t>Response:</t>
        </is>
      </c>
      <c r="B4" s="14" t="n"/>
    </row>
    <row r="6">
      <c r="A6" s="15" t="inlineStr">
        <is>
          <t>Cloud Service Name</t>
        </is>
      </c>
      <c r="B6" s="15" t="inlineStr">
        <is>
          <t>Service Type</t>
        </is>
      </c>
      <c r="C6" s="15" t="inlineStr">
        <is>
          <t>Vendor Name</t>
        </is>
      </c>
      <c r="D6" s="15" t="inlineStr">
        <is>
          <t>Service Criticality</t>
        </is>
      </c>
      <c r="E6" s="15" t="inlineStr">
        <is>
          <t>Data Classification</t>
        </is>
      </c>
      <c r="F6" s="15" t="inlineStr">
        <is>
          <t>Data Residency</t>
        </is>
      </c>
      <c r="G6" s="15" t="inlineStr">
        <is>
          <t>Contract Status</t>
        </is>
      </c>
      <c r="H6" s="15" t="inlineStr">
        <is>
          <t>Status</t>
        </is>
      </c>
      <c r="I6" s="15" t="inlineStr">
        <is>
          <t>Evidence Location</t>
        </is>
      </c>
      <c r="J6" s="15" t="inlineStr">
        <is>
          <t>Gap Description</t>
        </is>
      </c>
      <c r="K6" s="15" t="inlineStr">
        <is>
          <t>Remediation Needed</t>
        </is>
      </c>
      <c r="L6" s="15" t="inlineStr">
        <is>
          <t>Exception ID</t>
        </is>
      </c>
      <c r="M6" s="15" t="inlineStr">
        <is>
          <t>Risk ID</t>
        </is>
      </c>
      <c r="N6" s="15" t="inlineStr">
        <is>
          <t>Compensating Controls</t>
        </is>
      </c>
      <c r="O6" s="15" t="inlineStr">
        <is>
          <t>Service Owner</t>
        </is>
      </c>
      <c r="P6" s="15" t="inlineStr">
        <is>
          <t>Target Remediation Date</t>
        </is>
      </c>
      <c r="Q6" s="15" t="inlineStr">
        <is>
          <t>Budget Impact</t>
        </is>
      </c>
      <c r="R6" s="15" t="inlineStr">
        <is>
          <t>Monthly Cost CHF</t>
        </is>
      </c>
      <c r="S6" s="15" t="inlineStr">
        <is>
          <t>Annual Contract Value</t>
        </is>
      </c>
      <c r="T6" s="15" t="inlineStr">
        <is>
          <t>Licensed Users</t>
        </is>
      </c>
      <c r="U6" s="15" t="inlineStr">
        <is>
          <t>Integration Count</t>
        </is>
      </c>
      <c r="V6" s="15" t="inlineStr">
        <is>
          <t>Backup Available</t>
        </is>
      </c>
      <c r="W6" s="15" t="inlineStr">
        <is>
          <t>Exit Feasibility</t>
        </is>
      </c>
      <c r="X6" s="15" t="inlineStr">
        <is>
          <t>Last Review Date</t>
        </is>
      </c>
      <c r="Y6" s="15" t="inlineStr">
        <is>
          <t>Provider HQ Jurisdiction</t>
        </is>
      </c>
      <c r="Z6" s="15" t="inlineStr">
        <is>
          <t>CLOUD Act Exposure</t>
        </is>
      </c>
      <c r="AA6" s="15" t="inlineStr">
        <is>
          <t>Data Processing Locations</t>
        </is>
      </c>
      <c r="AB6" s="15" t="inlineStr">
        <is>
          <t>EU Data Boundary</t>
        </is>
      </c>
      <c r="AC6" s="15" t="inlineStr">
        <is>
          <t>DORA In Scope</t>
        </is>
      </c>
      <c r="AD6" s="15" t="inlineStr">
        <is>
          <t>NIS2 In Scope</t>
        </is>
      </c>
      <c r="AE6" s="15" t="inlineStr">
        <is>
          <t>AI Classification</t>
        </is>
      </c>
      <c r="AF6" s="15" t="inlineStr">
        <is>
          <t>Concentration Risk</t>
        </is>
      </c>
      <c r="AG6" s="15" t="inlineStr">
        <is>
          <t>Alternatives Identified</t>
        </is>
      </c>
    </row>
    <row r="8">
      <c r="A8" s="16" t="inlineStr">
        <is>
          <t>Example: Microsoft 365</t>
        </is>
      </c>
      <c r="B8" s="17" t="inlineStr">
        <is>
          <t>SaaS</t>
        </is>
      </c>
      <c r="C8" s="17" t="inlineStr">
        <is>
          <t>Microsoft</t>
        </is>
      </c>
      <c r="D8" s="17" t="inlineStr">
        <is>
          <t>Critical</t>
        </is>
      </c>
      <c r="E8" s="17" t="n"/>
      <c r="F8" s="17" t="n"/>
      <c r="G8" s="17" t="n"/>
      <c r="H8" s="17" t="inlineStr">
        <is>
          <t>✅ Compliant</t>
        </is>
      </c>
      <c r="I8" s="17" t="n"/>
      <c r="J8" s="17" t="n"/>
      <c r="K8" s="17" t="n"/>
      <c r="L8" s="17" t="n"/>
      <c r="M8" s="17" t="n"/>
      <c r="N8" s="17" t="n"/>
      <c r="O8" s="17" t="n"/>
      <c r="P8" s="17" t="n"/>
      <c r="Q8" s="17" t="n"/>
      <c r="R8" s="17" t="n"/>
      <c r="S8" s="17" t="n"/>
      <c r="T8" s="17" t="n"/>
      <c r="U8" s="17" t="n"/>
      <c r="V8" s="17" t="n"/>
      <c r="W8" s="17" t="n"/>
      <c r="X8" s="17" t="n"/>
      <c r="Y8" s="17" t="inlineStr">
        <is>
          <t>United States</t>
        </is>
      </c>
      <c r="Z8" s="17" t="inlineStr">
        <is>
          <t>Mitigated (EU Data Boundary)</t>
        </is>
      </c>
      <c r="AA8" s="17" t="n"/>
      <c r="AB8" s="17" t="n"/>
      <c r="AC8" s="17" t="inlineStr">
        <is>
          <t>Yes</t>
        </is>
      </c>
      <c r="AD8" s="17" t="inlineStr">
        <is>
          <t>Yes</t>
        </is>
      </c>
      <c r="AE8" s="17" t="n"/>
      <c r="AF8" s="17" t="inlineStr">
        <is>
          <t>High (Few alternatives)</t>
        </is>
      </c>
      <c r="AG8" s="17"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61">
      <c r="A61" s="18"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14" t="n"/>
      <c r="D64" t="inlineStr">
        <is>
          <t>CMDB export</t>
        </is>
      </c>
    </row>
    <row r="65">
      <c r="A65" t="inlineStr">
        <is>
          <t>☐</t>
        </is>
      </c>
      <c r="B65" t="inlineStr">
        <is>
          <t>Data classification assigned</t>
        </is>
      </c>
      <c r="C65" s="14" t="n"/>
      <c r="D65" t="inlineStr">
        <is>
          <t>Data classification matrix</t>
        </is>
      </c>
    </row>
    <row r="66">
      <c r="A66" t="inlineStr">
        <is>
          <t>☐</t>
        </is>
      </c>
      <c r="B66" t="inlineStr">
        <is>
          <t>Service criticality assessed (BIA)</t>
        </is>
      </c>
      <c r="C66" s="14" t="n"/>
      <c r="D66" t="inlineStr">
        <is>
          <t>Business impact analysis</t>
        </is>
      </c>
    </row>
    <row r="67">
      <c r="A67" t="inlineStr">
        <is>
          <t>☐</t>
        </is>
      </c>
      <c r="B67" t="inlineStr">
        <is>
          <t>Service owner identified</t>
        </is>
      </c>
      <c r="C67" s="14" t="n"/>
      <c r="D67" t="inlineStr">
        <is>
          <t>RACI matrix</t>
        </is>
      </c>
    </row>
    <row r="68">
      <c r="A68" t="inlineStr">
        <is>
          <t>☐</t>
        </is>
      </c>
      <c r="B68" t="inlineStr">
        <is>
          <t>Contract status tracked</t>
        </is>
      </c>
      <c r="C68" s="14" t="n"/>
      <c r="D68" t="inlineStr">
        <is>
          <t>Contract management system</t>
        </is>
      </c>
    </row>
    <row r="69">
      <c r="A69" t="inlineStr">
        <is>
          <t>☐</t>
        </is>
      </c>
      <c r="B69" t="inlineStr">
        <is>
          <t>Monthly costs documented</t>
        </is>
      </c>
      <c r="C69" s="14" t="n"/>
      <c r="D69" t="inlineStr">
        <is>
          <t>Finance system</t>
        </is>
      </c>
    </row>
    <row r="70">
      <c r="A70" t="inlineStr">
        <is>
          <t>☐</t>
        </is>
      </c>
      <c r="B70" t="inlineStr">
        <is>
          <t>User license count verified</t>
        </is>
      </c>
      <c r="C70" s="14" t="n"/>
      <c r="D70" t="inlineStr">
        <is>
          <t>License report</t>
        </is>
      </c>
    </row>
    <row r="71">
      <c r="A71" t="inlineStr">
        <is>
          <t>☐</t>
        </is>
      </c>
      <c r="B71" t="inlineStr">
        <is>
          <t>Integration dependencies mapped</t>
        </is>
      </c>
      <c r="C71" s="14" t="n"/>
      <c r="D71" t="inlineStr">
        <is>
          <t>Architecture diagram</t>
        </is>
      </c>
    </row>
    <row r="72">
      <c r="A72" t="inlineStr">
        <is>
          <t>☐</t>
        </is>
      </c>
      <c r="B72" t="inlineStr">
        <is>
          <t>Backup strategy defined</t>
        </is>
      </c>
      <c r="C72" s="14" t="n"/>
      <c r="D72" t="inlineStr">
        <is>
          <t>BC/DR plan</t>
        </is>
      </c>
    </row>
    <row r="73">
      <c r="A73" t="inlineStr">
        <is>
          <t>☐</t>
        </is>
      </c>
      <c r="B73" t="inlineStr">
        <is>
          <t>Exit feasibility evaluated</t>
        </is>
      </c>
      <c r="C73" s="14" t="n"/>
      <c r="D73" t="inlineStr">
        <is>
          <t>Exit strategy document</t>
        </is>
      </c>
    </row>
    <row r="74">
      <c r="A74" t="inlineStr">
        <is>
          <t>☐</t>
        </is>
      </c>
      <c r="B74" t="inlineStr">
        <is>
          <t>Data residency verified</t>
        </is>
      </c>
      <c r="C74" s="14" t="n"/>
      <c r="D74" t="inlineStr">
        <is>
          <t>Vendor DPA</t>
        </is>
      </c>
    </row>
    <row r="75">
      <c r="A75" t="inlineStr">
        <is>
          <t>☐</t>
        </is>
      </c>
      <c r="B75" t="inlineStr">
        <is>
          <t>Last review date recorded</t>
        </is>
      </c>
      <c r="C75" s="14" t="n"/>
      <c r="D75" t="inlineStr">
        <is>
          <t>Review calendar</t>
        </is>
      </c>
    </row>
    <row r="76">
      <c r="A76" t="inlineStr">
        <is>
          <t>☐</t>
        </is>
      </c>
      <c r="B76" t="inlineStr">
        <is>
          <t>Provider HQ jurisdiction documented</t>
        </is>
      </c>
      <c r="C76" s="14" t="n"/>
      <c r="D76" t="inlineStr">
        <is>
          <t>Vendor documentation</t>
        </is>
      </c>
    </row>
    <row r="77">
      <c r="A77" t="inlineStr">
        <is>
          <t>☐</t>
        </is>
      </c>
      <c r="B77" t="inlineStr">
        <is>
          <t>CLOUD Act exposure assessed</t>
        </is>
      </c>
      <c r="C77" s="14" t="n"/>
      <c r="D77" t="inlineStr">
        <is>
          <t>Risk assessment</t>
        </is>
      </c>
    </row>
    <row r="78">
      <c r="A78" t="inlineStr">
        <is>
          <t>☐</t>
        </is>
      </c>
      <c r="B78" t="inlineStr">
        <is>
          <t>Data processing locations verified</t>
        </is>
      </c>
      <c r="C78" s="14" t="n"/>
      <c r="D78" t="inlineStr">
        <is>
          <t>DPA, vendor statement</t>
        </is>
      </c>
    </row>
    <row r="79">
      <c r="A79" t="inlineStr">
        <is>
          <t>☐</t>
        </is>
      </c>
      <c r="B79" t="inlineStr">
        <is>
          <t>DORA applicability determined</t>
        </is>
      </c>
      <c r="C79" s="14" t="n"/>
      <c r="D79" t="inlineStr">
        <is>
          <t>Regulatory review</t>
        </is>
      </c>
    </row>
    <row r="80">
      <c r="A80" t="inlineStr">
        <is>
          <t>☐</t>
        </is>
      </c>
      <c r="B80" t="inlineStr">
        <is>
          <t>NIS2 applicability determined</t>
        </is>
      </c>
      <c r="C80" s="14" t="n"/>
      <c r="D80" t="inlineStr">
        <is>
          <t>Regulatory review</t>
        </is>
      </c>
    </row>
    <row r="81">
      <c r="A81" t="inlineStr">
        <is>
          <t>☐</t>
        </is>
      </c>
      <c r="B81" t="inlineStr">
        <is>
          <t>AI system classification assessed</t>
        </is>
      </c>
      <c r="C81" s="14" t="n"/>
      <c r="D81" t="inlineStr">
        <is>
          <t>AI inventory</t>
        </is>
      </c>
    </row>
    <row r="82">
      <c r="A82" t="inlineStr">
        <is>
          <t>☐</t>
        </is>
      </c>
      <c r="B82" t="inlineStr">
        <is>
          <t>Concentration risk evaluated</t>
        </is>
      </c>
      <c r="C82" s="14" t="n"/>
      <c r="D82" t="inlineStr">
        <is>
          <t>Risk assessment</t>
        </is>
      </c>
    </row>
    <row r="83">
      <c r="A83" t="inlineStr">
        <is>
          <t>☐</t>
        </is>
      </c>
      <c r="B83" t="inlineStr">
        <is>
          <t>Alternative providers identified</t>
        </is>
      </c>
      <c r="C83" s="1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83"/>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35" customHeight="1">
      <c r="A1" s="11" t="inlineStr">
        <is>
          <t>IAAS/PAAS SERVICES INVENTORY
All infrastructure services must maintain security baselines (Policy S5 Section 2.2)</t>
        </is>
      </c>
    </row>
    <row r="2">
      <c r="A2" s="12" t="inlineStr">
        <is>
          <t>IaaS/PaaS Services | Inventory and regulatory assessment of infrastructure and platform cloud services</t>
        </is>
      </c>
    </row>
    <row r="3">
      <c r="A3" s="13" t="inlineStr">
        <is>
          <t>Does your organisation use IaaS or PaaS services?</t>
        </is>
      </c>
    </row>
    <row r="4">
      <c r="A4" t="inlineStr">
        <is>
          <t>Response:</t>
        </is>
      </c>
      <c r="B4" s="14" t="n"/>
    </row>
    <row r="6">
      <c r="A6" s="15" t="inlineStr">
        <is>
          <t>Cloud Service Name</t>
        </is>
      </c>
      <c r="B6" s="15" t="inlineStr">
        <is>
          <t>Service Type</t>
        </is>
      </c>
      <c r="C6" s="15" t="inlineStr">
        <is>
          <t>Vendor Name</t>
        </is>
      </c>
      <c r="D6" s="15" t="inlineStr">
        <is>
          <t>Service Criticality</t>
        </is>
      </c>
      <c r="E6" s="15" t="inlineStr">
        <is>
          <t>Data Classification</t>
        </is>
      </c>
      <c r="F6" s="15" t="inlineStr">
        <is>
          <t>Data Residency</t>
        </is>
      </c>
      <c r="G6" s="15" t="inlineStr">
        <is>
          <t>Contract Status</t>
        </is>
      </c>
      <c r="H6" s="15" t="inlineStr">
        <is>
          <t>Status</t>
        </is>
      </c>
      <c r="I6" s="15" t="inlineStr">
        <is>
          <t>Evidence Location</t>
        </is>
      </c>
      <c r="J6" s="15" t="inlineStr">
        <is>
          <t>Gap Description</t>
        </is>
      </c>
      <c r="K6" s="15" t="inlineStr">
        <is>
          <t>Remediation Needed</t>
        </is>
      </c>
      <c r="L6" s="15" t="inlineStr">
        <is>
          <t>Exception ID</t>
        </is>
      </c>
      <c r="M6" s="15" t="inlineStr">
        <is>
          <t>Risk ID</t>
        </is>
      </c>
      <c r="N6" s="15" t="inlineStr">
        <is>
          <t>Compensating Controls</t>
        </is>
      </c>
      <c r="O6" s="15" t="inlineStr">
        <is>
          <t>Service Owner</t>
        </is>
      </c>
      <c r="P6" s="15" t="inlineStr">
        <is>
          <t>Target Remediation Date</t>
        </is>
      </c>
      <c r="Q6" s="15" t="inlineStr">
        <is>
          <t>Budget Impact</t>
        </is>
      </c>
      <c r="R6" s="15" t="inlineStr">
        <is>
          <t>Monthly Cost CHF</t>
        </is>
      </c>
      <c r="S6" s="15" t="inlineStr">
        <is>
          <t>Annual Contract Value</t>
        </is>
      </c>
      <c r="T6" s="15" t="inlineStr">
        <is>
          <t>Licensed Users</t>
        </is>
      </c>
      <c r="U6" s="15" t="inlineStr">
        <is>
          <t>Integration Count</t>
        </is>
      </c>
      <c r="V6" s="15" t="inlineStr">
        <is>
          <t>Backup Available</t>
        </is>
      </c>
      <c r="W6" s="15" t="inlineStr">
        <is>
          <t>Exit Feasibility</t>
        </is>
      </c>
      <c r="X6" s="15" t="inlineStr">
        <is>
          <t>Last Review Date</t>
        </is>
      </c>
      <c r="Y6" s="15" t="inlineStr">
        <is>
          <t>Provider HQ Jurisdiction</t>
        </is>
      </c>
      <c r="Z6" s="15" t="inlineStr">
        <is>
          <t>CLOUD Act Exposure</t>
        </is>
      </c>
      <c r="AA6" s="15" t="inlineStr">
        <is>
          <t>Data Processing Locations</t>
        </is>
      </c>
      <c r="AB6" s="15" t="inlineStr">
        <is>
          <t>EU Data Boundary</t>
        </is>
      </c>
      <c r="AC6" s="15" t="inlineStr">
        <is>
          <t>DORA In Scope</t>
        </is>
      </c>
      <c r="AD6" s="15" t="inlineStr">
        <is>
          <t>NIS2 In Scope</t>
        </is>
      </c>
      <c r="AE6" s="15" t="inlineStr">
        <is>
          <t>AI Classification</t>
        </is>
      </c>
      <c r="AF6" s="15" t="inlineStr">
        <is>
          <t>Concentration Risk</t>
        </is>
      </c>
      <c r="AG6" s="15" t="inlineStr">
        <is>
          <t>Alternatives Identified</t>
        </is>
      </c>
    </row>
    <row r="8">
      <c r="A8" s="16" t="inlineStr">
        <is>
          <t>Example: Microsoft 365</t>
        </is>
      </c>
      <c r="B8" s="17" t="inlineStr">
        <is>
          <t>SaaS</t>
        </is>
      </c>
      <c r="C8" s="17" t="inlineStr">
        <is>
          <t>Microsoft</t>
        </is>
      </c>
      <c r="D8" s="17" t="inlineStr">
        <is>
          <t>Critical</t>
        </is>
      </c>
      <c r="E8" s="17" t="n"/>
      <c r="F8" s="17" t="n"/>
      <c r="G8" s="17" t="n"/>
      <c r="H8" s="17" t="inlineStr">
        <is>
          <t>✅ Compliant</t>
        </is>
      </c>
      <c r="I8" s="17" t="n"/>
      <c r="J8" s="17" t="n"/>
      <c r="K8" s="17" t="n"/>
      <c r="L8" s="17" t="n"/>
      <c r="M8" s="17" t="n"/>
      <c r="N8" s="17" t="n"/>
      <c r="O8" s="17" t="n"/>
      <c r="P8" s="17" t="n"/>
      <c r="Q8" s="17" t="n"/>
      <c r="R8" s="17" t="n"/>
      <c r="S8" s="17" t="n"/>
      <c r="T8" s="17" t="n"/>
      <c r="U8" s="17" t="n"/>
      <c r="V8" s="17" t="n"/>
      <c r="W8" s="17" t="n"/>
      <c r="X8" s="17" t="n"/>
      <c r="Y8" s="17" t="inlineStr">
        <is>
          <t>United States</t>
        </is>
      </c>
      <c r="Z8" s="17" t="inlineStr">
        <is>
          <t>Mitigated (EU Data Boundary)</t>
        </is>
      </c>
      <c r="AA8" s="17" t="n"/>
      <c r="AB8" s="17" t="n"/>
      <c r="AC8" s="17" t="inlineStr">
        <is>
          <t>Yes</t>
        </is>
      </c>
      <c r="AD8" s="17" t="inlineStr">
        <is>
          <t>Yes</t>
        </is>
      </c>
      <c r="AE8" s="17" t="n"/>
      <c r="AF8" s="17" t="inlineStr">
        <is>
          <t>High (Few alternatives)</t>
        </is>
      </c>
      <c r="AG8" s="17"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61">
      <c r="A61" s="18"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14" t="n"/>
      <c r="D64" t="inlineStr">
        <is>
          <t>CMDB export</t>
        </is>
      </c>
    </row>
    <row r="65">
      <c r="A65" t="inlineStr">
        <is>
          <t>☐</t>
        </is>
      </c>
      <c r="B65" t="inlineStr">
        <is>
          <t>Data classification assigned</t>
        </is>
      </c>
      <c r="C65" s="14" t="n"/>
      <c r="D65" t="inlineStr">
        <is>
          <t>Data classification matrix</t>
        </is>
      </c>
    </row>
    <row r="66">
      <c r="A66" t="inlineStr">
        <is>
          <t>☐</t>
        </is>
      </c>
      <c r="B66" t="inlineStr">
        <is>
          <t>Service criticality assessed (BIA)</t>
        </is>
      </c>
      <c r="C66" s="14" t="n"/>
      <c r="D66" t="inlineStr">
        <is>
          <t>Business impact analysis</t>
        </is>
      </c>
    </row>
    <row r="67">
      <c r="A67" t="inlineStr">
        <is>
          <t>☐</t>
        </is>
      </c>
      <c r="B67" t="inlineStr">
        <is>
          <t>Service owner identified</t>
        </is>
      </c>
      <c r="C67" s="14" t="n"/>
      <c r="D67" t="inlineStr">
        <is>
          <t>RACI matrix</t>
        </is>
      </c>
    </row>
    <row r="68">
      <c r="A68" t="inlineStr">
        <is>
          <t>☐</t>
        </is>
      </c>
      <c r="B68" t="inlineStr">
        <is>
          <t>Contract status tracked</t>
        </is>
      </c>
      <c r="C68" s="14" t="n"/>
      <c r="D68" t="inlineStr">
        <is>
          <t>Contract management system</t>
        </is>
      </c>
    </row>
    <row r="69">
      <c r="A69" t="inlineStr">
        <is>
          <t>☐</t>
        </is>
      </c>
      <c r="B69" t="inlineStr">
        <is>
          <t>Monthly costs documented</t>
        </is>
      </c>
      <c r="C69" s="14" t="n"/>
      <c r="D69" t="inlineStr">
        <is>
          <t>Finance system</t>
        </is>
      </c>
    </row>
    <row r="70">
      <c r="A70" t="inlineStr">
        <is>
          <t>☐</t>
        </is>
      </c>
      <c r="B70" t="inlineStr">
        <is>
          <t>User license count verified</t>
        </is>
      </c>
      <c r="C70" s="14" t="n"/>
      <c r="D70" t="inlineStr">
        <is>
          <t>License report</t>
        </is>
      </c>
    </row>
    <row r="71">
      <c r="A71" t="inlineStr">
        <is>
          <t>☐</t>
        </is>
      </c>
      <c r="B71" t="inlineStr">
        <is>
          <t>Integration dependencies mapped</t>
        </is>
      </c>
      <c r="C71" s="14" t="n"/>
      <c r="D71" t="inlineStr">
        <is>
          <t>Architecture diagram</t>
        </is>
      </c>
    </row>
    <row r="72">
      <c r="A72" t="inlineStr">
        <is>
          <t>☐</t>
        </is>
      </c>
      <c r="B72" t="inlineStr">
        <is>
          <t>Backup strategy defined</t>
        </is>
      </c>
      <c r="C72" s="14" t="n"/>
      <c r="D72" t="inlineStr">
        <is>
          <t>BC/DR plan</t>
        </is>
      </c>
    </row>
    <row r="73">
      <c r="A73" t="inlineStr">
        <is>
          <t>☐</t>
        </is>
      </c>
      <c r="B73" t="inlineStr">
        <is>
          <t>Exit feasibility evaluated</t>
        </is>
      </c>
      <c r="C73" s="14" t="n"/>
      <c r="D73" t="inlineStr">
        <is>
          <t>Exit strategy document</t>
        </is>
      </c>
    </row>
    <row r="74">
      <c r="A74" t="inlineStr">
        <is>
          <t>☐</t>
        </is>
      </c>
      <c r="B74" t="inlineStr">
        <is>
          <t>Data residency verified</t>
        </is>
      </c>
      <c r="C74" s="14" t="n"/>
      <c r="D74" t="inlineStr">
        <is>
          <t>Vendor DPA</t>
        </is>
      </c>
    </row>
    <row r="75">
      <c r="A75" t="inlineStr">
        <is>
          <t>☐</t>
        </is>
      </c>
      <c r="B75" t="inlineStr">
        <is>
          <t>Last review date recorded</t>
        </is>
      </c>
      <c r="C75" s="14" t="n"/>
      <c r="D75" t="inlineStr">
        <is>
          <t>Review calendar</t>
        </is>
      </c>
    </row>
    <row r="76">
      <c r="A76" t="inlineStr">
        <is>
          <t>☐</t>
        </is>
      </c>
      <c r="B76" t="inlineStr">
        <is>
          <t>Provider HQ jurisdiction documented</t>
        </is>
      </c>
      <c r="C76" s="14" t="n"/>
      <c r="D76" t="inlineStr">
        <is>
          <t>Vendor documentation</t>
        </is>
      </c>
    </row>
    <row r="77">
      <c r="A77" t="inlineStr">
        <is>
          <t>☐</t>
        </is>
      </c>
      <c r="B77" t="inlineStr">
        <is>
          <t>CLOUD Act exposure assessed</t>
        </is>
      </c>
      <c r="C77" s="14" t="n"/>
      <c r="D77" t="inlineStr">
        <is>
          <t>Risk assessment</t>
        </is>
      </c>
    </row>
    <row r="78">
      <c r="A78" t="inlineStr">
        <is>
          <t>☐</t>
        </is>
      </c>
      <c r="B78" t="inlineStr">
        <is>
          <t>Data processing locations verified</t>
        </is>
      </c>
      <c r="C78" s="14" t="n"/>
      <c r="D78" t="inlineStr">
        <is>
          <t>DPA, vendor statement</t>
        </is>
      </c>
    </row>
    <row r="79">
      <c r="A79" t="inlineStr">
        <is>
          <t>☐</t>
        </is>
      </c>
      <c r="B79" t="inlineStr">
        <is>
          <t>DORA applicability determined</t>
        </is>
      </c>
      <c r="C79" s="14" t="n"/>
      <c r="D79" t="inlineStr">
        <is>
          <t>Regulatory review</t>
        </is>
      </c>
    </row>
    <row r="80">
      <c r="A80" t="inlineStr">
        <is>
          <t>☐</t>
        </is>
      </c>
      <c r="B80" t="inlineStr">
        <is>
          <t>NIS2 applicability determined</t>
        </is>
      </c>
      <c r="C80" s="14" t="n"/>
      <c r="D80" t="inlineStr">
        <is>
          <t>Regulatory review</t>
        </is>
      </c>
    </row>
    <row r="81">
      <c r="A81" t="inlineStr">
        <is>
          <t>☐</t>
        </is>
      </c>
      <c r="B81" t="inlineStr">
        <is>
          <t>AI system classification assessed</t>
        </is>
      </c>
      <c r="C81" s="14" t="n"/>
      <c r="D81" t="inlineStr">
        <is>
          <t>AI inventory</t>
        </is>
      </c>
    </row>
    <row r="82">
      <c r="A82" t="inlineStr">
        <is>
          <t>☐</t>
        </is>
      </c>
      <c r="B82" t="inlineStr">
        <is>
          <t>Concentration risk evaluated</t>
        </is>
      </c>
      <c r="C82" s="14" t="n"/>
      <c r="D82" t="inlineStr">
        <is>
          <t>Risk assessment</t>
        </is>
      </c>
    </row>
    <row r="83">
      <c r="A83" t="inlineStr">
        <is>
          <t>☐</t>
        </is>
      </c>
      <c r="B83" t="inlineStr">
        <is>
          <t>Alternative providers identified</t>
        </is>
      </c>
      <c r="C83" s="1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7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20" customWidth="1" min="5" max="5"/>
    <col width="20" customWidth="1" min="6" max="6"/>
    <col width="18" customWidth="1" min="7" max="7"/>
    <col width="15" customWidth="1" min="8" max="8"/>
    <col width="12" customWidth="1" min="9" max="9"/>
    <col width="18" customWidth="1" min="10" max="10"/>
    <col width="15" customWidth="1" min="11" max="11"/>
    <col width="18" customWidth="1" min="12" max="12"/>
    <col width="18" customWidth="1" min="13" max="13"/>
    <col width="15" customWidth="1" min="14" max="14"/>
    <col width="15" customWidth="1" min="15" max="15"/>
    <col width="20" customWidth="1" min="16" max="16"/>
    <col width="15" customWidth="1" min="17" max="17"/>
    <col width="20" customWidth="1" min="18" max="18"/>
    <col width="22" customWidth="1" min="19" max="19"/>
    <col width="22" customWidth="1" min="20" max="20"/>
    <col width="16" customWidth="1" min="21" max="21"/>
    <col width="16" customWidth="1" min="22" max="22"/>
    <col width="24" customWidth="1" min="23" max="23"/>
    <col width="16" customWidth="1" min="24" max="24"/>
    <col width="28" customWidth="1" min="25" max="25"/>
    <col width="28" customWidth="1" min="26" max="26"/>
    <col width="28" customWidth="1" min="27" max="27"/>
    <col width="30" customWidth="1" min="28" max="28"/>
    <col width="30" customWidth="1" min="29" max="29"/>
  </cols>
  <sheetData>
    <row r="1" ht="35" customHeight="1">
      <c r="A1" s="19" t="inlineStr">
        <is>
          <t>SHEET 4: EXIT FEASIBILITY &amp; STRATEGY ASSESSMENT</t>
        </is>
      </c>
    </row>
    <row r="2" ht="30" customHeight="1">
      <c r="A2" s="20" t="inlineStr">
        <is>
          <t>POL-S5 Section 8.1.1: Cloud-to-Cloud (90%+), Hybrid (5-10%), On-Premises (&lt;5% only when justified)</t>
        </is>
      </c>
    </row>
    <row r="3">
      <c r="A3" s="15" t="inlineStr">
        <is>
          <t>Service Name</t>
        </is>
      </c>
      <c r="B3" s="15" t="inlineStr">
        <is>
          <t>Provider</t>
        </is>
      </c>
      <c r="C3" s="15" t="inlineStr">
        <is>
          <t>Service Type</t>
        </is>
      </c>
      <c r="D3" s="15" t="inlineStr">
        <is>
          <t>Environment</t>
        </is>
      </c>
      <c r="E3" s="15" t="inlineStr">
        <is>
          <t>Business Owner</t>
        </is>
      </c>
      <c r="F3" s="15" t="inlineStr">
        <is>
          <t>Technical Owner</t>
        </is>
      </c>
      <c r="G3" s="15" t="inlineStr">
        <is>
          <t>Data Classification</t>
        </is>
      </c>
      <c r="H3" s="15" t="inlineStr">
        <is>
          <t>Criticality</t>
        </is>
      </c>
      <c r="I3" s="15" t="inlineStr">
        <is>
          <t>Users</t>
        </is>
      </c>
      <c r="J3" s="15" t="inlineStr">
        <is>
          <t>Cost (Annual CHF)</t>
        </is>
      </c>
      <c r="K3" s="15" t="inlineStr">
        <is>
          <t>Contract End Date</t>
        </is>
      </c>
      <c r="L3" s="15" t="inlineStr">
        <is>
          <t>Primary Region</t>
        </is>
      </c>
      <c r="M3" s="15" t="inlineStr">
        <is>
          <t>Backup Region</t>
        </is>
      </c>
      <c r="N3" s="15" t="inlineStr">
        <is>
          <t>Integration Count</t>
        </is>
      </c>
      <c r="O3" s="15" t="inlineStr">
        <is>
          <t>API Dependency</t>
        </is>
      </c>
      <c r="P3" s="15" t="inlineStr">
        <is>
          <t>Compliance Certs</t>
        </is>
      </c>
      <c r="Q3" s="15" t="inlineStr">
        <is>
          <t>Current Status</t>
        </is>
      </c>
      <c r="R3" s="15" t="inlineStr">
        <is>
          <t>Exit Strategy Type</t>
        </is>
      </c>
      <c r="S3" s="15" t="inlineStr">
        <is>
          <t>Alternative Identified</t>
        </is>
      </c>
      <c r="T3" s="15" t="inlineStr">
        <is>
          <t>Export Format Available</t>
        </is>
      </c>
      <c r="U3" s="15" t="inlineStr">
        <is>
          <t>Export Tested</t>
        </is>
      </c>
      <c r="V3" s="15" t="inlineStr">
        <is>
          <t>Data Volume (GB)</t>
        </is>
      </c>
      <c r="W3" s="15" t="inlineStr">
        <is>
          <t>Migration Complexity</t>
        </is>
      </c>
      <c r="X3" s="15" t="inlineStr">
        <is>
          <t>Lock-In Risk</t>
        </is>
      </c>
      <c r="Y3" s="15" t="inlineStr">
        <is>
          <t>Hybrid: Workload Segmentation</t>
        </is>
      </c>
      <c r="Z3" s="15" t="inlineStr">
        <is>
          <t>Hybrid: Data Sync Latency</t>
        </is>
      </c>
      <c r="AA3" s="15" t="inlineStr">
        <is>
          <t>OnPrem: TCO Analysis Complete</t>
        </is>
      </c>
      <c r="AB3" s="15" t="inlineStr">
        <is>
          <t>OnPrem: Infrastructure Available</t>
        </is>
      </c>
      <c r="AC3" s="15" t="inlineStr">
        <is>
          <t>OnPrem: Staffing Plan Documented</t>
        </is>
      </c>
    </row>
    <row r="4">
      <c r="A4" s="16" t="inlineStr">
        <is>
          <t>Microsoft 365</t>
        </is>
      </c>
      <c r="B4" s="16" t="inlineStr">
        <is>
          <t>Microsoft</t>
        </is>
      </c>
      <c r="C4" s="16" t="inlineStr">
        <is>
          <t>SaaS</t>
        </is>
      </c>
      <c r="D4" s="16" t="inlineStr">
        <is>
          <t>Production</t>
        </is>
      </c>
      <c r="E4" s="16" t="inlineStr">
        <is>
          <t>IT Director</t>
        </is>
      </c>
      <c r="F4" s="16" t="inlineStr">
        <is>
          <t>Cloud Admin</t>
        </is>
      </c>
      <c r="G4" s="16" t="inlineStr">
        <is>
          <t>Confidential</t>
        </is>
      </c>
      <c r="H4" s="16" t="inlineStr">
        <is>
          <t>Critical</t>
        </is>
      </c>
      <c r="I4" s="16" t="inlineStr">
        <is>
          <t>250</t>
        </is>
      </c>
      <c r="J4" s="16" t="inlineStr">
        <is>
          <t>125000</t>
        </is>
      </c>
      <c r="K4" s="16" t="inlineStr">
        <is>
          <t>31.12.2026</t>
        </is>
      </c>
      <c r="L4" s="16" t="inlineStr">
        <is>
          <t>West Europe (Amsterdam)</t>
        </is>
      </c>
      <c r="M4" s="16" t="inlineStr">
        <is>
          <t>North Europe (Dublin)</t>
        </is>
      </c>
      <c r="N4" s="16" t="inlineStr">
        <is>
          <t>15</t>
        </is>
      </c>
      <c r="O4" s="16" t="inlineStr">
        <is>
          <t>Yes</t>
        </is>
      </c>
      <c r="P4" s="16" t="inlineStr">
        <is>
          <t>ISO 27001, SOC 2 Type II</t>
        </is>
      </c>
      <c r="Q4" s="16" t="inlineStr">
        <is>
          <t>✅ Compliant</t>
        </is>
      </c>
      <c r="R4" s="16" t="inlineStr">
        <is>
          <t>Cloud-to-Cloud</t>
        </is>
      </c>
      <c r="S4" s="16" t="inlineStr">
        <is>
          <t>Cloud Provider (GCP)</t>
        </is>
      </c>
      <c r="T4" s="16" t="inlineStr">
        <is>
          <t>Standard (CSV/JSON)</t>
        </is>
      </c>
      <c r="U4" s="16" t="inlineStr">
        <is>
          <t>Yes</t>
        </is>
      </c>
      <c r="V4" s="16" t="inlineStr">
        <is>
          <t>2500</t>
        </is>
      </c>
      <c r="W4" s="16" t="inlineStr">
        <is>
          <t>Cloud-to-Cloud (Medium)</t>
        </is>
      </c>
      <c r="X4" s="16" t="inlineStr">
        <is>
          <t>Medium</t>
        </is>
      </c>
      <c r="Y4" s="16" t="inlineStr">
        <is>
          <t>Not Applicable</t>
        </is>
      </c>
      <c r="Z4" s="16" t="inlineStr">
        <is>
          <t>Not Applicable</t>
        </is>
      </c>
      <c r="AA4" s="16" t="inlineStr">
        <is>
          <t>N/A</t>
        </is>
      </c>
      <c r="AB4" s="16" t="inlineStr">
        <is>
          <t>N/A</t>
        </is>
      </c>
      <c r="AC4" s="16" t="inlineStr">
        <is>
          <t>N/A</t>
        </is>
      </c>
    </row>
    <row r="5">
      <c r="A5" s="14" t="n"/>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row>
    <row r="6">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row>
    <row r="7">
      <c r="A7" s="14" t="n"/>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row>
    <row r="8">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row>
    <row r="57" ht="30" customHeight="1">
      <c r="A57" s="21" t="inlineStr">
        <is>
          <t>EXIT STRATEGY COMPLIANCE CHECKLIST (22 items)</t>
        </is>
      </c>
    </row>
    <row r="106">
      <c r="A106" s="22" t="inlineStr">
        <is>
          <t>1. ✅ Exit strategy documented for Critical/High services</t>
        </is>
      </c>
    </row>
    <row r="107">
      <c r="A107" s="22" t="inlineStr">
        <is>
          <t>2. ✅ Exit triggers defined</t>
        </is>
      </c>
    </row>
    <row r="108">
      <c r="A108" s="22" t="inlineStr">
        <is>
          <t>3. ✅ Alternative providers/solutions identified</t>
        </is>
      </c>
    </row>
    <row r="109">
      <c r="A109" s="22" t="inlineStr">
        <is>
          <t>4. ✅ Alternative provider assessment completed</t>
        </is>
      </c>
    </row>
    <row r="110">
      <c r="A110" s="22" t="inlineStr">
        <is>
          <t>5. ✅ Migration effort estimated</t>
        </is>
      </c>
    </row>
    <row r="111">
      <c r="A111" s="22" t="inlineStr">
        <is>
          <t>6. ✅ Data extraction requirements documented</t>
        </is>
      </c>
    </row>
    <row r="112">
      <c r="A112" s="22" t="inlineStr">
        <is>
          <t>7. ✅ Application dependencies mapped</t>
        </is>
      </c>
    </row>
    <row r="113">
      <c r="A113" s="22" t="inlineStr">
        <is>
          <t>8. ✅ Integration points documented</t>
        </is>
      </c>
    </row>
    <row r="114">
      <c r="A114" s="22" t="inlineStr">
        <is>
          <t>9. ✅ Lock-in risks identified and documented</t>
        </is>
      </c>
    </row>
    <row r="115">
      <c r="A115" s="22" t="inlineStr">
        <is>
          <t>10. ✅ Exit cost estimate completed</t>
        </is>
      </c>
    </row>
    <row r="116">
      <c r="A116" s="22" t="inlineStr">
        <is>
          <t>11. ✅ Exit timeline estimate completed</t>
        </is>
      </c>
    </row>
    <row r="117">
      <c r="A117" s="22" t="inlineStr">
        <is>
          <t>12. ✅ Data export format verified</t>
        </is>
      </c>
    </row>
    <row r="118">
      <c r="A118" s="22" t="inlineStr">
        <is>
          <t>13. ✅ Migration testing requirements defined</t>
        </is>
      </c>
    </row>
    <row r="119">
      <c r="A119" s="22" t="inlineStr">
        <is>
          <t>14. ✅ Exit plan reviewed and approved</t>
        </is>
      </c>
    </row>
    <row r="120">
      <c r="A120" s="22" t="inlineStr">
        <is>
          <t>15. ✅ Exit strategy included in vendor contracts</t>
        </is>
      </c>
    </row>
    <row r="121">
      <c r="A121" s="22" t="inlineStr">
        <is>
          <t>16. ✅ Cloud-to-Cloud alternatives evaluated (min. 2 providers)</t>
        </is>
      </c>
    </row>
    <row r="122">
      <c r="A122" s="22" t="inlineStr">
        <is>
          <t>17. ✅ Hybrid workload segmentation documented (if applicable)</t>
        </is>
      </c>
    </row>
    <row r="123">
      <c r="A123" s="22" t="inlineStr">
        <is>
          <t>18. ✅ On-Premises TCO analysis completed (if applicable)</t>
        </is>
      </c>
    </row>
    <row r="124">
      <c r="A124" s="22" t="inlineStr">
        <is>
          <t>19. ✅ Annual PoC testing completed (DORA Art. 28.6 for Critical)</t>
        </is>
      </c>
    </row>
    <row r="125">
      <c r="A125" s="22" t="inlineStr">
        <is>
          <t>20. ✅ Vendor lock-in risks assessed and mitigation documented</t>
        </is>
      </c>
    </row>
    <row r="126">
      <c r="A126" s="22" t="inlineStr">
        <is>
          <t>21. ✅ Migration cost estimates align with exit strategy type</t>
        </is>
      </c>
    </row>
    <row r="127">
      <c r="A127" s="22" t="inlineStr">
        <is>
          <t>22. ✅ Exit strategy type justified with evidence (esp. On-Premises)</t>
        </is>
      </c>
    </row>
    <row r="135">
      <c r="A135" s="23" t="inlineStr">
        <is>
          <t>EXIT STRATEGY GUIDANCE - POLICY REQUIREMENTS</t>
        </is>
      </c>
    </row>
    <row r="136">
      <c r="A136" s="22" t="inlineStr"/>
    </row>
    <row r="137">
      <c r="A137" s="22" t="inlineStr">
        <is>
          <t>✅ CLOUD-TO-CLOUD (90%+ of services - DEFAULT STRATEGY)</t>
        </is>
      </c>
    </row>
    <row r="138">
      <c r="A138" s="22" t="inlineStr">
        <is>
          <t xml:space="preserve">   • Migrate to alternative cloud provider (AWS, Azure, GCP, OVHcloud, Alibaba, etc.)</t>
        </is>
      </c>
    </row>
    <row r="139">
      <c r="A139" s="22" t="inlineStr">
        <is>
          <t xml:space="preserve">   • Timeline: 3-6 months typical</t>
        </is>
      </c>
    </row>
    <row r="140">
      <c r="A140" s="22" t="inlineStr">
        <is>
          <t xml:space="preserve">   • Cost: CHF 40K-200K one-time</t>
        </is>
      </c>
    </row>
    <row r="141">
      <c r="A141" s="22" t="inlineStr">
        <is>
          <t xml:space="preserve">   • Benefits: Zero CAPEX, maintained elasticity, modern cloud-native capabilities</t>
        </is>
      </c>
    </row>
    <row r="142">
      <c r="A142" s="22" t="inlineStr">
        <is>
          <t xml:space="preserve">   • Required: Min. 2 alternative providers identified, annual PoC testing (DORA Art. 28.6)</t>
        </is>
      </c>
    </row>
    <row r="143">
      <c r="A143" s="22" t="inlineStr"/>
    </row>
    <row r="144">
      <c r="A144" s="22" t="inlineStr">
        <is>
          <t>⚠ HYBRID (5-10% of services - PARTIAL REPATRIATION)</t>
        </is>
      </c>
    </row>
    <row r="145">
      <c r="A145" s="22" t="inlineStr">
        <is>
          <t xml:space="preserve">   • Some workloads in cloud, others on-premises (e.g., app in cloud, DB on-prem)</t>
        </is>
      </c>
    </row>
    <row r="146">
      <c r="A146" s="22" t="inlineStr">
        <is>
          <t xml:space="preserve">   • Timeline: 6-12 months typical</t>
        </is>
      </c>
    </row>
    <row r="147">
      <c r="A147" s="22" t="inlineStr">
        <is>
          <t xml:space="preserve">   • Cost: CHF 335K-1.6M (3-year TCO)</t>
        </is>
      </c>
    </row>
    <row r="148">
      <c r="A148" s="22" t="inlineStr">
        <is>
          <t xml:space="preserve">   • Use cases: Data sovereignty (FADP), cost optimization, latency requirements</t>
        </is>
      </c>
    </row>
    <row r="149">
      <c r="A149" s="22" t="inlineStr">
        <is>
          <t xml:space="preserve">   • Required: Workload segmentation documented, data sync latency assessed, network design</t>
        </is>
      </c>
    </row>
    <row r="150">
      <c r="A150" s="22" t="inlineStr"/>
    </row>
    <row r="151">
      <c r="A151" s="22" t="inlineStr">
        <is>
          <t>⚠⚠ ON-PREMISES (&lt;5% of services - FULL BUILD-BACK)</t>
        </is>
      </c>
    </row>
    <row r="152">
      <c r="A152" s="22" t="inlineStr">
        <is>
          <t xml:space="preserve">   • Complete migration to [Organisation]-owned infrastructure</t>
        </is>
      </c>
    </row>
    <row r="153">
      <c r="A153" s="22" t="inlineStr">
        <is>
          <t xml:space="preserve">   • Timeline: 6-18 months (long!)</t>
        </is>
      </c>
    </row>
    <row r="154">
      <c r="A154" s="22" t="inlineStr">
        <is>
          <t xml:space="preserve">   • Cost: CHF 2.94M-7.04M (5-year TCO)</t>
        </is>
      </c>
    </row>
    <row r="155">
      <c r="A155" s="22" t="inlineStr">
        <is>
          <t xml:space="preserve">   • Justification: Regulatory mandate, cost inversion (&gt;CHF 500K/yr cloud), strategic independence</t>
        </is>
      </c>
    </row>
    <row r="156">
      <c r="A156" s="22" t="inlineStr">
        <is>
          <t xml:space="preserve">   • Required: TCO analysis, infrastructure capacity plan, staffing plan (3-10 FTEs)</t>
        </is>
      </c>
    </row>
    <row r="157">
      <c r="A157" s="22" t="inlineStr">
        <is>
          <t xml:space="preserve">   • WARNING: Economically justified in &lt;5% of cases - validate TCO carefully!</t>
        </is>
      </c>
    </row>
    <row r="158">
      <c r="A158" s="22" t="inlineStr"/>
    </row>
    <row r="159">
      <c r="A159" s="22" t="inlineStr">
        <is>
          <t>⌂ VENDOR LOCK-IN RISK LEVELS:</t>
        </is>
      </c>
    </row>
    <row r="160">
      <c r="A160" s="22" t="inlineStr">
        <is>
          <t xml:space="preserve">   • Low: Standard protocols, open formats, portable architecture</t>
        </is>
      </c>
    </row>
    <row r="161">
      <c r="A161" s="22" t="inlineStr">
        <is>
          <t xml:space="preserve">   • Medium: Some proprietary features, manageable migration effort</t>
        </is>
      </c>
    </row>
    <row r="162">
      <c r="A162" s="22" t="inlineStr">
        <is>
          <t xml:space="preserve">   • High: Deep integration with proprietary services, significant refactoring needed</t>
        </is>
      </c>
    </row>
    <row r="163">
      <c r="A163" s="22" t="inlineStr">
        <is>
          <t xml:space="preserve">   • Critical: Mission-critical dependency on unique capability, no viable alternatives</t>
        </is>
      </c>
    </row>
    <row r="164">
      <c r="A164" s="22" t="inlineStr"/>
    </row>
    <row r="165">
      <c r="A165" s="22" t="inlineStr">
        <is>
          <t>♠ DORA COMPLIANCE (Financial Sector):</t>
        </is>
      </c>
    </row>
    <row r="166">
      <c r="A166" s="22" t="inlineStr">
        <is>
          <t xml:space="preserve">   • Article 28.6: Annual PoC testing of exit strategies for critical ICT providers</t>
        </is>
      </c>
    </row>
    <row r="167">
      <c r="A167" s="22" t="inlineStr">
        <is>
          <t xml:space="preserve">   • Article 28.9: Concentration risk mitigation (reduce dependency on single hyperscaler)</t>
        </is>
      </c>
    </row>
    <row r="168">
      <c r="A168" s="22" t="inlineStr">
        <is>
          <t xml:space="preserve">   • Track PoC testing in ISMS-IMP-A.5.23.S4 (Governance workbook)</t>
        </is>
      </c>
    </row>
    <row r="169">
      <c r="A169" s="22" t="inlineStr"/>
    </row>
    <row r="170">
      <c r="A170" s="22" t="inlineStr">
        <is>
          <t>For detailed cost models and TCO calculations, refer to:</t>
        </is>
      </c>
    </row>
    <row r="171">
      <c r="A171" s="22" t="inlineStr">
        <is>
          <t xml:space="preserve">   • POL-S5 Section 8.1.1.1 (Cloud-to-Cloud)</t>
        </is>
      </c>
    </row>
    <row r="172">
      <c r="A172" s="22" t="inlineStr">
        <is>
          <t xml:space="preserve">   • POL-S5 Section 8.1.1.2 (Hybrid)</t>
        </is>
      </c>
    </row>
    <row r="173">
      <c r="A173" s="22" t="inlineStr">
        <is>
          <t xml:space="preserve">   • POL-S5 Section 8.1.1.3 (On-Premises)</t>
        </is>
      </c>
    </row>
    <row r="174">
      <c r="A174" s="22" t="inlineStr"/>
    </row>
  </sheetData>
  <mergeCells count="4">
    <mergeCell ref="A57:AC57"/>
    <mergeCell ref="A2:AC2"/>
    <mergeCell ref="A135:AC135"/>
    <mergeCell ref="A1:AC1"/>
  </mergeCells>
  <conditionalFormatting sqref="R4:AC54">
    <cfRule type="expression" priority="1" dxfId="0" stopIfTrue="0">
      <formula>$R4="On-Premises"</formula>
    </cfRule>
  </conditionalFormatting>
  <conditionalFormatting sqref="X4:X54">
    <cfRule type="expression" priority="2" dxfId="1" stopIfTrue="0">
      <formula>$X4="Critical"</formula>
    </cfRule>
  </conditionalFormatting>
  <conditionalFormatting sqref="U4:U54">
    <cfRule type="expression" priority="3" dxfId="2" stopIfTrue="0">
      <formula>AND($U4="No", $H4="Critical")</formula>
    </cfRule>
  </conditionalFormatting>
  <dataValidations count="18">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"SaaS,IaaS,PaaS,Security,Storage,Other"</formula1>
    </dataValidation>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"Production,Development,Test,Staging,All"</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"Restricted,Confidential,Internal,Public,Mixed"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"Critical,High,Medium,Low"</formula1>
    </dataValidation>
    <dataValidation sqref="O4 O5 O6 O7 O8 O9 O10 O11 O12 O13 O14 O15 O16 O17 O18 O19 O20 O21 O22 O23 O24 O25 O26 O27 O28 O29 O30 O31 O32 O33 O34 O35 O36 O37 O38 O39 O40 O41 O42 O43 O44 O45 O46 O47 O48 O49 O50 O51 O52 O53 O54" showDropDown="0" showInputMessage="0" showErrorMessage="0" allowBlank="0" type="list">
      <formula1>"Yes,No,Partial"</formula1>
    </dataValidation>
    <dataValidation sqref="Q4 Q5 Q6 Q7 Q8 Q9 Q10 Q11 Q12 Q13 Q14 Q15 Q16 Q17 Q18 Q19 Q20 Q21 Q22 Q23 Q24 Q25 Q26 Q27 Q28 Q29 Q30 Q31 Q32 Q33 Q34 Q35 Q36 Q37 Q38 Q39 Q40 Q41 Q42 Q43 Q44 Q45 Q46 Q47 Q48 Q49 Q50 Q51 Q52 Q53 Q54" showDropDown="0" showInputMessage="0" showErrorMessage="0" allowBlank="0" type="list">
      <formula1>"✅ Compliant,⚠️ Partial,❌Non-Compliant"</formula1>
    </dataValidation>
    <dataValidation sqref="R4 R5 R6 R7 R8 R9 R10 R11 R12 R13 R14 R15 R16 R17 R18 R19 R20 R21 R22 R23 R24 R25 R26 R27 R28 R29 R30 R31 R32 R33 R34 R35 R36 R37 R38 R39 R40 R41 R42 R43 R44 R45 R46 R47 R48 R49 R50 R51 R52 R53 R54" showDropDown="0" showInputMessage="0" showErrorMessage="0" allowBlank="0" errorTitle="Invalid Exit Strategy" error="Select: Cloud-to-Cloud (default), Hybrid, On-Premises, or Not Yet Determined" type="list">
      <formula1>"Cloud-to-Cloud,Hybrid,On-Premises,Not Yet Determined"</formula1>
    </dataValidation>
    <dataValidation sqref="S4 S5 S6 S7 S8 S9 S10 S11 S12 S13 S14 S15 S16 S17 S18 S19 S20 S21 S22 S23 S24 S25 S26 S27 S28 S29 S30 S31 S32 S33 S34 S35 S36 S37 S38 S39 S40 S41 S42 S43 S44 S45 S46 S47 S48 S49 S50 S51 S52 S53 S54" showDropDown="0" showInputMessage="0" showErrorMessage="0" allowBlank="0" type="list">
      <formula1>"Cloud Provider (AWS),Cloud Provider (Azure),Cloud Provider (GCP),Cloud Provider (OVHcloud),Cloud Provider (Alibaba),Cloud Provider (Other),Hybrid (Cloud+OnPrem),On-Prem Only,Multiple Options,Not Yet Assessed"</formula1>
    </dataValidation>
    <dataValidation sqref="T4 T5 T6 T7 T8 T9 T10 T11 T12 T13 T14 T15 T16 T17 T18 T19 T20 T21 T22 T23 T24 T25 T26 T27 T28 T29 T30 T31 T32 T33 T34 T35 T36 T37 T38 T39 T40 T41 T42 T43 T44 T45 T46 T47 T48 T49 T50 T51 T52 T53 T54" showDropDown="0" showInputMessage="0" showErrorMessage="0" allowBlank="0" type="list">
      <formula1>"Standard (CSV/JSON),Proprietary,API Only,None"</formula1>
    </dataValidation>
    <dataValidation sqref="U4 U5 U6 U7 U8 U9 U10 U11 U12 U13 U14 U15 U16 U17 U18 U19 U20 U21 U22 U23 U24 U25 U26 U27 U28 U29 U30 U31 U32 U33 U34 U35 U36 U37 U38 U39 U40 U41 U42 U43 U44 U45 U46 U47 U48 U49 U50 U51 U52 U53 U54" showDropDown="0" showInputMessage="0" showErrorMessage="0" allowBlank="0" type="list">
      <formula1>"Yes,No,Partial"</formula1>
    </dataValidation>
    <dataValidation sqref="V4 V5 V6 V7 V8 V9 V10 V11 V12 V13 V14 V15 V16 V17 V18 V19 V20 V21 V22 V23 V24 V25 V26 V27 V28 V29 V30 V31 V32 V33 V34 V35 V36 V37 V38 V39 V40 V41 V42 V43 V44 V45 V46 V47 V48 V49 V50 V51 V52 V53 V54" showDropDown="0" showInputMessage="0" showErrorMessage="0" allowBlank="1" errorTitle="Invalid Data Volume" error="Enter a positive number (GB)" type="whole" operator="greaterThanOrEqual">
      <formula1>0</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0" type="list">
      <formula1>"Cloud-to-Cloud (Low),Cloud-to-Cloud (Medium),Cloud-to-Cloud (High),Hybrid (Medium),Hybrid (High),On-Prem (High),On-Prem (Very High)"</formula1>
    </dataValidation>
    <dataValidation sqref="X4 X5 X6 X7 X8 X9 X10 X11 X12 X13 X14 X15 X16 X17 X18 X19 X20 X21 X22 X23 X24 X25 X26 X27 X28 X29 X30 X31 X32 X33 X34 X35 X36 X37 X38 X39 X40 X41 X42 X43 X44 X45 X46 X47 X48 X49 X50 X51 X52 X53 X54" showDropDown="0" showInputMessage="0" showErrorMessage="0" allowBlank="0" type="list">
      <formula1>"Low,Medium,High,Critical"</formula1>
    </dataValidation>
    <dataValidation sqref="Y4 Y5 Y6 Y7 Y8 Y9 Y10 Y11 Y12 Y13 Y14 Y15 Y16 Y17 Y18 Y19 Y20 Y21 Y22 Y23 Y24 Y25 Y26 Y27 Y28 Y29 Y30 Y31 Y32 Y33 Y34 Y35 Y36 Y37 Y38 Y39 Y40 Y41 Y42 Y43 Y44 Y45 Y46 Y47 Y48 Y49 Y50 Y51 Y52 Y53 Y54" showDropDown="0" showInputMessage="0" showErrorMessage="0" allowBlank="0" type="list">
      <formula1>"Documented,In Progress,Not Applicable"</formula1>
    </dataValidation>
    <dataValidation sqref="Z4 Z5 Z6 Z7 Z8 Z9 Z10 Z11 Z12 Z13 Z14 Z15 Z16 Z17 Z18 Z19 Z20 Z21 Z22 Z23 Z24 Z25 Z26 Z27 Z28 Z29 Z30 Z31 Z32 Z33 Z34 Z35 Z36 Z37 Z38 Z39 Z40 Z41 Z42 Z43 Z44 Z45 Z46 Z47 Z48 Z49 Z50 Z51 Z52 Z53 Z54" showDropDown="0" showInputMessage="0" showErrorMessage="0" allowBlank="0" type="list">
      <formula1>"Excellent (&lt;100ms),Acceptable (100-500ms),Concern (&gt;500ms),Not Tested,N/A"</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0" type="list">
      <formula1>"Yes (Favorable),Yes (Unfavorable),In Progress,Not Started,N/A"</formula1>
    </dataValidation>
    <dataValidation sqref="AB4 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"Yes (Sufficient),Partial (Upgrade Needed),No (Full Build),Not Assessed,N/A"</formula1>
    </dataValidation>
    <dataValidation sqref="AC4 AC5 AC6 AC7 AC8 AC9 AC10 AC11 AC12 AC13 AC14 AC15 AC16 AC17 AC18 AC19 AC20 AC21 AC22 AC23 AC24 AC25 AC26 AC27 AC28 AC29 AC30 AC31 AC32 AC33 AC34 AC35 AC36 AC37 AC38 AC39 AC40 AC41 AC42 AC43 AC44 AC45 AC46 AC47 AC48 AC49 AC50 AC51 AC52 AC53 AC54" showDropDown="0" showInputMessage="0" showErrorMessage="0" allowBlank="0" type="list">
      <formula1>"Yes,In Progress,Not Started,N/A"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83"/>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35" customHeight="1">
      <c r="A1" s="11" t="inlineStr">
        <is>
          <t>CLOUD STORAGE SERVICES INVENTORY
All cloud storage must enforce encryption (Policy S5 Section 2.4)</t>
        </is>
      </c>
    </row>
    <row r="2">
      <c r="A2" s="12" t="inlineStr">
        <is>
          <t>Cloud Storage Services | Inventory and regulatory assessment of cloud storage and object store solutions</t>
        </is>
      </c>
    </row>
    <row r="3">
      <c r="A3" s="13" t="inlineStr">
        <is>
          <t>Does your organisation use cloud storage services?</t>
        </is>
      </c>
    </row>
    <row r="4">
      <c r="A4" t="inlineStr">
        <is>
          <t>Response:</t>
        </is>
      </c>
      <c r="B4" s="14" t="n"/>
    </row>
    <row r="6">
      <c r="A6" s="15" t="inlineStr">
        <is>
          <t>Cloud Service Name</t>
        </is>
      </c>
      <c r="B6" s="15" t="inlineStr">
        <is>
          <t>Service Type</t>
        </is>
      </c>
      <c r="C6" s="15" t="inlineStr">
        <is>
          <t>Vendor Name</t>
        </is>
      </c>
      <c r="D6" s="15" t="inlineStr">
        <is>
          <t>Service Criticality</t>
        </is>
      </c>
      <c r="E6" s="15" t="inlineStr">
        <is>
          <t>Data Classification</t>
        </is>
      </c>
      <c r="F6" s="15" t="inlineStr">
        <is>
          <t>Data Residency</t>
        </is>
      </c>
      <c r="G6" s="15" t="inlineStr">
        <is>
          <t>Contract Status</t>
        </is>
      </c>
      <c r="H6" s="15" t="inlineStr">
        <is>
          <t>Status</t>
        </is>
      </c>
      <c r="I6" s="15" t="inlineStr">
        <is>
          <t>Evidence Location</t>
        </is>
      </c>
      <c r="J6" s="15" t="inlineStr">
        <is>
          <t>Gap Description</t>
        </is>
      </c>
      <c r="K6" s="15" t="inlineStr">
        <is>
          <t>Remediation Needed</t>
        </is>
      </c>
      <c r="L6" s="15" t="inlineStr">
        <is>
          <t>Exception ID</t>
        </is>
      </c>
      <c r="M6" s="15" t="inlineStr">
        <is>
          <t>Risk ID</t>
        </is>
      </c>
      <c r="N6" s="15" t="inlineStr">
        <is>
          <t>Compensating Controls</t>
        </is>
      </c>
      <c r="O6" s="15" t="inlineStr">
        <is>
          <t>Service Owner</t>
        </is>
      </c>
      <c r="P6" s="15" t="inlineStr">
        <is>
          <t>Target Remediation Date</t>
        </is>
      </c>
      <c r="Q6" s="15" t="inlineStr">
        <is>
          <t>Budget Impact</t>
        </is>
      </c>
      <c r="R6" s="15" t="inlineStr">
        <is>
          <t>Monthly Cost CHF</t>
        </is>
      </c>
      <c r="S6" s="15" t="inlineStr">
        <is>
          <t>Annual Contract Value</t>
        </is>
      </c>
      <c r="T6" s="15" t="inlineStr">
        <is>
          <t>Licensed Users</t>
        </is>
      </c>
      <c r="U6" s="15" t="inlineStr">
        <is>
          <t>Integration Count</t>
        </is>
      </c>
      <c r="V6" s="15" t="inlineStr">
        <is>
          <t>Backup Available</t>
        </is>
      </c>
      <c r="W6" s="15" t="inlineStr">
        <is>
          <t>Exit Feasibility</t>
        </is>
      </c>
      <c r="X6" s="15" t="inlineStr">
        <is>
          <t>Last Review Date</t>
        </is>
      </c>
      <c r="Y6" s="15" t="inlineStr">
        <is>
          <t>Provider HQ Jurisdiction</t>
        </is>
      </c>
      <c r="Z6" s="15" t="inlineStr">
        <is>
          <t>CLOUD Act Exposure</t>
        </is>
      </c>
      <c r="AA6" s="15" t="inlineStr">
        <is>
          <t>Data Processing Locations</t>
        </is>
      </c>
      <c r="AB6" s="15" t="inlineStr">
        <is>
          <t>EU Data Boundary</t>
        </is>
      </c>
      <c r="AC6" s="15" t="inlineStr">
        <is>
          <t>DORA In Scope</t>
        </is>
      </c>
      <c r="AD6" s="15" t="inlineStr">
        <is>
          <t>NIS2 In Scope</t>
        </is>
      </c>
      <c r="AE6" s="15" t="inlineStr">
        <is>
          <t>AI Classification</t>
        </is>
      </c>
      <c r="AF6" s="15" t="inlineStr">
        <is>
          <t>Concentration Risk</t>
        </is>
      </c>
      <c r="AG6" s="15" t="inlineStr">
        <is>
          <t>Alternatives Identified</t>
        </is>
      </c>
    </row>
    <row r="8">
      <c r="A8" s="16" t="inlineStr">
        <is>
          <t>Example: Microsoft 365</t>
        </is>
      </c>
      <c r="B8" s="17" t="inlineStr">
        <is>
          <t>SaaS</t>
        </is>
      </c>
      <c r="C8" s="17" t="inlineStr">
        <is>
          <t>Microsoft</t>
        </is>
      </c>
      <c r="D8" s="17" t="inlineStr">
        <is>
          <t>Critical</t>
        </is>
      </c>
      <c r="E8" s="17" t="n"/>
      <c r="F8" s="17" t="n"/>
      <c r="G8" s="17" t="n"/>
      <c r="H8" s="17" t="inlineStr">
        <is>
          <t>✅ Compliant</t>
        </is>
      </c>
      <c r="I8" s="17" t="n"/>
      <c r="J8" s="17" t="n"/>
      <c r="K8" s="17" t="n"/>
      <c r="L8" s="17" t="n"/>
      <c r="M8" s="17" t="n"/>
      <c r="N8" s="17" t="n"/>
      <c r="O8" s="17" t="n"/>
      <c r="P8" s="17" t="n"/>
      <c r="Q8" s="17" t="n"/>
      <c r="R8" s="17" t="n"/>
      <c r="S8" s="17" t="n"/>
      <c r="T8" s="17" t="n"/>
      <c r="U8" s="17" t="n"/>
      <c r="V8" s="17" t="n"/>
      <c r="W8" s="17" t="n"/>
      <c r="X8" s="17" t="n"/>
      <c r="Y8" s="17" t="inlineStr">
        <is>
          <t>United States</t>
        </is>
      </c>
      <c r="Z8" s="17" t="inlineStr">
        <is>
          <t>Mitigated (EU Data Boundary)</t>
        </is>
      </c>
      <c r="AA8" s="17" t="n"/>
      <c r="AB8" s="17" t="n"/>
      <c r="AC8" s="17" t="inlineStr">
        <is>
          <t>Yes</t>
        </is>
      </c>
      <c r="AD8" s="17" t="inlineStr">
        <is>
          <t>Yes</t>
        </is>
      </c>
      <c r="AE8" s="17" t="n"/>
      <c r="AF8" s="17" t="inlineStr">
        <is>
          <t>High (Few alternatives)</t>
        </is>
      </c>
      <c r="AG8" s="17"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61">
      <c r="A61" s="18"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14" t="n"/>
      <c r="D64" t="inlineStr">
        <is>
          <t>CMDB export</t>
        </is>
      </c>
    </row>
    <row r="65">
      <c r="A65" t="inlineStr">
        <is>
          <t>☐</t>
        </is>
      </c>
      <c r="B65" t="inlineStr">
        <is>
          <t>Data classification assigned</t>
        </is>
      </c>
      <c r="C65" s="14" t="n"/>
      <c r="D65" t="inlineStr">
        <is>
          <t>Data classification matrix</t>
        </is>
      </c>
    </row>
    <row r="66">
      <c r="A66" t="inlineStr">
        <is>
          <t>☐</t>
        </is>
      </c>
      <c r="B66" t="inlineStr">
        <is>
          <t>Service criticality assessed (BIA)</t>
        </is>
      </c>
      <c r="C66" s="14" t="n"/>
      <c r="D66" t="inlineStr">
        <is>
          <t>Business impact analysis</t>
        </is>
      </c>
    </row>
    <row r="67">
      <c r="A67" t="inlineStr">
        <is>
          <t>☐</t>
        </is>
      </c>
      <c r="B67" t="inlineStr">
        <is>
          <t>Service owner identified</t>
        </is>
      </c>
      <c r="C67" s="14" t="n"/>
      <c r="D67" t="inlineStr">
        <is>
          <t>RACI matrix</t>
        </is>
      </c>
    </row>
    <row r="68">
      <c r="A68" t="inlineStr">
        <is>
          <t>☐</t>
        </is>
      </c>
      <c r="B68" t="inlineStr">
        <is>
          <t>Contract status tracked</t>
        </is>
      </c>
      <c r="C68" s="14" t="n"/>
      <c r="D68" t="inlineStr">
        <is>
          <t>Contract management system</t>
        </is>
      </c>
    </row>
    <row r="69">
      <c r="A69" t="inlineStr">
        <is>
          <t>☐</t>
        </is>
      </c>
      <c r="B69" t="inlineStr">
        <is>
          <t>Monthly costs documented</t>
        </is>
      </c>
      <c r="C69" s="14" t="n"/>
      <c r="D69" t="inlineStr">
        <is>
          <t>Finance system</t>
        </is>
      </c>
    </row>
    <row r="70">
      <c r="A70" t="inlineStr">
        <is>
          <t>☐</t>
        </is>
      </c>
      <c r="B70" t="inlineStr">
        <is>
          <t>User license count verified</t>
        </is>
      </c>
      <c r="C70" s="14" t="n"/>
      <c r="D70" t="inlineStr">
        <is>
          <t>License report</t>
        </is>
      </c>
    </row>
    <row r="71">
      <c r="A71" t="inlineStr">
        <is>
          <t>☐</t>
        </is>
      </c>
      <c r="B71" t="inlineStr">
        <is>
          <t>Integration dependencies mapped</t>
        </is>
      </c>
      <c r="C71" s="14" t="n"/>
      <c r="D71" t="inlineStr">
        <is>
          <t>Architecture diagram</t>
        </is>
      </c>
    </row>
    <row r="72">
      <c r="A72" t="inlineStr">
        <is>
          <t>☐</t>
        </is>
      </c>
      <c r="B72" t="inlineStr">
        <is>
          <t>Backup strategy defined</t>
        </is>
      </c>
      <c r="C72" s="14" t="n"/>
      <c r="D72" t="inlineStr">
        <is>
          <t>BC/DR plan</t>
        </is>
      </c>
    </row>
    <row r="73">
      <c r="A73" t="inlineStr">
        <is>
          <t>☐</t>
        </is>
      </c>
      <c r="B73" t="inlineStr">
        <is>
          <t>Exit feasibility evaluated</t>
        </is>
      </c>
      <c r="C73" s="14" t="n"/>
      <c r="D73" t="inlineStr">
        <is>
          <t>Exit strategy document</t>
        </is>
      </c>
    </row>
    <row r="74">
      <c r="A74" t="inlineStr">
        <is>
          <t>☐</t>
        </is>
      </c>
      <c r="B74" t="inlineStr">
        <is>
          <t>Data residency verified</t>
        </is>
      </c>
      <c r="C74" s="14" t="n"/>
      <c r="D74" t="inlineStr">
        <is>
          <t>Vendor DPA</t>
        </is>
      </c>
    </row>
    <row r="75">
      <c r="A75" t="inlineStr">
        <is>
          <t>☐</t>
        </is>
      </c>
      <c r="B75" t="inlineStr">
        <is>
          <t>Last review date recorded</t>
        </is>
      </c>
      <c r="C75" s="14" t="n"/>
      <c r="D75" t="inlineStr">
        <is>
          <t>Review calendar</t>
        </is>
      </c>
    </row>
    <row r="76">
      <c r="A76" t="inlineStr">
        <is>
          <t>☐</t>
        </is>
      </c>
      <c r="B76" t="inlineStr">
        <is>
          <t>Provider HQ jurisdiction documented</t>
        </is>
      </c>
      <c r="C76" s="14" t="n"/>
      <c r="D76" t="inlineStr">
        <is>
          <t>Vendor documentation</t>
        </is>
      </c>
    </row>
    <row r="77">
      <c r="A77" t="inlineStr">
        <is>
          <t>☐</t>
        </is>
      </c>
      <c r="B77" t="inlineStr">
        <is>
          <t>CLOUD Act exposure assessed</t>
        </is>
      </c>
      <c r="C77" s="14" t="n"/>
      <c r="D77" t="inlineStr">
        <is>
          <t>Risk assessment</t>
        </is>
      </c>
    </row>
    <row r="78">
      <c r="A78" t="inlineStr">
        <is>
          <t>☐</t>
        </is>
      </c>
      <c r="B78" t="inlineStr">
        <is>
          <t>Data processing locations verified</t>
        </is>
      </c>
      <c r="C78" s="14" t="n"/>
      <c r="D78" t="inlineStr">
        <is>
          <t>DPA, vendor statement</t>
        </is>
      </c>
    </row>
    <row r="79">
      <c r="A79" t="inlineStr">
        <is>
          <t>☐</t>
        </is>
      </c>
      <c r="B79" t="inlineStr">
        <is>
          <t>DORA applicability determined</t>
        </is>
      </c>
      <c r="C79" s="14" t="n"/>
      <c r="D79" t="inlineStr">
        <is>
          <t>Regulatory review</t>
        </is>
      </c>
    </row>
    <row r="80">
      <c r="A80" t="inlineStr">
        <is>
          <t>☐</t>
        </is>
      </c>
      <c r="B80" t="inlineStr">
        <is>
          <t>NIS2 applicability determined</t>
        </is>
      </c>
      <c r="C80" s="14" t="n"/>
      <c r="D80" t="inlineStr">
        <is>
          <t>Regulatory review</t>
        </is>
      </c>
    </row>
    <row r="81">
      <c r="A81" t="inlineStr">
        <is>
          <t>☐</t>
        </is>
      </c>
      <c r="B81" t="inlineStr">
        <is>
          <t>AI system classification assessed</t>
        </is>
      </c>
      <c r="C81" s="14" t="n"/>
      <c r="D81" t="inlineStr">
        <is>
          <t>AI inventory</t>
        </is>
      </c>
    </row>
    <row r="82">
      <c r="A82" t="inlineStr">
        <is>
          <t>☐</t>
        </is>
      </c>
      <c r="B82" t="inlineStr">
        <is>
          <t>Concentration risk evaluated</t>
        </is>
      </c>
      <c r="C82" s="14" t="n"/>
      <c r="D82" t="inlineStr">
        <is>
          <t>Risk assessment</t>
        </is>
      </c>
    </row>
    <row r="83">
      <c r="A83" t="inlineStr">
        <is>
          <t>☐</t>
        </is>
      </c>
      <c r="B83" t="inlineStr">
        <is>
          <t>Alternative providers identified</t>
        </is>
      </c>
      <c r="C83" s="1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18" customWidth="1" min="4" max="4"/>
    <col width="22" customWidth="1" min="5" max="5"/>
    <col width="22" customWidth="1" min="6" max="6"/>
    <col width="18" customWidth="1" min="7" max="7"/>
    <col width="16" customWidth="1" min="8" max="8"/>
    <col width="18" customWidth="1" min="9" max="9"/>
    <col width="18" customWidth="1" min="10" max="10"/>
  </cols>
  <sheetData>
    <row r="1" ht="35" customHeight="1">
      <c r="A1" s="11" t="inlineStr">
        <is>
          <t>DATA CLASSIFICATION - CLOUD STORAGE INVENTORY</t>
        </is>
      </c>
    </row>
    <row r="2">
      <c r="A2" s="24" t="inlineStr">
        <is>
          <t>Classify all data types stored in cloud services. Required for ISO 27001 A.5.12 (Classification), A.5.13 (Labelling), and GDPR Article 30.</t>
        </is>
      </c>
    </row>
    <row r="3">
      <c r="A3" s="15" t="inlineStr">
        <is>
          <t>Data ID</t>
        </is>
      </c>
      <c r="B3" s="15" t="inlineStr">
        <is>
          <t>Data Category</t>
        </is>
      </c>
      <c r="C3" s="15" t="inlineStr">
        <is>
          <t>Description</t>
        </is>
      </c>
      <c r="D3" s="15" t="inlineStr">
        <is>
          <t>Classification Level</t>
        </is>
      </c>
      <c r="E3" s="15" t="inlineStr">
        <is>
          <t>Primary Cloud Service</t>
        </is>
      </c>
      <c r="F3" s="15" t="inlineStr">
        <is>
          <t>Storage Location</t>
        </is>
      </c>
      <c r="G3" s="15" t="inlineStr">
        <is>
          <t>Data Owner</t>
        </is>
      </c>
      <c r="H3" s="15" t="inlineStr">
        <is>
          <t>Retention Period</t>
        </is>
      </c>
      <c r="I3" s="15" t="inlineStr">
        <is>
          <t>Personal Data (GDPR)</t>
        </is>
      </c>
      <c r="J3" s="15" t="inlineStr">
        <is>
          <t>Cross-Border Transfer</t>
        </is>
      </c>
    </row>
    <row r="4">
      <c r="A4" s="16" t="inlineStr">
        <is>
          <t>DC-001</t>
        </is>
      </c>
      <c r="B4" s="16" t="inlineStr">
        <is>
          <t>Customer PII</t>
        </is>
      </c>
      <c r="C4" s="16" t="inlineStr">
        <is>
          <t>Customer names, email addresses, phone numbers in CRM system</t>
        </is>
      </c>
      <c r="D4" s="16" t="inlineStr">
        <is>
          <t>Confidential</t>
        </is>
      </c>
      <c r="E4" s="16" t="inlineStr">
        <is>
          <t>AWS S3</t>
        </is>
      </c>
      <c r="F4" s="16" t="inlineStr">
        <is>
          <t>eu-west-1 (Ireland)</t>
        </is>
      </c>
      <c r="G4" s="16" t="inlineStr">
        <is>
          <t>VP Sales</t>
        </is>
      </c>
      <c r="H4" s="16" t="inlineStr">
        <is>
          <t>7 years post-contract</t>
        </is>
      </c>
      <c r="I4" s="16" t="inlineStr">
        <is>
          <t>Yes - Personal</t>
        </is>
      </c>
      <c r="J4" s="16" t="inlineStr">
        <is>
          <t>EEA Only</t>
        </is>
      </c>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sheetData>
  <mergeCells count="2">
    <mergeCell ref="A1:J1"/>
    <mergeCell ref="A2:J2"/>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"Restricted,Confidential,Internal,Public"</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"Yes - Special Category,Yes - Personal,No"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"None,EEA Only,Adequacy Decision,SCCs,Not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18" customWidth="1" min="3" max="3"/>
    <col width="28" customWidth="1" min="4" max="4"/>
    <col width="16" customWidth="1" min="5" max="5"/>
    <col width="14" customWidth="1" min="6" max="6"/>
    <col width="14" customWidth="1" min="7" max="7"/>
    <col width="14" customWidth="1" min="8" max="8"/>
    <col width="18" customWidth="1" min="9" max="9"/>
    <col width="18" customWidth="1" min="10" max="10"/>
    <col width="14" customWidth="1" min="11" max="11"/>
    <col width="14" customWidth="1" min="12" max="12"/>
  </cols>
  <sheetData>
    <row r="1" ht="35" customHeight="1">
      <c r="A1" s="11" t="inlineStr">
        <is>
          <t>SERVICE CRITICALITY ASSESSMENT</t>
        </is>
      </c>
    </row>
    <row r="2">
      <c r="A2" s="24" t="inlineStr">
        <is>
          <t>Assess criticality of each cloud service for BIA and exit strategy planning. Required for ISO 27001 A.5.29 (Business Continuity) and DORA Article 28.</t>
        </is>
      </c>
    </row>
    <row r="3">
      <c r="A3" s="15" t="inlineStr">
        <is>
          <t>Service ID</t>
        </is>
      </c>
      <c r="B3" s="15" t="inlineStr">
        <is>
          <t>Cloud Service Name</t>
        </is>
      </c>
      <c r="C3" s="15" t="inlineStr">
        <is>
          <t>Service Category</t>
        </is>
      </c>
      <c r="D3" s="15" t="inlineStr">
        <is>
          <t>Business Process Supported</t>
        </is>
      </c>
      <c r="E3" s="15" t="inlineStr">
        <is>
          <t>Criticality Level</t>
        </is>
      </c>
      <c r="F3" s="15" t="inlineStr">
        <is>
          <t>RTO (Hours)</t>
        </is>
      </c>
      <c r="G3" s="15" t="inlineStr">
        <is>
          <t>RPO (Hours)</t>
        </is>
      </c>
      <c r="H3" s="15" t="inlineStr">
        <is>
          <t>MTPD (Hours)</t>
        </is>
      </c>
      <c r="I3" s="15" t="inlineStr">
        <is>
          <t>Single Point of Failure</t>
        </is>
      </c>
      <c r="J3" s="15" t="inlineStr">
        <is>
          <t>Workaround Available</t>
        </is>
      </c>
      <c r="K3" s="15" t="inlineStr">
        <is>
          <t>DORA Scope</t>
        </is>
      </c>
      <c r="L3" s="15" t="inlineStr">
        <is>
          <t>Exit Priority</t>
        </is>
      </c>
    </row>
    <row r="4">
      <c r="A4" s="16" t="inlineStr">
        <is>
          <t>SC-001</t>
        </is>
      </c>
      <c r="B4" s="16" t="inlineStr">
        <is>
          <t>Microsoft 365 (Email, SharePoint, Teams)</t>
        </is>
      </c>
      <c r="C4" s="16" t="inlineStr">
        <is>
          <t>SaaS</t>
        </is>
      </c>
      <c r="D4" s="16" t="inlineStr">
        <is>
          <t>Email communication, document collaboration, internal comms</t>
        </is>
      </c>
      <c r="E4" s="16" t="inlineStr">
        <is>
          <t>Critical</t>
        </is>
      </c>
      <c r="F4" s="16" t="inlineStr">
        <is>
          <t>4</t>
        </is>
      </c>
      <c r="G4" s="16" t="inlineStr">
        <is>
          <t>1</t>
        </is>
      </c>
      <c r="H4" s="16" t="inlineStr">
        <is>
          <t>8</t>
        </is>
      </c>
      <c r="I4" s="16" t="inlineStr">
        <is>
          <t>Yes</t>
        </is>
      </c>
      <c r="J4" s="16" t="inlineStr">
        <is>
          <t>Partial</t>
        </is>
      </c>
      <c r="K4" s="16" t="inlineStr">
        <is>
          <t>In-Scope</t>
        </is>
      </c>
      <c r="L4" s="16" t="inlineStr">
        <is>
          <t>P1 - Critical</t>
        </is>
      </c>
    </row>
    <row r="5">
      <c r="A5" s="14" t="n"/>
      <c r="B5" s="14" t="n"/>
      <c r="C5" s="14" t="n"/>
      <c r="D5" s="14" t="n"/>
      <c r="E5" s="14" t="n"/>
      <c r="F5" s="14" t="n"/>
      <c r="G5" s="14" t="n"/>
      <c r="H5" s="14" t="n"/>
      <c r="I5" s="14" t="n"/>
      <c r="J5" s="14" t="n"/>
      <c r="K5" s="14" t="n"/>
      <c r="L5" s="14" t="n"/>
    </row>
    <row r="6">
      <c r="A6" s="14" t="n"/>
      <c r="B6" s="14" t="n"/>
      <c r="C6" s="14" t="n"/>
      <c r="D6" s="14" t="n"/>
      <c r="E6" s="14" t="n"/>
      <c r="F6" s="14" t="n"/>
      <c r="G6" s="14" t="n"/>
      <c r="H6" s="14" t="n"/>
      <c r="I6" s="14" t="n"/>
      <c r="J6" s="14" t="n"/>
      <c r="K6" s="14" t="n"/>
      <c r="L6" s="14" t="n"/>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"SaaS,IaaS,PaaS,Security,Storage,Other"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 sqref="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"In-Scope,Out-of-Scope,TBD"</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"P1 - Critical,P2 - High,P3 - Medium,P4 -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27" t="inlineStr">
        <is>
          <t>EV-001</t>
        </is>
      </c>
      <c r="B5" s="27" t="inlineStr">
        <is>
          <t>Cloud Service Inventory</t>
        </is>
      </c>
      <c r="C5" s="27" t="inlineStr">
        <is>
          <t>CMDB Export</t>
        </is>
      </c>
      <c r="D5" s="27" t="inlineStr">
        <is>
          <t>Complete inventory of all SaaS/IaaS/PaaS services with vendor details</t>
        </is>
      </c>
      <c r="E5" s="27" t="inlineStr">
        <is>
          <t>/evidence/cloud-inventory-q1-2026.xlsx</t>
        </is>
      </c>
      <c r="F5" s="27" t="inlineStr">
        <is>
          <t>15.01.2026</t>
        </is>
      </c>
      <c r="G5" s="27" t="inlineStr">
        <is>
          <t>IT Security Team</t>
        </is>
      </c>
      <c r="H5" s="27" t="inlineStr">
        <is>
          <t>Verified</t>
        </is>
      </c>
    </row>
    <row r="6">
      <c r="A6" s="28" t="n"/>
      <c r="B6" s="28" t="n"/>
      <c r="C6" s="28" t="n"/>
      <c r="D6" s="28" t="n"/>
      <c r="E6" s="28" t="n"/>
      <c r="F6" s="28" t="n"/>
      <c r="G6" s="28" t="n"/>
      <c r="H6" s="28" t="n"/>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"Contract,Invoice,CMDB Export,Screenshot,Config File,Risk Assessment,Audit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1" t="inlineStr">
        <is>
          <t>CLOUD SERVICE INVENTORY — SUMMARY DASHBOARD</t>
        </is>
      </c>
    </row>
    <row r="2">
      <c r="A2" s="29" t="inlineStr">
        <is>
          <t>ISO/IEC 27001:2022 - Control A.5.19-23: Information Security for Use of Cloud Services</t>
        </is>
      </c>
    </row>
    <row r="3">
      <c r="A3" s="30" t="inlineStr">
        <is>
          <t>TABLE 1: COMPLIANCE BY SERVICE CATEGORY</t>
        </is>
      </c>
    </row>
    <row r="4">
      <c r="A4" s="31" t="inlineStr">
        <is>
          <t>Category</t>
        </is>
      </c>
      <c r="B4" s="31" t="inlineStr">
        <is>
          <t>Total</t>
        </is>
      </c>
      <c r="C4" s="31" t="inlineStr">
        <is>
          <t>✅ Compliant</t>
        </is>
      </c>
      <c r="D4" s="31" t="inlineStr">
        <is>
          <t>⚠ Partial</t>
        </is>
      </c>
      <c r="E4" s="31" t="inlineStr">
        <is>
          <t>❌ Non-Compliant</t>
        </is>
      </c>
      <c r="F4" s="31" t="inlineStr">
        <is>
          <t>N/A</t>
        </is>
      </c>
      <c r="G4" s="31" t="inlineStr">
        <is>
          <t>Compliance %</t>
        </is>
      </c>
    </row>
    <row r="5">
      <c r="A5" t="inlineStr">
        <is>
          <t>SaaS Services</t>
        </is>
      </c>
      <c r="B5">
        <f>COUNTA('2. SaaS Services'!A9:A100)</f>
        <v/>
      </c>
      <c r="C5">
        <f>COUNTIF('2. SaaS Services'!H9:H100,"✅*")</f>
        <v/>
      </c>
      <c r="D5">
        <f>COUNTIF('2. SaaS Services'!H9:H100,"⚠*")</f>
        <v/>
      </c>
      <c r="E5">
        <f>COUNTIF('2. SaaS Services'!H9:H100,"❌*")</f>
        <v/>
      </c>
      <c r="F5">
        <f>COUNTIF('2. SaaS Services'!H9:H100,"N/A")</f>
        <v/>
      </c>
      <c r="G5">
        <f>IF((B5-F5)=0,"0%",ROUND(C5/(B5-F5)*100,1)&amp;"%")</f>
        <v/>
      </c>
    </row>
    <row r="6">
      <c r="A6" t="inlineStr">
        <is>
          <t>IaaS/PaaS</t>
        </is>
      </c>
      <c r="B6">
        <f>COUNTA('3. IaaS PaaS Services'!A9:A100)</f>
        <v/>
      </c>
      <c r="C6">
        <f>COUNTIF('3. IaaS PaaS Services'!H9:H100,"✅*")</f>
        <v/>
      </c>
      <c r="D6">
        <f>COUNTIF('3. IaaS PaaS Services'!H9:H100,"⚠*")</f>
        <v/>
      </c>
      <c r="E6">
        <f>COUNTIF('3. IaaS PaaS Services'!H9:H100,"❌*")</f>
        <v/>
      </c>
      <c r="F6">
        <f>COUNTIF('3. IaaS PaaS Services'!H9:H100,"N/A")</f>
        <v/>
      </c>
      <c r="G6">
        <f>IF((B6-F6)=0,"0%",ROUND(C6/(B6-F6)*100,1)&amp;"%")</f>
        <v/>
      </c>
    </row>
    <row r="7">
      <c r="A7" t="inlineStr">
        <is>
          <t>Storage Services</t>
        </is>
      </c>
      <c r="B7">
        <f>COUNTA('5. Cloud Storage Services'!A9:A100)</f>
        <v/>
      </c>
      <c r="C7">
        <f>COUNTIF('5. Cloud Storage Services'!H9:H100,"✅*")</f>
        <v/>
      </c>
      <c r="D7">
        <f>COUNTIF('5. Cloud Storage Services'!H9:H100,"⚠*")</f>
        <v/>
      </c>
      <c r="E7">
        <f>COUNTIF('5. Cloud Storage Services'!H9:H100,"❌*")</f>
        <v/>
      </c>
      <c r="F7">
        <f>COUNTIF('5. Cloud Storage Services'!H9:H100,"N/A")</f>
        <v/>
      </c>
      <c r="G7">
        <f>IF((B7-F7)=0,"0%",ROUND(C7/(B7-F7)*100,1)&amp;"%")</f>
        <v/>
      </c>
    </row>
    <row r="8">
      <c r="A8" s="32" t="inlineStr">
        <is>
          <t>TOTAL</t>
        </is>
      </c>
      <c r="B8" s="32">
        <f>SUM(B5:B7)</f>
        <v/>
      </c>
      <c r="C8" s="32">
        <f>SUM(C5:C7)</f>
        <v/>
      </c>
      <c r="D8" s="32">
        <f>SUM(D5:D7)</f>
        <v/>
      </c>
      <c r="E8" s="32">
        <f>SUM(E5:E7)</f>
        <v/>
      </c>
      <c r="F8" s="32">
        <f>SUM(F5:F7)</f>
        <v/>
      </c>
      <c r="G8" s="32">
        <f>IF(B8-F8&gt;0,ROUND(C8/(B8-F8)*100,1)&amp;"%","N/A")</f>
        <v/>
      </c>
    </row>
    <row r="11">
      <c r="A11" s="30" t="inlineStr">
        <is>
          <t>TABLE 2: REGULATORY COMPLIANCE SUMMARY (DORA / NIS2 / AI Act / CLOUD Act)</t>
        </is>
      </c>
    </row>
    <row r="13">
      <c r="A13" s="31" t="inlineStr">
        <is>
          <t>Metric</t>
        </is>
      </c>
      <c r="B13" s="31" t="inlineStr">
        <is>
          <t>Count</t>
        </is>
      </c>
      <c r="C13" s="31" t="inlineStr">
        <is>
          <t>Status</t>
        </is>
      </c>
    </row>
    <row r="14">
      <c r="A14" t="inlineStr">
        <is>
          <t>CLOUD Act Potential Exposure</t>
        </is>
      </c>
      <c r="B14">
        <f>COUNTIF('2. SaaS Services'!Z9:Z100,"Potential*")+COUNTIF('3. IaaS PaaS Services'!Z9:Z100,"Potential*")</f>
        <v/>
      </c>
      <c r="C14">
        <f>IF(B14&gt;0,"⚠ Review","✅ OK")</f>
        <v/>
      </c>
    </row>
    <row r="15">
      <c r="A15" t="inlineStr">
        <is>
          <t>DORA In-Scope Services</t>
        </is>
      </c>
      <c r="B15">
        <f>COUNTIF('2. SaaS Services'!AC9:AC100,"Yes")+COUNTIF('3. IaaS PaaS Services'!AC9:AC100,"Yes")</f>
        <v/>
      </c>
      <c r="C15">
        <f>IF(B15&gt;0,"⚠ Review","✅ OK")</f>
        <v/>
      </c>
    </row>
    <row r="16">
      <c r="A16" t="inlineStr">
        <is>
          <t>NIS2 In-Scope Services</t>
        </is>
      </c>
      <c r="B16">
        <f>COUNTIF('2. SaaS Services'!AD9:AD100,"Yes")+COUNTIF('3. IaaS PaaS Services'!AD9:AD100,"Yes")</f>
        <v/>
      </c>
      <c r="C16">
        <f>IF(B16&gt;0,"⚠ Review","✅ OK")</f>
        <v/>
      </c>
    </row>
    <row r="17">
      <c r="A17" t="inlineStr">
        <is>
          <t>High-Risk AI Systems</t>
        </is>
      </c>
      <c r="B17">
        <f>COUNTIF('2. SaaS Services'!AE9:AE100,"High Risk")+COUNTIF('3. IaaS PaaS Services'!AE9:AE100,"High Risk")</f>
        <v/>
      </c>
      <c r="C17">
        <f>IF(B17&gt;0,"⚠ Review","✅ OK")</f>
        <v/>
      </c>
    </row>
    <row r="18">
      <c r="A18" t="inlineStr">
        <is>
          <t>Critical Concentration Risk</t>
        </is>
      </c>
      <c r="B18">
        <f>COUNTIF('2. SaaS Services'!AF9:AF100,"Critical*")+COUNTIF('3. IaaS PaaS Services'!AF9:AF100,"Critical*")</f>
        <v/>
      </c>
      <c r="C18">
        <f>IF(B18&gt;0,"⚠ Review","✅ OK")</f>
        <v/>
      </c>
    </row>
  </sheetData>
  <mergeCells count="4">
    <mergeCell ref="A11:G11"/>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1" t="inlineStr">
        <is>
          <t>ASSESSMENT APPROVAL AND SIGN-OFF</t>
        </is>
      </c>
      <c r="B1" s="6" t="n"/>
      <c r="C1" s="6" t="n"/>
      <c r="D1" s="6" t="n"/>
      <c r="E1" s="6" t="n"/>
    </row>
    <row r="2">
      <c r="A2" s="33" t="inlineStr">
        <is>
          <t>ISO/IEC 27001:2022 - Control A.5.19-23: Information Security for Use of Cloud Services</t>
        </is>
      </c>
      <c r="B2" s="6" t="n"/>
      <c r="C2" s="6" t="n"/>
      <c r="D2" s="6" t="n"/>
      <c r="E2" s="6" t="n"/>
    </row>
    <row r="3">
      <c r="A3" s="34" t="inlineStr">
        <is>
          <t>ASSESSMENT SUMMARY</t>
        </is>
      </c>
      <c r="B3" s="6" t="n"/>
      <c r="C3" s="6" t="n"/>
      <c r="D3" s="6" t="n"/>
      <c r="E3" s="6" t="n"/>
    </row>
    <row r="4">
      <c r="A4" s="3" t="inlineStr">
        <is>
          <t>Document:</t>
        </is>
      </c>
      <c r="B4" s="6" t="inlineStr">
        <is>
          <t>ISMS-IMP-A.5.23.S1 - Cloud Service Inventory &amp; Classification</t>
        </is>
      </c>
      <c r="C4" s="6" t="n"/>
      <c r="D4" s="6" t="n"/>
      <c r="E4" s="6" t="n"/>
    </row>
    <row r="5">
      <c r="A5" s="3" t="inlineStr">
        <is>
          <t>Assessment Period:</t>
        </is>
      </c>
      <c r="B5" s="14" t="inlineStr"/>
      <c r="C5" s="6" t="n"/>
      <c r="D5" s="6" t="n"/>
      <c r="E5" s="6" t="n"/>
    </row>
    <row r="6">
      <c r="A6" s="3" t="inlineStr">
        <is>
          <t>Overall Compliance Rating:</t>
        </is>
      </c>
      <c r="B6" s="35">
        <f>IFERROR(AVERAGE('Summary Dashboard'!G6:G7),"")</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4"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4"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36"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4"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ISMS-IMP-A.5.23.S1 — Cloud Service Inventory &amp; Classification</dc:title>
  <dc:description xmlns:dc="http://purl.org/dc/elements/1.1/">ISMS Implementation Workbook — ISMS-IMP-A.5.23.S1</dc:description>
  <dc:subject xmlns:dc="http://purl.org/dc/elements/1.1/">ISO/IEC 27001:2022 — Control A.5.19-23: Information Security for Use of Cloud Services</dc:subject>
  <dcterms:created xmlns:dcterms="http://purl.org/dc/terms/" xmlns:xsi="http://www.w3.org/2001/XMLSchema-instance" xsi:type="dcterms:W3CDTF">2026-03-01T16:57:18Z</dcterms:created>
  <dcterms:modified xmlns:dcterms="http://purl.org/dc/terms/" xmlns:xsi="http://www.w3.org/2001/XMLSchema-instance" xsi:type="dcterms:W3CDTF">2026-03-01T16:57:18Z</dcterms:modified>
</cp:coreProperties>
</file>