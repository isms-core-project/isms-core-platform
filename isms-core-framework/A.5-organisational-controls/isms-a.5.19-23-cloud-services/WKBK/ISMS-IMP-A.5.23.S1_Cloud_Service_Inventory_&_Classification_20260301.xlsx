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SaaS Services" sheetId="2" state="visible" r:id="rId2"/>
    <sheet xmlns:r="http://schemas.openxmlformats.org/officeDocument/2006/relationships" name="3. IaaS PaaS Services" sheetId="3" state="visible" r:id="rId3"/>
    <sheet xmlns:r="http://schemas.openxmlformats.org/officeDocument/2006/relationships" name="4. Cloud Security Services" sheetId="4" state="visible" r:id="rId4"/>
    <sheet xmlns:r="http://schemas.openxmlformats.org/officeDocument/2006/relationships" name="5. Cloud Storage Services" sheetId="5" state="visible" r:id="rId5"/>
    <sheet xmlns:r="http://schemas.openxmlformats.org/officeDocument/2006/relationships" name="6. Data Classification" sheetId="6" state="visible" r:id="rId6"/>
    <sheet xmlns:r="http://schemas.openxmlformats.org/officeDocument/2006/relationships" name="7. Service Criticality"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b val="1"/>
      <sz val="11"/>
    </font>
    <font>
      <i val="1"/>
      <color rgb="00666666"/>
    </font>
    <font>
      <name val="Calibri"/>
      <b val="1"/>
      <color rgb="00FFFFFF"/>
      <sz val="11"/>
    </font>
    <font>
      <name val="Calibri"/>
      <b val="1"/>
      <color rgb="00FFFFFF"/>
      <sz val="12"/>
    </font>
    <font>
      <i val="1"/>
      <sz val="10"/>
    </font>
    <font>
      <i val="1"/>
    </font>
    <font>
      <name val="Calibri"/>
      <i val="1"/>
      <color rgb="00666666"/>
    </font>
    <font>
      <name val="Calibri"/>
      <i val="1"/>
      <color rgb="00003366"/>
      <sz val="10"/>
    </font>
    <font>
      <b val="1"/>
      <color rgb="00FFFFFF"/>
      <sz val="11"/>
    </font>
    <font>
      <name val="Calibri"/>
      <b val="1"/>
      <color rgb="00000000"/>
      <sz val="10"/>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0" applyAlignment="1" pivotButton="0" quotePrefix="0" xfId="0">
      <alignment horizontal="left" vertical="center" wrapText="1"/>
    </xf>
    <xf numFmtId="0" fontId="6" fillId="0" borderId="0" pivotButton="0" quotePrefix="0" xfId="0"/>
    <xf numFmtId="0" fontId="0" fillId="10" borderId="1" pivotButton="0" quotePrefix="0" xfId="0"/>
    <xf numFmtId="0" fontId="4" fillId="11" borderId="1" applyAlignment="1" pivotButton="0" quotePrefix="0" xfId="0">
      <alignment horizontal="center" vertical="center" wrapText="1"/>
    </xf>
    <xf numFmtId="0" fontId="7" fillId="9" borderId="1" pivotButton="0" quotePrefix="0" xfId="0"/>
    <xf numFmtId="0" fontId="0" fillId="9" borderId="1" pivotButton="0" quotePrefix="0" xfId="0"/>
    <xf numFmtId="0" fontId="8" fillId="8" borderId="1" applyAlignment="1" pivotButton="0" quotePrefix="0" xfId="0">
      <alignment horizontal="center" vertical="center" wrapText="1"/>
    </xf>
    <xf numFmtId="0" fontId="1" fillId="8" borderId="0" applyAlignment="1" pivotButton="0" quotePrefix="0" xfId="0">
      <alignment horizontal="center" vertical="center" wrapText="1"/>
    </xf>
    <xf numFmtId="0" fontId="5" fillId="9" borderId="0" applyAlignment="1" pivotButton="0" quotePrefix="0" xfId="0">
      <alignment horizontal="center" vertical="center" wrapText="1"/>
    </xf>
    <xf numFmtId="0" fontId="9" fillId="12" borderId="0" applyAlignment="1" pivotButton="0" quotePrefix="0" xfId="0">
      <alignment horizontal="center" vertical="center"/>
    </xf>
    <xf numFmtId="0" fontId="0" fillId="0" borderId="0" applyAlignment="1" pivotButton="0" quotePrefix="0" xfId="0">
      <alignment horizontal="left" vertical="center" wrapText="1"/>
    </xf>
    <xf numFmtId="0" fontId="9" fillId="13" borderId="0" applyAlignment="1" pivotButton="0" quotePrefix="0" xfId="0">
      <alignment horizontal="center" vertical="center"/>
    </xf>
    <xf numFmtId="0" fontId="10" fillId="0" borderId="0" applyAlignment="1" pivotButton="0" quotePrefix="0" xfId="0">
      <alignment horizontal="left" wrapText="1"/>
    </xf>
    <xf numFmtId="0" fontId="1" fillId="8" borderId="0" applyAlignment="1" pivotButton="0" quotePrefix="0" xfId="0">
      <alignment horizontal="center" vertical="center"/>
    </xf>
    <xf numFmtId="0" fontId="11" fillId="0" borderId="0" applyAlignment="1" pivotButton="0" quotePrefix="0" xfId="0">
      <alignment horizontal="left" vertical="center"/>
    </xf>
    <xf numFmtId="0" fontId="12"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13" fillId="0" borderId="0" applyAlignment="1" pivotButton="0" quotePrefix="0" xfId="0">
      <alignment horizontal="left" vertical="center"/>
    </xf>
    <xf numFmtId="0" fontId="14" fillId="8" borderId="0" pivotButton="0" quotePrefix="0" xfId="0"/>
    <xf numFmtId="0" fontId="15" fillId="11" borderId="1" applyAlignment="1" pivotButton="0" quotePrefix="0" xfId="0">
      <alignment horizontal="center" vertical="center" wrapText="1"/>
    </xf>
    <xf numFmtId="0" fontId="16" fillId="0" borderId="0" pivotButton="0" quotePrefix="0" xfId="0"/>
    <xf numFmtId="0" fontId="13" fillId="0" borderId="1" applyAlignment="1" pivotButton="0" quotePrefix="0" xfId="0">
      <alignment horizontal="center" vertical="center"/>
    </xf>
    <xf numFmtId="0" fontId="8" fillId="12" borderId="1" pivotButton="0" quotePrefix="0" xfId="0"/>
    <xf numFmtId="164" fontId="0" fillId="0" borderId="1" pivotButton="0" quotePrefix="0" xfId="0"/>
    <xf numFmtId="0" fontId="8" fillId="8" borderId="1" pivotButton="0" quotePrefix="0" xfId="0"/>
  </cellXfs>
  <cellStyles count="1">
    <cellStyle name="Normal" xfId="0" builtinId="0" hidden="0"/>
  </cellStyles>
  <dxfs count="3">
    <dxf>
      <fill>
        <patternFill patternType="solid">
          <fgColor rgb="00FFC000"/>
          <bgColor rgb="00FFC000"/>
        </patternFill>
      </fill>
    </dxf>
    <dxf>
      <font>
        <b val="1"/>
        <color rgb="00FFFFFF"/>
      </font>
      <fill>
        <patternFill patternType="solid">
          <fgColor rgb="00FF0000"/>
          <bgColor rgb="00FF0000"/>
        </patternFill>
      </fill>
    </dxf>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ISMS-IMP-A.5.23.S1  -  Cloud Service Inventory &amp; Classification
ISO/IEC 27001:2022 - Control A.5.19-23: Information Security for Use of Cloud Services</t>
        </is>
      </c>
    </row>
    <row r="3">
      <c r="A3" s="2" t="inlineStr">
        <is>
          <t>Document Information</t>
        </is>
      </c>
    </row>
    <row r="4">
      <c r="A4" s="3" t="inlineStr">
        <is>
          <t>Document ID</t>
        </is>
      </c>
      <c r="B4" t="inlineStr">
        <is>
          <t>ISMS-IMP-A.5.23.S1</t>
        </is>
      </c>
    </row>
    <row r="5">
      <c r="A5" s="3" t="inlineStr">
        <is>
          <t>Workbook Title</t>
        </is>
      </c>
      <c r="B5" t="inlineStr">
        <is>
          <t>Cloud Service Inventory &amp; Classification</t>
        </is>
      </c>
    </row>
    <row r="6">
      <c r="A6" s="3" t="inlineStr">
        <is>
          <t>Control Reference</t>
        </is>
      </c>
      <c r="B6" t="inlineStr">
        <is>
          <t>ISO/IEC 27001:2022 - Control A.5.19-23: Information Security for Use of Cloud Services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assessment sheet for all cloud services in your inventory.</t>
        </is>
      </c>
    </row>
    <row r="14">
      <c r="A14" t="inlineStr">
        <is>
          <t>2. Use dropdown menus for standardised entries.</t>
        </is>
      </c>
    </row>
    <row r="15">
      <c r="A15" t="inlineStr">
        <is>
          <t>3. Fill in yellow-highlighted cells with your service-specific information.</t>
        </is>
      </c>
    </row>
    <row r="16">
      <c r="A16" t="inlineStr">
        <is>
          <t>4. Complete regulatory columns (Y-AG) for DORA/NIS2/AI Act/CLOUD Act as applicable.</t>
        </is>
      </c>
    </row>
    <row r="17">
      <c r="A17" t="inlineStr">
        <is>
          <t>5. Provide evidence location for each inventory entry.</t>
        </is>
      </c>
    </row>
    <row r="18">
      <c r="A18" t="inlineStr">
        <is>
          <t>6. Classify each service by deployment model, data sensitivity, and business criticality.</t>
        </is>
      </c>
    </row>
    <row r="19">
      <c r="A19" t="inlineStr">
        <is>
          <t>7. Update the inventory when cloud services are added, changed, or decommissioned.</t>
        </is>
      </c>
    </row>
    <row r="20">
      <c r="A20" t="inlineStr">
        <is>
          <t>8. Summary Dashboard auto-calculates compliance statistics.</t>
        </is>
      </c>
    </row>
    <row r="21">
      <c r="A21" t="inlineStr">
        <is>
          <t>9. Maintain the Evidence Register with all supporting documentation.</t>
        </is>
      </c>
    </row>
    <row r="22">
      <c r="A22" t="inlineStr">
        <is>
          <t>10. Obtain final approval and sign-off from Cloud Security Owner and CISO.</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row r="31">
      <c r="A31" s="2" t="inlineStr">
        <is>
          <t>Regulatory Compliance</t>
        </is>
      </c>
    </row>
    <row r="32">
      <c r="A32" t="inlineStr">
        <is>
          <t>This workbook includes regulatory compliance tracking for:</t>
        </is>
      </c>
    </row>
    <row r="33">
      <c r="A33" t="inlineStr">
        <is>
          <t>• DORA (Digital Operational Resilience Act) — EU financial entity requirements</t>
        </is>
      </c>
    </row>
    <row r="34">
      <c r="A34" t="inlineStr">
        <is>
          <t>• NIS2 (Network and Information Security Directive 2) — Essential/important entities</t>
        </is>
      </c>
    </row>
    <row r="35">
      <c r="A35" t="inlineStr">
        <is>
          <t>• EU AI Act — AI system classification and provider evaluation</t>
        </is>
      </c>
    </row>
    <row r="36">
      <c r="A36" t="inlineStr">
        <is>
          <t>• US CLOUD Act — Jurisdictional risk for US-headquartered providers</t>
        </is>
      </c>
    </row>
    <row r="37">
      <c r="A37" t="inlineStr"/>
    </row>
    <row r="38">
      <c r="A38" t="inlineStr">
        <is>
          <t>Regulatory columns (Y–AG) are included in each assessment sheet.</t>
        </is>
      </c>
    </row>
    <row r="39">
      <c r="A39" t="inlineStr">
        <is>
          <t>Complete only the regulatory sections applicable to your organisation.</t>
        </is>
      </c>
    </row>
    <row r="41">
      <c r="A41" s="2" t="inlineStr">
        <is>
          <t>Acceptable Evidence (examples)</t>
        </is>
      </c>
    </row>
    <row r="42">
      <c r="A42" t="inlineStr">
        <is>
          <t>✓ Cloud service contracts and terms of service</t>
        </is>
      </c>
    </row>
    <row r="43">
      <c r="A43" t="inlineStr">
        <is>
          <t>✓ Data Processing Agreement (DPA) / Addendum</t>
        </is>
      </c>
    </row>
    <row r="44">
      <c r="A44" t="inlineStr">
        <is>
          <t>✓ Service Level Agreement (SLA)</t>
        </is>
      </c>
    </row>
    <row r="45">
      <c r="A45" t="inlineStr">
        <is>
          <t>✓ ISO 27001 / ISO 27017 / ISO 27018 certificate (current)</t>
        </is>
      </c>
    </row>
    <row r="46">
      <c r="A46" t="inlineStr">
        <is>
          <t>✓ SOC 2 Type II report (within last 12 months)</t>
        </is>
      </c>
    </row>
    <row r="47">
      <c r="A47" t="inlineStr">
        <is>
          <t>✓ CSA STAR registration or certification</t>
        </is>
      </c>
    </row>
    <row r="48">
      <c r="A48" t="inlineStr">
        <is>
          <t>✓ GDPR/nFADP compliance attestation</t>
        </is>
      </c>
    </row>
    <row r="49">
      <c r="A49" t="inlineStr">
        <is>
          <t>✓ Data residency and sovereignty documentation</t>
        </is>
      </c>
    </row>
    <row r="50">
      <c r="A50" t="inlineStr">
        <is>
          <t>✓ Cloud service architecture diagrams</t>
        </is>
      </c>
    </row>
    <row r="51">
      <c r="A51" t="inlineStr">
        <is>
          <t>✓ Business impact assessment for each cloud service</t>
        </is>
      </c>
    </row>
    <row r="52">
      <c r="A52" t="inlineStr">
        <is>
          <t>✓ Risk assessment documentation</t>
        </is>
      </c>
    </row>
    <row r="53">
      <c r="A53" t="inlineStr">
        <is>
          <t>✓ Shared responsibility model documentation</t>
        </is>
      </c>
    </row>
    <row r="54">
      <c r="A54" t="inlineStr">
        <is>
          <t>✓ Exit strategy and data portability plan</t>
        </is>
      </c>
    </row>
    <row r="55">
      <c r="A55" t="inlineStr">
        <is>
          <t>✓ Encryption and key management documentation</t>
        </is>
      </c>
    </row>
    <row r="56">
      <c r="A56" t="inlineStr">
        <is>
          <t>✓ Jurisdictional risk assessment (for US-nexus providers)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83"/>
  <sheetViews>
    <sheetView showGridLines="0" workbookViewId="0">
      <pane ySplit="6" topLeftCell="A7" activePane="bottomLeft" state="frozen"/>
      <selection pane="bottomLeft" activeCell="A1" sqref="A1"/>
    </sheetView>
  </sheetViews>
  <sheetFormatPr baseColWidth="8" defaultRowHeight="15"/>
  <cols>
    <col width="30" customWidth="1" min="1" max="1"/>
    <col width="18" customWidth="1" min="2" max="2"/>
    <col width="25" customWidth="1" min="3" max="3"/>
    <col width="18" customWidth="1" min="4" max="4"/>
    <col width="18" customWidth="1" min="5" max="5"/>
    <col width="18" customWidth="1" min="6" max="6"/>
    <col width="18" customWidth="1" min="7" max="7"/>
    <col width="15" customWidth="1" min="8" max="8"/>
    <col width="30" customWidth="1" min="9" max="9"/>
    <col width="35" customWidth="1" min="10" max="10"/>
    <col width="14" customWidth="1" min="11" max="11"/>
    <col width="14" customWidth="1" min="12" max="12"/>
    <col width="14" customWidth="1" min="13" max="13"/>
    <col width="30" customWidth="1" min="14" max="14"/>
    <col width="22" customWidth="1" min="15" max="15"/>
    <col width="18" customWidth="1" min="16" max="16"/>
    <col width="16" customWidth="1" min="17" max="17"/>
    <col width="16" customWidth="1" min="18" max="18"/>
    <col width="18" customWidth="1" min="19" max="19"/>
    <col width="14" customWidth="1" min="20" max="20"/>
    <col width="14" customWidth="1" min="21" max="21"/>
    <col width="16" customWidth="1" min="22" max="22"/>
    <col width="16" customWidth="1" min="23" max="23"/>
    <col width="16" customWidth="1" min="24" max="24"/>
    <col width="20" customWidth="1" min="25" max="25"/>
    <col width="20" customWidth="1" min="26" max="26"/>
    <col width="25" customWidth="1" min="27" max="27"/>
    <col width="16" customWidth="1" min="28" max="28"/>
    <col width="14" customWidth="1" min="29" max="29"/>
    <col width="14" customWidth="1" min="30" max="30"/>
    <col width="18" customWidth="1" min="31" max="31"/>
    <col width="18" customWidth="1" min="32" max="32"/>
    <col width="16" customWidth="1" min="33" max="33"/>
  </cols>
  <sheetData>
    <row r="1" ht="35" customHeight="1">
      <c r="A1" s="11" t="inlineStr">
        <is>
          <t>SAAS SERVICES INVENTORY
All SaaS applications must be documented with data classification (Policy S5 Section 2.1)</t>
        </is>
      </c>
    </row>
    <row r="2">
      <c r="A2" s="12" t="inlineStr">
        <is>
          <t>SaaS Services | Inventory and regulatory assessment of all Software-as-a-Service applications (DORA / NIS2 / AI Act / CLOUD Act)</t>
        </is>
      </c>
    </row>
    <row r="3">
      <c r="A3" s="13" t="inlineStr">
        <is>
          <t>Does your organisation use SaaS applications?</t>
        </is>
      </c>
    </row>
    <row r="4">
      <c r="A4" t="inlineStr">
        <is>
          <t>Response:</t>
        </is>
      </c>
      <c r="B4" s="14" t="n"/>
    </row>
    <row r="6">
      <c r="A6" s="15" t="inlineStr">
        <is>
          <t>Cloud Service Name</t>
        </is>
      </c>
      <c r="B6" s="15" t="inlineStr">
        <is>
          <t>Service Type</t>
        </is>
      </c>
      <c r="C6" s="15" t="inlineStr">
        <is>
          <t>Vendor Name</t>
        </is>
      </c>
      <c r="D6" s="15" t="inlineStr">
        <is>
          <t>Service Criticality</t>
        </is>
      </c>
      <c r="E6" s="15" t="inlineStr">
        <is>
          <t>Data Classification</t>
        </is>
      </c>
      <c r="F6" s="15" t="inlineStr">
        <is>
          <t>Data Residency</t>
        </is>
      </c>
      <c r="G6" s="15" t="inlineStr">
        <is>
          <t>Contract Status</t>
        </is>
      </c>
      <c r="H6" s="15" t="inlineStr">
        <is>
          <t>Status</t>
        </is>
      </c>
      <c r="I6" s="15" t="inlineStr">
        <is>
          <t>Evidence Location</t>
        </is>
      </c>
      <c r="J6" s="15" t="inlineStr">
        <is>
          <t>Gap Description</t>
        </is>
      </c>
      <c r="K6" s="15" t="inlineStr">
        <is>
          <t>Remediation Needed</t>
        </is>
      </c>
      <c r="L6" s="15" t="inlineStr">
        <is>
          <t>Exception ID</t>
        </is>
      </c>
      <c r="M6" s="15" t="inlineStr">
        <is>
          <t>Risk ID</t>
        </is>
      </c>
      <c r="N6" s="15" t="inlineStr">
        <is>
          <t>Compensating Controls</t>
        </is>
      </c>
      <c r="O6" s="15" t="inlineStr">
        <is>
          <t>Service Owner</t>
        </is>
      </c>
      <c r="P6" s="15" t="inlineStr">
        <is>
          <t>Target Remediation Date</t>
        </is>
      </c>
      <c r="Q6" s="15" t="inlineStr">
        <is>
          <t>Budget Impact</t>
        </is>
      </c>
      <c r="R6" s="15" t="inlineStr">
        <is>
          <t>Monthly Cost CHF</t>
        </is>
      </c>
      <c r="S6" s="15" t="inlineStr">
        <is>
          <t>Annual Contract Value</t>
        </is>
      </c>
      <c r="T6" s="15" t="inlineStr">
        <is>
          <t>Licensed Users</t>
        </is>
      </c>
      <c r="U6" s="15" t="inlineStr">
        <is>
          <t>Integration Count</t>
        </is>
      </c>
      <c r="V6" s="15" t="inlineStr">
        <is>
          <t>Backup Available</t>
        </is>
      </c>
      <c r="W6" s="15" t="inlineStr">
        <is>
          <t>Exit Feasibility</t>
        </is>
      </c>
      <c r="X6" s="15" t="inlineStr">
        <is>
          <t>Last Review Date</t>
        </is>
      </c>
      <c r="Y6" s="15" t="inlineStr">
        <is>
          <t>Provider HQ Jurisdiction</t>
        </is>
      </c>
      <c r="Z6" s="15" t="inlineStr">
        <is>
          <t>CLOUD Act Exposure</t>
        </is>
      </c>
      <c r="AA6" s="15" t="inlineStr">
        <is>
          <t>Data Processing Locations</t>
        </is>
      </c>
      <c r="AB6" s="15" t="inlineStr">
        <is>
          <t>EU Data Boundary</t>
        </is>
      </c>
      <c r="AC6" s="15" t="inlineStr">
        <is>
          <t>DORA In Scope</t>
        </is>
      </c>
      <c r="AD6" s="15" t="inlineStr">
        <is>
          <t>NIS2 In Scope</t>
        </is>
      </c>
      <c r="AE6" s="15" t="inlineStr">
        <is>
          <t>AI Classification</t>
        </is>
      </c>
      <c r="AF6" s="15" t="inlineStr">
        <is>
          <t>Concentration Risk</t>
        </is>
      </c>
      <c r="AG6" s="15" t="inlineStr">
        <is>
          <t>Alternatives Identified</t>
        </is>
      </c>
    </row>
    <row r="8">
      <c r="A8" s="16" t="inlineStr">
        <is>
          <t>Example: Microsoft 365</t>
        </is>
      </c>
      <c r="B8" s="17" t="inlineStr">
        <is>
          <t>SaaS</t>
        </is>
      </c>
      <c r="C8" s="17" t="inlineStr">
        <is>
          <t>Microsoft</t>
        </is>
      </c>
      <c r="D8" s="17" t="inlineStr">
        <is>
          <t>Critical</t>
        </is>
      </c>
      <c r="E8" s="17" t="n"/>
      <c r="F8" s="17" t="n"/>
      <c r="G8" s="17" t="n"/>
      <c r="H8" s="17" t="inlineStr">
        <is>
          <t>✅ Compliant</t>
        </is>
      </c>
      <c r="I8" s="17" t="n"/>
      <c r="J8" s="17" t="n"/>
      <c r="K8" s="17" t="n"/>
      <c r="L8" s="17" t="n"/>
      <c r="M8" s="17" t="n"/>
      <c r="N8" s="17" t="n"/>
      <c r="O8" s="17" t="n"/>
      <c r="P8" s="17" t="n"/>
      <c r="Q8" s="17" t="n"/>
      <c r="R8" s="17" t="n"/>
      <c r="S8" s="17" t="n"/>
      <c r="T8" s="17" t="n"/>
      <c r="U8" s="17" t="n"/>
      <c r="V8" s="17" t="n"/>
      <c r="W8" s="17" t="n"/>
      <c r="X8" s="17" t="n"/>
      <c r="Y8" s="17" t="inlineStr">
        <is>
          <t>United States</t>
        </is>
      </c>
      <c r="Z8" s="17" t="inlineStr">
        <is>
          <t>Mitigated (EU Data Boundary)</t>
        </is>
      </c>
      <c r="AA8" s="17" t="n"/>
      <c r="AB8" s="17" t="n"/>
      <c r="AC8" s="17" t="inlineStr">
        <is>
          <t>Yes</t>
        </is>
      </c>
      <c r="AD8" s="17" t="inlineStr">
        <is>
          <t>Yes</t>
        </is>
      </c>
      <c r="AE8" s="17" t="n"/>
      <c r="AF8" s="17" t="inlineStr">
        <is>
          <t>High (Few alternatives)</t>
        </is>
      </c>
      <c r="AG8" s="17" t="n"/>
    </row>
    <row r="9">
      <c r="A9" s="14" t="n"/>
      <c r="B9" s="14" t="n"/>
      <c r="C9" s="14" t="n"/>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row>
    <row r="10">
      <c r="A10" s="14" t="n"/>
      <c r="B10" s="14" t="n"/>
      <c r="C10" s="14" t="n"/>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row>
    <row r="11">
      <c r="A11" s="14" t="n"/>
      <c r="B11" s="14" t="n"/>
      <c r="C11" s="14" t="n"/>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row>
    <row r="12">
      <c r="A12" s="14" t="n"/>
      <c r="B12" s="14" t="n"/>
      <c r="C12" s="14" t="n"/>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row>
    <row r="13">
      <c r="A13" s="14" t="n"/>
      <c r="B13" s="14" t="n"/>
      <c r="C13" s="14" t="n"/>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c r="AA13" s="14" t="n"/>
      <c r="AB13" s="14" t="n"/>
      <c r="AC13" s="14" t="n"/>
      <c r="AD13" s="14" t="n"/>
      <c r="AE13" s="14" t="n"/>
      <c r="AF13" s="14" t="n"/>
      <c r="AG13" s="14" t="n"/>
    </row>
    <row r="14">
      <c r="A14" s="14" t="n"/>
      <c r="B14" s="14" t="n"/>
      <c r="C14" s="14" t="n"/>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c r="AA14" s="14" t="n"/>
      <c r="AB14" s="14" t="n"/>
      <c r="AC14" s="14" t="n"/>
      <c r="AD14" s="14" t="n"/>
      <c r="AE14" s="14" t="n"/>
      <c r="AF14" s="14" t="n"/>
      <c r="AG14" s="14" t="n"/>
    </row>
    <row r="15">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row>
    <row r="16">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row>
    <row r="17">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c r="AA17" s="14" t="n"/>
      <c r="AB17" s="14" t="n"/>
      <c r="AC17" s="14" t="n"/>
      <c r="AD17" s="14" t="n"/>
      <c r="AE17" s="14" t="n"/>
      <c r="AF17" s="14" t="n"/>
      <c r="AG17" s="14" t="n"/>
    </row>
    <row r="18">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row>
    <row r="19">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c r="AB19" s="14" t="n"/>
      <c r="AC19" s="14" t="n"/>
      <c r="AD19" s="14" t="n"/>
      <c r="AE19" s="14" t="n"/>
      <c r="AF19" s="14" t="n"/>
      <c r="AG19" s="14" t="n"/>
    </row>
    <row r="20">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row>
    <row r="21">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row>
    <row r="22">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row>
    <row r="2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row>
    <row r="24">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row>
    <row r="25">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row>
    <row r="26">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row>
    <row r="27">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row>
    <row r="28">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row>
    <row r="29">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row>
    <row r="30">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row>
    <row r="31">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row>
    <row r="32">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row>
    <row r="3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row>
    <row r="34">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row>
    <row r="35">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row>
    <row r="36">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row>
    <row r="37">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row>
    <row r="38">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row>
    <row r="39">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row>
    <row r="40">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row>
    <row r="41">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row>
    <row r="42">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row>
    <row r="4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row>
    <row r="44">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row>
    <row r="45">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row>
    <row r="46">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row>
    <row r="47">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row>
    <row r="48">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row>
    <row r="49">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row>
    <row r="50">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row>
    <row r="51">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row>
    <row r="52">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row>
    <row r="5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row>
    <row r="54">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row>
    <row r="55">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row>
    <row r="56">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row>
    <row r="57">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row>
    <row r="58">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row>
    <row r="61">
      <c r="A61" s="18" t="inlineStr">
        <is>
          <t>COMPLIANCE CHECKLIST</t>
        </is>
      </c>
    </row>
    <row r="63">
      <c r="A63" s="15" t="inlineStr">
        <is>
          <t>Item</t>
        </is>
      </c>
      <c r="B63" s="15" t="inlineStr">
        <is>
          <t>Requirement</t>
        </is>
      </c>
      <c r="C63" s="15" t="inlineStr">
        <is>
          <t>Status</t>
        </is>
      </c>
      <c r="D63" s="15" t="inlineStr">
        <is>
          <t>Evidence</t>
        </is>
      </c>
    </row>
    <row r="64">
      <c r="A64" t="inlineStr">
        <is>
          <t>☐</t>
        </is>
      </c>
      <c r="B64" t="inlineStr">
        <is>
          <t>All cloud services documented in CMDB</t>
        </is>
      </c>
      <c r="C64" s="14" t="n"/>
      <c r="D64" t="inlineStr">
        <is>
          <t>CMDB export</t>
        </is>
      </c>
    </row>
    <row r="65">
      <c r="A65" t="inlineStr">
        <is>
          <t>☐</t>
        </is>
      </c>
      <c r="B65" t="inlineStr">
        <is>
          <t>Data classification assigned</t>
        </is>
      </c>
      <c r="C65" s="14" t="n"/>
      <c r="D65" t="inlineStr">
        <is>
          <t>Data classification matrix</t>
        </is>
      </c>
    </row>
    <row r="66">
      <c r="A66" t="inlineStr">
        <is>
          <t>☐</t>
        </is>
      </c>
      <c r="B66" t="inlineStr">
        <is>
          <t>Service criticality assessed (BIA)</t>
        </is>
      </c>
      <c r="C66" s="14" t="n"/>
      <c r="D66" t="inlineStr">
        <is>
          <t>Business impact analysis</t>
        </is>
      </c>
    </row>
    <row r="67">
      <c r="A67" t="inlineStr">
        <is>
          <t>☐</t>
        </is>
      </c>
      <c r="B67" t="inlineStr">
        <is>
          <t>Service owner identified</t>
        </is>
      </c>
      <c r="C67" s="14" t="n"/>
      <c r="D67" t="inlineStr">
        <is>
          <t>RACI matrix</t>
        </is>
      </c>
    </row>
    <row r="68">
      <c r="A68" t="inlineStr">
        <is>
          <t>☐</t>
        </is>
      </c>
      <c r="B68" t="inlineStr">
        <is>
          <t>Contract status tracked</t>
        </is>
      </c>
      <c r="C68" s="14" t="n"/>
      <c r="D68" t="inlineStr">
        <is>
          <t>Contract management system</t>
        </is>
      </c>
    </row>
    <row r="69">
      <c r="A69" t="inlineStr">
        <is>
          <t>☐</t>
        </is>
      </c>
      <c r="B69" t="inlineStr">
        <is>
          <t>Monthly costs documented</t>
        </is>
      </c>
      <c r="C69" s="14" t="n"/>
      <c r="D69" t="inlineStr">
        <is>
          <t>Finance system</t>
        </is>
      </c>
    </row>
    <row r="70">
      <c r="A70" t="inlineStr">
        <is>
          <t>☐</t>
        </is>
      </c>
      <c r="B70" t="inlineStr">
        <is>
          <t>User license count verified</t>
        </is>
      </c>
      <c r="C70" s="14" t="n"/>
      <c r="D70" t="inlineStr">
        <is>
          <t>License report</t>
        </is>
      </c>
    </row>
    <row r="71">
      <c r="A71" t="inlineStr">
        <is>
          <t>☐</t>
        </is>
      </c>
      <c r="B71" t="inlineStr">
        <is>
          <t>Integration dependencies mapped</t>
        </is>
      </c>
      <c r="C71" s="14" t="n"/>
      <c r="D71" t="inlineStr">
        <is>
          <t>Architecture diagram</t>
        </is>
      </c>
    </row>
    <row r="72">
      <c r="A72" t="inlineStr">
        <is>
          <t>☐</t>
        </is>
      </c>
      <c r="B72" t="inlineStr">
        <is>
          <t>Backup strategy defined</t>
        </is>
      </c>
      <c r="C72" s="14" t="n"/>
      <c r="D72" t="inlineStr">
        <is>
          <t>BC/DR plan</t>
        </is>
      </c>
    </row>
    <row r="73">
      <c r="A73" t="inlineStr">
        <is>
          <t>☐</t>
        </is>
      </c>
      <c r="B73" t="inlineStr">
        <is>
          <t>Exit feasibility evaluated</t>
        </is>
      </c>
      <c r="C73" s="14" t="n"/>
      <c r="D73" t="inlineStr">
        <is>
          <t>Exit strategy document</t>
        </is>
      </c>
    </row>
    <row r="74">
      <c r="A74" t="inlineStr">
        <is>
          <t>☐</t>
        </is>
      </c>
      <c r="B74" t="inlineStr">
        <is>
          <t>Data residency verified</t>
        </is>
      </c>
      <c r="C74" s="14" t="n"/>
      <c r="D74" t="inlineStr">
        <is>
          <t>Vendor DPA</t>
        </is>
      </c>
    </row>
    <row r="75">
      <c r="A75" t="inlineStr">
        <is>
          <t>☐</t>
        </is>
      </c>
      <c r="B75" t="inlineStr">
        <is>
          <t>Last review date recorded</t>
        </is>
      </c>
      <c r="C75" s="14" t="n"/>
      <c r="D75" t="inlineStr">
        <is>
          <t>Review calendar</t>
        </is>
      </c>
    </row>
    <row r="76">
      <c r="A76" t="inlineStr">
        <is>
          <t>☐</t>
        </is>
      </c>
      <c r="B76" t="inlineStr">
        <is>
          <t>Provider HQ jurisdiction documented</t>
        </is>
      </c>
      <c r="C76" s="14" t="n"/>
      <c r="D76" t="inlineStr">
        <is>
          <t>Vendor documentation</t>
        </is>
      </c>
    </row>
    <row r="77">
      <c r="A77" t="inlineStr">
        <is>
          <t>☐</t>
        </is>
      </c>
      <c r="B77" t="inlineStr">
        <is>
          <t>CLOUD Act exposure assessed</t>
        </is>
      </c>
      <c r="C77" s="14" t="n"/>
      <c r="D77" t="inlineStr">
        <is>
          <t>Risk assessment</t>
        </is>
      </c>
    </row>
    <row r="78">
      <c r="A78" t="inlineStr">
        <is>
          <t>☐</t>
        </is>
      </c>
      <c r="B78" t="inlineStr">
        <is>
          <t>Data processing locations verified</t>
        </is>
      </c>
      <c r="C78" s="14" t="n"/>
      <c r="D78" t="inlineStr">
        <is>
          <t>DPA, vendor statement</t>
        </is>
      </c>
    </row>
    <row r="79">
      <c r="A79" t="inlineStr">
        <is>
          <t>☐</t>
        </is>
      </c>
      <c r="B79" t="inlineStr">
        <is>
          <t>DORA applicability determined</t>
        </is>
      </c>
      <c r="C79" s="14" t="n"/>
      <c r="D79" t="inlineStr">
        <is>
          <t>Regulatory review</t>
        </is>
      </c>
    </row>
    <row r="80">
      <c r="A80" t="inlineStr">
        <is>
          <t>☐</t>
        </is>
      </c>
      <c r="B80" t="inlineStr">
        <is>
          <t>NIS2 applicability determined</t>
        </is>
      </c>
      <c r="C80" s="14" t="n"/>
      <c r="D80" t="inlineStr">
        <is>
          <t>Regulatory review</t>
        </is>
      </c>
    </row>
    <row r="81">
      <c r="A81" t="inlineStr">
        <is>
          <t>☐</t>
        </is>
      </c>
      <c r="B81" t="inlineStr">
        <is>
          <t>AI system classification assessed</t>
        </is>
      </c>
      <c r="C81" s="14" t="n"/>
      <c r="D81" t="inlineStr">
        <is>
          <t>AI inventory</t>
        </is>
      </c>
    </row>
    <row r="82">
      <c r="A82" t="inlineStr">
        <is>
          <t>☐</t>
        </is>
      </c>
      <c r="B82" t="inlineStr">
        <is>
          <t>Concentration risk evaluated</t>
        </is>
      </c>
      <c r="C82" s="14" t="n"/>
      <c r="D82" t="inlineStr">
        <is>
          <t>Risk assessment</t>
        </is>
      </c>
    </row>
    <row r="83">
      <c r="A83" t="inlineStr">
        <is>
          <t>☐</t>
        </is>
      </c>
      <c r="B83" t="inlineStr">
        <is>
          <t>Alternative providers identified</t>
        </is>
      </c>
      <c r="C83" s="14" t="n"/>
      <c r="D83" t="inlineStr">
        <is>
          <t>Market analysis</t>
        </is>
      </c>
    </row>
  </sheetData>
  <mergeCells count="4">
    <mergeCell ref="A2:AG2"/>
    <mergeCell ref="A1:AG1"/>
    <mergeCell ref="A61:D61"/>
    <mergeCell ref="A3:AG3"/>
  </mergeCells>
  <dataValidations count="20">
    <dataValidation sqref="B4" showDropDown="0" showInputMessage="0" showErrorMessage="0" allowBlank="0" type="list">
      <formula1>"Yes,No,Partial,Under Review"</formula1>
    </dataValidation>
    <dataValidation sqref="C64 C65 C66 C67 C68 C69 C70 C71 C72 C73 C74 C75 C76 C77 C78 C79 C80 C81 C82 C83" showDropDown="0" showInputMessage="0" showErrorMessage="0" allowBlank="1" type="list">
      <formula1>"✅,⚠,❌"</formula1>
    </dataValidation>
    <dataValidation sqref="B8 B9 B10 B11 B12 B13 B14 B15 B16 B17 B18 B19 B20 B21 B22 B23 B24 B25 B26 B27 B28 B29 B30 B31 B32 B33 B34 B35 B36 B37 B38 B39 B40 B41 B42 B43 B44 B45 B46 B47 B48 B49 B50 B51 B52 B53 B54 B55 B56 B57 B58" showDropDown="0" showInputMessage="0" showErrorMessage="0" allowBlank="1" type="list">
      <formula1>"SaaS,IaaS,PaaS,Security,Storage,Collaboration,Other"</formula1>
    </dataValidation>
    <dataValidation sqref="D8 D9 D10 D11 D12 D13 D14 D15 D16 D17 D18 D19 D20 D21 D22 D23 D24 D25 D26 D27 D28 D29 D30 D31 D32 D33 D34 D35 D36 D37 D38 D39 D40 D41 D42 D43 D44 D45 D46 D47 D48 D49 D50 D51 D52 D53 D54 D55 D56 D57 D58" showDropDown="0" showInputMessage="0" showErrorMessage="0" allowBlank="1" type="list">
      <formula1>"Critical,High,Medium,Low"</formula1>
    </dataValidation>
    <dataValidation sqref="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"Restricted,Confidential,Internal,Public,Mixed,N/A"</formula1>
    </dataValidation>
    <dataValidation sqref="F8 F9 F10 F11 F12 F13 F14 F15 F16 F17 F18 F19 F20 F21 F22 F23 F24 F25 F26 F27 F28 F29 F30 F31 F32 F33 F34 F35 F36 F37 F38 F39 F40 F41 F42 F43 F44 F45 F46 F47 F48 F49 F50 F51 F52 F53 F54 F55 F56 F57 F58" showDropDown="0" showInputMessage="0" showErrorMessage="0" allowBlank="1" type="list">
      <formula1>"Switzerland,EU,USA,Global,Unknown"</formula1>
    </dataValidation>
    <dataValidation sqref="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"Active,Renewal Due,Expired,Under Negotiation,Trial"</formula1>
    </dataValidation>
    <dataValidation sqref="H8 H9 H10 H11 H12 H13 H14 H15 H16 H17 H18 H19 H20 H21 H22 H23 H24 H25 H26 H27 H28 H29 H30 H31 H32 H33 H34 H35 H36 H37 H38 H39 H40 H41 H42 H43 H44 H45 H46 H47 H48 H49 H50 H51 H52 H53 H54 H55 H56 H57 H58" showDropDown="0" showInputMessage="0" showErrorMessage="0" allowBlank="1" type="list">
      <formula1>"✅ Compliant,⚠️ Partial,❌ Non-Compliant,N/A"</formula1>
    </dataValidation>
    <dataValidation sqref="K8 K9 K10 K11 K12 K13 K14 K15 K16 K17 K18 K19 K20 K21 K22 K23 K24 K25 K26 K27 K28 K29 K30 K31 K32 K33 K34 K35 K36 K37 K38 K39 K40 K41 K42 K43 K44 K45 K46 K47 K48 K49 K50 K51 K52 K53 K54 K55 K56 K57 K58" showDropDown="0" showInputMessage="0" showErrorMessage="0" allowBlank="1" type="list">
      <formula1>"Yes,No"</formula1>
    </dataValidation>
    <dataValidation sqref="Q8 Q9 Q10 Q11 Q12 Q13 Q14 Q15 Q16 Q17 Q18 Q19 Q20 Q21 Q22 Q23 Q24 Q25 Q26 Q27 Q28 Q29 Q30 Q31 Q32 Q33 Q34 Q35 Q36 Q37 Q38 Q39 Q40 Q41 Q42 Q43 Q44 Q45 Q46 Q47 Q48 Q49 Q50 Q51 Q52 Q53 Q54 Q55 Q56 Q57 Q58" showDropDown="0" showInputMessage="0" showErrorMessage="0" allowBlank="1" type="list">
      <formula1>"High (&gt;$50K),Medium ($10K-$50K),Low (&lt;$10K),None"</formula1>
    </dataValidation>
    <dataValidation sqref="V8 V9 V10 V11 V12 V13 V14 V15 V16 V17 V18 V19 V20 V21 V22 V23 V24 V25 V26 V27 V28 V29 V30 V31 V32 V33 V34 V35 V36 V37 V38 V39 V40 V41 V42 V43 V44 V45 V46 V47 V48 V49 V50 V51 V52 V53 V54 V55 V56 V57 V58" showDropDown="0" showInputMessage="0" showErrorMessage="0" allowBlank="1" type="list">
      <formula1>"Yes,No,Planned,Unknown"</formula1>
    </dataValidation>
    <dataValidation sqref="W8 W9 W10 W11 W12 W13 W14 W15 W16 W17 W18 W19 W20 W21 W22 W23 W24 W25 W26 W27 W28 W29 W30 W31 W32 W33 W34 W35 W36 W37 W38 W39 W40 W41 W42 W43 W44 W45 W46 W47 W48 W49 W50 W51 W52 W53 W54 W55 W56 W57 W58" showDropDown="0" showInputMessage="0" showErrorMessage="0" allowBlank="1" type="list">
      <formula1>"Easy (≤30 days),Medium (31-90 days),Hard (&gt;90 days),Unknown"</formula1>
    </dataValidation>
    <dataValidation sqref="Y8 Y9 Y10 Y11 Y12 Y13 Y14 Y15 Y16 Y17 Y18 Y19 Y20 Y21 Y22 Y23 Y24 Y25 Y26 Y27 Y28 Y29 Y30 Y31 Y32 Y33 Y34 Y35 Y36 Y37 Y38 Y39 Y40 Y41 Y42 Y43 Y44 Y45 Y46 Y47 Y48 Y49 Y50 Y51 Y52 Y53 Y54 Y55 Y56 Y57 Y58" showDropDown="0" showInputMessage="0" showErrorMessage="0" allowBlank="1" type="list">
      <formula1>"Switzerland,EU/EEA,United Kingdom,United States,Other Adequate Country,Non-Adequate Country"</formula1>
    </dataValidation>
    <dataValidation sqref="Z8 Z9 Z10 Z11 Z12 Z13 Z14 Z15 Z16 Z17 Z18 Z19 Z20 Z21 Z22 Z23 Z24 Z25 Z26 Z27 Z28 Z29 Z30 Z31 Z32 Z33 Z34 Z35 Z36 Z37 Z38 Z39 Z40 Z41 Z42 Z43 Z44 Z45 Z46 Z47 Z48 Z49 Z50 Z51 Z52 Z53 Z54 Z55 Z56 Z57 Z58" showDropDown="0" showInputMessage="0" showErrorMessage="0" allowBlank="1" type="list">
      <formula1>"No Exposure,Potential Exposure (US HQ),Mitigated (EU Data Boundary),Mitigated (Encryption + Key Control),Accepted Risk (Documented),Under Assessment"</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showDropDown="0" showInputMessage="0" showErrorMessage="0" allowBlank="1" type="list">
      <formula1>"Yes,No,Partial,Unknown"</formula1>
    </dataValidation>
    <dataValidation sqref="AC8 AC9 AC10 AC11 AC12 AC13 AC14 AC15 AC16 AC17 AC18 AC19 AC20 AC21 AC22 AC23 AC24 AC25 AC26 AC27 AC28 AC29 AC30 AC31 AC32 AC33 AC34 AC35 AC36 AC37 AC38 AC39 AC40 AC41 AC42 AC43 AC44 AC45 AC46 AC47 AC48 AC49 AC50 AC51 AC52 AC53 AC54 AC55 AC56 AC57 AC58" showDropDown="0" showInputMessage="0" showErrorMessage="0" allowBlank="1" type="list">
      <formula1>"Yes,No,Not Determined"</formula1>
    </dataValidation>
    <dataValidation sqref="AD8 AD9 AD10 AD11 AD12 AD13 AD14 AD15 AD16 AD17 AD18 AD19 AD20 AD21 AD22 AD23 AD24 AD25 AD26 AD27 AD28 AD29 AD30 AD31 AD32 AD33 AD34 AD35 AD36 AD37 AD38 AD39 AD40 AD41 AD42 AD43 AD44 AD45 AD46 AD47 AD48 AD49 AD50 AD51 AD52 AD53 AD54 AD55 AD56 AD57 AD58" showDropDown="0" showInputMessage="0" showErrorMessage="0" allowBlank="1" type="list">
      <formula1>"Yes,No,Not Determined"</formula1>
    </dataValidation>
    <dataValidation sqref="AE8 AE9 AE10 AE11 AE12 AE13 AE14 AE15 AE16 AE17 AE18 AE19 AE20 AE21 AE22 AE23 AE24 AE25 AE26 AE27 AE28 AE29 AE30 AE31 AE32 AE33 AE34 AE35 AE36 AE37 AE38 AE39 AE40 AE41 AE42 AE43 AE44 AE45 AE46 AE47 AE48 AE49 AE50 AE51 AE52 AE53 AE54 AE55 AE56 AE57 AE58" showDropDown="0" showInputMessage="0" showErrorMessage="0" allowBlank="1" type="list">
      <formula1>"Not Applicable,Minimal Risk,Limited Risk (Transparency),High Risk,Unacceptable Risk (Prohibited)"</formula1>
    </dataValidation>
    <dataValidation sqref="AF8 AF9 AF10 AF11 AF12 AF13 AF14 AF15 AF16 AF17 AF18 AF19 AF20 AF21 AF22 AF23 AF24 AF25 AF26 AF27 AF28 AF29 AF30 AF31 AF32 AF33 AF34 AF35 AF36 AF37 AF38 AF39 AF40 AF41 AF42 AF43 AF44 AF45 AF46 AF47 AF48 AF49 AF50 AF51 AF52 AF53 AF54 AF55 AF56 AF57 AF58" showDropDown="0" showInputMessage="0" showErrorMessage="0" allowBlank="1" type="list">
      <formula1>"Low (Multiple alternatives),Medium (Limited alternatives),High (Few alternatives),Critical (Single provider dependency)"</formula1>
    </dataValidation>
    <dataValidation sqref="AG8 AG9 AG10 AG11 AG12 AG13 AG14 AG15 AG16 AG17 AG18 AG19 AG20 AG21 AG22 AG23 AG24 AG25 AG26 AG27 AG28 AG29 AG30 AG31 AG32 AG33 AG34 AG35 AG36 AG37 AG38 AG39 AG40 AG41 AG42 AG43 AG44 AG45 AG46 AG47 AG48 AG49 AG50 AG51 AG52 AG53 AG54 AG55 AG56 AG57 AG58" showDropDown="0" showInputMessage="0" showErrorMessage="0" allowBlank="1" type="list">
      <formula1>"Yes,No,Partial"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83"/>
  <sheetViews>
    <sheetView showGridLines="0" workbookViewId="0">
      <pane ySplit="6" topLeftCell="A7" activePane="bottomLeft" state="frozen"/>
      <selection pane="bottomLeft" activeCell="A1" sqref="A1"/>
    </sheetView>
  </sheetViews>
  <sheetFormatPr baseColWidth="8" defaultRowHeight="15"/>
  <cols>
    <col width="30" customWidth="1" min="1" max="1"/>
    <col width="18" customWidth="1" min="2" max="2"/>
    <col width="25" customWidth="1" min="3" max="3"/>
    <col width="18" customWidth="1" min="4" max="4"/>
    <col width="18" customWidth="1" min="5" max="5"/>
    <col width="18" customWidth="1" min="6" max="6"/>
    <col width="18" customWidth="1" min="7" max="7"/>
    <col width="15" customWidth="1" min="8" max="8"/>
    <col width="30" customWidth="1" min="9" max="9"/>
    <col width="35" customWidth="1" min="10" max="10"/>
    <col width="14" customWidth="1" min="11" max="11"/>
    <col width="14" customWidth="1" min="12" max="12"/>
    <col width="14" customWidth="1" min="13" max="13"/>
    <col width="30" customWidth="1" min="14" max="14"/>
    <col width="22" customWidth="1" min="15" max="15"/>
    <col width="18" customWidth="1" min="16" max="16"/>
    <col width="16" customWidth="1" min="17" max="17"/>
    <col width="16" customWidth="1" min="18" max="18"/>
    <col width="18" customWidth="1" min="19" max="19"/>
    <col width="14" customWidth="1" min="20" max="20"/>
    <col width="14" customWidth="1" min="21" max="21"/>
    <col width="16" customWidth="1" min="22" max="22"/>
    <col width="16" customWidth="1" min="23" max="23"/>
    <col width="16" customWidth="1" min="24" max="24"/>
    <col width="20" customWidth="1" min="25" max="25"/>
    <col width="20" customWidth="1" min="26" max="26"/>
    <col width="25" customWidth="1" min="27" max="27"/>
    <col width="16" customWidth="1" min="28" max="28"/>
    <col width="14" customWidth="1" min="29" max="29"/>
    <col width="14" customWidth="1" min="30" max="30"/>
    <col width="18" customWidth="1" min="31" max="31"/>
    <col width="18" customWidth="1" min="32" max="32"/>
    <col width="16" customWidth="1" min="33" max="33"/>
  </cols>
  <sheetData>
    <row r="1" ht="35" customHeight="1">
      <c r="A1" s="11" t="inlineStr">
        <is>
          <t>IAAS/PAAS SERVICES INVENTORY
All infrastructure services must maintain security baselines (Policy S5 Section 2.2)</t>
        </is>
      </c>
    </row>
    <row r="2">
      <c r="A2" s="12" t="inlineStr">
        <is>
          <t>IaaS/PaaS Services | Inventory and regulatory assessment of infrastructure and platform cloud services</t>
        </is>
      </c>
    </row>
    <row r="3">
      <c r="A3" s="13" t="inlineStr">
        <is>
          <t>Does your organisation use IaaS or PaaS services?</t>
        </is>
      </c>
    </row>
    <row r="4">
      <c r="A4" t="inlineStr">
        <is>
          <t>Response:</t>
        </is>
      </c>
      <c r="B4" s="14" t="n"/>
    </row>
    <row r="6">
      <c r="A6" s="15" t="inlineStr">
        <is>
          <t>Cloud Service Name</t>
        </is>
      </c>
      <c r="B6" s="15" t="inlineStr">
        <is>
          <t>Service Type</t>
        </is>
      </c>
      <c r="C6" s="15" t="inlineStr">
        <is>
          <t>Vendor Name</t>
        </is>
      </c>
      <c r="D6" s="15" t="inlineStr">
        <is>
          <t>Service Criticality</t>
        </is>
      </c>
      <c r="E6" s="15" t="inlineStr">
        <is>
          <t>Data Classification</t>
        </is>
      </c>
      <c r="F6" s="15" t="inlineStr">
        <is>
          <t>Data Residency</t>
        </is>
      </c>
      <c r="G6" s="15" t="inlineStr">
        <is>
          <t>Contract Status</t>
        </is>
      </c>
      <c r="H6" s="15" t="inlineStr">
        <is>
          <t>Status</t>
        </is>
      </c>
      <c r="I6" s="15" t="inlineStr">
        <is>
          <t>Evidence Location</t>
        </is>
      </c>
      <c r="J6" s="15" t="inlineStr">
        <is>
          <t>Gap Description</t>
        </is>
      </c>
      <c r="K6" s="15" t="inlineStr">
        <is>
          <t>Remediation Needed</t>
        </is>
      </c>
      <c r="L6" s="15" t="inlineStr">
        <is>
          <t>Exception ID</t>
        </is>
      </c>
      <c r="M6" s="15" t="inlineStr">
        <is>
          <t>Risk ID</t>
        </is>
      </c>
      <c r="N6" s="15" t="inlineStr">
        <is>
          <t>Compensating Controls</t>
        </is>
      </c>
      <c r="O6" s="15" t="inlineStr">
        <is>
          <t>Service Owner</t>
        </is>
      </c>
      <c r="P6" s="15" t="inlineStr">
        <is>
          <t>Target Remediation Date</t>
        </is>
      </c>
      <c r="Q6" s="15" t="inlineStr">
        <is>
          <t>Budget Impact</t>
        </is>
      </c>
      <c r="R6" s="15" t="inlineStr">
        <is>
          <t>Monthly Cost CHF</t>
        </is>
      </c>
      <c r="S6" s="15" t="inlineStr">
        <is>
          <t>Annual Contract Value</t>
        </is>
      </c>
      <c r="T6" s="15" t="inlineStr">
        <is>
          <t>Licensed Users</t>
        </is>
      </c>
      <c r="U6" s="15" t="inlineStr">
        <is>
          <t>Integration Count</t>
        </is>
      </c>
      <c r="V6" s="15" t="inlineStr">
        <is>
          <t>Backup Available</t>
        </is>
      </c>
      <c r="W6" s="15" t="inlineStr">
        <is>
          <t>Exit Feasibility</t>
        </is>
      </c>
      <c r="X6" s="15" t="inlineStr">
        <is>
          <t>Last Review Date</t>
        </is>
      </c>
      <c r="Y6" s="15" t="inlineStr">
        <is>
          <t>Provider HQ Jurisdiction</t>
        </is>
      </c>
      <c r="Z6" s="15" t="inlineStr">
        <is>
          <t>CLOUD Act Exposure</t>
        </is>
      </c>
      <c r="AA6" s="15" t="inlineStr">
        <is>
          <t>Data Processing Locations</t>
        </is>
      </c>
      <c r="AB6" s="15" t="inlineStr">
        <is>
          <t>EU Data Boundary</t>
        </is>
      </c>
      <c r="AC6" s="15" t="inlineStr">
        <is>
          <t>DORA In Scope</t>
        </is>
      </c>
      <c r="AD6" s="15" t="inlineStr">
        <is>
          <t>NIS2 In Scope</t>
        </is>
      </c>
      <c r="AE6" s="15" t="inlineStr">
        <is>
          <t>AI Classification</t>
        </is>
      </c>
      <c r="AF6" s="15" t="inlineStr">
        <is>
          <t>Concentration Risk</t>
        </is>
      </c>
      <c r="AG6" s="15" t="inlineStr">
        <is>
          <t>Alternatives Identified</t>
        </is>
      </c>
    </row>
    <row r="8">
      <c r="A8" s="16" t="inlineStr">
        <is>
          <t>Example: Microsoft 365</t>
        </is>
      </c>
      <c r="B8" s="17" t="inlineStr">
        <is>
          <t>SaaS</t>
        </is>
      </c>
      <c r="C8" s="17" t="inlineStr">
        <is>
          <t>Microsoft</t>
        </is>
      </c>
      <c r="D8" s="17" t="inlineStr">
        <is>
          <t>Critical</t>
        </is>
      </c>
      <c r="E8" s="17" t="n"/>
      <c r="F8" s="17" t="n"/>
      <c r="G8" s="17" t="n"/>
      <c r="H8" s="17" t="inlineStr">
        <is>
          <t>✅ Compliant</t>
        </is>
      </c>
      <c r="I8" s="17" t="n"/>
      <c r="J8" s="17" t="n"/>
      <c r="K8" s="17" t="n"/>
      <c r="L8" s="17" t="n"/>
      <c r="M8" s="17" t="n"/>
      <c r="N8" s="17" t="n"/>
      <c r="O8" s="17" t="n"/>
      <c r="P8" s="17" t="n"/>
      <c r="Q8" s="17" t="n"/>
      <c r="R8" s="17" t="n"/>
      <c r="S8" s="17" t="n"/>
      <c r="T8" s="17" t="n"/>
      <c r="U8" s="17" t="n"/>
      <c r="V8" s="17" t="n"/>
      <c r="W8" s="17" t="n"/>
      <c r="X8" s="17" t="n"/>
      <c r="Y8" s="17" t="inlineStr">
        <is>
          <t>United States</t>
        </is>
      </c>
      <c r="Z8" s="17" t="inlineStr">
        <is>
          <t>Mitigated (EU Data Boundary)</t>
        </is>
      </c>
      <c r="AA8" s="17" t="n"/>
      <c r="AB8" s="17" t="n"/>
      <c r="AC8" s="17" t="inlineStr">
        <is>
          <t>Yes</t>
        </is>
      </c>
      <c r="AD8" s="17" t="inlineStr">
        <is>
          <t>Yes</t>
        </is>
      </c>
      <c r="AE8" s="17" t="n"/>
      <c r="AF8" s="17" t="inlineStr">
        <is>
          <t>High (Few alternatives)</t>
        </is>
      </c>
      <c r="AG8" s="17" t="n"/>
    </row>
    <row r="9">
      <c r="A9" s="14" t="n"/>
      <c r="B9" s="14" t="n"/>
      <c r="C9" s="14" t="n"/>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row>
    <row r="10">
      <c r="A10" s="14" t="n"/>
      <c r="B10" s="14" t="n"/>
      <c r="C10" s="14" t="n"/>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row>
    <row r="11">
      <c r="A11" s="14" t="n"/>
      <c r="B11" s="14" t="n"/>
      <c r="C11" s="14" t="n"/>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row>
    <row r="12">
      <c r="A12" s="14" t="n"/>
      <c r="B12" s="14" t="n"/>
      <c r="C12" s="14" t="n"/>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row>
    <row r="13">
      <c r="A13" s="14" t="n"/>
      <c r="B13" s="14" t="n"/>
      <c r="C13" s="14" t="n"/>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c r="AA13" s="14" t="n"/>
      <c r="AB13" s="14" t="n"/>
      <c r="AC13" s="14" t="n"/>
      <c r="AD13" s="14" t="n"/>
      <c r="AE13" s="14" t="n"/>
      <c r="AF13" s="14" t="n"/>
      <c r="AG13" s="14" t="n"/>
    </row>
    <row r="14">
      <c r="A14" s="14" t="n"/>
      <c r="B14" s="14" t="n"/>
      <c r="C14" s="14" t="n"/>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c r="AA14" s="14" t="n"/>
      <c r="AB14" s="14" t="n"/>
      <c r="AC14" s="14" t="n"/>
      <c r="AD14" s="14" t="n"/>
      <c r="AE14" s="14" t="n"/>
      <c r="AF14" s="14" t="n"/>
      <c r="AG14" s="14" t="n"/>
    </row>
    <row r="15">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row>
    <row r="16">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row>
    <row r="17">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c r="AA17" s="14" t="n"/>
      <c r="AB17" s="14" t="n"/>
      <c r="AC17" s="14" t="n"/>
      <c r="AD17" s="14" t="n"/>
      <c r="AE17" s="14" t="n"/>
      <c r="AF17" s="14" t="n"/>
      <c r="AG17" s="14" t="n"/>
    </row>
    <row r="18">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row>
    <row r="19">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c r="AB19" s="14" t="n"/>
      <c r="AC19" s="14" t="n"/>
      <c r="AD19" s="14" t="n"/>
      <c r="AE19" s="14" t="n"/>
      <c r="AF19" s="14" t="n"/>
      <c r="AG19" s="14" t="n"/>
    </row>
    <row r="20">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row>
    <row r="21">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row>
    <row r="22">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row>
    <row r="2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row>
    <row r="24">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row>
    <row r="25">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row>
    <row r="26">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row>
    <row r="27">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row>
    <row r="28">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row>
    <row r="29">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row>
    <row r="30">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row>
    <row r="31">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row>
    <row r="32">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row>
    <row r="3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row>
    <row r="34">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row>
    <row r="35">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row>
    <row r="36">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row>
    <row r="37">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row>
    <row r="38">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row>
    <row r="39">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row>
    <row r="40">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row>
    <row r="41">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row>
    <row r="42">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row>
    <row r="4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row>
    <row r="44">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row>
    <row r="45">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row>
    <row r="46">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row>
    <row r="47">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row>
    <row r="48">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row>
    <row r="49">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row>
    <row r="50">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row>
    <row r="51">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row>
    <row r="52">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row>
    <row r="5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row>
    <row r="54">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row>
    <row r="55">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row>
    <row r="56">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row>
    <row r="57">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row>
    <row r="58">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row>
    <row r="61">
      <c r="A61" s="18" t="inlineStr">
        <is>
          <t>COMPLIANCE CHECKLIST</t>
        </is>
      </c>
    </row>
    <row r="63">
      <c r="A63" s="15" t="inlineStr">
        <is>
          <t>Item</t>
        </is>
      </c>
      <c r="B63" s="15" t="inlineStr">
        <is>
          <t>Requirement</t>
        </is>
      </c>
      <c r="C63" s="15" t="inlineStr">
        <is>
          <t>Status</t>
        </is>
      </c>
      <c r="D63" s="15" t="inlineStr">
        <is>
          <t>Evidence</t>
        </is>
      </c>
    </row>
    <row r="64">
      <c r="A64" t="inlineStr">
        <is>
          <t>☐</t>
        </is>
      </c>
      <c r="B64" t="inlineStr">
        <is>
          <t>All cloud services documented in CMDB</t>
        </is>
      </c>
      <c r="C64" s="14" t="n"/>
      <c r="D64" t="inlineStr">
        <is>
          <t>CMDB export</t>
        </is>
      </c>
    </row>
    <row r="65">
      <c r="A65" t="inlineStr">
        <is>
          <t>☐</t>
        </is>
      </c>
      <c r="B65" t="inlineStr">
        <is>
          <t>Data classification assigned</t>
        </is>
      </c>
      <c r="C65" s="14" t="n"/>
      <c r="D65" t="inlineStr">
        <is>
          <t>Data classification matrix</t>
        </is>
      </c>
    </row>
    <row r="66">
      <c r="A66" t="inlineStr">
        <is>
          <t>☐</t>
        </is>
      </c>
      <c r="B66" t="inlineStr">
        <is>
          <t>Service criticality assessed (BIA)</t>
        </is>
      </c>
      <c r="C66" s="14" t="n"/>
      <c r="D66" t="inlineStr">
        <is>
          <t>Business impact analysis</t>
        </is>
      </c>
    </row>
    <row r="67">
      <c r="A67" t="inlineStr">
        <is>
          <t>☐</t>
        </is>
      </c>
      <c r="B67" t="inlineStr">
        <is>
          <t>Service owner identified</t>
        </is>
      </c>
      <c r="C67" s="14" t="n"/>
      <c r="D67" t="inlineStr">
        <is>
          <t>RACI matrix</t>
        </is>
      </c>
    </row>
    <row r="68">
      <c r="A68" t="inlineStr">
        <is>
          <t>☐</t>
        </is>
      </c>
      <c r="B68" t="inlineStr">
        <is>
          <t>Contract status tracked</t>
        </is>
      </c>
      <c r="C68" s="14" t="n"/>
      <c r="D68" t="inlineStr">
        <is>
          <t>Contract management system</t>
        </is>
      </c>
    </row>
    <row r="69">
      <c r="A69" t="inlineStr">
        <is>
          <t>☐</t>
        </is>
      </c>
      <c r="B69" t="inlineStr">
        <is>
          <t>Monthly costs documented</t>
        </is>
      </c>
      <c r="C69" s="14" t="n"/>
      <c r="D69" t="inlineStr">
        <is>
          <t>Finance system</t>
        </is>
      </c>
    </row>
    <row r="70">
      <c r="A70" t="inlineStr">
        <is>
          <t>☐</t>
        </is>
      </c>
      <c r="B70" t="inlineStr">
        <is>
          <t>User license count verified</t>
        </is>
      </c>
      <c r="C70" s="14" t="n"/>
      <c r="D70" t="inlineStr">
        <is>
          <t>License report</t>
        </is>
      </c>
    </row>
    <row r="71">
      <c r="A71" t="inlineStr">
        <is>
          <t>☐</t>
        </is>
      </c>
      <c r="B71" t="inlineStr">
        <is>
          <t>Integration dependencies mapped</t>
        </is>
      </c>
      <c r="C71" s="14" t="n"/>
      <c r="D71" t="inlineStr">
        <is>
          <t>Architecture diagram</t>
        </is>
      </c>
    </row>
    <row r="72">
      <c r="A72" t="inlineStr">
        <is>
          <t>☐</t>
        </is>
      </c>
      <c r="B72" t="inlineStr">
        <is>
          <t>Backup strategy defined</t>
        </is>
      </c>
      <c r="C72" s="14" t="n"/>
      <c r="D72" t="inlineStr">
        <is>
          <t>BC/DR plan</t>
        </is>
      </c>
    </row>
    <row r="73">
      <c r="A73" t="inlineStr">
        <is>
          <t>☐</t>
        </is>
      </c>
      <c r="B73" t="inlineStr">
        <is>
          <t>Exit feasibility evaluated</t>
        </is>
      </c>
      <c r="C73" s="14" t="n"/>
      <c r="D73" t="inlineStr">
        <is>
          <t>Exit strategy document</t>
        </is>
      </c>
    </row>
    <row r="74">
      <c r="A74" t="inlineStr">
        <is>
          <t>☐</t>
        </is>
      </c>
      <c r="B74" t="inlineStr">
        <is>
          <t>Data residency verified</t>
        </is>
      </c>
      <c r="C74" s="14" t="n"/>
      <c r="D74" t="inlineStr">
        <is>
          <t>Vendor DPA</t>
        </is>
      </c>
    </row>
    <row r="75">
      <c r="A75" t="inlineStr">
        <is>
          <t>☐</t>
        </is>
      </c>
      <c r="B75" t="inlineStr">
        <is>
          <t>Last review date recorded</t>
        </is>
      </c>
      <c r="C75" s="14" t="n"/>
      <c r="D75" t="inlineStr">
        <is>
          <t>Review calendar</t>
        </is>
      </c>
    </row>
    <row r="76">
      <c r="A76" t="inlineStr">
        <is>
          <t>☐</t>
        </is>
      </c>
      <c r="B76" t="inlineStr">
        <is>
          <t>Provider HQ jurisdiction documented</t>
        </is>
      </c>
      <c r="C76" s="14" t="n"/>
      <c r="D76" t="inlineStr">
        <is>
          <t>Vendor documentation</t>
        </is>
      </c>
    </row>
    <row r="77">
      <c r="A77" t="inlineStr">
        <is>
          <t>☐</t>
        </is>
      </c>
      <c r="B77" t="inlineStr">
        <is>
          <t>CLOUD Act exposure assessed</t>
        </is>
      </c>
      <c r="C77" s="14" t="n"/>
      <c r="D77" t="inlineStr">
        <is>
          <t>Risk assessment</t>
        </is>
      </c>
    </row>
    <row r="78">
      <c r="A78" t="inlineStr">
        <is>
          <t>☐</t>
        </is>
      </c>
      <c r="B78" t="inlineStr">
        <is>
          <t>Data processing locations verified</t>
        </is>
      </c>
      <c r="C78" s="14" t="n"/>
      <c r="D78" t="inlineStr">
        <is>
          <t>DPA, vendor statement</t>
        </is>
      </c>
    </row>
    <row r="79">
      <c r="A79" t="inlineStr">
        <is>
          <t>☐</t>
        </is>
      </c>
      <c r="B79" t="inlineStr">
        <is>
          <t>DORA applicability determined</t>
        </is>
      </c>
      <c r="C79" s="14" t="n"/>
      <c r="D79" t="inlineStr">
        <is>
          <t>Regulatory review</t>
        </is>
      </c>
    </row>
    <row r="80">
      <c r="A80" t="inlineStr">
        <is>
          <t>☐</t>
        </is>
      </c>
      <c r="B80" t="inlineStr">
        <is>
          <t>NIS2 applicability determined</t>
        </is>
      </c>
      <c r="C80" s="14" t="n"/>
      <c r="D80" t="inlineStr">
        <is>
          <t>Regulatory review</t>
        </is>
      </c>
    </row>
    <row r="81">
      <c r="A81" t="inlineStr">
        <is>
          <t>☐</t>
        </is>
      </c>
      <c r="B81" t="inlineStr">
        <is>
          <t>AI system classification assessed</t>
        </is>
      </c>
      <c r="C81" s="14" t="n"/>
      <c r="D81" t="inlineStr">
        <is>
          <t>AI inventory</t>
        </is>
      </c>
    </row>
    <row r="82">
      <c r="A82" t="inlineStr">
        <is>
          <t>☐</t>
        </is>
      </c>
      <c r="B82" t="inlineStr">
        <is>
          <t>Concentration risk evaluated</t>
        </is>
      </c>
      <c r="C82" s="14" t="n"/>
      <c r="D82" t="inlineStr">
        <is>
          <t>Risk assessment</t>
        </is>
      </c>
    </row>
    <row r="83">
      <c r="A83" t="inlineStr">
        <is>
          <t>☐</t>
        </is>
      </c>
      <c r="B83" t="inlineStr">
        <is>
          <t>Alternative providers identified</t>
        </is>
      </c>
      <c r="C83" s="14" t="n"/>
      <c r="D83" t="inlineStr">
        <is>
          <t>Market analysis</t>
        </is>
      </c>
    </row>
  </sheetData>
  <mergeCells count="4">
    <mergeCell ref="A2:AG2"/>
    <mergeCell ref="A1:AG1"/>
    <mergeCell ref="A61:D61"/>
    <mergeCell ref="A3:AG3"/>
  </mergeCells>
  <dataValidations count="20">
    <dataValidation sqref="B4" showDropDown="0" showInputMessage="0" showErrorMessage="0" allowBlank="0" type="list">
      <formula1>"Yes,No,Partial,Under Review"</formula1>
    </dataValidation>
    <dataValidation sqref="C64 C65 C66 C67 C68 C69 C70 C71 C72 C73 C74 C75 C76 C77 C78 C79 C80 C81 C82 C83" showDropDown="0" showInputMessage="0" showErrorMessage="0" allowBlank="1" type="list">
      <formula1>"✅,⚠,❌"</formula1>
    </dataValidation>
    <dataValidation sqref="B8 B9 B10 B11 B12 B13 B14 B15 B16 B17 B18 B19 B20 B21 B22 B23 B24 B25 B26 B27 B28 B29 B30 B31 B32 B33 B34 B35 B36 B37 B38 B39 B40 B41 B42 B43 B44 B45 B46 B47 B48 B49 B50 B51 B52 B53 B54 B55 B56 B57 B58" showDropDown="0" showInputMessage="0" showErrorMessage="0" allowBlank="1" type="list">
      <formula1>"SaaS,IaaS,PaaS,Security,Storage,Collaboration,Other"</formula1>
    </dataValidation>
    <dataValidation sqref="D8 D9 D10 D11 D12 D13 D14 D15 D16 D17 D18 D19 D20 D21 D22 D23 D24 D25 D26 D27 D28 D29 D30 D31 D32 D33 D34 D35 D36 D37 D38 D39 D40 D41 D42 D43 D44 D45 D46 D47 D48 D49 D50 D51 D52 D53 D54 D55 D56 D57 D58" showDropDown="0" showInputMessage="0" showErrorMessage="0" allowBlank="1" type="list">
      <formula1>"Critical,High,Medium,Low"</formula1>
    </dataValidation>
    <dataValidation sqref="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"Restricted,Confidential,Internal,Public,Mixed,N/A"</formula1>
    </dataValidation>
    <dataValidation sqref="F8 F9 F10 F11 F12 F13 F14 F15 F16 F17 F18 F19 F20 F21 F22 F23 F24 F25 F26 F27 F28 F29 F30 F31 F32 F33 F34 F35 F36 F37 F38 F39 F40 F41 F42 F43 F44 F45 F46 F47 F48 F49 F50 F51 F52 F53 F54 F55 F56 F57 F58" showDropDown="0" showInputMessage="0" showErrorMessage="0" allowBlank="1" type="list">
      <formula1>"Switzerland,EU,USA,Global,Unknown"</formula1>
    </dataValidation>
    <dataValidation sqref="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"Active,Renewal Due,Expired,Under Negotiation,Trial"</formula1>
    </dataValidation>
    <dataValidation sqref="H8 H9 H10 H11 H12 H13 H14 H15 H16 H17 H18 H19 H20 H21 H22 H23 H24 H25 H26 H27 H28 H29 H30 H31 H32 H33 H34 H35 H36 H37 H38 H39 H40 H41 H42 H43 H44 H45 H46 H47 H48 H49 H50 H51 H52 H53 H54 H55 H56 H57 H58" showDropDown="0" showInputMessage="0" showErrorMessage="0" allowBlank="1" type="list">
      <formula1>"✅ Compliant,⚠️ Partial,❌ Non-Compliant,N/A"</formula1>
    </dataValidation>
    <dataValidation sqref="K8 K9 K10 K11 K12 K13 K14 K15 K16 K17 K18 K19 K20 K21 K22 K23 K24 K25 K26 K27 K28 K29 K30 K31 K32 K33 K34 K35 K36 K37 K38 K39 K40 K41 K42 K43 K44 K45 K46 K47 K48 K49 K50 K51 K52 K53 K54 K55 K56 K57 K58" showDropDown="0" showInputMessage="0" showErrorMessage="0" allowBlank="1" type="list">
      <formula1>"Yes,No"</formula1>
    </dataValidation>
    <dataValidation sqref="Q8 Q9 Q10 Q11 Q12 Q13 Q14 Q15 Q16 Q17 Q18 Q19 Q20 Q21 Q22 Q23 Q24 Q25 Q26 Q27 Q28 Q29 Q30 Q31 Q32 Q33 Q34 Q35 Q36 Q37 Q38 Q39 Q40 Q41 Q42 Q43 Q44 Q45 Q46 Q47 Q48 Q49 Q50 Q51 Q52 Q53 Q54 Q55 Q56 Q57 Q58" showDropDown="0" showInputMessage="0" showErrorMessage="0" allowBlank="1" type="list">
      <formula1>"High (&gt;$50K),Medium ($10K-$50K),Low (&lt;$10K),None"</formula1>
    </dataValidation>
    <dataValidation sqref="V8 V9 V10 V11 V12 V13 V14 V15 V16 V17 V18 V19 V20 V21 V22 V23 V24 V25 V26 V27 V28 V29 V30 V31 V32 V33 V34 V35 V36 V37 V38 V39 V40 V41 V42 V43 V44 V45 V46 V47 V48 V49 V50 V51 V52 V53 V54 V55 V56 V57 V58" showDropDown="0" showInputMessage="0" showErrorMessage="0" allowBlank="1" type="list">
      <formula1>"Yes,No,Planned,Unknown"</formula1>
    </dataValidation>
    <dataValidation sqref="W8 W9 W10 W11 W12 W13 W14 W15 W16 W17 W18 W19 W20 W21 W22 W23 W24 W25 W26 W27 W28 W29 W30 W31 W32 W33 W34 W35 W36 W37 W38 W39 W40 W41 W42 W43 W44 W45 W46 W47 W48 W49 W50 W51 W52 W53 W54 W55 W56 W57 W58" showDropDown="0" showInputMessage="0" showErrorMessage="0" allowBlank="1" type="list">
      <formula1>"Easy (≤30 days),Medium (31-90 days),Hard (&gt;90 days),Unknown"</formula1>
    </dataValidation>
    <dataValidation sqref="Y8 Y9 Y10 Y11 Y12 Y13 Y14 Y15 Y16 Y17 Y18 Y19 Y20 Y21 Y22 Y23 Y24 Y25 Y26 Y27 Y28 Y29 Y30 Y31 Y32 Y33 Y34 Y35 Y36 Y37 Y38 Y39 Y40 Y41 Y42 Y43 Y44 Y45 Y46 Y47 Y48 Y49 Y50 Y51 Y52 Y53 Y54 Y55 Y56 Y57 Y58" showDropDown="0" showInputMessage="0" showErrorMessage="0" allowBlank="1" type="list">
      <formula1>"Switzerland,EU/EEA,United Kingdom,United States,Other Adequate Country,Non-Adequate Country"</formula1>
    </dataValidation>
    <dataValidation sqref="Z8 Z9 Z10 Z11 Z12 Z13 Z14 Z15 Z16 Z17 Z18 Z19 Z20 Z21 Z22 Z23 Z24 Z25 Z26 Z27 Z28 Z29 Z30 Z31 Z32 Z33 Z34 Z35 Z36 Z37 Z38 Z39 Z40 Z41 Z42 Z43 Z44 Z45 Z46 Z47 Z48 Z49 Z50 Z51 Z52 Z53 Z54 Z55 Z56 Z57 Z58" showDropDown="0" showInputMessage="0" showErrorMessage="0" allowBlank="1" type="list">
      <formula1>"No Exposure,Potential Exposure (US HQ),Mitigated (EU Data Boundary),Mitigated (Encryption + Key Control),Accepted Risk (Documented),Under Assessment"</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showDropDown="0" showInputMessage="0" showErrorMessage="0" allowBlank="1" type="list">
      <formula1>"Yes,No,Partial,Unknown"</formula1>
    </dataValidation>
    <dataValidation sqref="AC8 AC9 AC10 AC11 AC12 AC13 AC14 AC15 AC16 AC17 AC18 AC19 AC20 AC21 AC22 AC23 AC24 AC25 AC26 AC27 AC28 AC29 AC30 AC31 AC32 AC33 AC34 AC35 AC36 AC37 AC38 AC39 AC40 AC41 AC42 AC43 AC44 AC45 AC46 AC47 AC48 AC49 AC50 AC51 AC52 AC53 AC54 AC55 AC56 AC57 AC58" showDropDown="0" showInputMessage="0" showErrorMessage="0" allowBlank="1" type="list">
      <formula1>"Yes,No,Not Determined"</formula1>
    </dataValidation>
    <dataValidation sqref="AD8 AD9 AD10 AD11 AD12 AD13 AD14 AD15 AD16 AD17 AD18 AD19 AD20 AD21 AD22 AD23 AD24 AD25 AD26 AD27 AD28 AD29 AD30 AD31 AD32 AD33 AD34 AD35 AD36 AD37 AD38 AD39 AD40 AD41 AD42 AD43 AD44 AD45 AD46 AD47 AD48 AD49 AD50 AD51 AD52 AD53 AD54 AD55 AD56 AD57 AD58" showDropDown="0" showInputMessage="0" showErrorMessage="0" allowBlank="1" type="list">
      <formula1>"Yes,No,Not Determined"</formula1>
    </dataValidation>
    <dataValidation sqref="AE8 AE9 AE10 AE11 AE12 AE13 AE14 AE15 AE16 AE17 AE18 AE19 AE20 AE21 AE22 AE23 AE24 AE25 AE26 AE27 AE28 AE29 AE30 AE31 AE32 AE33 AE34 AE35 AE36 AE37 AE38 AE39 AE40 AE41 AE42 AE43 AE44 AE45 AE46 AE47 AE48 AE49 AE50 AE51 AE52 AE53 AE54 AE55 AE56 AE57 AE58" showDropDown="0" showInputMessage="0" showErrorMessage="0" allowBlank="1" type="list">
      <formula1>"Not Applicable,Minimal Risk,Limited Risk (Transparency),High Risk,Unacceptable Risk (Prohibited)"</formula1>
    </dataValidation>
    <dataValidation sqref="AF8 AF9 AF10 AF11 AF12 AF13 AF14 AF15 AF16 AF17 AF18 AF19 AF20 AF21 AF22 AF23 AF24 AF25 AF26 AF27 AF28 AF29 AF30 AF31 AF32 AF33 AF34 AF35 AF36 AF37 AF38 AF39 AF40 AF41 AF42 AF43 AF44 AF45 AF46 AF47 AF48 AF49 AF50 AF51 AF52 AF53 AF54 AF55 AF56 AF57 AF58" showDropDown="0" showInputMessage="0" showErrorMessage="0" allowBlank="1" type="list">
      <formula1>"Low (Multiple alternatives),Medium (Limited alternatives),High (Few alternatives),Critical (Single provider dependency)"</formula1>
    </dataValidation>
    <dataValidation sqref="AG8 AG9 AG10 AG11 AG12 AG13 AG14 AG15 AG16 AG17 AG18 AG19 AG20 AG21 AG22 AG23 AG24 AG25 AG26 AG27 AG28 AG29 AG30 AG31 AG32 AG33 AG34 AG35 AG36 AG37 AG38 AG39 AG40 AG41 AG42 AG43 AG44 AG45 AG46 AG47 AG48 AG49 AG50 AG51 AG52 AG53 AG54 AG55 AG56 AG57 AG58" showDropDown="0" showInputMessage="0" showErrorMessage="0" allowBlank="1" type="list">
      <formula1>"Yes,No,Partial"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74"/>
  <sheetViews>
    <sheetView showGridLines="0" workbookViewId="0">
      <pane ySplit="3" topLeftCell="A4" activePane="bottomLeft" state="frozen"/>
      <selection pane="bottomLeft" activeCell="A1" sqref="A1"/>
    </sheetView>
  </sheetViews>
  <sheetFormatPr baseColWidth="8" defaultRowHeight="15"/>
  <cols>
    <col width="25" customWidth="1" min="1" max="1"/>
    <col width="20" customWidth="1" min="2" max="2"/>
    <col width="18" customWidth="1" min="3" max="3"/>
    <col width="15" customWidth="1" min="4" max="4"/>
    <col width="20" customWidth="1" min="5" max="5"/>
    <col width="20" customWidth="1" min="6" max="6"/>
    <col width="18" customWidth="1" min="7" max="7"/>
    <col width="15" customWidth="1" min="8" max="8"/>
    <col width="12" customWidth="1" min="9" max="9"/>
    <col width="18" customWidth="1" min="10" max="10"/>
    <col width="15" customWidth="1" min="11" max="11"/>
    <col width="18" customWidth="1" min="12" max="12"/>
    <col width="18" customWidth="1" min="13" max="13"/>
    <col width="15" customWidth="1" min="14" max="14"/>
    <col width="15" customWidth="1" min="15" max="15"/>
    <col width="20" customWidth="1" min="16" max="16"/>
    <col width="15" customWidth="1" min="17" max="17"/>
    <col width="20" customWidth="1" min="18" max="18"/>
    <col width="22" customWidth="1" min="19" max="19"/>
    <col width="22" customWidth="1" min="20" max="20"/>
    <col width="16" customWidth="1" min="21" max="21"/>
    <col width="16" customWidth="1" min="22" max="22"/>
    <col width="24" customWidth="1" min="23" max="23"/>
    <col width="16" customWidth="1" min="24" max="24"/>
    <col width="28" customWidth="1" min="25" max="25"/>
    <col width="28" customWidth="1" min="26" max="26"/>
    <col width="28" customWidth="1" min="27" max="27"/>
    <col width="30" customWidth="1" min="28" max="28"/>
    <col width="30" customWidth="1" min="29" max="29"/>
  </cols>
  <sheetData>
    <row r="1" ht="35" customHeight="1">
      <c r="A1" s="19" t="inlineStr">
        <is>
          <t>SHEET 4: EXIT FEASIBILITY &amp; STRATEGY ASSESSMENT</t>
        </is>
      </c>
    </row>
    <row r="2" ht="30" customHeight="1">
      <c r="A2" s="20" t="inlineStr">
        <is>
          <t>POL-S5 Section 8.1.1: Cloud-to-Cloud (90%+), Hybrid (5-10%), On-Premises (&lt;5% only when justified)</t>
        </is>
      </c>
    </row>
    <row r="3">
      <c r="A3" s="15" t="inlineStr">
        <is>
          <t>Service Name</t>
        </is>
      </c>
      <c r="B3" s="15" t="inlineStr">
        <is>
          <t>Provider</t>
        </is>
      </c>
      <c r="C3" s="15" t="inlineStr">
        <is>
          <t>Service Type</t>
        </is>
      </c>
      <c r="D3" s="15" t="inlineStr">
        <is>
          <t>Environment</t>
        </is>
      </c>
      <c r="E3" s="15" t="inlineStr">
        <is>
          <t>Business Owner</t>
        </is>
      </c>
      <c r="F3" s="15" t="inlineStr">
        <is>
          <t>Technical Owner</t>
        </is>
      </c>
      <c r="G3" s="15" t="inlineStr">
        <is>
          <t>Data Classification</t>
        </is>
      </c>
      <c r="H3" s="15" t="inlineStr">
        <is>
          <t>Criticality</t>
        </is>
      </c>
      <c r="I3" s="15" t="inlineStr">
        <is>
          <t>Users</t>
        </is>
      </c>
      <c r="J3" s="15" t="inlineStr">
        <is>
          <t>Cost (Annual CHF)</t>
        </is>
      </c>
      <c r="K3" s="15" t="inlineStr">
        <is>
          <t>Contract End Date</t>
        </is>
      </c>
      <c r="L3" s="15" t="inlineStr">
        <is>
          <t>Primary Region</t>
        </is>
      </c>
      <c r="M3" s="15" t="inlineStr">
        <is>
          <t>Backup Region</t>
        </is>
      </c>
      <c r="N3" s="15" t="inlineStr">
        <is>
          <t>Integration Count</t>
        </is>
      </c>
      <c r="O3" s="15" t="inlineStr">
        <is>
          <t>API Dependency</t>
        </is>
      </c>
      <c r="P3" s="15" t="inlineStr">
        <is>
          <t>Compliance Certs</t>
        </is>
      </c>
      <c r="Q3" s="15" t="inlineStr">
        <is>
          <t>Current Status</t>
        </is>
      </c>
      <c r="R3" s="15" t="inlineStr">
        <is>
          <t>Exit Strategy Type</t>
        </is>
      </c>
      <c r="S3" s="15" t="inlineStr">
        <is>
          <t>Alternative Identified</t>
        </is>
      </c>
      <c r="T3" s="15" t="inlineStr">
        <is>
          <t>Export Format Available</t>
        </is>
      </c>
      <c r="U3" s="15" t="inlineStr">
        <is>
          <t>Export Tested</t>
        </is>
      </c>
      <c r="V3" s="15" t="inlineStr">
        <is>
          <t>Data Volume (GB)</t>
        </is>
      </c>
      <c r="W3" s="15" t="inlineStr">
        <is>
          <t>Migration Complexity</t>
        </is>
      </c>
      <c r="X3" s="15" t="inlineStr">
        <is>
          <t>Lock-In Risk</t>
        </is>
      </c>
      <c r="Y3" s="15" t="inlineStr">
        <is>
          <t>Hybrid: Workload Segmentation</t>
        </is>
      </c>
      <c r="Z3" s="15" t="inlineStr">
        <is>
          <t>Hybrid: Data Sync Latency</t>
        </is>
      </c>
      <c r="AA3" s="15" t="inlineStr">
        <is>
          <t>OnPrem: TCO Analysis Complete</t>
        </is>
      </c>
      <c r="AB3" s="15" t="inlineStr">
        <is>
          <t>OnPrem: Infrastructure Available</t>
        </is>
      </c>
      <c r="AC3" s="15" t="inlineStr">
        <is>
          <t>OnPrem: Staffing Plan Documented</t>
        </is>
      </c>
    </row>
    <row r="4">
      <c r="A4" s="16" t="inlineStr">
        <is>
          <t>Microsoft 365</t>
        </is>
      </c>
      <c r="B4" s="16" t="inlineStr">
        <is>
          <t>Microsoft</t>
        </is>
      </c>
      <c r="C4" s="16" t="inlineStr">
        <is>
          <t>SaaS</t>
        </is>
      </c>
      <c r="D4" s="16" t="inlineStr">
        <is>
          <t>Production</t>
        </is>
      </c>
      <c r="E4" s="16" t="inlineStr">
        <is>
          <t>IT Director</t>
        </is>
      </c>
      <c r="F4" s="16" t="inlineStr">
        <is>
          <t>Cloud Admin</t>
        </is>
      </c>
      <c r="G4" s="16" t="inlineStr">
        <is>
          <t>Confidential</t>
        </is>
      </c>
      <c r="H4" s="16" t="inlineStr">
        <is>
          <t>Critical</t>
        </is>
      </c>
      <c r="I4" s="16" t="inlineStr">
        <is>
          <t>250</t>
        </is>
      </c>
      <c r="J4" s="16" t="inlineStr">
        <is>
          <t>125000</t>
        </is>
      </c>
      <c r="K4" s="16" t="inlineStr">
        <is>
          <t>31.12.2026</t>
        </is>
      </c>
      <c r="L4" s="16" t="inlineStr">
        <is>
          <t>West Europe (Amsterdam)</t>
        </is>
      </c>
      <c r="M4" s="16" t="inlineStr">
        <is>
          <t>North Europe (Dublin)</t>
        </is>
      </c>
      <c r="N4" s="16" t="inlineStr">
        <is>
          <t>15</t>
        </is>
      </c>
      <c r="O4" s="16" t="inlineStr">
        <is>
          <t>Yes</t>
        </is>
      </c>
      <c r="P4" s="16" t="inlineStr">
        <is>
          <t>ISO 27001, SOC 2 Type II</t>
        </is>
      </c>
      <c r="Q4" s="16" t="inlineStr">
        <is>
          <t>✅ Compliant</t>
        </is>
      </c>
      <c r="R4" s="16" t="inlineStr">
        <is>
          <t>Cloud-to-Cloud</t>
        </is>
      </c>
      <c r="S4" s="16" t="inlineStr">
        <is>
          <t>Cloud Provider (GCP)</t>
        </is>
      </c>
      <c r="T4" s="16" t="inlineStr">
        <is>
          <t>Standard (CSV/JSON)</t>
        </is>
      </c>
      <c r="U4" s="16" t="inlineStr">
        <is>
          <t>Yes</t>
        </is>
      </c>
      <c r="V4" s="16" t="inlineStr">
        <is>
          <t>2500</t>
        </is>
      </c>
      <c r="W4" s="16" t="inlineStr">
        <is>
          <t>Cloud-to-Cloud (Medium)</t>
        </is>
      </c>
      <c r="X4" s="16" t="inlineStr">
        <is>
          <t>Medium</t>
        </is>
      </c>
      <c r="Y4" s="16" t="inlineStr">
        <is>
          <t>Not Applicable</t>
        </is>
      </c>
      <c r="Z4" s="16" t="inlineStr">
        <is>
          <t>Not Applicable</t>
        </is>
      </c>
      <c r="AA4" s="16" t="inlineStr">
        <is>
          <t>N/A</t>
        </is>
      </c>
      <c r="AB4" s="16" t="inlineStr">
        <is>
          <t>N/A</t>
        </is>
      </c>
      <c r="AC4" s="16" t="inlineStr">
        <is>
          <t>N/A</t>
        </is>
      </c>
    </row>
    <row r="5">
      <c r="A5" s="14" t="n"/>
      <c r="B5" s="14" t="n"/>
      <c r="C5" s="14" t="n"/>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c r="AA5" s="14" t="n"/>
      <c r="AB5" s="14" t="n"/>
      <c r="AC5" s="14" t="n"/>
    </row>
    <row r="6">
      <c r="A6" s="14" t="n"/>
      <c r="B6" s="14" t="n"/>
      <c r="C6" s="14" t="n"/>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c r="AA6" s="14" t="n"/>
      <c r="AB6" s="14" t="n"/>
      <c r="AC6" s="14" t="n"/>
    </row>
    <row r="7">
      <c r="A7" s="14" t="n"/>
      <c r="B7" s="14" t="n"/>
      <c r="C7" s="14" t="n"/>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c r="AA7" s="14" t="n"/>
      <c r="AB7" s="14" t="n"/>
      <c r="AC7" s="14" t="n"/>
    </row>
    <row r="8">
      <c r="A8" s="14" t="n"/>
      <c r="B8" s="14" t="n"/>
      <c r="C8" s="14" t="n"/>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row>
    <row r="9">
      <c r="A9" s="14" t="n"/>
      <c r="B9" s="14" t="n"/>
      <c r="C9" s="14" t="n"/>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row>
    <row r="10">
      <c r="A10" s="14" t="n"/>
      <c r="B10" s="14" t="n"/>
      <c r="C10" s="14" t="n"/>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c r="AB10" s="14" t="n"/>
      <c r="AC10" s="14" t="n"/>
    </row>
    <row r="11">
      <c r="A11" s="14" t="n"/>
      <c r="B11" s="14" t="n"/>
      <c r="C11" s="14" t="n"/>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c r="AA11" s="14" t="n"/>
      <c r="AB11" s="14" t="n"/>
      <c r="AC11" s="14" t="n"/>
    </row>
    <row r="12">
      <c r="A12" s="14" t="n"/>
      <c r="B12" s="14" t="n"/>
      <c r="C12" s="14" t="n"/>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c r="AA12" s="14" t="n"/>
      <c r="AB12" s="14" t="n"/>
      <c r="AC12" s="14" t="n"/>
    </row>
    <row r="13">
      <c r="A13" s="14" t="n"/>
      <c r="B13" s="14" t="n"/>
      <c r="C13" s="14" t="n"/>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c r="AA13" s="14" t="n"/>
      <c r="AB13" s="14" t="n"/>
      <c r="AC13" s="14" t="n"/>
    </row>
    <row r="14">
      <c r="A14" s="14" t="n"/>
      <c r="B14" s="14" t="n"/>
      <c r="C14" s="14" t="n"/>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c r="AA14" s="14" t="n"/>
      <c r="AB14" s="14" t="n"/>
      <c r="AC14" s="14" t="n"/>
    </row>
    <row r="15">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c r="AA15" s="14" t="n"/>
      <c r="AB15" s="14" t="n"/>
      <c r="AC15" s="14" t="n"/>
    </row>
    <row r="16">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row>
    <row r="17">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c r="AA17" s="14" t="n"/>
      <c r="AB17" s="14" t="n"/>
      <c r="AC17" s="14" t="n"/>
    </row>
    <row r="18">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row>
    <row r="19">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c r="AB19" s="14" t="n"/>
      <c r="AC19" s="14" t="n"/>
    </row>
    <row r="20">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c r="AB20" s="14" t="n"/>
      <c r="AC20" s="14" t="n"/>
    </row>
    <row r="21">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row>
    <row r="22">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row>
    <row r="2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row>
    <row r="24">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row>
    <row r="25">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row>
    <row r="26">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row>
    <row r="27">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row>
    <row r="28">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row>
    <row r="29">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row>
    <row r="30">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row>
    <row r="31">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row>
    <row r="32">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row>
    <row r="3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row>
    <row r="34">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row>
    <row r="35">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row>
    <row r="36">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row>
    <row r="37">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row>
    <row r="38">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row>
    <row r="39">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row>
    <row r="40">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row>
    <row r="41">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row>
    <row r="42">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row>
    <row r="4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row>
    <row r="44">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row>
    <row r="45">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row>
    <row r="46">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row>
    <row r="47">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row>
    <row r="48">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row>
    <row r="49">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row>
    <row r="50">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row>
    <row r="51">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row>
    <row r="52">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row>
    <row r="5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row>
    <row r="54">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row>
    <row r="57" ht="30" customHeight="1">
      <c r="A57" s="21" t="inlineStr">
        <is>
          <t>EXIT STRATEGY COMPLIANCE CHECKLIST (22 items)</t>
        </is>
      </c>
    </row>
    <row r="106">
      <c r="A106" s="22" t="inlineStr">
        <is>
          <t>1. ✅ Exit strategy documented for Critical/High services</t>
        </is>
      </c>
    </row>
    <row r="107">
      <c r="A107" s="22" t="inlineStr">
        <is>
          <t>2. ✅ Exit triggers defined</t>
        </is>
      </c>
    </row>
    <row r="108">
      <c r="A108" s="22" t="inlineStr">
        <is>
          <t>3. ✅ Alternative providers/solutions identified</t>
        </is>
      </c>
    </row>
    <row r="109">
      <c r="A109" s="22" t="inlineStr">
        <is>
          <t>4. ✅ Alternative provider assessment completed</t>
        </is>
      </c>
    </row>
    <row r="110">
      <c r="A110" s="22" t="inlineStr">
        <is>
          <t>5. ✅ Migration effort estimated</t>
        </is>
      </c>
    </row>
    <row r="111">
      <c r="A111" s="22" t="inlineStr">
        <is>
          <t>6. ✅ Data extraction requirements documented</t>
        </is>
      </c>
    </row>
    <row r="112">
      <c r="A112" s="22" t="inlineStr">
        <is>
          <t>7. ✅ Application dependencies mapped</t>
        </is>
      </c>
    </row>
    <row r="113">
      <c r="A113" s="22" t="inlineStr">
        <is>
          <t>8. ✅ Integration points documented</t>
        </is>
      </c>
    </row>
    <row r="114">
      <c r="A114" s="22" t="inlineStr">
        <is>
          <t>9. ✅ Lock-in risks identified and documented</t>
        </is>
      </c>
    </row>
    <row r="115">
      <c r="A115" s="22" t="inlineStr">
        <is>
          <t>10. ✅ Exit cost estimate completed</t>
        </is>
      </c>
    </row>
    <row r="116">
      <c r="A116" s="22" t="inlineStr">
        <is>
          <t>11. ✅ Exit timeline estimate completed</t>
        </is>
      </c>
    </row>
    <row r="117">
      <c r="A117" s="22" t="inlineStr">
        <is>
          <t>12. ✅ Data export format verified</t>
        </is>
      </c>
    </row>
    <row r="118">
      <c r="A118" s="22" t="inlineStr">
        <is>
          <t>13. ✅ Migration testing requirements defined</t>
        </is>
      </c>
    </row>
    <row r="119">
      <c r="A119" s="22" t="inlineStr">
        <is>
          <t>14. ✅ Exit plan reviewed and approved</t>
        </is>
      </c>
    </row>
    <row r="120">
      <c r="A120" s="22" t="inlineStr">
        <is>
          <t>15. ✅ Exit strategy included in vendor contracts</t>
        </is>
      </c>
    </row>
    <row r="121">
      <c r="A121" s="22" t="inlineStr">
        <is>
          <t>16. ✅ Cloud-to-Cloud alternatives evaluated (min. 2 providers)</t>
        </is>
      </c>
    </row>
    <row r="122">
      <c r="A122" s="22" t="inlineStr">
        <is>
          <t>17. ✅ Hybrid workload segmentation documented (if applicable)</t>
        </is>
      </c>
    </row>
    <row r="123">
      <c r="A123" s="22" t="inlineStr">
        <is>
          <t>18. ✅ On-Premises TCO analysis completed (if applicable)</t>
        </is>
      </c>
    </row>
    <row r="124">
      <c r="A124" s="22" t="inlineStr">
        <is>
          <t>19. ✅ Annual PoC testing completed (DORA Art. 28.6 for Critical)</t>
        </is>
      </c>
    </row>
    <row r="125">
      <c r="A125" s="22" t="inlineStr">
        <is>
          <t>20. ✅ Vendor lock-in risks assessed and mitigation documented</t>
        </is>
      </c>
    </row>
    <row r="126">
      <c r="A126" s="22" t="inlineStr">
        <is>
          <t>21. ✅ Migration cost estimates align with exit strategy type</t>
        </is>
      </c>
    </row>
    <row r="127">
      <c r="A127" s="22" t="inlineStr">
        <is>
          <t>22. ✅ Exit strategy type justified with evidence (esp. On-Premises)</t>
        </is>
      </c>
    </row>
    <row r="135">
      <c r="A135" s="23" t="inlineStr">
        <is>
          <t>EXIT STRATEGY GUIDANCE - POLICY REQUIREMENTS</t>
        </is>
      </c>
    </row>
    <row r="136">
      <c r="A136" s="22" t="inlineStr"/>
    </row>
    <row r="137">
      <c r="A137" s="22" t="inlineStr">
        <is>
          <t>✅ CLOUD-TO-CLOUD (90%+ of services - DEFAULT STRATEGY)</t>
        </is>
      </c>
    </row>
    <row r="138">
      <c r="A138" s="22" t="inlineStr">
        <is>
          <t xml:space="preserve">   • Migrate to alternative cloud provider (AWS, Azure, GCP, OVHcloud, Alibaba, etc.)</t>
        </is>
      </c>
    </row>
    <row r="139">
      <c r="A139" s="22" t="inlineStr">
        <is>
          <t xml:space="preserve">   • Timeline: 3-6 months typical</t>
        </is>
      </c>
    </row>
    <row r="140">
      <c r="A140" s="22" t="inlineStr">
        <is>
          <t xml:space="preserve">   • Cost: CHF 40K-200K one-time</t>
        </is>
      </c>
    </row>
    <row r="141">
      <c r="A141" s="22" t="inlineStr">
        <is>
          <t xml:space="preserve">   • Benefits: Zero CAPEX, maintained elasticity, modern cloud-native capabilities</t>
        </is>
      </c>
    </row>
    <row r="142">
      <c r="A142" s="22" t="inlineStr">
        <is>
          <t xml:space="preserve">   • Required: Min. 2 alternative providers identified, annual PoC testing (DORA Art. 28.6)</t>
        </is>
      </c>
    </row>
    <row r="143">
      <c r="A143" s="22" t="inlineStr"/>
    </row>
    <row r="144">
      <c r="A144" s="22" t="inlineStr">
        <is>
          <t>⚠ HYBRID (5-10% of services - PARTIAL REPATRIATION)</t>
        </is>
      </c>
    </row>
    <row r="145">
      <c r="A145" s="22" t="inlineStr">
        <is>
          <t xml:space="preserve">   • Some workloads in cloud, others on-premises (e.g., app in cloud, DB on-prem)</t>
        </is>
      </c>
    </row>
    <row r="146">
      <c r="A146" s="22" t="inlineStr">
        <is>
          <t xml:space="preserve">   • Timeline: 6-12 months typical</t>
        </is>
      </c>
    </row>
    <row r="147">
      <c r="A147" s="22" t="inlineStr">
        <is>
          <t xml:space="preserve">   • Cost: CHF 335K-1.6M (3-year TCO)</t>
        </is>
      </c>
    </row>
    <row r="148">
      <c r="A148" s="22" t="inlineStr">
        <is>
          <t xml:space="preserve">   • Use cases: Data sovereignty (FADP), cost optimization, latency requirements</t>
        </is>
      </c>
    </row>
    <row r="149">
      <c r="A149" s="22" t="inlineStr">
        <is>
          <t xml:space="preserve">   • Required: Workload segmentation documented, data sync latency assessed, network design</t>
        </is>
      </c>
    </row>
    <row r="150">
      <c r="A150" s="22" t="inlineStr"/>
    </row>
    <row r="151">
      <c r="A151" s="22" t="inlineStr">
        <is>
          <t>⚠⚠ ON-PREMISES (&lt;5% of services - FULL BUILD-BACK)</t>
        </is>
      </c>
    </row>
    <row r="152">
      <c r="A152" s="22" t="inlineStr">
        <is>
          <t xml:space="preserve">   • Complete migration to [Organisation]-owned infrastructure</t>
        </is>
      </c>
    </row>
    <row r="153">
      <c r="A153" s="22" t="inlineStr">
        <is>
          <t xml:space="preserve">   • Timeline: 6-18 months (long!)</t>
        </is>
      </c>
    </row>
    <row r="154">
      <c r="A154" s="22" t="inlineStr">
        <is>
          <t xml:space="preserve">   • Cost: CHF 2.94M-7.04M (5-year TCO)</t>
        </is>
      </c>
    </row>
    <row r="155">
      <c r="A155" s="22" t="inlineStr">
        <is>
          <t xml:space="preserve">   • Justification: Regulatory mandate, cost inversion (&gt;CHF 500K/yr cloud), strategic independence</t>
        </is>
      </c>
    </row>
    <row r="156">
      <c r="A156" s="22" t="inlineStr">
        <is>
          <t xml:space="preserve">   • Required: TCO analysis, infrastructure capacity plan, staffing plan (3-10 FTEs)</t>
        </is>
      </c>
    </row>
    <row r="157">
      <c r="A157" s="22" t="inlineStr">
        <is>
          <t xml:space="preserve">   • WARNING: Economically justified in &lt;5% of cases - validate TCO carefully!</t>
        </is>
      </c>
    </row>
    <row r="158">
      <c r="A158" s="22" t="inlineStr"/>
    </row>
    <row r="159">
      <c r="A159" s="22" t="inlineStr">
        <is>
          <t>⌂ VENDOR LOCK-IN RISK LEVELS:</t>
        </is>
      </c>
    </row>
    <row r="160">
      <c r="A160" s="22" t="inlineStr">
        <is>
          <t xml:space="preserve">   • Low: Standard protocols, open formats, portable architecture</t>
        </is>
      </c>
    </row>
    <row r="161">
      <c r="A161" s="22" t="inlineStr">
        <is>
          <t xml:space="preserve">   • Medium: Some proprietary features, manageable migration effort</t>
        </is>
      </c>
    </row>
    <row r="162">
      <c r="A162" s="22" t="inlineStr">
        <is>
          <t xml:space="preserve">   • High: Deep integration with proprietary services, significant refactoring needed</t>
        </is>
      </c>
    </row>
    <row r="163">
      <c r="A163" s="22" t="inlineStr">
        <is>
          <t xml:space="preserve">   • Critical: Mission-critical dependency on unique capability, no viable alternatives</t>
        </is>
      </c>
    </row>
    <row r="164">
      <c r="A164" s="22" t="inlineStr"/>
    </row>
    <row r="165">
      <c r="A165" s="22" t="inlineStr">
        <is>
          <t>♠ DORA COMPLIANCE (Financial Sector):</t>
        </is>
      </c>
    </row>
    <row r="166">
      <c r="A166" s="22" t="inlineStr">
        <is>
          <t xml:space="preserve">   • Article 28.6: Annual PoC testing of exit strategies for critical ICT providers</t>
        </is>
      </c>
    </row>
    <row r="167">
      <c r="A167" s="22" t="inlineStr">
        <is>
          <t xml:space="preserve">   • Article 28.9: Concentration risk mitigation (reduce dependency on single hyperscaler)</t>
        </is>
      </c>
    </row>
    <row r="168">
      <c r="A168" s="22" t="inlineStr">
        <is>
          <t xml:space="preserve">   • Track PoC testing in ISMS-IMP-A.5.23.S4 (Governance workbook)</t>
        </is>
      </c>
    </row>
    <row r="169">
      <c r="A169" s="22" t="inlineStr"/>
    </row>
    <row r="170">
      <c r="A170" s="22" t="inlineStr">
        <is>
          <t>For detailed cost models and TCO calculations, refer to:</t>
        </is>
      </c>
    </row>
    <row r="171">
      <c r="A171" s="22" t="inlineStr">
        <is>
          <t xml:space="preserve">   • POL-S5 Section 8.1.1.1 (Cloud-to-Cloud)</t>
        </is>
      </c>
    </row>
    <row r="172">
      <c r="A172" s="22" t="inlineStr">
        <is>
          <t xml:space="preserve">   • POL-S5 Section 8.1.1.2 (Hybrid)</t>
        </is>
      </c>
    </row>
    <row r="173">
      <c r="A173" s="22" t="inlineStr">
        <is>
          <t xml:space="preserve">   • POL-S5 Section 8.1.1.3 (On-Premises)</t>
        </is>
      </c>
    </row>
    <row r="174">
      <c r="A174" s="22" t="inlineStr"/>
    </row>
  </sheetData>
  <mergeCells count="4">
    <mergeCell ref="A57:AC57"/>
    <mergeCell ref="A2:AC2"/>
    <mergeCell ref="A135:AC135"/>
    <mergeCell ref="A1:AC1"/>
  </mergeCells>
  <conditionalFormatting sqref="R4:AC54">
    <cfRule type="expression" priority="1" dxfId="0" stopIfTrue="0">
      <formula>$R4="On-Premises"</formula>
    </cfRule>
  </conditionalFormatting>
  <conditionalFormatting sqref="X4:X54">
    <cfRule type="expression" priority="2" dxfId="1" stopIfTrue="0">
      <formula>$X4="Critical"</formula>
    </cfRule>
  </conditionalFormatting>
  <conditionalFormatting sqref="U4:U54">
    <cfRule type="expression" priority="3" dxfId="2" stopIfTrue="0">
      <formula>AND($U4="No", $H4="Critical")</formula>
    </cfRule>
  </conditionalFormatting>
  <dataValidations count="18">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"SaaS,IaaS,PaaS,Security,Storage,Other"</formula1>
    </dataValidation>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"Production,Development,Test,Staging,All"</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0" type="list">
      <formula1>"Restricted,Confidential,Internal,Public,Mixed"</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"Critical,High,Medium,Low"</formula1>
    </dataValidation>
    <dataValidation sqref="O4 O5 O6 O7 O8 O9 O10 O11 O12 O13 O14 O15 O16 O17 O18 O19 O20 O21 O22 O23 O24 O25 O26 O27 O28 O29 O30 O31 O32 O33 O34 O35 O36 O37 O38 O39 O40 O41 O42 O43 O44 O45 O46 O47 O48 O49 O50 O51 O52 O53 O54" showDropDown="0" showInputMessage="0" showErrorMessage="0" allowBlank="0" type="list">
      <formula1>"Yes,No,Partial"</formula1>
    </dataValidation>
    <dataValidation sqref="Q4 Q5 Q6 Q7 Q8 Q9 Q10 Q11 Q12 Q13 Q14 Q15 Q16 Q17 Q18 Q19 Q20 Q21 Q22 Q23 Q24 Q25 Q26 Q27 Q28 Q29 Q30 Q31 Q32 Q33 Q34 Q35 Q36 Q37 Q38 Q39 Q40 Q41 Q42 Q43 Q44 Q45 Q46 Q47 Q48 Q49 Q50 Q51 Q52 Q53 Q54" showDropDown="0" showInputMessage="0" showErrorMessage="0" allowBlank="0" type="list">
      <formula1>"✅ Compliant,⚠️ Partial,❌Non-Compliant"</formula1>
    </dataValidation>
    <dataValidation sqref="R4 R5 R6 R7 R8 R9 R10 R11 R12 R13 R14 R15 R16 R17 R18 R19 R20 R21 R22 R23 R24 R25 R26 R27 R28 R29 R30 R31 R32 R33 R34 R35 R36 R37 R38 R39 R40 R41 R42 R43 R44 R45 R46 R47 R48 R49 R50 R51 R52 R53 R54" showDropDown="0" showInputMessage="0" showErrorMessage="0" allowBlank="0" errorTitle="Invalid Exit Strategy" error="Select: Cloud-to-Cloud (default), Hybrid, On-Premises, or Not Yet Determined" type="list">
      <formula1>"Cloud-to-Cloud,Hybrid,On-Premises,Not Yet Determined"</formula1>
    </dataValidation>
    <dataValidation sqref="S4 S5 S6 S7 S8 S9 S10 S11 S12 S13 S14 S15 S16 S17 S18 S19 S20 S21 S22 S23 S24 S25 S26 S27 S28 S29 S30 S31 S32 S33 S34 S35 S36 S37 S38 S39 S40 S41 S42 S43 S44 S45 S46 S47 S48 S49 S50 S51 S52 S53 S54" showDropDown="0" showInputMessage="0" showErrorMessage="0" allowBlank="0" type="list">
      <formula1>"Cloud Provider (AWS),Cloud Provider (Azure),Cloud Provider (GCP),Cloud Provider (OVHcloud),Cloud Provider (Alibaba),Cloud Provider (Other),Hybrid (Cloud+OnPrem),On-Prem Only,Multiple Options,Not Yet Assessed"</formula1>
    </dataValidation>
    <dataValidation sqref="T4 T5 T6 T7 T8 T9 T10 T11 T12 T13 T14 T15 T16 T17 T18 T19 T20 T21 T22 T23 T24 T25 T26 T27 T28 T29 T30 T31 T32 T33 T34 T35 T36 T37 T38 T39 T40 T41 T42 T43 T44 T45 T46 T47 T48 T49 T50 T51 T52 T53 T54" showDropDown="0" showInputMessage="0" showErrorMessage="0" allowBlank="0" type="list">
      <formula1>"Standard (CSV/JSON),Proprietary,API Only,None"</formula1>
    </dataValidation>
    <dataValidation sqref="U4 U5 U6 U7 U8 U9 U10 U11 U12 U13 U14 U15 U16 U17 U18 U19 U20 U21 U22 U23 U24 U25 U26 U27 U28 U29 U30 U31 U32 U33 U34 U35 U36 U37 U38 U39 U40 U41 U42 U43 U44 U45 U46 U47 U48 U49 U50 U51 U52 U53 U54" showDropDown="0" showInputMessage="0" showErrorMessage="0" allowBlank="0" type="list">
      <formula1>"Yes,No,Partial"</formula1>
    </dataValidation>
    <dataValidation sqref="V4 V5 V6 V7 V8 V9 V10 V11 V12 V13 V14 V15 V16 V17 V18 V19 V20 V21 V22 V23 V24 V25 V26 V27 V28 V29 V30 V31 V32 V33 V34 V35 V36 V37 V38 V39 V40 V41 V42 V43 V44 V45 V46 V47 V48 V49 V50 V51 V52 V53 V54" showDropDown="0" showInputMessage="0" showErrorMessage="0" allowBlank="1" errorTitle="Invalid Data Volume" error="Enter a positive number (GB)" type="whole" operator="greaterThanOrEqual">
      <formula1>0</formula1>
    </dataValidation>
    <dataValidation sqref="W4 W5 W6 W7 W8 W9 W10 W11 W12 W13 W14 W15 W16 W17 W18 W19 W20 W21 W22 W23 W24 W25 W26 W27 W28 W29 W30 W31 W32 W33 W34 W35 W36 W37 W38 W39 W40 W41 W42 W43 W44 W45 W46 W47 W48 W49 W50 W51 W52 W53 W54" showDropDown="0" showInputMessage="0" showErrorMessage="0" allowBlank="0" type="list">
      <formula1>"Cloud-to-Cloud (Low),Cloud-to-Cloud (Medium),Cloud-to-Cloud (High),Hybrid (Medium),Hybrid (High),On-Prem (High),On-Prem (Very High)"</formula1>
    </dataValidation>
    <dataValidation sqref="X4 X5 X6 X7 X8 X9 X10 X11 X12 X13 X14 X15 X16 X17 X18 X19 X20 X21 X22 X23 X24 X25 X26 X27 X28 X29 X30 X31 X32 X33 X34 X35 X36 X37 X38 X39 X40 X41 X42 X43 X44 X45 X46 X47 X48 X49 X50 X51 X52 X53 X54" showDropDown="0" showInputMessage="0" showErrorMessage="0" allowBlank="0" type="list">
      <formula1>"Low,Medium,High,Critical"</formula1>
    </dataValidation>
    <dataValidation sqref="Y4 Y5 Y6 Y7 Y8 Y9 Y10 Y11 Y12 Y13 Y14 Y15 Y16 Y17 Y18 Y19 Y20 Y21 Y22 Y23 Y24 Y25 Y26 Y27 Y28 Y29 Y30 Y31 Y32 Y33 Y34 Y35 Y36 Y37 Y38 Y39 Y40 Y41 Y42 Y43 Y44 Y45 Y46 Y47 Y48 Y49 Y50 Y51 Y52 Y53 Y54" showDropDown="0" showInputMessage="0" showErrorMessage="0" allowBlank="0" type="list">
      <formula1>"Documented,In Progress,Not Applicable"</formula1>
    </dataValidation>
    <dataValidation sqref="Z4 Z5 Z6 Z7 Z8 Z9 Z10 Z11 Z12 Z13 Z14 Z15 Z16 Z17 Z18 Z19 Z20 Z21 Z22 Z23 Z24 Z25 Z26 Z27 Z28 Z29 Z30 Z31 Z32 Z33 Z34 Z35 Z36 Z37 Z38 Z39 Z40 Z41 Z42 Z43 Z44 Z45 Z46 Z47 Z48 Z49 Z50 Z51 Z52 Z53 Z54" showDropDown="0" showInputMessage="0" showErrorMessage="0" allowBlank="0" type="list">
      <formula1>"Excellent (&lt;100ms),Acceptable (100-500ms),Concern (&gt;500ms),Not Tested,N/A"</formula1>
    </dataValidation>
    <dataValidation sqref="AA4 AA5 AA6 AA7 AA8 AA9 AA10 AA11 AA12 AA13 AA14 AA15 AA16 AA17 AA18 AA19 AA20 AA21 AA22 AA23 AA24 AA25 AA26 AA27 AA28 AA29 AA30 AA31 AA32 AA33 AA34 AA35 AA36 AA37 AA38 AA39 AA40 AA41 AA42 AA43 AA44 AA45 AA46 AA47 AA48 AA49 AA50 AA51 AA52 AA53 AA54" showDropDown="0" showInputMessage="0" showErrorMessage="0" allowBlank="0" type="list">
      <formula1>"Yes (Favorable),Yes (Unfavorable),In Progress,Not Started,N/A"</formula1>
    </dataValidation>
    <dataValidation sqref="AB4 AB5 AB6 AB7 AB8 AB9 AB10 AB11 AB12 AB13 AB14 AB15 AB16 AB17 AB18 AB19 AB20 AB21 AB22 AB23 AB24 AB25 AB26 AB27 AB28 AB29 AB30 AB31 AB32 AB33 AB34 AB35 AB36 AB37 AB38 AB39 AB40 AB41 AB42 AB43 AB44 AB45 AB46 AB47 AB48 AB49 AB50 AB51 AB52 AB53 AB54" showDropDown="0" showInputMessage="0" showErrorMessage="0" allowBlank="0" type="list">
      <formula1>"Yes (Sufficient),Partial (Upgrade Needed),No (Full Build),Not Assessed,N/A"</formula1>
    </dataValidation>
    <dataValidation sqref="AC4 AC5 AC6 AC7 AC8 AC9 AC10 AC11 AC12 AC13 AC14 AC15 AC16 AC17 AC18 AC19 AC20 AC21 AC22 AC23 AC24 AC25 AC26 AC27 AC28 AC29 AC30 AC31 AC32 AC33 AC34 AC35 AC36 AC37 AC38 AC39 AC40 AC41 AC42 AC43 AC44 AC45 AC46 AC47 AC48 AC49 AC50 AC51 AC52 AC53 AC54" showDropDown="0" showInputMessage="0" showErrorMessage="0" allowBlank="0" type="list">
      <formula1>"Yes,In Progress,Not Started,N/A"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G83"/>
  <sheetViews>
    <sheetView showGridLines="0" workbookViewId="0">
      <pane ySplit="6" topLeftCell="A7" activePane="bottomLeft" state="frozen"/>
      <selection pane="bottomLeft" activeCell="A1" sqref="A1"/>
    </sheetView>
  </sheetViews>
  <sheetFormatPr baseColWidth="8" defaultRowHeight="15"/>
  <cols>
    <col width="30" customWidth="1" min="1" max="1"/>
    <col width="18" customWidth="1" min="2" max="2"/>
    <col width="25" customWidth="1" min="3" max="3"/>
    <col width="18" customWidth="1" min="4" max="4"/>
    <col width="18" customWidth="1" min="5" max="5"/>
    <col width="18" customWidth="1" min="6" max="6"/>
    <col width="18" customWidth="1" min="7" max="7"/>
    <col width="15" customWidth="1" min="8" max="8"/>
    <col width="30" customWidth="1" min="9" max="9"/>
    <col width="35" customWidth="1" min="10" max="10"/>
    <col width="14" customWidth="1" min="11" max="11"/>
    <col width="14" customWidth="1" min="12" max="12"/>
    <col width="14" customWidth="1" min="13" max="13"/>
    <col width="30" customWidth="1" min="14" max="14"/>
    <col width="22" customWidth="1" min="15" max="15"/>
    <col width="18" customWidth="1" min="16" max="16"/>
    <col width="16" customWidth="1" min="17" max="17"/>
    <col width="16" customWidth="1" min="18" max="18"/>
    <col width="18" customWidth="1" min="19" max="19"/>
    <col width="14" customWidth="1" min="20" max="20"/>
    <col width="14" customWidth="1" min="21" max="21"/>
    <col width="16" customWidth="1" min="22" max="22"/>
    <col width="16" customWidth="1" min="23" max="23"/>
    <col width="16" customWidth="1" min="24" max="24"/>
    <col width="20" customWidth="1" min="25" max="25"/>
    <col width="20" customWidth="1" min="26" max="26"/>
    <col width="25" customWidth="1" min="27" max="27"/>
    <col width="16" customWidth="1" min="28" max="28"/>
    <col width="14" customWidth="1" min="29" max="29"/>
    <col width="14" customWidth="1" min="30" max="30"/>
    <col width="18" customWidth="1" min="31" max="31"/>
    <col width="18" customWidth="1" min="32" max="32"/>
    <col width="16" customWidth="1" min="33" max="33"/>
  </cols>
  <sheetData>
    <row r="1" ht="35" customHeight="1">
      <c r="A1" s="11" t="inlineStr">
        <is>
          <t>CLOUD STORAGE SERVICES INVENTORY
All cloud storage must enforce encryption (Policy S5 Section 2.4)</t>
        </is>
      </c>
    </row>
    <row r="2">
      <c r="A2" s="12" t="inlineStr">
        <is>
          <t>Cloud Storage Services | Inventory and regulatory assessment of cloud storage and object store solutions</t>
        </is>
      </c>
    </row>
    <row r="3">
      <c r="A3" s="13" t="inlineStr">
        <is>
          <t>Does your organisation use cloud storage services?</t>
        </is>
      </c>
    </row>
    <row r="4">
      <c r="A4" t="inlineStr">
        <is>
          <t>Response:</t>
        </is>
      </c>
      <c r="B4" s="14" t="n"/>
    </row>
    <row r="6">
      <c r="A6" s="15" t="inlineStr">
        <is>
          <t>Cloud Service Name</t>
        </is>
      </c>
      <c r="B6" s="15" t="inlineStr">
        <is>
          <t>Service Type</t>
        </is>
      </c>
      <c r="C6" s="15" t="inlineStr">
        <is>
          <t>Vendor Name</t>
        </is>
      </c>
      <c r="D6" s="15" t="inlineStr">
        <is>
          <t>Service Criticality</t>
        </is>
      </c>
      <c r="E6" s="15" t="inlineStr">
        <is>
          <t>Data Classification</t>
        </is>
      </c>
      <c r="F6" s="15" t="inlineStr">
        <is>
          <t>Data Residency</t>
        </is>
      </c>
      <c r="G6" s="15" t="inlineStr">
        <is>
          <t>Contract Status</t>
        </is>
      </c>
      <c r="H6" s="15" t="inlineStr">
        <is>
          <t>Status</t>
        </is>
      </c>
      <c r="I6" s="15" t="inlineStr">
        <is>
          <t>Evidence Location</t>
        </is>
      </c>
      <c r="J6" s="15" t="inlineStr">
        <is>
          <t>Gap Description</t>
        </is>
      </c>
      <c r="K6" s="15" t="inlineStr">
        <is>
          <t>Remediation Needed</t>
        </is>
      </c>
      <c r="L6" s="15" t="inlineStr">
        <is>
          <t>Exception ID</t>
        </is>
      </c>
      <c r="M6" s="15" t="inlineStr">
        <is>
          <t>Risk ID</t>
        </is>
      </c>
      <c r="N6" s="15" t="inlineStr">
        <is>
          <t>Compensating Controls</t>
        </is>
      </c>
      <c r="O6" s="15" t="inlineStr">
        <is>
          <t>Service Owner</t>
        </is>
      </c>
      <c r="P6" s="15" t="inlineStr">
        <is>
          <t>Target Remediation Date</t>
        </is>
      </c>
      <c r="Q6" s="15" t="inlineStr">
        <is>
          <t>Budget Impact</t>
        </is>
      </c>
      <c r="R6" s="15" t="inlineStr">
        <is>
          <t>Monthly Cost CHF</t>
        </is>
      </c>
      <c r="S6" s="15" t="inlineStr">
        <is>
          <t>Annual Contract Value</t>
        </is>
      </c>
      <c r="T6" s="15" t="inlineStr">
        <is>
          <t>Licensed Users</t>
        </is>
      </c>
      <c r="U6" s="15" t="inlineStr">
        <is>
          <t>Integration Count</t>
        </is>
      </c>
      <c r="V6" s="15" t="inlineStr">
        <is>
          <t>Backup Available</t>
        </is>
      </c>
      <c r="W6" s="15" t="inlineStr">
        <is>
          <t>Exit Feasibility</t>
        </is>
      </c>
      <c r="X6" s="15" t="inlineStr">
        <is>
          <t>Last Review Date</t>
        </is>
      </c>
      <c r="Y6" s="15" t="inlineStr">
        <is>
          <t>Provider HQ Jurisdiction</t>
        </is>
      </c>
      <c r="Z6" s="15" t="inlineStr">
        <is>
          <t>CLOUD Act Exposure</t>
        </is>
      </c>
      <c r="AA6" s="15" t="inlineStr">
        <is>
          <t>Data Processing Locations</t>
        </is>
      </c>
      <c r="AB6" s="15" t="inlineStr">
        <is>
          <t>EU Data Boundary</t>
        </is>
      </c>
      <c r="AC6" s="15" t="inlineStr">
        <is>
          <t>DORA In Scope</t>
        </is>
      </c>
      <c r="AD6" s="15" t="inlineStr">
        <is>
          <t>NIS2 In Scope</t>
        </is>
      </c>
      <c r="AE6" s="15" t="inlineStr">
        <is>
          <t>AI Classification</t>
        </is>
      </c>
      <c r="AF6" s="15" t="inlineStr">
        <is>
          <t>Concentration Risk</t>
        </is>
      </c>
      <c r="AG6" s="15" t="inlineStr">
        <is>
          <t>Alternatives Identified</t>
        </is>
      </c>
    </row>
    <row r="8">
      <c r="A8" s="16" t="inlineStr">
        <is>
          <t>Example: Microsoft 365</t>
        </is>
      </c>
      <c r="B8" s="17" t="inlineStr">
        <is>
          <t>SaaS</t>
        </is>
      </c>
      <c r="C8" s="17" t="inlineStr">
        <is>
          <t>Microsoft</t>
        </is>
      </c>
      <c r="D8" s="17" t="inlineStr">
        <is>
          <t>Critical</t>
        </is>
      </c>
      <c r="E8" s="17" t="n"/>
      <c r="F8" s="17" t="n"/>
      <c r="G8" s="17" t="n"/>
      <c r="H8" s="17" t="inlineStr">
        <is>
          <t>✅ Compliant</t>
        </is>
      </c>
      <c r="I8" s="17" t="n"/>
      <c r="J8" s="17" t="n"/>
      <c r="K8" s="17" t="n"/>
      <c r="L8" s="17" t="n"/>
      <c r="M8" s="17" t="n"/>
      <c r="N8" s="17" t="n"/>
      <c r="O8" s="17" t="n"/>
      <c r="P8" s="17" t="n"/>
      <c r="Q8" s="17" t="n"/>
      <c r="R8" s="17" t="n"/>
      <c r="S8" s="17" t="n"/>
      <c r="T8" s="17" t="n"/>
      <c r="U8" s="17" t="n"/>
      <c r="V8" s="17" t="n"/>
      <c r="W8" s="17" t="n"/>
      <c r="X8" s="17" t="n"/>
      <c r="Y8" s="17" t="inlineStr">
        <is>
          <t>United States</t>
        </is>
      </c>
      <c r="Z8" s="17" t="inlineStr">
        <is>
          <t>Mitigated (EU Data Boundary)</t>
        </is>
      </c>
      <c r="AA8" s="17" t="n"/>
      <c r="AB8" s="17" t="n"/>
      <c r="AC8" s="17" t="inlineStr">
        <is>
          <t>Yes</t>
        </is>
      </c>
      <c r="AD8" s="17" t="inlineStr">
        <is>
          <t>Yes</t>
        </is>
      </c>
      <c r="AE8" s="17" t="n"/>
      <c r="AF8" s="17" t="inlineStr">
        <is>
          <t>High (Few alternatives)</t>
        </is>
      </c>
      <c r="AG8" s="17" t="n"/>
    </row>
    <row r="9">
      <c r="A9" s="14" t="n"/>
      <c r="B9" s="14" t="n"/>
      <c r="C9" s="14" t="n"/>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row>
    <row r="10">
      <c r="A10" s="14" t="n"/>
      <c r="B10" s="14" t="n"/>
      <c r="C10" s="14" t="n"/>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c r="AA10" s="14" t="n"/>
      <c r="AB10" s="14" t="n"/>
      <c r="AC10" s="14" t="n"/>
      <c r="AD10" s="14" t="n"/>
      <c r="AE10" s="14" t="n"/>
      <c r="AF10" s="14" t="n"/>
      <c r="AG10" s="14" t="n"/>
    </row>
    <row r="11">
      <c r="A11" s="14" t="n"/>
      <c r="B11" s="14" t="n"/>
      <c r="C11" s="14" t="n"/>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c r="AA11" s="14" t="n"/>
      <c r="AB11" s="14" t="n"/>
      <c r="AC11" s="14" t="n"/>
      <c r="AD11" s="14" t="n"/>
      <c r="AE11" s="14" t="n"/>
      <c r="AF11" s="14" t="n"/>
      <c r="AG11" s="14" t="n"/>
    </row>
    <row r="12">
      <c r="A12" s="14" t="n"/>
      <c r="B12" s="14" t="n"/>
      <c r="C12" s="14" t="n"/>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c r="AA12" s="14" t="n"/>
      <c r="AB12" s="14" t="n"/>
      <c r="AC12" s="14" t="n"/>
      <c r="AD12" s="14" t="n"/>
      <c r="AE12" s="14" t="n"/>
      <c r="AF12" s="14" t="n"/>
      <c r="AG12" s="14" t="n"/>
    </row>
    <row r="13">
      <c r="A13" s="14" t="n"/>
      <c r="B13" s="14" t="n"/>
      <c r="C13" s="14" t="n"/>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c r="AA13" s="14" t="n"/>
      <c r="AB13" s="14" t="n"/>
      <c r="AC13" s="14" t="n"/>
      <c r="AD13" s="14" t="n"/>
      <c r="AE13" s="14" t="n"/>
      <c r="AF13" s="14" t="n"/>
      <c r="AG13" s="14" t="n"/>
    </row>
    <row r="14">
      <c r="A14" s="14" t="n"/>
      <c r="B14" s="14" t="n"/>
      <c r="C14" s="14" t="n"/>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c r="AA14" s="14" t="n"/>
      <c r="AB14" s="14" t="n"/>
      <c r="AC14" s="14" t="n"/>
      <c r="AD14" s="14" t="n"/>
      <c r="AE14" s="14" t="n"/>
      <c r="AF14" s="14" t="n"/>
      <c r="AG14" s="14" t="n"/>
    </row>
    <row r="15">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c r="AA15" s="14" t="n"/>
      <c r="AB15" s="14" t="n"/>
      <c r="AC15" s="14" t="n"/>
      <c r="AD15" s="14" t="n"/>
      <c r="AE15" s="14" t="n"/>
      <c r="AF15" s="14" t="n"/>
      <c r="AG15" s="14" t="n"/>
    </row>
    <row r="16">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row>
    <row r="17">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c r="AA17" s="14" t="n"/>
      <c r="AB17" s="14" t="n"/>
      <c r="AC17" s="14" t="n"/>
      <c r="AD17" s="14" t="n"/>
      <c r="AE17" s="14" t="n"/>
      <c r="AF17" s="14" t="n"/>
      <c r="AG17" s="14" t="n"/>
    </row>
    <row r="18">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row>
    <row r="19">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c r="AA19" s="14" t="n"/>
      <c r="AB19" s="14" t="n"/>
      <c r="AC19" s="14" t="n"/>
      <c r="AD19" s="14" t="n"/>
      <c r="AE19" s="14" t="n"/>
      <c r="AF19" s="14" t="n"/>
      <c r="AG19" s="14" t="n"/>
    </row>
    <row r="20">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c r="AA20" s="14" t="n"/>
      <c r="AB20" s="14" t="n"/>
      <c r="AC20" s="14" t="n"/>
      <c r="AD20" s="14" t="n"/>
      <c r="AE20" s="14" t="n"/>
      <c r="AF20" s="14" t="n"/>
      <c r="AG20" s="14" t="n"/>
    </row>
    <row r="21">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row>
    <row r="22">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row>
    <row r="2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row>
    <row r="24">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row>
    <row r="25">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row>
    <row r="26">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row>
    <row r="27">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row>
    <row r="28">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row>
    <row r="29">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row>
    <row r="30">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row>
    <row r="31">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row>
    <row r="32">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row>
    <row r="3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row>
    <row r="34">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row>
    <row r="35">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row>
    <row r="36">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row>
    <row r="37">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row>
    <row r="38">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row>
    <row r="39">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row>
    <row r="40">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row>
    <row r="41">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row>
    <row r="42">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row>
    <row r="4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row>
    <row r="44">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row>
    <row r="45">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row>
    <row r="46">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row>
    <row r="47">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row>
    <row r="48">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row>
    <row r="49">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row>
    <row r="50">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row>
    <row r="51">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row>
    <row r="52">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row>
    <row r="5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row>
    <row r="54">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row>
    <row r="55">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row>
    <row r="56">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row>
    <row r="57">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row>
    <row r="58">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row>
    <row r="61">
      <c r="A61" s="18" t="inlineStr">
        <is>
          <t>COMPLIANCE CHECKLIST</t>
        </is>
      </c>
    </row>
    <row r="63">
      <c r="A63" s="15" t="inlineStr">
        <is>
          <t>Item</t>
        </is>
      </c>
      <c r="B63" s="15" t="inlineStr">
        <is>
          <t>Requirement</t>
        </is>
      </c>
      <c r="C63" s="15" t="inlineStr">
        <is>
          <t>Status</t>
        </is>
      </c>
      <c r="D63" s="15" t="inlineStr">
        <is>
          <t>Evidence</t>
        </is>
      </c>
    </row>
    <row r="64">
      <c r="A64" t="inlineStr">
        <is>
          <t>☐</t>
        </is>
      </c>
      <c r="B64" t="inlineStr">
        <is>
          <t>All cloud services documented in CMDB</t>
        </is>
      </c>
      <c r="C64" s="14" t="n"/>
      <c r="D64" t="inlineStr">
        <is>
          <t>CMDB export</t>
        </is>
      </c>
    </row>
    <row r="65">
      <c r="A65" t="inlineStr">
        <is>
          <t>☐</t>
        </is>
      </c>
      <c r="B65" t="inlineStr">
        <is>
          <t>Data classification assigned</t>
        </is>
      </c>
      <c r="C65" s="14" t="n"/>
      <c r="D65" t="inlineStr">
        <is>
          <t>Data classification matrix</t>
        </is>
      </c>
    </row>
    <row r="66">
      <c r="A66" t="inlineStr">
        <is>
          <t>☐</t>
        </is>
      </c>
      <c r="B66" t="inlineStr">
        <is>
          <t>Service criticality assessed (BIA)</t>
        </is>
      </c>
      <c r="C66" s="14" t="n"/>
      <c r="D66" t="inlineStr">
        <is>
          <t>Business impact analysis</t>
        </is>
      </c>
    </row>
    <row r="67">
      <c r="A67" t="inlineStr">
        <is>
          <t>☐</t>
        </is>
      </c>
      <c r="B67" t="inlineStr">
        <is>
          <t>Service owner identified</t>
        </is>
      </c>
      <c r="C67" s="14" t="n"/>
      <c r="D67" t="inlineStr">
        <is>
          <t>RACI matrix</t>
        </is>
      </c>
    </row>
    <row r="68">
      <c r="A68" t="inlineStr">
        <is>
          <t>☐</t>
        </is>
      </c>
      <c r="B68" t="inlineStr">
        <is>
          <t>Contract status tracked</t>
        </is>
      </c>
      <c r="C68" s="14" t="n"/>
      <c r="D68" t="inlineStr">
        <is>
          <t>Contract management system</t>
        </is>
      </c>
    </row>
    <row r="69">
      <c r="A69" t="inlineStr">
        <is>
          <t>☐</t>
        </is>
      </c>
      <c r="B69" t="inlineStr">
        <is>
          <t>Monthly costs documented</t>
        </is>
      </c>
      <c r="C69" s="14" t="n"/>
      <c r="D69" t="inlineStr">
        <is>
          <t>Finance system</t>
        </is>
      </c>
    </row>
    <row r="70">
      <c r="A70" t="inlineStr">
        <is>
          <t>☐</t>
        </is>
      </c>
      <c r="B70" t="inlineStr">
        <is>
          <t>User license count verified</t>
        </is>
      </c>
      <c r="C70" s="14" t="n"/>
      <c r="D70" t="inlineStr">
        <is>
          <t>License report</t>
        </is>
      </c>
    </row>
    <row r="71">
      <c r="A71" t="inlineStr">
        <is>
          <t>☐</t>
        </is>
      </c>
      <c r="B71" t="inlineStr">
        <is>
          <t>Integration dependencies mapped</t>
        </is>
      </c>
      <c r="C71" s="14" t="n"/>
      <c r="D71" t="inlineStr">
        <is>
          <t>Architecture diagram</t>
        </is>
      </c>
    </row>
    <row r="72">
      <c r="A72" t="inlineStr">
        <is>
          <t>☐</t>
        </is>
      </c>
      <c r="B72" t="inlineStr">
        <is>
          <t>Backup strategy defined</t>
        </is>
      </c>
      <c r="C72" s="14" t="n"/>
      <c r="D72" t="inlineStr">
        <is>
          <t>BC/DR plan</t>
        </is>
      </c>
    </row>
    <row r="73">
      <c r="A73" t="inlineStr">
        <is>
          <t>☐</t>
        </is>
      </c>
      <c r="B73" t="inlineStr">
        <is>
          <t>Exit feasibility evaluated</t>
        </is>
      </c>
      <c r="C73" s="14" t="n"/>
      <c r="D73" t="inlineStr">
        <is>
          <t>Exit strategy document</t>
        </is>
      </c>
    </row>
    <row r="74">
      <c r="A74" t="inlineStr">
        <is>
          <t>☐</t>
        </is>
      </c>
      <c r="B74" t="inlineStr">
        <is>
          <t>Data residency verified</t>
        </is>
      </c>
      <c r="C74" s="14" t="n"/>
      <c r="D74" t="inlineStr">
        <is>
          <t>Vendor DPA</t>
        </is>
      </c>
    </row>
    <row r="75">
      <c r="A75" t="inlineStr">
        <is>
          <t>☐</t>
        </is>
      </c>
      <c r="B75" t="inlineStr">
        <is>
          <t>Last review date recorded</t>
        </is>
      </c>
      <c r="C75" s="14" t="n"/>
      <c r="D75" t="inlineStr">
        <is>
          <t>Review calendar</t>
        </is>
      </c>
    </row>
    <row r="76">
      <c r="A76" t="inlineStr">
        <is>
          <t>☐</t>
        </is>
      </c>
      <c r="B76" t="inlineStr">
        <is>
          <t>Provider HQ jurisdiction documented</t>
        </is>
      </c>
      <c r="C76" s="14" t="n"/>
      <c r="D76" t="inlineStr">
        <is>
          <t>Vendor documentation</t>
        </is>
      </c>
    </row>
    <row r="77">
      <c r="A77" t="inlineStr">
        <is>
          <t>☐</t>
        </is>
      </c>
      <c r="B77" t="inlineStr">
        <is>
          <t>CLOUD Act exposure assessed</t>
        </is>
      </c>
      <c r="C77" s="14" t="n"/>
      <c r="D77" t="inlineStr">
        <is>
          <t>Risk assessment</t>
        </is>
      </c>
    </row>
    <row r="78">
      <c r="A78" t="inlineStr">
        <is>
          <t>☐</t>
        </is>
      </c>
      <c r="B78" t="inlineStr">
        <is>
          <t>Data processing locations verified</t>
        </is>
      </c>
      <c r="C78" s="14" t="n"/>
      <c r="D78" t="inlineStr">
        <is>
          <t>DPA, vendor statement</t>
        </is>
      </c>
    </row>
    <row r="79">
      <c r="A79" t="inlineStr">
        <is>
          <t>☐</t>
        </is>
      </c>
      <c r="B79" t="inlineStr">
        <is>
          <t>DORA applicability determined</t>
        </is>
      </c>
      <c r="C79" s="14" t="n"/>
      <c r="D79" t="inlineStr">
        <is>
          <t>Regulatory review</t>
        </is>
      </c>
    </row>
    <row r="80">
      <c r="A80" t="inlineStr">
        <is>
          <t>☐</t>
        </is>
      </c>
      <c r="B80" t="inlineStr">
        <is>
          <t>NIS2 applicability determined</t>
        </is>
      </c>
      <c r="C80" s="14" t="n"/>
      <c r="D80" t="inlineStr">
        <is>
          <t>Regulatory review</t>
        </is>
      </c>
    </row>
    <row r="81">
      <c r="A81" t="inlineStr">
        <is>
          <t>☐</t>
        </is>
      </c>
      <c r="B81" t="inlineStr">
        <is>
          <t>AI system classification assessed</t>
        </is>
      </c>
      <c r="C81" s="14" t="n"/>
      <c r="D81" t="inlineStr">
        <is>
          <t>AI inventory</t>
        </is>
      </c>
    </row>
    <row r="82">
      <c r="A82" t="inlineStr">
        <is>
          <t>☐</t>
        </is>
      </c>
      <c r="B82" t="inlineStr">
        <is>
          <t>Concentration risk evaluated</t>
        </is>
      </c>
      <c r="C82" s="14" t="n"/>
      <c r="D82" t="inlineStr">
        <is>
          <t>Risk assessment</t>
        </is>
      </c>
    </row>
    <row r="83">
      <c r="A83" t="inlineStr">
        <is>
          <t>☐</t>
        </is>
      </c>
      <c r="B83" t="inlineStr">
        <is>
          <t>Alternative providers identified</t>
        </is>
      </c>
      <c r="C83" s="14" t="n"/>
      <c r="D83" t="inlineStr">
        <is>
          <t>Market analysis</t>
        </is>
      </c>
    </row>
  </sheetData>
  <mergeCells count="4">
    <mergeCell ref="A2:AG2"/>
    <mergeCell ref="A1:AG1"/>
    <mergeCell ref="A61:D61"/>
    <mergeCell ref="A3:AG3"/>
  </mergeCells>
  <dataValidations count="20">
    <dataValidation sqref="B4" showDropDown="0" showInputMessage="0" showErrorMessage="0" allowBlank="0" type="list">
      <formula1>"Yes,No,Partial,Under Review"</formula1>
    </dataValidation>
    <dataValidation sqref="C64 C65 C66 C67 C68 C69 C70 C71 C72 C73 C74 C75 C76 C77 C78 C79 C80 C81 C82 C83" showDropDown="0" showInputMessage="0" showErrorMessage="0" allowBlank="1" type="list">
      <formula1>"✅,⚠,❌"</formula1>
    </dataValidation>
    <dataValidation sqref="B8 B9 B10 B11 B12 B13 B14 B15 B16 B17 B18 B19 B20 B21 B22 B23 B24 B25 B26 B27 B28 B29 B30 B31 B32 B33 B34 B35 B36 B37 B38 B39 B40 B41 B42 B43 B44 B45 B46 B47 B48 B49 B50 B51 B52 B53 B54 B55 B56 B57 B58" showDropDown="0" showInputMessage="0" showErrorMessage="0" allowBlank="1" type="list">
      <formula1>"SaaS,IaaS,PaaS,Security,Storage,Collaboration,Other"</formula1>
    </dataValidation>
    <dataValidation sqref="D8 D9 D10 D11 D12 D13 D14 D15 D16 D17 D18 D19 D20 D21 D22 D23 D24 D25 D26 D27 D28 D29 D30 D31 D32 D33 D34 D35 D36 D37 D38 D39 D40 D41 D42 D43 D44 D45 D46 D47 D48 D49 D50 D51 D52 D53 D54 D55 D56 D57 D58" showDropDown="0" showInputMessage="0" showErrorMessage="0" allowBlank="1" type="list">
      <formula1>"Critical,High,Medium,Low"</formula1>
    </dataValidation>
    <dataValidation sqref="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"Restricted,Confidential,Internal,Public,Mixed,N/A"</formula1>
    </dataValidation>
    <dataValidation sqref="F8 F9 F10 F11 F12 F13 F14 F15 F16 F17 F18 F19 F20 F21 F22 F23 F24 F25 F26 F27 F28 F29 F30 F31 F32 F33 F34 F35 F36 F37 F38 F39 F40 F41 F42 F43 F44 F45 F46 F47 F48 F49 F50 F51 F52 F53 F54 F55 F56 F57 F58" showDropDown="0" showInputMessage="0" showErrorMessage="0" allowBlank="1" type="list">
      <formula1>"Switzerland,EU,USA,Global,Unknown"</formula1>
    </dataValidation>
    <dataValidation sqref="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"Active,Renewal Due,Expired,Under Negotiation,Trial"</formula1>
    </dataValidation>
    <dataValidation sqref="H8 H9 H10 H11 H12 H13 H14 H15 H16 H17 H18 H19 H20 H21 H22 H23 H24 H25 H26 H27 H28 H29 H30 H31 H32 H33 H34 H35 H36 H37 H38 H39 H40 H41 H42 H43 H44 H45 H46 H47 H48 H49 H50 H51 H52 H53 H54 H55 H56 H57 H58" showDropDown="0" showInputMessage="0" showErrorMessage="0" allowBlank="1" type="list">
      <formula1>"✅ Compliant,⚠️ Partial,❌ Non-Compliant,N/A"</formula1>
    </dataValidation>
    <dataValidation sqref="K8 K9 K10 K11 K12 K13 K14 K15 K16 K17 K18 K19 K20 K21 K22 K23 K24 K25 K26 K27 K28 K29 K30 K31 K32 K33 K34 K35 K36 K37 K38 K39 K40 K41 K42 K43 K44 K45 K46 K47 K48 K49 K50 K51 K52 K53 K54 K55 K56 K57 K58" showDropDown="0" showInputMessage="0" showErrorMessage="0" allowBlank="1" type="list">
      <formula1>"Yes,No"</formula1>
    </dataValidation>
    <dataValidation sqref="Q8 Q9 Q10 Q11 Q12 Q13 Q14 Q15 Q16 Q17 Q18 Q19 Q20 Q21 Q22 Q23 Q24 Q25 Q26 Q27 Q28 Q29 Q30 Q31 Q32 Q33 Q34 Q35 Q36 Q37 Q38 Q39 Q40 Q41 Q42 Q43 Q44 Q45 Q46 Q47 Q48 Q49 Q50 Q51 Q52 Q53 Q54 Q55 Q56 Q57 Q58" showDropDown="0" showInputMessage="0" showErrorMessage="0" allowBlank="1" type="list">
      <formula1>"High (&gt;$50K),Medium ($10K-$50K),Low (&lt;$10K),None"</formula1>
    </dataValidation>
    <dataValidation sqref="V8 V9 V10 V11 V12 V13 V14 V15 V16 V17 V18 V19 V20 V21 V22 V23 V24 V25 V26 V27 V28 V29 V30 V31 V32 V33 V34 V35 V36 V37 V38 V39 V40 V41 V42 V43 V44 V45 V46 V47 V48 V49 V50 V51 V52 V53 V54 V55 V56 V57 V58" showDropDown="0" showInputMessage="0" showErrorMessage="0" allowBlank="1" type="list">
      <formula1>"Yes,No,Planned,Unknown"</formula1>
    </dataValidation>
    <dataValidation sqref="W8 W9 W10 W11 W12 W13 W14 W15 W16 W17 W18 W19 W20 W21 W22 W23 W24 W25 W26 W27 W28 W29 W30 W31 W32 W33 W34 W35 W36 W37 W38 W39 W40 W41 W42 W43 W44 W45 W46 W47 W48 W49 W50 W51 W52 W53 W54 W55 W56 W57 W58" showDropDown="0" showInputMessage="0" showErrorMessage="0" allowBlank="1" type="list">
      <formula1>"Easy (≤30 days),Medium (31-90 days),Hard (&gt;90 days),Unknown"</formula1>
    </dataValidation>
    <dataValidation sqref="Y8 Y9 Y10 Y11 Y12 Y13 Y14 Y15 Y16 Y17 Y18 Y19 Y20 Y21 Y22 Y23 Y24 Y25 Y26 Y27 Y28 Y29 Y30 Y31 Y32 Y33 Y34 Y35 Y36 Y37 Y38 Y39 Y40 Y41 Y42 Y43 Y44 Y45 Y46 Y47 Y48 Y49 Y50 Y51 Y52 Y53 Y54 Y55 Y56 Y57 Y58" showDropDown="0" showInputMessage="0" showErrorMessage="0" allowBlank="1" type="list">
      <formula1>"Switzerland,EU/EEA,United Kingdom,United States,Other Adequate Country,Non-Adequate Country"</formula1>
    </dataValidation>
    <dataValidation sqref="Z8 Z9 Z10 Z11 Z12 Z13 Z14 Z15 Z16 Z17 Z18 Z19 Z20 Z21 Z22 Z23 Z24 Z25 Z26 Z27 Z28 Z29 Z30 Z31 Z32 Z33 Z34 Z35 Z36 Z37 Z38 Z39 Z40 Z41 Z42 Z43 Z44 Z45 Z46 Z47 Z48 Z49 Z50 Z51 Z52 Z53 Z54 Z55 Z56 Z57 Z58" showDropDown="0" showInputMessage="0" showErrorMessage="0" allowBlank="1" type="list">
      <formula1>"No Exposure,Potential Exposure (US HQ),Mitigated (EU Data Boundary),Mitigated (Encryption + Key Control),Accepted Risk (Documented),Under Assessment"</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showDropDown="0" showInputMessage="0" showErrorMessage="0" allowBlank="1" type="list">
      <formula1>"Yes,No,Partial,Unknown"</formula1>
    </dataValidation>
    <dataValidation sqref="AC8 AC9 AC10 AC11 AC12 AC13 AC14 AC15 AC16 AC17 AC18 AC19 AC20 AC21 AC22 AC23 AC24 AC25 AC26 AC27 AC28 AC29 AC30 AC31 AC32 AC33 AC34 AC35 AC36 AC37 AC38 AC39 AC40 AC41 AC42 AC43 AC44 AC45 AC46 AC47 AC48 AC49 AC50 AC51 AC52 AC53 AC54 AC55 AC56 AC57 AC58" showDropDown="0" showInputMessage="0" showErrorMessage="0" allowBlank="1" type="list">
      <formula1>"Yes,No,Not Determined"</formula1>
    </dataValidation>
    <dataValidation sqref="AD8 AD9 AD10 AD11 AD12 AD13 AD14 AD15 AD16 AD17 AD18 AD19 AD20 AD21 AD22 AD23 AD24 AD25 AD26 AD27 AD28 AD29 AD30 AD31 AD32 AD33 AD34 AD35 AD36 AD37 AD38 AD39 AD40 AD41 AD42 AD43 AD44 AD45 AD46 AD47 AD48 AD49 AD50 AD51 AD52 AD53 AD54 AD55 AD56 AD57 AD58" showDropDown="0" showInputMessage="0" showErrorMessage="0" allowBlank="1" type="list">
      <formula1>"Yes,No,Not Determined"</formula1>
    </dataValidation>
    <dataValidation sqref="AE8 AE9 AE10 AE11 AE12 AE13 AE14 AE15 AE16 AE17 AE18 AE19 AE20 AE21 AE22 AE23 AE24 AE25 AE26 AE27 AE28 AE29 AE30 AE31 AE32 AE33 AE34 AE35 AE36 AE37 AE38 AE39 AE40 AE41 AE42 AE43 AE44 AE45 AE46 AE47 AE48 AE49 AE50 AE51 AE52 AE53 AE54 AE55 AE56 AE57 AE58" showDropDown="0" showInputMessage="0" showErrorMessage="0" allowBlank="1" type="list">
      <formula1>"Not Applicable,Minimal Risk,Limited Risk (Transparency),High Risk,Unacceptable Risk (Prohibited)"</formula1>
    </dataValidation>
    <dataValidation sqref="AF8 AF9 AF10 AF11 AF12 AF13 AF14 AF15 AF16 AF17 AF18 AF19 AF20 AF21 AF22 AF23 AF24 AF25 AF26 AF27 AF28 AF29 AF30 AF31 AF32 AF33 AF34 AF35 AF36 AF37 AF38 AF39 AF40 AF41 AF42 AF43 AF44 AF45 AF46 AF47 AF48 AF49 AF50 AF51 AF52 AF53 AF54 AF55 AF56 AF57 AF58" showDropDown="0" showInputMessage="0" showErrorMessage="0" allowBlank="1" type="list">
      <formula1>"Low (Multiple alternatives),Medium (Limited alternatives),High (Few alternatives),Critical (Single provider dependency)"</formula1>
    </dataValidation>
    <dataValidation sqref="AG8 AG9 AG10 AG11 AG12 AG13 AG14 AG15 AG16 AG17 AG18 AG19 AG20 AG21 AG22 AG23 AG24 AG25 AG26 AG27 AG28 AG29 AG30 AG31 AG32 AG33 AG34 AG35 AG36 AG37 AG38 AG39 AG40 AG41 AG42 AG43 AG44 AG45 AG46 AG47 AG48 AG49 AG50 AG51 AG52 AG53 AG54 AG55 AG56 AG57 AG58" showDropDown="0" showInputMessage="0" showErrorMessage="0" allowBlank="1" type="list">
      <formula1>"Yes,No,Partial"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35" customWidth="1" min="3" max="3"/>
    <col width="18" customWidth="1" min="4" max="4"/>
    <col width="22" customWidth="1" min="5" max="5"/>
    <col width="22" customWidth="1" min="6" max="6"/>
    <col width="18" customWidth="1" min="7" max="7"/>
    <col width="16" customWidth="1" min="8" max="8"/>
    <col width="18" customWidth="1" min="9" max="9"/>
    <col width="18" customWidth="1" min="10" max="10"/>
  </cols>
  <sheetData>
    <row r="1" ht="35" customHeight="1">
      <c r="A1" s="11" t="inlineStr">
        <is>
          <t>DATA CLASSIFICATION - CLOUD STORAGE INVENTORY</t>
        </is>
      </c>
    </row>
    <row r="2">
      <c r="A2" s="24" t="inlineStr">
        <is>
          <t>Classify all data types stored in cloud services. Required for ISO 27001 A.5.12 (Classification), A.5.13 (Labelling), and GDPR Article 30.</t>
        </is>
      </c>
    </row>
    <row r="3">
      <c r="A3" s="15" t="inlineStr">
        <is>
          <t>Data ID</t>
        </is>
      </c>
      <c r="B3" s="15" t="inlineStr">
        <is>
          <t>Data Category</t>
        </is>
      </c>
      <c r="C3" s="15" t="inlineStr">
        <is>
          <t>Description</t>
        </is>
      </c>
      <c r="D3" s="15" t="inlineStr">
        <is>
          <t>Classification Level</t>
        </is>
      </c>
      <c r="E3" s="15" t="inlineStr">
        <is>
          <t>Primary Cloud Service</t>
        </is>
      </c>
      <c r="F3" s="15" t="inlineStr">
        <is>
          <t>Storage Location</t>
        </is>
      </c>
      <c r="G3" s="15" t="inlineStr">
        <is>
          <t>Data Owner</t>
        </is>
      </c>
      <c r="H3" s="15" t="inlineStr">
        <is>
          <t>Retention Period</t>
        </is>
      </c>
      <c r="I3" s="15" t="inlineStr">
        <is>
          <t>Personal Data (GDPR)</t>
        </is>
      </c>
      <c r="J3" s="15" t="inlineStr">
        <is>
          <t>Cross-Border Transfer</t>
        </is>
      </c>
    </row>
    <row r="4">
      <c r="A4" s="16" t="inlineStr">
        <is>
          <t>DC-001</t>
        </is>
      </c>
      <c r="B4" s="16" t="inlineStr">
        <is>
          <t>Customer PII</t>
        </is>
      </c>
      <c r="C4" s="16" t="inlineStr">
        <is>
          <t>Customer names, email addresses, phone numbers in CRM system</t>
        </is>
      </c>
      <c r="D4" s="16" t="inlineStr">
        <is>
          <t>Confidential</t>
        </is>
      </c>
      <c r="E4" s="16" t="inlineStr">
        <is>
          <t>AWS S3</t>
        </is>
      </c>
      <c r="F4" s="16" t="inlineStr">
        <is>
          <t>eu-west-1 (Ireland)</t>
        </is>
      </c>
      <c r="G4" s="16" t="inlineStr">
        <is>
          <t>VP Sales</t>
        </is>
      </c>
      <c r="H4" s="16" t="inlineStr">
        <is>
          <t>7 years post-contract</t>
        </is>
      </c>
      <c r="I4" s="16" t="inlineStr">
        <is>
          <t>Yes - Personal</t>
        </is>
      </c>
      <c r="J4" s="16" t="inlineStr">
        <is>
          <t>EEA Only</t>
        </is>
      </c>
    </row>
    <row r="5">
      <c r="A5" s="14" t="n"/>
      <c r="B5" s="14" t="n"/>
      <c r="C5" s="14" t="n"/>
      <c r="D5" s="14" t="n"/>
      <c r="E5" s="14" t="n"/>
      <c r="F5" s="14" t="n"/>
      <c r="G5" s="14" t="n"/>
      <c r="H5" s="14" t="n"/>
      <c r="I5" s="14" t="n"/>
      <c r="J5" s="14" t="n"/>
    </row>
    <row r="6">
      <c r="A6" s="14" t="n"/>
      <c r="B6" s="14" t="n"/>
      <c r="C6" s="14" t="n"/>
      <c r="D6" s="14" t="n"/>
      <c r="E6" s="14" t="n"/>
      <c r="F6" s="14" t="n"/>
      <c r="G6" s="14" t="n"/>
      <c r="H6" s="14" t="n"/>
      <c r="I6" s="14" t="n"/>
      <c r="J6" s="14" t="n"/>
    </row>
    <row r="7">
      <c r="A7" s="14" t="n"/>
      <c r="B7" s="14" t="n"/>
      <c r="C7" s="14" t="n"/>
      <c r="D7" s="14" t="n"/>
      <c r="E7" s="14" t="n"/>
      <c r="F7" s="14" t="n"/>
      <c r="G7" s="14" t="n"/>
      <c r="H7" s="14" t="n"/>
      <c r="I7" s="14" t="n"/>
      <c r="J7" s="14" t="n"/>
    </row>
    <row r="8">
      <c r="A8" s="14" t="n"/>
      <c r="B8" s="14" t="n"/>
      <c r="C8" s="14" t="n"/>
      <c r="D8" s="14" t="n"/>
      <c r="E8" s="14" t="n"/>
      <c r="F8" s="14" t="n"/>
      <c r="G8" s="14" t="n"/>
      <c r="H8" s="14" t="n"/>
      <c r="I8" s="14" t="n"/>
      <c r="J8" s="14" t="n"/>
    </row>
    <row r="9">
      <c r="A9" s="14" t="n"/>
      <c r="B9" s="14" t="n"/>
      <c r="C9" s="14" t="n"/>
      <c r="D9" s="14" t="n"/>
      <c r="E9" s="14" t="n"/>
      <c r="F9" s="14" t="n"/>
      <c r="G9" s="14" t="n"/>
      <c r="H9" s="14" t="n"/>
      <c r="I9" s="14" t="n"/>
      <c r="J9" s="14" t="n"/>
    </row>
    <row r="10">
      <c r="A10" s="14" t="n"/>
      <c r="B10" s="14" t="n"/>
      <c r="C10" s="14" t="n"/>
      <c r="D10" s="14" t="n"/>
      <c r="E10" s="14" t="n"/>
      <c r="F10" s="14" t="n"/>
      <c r="G10" s="14" t="n"/>
      <c r="H10" s="14" t="n"/>
      <c r="I10" s="14" t="n"/>
      <c r="J10" s="14" t="n"/>
    </row>
    <row r="11">
      <c r="A11" s="14" t="n"/>
      <c r="B11" s="14" t="n"/>
      <c r="C11" s="14" t="n"/>
      <c r="D11" s="14" t="n"/>
      <c r="E11" s="14" t="n"/>
      <c r="F11" s="14" t="n"/>
      <c r="G11" s="14" t="n"/>
      <c r="H11" s="14" t="n"/>
      <c r="I11" s="14" t="n"/>
      <c r="J11" s="14" t="n"/>
    </row>
    <row r="12">
      <c r="A12" s="14" t="n"/>
      <c r="B12" s="14" t="n"/>
      <c r="C12" s="14" t="n"/>
      <c r="D12" s="14" t="n"/>
      <c r="E12" s="14" t="n"/>
      <c r="F12" s="14" t="n"/>
      <c r="G12" s="14" t="n"/>
      <c r="H12" s="14" t="n"/>
      <c r="I12" s="14" t="n"/>
      <c r="J12" s="14" t="n"/>
    </row>
    <row r="13">
      <c r="A13" s="14" t="n"/>
      <c r="B13" s="14" t="n"/>
      <c r="C13" s="14" t="n"/>
      <c r="D13" s="14" t="n"/>
      <c r="E13" s="14" t="n"/>
      <c r="F13" s="14" t="n"/>
      <c r="G13" s="14" t="n"/>
      <c r="H13" s="14" t="n"/>
      <c r="I13" s="14" t="n"/>
      <c r="J13" s="14" t="n"/>
    </row>
    <row r="14">
      <c r="A14" s="14" t="n"/>
      <c r="B14" s="14" t="n"/>
      <c r="C14" s="14" t="n"/>
      <c r="D14" s="14" t="n"/>
      <c r="E14" s="14" t="n"/>
      <c r="F14" s="14" t="n"/>
      <c r="G14" s="14" t="n"/>
      <c r="H14" s="14" t="n"/>
      <c r="I14" s="14" t="n"/>
      <c r="J14" s="14" t="n"/>
    </row>
    <row r="15">
      <c r="A15" s="14" t="n"/>
      <c r="B15" s="14" t="n"/>
      <c r="C15" s="14" t="n"/>
      <c r="D15" s="14" t="n"/>
      <c r="E15" s="14" t="n"/>
      <c r="F15" s="14" t="n"/>
      <c r="G15" s="14" t="n"/>
      <c r="H15" s="14" t="n"/>
      <c r="I15" s="14" t="n"/>
      <c r="J15" s="14" t="n"/>
    </row>
    <row r="16">
      <c r="A16" s="14" t="n"/>
      <c r="B16" s="14" t="n"/>
      <c r="C16" s="14" t="n"/>
      <c r="D16" s="14" t="n"/>
      <c r="E16" s="14" t="n"/>
      <c r="F16" s="14" t="n"/>
      <c r="G16" s="14" t="n"/>
      <c r="H16" s="14" t="n"/>
      <c r="I16" s="14" t="n"/>
      <c r="J16" s="14" t="n"/>
    </row>
    <row r="17">
      <c r="A17" s="14" t="n"/>
      <c r="B17" s="14" t="n"/>
      <c r="C17" s="14" t="n"/>
      <c r="D17" s="14" t="n"/>
      <c r="E17" s="14" t="n"/>
      <c r="F17" s="14" t="n"/>
      <c r="G17" s="14" t="n"/>
      <c r="H17" s="14" t="n"/>
      <c r="I17" s="14" t="n"/>
      <c r="J17" s="14" t="n"/>
    </row>
    <row r="18">
      <c r="A18" s="14" t="n"/>
      <c r="B18" s="14" t="n"/>
      <c r="C18" s="14" t="n"/>
      <c r="D18" s="14" t="n"/>
      <c r="E18" s="14" t="n"/>
      <c r="F18" s="14" t="n"/>
      <c r="G18" s="14" t="n"/>
      <c r="H18" s="14" t="n"/>
      <c r="I18" s="14" t="n"/>
      <c r="J18" s="14" t="n"/>
    </row>
    <row r="19">
      <c r="A19" s="14" t="n"/>
      <c r="B19" s="14" t="n"/>
      <c r="C19" s="14" t="n"/>
      <c r="D19" s="14" t="n"/>
      <c r="E19" s="14" t="n"/>
      <c r="F19" s="14" t="n"/>
      <c r="G19" s="14" t="n"/>
      <c r="H19" s="14" t="n"/>
      <c r="I19" s="14" t="n"/>
      <c r="J19" s="14" t="n"/>
    </row>
    <row r="20">
      <c r="A20" s="14" t="n"/>
      <c r="B20" s="14" t="n"/>
      <c r="C20" s="14" t="n"/>
      <c r="D20" s="14" t="n"/>
      <c r="E20" s="14" t="n"/>
      <c r="F20" s="14" t="n"/>
      <c r="G20" s="14" t="n"/>
      <c r="H20" s="14" t="n"/>
      <c r="I20" s="14" t="n"/>
      <c r="J20" s="14" t="n"/>
    </row>
    <row r="21">
      <c r="A21" s="14" t="n"/>
      <c r="B21" s="14" t="n"/>
      <c r="C21" s="14" t="n"/>
      <c r="D21" s="14" t="n"/>
      <c r="E21" s="14" t="n"/>
      <c r="F21" s="14" t="n"/>
      <c r="G21" s="14" t="n"/>
      <c r="H21" s="14" t="n"/>
      <c r="I21" s="14" t="n"/>
      <c r="J21" s="14" t="n"/>
    </row>
    <row r="22">
      <c r="A22" s="14" t="n"/>
      <c r="B22" s="14" t="n"/>
      <c r="C22" s="14" t="n"/>
      <c r="D22" s="14" t="n"/>
      <c r="E22" s="14" t="n"/>
      <c r="F22" s="14" t="n"/>
      <c r="G22" s="14" t="n"/>
      <c r="H22" s="14" t="n"/>
      <c r="I22" s="14" t="n"/>
      <c r="J22" s="14" t="n"/>
    </row>
    <row r="23">
      <c r="A23" s="14" t="n"/>
      <c r="B23" s="14" t="n"/>
      <c r="C23" s="14" t="n"/>
      <c r="D23" s="14" t="n"/>
      <c r="E23" s="14" t="n"/>
      <c r="F23" s="14" t="n"/>
      <c r="G23" s="14" t="n"/>
      <c r="H23" s="14" t="n"/>
      <c r="I23" s="14" t="n"/>
      <c r="J23" s="14" t="n"/>
    </row>
    <row r="24">
      <c r="A24" s="14" t="n"/>
      <c r="B24" s="14" t="n"/>
      <c r="C24" s="14" t="n"/>
      <c r="D24" s="14" t="n"/>
      <c r="E24" s="14" t="n"/>
      <c r="F24" s="14" t="n"/>
      <c r="G24" s="14" t="n"/>
      <c r="H24" s="14" t="n"/>
      <c r="I24" s="14" t="n"/>
      <c r="J24" s="14" t="n"/>
    </row>
    <row r="25">
      <c r="A25" s="14" t="n"/>
      <c r="B25" s="14" t="n"/>
      <c r="C25" s="14" t="n"/>
      <c r="D25" s="14" t="n"/>
      <c r="E25" s="14" t="n"/>
      <c r="F25" s="14" t="n"/>
      <c r="G25" s="14" t="n"/>
      <c r="H25" s="14" t="n"/>
      <c r="I25" s="14" t="n"/>
      <c r="J25" s="14" t="n"/>
    </row>
    <row r="26">
      <c r="A26" s="14" t="n"/>
      <c r="B26" s="14" t="n"/>
      <c r="C26" s="14" t="n"/>
      <c r="D26" s="14" t="n"/>
      <c r="E26" s="14" t="n"/>
      <c r="F26" s="14" t="n"/>
      <c r="G26" s="14" t="n"/>
      <c r="H26" s="14" t="n"/>
      <c r="I26" s="14" t="n"/>
      <c r="J26" s="14" t="n"/>
    </row>
    <row r="27">
      <c r="A27" s="14" t="n"/>
      <c r="B27" s="14" t="n"/>
      <c r="C27" s="14" t="n"/>
      <c r="D27" s="14" t="n"/>
      <c r="E27" s="14" t="n"/>
      <c r="F27" s="14" t="n"/>
      <c r="G27" s="14" t="n"/>
      <c r="H27" s="14" t="n"/>
      <c r="I27" s="14" t="n"/>
      <c r="J27" s="14" t="n"/>
    </row>
    <row r="28">
      <c r="A28" s="14" t="n"/>
      <c r="B28" s="14" t="n"/>
      <c r="C28" s="14" t="n"/>
      <c r="D28" s="14" t="n"/>
      <c r="E28" s="14" t="n"/>
      <c r="F28" s="14" t="n"/>
      <c r="G28" s="14" t="n"/>
      <c r="H28" s="14" t="n"/>
      <c r="I28" s="14" t="n"/>
      <c r="J28" s="14" t="n"/>
    </row>
    <row r="29">
      <c r="A29" s="14" t="n"/>
      <c r="B29" s="14" t="n"/>
      <c r="C29" s="14" t="n"/>
      <c r="D29" s="14" t="n"/>
      <c r="E29" s="14" t="n"/>
      <c r="F29" s="14" t="n"/>
      <c r="G29" s="14" t="n"/>
      <c r="H29" s="14" t="n"/>
      <c r="I29" s="14" t="n"/>
      <c r="J29" s="14" t="n"/>
    </row>
    <row r="30">
      <c r="A30" s="14" t="n"/>
      <c r="B30" s="14" t="n"/>
      <c r="C30" s="14" t="n"/>
      <c r="D30" s="14" t="n"/>
      <c r="E30" s="14" t="n"/>
      <c r="F30" s="14" t="n"/>
      <c r="G30" s="14" t="n"/>
      <c r="H30" s="14" t="n"/>
      <c r="I30" s="14" t="n"/>
      <c r="J30" s="14" t="n"/>
    </row>
    <row r="31">
      <c r="A31" s="14" t="n"/>
      <c r="B31" s="14" t="n"/>
      <c r="C31" s="14" t="n"/>
      <c r="D31" s="14" t="n"/>
      <c r="E31" s="14" t="n"/>
      <c r="F31" s="14" t="n"/>
      <c r="G31" s="14" t="n"/>
      <c r="H31" s="14" t="n"/>
      <c r="I31" s="14" t="n"/>
      <c r="J31" s="14" t="n"/>
    </row>
    <row r="32">
      <c r="A32" s="14" t="n"/>
      <c r="B32" s="14" t="n"/>
      <c r="C32" s="14" t="n"/>
      <c r="D32" s="14" t="n"/>
      <c r="E32" s="14" t="n"/>
      <c r="F32" s="14" t="n"/>
      <c r="G32" s="14" t="n"/>
      <c r="H32" s="14" t="n"/>
      <c r="I32" s="14" t="n"/>
      <c r="J32" s="14" t="n"/>
    </row>
    <row r="33">
      <c r="A33" s="14" t="n"/>
      <c r="B33" s="14" t="n"/>
      <c r="C33" s="14" t="n"/>
      <c r="D33" s="14" t="n"/>
      <c r="E33" s="14" t="n"/>
      <c r="F33" s="14" t="n"/>
      <c r="G33" s="14" t="n"/>
      <c r="H33" s="14" t="n"/>
      <c r="I33" s="14" t="n"/>
      <c r="J33" s="14" t="n"/>
    </row>
    <row r="34">
      <c r="A34" s="14" t="n"/>
      <c r="B34" s="14" t="n"/>
      <c r="C34" s="14" t="n"/>
      <c r="D34" s="14" t="n"/>
      <c r="E34" s="14" t="n"/>
      <c r="F34" s="14" t="n"/>
      <c r="G34" s="14" t="n"/>
      <c r="H34" s="14" t="n"/>
      <c r="I34" s="14" t="n"/>
      <c r="J34" s="14" t="n"/>
    </row>
    <row r="35">
      <c r="A35" s="14" t="n"/>
      <c r="B35" s="14" t="n"/>
      <c r="C35" s="14" t="n"/>
      <c r="D35" s="14" t="n"/>
      <c r="E35" s="14" t="n"/>
      <c r="F35" s="14" t="n"/>
      <c r="G35" s="14" t="n"/>
      <c r="H35" s="14" t="n"/>
      <c r="I35" s="14" t="n"/>
      <c r="J35" s="14" t="n"/>
    </row>
    <row r="36">
      <c r="A36" s="14" t="n"/>
      <c r="B36" s="14" t="n"/>
      <c r="C36" s="14" t="n"/>
      <c r="D36" s="14" t="n"/>
      <c r="E36" s="14" t="n"/>
      <c r="F36" s="14" t="n"/>
      <c r="G36" s="14" t="n"/>
      <c r="H36" s="14" t="n"/>
      <c r="I36" s="14" t="n"/>
      <c r="J36" s="14" t="n"/>
    </row>
    <row r="37">
      <c r="A37" s="14" t="n"/>
      <c r="B37" s="14" t="n"/>
      <c r="C37" s="14" t="n"/>
      <c r="D37" s="14" t="n"/>
      <c r="E37" s="14" t="n"/>
      <c r="F37" s="14" t="n"/>
      <c r="G37" s="14" t="n"/>
      <c r="H37" s="14" t="n"/>
      <c r="I37" s="14" t="n"/>
      <c r="J37" s="14" t="n"/>
    </row>
    <row r="38">
      <c r="A38" s="14" t="n"/>
      <c r="B38" s="14" t="n"/>
      <c r="C38" s="14" t="n"/>
      <c r="D38" s="14" t="n"/>
      <c r="E38" s="14" t="n"/>
      <c r="F38" s="14" t="n"/>
      <c r="G38" s="14" t="n"/>
      <c r="H38" s="14" t="n"/>
      <c r="I38" s="14" t="n"/>
      <c r="J38" s="14" t="n"/>
    </row>
    <row r="39">
      <c r="A39" s="14" t="n"/>
      <c r="B39" s="14" t="n"/>
      <c r="C39" s="14" t="n"/>
      <c r="D39" s="14" t="n"/>
      <c r="E39" s="14" t="n"/>
      <c r="F39" s="14" t="n"/>
      <c r="G39" s="14" t="n"/>
      <c r="H39" s="14" t="n"/>
      <c r="I39" s="14" t="n"/>
      <c r="J39" s="14" t="n"/>
    </row>
    <row r="40">
      <c r="A40" s="14" t="n"/>
      <c r="B40" s="14" t="n"/>
      <c r="C40" s="14" t="n"/>
      <c r="D40" s="14" t="n"/>
      <c r="E40" s="14" t="n"/>
      <c r="F40" s="14" t="n"/>
      <c r="G40" s="14" t="n"/>
      <c r="H40" s="14" t="n"/>
      <c r="I40" s="14" t="n"/>
      <c r="J40" s="14" t="n"/>
    </row>
    <row r="41">
      <c r="A41" s="14" t="n"/>
      <c r="B41" s="14" t="n"/>
      <c r="C41" s="14" t="n"/>
      <c r="D41" s="14" t="n"/>
      <c r="E41" s="14" t="n"/>
      <c r="F41" s="14" t="n"/>
      <c r="G41" s="14" t="n"/>
      <c r="H41" s="14" t="n"/>
      <c r="I41" s="14" t="n"/>
      <c r="J41" s="14" t="n"/>
    </row>
    <row r="42">
      <c r="A42" s="14" t="n"/>
      <c r="B42" s="14" t="n"/>
      <c r="C42" s="14" t="n"/>
      <c r="D42" s="14" t="n"/>
      <c r="E42" s="14" t="n"/>
      <c r="F42" s="14" t="n"/>
      <c r="G42" s="14" t="n"/>
      <c r="H42" s="14" t="n"/>
      <c r="I42" s="14" t="n"/>
      <c r="J42" s="14" t="n"/>
    </row>
    <row r="43">
      <c r="A43" s="14" t="n"/>
      <c r="B43" s="14" t="n"/>
      <c r="C43" s="14" t="n"/>
      <c r="D43" s="14" t="n"/>
      <c r="E43" s="14" t="n"/>
      <c r="F43" s="14" t="n"/>
      <c r="G43" s="14" t="n"/>
      <c r="H43" s="14" t="n"/>
      <c r="I43" s="14" t="n"/>
      <c r="J43" s="14" t="n"/>
    </row>
    <row r="44">
      <c r="A44" s="14" t="n"/>
      <c r="B44" s="14" t="n"/>
      <c r="C44" s="14" t="n"/>
      <c r="D44" s="14" t="n"/>
      <c r="E44" s="14" t="n"/>
      <c r="F44" s="14" t="n"/>
      <c r="G44" s="14" t="n"/>
      <c r="H44" s="14" t="n"/>
      <c r="I44" s="14" t="n"/>
      <c r="J44" s="14" t="n"/>
    </row>
    <row r="45">
      <c r="A45" s="14" t="n"/>
      <c r="B45" s="14" t="n"/>
      <c r="C45" s="14" t="n"/>
      <c r="D45" s="14" t="n"/>
      <c r="E45" s="14" t="n"/>
      <c r="F45" s="14" t="n"/>
      <c r="G45" s="14" t="n"/>
      <c r="H45" s="14" t="n"/>
      <c r="I45" s="14" t="n"/>
      <c r="J45" s="14" t="n"/>
    </row>
    <row r="46">
      <c r="A46" s="14" t="n"/>
      <c r="B46" s="14" t="n"/>
      <c r="C46" s="14" t="n"/>
      <c r="D46" s="14" t="n"/>
      <c r="E46" s="14" t="n"/>
      <c r="F46" s="14" t="n"/>
      <c r="G46" s="14" t="n"/>
      <c r="H46" s="14" t="n"/>
      <c r="I46" s="14" t="n"/>
      <c r="J46" s="14" t="n"/>
    </row>
    <row r="47">
      <c r="A47" s="14" t="n"/>
      <c r="B47" s="14" t="n"/>
      <c r="C47" s="14" t="n"/>
      <c r="D47" s="14" t="n"/>
      <c r="E47" s="14" t="n"/>
      <c r="F47" s="14" t="n"/>
      <c r="G47" s="14" t="n"/>
      <c r="H47" s="14" t="n"/>
      <c r="I47" s="14" t="n"/>
      <c r="J47" s="14" t="n"/>
    </row>
    <row r="48">
      <c r="A48" s="14" t="n"/>
      <c r="B48" s="14" t="n"/>
      <c r="C48" s="14" t="n"/>
      <c r="D48" s="14" t="n"/>
      <c r="E48" s="14" t="n"/>
      <c r="F48" s="14" t="n"/>
      <c r="G48" s="14" t="n"/>
      <c r="H48" s="14" t="n"/>
      <c r="I48" s="14" t="n"/>
      <c r="J48" s="14" t="n"/>
    </row>
    <row r="49">
      <c r="A49" s="14" t="n"/>
      <c r="B49" s="14" t="n"/>
      <c r="C49" s="14" t="n"/>
      <c r="D49" s="14" t="n"/>
      <c r="E49" s="14" t="n"/>
      <c r="F49" s="14" t="n"/>
      <c r="G49" s="14" t="n"/>
      <c r="H49" s="14" t="n"/>
      <c r="I49" s="14" t="n"/>
      <c r="J49" s="14" t="n"/>
    </row>
    <row r="50">
      <c r="A50" s="14" t="n"/>
      <c r="B50" s="14" t="n"/>
      <c r="C50" s="14" t="n"/>
      <c r="D50" s="14" t="n"/>
      <c r="E50" s="14" t="n"/>
      <c r="F50" s="14" t="n"/>
      <c r="G50" s="14" t="n"/>
      <c r="H50" s="14" t="n"/>
      <c r="I50" s="14" t="n"/>
      <c r="J50" s="14" t="n"/>
    </row>
    <row r="51">
      <c r="A51" s="14" t="n"/>
      <c r="B51" s="14" t="n"/>
      <c r="C51" s="14" t="n"/>
      <c r="D51" s="14" t="n"/>
      <c r="E51" s="14" t="n"/>
      <c r="F51" s="14" t="n"/>
      <c r="G51" s="14" t="n"/>
      <c r="H51" s="14" t="n"/>
      <c r="I51" s="14" t="n"/>
      <c r="J51" s="14" t="n"/>
    </row>
    <row r="52">
      <c r="A52" s="14" t="n"/>
      <c r="B52" s="14" t="n"/>
      <c r="C52" s="14" t="n"/>
      <c r="D52" s="14" t="n"/>
      <c r="E52" s="14" t="n"/>
      <c r="F52" s="14" t="n"/>
      <c r="G52" s="14" t="n"/>
      <c r="H52" s="14" t="n"/>
      <c r="I52" s="14" t="n"/>
      <c r="J52" s="14" t="n"/>
    </row>
    <row r="53">
      <c r="A53" s="14" t="n"/>
      <c r="B53" s="14" t="n"/>
      <c r="C53" s="14" t="n"/>
      <c r="D53" s="14" t="n"/>
      <c r="E53" s="14" t="n"/>
      <c r="F53" s="14" t="n"/>
      <c r="G53" s="14" t="n"/>
      <c r="H53" s="14" t="n"/>
      <c r="I53" s="14" t="n"/>
      <c r="J53" s="14" t="n"/>
    </row>
    <row r="54">
      <c r="A54" s="14" t="n"/>
      <c r="B54" s="14" t="n"/>
      <c r="C54" s="14" t="n"/>
      <c r="D54" s="14" t="n"/>
      <c r="E54" s="14" t="n"/>
      <c r="F54" s="14" t="n"/>
      <c r="G54" s="14" t="n"/>
      <c r="H54" s="14" t="n"/>
      <c r="I54" s="14" t="n"/>
      <c r="J54" s="14" t="n"/>
    </row>
  </sheetData>
  <mergeCells count="2">
    <mergeCell ref="A1:J1"/>
    <mergeCell ref="A2:J2"/>
  </mergeCells>
  <dataValidations count="3">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"Restricted,Confidential,Internal,Public"</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0" type="list">
      <formula1>"Yes - Special Category,Yes - Personal,No"</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0" type="list">
      <formula1>"None,EEA Only,Adequacy Decision,SCCs,Not Assessed"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28" customWidth="1" min="2" max="2"/>
    <col width="18" customWidth="1" min="3" max="3"/>
    <col width="28" customWidth="1" min="4" max="4"/>
    <col width="16" customWidth="1" min="5" max="5"/>
    <col width="14" customWidth="1" min="6" max="6"/>
    <col width="14" customWidth="1" min="7" max="7"/>
    <col width="14" customWidth="1" min="8" max="8"/>
    <col width="18" customWidth="1" min="9" max="9"/>
    <col width="18" customWidth="1" min="10" max="10"/>
    <col width="14" customWidth="1" min="11" max="11"/>
    <col width="14" customWidth="1" min="12" max="12"/>
  </cols>
  <sheetData>
    <row r="1" ht="35" customHeight="1">
      <c r="A1" s="11" t="inlineStr">
        <is>
          <t>SERVICE CRITICALITY ASSESSMENT</t>
        </is>
      </c>
    </row>
    <row r="2">
      <c r="A2" s="24" t="inlineStr">
        <is>
          <t>Assess criticality of each cloud service for BIA and exit strategy planning. Required for ISO 27001 A.5.29 (Business Continuity) and DORA Article 28.</t>
        </is>
      </c>
    </row>
    <row r="3">
      <c r="A3" s="15" t="inlineStr">
        <is>
          <t>Service ID</t>
        </is>
      </c>
      <c r="B3" s="15" t="inlineStr">
        <is>
          <t>Cloud Service Name</t>
        </is>
      </c>
      <c r="C3" s="15" t="inlineStr">
        <is>
          <t>Service Category</t>
        </is>
      </c>
      <c r="D3" s="15" t="inlineStr">
        <is>
          <t>Business Process Supported</t>
        </is>
      </c>
      <c r="E3" s="15" t="inlineStr">
        <is>
          <t>Criticality Level</t>
        </is>
      </c>
      <c r="F3" s="15" t="inlineStr">
        <is>
          <t>RTO (Hours)</t>
        </is>
      </c>
      <c r="G3" s="15" t="inlineStr">
        <is>
          <t>RPO (Hours)</t>
        </is>
      </c>
      <c r="H3" s="15" t="inlineStr">
        <is>
          <t>MTPD (Hours)</t>
        </is>
      </c>
      <c r="I3" s="15" t="inlineStr">
        <is>
          <t>Single Point of Failure</t>
        </is>
      </c>
      <c r="J3" s="15" t="inlineStr">
        <is>
          <t>Workaround Available</t>
        </is>
      </c>
      <c r="K3" s="15" t="inlineStr">
        <is>
          <t>DORA Scope</t>
        </is>
      </c>
      <c r="L3" s="15" t="inlineStr">
        <is>
          <t>Exit Priority</t>
        </is>
      </c>
    </row>
    <row r="4">
      <c r="A4" s="16" t="inlineStr">
        <is>
          <t>SC-001</t>
        </is>
      </c>
      <c r="B4" s="16" t="inlineStr">
        <is>
          <t>Microsoft 365 (Email, SharePoint, Teams)</t>
        </is>
      </c>
      <c r="C4" s="16" t="inlineStr">
        <is>
          <t>SaaS</t>
        </is>
      </c>
      <c r="D4" s="16" t="inlineStr">
        <is>
          <t>Email communication, document collaboration, internal comms</t>
        </is>
      </c>
      <c r="E4" s="16" t="inlineStr">
        <is>
          <t>Critical</t>
        </is>
      </c>
      <c r="F4" s="16" t="inlineStr">
        <is>
          <t>4</t>
        </is>
      </c>
      <c r="G4" s="16" t="inlineStr">
        <is>
          <t>1</t>
        </is>
      </c>
      <c r="H4" s="16" t="inlineStr">
        <is>
          <t>8</t>
        </is>
      </c>
      <c r="I4" s="16" t="inlineStr">
        <is>
          <t>Yes</t>
        </is>
      </c>
      <c r="J4" s="16" t="inlineStr">
        <is>
          <t>Partial</t>
        </is>
      </c>
      <c r="K4" s="16" t="inlineStr">
        <is>
          <t>In-Scope</t>
        </is>
      </c>
      <c r="L4" s="16" t="inlineStr">
        <is>
          <t>P1 - Critical</t>
        </is>
      </c>
    </row>
    <row r="5">
      <c r="A5" s="14" t="n"/>
      <c r="B5" s="14" t="n"/>
      <c r="C5" s="14" t="n"/>
      <c r="D5" s="14" t="n"/>
      <c r="E5" s="14" t="n"/>
      <c r="F5" s="14" t="n"/>
      <c r="G5" s="14" t="n"/>
      <c r="H5" s="14" t="n"/>
      <c r="I5" s="14" t="n"/>
      <c r="J5" s="14" t="n"/>
      <c r="K5" s="14" t="n"/>
      <c r="L5" s="14" t="n"/>
    </row>
    <row r="6">
      <c r="A6" s="14" t="n"/>
      <c r="B6" s="14" t="n"/>
      <c r="C6" s="14" t="n"/>
      <c r="D6" s="14" t="n"/>
      <c r="E6" s="14" t="n"/>
      <c r="F6" s="14" t="n"/>
      <c r="G6" s="14" t="n"/>
      <c r="H6" s="14" t="n"/>
      <c r="I6" s="14" t="n"/>
      <c r="J6" s="14" t="n"/>
      <c r="K6" s="14" t="n"/>
      <c r="L6" s="14" t="n"/>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sheetData>
  <mergeCells count="2">
    <mergeCell ref="A2:L2"/>
    <mergeCell ref="A1:L1"/>
  </mergeCells>
  <dataValidations count="5">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"SaaS,IaaS,PaaS,Security,Storage,Other"</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"Critical,High,Medium,Low"</formula1>
    </dataValidation>
    <dataValidation sqref="I4 I5 I6 I7 I8 I9 I10 I11 I12 I13 I14 I15 I16 I17 I18 I19 I20 I21 I22 I23 I24 I25 I26 I27 I28 I29 I30 I31 I32 I33 I34 I35 I36 I37 I38 I39 I40 I41 I42 I43 I44 I45 I46 I47 I48 I49 I50 I51 I52 I53 I54 J4 J5 J6 J7 J8 J9 J10 J11 J12 J13 J14 J15 J16 J17 J18 J19 J20 J21 J22 J23 J24 J25 J26 J27 J28 J29 J30 J31 J32 J33 J34 J35 J36 J37 J38 J39 J40 J41 J42 J43 J44 J45 J46 J47 J48 J49 J50 J51 J52 J53 J54" showDropDown="0" showInputMessage="0" showErrorMessage="0" allowBlank="0" type="list">
      <formula1>"Yes,No,Partial"</formula1>
    </dataValidation>
    <dataValidation sqref="K4 K5 K6 K7 K8 K9 K10 K11 K12 K13 K14 K15 K16 K17 K18 K19 K20 K21 K22 K23 K24 K25 K26 K27 K28 K29 K30 K31 K32 K33 K34 K35 K36 K37 K38 K39 K40 K41 K42 K43 K44 K45 K46 K47 K48 K49 K50 K51 K52 K53 K54" showDropDown="0" showInputMessage="0" showErrorMessage="0" allowBlank="0" type="list">
      <formula1>"In-Scope,Out-of-Scope,TBD"</formula1>
    </dataValidation>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"P1 - Critical,P2 - High,P3 - Medium,P4 - 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5" t="inlineStr">
        <is>
          <t>EVIDENCE REGISTER</t>
        </is>
      </c>
    </row>
    <row r="2">
      <c r="A2" s="26" t="inlineStr">
        <is>
          <t>List all evidence files/documents referenced in this assessment (audit traceability).</t>
        </is>
      </c>
    </row>
    <row r="4">
      <c r="A4" s="18" t="inlineStr">
        <is>
          <t>Evidence ID</t>
        </is>
      </c>
      <c r="B4" s="18" t="inlineStr">
        <is>
          <t>Assessment Area</t>
        </is>
      </c>
      <c r="C4" s="18" t="inlineStr">
        <is>
          <t>Evidence Type</t>
        </is>
      </c>
      <c r="D4" s="18" t="inlineStr">
        <is>
          <t>Description</t>
        </is>
      </c>
      <c r="E4" s="18" t="inlineStr">
        <is>
          <t>Location/Path</t>
        </is>
      </c>
      <c r="F4" s="18" t="inlineStr">
        <is>
          <t>Date Collected</t>
        </is>
      </c>
      <c r="G4" s="18" t="inlineStr">
        <is>
          <t>Collected By</t>
        </is>
      </c>
      <c r="H4" s="18" t="inlineStr">
        <is>
          <t>Verification Status</t>
        </is>
      </c>
    </row>
    <row r="5">
      <c r="A5" s="27" t="inlineStr">
        <is>
          <t>EV-001</t>
        </is>
      </c>
      <c r="B5" s="27" t="inlineStr">
        <is>
          <t>Cloud Service Inventory</t>
        </is>
      </c>
      <c r="C5" s="27" t="inlineStr">
        <is>
          <t>CMDB Export</t>
        </is>
      </c>
      <c r="D5" s="27" t="inlineStr">
        <is>
          <t>Complete inventory of all SaaS/IaaS/PaaS services with vendor details</t>
        </is>
      </c>
      <c r="E5" s="27" t="inlineStr">
        <is>
          <t>/evidence/cloud-inventory-q1-2026.xlsx</t>
        </is>
      </c>
      <c r="F5" s="27" t="inlineStr">
        <is>
          <t>15.01.2026</t>
        </is>
      </c>
      <c r="G5" s="27" t="inlineStr">
        <is>
          <t>IT Security Team</t>
        </is>
      </c>
      <c r="H5" s="27" t="inlineStr">
        <is>
          <t>Verified</t>
        </is>
      </c>
    </row>
    <row r="6">
      <c r="A6" s="28" t="n"/>
      <c r="B6" s="28" t="n"/>
      <c r="C6" s="28" t="n"/>
      <c r="D6" s="28" t="n"/>
      <c r="E6" s="28" t="n"/>
      <c r="F6" s="28" t="n"/>
      <c r="G6" s="28" t="n"/>
      <c r="H6" s="28" t="n"/>
    </row>
    <row r="7">
      <c r="A7" s="28" t="n"/>
      <c r="B7" s="28" t="n"/>
      <c r="C7" s="28" t="n"/>
      <c r="D7" s="28" t="n"/>
      <c r="E7" s="28" t="n"/>
      <c r="F7" s="28" t="n"/>
      <c r="G7" s="28" t="n"/>
      <c r="H7" s="28" t="n"/>
    </row>
    <row r="8">
      <c r="A8" s="28" t="n"/>
      <c r="B8" s="28" t="n"/>
      <c r="C8" s="28" t="n"/>
      <c r="D8" s="28" t="n"/>
      <c r="E8" s="28" t="n"/>
      <c r="F8" s="28" t="n"/>
      <c r="G8" s="28" t="n"/>
      <c r="H8" s="28" t="n"/>
    </row>
    <row r="9">
      <c r="A9" s="28" t="n"/>
      <c r="B9" s="28" t="n"/>
      <c r="C9" s="28" t="n"/>
      <c r="D9" s="28" t="n"/>
      <c r="E9" s="28" t="n"/>
      <c r="F9" s="28" t="n"/>
      <c r="G9" s="28" t="n"/>
      <c r="H9" s="28" t="n"/>
    </row>
    <row r="10">
      <c r="A10" s="28" t="n"/>
      <c r="B10" s="28" t="n"/>
      <c r="C10" s="28" t="n"/>
      <c r="D10" s="28" t="n"/>
      <c r="E10" s="28" t="n"/>
      <c r="F10" s="28" t="n"/>
      <c r="G10" s="28" t="n"/>
      <c r="H10" s="28" t="n"/>
    </row>
    <row r="11">
      <c r="A11" s="28" t="n"/>
      <c r="B11" s="28" t="n"/>
      <c r="C11" s="28" t="n"/>
      <c r="D11" s="28" t="n"/>
      <c r="E11" s="28" t="n"/>
      <c r="F11" s="28" t="n"/>
      <c r="G11" s="28" t="n"/>
      <c r="H11" s="28" t="n"/>
    </row>
    <row r="12">
      <c r="A12" s="28" t="n"/>
      <c r="B12" s="28" t="n"/>
      <c r="C12" s="28" t="n"/>
      <c r="D12" s="28" t="n"/>
      <c r="E12" s="28" t="n"/>
      <c r="F12" s="28" t="n"/>
      <c r="G12" s="28" t="n"/>
      <c r="H12" s="28" t="n"/>
    </row>
    <row r="13">
      <c r="A13" s="28" t="n"/>
      <c r="B13" s="28" t="n"/>
      <c r="C13" s="28" t="n"/>
      <c r="D13" s="28" t="n"/>
      <c r="E13" s="28" t="n"/>
      <c r="F13" s="28" t="n"/>
      <c r="G13" s="28" t="n"/>
      <c r="H13" s="28" t="n"/>
    </row>
    <row r="14">
      <c r="A14" s="28" t="n"/>
      <c r="B14" s="28" t="n"/>
      <c r="C14" s="28" t="n"/>
      <c r="D14" s="28" t="n"/>
      <c r="E14" s="28" t="n"/>
      <c r="F14" s="28" t="n"/>
      <c r="G14" s="28" t="n"/>
      <c r="H14" s="28" t="n"/>
    </row>
    <row r="15">
      <c r="A15" s="28" t="n"/>
      <c r="B15" s="28" t="n"/>
      <c r="C15" s="28" t="n"/>
      <c r="D15" s="28" t="n"/>
      <c r="E15" s="28" t="n"/>
      <c r="F15" s="28" t="n"/>
      <c r="G15" s="28" t="n"/>
      <c r="H15" s="28" t="n"/>
    </row>
    <row r="16">
      <c r="A16" s="28" t="n"/>
      <c r="B16" s="28" t="n"/>
      <c r="C16" s="28" t="n"/>
      <c r="D16" s="28" t="n"/>
      <c r="E16" s="28" t="n"/>
      <c r="F16" s="28" t="n"/>
      <c r="G16" s="28" t="n"/>
      <c r="H16" s="28" t="n"/>
    </row>
    <row r="17">
      <c r="A17" s="28" t="n"/>
      <c r="B17" s="28" t="n"/>
      <c r="C17" s="28" t="n"/>
      <c r="D17" s="28" t="n"/>
      <c r="E17" s="28" t="n"/>
      <c r="F17" s="28" t="n"/>
      <c r="G17" s="28" t="n"/>
      <c r="H17" s="28" t="n"/>
    </row>
    <row r="18">
      <c r="A18" s="28" t="n"/>
      <c r="B18" s="28" t="n"/>
      <c r="C18" s="28" t="n"/>
      <c r="D18" s="28" t="n"/>
      <c r="E18" s="28" t="n"/>
      <c r="F18" s="28" t="n"/>
      <c r="G18" s="28" t="n"/>
      <c r="H18" s="28" t="n"/>
    </row>
    <row r="19">
      <c r="A19" s="28" t="n"/>
      <c r="B19" s="28" t="n"/>
      <c r="C19" s="28" t="n"/>
      <c r="D19" s="28" t="n"/>
      <c r="E19" s="28" t="n"/>
      <c r="F19" s="28" t="n"/>
      <c r="G19" s="28" t="n"/>
      <c r="H19" s="28" t="n"/>
    </row>
    <row r="20">
      <c r="A20" s="28" t="n"/>
      <c r="B20" s="28" t="n"/>
      <c r="C20" s="28" t="n"/>
      <c r="D20" s="28" t="n"/>
      <c r="E20" s="28" t="n"/>
      <c r="F20" s="28" t="n"/>
      <c r="G20" s="28" t="n"/>
      <c r="H20" s="28" t="n"/>
    </row>
    <row r="21">
      <c r="A21" s="28" t="n"/>
      <c r="B21" s="28" t="n"/>
      <c r="C21" s="28" t="n"/>
      <c r="D21" s="28" t="n"/>
      <c r="E21" s="28" t="n"/>
      <c r="F21" s="28" t="n"/>
      <c r="G21" s="28" t="n"/>
      <c r="H21" s="28" t="n"/>
    </row>
    <row r="22">
      <c r="A22" s="28" t="n"/>
      <c r="B22" s="28" t="n"/>
      <c r="C22" s="28" t="n"/>
      <c r="D22" s="28" t="n"/>
      <c r="E22" s="28" t="n"/>
      <c r="F22" s="28" t="n"/>
      <c r="G22" s="28" t="n"/>
      <c r="H22" s="28" t="n"/>
    </row>
    <row r="23">
      <c r="A23" s="28" t="n"/>
      <c r="B23" s="28" t="n"/>
      <c r="C23" s="28" t="n"/>
      <c r="D23" s="28" t="n"/>
      <c r="E23" s="28" t="n"/>
      <c r="F23" s="28" t="n"/>
      <c r="G23" s="28" t="n"/>
      <c r="H23" s="28" t="n"/>
    </row>
    <row r="24">
      <c r="A24" s="28" t="n"/>
      <c r="B24" s="28" t="n"/>
      <c r="C24" s="28" t="n"/>
      <c r="D24" s="28" t="n"/>
      <c r="E24" s="28" t="n"/>
      <c r="F24" s="28" t="n"/>
      <c r="G24" s="28" t="n"/>
      <c r="H24" s="28" t="n"/>
    </row>
    <row r="25">
      <c r="A25" s="28" t="n"/>
      <c r="B25" s="28" t="n"/>
      <c r="C25" s="28" t="n"/>
      <c r="D25" s="28" t="n"/>
      <c r="E25" s="28" t="n"/>
      <c r="F25" s="28" t="n"/>
      <c r="G25" s="28" t="n"/>
      <c r="H25" s="28" t="n"/>
    </row>
    <row r="26">
      <c r="A26" s="28" t="n"/>
      <c r="B26" s="28" t="n"/>
      <c r="C26" s="28" t="n"/>
      <c r="D26" s="28" t="n"/>
      <c r="E26" s="28" t="n"/>
      <c r="F26" s="28" t="n"/>
      <c r="G26" s="28" t="n"/>
      <c r="H26" s="28" t="n"/>
    </row>
    <row r="27">
      <c r="A27" s="28" t="n"/>
      <c r="B27" s="28" t="n"/>
      <c r="C27" s="28" t="n"/>
      <c r="D27" s="28" t="n"/>
      <c r="E27" s="28" t="n"/>
      <c r="F27" s="28" t="n"/>
      <c r="G27" s="28" t="n"/>
      <c r="H27" s="28" t="n"/>
    </row>
    <row r="28">
      <c r="A28" s="28" t="n"/>
      <c r="B28" s="28" t="n"/>
      <c r="C28" s="28" t="n"/>
      <c r="D28" s="28" t="n"/>
      <c r="E28" s="28" t="n"/>
      <c r="F28" s="28" t="n"/>
      <c r="G28" s="28" t="n"/>
      <c r="H28" s="28" t="n"/>
    </row>
    <row r="29">
      <c r="A29" s="28" t="n"/>
      <c r="B29" s="28" t="n"/>
      <c r="C29" s="28" t="n"/>
      <c r="D29" s="28" t="n"/>
      <c r="E29" s="28" t="n"/>
      <c r="F29" s="28" t="n"/>
      <c r="G29" s="28" t="n"/>
      <c r="H29" s="28" t="n"/>
    </row>
    <row r="30">
      <c r="A30" s="28" t="n"/>
      <c r="B30" s="28" t="n"/>
      <c r="C30" s="28" t="n"/>
      <c r="D30" s="28" t="n"/>
      <c r="E30" s="28" t="n"/>
      <c r="F30" s="28" t="n"/>
      <c r="G30" s="28" t="n"/>
      <c r="H30" s="28" t="n"/>
    </row>
    <row r="31">
      <c r="A31" s="28" t="n"/>
      <c r="B31" s="28" t="n"/>
      <c r="C31" s="28" t="n"/>
      <c r="D31" s="28" t="n"/>
      <c r="E31" s="28" t="n"/>
      <c r="F31" s="28" t="n"/>
      <c r="G31" s="28" t="n"/>
      <c r="H31" s="28" t="n"/>
    </row>
    <row r="32">
      <c r="A32" s="28" t="n"/>
      <c r="B32" s="28" t="n"/>
      <c r="C32" s="28" t="n"/>
      <c r="D32" s="28" t="n"/>
      <c r="E32" s="28" t="n"/>
      <c r="F32" s="28" t="n"/>
      <c r="G32" s="28" t="n"/>
      <c r="H32" s="28" t="n"/>
    </row>
    <row r="33">
      <c r="A33" s="28" t="n"/>
      <c r="B33" s="28" t="n"/>
      <c r="C33" s="28" t="n"/>
      <c r="D33" s="28" t="n"/>
      <c r="E33" s="28" t="n"/>
      <c r="F33" s="28" t="n"/>
      <c r="G33" s="28" t="n"/>
      <c r="H33" s="28" t="n"/>
    </row>
    <row r="34">
      <c r="A34" s="28" t="n"/>
      <c r="B34" s="28" t="n"/>
      <c r="C34" s="28" t="n"/>
      <c r="D34" s="28" t="n"/>
      <c r="E34" s="28" t="n"/>
      <c r="F34" s="28" t="n"/>
      <c r="G34" s="28" t="n"/>
      <c r="H34" s="28" t="n"/>
    </row>
    <row r="35">
      <c r="A35" s="28" t="n"/>
      <c r="B35" s="28" t="n"/>
      <c r="C35" s="28" t="n"/>
      <c r="D35" s="28" t="n"/>
      <c r="E35" s="28" t="n"/>
      <c r="F35" s="28" t="n"/>
      <c r="G35" s="28" t="n"/>
      <c r="H35" s="28" t="n"/>
    </row>
    <row r="36">
      <c r="A36" s="28" t="n"/>
      <c r="B36" s="28" t="n"/>
      <c r="C36" s="28" t="n"/>
      <c r="D36" s="28" t="n"/>
      <c r="E36" s="28" t="n"/>
      <c r="F36" s="28" t="n"/>
      <c r="G36" s="28" t="n"/>
      <c r="H36" s="28" t="n"/>
    </row>
    <row r="37">
      <c r="A37" s="28" t="n"/>
      <c r="B37" s="28" t="n"/>
      <c r="C37" s="28" t="n"/>
      <c r="D37" s="28" t="n"/>
      <c r="E37" s="28" t="n"/>
      <c r="F37" s="28" t="n"/>
      <c r="G37" s="28" t="n"/>
      <c r="H37" s="28" t="n"/>
    </row>
    <row r="38">
      <c r="A38" s="28" t="n"/>
      <c r="B38" s="28" t="n"/>
      <c r="C38" s="28" t="n"/>
      <c r="D38" s="28" t="n"/>
      <c r="E38" s="28" t="n"/>
      <c r="F38" s="28" t="n"/>
      <c r="G38" s="28" t="n"/>
      <c r="H38" s="28" t="n"/>
    </row>
    <row r="39">
      <c r="A39" s="28" t="n"/>
      <c r="B39" s="28" t="n"/>
      <c r="C39" s="28" t="n"/>
      <c r="D39" s="28" t="n"/>
      <c r="E39" s="28" t="n"/>
      <c r="F39" s="28" t="n"/>
      <c r="G39" s="28" t="n"/>
      <c r="H39" s="28" t="n"/>
    </row>
    <row r="40">
      <c r="A40" s="28" t="n"/>
      <c r="B40" s="28" t="n"/>
      <c r="C40" s="28" t="n"/>
      <c r="D40" s="28" t="n"/>
      <c r="E40" s="28" t="n"/>
      <c r="F40" s="28" t="n"/>
      <c r="G40" s="28" t="n"/>
      <c r="H40" s="28" t="n"/>
    </row>
    <row r="41">
      <c r="A41" s="28" t="n"/>
      <c r="B41" s="28" t="n"/>
      <c r="C41" s="28" t="n"/>
      <c r="D41" s="28" t="n"/>
      <c r="E41" s="28" t="n"/>
      <c r="F41" s="28" t="n"/>
      <c r="G41" s="28" t="n"/>
      <c r="H41" s="28" t="n"/>
    </row>
    <row r="42">
      <c r="A42" s="28" t="n"/>
      <c r="B42" s="28" t="n"/>
      <c r="C42" s="28" t="n"/>
      <c r="D42" s="28" t="n"/>
      <c r="E42" s="28" t="n"/>
      <c r="F42" s="28" t="n"/>
      <c r="G42" s="28" t="n"/>
      <c r="H42" s="28" t="n"/>
    </row>
    <row r="43">
      <c r="A43" s="28" t="n"/>
      <c r="B43" s="28" t="n"/>
      <c r="C43" s="28" t="n"/>
      <c r="D43" s="28" t="n"/>
      <c r="E43" s="28" t="n"/>
      <c r="F43" s="28" t="n"/>
      <c r="G43" s="28" t="n"/>
      <c r="H43" s="28" t="n"/>
    </row>
    <row r="44">
      <c r="A44" s="28" t="n"/>
      <c r="B44" s="28" t="n"/>
      <c r="C44" s="28" t="n"/>
      <c r="D44" s="28" t="n"/>
      <c r="E44" s="28" t="n"/>
      <c r="F44" s="28" t="n"/>
      <c r="G44" s="28" t="n"/>
      <c r="H44" s="28" t="n"/>
    </row>
    <row r="45">
      <c r="A45" s="28" t="n"/>
      <c r="B45" s="28" t="n"/>
      <c r="C45" s="28" t="n"/>
      <c r="D45" s="28" t="n"/>
      <c r="E45" s="28" t="n"/>
      <c r="F45" s="28" t="n"/>
      <c r="G45" s="28" t="n"/>
      <c r="H45" s="28" t="n"/>
    </row>
    <row r="46">
      <c r="A46" s="28" t="n"/>
      <c r="B46" s="28" t="n"/>
      <c r="C46" s="28" t="n"/>
      <c r="D46" s="28" t="n"/>
      <c r="E46" s="28" t="n"/>
      <c r="F46" s="28" t="n"/>
      <c r="G46" s="28" t="n"/>
      <c r="H46" s="28" t="n"/>
    </row>
    <row r="47">
      <c r="A47" s="28" t="n"/>
      <c r="B47" s="28" t="n"/>
      <c r="C47" s="28" t="n"/>
      <c r="D47" s="28" t="n"/>
      <c r="E47" s="28" t="n"/>
      <c r="F47" s="28" t="n"/>
      <c r="G47" s="28" t="n"/>
      <c r="H47" s="28" t="n"/>
    </row>
    <row r="48">
      <c r="A48" s="28" t="n"/>
      <c r="B48" s="28" t="n"/>
      <c r="C48" s="28" t="n"/>
      <c r="D48" s="28" t="n"/>
      <c r="E48" s="28" t="n"/>
      <c r="F48" s="28" t="n"/>
      <c r="G48" s="28" t="n"/>
      <c r="H48" s="28" t="n"/>
    </row>
    <row r="49">
      <c r="A49" s="28" t="n"/>
      <c r="B49" s="28" t="n"/>
      <c r="C49" s="28" t="n"/>
      <c r="D49" s="28" t="n"/>
      <c r="E49" s="28" t="n"/>
      <c r="F49" s="28" t="n"/>
      <c r="G49" s="28" t="n"/>
      <c r="H49" s="28" t="n"/>
    </row>
    <row r="50">
      <c r="A50" s="28" t="n"/>
      <c r="B50" s="28" t="n"/>
      <c r="C50" s="28" t="n"/>
      <c r="D50" s="28" t="n"/>
      <c r="E50" s="28" t="n"/>
      <c r="F50" s="28" t="n"/>
      <c r="G50" s="28" t="n"/>
      <c r="H50" s="28" t="n"/>
    </row>
    <row r="51">
      <c r="A51" s="28" t="n"/>
      <c r="B51" s="28" t="n"/>
      <c r="C51" s="28" t="n"/>
      <c r="D51" s="28" t="n"/>
      <c r="E51" s="28" t="n"/>
      <c r="F51" s="28" t="n"/>
      <c r="G51" s="28" t="n"/>
      <c r="H51" s="28" t="n"/>
    </row>
    <row r="52">
      <c r="A52" s="28" t="n"/>
      <c r="B52" s="28" t="n"/>
      <c r="C52" s="28" t="n"/>
      <c r="D52" s="28" t="n"/>
      <c r="E52" s="28" t="n"/>
      <c r="F52" s="28" t="n"/>
      <c r="G52" s="28" t="n"/>
      <c r="H52" s="28" t="n"/>
    </row>
    <row r="53">
      <c r="A53" s="28" t="n"/>
      <c r="B53" s="28" t="n"/>
      <c r="C53" s="28" t="n"/>
      <c r="D53" s="28" t="n"/>
      <c r="E53" s="28" t="n"/>
      <c r="F53" s="28" t="n"/>
      <c r="G53" s="28" t="n"/>
      <c r="H53" s="28" t="n"/>
    </row>
    <row r="54">
      <c r="A54" s="28" t="n"/>
      <c r="B54" s="28" t="n"/>
      <c r="C54" s="28" t="n"/>
      <c r="D54" s="28" t="n"/>
      <c r="E54" s="28" t="n"/>
      <c r="F54" s="28" t="n"/>
      <c r="G54" s="28" t="n"/>
      <c r="H54" s="28" t="n"/>
    </row>
    <row r="55">
      <c r="A55" s="28" t="n"/>
      <c r="B55" s="28" t="n"/>
      <c r="C55" s="28" t="n"/>
      <c r="D55" s="28" t="n"/>
      <c r="E55" s="28" t="n"/>
      <c r="F55" s="28" t="n"/>
      <c r="G55" s="28" t="n"/>
      <c r="H55" s="28" t="n"/>
    </row>
    <row r="56">
      <c r="A56" s="28" t="n"/>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row r="81">
      <c r="A81" s="28" t="n"/>
      <c r="B81" s="28" t="n"/>
      <c r="C81" s="28" t="n"/>
      <c r="D81" s="28" t="n"/>
      <c r="E81" s="28" t="n"/>
      <c r="F81" s="28" t="n"/>
      <c r="G81" s="28" t="n"/>
      <c r="H81" s="28" t="n"/>
    </row>
    <row r="82">
      <c r="A82" s="28" t="n"/>
      <c r="B82" s="28" t="n"/>
      <c r="C82" s="28" t="n"/>
      <c r="D82" s="28" t="n"/>
      <c r="E82" s="28" t="n"/>
      <c r="F82" s="28" t="n"/>
      <c r="G82" s="28" t="n"/>
      <c r="H82" s="28" t="n"/>
    </row>
    <row r="83">
      <c r="A83" s="28" t="n"/>
      <c r="B83" s="28" t="n"/>
      <c r="C83" s="28" t="n"/>
      <c r="D83" s="28" t="n"/>
      <c r="E83" s="28" t="n"/>
      <c r="F83" s="28" t="n"/>
      <c r="G83" s="28" t="n"/>
      <c r="H83" s="28" t="n"/>
    </row>
    <row r="84">
      <c r="A84" s="28" t="n"/>
      <c r="B84" s="28" t="n"/>
      <c r="C84" s="28" t="n"/>
      <c r="D84" s="28" t="n"/>
      <c r="E84" s="28" t="n"/>
      <c r="F84" s="28" t="n"/>
      <c r="G84" s="28" t="n"/>
      <c r="H84" s="28" t="n"/>
    </row>
    <row r="85">
      <c r="A85" s="28" t="n"/>
      <c r="B85" s="28" t="n"/>
      <c r="C85" s="28" t="n"/>
      <c r="D85" s="28" t="n"/>
      <c r="E85" s="28" t="n"/>
      <c r="F85" s="28" t="n"/>
      <c r="G85" s="28" t="n"/>
      <c r="H85" s="28" t="n"/>
    </row>
    <row r="86">
      <c r="A86" s="28" t="n"/>
      <c r="B86" s="28" t="n"/>
      <c r="C86" s="28" t="n"/>
      <c r="D86" s="28" t="n"/>
      <c r="E86" s="28" t="n"/>
      <c r="F86" s="28" t="n"/>
      <c r="G86" s="28" t="n"/>
      <c r="H86" s="28" t="n"/>
    </row>
    <row r="87">
      <c r="A87" s="28" t="n"/>
      <c r="B87" s="28" t="n"/>
      <c r="C87" s="28" t="n"/>
      <c r="D87" s="28" t="n"/>
      <c r="E87" s="28" t="n"/>
      <c r="F87" s="28" t="n"/>
      <c r="G87" s="28" t="n"/>
      <c r="H87" s="28" t="n"/>
    </row>
    <row r="88">
      <c r="A88" s="28" t="n"/>
      <c r="B88" s="28" t="n"/>
      <c r="C88" s="28" t="n"/>
      <c r="D88" s="28" t="n"/>
      <c r="E88" s="28" t="n"/>
      <c r="F88" s="28" t="n"/>
      <c r="G88" s="28" t="n"/>
      <c r="H88" s="28" t="n"/>
    </row>
    <row r="89">
      <c r="A89" s="28" t="n"/>
      <c r="B89" s="28" t="n"/>
      <c r="C89" s="28" t="n"/>
      <c r="D89" s="28" t="n"/>
      <c r="E89" s="28" t="n"/>
      <c r="F89" s="28" t="n"/>
      <c r="G89" s="28" t="n"/>
      <c r="H89" s="28" t="n"/>
    </row>
    <row r="90">
      <c r="A90" s="28" t="n"/>
      <c r="B90" s="28" t="n"/>
      <c r="C90" s="28" t="n"/>
      <c r="D90" s="28" t="n"/>
      <c r="E90" s="28" t="n"/>
      <c r="F90" s="28" t="n"/>
      <c r="G90" s="28" t="n"/>
      <c r="H90" s="28" t="n"/>
    </row>
    <row r="91">
      <c r="A91" s="28" t="n"/>
      <c r="B91" s="28" t="n"/>
      <c r="C91" s="28" t="n"/>
      <c r="D91" s="28" t="n"/>
      <c r="E91" s="28" t="n"/>
      <c r="F91" s="28" t="n"/>
      <c r="G91" s="28" t="n"/>
      <c r="H91" s="28" t="n"/>
    </row>
    <row r="92">
      <c r="A92" s="28" t="n"/>
      <c r="B92" s="28" t="n"/>
      <c r="C92" s="28" t="n"/>
      <c r="D92" s="28" t="n"/>
      <c r="E92" s="28" t="n"/>
      <c r="F92" s="28" t="n"/>
      <c r="G92" s="28" t="n"/>
      <c r="H92" s="28" t="n"/>
    </row>
    <row r="93">
      <c r="A93" s="28" t="n"/>
      <c r="B93" s="28" t="n"/>
      <c r="C93" s="28" t="n"/>
      <c r="D93" s="28" t="n"/>
      <c r="E93" s="28" t="n"/>
      <c r="F93" s="28" t="n"/>
      <c r="G93" s="28" t="n"/>
      <c r="H93" s="28" t="n"/>
    </row>
    <row r="94">
      <c r="A94" s="28" t="n"/>
      <c r="B94" s="28" t="n"/>
      <c r="C94" s="28" t="n"/>
      <c r="D94" s="28" t="n"/>
      <c r="E94" s="28" t="n"/>
      <c r="F94" s="28" t="n"/>
      <c r="G94" s="28" t="n"/>
      <c r="H94" s="28" t="n"/>
    </row>
    <row r="95">
      <c r="A95" s="28" t="n"/>
      <c r="B95" s="28" t="n"/>
      <c r="C95" s="28" t="n"/>
      <c r="D95" s="28" t="n"/>
      <c r="E95" s="28" t="n"/>
      <c r="F95" s="28" t="n"/>
      <c r="G95" s="28" t="n"/>
      <c r="H95" s="28" t="n"/>
    </row>
    <row r="96">
      <c r="A96" s="28" t="n"/>
      <c r="B96" s="28" t="n"/>
      <c r="C96" s="28" t="n"/>
      <c r="D96" s="28" t="n"/>
      <c r="E96" s="28" t="n"/>
      <c r="F96" s="28" t="n"/>
      <c r="G96" s="28" t="n"/>
      <c r="H96" s="28" t="n"/>
    </row>
    <row r="97">
      <c r="A97" s="28" t="n"/>
      <c r="B97" s="28" t="n"/>
      <c r="C97" s="28" t="n"/>
      <c r="D97" s="28" t="n"/>
      <c r="E97" s="28" t="n"/>
      <c r="F97" s="28" t="n"/>
      <c r="G97" s="28" t="n"/>
      <c r="H97" s="28" t="n"/>
    </row>
    <row r="98">
      <c r="A98" s="28" t="n"/>
      <c r="B98" s="28" t="n"/>
      <c r="C98" s="28" t="n"/>
      <c r="D98" s="28" t="n"/>
      <c r="E98" s="28" t="n"/>
      <c r="F98" s="28" t="n"/>
      <c r="G98" s="28" t="n"/>
      <c r="H98" s="28" t="n"/>
    </row>
    <row r="99">
      <c r="A99" s="28" t="n"/>
      <c r="B99" s="28" t="n"/>
      <c r="C99" s="28" t="n"/>
      <c r="D99" s="28" t="n"/>
      <c r="E99" s="28" t="n"/>
      <c r="F99" s="28" t="n"/>
      <c r="G99" s="28" t="n"/>
      <c r="H99" s="28" t="n"/>
    </row>
    <row r="100">
      <c r="A100" s="28" t="n"/>
      <c r="B100" s="28" t="n"/>
      <c r="C100" s="28" t="n"/>
      <c r="D100" s="28" t="n"/>
      <c r="E100" s="28" t="n"/>
      <c r="F100" s="28" t="n"/>
      <c r="G100" s="28" t="n"/>
      <c r="H100" s="28" t="n"/>
    </row>
    <row r="101">
      <c r="A101" s="28" t="n"/>
      <c r="B101" s="28" t="n"/>
      <c r="C101" s="28" t="n"/>
      <c r="D101" s="28" t="n"/>
      <c r="E101" s="28" t="n"/>
      <c r="F101" s="28" t="n"/>
      <c r="G101" s="28" t="n"/>
      <c r="H101" s="28" t="n"/>
    </row>
    <row r="102">
      <c r="A102" s="28" t="n"/>
      <c r="B102" s="28" t="n"/>
      <c r="C102" s="28" t="n"/>
      <c r="D102" s="28" t="n"/>
      <c r="E102" s="28" t="n"/>
      <c r="F102" s="28" t="n"/>
      <c r="G102" s="28" t="n"/>
      <c r="H102" s="28" t="n"/>
    </row>
    <row r="103">
      <c r="A103" s="28" t="n"/>
      <c r="B103" s="28" t="n"/>
      <c r="C103" s="28" t="n"/>
      <c r="D103" s="28" t="n"/>
      <c r="E103" s="28" t="n"/>
      <c r="F103" s="28" t="n"/>
      <c r="G103" s="28" t="n"/>
      <c r="H103" s="28" t="n"/>
    </row>
    <row r="104">
      <c r="A104" s="28" t="n"/>
      <c r="B104" s="28" t="n"/>
      <c r="C104" s="28" t="n"/>
      <c r="D104" s="28" t="n"/>
      <c r="E104" s="28" t="n"/>
      <c r="F104" s="28" t="n"/>
      <c r="G104" s="28" t="n"/>
      <c r="H104" s="28" t="n"/>
    </row>
    <row r="105">
      <c r="A105" s="28" t="n"/>
      <c r="B105" s="28" t="n"/>
      <c r="C105" s="28" t="n"/>
      <c r="D105" s="28" t="n"/>
      <c r="E105" s="28" t="n"/>
      <c r="F105" s="28" t="n"/>
      <c r="G105" s="28" t="n"/>
      <c r="H105" s="28"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"Contract,Invoice,CMDB Export,Screenshot,Config File,Risk Assessment,Audit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8" customWidth="1" min="4" max="4"/>
    <col width="18" customWidth="1" min="5" max="5"/>
    <col width="12" customWidth="1" min="6" max="6"/>
    <col width="15" customWidth="1" min="7" max="7"/>
  </cols>
  <sheetData>
    <row r="1" ht="35" customHeight="1">
      <c r="A1" s="11" t="inlineStr">
        <is>
          <t>CLOUD SERVICE INVENTORY — SUMMARY DASHBOARD</t>
        </is>
      </c>
    </row>
    <row r="2">
      <c r="A2" s="29" t="inlineStr">
        <is>
          <t>ISO/IEC 27001:2022 - Control A.5.19-23: Information Security for Use of Cloud Services</t>
        </is>
      </c>
    </row>
    <row r="3">
      <c r="A3" s="30" t="inlineStr">
        <is>
          <t>TABLE 1: COMPLIANCE BY SERVICE CATEGORY</t>
        </is>
      </c>
    </row>
    <row r="4">
      <c r="A4" s="31" t="inlineStr">
        <is>
          <t>Category</t>
        </is>
      </c>
      <c r="B4" s="31" t="inlineStr">
        <is>
          <t>Total</t>
        </is>
      </c>
      <c r="C4" s="31" t="inlineStr">
        <is>
          <t>✅ Compliant</t>
        </is>
      </c>
      <c r="D4" s="31" t="inlineStr">
        <is>
          <t>⚠ Partial</t>
        </is>
      </c>
      <c r="E4" s="31" t="inlineStr">
        <is>
          <t>❌ Non-Compliant</t>
        </is>
      </c>
      <c r="F4" s="31" t="inlineStr">
        <is>
          <t>N/A</t>
        </is>
      </c>
      <c r="G4" s="31" t="inlineStr">
        <is>
          <t>Compliance %</t>
        </is>
      </c>
    </row>
    <row r="5">
      <c r="A5" t="inlineStr">
        <is>
          <t>SaaS Services</t>
        </is>
      </c>
      <c r="B5">
        <f>COUNTA('2. SaaS Services'!A9:A100)</f>
        <v/>
      </c>
      <c r="C5">
        <f>COUNTIF('2. SaaS Services'!H9:H100,"✅*")</f>
        <v/>
      </c>
      <c r="D5">
        <f>COUNTIF('2. SaaS Services'!H9:H100,"⚠*")</f>
        <v/>
      </c>
      <c r="E5">
        <f>COUNTIF('2. SaaS Services'!H9:H100,"❌*")</f>
        <v/>
      </c>
      <c r="F5">
        <f>COUNTIF('2. SaaS Services'!H9:H100,"N/A")</f>
        <v/>
      </c>
      <c r="G5">
        <f>IF((B5-F5)=0,"0%",ROUND(C5/(B5-F5)*100,1)&amp;"%")</f>
        <v/>
      </c>
    </row>
    <row r="6">
      <c r="A6" t="inlineStr">
        <is>
          <t>IaaS/PaaS</t>
        </is>
      </c>
      <c r="B6">
        <f>COUNTA('3. IaaS PaaS Services'!A9:A100)</f>
        <v/>
      </c>
      <c r="C6">
        <f>COUNTIF('3. IaaS PaaS Services'!H9:H100,"✅*")</f>
        <v/>
      </c>
      <c r="D6">
        <f>COUNTIF('3. IaaS PaaS Services'!H9:H100,"⚠*")</f>
        <v/>
      </c>
      <c r="E6">
        <f>COUNTIF('3. IaaS PaaS Services'!H9:H100,"❌*")</f>
        <v/>
      </c>
      <c r="F6">
        <f>COUNTIF('3. IaaS PaaS Services'!H9:H100,"N/A")</f>
        <v/>
      </c>
      <c r="G6">
        <f>IF((B6-F6)=0,"0%",ROUND(C6/(B6-F6)*100,1)&amp;"%")</f>
        <v/>
      </c>
    </row>
    <row r="7">
      <c r="A7" t="inlineStr">
        <is>
          <t>Storage Services</t>
        </is>
      </c>
      <c r="B7">
        <f>COUNTA('5. Cloud Storage Services'!A9:A100)</f>
        <v/>
      </c>
      <c r="C7">
        <f>COUNTIF('5. Cloud Storage Services'!H9:H100,"✅*")</f>
        <v/>
      </c>
      <c r="D7">
        <f>COUNTIF('5. Cloud Storage Services'!H9:H100,"⚠*")</f>
        <v/>
      </c>
      <c r="E7">
        <f>COUNTIF('5. Cloud Storage Services'!H9:H100,"❌*")</f>
        <v/>
      </c>
      <c r="F7">
        <f>COUNTIF('5. Cloud Storage Services'!H9:H100,"N/A")</f>
        <v/>
      </c>
      <c r="G7">
        <f>IF((B7-F7)=0,"0%",ROUND(C7/(B7-F7)*100,1)&amp;"%")</f>
        <v/>
      </c>
    </row>
    <row r="8">
      <c r="A8" s="32" t="inlineStr">
        <is>
          <t>TOTAL</t>
        </is>
      </c>
      <c r="B8" s="32">
        <f>SUM(B5:B7)</f>
        <v/>
      </c>
      <c r="C8" s="32">
        <f>SUM(C5:C7)</f>
        <v/>
      </c>
      <c r="D8" s="32">
        <f>SUM(D5:D7)</f>
        <v/>
      </c>
      <c r="E8" s="32">
        <f>SUM(E5:E7)</f>
        <v/>
      </c>
      <c r="F8" s="32">
        <f>SUM(F5:F7)</f>
        <v/>
      </c>
      <c r="G8" s="32">
        <f>IF(B8-F8&gt;0,ROUND(C8/(B8-F8)*100,1)&amp;"%","N/A")</f>
        <v/>
      </c>
    </row>
    <row r="11">
      <c r="A11" s="30" t="inlineStr">
        <is>
          <t>TABLE 2: REGULATORY COMPLIANCE SUMMARY (DORA / NIS2 / AI Act / CLOUD Act)</t>
        </is>
      </c>
    </row>
    <row r="13">
      <c r="A13" s="31" t="inlineStr">
        <is>
          <t>Metric</t>
        </is>
      </c>
      <c r="B13" s="31" t="inlineStr">
        <is>
          <t>Count</t>
        </is>
      </c>
      <c r="C13" s="31" t="inlineStr">
        <is>
          <t>Status</t>
        </is>
      </c>
    </row>
    <row r="14">
      <c r="A14" t="inlineStr">
        <is>
          <t>CLOUD Act Potential Exposure</t>
        </is>
      </c>
      <c r="B14">
        <f>COUNTIF('2. SaaS Services'!Z9:Z100,"Potential*")+COUNTIF('3. IaaS PaaS Services'!Z9:Z100,"Potential*")</f>
        <v/>
      </c>
      <c r="C14">
        <f>IF(B14&gt;0,"⚠ Review","✅ OK")</f>
        <v/>
      </c>
    </row>
    <row r="15">
      <c r="A15" t="inlineStr">
        <is>
          <t>DORA In-Scope Services</t>
        </is>
      </c>
      <c r="B15">
        <f>COUNTIF('2. SaaS Services'!AC9:AC100,"Yes")+COUNTIF('3. IaaS PaaS Services'!AC9:AC100,"Yes")</f>
        <v/>
      </c>
      <c r="C15">
        <f>IF(B15&gt;0,"⚠ Review","✅ OK")</f>
        <v/>
      </c>
    </row>
    <row r="16">
      <c r="A16" t="inlineStr">
        <is>
          <t>NIS2 In-Scope Services</t>
        </is>
      </c>
      <c r="B16">
        <f>COUNTIF('2. SaaS Services'!AD9:AD100,"Yes")+COUNTIF('3. IaaS PaaS Services'!AD9:AD100,"Yes")</f>
        <v/>
      </c>
      <c r="C16">
        <f>IF(B16&gt;0,"⚠ Review","✅ OK")</f>
        <v/>
      </c>
    </row>
    <row r="17">
      <c r="A17" t="inlineStr">
        <is>
          <t>High-Risk AI Systems</t>
        </is>
      </c>
      <c r="B17">
        <f>COUNTIF('2. SaaS Services'!AE9:AE100,"High Risk")+COUNTIF('3. IaaS PaaS Services'!AE9:AE100,"High Risk")</f>
        <v/>
      </c>
      <c r="C17">
        <f>IF(B17&gt;0,"⚠ Review","✅ OK")</f>
        <v/>
      </c>
    </row>
    <row r="18">
      <c r="A18" t="inlineStr">
        <is>
          <t>Critical Concentration Risk</t>
        </is>
      </c>
      <c r="B18">
        <f>COUNTIF('2. SaaS Services'!AF9:AF100,"Critical*")+COUNTIF('3. IaaS PaaS Services'!AF9:AF100,"Critical*")</f>
        <v/>
      </c>
      <c r="C18">
        <f>IF(B18&gt;0,"⚠ Review","✅ OK")</f>
        <v/>
      </c>
    </row>
  </sheetData>
  <mergeCells count="4">
    <mergeCell ref="A11:G11"/>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1" t="inlineStr">
        <is>
          <t>ASSESSMENT APPROVAL AND SIGN-OFF</t>
        </is>
      </c>
      <c r="B1" s="6" t="n"/>
      <c r="C1" s="6" t="n"/>
      <c r="D1" s="6" t="n"/>
      <c r="E1" s="6" t="n"/>
    </row>
    <row r="2">
      <c r="A2" s="33" t="inlineStr">
        <is>
          <t>ISO/IEC 27001:2022 - Control A.5.19-23: Information Security for Use of Cloud Services</t>
        </is>
      </c>
      <c r="B2" s="6" t="n"/>
      <c r="C2" s="6" t="n"/>
      <c r="D2" s="6" t="n"/>
      <c r="E2" s="6" t="n"/>
    </row>
    <row r="3">
      <c r="A3" s="34" t="inlineStr">
        <is>
          <t>ASSESSMENT SUMMARY</t>
        </is>
      </c>
      <c r="B3" s="6" t="n"/>
      <c r="C3" s="6" t="n"/>
      <c r="D3" s="6" t="n"/>
      <c r="E3" s="6" t="n"/>
    </row>
    <row r="4">
      <c r="A4" s="3" t="inlineStr">
        <is>
          <t>Document:</t>
        </is>
      </c>
      <c r="B4" s="6" t="inlineStr">
        <is>
          <t>ISMS-IMP-A.5.23.S1 - Cloud Service Inventory &amp; Classification</t>
        </is>
      </c>
      <c r="C4" s="6" t="n"/>
      <c r="D4" s="6" t="n"/>
      <c r="E4" s="6" t="n"/>
    </row>
    <row r="5">
      <c r="A5" s="3" t="inlineStr">
        <is>
          <t>Assessment Period:</t>
        </is>
      </c>
      <c r="B5" s="14" t="inlineStr"/>
      <c r="C5" s="6" t="n"/>
      <c r="D5" s="6" t="n"/>
      <c r="E5" s="6" t="n"/>
    </row>
    <row r="6">
      <c r="A6" s="3" t="inlineStr">
        <is>
          <t>Overall Compliance Rating:</t>
        </is>
      </c>
      <c r="B6" s="35">
        <f>IFERROR(AVERAGE('Summary Dashboard'!G6:G7),"")</f>
        <v/>
      </c>
      <c r="C6" s="6" t="n"/>
      <c r="D6" s="6" t="n"/>
      <c r="E6" s="6" t="n"/>
    </row>
    <row r="7">
      <c r="A7" s="3" t="inlineStr">
        <is>
          <t>Assessment Status:</t>
        </is>
      </c>
      <c r="B7" s="14" t="inlineStr"/>
      <c r="C7" s="6" t="n"/>
      <c r="D7" s="6" t="n"/>
      <c r="E7" s="6" t="n"/>
    </row>
    <row r="8">
      <c r="A8" s="3" t="inlineStr">
        <is>
          <t>Assessed By:</t>
        </is>
      </c>
      <c r="B8" s="14" t="inlineStr"/>
      <c r="C8" s="6" t="n"/>
      <c r="D8" s="6" t="n"/>
      <c r="E8" s="6" t="n"/>
    </row>
    <row r="11">
      <c r="A11" s="34" t="inlineStr">
        <is>
          <t>COMPLETED BY (ASSESSOR)</t>
        </is>
      </c>
      <c r="B11" s="6" t="n"/>
      <c r="C11" s="6" t="n"/>
      <c r="D11" s="6" t="n"/>
      <c r="E11" s="6" t="n"/>
    </row>
    <row r="12">
      <c r="A12" s="3" t="inlineStr">
        <is>
          <t>Name:</t>
        </is>
      </c>
      <c r="B12" s="14" t="n"/>
      <c r="C12" s="6" t="n"/>
      <c r="D12" s="6" t="n"/>
      <c r="E12" s="6" t="n"/>
    </row>
    <row r="13">
      <c r="A13" s="3" t="inlineStr">
        <is>
          <t>Title:</t>
        </is>
      </c>
      <c r="B13" s="14" t="n"/>
      <c r="C13" s="6" t="n"/>
      <c r="D13" s="6" t="n"/>
      <c r="E13" s="6" t="n"/>
    </row>
    <row r="14">
      <c r="A14" s="3" t="inlineStr">
        <is>
          <t>Date:</t>
        </is>
      </c>
      <c r="B14" s="14" t="n"/>
      <c r="C14" s="6" t="n"/>
      <c r="D14" s="6" t="n"/>
      <c r="E14" s="6" t="n"/>
    </row>
    <row r="15">
      <c r="A15" s="3" t="inlineStr">
        <is>
          <t>Signature:</t>
        </is>
      </c>
      <c r="B15" s="14" t="n"/>
      <c r="C15" s="6" t="n"/>
      <c r="D15" s="6" t="n"/>
      <c r="E15" s="6" t="n"/>
    </row>
    <row r="16">
      <c r="A16" s="3" t="inlineStr">
        <is>
          <t>Comments:</t>
        </is>
      </c>
      <c r="B16" s="14" t="n"/>
      <c r="C16" s="6" t="n"/>
      <c r="D16" s="6" t="n"/>
      <c r="E16" s="6" t="n"/>
    </row>
    <row r="18">
      <c r="A18" s="34" t="inlineStr">
        <is>
          <t>REVIEWED BY (INFORMATION SECURITY OFFICER)</t>
        </is>
      </c>
      <c r="B18" s="6" t="n"/>
      <c r="C18" s="6" t="n"/>
      <c r="D18" s="6" t="n"/>
      <c r="E18" s="6" t="n"/>
    </row>
    <row r="19">
      <c r="A19" s="3" t="inlineStr">
        <is>
          <t>Name:</t>
        </is>
      </c>
      <c r="B19" s="14" t="n"/>
      <c r="C19" s="6" t="n"/>
      <c r="D19" s="6" t="n"/>
      <c r="E19" s="6" t="n"/>
    </row>
    <row r="20">
      <c r="A20" s="3" t="inlineStr">
        <is>
          <t>Title:</t>
        </is>
      </c>
      <c r="B20" s="14" t="n"/>
      <c r="C20" s="6" t="n"/>
      <c r="D20" s="6" t="n"/>
      <c r="E20" s="6" t="n"/>
    </row>
    <row r="21">
      <c r="A21" s="3" t="inlineStr">
        <is>
          <t>Date:</t>
        </is>
      </c>
      <c r="B21" s="14" t="n"/>
      <c r="C21" s="6" t="n"/>
      <c r="D21" s="6" t="n"/>
      <c r="E21" s="6" t="n"/>
    </row>
    <row r="22">
      <c r="A22" s="3" t="inlineStr">
        <is>
          <t>Signature:</t>
        </is>
      </c>
      <c r="B22" s="14" t="n"/>
      <c r="C22" s="6" t="n"/>
      <c r="D22" s="6" t="n"/>
      <c r="E22" s="6" t="n"/>
    </row>
    <row r="23">
      <c r="A23" s="3" t="inlineStr">
        <is>
          <t>Comments:</t>
        </is>
      </c>
      <c r="B23" s="14" t="n"/>
      <c r="C23" s="6" t="n"/>
      <c r="D23" s="6" t="n"/>
      <c r="E23" s="6" t="n"/>
    </row>
    <row r="25">
      <c r="A25" s="36" t="inlineStr">
        <is>
          <t>APPROVED BY (CISO)</t>
        </is>
      </c>
      <c r="B25" s="6" t="n"/>
      <c r="C25" s="6" t="n"/>
      <c r="D25" s="6" t="n"/>
      <c r="E25" s="6" t="n"/>
    </row>
    <row r="26">
      <c r="A26" s="3" t="inlineStr">
        <is>
          <t>Name:</t>
        </is>
      </c>
      <c r="B26" s="14" t="n"/>
      <c r="C26" s="6" t="n"/>
      <c r="D26" s="6" t="n"/>
      <c r="E26" s="6" t="n"/>
    </row>
    <row r="27">
      <c r="A27" s="3" t="inlineStr">
        <is>
          <t>Title:</t>
        </is>
      </c>
      <c r="B27" s="14" t="n"/>
      <c r="C27" s="6" t="n"/>
      <c r="D27" s="6" t="n"/>
      <c r="E27" s="6" t="n"/>
    </row>
    <row r="28">
      <c r="A28" s="3" t="inlineStr">
        <is>
          <t>Date:</t>
        </is>
      </c>
      <c r="B28" s="14" t="n"/>
      <c r="C28" s="6" t="n"/>
      <c r="D28" s="6" t="n"/>
      <c r="E28" s="6" t="n"/>
    </row>
    <row r="29">
      <c r="A29" s="3" t="inlineStr">
        <is>
          <t>Signature:</t>
        </is>
      </c>
      <c r="B29" s="14" t="n"/>
      <c r="C29" s="6" t="n"/>
      <c r="D29" s="6" t="n"/>
      <c r="E29" s="6" t="n"/>
    </row>
    <row r="30">
      <c r="A30" s="3" t="inlineStr">
        <is>
          <t>Comments:</t>
        </is>
      </c>
      <c r="B30" s="14" t="n"/>
      <c r="C30" s="6" t="n"/>
      <c r="D30" s="6" t="n"/>
      <c r="E30" s="6" t="n"/>
    </row>
    <row r="32">
      <c r="A32" s="3" t="inlineStr">
        <is>
          <t>FINAL DECISION:</t>
        </is>
      </c>
      <c r="B32" s="14" t="n"/>
      <c r="C32" s="6" t="n"/>
      <c r="D32" s="6" t="n"/>
      <c r="E32" s="6" t="n"/>
    </row>
    <row r="35">
      <c r="A35" s="34" t="inlineStr">
        <is>
          <t>NEXT REVIEW DETAILS</t>
        </is>
      </c>
      <c r="B35" s="6" t="n"/>
      <c r="C35" s="6" t="n"/>
      <c r="D35" s="6" t="n"/>
      <c r="E35" s="6" t="n"/>
    </row>
    <row r="36">
      <c r="A36" s="3" t="inlineStr">
        <is>
          <t>Next Review Date:</t>
        </is>
      </c>
      <c r="B36" s="14" t="n"/>
      <c r="C36" s="6" t="n"/>
      <c r="D36" s="6" t="n"/>
      <c r="E36" s="6" t="n"/>
    </row>
    <row r="37">
      <c r="A37" s="3" t="inlineStr">
        <is>
          <t>Review Responsible:</t>
        </is>
      </c>
      <c r="B37" s="14" t="n"/>
      <c r="C37" s="6" t="n"/>
      <c r="D37" s="6" t="n"/>
      <c r="E37" s="6" t="n"/>
    </row>
    <row r="38">
      <c r="A38" s="3" t="inlineStr">
        <is>
          <t>Special Considerations:</t>
        </is>
      </c>
      <c r="B38" s="1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ISMS-IMP-A.5.23.S1 — Cloud Service Inventory &amp; Classification</dc:title>
  <dc:description xmlns:dc="http://purl.org/dc/elements/1.1/">ISMS Implementation Workbook — ISMS-IMP-A.5.23.S1</dc:description>
  <dc:subject xmlns:dc="http://purl.org/dc/elements/1.1/">ISO/IEC 27001:2022 — Control A.5.19-23: Information Security for Use of Cloud Services</dc:subject>
  <dcterms:created xmlns:dcterms="http://purl.org/dc/terms/" xmlns:xsi="http://www.w3.org/2001/XMLSchema-instance" xsi:type="dcterms:W3CDTF">2026-03-01T09:40:17Z</dcterms:created>
  <dcterms:modified xmlns:dcterms="http://purl.org/dc/terms/" xmlns:xsi="http://www.w3.org/2001/XMLSchema-instance" xsi:type="dcterms:W3CDTF">2026-03-01T09:40:17Z</dcterms:modified>
</cp:coreProperties>
</file>