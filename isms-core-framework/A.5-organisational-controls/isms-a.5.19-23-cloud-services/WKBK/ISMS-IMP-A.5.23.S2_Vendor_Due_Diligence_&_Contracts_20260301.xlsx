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Security Certifications" sheetId="2" state="visible" r:id="rId2"/>
    <sheet xmlns:r="http://schemas.openxmlformats.org/officeDocument/2006/relationships" name="3. Contract Terms" sheetId="3" state="visible" r:id="rId3"/>
    <sheet xmlns:r="http://schemas.openxmlformats.org/officeDocument/2006/relationships" name="4. SLA Performance" sheetId="4" state="visible" r:id="rId4"/>
    <sheet xmlns:r="http://schemas.openxmlformats.org/officeDocument/2006/relationships" name="5. Data Sovereignty" sheetId="5" state="visible" r:id="rId5"/>
    <sheet xmlns:r="http://schemas.openxmlformats.org/officeDocument/2006/relationships" name="6. Forensics &amp; Audi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i val="1"/>
      <color rgb="00666666"/>
    </font>
    <font>
      <b val="1"/>
      <sz val="11"/>
    </font>
    <font>
      <i val="1"/>
      <color rgb="00C00000"/>
      <sz val="10"/>
    </font>
    <font>
      <b val="1"/>
    </font>
    <font>
      <name val="Calibri"/>
      <i val="1"/>
      <color rgb="00003366"/>
      <sz val="10"/>
    </font>
    <font>
      <b val="1"/>
      <color rgb="00FFFFFF"/>
      <sz val="11"/>
    </font>
    <font>
      <name val="Calibri"/>
      <b val="1"/>
      <color rgb="00000000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666666"/>
      <sz val="10"/>
    </font>
  </fonts>
  <fills count="1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1" borderId="1" pivotButton="0" quotePrefix="0" xfId="0"/>
    <xf numFmtId="0" fontId="0" fillId="10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9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15" fillId="11" borderId="1" pivotButton="0" quotePrefix="0" xfId="0"/>
    <xf numFmtId="0" fontId="10" fillId="0" borderId="0" applyAlignment="1" pivotButton="0" quotePrefix="0" xfId="0">
      <alignment horizontal="left" vertical="center"/>
    </xf>
    <xf numFmtId="0" fontId="11" fillId="8" borderId="0" pivotButton="0" quotePrefix="0" xfId="0"/>
    <xf numFmtId="0" fontId="12" fillId="9" borderId="1" applyAlignment="1" pivotButton="0" quotePrefix="0" xfId="0">
      <alignment horizontal="center" vertical="center" wrapText="1"/>
    </xf>
    <xf numFmtId="0" fontId="11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0" fillId="0" borderId="1" applyAlignment="1" pivotButton="0" quotePrefix="0" xfId="0">
      <alignment horizontal="center" vertical="center"/>
    </xf>
    <xf numFmtId="0" fontId="5" fillId="15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ISMS-IMP-A.5.23.S2  -  Vendor Due Diligence &amp; Contracts
ISO/IEC 27001:2022 - Control A.5.19-23: Information Security for Use of Cloud Services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ISMS-IMP-A.5.23.S2</t>
        </is>
      </c>
    </row>
    <row r="5">
      <c r="A5" s="3" t="inlineStr">
        <is>
          <t>Workbook Title</t>
        </is>
      </c>
      <c r="B5" t="inlineStr">
        <is>
          <t>Vendor Due Diligence &amp; Contracts</t>
        </is>
      </c>
    </row>
    <row r="6">
      <c r="A6" s="3" t="inlineStr">
        <is>
          <t>Control Reference</t>
        </is>
      </c>
      <c r="B6" t="inlineStr">
        <is>
          <t>ISO/IEC 27001:2022 - Control A.5.19-23: Information Security for Use of Cloud Services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each worksheet tab (2–7) for all cloud service vendors.</t>
        </is>
      </c>
    </row>
    <row r="14">
      <c r="A14" t="inlineStr">
        <is>
          <t>2. Use dropdown menus for standardised entries.</t>
        </is>
      </c>
    </row>
    <row r="15">
      <c r="A15" t="inlineStr">
        <is>
          <t>3. Fill in yellow-highlighted cells with vendor-specific information.</t>
        </is>
      </c>
    </row>
    <row r="16">
      <c r="A16" t="inlineStr">
        <is>
          <t>4. Attach evidence: contracts (MSA, DPA, SLA), security certifications, audit reports.</t>
        </is>
      </c>
    </row>
    <row r="17">
      <c r="A17" t="inlineStr">
        <is>
          <t>5. Complete Jurisdictional Risk sheet (7) for all US-nexus providers.</t>
        </is>
      </c>
    </row>
    <row r="18">
      <c r="A18" t="inlineStr">
        <is>
          <t>6. Document SLA performance metrics and track contract renewal dates.</t>
        </is>
      </c>
    </row>
    <row r="19">
      <c r="A19" t="inlineStr">
        <is>
          <t>7. Update vendor security posture assessments annually or upon significant changes.</t>
        </is>
      </c>
    </row>
    <row r="20">
      <c r="A20" t="inlineStr">
        <is>
          <t>8. Summary Dashboard auto-calculates vendor compliance statistics.</t>
        </is>
      </c>
    </row>
    <row r="21">
      <c r="A21" t="inlineStr">
        <is>
          <t>9. Maintain the Evidence Register with all contract documents and certifications.</t>
        </is>
      </c>
    </row>
    <row r="22">
      <c r="A22" t="inlineStr">
        <is>
          <t>10. Obtain final approval and sign-off from Legal, Procurement, and CISO.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  <row r="31">
      <c r="A31" s="2" t="inlineStr">
        <is>
          <t>Regulatory Compliance</t>
        </is>
      </c>
    </row>
    <row r="32">
      <c r="A32" t="inlineStr">
        <is>
          <t>This workbook includes regulatory compliance tracking for:</t>
        </is>
      </c>
    </row>
    <row r="33">
      <c r="A33" t="inlineStr">
        <is>
          <t>• DORA (Digital Operational Resilience Act) — Art.30 contract clauses</t>
        </is>
      </c>
    </row>
    <row r="34">
      <c r="A34" t="inlineStr">
        <is>
          <t>• NIS2 (Network and Information Security Directive 2) — Supply chain security</t>
        </is>
      </c>
    </row>
    <row r="35">
      <c r="A35" t="inlineStr">
        <is>
          <t>• EU AI Act — AI service provider evaluation criteria</t>
        </is>
      </c>
    </row>
    <row r="36">
      <c r="A36" t="inlineStr">
        <is>
          <t>• US CLOUD Act — Jurisdictional risk assessment</t>
        </is>
      </c>
    </row>
    <row r="37">
      <c r="A37" t="inlineStr"/>
    </row>
    <row r="38">
      <c r="A38" t="inlineStr">
        <is>
          <t>Sheet 7 (Jurisdictional Risk) helps assess CLOUD Act exposure for US-nexus providers.</t>
        </is>
      </c>
    </row>
    <row r="39">
      <c r="A39" t="inlineStr">
        <is>
          <t>Contract Terms checklist now includes DORA Art.30 and NIS2 requirements.</t>
        </is>
      </c>
    </row>
    <row r="41">
      <c r="A41" s="2" t="inlineStr">
        <is>
          <t>Acceptable Evidence (examples)</t>
        </is>
      </c>
    </row>
    <row r="42">
      <c r="A42" t="inlineStr">
        <is>
          <t>✓ Master Service Agreement (MSA)</t>
        </is>
      </c>
    </row>
    <row r="43">
      <c r="A43" t="inlineStr">
        <is>
          <t>✓ Data Processing Agreement (DPA) / Addendum</t>
        </is>
      </c>
    </row>
    <row r="44">
      <c r="A44" t="inlineStr">
        <is>
          <t>✓ Service Level Agreement (SLA)</t>
        </is>
      </c>
    </row>
    <row r="45">
      <c r="A45" t="inlineStr">
        <is>
          <t>✓ ISO 27001 certificate (current, not expired)</t>
        </is>
      </c>
    </row>
    <row r="46">
      <c r="A46" t="inlineStr">
        <is>
          <t>✓ SOC 2 Type II report (within last 12 months)</t>
        </is>
      </c>
    </row>
    <row r="47">
      <c r="A47" t="inlineStr">
        <is>
          <t>✓ FedRAMP authorisation letter</t>
        </is>
      </c>
    </row>
    <row r="48">
      <c r="A48" t="inlineStr">
        <is>
          <t>✓ GDPR/nFADP compliance attestation</t>
        </is>
      </c>
    </row>
    <row r="49">
      <c r="A49" t="inlineStr">
        <is>
          <t>✓ Vendor security questionnaire (completed)</t>
        </is>
      </c>
    </row>
    <row r="50">
      <c r="A50" t="inlineStr">
        <is>
          <t>✓ Penetration test results (if available)</t>
        </is>
      </c>
    </row>
    <row r="51">
      <c r="A51" t="inlineStr">
        <is>
          <t>✓ Incident response plan documentation</t>
        </is>
      </c>
    </row>
    <row r="52">
      <c r="A52" t="inlineStr">
        <is>
          <t>✓ Business continuity/disaster recovery plan</t>
        </is>
      </c>
    </row>
    <row r="53">
      <c r="A53" t="inlineStr">
        <is>
          <t>✓ Insurance certificates (cyber liability)</t>
        </is>
      </c>
    </row>
    <row r="54">
      <c r="A54" t="inlineStr">
        <is>
          <t>✓ Right to audit clause (contract section reference)</t>
        </is>
      </c>
    </row>
    <row r="55">
      <c r="A55" t="inlineStr">
        <is>
          <t>✓ Data sovereignty documentation (data center locations)</t>
        </is>
      </c>
    </row>
    <row r="56">
      <c r="A56" t="inlineStr">
        <is>
          <t>✓ Jurisdictional risk assessment (for US-nexus providers)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2" customWidth="1" min="19" max="19"/>
    <col width="18" customWidth="1" min="20" max="20"/>
    <col width="20" customWidth="1" min="21" max="21"/>
    <col width="18" customWidth="1" min="22" max="22"/>
    <col width="18" customWidth="1" min="23" max="23"/>
    <col width="30" customWidth="1" min="24" max="24"/>
  </cols>
  <sheetData>
    <row r="1" ht="35" customHeight="1">
      <c r="A1" s="11" t="inlineStr">
        <is>
          <t>VENDOR SECURITY CERTIFICATIONS
Policy Requirement: All cloud vendors must maintain ISO 27001 or equivalent security certification (Policy S2 Section 3.1)</t>
        </is>
      </c>
    </row>
    <row r="2" ht="30" customHeight="1">
      <c r="A2" s="12" t="inlineStr">
        <is>
          <t>Assessment Question: Do your cloud service vendors hold current security certifications (ISO 27001, SOC 2, FedRAMP, etc.)?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ISO 27001 Certified</t>
        </is>
      </c>
      <c r="S3" s="13" t="inlineStr">
        <is>
          <t>ISO 27001 Cert Number</t>
        </is>
      </c>
      <c r="T3" s="13" t="inlineStr">
        <is>
          <t>ISO 27001 Expiry Date</t>
        </is>
      </c>
      <c r="U3" s="13" t="inlineStr">
        <is>
          <t>SOC 2 Type II Report</t>
        </is>
      </c>
      <c r="V3" s="13" t="inlineStr">
        <is>
          <t>SOC 2 Report Date</t>
        </is>
      </c>
      <c r="W3" s="13" t="inlineStr">
        <is>
          <t>FedRAMP Authorised</t>
        </is>
      </c>
      <c r="X3" s="13" t="inlineStr">
        <is>
          <t>Other Certifications</t>
        </is>
      </c>
    </row>
    <row r="4">
      <c r="A4" s="14" t="inlineStr">
        <is>
          <t>CERT-001</t>
        </is>
      </c>
      <c r="B4" s="14" t="inlineStr">
        <is>
          <t>Vendor Security Certifications</t>
        </is>
      </c>
      <c r="C4" s="14" t="inlineStr">
        <is>
          <t>Amazon Web Services</t>
        </is>
      </c>
      <c r="D4" s="14" t="inlineStr">
        <is>
          <t>Critical</t>
        </is>
      </c>
      <c r="E4" s="14" t="inlineStr">
        <is>
          <t>Confidential</t>
        </is>
      </c>
      <c r="F4" s="14" t="inlineStr">
        <is>
          <t>Annual</t>
        </is>
      </c>
      <c r="G4" s="14" t="inlineStr">
        <is>
          <t>SaaS/IaaS</t>
        </is>
      </c>
      <c r="H4" s="14" t="inlineStr">
        <is>
          <t>Verified</t>
        </is>
      </c>
      <c r="I4" s="14" t="inlineStr">
        <is>
          <t>AWS Security Team</t>
        </is>
      </c>
      <c r="J4" s="14" t="inlineStr">
        <is>
          <t>ISO 27001:2022 + SOC 2 Type II + CSA STAR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All critical/high services have ISO 27001 or SOC 2 Type II</t>
        </is>
      </c>
      <c r="C59" s="15" t="inlineStr"/>
      <c r="D59" t="inlineStr">
        <is>
          <t>Certification register</t>
        </is>
      </c>
    </row>
    <row r="60">
      <c r="A60" t="inlineStr">
        <is>
          <t>☐</t>
        </is>
      </c>
      <c r="B60" t="inlineStr">
        <is>
          <t>Certificates verified as current (not expired)</t>
        </is>
      </c>
      <c r="C60" s="15" t="inlineStr"/>
      <c r="D60" t="inlineStr">
        <is>
          <t>Certificate expiry tracking</t>
        </is>
      </c>
    </row>
    <row r="61">
      <c r="A61" t="inlineStr">
        <is>
          <t>☐</t>
        </is>
      </c>
      <c r="B61" t="inlineStr">
        <is>
          <t>SOC 2 reports obtained within last 12 months</t>
        </is>
      </c>
      <c r="C61" s="15" t="inlineStr"/>
      <c r="D61" t="inlineStr">
        <is>
          <t>Vendor portal, NDA required</t>
        </is>
      </c>
    </row>
    <row r="62">
      <c r="A62" t="inlineStr">
        <is>
          <t>☐</t>
        </is>
      </c>
      <c r="B62" t="inlineStr">
        <is>
          <t>Certificate scope covers services in use</t>
        </is>
      </c>
      <c r="C62" s="15" t="inlineStr"/>
      <c r="D62" t="inlineStr">
        <is>
          <t>Certificate scope statement</t>
        </is>
      </c>
    </row>
    <row r="63">
      <c r="A63" t="inlineStr">
        <is>
          <t>☐</t>
        </is>
      </c>
      <c r="B63" t="inlineStr">
        <is>
          <t>Certificate issuing body is accredited (e.g., UKAS, ANAB)</t>
        </is>
      </c>
      <c r="C63" s="15" t="inlineStr"/>
      <c r="D63" t="inlineStr">
        <is>
          <t>Issuer verification</t>
        </is>
      </c>
    </row>
    <row r="64">
      <c r="A64" t="inlineStr">
        <is>
          <t>☐</t>
        </is>
      </c>
      <c r="B64" t="inlineStr">
        <is>
          <t>FedRAMP authorisation verified for US government workloads</t>
        </is>
      </c>
      <c r="C64" s="15" t="inlineStr"/>
      <c r="D64" t="inlineStr">
        <is>
          <t>FedRAMP marketplace</t>
        </is>
      </c>
    </row>
    <row r="65">
      <c r="A65" t="inlineStr">
        <is>
          <t>☐</t>
        </is>
      </c>
      <c r="B65" t="inlineStr">
        <is>
          <t>Industry-specific certs documented (PCI-DSS, HIPAA, etc.)</t>
        </is>
      </c>
      <c r="C65" s="15" t="inlineStr"/>
      <c r="D65" t="inlineStr">
        <is>
          <t>Compliance attestations</t>
        </is>
      </c>
    </row>
    <row r="66">
      <c r="A66" t="inlineStr">
        <is>
          <t>☐</t>
        </is>
      </c>
      <c r="B66" t="inlineStr">
        <is>
          <t>Certificate renewal dates tracked in contract management system</t>
        </is>
      </c>
      <c r="C66" s="15" t="inlineStr"/>
      <c r="D66" t="inlineStr">
        <is>
          <t>CMS reports</t>
        </is>
      </c>
    </row>
  </sheetData>
  <mergeCells count="3">
    <mergeCell ref="A2:X2"/>
    <mergeCell ref="A57:D57"/>
    <mergeCell ref="A1:X1"/>
  </mergeCells>
  <dataValidations count="10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R4:R54" showDropDown="0" showInputMessage="0" showErrorMessage="0" allowBlank="0" type="list">
      <formula1>"Yes (Current),Yes (Expired),No,Unknown"</formula1>
    </dataValidation>
    <dataValidation sqref="U4:U54" showDropDown="0" showInputMessage="0" showErrorMessage="0" allowBlank="0" type="list">
      <formula1>"Yes (&lt; 6 months),Yes (6-12 months),No,Unknown"</formula1>
    </dataValidation>
    <dataValidation sqref="W4:W54" showDropDown="0" showInputMessage="0" showErrorMessage="0" allowBlank="0" type="list">
      <formula1>"Yes (High),Yes (Moderate),Yes (Low),No,N/A"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20" customWidth="1" min="20" max="20"/>
    <col width="18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</cols>
  <sheetData>
    <row r="1" ht="35" customHeight="1">
      <c r="A1" s="11" t="inlineStr">
        <is>
          <t>CONTRACT TERMS ANALYSIS (INCL. DORA/NIS2)
Policy Requirement: All cloud service contracts must include security clauses, data protection terms, and termination rights (Policy S2 Section 3.2)</t>
        </is>
      </c>
    </row>
    <row r="2" ht="30" customHeight="1">
      <c r="A2" s="12" t="inlineStr">
        <is>
          <t>Assessment Question: Have all cloud service contracts been reviewed for security, data protection, and regulatory clauses (DORA Art.30, NIS2)?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Data Protection Clause</t>
        </is>
      </c>
      <c r="S3" s="13" t="inlineStr">
        <is>
          <t>Subprocessor Disclosure</t>
        </is>
      </c>
      <c r="T3" s="13" t="inlineStr">
        <is>
          <t>Liability Cap (CHF)</t>
        </is>
      </c>
      <c r="U3" s="13" t="inlineStr">
        <is>
          <t>Indemnification Clause</t>
        </is>
      </c>
      <c r="V3" s="13" t="inlineStr">
        <is>
          <t>Termination Notice Period</t>
        </is>
      </c>
      <c r="W3" s="13" t="inlineStr">
        <is>
          <t>Data Return on Termination</t>
        </is>
      </c>
      <c r="X3" s="13" t="inlineStr">
        <is>
          <t>Auto-Renewal Clause</t>
        </is>
      </c>
      <c r="Y3" s="13" t="inlineStr">
        <is>
          <t>DORA Art.30 Compliance</t>
        </is>
      </c>
      <c r="Z3" s="13" t="inlineStr">
        <is>
          <t>NIS2 Supply Chain Clause</t>
        </is>
      </c>
    </row>
    <row r="4">
      <c r="A4" s="14" t="inlineStr">
        <is>
          <t>CONTRACT-001</t>
        </is>
      </c>
      <c r="B4" s="14" t="inlineStr">
        <is>
          <t>Cloud Service Contract Review</t>
        </is>
      </c>
      <c r="C4" s="14" t="inlineStr">
        <is>
          <t>Microsoft Azure</t>
        </is>
      </c>
      <c r="D4" s="14" t="inlineStr">
        <is>
          <t>Critical</t>
        </is>
      </c>
      <c r="E4" s="14" t="inlineStr">
        <is>
          <t>Confidential</t>
        </is>
      </c>
      <c r="F4" s="14" t="inlineStr">
        <is>
          <t>Annual</t>
        </is>
      </c>
      <c r="G4" s="14" t="inlineStr">
        <is>
          <t>SaaS/PaaS</t>
        </is>
      </c>
      <c r="H4" s="14" t="inlineStr">
        <is>
          <t>Reviewed</t>
        </is>
      </c>
      <c r="I4" s="14" t="inlineStr">
        <is>
          <t>Legal Team</t>
        </is>
      </c>
      <c r="J4" s="14" t="inlineStr">
        <is>
          <t>Full contract + DPA + SLA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Data protection clause references GDPR/nFADP</t>
        </is>
      </c>
      <c r="C59" s="15" t="inlineStr"/>
      <c r="D59" t="inlineStr">
        <is>
          <t>Contract review</t>
        </is>
      </c>
    </row>
    <row r="60">
      <c r="A60" t="inlineStr">
        <is>
          <t>☐</t>
        </is>
      </c>
      <c r="B60" t="inlineStr">
        <is>
          <t>Subprocessor list reviewed by Legal</t>
        </is>
      </c>
      <c r="C60" s="15" t="inlineStr"/>
      <c r="D60" t="inlineStr">
        <is>
          <t>Legal sign-of</t>
        </is>
      </c>
    </row>
    <row r="61">
      <c r="A61" t="inlineStr">
        <is>
          <t>☐</t>
        </is>
      </c>
      <c r="B61" t="inlineStr">
        <is>
          <t>Liability cap reasonable for service criticality</t>
        </is>
      </c>
      <c r="C61" s="15" t="inlineStr"/>
      <c r="D61" t="inlineStr">
        <is>
          <t>Risk assessment</t>
        </is>
      </c>
    </row>
    <row r="62">
      <c r="A62" t="inlineStr">
        <is>
          <t>☐</t>
        </is>
      </c>
      <c r="B62" t="inlineStr">
        <is>
          <t>Termination notice ≤90 days for non-critical services</t>
        </is>
      </c>
      <c r="C62" s="15" t="inlineStr"/>
      <c r="D62" t="inlineStr">
        <is>
          <t>Contract terms</t>
        </is>
      </c>
    </row>
    <row r="63">
      <c r="A63" t="inlineStr">
        <is>
          <t>☐</t>
        </is>
      </c>
      <c r="B63" t="inlineStr">
        <is>
          <t>Data return process documented with timeline</t>
        </is>
      </c>
      <c r="C63" s="15" t="inlineStr"/>
      <c r="D63" t="inlineStr">
        <is>
          <t>Exit annex</t>
        </is>
      </c>
    </row>
    <row r="64">
      <c r="A64" t="inlineStr">
        <is>
          <t>☐</t>
        </is>
      </c>
      <c r="B64" t="inlineStr">
        <is>
          <t>Insurance requirements verified (cyber liability)</t>
        </is>
      </c>
      <c r="C64" s="15" t="inlineStr"/>
      <c r="D64" t="inlineStr">
        <is>
          <t>Insurance cert</t>
        </is>
      </c>
    </row>
    <row r="65">
      <c r="A65" t="inlineStr">
        <is>
          <t>☐</t>
        </is>
      </c>
      <c r="B65" t="inlineStr">
        <is>
          <t>Governing law and jurisdiction acceptable</t>
        </is>
      </c>
      <c r="C65" s="15" t="inlineStr"/>
      <c r="D65" t="inlineStr">
        <is>
          <t>Legal review</t>
        </is>
      </c>
    </row>
    <row r="66">
      <c r="A66" t="inlineStr">
        <is>
          <t>☐</t>
        </is>
      </c>
      <c r="B66" t="inlineStr">
        <is>
          <t>DORA Art.30(2)(a): Clear service descriptions</t>
        </is>
      </c>
      <c r="C66" s="15" t="inlineStr"/>
      <c r="D66" t="inlineStr">
        <is>
          <t>Contract clause</t>
        </is>
      </c>
    </row>
    <row r="67">
      <c r="A67" t="inlineStr">
        <is>
          <t>☐</t>
        </is>
      </c>
      <c r="B67" t="inlineStr">
        <is>
          <t>DORA Art.30(2)(b): Data processing locations specified</t>
        </is>
      </c>
      <c r="C67" s="15" t="inlineStr"/>
      <c r="D67" t="inlineStr">
        <is>
          <t>DPA/Contract</t>
        </is>
      </c>
    </row>
    <row r="68">
      <c r="A68" t="inlineStr">
        <is>
          <t>☐</t>
        </is>
      </c>
      <c r="B68" t="inlineStr">
        <is>
          <t>DORA Art.30(2)(c): Subcontracting conditions defined</t>
        </is>
      </c>
      <c r="C68" s="15" t="inlineStr"/>
      <c r="D68" t="inlineStr">
        <is>
          <t>Subprocessor annex</t>
        </is>
      </c>
    </row>
    <row r="69">
      <c r="A69" t="inlineStr">
        <is>
          <t>☐</t>
        </is>
      </c>
      <c r="B69" t="inlineStr">
        <is>
          <t>DORA Art.30(2)(d): Full access and audit rights</t>
        </is>
      </c>
      <c r="C69" s="15" t="inlineStr"/>
      <c r="D69" t="inlineStr">
        <is>
          <t>Audit clause</t>
        </is>
      </c>
    </row>
    <row r="70">
      <c r="A70" t="inlineStr">
        <is>
          <t>☐</t>
        </is>
      </c>
      <c r="B70" t="inlineStr">
        <is>
          <t>DORA Art.30(2)(e): Cooperation with regulators</t>
        </is>
      </c>
      <c r="C70" s="15" t="inlineStr"/>
      <c r="D70" t="inlineStr">
        <is>
          <t>Regulatory clause</t>
        </is>
      </c>
    </row>
    <row r="71">
      <c r="A71" t="inlineStr">
        <is>
          <t>☐</t>
        </is>
      </c>
      <c r="B71" t="inlineStr">
        <is>
          <t>DORA Art.30(3): Exit strategy provisions</t>
        </is>
      </c>
      <c r="C71" s="15" t="inlineStr"/>
      <c r="D71" t="inlineStr">
        <is>
          <t>Exit annex</t>
        </is>
      </c>
    </row>
    <row r="72">
      <c r="A72" t="inlineStr">
        <is>
          <t>☐</t>
        </is>
      </c>
      <c r="B72" t="inlineStr">
        <is>
          <t>DORA Art.30(3): Termination rights defined</t>
        </is>
      </c>
      <c r="C72" s="15" t="inlineStr"/>
      <c r="D72" t="inlineStr">
        <is>
          <t>Termination clause</t>
        </is>
      </c>
    </row>
    <row r="73">
      <c r="A73" t="inlineStr">
        <is>
          <t>☐</t>
        </is>
      </c>
      <c r="B73" t="inlineStr">
        <is>
          <t>NIS2 Art.21: Supply chain security requirements</t>
        </is>
      </c>
      <c r="C73" s="15" t="inlineStr"/>
      <c r="D73" t="inlineStr">
        <is>
          <t>Security annex</t>
        </is>
      </c>
    </row>
    <row r="74">
      <c r="A74" t="inlineStr">
        <is>
          <t>☐</t>
        </is>
      </c>
      <c r="B74" t="inlineStr">
        <is>
          <t>NIS2: Incident notification ≤24h to customer</t>
        </is>
      </c>
      <c r="C74" s="15" t="inlineStr"/>
      <c r="D74" t="inlineStr">
        <is>
          <t>Incident clause</t>
        </is>
      </c>
    </row>
    <row r="75">
      <c r="A75" t="inlineStr">
        <is>
          <t>☐</t>
        </is>
      </c>
      <c r="B75" t="inlineStr">
        <is>
          <t>NIS2: Vulnerability handling process defined</t>
        </is>
      </c>
      <c r="C75" s="15" t="inlineStr"/>
      <c r="D75" t="inlineStr">
        <is>
          <t>Security annex</t>
        </is>
      </c>
    </row>
    <row r="76">
      <c r="A76" t="inlineStr">
        <is>
          <t>☐</t>
        </is>
      </c>
      <c r="B76" t="inlineStr">
        <is>
          <t>Supplier incident notification to customer within 24 hours (contractual SLA documented)</t>
        </is>
      </c>
      <c r="C76" s="15" t="inlineStr"/>
      <c r="D76" t="inlineStr">
        <is>
          <t>Contract security annex, SLA document</t>
        </is>
      </c>
    </row>
    <row r="77">
      <c r="A77" t="inlineStr">
        <is>
          <t>☐</t>
        </is>
      </c>
      <c r="B77" t="inlineStr">
        <is>
          <t>Right to conduct security assessments and penetration testing of supplier infrastructure (contractual right confirmed)</t>
        </is>
      </c>
      <c r="C77" s="15" t="inlineStr"/>
      <c r="D77" t="inlineStr">
        <is>
          <t>Audit rights clause, penetration test agreement</t>
        </is>
      </c>
    </row>
  </sheetData>
  <mergeCells count="3">
    <mergeCell ref="A1:Z1"/>
    <mergeCell ref="A57:D57"/>
    <mergeCell ref="A2:Z2"/>
  </mergeCells>
  <dataValidations count="15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R4:R54" showDropDown="0" showInputMessage="0" showErrorMessage="0" allowBlank="0" type="list">
      <formula1>"Yes (Adequate),Yes (Weak),No,Under Negotiation"</formula1>
    </dataValidation>
    <dataValidation sqref="S4:S54" showDropDown="0" showInputMessage="0" showErrorMessage="0" allowBlank="0" type="list">
      <formula1>"Yes (List Provided),Yes (Generic),No"</formula1>
    </dataValidation>
    <dataValidation sqref="U4:U54" showDropDown="0" showInputMessage="0" showErrorMessage="0" allowBlank="0" type="list">
      <formula1>"Yes (Favorable),Yes (Limited),No"</formula1>
    </dataValidation>
    <dataValidation sqref="V4:V54" showDropDown="0" showInputMessage="0" showErrorMessage="0" allowBlank="0" type="list">
      <formula1>"≤30 days,31-60 days,61-90 days,&gt;90 days"</formula1>
    </dataValidation>
    <dataValidation sqref="W4:W54" showDropDown="0" showInputMessage="0" showErrorMessage="0" allowBlank="0" type="list">
      <formula1>"Yes (30 days),Yes (60 days),Yes (90 days),No"</formula1>
    </dataValidation>
    <dataValidation sqref="X4:X54" showDropDown="0" showInputMessage="0" showErrorMessage="0" allowBlank="0" type="list">
      <formula1>"Yes (Opt-Out),Yes (Opt-In),No"</formula1>
    </dataValidation>
    <dataValidation sqref="Y4:Y54" showDropDown="0" showInputMessage="0" showErrorMessage="0" allowBlank="0" type="list">
      <formula1>"Yes (Full),Yes (Partial),No,N/A (Not in scope)"</formula1>
    </dataValidation>
    <dataValidation sqref="Z4:Z54" showDropDown="0" showInputMessage="0" showErrorMessage="0" allowBlank="0" type="list">
      <formula1>"Yes,No,N/A"</formula1>
    </dataValidation>
    <dataValidation sqref="C59 C60 C61 C62 C63 C64 C65 C66 C67 C68 C69 C70 C71 C72 C73 C74 C75 C76 C77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0" customWidth="1" min="19" max="19"/>
    <col width="18" customWidth="1" min="20" max="20"/>
    <col width="22" customWidth="1" min="21" max="21"/>
    <col width="16" customWidth="1" min="22" max="22"/>
    <col width="18" customWidth="1" min="23" max="23"/>
    <col width="18" customWidth="1" min="24" max="24"/>
  </cols>
  <sheetData>
    <row r="1" ht="35" customHeight="1">
      <c r="A1" s="11" t="inlineStr">
        <is>
          <t>SLA REQUIREMENTS &amp; PERFORMANCE TRACKING
Policy Requirement: SLAs must define availability, support response times, and performance penalties (Policy S2 Section 3.3)</t>
        </is>
      </c>
    </row>
    <row r="2" ht="30" customHeight="1">
      <c r="A2" s="12" t="inlineStr">
        <is>
          <t>Assessment Question: Do all cloud services have documented SLAs with performance commitments?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SLA Availability %</t>
        </is>
      </c>
      <c r="S3" s="13" t="inlineStr">
        <is>
          <t>Actual Availability Q4</t>
        </is>
      </c>
      <c r="T3" s="13" t="inlineStr">
        <is>
          <t>SLA Credits Claimed</t>
        </is>
      </c>
      <c r="U3" s="13" t="inlineStr">
        <is>
          <t>Support Response Time</t>
        </is>
      </c>
      <c r="V3" s="13" t="inlineStr">
        <is>
          <t>Incident Count Q4</t>
        </is>
      </c>
      <c r="W3" s="13" t="inlineStr">
        <is>
          <t>Mean Time to Resolve</t>
        </is>
      </c>
      <c r="X3" s="13" t="inlineStr">
        <is>
          <t>SLA Review Date</t>
        </is>
      </c>
    </row>
    <row r="4">
      <c r="A4" s="14" t="inlineStr">
        <is>
          <t>SLA-001</t>
        </is>
      </c>
      <c r="B4" s="14" t="inlineStr">
        <is>
          <t>SLA Performance Review</t>
        </is>
      </c>
      <c r="C4" s="14" t="inlineStr">
        <is>
          <t>AWS</t>
        </is>
      </c>
      <c r="D4" s="14" t="inlineStr">
        <is>
          <t>Critical</t>
        </is>
      </c>
      <c r="E4" s="14" t="inlineStr">
        <is>
          <t>Internal</t>
        </is>
      </c>
      <c r="F4" s="14" t="inlineStr">
        <is>
          <t>Monthly</t>
        </is>
      </c>
      <c r="G4" s="14" t="inlineStr">
        <is>
          <t>IaaS</t>
        </is>
      </c>
      <c r="H4" s="14" t="inlineStr">
        <is>
          <t>Within SLA</t>
        </is>
      </c>
      <c r="I4" s="14" t="inlineStr">
        <is>
          <t>IT Operations</t>
        </is>
      </c>
      <c r="J4" s="14" t="inlineStr">
        <is>
          <t>SLA performance dashboard export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SLA availability target documented (e.g., 99.9%)</t>
        </is>
      </c>
      <c r="C59" s="15" t="inlineStr"/>
      <c r="D59" t="inlineStr">
        <is>
          <t>SLA document</t>
        </is>
      </c>
    </row>
    <row r="60">
      <c r="A60" t="inlineStr">
        <is>
          <t>☐</t>
        </is>
      </c>
      <c r="B60" t="inlineStr">
        <is>
          <t>SLA credits/penalties defined for breaches</t>
        </is>
      </c>
      <c r="C60" s="15" t="inlineStr"/>
      <c r="D60" t="inlineStr">
        <is>
          <t>SLA terms</t>
        </is>
      </c>
    </row>
    <row r="61">
      <c r="A61" t="inlineStr">
        <is>
          <t>☐</t>
        </is>
      </c>
      <c r="B61" t="inlineStr">
        <is>
          <t>Support response times defined by severity</t>
        </is>
      </c>
      <c r="C61" s="15" t="inlineStr"/>
      <c r="D61" t="inlineStr">
        <is>
          <t>Support matrix</t>
        </is>
      </c>
    </row>
    <row r="62">
      <c r="A62" t="inlineStr">
        <is>
          <t>☐</t>
        </is>
      </c>
      <c r="B62" t="inlineStr">
        <is>
          <t>Incident escalation path documented</t>
        </is>
      </c>
      <c r="C62" s="15" t="inlineStr"/>
      <c r="D62" t="inlineStr">
        <is>
          <t>Support procedures</t>
        </is>
      </c>
    </row>
    <row r="63">
      <c r="A63" t="inlineStr">
        <is>
          <t>☐</t>
        </is>
      </c>
      <c r="B63" t="inlineStr">
        <is>
          <t>Planned maintenance notification requirements</t>
        </is>
      </c>
      <c r="C63" s="15" t="inlineStr"/>
      <c r="D63" t="inlineStr">
        <is>
          <t>SLA terms</t>
        </is>
      </c>
    </row>
    <row r="64">
      <c r="A64" t="inlineStr">
        <is>
          <t>☐</t>
        </is>
      </c>
      <c r="B64" t="inlineStr">
        <is>
          <t>Performance metrics reporting frequency defined</t>
        </is>
      </c>
      <c r="C64" s="15" t="inlineStr"/>
      <c r="D64" t="inlineStr">
        <is>
          <t>SLA reporting</t>
        </is>
      </c>
    </row>
    <row r="65">
      <c r="A65" t="inlineStr">
        <is>
          <t>☐</t>
        </is>
      </c>
      <c r="B65" t="inlineStr">
        <is>
          <t>SLA review cadence established (quarterly/annual)</t>
        </is>
      </c>
      <c r="C65" s="15" t="inlineStr"/>
      <c r="D65" t="inlineStr">
        <is>
          <t>Contract terms</t>
        </is>
      </c>
    </row>
    <row r="66">
      <c r="A66" t="inlineStr">
        <is>
          <t>☐</t>
        </is>
      </c>
      <c r="B66" t="inlineStr">
        <is>
          <t>Historical SLA performance reviewed</t>
        </is>
      </c>
      <c r="C66" s="15" t="inlineStr"/>
      <c r="D66" t="inlineStr">
        <is>
          <t>Vendor reports</t>
        </is>
      </c>
    </row>
  </sheetData>
  <mergeCells count="3">
    <mergeCell ref="A2:X2"/>
    <mergeCell ref="A57:D57"/>
    <mergeCell ref="A1:X1"/>
  </mergeCells>
  <dataValidations count="7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2" customWidth="1" min="18" max="18"/>
    <col width="20" customWidth="1" min="19" max="19"/>
    <col width="22" customWidth="1" min="20" max="20"/>
    <col width="22" customWidth="1" min="21" max="21"/>
    <col width="18" customWidth="1" min="22" max="22"/>
    <col width="20" customWidth="1" min="23" max="23"/>
    <col width="30" customWidth="1" min="24" max="24"/>
  </cols>
  <sheetData>
    <row r="1" ht="35" customHeight="1">
      <c r="A1" s="11" t="inlineStr">
        <is>
          <t>DATA SOVEREIGNTY &amp; COMPLIANCE
Policy Requirement: Vendor data processing locations must comply with organisational data residency requirements (Policy S2 Section 3.4)</t>
        </is>
      </c>
    </row>
    <row r="2" ht="30" customHeight="1">
      <c r="A2" s="12" t="inlineStr">
        <is>
          <t>Assessment Question: Do vendors comply with data sovereignty and regulatory requirements for your data?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Data Processing Region</t>
        </is>
      </c>
      <c r="S3" s="13" t="inlineStr">
        <is>
          <t>Data Residency Verified</t>
        </is>
      </c>
      <c r="T3" s="13" t="inlineStr">
        <is>
          <t>Standard Contractual Clauses</t>
        </is>
      </c>
      <c r="U3" s="13" t="inlineStr">
        <is>
          <t>Data Transfer Mechanism</t>
        </is>
      </c>
      <c r="V3" s="13" t="inlineStr">
        <is>
          <t>GDPR Compliance</t>
        </is>
      </c>
      <c r="W3" s="13" t="inlineStr">
        <is>
          <t>Swiss nFADP Compliance</t>
        </is>
      </c>
      <c r="X3" s="13" t="inlineStr">
        <is>
          <t>Regulatory Framework</t>
        </is>
      </c>
    </row>
    <row r="4">
      <c r="A4" s="14" t="inlineStr">
        <is>
          <t>SOV-001</t>
        </is>
      </c>
      <c r="B4" s="14" t="inlineStr">
        <is>
          <t>Data Sovereignty Assessment</t>
        </is>
      </c>
      <c r="C4" s="14" t="inlineStr">
        <is>
          <t>Microsoft Azure</t>
        </is>
      </c>
      <c r="D4" s="14" t="inlineStr">
        <is>
          <t>Critical</t>
        </is>
      </c>
      <c r="E4" s="14" t="inlineStr">
        <is>
          <t>Confidential</t>
        </is>
      </c>
      <c r="F4" s="14" t="inlineStr">
        <is>
          <t>Annual</t>
        </is>
      </c>
      <c r="G4" s="14" t="inlineStr">
        <is>
          <t>SaaS</t>
        </is>
      </c>
      <c r="H4" s="14" t="inlineStr">
        <is>
          <t>Compliant</t>
        </is>
      </c>
      <c r="I4" s="14" t="inlineStr">
        <is>
          <t>DPO</t>
        </is>
      </c>
      <c r="J4" s="14" t="inlineStr">
        <is>
          <t>DPA + Data Residency Confirmation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Data processing locations documented</t>
        </is>
      </c>
      <c r="C59" s="15" t="inlineStr"/>
      <c r="D59" t="inlineStr">
        <is>
          <t>DPA, vendor docs</t>
        </is>
      </c>
    </row>
    <row r="60">
      <c r="A60" t="inlineStr">
        <is>
          <t>☐</t>
        </is>
      </c>
      <c r="B60" t="inlineStr">
        <is>
          <t>Data residency meets regulatory requirements</t>
        </is>
      </c>
      <c r="C60" s="15" t="inlineStr"/>
      <c r="D60" t="inlineStr">
        <is>
          <t>Compliance review</t>
        </is>
      </c>
    </row>
    <row r="61">
      <c r="A61" t="inlineStr">
        <is>
          <t>☐</t>
        </is>
      </c>
      <c r="B61" t="inlineStr">
        <is>
          <t>Standard Contractual Clauses (SCCs) in place</t>
        </is>
      </c>
      <c r="C61" s="15" t="inlineStr"/>
      <c r="D61" t="inlineStr">
        <is>
          <t>DPA annex</t>
        </is>
      </c>
    </row>
    <row r="62">
      <c r="A62" t="inlineStr">
        <is>
          <t>☐</t>
        </is>
      </c>
      <c r="B62" t="inlineStr">
        <is>
          <t>Transfer Impact Assessment completed</t>
        </is>
      </c>
      <c r="C62" s="15" t="inlineStr"/>
      <c r="D62" t="inlineStr">
        <is>
          <t>TIA document</t>
        </is>
      </c>
    </row>
    <row r="63">
      <c r="A63" t="inlineStr">
        <is>
          <t>☐</t>
        </is>
      </c>
      <c r="B63" t="inlineStr">
        <is>
          <t>GDPR compliance verified</t>
        </is>
      </c>
      <c r="C63" s="15" t="inlineStr"/>
      <c r="D63" t="inlineStr">
        <is>
          <t>Compliance attestation</t>
        </is>
      </c>
    </row>
    <row r="64">
      <c r="A64" t="inlineStr">
        <is>
          <t>☐</t>
        </is>
      </c>
      <c r="B64" t="inlineStr">
        <is>
          <t>Swiss nFADP compliance verified</t>
        </is>
      </c>
      <c r="C64" s="15" t="inlineStr"/>
      <c r="D64" t="inlineStr">
        <is>
          <t>Compliance attestation</t>
        </is>
      </c>
    </row>
    <row r="65">
      <c r="A65" t="inlineStr">
        <is>
          <t>☐</t>
        </is>
      </c>
      <c r="B65" t="inlineStr">
        <is>
          <t>Restricted data not processed outside approved regions</t>
        </is>
      </c>
      <c r="C65" s="15" t="inlineStr"/>
      <c r="D65" t="inlineStr">
        <is>
          <t>Data mapping</t>
        </is>
      </c>
    </row>
    <row r="66">
      <c r="A66" t="inlineStr">
        <is>
          <t>☐</t>
        </is>
      </c>
      <c r="B66" t="inlineStr">
        <is>
          <t>Sub-processor locations reviewed and approved</t>
        </is>
      </c>
      <c r="C66" s="15" t="inlineStr"/>
      <c r="D66" t="inlineStr">
        <is>
          <t>Sub-processor list</t>
        </is>
      </c>
    </row>
    <row r="67">
      <c r="A67" t="inlineStr">
        <is>
          <t>☐</t>
        </is>
      </c>
      <c r="B67" t="inlineStr">
        <is>
          <t>Swiss nFADP Transfer Impact Assessment completed for transfers to non-adequate countries (beyond EU adequacy)</t>
        </is>
      </c>
      <c r="C67" s="15" t="inlineStr"/>
      <c r="D67" t="inlineStr">
        <is>
          <t>TIA document, legal counsel sign-off</t>
        </is>
      </c>
    </row>
  </sheetData>
  <mergeCells count="3">
    <mergeCell ref="A2:X2"/>
    <mergeCell ref="A57:D57"/>
    <mergeCell ref="A1:X1"/>
  </mergeCells>
  <dataValidations count="12">
    <dataValidation sqref="R4:R54" showDropDown="0" showInputMessage="0" showErrorMessage="0" allowBlank="0" type="list">
      <formula1>"Switzerland,EU/EEA,USA,Asia-Pacific,Global,Unknown"</formula1>
    </dataValidation>
    <dataValidation sqref="S4:S54" showDropDown="0" showInputMessage="0" showErrorMessage="0" allowBlank="0" type="list">
      <formula1>"Yes (Contractual),Yes (Technical),No,Unknown"</formula1>
    </dataValidation>
    <dataValidation sqref="T4:T54" showDropDown="0" showInputMessage="0" showErrorMessage="0" allowBlank="0" type="list">
      <formula1>"Yes (EU SCC),Yes (Swiss SCC),Yes (Other),No,N/A"</formula1>
    </dataValidation>
    <dataValidation sqref="U4:U54" showDropDown="0" showInputMessage="0" showErrorMessage="0" allowBlank="0" type="list">
      <formula1>"Adequacy Decision,SCC,BCR,Derogations,None"</formula1>
    </dataValidation>
    <dataValidation sqref="V4:V54 W4:W54" showDropDown="0" showInputMessage="0" showErrorMessage="0" allowBlank="0" type="list">
      <formula1>"Yes (Certified),Yes (Self-Assessed),No,N/A"</formula1>
    </dataValidation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 C67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18" customWidth="1" min="20" max="20"/>
    <col width="18" customWidth="1" min="21" max="21"/>
    <col width="22" customWidth="1" min="22" max="22"/>
    <col width="20" customWidth="1" min="23" max="23"/>
    <col width="18" customWidth="1" min="24" max="24"/>
  </cols>
  <sheetData>
    <row r="1" ht="35" customHeight="1">
      <c r="A1" s="11" t="inlineStr">
        <is>
          <t>FORENSICS, AUDIT RIGHTS &amp; INCIDENT RESPONSE
Policy Requirement: Vendors must support forensic investigations and grant audit rights (Policy S2 Section 3.5)</t>
        </is>
      </c>
    </row>
    <row r="2" ht="30" customHeight="1">
      <c r="A2" s="12" t="inlineStr">
        <is>
          <t>Assessment Question: Do vendors provide forensic capabilities, audit rights, and incident response support?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Forensics Support</t>
        </is>
      </c>
      <c r="S3" s="13" t="inlineStr">
        <is>
          <t>Forensics SLA</t>
        </is>
      </c>
      <c r="T3" s="13" t="inlineStr">
        <is>
          <t>Right to Audit</t>
        </is>
      </c>
      <c r="U3" s="13" t="inlineStr">
        <is>
          <t>Audit Notice Period</t>
        </is>
      </c>
      <c r="V3" s="13" t="inlineStr">
        <is>
          <t>Incident Notification SLA</t>
        </is>
      </c>
      <c r="W3" s="13" t="inlineStr">
        <is>
          <t>Breach Notification</t>
        </is>
      </c>
      <c r="X3" s="13" t="inlineStr">
        <is>
          <t>IR Playbook Provided</t>
        </is>
      </c>
    </row>
    <row r="4">
      <c r="A4" s="14" t="inlineStr">
        <is>
          <t>FOR-001</t>
        </is>
      </c>
      <c r="B4" s="14" t="inlineStr">
        <is>
          <t>Forensics &amp; Audit Access Review</t>
        </is>
      </c>
      <c r="C4" s="14" t="inlineStr">
        <is>
          <t>AWS</t>
        </is>
      </c>
      <c r="D4" s="14" t="inlineStr">
        <is>
          <t>High</t>
        </is>
      </c>
      <c r="E4" s="14" t="inlineStr">
        <is>
          <t>Internal</t>
        </is>
      </c>
      <c r="F4" s="14" t="inlineStr">
        <is>
          <t>Annual</t>
        </is>
      </c>
      <c r="G4" s="14" t="inlineStr">
        <is>
          <t>IaaS</t>
        </is>
      </c>
      <c r="H4" s="14" t="inlineStr">
        <is>
          <t>Compliant</t>
        </is>
      </c>
      <c r="I4" s="14" t="inlineStr">
        <is>
          <t>Security Team</t>
        </is>
      </c>
      <c r="J4" s="14" t="inlineStr">
        <is>
          <t>Audit agreement + IR playbook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Forensics support verified for critical/high services</t>
        </is>
      </c>
      <c r="C59" s="15" t="inlineStr"/>
      <c r="D59" t="inlineStr">
        <is>
          <t>Vendor capability</t>
        </is>
      </c>
    </row>
    <row r="60">
      <c r="A60" t="inlineStr">
        <is>
          <t>☐</t>
        </is>
      </c>
      <c r="B60" t="inlineStr">
        <is>
          <t>Forensics SLA documented (log retention, data export)</t>
        </is>
      </c>
      <c r="C60" s="15" t="inlineStr"/>
      <c r="D60" t="inlineStr">
        <is>
          <t>IR annex</t>
        </is>
      </c>
    </row>
    <row r="61">
      <c r="A61" t="inlineStr">
        <is>
          <t>☐</t>
        </is>
      </c>
      <c r="B61" t="inlineStr">
        <is>
          <t>Right to audit clause in contract</t>
        </is>
      </c>
      <c r="C61" s="15" t="inlineStr"/>
      <c r="D61" t="inlineStr">
        <is>
          <t>Contract clause</t>
        </is>
      </c>
    </row>
    <row r="62">
      <c r="A62" t="inlineStr">
        <is>
          <t>☐</t>
        </is>
      </c>
      <c r="B62" t="inlineStr">
        <is>
          <t>Audit notice period ≤30 days for critical services</t>
        </is>
      </c>
      <c r="C62" s="15" t="inlineStr"/>
      <c r="D62" t="inlineStr">
        <is>
          <t>Audit terms</t>
        </is>
      </c>
    </row>
    <row r="63">
      <c r="A63" t="inlineStr">
        <is>
          <t>☐</t>
        </is>
      </c>
      <c r="B63" t="inlineStr">
        <is>
          <t>Incident notification SLA ≤24 hours</t>
        </is>
      </c>
      <c r="C63" s="15" t="inlineStr"/>
      <c r="D63" t="inlineStr">
        <is>
          <t>Incident SLA</t>
        </is>
      </c>
    </row>
    <row r="64">
      <c r="A64" t="inlineStr">
        <is>
          <t>☐</t>
        </is>
      </c>
      <c r="B64" t="inlineStr">
        <is>
          <t>Breach notification meets GDPR 72-hour requirement</t>
        </is>
      </c>
      <c r="C64" s="15" t="inlineStr"/>
      <c r="D64" t="inlineStr">
        <is>
          <t>Breach clause</t>
        </is>
      </c>
    </row>
    <row r="65">
      <c r="A65" t="inlineStr">
        <is>
          <t>☐</t>
        </is>
      </c>
      <c r="B65" t="inlineStr">
        <is>
          <t>Incident response playbook obtained and reviewed</t>
        </is>
      </c>
      <c r="C65" s="15" t="inlineStr"/>
      <c r="D65" t="inlineStr">
        <is>
          <t>IR playbook</t>
        </is>
      </c>
    </row>
    <row r="66">
      <c r="A66" t="inlineStr">
        <is>
          <t>☐</t>
        </is>
      </c>
      <c r="B66" t="inlineStr">
        <is>
          <t>Vendor participates in tabletop exercises (if critical)</t>
        </is>
      </c>
      <c r="C66" s="15" t="inlineStr"/>
      <c r="D66" t="inlineStr">
        <is>
          <t>Exercise records</t>
        </is>
      </c>
    </row>
  </sheetData>
  <mergeCells count="3">
    <mergeCell ref="A2:X2"/>
    <mergeCell ref="A57:D57"/>
    <mergeCell ref="A1:X1"/>
  </mergeCells>
  <dataValidations count="13">
    <dataValidation sqref="R4:R54" showDropDown="0" showInputMessage="0" showErrorMessage="0" allowBlank="0" type="list">
      <formula1>"Yes (Full),Yes (Limited),No,Unknown"</formula1>
    </dataValidation>
    <dataValidation sqref="T4:T54" showDropDown="0" showInputMessage="0" showErrorMessage="0" allowBlank="0" type="list">
      <formula1>"Yes (Unrestricted),Yes (With Notice),No"</formula1>
    </dataValidation>
    <dataValidation sqref="U4:U54" showDropDown="0" showInputMessage="0" showErrorMessage="0" allowBlank="0" type="list">
      <formula1>"No Notice,≤7 days,8-30 days,&gt;30 days,N/A"</formula1>
    </dataValidation>
    <dataValidation sqref="V4:V54" showDropDown="0" showInputMessage="0" showErrorMessage="0" allowBlank="0" type="list">
      <formula1>"&lt;1 hour,1-4 hours,4-24 hours,&gt;24 hours,None"</formula1>
    </dataValidation>
    <dataValidation sqref="W4:W54" showDropDown="0" showInputMessage="0" showErrorMessage="0" allowBlank="0" type="list">
      <formula1>"Yes (72 hours),Yes (Custom),No,Unknown"</formula1>
    </dataValidation>
    <dataValidation sqref="X4:X54" showDropDown="0" showInputMessage="0" showErrorMessage="0" allowBlank="0" type="list">
      <formula1>"Yes,No,Upon Request"</formula1>
    </dataValidation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35" customHeight="1">
      <c r="A1" s="11" t="inlineStr">
        <is>
          <t>JURISDICTIONAL RISK ASSESSMENT
CLOUD Act, Data Sovereignty, and Cross-Border Transfer Analysis</t>
        </is>
      </c>
    </row>
    <row r="2" ht="30" customHeight="1">
      <c r="A2" s="12" t="inlineStr">
        <is>
          <t>Policy Requirement: Assess jurisdictional risks for all cloud providers, particularly US-headquartered providers subject to CLOUD Act (Policy S5 Section 4)</t>
        </is>
      </c>
    </row>
    <row r="3">
      <c r="A3" s="17" t="inlineStr">
        <is>
          <t>⚠ US-headquartered providers (or providers with US parent companies) may be compelled to disclose data under CLOUD Act regardless of data location. Assess and document mitigations.</t>
        </is>
      </c>
    </row>
    <row r="5">
      <c r="A5" s="13" t="inlineStr">
        <is>
          <t>Assessment ID</t>
        </is>
      </c>
      <c r="B5" s="13" t="inlineStr">
        <is>
          <t>Cloud Service Name</t>
        </is>
      </c>
      <c r="C5" s="13" t="inlineStr">
        <is>
          <t>Provider Name</t>
        </is>
      </c>
      <c r="D5" s="13" t="inlineStr">
        <is>
          <t>Provider HQ Country</t>
        </is>
      </c>
      <c r="E5" s="13" t="inlineStr">
        <is>
          <t>Provider HQ Jurisdiction</t>
        </is>
      </c>
      <c r="F5" s="13" t="inlineStr">
        <is>
          <t>US Parent Company</t>
        </is>
      </c>
      <c r="G5" s="13" t="inlineStr">
        <is>
          <t>CLOUD Act Applicability</t>
        </is>
      </c>
      <c r="H5" s="13" t="inlineStr">
        <is>
          <t>Data Processing Locations</t>
        </is>
      </c>
      <c r="I5" s="13" t="inlineStr">
        <is>
          <t>EU Data Boundary Available</t>
        </is>
      </c>
      <c r="J5" s="13" t="inlineStr">
        <is>
          <t>Customer Managed Keys</t>
        </is>
      </c>
      <c r="K5" s="13" t="inlineStr">
        <is>
          <t>Legal Challenge Commitment</t>
        </is>
      </c>
      <c r="L5" s="13" t="inlineStr">
        <is>
          <t>Adequacy Decision Status</t>
        </is>
      </c>
      <c r="M5" s="13" t="inlineStr">
        <is>
          <t>Transfer Mechanism</t>
        </is>
      </c>
      <c r="N5" s="13" t="inlineStr">
        <is>
          <t>Risk Level</t>
        </is>
      </c>
      <c r="O5" s="13" t="inlineStr">
        <is>
          <t>Risk Accepted By</t>
        </is>
      </c>
      <c r="P5" s="13" t="inlineStr">
        <is>
          <t>Risk Acceptance Date</t>
        </is>
      </c>
      <c r="Q5" s="13" t="inlineStr">
        <is>
          <t>Compensating Controls</t>
        </is>
      </c>
      <c r="R5" s="13" t="inlineStr">
        <is>
          <t>Review Date</t>
        </is>
      </c>
      <c r="S5" s="13" t="inlineStr">
        <is>
          <t>Evidence Reference</t>
        </is>
      </c>
      <c r="T5" s="13" t="inlineStr">
        <is>
          <t>Notes</t>
        </is>
      </c>
    </row>
    <row r="7">
      <c r="A7" s="14" t="inlineStr">
        <is>
          <t>JRA-001</t>
        </is>
      </c>
      <c r="B7" s="14" t="inlineStr">
        <is>
          <t>Microsoft 365</t>
        </is>
      </c>
      <c r="C7" s="14" t="inlineStr">
        <is>
          <t>Microsoft Corporation</t>
        </is>
      </c>
      <c r="D7" s="14" t="inlineStr">
        <is>
          <t>United States</t>
        </is>
      </c>
      <c r="E7" s="14" t="inlineStr">
        <is>
          <t>United States</t>
        </is>
      </c>
      <c r="F7" s="14" t="inlineStr">
        <is>
          <t>No</t>
        </is>
      </c>
      <c r="G7" s="14" t="inlineStr">
        <is>
          <t>Mitigated (EU Data Boundary)</t>
        </is>
      </c>
      <c r="H7" s="14" t="inlineStr">
        <is>
          <t>EU, Switzerland (EU Data Boundary enabled)</t>
        </is>
      </c>
      <c r="I7" s="14" t="inlineStr">
        <is>
          <t>Yes</t>
        </is>
      </c>
      <c r="J7" s="14" t="inlineStr">
        <is>
          <t>Yes</t>
        </is>
      </c>
      <c r="K7" s="14" t="inlineStr">
        <is>
          <t>Yes</t>
        </is>
      </c>
      <c r="L7" s="14" t="inlineStr">
        <is>
          <t>Adequacy Decision (Swiss-US DPF)</t>
        </is>
      </c>
      <c r="M7" s="14" t="inlineStr">
        <is>
          <t>SCCs</t>
        </is>
      </c>
      <c r="N7" s="14" t="inlineStr">
        <is>
          <t>Medium</t>
        </is>
      </c>
      <c r="O7" s="14" t="inlineStr">
        <is>
          <t>CISO</t>
        </is>
      </c>
      <c r="P7" s="14" t="inlineStr">
        <is>
          <t>2025-01-15</t>
        </is>
      </c>
      <c r="Q7" s="14" t="inlineStr">
        <is>
          <t>EU Data Boundary + Customer Lockbox</t>
        </is>
      </c>
      <c r="R7" s="14" t="inlineStr">
        <is>
          <t>2025-07-01</t>
        </is>
      </c>
      <c r="S7" s="14" t="inlineStr">
        <is>
          <t>EV-JRA-001</t>
        </is>
      </c>
      <c r="T7" s="14" t="inlineStr">
        <is>
          <t>Example entry - delete or overwrite</t>
        </is>
      </c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</row>
    <row r="55">
      <c r="A55" s="15" t="inlineStr"/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</row>
    <row r="56">
      <c r="A56" s="15" t="inlineStr"/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</row>
    <row r="57">
      <c r="A57" s="15" t="inlineStr"/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</row>
    <row r="60">
      <c r="A60" s="16" t="inlineStr">
        <is>
          <t>JURISDICTIONAL RISK CHECKLIST</t>
        </is>
      </c>
    </row>
    <row r="61">
      <c r="A61" s="13" t="inlineStr">
        <is>
          <t>☐</t>
        </is>
      </c>
      <c r="B61" s="13" t="inlineStr">
        <is>
          <t>Requirement</t>
        </is>
      </c>
      <c r="C61" s="13" t="inlineStr">
        <is>
          <t>Status</t>
        </is>
      </c>
      <c r="D61" s="13" t="inlineStr">
        <is>
          <t>Evidence Type</t>
        </is>
      </c>
    </row>
    <row r="62">
      <c r="A62" t="inlineStr">
        <is>
          <t>☐</t>
        </is>
      </c>
      <c r="B62" t="inlineStr">
        <is>
          <t>Provider HQ jurisdiction identified and documented</t>
        </is>
      </c>
      <c r="C62" s="15" t="inlineStr"/>
      <c r="D62" t="inlineStr">
        <is>
          <t>Vendor documentation</t>
        </is>
      </c>
    </row>
    <row r="63">
      <c r="A63" t="inlineStr">
        <is>
          <t>☐</t>
        </is>
      </c>
      <c r="B63" t="inlineStr">
        <is>
          <t>US parent company status verified</t>
        </is>
      </c>
      <c r="C63" s="15" t="inlineStr"/>
      <c r="D63" t="inlineStr">
        <is>
          <t>Corporate structure review</t>
        </is>
      </c>
    </row>
    <row r="64">
      <c r="A64" t="inlineStr">
        <is>
          <t>☐</t>
        </is>
      </c>
      <c r="B64" t="inlineStr">
        <is>
          <t>CLOUD Act exposure assessed for US-nexus providers</t>
        </is>
      </c>
      <c r="C64" s="15" t="inlineStr"/>
      <c r="D64" t="inlineStr">
        <is>
          <t>Legal review</t>
        </is>
      </c>
    </row>
    <row r="65">
      <c r="A65" t="inlineStr">
        <is>
          <t>☐</t>
        </is>
      </c>
      <c r="B65" t="inlineStr">
        <is>
          <t>Data processing locations documented in DPA</t>
        </is>
      </c>
      <c r="C65" s="15" t="inlineStr"/>
      <c r="D65" t="inlineStr">
        <is>
          <t>DPA review</t>
        </is>
      </c>
    </row>
    <row r="66">
      <c r="A66" t="inlineStr">
        <is>
          <t>☐</t>
        </is>
      </c>
      <c r="B66" t="inlineStr">
        <is>
          <t>EU Data Boundary availability checked</t>
        </is>
      </c>
      <c r="C66" s="15" t="inlineStr"/>
      <c r="D66" t="inlineStr">
        <is>
          <t>Vendor announcement/docs</t>
        </is>
      </c>
    </row>
    <row r="67">
      <c r="A67" t="inlineStr">
        <is>
          <t>☐</t>
        </is>
      </c>
      <c r="B67" t="inlineStr">
        <is>
          <t>Customer-managed encryption keys option evaluated</t>
        </is>
      </c>
      <c r="C67" s="15" t="inlineStr"/>
      <c r="D67" t="inlineStr">
        <is>
          <t>Technical documentation</t>
        </is>
      </c>
    </row>
    <row r="68">
      <c r="A68" t="inlineStr">
        <is>
          <t>☐</t>
        </is>
      </c>
      <c r="B68" t="inlineStr">
        <is>
          <t>Legal challenge commitment verified</t>
        </is>
      </c>
      <c r="C68" s="15" t="inlineStr"/>
      <c r="D68" t="inlineStr">
        <is>
          <t>Contract/Public statement</t>
        </is>
      </c>
    </row>
    <row r="69">
      <c r="A69" t="inlineStr">
        <is>
          <t>☐</t>
        </is>
      </c>
      <c r="B69" t="inlineStr">
        <is>
          <t>Transfer mechanism documented (SCCs, BCRs, etc.)</t>
        </is>
      </c>
      <c r="C69" s="15" t="inlineStr"/>
      <c r="D69" t="inlineStr">
        <is>
          <t>DPA</t>
        </is>
      </c>
    </row>
    <row r="70">
      <c r="A70" t="inlineStr">
        <is>
          <t>☐</t>
        </is>
      </c>
      <c r="B70" t="inlineStr">
        <is>
          <t>Risk acceptance recorded if residual risk remains</t>
        </is>
      </c>
      <c r="C70" s="15" t="inlineStr"/>
      <c r="D70" t="inlineStr">
        <is>
          <t>Risk register</t>
        </is>
      </c>
    </row>
    <row r="71">
      <c r="A71" t="inlineStr">
        <is>
          <t>☐</t>
        </is>
      </c>
      <c r="B71" t="inlineStr">
        <is>
          <t>Compensating controls documented for high-risk providers</t>
        </is>
      </c>
      <c r="C71" s="15" t="inlineStr"/>
      <c r="D71" t="inlineStr">
        <is>
          <t>Control documentation</t>
        </is>
      </c>
    </row>
    <row r="74">
      <c r="A74" s="16" t="inlineStr">
        <is>
          <t>CLOUD ACT MITIGATION STRATEGIES (Reference)</t>
        </is>
      </c>
    </row>
    <row r="75">
      <c r="A75" s="18" t="inlineStr">
        <is>
          <t>• Technical:</t>
        </is>
      </c>
      <c r="B75" t="inlineStr">
        <is>
          <t>EU Data Boundary, Customer-managed encryption keys, Confidential Computing</t>
        </is>
      </c>
    </row>
    <row r="76">
      <c r="A76" s="18" t="inlineStr">
        <is>
          <t>• Contractual:</t>
        </is>
      </c>
      <c r="B76" t="inlineStr">
        <is>
          <t>Legal challenge commitment, Data disclosure notification, SCCs with supplementary measures</t>
        </is>
      </c>
    </row>
    <row r="77">
      <c r="A77" s="18" t="inlineStr">
        <is>
          <t>• Organisational:</t>
        </is>
      </c>
      <c r="B77" t="inlineStr">
        <is>
          <t>Risk acceptance by CISO/DPO, Documented risk assessment, Regular review cycle</t>
        </is>
      </c>
    </row>
    <row r="78">
      <c r="A78" s="18" t="inlineStr">
        <is>
          <t>• Alternative:</t>
        </is>
      </c>
      <c r="B78" t="inlineStr">
        <is>
          <t>Consider EU-headquartered alternatives for highest-risk data categories</t>
        </is>
      </c>
    </row>
  </sheetData>
  <mergeCells count="8">
    <mergeCell ref="A1:T1"/>
    <mergeCell ref="B75:E75"/>
    <mergeCell ref="A3:T3"/>
    <mergeCell ref="B78:E78"/>
    <mergeCell ref="B77:E77"/>
    <mergeCell ref="A2:T2"/>
    <mergeCell ref="A60:D60"/>
    <mergeCell ref="B76:E76"/>
  </mergeCells>
  <dataValidations count="8">
    <dataValidation sqref="C62 C63 C64 C65 C66 C67 C68 C69 C70 C71" showDropDown="0" showInputMessage="0" showErrorMessage="0" allowBlank="1" type="list">
      <formula1>"✅,"⚠","❌",N/A"</formula1>
    </dataValidation>
    <dataValidation sqref="E7:E57" showDropDown="0" showInputMessage="0" showErrorMessage="0" allowBlank="0" type="list">
      <formula1>"Switzerland,EU/EEA,United Kingdom,United States,Other Adequate Country,Non-Adequate Country"</formula1>
    </dataValidation>
    <dataValidation sqref="G7:G57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F7:F57" showDropDown="0" showInputMessage="0" showErrorMessage="0" allowBlank="0" type="list">
      <formula1>"Yes,No,Unknown"</formula1>
    </dataValidation>
    <dataValidation sqref="K7:K57" showDropDown="0" showInputMessage="0" showErrorMessage="0" allowBlank="0" type="list">
      <formula1>"Yes,No,Partial,Unknown"</formula1>
    </dataValidation>
    <dataValidation sqref="I7:I57 J7:J57" showDropDown="0" showInputMessage="0" showErrorMessage="0" allowBlank="0" type="list">
      <formula1>"Yes,No,Planned"</formula1>
    </dataValidation>
    <dataValidation sqref="M7:M57" showDropDown="0" showInputMessage="0" showErrorMessage="0" allowBlank="0" type="list">
      <formula1>"SCCs,BCRs,Adequacy Decision,None,N/A"</formula1>
    </dataValidation>
    <dataValidation sqref="N7:N57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40" customWidth="1" min="4" max="4"/>
    <col width="40" customWidth="1" min="5" max="5"/>
    <col width="16" customWidth="1" min="6" max="6"/>
    <col width="20" customWidth="1" min="7" max="7"/>
    <col width="15" customWidth="1" min="8" max="8"/>
  </cols>
  <sheetData>
    <row r="1" ht="35" customHeight="1">
      <c r="A1" s="19" t="inlineStr">
        <is>
          <t>EVIDENCE REGISTER</t>
        </is>
      </c>
    </row>
    <row r="2">
      <c r="A2" s="20" t="inlineStr">
        <is>
          <t>Record all vendor contracts, certifications, and compliance evidence for this assessment</t>
        </is>
      </c>
    </row>
    <row r="4">
      <c r="A4" s="21" t="inlineStr">
        <is>
          <t>Evidence ID</t>
        </is>
      </c>
      <c r="B4" s="21" t="inlineStr">
        <is>
          <t>Vendor Name</t>
        </is>
      </c>
      <c r="C4" s="21" t="inlineStr">
        <is>
          <t>Evidence Type</t>
        </is>
      </c>
      <c r="D4" s="21" t="inlineStr">
        <is>
          <t>Description</t>
        </is>
      </c>
      <c r="E4" s="21" t="inlineStr">
        <is>
          <t>Location/Path</t>
        </is>
      </c>
      <c r="F4" s="21" t="inlineStr">
        <is>
          <t>Date Collected</t>
        </is>
      </c>
      <c r="G4" s="21" t="inlineStr">
        <is>
          <t>Collected By</t>
        </is>
      </c>
      <c r="H4" s="21" t="inlineStr">
        <is>
          <t>Status</t>
        </is>
      </c>
    </row>
    <row r="5">
      <c r="A5" s="22" t="inlineStr">
        <is>
          <t>EV-001</t>
        </is>
      </c>
      <c r="B5" s="22" t="inlineStr">
        <is>
          <t>Cloudflare Ltd</t>
        </is>
      </c>
      <c r="C5" s="22" t="inlineStr">
        <is>
          <t>Contract (DPA)</t>
        </is>
      </c>
      <c r="D5" s="22" t="inlineStr">
        <is>
          <t>Data Processing Agreement for CDN/DNS services</t>
        </is>
      </c>
      <c r="E5" s="22" t="inlineStr">
        <is>
          <t>/evidence/contracts/cloudflare-dpa-2026.pdf</t>
        </is>
      </c>
      <c r="F5" s="22" t="inlineStr">
        <is>
          <t>15.01.2026</t>
        </is>
      </c>
      <c r="G5" s="22" t="inlineStr">
        <is>
          <t>Security Team</t>
        </is>
      </c>
      <c r="H5" s="22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1" t="inlineStr">
        <is>
          <t>VENDOR DUE DILIGENCE — SUMMARY DASHBOARD</t>
        </is>
      </c>
    </row>
    <row r="2">
      <c r="A2" s="23" t="inlineStr">
        <is>
          <t>ISO/IEC 27001:2022 - Control A.5.19-23: Information Security for Use of Cloud Services</t>
        </is>
      </c>
    </row>
    <row r="3">
      <c r="A3" s="24" t="inlineStr">
        <is>
          <t>TABLE 1: COMPLIANCE SUMMARY BY ASSESSMENT AREA</t>
        </is>
      </c>
    </row>
    <row r="4">
      <c r="A4" s="25" t="inlineStr">
        <is>
          <t>Assessment Area</t>
        </is>
      </c>
      <c r="B4" s="25" t="inlineStr">
        <is>
          <t>Total Vendors</t>
        </is>
      </c>
      <c r="C4" s="25" t="inlineStr">
        <is>
          <t>✅ Compliant</t>
        </is>
      </c>
      <c r="D4" s="25" t="inlineStr">
        <is>
          <t>⚠ Partial</t>
        </is>
      </c>
      <c r="E4" s="25" t="inlineStr">
        <is>
          <t>❌ Non-Compliant</t>
        </is>
      </c>
      <c r="F4" s="25" t="inlineStr">
        <is>
          <t>N/A</t>
        </is>
      </c>
      <c r="G4" s="25" t="inlineStr">
        <is>
          <t>Compliance %</t>
        </is>
      </c>
    </row>
    <row r="5">
      <c r="A5" t="inlineStr">
        <is>
          <t>Security Certifications</t>
        </is>
      </c>
      <c r="B5">
        <f>COUNTA('2. Security Certifications'!A5:A80)-COUNTBLANK('2. Security Certifications'!B5:B80)</f>
        <v/>
      </c>
      <c r="C5">
        <f>COUNTIF('2. Security Certifications'!H5:H80,"✅*")</f>
        <v/>
      </c>
      <c r="D5">
        <f>COUNTIF('2. Security Certifications'!H5:H80,"⚠*")</f>
        <v/>
      </c>
      <c r="E5">
        <f>COUNTIF('2. Security Certifications'!H5:H80,"❌*")</f>
        <v/>
      </c>
      <c r="F5">
        <f>COUNTIF('2. Security Certifications'!H5:H80,"N/A")</f>
        <v/>
      </c>
      <c r="G5">
        <f>IF(B5=0,"N/A",ROUND((C5/(B5-F5))*100,1)&amp;"%")</f>
        <v/>
      </c>
    </row>
    <row r="6">
      <c r="A6" t="inlineStr">
        <is>
          <t>Contract Terms</t>
        </is>
      </c>
      <c r="B6">
        <f>COUNTA('3. Contract Terms'!A5:A80)-COUNTBLANK('3. Contract Terms'!B5:B80)</f>
        <v/>
      </c>
      <c r="C6">
        <f>COUNTIF('3. Contract Terms'!H5:H80,"✅*")</f>
        <v/>
      </c>
      <c r="D6">
        <f>COUNTIF('3. Contract Terms'!H5:H80,"⚠*")</f>
        <v/>
      </c>
      <c r="E6">
        <f>COUNTIF('3. Contract Terms'!H5:H80,"❌*")</f>
        <v/>
      </c>
      <c r="F6">
        <f>COUNTIF('3. Contract Terms'!H5:H80,"N/A")</f>
        <v/>
      </c>
      <c r="G6">
        <f>IF(B6=0,"N/A",ROUND((C6/(B6-F6))*100,1)&amp;"%")</f>
        <v/>
      </c>
    </row>
    <row r="7">
      <c r="A7" t="inlineStr">
        <is>
          <t>SLA Performance</t>
        </is>
      </c>
      <c r="B7">
        <f>COUNTA('4. SLA Performance'!A5:A80)-COUNTBLANK('4. SLA Performance'!B5:B80)</f>
        <v/>
      </c>
      <c r="C7">
        <f>COUNTIF('4. SLA Performance'!H5:H80,"✅*")</f>
        <v/>
      </c>
      <c r="D7">
        <f>COUNTIF('4. SLA Performance'!H5:H80,"⚠*")</f>
        <v/>
      </c>
      <c r="E7">
        <f>COUNTIF('4. SLA Performance'!H5:H80,"❌*")</f>
        <v/>
      </c>
      <c r="F7">
        <f>COUNTIF('4. SLA Performance'!H5:H80,"N/A")</f>
        <v/>
      </c>
      <c r="G7">
        <f>IF(B7=0,"N/A",ROUND((C7/(B7-F7))*100,1)&amp;"%")</f>
        <v/>
      </c>
    </row>
    <row r="8">
      <c r="A8" t="inlineStr">
        <is>
          <t>Data Sovereignty</t>
        </is>
      </c>
      <c r="B8">
        <f>COUNTA('5. Data Sovereignty'!A5:A80)-COUNTBLANK('5. Data Sovereignty'!B5:B80)</f>
        <v/>
      </c>
      <c r="C8">
        <f>COUNTIF('5. Data Sovereignty'!H5:H80,"✅*")</f>
        <v/>
      </c>
      <c r="D8">
        <f>COUNTIF('5. Data Sovereignty'!H5:H80,"⚠*")</f>
        <v/>
      </c>
      <c r="E8">
        <f>COUNTIF('5. Data Sovereignty'!H5:H80,"❌*")</f>
        <v/>
      </c>
      <c r="F8">
        <f>COUNTIF('5. Data Sovereignty'!H5:H80,"N/A")</f>
        <v/>
      </c>
      <c r="G8">
        <f>IF(B8=0,"N/A",ROUND((C8/(B8-F8))*100,1)&amp;"%")</f>
        <v/>
      </c>
    </row>
    <row r="9">
      <c r="A9" t="inlineStr">
        <is>
          <t>Forensics &amp; Audit</t>
        </is>
      </c>
      <c r="B9">
        <f>COUNTA('6. Forensics &amp; Audit'!A5:A80)-COUNTBLANK('6. Forensics &amp; Audit'!B5:B80)</f>
        <v/>
      </c>
      <c r="C9">
        <f>COUNTIF('6. Forensics &amp; Audit'!H5:H80,"✅*")</f>
        <v/>
      </c>
      <c r="D9">
        <f>COUNTIF('6. Forensics &amp; Audit'!H5:H80,"⚠*")</f>
        <v/>
      </c>
      <c r="E9">
        <f>COUNTIF('6. Forensics &amp; Audit'!H5:H80,"❌*")</f>
        <v/>
      </c>
      <c r="F9">
        <f>COUNTIF('6. Forensics &amp; Audit'!H5:H80,"N/A")</f>
        <v/>
      </c>
      <c r="G9">
        <f>IF(B9=0,"N/A",ROUND((C9/(B9-F9))*100,1)&amp;"%")</f>
        <v/>
      </c>
    </row>
    <row r="10">
      <c r="A10" t="inlineStr">
        <is>
          <t>Jurisdictional Risk</t>
        </is>
      </c>
      <c r="B10">
        <f>COUNTA('7. Jurisdictional Risk'!A8:A71)-COUNTBLANK('7. Jurisdictional Risk'!B8:B71)</f>
        <v/>
      </c>
      <c r="C10">
        <f>COUNTIF('7. Jurisdictional Risk'!N8:N71,"Low")+COUNTIF('7. Jurisdictional Risk'!N8:N71,"Medium")</f>
        <v/>
      </c>
      <c r="D10">
        <f>COUNTIF('7. Jurisdictional Risk'!N8:N71,"High")</f>
        <v/>
      </c>
      <c r="E10">
        <f>COUNTIF('7. Jurisdictional Risk'!N8:N71,"Critical")</f>
        <v/>
      </c>
      <c r="F10">
        <f>0</f>
        <v/>
      </c>
      <c r="G10">
        <f>IF(B10=0,"N/A",ROUND((C10/(B10-F10))*100,1)&amp;"%")</f>
        <v/>
      </c>
    </row>
    <row r="11">
      <c r="A11" s="18" t="inlineStr">
        <is>
          <t>TOTAL</t>
        </is>
      </c>
      <c r="B11">
        <f>SUM(B5:B10)</f>
        <v/>
      </c>
      <c r="C11">
        <f>SUM(C5:C10)</f>
        <v/>
      </c>
      <c r="D11">
        <f>SUM(D5:D10)</f>
        <v/>
      </c>
      <c r="E11">
        <f>SUM(E5:E10)</f>
        <v/>
      </c>
      <c r="F11">
        <f>SUM(F5:F10)</f>
        <v/>
      </c>
      <c r="G11">
        <f>IF(B11=0,"N/A",ROUND((C11/(B11-F11))*100,1)&amp;"%")</f>
        <v/>
      </c>
    </row>
    <row r="14">
      <c r="A14" s="24" t="inlineStr">
        <is>
          <t>TABLE 2: JURISDICTIONAL &amp; CLOUD ACT RISK SUMMARY</t>
        </is>
      </c>
    </row>
    <row r="16">
      <c r="A16" s="25" t="inlineStr">
        <is>
          <t>Metric</t>
        </is>
      </c>
      <c r="B16" s="25" t="inlineStr">
        <is>
          <t>Count</t>
        </is>
      </c>
      <c r="C16" s="25" t="inlineStr">
        <is>
          <t>Status</t>
        </is>
      </c>
    </row>
    <row r="17">
      <c r="A17" t="inlineStr">
        <is>
          <t>US-HQ Providers (CLOUD Act Scope)</t>
        </is>
      </c>
      <c r="B17">
        <f>COUNTIF('7. Jurisdictional Risk'!E8:E71,"United States")</f>
        <v/>
      </c>
      <c r="C17">
        <f>IF(B17&gt;0,"⚠ Review Required","✅ OK")</f>
        <v/>
      </c>
    </row>
    <row r="18">
      <c r="A18" t="inlineStr">
        <is>
          <t>Providers with US Parent Company</t>
        </is>
      </c>
      <c r="B18">
        <f>COUNTIF('7. Jurisdictional Risk'!F8:F71,"Yes")</f>
        <v/>
      </c>
      <c r="C18">
        <f>IF(B18&gt;0,"⚠ Review Required","✅ OK")</f>
        <v/>
      </c>
    </row>
    <row r="19">
      <c r="A19" t="inlineStr">
        <is>
          <t>CLOUD Act Potential Exposure (Unmitigated)</t>
        </is>
      </c>
      <c r="B19">
        <f>COUNTIF('7. Jurisdictional Risk'!G8:G71,"Potential*")</f>
        <v/>
      </c>
      <c r="C19">
        <f>IF(B19&gt;0,"⚠ Review Required","✅ OK")</f>
        <v/>
      </c>
    </row>
    <row r="20">
      <c r="A20" t="inlineStr">
        <is>
          <t>CLOUD Act Mitigated</t>
        </is>
      </c>
      <c r="B20">
        <f>COUNTIF('7. Jurisdictional Risk'!G8:G71,"Mitigated*")</f>
        <v/>
      </c>
      <c r="C20">
        <f>IF(B20&gt;0,"⚠ Review Required","✅ OK")</f>
        <v/>
      </c>
    </row>
    <row r="21">
      <c r="A21" t="inlineStr">
        <is>
          <t>High/Critical Jurisdictional Risk</t>
        </is>
      </c>
      <c r="B21">
        <f>COUNTIF('7. Jurisdictional Risk'!N8:N71,"High")+COUNTIF('7. Jurisdictional Risk'!N8:N71,"Critical")</f>
        <v/>
      </c>
      <c r="C21">
        <f>IF(B21&gt;0,"⚠ Review Required","✅ OK")</f>
        <v/>
      </c>
    </row>
    <row r="22">
      <c r="A22" t="inlineStr">
        <is>
          <t>Providers Without EU Data Boundary</t>
        </is>
      </c>
      <c r="B22">
        <f>COUNTIF('7. Jurisdictional Risk'!I8:I71,"No")</f>
        <v/>
      </c>
      <c r="C22">
        <f>IF(B22&gt;0,"⚠ Review Required","✅ OK")</f>
        <v/>
      </c>
    </row>
    <row r="23">
      <c r="A23" t="inlineStr">
        <is>
          <t>Providers Without Customer-Managed Keys</t>
        </is>
      </c>
      <c r="B23">
        <f>COUNTIF('7. Jurisdictional Risk'!J8:J71,"No")</f>
        <v/>
      </c>
      <c r="C23">
        <f>IF(B23&gt;0,"⚠ Review Required","✅ OK")</f>
        <v/>
      </c>
    </row>
    <row r="26">
      <c r="A26" s="26" t="inlineStr">
        <is>
          <t>TABLE 3: SECURITY CERTIFICATION STATUS</t>
        </is>
      </c>
    </row>
    <row r="27">
      <c r="A27" s="25" t="inlineStr">
        <is>
          <t>Certification</t>
        </is>
      </c>
      <c r="B27" s="25" t="inlineStr">
        <is>
          <t>Yes (Current)</t>
        </is>
      </c>
      <c r="C27" s="25" t="inlineStr">
        <is>
          <t>Expired/Pending</t>
        </is>
      </c>
      <c r="D27" s="25" t="inlineStr">
        <is>
          <t>No/Unknown</t>
        </is>
      </c>
    </row>
    <row r="28">
      <c r="A28" t="inlineStr">
        <is>
          <t>ISO 27001</t>
        </is>
      </c>
      <c r="B28">
        <f>COUNTIF('2. Security Certifications'!R5:R67,"Yes (Current)")</f>
        <v/>
      </c>
      <c r="C28">
        <f>COUNTIF('2. Security Certifications'!R5:R67,"Yes (Expired)")</f>
        <v/>
      </c>
      <c r="D28">
        <f>COUNTIF('2. Security Certifications'!R5:R67,"No")+COUNTIF('2. Security Certifications'!R5:R67,"Unknown")</f>
        <v/>
      </c>
    </row>
    <row r="29">
      <c r="A29" t="inlineStr">
        <is>
          <t>SOC 2 Type II</t>
        </is>
      </c>
      <c r="B29">
        <f>COUNTIF('2. Security Certifications'!U5:U67,"Yes*")</f>
        <v/>
      </c>
      <c r="C29">
        <f>0</f>
        <v/>
      </c>
      <c r="D29">
        <f>COUNTIF('2. Security Certifications'!U5:U67,"No")+COUNTIF('2. Security Certifications'!U5:U67,"Unknown")</f>
        <v/>
      </c>
    </row>
    <row r="30">
      <c r="A30" t="inlineStr">
        <is>
          <t>FedRAMP</t>
        </is>
      </c>
      <c r="B30">
        <f>COUNTIF('2. Security Certifications'!W5:W67,"Yes*")</f>
        <v/>
      </c>
      <c r="C30">
        <f>0</f>
        <v/>
      </c>
      <c r="D30">
        <f>COUNTIF('2. Security Certifications'!W5:W67,"No")+COUNTIF('2. Security Certifications'!W5:W67,"N/A")</f>
        <v/>
      </c>
    </row>
    <row r="33">
      <c r="A33" s="24" t="inlineStr">
        <is>
          <t>TABLE 4: DATA SOVEREIGNTY RISKS</t>
        </is>
      </c>
    </row>
    <row r="34">
      <c r="A34" s="25" t="inlineStr">
        <is>
          <t>Risk</t>
        </is>
      </c>
      <c r="B34" s="25" t="inlineStr">
        <is>
          <t>Count</t>
        </is>
      </c>
      <c r="C34" s="25" t="inlineStr">
        <is>
          <t>Severity</t>
        </is>
      </c>
    </row>
    <row r="35">
      <c r="A35" t="inlineStr">
        <is>
          <t>Restricted Data Outside Switzerland/EU</t>
        </is>
      </c>
      <c r="B35">
        <f>COUNTIF('5. Data Sovereignty'!R5:R67,"USA")+COUNTIF('5. Data Sovereignty'!R5:R67,"Asia-Pacific")</f>
        <v/>
      </c>
      <c r="C35" s="27" t="inlineStr">
        <is>
          <t>Critical</t>
        </is>
      </c>
    </row>
    <row r="36">
      <c r="A36" t="inlineStr">
        <is>
          <t>Confidential Data Without SCCs</t>
        </is>
      </c>
      <c r="B36">
        <f>COUNTIF('5. Data Sovereignty'!T5:T67,"No")</f>
        <v/>
      </c>
      <c r="C36" s="28" t="inlineStr">
        <is>
          <t>High</t>
        </is>
      </c>
    </row>
    <row r="37">
      <c r="A37" t="inlineStr">
        <is>
          <t>GDPR Compliance Not Verified</t>
        </is>
      </c>
      <c r="B37">
        <f>COUNTIF('5. Data Sovereignty'!V5:V67,"No")+COUNTIF('5. Data Sovereignty'!V5:V67,"N/A")</f>
        <v/>
      </c>
      <c r="C37" s="28" t="inlineStr">
        <is>
          <t>High</t>
        </is>
      </c>
    </row>
  </sheetData>
  <mergeCells count="6">
    <mergeCell ref="A14:G14"/>
    <mergeCell ref="A1:G1"/>
    <mergeCell ref="A3:G3"/>
    <mergeCell ref="A26:D26"/>
    <mergeCell ref="A2:G2"/>
    <mergeCell ref="A33:G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1" t="inlineStr">
        <is>
          <t>ASSESSMENT APPROVAL AND SIGN-OFF</t>
        </is>
      </c>
      <c r="B1" s="6" t="n"/>
      <c r="C1" s="6" t="n"/>
      <c r="D1" s="6" t="n"/>
      <c r="E1" s="6" t="n"/>
    </row>
    <row r="2">
      <c r="A2" s="29" t="inlineStr">
        <is>
          <t>ISO/IEC 27001:2022 - Control A.5.19-23: Information Security for Use of Cloud Services</t>
        </is>
      </c>
      <c r="B2" s="6" t="n"/>
      <c r="C2" s="6" t="n"/>
      <c r="D2" s="6" t="n"/>
      <c r="E2" s="6" t="n"/>
    </row>
    <row r="3">
      <c r="A3" s="30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ISMS-IMP-A.5.23.S2 - Vendor Due Diligence &amp; Contracts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1">
        <f>IFERROR(AVERAGE('Summary Dashboard'!G6:G11),"")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0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0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2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0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ISMS-IMP-A.5.23.S2 — Vendor Due Diligence &amp; Contracts</dc:title>
  <dc:description xmlns:dc="http://purl.org/dc/elements/1.1/">ISMS Implementation Workbook — ISMS-IMP-A.5.23.S2</dc:description>
  <dc:subject xmlns:dc="http://purl.org/dc/elements/1.1/">ISO/IEC 27001:2022 — Control A.5.19-23: Information Security for Use of Cloud Services</dc:subject>
  <dcterms:created xmlns:dcterms="http://purl.org/dc/terms/" xmlns:xsi="http://www.w3.org/2001/XMLSchema-instance" xsi:type="dcterms:W3CDTF">2026-03-01T09:40:18Z</dcterms:created>
  <dcterms:modified xmlns:dcterms="http://purl.org/dc/terms/" xmlns:xsi="http://www.w3.org/2001/XMLSchema-instance" xsi:type="dcterms:W3CDTF">2026-03-01T09:40:18Z</dcterms:modified>
</cp:coreProperties>
</file>