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Configuration Baseline" sheetId="2" state="visible" r:id="rId2"/>
    <sheet xmlns:r="http://schemas.openxmlformats.org/officeDocument/2006/relationships" name="3. Access Control Setup" sheetId="3" state="visible" r:id="rId3"/>
    <sheet xmlns:r="http://schemas.openxmlformats.org/officeDocument/2006/relationships" name="4. Network Security" sheetId="4" state="visible" r:id="rId4"/>
    <sheet xmlns:r="http://schemas.openxmlformats.org/officeDocument/2006/relationships" name="5. Encryption Configuration" sheetId="5" state="visible" r:id="rId5"/>
    <sheet xmlns:r="http://schemas.openxmlformats.org/officeDocument/2006/relationships" name="6. Deployment Checklis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Evidence Register" sheetId="8" state="visible" r:id="rId8"/>
    <sheet xmlns:r="http://schemas.openxmlformats.org/officeDocument/2006/relationships" name="Summary Dashboard" sheetId="9" state="visible" r:id="rId9"/>
    <sheet xmlns:r="http://schemas.openxmlformats.org/officeDocument/2006/relationships" name="Approval Sign-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i val="1"/>
      <color rgb="00003366"/>
      <sz val="10"/>
    </font>
    <font>
      <b val="1"/>
      <sz val="11"/>
    </font>
    <font>
      <b val="1"/>
    </font>
    <font>
      <name val="Calibri"/>
      <b val="1"/>
      <color rgb="00FF0000"/>
      <sz val="10"/>
    </font>
    <font>
      <b val="1"/>
      <color rgb="00FFFFFF"/>
      <sz val="11"/>
    </font>
    <font>
      <name val="Calibri"/>
      <b val="1"/>
      <color rgb="00000000"/>
      <sz val="10"/>
    </font>
    <font>
      <name val="Calibri"/>
      <i val="1"/>
      <sz val="10"/>
    </font>
    <font>
      <name val="Calibri"/>
      <b val="1"/>
      <color rgb="00FFFFFF"/>
      <sz val="10"/>
    </font>
    <font>
      <name val="Calibri"/>
      <i val="1"/>
      <color rgb="00666666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FEB9C"/>
        <bgColor rgb="00FFEB9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12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4" fillId="10" borderId="1" pivotButton="0" quotePrefix="0" xfId="0"/>
    <xf numFmtId="0" fontId="6" fillId="0" borderId="0" applyAlignment="1" pivotButton="0" quotePrefix="0" xfId="0">
      <alignment horizontal="left" vertical="center"/>
    </xf>
    <xf numFmtId="0" fontId="10" fillId="8" borderId="0" pivotButton="0" quotePrefix="0" xfId="0"/>
    <xf numFmtId="0" fontId="11" fillId="9" borderId="1" applyAlignment="1" pivotButton="0" quotePrefix="0" xfId="0">
      <alignment horizontal="center" vertical="center" wrapText="1"/>
    </xf>
    <xf numFmtId="0" fontId="10" fillId="13" borderId="0" pivotButton="0" quotePrefix="0" xfId="0"/>
    <xf numFmtId="0" fontId="6" fillId="0" borderId="1" applyAlignment="1" pivotButton="0" quotePrefix="0" xfId="0">
      <alignment horizontal="center" vertical="center"/>
    </xf>
    <xf numFmtId="0" fontId="5" fillId="14" borderId="1" pivotButton="0" quotePrefix="0" xfId="0"/>
    <xf numFmtId="164" fontId="0" fillId="0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ISMS-IMP-A.5.23.S3  -  Secure Configuration &amp; Deployment
ISO/IEC 27001:2022 - Control A.5.19-23: Information Security for Use of Cloud Services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ISMS-IMP-A.5.23.S3</t>
        </is>
      </c>
    </row>
    <row r="5">
      <c r="A5" s="3" t="inlineStr">
        <is>
          <t>Workbook Title</t>
        </is>
      </c>
      <c r="B5" t="inlineStr">
        <is>
          <t>Secure Configuration &amp; Deployment</t>
        </is>
      </c>
    </row>
    <row r="6">
      <c r="A6" s="3" t="inlineStr">
        <is>
          <t>Control Reference</t>
        </is>
      </c>
      <c r="B6" t="inlineStr">
        <is>
          <t>ISO/IEC 27001:2022 - Control A.5.19-23: Information Security for Use of Cloud Services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Reference ISMS-IMP-A.5.23.S1 (Inventory) for authoritative cloud service list.</t>
        </is>
      </c>
    </row>
    <row r="14">
      <c r="A14" t="inlineStr">
        <is>
          <t>2. Complete each worksheet tab (2–7) for all cloud services requiring config assessment.</t>
        </is>
      </c>
    </row>
    <row r="15">
      <c r="A15" t="inlineStr">
        <is>
          <t>3. Use dropdown menus for standardised entries (Environment, Status, etc.).</t>
        </is>
      </c>
    </row>
    <row r="16">
      <c r="A16" t="inlineStr">
        <is>
          <t>4. Fill in yellow-highlighted cells with your configuration-specific information.</t>
        </is>
      </c>
    </row>
    <row r="17">
      <c r="A17" t="inlineStr">
        <is>
          <t>5. Complete Jurisdictional Risk sheet (7) for all US-nexus providers.</t>
        </is>
      </c>
    </row>
    <row r="18">
      <c r="A18" t="inlineStr">
        <is>
          <t>6. Document DORA configuration requirements if in scope.</t>
        </is>
      </c>
    </row>
    <row r="19">
      <c r="A19" t="inlineStr">
        <is>
          <t>7. Validate NIS2 secure deployment procedures if applicable.</t>
        </is>
      </c>
    </row>
    <row r="20">
      <c r="A20" t="inlineStr">
        <is>
          <t>8. Complete AI Act deployment controls for AI-enabled services.</t>
        </is>
      </c>
    </row>
    <row r="21">
      <c r="A21" t="inlineStr">
        <is>
          <t>9. Provide evidence: screenshots, config exports, security scan results.</t>
        </is>
      </c>
    </row>
    <row r="22">
      <c r="A22" t="inlineStr">
        <is>
          <t>10. Summary Dashboard auto-calculates compliance by config area and environment.</t>
        </is>
      </c>
    </row>
    <row r="23">
      <c r="A23" t="inlineStr">
        <is>
          <t>11. Obtain final approval from IT Operations, Security, DPO, and CISO.</t>
        </is>
      </c>
    </row>
    <row r="25">
      <c r="A25" s="2" t="inlineStr">
        <is>
          <t>Status Legend</t>
        </is>
      </c>
    </row>
    <row r="26">
      <c r="A26" s="5" t="inlineStr">
        <is>
          <t>Symbol</t>
        </is>
      </c>
      <c r="B26" s="5" t="inlineStr">
        <is>
          <t>Status</t>
        </is>
      </c>
      <c r="C26" s="5" t="inlineStr">
        <is>
          <t>Description</t>
        </is>
      </c>
    </row>
    <row r="27">
      <c r="A27" s="6" t="inlineStr">
        <is>
          <t>✓</t>
        </is>
      </c>
      <c r="B27" s="7" t="inlineStr">
        <is>
          <t>Compliant / Complete</t>
        </is>
      </c>
      <c r="C27" s="8" t="inlineStr">
        <is>
          <t>Requirement fully met</t>
        </is>
      </c>
    </row>
    <row r="28">
      <c r="A28" s="6" t="inlineStr">
        <is>
          <t>⚠</t>
        </is>
      </c>
      <c r="B28" s="9" t="inlineStr">
        <is>
          <t>Partial / In Progress</t>
        </is>
      </c>
      <c r="C28" s="8" t="inlineStr">
        <is>
          <t>Partially met or in progress</t>
        </is>
      </c>
    </row>
    <row r="29">
      <c r="A29" s="6" t="inlineStr">
        <is>
          <t>✗</t>
        </is>
      </c>
      <c r="B29" s="10" t="inlineStr">
        <is>
          <t>Non-Compliant / Not Started</t>
        </is>
      </c>
      <c r="C29" s="8" t="inlineStr">
        <is>
          <t>Requirement not met</t>
        </is>
      </c>
    </row>
    <row r="30">
      <c r="A30" s="6" t="inlineStr">
        <is>
          <t>—</t>
        </is>
      </c>
      <c r="B30" s="8" t="inlineStr">
        <is>
          <t>Not Applicable</t>
        </is>
      </c>
      <c r="C30" s="8" t="inlineStr">
        <is>
          <t>Not applicable to this assessment</t>
        </is>
      </c>
    </row>
    <row r="32">
      <c r="A32" s="2" t="inlineStr">
        <is>
          <t>Regulatory Compliance</t>
        </is>
      </c>
    </row>
    <row r="33">
      <c r="A33" t="inlineStr">
        <is>
          <t>This workbook includes regulatory compliance tracking for:</t>
        </is>
      </c>
    </row>
    <row r="34">
      <c r="A34" t="inlineStr">
        <is>
          <t>• DORA (Digital Operational Resilience Act) — Configuration documentation</t>
        </is>
      </c>
    </row>
    <row r="35">
      <c r="A35" t="inlineStr">
        <is>
          <t>• NIS2 (Network and Information Security Directive 2) — Secure deployment</t>
        </is>
      </c>
    </row>
    <row r="36">
      <c r="A36" t="inlineStr">
        <is>
          <t>• EU AI Act — AI system deployment controls</t>
        </is>
      </c>
    </row>
    <row r="37">
      <c r="A37" t="inlineStr">
        <is>
          <t>• US CLOUD Act — Jurisdictional risk for US-headquartered providers</t>
        </is>
      </c>
    </row>
    <row r="38">
      <c r="A38" t="inlineStr"/>
    </row>
    <row r="39">
      <c r="A39" t="inlineStr">
        <is>
          <t>Regulatory columns are included in the Configuration Baseline sheet (Y–AA).</t>
        </is>
      </c>
    </row>
    <row r="40">
      <c r="A40" t="inlineStr">
        <is>
          <t>Complete only the regulatory sections applicable to your organisation.</t>
        </is>
      </c>
    </row>
    <row r="42">
      <c r="A42" s="2" t="inlineStr">
        <is>
          <t>Acceptable Evidence (examples)</t>
        </is>
      </c>
    </row>
    <row r="43">
      <c r="A43" t="inlineStr">
        <is>
          <t>✓ Admin console screenshots (with timestamps)</t>
        </is>
      </c>
    </row>
    <row r="44">
      <c r="A44" t="inlineStr">
        <is>
          <t>✓ Configuration export files (JSON, YAML, XML)</t>
        </is>
      </c>
    </row>
    <row r="45">
      <c r="A45" t="inlineStr">
        <is>
          <t>✓ Security posture reports (Azure Secure Score, AWS Security Hub)</t>
        </is>
      </c>
    </row>
    <row r="46">
      <c r="A46" t="inlineStr">
        <is>
          <t>✓ Configuration baseline documentation (version-controlled)</t>
        </is>
      </c>
    </row>
    <row r="47">
      <c r="A47" t="inlineStr">
        <is>
          <t>✓ CIS benchmark compliance report</t>
        </is>
      </c>
    </row>
    <row r="48">
      <c r="A48" t="inlineStr">
        <is>
          <t>✓ Configuration drift monitoring screenshots</t>
        </is>
      </c>
    </row>
    <row r="49">
      <c r="A49" t="inlineStr">
        <is>
          <t>✓ Network segmentation diagrams</t>
        </is>
      </c>
    </row>
    <row r="50">
      <c r="A50" t="inlineStr">
        <is>
          <t>✓ AI system risk classification (if applicable)</t>
        </is>
      </c>
    </row>
    <row r="51">
      <c r="A51" t="inlineStr">
        <is>
          <t>✓ AI conformity assessment (for high-risk systems)</t>
        </is>
      </c>
    </row>
    <row r="52">
      <c r="A52" t="inlineStr">
        <is>
          <t>✓ Jurisdictional risk assessment (for US-nexus providers)</t>
        </is>
      </c>
    </row>
    <row r="53">
      <c r="A53" t="inlineStr">
        <is>
          <t>✓ Risk acceptance form (signed by CISO/DPO)</t>
        </is>
      </c>
    </row>
    <row r="54">
      <c r="A54" t="inlineStr">
        <is>
          <t>✓ Data Processing Agreement (DPA) with SCCs/BCRs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6" customWidth="1" min="25" max="25"/>
    <col width="22" customWidth="1" min="26" max="26"/>
    <col width="20" customWidth="1" min="27" max="27"/>
    <col width="24" customWidth="1" min="28" max="28"/>
  </cols>
  <sheetData>
    <row r="1" ht="35" customHeight="1">
      <c r="A1" s="11" t="inlineStr">
        <is>
          <t>CONFIGURATION BASELINE
Policy Requirement: Configuration baseline documented, change-controlled, drift-monitored, CIS-validated (Policy S5 Section 9.1)</t>
        </is>
      </c>
    </row>
    <row r="2" ht="30" customHeight="1">
      <c r="A2" s="12" t="inlineStr">
        <is>
          <t>Assessment Question: Are configuration baselines properly documented, version-controlled, and validated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Baseline Version</t>
        </is>
      </c>
      <c r="S3" s="13" t="inlineStr">
        <is>
          <t>Change Mgmt ID</t>
        </is>
      </c>
      <c r="T3" s="13" t="inlineStr">
        <is>
          <t>Drift Monitoring</t>
        </is>
      </c>
      <c r="U3" s="13" t="inlineStr">
        <is>
          <t>CIS Benchmark</t>
        </is>
      </c>
      <c r="V3" s="13" t="inlineStr">
        <is>
          <t>Last Validated</t>
        </is>
      </c>
      <c r="W3" s="13" t="inlineStr">
        <is>
          <t>Config Backup</t>
        </is>
      </c>
      <c r="X3" s="13" t="inlineStr">
        <is>
          <t>Privileged Access Log</t>
        </is>
      </c>
      <c r="Y3" s="13" t="inlineStr">
        <is>
          <t>Security By Default</t>
        </is>
      </c>
      <c r="Z3" s="13" t="inlineStr">
        <is>
          <t>DORA Config Documentation</t>
        </is>
      </c>
      <c r="AA3" s="13" t="inlineStr">
        <is>
          <t>NIS2 Secure Deployment</t>
        </is>
      </c>
      <c r="AB3" s="13" t="inlineStr">
        <is>
          <t>AI System Deployment Controls</t>
        </is>
      </c>
    </row>
    <row r="4">
      <c r="A4" s="14" t="inlineStr">
        <is>
          <t>CFG-EXAMPLE</t>
        </is>
      </c>
      <c r="B4" s="14" t="inlineStr">
        <is>
          <t>Microsoft Azure</t>
        </is>
      </c>
      <c r="C4" s="14" t="inlineStr">
        <is>
          <t>Microsoft Corporation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OS baseline — CIS Azure Benchmark L1 (V8)</t>
        </is>
      </c>
      <c r="I4" s="14" t="inlineStr">
        <is>
          <t>✅ Compliant</t>
        </is>
      </c>
      <c r="J4" s="14" t="inlineStr">
        <is>
          <t>/evidence/config/azure-cis-benchmark-q1.pdf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</row>
    <row r="5">
      <c r="A5">
        <f>CONCATENATE("CON-",TEXT(ROW()-4,"000"))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</row>
    <row r="6">
      <c r="A6">
        <f>CONCATENATE("CON-",TEXT(ROW()-4,"000"))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</row>
    <row r="7">
      <c r="A7">
        <f>CONCATENATE("CON-",TEXT(ROW()-4,"000"))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</row>
    <row r="8">
      <c r="A8">
        <f>CONCATENATE("CON-",TEXT(ROW()-4,"000"))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</row>
    <row r="9">
      <c r="A9">
        <f>CONCATENATE("CON-",TEXT(ROW()-4,"000"))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</row>
    <row r="10">
      <c r="A10">
        <f>CONCATENATE("CON-",TEXT(ROW()-4,"000"))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</row>
    <row r="11">
      <c r="A11">
        <f>CONCATENATE("CON-",TEXT(ROW()-4,"000"))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</row>
    <row r="12">
      <c r="A12">
        <f>CONCATENATE("CON-",TEXT(ROW()-4,"000"))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</row>
    <row r="13">
      <c r="A13">
        <f>CONCATENATE("CON-",TEXT(ROW()-4,"000"))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</row>
    <row r="14">
      <c r="A14">
        <f>CONCATENATE("CON-",TEXT(ROW()-4,"000"))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</row>
    <row r="15">
      <c r="A15">
        <f>CONCATENATE("CON-",TEXT(ROW()-4,"000"))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</row>
    <row r="16">
      <c r="A16">
        <f>CONCATENATE("CON-",TEXT(ROW()-4,"000"))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</row>
    <row r="17">
      <c r="A17">
        <f>CONCATENATE("CON-",TEXT(ROW()-4,"000"))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</row>
    <row r="18">
      <c r="A18">
        <f>CONCATENATE("CON-",TEXT(ROW()-4,"000"))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</row>
    <row r="19">
      <c r="A19">
        <f>CONCATENATE("CON-",TEXT(ROW()-4,"000"))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</row>
    <row r="20">
      <c r="A20">
        <f>CONCATENATE("CON-",TEXT(ROW()-4,"000"))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</row>
    <row r="21">
      <c r="A21">
        <f>CONCATENATE("CON-",TEXT(ROW()-4,"000"))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</row>
    <row r="22">
      <c r="A22">
        <f>CONCATENATE("CON-",TEXT(ROW()-4,"000"))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</row>
    <row r="23">
      <c r="A23">
        <f>CONCATENATE("CON-",TEXT(ROW()-4,"000"))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</row>
    <row r="24">
      <c r="A24">
        <f>CONCATENATE("CON-",TEXT(ROW()-4,"000"))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</row>
    <row r="25">
      <c r="A25">
        <f>CONCATENATE("CON-",TEXT(ROW()-4,"000"))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</row>
    <row r="26">
      <c r="A26">
        <f>CONCATENATE("CON-",TEXT(ROW()-4,"000"))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5" t="inlineStr"/>
      <c r="Z26" s="15" t="inlineStr"/>
      <c r="AA26" s="15" t="inlineStr"/>
      <c r="AB26" s="15" t="inlineStr"/>
    </row>
    <row r="27">
      <c r="A27">
        <f>CONCATENATE("CON-",TEXT(ROW()-4,"000"))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</row>
    <row r="28">
      <c r="A28">
        <f>CONCATENATE("CON-",TEXT(ROW()-4,"000"))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5" t="inlineStr"/>
    </row>
    <row r="29">
      <c r="A29">
        <f>CONCATENATE("CON-",TEXT(ROW()-4,"000"))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</row>
    <row r="30">
      <c r="A30">
        <f>CONCATENATE("CON-",TEXT(ROW()-4,"000"))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</row>
    <row r="31">
      <c r="A31">
        <f>CONCATENATE("CON-",TEXT(ROW()-4,"000"))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</row>
    <row r="32">
      <c r="A32">
        <f>CONCATENATE("CON-",TEXT(ROW()-4,"000"))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</row>
    <row r="33">
      <c r="A33">
        <f>CONCATENATE("CON-",TEXT(ROW()-4,"000"))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</row>
    <row r="34">
      <c r="A34">
        <f>CONCATENATE("CON-",TEXT(ROW()-4,"000"))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</row>
    <row r="35">
      <c r="A35">
        <f>CONCATENATE("CON-",TEXT(ROW()-4,"000"))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</row>
    <row r="36">
      <c r="A36">
        <f>CONCATENATE("CON-",TEXT(ROW()-4,"000"))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</row>
    <row r="37">
      <c r="A37">
        <f>CONCATENATE("CON-",TEXT(ROW()-4,"000"))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</row>
    <row r="38">
      <c r="A38">
        <f>CONCATENATE("CON-",TEXT(ROW()-4,"000"))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</row>
    <row r="39">
      <c r="A39">
        <f>CONCATENATE("CON-",TEXT(ROW()-4,"000"))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</row>
    <row r="40">
      <c r="A40">
        <f>CONCATENATE("CON-",TEXT(ROW()-4,"000"))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</row>
    <row r="41">
      <c r="A41">
        <f>CONCATENATE("CON-",TEXT(ROW()-4,"000"))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</row>
    <row r="42">
      <c r="A42">
        <f>CONCATENATE("CON-",TEXT(ROW()-4,"000"))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</row>
    <row r="43">
      <c r="A43">
        <f>CONCATENATE("CON-",TEXT(ROW()-4,"000"))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</row>
    <row r="44">
      <c r="A44">
        <f>CONCATENATE("CON-",TEXT(ROW()-4,"000"))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</row>
    <row r="45">
      <c r="A45">
        <f>CONCATENATE("CON-",TEXT(ROW()-4,"000"))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</row>
    <row r="46">
      <c r="A46">
        <f>CONCATENATE("CON-",TEXT(ROW()-4,"000"))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</row>
    <row r="47">
      <c r="A47">
        <f>CONCATENATE("CON-",TEXT(ROW()-4,"000"))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</row>
    <row r="48">
      <c r="A48">
        <f>CONCATENATE("CON-",TEXT(ROW()-4,"000"))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</row>
    <row r="49">
      <c r="A49">
        <f>CONCATENATE("CON-",TEXT(ROW()-4,"000"))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</row>
    <row r="50">
      <c r="A50">
        <f>CONCATENATE("CON-",TEXT(ROW()-4,"000"))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</row>
    <row r="51">
      <c r="A51">
        <f>CONCATENATE("CON-",TEXT(ROW()-4,"000"))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</row>
    <row r="52">
      <c r="A52">
        <f>CONCATENATE("CON-",TEXT(ROW()-4,"000"))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  <c r="Y52" s="15" t="inlineStr"/>
      <c r="Z52" s="15" t="inlineStr"/>
      <c r="AA52" s="15" t="inlineStr"/>
      <c r="AB52" s="15" t="inlineStr"/>
    </row>
    <row r="53">
      <c r="A53">
        <f>CONCATENATE("CON-",TEXT(ROW()-4,"000"))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</row>
    <row r="54">
      <c r="A54">
        <f>CONCATENATE("CON-",TEXT(ROW()-4,"000"))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Configuration baseline documented and version-controlled</t>
        </is>
      </c>
      <c r="C59" t="inlineStr">
        <is>
          <t>Baseline doc + version history</t>
        </is>
      </c>
    </row>
    <row r="60">
      <c r="A60" t="inlineStr">
        <is>
          <t>☐</t>
        </is>
      </c>
      <c r="B60" t="inlineStr">
        <is>
          <t>Change management process for cloud configurations</t>
        </is>
      </c>
      <c r="C60" t="inlineStr">
        <is>
          <t>Change log/ITSM tickets</t>
        </is>
      </c>
    </row>
    <row r="61">
      <c r="A61" t="inlineStr">
        <is>
          <t>☐</t>
        </is>
      </c>
      <c r="B61" t="inlineStr">
        <is>
          <t>Configuration drift monitoring enabled</t>
        </is>
      </c>
      <c r="C61" t="inlineStr">
        <is>
          <t>Drift detection config</t>
        </is>
      </c>
    </row>
    <row r="62">
      <c r="A62" t="inlineStr">
        <is>
          <t>☐</t>
        </is>
      </c>
      <c r="B62" t="inlineStr">
        <is>
          <t>Security configuration validated against CIS benchmarks</t>
        </is>
      </c>
      <c r="C62" t="inlineStr">
        <is>
          <t>CIS scan report</t>
        </is>
      </c>
    </row>
    <row r="63">
      <c r="A63" t="inlineStr">
        <is>
          <t>☐</t>
        </is>
      </c>
      <c r="B63" t="inlineStr">
        <is>
          <t>Configuration backup and recovery tested</t>
        </is>
      </c>
      <c r="C63" t="inlineStr">
        <is>
          <t>Backup test results</t>
        </is>
      </c>
    </row>
    <row r="64">
      <c r="A64" t="inlineStr">
        <is>
          <t>☐</t>
        </is>
      </c>
      <c r="B64" t="inlineStr">
        <is>
          <t>Privileged access to configurations logged and monitored</t>
        </is>
      </c>
      <c r="C64" t="inlineStr">
        <is>
          <t>Access log screenshot</t>
        </is>
      </c>
    </row>
    <row r="65">
      <c r="A65" t="inlineStr">
        <is>
          <t>☐</t>
        </is>
      </c>
      <c r="B65" t="inlineStr">
        <is>
          <t>Security-by-default configurations applied</t>
        </is>
      </c>
      <c r="C65" t="inlineStr">
        <is>
          <t>Default settings review</t>
        </is>
      </c>
    </row>
    <row r="66">
      <c r="A66" t="inlineStr">
        <is>
          <t>☐</t>
        </is>
      </c>
      <c r="B66" t="inlineStr">
        <is>
          <t>CFG-DORA-01: Configuration baseline documented and version-controlled</t>
        </is>
      </c>
      <c r="C66" t="inlineStr">
        <is>
          <t>DORA: Version control</t>
        </is>
      </c>
    </row>
    <row r="67">
      <c r="A67" t="inlineStr">
        <is>
          <t>☐</t>
        </is>
      </c>
      <c r="B67" t="inlineStr">
        <is>
          <t>CFG-DORA-02: Change management process for cloud configurations</t>
        </is>
      </c>
      <c r="C67" t="inlineStr">
        <is>
          <t>DORA: Change records</t>
        </is>
      </c>
    </row>
    <row r="68">
      <c r="A68" t="inlineStr">
        <is>
          <t>☐</t>
        </is>
      </c>
      <c r="B68" t="inlineStr">
        <is>
          <t>CFG-DORA-03: Configuration drift monitoring enabled</t>
        </is>
      </c>
      <c r="C68" t="inlineStr">
        <is>
          <t>DORA: Monitoring config</t>
        </is>
      </c>
    </row>
    <row r="69">
      <c r="A69" t="inlineStr">
        <is>
          <t>☐</t>
        </is>
      </c>
      <c r="B69" t="inlineStr">
        <is>
          <t>CFG-DORA-04: Security configuration validated against CIS benchmarks</t>
        </is>
      </c>
      <c r="C69" t="inlineStr">
        <is>
          <t>DORA: CIS compliance</t>
        </is>
      </c>
    </row>
    <row r="70">
      <c r="A70" t="inlineStr">
        <is>
          <t>☐</t>
        </is>
      </c>
      <c r="B70" t="inlineStr">
        <is>
          <t>CFG-DORA-05: Configuration backup and recovery tested</t>
        </is>
      </c>
      <c r="C70" t="inlineStr">
        <is>
          <t>DORA: Test results</t>
        </is>
      </c>
    </row>
    <row r="71">
      <c r="A71" t="inlineStr">
        <is>
          <t>☐</t>
        </is>
      </c>
      <c r="B71" t="inlineStr">
        <is>
          <t>CFG-DORA-06: Privileged access to configurations logged and monitored</t>
        </is>
      </c>
      <c r="C71" t="inlineStr">
        <is>
          <t>DORA: Access logs</t>
        </is>
      </c>
    </row>
    <row r="72">
      <c r="A72" t="inlineStr">
        <is>
          <t>☐</t>
        </is>
      </c>
      <c r="B72" t="inlineStr">
        <is>
          <t>CFG-NIS2-01: Security-by-default configurations applied</t>
        </is>
      </c>
      <c r="C72" t="inlineStr">
        <is>
          <t>NIS2: Default settings</t>
        </is>
      </c>
    </row>
    <row r="73">
      <c r="A73" t="inlineStr">
        <is>
          <t>☐</t>
        </is>
      </c>
      <c r="B73" t="inlineStr">
        <is>
          <t>CFG-NIS2-02: Network segmentation implemented</t>
        </is>
      </c>
      <c r="C73" t="inlineStr">
        <is>
          <t>NIS2: Network diagram</t>
        </is>
      </c>
    </row>
    <row r="74">
      <c r="A74" t="inlineStr">
        <is>
          <t>☐</t>
        </is>
      </c>
      <c r="B74" t="inlineStr">
        <is>
          <t>CFG-NIS2-03: Multi-factor authentication enforced for admin access</t>
        </is>
      </c>
      <c r="C74" t="inlineStr">
        <is>
          <t>NIS2: MFA config</t>
        </is>
      </c>
    </row>
    <row r="75">
      <c r="A75" t="inlineStr">
        <is>
          <t>☐</t>
        </is>
      </c>
      <c r="B75" t="inlineStr">
        <is>
          <t>CFG-NIS2-04: Vulnerability scanning configured pre-deployment</t>
        </is>
      </c>
      <c r="C75" t="inlineStr">
        <is>
          <t>NIS2: Scan config</t>
        </is>
      </c>
    </row>
    <row r="76">
      <c r="A76" t="inlineStr">
        <is>
          <t>☐</t>
        </is>
      </c>
      <c r="B76" t="inlineStr">
        <is>
          <t>CFG-AI-01: AI system risk classification documented</t>
        </is>
      </c>
      <c r="C76" t="inlineStr">
        <is>
          <t>AI Act: Risk assessment</t>
        </is>
      </c>
    </row>
    <row r="77">
      <c r="A77" t="inlineStr">
        <is>
          <t>☐</t>
        </is>
      </c>
      <c r="B77" t="inlineStr">
        <is>
          <t>CFG-AI-02: High-risk AI systems have conformity assessment</t>
        </is>
      </c>
      <c r="C77" t="inlineStr">
        <is>
          <t>AI Act: Conformity cert</t>
        </is>
      </c>
    </row>
    <row r="78">
      <c r="A78" t="inlineStr">
        <is>
          <t>☐</t>
        </is>
      </c>
      <c r="B78" t="inlineStr">
        <is>
          <t>CFG-AI-03: AI system transparency notices configured</t>
        </is>
      </c>
      <c r="C78" t="inlineStr">
        <is>
          <t>AI Act: Notice config</t>
        </is>
      </c>
    </row>
    <row r="79">
      <c r="A79" t="inlineStr">
        <is>
          <t>☐</t>
        </is>
      </c>
      <c r="B79" t="inlineStr">
        <is>
          <t>CFG-AI-04: AI system logging and monitoring enabled</t>
        </is>
      </c>
      <c r="C79" t="inlineStr">
        <is>
          <t>AI Act: AI logs</t>
        </is>
      </c>
    </row>
    <row r="80">
      <c r="A80" t="inlineStr">
        <is>
          <t>☐</t>
        </is>
      </c>
      <c r="B80" t="inlineStr">
        <is>
          <t>CFG-AI-05: Human oversight mechanisms configured</t>
        </is>
      </c>
      <c r="C80" t="inlineStr">
        <is>
          <t>AI Act: Oversight config</t>
        </is>
      </c>
    </row>
    <row r="81">
      <c r="A81" t="inlineStr">
        <is>
          <t>☐</t>
        </is>
      </c>
      <c r="B81" t="inlineStr">
        <is>
          <t>Shared responsibility model documented per service — IaaS/PaaS/SaaS boundary for security controls explicitly defined</t>
        </is>
      </c>
      <c r="C81" t="inlineStr">
        <is>
          <t>Responsibility matrix, cloud provider documentation</t>
        </is>
      </c>
    </row>
  </sheetData>
  <mergeCells count="2">
    <mergeCell ref="A2:AB2"/>
    <mergeCell ref="A1:AB1"/>
  </mergeCells>
  <dataValidations count="11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 T5:T54 U5:U54 V5:V54 W5:W54 X5:X54" showDropDown="0" showInputMessage="0" showErrorMessage="0" allowBlank="0" type="list">
      <formula1>"Yes,No,Partial,N/A"</formula1>
    </dataValidation>
    <dataValidation sqref="Y5:Y54" showDropDown="0" showInputMessage="0" showErrorMessage="0" allowBlank="0" type="list">
      <formula1>"Full Compliance,Partial Compliance,Non-Compliant,N/A (Not in scope)"</formula1>
    </dataValidation>
    <dataValidation sqref="Z5:Z54" showDropDown="0" showInputMessage="0" showErrorMessage="0" allowBlank="0" type="list">
      <formula1>"Compliant,Partial (In Progress),Non-Compliant,N/A (Not in scope)"</formula1>
    </dataValidation>
    <dataValidation sqref="AA5:AA54" showDropDown="0" showInputMessage="0" showErrorMessage="0" allowBlank="0" type="list">
      <formula1>"No AI Systems,Low-Risk AI Only,High-Risk AI (Assessed),High-Risk AI (Assessment Pending),N/A"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20" customWidth="1" min="22" max="22"/>
    <col width="18" customWidth="1" min="23" max="23"/>
    <col width="16" customWidth="1" min="24" max="24"/>
  </cols>
  <sheetData>
    <row r="1" ht="35" customHeight="1">
      <c r="A1" s="11" t="inlineStr">
        <is>
          <t>ACCESS CONTROL SETUP
Policy Requirement: SSO integration, MFA enforced, RBAC implemented, privileged access controlled (Policy S5 Section 9.1)</t>
        </is>
      </c>
    </row>
    <row r="2" ht="30" customHeight="1">
      <c r="A2" s="12" t="inlineStr">
        <is>
          <t>Assessment Question: Are identity and access controls properly configured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SSO Integrated</t>
        </is>
      </c>
      <c r="S3" s="13" t="inlineStr">
        <is>
          <t>MFA Enforced</t>
        </is>
      </c>
      <c r="T3" s="13" t="inlineStr">
        <is>
          <t>RBAC Implemented</t>
        </is>
      </c>
      <c r="U3" s="13" t="inlineStr">
        <is>
          <t>Privileged Access JIT</t>
        </is>
      </c>
      <c r="V3" s="13" t="inlineStr">
        <is>
          <t>Service Accounts Inventoried</t>
        </is>
      </c>
      <c r="W3" s="13" t="inlineStr">
        <is>
          <t>Last Access Review</t>
        </is>
      </c>
      <c r="X3" s="13" t="inlineStr">
        <is>
          <t>Admin Account Count</t>
        </is>
      </c>
    </row>
    <row r="4">
      <c r="A4" s="14" t="inlineStr">
        <is>
          <t>ACC-EXAMPLE</t>
        </is>
      </c>
      <c r="B4" s="14" t="inlineStr">
        <is>
          <t>Okta SSO — All Users</t>
        </is>
      </c>
      <c r="C4" s="14" t="inlineStr">
        <is>
          <t>Okta Inc.</t>
        </is>
      </c>
      <c r="D4" s="14" t="inlineStr">
        <is>
          <t>Security Service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MFA enforced for all users via Okta IdP (TOTP + push)</t>
        </is>
      </c>
      <c r="I4" s="14" t="inlineStr">
        <is>
          <t>✅ Compliant</t>
        </is>
      </c>
      <c r="J4" s="14" t="inlineStr">
        <is>
          <t>/evidence/access/okta-mfa-policy-screenshot.pdf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CONCATENATE("ACC-",TEXT(ROW()-4,"000"))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CONCATENATE("ACC-",TEXT(ROW()-4,"000"))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CONCATENATE("ACC-",TEXT(ROW()-4,"000"))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CONCATENATE("ACC-",TEXT(ROW()-4,"000"))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CONCATENATE("ACC-",TEXT(ROW()-4,"000"))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CONCATENATE("ACC-",TEXT(ROW()-4,"000"))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CONCATENATE("ACC-",TEXT(ROW()-4,"000"))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CONCATENATE("ACC-",TEXT(ROW()-4,"000"))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CONCATENATE("ACC-",TEXT(ROW()-4,"000"))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CONCATENATE("ACC-",TEXT(ROW()-4,"000"))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CONCATENATE("ACC-",TEXT(ROW()-4,"000"))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CONCATENATE("ACC-",TEXT(ROW()-4,"000"))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CONCATENATE("ACC-",TEXT(ROW()-4,"000"))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CONCATENATE("ACC-",TEXT(ROW()-4,"000"))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CONCATENATE("ACC-",TEXT(ROW()-4,"000"))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CONCATENATE("ACC-",TEXT(ROW()-4,"000"))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CONCATENATE("ACC-",TEXT(ROW()-4,"000"))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CONCATENATE("ACC-",TEXT(ROW()-4,"000"))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CONCATENATE("ACC-",TEXT(ROW()-4,"000"))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CONCATENATE("ACC-",TEXT(ROW()-4,"000"))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CONCATENATE("ACC-",TEXT(ROW()-4,"000"))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CONCATENATE("ACC-",TEXT(ROW()-4,"000"))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CONCATENATE("ACC-",TEXT(ROW()-4,"000"))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CONCATENATE("ACC-",TEXT(ROW()-4,"000"))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CONCATENATE("ACC-",TEXT(ROW()-4,"000"))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CONCATENATE("ACC-",TEXT(ROW()-4,"000"))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CONCATENATE("ACC-",TEXT(ROW()-4,"000"))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CONCATENATE("ACC-",TEXT(ROW()-4,"000"))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CONCATENATE("ACC-",TEXT(ROW()-4,"000"))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CONCATENATE("ACC-",TEXT(ROW()-4,"000"))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CONCATENATE("ACC-",TEXT(ROW()-4,"000"))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CONCATENATE("ACC-",TEXT(ROW()-4,"000"))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CONCATENATE("ACC-",TEXT(ROW()-4,"000"))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CONCATENATE("ACC-",TEXT(ROW()-4,"000"))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CONCATENATE("ACC-",TEXT(ROW()-4,"000"))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CONCATENATE("ACC-",TEXT(ROW()-4,"000"))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CONCATENATE("ACC-",TEXT(ROW()-4,"000"))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CONCATENATE("ACC-",TEXT(ROW()-4,"000"))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CONCATENATE("ACC-",TEXT(ROW()-4,"000"))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CONCATENATE("ACC-",TEXT(ROW()-4,"000"))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CONCATENATE("ACC-",TEXT(ROW()-4,"000"))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CONCATENATE("ACC-",TEXT(ROW()-4,"000"))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CONCATENATE("ACC-",TEXT(ROW()-4,"000"))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CONCATENATE("ACC-",TEXT(ROW()-4,"000"))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CONCATENATE("ACC-",TEXT(ROW()-4,"000"))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CONCATENATE("ACC-",TEXT(ROW()-4,"000"))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CONCATENATE("ACC-",TEXT(ROW()-4,"000"))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CONCATENATE("ACC-",TEXT(ROW()-4,"000"))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CONCATENATE("ACC-",TEXT(ROW()-4,"000"))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CONCATENATE("ACC-",TEXT(ROW()-4,"000"))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SSO configured via organisational IdP (Entra ID, Okta, etc.)</t>
        </is>
      </c>
      <c r="C59" t="inlineStr">
        <is>
          <t>SSO config screenshot</t>
        </is>
      </c>
    </row>
    <row r="60">
      <c r="A60" t="inlineStr">
        <is>
          <t>☐</t>
        </is>
      </c>
      <c r="B60" t="inlineStr">
        <is>
          <t>MFA enforced for all users</t>
        </is>
      </c>
      <c r="C60" t="inlineStr">
        <is>
          <t>MFA policy screenshot</t>
        </is>
      </c>
    </row>
    <row r="61">
      <c r="A61" t="inlineStr">
        <is>
          <t>☐</t>
        </is>
      </c>
      <c r="B61" t="inlineStr">
        <is>
          <t>MFA mandatory for privileged accounts</t>
        </is>
      </c>
      <c r="C61" t="inlineStr">
        <is>
          <t>Admin MFA verification</t>
        </is>
      </c>
    </row>
    <row r="62">
      <c r="A62" t="inlineStr">
        <is>
          <t>☐</t>
        </is>
      </c>
      <c r="B62" t="inlineStr">
        <is>
          <t>RBAC roles documented and implemented</t>
        </is>
      </c>
      <c r="C62" t="inlineStr">
        <is>
          <t>Role matrix document</t>
        </is>
      </c>
    </row>
    <row r="63">
      <c r="A63" t="inlineStr">
        <is>
          <t>☐</t>
        </is>
      </c>
      <c r="B63" t="inlineStr">
        <is>
          <t>Least privilege principle applied</t>
        </is>
      </c>
      <c r="C63" t="inlineStr">
        <is>
          <t>Permission audit</t>
        </is>
      </c>
    </row>
    <row r="64">
      <c r="A64" t="inlineStr">
        <is>
          <t>☐</t>
        </is>
      </c>
      <c r="B64" t="inlineStr">
        <is>
          <t>Service accounts inventoried with owners</t>
        </is>
      </c>
      <c r="C64" t="inlineStr">
        <is>
          <t>Service account register</t>
        </is>
      </c>
    </row>
    <row r="65">
      <c r="A65" t="inlineStr">
        <is>
          <t>☐</t>
        </is>
      </c>
      <c r="B65" t="inlineStr">
        <is>
          <t>Privileged access is time-limited (JIT)</t>
        </is>
      </c>
      <c r="C65" t="inlineStr">
        <is>
          <t>PAM configuration</t>
        </is>
      </c>
    </row>
    <row r="66">
      <c r="A66" t="inlineStr">
        <is>
          <t>☐</t>
        </is>
      </c>
      <c r="B66" t="inlineStr">
        <is>
          <t>Access reviews performed quarterly</t>
        </is>
      </c>
      <c r="C66" t="inlineStr">
        <is>
          <t>Access review report</t>
        </is>
      </c>
    </row>
    <row r="67">
      <c r="A67" t="inlineStr">
        <is>
          <t>☐</t>
        </is>
      </c>
      <c r="B67" t="inlineStr">
        <is>
          <t>Default accounts disabled or renamed</t>
        </is>
      </c>
      <c r="C67" t="inlineStr">
        <is>
          <t>Security baseline check</t>
        </is>
      </c>
    </row>
    <row r="68">
      <c r="A68" t="inlineStr">
        <is>
          <t>☐</t>
        </is>
      </c>
      <c r="B68" t="inlineStr">
        <is>
          <t>Failed login alerting configured</t>
        </is>
      </c>
      <c r="C68" t="inlineStr">
        <is>
          <t>Alert rule screenshot</t>
        </is>
      </c>
    </row>
  </sheetData>
  <mergeCells count="2">
    <mergeCell ref="A2:X2"/>
    <mergeCell ref="A1:X1"/>
  </mergeCells>
  <dataValidations count="12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" showDropDown="0" showInputMessage="0" showErrorMessage="0" allowBlank="0" type="list">
      <formula1>"Yes,No,Partial,N/A"</formula1>
    </dataValidation>
    <dataValidation sqref="S5:S54" showDropDown="0" showInputMessage="0" showErrorMessage="0" allowBlank="0" type="list">
      <formula1>"Yes (All Users),Yes (Admins Only),No,N/A"</formula1>
    </dataValidation>
    <dataValidation sqref="T5:T54" showDropDown="0" showInputMessage="0" showErrorMessage="0" allowBlank="0" type="list">
      <formula1>"Yes,Partial,No,N/A"</formula1>
    </dataValidation>
    <dataValidation sqref="U5:U54" showDropDown="0" showInputMessage="0" showErrorMessage="0" allowBlank="0" type="list">
      <formula1>"Yes,No,Planned,N/A"</formula1>
    </dataValidation>
    <dataValidation sqref="V5:V54" showDropDown="0" showInputMessage="0" showErrorMessage="0" allowBlank="0" type="list">
      <formula1>"Yes,Partial,No,Unknown"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8" customWidth="1" min="19" max="19"/>
    <col width="18" customWidth="1" min="20" max="20"/>
    <col width="14" customWidth="1" min="21" max="21"/>
    <col width="16" customWidth="1" min="22" max="22"/>
    <col width="20" customWidth="1" min="23" max="23"/>
    <col width="18" customWidth="1" min="24" max="24"/>
  </cols>
  <sheetData>
    <row r="1" ht="35" customHeight="1">
      <c r="A1" s="11" t="inlineStr">
        <is>
          <t>NETWORK SECURITY CONFIGURATION
Policy Requirement: Access restrictions, secure connectivity, network segmentation (Policy S5 Section 5.2)</t>
        </is>
      </c>
    </row>
    <row r="2" ht="30" customHeight="1">
      <c r="A2" s="12" t="inlineStr">
        <is>
          <t>Assessment Question: Are network security controls properly configured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IP Restrictions</t>
        </is>
      </c>
      <c r="S3" s="13" t="inlineStr">
        <is>
          <t>Private Connectivity</t>
        </is>
      </c>
      <c r="T3" s="13" t="inlineStr">
        <is>
          <t>Network Segmentation</t>
        </is>
      </c>
      <c r="U3" s="13" t="inlineStr">
        <is>
          <t>WAF Enabled</t>
        </is>
      </c>
      <c r="V3" s="13" t="inlineStr">
        <is>
          <t>DDoS Protection</t>
        </is>
      </c>
      <c r="W3" s="13" t="inlineStr">
        <is>
          <t>Firewall Rules Documented</t>
        </is>
      </c>
      <c r="X3" s="13" t="inlineStr">
        <is>
          <t>Public Endpoints Count</t>
        </is>
      </c>
    </row>
    <row r="4">
      <c r="A4" s="14" t="inlineStr">
        <is>
          <t>NET-EXAMPLE</t>
        </is>
      </c>
      <c r="B4" s="14" t="inlineStr">
        <is>
          <t>AWS VPC — Production</t>
        </is>
      </c>
      <c r="C4" s="14" t="inlineStr">
        <is>
          <t>Amazon Web Services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VPC security groups + WAF (AWS WAF) for public-facing APIs</t>
        </is>
      </c>
      <c r="I4" s="14" t="inlineStr">
        <is>
          <t>✅ Compliant</t>
        </is>
      </c>
      <c r="J4" s="14" t="inlineStr">
        <is>
          <t>/evidence/network/aws-vpc-security-group-audit.pdf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CONCATENATE("NET-",TEXT(ROW()-4,"000"))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CONCATENATE("NET-",TEXT(ROW()-4,"000"))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CONCATENATE("NET-",TEXT(ROW()-4,"000"))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CONCATENATE("NET-",TEXT(ROW()-4,"000"))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CONCATENATE("NET-",TEXT(ROW()-4,"000"))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CONCATENATE("NET-",TEXT(ROW()-4,"000"))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CONCATENATE("NET-",TEXT(ROW()-4,"000"))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CONCATENATE("NET-",TEXT(ROW()-4,"000"))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CONCATENATE("NET-",TEXT(ROW()-4,"000"))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CONCATENATE("NET-",TEXT(ROW()-4,"000"))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CONCATENATE("NET-",TEXT(ROW()-4,"000"))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CONCATENATE("NET-",TEXT(ROW()-4,"000"))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CONCATENATE("NET-",TEXT(ROW()-4,"000"))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CONCATENATE("NET-",TEXT(ROW()-4,"000"))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CONCATENATE("NET-",TEXT(ROW()-4,"000"))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CONCATENATE("NET-",TEXT(ROW()-4,"000"))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CONCATENATE("NET-",TEXT(ROW()-4,"000"))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CONCATENATE("NET-",TEXT(ROW()-4,"000"))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CONCATENATE("NET-",TEXT(ROW()-4,"000"))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CONCATENATE("NET-",TEXT(ROW()-4,"000"))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CONCATENATE("NET-",TEXT(ROW()-4,"000"))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CONCATENATE("NET-",TEXT(ROW()-4,"000"))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CONCATENATE("NET-",TEXT(ROW()-4,"000"))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CONCATENATE("NET-",TEXT(ROW()-4,"000"))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CONCATENATE("NET-",TEXT(ROW()-4,"000"))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CONCATENATE("NET-",TEXT(ROW()-4,"000"))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CONCATENATE("NET-",TEXT(ROW()-4,"000"))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CONCATENATE("NET-",TEXT(ROW()-4,"000"))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CONCATENATE("NET-",TEXT(ROW()-4,"000"))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CONCATENATE("NET-",TEXT(ROW()-4,"000"))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CONCATENATE("NET-",TEXT(ROW()-4,"000"))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CONCATENATE("NET-",TEXT(ROW()-4,"000"))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CONCATENATE("NET-",TEXT(ROW()-4,"000"))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CONCATENATE("NET-",TEXT(ROW()-4,"000"))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CONCATENATE("NET-",TEXT(ROW()-4,"000"))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CONCATENATE("NET-",TEXT(ROW()-4,"000"))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CONCATENATE("NET-",TEXT(ROW()-4,"000"))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CONCATENATE("NET-",TEXT(ROW()-4,"000"))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CONCATENATE("NET-",TEXT(ROW()-4,"000"))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CONCATENATE("NET-",TEXT(ROW()-4,"000"))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CONCATENATE("NET-",TEXT(ROW()-4,"000"))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CONCATENATE("NET-",TEXT(ROW()-4,"000"))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CONCATENATE("NET-",TEXT(ROW()-4,"000"))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CONCATENATE("NET-",TEXT(ROW()-4,"000"))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CONCATENATE("NET-",TEXT(ROW()-4,"000"))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CONCATENATE("NET-",TEXT(ROW()-4,"000"))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CONCATENATE("NET-",TEXT(ROW()-4,"000"))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CONCATENATE("NET-",TEXT(ROW()-4,"000"))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CONCATENATE("NET-",TEXT(ROW()-4,"000"))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CONCATENATE("NET-",TEXT(ROW()-4,"000"))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IP allowlisting configured for admin access</t>
        </is>
      </c>
      <c r="C59" t="inlineStr">
        <is>
          <t>Firewall rules</t>
        </is>
      </c>
    </row>
    <row r="60">
      <c r="A60" t="inlineStr">
        <is>
          <t>☐</t>
        </is>
      </c>
      <c r="B60" t="inlineStr">
        <is>
          <t>Private endpoints used where available</t>
        </is>
      </c>
      <c r="C60" t="inlineStr">
        <is>
          <t>Network architecture</t>
        </is>
      </c>
    </row>
    <row r="61">
      <c r="A61" t="inlineStr">
        <is>
          <t>☐</t>
        </is>
      </c>
      <c r="B61" t="inlineStr">
        <is>
          <t>VPN/ExpressRoute for sensitive workloads</t>
        </is>
      </c>
      <c r="C61" t="inlineStr">
        <is>
          <t>Connectivity config</t>
        </is>
      </c>
    </row>
    <row r="62">
      <c r="A62" t="inlineStr">
        <is>
          <t>☐</t>
        </is>
      </c>
      <c r="B62" t="inlineStr">
        <is>
          <t>Network segmentation between environments</t>
        </is>
      </c>
      <c r="C62" t="inlineStr">
        <is>
          <t>Network diagram</t>
        </is>
      </c>
    </row>
    <row r="63">
      <c r="A63" t="inlineStr">
        <is>
          <t>☐</t>
        </is>
      </c>
      <c r="B63" t="inlineStr">
        <is>
          <t>WAF configured for web applications</t>
        </is>
      </c>
      <c r="C63" t="inlineStr">
        <is>
          <t>WAF rules export</t>
        </is>
      </c>
    </row>
    <row r="64">
      <c r="A64" t="inlineStr">
        <is>
          <t>☐</t>
        </is>
      </c>
      <c r="B64" t="inlineStr">
        <is>
          <t>DDoS protection enabled</t>
        </is>
      </c>
      <c r="C64" t="inlineStr">
        <is>
          <t>DDoS settings</t>
        </is>
      </c>
    </row>
    <row r="65">
      <c r="A65" t="inlineStr">
        <is>
          <t>☐</t>
        </is>
      </c>
      <c r="B65" t="inlineStr">
        <is>
          <t>Firewall rules documented and reviewed</t>
        </is>
      </c>
      <c r="C65" t="inlineStr">
        <is>
          <t>Rule documentation</t>
        </is>
      </c>
    </row>
    <row r="66">
      <c r="A66" t="inlineStr">
        <is>
          <t>☐</t>
        </is>
      </c>
      <c r="B66" t="inlineStr">
        <is>
          <t>Public endpoints minimised and justified</t>
        </is>
      </c>
      <c r="C66" t="inlineStr">
        <is>
          <t>Endpoint inventory</t>
        </is>
      </c>
    </row>
  </sheetData>
  <mergeCells count="2">
    <mergeCell ref="A2:X2"/>
    <mergeCell ref="A1:X1"/>
  </mergeCells>
  <dataValidations count="13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" showDropDown="0" showInputMessage="0" showErrorMessage="0" allowBlank="0" type="list">
      <formula1>"Yes (Allowlist),Yes (Geo),No,N/A"</formula1>
    </dataValidation>
    <dataValidation sqref="S5:S54" showDropDown="0" showInputMessage="0" showErrorMessage="0" allowBlank="0" type="list">
      <formula1>"Yes (Private Link),Yes (VPN),Public Only,N/A"</formula1>
    </dataValidation>
    <dataValidation sqref="T5:T54" showDropDown="0" showInputMessage="0" showErrorMessage="0" allowBlank="0" type="list">
      <formula1>"Yes,Partial,No,N/A"</formula1>
    </dataValidation>
    <dataValidation sqref="U5:U54" showDropDown="0" showInputMessage="0" showErrorMessage="0" allowBlank="0" type="list">
      <formula1>"Yes,No,N/A"</formula1>
    </dataValidation>
    <dataValidation sqref="V5:V54" showDropDown="0" showInputMessage="0" showErrorMessage="0" allowBlank="0" type="list">
      <formula1>"Yes (Advanced),Yes (Basic),No,N/A"</formula1>
    </dataValidation>
    <dataValidation sqref="W5:W54" showDropDown="0" showInputMessage="0" showErrorMessage="0" allowBlank="0" type="list">
      <formula1>"Yes,Partial,No,N/A"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8" customWidth="1" min="18" max="18"/>
    <col width="18" customWidth="1" min="19" max="19"/>
    <col width="18" customWidth="1" min="20" max="20"/>
    <col width="20" customWidth="1" min="21" max="21"/>
    <col width="18" customWidth="1" min="22" max="22"/>
    <col width="14" customWidth="1" min="23" max="23"/>
    <col width="18" customWidth="1" min="24" max="24"/>
  </cols>
  <sheetData>
    <row r="1" ht="35" customHeight="1">
      <c r="A1" s="11" t="inlineStr">
        <is>
          <t>ENCRYPTION CONFIGURATION
Policy Requirement: Encryption at rest and in transit, key management, secure key storage (Policy S5 Section 9.2)</t>
        </is>
      </c>
    </row>
    <row r="2" ht="30" customHeight="1">
      <c r="A2" s="12" t="inlineStr">
        <is>
          <t>Assessment Question: Are encryption controls properly configured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Encryption At Rest</t>
        </is>
      </c>
      <c r="S3" s="13" t="inlineStr">
        <is>
          <t>Encryption In Transit</t>
        </is>
      </c>
      <c r="T3" s="13" t="inlineStr">
        <is>
          <t>Encryption Algorithm</t>
        </is>
      </c>
      <c r="U3" s="13" t="inlineStr">
        <is>
          <t>Key Management</t>
        </is>
      </c>
      <c r="V3" s="13" t="inlineStr">
        <is>
          <t>Key Rotation Period</t>
        </is>
      </c>
      <c r="W3" s="13" t="inlineStr">
        <is>
          <t>HSM Used</t>
        </is>
      </c>
      <c r="X3" s="13" t="inlineStr">
        <is>
          <t>Last Key Rotation</t>
        </is>
      </c>
    </row>
    <row r="4">
      <c r="A4" s="14" t="inlineStr">
        <is>
          <t>ENC-EXAMPLE</t>
        </is>
      </c>
      <c r="B4" s="14" t="inlineStr">
        <is>
          <t>Azure Blob Storage — PII Data</t>
        </is>
      </c>
      <c r="C4" s="14" t="inlineStr">
        <is>
          <t>Microsoft Corporation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High</t>
        </is>
      </c>
      <c r="G4" s="14" t="inlineStr">
        <is>
          <t>Confidential</t>
        </is>
      </c>
      <c r="H4" s="14" t="inlineStr">
        <is>
          <t>AES-256 at rest, TLS 1.3 in transit, CMK via Azure Key Vault</t>
        </is>
      </c>
      <c r="I4" s="14" t="inlineStr">
        <is>
          <t>✅ Compliant</t>
        </is>
      </c>
      <c r="J4" s="14" t="inlineStr">
        <is>
          <t>/evidence/encryption/azure-key-vault-config.pdf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CONCATENATE("ENC-",TEXT(ROW()-4,"000"))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CONCATENATE("ENC-",TEXT(ROW()-4,"000"))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CONCATENATE("ENC-",TEXT(ROW()-4,"000"))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CONCATENATE("ENC-",TEXT(ROW()-4,"000"))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CONCATENATE("ENC-",TEXT(ROW()-4,"000"))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CONCATENATE("ENC-",TEXT(ROW()-4,"000"))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CONCATENATE("ENC-",TEXT(ROW()-4,"000"))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CONCATENATE("ENC-",TEXT(ROW()-4,"000"))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CONCATENATE("ENC-",TEXT(ROW()-4,"000"))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CONCATENATE("ENC-",TEXT(ROW()-4,"000"))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CONCATENATE("ENC-",TEXT(ROW()-4,"000"))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CONCATENATE("ENC-",TEXT(ROW()-4,"000"))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CONCATENATE("ENC-",TEXT(ROW()-4,"000"))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CONCATENATE("ENC-",TEXT(ROW()-4,"000"))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CONCATENATE("ENC-",TEXT(ROW()-4,"000"))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CONCATENATE("ENC-",TEXT(ROW()-4,"000"))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CONCATENATE("ENC-",TEXT(ROW()-4,"000"))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CONCATENATE("ENC-",TEXT(ROW()-4,"000"))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CONCATENATE("ENC-",TEXT(ROW()-4,"000"))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CONCATENATE("ENC-",TEXT(ROW()-4,"000"))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CONCATENATE("ENC-",TEXT(ROW()-4,"000"))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CONCATENATE("ENC-",TEXT(ROW()-4,"000"))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CONCATENATE("ENC-",TEXT(ROW()-4,"000"))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CONCATENATE("ENC-",TEXT(ROW()-4,"000"))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CONCATENATE("ENC-",TEXT(ROW()-4,"000"))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CONCATENATE("ENC-",TEXT(ROW()-4,"000"))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CONCATENATE("ENC-",TEXT(ROW()-4,"000"))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CONCATENATE("ENC-",TEXT(ROW()-4,"000"))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CONCATENATE("ENC-",TEXT(ROW()-4,"000"))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CONCATENATE("ENC-",TEXT(ROW()-4,"000"))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CONCATENATE("ENC-",TEXT(ROW()-4,"000"))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CONCATENATE("ENC-",TEXT(ROW()-4,"000"))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CONCATENATE("ENC-",TEXT(ROW()-4,"000"))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CONCATENATE("ENC-",TEXT(ROW()-4,"000"))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CONCATENATE("ENC-",TEXT(ROW()-4,"000"))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CONCATENATE("ENC-",TEXT(ROW()-4,"000"))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CONCATENATE("ENC-",TEXT(ROW()-4,"000"))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CONCATENATE("ENC-",TEXT(ROW()-4,"000"))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CONCATENATE("ENC-",TEXT(ROW()-4,"000"))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CONCATENATE("ENC-",TEXT(ROW()-4,"000"))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CONCATENATE("ENC-",TEXT(ROW()-4,"000"))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CONCATENATE("ENC-",TEXT(ROW()-4,"000"))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CONCATENATE("ENC-",TEXT(ROW()-4,"000"))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CONCATENATE("ENC-",TEXT(ROW()-4,"000"))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CONCATENATE("ENC-",TEXT(ROW()-4,"000"))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CONCATENATE("ENC-",TEXT(ROW()-4,"000"))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CONCATENATE("ENC-",TEXT(ROW()-4,"000"))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CONCATENATE("ENC-",TEXT(ROW()-4,"000"))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CONCATENATE("ENC-",TEXT(ROW()-4,"000"))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CONCATENATE("ENC-",TEXT(ROW()-4,"000"))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TLS 1.2+ enforced for all connections</t>
        </is>
      </c>
      <c r="C59" t="inlineStr">
        <is>
          <t>TLS config, SSL scan</t>
        </is>
      </c>
    </row>
    <row r="60">
      <c r="A60" t="inlineStr">
        <is>
          <t>☐</t>
        </is>
      </c>
      <c r="B60" t="inlineStr">
        <is>
          <t>AES-256 encryption at rest enabled</t>
        </is>
      </c>
      <c r="C60" t="inlineStr">
        <is>
          <t>Encryption settings</t>
        </is>
      </c>
    </row>
    <row r="61">
      <c r="A61" t="inlineStr">
        <is>
          <t>☐</t>
        </is>
      </c>
      <c r="B61" t="inlineStr">
        <is>
          <t>Encryption keys stored securely (HSM/KMS)</t>
        </is>
      </c>
      <c r="C61" t="inlineStr">
        <is>
          <t>Key management config</t>
        </is>
      </c>
    </row>
    <row r="62">
      <c r="A62" t="inlineStr">
        <is>
          <t>☐</t>
        </is>
      </c>
      <c r="B62" t="inlineStr">
        <is>
          <t>Key rotation policy implemented</t>
        </is>
      </c>
      <c r="C62" t="inlineStr">
        <is>
          <t>Rotation schedule</t>
        </is>
      </c>
    </row>
    <row r="63">
      <c r="A63" t="inlineStr">
        <is>
          <t>☐</t>
        </is>
      </c>
      <c r="B63" t="inlineStr">
        <is>
          <t>Customer-managed keys (CMK) used for sensitive data</t>
        </is>
      </c>
      <c r="C63" t="inlineStr">
        <is>
          <t>CMK configuration</t>
        </is>
      </c>
    </row>
    <row r="64">
      <c r="A64" t="inlineStr">
        <is>
          <t>☐</t>
        </is>
      </c>
      <c r="B64" t="inlineStr">
        <is>
          <t>Key access logged and monitored</t>
        </is>
      </c>
      <c r="C64" t="inlineStr">
        <is>
          <t>Key access logs</t>
        </is>
      </c>
    </row>
    <row r="65">
      <c r="A65" t="inlineStr">
        <is>
          <t>☐</t>
        </is>
      </c>
      <c r="B65" t="inlineStr">
        <is>
          <t>Encryption validated for backups</t>
        </is>
      </c>
      <c r="C65" t="inlineStr">
        <is>
          <t>Backup encryption check</t>
        </is>
      </c>
    </row>
    <row r="66">
      <c r="A66" t="inlineStr">
        <is>
          <t>☐</t>
        </is>
      </c>
      <c r="B66" t="inlineStr">
        <is>
          <t>Secure deletion process documented</t>
        </is>
      </c>
      <c r="C66" t="inlineStr">
        <is>
          <t>Deletion procedures</t>
        </is>
      </c>
    </row>
  </sheetData>
  <mergeCells count="2">
    <mergeCell ref="A2:X2"/>
    <mergeCell ref="A1:X1"/>
  </mergeCells>
  <dataValidations count="13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" showDropDown="0" showInputMessage="0" showErrorMessage="0" allowBlank="0" type="list">
      <formula1>"Yes (Provider Key),Yes (CMK),No,N/A"</formula1>
    </dataValidation>
    <dataValidation sqref="S5:S54" showDropDown="0" showInputMessage="0" showErrorMessage="0" allowBlank="0" type="list">
      <formula1>"Yes (TLS 1.3),Yes (TLS 1.2),No,N/A"</formula1>
    </dataValidation>
    <dataValidation sqref="T5:T54" showDropDown="0" showInputMessage="0" showErrorMessage="0" allowBlank="0" type="list">
      <formula1>"AES-256,AES-128,ChaCha20,Other,Unknown"</formula1>
    </dataValidation>
    <dataValidation sqref="U5:U54" showDropDown="0" showInputMessage="0" showErrorMessage="0" allowBlank="0" type="list">
      <formula1>"Provider Managed,Customer Managed (HSM),Customer Managed (Software),N/A"</formula1>
    </dataValidation>
    <dataValidation sqref="V5:V54" showDropDown="0" showInputMessage="0" showErrorMessage="0" allowBlank="0" type="list">
      <formula1>"90 days,180 days,365 days,Manual,N/A"</formula1>
    </dataValidation>
    <dataValidation sqref="W5:W54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16" customWidth="1" min="22" max="22"/>
    <col width="16" customWidth="1" min="23" max="23"/>
    <col width="16" customWidth="1" min="24" max="24"/>
  </cols>
  <sheetData>
    <row r="1" ht="35" customHeight="1">
      <c r="A1" s="11" t="inlineStr">
        <is>
          <t>DEPLOYMENT CHECKLIST
Policy Requirement: Pre-deployment validation, security approval, backup testing, monitoring (Policy S5 Section 5.2)</t>
        </is>
      </c>
    </row>
    <row r="2" ht="30" customHeight="1">
      <c r="A2" s="12" t="inlineStr">
        <is>
          <t>Assessment Question: Have all deployment security requirements been met for your cloud services?</t>
        </is>
      </c>
    </row>
    <row r="3">
      <c r="A3" s="13" t="inlineStr">
        <is>
          <t>Assessment ID</t>
        </is>
      </c>
      <c r="B3" s="13" t="inlineStr">
        <is>
          <t>Cloud Service Name</t>
        </is>
      </c>
      <c r="C3" s="13" t="inlineStr">
        <is>
          <t>Vendor Name</t>
        </is>
      </c>
      <c r="D3" s="13" t="inlineStr">
        <is>
          <t>Service Type</t>
        </is>
      </c>
      <c r="E3" s="13" t="inlineStr">
        <is>
          <t>Environment</t>
        </is>
      </c>
      <c r="F3" s="13" t="inlineStr">
        <is>
          <t>Service Criticality</t>
        </is>
      </c>
      <c r="G3" s="13" t="inlineStr">
        <is>
          <t>Data Classification</t>
        </is>
      </c>
      <c r="H3" s="13" t="inlineStr">
        <is>
          <t>Configuration Item</t>
        </is>
      </c>
      <c r="I3" s="13" t="inlineStr">
        <is>
          <t>Status</t>
        </is>
      </c>
      <c r="J3" s="13" t="inlineStr">
        <is>
          <t>Evidence Location</t>
        </is>
      </c>
      <c r="K3" s="13" t="inlineStr">
        <is>
          <t>Gap Description</t>
        </is>
      </c>
      <c r="L3" s="13" t="inlineStr">
        <is>
          <t>Remediation Needed</t>
        </is>
      </c>
      <c r="M3" s="13" t="inlineStr">
        <is>
          <t>Exception ID</t>
        </is>
      </c>
      <c r="N3" s="13" t="inlineStr">
        <is>
          <t>Risk ID</t>
        </is>
      </c>
      <c r="O3" s="13" t="inlineStr">
        <is>
          <t>Compensating Controls</t>
        </is>
      </c>
      <c r="P3" s="13" t="inlineStr">
        <is>
          <t>Responsible Team</t>
        </is>
      </c>
      <c r="Q3" s="13" t="inlineStr">
        <is>
          <t>Target Remediation Date</t>
        </is>
      </c>
      <c r="R3" s="13" t="inlineStr">
        <is>
          <t>Pre Deploy Scan</t>
        </is>
      </c>
      <c r="S3" s="13" t="inlineStr">
        <is>
          <t>Security Approved</t>
        </is>
      </c>
      <c r="T3" s="13" t="inlineStr">
        <is>
          <t>Backup Tested</t>
        </is>
      </c>
      <c r="U3" s="13" t="inlineStr">
        <is>
          <t>Monitoring Enabled</t>
        </is>
      </c>
      <c r="V3" s="13" t="inlineStr">
        <is>
          <t>Runbook Available</t>
        </is>
      </c>
      <c r="W3" s="13" t="inlineStr">
        <is>
          <t>Rollback Plan</t>
        </is>
      </c>
      <c r="X3" s="13" t="inlineStr">
        <is>
          <t>Deployment Date</t>
        </is>
      </c>
    </row>
    <row r="4">
      <c r="A4" s="14" t="inlineStr">
        <is>
          <t>DEP-EXAMPLE</t>
        </is>
      </c>
      <c r="B4" s="14" t="inlineStr">
        <is>
          <t>Terraform IaC — AWS Production</t>
        </is>
      </c>
      <c r="C4" s="14" t="inlineStr">
        <is>
          <t>Amazon Web Services</t>
        </is>
      </c>
      <c r="D4" s="14" t="inlineStr">
        <is>
          <t>IaaS</t>
        </is>
      </c>
      <c r="E4" s="14" t="inlineStr">
        <is>
          <t>Production</t>
        </is>
      </c>
      <c r="F4" s="14" t="inlineStr">
        <is>
          <t>Critical</t>
        </is>
      </c>
      <c r="G4" s="14" t="inlineStr">
        <is>
          <t>Confidential</t>
        </is>
      </c>
      <c r="H4" s="14" t="inlineStr">
        <is>
          <t>Pre-deploy SAST scan + CI/CD security gate + Change Advisory Board approval</t>
        </is>
      </c>
      <c r="I4" s="14" t="inlineStr">
        <is>
          <t>✅ Compliant</t>
        </is>
      </c>
      <c r="J4" s="14" t="inlineStr">
        <is>
          <t>/evidence/deploy/terraform-sast-report-20260115.pdf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4" t="inlineStr"/>
      <c r="V4" s="14" t="inlineStr"/>
      <c r="W4" s="14" t="inlineStr"/>
      <c r="X4" s="14" t="inlineStr"/>
    </row>
    <row r="5">
      <c r="A5">
        <f>CONCATENATE("DEP-",TEXT(ROW()-4,"000"))</f>
        <v/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>
        <f>CONCATENATE("DEP-",TEXT(ROW()-4,"000"))</f>
        <v/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>
        <f>CONCATENATE("DEP-",TEXT(ROW()-4,"000"))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>
        <f>CONCATENATE("DEP-",TEXT(ROW()-4,"000"))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>
        <f>CONCATENATE("DEP-",TEXT(ROW()-4,"000"))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>
        <f>CONCATENATE("DEP-",TEXT(ROW()-4,"000"))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>
        <f>CONCATENATE("DEP-",TEXT(ROW()-4,"000"))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>
        <f>CONCATENATE("DEP-",TEXT(ROW()-4,"000"))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>
        <f>CONCATENATE("DEP-",TEXT(ROW()-4,"000"))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>
        <f>CONCATENATE("DEP-",TEXT(ROW()-4,"000"))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>
        <f>CONCATENATE("DEP-",TEXT(ROW()-4,"000"))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</row>
    <row r="16">
      <c r="A16">
        <f>CONCATENATE("DEP-",TEXT(ROW()-4,"000"))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</row>
    <row r="17">
      <c r="A17">
        <f>CONCATENATE("DEP-",TEXT(ROW()-4,"000"))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</row>
    <row r="18">
      <c r="A18">
        <f>CONCATENATE("DEP-",TEXT(ROW()-4,"000"))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</row>
    <row r="19">
      <c r="A19">
        <f>CONCATENATE("DEP-",TEXT(ROW()-4,"000"))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</row>
    <row r="20">
      <c r="A20">
        <f>CONCATENATE("DEP-",TEXT(ROW()-4,"000"))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</row>
    <row r="21">
      <c r="A21">
        <f>CONCATENATE("DEP-",TEXT(ROW()-4,"000"))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</row>
    <row r="22">
      <c r="A22">
        <f>CONCATENATE("DEP-",TEXT(ROW()-4,"000"))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</row>
    <row r="23">
      <c r="A23">
        <f>CONCATENATE("DEP-",TEXT(ROW()-4,"000"))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</row>
    <row r="24">
      <c r="A24">
        <f>CONCATENATE("DEP-",TEXT(ROW()-4,"000"))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</row>
    <row r="25">
      <c r="A25">
        <f>CONCATENATE("DEP-",TEXT(ROW()-4,"000"))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</row>
    <row r="26">
      <c r="A26">
        <f>CONCATENATE("DEP-",TEXT(ROW()-4,"000"))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</row>
    <row r="27">
      <c r="A27">
        <f>CONCATENATE("DEP-",TEXT(ROW()-4,"000"))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</row>
    <row r="28">
      <c r="A28">
        <f>CONCATENATE("DEP-",TEXT(ROW()-4,"000"))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</row>
    <row r="29">
      <c r="A29">
        <f>CONCATENATE("DEP-",TEXT(ROW()-4,"000"))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</row>
    <row r="30">
      <c r="A30">
        <f>CONCATENATE("DEP-",TEXT(ROW()-4,"000"))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</row>
    <row r="31">
      <c r="A31">
        <f>CONCATENATE("DEP-",TEXT(ROW()-4,"000"))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</row>
    <row r="32">
      <c r="A32">
        <f>CONCATENATE("DEP-",TEXT(ROW()-4,"000"))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</row>
    <row r="33">
      <c r="A33">
        <f>CONCATENATE("DEP-",TEXT(ROW()-4,"000"))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</row>
    <row r="34">
      <c r="A34">
        <f>CONCATENATE("DEP-",TEXT(ROW()-4,"000"))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</row>
    <row r="35">
      <c r="A35">
        <f>CONCATENATE("DEP-",TEXT(ROW()-4,"000"))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</row>
    <row r="36">
      <c r="A36">
        <f>CONCATENATE("DEP-",TEXT(ROW()-4,"000"))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</row>
    <row r="37">
      <c r="A37">
        <f>CONCATENATE("DEP-",TEXT(ROW()-4,"000"))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</row>
    <row r="38">
      <c r="A38">
        <f>CONCATENATE("DEP-",TEXT(ROW()-4,"000"))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</row>
    <row r="39">
      <c r="A39">
        <f>CONCATENATE("DEP-",TEXT(ROW()-4,"000"))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  <c r="U39" s="15" t="inlineStr"/>
      <c r="V39" s="15" t="inlineStr"/>
      <c r="W39" s="15" t="inlineStr"/>
      <c r="X39" s="15" t="inlineStr"/>
    </row>
    <row r="40">
      <c r="A40">
        <f>CONCATENATE("DEP-",TEXT(ROW()-4,"000"))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</row>
    <row r="41">
      <c r="A41">
        <f>CONCATENATE("DEP-",TEXT(ROW()-4,"000"))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</row>
    <row r="42">
      <c r="A42">
        <f>CONCATENATE("DEP-",TEXT(ROW()-4,"000"))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</row>
    <row r="43">
      <c r="A43">
        <f>CONCATENATE("DEP-",TEXT(ROW()-4,"000"))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</row>
    <row r="44">
      <c r="A44">
        <f>CONCATENATE("DEP-",TEXT(ROW()-4,"000"))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</row>
    <row r="45">
      <c r="A45">
        <f>CONCATENATE("DEP-",TEXT(ROW()-4,"000"))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</row>
    <row r="46">
      <c r="A46">
        <f>CONCATENATE("DEP-",TEXT(ROW()-4,"000"))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</row>
    <row r="47">
      <c r="A47">
        <f>CONCATENATE("DEP-",TEXT(ROW()-4,"000"))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</row>
    <row r="48">
      <c r="A48">
        <f>CONCATENATE("DEP-",TEXT(ROW()-4,"000"))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</row>
    <row r="49">
      <c r="A49">
        <f>CONCATENATE("DEP-",TEXT(ROW()-4,"000"))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</row>
    <row r="50">
      <c r="A50">
        <f>CONCATENATE("DEP-",TEXT(ROW()-4,"000"))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</row>
    <row r="51">
      <c r="A51">
        <f>CONCATENATE("DEP-",TEXT(ROW()-4,"000"))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</row>
    <row r="52">
      <c r="A52">
        <f>CONCATENATE("DEP-",TEXT(ROW()-4,"000"))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5" t="inlineStr"/>
      <c r="W52" s="15" t="inlineStr"/>
      <c r="X52" s="15" t="inlineStr"/>
    </row>
    <row r="53">
      <c r="A53">
        <f>CONCATENATE("DEP-",TEXT(ROW()-4,"000"))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</row>
    <row r="54">
      <c r="A54">
        <f>CONCATENATE("DEP-",TEXT(ROW()-4,"000"))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</row>
    <row r="57">
      <c r="A57" s="16" t="inlineStr">
        <is>
          <t>COMPLIANCE CHECKLIST</t>
        </is>
      </c>
    </row>
    <row r="58">
      <c r="A58" s="17" t="inlineStr">
        <is>
          <t>☐</t>
        </is>
      </c>
      <c r="B58" s="17" t="inlineStr">
        <is>
          <t>Requirement</t>
        </is>
      </c>
      <c r="C58" s="17" t="inlineStr">
        <is>
          <t>Evidence</t>
        </is>
      </c>
    </row>
    <row r="59">
      <c r="A59" t="inlineStr">
        <is>
          <t>☐</t>
        </is>
      </c>
      <c r="B59" t="inlineStr">
        <is>
          <t>Pre-deployment security scan completed</t>
        </is>
      </c>
      <c r="C59" t="inlineStr">
        <is>
          <t>Scan report</t>
        </is>
      </c>
    </row>
    <row r="60">
      <c r="A60" t="inlineStr">
        <is>
          <t>☐</t>
        </is>
      </c>
      <c r="B60" t="inlineStr">
        <is>
          <t>Security team approval obtained</t>
        </is>
      </c>
      <c r="C60" t="inlineStr">
        <is>
          <t>Approval ticket</t>
        </is>
      </c>
    </row>
    <row r="61">
      <c r="A61" t="inlineStr">
        <is>
          <t>☐</t>
        </is>
      </c>
      <c r="B61" t="inlineStr">
        <is>
          <t>Backup and recovery tested</t>
        </is>
      </c>
      <c r="C61" t="inlineStr">
        <is>
          <t>Test results</t>
        </is>
      </c>
    </row>
    <row r="62">
      <c r="A62" t="inlineStr">
        <is>
          <t>☐</t>
        </is>
      </c>
      <c r="B62" t="inlineStr">
        <is>
          <t>Monitoring and alerting configured</t>
        </is>
      </c>
      <c r="C62" t="inlineStr">
        <is>
          <t>Monitoring config</t>
        </is>
      </c>
    </row>
    <row r="63">
      <c r="A63" t="inlineStr">
        <is>
          <t>☐</t>
        </is>
      </c>
      <c r="B63" t="inlineStr">
        <is>
          <t>Deployment runbook available</t>
        </is>
      </c>
      <c r="C63" t="inlineStr">
        <is>
          <t>Runbook document</t>
        </is>
      </c>
    </row>
    <row r="64">
      <c r="A64" t="inlineStr">
        <is>
          <t>☐</t>
        </is>
      </c>
      <c r="B64" t="inlineStr">
        <is>
          <t>Rollback plan documented and tested</t>
        </is>
      </c>
      <c r="C64" t="inlineStr">
        <is>
          <t>Rollback procedure</t>
        </is>
      </c>
    </row>
    <row r="65">
      <c r="A65" t="inlineStr">
        <is>
          <t>☐</t>
        </is>
      </c>
      <c r="B65" t="inlineStr">
        <is>
          <t>Production deployment authorised</t>
        </is>
      </c>
      <c r="C65" t="inlineStr">
        <is>
          <t>Change approval</t>
        </is>
      </c>
    </row>
    <row r="66">
      <c r="A66" t="inlineStr">
        <is>
          <t>☐</t>
        </is>
      </c>
      <c r="B66" t="inlineStr">
        <is>
          <t>Post-deployment validation completed</t>
        </is>
      </c>
      <c r="C66" t="inlineStr">
        <is>
          <t>Validation report</t>
        </is>
      </c>
    </row>
    <row r="67">
      <c r="A67" t="inlineStr">
        <is>
          <t>☐</t>
        </is>
      </c>
      <c r="B67" t="inlineStr">
        <is>
          <t>Infrastructure-as-Code (IaC) templates scanned for misconfigurations prior to deployment (Terraform, ARM, CloudFormation)</t>
        </is>
      </c>
      <c r="C67" t="inlineStr">
        <is>
          <t>IaC scan report, pipeline security gate evidence</t>
        </is>
      </c>
    </row>
  </sheetData>
  <mergeCells count="2">
    <mergeCell ref="A2:X2"/>
    <mergeCell ref="A1:X1"/>
  </mergeCells>
  <dataValidations count="8">
    <dataValidation sqref="D5:D54" showDropDown="0" showInputMessage="0" showErrorMessage="0" allowBlank="0" type="list">
      <formula1>"SaaS,IaaS,PaaS,Security Service,Cloud Storage,Other"</formula1>
    </dataValidation>
    <dataValidation sqref="E5:E54" showDropDown="0" showInputMessage="0" showErrorMessage="0" allowBlank="0" type="list">
      <formula1>"Production,Staging,Development,Test,All"</formula1>
    </dataValidation>
    <dataValidation sqref="F5:F54" showDropDown="0" showInputMessage="0" showErrorMessage="0" allowBlank="0" type="list">
      <formula1>"Critical,High,Medium,Low"</formula1>
    </dataValidation>
    <dataValidation sqref="G5:G54" showDropDown="0" showInputMessage="0" showErrorMessage="0" allowBlank="0" type="list">
      <formula1>"Restricted,Confidential,Internal,Public,N/A"</formula1>
    </dataValidation>
    <dataValidation sqref="I5:I54" showDropDown="0" showInputMessage="0" showErrorMessage="0" allowBlank="0" type="list">
      <formula1>"✅ Compliant,⚠️ Partial,❌ Non-Compliant,N/A"</formula1>
    </dataValidation>
    <dataValidation sqref="L5:L54" showDropDown="0" showInputMessage="0" showErrorMessage="0" allowBlank="0" type="list">
      <formula1>"Yes,No"</formula1>
    </dataValidation>
    <dataValidation sqref="P5:P54" showDropDown="0" showInputMessage="0" showErrorMessage="0" allowBlank="0" type="list">
      <formula1>"DevOpsSec,DevOps,Cloud Teams,IT Operations,Security"</formula1>
    </dataValidation>
    <dataValidation sqref="R5:R54 S5:S54 T5:T54 U5:U54 V5:V54 W5:W54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35" customHeight="1">
      <c r="A1" s="11" t="inlineStr">
        <is>
          <t>JURISDICTIONAL RISK ASSESSMENT</t>
        </is>
      </c>
    </row>
    <row r="2" ht="25" customHeight="1">
      <c r="A2" s="12" t="inlineStr">
        <is>
          <t>CLOUD Act, Data Sovereignty, and Cross-Border Transfer Analysis</t>
        </is>
      </c>
    </row>
    <row r="3" ht="30" customHeight="1">
      <c r="A3" s="18" t="inlineStr">
        <is>
          <t>⚠ US-headquartered providers may be compelled to disclose data under CLOUD Act regardless of data location.</t>
        </is>
      </c>
    </row>
    <row r="5">
      <c r="A5" s="13" t="inlineStr">
        <is>
          <t>Assessment ID</t>
        </is>
      </c>
      <c r="B5" s="13" t="inlineStr">
        <is>
          <t>Cloud Service Name</t>
        </is>
      </c>
      <c r="C5" s="13" t="inlineStr">
        <is>
          <t>Provider Name</t>
        </is>
      </c>
      <c r="D5" s="13" t="inlineStr">
        <is>
          <t>Provider HQ Country</t>
        </is>
      </c>
      <c r="E5" s="13" t="inlineStr">
        <is>
          <t>Provider HQ Jurisdiction</t>
        </is>
      </c>
      <c r="F5" s="13" t="inlineStr">
        <is>
          <t>US Parent Company</t>
        </is>
      </c>
      <c r="G5" s="13" t="inlineStr">
        <is>
          <t>CLOUD Act Applicability</t>
        </is>
      </c>
      <c r="H5" s="13" t="inlineStr">
        <is>
          <t>Data Processing Locations</t>
        </is>
      </c>
      <c r="I5" s="13" t="inlineStr">
        <is>
          <t>EU Data Boundary Available</t>
        </is>
      </c>
      <c r="J5" s="13" t="inlineStr">
        <is>
          <t>Customer Managed Keys</t>
        </is>
      </c>
      <c r="K5" s="13" t="inlineStr">
        <is>
          <t>Legal Challenge Commitment</t>
        </is>
      </c>
      <c r="L5" s="13" t="inlineStr">
        <is>
          <t>Adequacy Decision Status</t>
        </is>
      </c>
      <c r="M5" s="13" t="inlineStr">
        <is>
          <t>Transfer Mechanism</t>
        </is>
      </c>
      <c r="N5" s="13" t="inlineStr">
        <is>
          <t>Risk Level</t>
        </is>
      </c>
      <c r="O5" s="13" t="inlineStr">
        <is>
          <t>Risk Accepted By</t>
        </is>
      </c>
      <c r="P5" s="13" t="inlineStr">
        <is>
          <t>Risk Acceptance Date</t>
        </is>
      </c>
      <c r="Q5" s="13" t="inlineStr">
        <is>
          <t>Compensating Controls</t>
        </is>
      </c>
      <c r="R5" s="13" t="inlineStr">
        <is>
          <t>Review Date</t>
        </is>
      </c>
      <c r="S5" s="13" t="inlineStr">
        <is>
          <t>Evidence Reference</t>
        </is>
      </c>
      <c r="T5" s="13" t="inlineStr">
        <is>
          <t>Notes</t>
        </is>
      </c>
    </row>
    <row r="6">
      <c r="A6" s="14" t="inlineStr">
        <is>
          <t>JRA-EXAMPLE</t>
        </is>
      </c>
      <c r="B6" s="14" t="inlineStr">
        <is>
          <t>Microsoft 365 (SaaS)</t>
        </is>
      </c>
      <c r="C6" s="14" t="inlineStr">
        <is>
          <t>Microsoft Corporation</t>
        </is>
      </c>
      <c r="D6" s="14" t="inlineStr">
        <is>
          <t>United States</t>
        </is>
      </c>
      <c r="E6" s="14" t="inlineStr">
        <is>
          <t>United States</t>
        </is>
      </c>
      <c r="F6" s="14" t="inlineStr">
        <is>
          <t>No</t>
        </is>
      </c>
      <c r="G6" s="14" t="inlineStr">
        <is>
          <t>Mitigated (EU Data Boundary)</t>
        </is>
      </c>
      <c r="H6" s="14" t="inlineStr">
        <is>
          <t>EU (West Europe — Amsterdam, North Europe — Dublin)</t>
        </is>
      </c>
      <c r="I6" s="14" t="inlineStr">
        <is>
          <t>Yes</t>
        </is>
      </c>
      <c r="J6" s="14" t="inlineStr">
        <is>
          <t>Yes</t>
        </is>
      </c>
      <c r="K6" s="14" t="inlineStr">
        <is>
          <t>Yes</t>
        </is>
      </c>
      <c r="L6" s="14" t="inlineStr">
        <is>
          <t>Adequacy Decision (Swiss-US DPF)</t>
        </is>
      </c>
      <c r="M6" s="14" t="inlineStr">
        <is>
          <t>SCCs</t>
        </is>
      </c>
      <c r="N6" s="14" t="inlineStr">
        <is>
          <t>Medium</t>
        </is>
      </c>
      <c r="O6" s="14" t="inlineStr">
        <is>
          <t>CISO</t>
        </is>
      </c>
      <c r="P6" s="14" t="inlineStr">
        <is>
          <t>15.01.2026</t>
        </is>
      </c>
      <c r="Q6" s="14" t="inlineStr">
        <is>
          <t>EU Data Boundary enabled + Customer Lockbox</t>
        </is>
      </c>
      <c r="R6" s="14" t="inlineStr">
        <is>
          <t>15.01.2027</t>
        </is>
      </c>
      <c r="S6" s="14" t="inlineStr">
        <is>
          <t>EV-JRA-EXAMPLE</t>
        </is>
      </c>
      <c r="T6" s="14" t="inlineStr">
        <is>
          <t>Example entry — replace with your organisation's assessment</t>
        </is>
      </c>
    </row>
    <row r="7">
      <c r="A7">
        <f>CONCATENATE("JRA-",TEXT(ROW()-6,"000"))</f>
        <v/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</row>
    <row r="8">
      <c r="A8">
        <f>CONCATENATE("JRA-",TEXT(ROW()-6,"000"))</f>
        <v/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</row>
    <row r="9">
      <c r="A9">
        <f>CONCATENATE("JRA-",TEXT(ROW()-6,"000"))</f>
        <v/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</row>
    <row r="10">
      <c r="A10">
        <f>CONCATENATE("JRA-",TEXT(ROW()-6,"000"))</f>
        <v/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</row>
    <row r="11">
      <c r="A11">
        <f>CONCATENATE("JRA-",TEXT(ROW()-6,"000"))</f>
        <v/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</row>
    <row r="12">
      <c r="A12">
        <f>CONCATENATE("JRA-",TEXT(ROW()-6,"000"))</f>
        <v/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</row>
    <row r="13">
      <c r="A13">
        <f>CONCATENATE("JRA-",TEXT(ROW()-6,"000"))</f>
        <v/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</row>
    <row r="14">
      <c r="A14">
        <f>CONCATENATE("JRA-",TEXT(ROW()-6,"000"))</f>
        <v/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</row>
    <row r="15">
      <c r="A15">
        <f>CONCATENATE("JRA-",TEXT(ROW()-6,"000"))</f>
        <v/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</row>
    <row r="16">
      <c r="A16">
        <f>CONCATENATE("JRA-",TEXT(ROW()-6,"000"))</f>
        <v/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</row>
    <row r="17">
      <c r="A17">
        <f>CONCATENATE("JRA-",TEXT(ROW()-6,"000"))</f>
        <v/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</row>
    <row r="18">
      <c r="A18">
        <f>CONCATENATE("JRA-",TEXT(ROW()-6,"000"))</f>
        <v/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</row>
    <row r="19">
      <c r="A19">
        <f>CONCATENATE("JRA-",TEXT(ROW()-6,"000"))</f>
        <v/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</row>
    <row r="20">
      <c r="A20">
        <f>CONCATENATE("JRA-",TEXT(ROW()-6,"000"))</f>
        <v/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</row>
    <row r="21">
      <c r="A21">
        <f>CONCATENATE("JRA-",TEXT(ROW()-6,"000"))</f>
        <v/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</row>
    <row r="22">
      <c r="A22">
        <f>CONCATENATE("JRA-",TEXT(ROW()-6,"000"))</f>
        <v/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</row>
    <row r="23">
      <c r="A23">
        <f>CONCATENATE("JRA-",TEXT(ROW()-6,"000"))</f>
        <v/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</row>
    <row r="24">
      <c r="A24">
        <f>CONCATENATE("JRA-",TEXT(ROW()-6,"000"))</f>
        <v/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</row>
    <row r="25">
      <c r="A25">
        <f>CONCATENATE("JRA-",TEXT(ROW()-6,"000"))</f>
        <v/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</row>
    <row r="26">
      <c r="A26">
        <f>CONCATENATE("JRA-",TEXT(ROW()-6,"000"))</f>
        <v/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</row>
    <row r="27">
      <c r="A27">
        <f>CONCATENATE("JRA-",TEXT(ROW()-6,"000"))</f>
        <v/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</row>
    <row r="28">
      <c r="A28">
        <f>CONCATENATE("JRA-",TEXT(ROW()-6,"000"))</f>
        <v/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</row>
    <row r="29">
      <c r="A29">
        <f>CONCATENATE("JRA-",TEXT(ROW()-6,"000"))</f>
        <v/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</row>
    <row r="30">
      <c r="A30">
        <f>CONCATENATE("JRA-",TEXT(ROW()-6,"000"))</f>
        <v/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</row>
    <row r="31">
      <c r="A31">
        <f>CONCATENATE("JRA-",TEXT(ROW()-6,"000"))</f>
        <v/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</row>
    <row r="32">
      <c r="A32">
        <f>CONCATENATE("JRA-",TEXT(ROW()-6,"000"))</f>
        <v/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</row>
    <row r="33">
      <c r="A33">
        <f>CONCATENATE("JRA-",TEXT(ROW()-6,"000"))</f>
        <v/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</row>
    <row r="34">
      <c r="A34">
        <f>CONCATENATE("JRA-",TEXT(ROW()-6,"000"))</f>
        <v/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</row>
    <row r="35">
      <c r="A35">
        <f>CONCATENATE("JRA-",TEXT(ROW()-6,"000"))</f>
        <v/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</row>
    <row r="36">
      <c r="A36">
        <f>CONCATENATE("JRA-",TEXT(ROW()-6,"000"))</f>
        <v/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  <c r="M36" s="15" t="inlineStr"/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</row>
    <row r="37">
      <c r="A37">
        <f>CONCATENATE("JRA-",TEXT(ROW()-6,"000"))</f>
        <v/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</row>
    <row r="38">
      <c r="A38">
        <f>CONCATENATE("JRA-",TEXT(ROW()-6,"000"))</f>
        <v/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</row>
    <row r="39">
      <c r="A39">
        <f>CONCATENATE("JRA-",TEXT(ROW()-6,"000"))</f>
        <v/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5" t="inlineStr"/>
      <c r="S39" s="15" t="inlineStr"/>
      <c r="T39" s="15" t="inlineStr"/>
    </row>
    <row r="40">
      <c r="A40">
        <f>CONCATENATE("JRA-",TEXT(ROW()-6,"000"))</f>
        <v/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</row>
    <row r="41">
      <c r="A41">
        <f>CONCATENATE("JRA-",TEXT(ROW()-6,"000"))</f>
        <v/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</row>
    <row r="42">
      <c r="A42">
        <f>CONCATENATE("JRA-",TEXT(ROW()-6,"000"))</f>
        <v/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</row>
    <row r="43">
      <c r="A43">
        <f>CONCATENATE("JRA-",TEXT(ROW()-6,"000"))</f>
        <v/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</row>
    <row r="44">
      <c r="A44">
        <f>CONCATENATE("JRA-",TEXT(ROW()-6,"000"))</f>
        <v/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</row>
    <row r="45">
      <c r="A45">
        <f>CONCATENATE("JRA-",TEXT(ROW()-6,"000"))</f>
        <v/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</row>
    <row r="46">
      <c r="A46">
        <f>CONCATENATE("JRA-",TEXT(ROW()-6,"000"))</f>
        <v/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5" t="inlineStr"/>
      <c r="M46" s="15" t="inlineStr"/>
      <c r="N46" s="15" t="inlineStr"/>
      <c r="O46" s="15" t="inlineStr"/>
      <c r="P46" s="15" t="inlineStr"/>
      <c r="Q46" s="15" t="inlineStr"/>
      <c r="R46" s="15" t="inlineStr"/>
      <c r="S46" s="15" t="inlineStr"/>
      <c r="T46" s="15" t="inlineStr"/>
    </row>
    <row r="47">
      <c r="A47">
        <f>CONCATENATE("JRA-",TEXT(ROW()-6,"000"))</f>
        <v/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</row>
    <row r="48">
      <c r="A48">
        <f>CONCATENATE("JRA-",TEXT(ROW()-6,"000"))</f>
        <v/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</row>
    <row r="49">
      <c r="A49">
        <f>CONCATENATE("JRA-",TEXT(ROW()-6,"000"))</f>
        <v/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</row>
    <row r="50">
      <c r="A50">
        <f>CONCATENATE("JRA-",TEXT(ROW()-6,"000"))</f>
        <v/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</row>
    <row r="51">
      <c r="A51">
        <f>CONCATENATE("JRA-",TEXT(ROW()-6,"000"))</f>
        <v/>
      </c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</row>
    <row r="52">
      <c r="A52">
        <f>CONCATENATE("JRA-",TEXT(ROW()-6,"000"))</f>
        <v/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</row>
    <row r="53">
      <c r="A53">
        <f>CONCATENATE("JRA-",TEXT(ROW()-6,"000"))</f>
        <v/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</row>
    <row r="54">
      <c r="A54">
        <f>CONCATENATE("JRA-",TEXT(ROW()-6,"000"))</f>
        <v/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</row>
    <row r="55">
      <c r="A55">
        <f>CONCATENATE("JRA-",TEXT(ROW()-6,"000"))</f>
        <v/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</row>
    <row r="56">
      <c r="A56">
        <f>CONCATENATE("JRA-",TEXT(ROW()-6,"000"))</f>
        <v/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</row>
    <row r="59">
      <c r="A59" s="16" t="inlineStr">
        <is>
          <t>JURISDICTIONAL RISK CHECKLIST</t>
        </is>
      </c>
    </row>
    <row r="60">
      <c r="A60" s="17" t="inlineStr">
        <is>
          <t>☐</t>
        </is>
      </c>
      <c r="B60" s="17" t="inlineStr">
        <is>
          <t>Requirement</t>
        </is>
      </c>
      <c r="C60" s="17" t="inlineStr">
        <is>
          <t>Evidence</t>
        </is>
      </c>
    </row>
    <row r="61">
      <c r="A61" t="inlineStr">
        <is>
          <t>☐</t>
        </is>
      </c>
      <c r="B61" t="inlineStr">
        <is>
          <t>Provider HQ jurisdiction identified and documented</t>
        </is>
      </c>
      <c r="C61" t="inlineStr">
        <is>
          <t>Vendor documentation</t>
        </is>
      </c>
    </row>
    <row r="62">
      <c r="A62" t="inlineStr">
        <is>
          <t>☐</t>
        </is>
      </c>
      <c r="B62" t="inlineStr">
        <is>
          <t>US parent company status verified</t>
        </is>
      </c>
      <c r="C62" t="inlineStr">
        <is>
          <t>Corporate structure review</t>
        </is>
      </c>
    </row>
    <row r="63">
      <c r="A63" t="inlineStr">
        <is>
          <t>☐</t>
        </is>
      </c>
      <c r="B63" t="inlineStr">
        <is>
          <t>CLOUD Act exposure assessed for US-nexus providers</t>
        </is>
      </c>
      <c r="C63" t="inlineStr">
        <is>
          <t>Legal review</t>
        </is>
      </c>
    </row>
    <row r="64">
      <c r="A64" t="inlineStr">
        <is>
          <t>☐</t>
        </is>
      </c>
      <c r="B64" t="inlineStr">
        <is>
          <t>Data processing locations documented in DPA</t>
        </is>
      </c>
      <c r="C64" t="inlineStr">
        <is>
          <t>DPA review</t>
        </is>
      </c>
    </row>
    <row r="65">
      <c r="A65" t="inlineStr">
        <is>
          <t>☐</t>
        </is>
      </c>
      <c r="B65" t="inlineStr">
        <is>
          <t>EU Data Boundary availability checked</t>
        </is>
      </c>
      <c r="C65" t="inlineStr">
        <is>
          <t>Vendor announcement/docs</t>
        </is>
      </c>
    </row>
    <row r="66">
      <c r="A66" t="inlineStr">
        <is>
          <t>☐</t>
        </is>
      </c>
      <c r="B66" t="inlineStr">
        <is>
          <t>Customer-managed encryption keys option evaluated</t>
        </is>
      </c>
      <c r="C66" t="inlineStr">
        <is>
          <t>Technical documentation</t>
        </is>
      </c>
    </row>
    <row r="67">
      <c r="A67" t="inlineStr">
        <is>
          <t>☐</t>
        </is>
      </c>
      <c r="B67" t="inlineStr">
        <is>
          <t>Legal challenge commitment verified</t>
        </is>
      </c>
      <c r="C67" t="inlineStr">
        <is>
          <t>Contract/Public statement</t>
        </is>
      </c>
    </row>
    <row r="68">
      <c r="A68" t="inlineStr">
        <is>
          <t>☐</t>
        </is>
      </c>
      <c r="B68" t="inlineStr">
        <is>
          <t>Transfer mechanism documented (SCCs, BCRs, etc.)</t>
        </is>
      </c>
      <c r="C68" t="inlineStr">
        <is>
          <t>DPA</t>
        </is>
      </c>
    </row>
    <row r="69">
      <c r="A69" t="inlineStr">
        <is>
          <t>☐</t>
        </is>
      </c>
      <c r="B69" t="inlineStr">
        <is>
          <t>Risk acceptance recorded if residual risk remains</t>
        </is>
      </c>
      <c r="C69" t="inlineStr">
        <is>
          <t>Risk register</t>
        </is>
      </c>
    </row>
    <row r="70">
      <c r="A70" t="inlineStr">
        <is>
          <t>☐</t>
        </is>
      </c>
      <c r="B70" t="inlineStr">
        <is>
          <t>Compensating controls documented for high-risk providers</t>
        </is>
      </c>
      <c r="C70" t="inlineStr">
        <is>
          <t>Control documentation</t>
        </is>
      </c>
    </row>
  </sheetData>
  <mergeCells count="3">
    <mergeCell ref="A1:T1"/>
    <mergeCell ref="A3:T3"/>
    <mergeCell ref="A2:T2"/>
  </mergeCells>
  <dataValidations count="7">
    <dataValidation sqref="E7:E56" showDropDown="0" showInputMessage="0" showErrorMessage="0" allowBlank="0" type="list">
      <formula1>"Switzerland,EU/EEA,United Kingdom,United States,Other Adequate Country,Non-Adequate Country"</formula1>
    </dataValidation>
    <dataValidation sqref="G7:G56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M7:M56" showDropDown="0" showInputMessage="0" showErrorMessage="0" allowBlank="0" type="list">
      <formula1>"SCCs,BCRs,Adequacy Decision,None,N/A"</formula1>
    </dataValidation>
    <dataValidation sqref="N7:N56" showDropDown="0" showInputMessage="0" showErrorMessage="0" allowBlank="0" type="list">
      <formula1>"Low,Medium,High,Critical"</formula1>
    </dataValidation>
    <dataValidation sqref="K7:K56" showDropDown="0" showInputMessage="0" showErrorMessage="0" allowBlank="0" type="list">
      <formula1>"Yes,No,Partial,Unknown"</formula1>
    </dataValidation>
    <dataValidation sqref="I7:I56 J7:J56" showDropDown="0" showInputMessage="0" showErrorMessage="0" allowBlank="0" type="list">
      <formula1>"Yes,No,Planned"</formula1>
    </dataValidation>
    <dataValidation sqref="F7:F56" showDropDown="0" showInputMessage="0" showErrorMessage="0" allowBlank="0" type="list">
      <formula1>"Yes,No,Unknown"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40" customWidth="1" min="5" max="5"/>
    <col width="35" customWidth="1" min="6" max="6"/>
    <col width="18" customWidth="1" min="7" max="7"/>
    <col width="14" customWidth="1" min="8" max="8"/>
  </cols>
  <sheetData>
    <row r="1" ht="35" customHeight="1">
      <c r="A1" s="19" t="inlineStr">
        <is>
          <t>EVIDENCE REGISTER</t>
        </is>
      </c>
    </row>
    <row r="2">
      <c r="A2" s="20" t="inlineStr">
        <is>
          <t>Record all configuration evidence, scan reports, and compliance documentation</t>
        </is>
      </c>
    </row>
    <row r="4">
      <c r="A4" s="21" t="inlineStr">
        <is>
          <t>Evidence ID</t>
        </is>
      </c>
      <c r="B4" s="21" t="inlineStr">
        <is>
          <t>Cloud Service</t>
        </is>
      </c>
      <c r="C4" s="21" t="inlineStr">
        <is>
          <t>Config Area</t>
        </is>
      </c>
      <c r="D4" s="21" t="inlineStr">
        <is>
          <t>Evidence Type</t>
        </is>
      </c>
      <c r="E4" s="21" t="inlineStr">
        <is>
          <t>Description</t>
        </is>
      </c>
      <c r="F4" s="21" t="inlineStr">
        <is>
          <t>Location/Path</t>
        </is>
      </c>
      <c r="G4" s="21" t="inlineStr">
        <is>
          <t>Captured By</t>
        </is>
      </c>
      <c r="H4" s="21" t="inlineStr">
        <is>
          <t>Status</t>
        </is>
      </c>
    </row>
    <row r="5">
      <c r="A5" s="22" t="inlineStr">
        <is>
          <t>EV-001</t>
        </is>
      </c>
      <c r="B5" s="22" t="inlineStr">
        <is>
          <t>Microsoft Azure</t>
        </is>
      </c>
      <c r="C5" s="22" t="inlineStr">
        <is>
          <t>Encryption</t>
        </is>
      </c>
      <c r="D5" s="22" t="inlineStr">
        <is>
          <t>Config Export</t>
        </is>
      </c>
      <c r="E5" s="22" t="inlineStr">
        <is>
          <t>AES-256 encryption enabled across all storage accounts</t>
        </is>
      </c>
      <c r="F5" s="22" t="inlineStr">
        <is>
          <t>/evidence/azure-encrypt-config-2026.json</t>
        </is>
      </c>
      <c r="G5" s="22" t="inlineStr">
        <is>
          <t>Security Team</t>
        </is>
      </c>
      <c r="H5" s="22" t="inlineStr">
        <is>
          <t>Current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1" t="inlineStr">
        <is>
          <t>SECURE CONFIGURATION — SUMMARY DASHBOARD</t>
        </is>
      </c>
    </row>
    <row r="2">
      <c r="A2" s="23" t="inlineStr">
        <is>
          <t>ISO/IEC 27001:2022 - Control A.5.19-23: Information Security for Use of Cloud Services</t>
        </is>
      </c>
    </row>
    <row r="3">
      <c r="A3" s="24" t="inlineStr">
        <is>
          <t>TABLE 1: COMPLIANCE BY CONFIGURATION AREA</t>
        </is>
      </c>
    </row>
    <row r="4">
      <c r="A4" s="25" t="inlineStr">
        <is>
          <t>Configuration Area</t>
        </is>
      </c>
      <c r="B4" s="25" t="inlineStr">
        <is>
          <t>Total Items</t>
        </is>
      </c>
      <c r="C4" s="25" t="inlineStr">
        <is>
          <t>✅ Compliant</t>
        </is>
      </c>
      <c r="D4" s="25" t="inlineStr">
        <is>
          <t>⚠ Partial</t>
        </is>
      </c>
      <c r="E4" s="25" t="inlineStr">
        <is>
          <t>❌ Non-Compliant</t>
        </is>
      </c>
      <c r="F4" s="25" t="inlineStr">
        <is>
          <t>N/A</t>
        </is>
      </c>
      <c r="G4" s="25" t="inlineStr">
        <is>
          <t>Compliance %</t>
        </is>
      </c>
    </row>
    <row r="5">
      <c r="A5" t="inlineStr">
        <is>
          <t>Configuration Baseline</t>
        </is>
      </c>
      <c r="B5">
        <f>COUNTA('2. Configuration Baseline'!B5:B54)-COUNTBLANK('2. Configuration Baseline'!B5:B54)</f>
        <v/>
      </c>
      <c r="C5">
        <f>COUNTIF('2. Configuration Baseline'!I5:I54,"✅*")</f>
        <v/>
      </c>
      <c r="D5">
        <f>COUNTIF('2. Configuration Baseline'!I5:I54,"⚠*")</f>
        <v/>
      </c>
      <c r="E5">
        <f>COUNTIF('2. Configuration Baseline'!I5:I54,"❌*")</f>
        <v/>
      </c>
      <c r="F5">
        <f>COUNTIF('2. Configuration Baseline'!I5:I54,"N/A")</f>
        <v/>
      </c>
      <c r="G5">
        <f>IF(B5-F5&gt;0,ROUND(C5/(B5-F5)*100,1)&amp;"%","N/A")</f>
        <v/>
      </c>
    </row>
    <row r="6">
      <c r="A6" t="inlineStr">
        <is>
          <t>Access Control Setup</t>
        </is>
      </c>
      <c r="B6">
        <f>COUNTA('3. Access Control Setup'!B5:B54)-COUNTBLANK('3. Access Control Setup'!B5:B54)</f>
        <v/>
      </c>
      <c r="C6">
        <f>COUNTIF('3. Access Control Setup'!I5:I54,"✅*")</f>
        <v/>
      </c>
      <c r="D6">
        <f>COUNTIF('3. Access Control Setup'!I5:I54,"⚠*")</f>
        <v/>
      </c>
      <c r="E6">
        <f>COUNTIF('3. Access Control Setup'!I5:I54,"❌*")</f>
        <v/>
      </c>
      <c r="F6">
        <f>COUNTIF('3. Access Control Setup'!I5:I54,"N/A")</f>
        <v/>
      </c>
      <c r="G6">
        <f>IF(B6-F6&gt;0,ROUND(C6/(B6-F6)*100,1)&amp;"%","N/A")</f>
        <v/>
      </c>
    </row>
    <row r="7">
      <c r="A7" t="inlineStr">
        <is>
          <t>Network Security</t>
        </is>
      </c>
      <c r="B7">
        <f>COUNTA('4. Network Security'!B5:B54)-COUNTBLANK('4. Network Security'!B5:B54)</f>
        <v/>
      </c>
      <c r="C7">
        <f>COUNTIF('4. Network Security'!I5:I54,"✅*")</f>
        <v/>
      </c>
      <c r="D7">
        <f>COUNTIF('4. Network Security'!I5:I54,"⚠*")</f>
        <v/>
      </c>
      <c r="E7">
        <f>COUNTIF('4. Network Security'!I5:I54,"❌*")</f>
        <v/>
      </c>
      <c r="F7">
        <f>COUNTIF('4. Network Security'!I5:I54,"N/A")</f>
        <v/>
      </c>
      <c r="G7">
        <f>IF(B7-F7&gt;0,ROUND(C7/(B7-F7)*100,1)&amp;"%","N/A")</f>
        <v/>
      </c>
    </row>
    <row r="8">
      <c r="A8" t="inlineStr">
        <is>
          <t>Encryption Configuration</t>
        </is>
      </c>
      <c r="B8">
        <f>COUNTA('5. Encryption Configuration'!B5:B54)-COUNTBLANK('5. Encryption Configuration'!B5:B54)</f>
        <v/>
      </c>
      <c r="C8">
        <f>COUNTIF('5. Encryption Configuration'!I5:I54,"✅*")</f>
        <v/>
      </c>
      <c r="D8">
        <f>COUNTIF('5. Encryption Configuration'!I5:I54,"⚠*")</f>
        <v/>
      </c>
      <c r="E8">
        <f>COUNTIF('5. Encryption Configuration'!I5:I54,"❌*")</f>
        <v/>
      </c>
      <c r="F8">
        <f>COUNTIF('5. Encryption Configuration'!I5:I54,"N/A")</f>
        <v/>
      </c>
      <c r="G8">
        <f>IF(B8-F8&gt;0,ROUND(C8/(B8-F8)*100,1)&amp;"%","N/A")</f>
        <v/>
      </c>
    </row>
    <row r="9">
      <c r="A9" t="inlineStr">
        <is>
          <t>Deployment Checklist</t>
        </is>
      </c>
      <c r="B9">
        <f>COUNTA('6. Deployment Checklist'!B5:B54)-COUNTBLANK('6. Deployment Checklist'!B5:B54)</f>
        <v/>
      </c>
      <c r="C9">
        <f>COUNTIF('6. Deployment Checklist'!I5:I54,"✅*")</f>
        <v/>
      </c>
      <c r="D9">
        <f>COUNTIF('6. Deployment Checklist'!I5:I54,"⚠*")</f>
        <v/>
      </c>
      <c r="E9">
        <f>COUNTIF('6. Deployment Checklist'!I5:I54,"❌*")</f>
        <v/>
      </c>
      <c r="F9">
        <f>COUNTIF('6. Deployment Checklist'!I5:I54,"N/A")</f>
        <v/>
      </c>
      <c r="G9">
        <f>IF(B9-F9&gt;0,ROUND(C9/(B9-F9)*100,1)&amp;"%","N/A")</f>
        <v/>
      </c>
    </row>
    <row r="10">
      <c r="A10" s="17" t="inlineStr">
        <is>
          <t>TOTAL</t>
        </is>
      </c>
      <c r="B10" s="17">
        <f>SUM(B5:B9)</f>
        <v/>
      </c>
      <c r="C10" s="17">
        <f>SUM(C5:C9)</f>
        <v/>
      </c>
      <c r="D10" s="17">
        <f>SUM(D5:D9)</f>
        <v/>
      </c>
      <c r="E10" s="17">
        <f>SUM(E5:E9)</f>
        <v/>
      </c>
      <c r="F10" s="17">
        <f>SUM(F5:F9)</f>
        <v/>
      </c>
      <c r="G10" s="17">
        <f>IF(B10-F10&gt;0,ROUND(C10/(B10-F10)*100,1)&amp;"%","N/A")</f>
        <v/>
      </c>
    </row>
    <row r="13">
      <c r="A13" s="24" t="inlineStr">
        <is>
          <t>TABLE 2: JURISDICTIONAL &amp; CLOUD ACT RISK SUMMARY</t>
        </is>
      </c>
    </row>
    <row r="14">
      <c r="A14" s="25" t="inlineStr">
        <is>
          <t>Metric</t>
        </is>
      </c>
      <c r="B14" s="25" t="inlineStr">
        <is>
          <t>Count</t>
        </is>
      </c>
      <c r="C14" s="25" t="inlineStr">
        <is>
          <t>Status</t>
        </is>
      </c>
    </row>
    <row r="15">
      <c r="A15" t="inlineStr">
        <is>
          <t>US-HQ Providers (CLOUD Act Scope)</t>
        </is>
      </c>
      <c r="B15">
        <f>COUNTIF('7. Jurisdictional Risk'!E7:E56,"United States")</f>
        <v/>
      </c>
      <c r="C15">
        <f>IF(B15&gt;0,"{WARNING} Review","{CHECK} OK")</f>
        <v/>
      </c>
    </row>
    <row r="16">
      <c r="A16" t="inlineStr">
        <is>
          <t>Providers with US Parent Company</t>
        </is>
      </c>
      <c r="B16">
        <f>COUNTIF('7. Jurisdictional Risk'!F7:F56,"Yes")</f>
        <v/>
      </c>
      <c r="C16">
        <f>IF(B16&gt;0,"{WARNING} Review","{CHECK} OK")</f>
        <v/>
      </c>
    </row>
    <row r="17">
      <c r="A17" t="inlineStr">
        <is>
          <t>CLOUD Act Potential Exposure (Unmitigated)</t>
        </is>
      </c>
      <c r="B17">
        <f>COUNTIF('7. Jurisdictional Risk'!G7:G56,"Potential*")</f>
        <v/>
      </c>
      <c r="C17">
        <f>IF(B17&gt;0,"{WARNING} Review","{CHECK} OK")</f>
        <v/>
      </c>
    </row>
    <row r="18">
      <c r="A18" t="inlineStr">
        <is>
          <t>CLOUD Act Mitigated</t>
        </is>
      </c>
      <c r="B18">
        <f>COUNTIFS('7. Jurisdictional Risk'!G7:G56,"Mitigated*")</f>
        <v/>
      </c>
      <c r="C18" t="inlineStr">
        <is>
          <t>Info</t>
        </is>
      </c>
    </row>
    <row r="19">
      <c r="A19" t="inlineStr">
        <is>
          <t>High/Critical Jurisdictional Risk</t>
        </is>
      </c>
      <c r="B19">
        <f>COUNTIF('7. Jurisdictional Risk'!N7:N56,"High")+COUNTIF('7. Jurisdictional Risk'!N7:N56,"Critical")</f>
        <v/>
      </c>
      <c r="C19">
        <f>IF(B19&gt;0,"{XMARK} Action","{CHECK} OK")</f>
        <v/>
      </c>
    </row>
    <row r="20">
      <c r="A20" t="inlineStr">
        <is>
          <t>Providers Without EU Data Boundary</t>
        </is>
      </c>
      <c r="B20">
        <f>COUNTIF('7. Jurisdictional Risk'!I7:I56,"No")</f>
        <v/>
      </c>
      <c r="C20">
        <f>IF(B20&gt;0,"{WARNING} Review","{CHECK} OK")</f>
        <v/>
      </c>
    </row>
    <row r="21">
      <c r="A21" t="inlineStr">
        <is>
          <t>Providers Without Customer-Managed Keys</t>
        </is>
      </c>
      <c r="B21">
        <f>COUNTIF('7. Jurisdictional Risk'!J7:J56,"No")</f>
        <v/>
      </c>
      <c r="C21">
        <f>IF(B21&gt;0,"{WARNING} Review","{CHECK} OK")</f>
        <v/>
      </c>
    </row>
    <row r="24">
      <c r="A24" s="26" t="inlineStr">
        <is>
          <t>TABLE 3: REGULATORY DEPLOYMENT COMPLIANCE</t>
        </is>
      </c>
    </row>
    <row r="25">
      <c r="A25" s="25" t="inlineStr">
        <is>
          <t>Metric</t>
        </is>
      </c>
      <c r="B25" s="25" t="inlineStr">
        <is>
          <t>Count</t>
        </is>
      </c>
      <c r="C25" s="25" t="inlineStr">
        <is>
          <t>Status</t>
        </is>
      </c>
    </row>
    <row r="26">
      <c r="A26" t="inlineStr">
        <is>
          <t>DORA Non-Compliant Configurations</t>
        </is>
      </c>
      <c r="B26">
        <f>COUNTIF('2. Configuration Baseline'!Y5:Y54,"Non-Compliant")</f>
        <v/>
      </c>
      <c r="C26">
        <f>IF(B26&gt;0,"{XMARK} Action","{CHECK} OK")</f>
        <v/>
      </c>
    </row>
    <row r="27">
      <c r="A27" t="inlineStr">
        <is>
          <t>NIS2 Non-Compliant Deployments</t>
        </is>
      </c>
      <c r="B27">
        <f>COUNTIF('2. Configuration Baseline'!Z5:Z54,"Non-Compliant")</f>
        <v/>
      </c>
      <c r="C27">
        <f>IF(B27&gt;0,"{XMARK} Action","{CHECK} OK")</f>
        <v/>
      </c>
    </row>
    <row r="28">
      <c r="A28" t="inlineStr">
        <is>
          <t>High-Risk AI Systems Pending Assessment</t>
        </is>
      </c>
      <c r="B28">
        <f>COUNTIF('2. Configuration Baseline'!AA5:AA54,"*Pending*")</f>
        <v/>
      </c>
      <c r="C28">
        <f>IF(B28&gt;0,"{WARNING} Review","{CHECK} OK")</f>
        <v/>
      </c>
    </row>
  </sheetData>
  <mergeCells count="5">
    <mergeCell ref="A13:G13"/>
    <mergeCell ref="A1:G1"/>
    <mergeCell ref="A3:G3"/>
    <mergeCell ref="A2:G2"/>
    <mergeCell ref="A24:C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1" t="inlineStr">
        <is>
          <t>ASSESSMENT APPROVAL AND SIGN-OFF</t>
        </is>
      </c>
      <c r="B1" s="6" t="n"/>
      <c r="C1" s="6" t="n"/>
      <c r="D1" s="6" t="n"/>
      <c r="E1" s="6" t="n"/>
    </row>
    <row r="2">
      <c r="A2" s="27" t="inlineStr">
        <is>
          <t>ISO/IEC 27001:2022 - Control A.5.19-23: Information Security for Use of Cloud Services</t>
        </is>
      </c>
      <c r="B2" s="6" t="n"/>
      <c r="C2" s="6" t="n"/>
      <c r="D2" s="6" t="n"/>
      <c r="E2" s="6" t="n"/>
    </row>
    <row r="3">
      <c r="A3" s="28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ISMS-IMP-A.5.23.S3 - Secure Configuration &amp; Deployment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5" t="inlineStr"/>
      <c r="C5" s="6" t="n"/>
      <c r="D5" s="6" t="n"/>
      <c r="E5" s="6" t="n"/>
    </row>
    <row r="6">
      <c r="A6" s="3" t="inlineStr">
        <is>
          <t>Overall Compliance Rating:</t>
        </is>
      </c>
      <c r="B6" s="29">
        <f>IFERROR(AVERAGE('Summary Dashboard'!G6:G10),"")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5" t="inlineStr"/>
      <c r="C7" s="6" t="n"/>
      <c r="D7" s="6" t="n"/>
      <c r="E7" s="6" t="n"/>
    </row>
    <row r="8">
      <c r="A8" s="3" t="inlineStr">
        <is>
          <t>Assessed By:</t>
        </is>
      </c>
      <c r="B8" s="15" t="inlineStr"/>
      <c r="C8" s="6" t="n"/>
      <c r="D8" s="6" t="n"/>
      <c r="E8" s="6" t="n"/>
    </row>
    <row r="11">
      <c r="A11" s="28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5" t="n"/>
      <c r="C12" s="6" t="n"/>
      <c r="D12" s="6" t="n"/>
      <c r="E12" s="6" t="n"/>
    </row>
    <row r="13">
      <c r="A13" s="3" t="inlineStr">
        <is>
          <t>Title:</t>
        </is>
      </c>
      <c r="B13" s="15" t="n"/>
      <c r="C13" s="6" t="n"/>
      <c r="D13" s="6" t="n"/>
      <c r="E13" s="6" t="n"/>
    </row>
    <row r="14">
      <c r="A14" s="3" t="inlineStr">
        <is>
          <t>Date:</t>
        </is>
      </c>
      <c r="B14" s="15" t="n"/>
      <c r="C14" s="6" t="n"/>
      <c r="D14" s="6" t="n"/>
      <c r="E14" s="6" t="n"/>
    </row>
    <row r="15">
      <c r="A15" s="3" t="inlineStr">
        <is>
          <t>Signature:</t>
        </is>
      </c>
      <c r="B15" s="15" t="n"/>
      <c r="C15" s="6" t="n"/>
      <c r="D15" s="6" t="n"/>
      <c r="E15" s="6" t="n"/>
    </row>
    <row r="16">
      <c r="A16" s="3" t="inlineStr">
        <is>
          <t>Comments:</t>
        </is>
      </c>
      <c r="B16" s="15" t="n"/>
      <c r="C16" s="6" t="n"/>
      <c r="D16" s="6" t="n"/>
      <c r="E16" s="6" t="n"/>
    </row>
    <row r="18">
      <c r="A18" s="28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5" t="n"/>
      <c r="C19" s="6" t="n"/>
      <c r="D19" s="6" t="n"/>
      <c r="E19" s="6" t="n"/>
    </row>
    <row r="20">
      <c r="A20" s="3" t="inlineStr">
        <is>
          <t>Title:</t>
        </is>
      </c>
      <c r="B20" s="15" t="n"/>
      <c r="C20" s="6" t="n"/>
      <c r="D20" s="6" t="n"/>
      <c r="E20" s="6" t="n"/>
    </row>
    <row r="21">
      <c r="A21" s="3" t="inlineStr">
        <is>
          <t>Date:</t>
        </is>
      </c>
      <c r="B21" s="15" t="n"/>
      <c r="C21" s="6" t="n"/>
      <c r="D21" s="6" t="n"/>
      <c r="E21" s="6" t="n"/>
    </row>
    <row r="22">
      <c r="A22" s="3" t="inlineStr">
        <is>
          <t>Signature:</t>
        </is>
      </c>
      <c r="B22" s="15" t="n"/>
      <c r="C22" s="6" t="n"/>
      <c r="D22" s="6" t="n"/>
      <c r="E22" s="6" t="n"/>
    </row>
    <row r="23">
      <c r="A23" s="3" t="inlineStr">
        <is>
          <t>Comments:</t>
        </is>
      </c>
      <c r="B23" s="15" t="n"/>
      <c r="C23" s="6" t="n"/>
      <c r="D23" s="6" t="n"/>
      <c r="E23" s="6" t="n"/>
    </row>
    <row r="25">
      <c r="A25" s="30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5" t="n"/>
      <c r="C26" s="6" t="n"/>
      <c r="D26" s="6" t="n"/>
      <c r="E26" s="6" t="n"/>
    </row>
    <row r="27">
      <c r="A27" s="3" t="inlineStr">
        <is>
          <t>Title:</t>
        </is>
      </c>
      <c r="B27" s="15" t="n"/>
      <c r="C27" s="6" t="n"/>
      <c r="D27" s="6" t="n"/>
      <c r="E27" s="6" t="n"/>
    </row>
    <row r="28">
      <c r="A28" s="3" t="inlineStr">
        <is>
          <t>Date:</t>
        </is>
      </c>
      <c r="B28" s="15" t="n"/>
      <c r="C28" s="6" t="n"/>
      <c r="D28" s="6" t="n"/>
      <c r="E28" s="6" t="n"/>
    </row>
    <row r="29">
      <c r="A29" s="3" t="inlineStr">
        <is>
          <t>Signature:</t>
        </is>
      </c>
      <c r="B29" s="15" t="n"/>
      <c r="C29" s="6" t="n"/>
      <c r="D29" s="6" t="n"/>
      <c r="E29" s="6" t="n"/>
    </row>
    <row r="30">
      <c r="A30" s="3" t="inlineStr">
        <is>
          <t>Comments:</t>
        </is>
      </c>
      <c r="B30" s="15" t="n"/>
      <c r="C30" s="6" t="n"/>
      <c r="D30" s="6" t="n"/>
      <c r="E30" s="6" t="n"/>
    </row>
    <row r="32">
      <c r="A32" s="3" t="inlineStr">
        <is>
          <t>FINAL DECISION:</t>
        </is>
      </c>
      <c r="B32" s="15" t="n"/>
      <c r="C32" s="6" t="n"/>
      <c r="D32" s="6" t="n"/>
      <c r="E32" s="6" t="n"/>
    </row>
    <row r="35">
      <c r="A35" s="28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5" t="n"/>
      <c r="C36" s="6" t="n"/>
      <c r="D36" s="6" t="n"/>
      <c r="E36" s="6" t="n"/>
    </row>
    <row r="37">
      <c r="A37" s="3" t="inlineStr">
        <is>
          <t>Review Responsible:</t>
        </is>
      </c>
      <c r="B37" s="15" t="n"/>
      <c r="C37" s="6" t="n"/>
      <c r="D37" s="6" t="n"/>
      <c r="E37" s="6" t="n"/>
    </row>
    <row r="38">
      <c r="A38" s="3" t="inlineStr">
        <is>
          <t>Special Considerations:</t>
        </is>
      </c>
      <c r="B38" s="1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ISMS-IMP-A.5.23.S3 — Secure Configuration &amp; Deployment</dc:title>
  <dc:description xmlns:dc="http://purl.org/dc/elements/1.1/">ISMS Implementation Workbook — ISMS-IMP-A.5.23.S3</dc:description>
  <dc:subject xmlns:dc="http://purl.org/dc/elements/1.1/">ISO/IEC 27001:2022 — Control A.5.19-23: Information Security for Use of Cloud Services</dc:subject>
  <dcterms:created xmlns:dcterms="http://purl.org/dc/terms/" xmlns:xsi="http://www.w3.org/2001/XMLSchema-instance" xsi:type="dcterms:W3CDTF">2026-03-01T09:40:18Z</dcterms:created>
  <dcterms:modified xmlns:dcterms="http://purl.org/dc/terms/" xmlns:xsi="http://www.w3.org/2001/XMLSchema-instance" xsi:type="dcterms:W3CDTF">2026-03-01T09:40:19Z</dcterms:modified>
</cp:coreProperties>
</file>