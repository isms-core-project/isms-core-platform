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&amp; Legend" sheetId="1" state="visible" r:id="rId1"/>
    <sheet name="2. Configuration Baseline" sheetId="2" state="visible" r:id="rId2"/>
    <sheet name="3. Access Control Setup" sheetId="3" state="visible" r:id="rId3"/>
    <sheet name="4. Network Security" sheetId="4" state="visible" r:id="rId4"/>
    <sheet name="5. Encryption Configuration" sheetId="5" state="visible" r:id="rId5"/>
    <sheet name="6. Deployment Checklist" sheetId="6" state="visible" r:id="rId6"/>
    <sheet name="7. Jurisdictional Risk" sheetId="7" state="visible" r:id="rId7"/>
    <sheet name="8. Summary Dashboard" sheetId="8" state="visible" r:id="rId8"/>
    <sheet name="9. Evidence Register" sheetId="9" state="visible" r:id="rId9"/>
    <sheet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003366"/>
      <sz val="12"/>
    </font>
    <font>
      <b val="1"/>
      <color rgb="00FFFFFF"/>
    </font>
    <font>
      <name val="Calibri"/>
      <b val="1"/>
      <color rgb="00FFFFFF"/>
      <sz val="11"/>
    </font>
    <font>
      <name val="Calibri"/>
      <b val="1"/>
      <sz val="10"/>
    </font>
    <font>
      <b val="1"/>
      <sz val="11"/>
    </font>
    <font>
      <name val="Calibri"/>
      <b val="1"/>
      <color rgb="00FF0000"/>
      <sz val="10"/>
    </font>
    <font>
      <b val="1"/>
      <color rgb="00FFFFFF"/>
      <sz val="11"/>
    </font>
    <font>
      <name val="Calibri"/>
      <b val="1"/>
      <color rgb="00FFFFFF"/>
      <sz val="10"/>
    </font>
    <font>
      <name val="Calibri"/>
      <i val="1"/>
      <sz val="10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2" borderId="0" pivotButton="0" quotePrefix="0" xfId="0"/>
    <xf numFmtId="0" fontId="11" fillId="8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9" borderId="0" pivotButton="0" quotePrefix="0" xfId="0"/>
    <xf numFmtId="0" fontId="12" fillId="10" borderId="0" applyAlignment="1" pivotButton="0" quotePrefix="0" xfId="0">
      <alignment horizontal="left" vertical="center" wrapText="1"/>
    </xf>
    <xf numFmtId="0" fontId="1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ISMS-IMP-A.5.23.S3  -  Secure Configuration &amp; Deployment
ISO/IEC 27001:2022 - Control A.5.23: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ISMS-IMP-A.5.23.S3</t>
        </is>
      </c>
    </row>
    <row r="5">
      <c r="A5" s="3" t="inlineStr">
        <is>
          <t>Assessment Area</t>
        </is>
      </c>
      <c r="B5" t="inlineStr">
        <is>
          <t>Secure Configuration &amp; Deployment</t>
        </is>
      </c>
    </row>
    <row r="6">
      <c r="A6" s="3" t="inlineStr">
        <is>
          <t>Related Policy</t>
        </is>
      </c>
      <c r="B6" t="inlineStr">
        <is>
          <t>ISMS-POL-A.5.19-23-S3, S5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Quarterly</t>
        </is>
      </c>
    </row>
    <row r="13">
      <c r="A13" s="5" t="inlineStr">
        <is>
          <t>REGULATORY COMPLIANCE</t>
        </is>
      </c>
    </row>
    <row r="14">
      <c r="A14" s="6" t="inlineStr">
        <is>
          <t>This workbook includes regulatory compliance tracking for:</t>
        </is>
      </c>
    </row>
    <row r="15">
      <c r="A15" s="6" t="inlineStr">
        <is>
          <t>• DORA (Digital Operational Resilience Act) - Configuration documentation</t>
        </is>
      </c>
    </row>
    <row r="16">
      <c r="A16" s="6" t="inlineStr">
        <is>
          <t>• NIS2 (Network and Information Security Directive 2) - Secure deployment</t>
        </is>
      </c>
    </row>
    <row r="17">
      <c r="A17" s="6" t="inlineStr">
        <is>
          <t>• EU AI Act - AI system deployment controls</t>
        </is>
      </c>
    </row>
    <row r="18">
      <c r="A18" s="6" t="inlineStr">
        <is>
          <t>• US CLOUD Act - Jurisdictional risk for US-headquartered providers</t>
        </is>
      </c>
    </row>
    <row r="19">
      <c r="A19" s="6" t="inlineStr"/>
    </row>
    <row r="20">
      <c r="A20" s="6" t="inlineStr">
        <is>
          <t>Regulatory columns are included in the Configuration Baseline sheet (Y-AA).</t>
        </is>
      </c>
    </row>
    <row r="21">
      <c r="A21" s="6" t="inlineStr">
        <is>
          <t>Complete only the regulatory sections applicable to your organisation.</t>
        </is>
      </c>
    </row>
    <row r="23">
      <c r="A23" s="2" t="inlineStr">
        <is>
          <t>Instructions</t>
        </is>
      </c>
    </row>
    <row r="24">
      <c r="A24" t="inlineStr">
        <is>
          <t>1. Reference ISMS-IMP-A.5.23.S1 (Inventory) for authoritative cloud service list.</t>
        </is>
      </c>
    </row>
    <row r="25">
      <c r="A25" t="inlineStr">
        <is>
          <t>2. Complete each worksheet tab (2-7) for all cloud services requiring config assessment.</t>
        </is>
      </c>
    </row>
    <row r="26">
      <c r="A26" t="inlineStr">
        <is>
          <t>3. Use dropdown menus for standardised entries (Environment, Status, etc.).</t>
        </is>
      </c>
    </row>
    <row r="27">
      <c r="A27" t="inlineStr">
        <is>
          <t>4. Fill in yellow-highlighted cells with your configuration-specific information.</t>
        </is>
      </c>
    </row>
    <row r="28">
      <c r="A28" t="inlineStr">
        <is>
          <t>5. Complete Jurisdictional Risk sheet (7) for all US-nexus providers.</t>
        </is>
      </c>
    </row>
    <row r="29">
      <c r="A29" t="inlineStr">
        <is>
          <t>6. Document DORA configuration requirements if in scope.</t>
        </is>
      </c>
    </row>
    <row r="30">
      <c r="A30" t="inlineStr">
        <is>
          <t>7. Validate NIS2 secure deployment procedures if applicable.</t>
        </is>
      </c>
    </row>
    <row r="31">
      <c r="A31" t="inlineStr">
        <is>
          <t>8. Complete AI Act deployment controls for AI-enabled services.</t>
        </is>
      </c>
    </row>
    <row r="32">
      <c r="A32" t="inlineStr">
        <is>
          <t>9. Provide evidence: screenshots, config exports, security scan results.</t>
        </is>
      </c>
    </row>
    <row r="33">
      <c r="A33" t="inlineStr">
        <is>
          <t>10. Summary Dashboard auto-calculates compliance by config area and environment.</t>
        </is>
      </c>
    </row>
    <row r="34">
      <c r="A34" t="inlineStr">
        <is>
          <t>11. Obtain final approval from IT Operations, Security, DPO, and CISO.</t>
        </is>
      </c>
    </row>
    <row r="36">
      <c r="A36" s="2" t="inlineStr">
        <is>
          <t>Status Legend</t>
        </is>
      </c>
    </row>
    <row r="37">
      <c r="A37" s="7" t="inlineStr">
        <is>
          <t>Symbol</t>
        </is>
      </c>
      <c r="B37" s="7" t="inlineStr">
        <is>
          <t>Status</t>
        </is>
      </c>
      <c r="C37" s="7" t="inlineStr">
        <is>
          <t>Description</t>
        </is>
      </c>
    </row>
    <row r="38">
      <c r="A38" s="8" t="inlineStr">
        <is>
          <t>✅</t>
        </is>
      </c>
      <c r="B38" s="9" t="inlineStr">
        <is>
          <t>Compliant</t>
        </is>
      </c>
      <c r="C38" s="10" t="inlineStr">
        <is>
          <t>Configuration meets security requirements</t>
        </is>
      </c>
    </row>
    <row r="39">
      <c r="A39" s="8" t="inlineStr">
        <is>
          <t>⚠</t>
        </is>
      </c>
      <c r="B39" s="11" t="inlineStr">
        <is>
          <t>Partial</t>
        </is>
      </c>
      <c r="C39" s="10" t="inlineStr">
        <is>
          <t>Some settings correct, gaps exist</t>
        </is>
      </c>
    </row>
    <row r="40">
      <c r="A40" s="8" t="inlineStr">
        <is>
          <t>❌</t>
        </is>
      </c>
      <c r="B40" s="12" t="inlineStr">
        <is>
          <t>Non-Compliant</t>
        </is>
      </c>
      <c r="C40" s="10" t="inlineStr">
        <is>
          <t>Configuration does not meet requirements</t>
        </is>
      </c>
    </row>
    <row r="41">
      <c r="A41" s="8" t="inlineStr">
        <is>
          <t>—</t>
        </is>
      </c>
      <c r="B41" s="10" t="inlineStr">
        <is>
          <t>Not Applicable</t>
        </is>
      </c>
      <c r="C41" s="10" t="inlineStr">
        <is>
          <t>Control does not apply to this service</t>
        </is>
      </c>
    </row>
    <row r="43">
      <c r="A43" s="2" t="inlineStr">
        <is>
          <t>ACCEPTABLE EVIDENCE (examples)</t>
        </is>
      </c>
    </row>
    <row r="44">
      <c r="A44" t="inlineStr">
        <is>
          <t>✓ Admin console screenshots (with timestamps)</t>
        </is>
      </c>
    </row>
    <row r="45">
      <c r="A45" t="inlineStr">
        <is>
          <t>✓ Configuration export files (JSON, YAML, XML)</t>
        </is>
      </c>
    </row>
    <row r="46">
      <c r="A46" t="inlineStr">
        <is>
          <t>✓ Security posture reports (Azure Secure Score, AWS Security Hub)</t>
        </is>
      </c>
    </row>
    <row r="47">
      <c r="A47" t="inlineStr">
        <is>
          <t>✓ Configuration baseline documentation (version-controlled)</t>
        </is>
      </c>
    </row>
    <row r="48">
      <c r="A48" t="inlineStr">
        <is>
          <t>✓ CIS benchmark compliance report</t>
        </is>
      </c>
    </row>
    <row r="49">
      <c r="A49" t="inlineStr">
        <is>
          <t>✓ Configuration drift monitoring screenshots</t>
        </is>
      </c>
    </row>
    <row r="50">
      <c r="A50" t="inlineStr">
        <is>
          <t>✓ Network segmentation diagrams</t>
        </is>
      </c>
    </row>
    <row r="51">
      <c r="A51" t="inlineStr">
        <is>
          <t>✓ AI system risk classification (if applicable)</t>
        </is>
      </c>
    </row>
    <row r="52">
      <c r="A52" t="inlineStr">
        <is>
          <t>✓ AI conformity assessment (for high-risk systems)</t>
        </is>
      </c>
    </row>
    <row r="53">
      <c r="A53" t="inlineStr">
        <is>
          <t>✓ Jurisdictional risk assessment (for US-nexus providers)</t>
        </is>
      </c>
    </row>
    <row r="54">
      <c r="A54" t="inlineStr">
        <is>
          <t>✓ Risk acceptance form (signed by CISO/DPO)</t>
        </is>
      </c>
    </row>
    <row r="55">
      <c r="A55" t="inlineStr">
        <is>
          <t>✓ Data Processing Agreement (DPA) with SCCs/BCRs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50" customHeight="1">
      <c r="A1" s="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13" t="inlineStr">
        <is>
          <t>Assessment Question: Are configuration baselines properly documented, version-controlled, and validated for your cloud services?</t>
        </is>
      </c>
    </row>
    <row r="3">
      <c r="A3" s="14" t="inlineStr">
        <is>
          <t>Assessment_ID</t>
        </is>
      </c>
      <c r="B3" s="14" t="inlineStr">
        <is>
          <t>Cloud_Service_Name</t>
        </is>
      </c>
      <c r="C3" s="14" t="inlineStr">
        <is>
          <t>Vendor_Name</t>
        </is>
      </c>
      <c r="D3" s="14" t="inlineStr">
        <is>
          <t>Service_Type</t>
        </is>
      </c>
      <c r="E3" s="14" t="inlineStr">
        <is>
          <t>Environment</t>
        </is>
      </c>
      <c r="F3" s="14" t="inlineStr">
        <is>
          <t>Service_Criticality</t>
        </is>
      </c>
      <c r="G3" s="14" t="inlineStr">
        <is>
          <t>Data_Classification</t>
        </is>
      </c>
      <c r="H3" s="14" t="inlineStr">
        <is>
          <t>Configuration_Item</t>
        </is>
      </c>
      <c r="I3" s="14" t="inlineStr">
        <is>
          <t>Status</t>
        </is>
      </c>
      <c r="J3" s="14" t="inlineStr">
        <is>
          <t>Evidence_Location</t>
        </is>
      </c>
      <c r="K3" s="14" t="inlineStr">
        <is>
          <t>Gap_Description</t>
        </is>
      </c>
      <c r="L3" s="14" t="inlineStr">
        <is>
          <t>Remediation_Needed</t>
        </is>
      </c>
      <c r="M3" s="14" t="inlineStr">
        <is>
          <t>Exception_ID</t>
        </is>
      </c>
      <c r="N3" s="14" t="inlineStr">
        <is>
          <t>Risk_ID</t>
        </is>
      </c>
      <c r="O3" s="14" t="inlineStr">
        <is>
          <t>Compensating_Controls</t>
        </is>
      </c>
      <c r="P3" s="14" t="inlineStr">
        <is>
          <t>Responsible_Team</t>
        </is>
      </c>
      <c r="Q3" s="14" t="inlineStr">
        <is>
          <t>Target_Remediation_Date</t>
        </is>
      </c>
      <c r="R3" s="14" t="inlineStr">
        <is>
          <t>Baseline_Version</t>
        </is>
      </c>
      <c r="S3" s="14" t="inlineStr">
        <is>
          <t>Change_Mgmt_ID</t>
        </is>
      </c>
      <c r="T3" s="14" t="inlineStr">
        <is>
          <t>Drift_Monitoring</t>
        </is>
      </c>
      <c r="U3" s="14" t="inlineStr">
        <is>
          <t>CIS_Benchmark</t>
        </is>
      </c>
      <c r="V3" s="14" t="inlineStr">
        <is>
          <t>Last_Validated</t>
        </is>
      </c>
      <c r="W3" s="14" t="inlineStr">
        <is>
          <t>Config_Backup</t>
        </is>
      </c>
      <c r="X3" s="14" t="inlineStr">
        <is>
          <t>Privileged_Access_Log</t>
        </is>
      </c>
      <c r="Y3" s="14" t="inlineStr">
        <is>
          <t>Security_By_Default</t>
        </is>
      </c>
      <c r="Z3" s="14" t="inlineStr">
        <is>
          <t>DORA_Config_Documentation</t>
        </is>
      </c>
      <c r="AA3" s="14" t="inlineStr">
        <is>
          <t>NIS2_Secure_Deployment</t>
        </is>
      </c>
      <c r="AB3" s="14" t="inlineStr">
        <is>
          <t>AI_System_Deployment_Controls</t>
        </is>
      </c>
    </row>
    <row r="4">
      <c r="A4">
        <f>CONCATENATE("CON-",TEXT(ROW()-3,"000"))</f>
        <v/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</row>
    <row r="5">
      <c r="A5">
        <f>CONCATENATE("CON-",TEXT(ROW()-3,"000"))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</row>
    <row r="6">
      <c r="A6">
        <f>CONCATENATE("CON-",TEXT(ROW()-3,"000"))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</row>
    <row r="7">
      <c r="A7">
        <f>CONCATENATE("CON-",TEXT(ROW()-3,"000"))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</row>
    <row r="8">
      <c r="A8">
        <f>CONCATENATE("CON-",TEXT(ROW()-3,"000"))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</row>
    <row r="9">
      <c r="A9">
        <f>CONCATENATE("CON-",TEXT(ROW()-3,"000"))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</row>
    <row r="10">
      <c r="A10">
        <f>CONCATENATE("CON-",TEXT(ROW()-3,"000"))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</row>
    <row r="11">
      <c r="A11">
        <f>CONCATENATE("CON-",TEXT(ROW()-3,"000"))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</row>
    <row r="12">
      <c r="A12">
        <f>CONCATENATE("CON-",TEXT(ROW()-3,"000"))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</row>
    <row r="13">
      <c r="A13">
        <f>CONCATENATE("CON-",TEXT(ROW()-3,"000"))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</row>
    <row r="14">
      <c r="A14">
        <f>CONCATENATE("CON-",TEXT(ROW()-3,"000"))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</row>
    <row r="15">
      <c r="A15">
        <f>CONCATENATE("CON-",TEXT(ROW()-3,"000"))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</row>
    <row r="16">
      <c r="A16">
        <f>CONCATENATE("CON-",TEXT(ROW()-3,"000"))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</row>
    <row r="17">
      <c r="A17">
        <f>CONCATENATE("CON-",TEXT(ROW()-3,"000"))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</row>
    <row r="18">
      <c r="A18">
        <f>CONCATENATE("CON-",TEXT(ROW()-3,"000"))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</row>
    <row r="19">
      <c r="A19">
        <f>CONCATENATE("CON-",TEXT(ROW()-3,"000"))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</row>
    <row r="20">
      <c r="A20">
        <f>CONCATENATE("CON-",TEXT(ROW()-3,"000"))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</row>
    <row r="21">
      <c r="A21">
        <f>CONCATENATE("CON-",TEXT(ROW()-3,"000"))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</row>
    <row r="22">
      <c r="A22">
        <f>CONCATENATE("CON-",TEXT(ROW()-3,"000"))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</row>
    <row r="23">
      <c r="A23">
        <f>CONCATENATE("CON-",TEXT(ROW()-3,"000"))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</row>
    <row r="24">
      <c r="A24">
        <f>CONCATENATE("CON-",TEXT(ROW()-3,"000"))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</row>
    <row r="25">
      <c r="A25">
        <f>CONCATENATE("CON-",TEXT(ROW()-3,"000"))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</row>
    <row r="26">
      <c r="A26">
        <f>CONCATENATE("CON-",TEXT(ROW()-3,"000"))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</row>
    <row r="27">
      <c r="A27">
        <f>CONCATENATE("CON-",TEXT(ROW()-3,"000"))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</row>
    <row r="28">
      <c r="A28">
        <f>CONCATENATE("CON-",TEXT(ROW()-3,"000"))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</row>
    <row r="29">
      <c r="A29">
        <f>CONCATENATE("CON-",TEXT(ROW()-3,"000"))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</row>
    <row r="32">
      <c r="A32" s="15" t="inlineStr">
        <is>
          <t>COMPLIANCE CHECKLIST</t>
        </is>
      </c>
    </row>
    <row r="33">
      <c r="A33" s="3" t="inlineStr">
        <is>
          <t>☐</t>
        </is>
      </c>
      <c r="B33" s="3" t="inlineStr">
        <is>
          <t>Requirement</t>
        </is>
      </c>
      <c r="C33" s="3" t="inlineStr">
        <is>
          <t>Evidence</t>
        </is>
      </c>
    </row>
    <row r="34">
      <c r="A34" t="inlineStr">
        <is>
          <t>☐</t>
        </is>
      </c>
      <c r="B34" t="inlineStr">
        <is>
          <t>Configuration baseline documented and version-controlled</t>
        </is>
      </c>
      <c r="C34" t="inlineStr">
        <is>
          <t>Baseline doc + version history</t>
        </is>
      </c>
    </row>
    <row r="35">
      <c r="A35" t="inlineStr">
        <is>
          <t>☐</t>
        </is>
      </c>
      <c r="B35" t="inlineStr">
        <is>
          <t>Change management process for cloud configurations</t>
        </is>
      </c>
      <c r="C35" t="inlineStr">
        <is>
          <t>Change log/ITSM tickets</t>
        </is>
      </c>
    </row>
    <row r="36">
      <c r="A36" t="inlineStr">
        <is>
          <t>☐</t>
        </is>
      </c>
      <c r="B36" t="inlineStr">
        <is>
          <t>Configuration drift monitoring enabled</t>
        </is>
      </c>
      <c r="C36" t="inlineStr">
        <is>
          <t>Drift detection config</t>
        </is>
      </c>
    </row>
    <row r="37">
      <c r="A37" t="inlineStr">
        <is>
          <t>☐</t>
        </is>
      </c>
      <c r="B37" t="inlineStr">
        <is>
          <t>Security configuration validated against CIS benchmarks</t>
        </is>
      </c>
      <c r="C37" t="inlineStr">
        <is>
          <t>CIS scan report</t>
        </is>
      </c>
    </row>
    <row r="38">
      <c r="A38" t="inlineStr">
        <is>
          <t>☐</t>
        </is>
      </c>
      <c r="B38" t="inlineStr">
        <is>
          <t>Configuration backup and recovery tested</t>
        </is>
      </c>
      <c r="C38" t="inlineStr">
        <is>
          <t>Backup test results</t>
        </is>
      </c>
    </row>
    <row r="39">
      <c r="A39" t="inlineStr">
        <is>
          <t>☐</t>
        </is>
      </c>
      <c r="B39" t="inlineStr">
        <is>
          <t>Privileged access to configurations logged and monitored</t>
        </is>
      </c>
      <c r="C39" t="inlineStr">
        <is>
          <t>Access log screenshot</t>
        </is>
      </c>
    </row>
    <row r="40">
      <c r="A40" t="inlineStr">
        <is>
          <t>☐</t>
        </is>
      </c>
      <c r="B40" t="inlineStr">
        <is>
          <t>Security-by-default configurations applied</t>
        </is>
      </c>
      <c r="C40" t="inlineStr">
        <is>
          <t>Default settings review</t>
        </is>
      </c>
    </row>
    <row r="41">
      <c r="A41" t="inlineStr">
        <is>
          <t>☐</t>
        </is>
      </c>
      <c r="B41" t="inlineStr">
        <is>
          <t>CFG-DORA-01: Configuration baseline documented and version-controlled</t>
        </is>
      </c>
      <c r="C41" t="inlineStr">
        <is>
          <t>DORA: Version control</t>
        </is>
      </c>
    </row>
    <row r="42">
      <c r="A42" t="inlineStr">
        <is>
          <t>☐</t>
        </is>
      </c>
      <c r="B42" t="inlineStr">
        <is>
          <t>CFG-DORA-02: Change management process for cloud configurations</t>
        </is>
      </c>
      <c r="C42" t="inlineStr">
        <is>
          <t>DORA: Change records</t>
        </is>
      </c>
    </row>
    <row r="43">
      <c r="A43" t="inlineStr">
        <is>
          <t>☐</t>
        </is>
      </c>
      <c r="B43" t="inlineStr">
        <is>
          <t>CFG-DORA-03: Configuration drift monitoring enabled</t>
        </is>
      </c>
      <c r="C43" t="inlineStr">
        <is>
          <t>DORA: Monitoring config</t>
        </is>
      </c>
    </row>
    <row r="44">
      <c r="A44" t="inlineStr">
        <is>
          <t>☐</t>
        </is>
      </c>
      <c r="B44" t="inlineStr">
        <is>
          <t>CFG-DORA-04: Security configuration validated against CIS benchmarks</t>
        </is>
      </c>
      <c r="C44" t="inlineStr">
        <is>
          <t>DORA: CIS compliance</t>
        </is>
      </c>
    </row>
    <row r="45">
      <c r="A45" t="inlineStr">
        <is>
          <t>☐</t>
        </is>
      </c>
      <c r="B45" t="inlineStr">
        <is>
          <t>CFG-DORA-05: Configuration backup and recovery tested</t>
        </is>
      </c>
      <c r="C45" t="inlineStr">
        <is>
          <t>DORA: Test results</t>
        </is>
      </c>
    </row>
    <row r="46">
      <c r="A46" t="inlineStr">
        <is>
          <t>☐</t>
        </is>
      </c>
      <c r="B46" t="inlineStr">
        <is>
          <t>CFG-DORA-06: Privileged access to configurations logged and monitored</t>
        </is>
      </c>
      <c r="C46" t="inlineStr">
        <is>
          <t>DORA: Access logs</t>
        </is>
      </c>
    </row>
    <row r="47">
      <c r="A47" t="inlineStr">
        <is>
          <t>☐</t>
        </is>
      </c>
      <c r="B47" t="inlineStr">
        <is>
          <t>CFG-NIS2-01: Security-by-default configurations applied</t>
        </is>
      </c>
      <c r="C47" t="inlineStr">
        <is>
          <t>NIS2: Default settings</t>
        </is>
      </c>
    </row>
    <row r="48">
      <c r="A48" t="inlineStr">
        <is>
          <t>☐</t>
        </is>
      </c>
      <c r="B48" t="inlineStr">
        <is>
          <t>CFG-NIS2-02: Network segmentation implemented</t>
        </is>
      </c>
      <c r="C48" t="inlineStr">
        <is>
          <t>NIS2: Network diagram</t>
        </is>
      </c>
    </row>
    <row r="49">
      <c r="A49" t="inlineStr">
        <is>
          <t>☐</t>
        </is>
      </c>
      <c r="B49" t="inlineStr">
        <is>
          <t>CFG-NIS2-03: Multi-factor authentication enforced for admin access</t>
        </is>
      </c>
      <c r="C49" t="inlineStr">
        <is>
          <t>NIS2: MFA config</t>
        </is>
      </c>
    </row>
    <row r="50">
      <c r="A50" t="inlineStr">
        <is>
          <t>☐</t>
        </is>
      </c>
      <c r="B50" t="inlineStr">
        <is>
          <t>CFG-NIS2-04: Vulnerability scanning configured pre-deployment</t>
        </is>
      </c>
      <c r="C50" t="inlineStr">
        <is>
          <t>NIS2: Scan config</t>
        </is>
      </c>
    </row>
    <row r="51">
      <c r="A51" t="inlineStr">
        <is>
          <t>☐</t>
        </is>
      </c>
      <c r="B51" t="inlineStr">
        <is>
          <t>CFG-AI-01: AI system risk classification documented</t>
        </is>
      </c>
      <c r="C51" t="inlineStr">
        <is>
          <t>AI Act: Risk assessment</t>
        </is>
      </c>
    </row>
    <row r="52">
      <c r="A52" t="inlineStr">
        <is>
          <t>☐</t>
        </is>
      </c>
      <c r="B52" t="inlineStr">
        <is>
          <t>CFG-AI-02: High-risk AI systems have conformity assessment</t>
        </is>
      </c>
      <c r="C52" t="inlineStr">
        <is>
          <t>AI Act: Conformity cert</t>
        </is>
      </c>
    </row>
    <row r="53">
      <c r="A53" t="inlineStr">
        <is>
          <t>☐</t>
        </is>
      </c>
      <c r="B53" t="inlineStr">
        <is>
          <t>CFG-AI-03: AI system transparency notices configured</t>
        </is>
      </c>
      <c r="C53" t="inlineStr">
        <is>
          <t>AI Act: Notice config</t>
        </is>
      </c>
    </row>
    <row r="54">
      <c r="A54" t="inlineStr">
        <is>
          <t>☐</t>
        </is>
      </c>
      <c r="B54" t="inlineStr">
        <is>
          <t>CFG-AI-04: AI system logging and monitoring enabled</t>
        </is>
      </c>
      <c r="C54" t="inlineStr">
        <is>
          <t>AI Act: AI logs</t>
        </is>
      </c>
    </row>
    <row r="55">
      <c r="A55" t="inlineStr">
        <is>
          <t>☐</t>
        </is>
      </c>
      <c r="B55" t="inlineStr">
        <is>
          <t>CFG-AI-05: Human oversight mechanisms configured</t>
        </is>
      </c>
      <c r="C55" t="inlineStr">
        <is>
          <t>AI Act: Oversight config</t>
        </is>
      </c>
    </row>
    <row r="56">
      <c r="A56" t="inlineStr">
        <is>
          <t>☐</t>
        </is>
      </c>
      <c r="B56" t="inlineStr">
        <is>
          <t>Shared responsibility model documented per service — IaaS/PaaS/SaaS boundary for security controls explicitly defined</t>
        </is>
      </c>
      <c r="C56" t="inlineStr">
        <is>
          <t>Responsibility matrix, cloud provider documentation</t>
        </is>
      </c>
    </row>
  </sheetData>
  <mergeCells count="2">
    <mergeCell ref="A2:AB2"/>
    <mergeCell ref="A1:AB1"/>
  </mergeCells>
  <dataValidations count="11">
    <dataValidation sqref="D4:D29" showDropDown="0" showInputMessage="0" showErrorMessage="0" allowBlank="0" type="list">
      <formula1>"SaaS,IaaS,PaaS,Security Service,Cloud Storage,Other"</formula1>
    </dataValidation>
    <dataValidation sqref="E4:E29" showDropDown="0" showInputMessage="0" showErrorMessage="0" allowBlank="0" type="list">
      <formula1>"Production,Staging,Development,Test,All"</formula1>
    </dataValidation>
    <dataValidation sqref="F4:F29" showDropDown="0" showInputMessage="0" showErrorMessage="0" allowBlank="0" type="list">
      <formula1>"Critical,High,Medium,Low"</formula1>
    </dataValidation>
    <dataValidation sqref="G4:G29" showDropDown="0" showInputMessage="0" showErrorMessage="0" allowBlank="0" type="list">
      <formula1>"Restricted,Confidential,Internal,Public,N/A"</formula1>
    </dataValidation>
    <dataValidation sqref="I4:I29" showDropDown="0" showInputMessage="0" showErrorMessage="0" allowBlank="0" type="list">
      <formula1>"✅ Compliant,⚠️ Partial,❌ Non-Compliant,N/A"</formula1>
    </dataValidation>
    <dataValidation sqref="L4:L29" showDropDown="0" showInputMessage="0" showErrorMessage="0" allowBlank="0" type="list">
      <formula1>"Yes,No"</formula1>
    </dataValidation>
    <dataValidation sqref="P4:P29" showDropDown="0" showInputMessage="0" showErrorMessage="0" allowBlank="0" type="list">
      <formula1>"DevOpsSec,DevOps,Cloud Teams,IT Operations,Security"</formula1>
    </dataValidation>
    <dataValidation sqref="R4:R29 T4:T29 U4:U29 V4:V29 W4:W29 X4:X29" showDropDown="0" showInputMessage="0" showErrorMessage="0" allowBlank="0" type="list">
      <formula1>"Yes,No,Partial,N/A"</formula1>
    </dataValidation>
    <dataValidation sqref="Y4:Y29" showDropDown="0" showInputMessage="0" showErrorMessage="0" allowBlank="0" type="list">
      <formula1>"Full Compliance,Partial Compliance,Non-Compliant,N/A (Not in scope)"</formula1>
    </dataValidation>
    <dataValidation sqref="Z4:Z29" showDropDown="0" showInputMessage="0" showErrorMessage="0" allowBlank="0" type="list">
      <formula1>"Compliant,Partial (In Progress),Non-Compliant,N/A (Not in scope)"</formula1>
    </dataValidation>
    <dataValidation sqref="AA4:AA29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50" customHeight="1">
      <c r="A1" s="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13" t="inlineStr">
        <is>
          <t>Assessment Question: Are identity and access controls properly configured for your cloud services?</t>
        </is>
      </c>
    </row>
    <row r="3">
      <c r="A3" s="14" t="inlineStr">
        <is>
          <t>Assessment_ID</t>
        </is>
      </c>
      <c r="B3" s="14" t="inlineStr">
        <is>
          <t>Cloud_Service_Name</t>
        </is>
      </c>
      <c r="C3" s="14" t="inlineStr">
        <is>
          <t>Vendor_Name</t>
        </is>
      </c>
      <c r="D3" s="14" t="inlineStr">
        <is>
          <t>Service_Type</t>
        </is>
      </c>
      <c r="E3" s="14" t="inlineStr">
        <is>
          <t>Environment</t>
        </is>
      </c>
      <c r="F3" s="14" t="inlineStr">
        <is>
          <t>Service_Criticality</t>
        </is>
      </c>
      <c r="G3" s="14" t="inlineStr">
        <is>
          <t>Data_Classification</t>
        </is>
      </c>
      <c r="H3" s="14" t="inlineStr">
        <is>
          <t>Configuration_Item</t>
        </is>
      </c>
      <c r="I3" s="14" t="inlineStr">
        <is>
          <t>Status</t>
        </is>
      </c>
      <c r="J3" s="14" t="inlineStr">
        <is>
          <t>Evidence_Location</t>
        </is>
      </c>
      <c r="K3" s="14" t="inlineStr">
        <is>
          <t>Gap_Description</t>
        </is>
      </c>
      <c r="L3" s="14" t="inlineStr">
        <is>
          <t>Remediation_Needed</t>
        </is>
      </c>
      <c r="M3" s="14" t="inlineStr">
        <is>
          <t>Exception_ID</t>
        </is>
      </c>
      <c r="N3" s="14" t="inlineStr">
        <is>
          <t>Risk_ID</t>
        </is>
      </c>
      <c r="O3" s="14" t="inlineStr">
        <is>
          <t>Compensating_Controls</t>
        </is>
      </c>
      <c r="P3" s="14" t="inlineStr">
        <is>
          <t>Responsible_Team</t>
        </is>
      </c>
      <c r="Q3" s="14" t="inlineStr">
        <is>
          <t>Target_Remediation_Date</t>
        </is>
      </c>
      <c r="R3" s="14" t="inlineStr">
        <is>
          <t>SSO_Integrated</t>
        </is>
      </c>
      <c r="S3" s="14" t="inlineStr">
        <is>
          <t>MFA_Enforced</t>
        </is>
      </c>
      <c r="T3" s="14" t="inlineStr">
        <is>
          <t>RBAC_Implemented</t>
        </is>
      </c>
      <c r="U3" s="14" t="inlineStr">
        <is>
          <t>Privileged_Access_JIT</t>
        </is>
      </c>
      <c r="V3" s="14" t="inlineStr">
        <is>
          <t>Service_Accounts_Inventoried</t>
        </is>
      </c>
      <c r="W3" s="14" t="inlineStr">
        <is>
          <t>Last_Access_Review</t>
        </is>
      </c>
      <c r="X3" s="14" t="inlineStr">
        <is>
          <t>Admin_Account_Count</t>
        </is>
      </c>
    </row>
    <row r="4">
      <c r="A4">
        <f>CONCATENATE("ACC-",TEXT(ROW()-3,"000"))</f>
        <v/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>
        <f>CONCATENATE("ACC-",TEXT(ROW()-3,"000"))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CONCATENATE("ACC-",TEXT(ROW()-3,"000"))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CONCATENATE("ACC-",TEXT(ROW()-3,"000"))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CONCATENATE("ACC-",TEXT(ROW()-3,"000"))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CONCATENATE("ACC-",TEXT(ROW()-3,"000"))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CONCATENATE("ACC-",TEXT(ROW()-3,"000"))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CONCATENATE("ACC-",TEXT(ROW()-3,"000"))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CONCATENATE("ACC-",TEXT(ROW()-3,"000"))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CONCATENATE("ACC-",TEXT(ROW()-3,"000"))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CONCATENATE("ACC-",TEXT(ROW()-3,"000"))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CONCATENATE("ACC-",TEXT(ROW()-3,"000"))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CONCATENATE("ACC-",TEXT(ROW()-3,"000"))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CONCATENATE("ACC-",TEXT(ROW()-3,"000"))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CONCATENATE("ACC-",TEXT(ROW()-3,"000"))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CONCATENATE("ACC-",TEXT(ROW()-3,"000"))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CONCATENATE("ACC-",TEXT(ROW()-3,"000"))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CONCATENATE("ACC-",TEXT(ROW()-3,"000"))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CONCATENATE("ACC-",TEXT(ROW()-3,"000"))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CONCATENATE("ACC-",TEXT(ROW()-3,"000"))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CONCATENATE("ACC-",TEXT(ROW()-3,"000"))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CONCATENATE("ACC-",TEXT(ROW()-3,"000"))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CONCATENATE("ACC-",TEXT(ROW()-3,"000"))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CONCATENATE("ACC-",TEXT(ROW()-3,"000"))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CONCATENATE("ACC-",TEXT(ROW()-3,"000"))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CONCATENATE("ACC-",TEXT(ROW()-3,"000"))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2">
      <c r="A32" s="15" t="inlineStr">
        <is>
          <t>COMPLIANCE CHECKLIST</t>
        </is>
      </c>
    </row>
    <row r="33">
      <c r="A33" s="3" t="inlineStr">
        <is>
          <t>☐</t>
        </is>
      </c>
      <c r="B33" s="3" t="inlineStr">
        <is>
          <t>Requirement</t>
        </is>
      </c>
      <c r="C33" s="3" t="inlineStr">
        <is>
          <t>Evidence</t>
        </is>
      </c>
    </row>
    <row r="34">
      <c r="A34" t="inlineStr">
        <is>
          <t>☐</t>
        </is>
      </c>
      <c r="B34" t="inlineStr">
        <is>
          <t>SSO configured via organisational IdP (Entra ID, Okta, etc.)</t>
        </is>
      </c>
      <c r="C34" t="inlineStr">
        <is>
          <t>SSO config screenshot</t>
        </is>
      </c>
    </row>
    <row r="35">
      <c r="A35" t="inlineStr">
        <is>
          <t>☐</t>
        </is>
      </c>
      <c r="B35" t="inlineStr">
        <is>
          <t>MFA enforced for all users</t>
        </is>
      </c>
      <c r="C35" t="inlineStr">
        <is>
          <t>MFA policy screenshot</t>
        </is>
      </c>
    </row>
    <row r="36">
      <c r="A36" t="inlineStr">
        <is>
          <t>☐</t>
        </is>
      </c>
      <c r="B36" t="inlineStr">
        <is>
          <t>MFA mandatory for privileged accounts</t>
        </is>
      </c>
      <c r="C36" t="inlineStr">
        <is>
          <t>Admin MFA verification</t>
        </is>
      </c>
    </row>
    <row r="37">
      <c r="A37" t="inlineStr">
        <is>
          <t>☐</t>
        </is>
      </c>
      <c r="B37" t="inlineStr">
        <is>
          <t>RBAC roles documented and implemented</t>
        </is>
      </c>
      <c r="C37" t="inlineStr">
        <is>
          <t>Role matrix document</t>
        </is>
      </c>
    </row>
    <row r="38">
      <c r="A38" t="inlineStr">
        <is>
          <t>☐</t>
        </is>
      </c>
      <c r="B38" t="inlineStr">
        <is>
          <t>Least privilege principle applied</t>
        </is>
      </c>
      <c r="C38" t="inlineStr">
        <is>
          <t>Permission audit</t>
        </is>
      </c>
    </row>
    <row r="39">
      <c r="A39" t="inlineStr">
        <is>
          <t>☐</t>
        </is>
      </c>
      <c r="B39" t="inlineStr">
        <is>
          <t>Service accounts inventoried with owners</t>
        </is>
      </c>
      <c r="C39" t="inlineStr">
        <is>
          <t>Service account register</t>
        </is>
      </c>
    </row>
    <row r="40">
      <c r="A40" t="inlineStr">
        <is>
          <t>☐</t>
        </is>
      </c>
      <c r="B40" t="inlineStr">
        <is>
          <t>Privileged access is time-limited (JIT)</t>
        </is>
      </c>
      <c r="C40" t="inlineStr">
        <is>
          <t>PAM configuration</t>
        </is>
      </c>
    </row>
    <row r="41">
      <c r="A41" t="inlineStr">
        <is>
          <t>☐</t>
        </is>
      </c>
      <c r="B41" t="inlineStr">
        <is>
          <t>Access reviews performed quarterly</t>
        </is>
      </c>
      <c r="C41" t="inlineStr">
        <is>
          <t>Access review report</t>
        </is>
      </c>
    </row>
    <row r="42">
      <c r="A42" t="inlineStr">
        <is>
          <t>☐</t>
        </is>
      </c>
      <c r="B42" t="inlineStr">
        <is>
          <t>Default accounts disabled or renamed</t>
        </is>
      </c>
      <c r="C42" t="inlineStr">
        <is>
          <t>Security baseline check</t>
        </is>
      </c>
    </row>
    <row r="43">
      <c r="A43" t="inlineStr">
        <is>
          <t>☐</t>
        </is>
      </c>
      <c r="B43" t="inlineStr">
        <is>
          <t>Failed login alerting configured</t>
        </is>
      </c>
      <c r="C43" t="inlineStr">
        <is>
          <t>Alert rule screenshot</t>
        </is>
      </c>
    </row>
  </sheetData>
  <mergeCells count="2">
    <mergeCell ref="A2:X2"/>
    <mergeCell ref="A1:X1"/>
  </mergeCells>
  <dataValidations count="12">
    <dataValidation sqref="D4:D29" showDropDown="0" showInputMessage="0" showErrorMessage="0" allowBlank="0" type="list">
      <formula1>"SaaS,IaaS,PaaS,Security Service,Cloud Storage,Other"</formula1>
    </dataValidation>
    <dataValidation sqref="E4:E29" showDropDown="0" showInputMessage="0" showErrorMessage="0" allowBlank="0" type="list">
      <formula1>"Production,Staging,Development,Test,All"</formula1>
    </dataValidation>
    <dataValidation sqref="F4:F29" showDropDown="0" showInputMessage="0" showErrorMessage="0" allowBlank="0" type="list">
      <formula1>"Critical,High,Medium,Low"</formula1>
    </dataValidation>
    <dataValidation sqref="G4:G29" showDropDown="0" showInputMessage="0" showErrorMessage="0" allowBlank="0" type="list">
      <formula1>"Restricted,Confidential,Internal,Public,N/A"</formula1>
    </dataValidation>
    <dataValidation sqref="I4:I29" showDropDown="0" showInputMessage="0" showErrorMessage="0" allowBlank="0" type="list">
      <formula1>"✅ Compliant,⚠️ Partial,❌ Non-Compliant,N/A"</formula1>
    </dataValidation>
    <dataValidation sqref="L4:L29" showDropDown="0" showInputMessage="0" showErrorMessage="0" allowBlank="0" type="list">
      <formula1>"Yes,No"</formula1>
    </dataValidation>
    <dataValidation sqref="P4:P29" showDropDown="0" showInputMessage="0" showErrorMessage="0" allowBlank="0" type="list">
      <formula1>"DevOpsSec,DevOps,Cloud Teams,IT Operations,Security"</formula1>
    </dataValidation>
    <dataValidation sqref="R4:R29" showDropDown="0" showInputMessage="0" showErrorMessage="0" allowBlank="0" type="list">
      <formula1>"Yes,No,Partial,N/A"</formula1>
    </dataValidation>
    <dataValidation sqref="S4:S29" showDropDown="0" showInputMessage="0" showErrorMessage="0" allowBlank="0" type="list">
      <formula1>"Yes (All Users),Yes (Admins Only),No,N/A"</formula1>
    </dataValidation>
    <dataValidation sqref="T4:T29" showDropDown="0" showInputMessage="0" showErrorMessage="0" allowBlank="0" type="list">
      <formula1>"Yes,Partial,No,N/A"</formula1>
    </dataValidation>
    <dataValidation sqref="U4:U29" showDropDown="0" showInputMessage="0" showErrorMessage="0" allowBlank="0" type="list">
      <formula1>"Yes,No,Planned,N/A"</formula1>
    </dataValidation>
    <dataValidation sqref="V4:V29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50" customHeight="1">
      <c r="A1" s="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13" t="inlineStr">
        <is>
          <t>Assessment Question: Are network security controls properly configured for your cloud services?</t>
        </is>
      </c>
    </row>
    <row r="3">
      <c r="A3" s="14" t="inlineStr">
        <is>
          <t>Assessment_ID</t>
        </is>
      </c>
      <c r="B3" s="14" t="inlineStr">
        <is>
          <t>Cloud_Service_Name</t>
        </is>
      </c>
      <c r="C3" s="14" t="inlineStr">
        <is>
          <t>Vendor_Name</t>
        </is>
      </c>
      <c r="D3" s="14" t="inlineStr">
        <is>
          <t>Service_Type</t>
        </is>
      </c>
      <c r="E3" s="14" t="inlineStr">
        <is>
          <t>Environment</t>
        </is>
      </c>
      <c r="F3" s="14" t="inlineStr">
        <is>
          <t>Service_Criticality</t>
        </is>
      </c>
      <c r="G3" s="14" t="inlineStr">
        <is>
          <t>Data_Classification</t>
        </is>
      </c>
      <c r="H3" s="14" t="inlineStr">
        <is>
          <t>Configuration_Item</t>
        </is>
      </c>
      <c r="I3" s="14" t="inlineStr">
        <is>
          <t>Status</t>
        </is>
      </c>
      <c r="J3" s="14" t="inlineStr">
        <is>
          <t>Evidence_Location</t>
        </is>
      </c>
      <c r="K3" s="14" t="inlineStr">
        <is>
          <t>Gap_Description</t>
        </is>
      </c>
      <c r="L3" s="14" t="inlineStr">
        <is>
          <t>Remediation_Needed</t>
        </is>
      </c>
      <c r="M3" s="14" t="inlineStr">
        <is>
          <t>Exception_ID</t>
        </is>
      </c>
      <c r="N3" s="14" t="inlineStr">
        <is>
          <t>Risk_ID</t>
        </is>
      </c>
      <c r="O3" s="14" t="inlineStr">
        <is>
          <t>Compensating_Controls</t>
        </is>
      </c>
      <c r="P3" s="14" t="inlineStr">
        <is>
          <t>Responsible_Team</t>
        </is>
      </c>
      <c r="Q3" s="14" t="inlineStr">
        <is>
          <t>Target_Remediation_Date</t>
        </is>
      </c>
      <c r="R3" s="14" t="inlineStr">
        <is>
          <t>IP_Restrictions</t>
        </is>
      </c>
      <c r="S3" s="14" t="inlineStr">
        <is>
          <t>Private_Connectivity</t>
        </is>
      </c>
      <c r="T3" s="14" t="inlineStr">
        <is>
          <t>Network_Segmentation</t>
        </is>
      </c>
      <c r="U3" s="14" t="inlineStr">
        <is>
          <t>WAF_Enabled</t>
        </is>
      </c>
      <c r="V3" s="14" t="inlineStr">
        <is>
          <t>DDoS_Protection</t>
        </is>
      </c>
      <c r="W3" s="14" t="inlineStr">
        <is>
          <t>Firewall_Rules_Documented</t>
        </is>
      </c>
      <c r="X3" s="14" t="inlineStr">
        <is>
          <t>Public_Endpoints_Count</t>
        </is>
      </c>
    </row>
    <row r="4">
      <c r="A4">
        <f>CONCATENATE("NET-",TEXT(ROW()-3,"000"))</f>
        <v/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>
        <f>CONCATENATE("NET-",TEXT(ROW()-3,"000"))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CONCATENATE("NET-",TEXT(ROW()-3,"000"))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CONCATENATE("NET-",TEXT(ROW()-3,"000"))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CONCATENATE("NET-",TEXT(ROW()-3,"000"))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CONCATENATE("NET-",TEXT(ROW()-3,"000"))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CONCATENATE("NET-",TEXT(ROW()-3,"000"))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CONCATENATE("NET-",TEXT(ROW()-3,"000"))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CONCATENATE("NET-",TEXT(ROW()-3,"000"))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CONCATENATE("NET-",TEXT(ROW()-3,"000"))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CONCATENATE("NET-",TEXT(ROW()-3,"000"))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CONCATENATE("NET-",TEXT(ROW()-3,"000"))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CONCATENATE("NET-",TEXT(ROW()-3,"000"))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CONCATENATE("NET-",TEXT(ROW()-3,"000"))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CONCATENATE("NET-",TEXT(ROW()-3,"000"))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CONCATENATE("NET-",TEXT(ROW()-3,"000"))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CONCATENATE("NET-",TEXT(ROW()-3,"000"))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CONCATENATE("NET-",TEXT(ROW()-3,"000"))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CONCATENATE("NET-",TEXT(ROW()-3,"000"))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CONCATENATE("NET-",TEXT(ROW()-3,"000"))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CONCATENATE("NET-",TEXT(ROW()-3,"000"))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CONCATENATE("NET-",TEXT(ROW()-3,"000"))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CONCATENATE("NET-",TEXT(ROW()-3,"000"))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CONCATENATE("NET-",TEXT(ROW()-3,"000"))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CONCATENATE("NET-",TEXT(ROW()-3,"000"))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CONCATENATE("NET-",TEXT(ROW()-3,"000"))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2">
      <c r="A32" s="15" t="inlineStr">
        <is>
          <t>COMPLIANCE CHECKLIST</t>
        </is>
      </c>
    </row>
    <row r="33">
      <c r="A33" s="3" t="inlineStr">
        <is>
          <t>☐</t>
        </is>
      </c>
      <c r="B33" s="3" t="inlineStr">
        <is>
          <t>Requirement</t>
        </is>
      </c>
      <c r="C33" s="3" t="inlineStr">
        <is>
          <t>Evidence</t>
        </is>
      </c>
    </row>
    <row r="34">
      <c r="A34" t="inlineStr">
        <is>
          <t>☐</t>
        </is>
      </c>
      <c r="B34" t="inlineStr">
        <is>
          <t>IP allowlisting configured for admin access</t>
        </is>
      </c>
      <c r="C34" t="inlineStr">
        <is>
          <t>Firewall rules</t>
        </is>
      </c>
    </row>
    <row r="35">
      <c r="A35" t="inlineStr">
        <is>
          <t>☐</t>
        </is>
      </c>
      <c r="B35" t="inlineStr">
        <is>
          <t>Private endpoints used where available</t>
        </is>
      </c>
      <c r="C35" t="inlineStr">
        <is>
          <t>Network architecture</t>
        </is>
      </c>
    </row>
    <row r="36">
      <c r="A36" t="inlineStr">
        <is>
          <t>☐</t>
        </is>
      </c>
      <c r="B36" t="inlineStr">
        <is>
          <t>VPN/ExpressRoute for sensitive workloads</t>
        </is>
      </c>
      <c r="C36" t="inlineStr">
        <is>
          <t>Connectivity config</t>
        </is>
      </c>
    </row>
    <row r="37">
      <c r="A37" t="inlineStr">
        <is>
          <t>☐</t>
        </is>
      </c>
      <c r="B37" t="inlineStr">
        <is>
          <t>Network segmentation between environments</t>
        </is>
      </c>
      <c r="C37" t="inlineStr">
        <is>
          <t>Network diagram</t>
        </is>
      </c>
    </row>
    <row r="38">
      <c r="A38" t="inlineStr">
        <is>
          <t>☐</t>
        </is>
      </c>
      <c r="B38" t="inlineStr">
        <is>
          <t>WAF configured for web applications</t>
        </is>
      </c>
      <c r="C38" t="inlineStr">
        <is>
          <t>WAF rules export</t>
        </is>
      </c>
    </row>
    <row r="39">
      <c r="A39" t="inlineStr">
        <is>
          <t>☐</t>
        </is>
      </c>
      <c r="B39" t="inlineStr">
        <is>
          <t>DDoS protection enabled</t>
        </is>
      </c>
      <c r="C39" t="inlineStr">
        <is>
          <t>DDoS settings</t>
        </is>
      </c>
    </row>
    <row r="40">
      <c r="A40" t="inlineStr">
        <is>
          <t>☐</t>
        </is>
      </c>
      <c r="B40" t="inlineStr">
        <is>
          <t>Firewall rules documented and reviewed</t>
        </is>
      </c>
      <c r="C40" t="inlineStr">
        <is>
          <t>Rule documentation</t>
        </is>
      </c>
    </row>
    <row r="41">
      <c r="A41" t="inlineStr">
        <is>
          <t>☐</t>
        </is>
      </c>
      <c r="B41" t="inlineStr">
        <is>
          <t>Public endpoints minimized and justified</t>
        </is>
      </c>
      <c r="C41" t="inlineStr">
        <is>
          <t>Endpoint inventory</t>
        </is>
      </c>
    </row>
  </sheetData>
  <mergeCells count="2">
    <mergeCell ref="A2:X2"/>
    <mergeCell ref="A1:X1"/>
  </mergeCells>
  <dataValidations count="13">
    <dataValidation sqref="D4:D29" showDropDown="0" showInputMessage="0" showErrorMessage="0" allowBlank="0" type="list">
      <formula1>"SaaS,IaaS,PaaS,Security Service,Cloud Storage,Other"</formula1>
    </dataValidation>
    <dataValidation sqref="E4:E29" showDropDown="0" showInputMessage="0" showErrorMessage="0" allowBlank="0" type="list">
      <formula1>"Production,Staging,Development,Test,All"</formula1>
    </dataValidation>
    <dataValidation sqref="F4:F29" showDropDown="0" showInputMessage="0" showErrorMessage="0" allowBlank="0" type="list">
      <formula1>"Critical,High,Medium,Low"</formula1>
    </dataValidation>
    <dataValidation sqref="G4:G29" showDropDown="0" showInputMessage="0" showErrorMessage="0" allowBlank="0" type="list">
      <formula1>"Restricted,Confidential,Internal,Public,N/A"</formula1>
    </dataValidation>
    <dataValidation sqref="I4:I29" showDropDown="0" showInputMessage="0" showErrorMessage="0" allowBlank="0" type="list">
      <formula1>"✅ Compliant,⚠️ Partial,❌ Non-Compliant,N/A"</formula1>
    </dataValidation>
    <dataValidation sqref="L4:L29" showDropDown="0" showInputMessage="0" showErrorMessage="0" allowBlank="0" type="list">
      <formula1>"Yes,No"</formula1>
    </dataValidation>
    <dataValidation sqref="P4:P29" showDropDown="0" showInputMessage="0" showErrorMessage="0" allowBlank="0" type="list">
      <formula1>"DevOpsSec,DevOps,Cloud Teams,IT Operations,Security"</formula1>
    </dataValidation>
    <dataValidation sqref="R4:R29" showDropDown="0" showInputMessage="0" showErrorMessage="0" allowBlank="0" type="list">
      <formula1>"Yes (Allowlist),Yes (Geo),No,N/A"</formula1>
    </dataValidation>
    <dataValidation sqref="S4:S29" showDropDown="0" showInputMessage="0" showErrorMessage="0" allowBlank="0" type="list">
      <formula1>"Yes (Private Link),Yes (VPN),Public Only,N/A"</formula1>
    </dataValidation>
    <dataValidation sqref="T4:T29" showDropDown="0" showInputMessage="0" showErrorMessage="0" allowBlank="0" type="list">
      <formula1>"Yes,Partial,No,N/A"</formula1>
    </dataValidation>
    <dataValidation sqref="U4:U29" showDropDown="0" showInputMessage="0" showErrorMessage="0" allowBlank="0" type="list">
      <formula1>"Yes,No,N/A"</formula1>
    </dataValidation>
    <dataValidation sqref="V4:V29" showDropDown="0" showInputMessage="0" showErrorMessage="0" allowBlank="0" type="list">
      <formula1>"Yes (Advanced),Yes (Basic),No,N/A"</formula1>
    </dataValidation>
    <dataValidation sqref="W4:W29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50" customHeight="1">
      <c r="A1" s="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13" t="inlineStr">
        <is>
          <t>Assessment Question: Are encryption controls properly configured for your cloud services?</t>
        </is>
      </c>
    </row>
    <row r="3">
      <c r="A3" s="14" t="inlineStr">
        <is>
          <t>Assessment_ID</t>
        </is>
      </c>
      <c r="B3" s="14" t="inlineStr">
        <is>
          <t>Cloud_Service_Name</t>
        </is>
      </c>
      <c r="C3" s="14" t="inlineStr">
        <is>
          <t>Vendor_Name</t>
        </is>
      </c>
      <c r="D3" s="14" t="inlineStr">
        <is>
          <t>Service_Type</t>
        </is>
      </c>
      <c r="E3" s="14" t="inlineStr">
        <is>
          <t>Environment</t>
        </is>
      </c>
      <c r="F3" s="14" t="inlineStr">
        <is>
          <t>Service_Criticality</t>
        </is>
      </c>
      <c r="G3" s="14" t="inlineStr">
        <is>
          <t>Data_Classification</t>
        </is>
      </c>
      <c r="H3" s="14" t="inlineStr">
        <is>
          <t>Configuration_Item</t>
        </is>
      </c>
      <c r="I3" s="14" t="inlineStr">
        <is>
          <t>Status</t>
        </is>
      </c>
      <c r="J3" s="14" t="inlineStr">
        <is>
          <t>Evidence_Location</t>
        </is>
      </c>
      <c r="K3" s="14" t="inlineStr">
        <is>
          <t>Gap_Description</t>
        </is>
      </c>
      <c r="L3" s="14" t="inlineStr">
        <is>
          <t>Remediation_Needed</t>
        </is>
      </c>
      <c r="M3" s="14" t="inlineStr">
        <is>
          <t>Exception_ID</t>
        </is>
      </c>
      <c r="N3" s="14" t="inlineStr">
        <is>
          <t>Risk_ID</t>
        </is>
      </c>
      <c r="O3" s="14" t="inlineStr">
        <is>
          <t>Compensating_Controls</t>
        </is>
      </c>
      <c r="P3" s="14" t="inlineStr">
        <is>
          <t>Responsible_Team</t>
        </is>
      </c>
      <c r="Q3" s="14" t="inlineStr">
        <is>
          <t>Target_Remediation_Date</t>
        </is>
      </c>
      <c r="R3" s="14" t="inlineStr">
        <is>
          <t>Encryption_At_Rest</t>
        </is>
      </c>
      <c r="S3" s="14" t="inlineStr">
        <is>
          <t>Encryption_In_Transit</t>
        </is>
      </c>
      <c r="T3" s="14" t="inlineStr">
        <is>
          <t>Encryption_Algorithm</t>
        </is>
      </c>
      <c r="U3" s="14" t="inlineStr">
        <is>
          <t>Key_Management</t>
        </is>
      </c>
      <c r="V3" s="14" t="inlineStr">
        <is>
          <t>Key_Rotation_Period</t>
        </is>
      </c>
      <c r="W3" s="14" t="inlineStr">
        <is>
          <t>HSM_Used</t>
        </is>
      </c>
      <c r="X3" s="14" t="inlineStr">
        <is>
          <t>Last_Key_Rotation</t>
        </is>
      </c>
    </row>
    <row r="4">
      <c r="A4">
        <f>CONCATENATE("ENC-",TEXT(ROW()-3,"000"))</f>
        <v/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>
        <f>CONCATENATE("ENC-",TEXT(ROW()-3,"000"))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CONCATENATE("ENC-",TEXT(ROW()-3,"000"))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CONCATENATE("ENC-",TEXT(ROW()-3,"000"))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CONCATENATE("ENC-",TEXT(ROW()-3,"000"))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CONCATENATE("ENC-",TEXT(ROW()-3,"000"))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CONCATENATE("ENC-",TEXT(ROW()-3,"000"))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CONCATENATE("ENC-",TEXT(ROW()-3,"000"))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CONCATENATE("ENC-",TEXT(ROW()-3,"000"))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CONCATENATE("ENC-",TEXT(ROW()-3,"000"))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CONCATENATE("ENC-",TEXT(ROW()-3,"000"))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CONCATENATE("ENC-",TEXT(ROW()-3,"000"))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CONCATENATE("ENC-",TEXT(ROW()-3,"000"))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CONCATENATE("ENC-",TEXT(ROW()-3,"000"))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CONCATENATE("ENC-",TEXT(ROW()-3,"000"))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CONCATENATE("ENC-",TEXT(ROW()-3,"000"))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CONCATENATE("ENC-",TEXT(ROW()-3,"000"))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CONCATENATE("ENC-",TEXT(ROW()-3,"000"))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CONCATENATE("ENC-",TEXT(ROW()-3,"000"))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CONCATENATE("ENC-",TEXT(ROW()-3,"000"))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CONCATENATE("ENC-",TEXT(ROW()-3,"000"))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CONCATENATE("ENC-",TEXT(ROW()-3,"000"))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CONCATENATE("ENC-",TEXT(ROW()-3,"000"))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CONCATENATE("ENC-",TEXT(ROW()-3,"000"))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CONCATENATE("ENC-",TEXT(ROW()-3,"000"))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CONCATENATE("ENC-",TEXT(ROW()-3,"000"))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2">
      <c r="A32" s="15" t="inlineStr">
        <is>
          <t>COMPLIANCE CHECKLIST</t>
        </is>
      </c>
    </row>
    <row r="33">
      <c r="A33" s="3" t="inlineStr">
        <is>
          <t>☐</t>
        </is>
      </c>
      <c r="B33" s="3" t="inlineStr">
        <is>
          <t>Requirement</t>
        </is>
      </c>
      <c r="C33" s="3" t="inlineStr">
        <is>
          <t>Evidence</t>
        </is>
      </c>
    </row>
    <row r="34">
      <c r="A34" t="inlineStr">
        <is>
          <t>☐</t>
        </is>
      </c>
      <c r="B34" t="inlineStr">
        <is>
          <t>TLS 1.2+ enforced for all connections</t>
        </is>
      </c>
      <c r="C34" t="inlineStr">
        <is>
          <t>TLS config, SSL scan</t>
        </is>
      </c>
    </row>
    <row r="35">
      <c r="A35" t="inlineStr">
        <is>
          <t>☐</t>
        </is>
      </c>
      <c r="B35" t="inlineStr">
        <is>
          <t>AES-256 encryption at rest enabled</t>
        </is>
      </c>
      <c r="C35" t="inlineStr">
        <is>
          <t>Encryption settings</t>
        </is>
      </c>
    </row>
    <row r="36">
      <c r="A36" t="inlineStr">
        <is>
          <t>☐</t>
        </is>
      </c>
      <c r="B36" t="inlineStr">
        <is>
          <t>Encryption keys stored securely (HSM/KMS)</t>
        </is>
      </c>
      <c r="C36" t="inlineStr">
        <is>
          <t>Key management config</t>
        </is>
      </c>
    </row>
    <row r="37">
      <c r="A37" t="inlineStr">
        <is>
          <t>☐</t>
        </is>
      </c>
      <c r="B37" t="inlineStr">
        <is>
          <t>Key rotation policy implemented</t>
        </is>
      </c>
      <c r="C37" t="inlineStr">
        <is>
          <t>Rotation schedule</t>
        </is>
      </c>
    </row>
    <row r="38">
      <c r="A38" t="inlineStr">
        <is>
          <t>☐</t>
        </is>
      </c>
      <c r="B38" t="inlineStr">
        <is>
          <t>Customer-managed keys (CMK) used for sensitive data</t>
        </is>
      </c>
      <c r="C38" t="inlineStr">
        <is>
          <t>CMK configuration</t>
        </is>
      </c>
    </row>
    <row r="39">
      <c r="A39" t="inlineStr">
        <is>
          <t>☐</t>
        </is>
      </c>
      <c r="B39" t="inlineStr">
        <is>
          <t>Key access logged and monitored</t>
        </is>
      </c>
      <c r="C39" t="inlineStr">
        <is>
          <t>Key access logs</t>
        </is>
      </c>
    </row>
    <row r="40">
      <c r="A40" t="inlineStr">
        <is>
          <t>☐</t>
        </is>
      </c>
      <c r="B40" t="inlineStr">
        <is>
          <t>Encryption validated for backups</t>
        </is>
      </c>
      <c r="C40" t="inlineStr">
        <is>
          <t>Backup encryption check</t>
        </is>
      </c>
    </row>
    <row r="41">
      <c r="A41" t="inlineStr">
        <is>
          <t>☐</t>
        </is>
      </c>
      <c r="B41" t="inlineStr">
        <is>
          <t>Secure deletion process documented</t>
        </is>
      </c>
      <c r="C41" t="inlineStr">
        <is>
          <t>Deletion procedures</t>
        </is>
      </c>
    </row>
  </sheetData>
  <mergeCells count="2">
    <mergeCell ref="A2:X2"/>
    <mergeCell ref="A1:X1"/>
  </mergeCells>
  <dataValidations count="13">
    <dataValidation sqref="D4:D29" showDropDown="0" showInputMessage="0" showErrorMessage="0" allowBlank="0" type="list">
      <formula1>"SaaS,IaaS,PaaS,Security Service,Cloud Storage,Other"</formula1>
    </dataValidation>
    <dataValidation sqref="E4:E29" showDropDown="0" showInputMessage="0" showErrorMessage="0" allowBlank="0" type="list">
      <formula1>"Production,Staging,Development,Test,All"</formula1>
    </dataValidation>
    <dataValidation sqref="F4:F29" showDropDown="0" showInputMessage="0" showErrorMessage="0" allowBlank="0" type="list">
      <formula1>"Critical,High,Medium,Low"</formula1>
    </dataValidation>
    <dataValidation sqref="G4:G29" showDropDown="0" showInputMessage="0" showErrorMessage="0" allowBlank="0" type="list">
      <formula1>"Restricted,Confidential,Internal,Public,N/A"</formula1>
    </dataValidation>
    <dataValidation sqref="I4:I29" showDropDown="0" showInputMessage="0" showErrorMessage="0" allowBlank="0" type="list">
      <formula1>"✅ Compliant,⚠️ Partial,❌ Non-Compliant,N/A"</formula1>
    </dataValidation>
    <dataValidation sqref="L4:L29" showDropDown="0" showInputMessage="0" showErrorMessage="0" allowBlank="0" type="list">
      <formula1>"Yes,No"</formula1>
    </dataValidation>
    <dataValidation sqref="P4:P29" showDropDown="0" showInputMessage="0" showErrorMessage="0" allowBlank="0" type="list">
      <formula1>"DevOpsSec,DevOps,Cloud Teams,IT Operations,Security"</formula1>
    </dataValidation>
    <dataValidation sqref="R4:R29" showDropDown="0" showInputMessage="0" showErrorMessage="0" allowBlank="0" type="list">
      <formula1>"Yes (Provider Key),Yes (CMK),No,N/A"</formula1>
    </dataValidation>
    <dataValidation sqref="S4:S29" showDropDown="0" showInputMessage="0" showErrorMessage="0" allowBlank="0" type="list">
      <formula1>"Yes (TLS 1.3),Yes (TLS 1.2),No,N/A"</formula1>
    </dataValidation>
    <dataValidation sqref="T4:T29" showDropDown="0" showInputMessage="0" showErrorMessage="0" allowBlank="0" type="list">
      <formula1>"AES-256,AES-128,ChaCha20,Other,Unknown"</formula1>
    </dataValidation>
    <dataValidation sqref="U4:U29" showDropDown="0" showInputMessage="0" showErrorMessage="0" allowBlank="0" type="list">
      <formula1>"Provider Managed,Customer Managed (HSM),Customer Managed (Software),N/A"</formula1>
    </dataValidation>
    <dataValidation sqref="V4:V29" showDropDown="0" showInputMessage="0" showErrorMessage="0" allowBlank="0" type="list">
      <formula1>"90 days,180 days,365 days,Manual,N/A"</formula1>
    </dataValidation>
    <dataValidation sqref="W4:W29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50" customHeight="1">
      <c r="A1" s="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13" t="inlineStr">
        <is>
          <t>Assessment Question: Have all deployment security requirements been met for your cloud services?</t>
        </is>
      </c>
    </row>
    <row r="3">
      <c r="A3" s="14" t="inlineStr">
        <is>
          <t>Assessment_ID</t>
        </is>
      </c>
      <c r="B3" s="14" t="inlineStr">
        <is>
          <t>Cloud_Service_Name</t>
        </is>
      </c>
      <c r="C3" s="14" t="inlineStr">
        <is>
          <t>Vendor_Name</t>
        </is>
      </c>
      <c r="D3" s="14" t="inlineStr">
        <is>
          <t>Service_Type</t>
        </is>
      </c>
      <c r="E3" s="14" t="inlineStr">
        <is>
          <t>Environment</t>
        </is>
      </c>
      <c r="F3" s="14" t="inlineStr">
        <is>
          <t>Service_Criticality</t>
        </is>
      </c>
      <c r="G3" s="14" t="inlineStr">
        <is>
          <t>Data_Classification</t>
        </is>
      </c>
      <c r="H3" s="14" t="inlineStr">
        <is>
          <t>Configuration_Item</t>
        </is>
      </c>
      <c r="I3" s="14" t="inlineStr">
        <is>
          <t>Status</t>
        </is>
      </c>
      <c r="J3" s="14" t="inlineStr">
        <is>
          <t>Evidence_Location</t>
        </is>
      </c>
      <c r="K3" s="14" t="inlineStr">
        <is>
          <t>Gap_Description</t>
        </is>
      </c>
      <c r="L3" s="14" t="inlineStr">
        <is>
          <t>Remediation_Needed</t>
        </is>
      </c>
      <c r="M3" s="14" t="inlineStr">
        <is>
          <t>Exception_ID</t>
        </is>
      </c>
      <c r="N3" s="14" t="inlineStr">
        <is>
          <t>Risk_ID</t>
        </is>
      </c>
      <c r="O3" s="14" t="inlineStr">
        <is>
          <t>Compensating_Controls</t>
        </is>
      </c>
      <c r="P3" s="14" t="inlineStr">
        <is>
          <t>Responsible_Team</t>
        </is>
      </c>
      <c r="Q3" s="14" t="inlineStr">
        <is>
          <t>Target_Remediation_Date</t>
        </is>
      </c>
      <c r="R3" s="14" t="inlineStr">
        <is>
          <t>Pre_Deploy_Scan</t>
        </is>
      </c>
      <c r="S3" s="14" t="inlineStr">
        <is>
          <t>Security_Approved</t>
        </is>
      </c>
      <c r="T3" s="14" t="inlineStr">
        <is>
          <t>Backup_Tested</t>
        </is>
      </c>
      <c r="U3" s="14" t="inlineStr">
        <is>
          <t>Monitoring_Enabled</t>
        </is>
      </c>
      <c r="V3" s="14" t="inlineStr">
        <is>
          <t>Runbook_Available</t>
        </is>
      </c>
      <c r="W3" s="14" t="inlineStr">
        <is>
          <t>Rollback_Plan</t>
        </is>
      </c>
      <c r="X3" s="14" t="inlineStr">
        <is>
          <t>Deployment_Date</t>
        </is>
      </c>
    </row>
    <row r="4">
      <c r="A4">
        <f>CONCATENATE("DEP-",TEXT(ROW()-3,"000"))</f>
        <v/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</row>
    <row r="5">
      <c r="A5">
        <f>CONCATENATE("DEP-",TEXT(ROW()-3,"000"))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CONCATENATE("DEP-",TEXT(ROW()-3,"000"))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CONCATENATE("DEP-",TEXT(ROW()-3,"000"))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CONCATENATE("DEP-",TEXT(ROW()-3,"000"))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CONCATENATE("DEP-",TEXT(ROW()-3,"000"))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CONCATENATE("DEP-",TEXT(ROW()-3,"000"))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CONCATENATE("DEP-",TEXT(ROW()-3,"000"))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CONCATENATE("DEP-",TEXT(ROW()-3,"000"))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CONCATENATE("DEP-",TEXT(ROW()-3,"000"))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CONCATENATE("DEP-",TEXT(ROW()-3,"000"))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CONCATENATE("DEP-",TEXT(ROW()-3,"000"))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CONCATENATE("DEP-",TEXT(ROW()-3,"000"))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CONCATENATE("DEP-",TEXT(ROW()-3,"000"))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CONCATENATE("DEP-",TEXT(ROW()-3,"000"))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CONCATENATE("DEP-",TEXT(ROW()-3,"000"))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CONCATENATE("DEP-",TEXT(ROW()-3,"000"))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CONCATENATE("DEP-",TEXT(ROW()-3,"000"))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CONCATENATE("DEP-",TEXT(ROW()-3,"000"))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CONCATENATE("DEP-",TEXT(ROW()-3,"000"))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CONCATENATE("DEP-",TEXT(ROW()-3,"000"))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CONCATENATE("DEP-",TEXT(ROW()-3,"000"))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CONCATENATE("DEP-",TEXT(ROW()-3,"000"))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CONCATENATE("DEP-",TEXT(ROW()-3,"000"))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CONCATENATE("DEP-",TEXT(ROW()-3,"000"))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CONCATENATE("DEP-",TEXT(ROW()-3,"000"))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2">
      <c r="A32" s="15" t="inlineStr">
        <is>
          <t>COMPLIANCE CHECKLIST</t>
        </is>
      </c>
    </row>
    <row r="33">
      <c r="A33" s="3" t="inlineStr">
        <is>
          <t>☐</t>
        </is>
      </c>
      <c r="B33" s="3" t="inlineStr">
        <is>
          <t>Requirement</t>
        </is>
      </c>
      <c r="C33" s="3" t="inlineStr">
        <is>
          <t>Evidence</t>
        </is>
      </c>
    </row>
    <row r="34">
      <c r="A34" t="inlineStr">
        <is>
          <t>☐</t>
        </is>
      </c>
      <c r="B34" t="inlineStr">
        <is>
          <t>Pre-deployment security scan completed</t>
        </is>
      </c>
      <c r="C34" t="inlineStr">
        <is>
          <t>Scan report</t>
        </is>
      </c>
    </row>
    <row r="35">
      <c r="A35" t="inlineStr">
        <is>
          <t>☐</t>
        </is>
      </c>
      <c r="B35" t="inlineStr">
        <is>
          <t>Security team approval obtained</t>
        </is>
      </c>
      <c r="C35" t="inlineStr">
        <is>
          <t>Approval ticket</t>
        </is>
      </c>
    </row>
    <row r="36">
      <c r="A36" t="inlineStr">
        <is>
          <t>☐</t>
        </is>
      </c>
      <c r="B36" t="inlineStr">
        <is>
          <t>Backup and recovery tested</t>
        </is>
      </c>
      <c r="C36" t="inlineStr">
        <is>
          <t>Test results</t>
        </is>
      </c>
    </row>
    <row r="37">
      <c r="A37" t="inlineStr">
        <is>
          <t>☐</t>
        </is>
      </c>
      <c r="B37" t="inlineStr">
        <is>
          <t>Monitoring and alerting configured</t>
        </is>
      </c>
      <c r="C37" t="inlineStr">
        <is>
          <t>Monitoring config</t>
        </is>
      </c>
    </row>
    <row r="38">
      <c r="A38" t="inlineStr">
        <is>
          <t>☐</t>
        </is>
      </c>
      <c r="B38" t="inlineStr">
        <is>
          <t>Deployment runbook available</t>
        </is>
      </c>
      <c r="C38" t="inlineStr">
        <is>
          <t>Runbook document</t>
        </is>
      </c>
    </row>
    <row r="39">
      <c r="A39" t="inlineStr">
        <is>
          <t>☐</t>
        </is>
      </c>
      <c r="B39" t="inlineStr">
        <is>
          <t>Rollback plan documented and tested</t>
        </is>
      </c>
      <c r="C39" t="inlineStr">
        <is>
          <t>Rollback procedure</t>
        </is>
      </c>
    </row>
    <row r="40">
      <c r="A40" t="inlineStr">
        <is>
          <t>☐</t>
        </is>
      </c>
      <c r="B40" t="inlineStr">
        <is>
          <t>Production deployment authorised</t>
        </is>
      </c>
      <c r="C40" t="inlineStr">
        <is>
          <t>Change approval</t>
        </is>
      </c>
    </row>
    <row r="41">
      <c r="A41" t="inlineStr">
        <is>
          <t>☐</t>
        </is>
      </c>
      <c r="B41" t="inlineStr">
        <is>
          <t>Post-deployment validation completed</t>
        </is>
      </c>
      <c r="C41" t="inlineStr">
        <is>
          <t>Validation report</t>
        </is>
      </c>
    </row>
    <row r="42">
      <c r="A42" t="inlineStr">
        <is>
          <t>☐</t>
        </is>
      </c>
      <c r="B42" t="inlineStr">
        <is>
          <t>Infrastructure-as-Code (IaC) templates scanned for misconfigurations prior to deployment (Terraform, ARM, CloudFormation)</t>
        </is>
      </c>
      <c r="C42" t="inlineStr">
        <is>
          <t>IaC scan report, pipeline security gate evidence</t>
        </is>
      </c>
    </row>
  </sheetData>
  <mergeCells count="2">
    <mergeCell ref="A2:X2"/>
    <mergeCell ref="A1:X1"/>
  </mergeCells>
  <dataValidations count="8">
    <dataValidation sqref="D4:D29" showDropDown="0" showInputMessage="0" showErrorMessage="0" allowBlank="0" type="list">
      <formula1>"SaaS,IaaS,PaaS,Security Service,Cloud Storage,Other"</formula1>
    </dataValidation>
    <dataValidation sqref="E4:E29" showDropDown="0" showInputMessage="0" showErrorMessage="0" allowBlank="0" type="list">
      <formula1>"Production,Staging,Development,Test,All"</formula1>
    </dataValidation>
    <dataValidation sqref="F4:F29" showDropDown="0" showInputMessage="0" showErrorMessage="0" allowBlank="0" type="list">
      <formula1>"Critical,High,Medium,Low"</formula1>
    </dataValidation>
    <dataValidation sqref="G4:G29" showDropDown="0" showInputMessage="0" showErrorMessage="0" allowBlank="0" type="list">
      <formula1>"Restricted,Confidential,Internal,Public,N/A"</formula1>
    </dataValidation>
    <dataValidation sqref="I4:I29" showDropDown="0" showInputMessage="0" showErrorMessage="0" allowBlank="0" type="list">
      <formula1>"✅ Compliant,⚠️ Partial,❌ Non-Compliant,N/A"</formula1>
    </dataValidation>
    <dataValidation sqref="L4:L29" showDropDown="0" showInputMessage="0" showErrorMessage="0" allowBlank="0" type="list">
      <formula1>"Yes,No"</formula1>
    </dataValidation>
    <dataValidation sqref="P4:P29" showDropDown="0" showInputMessage="0" showErrorMessage="0" allowBlank="0" type="list">
      <formula1>"DevOpsSec,DevOps,Cloud Teams,IT Operations,Security"</formula1>
    </dataValidation>
    <dataValidation sqref="R4:R29 S4:S29 T4:T29 U4:U29 V4:V29 W4:W29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" t="inlineStr">
        <is>
          <t>JURISDICTIONAL RISK ASSESSMENT</t>
        </is>
      </c>
    </row>
    <row r="2" ht="25" customHeight="1">
      <c r="A2" s="13" t="inlineStr">
        <is>
          <t>CLOUD Act, Data Sovereignty, and Cross-Border Transfer Analysis</t>
        </is>
      </c>
    </row>
    <row r="3" ht="30" customHeight="1">
      <c r="A3" s="16" t="inlineStr">
        <is>
          <t>⚠ US-headquartered providers may be compelled to disclose data under CLOUD Act regardless of data location.</t>
        </is>
      </c>
    </row>
    <row r="5">
      <c r="A5" s="14" t="inlineStr">
        <is>
          <t>Assessment_ID</t>
        </is>
      </c>
      <c r="B5" s="14" t="inlineStr">
        <is>
          <t>Cloud_Service_Name</t>
        </is>
      </c>
      <c r="C5" s="14" t="inlineStr">
        <is>
          <t>Provider_Name</t>
        </is>
      </c>
      <c r="D5" s="14" t="inlineStr">
        <is>
          <t>Provider_HQ_Country</t>
        </is>
      </c>
      <c r="E5" s="14" t="inlineStr">
        <is>
          <t>Provider_HQ_Jurisdiction</t>
        </is>
      </c>
      <c r="F5" s="14" t="inlineStr">
        <is>
          <t>US_Parent_Company</t>
        </is>
      </c>
      <c r="G5" s="14" t="inlineStr">
        <is>
          <t>CLOUD_Act_Applicability</t>
        </is>
      </c>
      <c r="H5" s="14" t="inlineStr">
        <is>
          <t>Data_Processing_Locations</t>
        </is>
      </c>
      <c r="I5" s="14" t="inlineStr">
        <is>
          <t>EU_Data_Boundary_Available</t>
        </is>
      </c>
      <c r="J5" s="14" t="inlineStr">
        <is>
          <t>Customer_Managed_Keys</t>
        </is>
      </c>
      <c r="K5" s="14" t="inlineStr">
        <is>
          <t>Legal_Challenge_Commitment</t>
        </is>
      </c>
      <c r="L5" s="14" t="inlineStr">
        <is>
          <t>Adequacy_Decision_Status</t>
        </is>
      </c>
      <c r="M5" s="14" t="inlineStr">
        <is>
          <t>Transfer_Mechanism</t>
        </is>
      </c>
      <c r="N5" s="14" t="inlineStr">
        <is>
          <t>Risk_Level</t>
        </is>
      </c>
      <c r="O5" s="14" t="inlineStr">
        <is>
          <t>Risk_Accepted_By</t>
        </is>
      </c>
      <c r="P5" s="14" t="inlineStr">
        <is>
          <t>Risk_Acceptance_Date</t>
        </is>
      </c>
      <c r="Q5" s="14" t="inlineStr">
        <is>
          <t>Compensating_Controls</t>
        </is>
      </c>
      <c r="R5" s="14" t="inlineStr">
        <is>
          <t>Review_Date</t>
        </is>
      </c>
      <c r="S5" s="14" t="inlineStr">
        <is>
          <t>Evidence_Reference</t>
        </is>
      </c>
      <c r="T5" s="14" t="inlineStr">
        <is>
          <t>Notes</t>
        </is>
      </c>
    </row>
    <row r="6">
      <c r="A6">
        <f>CONCATENATE("JRA-",TEXT(ROW()-5,"000"))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>
        <f>CONCATENATE("JRA-",TEXT(ROW()-5,"000"))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>
        <f>CONCATENATE("JRA-",TEXT(ROW()-5,"000"))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>
        <f>CONCATENATE("JRA-",TEXT(ROW()-5,"000"))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>
      <c r="A10">
        <f>CONCATENATE("JRA-",TEXT(ROW()-5,"000"))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>
        <f>CONCATENATE("JRA-",TEXT(ROW()-5,"000"))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>
        <f>CONCATENATE("JRA-",TEXT(ROW()-5,"000"))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>
        <f>CONCATENATE("JRA-",TEXT(ROW()-5,"000"))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>
        <f>CONCATENATE("JRA-",TEXT(ROW()-5,"000"))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>
        <f>CONCATENATE("JRA-",TEXT(ROW()-5,"000"))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>
        <f>CONCATENATE("JRA-",TEXT(ROW()-5,"000"))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>
        <f>CONCATENATE("JRA-",TEXT(ROW()-5,"000"))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>
        <f>CONCATENATE("JRA-",TEXT(ROW()-5,"000"))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</row>
    <row r="19">
      <c r="A19">
        <f>CONCATENATE("JRA-",TEXT(ROW()-5,"000"))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</row>
    <row r="20">
      <c r="A20">
        <f>CONCATENATE("JRA-",TEXT(ROW()-5,"000"))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</row>
    <row r="21">
      <c r="A21">
        <f>CONCATENATE("JRA-",TEXT(ROW()-5,"000"))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>
        <f>CONCATENATE("JRA-",TEXT(ROW()-5,"000"))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</row>
    <row r="23">
      <c r="A23">
        <f>CONCATENATE("JRA-",TEXT(ROW()-5,"000"))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</row>
    <row r="24">
      <c r="A24">
        <f>CONCATENATE("JRA-",TEXT(ROW()-5,"000"))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>
        <f>CONCATENATE("JRA-",TEXT(ROW()-5,"000"))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</row>
    <row r="26">
      <c r="A26">
        <f>CONCATENATE("JRA-",TEXT(ROW()-5,"000"))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>
        <f>CONCATENATE("JRA-",TEXT(ROW()-5,"000"))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>
        <f>CONCATENATE("JRA-",TEXT(ROW()-5,"000"))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</row>
    <row r="29">
      <c r="A29">
        <f>CONCATENATE("JRA-",TEXT(ROW()-5,"000"))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</row>
    <row r="30">
      <c r="A30">
        <f>CONCATENATE("JRA-",TEXT(ROW()-5,"000"))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</row>
    <row r="33">
      <c r="A33" s="15" t="inlineStr">
        <is>
          <t>JURISDICTIONAL RISK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4:E29" showDropDown="0" showInputMessage="0" showErrorMessage="0" allowBlank="0" type="list">
      <formula1>"Switzerland,EU/EEA,United Kingdom,United States,Other Adequate Country,Non-Adequate Country"</formula1>
    </dataValidation>
    <dataValidation sqref="G4:G29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5:M30" showDropDown="0" showInputMessage="0" showErrorMessage="0" allowBlank="0" type="list">
      <formula1>"SCCs,BCRs,Adequacy Decision,None,N/A"</formula1>
    </dataValidation>
    <dataValidation sqref="N5:N30" showDropDown="0" showInputMessage="0" showErrorMessage="0" allowBlank="0" type="list">
      <formula1>"Low,Medium,High,Critical"</formula1>
    </dataValidation>
    <dataValidation sqref="K4:K29" showDropDown="0" showInputMessage="0" showErrorMessage="0" allowBlank="0" type="list">
      <formula1>"Yes,No,Partial,Unknown"</formula1>
    </dataValidation>
    <dataValidation sqref="I4:I29 J5:J30" showDropDown="0" showInputMessage="0" showErrorMessage="0" allowBlank="0" type="list">
      <formula1>"Yes,No,Planned"</formula1>
    </dataValidation>
    <dataValidation sqref="F4:F29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SECURE CONFIGURATION - COMPLIANCE SUMMARY DASHBOARD</t>
        </is>
      </c>
    </row>
    <row r="3">
      <c r="A3" s="17" t="inlineStr">
        <is>
          <t>TABLE 1: COMPLIANCE BY CONFIGURATION AREA</t>
        </is>
      </c>
    </row>
    <row r="4">
      <c r="A4" s="18" t="inlineStr">
        <is>
          <t>Configuration Area</t>
        </is>
      </c>
      <c r="B4" s="18" t="inlineStr">
        <is>
          <t>Total Items</t>
        </is>
      </c>
      <c r="C4" s="18" t="inlineStr">
        <is>
          <t>✅ Compliant</t>
        </is>
      </c>
      <c r="D4" s="18" t="inlineStr">
        <is>
          <t>⚠ Partial</t>
        </is>
      </c>
      <c r="E4" s="18" t="inlineStr">
        <is>
          <t>❌ Non-Compliant</t>
        </is>
      </c>
      <c r="F4" s="18" t="inlineStr">
        <is>
          <t>N/A</t>
        </is>
      </c>
      <c r="G4" s="18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Baseline'!B5:B30)-COUNTBLANK('2. Configuration Baseline'!B5:B30)</f>
        <v/>
      </c>
      <c r="C5">
        <f>COUNTIF('2. Configuration Baseline'!I5:I30,"✅*")</f>
        <v/>
      </c>
      <c r="D5">
        <f>COUNTIF('2. Configuration Baseline'!I5:I30,"⚠*")</f>
        <v/>
      </c>
      <c r="E5">
        <f>COUNTIF('2. Configuration Baseline'!I5:I30,"❌*")</f>
        <v/>
      </c>
      <c r="F5">
        <f>COUNTIF('2. Configuration Baseline'!I5:I30,"N/A")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Setup'!B5:B30)-COUNTBLANK('3. Access Control Setup'!B5:B30)</f>
        <v/>
      </c>
      <c r="C6">
        <f>COUNTIF('3. Access Control Setup'!I5:I30,"✅*")</f>
        <v/>
      </c>
      <c r="D6">
        <f>COUNTIF('3. Access Control Setup'!I5:I30,"⚠*")</f>
        <v/>
      </c>
      <c r="E6">
        <f>COUNTIF('3. Access Control Setup'!I5:I30,"❌*")</f>
        <v/>
      </c>
      <c r="F6">
        <f>COUNTIF('3. Access Control Setup'!I5:I30,"N/A")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Security'!B5:B30)-COUNTBLANK('4. Network Security'!B5:B30)</f>
        <v/>
      </c>
      <c r="C7">
        <f>COUNTIF('4. Network Security'!I5:I30,"✅*")</f>
        <v/>
      </c>
      <c r="D7">
        <f>COUNTIF('4. Network Security'!I5:I30,"⚠*")</f>
        <v/>
      </c>
      <c r="E7">
        <f>COUNTIF('4. Network Security'!I5:I30,"❌*")</f>
        <v/>
      </c>
      <c r="F7">
        <f>COUNTIF('4. Network Security'!I5:I30,"N/A")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Configuration'!B5:B30)-COUNTBLANK('5. Encryption Configuration'!B5:B30)</f>
        <v/>
      </c>
      <c r="C8">
        <f>COUNTIF('5. Encryption Configuration'!I5:I30,"✅*")</f>
        <v/>
      </c>
      <c r="D8">
        <f>COUNTIF('5. Encryption Configuration'!I5:I30,"⚠*")</f>
        <v/>
      </c>
      <c r="E8">
        <f>COUNTIF('5. Encryption Configuration'!I5:I30,"❌*")</f>
        <v/>
      </c>
      <c r="F8">
        <f>COUNTIF('5. Encryption Configuration'!I5:I30,"N/A")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Checklist'!B5:B30)-COUNTBLANK('6. Deployment Checklist'!B5:B30)</f>
        <v/>
      </c>
      <c r="C9">
        <f>COUNTIF('6. Deployment Checklist'!I5:I30,"✅*")</f>
        <v/>
      </c>
      <c r="D9">
        <f>COUNTIF('6. Deployment Checklist'!I5:I30,"⚠*")</f>
        <v/>
      </c>
      <c r="E9">
        <f>COUNTIF('6. Deployment Checklist'!I5:I30,"❌*")</f>
        <v/>
      </c>
      <c r="F9">
        <f>COUNTIF('6. Deployment Checklist'!I5:I30,"N/A")</f>
        <v/>
      </c>
      <c r="G9">
        <f>IF(B9-F9&gt;0,ROUND(C9/(B9-F9)*100,1)&amp;"%","N/A")</f>
        <v/>
      </c>
    </row>
    <row r="10">
      <c r="A10" s="3" t="inlineStr">
        <is>
          <t>TOTAL</t>
        </is>
      </c>
      <c r="B10" s="3">
        <f>SUM(B5:B9)</f>
        <v/>
      </c>
      <c r="C10" s="3">
        <f>SUM(C5:C9)</f>
        <v/>
      </c>
      <c r="D10" s="3">
        <f>SUM(D5:D9)</f>
        <v/>
      </c>
      <c r="E10" s="3">
        <f>SUM(E5:E9)</f>
        <v/>
      </c>
      <c r="F10" s="3">
        <f>SUM(F5:F9)</f>
        <v/>
      </c>
      <c r="G10" s="3">
        <f>IF(B10-F10&gt;0,ROUND(C10/(B10-F10)*100,1)&amp;"%","N/A")</f>
        <v/>
      </c>
    </row>
    <row r="13">
      <c r="A13" s="17" t="inlineStr">
        <is>
          <t>TABLE 2: JURISDICTIONAL &amp; CLOUD ACT RISK SUMMARY</t>
        </is>
      </c>
    </row>
    <row r="14">
      <c r="A14" s="19" t="inlineStr">
        <is>
          <t>Metric</t>
        </is>
      </c>
      <c r="B14" s="19" t="inlineStr">
        <is>
          <t>Count</t>
        </is>
      </c>
      <c r="C14" s="19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Risk'!E6:E30,"United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Risk'!F6:F30,"Yes")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Risk'!G6:G30,"Potential*")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Risk'!G6:G30,"Mitigated*")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Risk'!N6:N30,"High")+COUNTIF('7. Jurisdictional Risk'!N6:N30,"Critical")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Risk'!I6:I30,"No")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Risk'!J6:J30,"No")</f>
        <v/>
      </c>
      <c r="C21">
        <f>IF(B21&gt;0,"{WARNING} Review","{CHECK} OK")</f>
        <v/>
      </c>
    </row>
    <row r="24">
      <c r="A24" s="20" t="inlineStr">
        <is>
          <t>TABLE 3: REGULATORY DEPLOYMENT COMPLIANCE</t>
        </is>
      </c>
    </row>
    <row r="25">
      <c r="A25" s="19" t="inlineStr">
        <is>
          <t>Metric</t>
        </is>
      </c>
      <c r="B25" s="19" t="inlineStr">
        <is>
          <t>Count</t>
        </is>
      </c>
      <c r="C25" s="19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Baseline'!Y5:Y30,"Non-Compliant")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Baseline'!Z5:Z30,"Non-Compliant")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Baseline'!AA5:AA30,"*Pending*")</f>
        <v/>
      </c>
      <c r="C28">
        <f>IF(B28&gt;0,"{WARNING} Review","{CHECK} OK")</f>
        <v/>
      </c>
    </row>
  </sheetData>
  <mergeCells count="4">
    <mergeCell ref="A3:G3"/>
    <mergeCell ref="A24:C24"/>
    <mergeCell ref="A13:C13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5" customWidth="1" min="4" max="4"/>
    <col width="35" customWidth="1" min="5" max="5"/>
    <col width="35" customWidth="1" min="6" max="6"/>
    <col width="16" customWidth="1" min="7" max="7"/>
    <col width="18" customWidth="1" min="8" max="8"/>
    <col width="14" customWidth="1" min="9" max="9"/>
  </cols>
  <sheetData>
    <row r="1" ht="35" customHeight="1">
      <c r="A1" s="1" t="inlineStr">
        <is>
          <t>EVIDENCE REGISTER - SECURE CONFIGURATION &amp; DEPLOYMENT</t>
        </is>
      </c>
    </row>
    <row r="2">
      <c r="A2" s="13" t="inlineStr">
        <is>
          <t>Track all configuration evidence, scan reports, and compliance documentation</t>
        </is>
      </c>
    </row>
    <row r="4">
      <c r="A4" s="14" t="inlineStr">
        <is>
          <t>Evidence ID</t>
        </is>
      </c>
      <c r="B4" s="14" t="inlineStr">
        <is>
          <t>Cloud Service Name</t>
        </is>
      </c>
      <c r="C4" s="14" t="inlineStr">
        <is>
          <t>Configuration Area</t>
        </is>
      </c>
      <c r="D4" s="14" t="inlineStr">
        <is>
          <t>Evidence Type</t>
        </is>
      </c>
      <c r="E4" s="14" t="inlineStr">
        <is>
          <t>Description</t>
        </is>
      </c>
      <c r="F4" s="14" t="inlineStr">
        <is>
          <t>File Location</t>
        </is>
      </c>
      <c r="G4" s="14" t="inlineStr">
        <is>
          <t>Capture Date</t>
        </is>
      </c>
      <c r="H4" s="14" t="inlineStr">
        <is>
          <t>Captured By</t>
        </is>
      </c>
      <c r="I4" s="14" t="inlineStr">
        <is>
          <t>Status</t>
        </is>
      </c>
    </row>
    <row r="5">
      <c r="A5" t="inlineStr">
        <is>
          <t>EV-SCD-001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t="inlineStr">
        <is>
          <t>EV-SCD-002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t="inlineStr">
        <is>
          <t>EV-SCD-003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t="inlineStr">
        <is>
          <t>EV-SCD-004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t="inlineStr">
        <is>
          <t>EV-SCD-005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t="inlineStr">
        <is>
          <t>EV-SCD-006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t="inlineStr">
        <is>
          <t>EV-SCD-007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t="inlineStr">
        <is>
          <t>EV-SCD-008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t="inlineStr">
        <is>
          <t>EV-SCD-009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t="inlineStr">
        <is>
          <t>EV-SCD-010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t="inlineStr">
        <is>
          <t>EV-SCD-011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t="inlineStr">
        <is>
          <t>EV-SCD-012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t="inlineStr">
        <is>
          <t>EV-SCD-013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t="inlineStr">
        <is>
          <t>EV-SCD-014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t="inlineStr">
        <is>
          <t>EV-SCD-015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t="inlineStr">
        <is>
          <t>EV-SCD-016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t="inlineStr">
        <is>
          <t>EV-SCD-017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t="inlineStr">
        <is>
          <t>EV-SCD-018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t="inlineStr">
        <is>
          <t>EV-SCD-019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t="inlineStr">
        <is>
          <t>EV-SCD-020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t="inlineStr">
        <is>
          <t>EV-SCD-021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t="inlineStr">
        <is>
          <t>EV-SCD-022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t="inlineStr">
        <is>
          <t>EV-SCD-023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t="inlineStr">
        <is>
          <t>EV-SCD-024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t="inlineStr">
        <is>
          <t>EV-SCD-025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t="inlineStr">
        <is>
          <t>EV-SCD-026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t="inlineStr">
        <is>
          <t>EV-SCD-027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t="inlineStr">
        <is>
          <t>EV-SCD-028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t="inlineStr">
        <is>
          <t>EV-SCD-029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t="inlineStr">
        <is>
          <t>EV-SCD-030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t="inlineStr">
        <is>
          <t>EV-SCD-031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t="inlineStr">
        <is>
          <t>EV-SCD-032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t="inlineStr">
        <is>
          <t>EV-SCD-033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t="inlineStr">
        <is>
          <t>EV-SCD-034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t="inlineStr">
        <is>
          <t>EV-SCD-035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t="inlineStr">
        <is>
          <t>EV-SCD-036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t="inlineStr">
        <is>
          <t>EV-SCD-037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t="inlineStr">
        <is>
          <t>EV-SCD-038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t="inlineStr">
        <is>
          <t>EV-SCD-039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t="inlineStr">
        <is>
          <t>EV-SCD-040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  <row r="45">
      <c r="A45" t="inlineStr">
        <is>
          <t>EV-SCD-041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</row>
    <row r="46">
      <c r="A46" t="inlineStr">
        <is>
          <t>EV-SCD-042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</row>
    <row r="47">
      <c r="A47" t="inlineStr">
        <is>
          <t>EV-SCD-043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</row>
    <row r="48">
      <c r="A48" t="inlineStr">
        <is>
          <t>EV-SCD-044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</row>
    <row r="49">
      <c r="A49" t="inlineStr">
        <is>
          <t>EV-SCD-045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</row>
    <row r="50">
      <c r="A50" t="inlineStr">
        <is>
          <t>EV-SCD-046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</row>
    <row r="51">
      <c r="A51" t="inlineStr">
        <is>
          <t>EV-SCD-047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>
      <c r="A52" t="inlineStr">
        <is>
          <t>EV-SCD-048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</row>
    <row r="53">
      <c r="A53" t="inlineStr">
        <is>
          <t>EV-SCD-049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</row>
    <row r="54">
      <c r="A54" t="inlineStr">
        <is>
          <t>EV-SCD-050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</row>
    <row r="55">
      <c r="A55" t="inlineStr">
        <is>
          <t>EV-SCD-051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</row>
    <row r="56">
      <c r="A56" t="inlineStr">
        <is>
          <t>EV-SCD-052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</row>
    <row r="57">
      <c r="A57" t="inlineStr">
        <is>
          <t>EV-SCD-053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</row>
    <row r="58">
      <c r="A58" t="inlineStr">
        <is>
          <t>EV-SCD-054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</row>
    <row r="59">
      <c r="A59" t="inlineStr">
        <is>
          <t>EV-SCD-055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</row>
    <row r="60">
      <c r="A60" t="inlineStr">
        <is>
          <t>EV-SCD-056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</row>
    <row r="61">
      <c r="A61" t="inlineStr">
        <is>
          <t>EV-SCD-057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</row>
    <row r="62">
      <c r="A62" t="inlineStr">
        <is>
          <t>EV-SCD-058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</row>
    <row r="63">
      <c r="A63" t="inlineStr">
        <is>
          <t>EV-SCD-059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</row>
    <row r="64">
      <c r="A64" t="inlineStr">
        <is>
          <t>EV-SCD-060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</row>
    <row r="65">
      <c r="A65" t="inlineStr">
        <is>
          <t>EV-SCD-061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</row>
    <row r="66">
      <c r="A66" t="inlineStr">
        <is>
          <t>EV-SCD-062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</row>
    <row r="67">
      <c r="A67" t="inlineStr">
        <is>
          <t>EV-SCD-063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</row>
    <row r="68">
      <c r="A68" t="inlineStr">
        <is>
          <t>EV-SCD-064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</row>
    <row r="69">
      <c r="A69" t="inlineStr">
        <is>
          <t>EV-SCD-065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</row>
    <row r="70">
      <c r="A70" t="inlineStr">
        <is>
          <t>EV-SCD-066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</row>
    <row r="71">
      <c r="A71" t="inlineStr">
        <is>
          <t>EV-SCD-067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</row>
    <row r="72">
      <c r="A72" t="inlineStr">
        <is>
          <t>EV-SCD-068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</row>
    <row r="73">
      <c r="A73" t="inlineStr">
        <is>
          <t>EV-SCD-069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</row>
    <row r="74">
      <c r="A74" t="inlineStr">
        <is>
          <t>EV-SCD-070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</row>
    <row r="75">
      <c r="A75" t="inlineStr">
        <is>
          <t>EV-SCD-071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</row>
    <row r="76">
      <c r="A76" t="inlineStr">
        <is>
          <t>EV-SCD-072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</row>
    <row r="77">
      <c r="A77" t="inlineStr">
        <is>
          <t>EV-SCD-073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</row>
    <row r="78">
      <c r="A78" t="inlineStr">
        <is>
          <t>EV-SCD-074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</row>
    <row r="79">
      <c r="A79" t="inlineStr">
        <is>
          <t>EV-SCD-075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</row>
    <row r="80">
      <c r="A80" t="inlineStr">
        <is>
          <t>EV-SCD-076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</row>
    <row r="81">
      <c r="A81" t="inlineStr">
        <is>
          <t>EV-SCD-077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</row>
    <row r="82">
      <c r="A82" t="inlineStr">
        <is>
          <t>EV-SCD-078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</row>
    <row r="83">
      <c r="A83" t="inlineStr">
        <is>
          <t>EV-SCD-079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</row>
    <row r="84">
      <c r="A84" t="inlineStr">
        <is>
          <t>EV-SCD-080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</row>
    <row r="85">
      <c r="A85" t="inlineStr">
        <is>
          <t>EV-SCD-081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</row>
    <row r="86">
      <c r="A86" t="inlineStr">
        <is>
          <t>EV-SCD-082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</row>
    <row r="87">
      <c r="A87" t="inlineStr">
        <is>
          <t>EV-SCD-083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</row>
    <row r="88">
      <c r="A88" t="inlineStr">
        <is>
          <t>EV-SCD-084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</row>
    <row r="89">
      <c r="A89" t="inlineStr">
        <is>
          <t>EV-SCD-085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</row>
    <row r="90">
      <c r="A90" t="inlineStr">
        <is>
          <t>EV-SCD-086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</row>
    <row r="91">
      <c r="A91" t="inlineStr">
        <is>
          <t>EV-SCD-087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</row>
    <row r="92">
      <c r="A92" t="inlineStr">
        <is>
          <t>EV-SCD-088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</row>
    <row r="93">
      <c r="A93" t="inlineStr">
        <is>
          <t>EV-SCD-089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</row>
    <row r="94">
      <c r="A94" t="inlineStr">
        <is>
          <t>EV-SCD-090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</row>
    <row r="95">
      <c r="A95" t="inlineStr">
        <is>
          <t>EV-SCD-091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</row>
    <row r="96">
      <c r="A96" t="inlineStr">
        <is>
          <t>EV-SCD-092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</row>
    <row r="97">
      <c r="A97" t="inlineStr">
        <is>
          <t>EV-SCD-093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</row>
    <row r="98">
      <c r="A98" t="inlineStr">
        <is>
          <t>EV-SCD-094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</row>
    <row r="99">
      <c r="A99" t="inlineStr">
        <is>
          <t>EV-SCD-095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</row>
    <row r="100">
      <c r="A100" t="inlineStr">
        <is>
          <t>EV-SCD-096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</row>
    <row r="101">
      <c r="A101" t="inlineStr">
        <is>
          <t>EV-SCD-097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</row>
    <row r="102">
      <c r="A102" t="inlineStr">
        <is>
          <t>EV-SCD-098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</row>
    <row r="103">
      <c r="A103" t="inlineStr">
        <is>
          <t>EV-SCD-099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</row>
    <row r="104">
      <c r="A104" t="inlineStr">
        <is>
          <t>EV-SCD-100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</row>
  </sheetData>
  <mergeCells count="2">
    <mergeCell ref="A1:I1"/>
    <mergeCell ref="A2:I2"/>
  </mergeCells>
  <dataValidations count="3">
    <dataValidation sqref="C5:C104" showDropDown="0" showInputMessage="0" showErrorMessage="0" allowBlank="0" type="list">
      <formula1>"Configuration Baseline,Access Control,Network Security,Encryption,Deployment,Jurisdictional Risk,DORA Compliance,NIS2 Compliance,AI Act Compliance"</formula1>
    </dataValidation>
    <dataValidation sqref="D5:D104" showDropDown="0" showInputMessage="0" showErrorMessage="0" allowBlank="0" type="list">
      <formula1>"Screenshot,Config Export,Scan Report,Test Result,IaC Template,API Query,DPA with SCCs,Risk Assessment,Conformity Certificate,Legal Review,Vendor Documentation,Other"</formula1>
    </dataValidation>
    <dataValidation sqref="I5:I104" showDropDown="0" showInputMessage="0" showErrorMessage="0" allowBlank="0" type="list">
      <formula1>"Current,Outdated,Pending"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SECURE CONFIGURATION ASSESSMENT</t>
        </is>
      </c>
    </row>
    <row r="2">
      <c r="A2" s="21" t="inlineStr">
        <is>
          <t>Secure Configuration Assessment | Approval and sign-off for ISO 27001:2022 Control A.5.23</t>
        </is>
      </c>
    </row>
    <row r="3">
      <c r="A3" s="22" t="inlineStr">
        <is>
          <t>ASSESSMENT SUMMARY</t>
        </is>
      </c>
    </row>
    <row r="4">
      <c r="A4" s="3" t="inlineStr">
        <is>
          <t>Assessment Completed By:</t>
        </is>
      </c>
      <c r="B4" s="4" t="n"/>
    </row>
    <row r="5">
      <c r="A5" s="3" t="inlineStr">
        <is>
          <t>Completion Date:</t>
        </is>
      </c>
      <c r="B5" s="4" t="n"/>
    </row>
    <row r="6">
      <c r="A6" s="3" t="inlineStr">
        <is>
          <t>Total Configurations Assessed:</t>
        </is>
      </c>
      <c r="B6">
        <f>'8. Summary Dashboard'!B9</f>
        <v/>
      </c>
    </row>
    <row r="7">
      <c r="A7" s="3" t="inlineStr">
        <is>
          <t>Overall Compliance %:</t>
        </is>
      </c>
      <c r="B7">
        <f>'8. Summary Dashboard'!G9</f>
        <v/>
      </c>
    </row>
    <row r="8">
      <c r="A8" s="3" t="inlineStr">
        <is>
          <t>Jurisdictional Risks Identified:</t>
        </is>
      </c>
      <c r="B8">
        <f>'8. Summary Dashboard'!B20</f>
        <v/>
      </c>
    </row>
    <row r="9">
      <c r="A9" s="3" t="inlineStr">
        <is>
          <t>DORA Config Non-Compliance:</t>
        </is>
      </c>
      <c r="B9">
        <f>'8. Summary Dashboard'!B27</f>
        <v/>
      </c>
    </row>
    <row r="10">
      <c r="A10" s="3" t="inlineStr">
        <is>
          <t>NIS2 Deployment Non-Compliance:</t>
        </is>
      </c>
      <c r="B10">
        <f>'8. Summary Dashboard'!B28</f>
        <v/>
      </c>
    </row>
    <row r="11">
      <c r="A11" s="3" t="inlineStr">
        <is>
          <t>Critical Gaps Identified:</t>
        </is>
      </c>
      <c r="B11" s="4" t="n"/>
    </row>
    <row r="12">
      <c r="A12" s="3" t="inlineStr">
        <is>
          <t>Remediation Plan Attached:</t>
        </is>
      </c>
      <c r="B12" s="4" t="n"/>
    </row>
    <row r="15">
      <c r="A15" s="22" t="inlineStr">
        <is>
          <t>IT OPERATIONS REVIEW</t>
        </is>
      </c>
    </row>
    <row r="16">
      <c r="A16" s="3" t="inlineStr">
        <is>
          <t>Reviewed By (IT Ops):</t>
        </is>
      </c>
      <c r="B16" s="4" t="n"/>
    </row>
    <row r="17">
      <c r="A17" s="3" t="inlineStr">
        <is>
          <t>Review Date:</t>
        </is>
      </c>
      <c r="B17" s="4" t="n"/>
    </row>
    <row r="18">
      <c r="A18" s="3" t="inlineStr">
        <is>
          <t>Technical Accuracy Status:</t>
        </is>
      </c>
      <c r="B18" s="4" t="n"/>
    </row>
    <row r="19">
      <c r="A19" s="3" t="inlineStr">
        <is>
          <t>IT Ops Comments:</t>
        </is>
      </c>
      <c r="B19" s="4" t="n"/>
    </row>
    <row r="22">
      <c r="A22" s="22" t="inlineStr">
        <is>
          <t>SECURITY TEAM REVIEW</t>
        </is>
      </c>
    </row>
    <row r="23">
      <c r="A23" s="3" t="inlineStr">
        <is>
          <t>Reviewed By (Security):</t>
        </is>
      </c>
      <c r="B23" s="4" t="n"/>
    </row>
    <row r="24">
      <c r="A24" s="3" t="inlineStr">
        <is>
          <t>Review Date:</t>
        </is>
      </c>
      <c r="B24" s="4" t="n"/>
    </row>
    <row r="25">
      <c r="A25" s="3" t="inlineStr">
        <is>
          <t>Security Compliance Status:</t>
        </is>
      </c>
      <c r="B25" s="4" t="n"/>
    </row>
    <row r="26">
      <c r="A26" s="3" t="inlineStr">
        <is>
          <t>Security Comments:</t>
        </is>
      </c>
      <c r="B26" s="4" t="n"/>
    </row>
    <row r="29">
      <c r="A29" s="22" t="inlineStr">
        <is>
          <t>DATA PROTECTION OFFICER REVIEW</t>
        </is>
      </c>
    </row>
    <row r="30">
      <c r="A30" s="3" t="inlineStr">
        <is>
          <t>Reviewed By (DPO):</t>
        </is>
      </c>
      <c r="B30" s="4" t="n"/>
    </row>
    <row r="31">
      <c r="A31" s="3" t="inlineStr">
        <is>
          <t>Review Date:</t>
        </is>
      </c>
      <c r="B31" s="4" t="n"/>
    </row>
    <row r="32">
      <c r="A32" s="3" t="inlineStr">
        <is>
          <t>Data Protection Compliance:</t>
        </is>
      </c>
      <c r="B32" s="4" t="n"/>
    </row>
    <row r="33">
      <c r="A33" s="3" t="inlineStr">
        <is>
          <t>Cross-Border Transfer Status:</t>
        </is>
      </c>
      <c r="B33" s="4" t="n"/>
    </row>
    <row r="34">
      <c r="A34" s="3" t="inlineStr">
        <is>
          <t>DPO Comments:</t>
        </is>
      </c>
      <c r="B34" s="4" t="n"/>
    </row>
    <row r="37">
      <c r="A37" s="17" t="inlineStr">
        <is>
          <t>CISO APPROVAL</t>
        </is>
      </c>
    </row>
    <row r="38">
      <c r="A38" s="3" t="inlineStr">
        <is>
          <t>Approved By (CISO):</t>
        </is>
      </c>
      <c r="B38" s="4" t="n"/>
    </row>
    <row r="39">
      <c r="A39" s="3" t="inlineStr">
        <is>
          <t>Approval Date:</t>
        </is>
      </c>
      <c r="B39" s="4" t="n"/>
    </row>
    <row r="40">
      <c r="A40" s="3" t="inlineStr">
        <is>
          <t>Approval Decision:</t>
        </is>
      </c>
      <c r="B40" s="4" t="n"/>
    </row>
    <row r="41">
      <c r="A41" s="3" t="inlineStr">
        <is>
          <t>Executive Comments:</t>
        </is>
      </c>
      <c r="B41" s="4" t="n"/>
    </row>
    <row r="43">
      <c r="A43" s="3" t="inlineStr">
        <is>
          <t>FINAL DECISION:</t>
        </is>
      </c>
      <c r="B43" s="4" t="n"/>
    </row>
    <row r="46">
      <c r="A46" s="22" t="inlineStr">
        <is>
          <t>NEXT REVIEW DETAILS</t>
        </is>
      </c>
    </row>
    <row r="47">
      <c r="A47" s="3" t="inlineStr">
        <is>
          <t>Next Review Date:</t>
        </is>
      </c>
      <c r="B47" s="4" t="n"/>
    </row>
    <row r="48">
      <c r="A48" s="3" t="inlineStr">
        <is>
          <t>Review Responsible:</t>
        </is>
      </c>
      <c r="B48" s="4" t="n"/>
    </row>
    <row r="49">
      <c r="A49" s="3" t="inlineStr">
        <is>
          <t>Special Considerations:</t>
        </is>
      </c>
      <c r="B49" s="4" t="n"/>
    </row>
  </sheetData>
  <mergeCells count="38">
    <mergeCell ref="B40:E40"/>
    <mergeCell ref="B9:E9"/>
    <mergeCell ref="B49:E49"/>
    <mergeCell ref="A15:E15"/>
    <mergeCell ref="B6:E6"/>
    <mergeCell ref="B30:E30"/>
    <mergeCell ref="B33:E33"/>
    <mergeCell ref="A1:E1"/>
    <mergeCell ref="B24:E24"/>
    <mergeCell ref="B5:E5"/>
    <mergeCell ref="B32:E32"/>
    <mergeCell ref="B26:E26"/>
    <mergeCell ref="B41:E41"/>
    <mergeCell ref="B4:E4"/>
    <mergeCell ref="B16:E16"/>
    <mergeCell ref="B7:E7"/>
    <mergeCell ref="B25:E25"/>
    <mergeCell ref="A37:E37"/>
    <mergeCell ref="A46:E46"/>
    <mergeCell ref="B47:E47"/>
    <mergeCell ref="A3:E3"/>
    <mergeCell ref="B31:E31"/>
    <mergeCell ref="B18:E18"/>
    <mergeCell ref="A2:E2"/>
    <mergeCell ref="B43:E43"/>
    <mergeCell ref="B12:E12"/>
    <mergeCell ref="B48:E48"/>
    <mergeCell ref="B39:E39"/>
    <mergeCell ref="B11:E11"/>
    <mergeCell ref="A22:E22"/>
    <mergeCell ref="B17:E17"/>
    <mergeCell ref="B23:E23"/>
    <mergeCell ref="A29:E29"/>
    <mergeCell ref="B8:E8"/>
    <mergeCell ref="B38:E38"/>
    <mergeCell ref="B19:E19"/>
    <mergeCell ref="B34:E34"/>
    <mergeCell ref="B10:E10"/>
  </mergeCells>
  <dataValidations count="7">
    <dataValidation sqref="B12" showDropDown="0" showInputMessage="0" showErrorMessage="0" allowBlank="0" type="list">
      <formula1>"Yes,No,In Progress"</formula1>
    </dataValidation>
    <dataValidation sqref="B18" showDropDown="0" showInputMessage="0" showErrorMessage="0" allowBlank="0" type="list">
      <formula1>"Verified,Needs Review,Inaccurate"</formula1>
    </dataValidation>
    <dataValidation sqref="B25" showDropDown="0" showInputMessage="0" showErrorMessage="0" allowBlank="0" type="list">
      <formula1>"Compliant,Gaps Identified,Non-Compliant"</formula1>
    </dataValidation>
    <dataValidation sqref="B32" showDropDown="0" showInputMessage="0" showErrorMessage="0" allowBlank="0" type="list">
      <formula1>"Compliant,Partially Compliant,Non-Compliant"</formula1>
    </dataValidation>
    <dataValidation sqref="B33" showDropDown="0" showInputMessage="0" showErrorMessage="0" allowBlank="0" type="list">
      <formula1>"Approved,Approved with SCCs,Requires TIA,Rejected"</formula1>
    </dataValidation>
    <dataValidation sqref="B40" showDropDown="0" showInputMessage="0" showErrorMessage="0" allowBlank="0" type="list">
      <formula1>"Approved,Approved with Conditions,Rejected"</formula1>
    </dataValidation>
    <dataValidation sqref="B4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2026-02-20T09:05:00Z</dcterms:created>
  <dcterms:modified xsi:type="dcterms:W3CDTF">2026-02-20T09:05:00Z</dcterms:modified>
</cp:coreProperties>
</file>