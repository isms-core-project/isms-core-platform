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formation Assets Discovery" sheetId="2" state="visible" r:id="rId2"/>
    <sheet xmlns:r="http://schemas.openxmlformats.org/officeDocument/2006/relationships" name="IT Infrastructure Discovery" sheetId="3" state="visible" r:id="rId3"/>
    <sheet xmlns:r="http://schemas.openxmlformats.org/officeDocument/2006/relationships" name="Applications Discovery" sheetId="4" state="visible" r:id="rId4"/>
    <sheet xmlns:r="http://schemas.openxmlformats.org/officeDocument/2006/relationships" name="Physical Assets Discovery" sheetId="5" state="visible" r:id="rId5"/>
    <sheet xmlns:r="http://schemas.openxmlformats.org/officeDocument/2006/relationships" name="Personnel Assets Discovery" sheetId="6" state="visible" r:id="rId6"/>
    <sheet xmlns:r="http://schemas.openxmlformats.org/officeDocument/2006/relationships" name="Discovery Metrics &amp; Summary"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color rgb="00FFFFFF"/>
      <sz val="12"/>
    </font>
    <font>
      <b val="1"/>
    </font>
    <font>
      <b val="1"/>
      <sz val="12"/>
    </font>
    <font>
      <b val="1"/>
      <color rgb="009C0006"/>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center" vertical="center"/>
    </xf>
    <xf numFmtId="0" fontId="7" fillId="2" borderId="0" applyAlignment="1" pivotButton="0" quotePrefix="0" xfId="0">
      <alignment horizontal="center" wrapText="1"/>
    </xf>
    <xf numFmtId="0" fontId="0" fillId="8" borderId="1" pivotButton="0" quotePrefix="0" xfId="0"/>
    <xf numFmtId="164" fontId="0" fillId="8" borderId="1" pivotButton="0" quotePrefix="0" xfId="0"/>
    <xf numFmtId="0" fontId="0" fillId="8" borderId="1" applyAlignment="1" pivotButton="0" quotePrefix="0" xfId="0">
      <alignment horizontal="center"/>
    </xf>
    <xf numFmtId="0" fontId="0" fillId="9" borderId="1" pivotButton="0" quotePrefix="0" xfId="0"/>
    <xf numFmtId="164" fontId="0" fillId="9" borderId="1" pivotButton="0" quotePrefix="0" xfId="0"/>
    <xf numFmtId="0" fontId="0" fillId="9" borderId="1" applyAlignment="1" pivotButton="0" quotePrefix="0" xfId="0">
      <alignment horizontal="center"/>
    </xf>
    <xf numFmtId="0" fontId="8" fillId="10" borderId="0" pivotButton="0" quotePrefix="0" xfId="0"/>
    <xf numFmtId="0" fontId="9" fillId="0" borderId="0" pivotButton="0" quotePrefix="0" xfId="0"/>
    <xf numFmtId="164" fontId="10" fillId="0" borderId="0" pivotButton="0" quotePrefix="0" xfId="0"/>
    <xf numFmtId="164" fontId="9" fillId="0" borderId="0" pivotButton="0" quotePrefix="0" xfId="0"/>
    <xf numFmtId="0" fontId="7" fillId="2" borderId="0" pivotButton="0" quotePrefix="0" xfId="0"/>
    <xf numFmtId="164" fontId="0" fillId="0" borderId="0" pivotButton="0" quotePrefix="0" xfId="0"/>
    <xf numFmtId="0" fontId="5" fillId="2" borderId="0" applyAlignment="1" pivotButton="0" quotePrefix="0" xfId="0">
      <alignment horizontal="center"/>
    </xf>
    <xf numFmtId="0" fontId="11" fillId="0" borderId="0" pivotButton="0" quotePrefix="0" xfId="0"/>
    <xf numFmtId="0" fontId="0" fillId="0" borderId="0" applyAlignment="1" pivotButton="0" quotePrefix="0" xfId="0">
      <alignment horizontal="center"/>
    </xf>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5"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5"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5"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ISMS-IMP-A.5.9.1  -  Asset Discovery
ISO/IEC 27001:2022 - Control A.5.9: Inventory of Information and Assets</t>
        </is>
      </c>
    </row>
    <row r="3">
      <c r="A3" s="2" t="inlineStr">
        <is>
          <t>Document Information</t>
        </is>
      </c>
    </row>
    <row r="4">
      <c r="A4" s="3" t="inlineStr">
        <is>
          <t>Document ID</t>
        </is>
      </c>
      <c r="B4" t="inlineStr">
        <is>
          <t>ISMS-IMP-A.5.9.1</t>
        </is>
      </c>
    </row>
    <row r="5">
      <c r="A5" s="3" t="inlineStr">
        <is>
          <t>Workbook Title</t>
        </is>
      </c>
      <c r="B5" t="inlineStr">
        <is>
          <t>Asset Discovery</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Information Assets Discovery sheet with all information asset subcategories.</t>
        </is>
      </c>
    </row>
    <row r="14">
      <c r="A14" t="inlineStr">
        <is>
          <t>2. Complete the IT Infrastructure Discovery sheet with all IT infrastructure assets.</t>
        </is>
      </c>
    </row>
    <row r="15">
      <c r="A15" t="inlineStr">
        <is>
          <t>3. Complete the Applications Discovery sheet with all application assets.</t>
        </is>
      </c>
    </row>
    <row r="16">
      <c r="A16" t="inlineStr">
        <is>
          <t>4. Complete the Physical Assets Discovery sheet with all physical assets.</t>
        </is>
      </c>
    </row>
    <row r="17">
      <c r="A17" t="inlineStr">
        <is>
          <t>5. Complete the Personnel Assets Discovery sheet with all personnel asset roles.</t>
        </is>
      </c>
    </row>
    <row r="18">
      <c r="A18" t="inlineStr">
        <is>
          <t>6. Review the Discovery Metrics &amp; Summary sheet for completeness scores.</t>
        </is>
      </c>
    </row>
    <row r="19">
      <c r="A19" t="inlineStr">
        <is>
          <t>7. Link evidence in the Evidence Register sheet.</t>
        </is>
      </c>
    </row>
    <row r="20">
      <c r="A20" t="inlineStr">
        <is>
          <t>8. Obtain approvals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ht="35" customHeight="1">
      <c r="A1" s="11" t="inlineStr">
        <is>
          <t>INFORMATION ASSETS DISCOVERY ASSESSMENT</t>
        </is>
      </c>
    </row>
    <row r="2" ht="16" customHeight="1">
      <c r="A2" s="12" t="inlineStr">
        <is>
          <t>ISO/IEC 27001:2022 - Control A.5.9: Inventory of Information and Assets</t>
        </is>
      </c>
    </row>
    <row r="3" ht="30" customHeight="1">
      <c r="A3" s="13" t="inlineStr">
        <is>
          <t>Asset Subcategory</t>
        </is>
      </c>
      <c r="B3" s="13" t="inlineStr">
        <is>
          <t>Discovery Method</t>
        </is>
      </c>
      <c r="C3" s="13" t="inlineStr">
        <is>
          <t>Expected Count</t>
        </is>
      </c>
      <c r="D3" s="13" t="inlineStr">
        <is>
          <t>Discovered Count</t>
        </is>
      </c>
      <c r="E3" s="13" t="inlineStr">
        <is>
          <t>Completeness %</t>
        </is>
      </c>
      <c r="F3" s="13" t="inlineStr">
        <is>
          <t>Compliance Status</t>
        </is>
      </c>
      <c r="G3" s="13" t="inlineStr">
        <is>
          <t>Gaps Identified</t>
        </is>
      </c>
      <c r="H3" s="13" t="inlineStr">
        <is>
          <t>Discovery Evidence</t>
        </is>
      </c>
      <c r="I3" s="13" t="inlineStr">
        <is>
          <t>Next Discovery Actions</t>
        </is>
      </c>
      <c r="J3" s="13" t="inlineStr">
        <is>
          <t>Responsible Party</t>
        </is>
      </c>
      <c r="K3" s="13" t="inlineStr">
        <is>
          <t>Target Date</t>
        </is>
      </c>
      <c r="L3" s="13" t="inlineStr">
        <is>
          <t>Evidence ID</t>
        </is>
      </c>
      <c r="M3" s="13" t="inlineStr">
        <is>
          <t>Notes</t>
        </is>
      </c>
    </row>
    <row r="4">
      <c r="A4" s="14" t="inlineStr">
        <is>
          <t>Databases (Production)</t>
        </is>
      </c>
      <c r="B4" s="14" t="n"/>
      <c r="C4" s="14" t="n"/>
      <c r="D4" s="14" t="n"/>
      <c r="E4" s="15">
        <f>IFERROR(D4/C4*100,0)</f>
        <v/>
      </c>
      <c r="F4" s="16">
        <f>IF(E4&gt;=95,"✅ Compliant",IF(E4&gt;=85,"⚠️ At Risk","❌ Non-Compliant"))</f>
        <v/>
      </c>
      <c r="G4" s="14" t="n"/>
      <c r="H4" s="14" t="n"/>
      <c r="I4" s="14" t="n"/>
      <c r="J4" s="14" t="n"/>
      <c r="K4" s="14" t="n"/>
      <c r="L4" s="14" t="n"/>
      <c r="M4" s="14" t="n"/>
    </row>
    <row r="5">
      <c r="A5" s="17" t="inlineStr">
        <is>
          <t>Databases (Development/Test)</t>
        </is>
      </c>
      <c r="B5" s="17" t="n"/>
      <c r="C5" s="17" t="n"/>
      <c r="D5" s="17" t="n"/>
      <c r="E5" s="18">
        <f>IFERROR(D5/C5*100,0)</f>
        <v/>
      </c>
      <c r="F5" s="19">
        <f>IF(E5&gt;=95,"✅ Compliant",IF(E5&gt;=85,"⚠️ At Risk","❌ Non-Compliant"))</f>
        <v/>
      </c>
      <c r="G5" s="17" t="n"/>
      <c r="H5" s="17" t="n"/>
      <c r="I5" s="17" t="n"/>
      <c r="J5" s="17" t="n"/>
      <c r="K5" s="17" t="n"/>
      <c r="L5" s="17" t="n"/>
      <c r="M5" s="17" t="n"/>
    </row>
    <row r="6">
      <c r="A6" s="17" t="inlineStr">
        <is>
          <t>Data Warehouses / Analytics</t>
        </is>
      </c>
      <c r="B6" s="17" t="n"/>
      <c r="C6" s="17" t="n"/>
      <c r="D6" s="17" t="n"/>
      <c r="E6" s="18">
        <f>IFERROR(D6/C6*100,0)</f>
        <v/>
      </c>
      <c r="F6" s="19">
        <f>IF(E6&gt;=95,"✅ Compliant",IF(E6&gt;=85,"⚠️ At Risk","❌ Non-Compliant"))</f>
        <v/>
      </c>
      <c r="G6" s="17" t="n"/>
      <c r="H6" s="17" t="n"/>
      <c r="I6" s="17" t="n"/>
      <c r="J6" s="17" t="n"/>
      <c r="K6" s="17" t="n"/>
      <c r="L6" s="17" t="n"/>
      <c r="M6" s="17" t="n"/>
    </row>
    <row r="7">
      <c r="A7" s="17" t="inlineStr">
        <is>
          <t>File Shares (Departmental)</t>
        </is>
      </c>
      <c r="B7" s="17" t="n"/>
      <c r="C7" s="17" t="n"/>
      <c r="D7" s="17" t="n"/>
      <c r="E7" s="18">
        <f>IFERROR(D7/C7*100,0)</f>
        <v/>
      </c>
      <c r="F7" s="19">
        <f>IF(E7&gt;=95,"✅ Compliant",IF(E7&gt;=85,"⚠️ At Risk","❌ Non-Compliant"))</f>
        <v/>
      </c>
      <c r="G7" s="17" t="n"/>
      <c r="H7" s="17" t="n"/>
      <c r="I7" s="17" t="n"/>
      <c r="J7" s="17" t="n"/>
      <c r="K7" s="17" t="n"/>
      <c r="L7" s="17" t="n"/>
      <c r="M7" s="17" t="n"/>
    </row>
    <row r="8">
      <c r="A8" s="17" t="inlineStr">
        <is>
          <t>SharePoint / Document Management</t>
        </is>
      </c>
      <c r="B8" s="17" t="n"/>
      <c r="C8" s="17" t="n"/>
      <c r="D8" s="17" t="n"/>
      <c r="E8" s="18">
        <f>IFERROR(D8/C8*100,0)</f>
        <v/>
      </c>
      <c r="F8" s="19">
        <f>IF(E8&gt;=95,"✅ Compliant",IF(E8&gt;=85,"⚠️ At Risk","❌ Non-Compliant"))</f>
        <v/>
      </c>
      <c r="G8" s="17" t="n"/>
      <c r="H8" s="17" t="n"/>
      <c r="I8" s="17" t="n"/>
      <c r="J8" s="17" t="n"/>
      <c r="K8" s="17" t="n"/>
      <c r="L8" s="17" t="n"/>
      <c r="M8" s="17" t="n"/>
    </row>
    <row r="9">
      <c r="A9" s="17" t="inlineStr">
        <is>
          <t>Business Records / Archives</t>
        </is>
      </c>
      <c r="B9" s="17" t="n"/>
      <c r="C9" s="17" t="n"/>
      <c r="D9" s="17" t="n"/>
      <c r="E9" s="18">
        <f>IFERROR(D9/C9*100,0)</f>
        <v/>
      </c>
      <c r="F9" s="19">
        <f>IF(E9&gt;=95,"✅ Compliant",IF(E9&gt;=85,"⚠️ At Risk","❌ Non-Compliant"))</f>
        <v/>
      </c>
      <c r="G9" s="17" t="n"/>
      <c r="H9" s="17" t="n"/>
      <c r="I9" s="17" t="n"/>
      <c r="J9" s="17" t="n"/>
      <c r="K9" s="17" t="n"/>
      <c r="L9" s="17" t="n"/>
      <c r="M9" s="17" t="n"/>
    </row>
    <row r="10">
      <c r="A10" s="17" t="inlineStr">
        <is>
          <t>Email Archives</t>
        </is>
      </c>
      <c r="B10" s="17" t="n"/>
      <c r="C10" s="17" t="n"/>
      <c r="D10" s="17" t="n"/>
      <c r="E10" s="18">
        <f>IFERROR(D10/C10*100,0)</f>
        <v/>
      </c>
      <c r="F10" s="19">
        <f>IF(E10&gt;=95,"✅ Compliant",IF(E10&gt;=85,"⚠️ At Risk","❌ Non-Compliant"))</f>
        <v/>
      </c>
      <c r="G10" s="17" t="n"/>
      <c r="H10" s="17" t="n"/>
      <c r="I10" s="17" t="n"/>
      <c r="J10" s="17" t="n"/>
      <c r="K10" s="17" t="n"/>
      <c r="L10" s="17" t="n"/>
      <c r="M10" s="17" t="n"/>
    </row>
    <row r="11">
      <c r="A11" s="17" t="inlineStr">
        <is>
          <t>Intellectual Property (Patents, Trade Secrets)</t>
        </is>
      </c>
      <c r="B11" s="17" t="n"/>
      <c r="C11" s="17" t="n"/>
      <c r="D11" s="17" t="n"/>
      <c r="E11" s="18">
        <f>IFERROR(D11/C11*100,0)</f>
        <v/>
      </c>
      <c r="F11" s="19">
        <f>IF(E11&gt;=95,"✅ Compliant",IF(E11&gt;=85,"⚠️ At Risk","❌ Non-Compliant"))</f>
        <v/>
      </c>
      <c r="G11" s="17" t="n"/>
      <c r="H11" s="17" t="n"/>
      <c r="I11" s="17" t="n"/>
      <c r="J11" s="17" t="n"/>
      <c r="K11" s="17" t="n"/>
      <c r="L11" s="17" t="n"/>
      <c r="M11" s="17" t="n"/>
    </row>
    <row r="12">
      <c r="A12" s="17" t="inlineStr">
        <is>
          <t>Source Code Repositories</t>
        </is>
      </c>
      <c r="B12" s="17" t="n"/>
      <c r="C12" s="17" t="n"/>
      <c r="D12" s="17" t="n"/>
      <c r="E12" s="18">
        <f>IFERROR(D12/C12*100,0)</f>
        <v/>
      </c>
      <c r="F12" s="19">
        <f>IF(E12&gt;=95,"✅ Compliant",IF(E12&gt;=85,"⚠️ At Risk","❌ Non-Compliant"))</f>
        <v/>
      </c>
      <c r="G12" s="17" t="n"/>
      <c r="H12" s="17" t="n"/>
      <c r="I12" s="17" t="n"/>
      <c r="J12" s="17" t="n"/>
      <c r="K12" s="17" t="n"/>
      <c r="L12" s="17" t="n"/>
      <c r="M12" s="17" t="n"/>
    </row>
    <row r="13">
      <c r="A13" s="17" t="inlineStr">
        <is>
          <t>Customer Data Collections</t>
        </is>
      </c>
      <c r="B13" s="17" t="n"/>
      <c r="C13" s="17" t="n"/>
      <c r="D13" s="17" t="n"/>
      <c r="E13" s="18">
        <f>IFERROR(D13/C13*100,0)</f>
        <v/>
      </c>
      <c r="F13" s="19">
        <f>IF(E13&gt;=95,"✅ Compliant",IF(E13&gt;=85,"⚠️ At Risk","❌ Non-Compliant"))</f>
        <v/>
      </c>
      <c r="G13" s="17" t="n"/>
      <c r="H13" s="17" t="n"/>
      <c r="I13" s="17" t="n"/>
      <c r="J13" s="17" t="n"/>
      <c r="K13" s="17" t="n"/>
      <c r="L13" s="17" t="n"/>
      <c r="M13" s="17" t="n"/>
    </row>
    <row r="14">
      <c r="A14" s="17" t="inlineStr">
        <is>
          <t>Financial Records</t>
        </is>
      </c>
      <c r="B14" s="17" t="n"/>
      <c r="C14" s="17" t="n"/>
      <c r="D14" s="17" t="n"/>
      <c r="E14" s="18">
        <f>IFERROR(D14/C14*100,0)</f>
        <v/>
      </c>
      <c r="F14" s="19">
        <f>IF(E14&gt;=95,"✅ Compliant",IF(E14&gt;=85,"⚠️ At Risk","❌ Non-Compliant"))</f>
        <v/>
      </c>
      <c r="G14" s="17" t="n"/>
      <c r="H14" s="17" t="n"/>
      <c r="I14" s="17" t="n"/>
      <c r="J14" s="17" t="n"/>
      <c r="K14" s="17" t="n"/>
      <c r="L14" s="17" t="n"/>
      <c r="M14" s="17" t="n"/>
    </row>
    <row r="15">
      <c r="A15" s="17" t="inlineStr">
        <is>
          <t>HR Records (Personnel Files)</t>
        </is>
      </c>
      <c r="B15" s="17" t="n"/>
      <c r="C15" s="17" t="n"/>
      <c r="D15" s="17" t="n"/>
      <c r="E15" s="18">
        <f>IFERROR(D15/C15*100,0)</f>
        <v/>
      </c>
      <c r="F15" s="19">
        <f>IF(E15&gt;=95,"✅ Compliant",IF(E15&gt;=85,"⚠️ At Risk","❌ Non-Compliant"))</f>
        <v/>
      </c>
      <c r="G15" s="17" t="n"/>
      <c r="H15" s="17" t="n"/>
      <c r="I15" s="17" t="n"/>
      <c r="J15" s="17" t="n"/>
      <c r="K15" s="17" t="n"/>
      <c r="L15" s="17" t="n"/>
      <c r="M15" s="17" t="n"/>
    </row>
    <row r="16">
      <c r="A16" s="17" t="inlineStr">
        <is>
          <t>Contracts and Legal Documents</t>
        </is>
      </c>
      <c r="B16" s="17" t="n"/>
      <c r="C16" s="17" t="n"/>
      <c r="D16" s="17" t="n"/>
      <c r="E16" s="18">
        <f>IFERROR(D16/C16*100,0)</f>
        <v/>
      </c>
      <c r="F16" s="19">
        <f>IF(E16&gt;=95,"✅ Compliant",IF(E16&gt;=85,"⚠️ At Risk","❌ Non-Compliant"))</f>
        <v/>
      </c>
      <c r="G16" s="17" t="n"/>
      <c r="H16" s="17" t="n"/>
      <c r="I16" s="17" t="n"/>
      <c r="J16" s="17" t="n"/>
      <c r="K16" s="17" t="n"/>
      <c r="L16" s="17" t="n"/>
      <c r="M16" s="17" t="n"/>
    </row>
    <row r="17">
      <c r="A17" s="17" t="inlineStr">
        <is>
          <t>Technical Documentation</t>
        </is>
      </c>
      <c r="B17" s="17" t="n"/>
      <c r="C17" s="17" t="n"/>
      <c r="D17" s="17" t="n"/>
      <c r="E17" s="18">
        <f>IFERROR(D17/C17*100,0)</f>
        <v/>
      </c>
      <c r="F17" s="19">
        <f>IF(E17&gt;=95,"✅ Compliant",IF(E17&gt;=85,"⚠️ At Risk","❌ Non-Compliant"))</f>
        <v/>
      </c>
      <c r="G17" s="17" t="n"/>
      <c r="H17" s="17" t="n"/>
      <c r="I17" s="17" t="n"/>
      <c r="J17" s="17" t="n"/>
      <c r="K17" s="17" t="n"/>
      <c r="L17" s="17" t="n"/>
      <c r="M17" s="17" t="n"/>
    </row>
    <row r="18">
      <c r="A18" s="17" t="inlineStr">
        <is>
          <t>Marketing / Sales Materials</t>
        </is>
      </c>
      <c r="B18" s="17" t="n"/>
      <c r="C18" s="17" t="n"/>
      <c r="D18" s="17" t="n"/>
      <c r="E18" s="18">
        <f>IFERROR(D18/C18*100,0)</f>
        <v/>
      </c>
      <c r="F18" s="19">
        <f>IF(E18&gt;=95,"✅ Compliant",IF(E18&gt;=85,"⚠️ At Risk","❌ Non-Compliant"))</f>
        <v/>
      </c>
      <c r="G18" s="17" t="n"/>
      <c r="H18" s="17" t="n"/>
      <c r="I18" s="17" t="n"/>
      <c r="J18" s="17" t="n"/>
      <c r="K18" s="17" t="n"/>
      <c r="L18" s="17" t="n"/>
      <c r="M18" s="17" t="n"/>
    </row>
    <row r="21">
      <c r="A21" s="20" t="inlineStr">
        <is>
          <t>INFORMATION ASSETS SUMMARY</t>
        </is>
      </c>
    </row>
    <row r="22">
      <c r="A22" t="inlineStr">
        <is>
          <t>Total Expected</t>
        </is>
      </c>
      <c r="B22" s="21">
        <f>SUM(C4:C18)</f>
        <v/>
      </c>
    </row>
    <row r="23">
      <c r="A23" t="inlineStr">
        <is>
          <t>Total Discovered</t>
        </is>
      </c>
      <c r="B23" s="21">
        <f>SUM(D4:D18)</f>
        <v/>
      </c>
    </row>
    <row r="24">
      <c r="A24" t="inlineStr">
        <is>
          <t>Overall Completeness %</t>
        </is>
      </c>
      <c r="B24" s="22">
        <f>IFERROR(B23/B22*100,0)</f>
        <v/>
      </c>
    </row>
    <row r="25">
      <c r="A25" t="inlineStr">
        <is>
          <t>Target</t>
        </is>
      </c>
      <c r="B25" s="21" t="inlineStr">
        <is>
          <t>95%</t>
        </is>
      </c>
    </row>
    <row r="26">
      <c r="A26" t="inlineStr">
        <is>
          <t>Gap vs. Target</t>
        </is>
      </c>
      <c r="B26" s="23">
        <f>B24-95</f>
        <v/>
      </c>
    </row>
  </sheetData>
  <mergeCells count="2">
    <mergeCell ref="A2:M2"/>
    <mergeCell ref="A1:M1"/>
  </mergeCells>
  <conditionalFormatting sqref="E4:E18">
    <cfRule type="cellIs" priority="1" operator="greaterThanOrEqual" dxfId="0">
      <formula>95</formula>
    </cfRule>
    <cfRule type="cellIs" priority="2" operator="between" dxfId="1">
      <formula>85</formula>
      <formula>94</formula>
    </cfRule>
    <cfRule type="cellIs" priority="3" operator="lessThan" dxfId="2">
      <formula>85</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ht="35" customHeight="1">
      <c r="A1" s="11" t="inlineStr">
        <is>
          <t>IT INFRASTRUCTURE DISCOVERY ASSESSMENT</t>
        </is>
      </c>
    </row>
    <row r="2" ht="16" customHeight="1">
      <c r="A2" s="12" t="inlineStr">
        <is>
          <t>ISO/IEC 27001:2022 - Control A.5.9: Inventory of Information and Assets</t>
        </is>
      </c>
    </row>
    <row r="3">
      <c r="A3" s="13" t="inlineStr">
        <is>
          <t>Asset Subcategory</t>
        </is>
      </c>
      <c r="B3" s="13" t="inlineStr">
        <is>
          <t>Discovery Method</t>
        </is>
      </c>
      <c r="C3" s="13" t="inlineStr">
        <is>
          <t>Expected Count</t>
        </is>
      </c>
      <c r="D3" s="13" t="inlineStr">
        <is>
          <t>Discovered Count</t>
        </is>
      </c>
      <c r="E3" s="13" t="inlineStr">
        <is>
          <t>Completeness %</t>
        </is>
      </c>
      <c r="F3" s="13" t="inlineStr">
        <is>
          <t>Compliance Status</t>
        </is>
      </c>
      <c r="G3" s="13" t="inlineStr">
        <is>
          <t>Gaps Identified</t>
        </is>
      </c>
      <c r="H3" s="13" t="inlineStr">
        <is>
          <t>Discovery Evidence</t>
        </is>
      </c>
      <c r="I3" s="13" t="inlineStr">
        <is>
          <t>Next Discovery Actions</t>
        </is>
      </c>
      <c r="J3" s="13" t="inlineStr">
        <is>
          <t>Responsible Party</t>
        </is>
      </c>
      <c r="K3" s="13" t="inlineStr">
        <is>
          <t>Target Date</t>
        </is>
      </c>
      <c r="L3" s="13" t="inlineStr">
        <is>
          <t>Evidence ID</t>
        </is>
      </c>
      <c r="M3" s="13" t="inlineStr">
        <is>
          <t>Notes</t>
        </is>
      </c>
    </row>
    <row r="4">
      <c r="A4" s="14" t="inlineStr">
        <is>
          <t>Physical Servers (Production)</t>
        </is>
      </c>
      <c r="B4" s="14" t="n"/>
      <c r="C4" s="14" t="n"/>
      <c r="D4" s="14" t="n"/>
      <c r="E4" s="15">
        <f>IFERROR(D4/C4*100,0)</f>
        <v/>
      </c>
      <c r="F4" s="16">
        <f>IF(E4&gt;=98,"✅ Compliant",IF(E4&gt;=88,"⚠️ At Risk","❌ Non-Compliant"))</f>
        <v/>
      </c>
      <c r="G4" s="14" t="n"/>
      <c r="H4" s="14" t="n"/>
      <c r="I4" s="14" t="n"/>
      <c r="J4" s="14" t="n"/>
      <c r="K4" s="14" t="n"/>
      <c r="L4" s="14" t="n"/>
      <c r="M4" s="14" t="n"/>
    </row>
    <row r="5">
      <c r="A5" s="17" t="inlineStr">
        <is>
          <t>Physical Servers (Non-Production)</t>
        </is>
      </c>
      <c r="B5" s="17" t="n"/>
      <c r="C5" s="17" t="n"/>
      <c r="D5" s="17" t="n"/>
      <c r="E5" s="18">
        <f>IFERROR(D5/C5*100,0)</f>
        <v/>
      </c>
      <c r="F5" s="19">
        <f>IF(E5&gt;=98,"✅ Compliant",IF(E5&gt;=88,"⚠️ At Risk","❌ Non-Compliant"))</f>
        <v/>
      </c>
      <c r="G5" s="17" t="n"/>
      <c r="H5" s="17" t="n"/>
      <c r="I5" s="17" t="n"/>
      <c r="J5" s="17" t="n"/>
      <c r="K5" s="17" t="n"/>
      <c r="L5" s="17" t="n"/>
      <c r="M5" s="17" t="n"/>
    </row>
    <row r="6">
      <c r="A6" s="17" t="inlineStr">
        <is>
          <t>Virtual Servers / VMs</t>
        </is>
      </c>
      <c r="B6" s="17" t="n"/>
      <c r="C6" s="17" t="n"/>
      <c r="D6" s="17" t="n"/>
      <c r="E6" s="18">
        <f>IFERROR(D6/C6*100,0)</f>
        <v/>
      </c>
      <c r="F6" s="19">
        <f>IF(E6&gt;=98,"✅ Compliant",IF(E6&gt;=88,"⚠️ At Risk","❌ Non-Compliant"))</f>
        <v/>
      </c>
      <c r="G6" s="17" t="n"/>
      <c r="H6" s="17" t="n"/>
      <c r="I6" s="17" t="n"/>
      <c r="J6" s="17" t="n"/>
      <c r="K6" s="17" t="n"/>
      <c r="L6" s="17" t="n"/>
      <c r="M6" s="17" t="n"/>
    </row>
    <row r="7">
      <c r="A7" s="17" t="inlineStr">
        <is>
          <t>Network Routers</t>
        </is>
      </c>
      <c r="B7" s="17" t="n"/>
      <c r="C7" s="17" t="n"/>
      <c r="D7" s="17" t="n"/>
      <c r="E7" s="18">
        <f>IFERROR(D7/C7*100,0)</f>
        <v/>
      </c>
      <c r="F7" s="19">
        <f>IF(E7&gt;=98,"✅ Compliant",IF(E7&gt;=88,"⚠️ At Risk","❌ Non-Compliant"))</f>
        <v/>
      </c>
      <c r="G7" s="17" t="n"/>
      <c r="H7" s="17" t="n"/>
      <c r="I7" s="17" t="n"/>
      <c r="J7" s="17" t="n"/>
      <c r="K7" s="17" t="n"/>
      <c r="L7" s="17" t="n"/>
      <c r="M7" s="17" t="n"/>
    </row>
    <row r="8">
      <c r="A8" s="17" t="inlineStr">
        <is>
          <t>Network Switches</t>
        </is>
      </c>
      <c r="B8" s="17" t="n"/>
      <c r="C8" s="17" t="n"/>
      <c r="D8" s="17" t="n"/>
      <c r="E8" s="18">
        <f>IFERROR(D8/C8*100,0)</f>
        <v/>
      </c>
      <c r="F8" s="19">
        <f>IF(E8&gt;=98,"✅ Compliant",IF(E8&gt;=88,"⚠️ At Risk","❌ Non-Compliant"))</f>
        <v/>
      </c>
      <c r="G8" s="17" t="n"/>
      <c r="H8" s="17" t="n"/>
      <c r="I8" s="17" t="n"/>
      <c r="J8" s="17" t="n"/>
      <c r="K8" s="17" t="n"/>
      <c r="L8" s="17" t="n"/>
      <c r="M8" s="17" t="n"/>
    </row>
    <row r="9">
      <c r="A9" s="17" t="inlineStr">
        <is>
          <t>Firewalls</t>
        </is>
      </c>
      <c r="B9" s="17" t="n"/>
      <c r="C9" s="17" t="n"/>
      <c r="D9" s="17" t="n"/>
      <c r="E9" s="18">
        <f>IFERROR(D9/C9*100,0)</f>
        <v/>
      </c>
      <c r="F9" s="19">
        <f>IF(E9&gt;=98,"✅ Compliant",IF(E9&gt;=88,"⚠️ At Risk","❌ Non-Compliant"))</f>
        <v/>
      </c>
      <c r="G9" s="17" t="n"/>
      <c r="H9" s="17" t="n"/>
      <c r="I9" s="17" t="n"/>
      <c r="J9" s="17" t="n"/>
      <c r="K9" s="17" t="n"/>
      <c r="L9" s="17" t="n"/>
      <c r="M9" s="17" t="n"/>
    </row>
    <row r="10">
      <c r="A10" s="17" t="inlineStr">
        <is>
          <t>Load Balancers</t>
        </is>
      </c>
      <c r="B10" s="17" t="n"/>
      <c r="C10" s="17" t="n"/>
      <c r="D10" s="17" t="n"/>
      <c r="E10" s="18">
        <f>IFERROR(D10/C10*100,0)</f>
        <v/>
      </c>
      <c r="F10" s="19">
        <f>IF(E10&gt;=98,"✅ Compliant",IF(E10&gt;=88,"⚠️ At Risk","❌ Non-Compliant"))</f>
        <v/>
      </c>
      <c r="G10" s="17" t="n"/>
      <c r="H10" s="17" t="n"/>
      <c r="I10" s="17" t="n"/>
      <c r="J10" s="17" t="n"/>
      <c r="K10" s="17" t="n"/>
      <c r="L10" s="17" t="n"/>
      <c r="M10" s="17" t="n"/>
    </row>
    <row r="11">
      <c r="A11" s="17" t="inlineStr">
        <is>
          <t>Storage Arrays / NAS / SAN</t>
        </is>
      </c>
      <c r="B11" s="17" t="n"/>
      <c r="C11" s="17" t="n"/>
      <c r="D11" s="17" t="n"/>
      <c r="E11" s="18">
        <f>IFERROR(D11/C11*100,0)</f>
        <v/>
      </c>
      <c r="F11" s="19">
        <f>IF(E11&gt;=98,"✅ Compliant",IF(E11&gt;=88,"⚠️ At Risk","❌ Non-Compliant"))</f>
        <v/>
      </c>
      <c r="G11" s="17" t="n"/>
      <c r="H11" s="17" t="n"/>
      <c r="I11" s="17" t="n"/>
      <c r="J11" s="17" t="n"/>
      <c r="K11" s="17" t="n"/>
      <c r="L11" s="17" t="n"/>
      <c r="M11" s="17" t="n"/>
    </row>
    <row r="12">
      <c r="A12" s="17" t="inlineStr">
        <is>
          <t>Backup Devices / Tape Libraries</t>
        </is>
      </c>
      <c r="B12" s="17" t="n"/>
      <c r="C12" s="17" t="n"/>
      <c r="D12" s="17" t="n"/>
      <c r="E12" s="18">
        <f>IFERROR(D12/C12*100,0)</f>
        <v/>
      </c>
      <c r="F12" s="19">
        <f>IF(E12&gt;=98,"✅ Compliant",IF(E12&gt;=88,"⚠️ At Risk","❌ Non-Compliant"))</f>
        <v/>
      </c>
      <c r="G12" s="17" t="n"/>
      <c r="H12" s="17" t="n"/>
      <c r="I12" s="17" t="n"/>
      <c r="J12" s="17" t="n"/>
      <c r="K12" s="17" t="n"/>
      <c r="L12" s="17" t="n"/>
      <c r="M12" s="17" t="n"/>
    </row>
    <row r="13">
      <c r="A13" s="17" t="inlineStr">
        <is>
          <t>Workstations / Desktops</t>
        </is>
      </c>
      <c r="B13" s="17" t="n"/>
      <c r="C13" s="17" t="n"/>
      <c r="D13" s="17" t="n"/>
      <c r="E13" s="18">
        <f>IFERROR(D13/C13*100,0)</f>
        <v/>
      </c>
      <c r="F13" s="19">
        <f>IF(E13&gt;=98,"✅ Compliant",IF(E13&gt;=88,"⚠️ At Risk","❌ Non-Compliant"))</f>
        <v/>
      </c>
      <c r="G13" s="17" t="n"/>
      <c r="H13" s="17" t="n"/>
      <c r="I13" s="17" t="n"/>
      <c r="J13" s="17" t="n"/>
      <c r="K13" s="17" t="n"/>
      <c r="L13" s="17" t="n"/>
      <c r="M13" s="17" t="n"/>
    </row>
    <row r="14">
      <c r="A14" s="17" t="inlineStr">
        <is>
          <t>Laptops / Mobile Devices</t>
        </is>
      </c>
      <c r="B14" s="17" t="n"/>
      <c r="C14" s="17" t="n"/>
      <c r="D14" s="17" t="n"/>
      <c r="E14" s="18">
        <f>IFERROR(D14/C14*100,0)</f>
        <v/>
      </c>
      <c r="F14" s="19">
        <f>IF(E14&gt;=98,"✅ Compliant",IF(E14&gt;=88,"⚠️ At Risk","❌ Non-Compliant"))</f>
        <v/>
      </c>
      <c r="G14" s="17" t="n"/>
      <c r="H14" s="17" t="n"/>
      <c r="I14" s="17" t="n"/>
      <c r="J14" s="17" t="n"/>
      <c r="K14" s="17" t="n"/>
      <c r="L14" s="17" t="n"/>
      <c r="M14" s="17" t="n"/>
    </row>
    <row r="15">
      <c r="A15" s="17" t="inlineStr">
        <is>
          <t>Tablets / iPads</t>
        </is>
      </c>
      <c r="B15" s="17" t="n"/>
      <c r="C15" s="17" t="n"/>
      <c r="D15" s="17" t="n"/>
      <c r="E15" s="18">
        <f>IFERROR(D15/C15*100,0)</f>
        <v/>
      </c>
      <c r="F15" s="19">
        <f>IF(E15&gt;=98,"✅ Compliant",IF(E15&gt;=88,"⚠️ At Risk","❌ Non-Compliant"))</f>
        <v/>
      </c>
      <c r="G15" s="17" t="n"/>
      <c r="H15" s="17" t="n"/>
      <c r="I15" s="17" t="n"/>
      <c r="J15" s="17" t="n"/>
      <c r="K15" s="17" t="n"/>
      <c r="L15" s="17" t="n"/>
      <c r="M15" s="17" t="n"/>
    </row>
    <row r="16">
      <c r="A16" s="17" t="inlineStr">
        <is>
          <t>Smartphones (Corporate)</t>
        </is>
      </c>
      <c r="B16" s="17" t="n"/>
      <c r="C16" s="17" t="n"/>
      <c r="D16" s="17" t="n"/>
      <c r="E16" s="18">
        <f>IFERROR(D16/C16*100,0)</f>
        <v/>
      </c>
      <c r="F16" s="19">
        <f>IF(E16&gt;=98,"✅ Compliant",IF(E16&gt;=88,"⚠️ At Risk","❌ Non-Compliant"))</f>
        <v/>
      </c>
      <c r="G16" s="17" t="n"/>
      <c r="H16" s="17" t="n"/>
      <c r="I16" s="17" t="n"/>
      <c r="J16" s="17" t="n"/>
      <c r="K16" s="17" t="n"/>
      <c r="L16" s="17" t="n"/>
      <c r="M16" s="17" t="n"/>
    </row>
    <row r="17">
      <c r="A17" s="17" t="inlineStr">
        <is>
          <t>Printers / Multifunction Devices</t>
        </is>
      </c>
      <c r="B17" s="17" t="n"/>
      <c r="C17" s="17" t="n"/>
      <c r="D17" s="17" t="n"/>
      <c r="E17" s="18">
        <f>IFERROR(D17/C17*100,0)</f>
        <v/>
      </c>
      <c r="F17" s="19">
        <f>IF(E17&gt;=98,"✅ Compliant",IF(E17&gt;=88,"⚠️ At Risk","❌ Non-Compliant"))</f>
        <v/>
      </c>
      <c r="G17" s="17" t="n"/>
      <c r="H17" s="17" t="n"/>
      <c r="I17" s="17" t="n"/>
      <c r="J17" s="17" t="n"/>
      <c r="K17" s="17" t="n"/>
      <c r="L17" s="17" t="n"/>
      <c r="M17" s="17" t="n"/>
    </row>
    <row r="18">
      <c r="A18" s="17" t="inlineStr">
        <is>
          <t>IoT Devices / Sensors</t>
        </is>
      </c>
      <c r="B18" s="17" t="n"/>
      <c r="C18" s="17" t="n"/>
      <c r="D18" s="17" t="n"/>
      <c r="E18" s="18">
        <f>IFERROR(D18/C18*100,0)</f>
        <v/>
      </c>
      <c r="F18" s="19">
        <f>IF(E18&gt;=98,"✅ Compliant",IF(E18&gt;=88,"⚠️ At Risk","❌ Non-Compliant"))</f>
        <v/>
      </c>
      <c r="G18" s="17" t="n"/>
      <c r="H18" s="17" t="n"/>
      <c r="I18" s="17" t="n"/>
      <c r="J18" s="17" t="n"/>
      <c r="K18" s="17" t="n"/>
      <c r="L18" s="17" t="n"/>
      <c r="M18" s="17" t="n"/>
    </row>
    <row r="19">
      <c r="A19" s="17" t="inlineStr">
        <is>
          <t>Network Attached Devices</t>
        </is>
      </c>
      <c r="B19" s="17" t="n"/>
      <c r="C19" s="17" t="n"/>
      <c r="D19" s="17" t="n"/>
      <c r="E19" s="18">
        <f>IFERROR(D19/C19*100,0)</f>
        <v/>
      </c>
      <c r="F19" s="19">
        <f>IF(E19&gt;=98,"✅ Compliant",IF(E19&gt;=88,"⚠️ At Risk","❌ Non-Compliant"))</f>
        <v/>
      </c>
      <c r="G19" s="17" t="n"/>
      <c r="H19" s="17" t="n"/>
      <c r="I19" s="17" t="n"/>
      <c r="J19" s="17" t="n"/>
      <c r="K19" s="17" t="n"/>
      <c r="L19" s="17" t="n"/>
      <c r="M19" s="17" t="n"/>
    </row>
    <row r="22">
      <c r="A22" s="20" t="inlineStr">
        <is>
          <t>IT INFRASTRUCTURE SUMMARY</t>
        </is>
      </c>
    </row>
    <row r="23">
      <c r="A23" t="inlineStr">
        <is>
          <t>Total Expected</t>
        </is>
      </c>
      <c r="B23" s="21">
        <f>SUM(C4:C19)</f>
        <v/>
      </c>
    </row>
    <row r="24">
      <c r="A24" t="inlineStr">
        <is>
          <t>Total Discovered</t>
        </is>
      </c>
      <c r="B24" s="21">
        <f>SUM(D4:D19)</f>
        <v/>
      </c>
    </row>
    <row r="25">
      <c r="A25" t="inlineStr">
        <is>
          <t>Overall Completeness %</t>
        </is>
      </c>
      <c r="B25" s="22">
        <f>IFERROR(B24/B23*100,0)</f>
        <v/>
      </c>
    </row>
    <row r="26">
      <c r="A26" t="inlineStr">
        <is>
          <t>Target</t>
        </is>
      </c>
      <c r="B26" s="21" t="inlineStr">
        <is>
          <t>98%</t>
        </is>
      </c>
    </row>
    <row r="27">
      <c r="A27" t="inlineStr">
        <is>
          <t>Gap vs. Target</t>
        </is>
      </c>
      <c r="B27" s="23">
        <f>B25-98</f>
        <v/>
      </c>
    </row>
  </sheetData>
  <mergeCells count="2">
    <mergeCell ref="A2:M2"/>
    <mergeCell ref="A1:M1"/>
  </mergeCells>
  <conditionalFormatting sqref="E4:E19">
    <cfRule type="cellIs" priority="1" operator="greaterThanOrEqual" dxfId="0">
      <formula>98</formula>
    </cfRule>
    <cfRule type="cellIs" priority="2" operator="between" dxfId="1">
      <formula>88</formula>
      <formula>97</formula>
    </cfRule>
    <cfRule type="cellIs" priority="3" operator="lessThan" dxfId="2">
      <formula>88</formula>
    </cfRule>
  </conditionalFormatting>
  <dataValidations count="1">
    <dataValidation sqref="B4:B19"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11" t="inlineStr">
        <is>
          <t>APPLICATIONS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SaaS Applications (Licensed)</t>
        </is>
      </c>
      <c r="B4" s="14" t="n"/>
      <c r="C4" s="14" t="n"/>
      <c r="D4" s="14" t="n"/>
      <c r="E4" s="15">
        <f>IFERROR(D4/C4*100,0)</f>
        <v/>
      </c>
      <c r="F4" s="16">
        <f>IF(E4&gt;=90,"✅ Compliant",IF(E4&gt;=80,"⚠️ At Risk","❌ Non-Compliant"))</f>
        <v/>
      </c>
      <c r="G4" s="14" t="n"/>
      <c r="H4" s="14" t="n"/>
      <c r="I4" s="14" t="n"/>
      <c r="J4" s="14" t="n"/>
      <c r="K4" s="14" t="n"/>
      <c r="L4" s="14" t="n"/>
      <c r="M4" s="14" t="n"/>
    </row>
    <row r="5">
      <c r="A5" s="17" t="inlineStr">
        <is>
          <t>Cloud-Hosted Applications (Custom)</t>
        </is>
      </c>
      <c r="B5" s="17" t="n"/>
      <c r="C5" s="17" t="n"/>
      <c r="D5" s="17" t="n"/>
      <c r="E5" s="18">
        <f>IFERROR(D5/C5*100,0)</f>
        <v/>
      </c>
      <c r="F5" s="19">
        <f>IF(E5&gt;=90,"✅ Compliant",IF(E5&gt;=80,"⚠️ At Risk","❌ Non-Compliant"))</f>
        <v/>
      </c>
      <c r="G5" s="17" t="n"/>
      <c r="H5" s="17" t="n"/>
      <c r="I5" s="17" t="n"/>
      <c r="J5" s="17" t="n"/>
      <c r="K5" s="17" t="n"/>
      <c r="L5" s="17" t="n"/>
      <c r="M5" s="17" t="n"/>
    </row>
    <row r="6">
      <c r="A6" s="17" t="inlineStr">
        <is>
          <t>On-Premise Applications (COTS)</t>
        </is>
      </c>
      <c r="B6" s="17" t="n"/>
      <c r="C6" s="17" t="n"/>
      <c r="D6" s="17" t="n"/>
      <c r="E6" s="18">
        <f>IFERROR(D6/C6*100,0)</f>
        <v/>
      </c>
      <c r="F6" s="19">
        <f>IF(E6&gt;=90,"✅ Compliant",IF(E6&gt;=80,"⚠️ At Risk","❌ Non-Compliant"))</f>
        <v/>
      </c>
      <c r="G6" s="17" t="n"/>
      <c r="H6" s="17" t="n"/>
      <c r="I6" s="17" t="n"/>
      <c r="J6" s="17" t="n"/>
      <c r="K6" s="17" t="n"/>
      <c r="L6" s="17" t="n"/>
      <c r="M6" s="17" t="n"/>
    </row>
    <row r="7">
      <c r="A7" s="17" t="inlineStr">
        <is>
          <t>On-Premise Applications (Custom/In-House)</t>
        </is>
      </c>
      <c r="B7" s="17" t="n"/>
      <c r="C7" s="17" t="n"/>
      <c r="D7" s="17" t="n"/>
      <c r="E7" s="18">
        <f>IFERROR(D7/C7*100,0)</f>
        <v/>
      </c>
      <c r="F7" s="19">
        <f>IF(E7&gt;=90,"✅ Compliant",IF(E7&gt;=80,"⚠️ At Risk","❌ Non-Compliant"))</f>
        <v/>
      </c>
      <c r="G7" s="17" t="n"/>
      <c r="H7" s="17" t="n"/>
      <c r="I7" s="17" t="n"/>
      <c r="J7" s="17" t="n"/>
      <c r="K7" s="17" t="n"/>
      <c r="L7" s="17" t="n"/>
      <c r="M7" s="17" t="n"/>
    </row>
    <row r="8">
      <c r="A8" s="17" t="inlineStr">
        <is>
          <t>Database Management Systems</t>
        </is>
      </c>
      <c r="B8" s="17" t="n"/>
      <c r="C8" s="17" t="n"/>
      <c r="D8" s="17" t="n"/>
      <c r="E8" s="18">
        <f>IFERROR(D8/C8*100,0)</f>
        <v/>
      </c>
      <c r="F8" s="19">
        <f>IF(E8&gt;=90,"✅ Compliant",IF(E8&gt;=80,"⚠️ At Risk","❌ Non-Compliant"))</f>
        <v/>
      </c>
      <c r="G8" s="17" t="n"/>
      <c r="H8" s="17" t="n"/>
      <c r="I8" s="17" t="n"/>
      <c r="J8" s="17" t="n"/>
      <c r="K8" s="17" t="n"/>
      <c r="L8" s="17" t="n"/>
      <c r="M8" s="17" t="n"/>
    </row>
    <row r="9">
      <c r="A9" s="17" t="inlineStr">
        <is>
          <t>Middleware / Integration Platforms</t>
        </is>
      </c>
      <c r="B9" s="17" t="n"/>
      <c r="C9" s="17" t="n"/>
      <c r="D9" s="17" t="n"/>
      <c r="E9" s="18">
        <f>IFERROR(D9/C9*100,0)</f>
        <v/>
      </c>
      <c r="F9" s="19">
        <f>IF(E9&gt;=90,"✅ Compliant",IF(E9&gt;=80,"⚠️ At Risk","❌ Non-Compliant"))</f>
        <v/>
      </c>
      <c r="G9" s="17" t="n"/>
      <c r="H9" s="17" t="n"/>
      <c r="I9" s="17" t="n"/>
      <c r="J9" s="17" t="n"/>
      <c r="K9" s="17" t="n"/>
      <c r="L9" s="17" t="n"/>
      <c r="M9" s="17" t="n"/>
    </row>
    <row r="10">
      <c r="A10" s="17" t="inlineStr">
        <is>
          <t>Development Tools / IDEs</t>
        </is>
      </c>
      <c r="B10" s="17" t="n"/>
      <c r="C10" s="17" t="n"/>
      <c r="D10" s="17" t="n"/>
      <c r="E10" s="18">
        <f>IFERROR(D10/C10*100,0)</f>
        <v/>
      </c>
      <c r="F10" s="19">
        <f>IF(E10&gt;=90,"✅ Compliant",IF(E10&gt;=80,"⚠️ At Risk","❌ Non-Compliant"))</f>
        <v/>
      </c>
      <c r="G10" s="17" t="n"/>
      <c r="H10" s="17" t="n"/>
      <c r="I10" s="17" t="n"/>
      <c r="J10" s="17" t="n"/>
      <c r="K10" s="17" t="n"/>
      <c r="L10" s="17" t="n"/>
      <c r="M10" s="17" t="n"/>
    </row>
    <row r="11">
      <c r="A11" s="17" t="inlineStr">
        <is>
          <t>Security Tools (SIEM, EDR, Firewall)</t>
        </is>
      </c>
      <c r="B11" s="17" t="n"/>
      <c r="C11" s="17" t="n"/>
      <c r="D11" s="17" t="n"/>
      <c r="E11" s="18">
        <f>IFERROR(D11/C11*100,0)</f>
        <v/>
      </c>
      <c r="F11" s="19">
        <f>IF(E11&gt;=90,"✅ Compliant",IF(E11&gt;=80,"⚠️ At Risk","❌ Non-Compliant"))</f>
        <v/>
      </c>
      <c r="G11" s="17" t="n"/>
      <c r="H11" s="17" t="n"/>
      <c r="I11" s="17" t="n"/>
      <c r="J11" s="17" t="n"/>
      <c r="K11" s="17" t="n"/>
      <c r="L11" s="17" t="n"/>
      <c r="M11" s="17" t="n"/>
    </row>
    <row r="12">
      <c r="A12" s="17" t="inlineStr">
        <is>
          <t>Monitoring / Observability Tools</t>
        </is>
      </c>
      <c r="B12" s="17" t="n"/>
      <c r="C12" s="17" t="n"/>
      <c r="D12" s="17" t="n"/>
      <c r="E12" s="18">
        <f>IFERROR(D12/C12*100,0)</f>
        <v/>
      </c>
      <c r="F12" s="19">
        <f>IF(E12&gt;=90,"✅ Compliant",IF(E12&gt;=80,"⚠️ At Risk","❌ Non-Compliant"))</f>
        <v/>
      </c>
      <c r="G12" s="17" t="n"/>
      <c r="H12" s="17" t="n"/>
      <c r="I12" s="17" t="n"/>
      <c r="J12" s="17" t="n"/>
      <c r="K12" s="17" t="n"/>
      <c r="L12" s="17" t="n"/>
      <c r="M12" s="17" t="n"/>
    </row>
    <row r="13">
      <c r="A13" s="17" t="inlineStr">
        <is>
          <t>Backup / Recovery Software</t>
        </is>
      </c>
      <c r="B13" s="17" t="n"/>
      <c r="C13" s="17" t="n"/>
      <c r="D13" s="17" t="n"/>
      <c r="E13" s="18">
        <f>IFERROR(D13/C13*100,0)</f>
        <v/>
      </c>
      <c r="F13" s="19">
        <f>IF(E13&gt;=90,"✅ Compliant",IF(E13&gt;=80,"⚠️ At Risk","❌ Non-Compliant"))</f>
        <v/>
      </c>
      <c r="G13" s="17" t="n"/>
      <c r="H13" s="17" t="n"/>
      <c r="I13" s="17" t="n"/>
      <c r="J13" s="17" t="n"/>
      <c r="K13" s="17" t="n"/>
      <c r="L13" s="17" t="n"/>
      <c r="M13" s="17" t="n"/>
    </row>
    <row r="14">
      <c r="A14" s="17" t="inlineStr">
        <is>
          <t>Collaboration Tools (Slack, Teams, etc.)</t>
        </is>
      </c>
      <c r="B14" s="17" t="n"/>
      <c r="C14" s="17" t="n"/>
      <c r="D14" s="17" t="n"/>
      <c r="E14" s="18">
        <f>IFERROR(D14/C14*100,0)</f>
        <v/>
      </c>
      <c r="F14" s="19">
        <f>IF(E14&gt;=90,"✅ Compliant",IF(E14&gt;=80,"⚠️ At Risk","❌ Non-Compliant"))</f>
        <v/>
      </c>
      <c r="G14" s="17" t="n"/>
      <c r="H14" s="17" t="n"/>
      <c r="I14" s="17" t="n"/>
      <c r="J14" s="17" t="n"/>
      <c r="K14" s="17" t="n"/>
      <c r="L14" s="17" t="n"/>
      <c r="M14" s="17" t="n"/>
    </row>
    <row r="15">
      <c r="A15" s="17" t="inlineStr">
        <is>
          <t>Productivity Suites (Office 365, G Suite)</t>
        </is>
      </c>
      <c r="B15" s="17" t="n"/>
      <c r="C15" s="17" t="n"/>
      <c r="D15" s="17" t="n"/>
      <c r="E15" s="18">
        <f>IFERROR(D15/C15*100,0)</f>
        <v/>
      </c>
      <c r="F15" s="19">
        <f>IF(E15&gt;=90,"✅ Compliant",IF(E15&gt;=80,"⚠️ At Risk","❌ Non-Compliant"))</f>
        <v/>
      </c>
      <c r="G15" s="17" t="n"/>
      <c r="H15" s="17" t="n"/>
      <c r="I15" s="17" t="n"/>
      <c r="J15" s="17" t="n"/>
      <c r="K15" s="17" t="n"/>
      <c r="L15" s="17" t="n"/>
      <c r="M15" s="17" t="n"/>
    </row>
    <row r="16">
      <c r="A16" s="17" t="inlineStr">
        <is>
          <t>ERP / CRM Systems</t>
        </is>
      </c>
      <c r="B16" s="17" t="n"/>
      <c r="C16" s="17" t="n"/>
      <c r="D16" s="17" t="n"/>
      <c r="E16" s="18">
        <f>IFERROR(D16/C16*100,0)</f>
        <v/>
      </c>
      <c r="F16" s="19">
        <f>IF(E16&gt;=90,"✅ Compliant",IF(E16&gt;=80,"⚠️ At Risk","❌ Non-Compliant"))</f>
        <v/>
      </c>
      <c r="G16" s="17" t="n"/>
      <c r="H16" s="17" t="n"/>
      <c r="I16" s="17" t="n"/>
      <c r="J16" s="17" t="n"/>
      <c r="K16" s="17" t="n"/>
      <c r="L16" s="17" t="n"/>
      <c r="M16" s="17" t="n"/>
    </row>
    <row r="17">
      <c r="A17" s="17" t="inlineStr">
        <is>
          <t>HR Management Systems</t>
        </is>
      </c>
      <c r="B17" s="17" t="n"/>
      <c r="C17" s="17" t="n"/>
      <c r="D17" s="17" t="n"/>
      <c r="E17" s="18">
        <f>IFERROR(D17/C17*100,0)</f>
        <v/>
      </c>
      <c r="F17" s="19">
        <f>IF(E17&gt;=90,"✅ Compliant",IF(E17&gt;=80,"⚠️ At Risk","❌ Non-Compliant"))</f>
        <v/>
      </c>
      <c r="G17" s="17" t="n"/>
      <c r="H17" s="17" t="n"/>
      <c r="I17" s="17" t="n"/>
      <c r="J17" s="17" t="n"/>
      <c r="K17" s="17" t="n"/>
      <c r="L17" s="17" t="n"/>
      <c r="M17" s="17" t="n"/>
    </row>
    <row r="18">
      <c r="A18" s="17" t="inlineStr">
        <is>
          <t>Shadow IT (Unauthorised SaaS)</t>
        </is>
      </c>
      <c r="B18" s="17" t="n"/>
      <c r="C18" s="17" t="n"/>
      <c r="D18" s="17" t="n"/>
      <c r="E18" s="18">
        <f>IFERROR(D18/C18*100,0)</f>
        <v/>
      </c>
      <c r="F18" s="19">
        <f>IF(E18&gt;=90,"✅ Compliant",IF(E18&gt;=80,"⚠️ At Risk","❌ Non-Compliant"))</f>
        <v/>
      </c>
      <c r="G18" s="17" t="n"/>
      <c r="H18" s="17" t="n"/>
      <c r="I18" s="17" t="n"/>
      <c r="J18" s="17" t="n"/>
      <c r="K18" s="17" t="n"/>
      <c r="L18" s="17" t="n"/>
      <c r="M18" s="17" t="n"/>
    </row>
    <row r="21">
      <c r="A21" s="20" t="inlineStr">
        <is>
          <t>APPLICATIONS SUMMARY</t>
        </is>
      </c>
    </row>
    <row r="22">
      <c r="A22" t="inlineStr">
        <is>
          <t>Total Expected</t>
        </is>
      </c>
      <c r="B22" s="21">
        <f>SUM(C4:C18)</f>
        <v/>
      </c>
    </row>
    <row r="23">
      <c r="A23" t="inlineStr">
        <is>
          <t>Total Discovered</t>
        </is>
      </c>
      <c r="B23" s="21">
        <f>SUM(D4:D18)</f>
        <v/>
      </c>
    </row>
    <row r="24">
      <c r="A24" t="inlineStr">
        <is>
          <t>Overall Completeness %</t>
        </is>
      </c>
      <c r="B24" s="22">
        <f>IFERROR(B23/B22*100,0)</f>
        <v/>
      </c>
    </row>
    <row r="25">
      <c r="A25" t="inlineStr">
        <is>
          <t>Target</t>
        </is>
      </c>
      <c r="B25" s="21" t="inlineStr">
        <is>
          <t>90%</t>
        </is>
      </c>
    </row>
    <row r="26">
      <c r="A26" t="inlineStr">
        <is>
          <t>Gap vs. Target</t>
        </is>
      </c>
      <c r="B26" s="25">
        <f>B24-90</f>
        <v/>
      </c>
    </row>
  </sheetData>
  <mergeCells count="2">
    <mergeCell ref="A2:M2"/>
    <mergeCell ref="A1:M1"/>
  </mergeCells>
  <conditionalFormatting sqref="E4:E18">
    <cfRule type="cellIs" priority="1" operator="greaterThanOrEqual" dxfId="0">
      <formula>90</formula>
    </cfRule>
    <cfRule type="cellIs" priority="2" operator="between" dxfId="1">
      <formula>80</formula>
      <formula>89</formula>
    </cfRule>
    <cfRule type="cellIs" priority="3" operator="lessThan" dxfId="2">
      <formula>80</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26" t="inlineStr">
        <is>
          <t>PHYSICAL ASSETS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Data Centers / Server Rooms</t>
        </is>
      </c>
      <c r="B4" s="14" t="n"/>
      <c r="C4" s="14" t="n"/>
      <c r="D4" s="14" t="n"/>
      <c r="E4" s="15">
        <f>IFERROR(D4/C4*100,0)</f>
        <v/>
      </c>
      <c r="F4" s="16">
        <f>IF(E4&gt;=90,"✅ Compliant",IF(E4&gt;=80,"⚠️ At Risk","❌ Non-Compliant"))</f>
        <v/>
      </c>
      <c r="G4" s="14" t="n"/>
      <c r="H4" s="14" t="n"/>
      <c r="I4" s="14" t="n"/>
      <c r="J4" s="14" t="n"/>
      <c r="K4" s="14" t="n"/>
      <c r="L4" s="14" t="n"/>
      <c r="M4" s="14" t="n"/>
    </row>
    <row r="5">
      <c r="A5" s="17" t="inlineStr">
        <is>
          <t>Office Facilities</t>
        </is>
      </c>
      <c r="B5" s="17" t="n"/>
      <c r="C5" s="17" t="n"/>
      <c r="D5" s="17" t="n"/>
      <c r="E5" s="18">
        <f>IFERROR(D5/C5*100,0)</f>
        <v/>
      </c>
      <c r="F5" s="19">
        <f>IF(E5&gt;=90,"✅ Compliant",IF(E5&gt;=80,"⚠️ At Risk","❌ Non-Compliant"))</f>
        <v/>
      </c>
      <c r="G5" s="17" t="n"/>
      <c r="H5" s="17" t="n"/>
      <c r="I5" s="17" t="n"/>
      <c r="J5" s="17" t="n"/>
      <c r="K5" s="17" t="n"/>
      <c r="L5" s="17" t="n"/>
      <c r="M5" s="17" t="n"/>
    </row>
    <row r="6">
      <c r="A6" s="17" t="inlineStr">
        <is>
          <t>Storage Facilities (Offsite)</t>
        </is>
      </c>
      <c r="B6" s="17" t="n"/>
      <c r="C6" s="17" t="n"/>
      <c r="D6" s="17" t="n"/>
      <c r="E6" s="18">
        <f>IFERROR(D6/C6*100,0)</f>
        <v/>
      </c>
      <c r="F6" s="19">
        <f>IF(E6&gt;=90,"✅ Compliant",IF(E6&gt;=80,"⚠️ At Risk","❌ Non-Compliant"))</f>
        <v/>
      </c>
      <c r="G6" s="17" t="n"/>
      <c r="H6" s="17" t="n"/>
      <c r="I6" s="17" t="n"/>
      <c r="J6" s="17" t="n"/>
      <c r="K6" s="17" t="n"/>
      <c r="L6" s="17" t="n"/>
      <c r="M6" s="17" t="n"/>
    </row>
    <row r="7">
      <c r="A7" s="17" t="inlineStr">
        <is>
          <t>Backup Tape Libraries (Offsite)</t>
        </is>
      </c>
      <c r="B7" s="17" t="n"/>
      <c r="C7" s="17" t="n"/>
      <c r="D7" s="17" t="n"/>
      <c r="E7" s="18">
        <f>IFERROR(D7/C7*100,0)</f>
        <v/>
      </c>
      <c r="F7" s="19">
        <f>IF(E7&gt;=90,"✅ Compliant",IF(E7&gt;=80,"⚠️ At Risk","❌ Non-Compliant"))</f>
        <v/>
      </c>
      <c r="G7" s="17" t="n"/>
      <c r="H7" s="17" t="n"/>
      <c r="I7" s="17" t="n"/>
      <c r="J7" s="17" t="n"/>
      <c r="K7" s="17" t="n"/>
      <c r="L7" s="17" t="n"/>
      <c r="M7" s="17" t="n"/>
    </row>
    <row r="8">
      <c r="A8" s="17" t="inlineStr">
        <is>
          <t>Removable Media (USB Drives, External HDDs)</t>
        </is>
      </c>
      <c r="B8" s="17" t="n"/>
      <c r="C8" s="17" t="n"/>
      <c r="D8" s="17" t="n"/>
      <c r="E8" s="18">
        <f>IFERROR(D8/C8*100,0)</f>
        <v/>
      </c>
      <c r="F8" s="19">
        <f>IF(E8&gt;=90,"✅ Compliant",IF(E8&gt;=80,"⚠️ At Risk","❌ Non-Compliant"))</f>
        <v/>
      </c>
      <c r="G8" s="17" t="n"/>
      <c r="H8" s="17" t="n"/>
      <c r="I8" s="17" t="n"/>
      <c r="J8" s="17" t="n"/>
      <c r="K8" s="17" t="n"/>
      <c r="L8" s="17" t="n"/>
      <c r="M8" s="17" t="n"/>
    </row>
    <row r="9">
      <c r="A9" s="17" t="inlineStr">
        <is>
          <t>Paper Records / File Cabinets</t>
        </is>
      </c>
      <c r="B9" s="17" t="n"/>
      <c r="C9" s="17" t="n"/>
      <c r="D9" s="17" t="n"/>
      <c r="E9" s="18">
        <f>IFERROR(D9/C9*100,0)</f>
        <v/>
      </c>
      <c r="F9" s="19">
        <f>IF(E9&gt;=90,"✅ Compliant",IF(E9&gt;=80,"⚠️ At Risk","❌ Non-Compliant"))</f>
        <v/>
      </c>
      <c r="G9" s="17" t="n"/>
      <c r="H9" s="17" t="n"/>
      <c r="I9" s="17" t="n"/>
      <c r="J9" s="17" t="n"/>
      <c r="K9" s="17" t="n"/>
      <c r="L9" s="17" t="n"/>
      <c r="M9" s="17" t="n"/>
    </row>
    <row r="10">
      <c r="A10" s="17" t="inlineStr">
        <is>
          <t>Safes / Secure Storage</t>
        </is>
      </c>
      <c r="B10" s="17" t="n"/>
      <c r="C10" s="17" t="n"/>
      <c r="D10" s="17" t="n"/>
      <c r="E10" s="18">
        <f>IFERROR(D10/C10*100,0)</f>
        <v/>
      </c>
      <c r="F10" s="19">
        <f>IF(E10&gt;=90,"✅ Compliant",IF(E10&gt;=80,"⚠️ At Risk","❌ Non-Compliant"))</f>
        <v/>
      </c>
      <c r="G10" s="17" t="n"/>
      <c r="H10" s="17" t="n"/>
      <c r="I10" s="17" t="n"/>
      <c r="J10" s="17" t="n"/>
      <c r="K10" s="17" t="n"/>
      <c r="L10" s="17" t="n"/>
      <c r="M10" s="17" t="n"/>
    </row>
    <row r="11">
      <c r="A11" s="17" t="inlineStr">
        <is>
          <t>Badge Readers / Access Control Systems</t>
        </is>
      </c>
      <c r="B11" s="17" t="n"/>
      <c r="C11" s="17" t="n"/>
      <c r="D11" s="17" t="n"/>
      <c r="E11" s="18">
        <f>IFERROR(D11/C11*100,0)</f>
        <v/>
      </c>
      <c r="F11" s="19">
        <f>IF(E11&gt;=90,"✅ Compliant",IF(E11&gt;=80,"⚠️ At Risk","❌ Non-Compliant"))</f>
        <v/>
      </c>
      <c r="G11" s="17" t="n"/>
      <c r="H11" s="17" t="n"/>
      <c r="I11" s="17" t="n"/>
      <c r="J11" s="17" t="n"/>
      <c r="K11" s="17" t="n"/>
      <c r="L11" s="17" t="n"/>
      <c r="M11" s="17" t="n"/>
    </row>
    <row r="12">
      <c r="A12" s="17" t="inlineStr">
        <is>
          <t>CCTV / Surveillance Systems</t>
        </is>
      </c>
      <c r="B12" s="17" t="n"/>
      <c r="C12" s="17" t="n"/>
      <c r="D12" s="17" t="n"/>
      <c r="E12" s="18">
        <f>IFERROR(D12/C12*100,0)</f>
        <v/>
      </c>
      <c r="F12" s="19">
        <f>IF(E12&gt;=90,"✅ Compliant",IF(E12&gt;=80,"⚠️ At Risk","❌ Non-Compliant"))</f>
        <v/>
      </c>
      <c r="G12" s="17" t="n"/>
      <c r="H12" s="17" t="n"/>
      <c r="I12" s="17" t="n"/>
      <c r="J12" s="17" t="n"/>
      <c r="K12" s="17" t="n"/>
      <c r="L12" s="17" t="n"/>
      <c r="M12" s="17" t="n"/>
    </row>
    <row r="13">
      <c r="A13" s="17" t="inlineStr">
        <is>
          <t>Environmental Controls (HVAC, Fire Suppression)</t>
        </is>
      </c>
      <c r="B13" s="17" t="n"/>
      <c r="C13" s="17" t="n"/>
      <c r="D13" s="17" t="n"/>
      <c r="E13" s="18">
        <f>IFERROR(D13/C13*100,0)</f>
        <v/>
      </c>
      <c r="F13" s="19">
        <f>IF(E13&gt;=90,"✅ Compliant",IF(E13&gt;=80,"⚠️ At Risk","❌ Non-Compliant"))</f>
        <v/>
      </c>
      <c r="G13" s="17" t="n"/>
      <c r="H13" s="17" t="n"/>
      <c r="I13" s="17" t="n"/>
      <c r="J13" s="17" t="n"/>
      <c r="K13" s="17" t="n"/>
      <c r="L13" s="17" t="n"/>
      <c r="M13" s="17" t="n"/>
    </row>
    <row r="14">
      <c r="A14" s="17" t="inlineStr">
        <is>
          <t>Power Infrastructure (UPS, Generators)</t>
        </is>
      </c>
      <c r="B14" s="17" t="n"/>
      <c r="C14" s="17" t="n"/>
      <c r="D14" s="17" t="n"/>
      <c r="E14" s="18">
        <f>IFERROR(D14/C14*100,0)</f>
        <v/>
      </c>
      <c r="F14" s="19">
        <f>IF(E14&gt;=90,"✅ Compliant",IF(E14&gt;=80,"⚠️ At Risk","❌ Non-Compliant"))</f>
        <v/>
      </c>
      <c r="G14" s="17" t="n"/>
      <c r="H14" s="17" t="n"/>
      <c r="I14" s="17" t="n"/>
      <c r="J14" s="17" t="n"/>
      <c r="K14" s="17" t="n"/>
      <c r="L14" s="17" t="n"/>
      <c r="M14" s="17" t="n"/>
    </row>
    <row r="15">
      <c r="A15" s="17" t="inlineStr">
        <is>
          <t>Network Cabling Infrastructure</t>
        </is>
      </c>
      <c r="B15" s="17" t="n"/>
      <c r="C15" s="17" t="n"/>
      <c r="D15" s="17" t="n"/>
      <c r="E15" s="18">
        <f>IFERROR(D15/C15*100,0)</f>
        <v/>
      </c>
      <c r="F15" s="19">
        <f>IF(E15&gt;=90,"✅ Compliant",IF(E15&gt;=80,"⚠️ At Risk","❌ Non-Compliant"))</f>
        <v/>
      </c>
      <c r="G15" s="17" t="n"/>
      <c r="H15" s="17" t="n"/>
      <c r="I15" s="17" t="n"/>
      <c r="J15" s="17" t="n"/>
      <c r="K15" s="17" t="n"/>
      <c r="L15" s="17" t="n"/>
      <c r="M15" s="17" t="n"/>
    </row>
    <row r="18">
      <c r="A18" s="20" t="inlineStr">
        <is>
          <t>PHYSICAL ASSETS SUMMARY</t>
        </is>
      </c>
    </row>
    <row r="19">
      <c r="A19" t="inlineStr">
        <is>
          <t>Total Expected</t>
        </is>
      </c>
      <c r="B19">
        <f>SUM(C4:C15)</f>
        <v/>
      </c>
    </row>
    <row r="20">
      <c r="A20" t="inlineStr">
        <is>
          <t>Total Discovered</t>
        </is>
      </c>
      <c r="B20">
        <f>SUM(D4:D15)</f>
        <v/>
      </c>
    </row>
    <row r="21">
      <c r="A21" t="inlineStr">
        <is>
          <t>Overall Completeness %</t>
        </is>
      </c>
      <c r="B21" s="22">
        <f>IFERROR(B20/B19*100,0)</f>
        <v/>
      </c>
    </row>
    <row r="22">
      <c r="A22" t="inlineStr">
        <is>
          <t>Target</t>
        </is>
      </c>
      <c r="B22" t="inlineStr">
        <is>
          <t>90%</t>
        </is>
      </c>
    </row>
    <row r="23">
      <c r="A23" t="inlineStr">
        <is>
          <t>Gap vs. Target</t>
        </is>
      </c>
      <c r="B23" s="25">
        <f>B21-90</f>
        <v/>
      </c>
    </row>
  </sheetData>
  <mergeCells count="2">
    <mergeCell ref="A2:M2"/>
    <mergeCell ref="A1:M1"/>
  </mergeCells>
  <conditionalFormatting sqref="E4:E15">
    <cfRule type="cellIs" priority="1" operator="greaterThanOrEqual" dxfId="0">
      <formula>90</formula>
    </cfRule>
    <cfRule type="cellIs" priority="2" operator="between" dxfId="1">
      <formula>80</formula>
      <formula>89</formula>
    </cfRule>
    <cfRule type="cellIs" priority="3" operator="lessThan" dxfId="2">
      <formula>80</formula>
    </cfRule>
  </conditionalFormatting>
  <dataValidations count="1">
    <dataValidation sqref="B4:B15"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26" t="inlineStr">
        <is>
          <t>PERSONNEL ASSETS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Executive Management (C-Suite)</t>
        </is>
      </c>
      <c r="B4" s="14" t="n"/>
      <c r="C4" s="14" t="n"/>
      <c r="D4" s="14" t="n"/>
      <c r="E4" s="15">
        <f>IFERROR(D4/C4*100,0)</f>
        <v/>
      </c>
      <c r="F4" s="16">
        <f>IF(E4=100,"✅ Compliant",IF(E4&gt;=90,"⚠️ At Risk","❌ Non-Compliant"))</f>
        <v/>
      </c>
      <c r="G4" s="14" t="n"/>
      <c r="H4" s="14" t="n"/>
      <c r="I4" s="14" t="n"/>
      <c r="J4" s="14" t="n"/>
      <c r="K4" s="14" t="n"/>
      <c r="L4" s="14" t="n"/>
      <c r="M4" s="14" t="n"/>
    </row>
    <row r="5">
      <c r="A5" s="17" t="inlineStr">
        <is>
          <t>Department Heads / Managers</t>
        </is>
      </c>
      <c r="B5" s="17" t="n"/>
      <c r="C5" s="17" t="n"/>
      <c r="D5" s="17" t="n"/>
      <c r="E5" s="18">
        <f>IFERROR(D5/C5*100,0)</f>
        <v/>
      </c>
      <c r="F5" s="19">
        <f>IF(E5=100,"✅ Compliant",IF(E5&gt;=90,"⚠️ At Risk","❌ Non-Compliant"))</f>
        <v/>
      </c>
      <c r="G5" s="17" t="n"/>
      <c r="H5" s="17" t="n"/>
      <c r="I5" s="17" t="n"/>
      <c r="J5" s="17" t="n"/>
      <c r="K5" s="17" t="n"/>
      <c r="L5" s="17" t="n"/>
      <c r="M5" s="17" t="n"/>
    </row>
    <row r="6">
      <c r="A6" s="17" t="inlineStr">
        <is>
          <t>Information Security Team</t>
        </is>
      </c>
      <c r="B6" s="17" t="n"/>
      <c r="C6" s="17" t="n"/>
      <c r="D6" s="17" t="n"/>
      <c r="E6" s="18">
        <f>IFERROR(D6/C6*100,0)</f>
        <v/>
      </c>
      <c r="F6" s="19">
        <f>IF(E6=100,"✅ Compliant",IF(E6&gt;=90,"⚠️ At Risk","❌ Non-Compliant"))</f>
        <v/>
      </c>
      <c r="G6" s="17" t="n"/>
      <c r="H6" s="17" t="n"/>
      <c r="I6" s="17" t="n"/>
      <c r="J6" s="17" t="n"/>
      <c r="K6" s="17" t="n"/>
      <c r="L6" s="17" t="n"/>
      <c r="M6" s="17" t="n"/>
    </row>
    <row r="7">
      <c r="A7" s="17" t="inlineStr">
        <is>
          <t>IT Operations Team</t>
        </is>
      </c>
      <c r="B7" s="17" t="n"/>
      <c r="C7" s="17" t="n"/>
      <c r="D7" s="17" t="n"/>
      <c r="E7" s="18">
        <f>IFERROR(D7/C7*100,0)</f>
        <v/>
      </c>
      <c r="F7" s="19">
        <f>IF(E7=100,"✅ Compliant",IF(E7&gt;=90,"⚠️ At Risk","❌ Non-Compliant"))</f>
        <v/>
      </c>
      <c r="G7" s="17" t="n"/>
      <c r="H7" s="17" t="n"/>
      <c r="I7" s="17" t="n"/>
      <c r="J7" s="17" t="n"/>
      <c r="K7" s="17" t="n"/>
      <c r="L7" s="17" t="n"/>
      <c r="M7" s="17" t="n"/>
    </row>
    <row r="8">
      <c r="A8" s="17" t="inlineStr">
        <is>
          <t>Developers / Engineers</t>
        </is>
      </c>
      <c r="B8" s="17" t="n"/>
      <c r="C8" s="17" t="n"/>
      <c r="D8" s="17" t="n"/>
      <c r="E8" s="18">
        <f>IFERROR(D8/C8*100,0)</f>
        <v/>
      </c>
      <c r="F8" s="19">
        <f>IF(E8=100,"✅ Compliant",IF(E8&gt;=90,"⚠️ At Risk","❌ Non-Compliant"))</f>
        <v/>
      </c>
      <c r="G8" s="17" t="n"/>
      <c r="H8" s="17" t="n"/>
      <c r="I8" s="17" t="n"/>
      <c r="J8" s="17" t="n"/>
      <c r="K8" s="17" t="n"/>
      <c r="L8" s="17" t="n"/>
      <c r="M8" s="17" t="n"/>
    </row>
    <row r="9">
      <c r="A9" s="17" t="inlineStr">
        <is>
          <t>Database Administrators</t>
        </is>
      </c>
      <c r="B9" s="17" t="n"/>
      <c r="C9" s="17" t="n"/>
      <c r="D9" s="17" t="n"/>
      <c r="E9" s="18">
        <f>IFERROR(D9/C9*100,0)</f>
        <v/>
      </c>
      <c r="F9" s="19">
        <f>IF(E9=100,"✅ Compliant",IF(E9&gt;=90,"⚠️ At Risk","❌ Non-Compliant"))</f>
        <v/>
      </c>
      <c r="G9" s="17" t="n"/>
      <c r="H9" s="17" t="n"/>
      <c r="I9" s="17" t="n"/>
      <c r="J9" s="17" t="n"/>
      <c r="K9" s="17" t="n"/>
      <c r="L9" s="17" t="n"/>
      <c r="M9" s="17" t="n"/>
    </row>
    <row r="10">
      <c r="A10" s="17" t="inlineStr">
        <is>
          <t>System Administrators</t>
        </is>
      </c>
      <c r="B10" s="17" t="n"/>
      <c r="C10" s="17" t="n"/>
      <c r="D10" s="17" t="n"/>
      <c r="E10" s="18">
        <f>IFERROR(D10/C10*100,0)</f>
        <v/>
      </c>
      <c r="F10" s="19">
        <f>IF(E10=100,"✅ Compliant",IF(E10&gt;=90,"⚠️ At Risk","❌ Non-Compliant"))</f>
        <v/>
      </c>
      <c r="G10" s="17" t="n"/>
      <c r="H10" s="17" t="n"/>
      <c r="I10" s="17" t="n"/>
      <c r="J10" s="17" t="n"/>
      <c r="K10" s="17" t="n"/>
      <c r="L10" s="17" t="n"/>
      <c r="M10" s="17" t="n"/>
    </row>
    <row r="11">
      <c r="A11" s="17" t="inlineStr">
        <is>
          <t>Network Engineers</t>
        </is>
      </c>
      <c r="B11" s="17" t="n"/>
      <c r="C11" s="17" t="n"/>
      <c r="D11" s="17" t="n"/>
      <c r="E11" s="18">
        <f>IFERROR(D11/C11*100,0)</f>
        <v/>
      </c>
      <c r="F11" s="19">
        <f>IF(E11=100,"✅ Compliant",IF(E11&gt;=90,"⚠️ At Risk","❌ Non-Compliant"))</f>
        <v/>
      </c>
      <c r="G11" s="17" t="n"/>
      <c r="H11" s="17" t="n"/>
      <c r="I11" s="17" t="n"/>
      <c r="J11" s="17" t="n"/>
      <c r="K11" s="17" t="n"/>
      <c r="L11" s="17" t="n"/>
      <c r="M11" s="17" t="n"/>
    </row>
    <row r="12">
      <c r="A12" s="17" t="inlineStr">
        <is>
          <t>Security Analysts / SOC</t>
        </is>
      </c>
      <c r="B12" s="17" t="n"/>
      <c r="C12" s="17" t="n"/>
      <c r="D12" s="17" t="n"/>
      <c r="E12" s="18">
        <f>IFERROR(D12/C12*100,0)</f>
        <v/>
      </c>
      <c r="F12" s="19">
        <f>IF(E12=100,"✅ Compliant",IF(E12&gt;=90,"⚠️ At Risk","❌ Non-Compliant"))</f>
        <v/>
      </c>
      <c r="G12" s="17" t="n"/>
      <c r="H12" s="17" t="n"/>
      <c r="I12" s="17" t="n"/>
      <c r="J12" s="17" t="n"/>
      <c r="K12" s="17" t="n"/>
      <c r="L12" s="17" t="n"/>
      <c r="M12" s="17" t="n"/>
    </row>
    <row r="13">
      <c r="A13" s="17" t="inlineStr">
        <is>
          <t>Compliance Officers</t>
        </is>
      </c>
      <c r="B13" s="17" t="n"/>
      <c r="C13" s="17" t="n"/>
      <c r="D13" s="17" t="n"/>
      <c r="E13" s="18">
        <f>IFERROR(D13/C13*100,0)</f>
        <v/>
      </c>
      <c r="F13" s="19">
        <f>IF(E13=100,"✅ Compliant",IF(E13&gt;=90,"⚠️ At Risk","❌ Non-Compliant"))</f>
        <v/>
      </c>
      <c r="G13" s="17" t="n"/>
      <c r="H13" s="17" t="n"/>
      <c r="I13" s="17" t="n"/>
      <c r="J13" s="17" t="n"/>
      <c r="K13" s="17" t="n"/>
      <c r="L13" s="17" t="n"/>
      <c r="M13" s="17" t="n"/>
    </row>
    <row r="14">
      <c r="A14" s="17" t="inlineStr">
        <is>
          <t>Data Protection Officers</t>
        </is>
      </c>
      <c r="B14" s="17" t="n"/>
      <c r="C14" s="17" t="n"/>
      <c r="D14" s="17" t="n"/>
      <c r="E14" s="18">
        <f>IFERROR(D14/C14*100,0)</f>
        <v/>
      </c>
      <c r="F14" s="19">
        <f>IF(E14=100,"✅ Compliant",IF(E14&gt;=90,"⚠️ At Risk","❌ Non-Compliant"))</f>
        <v/>
      </c>
      <c r="G14" s="17" t="n"/>
      <c r="H14" s="17" t="n"/>
      <c r="I14" s="17" t="n"/>
      <c r="J14" s="17" t="n"/>
      <c r="K14" s="17" t="n"/>
      <c r="L14" s="17" t="n"/>
      <c r="M14" s="17" t="n"/>
    </row>
    <row r="15">
      <c r="A15" s="17" t="inlineStr">
        <is>
          <t>Key Subject Matter Experts</t>
        </is>
      </c>
      <c r="B15" s="17" t="n"/>
      <c r="C15" s="17" t="n"/>
      <c r="D15" s="17" t="n"/>
      <c r="E15" s="18">
        <f>IFERROR(D15/C15*100,0)</f>
        <v/>
      </c>
      <c r="F15" s="19">
        <f>IF(E15=100,"✅ Compliant",IF(E15&gt;=90,"⚠️ At Risk","❌ Non-Compliant"))</f>
        <v/>
      </c>
      <c r="G15" s="17" t="n"/>
      <c r="H15" s="17" t="n"/>
      <c r="I15" s="17" t="n"/>
      <c r="J15" s="17" t="n"/>
      <c r="K15" s="17" t="n"/>
      <c r="L15" s="17" t="n"/>
      <c r="M15" s="17" t="n"/>
    </row>
    <row r="16">
      <c r="A16" s="17" t="inlineStr">
        <is>
          <t>Critical Project Personnel</t>
        </is>
      </c>
      <c r="B16" s="17" t="n"/>
      <c r="C16" s="17" t="n"/>
      <c r="D16" s="17" t="n"/>
      <c r="E16" s="18">
        <f>IFERROR(D16/C16*100,0)</f>
        <v/>
      </c>
      <c r="F16" s="19">
        <f>IF(E16=100,"✅ Compliant",IF(E16&gt;=90,"⚠️ At Risk","❌ Non-Compliant"))</f>
        <v/>
      </c>
      <c r="G16" s="17" t="n"/>
      <c r="H16" s="17" t="n"/>
      <c r="I16" s="17" t="n"/>
      <c r="J16" s="17" t="n"/>
      <c r="K16" s="17" t="n"/>
      <c r="L16" s="17" t="n"/>
      <c r="M16" s="17" t="n"/>
    </row>
    <row r="17">
      <c r="A17" s="17" t="inlineStr">
        <is>
          <t>Contractors (Long-term)</t>
        </is>
      </c>
      <c r="B17" s="17" t="n"/>
      <c r="C17" s="17" t="n"/>
      <c r="D17" s="17" t="n"/>
      <c r="E17" s="18">
        <f>IFERROR(D17/C17*100,0)</f>
        <v/>
      </c>
      <c r="F17" s="19">
        <f>IF(E17=100,"✅ Compliant",IF(E17&gt;=90,"⚠️ At Risk","❌ Non-Compliant"))</f>
        <v/>
      </c>
      <c r="G17" s="17" t="n"/>
      <c r="H17" s="17" t="n"/>
      <c r="I17" s="17" t="n"/>
      <c r="J17" s="17" t="n"/>
      <c r="K17" s="17" t="n"/>
      <c r="L17" s="17" t="n"/>
      <c r="M17" s="17" t="n"/>
    </row>
    <row r="18">
      <c r="A18" s="17" t="inlineStr">
        <is>
          <t>External Service Providers (Key Personnel)</t>
        </is>
      </c>
      <c r="B18" s="17" t="n"/>
      <c r="C18" s="17" t="n"/>
      <c r="D18" s="17" t="n"/>
      <c r="E18" s="18">
        <f>IFERROR(D18/C18*100,0)</f>
        <v/>
      </c>
      <c r="F18" s="19">
        <f>IF(E18=100,"✅ Compliant",IF(E18&gt;=90,"⚠️ At Risk","❌ Non-Compliant"))</f>
        <v/>
      </c>
      <c r="G18" s="17" t="n"/>
      <c r="H18" s="17" t="n"/>
      <c r="I18" s="17" t="n"/>
      <c r="J18" s="17" t="n"/>
      <c r="K18" s="17" t="n"/>
      <c r="L18" s="17" t="n"/>
      <c r="M18" s="17" t="n"/>
    </row>
    <row r="21">
      <c r="A21" s="20" t="inlineStr">
        <is>
          <t>PERSONNEL ASSETS SUMMARY</t>
        </is>
      </c>
    </row>
    <row r="22">
      <c r="A22" t="inlineStr">
        <is>
          <t>Total Expected</t>
        </is>
      </c>
      <c r="B22">
        <f>SUM(C4:C18)</f>
        <v/>
      </c>
    </row>
    <row r="23">
      <c r="A23" t="inlineStr">
        <is>
          <t>Total Discovered</t>
        </is>
      </c>
      <c r="B23">
        <f>SUM(D4:D18)</f>
        <v/>
      </c>
    </row>
    <row r="24">
      <c r="A24" t="inlineStr">
        <is>
          <t>Overall Completeness %</t>
        </is>
      </c>
      <c r="B24" s="22">
        <f>IFERROR(B23/B22*100,0)</f>
        <v/>
      </c>
    </row>
    <row r="25">
      <c r="A25" t="inlineStr">
        <is>
          <t>Target</t>
        </is>
      </c>
      <c r="B25" s="27" t="inlineStr">
        <is>
          <t>100%</t>
        </is>
      </c>
    </row>
    <row r="26">
      <c r="A26" t="inlineStr">
        <is>
          <t>Gap vs. Target</t>
        </is>
      </c>
      <c r="B26" s="25">
        <f>B24-100</f>
        <v/>
      </c>
    </row>
  </sheetData>
  <mergeCells count="2">
    <mergeCell ref="A2:M2"/>
    <mergeCell ref="A1:M1"/>
  </mergeCells>
  <conditionalFormatting sqref="E4:E18">
    <cfRule type="cellIs" priority="1" operator="equal" dxfId="0">
      <formula>100</formula>
    </cfRule>
    <cfRule type="cellIs" priority="2" operator="between" dxfId="1">
      <formula>90</formula>
      <formula>99</formula>
    </cfRule>
    <cfRule type="cellIs" priority="3" operator="lessThan" dxfId="2">
      <formula>90</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2" customWidth="1" min="5" max="5"/>
    <col width="15" customWidth="1" min="6" max="6"/>
    <col width="20" customWidth="1" min="7" max="7"/>
    <col width="15" customWidth="1" min="8" max="8"/>
    <col width="50" customWidth="1" min="9" max="9"/>
    <col width="50" customWidth="1" min="10" max="10"/>
  </cols>
  <sheetData>
    <row r="1" ht="35" customHeight="1">
      <c r="A1" s="26" t="inlineStr">
        <is>
          <t>DISCOVERY METRICS &amp; SUMMARY</t>
        </is>
      </c>
    </row>
    <row r="3">
      <c r="A3" s="24" t="inlineStr">
        <is>
          <t>Asset Category</t>
        </is>
      </c>
      <c r="B3" s="24" t="inlineStr">
        <is>
          <t>Expected Count</t>
        </is>
      </c>
      <c r="C3" s="24" t="inlineStr">
        <is>
          <t>Discovered Count</t>
        </is>
      </c>
      <c r="D3" s="24" t="inlineStr">
        <is>
          <t>Completeness %</t>
        </is>
      </c>
      <c r="E3" s="24" t="inlineStr">
        <is>
          <t>Target %</t>
        </is>
      </c>
      <c r="F3" s="24" t="inlineStr">
        <is>
          <t>Gap vs. Target</t>
        </is>
      </c>
      <c r="G3" s="24" t="inlineStr">
        <is>
          <t>Compliance Status</t>
        </is>
      </c>
      <c r="H3" s="24" t="inlineStr">
        <is>
          <t>Priority</t>
        </is>
      </c>
      <c r="I3" s="24" t="inlineStr">
        <is>
          <t>Key Gaps</t>
        </is>
      </c>
      <c r="J3" s="24" t="inlineStr">
        <is>
          <t>Next Actions</t>
        </is>
      </c>
    </row>
    <row r="4">
      <c r="A4" s="21" t="inlineStr">
        <is>
          <t>Information Assets</t>
        </is>
      </c>
      <c r="B4">
        <f>'Information Assets Discovery'!B22</f>
        <v/>
      </c>
      <c r="C4">
        <f>'Information Assets Discovery'!B23</f>
        <v/>
      </c>
      <c r="D4" s="23">
        <f>IFERROR(C4/B4*100,0)</f>
        <v/>
      </c>
      <c r="E4" t="inlineStr">
        <is>
          <t>95%</t>
        </is>
      </c>
      <c r="F4" s="25">
        <f>D4-95</f>
        <v/>
      </c>
      <c r="G4" s="28">
        <f>IF(D4&gt;=95,"✅ Compliant",IF(D4&gt;=95-10,"⚠️ At Risk","❌ Non-Compliant"))</f>
        <v/>
      </c>
      <c r="H4" s="28">
        <f>IF(F4&lt;-10,"[!] Critical",IF(F4&lt;0,"[~] High","[OK] Low"))</f>
        <v/>
      </c>
    </row>
    <row r="5">
      <c r="A5" s="21" t="inlineStr">
        <is>
          <t>IT Infrastructure</t>
        </is>
      </c>
      <c r="B5">
        <f>'IT Infrastructure Discovery'!B22</f>
        <v/>
      </c>
      <c r="C5">
        <f>'IT Infrastructure Discovery'!B23</f>
        <v/>
      </c>
      <c r="D5" s="23">
        <f>IFERROR(C5/B5*100,0)</f>
        <v/>
      </c>
      <c r="E5" t="inlineStr">
        <is>
          <t>98%</t>
        </is>
      </c>
      <c r="F5" s="25">
        <f>D5-98</f>
        <v/>
      </c>
      <c r="G5" s="28">
        <f>IF(D5&gt;=98,"✅ Compliant",IF(D5&gt;=98-10,"⚠️ At Risk","❌ Non-Compliant"))</f>
        <v/>
      </c>
      <c r="H5" s="28">
        <f>IF(F5&lt;-10,"[!] Critical",IF(F5&lt;0,"[~] High","[OK] Low"))</f>
        <v/>
      </c>
    </row>
    <row r="6">
      <c r="A6" s="21" t="inlineStr">
        <is>
          <t>Applications</t>
        </is>
      </c>
      <c r="B6">
        <f>'Applications Discovery'!B22</f>
        <v/>
      </c>
      <c r="C6">
        <f>'Applications Discovery'!B23</f>
        <v/>
      </c>
      <c r="D6" s="23">
        <f>IFERROR(C6/B6*100,0)</f>
        <v/>
      </c>
      <c r="E6" t="inlineStr">
        <is>
          <t>90%</t>
        </is>
      </c>
      <c r="F6" s="25">
        <f>D6-90</f>
        <v/>
      </c>
      <c r="G6" s="28">
        <f>IF(D6&gt;=90,"✅ Compliant",IF(D6&gt;=90-10,"⚠️ At Risk","❌ Non-Compliant"))</f>
        <v/>
      </c>
      <c r="H6" s="28">
        <f>IF(F6&lt;-10,"[!] Critical",IF(F6&lt;0,"[~] High","[OK] Low"))</f>
        <v/>
      </c>
    </row>
    <row r="7">
      <c r="A7" s="21" t="inlineStr">
        <is>
          <t>Physical Assets</t>
        </is>
      </c>
      <c r="B7">
        <f>'Physical Assets Discovery'!B22</f>
        <v/>
      </c>
      <c r="C7">
        <f>'Physical Assets Discovery'!B23</f>
        <v/>
      </c>
      <c r="D7" s="23">
        <f>IFERROR(C7/B7*100,0)</f>
        <v/>
      </c>
      <c r="E7" t="inlineStr">
        <is>
          <t>90%</t>
        </is>
      </c>
      <c r="F7" s="25">
        <f>D7-90</f>
        <v/>
      </c>
      <c r="G7" s="28">
        <f>IF(D7&gt;=90,"✅ Compliant",IF(D7&gt;=90-10,"⚠️ At Risk","❌ Non-Compliant"))</f>
        <v/>
      </c>
      <c r="H7" s="28">
        <f>IF(F7&lt;-10,"[!] Critical",IF(F7&lt;0,"[~] High","[OK] Low"))</f>
        <v/>
      </c>
    </row>
    <row r="8">
      <c r="A8" s="21" t="inlineStr">
        <is>
          <t>Personnel Assets</t>
        </is>
      </c>
      <c r="B8">
        <f>'Personnel Assets Discovery'!B22</f>
        <v/>
      </c>
      <c r="C8">
        <f>'Personnel Assets Discovery'!B23</f>
        <v/>
      </c>
      <c r="D8" s="23">
        <f>IFERROR(C8/B8*100,0)</f>
        <v/>
      </c>
      <c r="E8" t="inlineStr">
        <is>
          <t>100%</t>
        </is>
      </c>
      <c r="F8" s="25">
        <f>D8-100</f>
        <v/>
      </c>
      <c r="G8" s="28">
        <f>IF(D8&gt;=100,"✅ Compliant",IF(D8&gt;=100-10,"⚠️ At Risk","❌ Non-Compliant"))</f>
        <v/>
      </c>
      <c r="H8" s="28">
        <f>IF(F8&lt;-10,"[!] Critical",IF(F8&lt;0,"[~] High","[OK] Low"))</f>
        <v/>
      </c>
    </row>
    <row r="11">
      <c r="A11" s="20" t="inlineStr">
        <is>
          <t>OVERALL DISCOVERY SUMMARY</t>
        </is>
      </c>
    </row>
    <row r="12">
      <c r="A12" t="inlineStr">
        <is>
          <t>Total Assets Expected (All Categories)</t>
        </is>
      </c>
      <c r="B12" s="21">
        <f>SUM(B4:B8)</f>
        <v/>
      </c>
    </row>
    <row r="13">
      <c r="A13" t="inlineStr">
        <is>
          <t>Total Assets Discovered</t>
        </is>
      </c>
      <c r="B13" s="21">
        <f>SUM(C4:C8)</f>
        <v/>
      </c>
    </row>
    <row r="14">
      <c r="A14" t="inlineStr">
        <is>
          <t>Overall Discovery Completeness %</t>
        </is>
      </c>
      <c r="B14" s="29">
        <f>IFERROR(B13/B12*100,0)</f>
        <v/>
      </c>
    </row>
    <row r="15">
      <c r="A15" t="inlineStr">
        <is>
          <t>Overall Target</t>
        </is>
      </c>
      <c r="B15" s="21" t="inlineStr">
        <is>
          <t>95%</t>
        </is>
      </c>
    </row>
    <row r="16">
      <c r="A16" t="inlineStr">
        <is>
          <t>Gap vs. Overall Target</t>
        </is>
      </c>
      <c r="B16" s="23">
        <f>B14-95</f>
        <v/>
      </c>
    </row>
    <row r="19">
      <c r="A19" s="30" t="inlineStr">
        <is>
          <t>CSV EXPORT FOR DASHBOARD (Copy rows below)</t>
        </is>
      </c>
    </row>
    <row r="20">
      <c r="A20" s="21" t="inlineStr">
        <is>
          <t>Discovery_Category</t>
        </is>
      </c>
      <c r="B20" s="21" t="inlineStr">
        <is>
          <t>Completeness_%</t>
        </is>
      </c>
      <c r="C20" s="21" t="inlineStr">
        <is>
          <t>Compliance_Status</t>
        </is>
      </c>
    </row>
    <row r="21">
      <c r="A21">
        <f>A4</f>
        <v/>
      </c>
      <c r="B21">
        <f>D4</f>
        <v/>
      </c>
      <c r="C21">
        <f>G4</f>
        <v/>
      </c>
    </row>
    <row r="22">
      <c r="A22">
        <f>A5</f>
        <v/>
      </c>
      <c r="B22">
        <f>D5</f>
        <v/>
      </c>
      <c r="C22">
        <f>G5</f>
        <v/>
      </c>
    </row>
    <row r="23">
      <c r="A23">
        <f>A6</f>
        <v/>
      </c>
      <c r="B23">
        <f>D6</f>
        <v/>
      </c>
      <c r="C23">
        <f>G6</f>
        <v/>
      </c>
    </row>
    <row r="24">
      <c r="A24">
        <f>A7</f>
        <v/>
      </c>
      <c r="B24">
        <f>D7</f>
        <v/>
      </c>
      <c r="C24">
        <f>G7</f>
        <v/>
      </c>
    </row>
    <row r="25">
      <c r="A25">
        <f>A8</f>
        <v/>
      </c>
      <c r="B25">
        <f>D8</f>
        <v/>
      </c>
      <c r="C25">
        <f>G8</f>
        <v/>
      </c>
    </row>
  </sheetData>
  <mergeCells count="2">
    <mergeCell ref="A1:J1"/>
    <mergeCell ref="A11:J11"/>
  </mergeCells>
  <conditionalFormatting sqref="D4:D8">
    <cfRule type="cellIs" priority="1" operator="greaterThanOrEqual" dxfId="0">
      <formula>95</formula>
    </cfRule>
    <cfRule type="cellIs" priority="2" operator="between" dxfId="1">
      <formula>85</formula>
      <formula>94</formula>
    </cfRule>
    <cfRule type="cellIs" priority="3" operator="lessThan" dxfId="2">
      <formula>85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1" t="inlineStr">
        <is>
          <t>EVIDENCE REGISTER</t>
        </is>
      </c>
    </row>
    <row r="2">
      <c r="A2" s="32" t="inlineStr">
        <is>
          <t>ISO/IEC 27001:2022 - Control A.5.9: Inventory of Information and Assets</t>
        </is>
      </c>
    </row>
    <row r="4">
      <c r="A4" s="33" t="inlineStr">
        <is>
          <t>Evidence ID</t>
        </is>
      </c>
      <c r="B4" s="33" t="inlineStr">
        <is>
          <t>Evidence Type</t>
        </is>
      </c>
      <c r="C4" s="33" t="inlineStr">
        <is>
          <t>Description</t>
        </is>
      </c>
      <c r="D4" s="33" t="inlineStr">
        <is>
          <t>Related Control / Section</t>
        </is>
      </c>
      <c r="E4" s="33" t="inlineStr">
        <is>
          <t>Collection Date (DD.MM.YYYY)</t>
        </is>
      </c>
      <c r="F4" s="33" t="inlineStr">
        <is>
          <t>Storage Location / Reference</t>
        </is>
      </c>
      <c r="G4" s="33" t="inlineStr">
        <is>
          <t>Collected By</t>
        </is>
      </c>
      <c r="H4" s="33" t="inlineStr">
        <is>
          <t>Verification Status</t>
        </is>
      </c>
    </row>
    <row r="5">
      <c r="A5" s="34" t="inlineStr">
        <is>
          <t>EV-001</t>
        </is>
      </c>
      <c r="B5" s="34" t="inlineStr">
        <is>
          <t>Document</t>
        </is>
      </c>
      <c r="C5" s="34" t="inlineStr">
        <is>
          <t>Sample evidence entry — replace with actual evidence</t>
        </is>
      </c>
      <c r="D5" s="34" t="inlineStr">
        <is>
          <t>A.5.9 All Domains</t>
        </is>
      </c>
      <c r="E5" s="34" t="inlineStr">
        <is>
          <t>01.01.2026</t>
        </is>
      </c>
      <c r="F5" s="34" t="inlineStr">
        <is>
          <t>SharePoint/ISMS/Evidence/</t>
        </is>
      </c>
      <c r="G5" s="34" t="inlineStr">
        <is>
          <t>ISMS Team</t>
        </is>
      </c>
      <c r="H5" s="34" t="inlineStr">
        <is>
          <t>Not verified</t>
        </is>
      </c>
    </row>
    <row r="6">
      <c r="A6" s="35" t="n"/>
      <c r="B6" s="35" t="n"/>
      <c r="C6" s="35" t="n"/>
      <c r="D6" s="35" t="n"/>
      <c r="E6" s="35" t="n"/>
      <c r="F6" s="35" t="n"/>
      <c r="G6" s="35" t="n"/>
      <c r="H6" s="35" t="n"/>
    </row>
    <row r="7">
      <c r="A7" s="35" t="n"/>
      <c r="B7" s="35" t="n"/>
      <c r="C7" s="35" t="n"/>
      <c r="D7" s="35" t="n"/>
      <c r="E7" s="35" t="n"/>
      <c r="F7" s="35" t="n"/>
      <c r="G7" s="35" t="n"/>
      <c r="H7" s="35" t="n"/>
    </row>
    <row r="8">
      <c r="A8" s="35" t="n"/>
      <c r="B8" s="35" t="n"/>
      <c r="C8" s="35" t="n"/>
      <c r="D8" s="35" t="n"/>
      <c r="E8" s="35" t="n"/>
      <c r="F8" s="35" t="n"/>
      <c r="G8" s="35" t="n"/>
      <c r="H8" s="35" t="n"/>
    </row>
    <row r="9">
      <c r="A9" s="35" t="n"/>
      <c r="B9" s="35" t="n"/>
      <c r="C9" s="35" t="n"/>
      <c r="D9" s="35" t="n"/>
      <c r="E9" s="35" t="n"/>
      <c r="F9" s="35" t="n"/>
      <c r="G9" s="35" t="n"/>
      <c r="H9" s="35" t="n"/>
    </row>
    <row r="10">
      <c r="A10" s="35" t="n"/>
      <c r="B10" s="35" t="n"/>
      <c r="C10" s="35" t="n"/>
      <c r="D10" s="35" t="n"/>
      <c r="E10" s="35" t="n"/>
      <c r="F10" s="35" t="n"/>
      <c r="G10" s="35" t="n"/>
      <c r="H10" s="35" t="n"/>
    </row>
    <row r="11">
      <c r="A11" s="35" t="n"/>
      <c r="B11" s="35" t="n"/>
      <c r="C11" s="35" t="n"/>
      <c r="D11" s="35" t="n"/>
      <c r="E11" s="35" t="n"/>
      <c r="F11" s="35" t="n"/>
      <c r="G11" s="35" t="n"/>
      <c r="H11" s="35" t="n"/>
    </row>
    <row r="12">
      <c r="A12" s="35" t="n"/>
      <c r="B12" s="35" t="n"/>
      <c r="C12" s="35" t="n"/>
      <c r="D12" s="35" t="n"/>
      <c r="E12" s="35" t="n"/>
      <c r="F12" s="35" t="n"/>
      <c r="G12" s="35" t="n"/>
      <c r="H12" s="35" t="n"/>
    </row>
    <row r="13">
      <c r="A13" s="35" t="n"/>
      <c r="B13" s="35" t="n"/>
      <c r="C13" s="35" t="n"/>
      <c r="D13" s="35" t="n"/>
      <c r="E13" s="35" t="n"/>
      <c r="F13" s="35" t="n"/>
      <c r="G13" s="35" t="n"/>
      <c r="H13" s="35" t="n"/>
    </row>
    <row r="14">
      <c r="A14" s="35" t="n"/>
      <c r="B14" s="35" t="n"/>
      <c r="C14" s="35" t="n"/>
      <c r="D14" s="35" t="n"/>
      <c r="E14" s="35" t="n"/>
      <c r="F14" s="35" t="n"/>
      <c r="G14" s="35" t="n"/>
      <c r="H14" s="35" t="n"/>
    </row>
    <row r="15">
      <c r="A15" s="35" t="n"/>
      <c r="B15" s="35" t="n"/>
      <c r="C15" s="35" t="n"/>
      <c r="D15" s="35" t="n"/>
      <c r="E15" s="35" t="n"/>
      <c r="F15" s="35" t="n"/>
      <c r="G15" s="35" t="n"/>
      <c r="H15" s="35" t="n"/>
    </row>
    <row r="16">
      <c r="A16" s="35" t="n"/>
      <c r="B16" s="35" t="n"/>
      <c r="C16" s="35" t="n"/>
      <c r="D16" s="35" t="n"/>
      <c r="E16" s="35" t="n"/>
      <c r="F16" s="35" t="n"/>
      <c r="G16" s="35" t="n"/>
      <c r="H16" s="35" t="n"/>
    </row>
    <row r="17">
      <c r="A17" s="35" t="n"/>
      <c r="B17" s="35" t="n"/>
      <c r="C17" s="35" t="n"/>
      <c r="D17" s="35" t="n"/>
      <c r="E17" s="35" t="n"/>
      <c r="F17" s="35" t="n"/>
      <c r="G17" s="35" t="n"/>
      <c r="H17" s="35" t="n"/>
    </row>
    <row r="18">
      <c r="A18" s="35" t="n"/>
      <c r="B18" s="35" t="n"/>
      <c r="C18" s="35" t="n"/>
      <c r="D18" s="35" t="n"/>
      <c r="E18" s="35" t="n"/>
      <c r="F18" s="35" t="n"/>
      <c r="G18" s="35" t="n"/>
      <c r="H18" s="35" t="n"/>
    </row>
    <row r="19">
      <c r="A19" s="35" t="n"/>
      <c r="B19" s="35" t="n"/>
      <c r="C19" s="35" t="n"/>
      <c r="D19" s="35" t="n"/>
      <c r="E19" s="35" t="n"/>
      <c r="F19" s="35" t="n"/>
      <c r="G19" s="35" t="n"/>
      <c r="H19" s="35" t="n"/>
    </row>
    <row r="20">
      <c r="A20" s="35" t="n"/>
      <c r="B20" s="35" t="n"/>
      <c r="C20" s="35" t="n"/>
      <c r="D20" s="35" t="n"/>
      <c r="E20" s="35" t="n"/>
      <c r="F20" s="35" t="n"/>
      <c r="G20" s="35" t="n"/>
      <c r="H20" s="35" t="n"/>
    </row>
    <row r="21">
      <c r="A21" s="35" t="n"/>
      <c r="B21" s="35" t="n"/>
      <c r="C21" s="35" t="n"/>
      <c r="D21" s="35" t="n"/>
      <c r="E21" s="35" t="n"/>
      <c r="F21" s="35" t="n"/>
      <c r="G21" s="35" t="n"/>
      <c r="H21" s="35" t="n"/>
    </row>
    <row r="22">
      <c r="A22" s="35" t="n"/>
      <c r="B22" s="35" t="n"/>
      <c r="C22" s="35" t="n"/>
      <c r="D22" s="35" t="n"/>
      <c r="E22" s="35" t="n"/>
      <c r="F22" s="35" t="n"/>
      <c r="G22" s="35" t="n"/>
      <c r="H22" s="35" t="n"/>
    </row>
    <row r="23">
      <c r="A23" s="35" t="n"/>
      <c r="B23" s="35" t="n"/>
      <c r="C23" s="35" t="n"/>
      <c r="D23" s="35" t="n"/>
      <c r="E23" s="35" t="n"/>
      <c r="F23" s="35" t="n"/>
      <c r="G23" s="35" t="n"/>
      <c r="H23" s="35" t="n"/>
    </row>
    <row r="24">
      <c r="A24" s="35" t="n"/>
      <c r="B24" s="35" t="n"/>
      <c r="C24" s="35" t="n"/>
      <c r="D24" s="35" t="n"/>
      <c r="E24" s="35" t="n"/>
      <c r="F24" s="35" t="n"/>
      <c r="G24" s="35" t="n"/>
      <c r="H24" s="35" t="n"/>
    </row>
    <row r="25">
      <c r="A25" s="35" t="n"/>
      <c r="B25" s="35" t="n"/>
      <c r="C25" s="35" t="n"/>
      <c r="D25" s="35" t="n"/>
      <c r="E25" s="35" t="n"/>
      <c r="F25" s="35" t="n"/>
      <c r="G25" s="35" t="n"/>
      <c r="H25" s="35" t="n"/>
    </row>
    <row r="26">
      <c r="A26" s="35" t="n"/>
      <c r="B26" s="35" t="n"/>
      <c r="C26" s="35" t="n"/>
      <c r="D26" s="35" t="n"/>
      <c r="E26" s="35" t="n"/>
      <c r="F26" s="35" t="n"/>
      <c r="G26" s="35" t="n"/>
      <c r="H26" s="35" t="n"/>
    </row>
    <row r="27">
      <c r="A27" s="35" t="n"/>
      <c r="B27" s="35" t="n"/>
      <c r="C27" s="35" t="n"/>
      <c r="D27" s="35" t="n"/>
      <c r="E27" s="35" t="n"/>
      <c r="F27" s="35" t="n"/>
      <c r="G27" s="35" t="n"/>
      <c r="H27" s="35" t="n"/>
    </row>
    <row r="28">
      <c r="A28" s="35" t="n"/>
      <c r="B28" s="35" t="n"/>
      <c r="C28" s="35" t="n"/>
      <c r="D28" s="35" t="n"/>
      <c r="E28" s="35" t="n"/>
      <c r="F28" s="35" t="n"/>
      <c r="G28" s="35" t="n"/>
      <c r="H28" s="35" t="n"/>
    </row>
    <row r="29">
      <c r="A29" s="35" t="n"/>
      <c r="B29" s="35" t="n"/>
      <c r="C29" s="35" t="n"/>
      <c r="D29" s="35" t="n"/>
      <c r="E29" s="35" t="n"/>
      <c r="F29" s="35" t="n"/>
      <c r="G29" s="35" t="n"/>
      <c r="H29" s="35" t="n"/>
    </row>
    <row r="30">
      <c r="A30" s="35" t="n"/>
      <c r="B30" s="35" t="n"/>
      <c r="C30" s="35" t="n"/>
      <c r="D30" s="35" t="n"/>
      <c r="E30" s="35" t="n"/>
      <c r="F30" s="35" t="n"/>
      <c r="G30" s="35" t="n"/>
      <c r="H30" s="35" t="n"/>
    </row>
    <row r="31">
      <c r="A31" s="35" t="n"/>
      <c r="B31" s="35" t="n"/>
      <c r="C31" s="35" t="n"/>
      <c r="D31" s="35" t="n"/>
      <c r="E31" s="35" t="n"/>
      <c r="F31" s="35" t="n"/>
      <c r="G31" s="35" t="n"/>
      <c r="H31" s="35" t="n"/>
    </row>
    <row r="32">
      <c r="A32" s="35" t="n"/>
      <c r="B32" s="35" t="n"/>
      <c r="C32" s="35" t="n"/>
      <c r="D32" s="35" t="n"/>
      <c r="E32" s="35" t="n"/>
      <c r="F32" s="35" t="n"/>
      <c r="G32" s="35" t="n"/>
      <c r="H32" s="35" t="n"/>
    </row>
    <row r="33">
      <c r="A33" s="35" t="n"/>
      <c r="B33" s="35" t="n"/>
      <c r="C33" s="35" t="n"/>
      <c r="D33" s="35" t="n"/>
      <c r="E33" s="35" t="n"/>
      <c r="F33" s="35" t="n"/>
      <c r="G33" s="35" t="n"/>
      <c r="H33" s="35" t="n"/>
    </row>
    <row r="34">
      <c r="A34" s="35" t="n"/>
      <c r="B34" s="35" t="n"/>
      <c r="C34" s="35" t="n"/>
      <c r="D34" s="35" t="n"/>
      <c r="E34" s="35" t="n"/>
      <c r="F34" s="35" t="n"/>
      <c r="G34" s="35" t="n"/>
      <c r="H34" s="35" t="n"/>
    </row>
    <row r="35">
      <c r="A35" s="35" t="n"/>
      <c r="B35" s="35" t="n"/>
      <c r="C35" s="35" t="n"/>
      <c r="D35" s="35" t="n"/>
      <c r="E35" s="35" t="n"/>
      <c r="F35" s="35" t="n"/>
      <c r="G35" s="35" t="n"/>
      <c r="H35" s="35" t="n"/>
    </row>
    <row r="36">
      <c r="A36" s="35" t="n"/>
      <c r="B36" s="35" t="n"/>
      <c r="C36" s="35" t="n"/>
      <c r="D36" s="35" t="n"/>
      <c r="E36" s="35" t="n"/>
      <c r="F36" s="35" t="n"/>
      <c r="G36" s="35" t="n"/>
      <c r="H36" s="35" t="n"/>
    </row>
    <row r="37">
      <c r="A37" s="35" t="n"/>
      <c r="B37" s="35" t="n"/>
      <c r="C37" s="35" t="n"/>
      <c r="D37" s="35" t="n"/>
      <c r="E37" s="35" t="n"/>
      <c r="F37" s="35" t="n"/>
      <c r="G37" s="35" t="n"/>
      <c r="H37" s="35" t="n"/>
    </row>
    <row r="38">
      <c r="A38" s="35" t="n"/>
      <c r="B38" s="35" t="n"/>
      <c r="C38" s="35" t="n"/>
      <c r="D38" s="35" t="n"/>
      <c r="E38" s="35" t="n"/>
      <c r="F38" s="35" t="n"/>
      <c r="G38" s="35" t="n"/>
      <c r="H38" s="35" t="n"/>
    </row>
    <row r="39">
      <c r="A39" s="35" t="n"/>
      <c r="B39" s="35" t="n"/>
      <c r="C39" s="35" t="n"/>
      <c r="D39" s="35" t="n"/>
      <c r="E39" s="35" t="n"/>
      <c r="F39" s="35" t="n"/>
      <c r="G39" s="35" t="n"/>
      <c r="H39" s="35" t="n"/>
    </row>
    <row r="40">
      <c r="A40" s="35" t="n"/>
      <c r="B40" s="35" t="n"/>
      <c r="C40" s="35" t="n"/>
      <c r="D40" s="35" t="n"/>
      <c r="E40" s="35" t="n"/>
      <c r="F40" s="35" t="n"/>
      <c r="G40" s="35" t="n"/>
      <c r="H40" s="35" t="n"/>
    </row>
    <row r="41">
      <c r="A41" s="35" t="n"/>
      <c r="B41" s="35" t="n"/>
      <c r="C41" s="35" t="n"/>
      <c r="D41" s="35" t="n"/>
      <c r="E41" s="35" t="n"/>
      <c r="F41" s="35" t="n"/>
      <c r="G41" s="35" t="n"/>
      <c r="H41" s="35" t="n"/>
    </row>
    <row r="42">
      <c r="A42" s="35" t="n"/>
      <c r="B42" s="35" t="n"/>
      <c r="C42" s="35" t="n"/>
      <c r="D42" s="35" t="n"/>
      <c r="E42" s="35" t="n"/>
      <c r="F42" s="35" t="n"/>
      <c r="G42" s="35" t="n"/>
      <c r="H42" s="35" t="n"/>
    </row>
    <row r="43">
      <c r="A43" s="35" t="n"/>
      <c r="B43" s="35" t="n"/>
      <c r="C43" s="35" t="n"/>
      <c r="D43" s="35" t="n"/>
      <c r="E43" s="35" t="n"/>
      <c r="F43" s="35" t="n"/>
      <c r="G43" s="35" t="n"/>
      <c r="H43" s="35" t="n"/>
    </row>
    <row r="44">
      <c r="A44" s="35" t="n"/>
      <c r="B44" s="35" t="n"/>
      <c r="C44" s="35" t="n"/>
      <c r="D44" s="35" t="n"/>
      <c r="E44" s="35" t="n"/>
      <c r="F44" s="35" t="n"/>
      <c r="G44" s="35" t="n"/>
      <c r="H44" s="35" t="n"/>
    </row>
    <row r="45">
      <c r="A45" s="35" t="n"/>
      <c r="B45" s="35" t="n"/>
      <c r="C45" s="35" t="n"/>
      <c r="D45" s="35" t="n"/>
      <c r="E45" s="35" t="n"/>
      <c r="F45" s="35" t="n"/>
      <c r="G45" s="35" t="n"/>
      <c r="H45" s="35" t="n"/>
    </row>
    <row r="46">
      <c r="A46" s="35" t="n"/>
      <c r="B46" s="35" t="n"/>
      <c r="C46" s="35" t="n"/>
      <c r="D46" s="35" t="n"/>
      <c r="E46" s="35" t="n"/>
      <c r="F46" s="35" t="n"/>
      <c r="G46" s="35" t="n"/>
      <c r="H46" s="35" t="n"/>
    </row>
    <row r="47">
      <c r="A47" s="35" t="n"/>
      <c r="B47" s="35" t="n"/>
      <c r="C47" s="35" t="n"/>
      <c r="D47" s="35" t="n"/>
      <c r="E47" s="35" t="n"/>
      <c r="F47" s="35" t="n"/>
      <c r="G47" s="35" t="n"/>
      <c r="H47" s="35" t="n"/>
    </row>
    <row r="48">
      <c r="A48" s="35" t="n"/>
      <c r="B48" s="35" t="n"/>
      <c r="C48" s="35" t="n"/>
      <c r="D48" s="35" t="n"/>
      <c r="E48" s="35" t="n"/>
      <c r="F48" s="35" t="n"/>
      <c r="G48" s="35" t="n"/>
      <c r="H48" s="35" t="n"/>
    </row>
    <row r="49">
      <c r="A49" s="35" t="n"/>
      <c r="B49" s="35" t="n"/>
      <c r="C49" s="35" t="n"/>
      <c r="D49" s="35" t="n"/>
      <c r="E49" s="35" t="n"/>
      <c r="F49" s="35" t="n"/>
      <c r="G49" s="35" t="n"/>
      <c r="H49" s="35" t="n"/>
    </row>
    <row r="50">
      <c r="A50" s="35" t="n"/>
      <c r="B50" s="35" t="n"/>
      <c r="C50" s="35" t="n"/>
      <c r="D50" s="35" t="n"/>
      <c r="E50" s="35" t="n"/>
      <c r="F50" s="35" t="n"/>
      <c r="G50" s="35" t="n"/>
      <c r="H50" s="35" t="n"/>
    </row>
    <row r="51">
      <c r="A51" s="35" t="n"/>
      <c r="B51" s="35" t="n"/>
      <c r="C51" s="35" t="n"/>
      <c r="D51" s="35" t="n"/>
      <c r="E51" s="35" t="n"/>
      <c r="F51" s="35" t="n"/>
      <c r="G51" s="35" t="n"/>
      <c r="H51" s="35" t="n"/>
    </row>
    <row r="52">
      <c r="A52" s="35" t="n"/>
      <c r="B52" s="35" t="n"/>
      <c r="C52" s="35" t="n"/>
      <c r="D52" s="35" t="n"/>
      <c r="E52" s="35" t="n"/>
      <c r="F52" s="35" t="n"/>
      <c r="G52" s="35" t="n"/>
      <c r="H52" s="35" t="n"/>
    </row>
    <row r="53">
      <c r="A53" s="35" t="n"/>
      <c r="B53" s="35" t="n"/>
      <c r="C53" s="35" t="n"/>
      <c r="D53" s="35" t="n"/>
      <c r="E53" s="35" t="n"/>
      <c r="F53" s="35" t="n"/>
      <c r="G53" s="35" t="n"/>
      <c r="H53" s="35" t="n"/>
    </row>
    <row r="54">
      <c r="A54" s="35" t="n"/>
      <c r="B54" s="35" t="n"/>
      <c r="C54" s="35" t="n"/>
      <c r="D54" s="35" t="n"/>
      <c r="E54" s="35" t="n"/>
      <c r="F54" s="35" t="n"/>
      <c r="G54" s="35" t="n"/>
      <c r="H54" s="35" t="n"/>
    </row>
    <row r="55">
      <c r="A55" s="35" t="n"/>
      <c r="B55" s="35" t="n"/>
      <c r="C55" s="35" t="n"/>
      <c r="D55" s="35" t="n"/>
      <c r="E55" s="35" t="n"/>
      <c r="F55" s="35" t="n"/>
      <c r="G55" s="35" t="n"/>
      <c r="H55" s="35" t="n"/>
    </row>
    <row r="56">
      <c r="A56" s="35" t="n"/>
      <c r="B56" s="35" t="n"/>
      <c r="C56" s="35" t="n"/>
      <c r="D56" s="35" t="n"/>
      <c r="E56" s="35" t="n"/>
      <c r="F56" s="35" t="n"/>
      <c r="G56" s="35" t="n"/>
      <c r="H56" s="35" t="n"/>
    </row>
    <row r="57">
      <c r="A57" s="35" t="n"/>
      <c r="B57" s="35" t="n"/>
      <c r="C57" s="35" t="n"/>
      <c r="D57" s="35" t="n"/>
      <c r="E57" s="35" t="n"/>
      <c r="F57" s="35" t="n"/>
      <c r="G57" s="35" t="n"/>
      <c r="H57" s="35" t="n"/>
    </row>
    <row r="58">
      <c r="A58" s="35" t="n"/>
      <c r="B58" s="35" t="n"/>
      <c r="C58" s="35" t="n"/>
      <c r="D58" s="35" t="n"/>
      <c r="E58" s="35" t="n"/>
      <c r="F58" s="35" t="n"/>
      <c r="G58" s="35" t="n"/>
      <c r="H58" s="35" t="n"/>
    </row>
    <row r="59">
      <c r="A59" s="35" t="n"/>
      <c r="B59" s="35" t="n"/>
      <c r="C59" s="35" t="n"/>
      <c r="D59" s="35" t="n"/>
      <c r="E59" s="35" t="n"/>
      <c r="F59" s="35" t="n"/>
      <c r="G59" s="35" t="n"/>
      <c r="H59" s="35" t="n"/>
    </row>
    <row r="60">
      <c r="A60" s="35" t="n"/>
      <c r="B60" s="35" t="n"/>
      <c r="C60" s="35" t="n"/>
      <c r="D60" s="35" t="n"/>
      <c r="E60" s="35" t="n"/>
      <c r="F60" s="35" t="n"/>
      <c r="G60" s="35" t="n"/>
      <c r="H60" s="35" t="n"/>
    </row>
    <row r="61">
      <c r="A61" s="35" t="n"/>
      <c r="B61" s="35" t="n"/>
      <c r="C61" s="35" t="n"/>
      <c r="D61" s="35" t="n"/>
      <c r="E61" s="35" t="n"/>
      <c r="F61" s="35" t="n"/>
      <c r="G61" s="35" t="n"/>
      <c r="H61" s="35" t="n"/>
    </row>
    <row r="62">
      <c r="A62" s="35" t="n"/>
      <c r="B62" s="35" t="n"/>
      <c r="C62" s="35" t="n"/>
      <c r="D62" s="35" t="n"/>
      <c r="E62" s="35" t="n"/>
      <c r="F62" s="35" t="n"/>
      <c r="G62" s="35" t="n"/>
      <c r="H62" s="35" t="n"/>
    </row>
    <row r="63">
      <c r="A63" s="35" t="n"/>
      <c r="B63" s="35" t="n"/>
      <c r="C63" s="35" t="n"/>
      <c r="D63" s="35" t="n"/>
      <c r="E63" s="35" t="n"/>
      <c r="F63" s="35" t="n"/>
      <c r="G63" s="35" t="n"/>
      <c r="H63" s="35" t="n"/>
    </row>
    <row r="64">
      <c r="A64" s="35" t="n"/>
      <c r="B64" s="35" t="n"/>
      <c r="C64" s="35" t="n"/>
      <c r="D64" s="35" t="n"/>
      <c r="E64" s="35" t="n"/>
      <c r="F64" s="35" t="n"/>
      <c r="G64" s="35" t="n"/>
      <c r="H64" s="35" t="n"/>
    </row>
    <row r="65">
      <c r="A65" s="35" t="n"/>
      <c r="B65" s="35" t="n"/>
      <c r="C65" s="35" t="n"/>
      <c r="D65" s="35" t="n"/>
      <c r="E65" s="35" t="n"/>
      <c r="F65" s="35" t="n"/>
      <c r="G65" s="35" t="n"/>
      <c r="H65" s="35" t="n"/>
    </row>
    <row r="66">
      <c r="A66" s="35" t="n"/>
      <c r="B66" s="35" t="n"/>
      <c r="C66" s="35" t="n"/>
      <c r="D66" s="35" t="n"/>
      <c r="E66" s="35" t="n"/>
      <c r="F66" s="35" t="n"/>
      <c r="G66" s="35" t="n"/>
      <c r="H66" s="35" t="n"/>
    </row>
    <row r="67">
      <c r="A67" s="35" t="n"/>
      <c r="B67" s="35" t="n"/>
      <c r="C67" s="35" t="n"/>
      <c r="D67" s="35" t="n"/>
      <c r="E67" s="35" t="n"/>
      <c r="F67" s="35" t="n"/>
      <c r="G67" s="35" t="n"/>
      <c r="H67" s="35" t="n"/>
    </row>
    <row r="68">
      <c r="A68" s="35" t="n"/>
      <c r="B68" s="35" t="n"/>
      <c r="C68" s="35" t="n"/>
      <c r="D68" s="35" t="n"/>
      <c r="E68" s="35" t="n"/>
      <c r="F68" s="35" t="n"/>
      <c r="G68" s="35" t="n"/>
      <c r="H68" s="35" t="n"/>
    </row>
    <row r="69">
      <c r="A69" s="35" t="n"/>
      <c r="B69" s="35" t="n"/>
      <c r="C69" s="35" t="n"/>
      <c r="D69" s="35" t="n"/>
      <c r="E69" s="35" t="n"/>
      <c r="F69" s="35" t="n"/>
      <c r="G69" s="35" t="n"/>
      <c r="H69" s="35" t="n"/>
    </row>
    <row r="70">
      <c r="A70" s="35" t="n"/>
      <c r="B70" s="35" t="n"/>
      <c r="C70" s="35" t="n"/>
      <c r="D70" s="35" t="n"/>
      <c r="E70" s="35" t="n"/>
      <c r="F70" s="35" t="n"/>
      <c r="G70" s="35" t="n"/>
      <c r="H70" s="35" t="n"/>
    </row>
    <row r="71">
      <c r="A71" s="35" t="n"/>
      <c r="B71" s="35" t="n"/>
      <c r="C71" s="35" t="n"/>
      <c r="D71" s="35" t="n"/>
      <c r="E71" s="35" t="n"/>
      <c r="F71" s="35" t="n"/>
      <c r="G71" s="35" t="n"/>
      <c r="H71" s="35" t="n"/>
    </row>
    <row r="72">
      <c r="A72" s="35" t="n"/>
      <c r="B72" s="35" t="n"/>
      <c r="C72" s="35" t="n"/>
      <c r="D72" s="35" t="n"/>
      <c r="E72" s="35" t="n"/>
      <c r="F72" s="35" t="n"/>
      <c r="G72" s="35" t="n"/>
      <c r="H72" s="35" t="n"/>
    </row>
    <row r="73">
      <c r="A73" s="35" t="n"/>
      <c r="B73" s="35" t="n"/>
      <c r="C73" s="35" t="n"/>
      <c r="D73" s="35" t="n"/>
      <c r="E73" s="35" t="n"/>
      <c r="F73" s="35" t="n"/>
      <c r="G73" s="35" t="n"/>
      <c r="H73" s="35" t="n"/>
    </row>
    <row r="74">
      <c r="A74" s="35" t="n"/>
      <c r="B74" s="35" t="n"/>
      <c r="C74" s="35" t="n"/>
      <c r="D74" s="35" t="n"/>
      <c r="E74" s="35" t="n"/>
      <c r="F74" s="35" t="n"/>
      <c r="G74" s="35" t="n"/>
      <c r="H74" s="35" t="n"/>
    </row>
    <row r="75">
      <c r="A75" s="35" t="n"/>
      <c r="B75" s="35" t="n"/>
      <c r="C75" s="35" t="n"/>
      <c r="D75" s="35" t="n"/>
      <c r="E75" s="35" t="n"/>
      <c r="F75" s="35" t="n"/>
      <c r="G75" s="35" t="n"/>
      <c r="H75" s="35" t="n"/>
    </row>
    <row r="76">
      <c r="A76" s="35" t="n"/>
      <c r="B76" s="35" t="n"/>
      <c r="C76" s="35" t="n"/>
      <c r="D76" s="35" t="n"/>
      <c r="E76" s="35" t="n"/>
      <c r="F76" s="35" t="n"/>
      <c r="G76" s="35" t="n"/>
      <c r="H76" s="35" t="n"/>
    </row>
    <row r="77">
      <c r="A77" s="35" t="n"/>
      <c r="B77" s="35" t="n"/>
      <c r="C77" s="35" t="n"/>
      <c r="D77" s="35" t="n"/>
      <c r="E77" s="35" t="n"/>
      <c r="F77" s="35" t="n"/>
      <c r="G77" s="35" t="n"/>
      <c r="H77" s="35" t="n"/>
    </row>
    <row r="78">
      <c r="A78" s="35" t="n"/>
      <c r="B78" s="35" t="n"/>
      <c r="C78" s="35" t="n"/>
      <c r="D78" s="35" t="n"/>
      <c r="E78" s="35" t="n"/>
      <c r="F78" s="35" t="n"/>
      <c r="G78" s="35" t="n"/>
      <c r="H78" s="35" t="n"/>
    </row>
    <row r="79">
      <c r="A79" s="35" t="n"/>
      <c r="B79" s="35" t="n"/>
      <c r="C79" s="35" t="n"/>
      <c r="D79" s="35" t="n"/>
      <c r="E79" s="35" t="n"/>
      <c r="F79" s="35" t="n"/>
      <c r="G79" s="35" t="n"/>
      <c r="H79" s="35" t="n"/>
    </row>
    <row r="80">
      <c r="A80" s="35" t="n"/>
      <c r="B80" s="35" t="n"/>
      <c r="C80" s="35" t="n"/>
      <c r="D80" s="35" t="n"/>
      <c r="E80" s="35" t="n"/>
      <c r="F80" s="35" t="n"/>
      <c r="G80" s="35" t="n"/>
      <c r="H80" s="35" t="n"/>
    </row>
    <row r="81">
      <c r="A81" s="35" t="n"/>
      <c r="B81" s="35" t="n"/>
      <c r="C81" s="35" t="n"/>
      <c r="D81" s="35" t="n"/>
      <c r="E81" s="35" t="n"/>
      <c r="F81" s="35" t="n"/>
      <c r="G81" s="35" t="n"/>
      <c r="H81" s="35" t="n"/>
    </row>
    <row r="82">
      <c r="A82" s="35" t="n"/>
      <c r="B82" s="35" t="n"/>
      <c r="C82" s="35" t="n"/>
      <c r="D82" s="35" t="n"/>
      <c r="E82" s="35" t="n"/>
      <c r="F82" s="35" t="n"/>
      <c r="G82" s="35" t="n"/>
      <c r="H82" s="35" t="n"/>
    </row>
    <row r="83">
      <c r="A83" s="35" t="n"/>
      <c r="B83" s="35" t="n"/>
      <c r="C83" s="35" t="n"/>
      <c r="D83" s="35" t="n"/>
      <c r="E83" s="35" t="n"/>
      <c r="F83" s="35" t="n"/>
      <c r="G83" s="35" t="n"/>
      <c r="H83" s="35" t="n"/>
    </row>
    <row r="84">
      <c r="A84" s="35" t="n"/>
      <c r="B84" s="35" t="n"/>
      <c r="C84" s="35" t="n"/>
      <c r="D84" s="35" t="n"/>
      <c r="E84" s="35" t="n"/>
      <c r="F84" s="35" t="n"/>
      <c r="G84" s="35" t="n"/>
      <c r="H84" s="35" t="n"/>
    </row>
    <row r="85">
      <c r="A85" s="35" t="n"/>
      <c r="B85" s="35" t="n"/>
      <c r="C85" s="35" t="n"/>
      <c r="D85" s="35" t="n"/>
      <c r="E85" s="35" t="n"/>
      <c r="F85" s="35" t="n"/>
      <c r="G85" s="35" t="n"/>
      <c r="H85" s="35" t="n"/>
    </row>
    <row r="86">
      <c r="A86" s="35" t="n"/>
      <c r="B86" s="35" t="n"/>
      <c r="C86" s="35" t="n"/>
      <c r="D86" s="35" t="n"/>
      <c r="E86" s="35" t="n"/>
      <c r="F86" s="35" t="n"/>
      <c r="G86" s="35" t="n"/>
      <c r="H86" s="35" t="n"/>
    </row>
    <row r="87">
      <c r="A87" s="35" t="n"/>
      <c r="B87" s="35" t="n"/>
      <c r="C87" s="35" t="n"/>
      <c r="D87" s="35" t="n"/>
      <c r="E87" s="35" t="n"/>
      <c r="F87" s="35" t="n"/>
      <c r="G87" s="35" t="n"/>
      <c r="H87" s="35" t="n"/>
    </row>
    <row r="88">
      <c r="A88" s="35" t="n"/>
      <c r="B88" s="35" t="n"/>
      <c r="C88" s="35" t="n"/>
      <c r="D88" s="35" t="n"/>
      <c r="E88" s="35" t="n"/>
      <c r="F88" s="35" t="n"/>
      <c r="G88" s="35" t="n"/>
      <c r="H88" s="35" t="n"/>
    </row>
    <row r="89">
      <c r="A89" s="35" t="n"/>
      <c r="B89" s="35" t="n"/>
      <c r="C89" s="35" t="n"/>
      <c r="D89" s="35" t="n"/>
      <c r="E89" s="35" t="n"/>
      <c r="F89" s="35" t="n"/>
      <c r="G89" s="35" t="n"/>
      <c r="H89" s="35" t="n"/>
    </row>
    <row r="90">
      <c r="A90" s="35" t="n"/>
      <c r="B90" s="35" t="n"/>
      <c r="C90" s="35" t="n"/>
      <c r="D90" s="35" t="n"/>
      <c r="E90" s="35" t="n"/>
      <c r="F90" s="35" t="n"/>
      <c r="G90" s="35" t="n"/>
      <c r="H90" s="35" t="n"/>
    </row>
    <row r="91">
      <c r="A91" s="35" t="n"/>
      <c r="B91" s="35" t="n"/>
      <c r="C91" s="35" t="n"/>
      <c r="D91" s="35" t="n"/>
      <c r="E91" s="35" t="n"/>
      <c r="F91" s="35" t="n"/>
      <c r="G91" s="35" t="n"/>
      <c r="H91" s="35" t="n"/>
    </row>
    <row r="92">
      <c r="A92" s="35" t="n"/>
      <c r="B92" s="35" t="n"/>
      <c r="C92" s="35" t="n"/>
      <c r="D92" s="35" t="n"/>
      <c r="E92" s="35" t="n"/>
      <c r="F92" s="35" t="n"/>
      <c r="G92" s="35" t="n"/>
      <c r="H92" s="35" t="n"/>
    </row>
    <row r="93">
      <c r="A93" s="35" t="n"/>
      <c r="B93" s="35" t="n"/>
      <c r="C93" s="35" t="n"/>
      <c r="D93" s="35" t="n"/>
      <c r="E93" s="35" t="n"/>
      <c r="F93" s="35" t="n"/>
      <c r="G93" s="35" t="n"/>
      <c r="H93" s="35" t="n"/>
    </row>
    <row r="94">
      <c r="A94" s="35" t="n"/>
      <c r="B94" s="35" t="n"/>
      <c r="C94" s="35" t="n"/>
      <c r="D94" s="35" t="n"/>
      <c r="E94" s="35" t="n"/>
      <c r="F94" s="35" t="n"/>
      <c r="G94" s="35" t="n"/>
      <c r="H94" s="35" t="n"/>
    </row>
    <row r="95">
      <c r="A95" s="35" t="n"/>
      <c r="B95" s="35" t="n"/>
      <c r="C95" s="35" t="n"/>
      <c r="D95" s="35" t="n"/>
      <c r="E95" s="35" t="n"/>
      <c r="F95" s="35" t="n"/>
      <c r="G95" s="35" t="n"/>
      <c r="H95" s="35" t="n"/>
    </row>
    <row r="96">
      <c r="A96" s="35" t="n"/>
      <c r="B96" s="35" t="n"/>
      <c r="C96" s="35" t="n"/>
      <c r="D96" s="35" t="n"/>
      <c r="E96" s="35" t="n"/>
      <c r="F96" s="35" t="n"/>
      <c r="G96" s="35" t="n"/>
      <c r="H96" s="35" t="n"/>
    </row>
    <row r="97">
      <c r="A97" s="35" t="n"/>
      <c r="B97" s="35" t="n"/>
      <c r="C97" s="35" t="n"/>
      <c r="D97" s="35" t="n"/>
      <c r="E97" s="35" t="n"/>
      <c r="F97" s="35" t="n"/>
      <c r="G97" s="35" t="n"/>
      <c r="H97" s="35" t="n"/>
    </row>
    <row r="98">
      <c r="A98" s="35" t="n"/>
      <c r="B98" s="35" t="n"/>
      <c r="C98" s="35" t="n"/>
      <c r="D98" s="35" t="n"/>
      <c r="E98" s="35" t="n"/>
      <c r="F98" s="35" t="n"/>
      <c r="G98" s="35" t="n"/>
      <c r="H98" s="35" t="n"/>
    </row>
    <row r="99">
      <c r="A99" s="35" t="n"/>
      <c r="B99" s="35" t="n"/>
      <c r="C99" s="35" t="n"/>
      <c r="D99" s="35" t="n"/>
      <c r="E99" s="35" t="n"/>
      <c r="F99" s="35" t="n"/>
      <c r="G99" s="35" t="n"/>
      <c r="H99" s="35" t="n"/>
    </row>
    <row r="100">
      <c r="A100" s="35" t="n"/>
      <c r="B100" s="35" t="n"/>
      <c r="C100" s="35" t="n"/>
      <c r="D100" s="35" t="n"/>
      <c r="E100" s="35" t="n"/>
      <c r="F100" s="35" t="n"/>
      <c r="G100" s="35" t="n"/>
      <c r="H100" s="35" t="n"/>
    </row>
    <row r="101">
      <c r="A101" s="35" t="n"/>
      <c r="B101" s="35" t="n"/>
      <c r="C101" s="35" t="n"/>
      <c r="D101" s="35" t="n"/>
      <c r="E101" s="35" t="n"/>
      <c r="F101" s="35" t="n"/>
      <c r="G101" s="35" t="n"/>
      <c r="H101" s="35" t="n"/>
    </row>
    <row r="102">
      <c r="A102" s="35" t="n"/>
      <c r="B102" s="35" t="n"/>
      <c r="C102" s="35" t="n"/>
      <c r="D102" s="35" t="n"/>
      <c r="E102" s="35" t="n"/>
      <c r="F102" s="35" t="n"/>
      <c r="G102" s="35" t="n"/>
      <c r="H102" s="35" t="n"/>
    </row>
    <row r="103">
      <c r="A103" s="35" t="n"/>
      <c r="B103" s="35" t="n"/>
      <c r="C103" s="35" t="n"/>
      <c r="D103" s="35" t="n"/>
      <c r="E103" s="35" t="n"/>
      <c r="F103" s="35" t="n"/>
      <c r="G103" s="35" t="n"/>
      <c r="H103" s="35" t="n"/>
    </row>
    <row r="104">
      <c r="A104" s="35" t="n"/>
      <c r="B104" s="35" t="n"/>
      <c r="C104" s="35" t="n"/>
      <c r="D104" s="35" t="n"/>
      <c r="E104" s="35" t="n"/>
      <c r="F104" s="35" t="n"/>
      <c r="G104" s="35" t="n"/>
      <c r="H104" s="35" t="n"/>
    </row>
    <row r="105">
      <c r="A105" s="35" t="n"/>
      <c r="B105" s="35" t="n"/>
      <c r="C105" s="35" t="n"/>
      <c r="D105" s="35" t="n"/>
      <c r="E105" s="35" t="n"/>
      <c r="F105" s="35" t="n"/>
      <c r="G105" s="35" t="n"/>
      <c r="H105" s="35"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1" t="inlineStr">
        <is>
          <t>ASSET DISCOVERY ASSESSMENT — SUMMARY DASHBOARD</t>
        </is>
      </c>
      <c r="B1" s="6" t="n"/>
      <c r="C1" s="6" t="n"/>
      <c r="D1" s="6" t="n"/>
      <c r="E1" s="6" t="n"/>
    </row>
    <row r="2" ht="18" customHeight="1">
      <c r="A2" s="36" t="inlineStr">
        <is>
          <t>ISO 27001:2022 · Control A.5.9 · Inventory of Information and Assets</t>
        </is>
      </c>
      <c r="B2" s="6" t="n"/>
      <c r="C2" s="6" t="n"/>
      <c r="D2" s="6" t="n"/>
      <c r="E2" s="6" t="n"/>
    </row>
    <row r="3" ht="6" customHeight="1"/>
    <row r="4">
      <c r="A4" s="37" t="inlineStr">
        <is>
          <t>TABLE 1: COMPLIANCE ASSESSMENT</t>
        </is>
      </c>
      <c r="B4" s="6" t="n"/>
      <c r="C4" s="6" t="n"/>
      <c r="D4" s="6" t="n"/>
      <c r="E4" s="6" t="n"/>
    </row>
    <row r="5">
      <c r="A5" s="38" t="inlineStr">
        <is>
          <t>Assessment Area</t>
        </is>
      </c>
      <c r="B5" s="38" t="inlineStr">
        <is>
          <t>Compliant</t>
        </is>
      </c>
      <c r="C5" s="38" t="inlineStr">
        <is>
          <t>Non-Compliant</t>
        </is>
      </c>
      <c r="D5" s="38" t="inlineStr">
        <is>
          <t>Total Items</t>
        </is>
      </c>
      <c r="E5" s="38" t="inlineStr">
        <is>
          <t>Compliance %</t>
        </is>
      </c>
    </row>
    <row r="6">
      <c r="A6" s="39" t="inlineStr">
        <is>
          <t>Information Asset Discovery Coverage</t>
        </is>
      </c>
      <c r="B6" s="40">
        <f>COUNTIF('Information Assets Discovery'!F4:F18,"✅ Compliant")</f>
        <v/>
      </c>
      <c r="C6" s="40">
        <f>D6-B6</f>
        <v/>
      </c>
      <c r="D6" s="40">
        <f>COUNTA('Information Assets Discovery'!A4:A18)</f>
        <v/>
      </c>
      <c r="E6" s="41">
        <f>IFERROR(B6/D6,0)</f>
        <v/>
      </c>
    </row>
    <row r="7">
      <c r="A7" s="39" t="inlineStr">
        <is>
          <t>IT Infrastructure Discovery Coverage</t>
        </is>
      </c>
      <c r="B7" s="40">
        <f>COUNTIF('IT Infrastructure Discovery'!F4:F19,"✅ Compliant")</f>
        <v/>
      </c>
      <c r="C7" s="40">
        <f>D7-B7</f>
        <v/>
      </c>
      <c r="D7" s="40">
        <f>COUNTA('IT Infrastructure Discovery'!A4:A19)</f>
        <v/>
      </c>
      <c r="E7" s="41">
        <f>IFERROR(B7/D7,0)</f>
        <v/>
      </c>
    </row>
    <row r="8">
      <c r="A8" s="39" t="inlineStr">
        <is>
          <t>Application Discovery Coverage</t>
        </is>
      </c>
      <c r="B8" s="40">
        <f>COUNTIF('Applications Discovery'!F4:F18,"✅ Compliant")</f>
        <v/>
      </c>
      <c r="C8" s="40">
        <f>D8-B8</f>
        <v/>
      </c>
      <c r="D8" s="40">
        <f>COUNTA('Applications Discovery'!A4:A18)</f>
        <v/>
      </c>
      <c r="E8" s="41">
        <f>IFERROR(B8/D8,0)</f>
        <v/>
      </c>
    </row>
    <row r="9">
      <c r="A9" s="39" t="inlineStr">
        <is>
          <t>Physical Assets Discovery Coverage</t>
        </is>
      </c>
      <c r="B9" s="40">
        <f>COUNTIF('Physical Assets Discovery'!F4:F15,"✅ Compliant")</f>
        <v/>
      </c>
      <c r="C9" s="40">
        <f>D9-B9</f>
        <v/>
      </c>
      <c r="D9" s="40">
        <f>COUNTA('Physical Assets Discovery'!A4:A15)</f>
        <v/>
      </c>
      <c r="E9" s="41">
        <f>IFERROR(B9/D9,0)</f>
        <v/>
      </c>
    </row>
    <row r="10">
      <c r="A10" s="39" t="inlineStr">
        <is>
          <t>Personnel Assets Discovery Coverage</t>
        </is>
      </c>
      <c r="B10" s="40">
        <f>COUNTIF('Personnel Assets Discovery'!F4:F18,"✅ Compliant")</f>
        <v/>
      </c>
      <c r="C10" s="40">
        <f>D10-B10</f>
        <v/>
      </c>
      <c r="D10" s="40">
        <f>COUNTA('Personnel Assets Discovery'!A4:A18)</f>
        <v/>
      </c>
      <c r="E10" s="41">
        <f>IFERROR(B10/D10,0)</f>
        <v/>
      </c>
    </row>
    <row r="11">
      <c r="A11" s="42" t="inlineStr">
        <is>
          <t>TOTAL</t>
        </is>
      </c>
      <c r="B11" s="43">
        <f>SUM(B6:B10)</f>
        <v/>
      </c>
      <c r="C11" s="43">
        <f>SUM(C6:C10)</f>
        <v/>
      </c>
      <c r="D11" s="43">
        <f>SUM(D6:D10)</f>
        <v/>
      </c>
      <c r="E11" s="44">
        <f>IFERROR(B11/D11,0)</f>
        <v/>
      </c>
    </row>
    <row r="12" ht="6" customHeight="1"/>
    <row r="13">
      <c r="A13" s="37" t="inlineStr">
        <is>
          <t>TABLE 2: KEY PERFORMANCE INDICATORS</t>
        </is>
      </c>
      <c r="B13" s="6" t="n"/>
      <c r="C13" s="6" t="n"/>
      <c r="D13" s="6" t="n"/>
      <c r="E13" s="6" t="n"/>
    </row>
    <row r="14">
      <c r="A14" s="45" t="inlineStr">
        <is>
          <t>Discovery Overview</t>
        </is>
      </c>
      <c r="B14" s="6" t="n"/>
      <c r="C14" s="6" t="n"/>
      <c r="D14" s="6" t="n"/>
      <c r="E14" s="6" t="n"/>
    </row>
    <row r="15">
      <c r="A15" s="39" t="inlineStr">
        <is>
          <t>Information Assets Discovered</t>
        </is>
      </c>
      <c r="B15" s="46">
        <f>COUNTA('Information Assets Discovery'!A4:A18)</f>
        <v/>
      </c>
      <c r="C15" s="6" t="n"/>
      <c r="D15" s="6" t="n"/>
      <c r="E15" s="6" t="n"/>
    </row>
    <row r="16">
      <c r="A16" s="39" t="inlineStr">
        <is>
          <t>IT Infrastructure Discovered</t>
        </is>
      </c>
      <c r="B16" s="46">
        <f>COUNTA('IT Infrastructure Discovery'!A4:A19)</f>
        <v/>
      </c>
      <c r="C16" s="6" t="n"/>
      <c r="D16" s="6" t="n"/>
      <c r="E16" s="6" t="n"/>
    </row>
    <row r="17">
      <c r="A17" s="39" t="inlineStr">
        <is>
          <t>Applications Discovered</t>
        </is>
      </c>
      <c r="B17" s="46">
        <f>COUNTA('Applications Discovery'!A4:A18)</f>
        <v/>
      </c>
      <c r="C17" s="6" t="n"/>
      <c r="D17" s="6" t="n"/>
      <c r="E17" s="6" t="n"/>
    </row>
    <row r="18">
      <c r="A18" s="45" t="inlineStr">
        <is>
          <t>Discovery Coverage</t>
        </is>
      </c>
      <c r="B18" s="6" t="n"/>
      <c r="C18" s="6" t="n"/>
      <c r="D18" s="6" t="n"/>
      <c r="E18" s="6" t="n"/>
    </row>
    <row r="19">
      <c r="A19" s="39" t="inlineStr">
        <is>
          <t>Physical Assets Discovered</t>
        </is>
      </c>
      <c r="B19" s="46">
        <f>COUNTA('Physical Assets Discovery'!A4:A15)</f>
        <v/>
      </c>
      <c r="C19" s="6" t="n"/>
      <c r="D19" s="6" t="n"/>
      <c r="E19" s="6" t="n"/>
    </row>
    <row r="20">
      <c r="A20" s="39" t="inlineStr">
        <is>
          <t>Personnel Assets Discovered</t>
        </is>
      </c>
      <c r="B20" s="46">
        <f>COUNTA('Personnel Assets Discovery'!A4:A18)</f>
        <v/>
      </c>
      <c r="C20" s="6" t="n"/>
      <c r="D20" s="6" t="n"/>
      <c r="E20" s="6" t="n"/>
    </row>
    <row r="21">
      <c r="A21" s="39" t="inlineStr">
        <is>
          <t>Total Asset Subcategories Assessed</t>
        </is>
      </c>
      <c r="B21" s="46">
        <f>B15+B16+B17+B19+B20</f>
        <v/>
      </c>
      <c r="C21" s="6" t="n"/>
      <c r="D21" s="6" t="n"/>
      <c r="E21" s="6" t="n"/>
    </row>
    <row r="22">
      <c r="A22" s="45" t="inlineStr">
        <is>
          <t>Compliance Status</t>
        </is>
      </c>
      <c r="B22" s="6" t="n"/>
      <c r="C22" s="6" t="n"/>
      <c r="D22" s="6" t="n"/>
      <c r="E22" s="6" t="n"/>
    </row>
    <row r="23">
      <c r="A23" s="39" t="inlineStr">
        <is>
          <t>Non-Compliant Information Asset Types</t>
        </is>
      </c>
      <c r="B23" s="46">
        <f>COUNTIF('Information Assets Discovery'!F4:F18,"❌ Non-Compliant")</f>
        <v/>
      </c>
      <c r="C23" s="6" t="n"/>
      <c r="D23" s="6" t="n"/>
      <c r="E23" s="6" t="n"/>
    </row>
    <row r="24">
      <c r="A24" s="39" t="inlineStr">
        <is>
          <t>Non-Compliant IT Infrastructure Types</t>
        </is>
      </c>
      <c r="B24" s="46">
        <f>COUNTIF('IT Infrastructure Discovery'!F4:F19,"❌ Non-Compliant")</f>
        <v/>
      </c>
      <c r="C24" s="6" t="n"/>
      <c r="D24" s="6" t="n"/>
      <c r="E24" s="6" t="n"/>
    </row>
    <row r="25">
      <c r="A25" s="39" t="inlineStr">
        <is>
          <t>Non-Compliant Application Types</t>
        </is>
      </c>
      <c r="B25" s="46">
        <f>COUNTIF('Applications Discovery'!F4:F18,"❌ Non-Compliant")</f>
        <v/>
      </c>
      <c r="C25" s="6" t="n"/>
      <c r="D25" s="6" t="n"/>
      <c r="E25" s="6" t="n"/>
    </row>
    <row r="26">
      <c r="A26" s="45" t="inlineStr">
        <is>
          <t>Gaps &amp; Evidence</t>
        </is>
      </c>
      <c r="B26" s="6" t="n"/>
      <c r="C26" s="6" t="n"/>
      <c r="D26" s="6" t="n"/>
      <c r="E26" s="6" t="n"/>
    </row>
    <row r="27">
      <c r="A27" s="39" t="inlineStr">
        <is>
          <t>Non-Compliant Physical Asset Types</t>
        </is>
      </c>
      <c r="B27" s="46">
        <f>COUNTIF('Physical Assets Discovery'!F4:F15,"❌ Non-Compliant")</f>
        <v/>
      </c>
      <c r="C27" s="6" t="n"/>
      <c r="D27" s="6" t="n"/>
      <c r="E27" s="6" t="n"/>
    </row>
    <row r="28">
      <c r="A28" s="39" t="inlineStr">
        <is>
          <t>Non-Compliant Personnel Asset Types</t>
        </is>
      </c>
      <c r="B28" s="46">
        <f>COUNTIF('Personnel Assets Discovery'!F4:F18,"❌ Non-Compliant")</f>
        <v/>
      </c>
      <c r="C28" s="6" t="n"/>
      <c r="D28" s="6" t="n"/>
      <c r="E28" s="6" t="n"/>
    </row>
    <row r="29">
      <c r="A29" s="39" t="inlineStr">
        <is>
          <t>Unverified Evidence Items</t>
        </is>
      </c>
      <c r="B29" s="46">
        <f>COUNTIF('Evidence Register'!H6:H105,"Not verified")</f>
        <v/>
      </c>
      <c r="C29" s="6" t="n"/>
      <c r="D29" s="6" t="n"/>
      <c r="E29" s="6" t="n"/>
    </row>
    <row r="30" ht="6" customHeight="1"/>
    <row r="31">
      <c r="A31" s="47" t="inlineStr">
        <is>
          <t>TABLE 3: CRITICAL FINDINGS &amp; RISK INDICATORS</t>
        </is>
      </c>
      <c r="B31" s="6" t="n"/>
      <c r="C31" s="6" t="n"/>
      <c r="D31" s="6" t="n"/>
      <c r="E31" s="6" t="n"/>
    </row>
    <row r="32">
      <c r="A32" s="38" t="inlineStr">
        <is>
          <t>Critical Finding</t>
        </is>
      </c>
      <c r="B32" s="38" t="inlineStr">
        <is>
          <t>Count</t>
        </is>
      </c>
      <c r="C32" s="38" t="inlineStr">
        <is>
          <t>Severity</t>
        </is>
      </c>
      <c r="D32" s="38" t="inlineStr">
        <is>
          <t>ISO Reference</t>
        </is>
      </c>
      <c r="E32" s="38" t="inlineStr">
        <is>
          <t>Action Required</t>
        </is>
      </c>
    </row>
    <row r="33">
      <c r="A33" s="48" t="inlineStr">
        <is>
          <t>Non-compliant information asset types</t>
        </is>
      </c>
      <c r="B33" s="49">
        <f>COUNTIF('Information Assets Discovery'!F4:F18,"❌ Non-Compliant")</f>
        <v/>
      </c>
      <c r="C33" s="49" t="inlineStr">
        <is>
          <t>CRITICAL</t>
        </is>
      </c>
      <c r="D33" s="49" t="inlineStr">
        <is>
          <t>A.5.9 §2.1</t>
        </is>
      </c>
      <c r="E33" s="48" t="inlineStr">
        <is>
          <t>Immediate — missing information assets create data blind spots and unquantified risk</t>
        </is>
      </c>
    </row>
    <row r="34">
      <c r="A34" s="48" t="inlineStr">
        <is>
          <t>Non-compliant IT infrastructure types</t>
        </is>
      </c>
      <c r="B34" s="49">
        <f>COUNTIF('IT Infrastructure Discovery'!F4:F19,"❌ Non-Compliant")</f>
        <v/>
      </c>
      <c r="C34" s="49" t="inlineStr">
        <is>
          <t>CRITICAL</t>
        </is>
      </c>
      <c r="D34" s="49" t="inlineStr">
        <is>
          <t>A.5.9 §2.2</t>
        </is>
      </c>
      <c r="E34" s="48" t="inlineStr">
        <is>
          <t>Immediate — undiscovered IT assets cannot be patched, monitored, or protected</t>
        </is>
      </c>
    </row>
    <row r="35">
      <c r="A35" s="50" t="inlineStr">
        <is>
          <t>Non-compliant application types</t>
        </is>
      </c>
      <c r="B35" s="51">
        <f>COUNTIF('Applications Discovery'!F4:F18,"❌ Non-Compliant")</f>
        <v/>
      </c>
      <c r="C35" s="51" t="inlineStr">
        <is>
          <t>HIGH</t>
        </is>
      </c>
      <c r="D35" s="51" t="inlineStr">
        <is>
          <t>A.5.9 §2.2</t>
        </is>
      </c>
      <c r="E35" s="50" t="inlineStr">
        <is>
          <t>Urgent — unknown applications may process data without appropriate controls</t>
        </is>
      </c>
    </row>
    <row r="36">
      <c r="A36" s="50" t="inlineStr">
        <is>
          <t>Non-compliant physical asset types</t>
        </is>
      </c>
      <c r="B36" s="51">
        <f>COUNTIF('Physical Assets Discovery'!F4:F15,"❌ Non-Compliant")</f>
        <v/>
      </c>
      <c r="C36" s="51" t="inlineStr">
        <is>
          <t>HIGH</t>
        </is>
      </c>
      <c r="D36" s="51" t="inlineStr">
        <is>
          <t>A.5.9 §2.2</t>
        </is>
      </c>
      <c r="E36" s="50" t="inlineStr">
        <is>
          <t>Urgent — undiscovered physical assets may contain sensitive data without protection</t>
        </is>
      </c>
    </row>
    <row r="37">
      <c r="A37" s="50" t="inlineStr">
        <is>
          <t>Non-compliant personnel asset types</t>
        </is>
      </c>
      <c r="B37" s="51">
        <f>COUNTIF('Personnel Assets Discovery'!F4:F18,"❌ Non-Compliant")</f>
        <v/>
      </c>
      <c r="C37" s="51" t="inlineStr">
        <is>
          <t>HIGH</t>
        </is>
      </c>
      <c r="D37" s="51" t="inlineStr">
        <is>
          <t>A.5.9 §2.2</t>
        </is>
      </c>
      <c r="E37" s="50" t="inlineStr">
        <is>
          <t>Urgent — unmapped personnel create succession and knowledge transfer risk</t>
        </is>
      </c>
    </row>
    <row r="38">
      <c r="A38" s="50" t="inlineStr">
        <is>
          <t>Asset subcategories at-risk of non-compliance</t>
        </is>
      </c>
      <c r="B38" s="51">
        <f>COUNTIF('Information Assets Discovery'!F4:F18,"⚠️ At Risk")+COUNTIF('IT Infrastructure Discovery'!F4:F19,"⚠️ At Risk")+COUNTIF('Applications Discovery'!F4:F18,"⚠️ At Risk")</f>
        <v/>
      </c>
      <c r="C38" s="51" t="inlineStr">
        <is>
          <t>HIGH</t>
        </is>
      </c>
      <c r="D38" s="51" t="inlineStr">
        <is>
          <t>A.5.9 §3</t>
        </is>
      </c>
      <c r="E38" s="50" t="inlineStr">
        <is>
          <t>Plan — subcategories approaching threshold require enhanced discovery activity</t>
        </is>
      </c>
    </row>
    <row r="39">
      <c r="A39" s="52" t="inlineStr">
        <is>
          <t>Open discovery gaps (non-compliant physical + personnel)</t>
        </is>
      </c>
      <c r="B39" s="53">
        <f>COUNTIF('Physical Assets Discovery'!F4:F15,"❌ Non-Compliant")+COUNTIF('Personnel Assets Discovery'!F4:F18,"❌ Non-Compliant")</f>
        <v/>
      </c>
      <c r="C39" s="53" t="inlineStr">
        <is>
          <t>MEDIUM</t>
        </is>
      </c>
      <c r="D39" s="53" t="inlineStr">
        <is>
          <t>A.5.9 §3</t>
        </is>
      </c>
      <c r="E39" s="52" t="inlineStr">
        <is>
          <t>Plan — remediation required for all non-compliant subcategories</t>
        </is>
      </c>
    </row>
    <row r="40">
      <c r="A40" s="52" t="inlineStr">
        <is>
          <t>Unverified evidence items</t>
        </is>
      </c>
      <c r="B40" s="53">
        <f>COUNTIF('Evidence Register'!H6:H105,"Not verified")</f>
        <v/>
      </c>
      <c r="C40" s="53" t="inlineStr">
        <is>
          <t>MEDIUM</t>
        </is>
      </c>
      <c r="D40" s="53" t="inlineStr">
        <is>
          <t>A.5.9 §3</t>
        </is>
      </c>
      <c r="E40" s="52" t="inlineStr">
        <is>
          <t>Plan — evidence requires verification before next audit</t>
        </is>
      </c>
    </row>
  </sheetData>
  <mergeCells count="9">
    <mergeCell ref="A4:E4"/>
    <mergeCell ref="A26:E26"/>
    <mergeCell ref="A2:E2"/>
    <mergeCell ref="A1:E1"/>
    <mergeCell ref="A13:E13"/>
    <mergeCell ref="A14:E14"/>
    <mergeCell ref="A22:E22"/>
    <mergeCell ref="A31:E31"/>
    <mergeCell ref="A18:E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4" t="inlineStr">
        <is>
          <t>ASSESSMENT APPROVAL AND SIGN-OFF</t>
        </is>
      </c>
      <c r="B1" s="6" t="n"/>
      <c r="C1" s="6" t="n"/>
      <c r="D1" s="6" t="n"/>
      <c r="E1" s="6" t="n"/>
    </row>
    <row r="2">
      <c r="A2" s="55" t="inlineStr">
        <is>
          <t>ISO/IEC 27001:2022 - Control A.5.9: Inventory of Information and Assets</t>
        </is>
      </c>
      <c r="B2" s="6" t="n"/>
      <c r="C2" s="6" t="n"/>
      <c r="D2" s="6" t="n"/>
      <c r="E2" s="6" t="n"/>
    </row>
    <row r="3">
      <c r="A3" s="56" t="inlineStr">
        <is>
          <t>ASSESSMENT SUMMARY</t>
        </is>
      </c>
      <c r="B3" s="6" t="n"/>
      <c r="C3" s="6" t="n"/>
      <c r="D3" s="6" t="n"/>
      <c r="E3" s="6" t="n"/>
    </row>
    <row r="4">
      <c r="A4" s="3" t="inlineStr">
        <is>
          <t>Document:</t>
        </is>
      </c>
      <c r="B4" s="6" t="inlineStr">
        <is>
          <t>ISMS-IMP-A.5.9.1 - Asset Discovery</t>
        </is>
      </c>
      <c r="C4" s="6" t="n"/>
      <c r="D4" s="6" t="n"/>
      <c r="E4" s="6" t="n"/>
    </row>
    <row r="5">
      <c r="A5" s="3" t="inlineStr">
        <is>
          <t>Assessment Period:</t>
        </is>
      </c>
      <c r="B5" s="17" t="inlineStr"/>
      <c r="C5" s="6" t="n"/>
      <c r="D5" s="6" t="n"/>
      <c r="E5" s="6" t="n"/>
    </row>
    <row r="6">
      <c r="A6" s="3" t="inlineStr">
        <is>
          <t>Overall Compliance Rating:</t>
        </is>
      </c>
      <c r="B6" s="57">
        <f>IFERROR(AVERAGE('Summary Dashboard'!G6:G10),"")</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56"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56"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58"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56"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ISMS-IMP-A.5.9.1 — Asset Discovery</dc:title>
  <dc:description xmlns:dc="http://purl.org/dc/elements/1.1/">ISMS Implementation Workbook — ISMS-IMP-A.5.9.1</dc:description>
  <dc:subject xmlns:dc="http://purl.org/dc/elements/1.1/">ISO/IEC 27001:2022 — Control A.5.9: Inventory of Information and Assets</dc:subject>
  <dcterms:created xmlns:dcterms="http://purl.org/dc/terms/" xmlns:xsi="http://www.w3.org/2001/XMLSchema-instance" xsi:type="dcterms:W3CDTF">2026-03-07T11:27:47Z</dcterms:created>
  <dcterms:modified xmlns:dcterms="http://purl.org/dc/terms/" xmlns:xsi="http://www.w3.org/2001/XMLSchema-instance" xsi:type="dcterms:W3CDTF">2026-03-07T11:27:47Z</dcterms:modified>
</cp:coreProperties>
</file>