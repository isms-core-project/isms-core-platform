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ventory Structure &amp; Access" sheetId="2" state="visible" r:id="rId2"/>
    <sheet xmlns:r="http://schemas.openxmlformats.org/officeDocument/2006/relationships" name="Update Triggers &amp; Workflows" sheetId="3" state="visible" r:id="rId3"/>
    <sheet xmlns:r="http://schemas.openxmlformats.org/officeDocument/2006/relationships" name="Integration Architecture" sheetId="4" state="visible" r:id="rId4"/>
    <sheet xmlns:r="http://schemas.openxmlformats.org/officeDocument/2006/relationships" name="Quality Control Processes" sheetId="5" state="visible" r:id="rId5"/>
    <sheet xmlns:r="http://schemas.openxmlformats.org/officeDocument/2006/relationships" name="Maintenance Metric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3">
    <numFmt numFmtId="164" formatCode="0&quot;%&quot;"/>
    <numFmt numFmtId="165" formatCode="0.0&quot;%&quot;"/>
    <numFmt numFmtId="166" formatCode="0.0%"/>
  </numFmts>
  <fonts count="24">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b val="1"/>
      <color rgb="00FFFFFF"/>
      <sz val="12"/>
    </font>
    <font>
      <b val="1"/>
      <color rgb="00FFFFFF"/>
    </font>
    <font>
      <b val="1"/>
    </font>
    <font>
      <i val="1"/>
      <color rgb="00003366"/>
      <sz val="10"/>
    </font>
    <font>
      <b val="1"/>
      <sz val="12"/>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F2F2F2"/>
        <bgColor rgb="00F2F2F2"/>
      </patternFill>
    </fill>
    <fill>
      <patternFill patternType="solid">
        <fgColor rgb="00FFFFCC"/>
        <bgColor rgb="00FFFFCC"/>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vertical="center"/>
    </xf>
    <xf numFmtId="0" fontId="6" fillId="8" borderId="0" pivotButton="0" quotePrefix="0" xfId="0"/>
    <xf numFmtId="0" fontId="7" fillId="2" borderId="0" applyAlignment="1" pivotButton="0" quotePrefix="0" xfId="0">
      <alignment horizontal="center" wrapText="1"/>
    </xf>
    <xf numFmtId="0" fontId="8" fillId="0" borderId="0" pivotButton="0" quotePrefix="0" xfId="0"/>
    <xf numFmtId="0" fontId="7" fillId="2" borderId="0" pivotButton="0" quotePrefix="0" xfId="0"/>
    <xf numFmtId="0" fontId="5" fillId="2" borderId="0" applyAlignment="1" pivotButton="0" quotePrefix="0" xfId="0">
      <alignment horizontal="center"/>
    </xf>
    <xf numFmtId="0" fontId="9" fillId="0" borderId="0" applyAlignment="1" pivotButton="0" quotePrefix="0" xfId="0">
      <alignment horizontal="center" vertical="center"/>
    </xf>
    <xf numFmtId="0" fontId="8" fillId="9" borderId="1" pivotButton="0" quotePrefix="0" xfId="0"/>
    <xf numFmtId="0" fontId="0" fillId="9" borderId="1" pivotButton="0" quotePrefix="0" xfId="0"/>
    <xf numFmtId="164" fontId="0" fillId="9" borderId="1" pivotButton="0" quotePrefix="0" xfId="0"/>
    <xf numFmtId="0" fontId="0" fillId="9" borderId="1" applyAlignment="1" pivotButton="0" quotePrefix="0" xfId="0">
      <alignment horizontal="center"/>
    </xf>
    <xf numFmtId="0" fontId="8" fillId="10" borderId="1" pivotButton="0" quotePrefix="0" xfId="0"/>
    <xf numFmtId="0" fontId="0" fillId="10" borderId="1" pivotButton="0" quotePrefix="0" xfId="0"/>
    <xf numFmtId="164" fontId="0" fillId="10" borderId="1" pivotButton="0" quotePrefix="0" xfId="0"/>
    <xf numFmtId="0" fontId="0" fillId="10" borderId="1" applyAlignment="1" pivotButton="0" quotePrefix="0" xfId="0">
      <alignment horizontal="center"/>
    </xf>
    <xf numFmtId="164" fontId="8" fillId="0" borderId="0" pivotButton="0" quotePrefix="0" xfId="0"/>
    <xf numFmtId="164" fontId="0" fillId="0" borderId="0" pivotButton="0" quotePrefix="0" xfId="0"/>
    <xf numFmtId="164" fontId="10" fillId="0" borderId="0" pivotButton="0" quotePrefix="0" xfId="0"/>
    <xf numFmtId="0" fontId="0" fillId="0" borderId="0" applyAlignment="1" pivotButton="0" quotePrefix="0" xfId="0">
      <alignment horizontal="center"/>
    </xf>
    <xf numFmtId="164" fontId="7" fillId="2" borderId="0" pivotButton="0" quotePrefix="0" xfId="0"/>
    <xf numFmtId="165" fontId="7" fillId="2" borderId="0" pivotButton="0" quotePrefix="0" xfId="0"/>
    <xf numFmtId="0" fontId="7" fillId="2" borderId="0" applyAlignment="1" pivotButton="0" quotePrefix="0" xfId="0">
      <alignment horizontal="center"/>
    </xf>
    <xf numFmtId="165" fontId="8" fillId="0" borderId="0" pivotButton="0" quotePrefix="0" xfId="0"/>
    <xf numFmtId="165" fontId="0" fillId="0" borderId="0" pivotButton="0" quotePrefix="0" xfId="0"/>
    <xf numFmtId="0" fontId="10" fillId="0" borderId="0" pivotButton="0" quotePrefix="0" xfId="0"/>
    <xf numFmtId="165" fontId="11" fillId="6" borderId="0" pivotButton="0" quotePrefix="0" xfId="0"/>
    <xf numFmtId="0" fontId="12" fillId="8" borderId="0" pivotButton="0" quotePrefix="0" xfId="0"/>
    <xf numFmtId="0" fontId="1" fillId="11" borderId="1" applyAlignment="1" pivotButton="0" quotePrefix="0" xfId="0">
      <alignment horizontal="center" vertical="center"/>
    </xf>
    <xf numFmtId="0" fontId="13" fillId="0" borderId="1" applyAlignment="1" pivotButton="0" quotePrefix="0" xfId="0">
      <alignment horizontal="center" vertical="center"/>
    </xf>
    <xf numFmtId="0" fontId="14" fillId="11" borderId="1" applyAlignment="1" pivotButton="0" quotePrefix="0" xfId="0">
      <alignment horizontal="center" vertical="center" wrapText="1"/>
    </xf>
    <xf numFmtId="0" fontId="15" fillId="9" borderId="1" pivotButton="0" quotePrefix="0" xfId="0"/>
    <xf numFmtId="0" fontId="0" fillId="10" borderId="1" applyAlignment="1" pivotButton="0" quotePrefix="0" xfId="0">
      <alignment vertical="center"/>
    </xf>
    <xf numFmtId="0" fontId="16" fillId="12" borderId="1" applyAlignment="1" pivotButton="0" quotePrefix="0" xfId="0">
      <alignment horizontal="left" vertical="center"/>
    </xf>
    <xf numFmtId="0" fontId="17" fillId="12" borderId="1" applyAlignment="1" pivotButton="0" quotePrefix="0" xfId="0">
      <alignment horizontal="left" vertical="center"/>
    </xf>
    <xf numFmtId="0" fontId="18" fillId="13" borderId="1" applyAlignment="1" pivotButton="0" quotePrefix="0" xfId="0">
      <alignment horizontal="center" vertical="center"/>
    </xf>
    <xf numFmtId="0" fontId="19" fillId="0" borderId="1" applyAlignment="1" pivotButton="0" quotePrefix="0" xfId="0">
      <alignment horizontal="left" vertical="center"/>
    </xf>
    <xf numFmtId="0" fontId="0" fillId="0" borderId="1" applyAlignment="1" pivotButton="0" quotePrefix="0" xfId="0">
      <alignment horizontal="center"/>
    </xf>
    <xf numFmtId="166"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6" fontId="4" fillId="13" borderId="1" applyAlignment="1" pivotButton="0" quotePrefix="0" xfId="0">
      <alignment horizontal="center" vertical="center"/>
    </xf>
    <xf numFmtId="0" fontId="18" fillId="13" borderId="1" applyAlignment="1" pivotButton="0" quotePrefix="0" xfId="0">
      <alignment horizontal="left" vertical="center"/>
    </xf>
    <xf numFmtId="0" fontId="4" fillId="0" borderId="1" applyAlignment="1" pivotButton="0" quotePrefix="0" xfId="0">
      <alignment horizontal="center"/>
    </xf>
    <xf numFmtId="0" fontId="17" fillId="14" borderId="1" applyAlignment="1" pivotButton="0" quotePrefix="0" xfId="0">
      <alignment horizontal="left" vertical="center"/>
    </xf>
    <xf numFmtId="0" fontId="20" fillId="15" borderId="1" applyAlignment="1" pivotButton="0" quotePrefix="0" xfId="0">
      <alignment horizontal="left" vertical="center" wrapText="1"/>
    </xf>
    <xf numFmtId="0" fontId="20" fillId="15" borderId="1" applyAlignment="1" pivotButton="0" quotePrefix="0" xfId="0">
      <alignment horizontal="center"/>
    </xf>
    <xf numFmtId="0" fontId="21" fillId="16" borderId="1" applyAlignment="1" pivotButton="0" quotePrefix="0" xfId="0">
      <alignment horizontal="left" vertical="center" wrapText="1"/>
    </xf>
    <xf numFmtId="0" fontId="21" fillId="16" borderId="1" applyAlignment="1" pivotButton="0" quotePrefix="0" xfId="0">
      <alignment horizontal="center"/>
    </xf>
    <xf numFmtId="0" fontId="22" fillId="17" borderId="1" applyAlignment="1" pivotButton="0" quotePrefix="0" xfId="0">
      <alignment horizontal="left" vertical="center" wrapText="1"/>
    </xf>
    <xf numFmtId="0" fontId="22" fillId="17" borderId="1" applyAlignment="1" pivotButton="0" quotePrefix="0" xfId="0">
      <alignment horizontal="center"/>
    </xf>
    <xf numFmtId="0" fontId="1" fillId="11" borderId="1" applyAlignment="1" pivotButton="0" quotePrefix="0" xfId="0">
      <alignment horizontal="center" vertical="center" wrapText="1"/>
    </xf>
    <xf numFmtId="0" fontId="23" fillId="0" borderId="1" applyAlignment="1" pivotButton="0" quotePrefix="0" xfId="0">
      <alignment horizontal="center" vertical="center"/>
    </xf>
    <xf numFmtId="0" fontId="17" fillId="12" borderId="1" pivotButton="0" quotePrefix="0" xfId="0"/>
    <xf numFmtId="166" fontId="0" fillId="0" borderId="1" pivotButton="0" quotePrefix="0" xfId="0"/>
    <xf numFmtId="0" fontId="17"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ISMS-IMP-A.5.9.2  -  Inventory Maintenance
ISO/IEC 27001:2022 - Control A.5.9: Inventory of Information and Assets</t>
        </is>
      </c>
    </row>
    <row r="3">
      <c r="A3" s="2" t="inlineStr">
        <is>
          <t>Document Information</t>
        </is>
      </c>
    </row>
    <row r="4">
      <c r="A4" s="3" t="inlineStr">
        <is>
          <t>Document ID</t>
        </is>
      </c>
      <c r="B4" t="inlineStr">
        <is>
          <t>ISMS-IMP-A.5.9.2</t>
        </is>
      </c>
    </row>
    <row r="5">
      <c r="A5" s="3" t="inlineStr">
        <is>
          <t>Workbook Title</t>
        </is>
      </c>
      <c r="B5" t="inlineStr">
        <is>
          <t>Inventory Maintenance</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Inventory Structure and Access sheet with your system architecture.</t>
        </is>
      </c>
    </row>
    <row r="14">
      <c r="A14" t="inlineStr">
        <is>
          <t>2. Complete the Update Triggers and Workflows sheet with all trigger events.</t>
        </is>
      </c>
    </row>
    <row r="15">
      <c r="A15" t="inlineStr">
        <is>
          <t>3. Complete the Integration Architecture sheet with all automated data feeds.</t>
        </is>
      </c>
    </row>
    <row r="16">
      <c r="A16" t="inlineStr">
        <is>
          <t>4. Complete the Quality Control Processes sheet with all QC procedures.</t>
        </is>
      </c>
    </row>
    <row r="17">
      <c r="A17" t="inlineStr">
        <is>
          <t>5. Review the Maintenance Metrics sheet for overall effectiveness scores.</t>
        </is>
      </c>
    </row>
    <row r="18">
      <c r="A18" t="inlineStr">
        <is>
          <t>6. Link evidence in the Evidence Register sheet.</t>
        </is>
      </c>
    </row>
    <row r="19">
      <c r="A19" t="inlineStr">
        <is>
          <t>7. Obtain approvals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40" customWidth="1" min="8" max="8"/>
    <col width="20" customWidth="1" min="9" max="9"/>
    <col width="15" customWidth="1" min="10" max="10"/>
    <col width="15" customWidth="1" min="11" max="11"/>
    <col width="30" customWidth="1" min="12" max="12"/>
  </cols>
  <sheetData>
    <row r="1" ht="35" customHeight="1">
      <c r="A1" s="11" t="inlineStr">
        <is>
          <t>INVENTORY STRUCTURE &amp; ACCESS CONTROLS</t>
        </is>
      </c>
    </row>
    <row r="3">
      <c r="A3" s="12" t="inlineStr">
        <is>
          <t>TABLE 1: INVENTORY SYSTEM ARCHITECTURE</t>
        </is>
      </c>
    </row>
    <row r="4">
      <c r="A4" s="13" t="inlineStr">
        <is>
          <t>System Component</t>
        </is>
      </c>
      <c r="B4" s="13" t="inlineStr">
        <is>
          <t>Technology/Platform</t>
        </is>
      </c>
      <c r="C4" s="13" t="inlineStr">
        <is>
          <t>Purpose</t>
        </is>
      </c>
      <c r="D4" s="13" t="inlineStr">
        <is>
          <t>Data Stored</t>
        </is>
      </c>
      <c r="E4" s="13" t="inlineStr">
        <is>
          <t>Owner</t>
        </is>
      </c>
      <c r="F4" s="13" t="inlineStr">
        <is>
          <t>Backup Frequency</t>
        </is>
      </c>
      <c r="G4" s="13" t="inlineStr">
        <is>
          <t>Availability</t>
        </is>
      </c>
      <c r="H4" s="13" t="inlineStr">
        <is>
          <t>Documentation</t>
        </is>
      </c>
      <c r="I4" s="13" t="inlineStr">
        <is>
          <t>Last Review</t>
        </is>
      </c>
      <c r="J4" s="13" t="inlineStr">
        <is>
          <t>Status</t>
        </is>
      </c>
      <c r="K4" s="13" t="inlineStr">
        <is>
          <t>Evidence ID</t>
        </is>
      </c>
      <c r="L4" s="13" t="inlineStr">
        <is>
          <t>Notes</t>
        </is>
      </c>
    </row>
    <row r="5">
      <c r="A5" s="14" t="inlineStr">
        <is>
          <t>Asset Inventory Database</t>
        </is>
      </c>
      <c r="B5" t="inlineStr">
        <is>
          <t>PostgreSQL / MySQL / SQL Server / Other</t>
        </is>
      </c>
      <c r="C5" t="inlineStr">
        <is>
          <t>Master inventory database</t>
        </is>
      </c>
    </row>
    <row r="6">
      <c r="A6" s="14" t="inlineStr">
        <is>
          <t>CMDB (Configuration Management DB)</t>
        </is>
      </c>
      <c r="B6" t="inlineStr">
        <is>
          <t>ServiceNow / BMC / Jira / Other</t>
        </is>
      </c>
      <c r="C6" t="inlineStr">
        <is>
          <t>IT infrastructure CMDB</t>
        </is>
      </c>
    </row>
    <row r="7">
      <c r="A7" s="14" t="inlineStr">
        <is>
          <t>Asset Management Tool</t>
        </is>
      </c>
      <c r="B7" t="inlineStr">
        <is>
          <t>Commercial Tool / Spreadsheet / Custom</t>
        </is>
      </c>
      <c r="C7" t="inlineStr">
        <is>
          <t>Asset tracking and management</t>
        </is>
      </c>
    </row>
    <row r="8">
      <c r="A8" s="14" t="inlineStr">
        <is>
          <t>HR System Integration</t>
        </is>
      </c>
      <c r="B8" t="inlineStr">
        <is>
          <t>Workday / SAP SuccessFactors / Other</t>
        </is>
      </c>
      <c r="C8" t="inlineStr">
        <is>
          <t>Personnel asset integration</t>
        </is>
      </c>
    </row>
    <row r="9">
      <c r="A9" s="14" t="inlineStr">
        <is>
          <t>Procurement System Integration</t>
        </is>
      </c>
      <c r="B9" t="inlineStr">
        <is>
          <t>SAP / Oracle / Coupa / Other</t>
        </is>
      </c>
      <c r="C9" t="inlineStr">
        <is>
          <t>Purchase order integration</t>
        </is>
      </c>
    </row>
    <row r="17">
      <c r="A17" s="12" t="inlineStr">
        <is>
          <t>TABLE 2: ACCESS CONTROL MATRIX</t>
        </is>
      </c>
    </row>
    <row r="18">
      <c r="A18" s="15" t="inlineStr">
        <is>
          <t>Role / User Group</t>
        </is>
      </c>
      <c r="B18" s="15" t="inlineStr">
        <is>
          <t>View Access</t>
        </is>
      </c>
      <c r="C18" s="15" t="inlineStr">
        <is>
          <t>Create Access</t>
        </is>
      </c>
      <c r="D18" s="15" t="inlineStr">
        <is>
          <t>Modify Access</t>
        </is>
      </c>
      <c r="E18" s="15" t="inlineStr">
        <is>
          <t>Delete Access</t>
        </is>
      </c>
      <c r="F18" s="15" t="inlineStr">
        <is>
          <t>Export Access</t>
        </is>
      </c>
      <c r="G18" s="15" t="inlineStr">
        <is>
          <t>Admin Access</t>
        </is>
      </c>
      <c r="H18" s="15" t="inlineStr">
        <is>
          <t>Justification</t>
        </is>
      </c>
      <c r="I18" s="15" t="inlineStr">
        <is>
          <t>Approved By</t>
        </is>
      </c>
      <c r="J18" s="15" t="inlineStr">
        <is>
          <t>Last Review</t>
        </is>
      </c>
      <c r="K18" s="15" t="inlineStr">
        <is>
          <t>Evidence ID</t>
        </is>
      </c>
      <c r="L18" s="15" t="inlineStr">
        <is>
          <t>Notes</t>
        </is>
      </c>
    </row>
    <row r="19">
      <c r="A19" s="14" t="inlineStr">
        <is>
          <t>Asset Owners</t>
        </is>
      </c>
    </row>
    <row r="20">
      <c r="A20" s="14" t="inlineStr">
        <is>
          <t>IT Operations</t>
        </is>
      </c>
    </row>
    <row r="21">
      <c r="A21" s="14" t="inlineStr">
        <is>
          <t>Security Team</t>
        </is>
      </c>
    </row>
    <row r="22">
      <c r="A22" s="14" t="inlineStr">
        <is>
          <t>Auditors (Read-Only)</t>
        </is>
      </c>
    </row>
    <row r="23">
      <c r="A23" s="14" t="inlineStr">
        <is>
          <t>Executive Management (Reports)</t>
        </is>
      </c>
    </row>
    <row r="24">
      <c r="A24" s="14" t="inlineStr">
        <is>
          <t>Procurement Team</t>
        </is>
      </c>
    </row>
    <row r="25">
      <c r="A25" s="14" t="inlineStr">
        <is>
          <t>HR Team</t>
        </is>
      </c>
    </row>
  </sheetData>
  <mergeCells count="3">
    <mergeCell ref="A3:L3"/>
    <mergeCell ref="A1:L1"/>
    <mergeCell ref="A17:L17"/>
  </mergeCells>
  <dataValidations count="1">
    <dataValidation sqref="B19:G25"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
  <sheetViews>
    <sheetView showGridLines="0" workbookViewId="0">
      <selection activeCell="A1" sqref="A1"/>
    </sheetView>
  </sheetViews>
  <sheetFormatPr baseColWidth="8" defaultRowHeight="15"/>
  <cols>
    <col width="35" customWidth="1" min="1" max="1"/>
    <col width="25" customWidth="1" min="2" max="2"/>
    <col width="20" customWidth="1" min="3" max="3"/>
    <col width="20" customWidth="1" min="4" max="4"/>
    <col width="15" customWidth="1" min="5" max="5"/>
    <col width="18" customWidth="1" min="6" max="6"/>
    <col width="16" customWidth="1" min="7" max="7"/>
    <col width="18" customWidth="1" min="8" max="8"/>
    <col width="25" customWidth="1" min="9" max="9"/>
    <col width="35" customWidth="1" min="10" max="10"/>
    <col width="15" customWidth="1" min="11" max="11"/>
    <col width="15" customWidth="1" min="12" max="12"/>
    <col width="30" customWidth="1" min="13" max="13"/>
  </cols>
  <sheetData>
    <row r="1" ht="35" customHeight="1">
      <c r="A1" s="16" t="inlineStr">
        <is>
          <t>UPDATE TRIGGERS &amp; WORKFLOWS</t>
        </is>
      </c>
    </row>
    <row r="2" ht="16" customHeight="1">
      <c r="A2" s="17" t="inlineStr">
        <is>
          <t>ISO/IEC 27001:2022 - Control A.5.9: Inventory of Information and Assets</t>
        </is>
      </c>
    </row>
    <row r="3">
      <c r="A3" s="13" t="inlineStr">
        <is>
          <t>Update Trigger Event</t>
        </is>
      </c>
      <c r="B3" s="13" t="inlineStr">
        <is>
          <t>Trigger Source</t>
        </is>
      </c>
      <c r="C3" s="13" t="inlineStr">
        <is>
          <t>Workflow Documented?</t>
        </is>
      </c>
      <c r="D3" s="13" t="inlineStr">
        <is>
          <t>Automation Level</t>
        </is>
      </c>
      <c r="E3" s="13" t="inlineStr">
        <is>
          <t>Target SLA (Days)</t>
        </is>
      </c>
      <c r="F3" s="13" t="inlineStr">
        <is>
          <t>Actual Avg Time (Days)</t>
        </is>
      </c>
      <c r="G3" s="13" t="inlineStr">
        <is>
          <t>SLA Compliance %</t>
        </is>
      </c>
      <c r="H3" s="13" t="inlineStr">
        <is>
          <t>Compliance Status</t>
        </is>
      </c>
      <c r="I3" s="13" t="inlineStr">
        <is>
          <t>Responsible Party</t>
        </is>
      </c>
      <c r="J3" s="13" t="inlineStr">
        <is>
          <t>Procedure Location</t>
        </is>
      </c>
      <c r="K3" s="13" t="inlineStr">
        <is>
          <t>Last Review</t>
        </is>
      </c>
      <c r="L3" s="13" t="inlineStr">
        <is>
          <t>Evidence ID</t>
        </is>
      </c>
      <c r="M3" s="13" t="inlineStr">
        <is>
          <t>Notes</t>
        </is>
      </c>
    </row>
    <row r="4">
      <c r="A4" s="18" t="inlineStr">
        <is>
          <t>New Asset Procurement</t>
        </is>
      </c>
      <c r="B4" s="19" t="inlineStr">
        <is>
          <t>Procurement System</t>
        </is>
      </c>
      <c r="C4" s="19" t="n"/>
      <c r="D4" s="19" t="n"/>
      <c r="E4" s="19" t="n">
        <v>5</v>
      </c>
      <c r="F4" s="19" t="n"/>
      <c r="G4" s="20">
        <f>IF(F4="","",IF(F4&lt;=E4,100,MAX(0,100-(F4-E4)/E4*100)))</f>
        <v/>
      </c>
      <c r="H4" s="21">
        <f>IF(G4="","",IF(G4&gt;=95,"✅ Compliant",IF(G4&gt;=80,"⚠️ At Risk","❌ Non-Compliant")))</f>
        <v/>
      </c>
      <c r="I4" s="19" t="n"/>
      <c r="J4" s="19" t="n"/>
      <c r="K4" s="19" t="n"/>
      <c r="L4" s="19" t="n"/>
      <c r="M4" s="19" t="n"/>
    </row>
    <row r="5">
      <c r="A5" s="22" t="inlineStr">
        <is>
          <t>Asset Deployment / Go-Live</t>
        </is>
      </c>
      <c r="B5" s="23" t="inlineStr">
        <is>
          <t>Change Management</t>
        </is>
      </c>
      <c r="C5" s="23" t="n"/>
      <c r="D5" s="23" t="n"/>
      <c r="E5" s="23" t="n">
        <v>3</v>
      </c>
      <c r="F5" s="23" t="n"/>
      <c r="G5" s="24">
        <f>IF(F5="","",IF(F5&lt;=E5,100,MAX(0,100-(F5-E5)/E5*100)))</f>
        <v/>
      </c>
      <c r="H5" s="25">
        <f>IF(G5="","",IF(G5&gt;=95,"✅ Compliant",IF(G5&gt;=80,"⚠️ At Risk","❌ Non-Compliant")))</f>
        <v/>
      </c>
      <c r="I5" s="23" t="n"/>
      <c r="J5" s="23" t="n"/>
      <c r="K5" s="23" t="n"/>
      <c r="L5" s="23" t="n"/>
      <c r="M5" s="23" t="n"/>
    </row>
    <row r="6">
      <c r="A6" s="22" t="inlineStr">
        <is>
          <t>Asset Configuration Change</t>
        </is>
      </c>
      <c r="B6" s="23" t="inlineStr">
        <is>
          <t>Change Management</t>
        </is>
      </c>
      <c r="C6" s="23" t="n"/>
      <c r="D6" s="23" t="n"/>
      <c r="E6" s="23" t="n">
        <v>3</v>
      </c>
      <c r="F6" s="23" t="n"/>
      <c r="G6" s="24">
        <f>IF(F6="","",IF(F6&lt;=E6,100,MAX(0,100-(F6-E6)/E6*100)))</f>
        <v/>
      </c>
      <c r="H6" s="25">
        <f>IF(G6="","",IF(G6&gt;=95,"✅ Compliant",IF(G6&gt;=80,"⚠️ At Risk","❌ Non-Compliant")))</f>
        <v/>
      </c>
      <c r="I6" s="23" t="n"/>
      <c r="J6" s="23" t="n"/>
      <c r="K6" s="23" t="n"/>
      <c r="L6" s="23" t="n"/>
      <c r="M6" s="23" t="n"/>
    </row>
    <row r="7">
      <c r="A7" s="22" t="inlineStr">
        <is>
          <t>Asset Relocation / Transfer</t>
        </is>
      </c>
      <c r="B7" s="23" t="inlineStr">
        <is>
          <t>Facilities / IT Ops</t>
        </is>
      </c>
      <c r="C7" s="23" t="n"/>
      <c r="D7" s="23" t="n"/>
      <c r="E7" s="23" t="n">
        <v>3</v>
      </c>
      <c r="F7" s="23" t="n"/>
      <c r="G7" s="24">
        <f>IF(F7="","",IF(F7&lt;=E7,100,MAX(0,100-(F7-E7)/E7*100)))</f>
        <v/>
      </c>
      <c r="H7" s="25">
        <f>IF(G7="","",IF(G7&gt;=95,"✅ Compliant",IF(G7&gt;=80,"⚠️ At Risk","❌ Non-Compliant")))</f>
        <v/>
      </c>
      <c r="I7" s="23" t="n"/>
      <c r="J7" s="23" t="n"/>
      <c r="K7" s="23" t="n"/>
      <c r="L7" s="23" t="n"/>
      <c r="M7" s="23" t="n"/>
    </row>
    <row r="8">
      <c r="A8" s="22" t="inlineStr">
        <is>
          <t>Asset Decommission / Disposal</t>
        </is>
      </c>
      <c r="B8" s="23" t="inlineStr">
        <is>
          <t>Change Management</t>
        </is>
      </c>
      <c r="C8" s="23" t="n"/>
      <c r="D8" s="23" t="n"/>
      <c r="E8" s="23" t="n">
        <v>2</v>
      </c>
      <c r="F8" s="23" t="n"/>
      <c r="G8" s="24">
        <f>IF(F8="","",IF(F8&lt;=E8,100,MAX(0,100-(F8-E8)/E8*100)))</f>
        <v/>
      </c>
      <c r="H8" s="25">
        <f>IF(G8="","",IF(G8&gt;=95,"✅ Compliant",IF(G8&gt;=80,"⚠️ At Risk","❌ Non-Compliant")))</f>
        <v/>
      </c>
      <c r="I8" s="23" t="n"/>
      <c r="J8" s="23" t="n"/>
      <c r="K8" s="23" t="n"/>
      <c r="L8" s="23" t="n"/>
      <c r="M8" s="23" t="n"/>
    </row>
    <row r="9">
      <c r="A9" s="22" t="inlineStr">
        <is>
          <t>Personnel Onboarding (Joiner)</t>
        </is>
      </c>
      <c r="B9" s="23" t="inlineStr">
        <is>
          <t>HR System</t>
        </is>
      </c>
      <c r="C9" s="23" t="n"/>
      <c r="D9" s="23" t="n"/>
      <c r="E9" s="23" t="n">
        <v>1</v>
      </c>
      <c r="F9" s="23" t="n"/>
      <c r="G9" s="24">
        <f>IF(F9="","",IF(F9&lt;=E9,100,MAX(0,100-(F9-E9)/E9*100)))</f>
        <v/>
      </c>
      <c r="H9" s="25">
        <f>IF(G9="","",IF(G9&gt;=95,"✅ Compliant",IF(G9&gt;=80,"⚠️ At Risk","❌ Non-Compliant")))</f>
        <v/>
      </c>
      <c r="I9" s="23" t="n"/>
      <c r="J9" s="23" t="n"/>
      <c r="K9" s="23" t="n"/>
      <c r="L9" s="23" t="n"/>
      <c r="M9" s="23" t="n"/>
    </row>
    <row r="10">
      <c r="A10" s="22" t="inlineStr">
        <is>
          <t>Personnel Offboarding (Leaver)</t>
        </is>
      </c>
      <c r="B10" s="23" t="inlineStr">
        <is>
          <t>HR System</t>
        </is>
      </c>
      <c r="C10" s="23" t="n"/>
      <c r="D10" s="23" t="n"/>
      <c r="E10" s="23" t="n">
        <v>1</v>
      </c>
      <c r="F10" s="23" t="n"/>
      <c r="G10" s="24">
        <f>IF(F10="","",IF(F10&lt;=E10,100,MAX(0,100-(F10-E10)/E10*100)))</f>
        <v/>
      </c>
      <c r="H10" s="25">
        <f>IF(G10="","",IF(G10&gt;=95,"✅ Compliant",IF(G10&gt;=80,"⚠️ At Risk","❌ Non-Compliant")))</f>
        <v/>
      </c>
      <c r="I10" s="23" t="n"/>
      <c r="J10" s="23" t="n"/>
      <c r="K10" s="23" t="n"/>
      <c r="L10" s="23" t="n"/>
      <c r="M10" s="23" t="n"/>
    </row>
    <row r="11">
      <c r="A11" s="22" t="inlineStr">
        <is>
          <t>Personnel Role Change</t>
        </is>
      </c>
      <c r="B11" s="23" t="inlineStr">
        <is>
          <t>HR System</t>
        </is>
      </c>
      <c r="C11" s="23" t="n"/>
      <c r="D11" s="23" t="n"/>
      <c r="E11" s="23" t="n">
        <v>2</v>
      </c>
      <c r="F11" s="23" t="n"/>
      <c r="G11" s="24">
        <f>IF(F11="","",IF(F11&lt;=E11,100,MAX(0,100-(F11-E11)/E11*100)))</f>
        <v/>
      </c>
      <c r="H11" s="25">
        <f>IF(G11="","",IF(G11&gt;=95,"✅ Compliant",IF(G11&gt;=80,"⚠️ At Risk","❌ Non-Compliant")))</f>
        <v/>
      </c>
      <c r="I11" s="23" t="n"/>
      <c r="J11" s="23" t="n"/>
      <c r="K11" s="23" t="n"/>
      <c r="L11" s="23" t="n"/>
      <c r="M11" s="23" t="n"/>
    </row>
    <row r="12">
      <c r="A12" s="22" t="inlineStr">
        <is>
          <t>Ownership Transfer</t>
        </is>
      </c>
      <c r="B12" s="23" t="inlineStr">
        <is>
          <t>Asset Owner / Security</t>
        </is>
      </c>
      <c r="C12" s="23" t="n"/>
      <c r="D12" s="23" t="n"/>
      <c r="E12" s="23" t="n">
        <v>3</v>
      </c>
      <c r="F12" s="23" t="n"/>
      <c r="G12" s="24">
        <f>IF(F12="","",IF(F12&lt;=E12,100,MAX(0,100-(F12-E12)/E12*100)))</f>
        <v/>
      </c>
      <c r="H12" s="25">
        <f>IF(G12="","",IF(G12&gt;=95,"✅ Compliant",IF(G12&gt;=80,"⚠️ At Risk","❌ Non-Compliant")))</f>
        <v/>
      </c>
      <c r="I12" s="23" t="n"/>
      <c r="J12" s="23" t="n"/>
      <c r="K12" s="23" t="n"/>
      <c r="L12" s="23" t="n"/>
      <c r="M12" s="23" t="n"/>
    </row>
    <row r="13">
      <c r="A13" s="22" t="inlineStr">
        <is>
          <t>Security Incident (Asset Affected)</t>
        </is>
      </c>
      <c r="B13" s="23" t="inlineStr">
        <is>
          <t>Security Team</t>
        </is>
      </c>
      <c r="C13" s="23" t="n"/>
      <c r="D13" s="23" t="n"/>
      <c r="E13" s="23" t="n">
        <v>1</v>
      </c>
      <c r="F13" s="23" t="n"/>
      <c r="G13" s="24">
        <f>IF(F13="","",IF(F13&lt;=E13,100,MAX(0,100-(F13-E13)/E13*100)))</f>
        <v/>
      </c>
      <c r="H13" s="25">
        <f>IF(G13="","",IF(G13&gt;=95,"✅ Compliant",IF(G13&gt;=80,"⚠️ At Risk","❌ Non-Compliant")))</f>
        <v/>
      </c>
      <c r="I13" s="23" t="n"/>
      <c r="J13" s="23" t="n"/>
      <c r="K13" s="23" t="n"/>
      <c r="L13" s="23" t="n"/>
      <c r="M13" s="23" t="n"/>
    </row>
    <row r="14">
      <c r="A14" s="22" t="inlineStr">
        <is>
          <t>Discovery Scan Finds New Asset</t>
        </is>
      </c>
      <c r="B14" s="23" t="inlineStr">
        <is>
          <t>Network Monitoring</t>
        </is>
      </c>
      <c r="C14" s="23" t="n"/>
      <c r="D14" s="23" t="n"/>
      <c r="E14" s="23" t="n">
        <v>5</v>
      </c>
      <c r="F14" s="23" t="n"/>
      <c r="G14" s="24">
        <f>IF(F14="","",IF(F14&lt;=E14,100,MAX(0,100-(F14-E14)/E14*100)))</f>
        <v/>
      </c>
      <c r="H14" s="25">
        <f>IF(G14="","",IF(G14&gt;=95,"✅ Compliant",IF(G14&gt;=80,"⚠️ At Risk","❌ Non-Compliant")))</f>
        <v/>
      </c>
      <c r="I14" s="23" t="n"/>
      <c r="J14" s="23" t="n"/>
      <c r="K14" s="23" t="n"/>
      <c r="L14" s="23" t="n"/>
      <c r="M14" s="23" t="n"/>
    </row>
    <row r="15">
      <c r="A15" s="22" t="inlineStr">
        <is>
          <t>Periodic Review Identifies Change</t>
        </is>
      </c>
      <c r="B15" s="23" t="inlineStr">
        <is>
          <t>Asset Owner</t>
        </is>
      </c>
      <c r="C15" s="23" t="n"/>
      <c r="D15" s="23" t="n"/>
      <c r="E15" s="23" t="n">
        <v>7</v>
      </c>
      <c r="F15" s="23" t="n"/>
      <c r="G15" s="24">
        <f>IF(F15="","",IF(F15&lt;=E15,100,MAX(0,100-(F15-E15)/E15*100)))</f>
        <v/>
      </c>
      <c r="H15" s="25">
        <f>IF(G15="","",IF(G15&gt;=95,"✅ Compliant",IF(G15&gt;=80,"⚠️ At Risk","❌ Non-Compliant")))</f>
        <v/>
      </c>
      <c r="I15" s="23" t="n"/>
      <c r="J15" s="23" t="n"/>
      <c r="K15" s="23" t="n"/>
      <c r="L15" s="23" t="n"/>
      <c r="M15" s="23" t="n"/>
    </row>
    <row r="18">
      <c r="A18" s="12" t="inlineStr">
        <is>
          <t>UPDATE WORKFLOW SUMMARY</t>
        </is>
      </c>
    </row>
    <row r="19">
      <c r="A19" t="inlineStr">
        <is>
          <t>Total Update Triggers</t>
        </is>
      </c>
      <c r="B19" s="14">
        <f>COUNTA(A4:A15)</f>
        <v/>
      </c>
    </row>
    <row r="20">
      <c r="A20" t="inlineStr">
        <is>
          <t>Triggers with Documented Workflow</t>
        </is>
      </c>
      <c r="B20" s="14">
        <f>COUNTIF(C4:C15,"Yes")</f>
        <v/>
      </c>
    </row>
    <row r="21">
      <c r="A21" t="inlineStr">
        <is>
          <t>Workflow Documentation %</t>
        </is>
      </c>
      <c r="B21" s="26">
        <f>IFERROR(B20/B19*100,0)</f>
        <v/>
      </c>
    </row>
    <row r="22">
      <c r="A22" t="inlineStr">
        <is>
          <t>Fully Automated Triggers</t>
        </is>
      </c>
      <c r="B22">
        <f>COUNTIF(D4:D15,"Fully Automated")</f>
        <v/>
      </c>
    </row>
    <row r="23">
      <c r="A23" t="inlineStr">
        <is>
          <t>Automation Rate %</t>
        </is>
      </c>
      <c r="B23" s="27">
        <f>IFERROR(B22/B19*100,0)</f>
        <v/>
      </c>
    </row>
    <row r="24">
      <c r="A24" t="inlineStr">
        <is>
          <t>Average SLA Compliance %</t>
        </is>
      </c>
      <c r="B24" s="28">
        <f>IFERROR(AVERAGE(G4:G15),0)</f>
        <v/>
      </c>
    </row>
  </sheetData>
  <mergeCells count="2">
    <mergeCell ref="A2:M2"/>
    <mergeCell ref="A1:M1"/>
  </mergeCells>
  <conditionalFormatting sqref="G4:G15">
    <cfRule type="cellIs" priority="1" operator="greaterThanOrEqual" dxfId="0">
      <formula>95</formula>
    </cfRule>
    <cfRule type="cellIs" priority="2" operator="between" dxfId="1">
      <formula>80</formula>
      <formula>94</formula>
    </cfRule>
    <cfRule type="cellIs" priority="3" operator="lessThan" dxfId="2">
      <formula>80</formula>
    </cfRule>
  </conditionalFormatting>
  <dataValidations count="2">
    <dataValidation sqref="C4:C15" showDropDown="0" showInputMessage="0" showErrorMessage="0" allowBlank="1" type="list">
      <formula1>"Yes,No,Partial"</formula1>
    </dataValidation>
    <dataValidation sqref="D4:D15" showDropDown="0" showInputMessage="0" showErrorMessage="0" allowBlank="1" type="list">
      <formula1>"Fully Automated,Partially Automated,Manual with Procedure,Manual (Ad-hoc),Not Defined"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0" customWidth="1" min="1" max="1"/>
    <col width="25" customWidth="1" min="2" max="2"/>
    <col width="30" customWidth="1" min="3" max="3"/>
    <col width="20" customWidth="1" min="4" max="4"/>
    <col width="15" customWidth="1" min="5" max="5"/>
    <col width="18" customWidth="1" min="6" max="6"/>
    <col width="15" customWidth="1" min="7" max="7"/>
    <col width="18" customWidth="1" min="8" max="8"/>
    <col width="20" customWidth="1" min="9" max="9"/>
    <col width="35" customWidth="1" min="10" max="10"/>
    <col width="25" customWidth="1" min="11" max="11"/>
    <col width="15" customWidth="1" min="12" max="12"/>
    <col width="30" customWidth="1" min="13" max="13"/>
  </cols>
  <sheetData>
    <row r="1">
      <c r="A1" s="16" t="inlineStr">
        <is>
          <t>INTEGRATION ARCHITECTURE</t>
        </is>
      </c>
    </row>
    <row r="2" ht="16" customHeight="1">
      <c r="A2" s="17" t="inlineStr">
        <is>
          <t>ISO/IEC 27001:2022 - Control A.5.9: Inventory of Information and Assets</t>
        </is>
      </c>
    </row>
    <row r="3">
      <c r="A3" s="15" t="inlineStr">
        <is>
          <t>Source System</t>
        </is>
      </c>
      <c r="B3" s="15" t="inlineStr">
        <is>
          <t>Integration Type</t>
        </is>
      </c>
      <c r="C3" s="15" t="inlineStr">
        <is>
          <t>Data Flow</t>
        </is>
      </c>
      <c r="D3" s="15" t="inlineStr">
        <is>
          <t>Frequency</t>
        </is>
      </c>
      <c r="E3" s="15" t="inlineStr">
        <is>
          <t>Status</t>
        </is>
      </c>
      <c r="F3" s="15" t="inlineStr">
        <is>
          <t>Last Successful Run</t>
        </is>
      </c>
      <c r="G3" s="15" t="inlineStr">
        <is>
          <t>Success Rate %</t>
        </is>
      </c>
      <c r="H3" s="15" t="inlineStr">
        <is>
          <t>Health Status</t>
        </is>
      </c>
      <c r="I3" s="15" t="inlineStr">
        <is>
          <t>Owner</t>
        </is>
      </c>
      <c r="J3" s="15" t="inlineStr">
        <is>
          <t>Documentation</t>
        </is>
      </c>
      <c r="K3" s="15" t="inlineStr">
        <is>
          <t>Monitoring</t>
        </is>
      </c>
      <c r="L3" s="15" t="inlineStr">
        <is>
          <t>Evidence ID</t>
        </is>
      </c>
      <c r="M3" s="15" t="inlineStr">
        <is>
          <t>Notes</t>
        </is>
      </c>
    </row>
    <row r="4">
      <c r="A4" s="18" t="inlineStr">
        <is>
          <t>HR System (Personnel)</t>
        </is>
      </c>
      <c r="B4" s="19" t="inlineStr">
        <is>
          <t>Scheduled Batch (Daily)</t>
        </is>
      </c>
      <c r="C4" s="19" t="inlineStr">
        <is>
          <t>Employee data → Personnel Assets</t>
        </is>
      </c>
      <c r="D4" s="19" t="inlineStr">
        <is>
          <t>Daily 02:00</t>
        </is>
      </c>
      <c r="E4" s="19" t="n"/>
      <c r="F4" s="19" t="n"/>
      <c r="G4" s="20" t="n"/>
      <c r="H4" s="21">
        <f>IF(G4="","",IF(G4&gt;=98,"✅ Healthy",IF(G4&gt;=90,"⚠️ Degraded","❌ Unhealthy")))</f>
        <v/>
      </c>
      <c r="I4" s="19" t="n"/>
      <c r="J4" s="19" t="n"/>
      <c r="K4" s="19" t="n"/>
      <c r="L4" s="19" t="n"/>
      <c r="M4" s="19" t="n"/>
    </row>
    <row r="5">
      <c r="A5" s="22" t="inlineStr">
        <is>
          <t>Procurement System</t>
        </is>
      </c>
      <c r="B5" s="23" t="inlineStr">
        <is>
          <t>Webhook / Event-driven</t>
        </is>
      </c>
      <c r="C5" s="23" t="inlineStr">
        <is>
          <t>PO Approval → New Asset Record</t>
        </is>
      </c>
      <c r="D5" s="23" t="inlineStr">
        <is>
          <t>Real-time</t>
        </is>
      </c>
      <c r="E5" s="23" t="n"/>
      <c r="F5" s="23" t="n"/>
      <c r="G5" s="24" t="n"/>
      <c r="H5" s="25">
        <f>IF(G5="","",IF(G5&gt;=98,"✅ Healthy",IF(G5&gt;=90,"⚠️ Degraded","❌ Unhealthy")))</f>
        <v/>
      </c>
      <c r="I5" s="23" t="n"/>
      <c r="J5" s="23" t="n"/>
      <c r="K5" s="23" t="n"/>
      <c r="L5" s="23" t="n"/>
      <c r="M5" s="23" t="n"/>
    </row>
    <row r="6">
      <c r="A6" s="22" t="inlineStr">
        <is>
          <t>Network Monitoring (Nmap/Nessus)</t>
        </is>
      </c>
      <c r="B6" s="23" t="inlineStr">
        <is>
          <t>Scheduled Batch (Weekly)</t>
        </is>
      </c>
      <c r="C6" s="23" t="inlineStr">
        <is>
          <t>Scan Results → IT Infrastructure</t>
        </is>
      </c>
      <c r="D6" s="23" t="inlineStr">
        <is>
          <t>Weekly Sunday</t>
        </is>
      </c>
      <c r="E6" s="23" t="n"/>
      <c r="F6" s="23" t="n"/>
      <c r="G6" s="24" t="n"/>
      <c r="H6" s="25">
        <f>IF(G6="","",IF(G6&gt;=98,"✅ Healthy",IF(G6&gt;=90,"⚠️ Degraded","❌ Unhealthy")))</f>
        <v/>
      </c>
      <c r="I6" s="23" t="n"/>
      <c r="J6" s="23" t="n"/>
      <c r="K6" s="23" t="n"/>
      <c r="L6" s="23" t="n"/>
      <c r="M6" s="23" t="n"/>
    </row>
    <row r="7">
      <c r="A7" s="22" t="inlineStr">
        <is>
          <t>CMDB / ServiceNow</t>
        </is>
      </c>
      <c r="B7" s="23" t="inlineStr">
        <is>
          <t>Real-time API</t>
        </is>
      </c>
      <c r="C7" s="23" t="inlineStr">
        <is>
          <t>CI Updates → Inventory Sync</t>
        </is>
      </c>
      <c r="D7" s="23" t="inlineStr">
        <is>
          <t>Real-time</t>
        </is>
      </c>
      <c r="E7" s="23" t="n"/>
      <c r="F7" s="23" t="n"/>
      <c r="G7" s="24" t="n"/>
      <c r="H7" s="25">
        <f>IF(G7="","",IF(G7&gt;=98,"✅ Healthy",IF(G7&gt;=90,"⚠️ Degraded","❌ Unhealthy")))</f>
        <v/>
      </c>
      <c r="I7" s="23" t="n"/>
      <c r="J7" s="23" t="n"/>
      <c r="K7" s="23" t="n"/>
      <c r="L7" s="23" t="n"/>
      <c r="M7" s="23" t="n"/>
    </row>
    <row r="8">
      <c r="A8" s="22" t="inlineStr">
        <is>
          <t>Cloud Provider APIs (AWS/Azure)</t>
        </is>
      </c>
      <c r="B8" s="23" t="inlineStr">
        <is>
          <t>Scheduled Batch (Daily)</t>
        </is>
      </c>
      <c r="C8" s="23" t="inlineStr">
        <is>
          <t>Cloud Resources → IT Infrastructure</t>
        </is>
      </c>
      <c r="D8" s="23" t="inlineStr">
        <is>
          <t>Daily 03:00</t>
        </is>
      </c>
      <c r="E8" s="23" t="n"/>
      <c r="F8" s="23" t="n"/>
      <c r="G8" s="24" t="n"/>
      <c r="H8" s="25">
        <f>IF(G8="","",IF(G8&gt;=98,"✅ Healthy",IF(G8&gt;=90,"⚠️ Degraded","❌ Unhealthy")))</f>
        <v/>
      </c>
      <c r="I8" s="23" t="n"/>
      <c r="J8" s="23" t="n"/>
      <c r="K8" s="23" t="n"/>
      <c r="L8" s="23" t="n"/>
      <c r="M8" s="23" t="n"/>
    </row>
    <row r="9">
      <c r="A9" s="22" t="inlineStr">
        <is>
          <t>Active Directory</t>
        </is>
      </c>
      <c r="B9" s="23" t="inlineStr">
        <is>
          <t>Database Replication</t>
        </is>
      </c>
      <c r="C9" s="23" t="inlineStr">
        <is>
          <t>User/Group Data → Personnel/Access</t>
        </is>
      </c>
      <c r="D9" s="23" t="inlineStr">
        <is>
          <t>Hourly</t>
        </is>
      </c>
      <c r="E9" s="23" t="n"/>
      <c r="F9" s="23" t="n"/>
      <c r="G9" s="24" t="n"/>
      <c r="H9" s="25">
        <f>IF(G9="","",IF(G9&gt;=98,"✅ Healthy",IF(G9&gt;=90,"⚠️ Degraded","❌ Unhealthy")))</f>
        <v/>
      </c>
      <c r="I9" s="23" t="n"/>
      <c r="J9" s="23" t="n"/>
      <c r="K9" s="23" t="n"/>
      <c r="L9" s="23" t="n"/>
      <c r="M9" s="23" t="n"/>
    </row>
    <row r="10">
      <c r="A10" s="22" t="inlineStr">
        <is>
          <t>Asset Management Tool</t>
        </is>
      </c>
      <c r="B10" s="23" t="inlineStr">
        <is>
          <t>Real-time API</t>
        </is>
      </c>
      <c r="C10" s="23" t="inlineStr">
        <is>
          <t>Asset Changes → Inventory Sync</t>
        </is>
      </c>
      <c r="D10" s="23" t="inlineStr">
        <is>
          <t>Real-time</t>
        </is>
      </c>
      <c r="E10" s="23" t="n"/>
      <c r="F10" s="23" t="n"/>
      <c r="G10" s="24" t="n"/>
      <c r="H10" s="25">
        <f>IF(G10="","",IF(G10&gt;=98,"✅ Healthy",IF(G10&gt;=90,"⚠️ Degraded","❌ Unhealthy")))</f>
        <v/>
      </c>
      <c r="I10" s="23" t="n"/>
      <c r="J10" s="23" t="n"/>
      <c r="K10" s="23" t="n"/>
      <c r="L10" s="23" t="n"/>
      <c r="M10" s="23" t="n"/>
    </row>
    <row r="11">
      <c r="A11" s="23" t="n"/>
      <c r="B11" s="23" t="n"/>
      <c r="C11" s="23" t="n"/>
      <c r="D11" s="23" t="n"/>
      <c r="E11" s="23" t="n"/>
      <c r="F11" s="23" t="n"/>
      <c r="G11" s="23" t="n"/>
      <c r="H11" s="23" t="n"/>
      <c r="I11" s="23" t="n"/>
      <c r="J11" s="23" t="n"/>
      <c r="K11" s="23" t="n"/>
      <c r="L11" s="23" t="n"/>
      <c r="M11" s="23" t="n"/>
    </row>
    <row r="12">
      <c r="A12" s="23" t="n"/>
      <c r="B12" s="23" t="n"/>
      <c r="C12" s="23" t="n"/>
      <c r="D12" s="23" t="n"/>
      <c r="E12" s="23" t="n"/>
      <c r="F12" s="23" t="n"/>
      <c r="G12" s="23" t="n"/>
      <c r="H12" s="23" t="n"/>
      <c r="I12" s="23" t="n"/>
      <c r="J12" s="23" t="n"/>
      <c r="K12" s="23" t="n"/>
      <c r="L12" s="23" t="n"/>
      <c r="M12" s="23" t="n"/>
    </row>
    <row r="13">
      <c r="A13" s="23" t="n"/>
      <c r="B13" s="23" t="n"/>
      <c r="C13" s="23" t="n"/>
      <c r="D13" s="23" t="n"/>
      <c r="E13" s="23" t="n"/>
      <c r="F13" s="23" t="n"/>
      <c r="G13" s="23" t="n"/>
      <c r="H13" s="23" t="n"/>
      <c r="I13" s="23" t="n"/>
      <c r="J13" s="23" t="n"/>
      <c r="K13" s="23" t="n"/>
      <c r="L13" s="23" t="n"/>
      <c r="M13" s="23" t="n"/>
    </row>
    <row r="14">
      <c r="A14" s="23" t="n"/>
      <c r="B14" s="23" t="n"/>
      <c r="C14" s="23" t="n"/>
      <c r="D14" s="23" t="n"/>
      <c r="E14" s="23" t="n"/>
      <c r="F14" s="23" t="n"/>
      <c r="G14" s="23" t="n"/>
      <c r="H14" s="23" t="n"/>
      <c r="I14" s="23" t="n"/>
      <c r="J14" s="23" t="n"/>
      <c r="K14" s="23" t="n"/>
      <c r="L14" s="23" t="n"/>
      <c r="M14" s="23" t="n"/>
    </row>
    <row r="15">
      <c r="A15" s="23" t="n"/>
      <c r="B15" s="23" t="n"/>
      <c r="C15" s="23" t="n"/>
      <c r="D15" s="23" t="n"/>
      <c r="E15" s="23" t="n"/>
      <c r="F15" s="23" t="n"/>
      <c r="G15" s="23" t="n"/>
      <c r="H15" s="23" t="n"/>
      <c r="I15" s="23" t="n"/>
      <c r="J15" s="23" t="n"/>
      <c r="K15" s="23" t="n"/>
      <c r="L15" s="23" t="n"/>
      <c r="M15" s="23" t="n"/>
    </row>
    <row r="18">
      <c r="A18" s="12" t="inlineStr">
        <is>
          <t>INTEGRATION HEALTH SUMMARY</t>
        </is>
      </c>
    </row>
    <row r="19">
      <c r="A19" t="inlineStr">
        <is>
          <t>Total Integrations</t>
        </is>
      </c>
      <c r="B19">
        <f>COUNTA(A4:A10)</f>
        <v/>
      </c>
    </row>
    <row r="20">
      <c r="A20" t="inlineStr">
        <is>
          <t>Active Integrations</t>
        </is>
      </c>
      <c r="B20">
        <f>COUNTIF(E4:E10,"Active")</f>
        <v/>
      </c>
    </row>
    <row r="21">
      <c r="A21" t="inlineStr">
        <is>
          <t>Healthy Integrations</t>
        </is>
      </c>
      <c r="B21">
        <f>COUNTIF(H4:H10,"✅ Healthy")</f>
        <v/>
      </c>
    </row>
    <row r="22">
      <c r="A22" t="inlineStr">
        <is>
          <t>Integration Health %</t>
        </is>
      </c>
      <c r="B22" s="28">
        <f>IFERROR(B21/B20*100,0)</f>
        <v/>
      </c>
    </row>
    <row r="23">
      <c r="A23" t="inlineStr">
        <is>
          <t>Average Success Rate</t>
        </is>
      </c>
      <c r="B23" s="27">
        <f>IFERROR(AVERAGE(G4:G10),0)</f>
        <v/>
      </c>
    </row>
  </sheetData>
  <mergeCells count="2">
    <mergeCell ref="A2:M2"/>
    <mergeCell ref="A1:M1"/>
  </mergeCells>
  <conditionalFormatting sqref="G4:G10">
    <cfRule type="cellIs" priority="1" operator="greaterThanOrEqual" dxfId="0">
      <formula>98</formula>
    </cfRule>
    <cfRule type="cellIs" priority="2" operator="between" dxfId="1">
      <formula>90</formula>
      <formula>97</formula>
    </cfRule>
    <cfRule type="cellIs" priority="3" operator="lessThan" dxfId="2">
      <formula>90</formula>
    </cfRule>
  </conditionalFormatting>
  <dataValidations count="2">
    <dataValidation sqref="B4:B15" showDropDown="0" showInputMessage="0" showErrorMessage="0" allowBlank="1" type="list">
      <formula1>"Real-time API,Scheduled Batch (Daily),Scheduled Batch (Weekly),Webhook / Event-driven,File Transfer (SFTP),Database Replication,Manual Import,No Integration (Manual)"</formula1>
    </dataValidation>
    <dataValidation sqref="E4:E15" showDropDown="0" showInputMessage="0" showErrorMessage="0" allowBlank="1" type="list">
      <formula1>"Active,Inactive,Planned,Deprecated,Failed"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
  <sheetViews>
    <sheetView showGridLines="0" workbookViewId="0">
      <selection activeCell="A1" sqref="A1"/>
    </sheetView>
  </sheetViews>
  <sheetFormatPr baseColWidth="8" defaultRowHeight="15"/>
  <cols>
    <col width="35" customWidth="1" min="1" max="1"/>
    <col width="20" customWidth="1" min="2" max="2"/>
    <col width="15" customWidth="1" min="3" max="3"/>
    <col width="18" customWidth="1" min="4" max="4"/>
    <col width="25" customWidth="1" min="5" max="5"/>
    <col width="25" customWidth="1" min="6" max="6"/>
    <col width="20" customWidth="1" min="7" max="7"/>
    <col width="18" customWidth="1" min="8" max="8"/>
    <col width="18" customWidth="1" min="9" max="9"/>
    <col width="15" customWidth="1" min="10" max="10"/>
    <col width="30" customWidth="1" min="11" max="11"/>
  </cols>
  <sheetData>
    <row r="1">
      <c r="A1" s="16" t="inlineStr">
        <is>
          <t>QUALITY CONTROL PROCESSES</t>
        </is>
      </c>
    </row>
    <row r="3">
      <c r="A3" s="15" t="inlineStr">
        <is>
          <t>Quality Control Process</t>
        </is>
      </c>
      <c r="B3" s="15" t="inlineStr">
        <is>
          <t>Frequency</t>
        </is>
      </c>
      <c r="C3" s="15" t="inlineStr">
        <is>
          <t>Documented?</t>
        </is>
      </c>
      <c r="D3" s="15" t="inlineStr">
        <is>
          <t>Last Performed</t>
        </is>
      </c>
      <c r="E3" s="15" t="inlineStr">
        <is>
          <t>Responsible Party</t>
        </is>
      </c>
      <c r="F3" s="15" t="inlineStr">
        <is>
          <t>Issues Found (Last Run)</t>
        </is>
      </c>
      <c r="G3" s="15" t="inlineStr">
        <is>
          <t>Issues Resolved</t>
        </is>
      </c>
      <c r="H3" s="15" t="inlineStr">
        <is>
          <t>Effectiveness %</t>
        </is>
      </c>
      <c r="I3" s="15" t="inlineStr">
        <is>
          <t>Status</t>
        </is>
      </c>
      <c r="J3" s="15" t="inlineStr">
        <is>
          <t>Evidence ID</t>
        </is>
      </c>
      <c r="K3" s="15" t="inlineStr">
        <is>
          <t>Notes</t>
        </is>
      </c>
    </row>
    <row r="4">
      <c r="A4" s="14" t="inlineStr">
        <is>
          <t>Data Validation Rules (Automated)</t>
        </is>
      </c>
      <c r="B4" t="inlineStr">
        <is>
          <t>Real-time</t>
        </is>
      </c>
      <c r="H4" s="27">
        <f>IF(OR(F4="",G4=""),"",IF(F4=0,100,G4/F4*100))</f>
        <v/>
      </c>
      <c r="I4" s="29">
        <f>IF(H4="","",IF(H4&gt;=90,"✅ Effective",IF(H4&gt;=70,"⚠️ Needs Improvement","❌ Ineffective")))</f>
        <v/>
      </c>
    </row>
    <row r="5">
      <c r="A5" s="14" t="inlineStr">
        <is>
          <t>Duplicate Detection / Deduplication</t>
        </is>
      </c>
      <c r="B5" t="inlineStr">
        <is>
          <t>Weekly</t>
        </is>
      </c>
      <c r="H5" s="27">
        <f>IF(OR(F5="",G5=""),"",IF(F5=0,100,G5/F5*100))</f>
        <v/>
      </c>
      <c r="I5" s="29">
        <f>IF(H5="","",IF(H5&gt;=90,"✅ Effective",IF(H5&gt;=70,"⚠️ Needs Improvement","❌ Ineffective")))</f>
        <v/>
      </c>
    </row>
    <row r="6">
      <c r="A6" s="14" t="inlineStr">
        <is>
          <t>Orphan Record Detection</t>
        </is>
      </c>
      <c r="B6" t="inlineStr">
        <is>
          <t>Weekly</t>
        </is>
      </c>
      <c r="H6" s="27">
        <f>IF(OR(F6="",G6=""),"",IF(F6=0,100,G6/F6*100))</f>
        <v/>
      </c>
      <c r="I6" s="29">
        <f>IF(H6="","",IF(H6&gt;=90,"✅ Effective",IF(H6&gt;=70,"⚠️ Needs Improvement","❌ Ineffective")))</f>
        <v/>
      </c>
    </row>
    <row r="7">
      <c r="A7" s="14" t="inlineStr">
        <is>
          <t>Consistency Checks (Cross-System)</t>
        </is>
      </c>
      <c r="B7" t="inlineStr">
        <is>
          <t>Monthly</t>
        </is>
      </c>
      <c r="H7" s="27">
        <f>IF(OR(F7="",G7=""),"",IF(F7=0,100,G7/F7*100))</f>
        <v/>
      </c>
      <c r="I7" s="29">
        <f>IF(H7="","",IF(H7&gt;=90,"✅ Effective",IF(H7&gt;=70,"⚠️ Needs Improvement","❌ Ineffective")))</f>
        <v/>
      </c>
    </row>
    <row r="8">
      <c r="A8" s="14" t="inlineStr">
        <is>
          <t>Completeness Checks (Mandatory Fields)</t>
        </is>
      </c>
      <c r="B8" t="inlineStr">
        <is>
          <t>Daily</t>
        </is>
      </c>
      <c r="H8" s="27">
        <f>IF(OR(F8="",G8=""),"",IF(F8=0,100,G8/F8*100))</f>
        <v/>
      </c>
      <c r="I8" s="29">
        <f>IF(H8="","",IF(H8&gt;=90,"✅ Effective",IF(H8&gt;=70,"⚠️ Needs Improvement","❌ Ineffective")))</f>
        <v/>
      </c>
    </row>
    <row r="9">
      <c r="A9" s="14" t="inlineStr">
        <is>
          <t>Ownership Verification</t>
        </is>
      </c>
      <c r="B9" t="inlineStr">
        <is>
          <t>Quarterly</t>
        </is>
      </c>
      <c r="H9" s="27">
        <f>IF(OR(F9="",G9=""),"",IF(F9=0,100,G9/F9*100))</f>
        <v/>
      </c>
      <c r="I9" s="29">
        <f>IF(H9="","",IF(H9&gt;=90,"✅ Effective",IF(H9&gt;=70,"⚠️ Needs Improvement","❌ Ineffective")))</f>
        <v/>
      </c>
    </row>
    <row r="10">
      <c r="A10" s="14" t="inlineStr">
        <is>
          <t>Stale Record Review</t>
        </is>
      </c>
      <c r="B10" t="inlineStr">
        <is>
          <t>Monthly</t>
        </is>
      </c>
      <c r="H10" s="27">
        <f>IF(OR(F10="",G10=""),"",IF(F10=0,100,G10/F10*100))</f>
        <v/>
      </c>
      <c r="I10" s="29">
        <f>IF(H10="","",IF(H10&gt;=90,"✅ Effective",IF(H10&gt;=70,"⚠️ Needs Improvement","❌ Ineffective")))</f>
        <v/>
      </c>
    </row>
    <row r="11">
      <c r="A11" s="14" t="inlineStr">
        <is>
          <t>Access Control Audit</t>
        </is>
      </c>
      <c r="B11" t="inlineStr">
        <is>
          <t>Quarterly</t>
        </is>
      </c>
      <c r="H11" s="27">
        <f>IF(OR(F11="",G11=""),"",IF(F11=0,100,G11/F11*100))</f>
        <v/>
      </c>
      <c r="I11" s="29">
        <f>IF(H11="","",IF(H11&gt;=90,"✅ Effective",IF(H11&gt;=70,"⚠️ Needs Improvement","❌ Ineffective")))</f>
        <v/>
      </c>
    </row>
    <row r="12">
      <c r="A12" s="14" t="inlineStr">
        <is>
          <t>Integration Reconciliation</t>
        </is>
      </c>
      <c r="B12" t="inlineStr">
        <is>
          <t>Weekly</t>
        </is>
      </c>
      <c r="H12" s="27">
        <f>IF(OR(F12="",G12=""),"",IF(F12=0,100,G12/F12*100))</f>
        <v/>
      </c>
      <c r="I12" s="29">
        <f>IF(H12="","",IF(H12&gt;=90,"✅ Effective",IF(H12&gt;=70,"⚠️ Needs Improvement","❌ Ineffective")))</f>
        <v/>
      </c>
    </row>
    <row r="13">
      <c r="A13" s="14" t="inlineStr">
        <is>
          <t>Periodic Full Inventory Reconciliation</t>
        </is>
      </c>
      <c r="B13" t="inlineStr">
        <is>
          <t>Annually</t>
        </is>
      </c>
      <c r="H13" s="27">
        <f>IF(OR(F13="",G13=""),"",IF(F13=0,100,G13/F13*100))</f>
        <v/>
      </c>
      <c r="I13" s="29">
        <f>IF(H13="","",IF(H13&gt;=90,"✅ Effective",IF(H13&gt;=70,"⚠️ Needs Improvement","❌ Ineffective")))</f>
        <v/>
      </c>
    </row>
    <row r="16">
      <c r="A16" s="12" t="inlineStr">
        <is>
          <t>QUALITY CONTROL SUMMARY</t>
        </is>
      </c>
    </row>
    <row r="17">
      <c r="A17" t="inlineStr">
        <is>
          <t>Total QC Processes</t>
        </is>
      </c>
      <c r="B17">
        <f>COUNTA(A4:A13)</f>
        <v/>
      </c>
    </row>
    <row r="18">
      <c r="A18" t="inlineStr">
        <is>
          <t>Documented Processes</t>
        </is>
      </c>
      <c r="B18">
        <f>COUNTIF(C4:C13,"Yes")</f>
        <v/>
      </c>
    </row>
    <row r="19">
      <c r="A19" t="inlineStr">
        <is>
          <t>Documentation Rate %</t>
        </is>
      </c>
      <c r="B19" s="27">
        <f>IFERROR(B18/B17*100,0)</f>
        <v/>
      </c>
    </row>
    <row r="20">
      <c r="A20" t="inlineStr">
        <is>
          <t>Average Effectiveness %</t>
        </is>
      </c>
      <c r="B20" s="28">
        <f>IFERROR(AVERAGE(H4:H13),0)</f>
        <v/>
      </c>
    </row>
  </sheetData>
  <mergeCells count="1">
    <mergeCell ref="A1:K1"/>
  </mergeCells>
  <conditionalFormatting sqref="H4:H13">
    <cfRule type="cellIs" priority="1" operator="greaterThanOrEqual" dxfId="0">
      <formula>90</formula>
    </cfRule>
    <cfRule type="cellIs" priority="2" operator="between" dxfId="1">
      <formula>70</formula>
      <formula>89</formula>
    </cfRule>
    <cfRule type="cellIs" priority="3" operator="lessThan" dxfId="2">
      <formula>70</formula>
    </cfRule>
  </conditionalFormatting>
  <dataValidations count="1">
    <dataValidation sqref="C4:C13" showDropDown="0" showInputMessage="0" showErrorMessage="0" allowBlank="1"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35" customWidth="1" min="1" max="1"/>
    <col width="15" customWidth="1" min="2" max="2"/>
    <col width="12" customWidth="1" min="3" max="3"/>
    <col width="12" customWidth="1" min="4" max="4"/>
    <col width="18" customWidth="1" min="5" max="5"/>
    <col width="40" customWidth="1" min="6" max="6"/>
  </cols>
  <sheetData>
    <row r="1">
      <c r="A1" s="16" t="inlineStr">
        <is>
          <t>MAINTENANCE METRICS &amp; SUMMARY</t>
        </is>
      </c>
    </row>
    <row r="3">
      <c r="A3" s="12" t="inlineStr">
        <is>
          <t>OVERALL MAINTENANCE EFFECTIVENESS</t>
        </is>
      </c>
    </row>
    <row r="4">
      <c r="A4" s="15" t="inlineStr">
        <is>
          <t>Metric</t>
        </is>
      </c>
      <c r="B4" s="30" t="inlineStr">
        <is>
          <t>Actual</t>
        </is>
      </c>
      <c r="C4" s="15" t="inlineStr">
        <is>
          <t>Target</t>
        </is>
      </c>
      <c r="D4" s="31" t="inlineStr">
        <is>
          <t>Gap</t>
        </is>
      </c>
      <c r="E4" s="32" t="inlineStr">
        <is>
          <t>Status</t>
        </is>
      </c>
      <c r="F4" s="15" t="inlineStr">
        <is>
          <t>Description</t>
        </is>
      </c>
    </row>
    <row r="5">
      <c r="A5" s="14" t="inlineStr">
        <is>
          <t>Update Workflow SLA Compliance</t>
        </is>
      </c>
      <c r="B5" s="33">
        <f>'Update Triggers &amp; Workflows'!B40</f>
        <v/>
      </c>
      <c r="C5" t="inlineStr">
        <is>
          <t>95%</t>
        </is>
      </c>
      <c r="D5" s="34">
        <f>B5-VALUE(LEFT(C5,LEN(C5)-1))/100</f>
        <v/>
      </c>
      <c r="E5" s="29">
        <f>IF(B5&gt;=VALUE(LEFT(C5,LEN(C5)-1))/100,"✅ Met",IF(B5&gt;=VALUE(LEFT(C5,LEN(C5)-1))/100-0.1,"⚠️ At Risk","❌ Not Met"))</f>
        <v/>
      </c>
      <c r="F5" t="inlineStr">
        <is>
          <t>Update timeliness</t>
        </is>
      </c>
    </row>
    <row r="6">
      <c r="A6" s="14" t="inlineStr">
        <is>
          <t>Integration Health</t>
        </is>
      </c>
      <c r="B6" s="33">
        <f>'Integration Architecture'!B21</f>
        <v/>
      </c>
      <c r="C6" t="inlineStr">
        <is>
          <t>98%</t>
        </is>
      </c>
      <c r="D6" s="34">
        <f>B6-VALUE(LEFT(C6,LEN(C6)-1))/100</f>
        <v/>
      </c>
      <c r="E6" s="29">
        <f>IF(B6&gt;=VALUE(LEFT(C6,LEN(C6)-1))/100,"✅ Met",IF(B6&gt;=VALUE(LEFT(C6,LEN(C6)-1))/100-0.1,"⚠️ At Risk","❌ Not Met"))</f>
        <v/>
      </c>
      <c r="F6" t="inlineStr">
        <is>
          <t>Automated feed reliability</t>
        </is>
      </c>
    </row>
    <row r="7">
      <c r="A7" s="14" t="inlineStr">
        <is>
          <t>Quality Control Effectiveness</t>
        </is>
      </c>
      <c r="B7" s="33">
        <f>'Quality Control Processes'!B27</f>
        <v/>
      </c>
      <c r="C7" t="inlineStr">
        <is>
          <t>90%</t>
        </is>
      </c>
      <c r="D7" s="34">
        <f>B7-VALUE(LEFT(C7,LEN(C7)-1))/100</f>
        <v/>
      </c>
      <c r="E7" s="29">
        <f>IF(B7&gt;=VALUE(LEFT(C7,LEN(C7)-1))/100,"✅ Met",IF(B7&gt;=VALUE(LEFT(C7,LEN(C7)-1))/100-0.1,"⚠️ At Risk","❌ Not Met"))</f>
        <v/>
      </c>
      <c r="F7" t="inlineStr">
        <is>
          <t>Issue remediation rate</t>
        </is>
      </c>
    </row>
    <row r="8">
      <c r="A8" t="inlineStr">
        <is>
          <t>Workflow Documentation Rate</t>
        </is>
      </c>
      <c r="B8" s="33">
        <f>'Update Triggers &amp; Workflows'!B36</f>
        <v/>
      </c>
      <c r="C8" t="inlineStr">
        <is>
          <t>100%</t>
        </is>
      </c>
      <c r="D8" s="34">
        <f>B8-VALUE(LEFT(C8,LEN(C8)-1))/100</f>
        <v/>
      </c>
      <c r="E8" s="29">
        <f>IF(B8&gt;=VALUE(LEFT(C8,LEN(C8)-1))/100,"✅ Met",IF(B8&gt;=VALUE(LEFT(C8,LEN(C8)-1))/100-0.1,"⚠️ At Risk","❌ Not Met"))</f>
        <v/>
      </c>
      <c r="F8" t="inlineStr">
        <is>
          <t>Procedure documentation</t>
        </is>
      </c>
    </row>
    <row r="11">
      <c r="A11" s="35" t="inlineStr">
        <is>
          <t>OVERALL MAINTENANCE SCORE</t>
        </is>
      </c>
      <c r="B11" s="36">
        <f>AVERAGE(B5:B8)</f>
        <v/>
      </c>
    </row>
    <row r="12">
      <c r="A12" t="inlineStr">
        <is>
          <t>Overall Target</t>
        </is>
      </c>
      <c r="B12" s="14" t="inlineStr">
        <is>
          <t>95%</t>
        </is>
      </c>
    </row>
    <row r="13">
      <c r="A13" t="inlineStr">
        <is>
          <t>Overall Gap</t>
        </is>
      </c>
      <c r="B13" s="34">
        <f>B11-0.95</f>
        <v/>
      </c>
    </row>
    <row r="16">
      <c r="A16" s="37" t="inlineStr">
        <is>
          <t>CSV EXPORT FOR DASHBOARD (Copy rows below)</t>
        </is>
      </c>
    </row>
    <row r="17">
      <c r="A17" s="14" t="inlineStr">
        <is>
          <t>Metric_Category</t>
        </is>
      </c>
      <c r="B17" s="14" t="inlineStr">
        <is>
          <t>Score_%</t>
        </is>
      </c>
      <c r="C17" s="14" t="inlineStr">
        <is>
          <t>Status</t>
        </is>
      </c>
    </row>
    <row r="18">
      <c r="A18">
        <f>A5</f>
        <v/>
      </c>
      <c r="B18">
        <f>B5</f>
        <v/>
      </c>
      <c r="C18">
        <f>E5</f>
        <v/>
      </c>
    </row>
    <row r="19">
      <c r="A19">
        <f>A6</f>
        <v/>
      </c>
      <c r="B19">
        <f>B6</f>
        <v/>
      </c>
      <c r="C19">
        <f>E6</f>
        <v/>
      </c>
    </row>
    <row r="20">
      <c r="A20">
        <f>A7</f>
        <v/>
      </c>
      <c r="B20">
        <f>B7</f>
        <v/>
      </c>
      <c r="C20">
        <f>E7</f>
        <v/>
      </c>
    </row>
    <row r="21">
      <c r="A21">
        <f>A8</f>
        <v/>
      </c>
      <c r="B21">
        <f>B8</f>
        <v/>
      </c>
      <c r="C21">
        <f>E8</f>
        <v/>
      </c>
    </row>
  </sheetData>
  <mergeCells count="2">
    <mergeCell ref="A3:H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8" t="inlineStr">
        <is>
          <t>EVIDENCE REGISTER</t>
        </is>
      </c>
    </row>
    <row r="2">
      <c r="A2" s="39" t="inlineStr">
        <is>
          <t>ISO/IEC 27001:2022 - Control A.5.9: Inventory of Information and Assets</t>
        </is>
      </c>
    </row>
    <row r="4">
      <c r="A4" s="40" t="inlineStr">
        <is>
          <t>Evidence ID</t>
        </is>
      </c>
      <c r="B4" s="40" t="inlineStr">
        <is>
          <t>Evidence Type</t>
        </is>
      </c>
      <c r="C4" s="40" t="inlineStr">
        <is>
          <t>Description</t>
        </is>
      </c>
      <c r="D4" s="40" t="inlineStr">
        <is>
          <t>Related Control / Section</t>
        </is>
      </c>
      <c r="E4" s="40" t="inlineStr">
        <is>
          <t>Collection Date (DD.MM.YYYY)</t>
        </is>
      </c>
      <c r="F4" s="40" t="inlineStr">
        <is>
          <t>Storage Location / Reference</t>
        </is>
      </c>
      <c r="G4" s="40" t="inlineStr">
        <is>
          <t>Collected By</t>
        </is>
      </c>
      <c r="H4" s="40" t="inlineStr">
        <is>
          <t>Verification Status</t>
        </is>
      </c>
    </row>
    <row r="5">
      <c r="A5" s="41" t="inlineStr">
        <is>
          <t>EV-001</t>
        </is>
      </c>
      <c r="B5" s="41" t="inlineStr">
        <is>
          <t>Document</t>
        </is>
      </c>
      <c r="C5" s="41" t="inlineStr">
        <is>
          <t>Sample evidence entry — replace with actual evidence</t>
        </is>
      </c>
      <c r="D5" s="41" t="inlineStr">
        <is>
          <t>A.5.9 All Domains</t>
        </is>
      </c>
      <c r="E5" s="41" t="inlineStr">
        <is>
          <t>01.01.2026</t>
        </is>
      </c>
      <c r="F5" s="41" t="inlineStr">
        <is>
          <t>SharePoint/ISMS/Evidence/</t>
        </is>
      </c>
      <c r="G5" s="41" t="inlineStr">
        <is>
          <t>ISMS Team</t>
        </is>
      </c>
      <c r="H5" s="41" t="inlineStr">
        <is>
          <t>Not verified</t>
        </is>
      </c>
    </row>
    <row r="6">
      <c r="A6" s="42" t="n"/>
      <c r="B6" s="42" t="n"/>
      <c r="C6" s="42" t="n"/>
      <c r="D6" s="42" t="n"/>
      <c r="E6" s="42" t="n"/>
      <c r="F6" s="42" t="n"/>
      <c r="G6" s="42" t="n"/>
      <c r="H6" s="42" t="n"/>
    </row>
    <row r="7">
      <c r="A7" s="42" t="n"/>
      <c r="B7" s="42" t="n"/>
      <c r="C7" s="42" t="n"/>
      <c r="D7" s="42" t="n"/>
      <c r="E7" s="42" t="n"/>
      <c r="F7" s="42" t="n"/>
      <c r="G7" s="42" t="n"/>
      <c r="H7" s="42" t="n"/>
    </row>
    <row r="8">
      <c r="A8" s="42" t="n"/>
      <c r="B8" s="42" t="n"/>
      <c r="C8" s="42" t="n"/>
      <c r="D8" s="42" t="n"/>
      <c r="E8" s="42" t="n"/>
      <c r="F8" s="42" t="n"/>
      <c r="G8" s="42" t="n"/>
      <c r="H8" s="42" t="n"/>
    </row>
    <row r="9">
      <c r="A9" s="42" t="n"/>
      <c r="B9" s="42" t="n"/>
      <c r="C9" s="42" t="n"/>
      <c r="D9" s="42" t="n"/>
      <c r="E9" s="42" t="n"/>
      <c r="F9" s="42" t="n"/>
      <c r="G9" s="42" t="n"/>
      <c r="H9" s="42" t="n"/>
    </row>
    <row r="10">
      <c r="A10" s="42" t="n"/>
      <c r="B10" s="42" t="n"/>
      <c r="C10" s="42" t="n"/>
      <c r="D10" s="42" t="n"/>
      <c r="E10" s="42" t="n"/>
      <c r="F10" s="42" t="n"/>
      <c r="G10" s="42" t="n"/>
      <c r="H10" s="42" t="n"/>
    </row>
    <row r="11">
      <c r="A11" s="42" t="n"/>
      <c r="B11" s="42" t="n"/>
      <c r="C11" s="42" t="n"/>
      <c r="D11" s="42" t="n"/>
      <c r="E11" s="42" t="n"/>
      <c r="F11" s="42" t="n"/>
      <c r="G11" s="42" t="n"/>
      <c r="H11" s="42" t="n"/>
    </row>
    <row r="12">
      <c r="A12" s="42" t="n"/>
      <c r="B12" s="42" t="n"/>
      <c r="C12" s="42" t="n"/>
      <c r="D12" s="42" t="n"/>
      <c r="E12" s="42" t="n"/>
      <c r="F12" s="42" t="n"/>
      <c r="G12" s="42" t="n"/>
      <c r="H12" s="42" t="n"/>
    </row>
    <row r="13">
      <c r="A13" s="42" t="n"/>
      <c r="B13" s="42" t="n"/>
      <c r="C13" s="42" t="n"/>
      <c r="D13" s="42" t="n"/>
      <c r="E13" s="42" t="n"/>
      <c r="F13" s="42" t="n"/>
      <c r="G13" s="42" t="n"/>
      <c r="H13" s="42" t="n"/>
    </row>
    <row r="14">
      <c r="A14" s="42" t="n"/>
      <c r="B14" s="42" t="n"/>
      <c r="C14" s="42" t="n"/>
      <c r="D14" s="42" t="n"/>
      <c r="E14" s="42" t="n"/>
      <c r="F14" s="42" t="n"/>
      <c r="G14" s="42" t="n"/>
      <c r="H14" s="42" t="n"/>
    </row>
    <row r="15">
      <c r="A15" s="42" t="n"/>
      <c r="B15" s="42" t="n"/>
      <c r="C15" s="42" t="n"/>
      <c r="D15" s="42" t="n"/>
      <c r="E15" s="42" t="n"/>
      <c r="F15" s="42" t="n"/>
      <c r="G15" s="42" t="n"/>
      <c r="H15" s="42" t="n"/>
    </row>
    <row r="16">
      <c r="A16" s="42" t="n"/>
      <c r="B16" s="42" t="n"/>
      <c r="C16" s="42" t="n"/>
      <c r="D16" s="42" t="n"/>
      <c r="E16" s="42" t="n"/>
      <c r="F16" s="42" t="n"/>
      <c r="G16" s="42" t="n"/>
      <c r="H16" s="42" t="n"/>
    </row>
    <row r="17">
      <c r="A17" s="42" t="n"/>
      <c r="B17" s="42" t="n"/>
      <c r="C17" s="42" t="n"/>
      <c r="D17" s="42" t="n"/>
      <c r="E17" s="42" t="n"/>
      <c r="F17" s="42" t="n"/>
      <c r="G17" s="42" t="n"/>
      <c r="H17" s="42" t="n"/>
    </row>
    <row r="18">
      <c r="A18" s="42" t="n"/>
      <c r="B18" s="42" t="n"/>
      <c r="C18" s="42" t="n"/>
      <c r="D18" s="42" t="n"/>
      <c r="E18" s="42" t="n"/>
      <c r="F18" s="42" t="n"/>
      <c r="G18" s="42" t="n"/>
      <c r="H18" s="42" t="n"/>
    </row>
    <row r="19">
      <c r="A19" s="42" t="n"/>
      <c r="B19" s="42" t="n"/>
      <c r="C19" s="42" t="n"/>
      <c r="D19" s="42" t="n"/>
      <c r="E19" s="42" t="n"/>
      <c r="F19" s="42" t="n"/>
      <c r="G19" s="42" t="n"/>
      <c r="H19" s="42" t="n"/>
    </row>
    <row r="20">
      <c r="A20" s="42" t="n"/>
      <c r="B20" s="42" t="n"/>
      <c r="C20" s="42" t="n"/>
      <c r="D20" s="42" t="n"/>
      <c r="E20" s="42" t="n"/>
      <c r="F20" s="42" t="n"/>
      <c r="G20" s="42" t="n"/>
      <c r="H20" s="42" t="n"/>
    </row>
    <row r="21">
      <c r="A21" s="42" t="n"/>
      <c r="B21" s="42" t="n"/>
      <c r="C21" s="42" t="n"/>
      <c r="D21" s="42" t="n"/>
      <c r="E21" s="42" t="n"/>
      <c r="F21" s="42" t="n"/>
      <c r="G21" s="42" t="n"/>
      <c r="H21" s="42" t="n"/>
    </row>
    <row r="22">
      <c r="A22" s="42" t="n"/>
      <c r="B22" s="42" t="n"/>
      <c r="C22" s="42" t="n"/>
      <c r="D22" s="42" t="n"/>
      <c r="E22" s="42" t="n"/>
      <c r="F22" s="42" t="n"/>
      <c r="G22" s="42" t="n"/>
      <c r="H22" s="42" t="n"/>
    </row>
    <row r="23">
      <c r="A23" s="42" t="n"/>
      <c r="B23" s="42" t="n"/>
      <c r="C23" s="42" t="n"/>
      <c r="D23" s="42" t="n"/>
      <c r="E23" s="42" t="n"/>
      <c r="F23" s="42" t="n"/>
      <c r="G23" s="42" t="n"/>
      <c r="H23" s="42" t="n"/>
    </row>
    <row r="24">
      <c r="A24" s="42" t="n"/>
      <c r="B24" s="42" t="n"/>
      <c r="C24" s="42" t="n"/>
      <c r="D24" s="42" t="n"/>
      <c r="E24" s="42" t="n"/>
      <c r="F24" s="42" t="n"/>
      <c r="G24" s="42" t="n"/>
      <c r="H24" s="42" t="n"/>
    </row>
    <row r="25">
      <c r="A25" s="42" t="n"/>
      <c r="B25" s="42" t="n"/>
      <c r="C25" s="42" t="n"/>
      <c r="D25" s="42" t="n"/>
      <c r="E25" s="42" t="n"/>
      <c r="F25" s="42" t="n"/>
      <c r="G25" s="42" t="n"/>
      <c r="H25" s="42" t="n"/>
    </row>
    <row r="26">
      <c r="A26" s="42" t="n"/>
      <c r="B26" s="42" t="n"/>
      <c r="C26" s="42" t="n"/>
      <c r="D26" s="42" t="n"/>
      <c r="E26" s="42" t="n"/>
      <c r="F26" s="42" t="n"/>
      <c r="G26" s="42" t="n"/>
      <c r="H26" s="42" t="n"/>
    </row>
    <row r="27">
      <c r="A27" s="42" t="n"/>
      <c r="B27" s="42" t="n"/>
      <c r="C27" s="42" t="n"/>
      <c r="D27" s="42" t="n"/>
      <c r="E27" s="42" t="n"/>
      <c r="F27" s="42" t="n"/>
      <c r="G27" s="42" t="n"/>
      <c r="H27" s="42" t="n"/>
    </row>
    <row r="28">
      <c r="A28" s="42" t="n"/>
      <c r="B28" s="42" t="n"/>
      <c r="C28" s="42" t="n"/>
      <c r="D28" s="42" t="n"/>
      <c r="E28" s="42" t="n"/>
      <c r="F28" s="42" t="n"/>
      <c r="G28" s="42" t="n"/>
      <c r="H28" s="42" t="n"/>
    </row>
    <row r="29">
      <c r="A29" s="42" t="n"/>
      <c r="B29" s="42" t="n"/>
      <c r="C29" s="42" t="n"/>
      <c r="D29" s="42" t="n"/>
      <c r="E29" s="42" t="n"/>
      <c r="F29" s="42" t="n"/>
      <c r="G29" s="42" t="n"/>
      <c r="H29" s="42" t="n"/>
    </row>
    <row r="30">
      <c r="A30" s="42" t="n"/>
      <c r="B30" s="42" t="n"/>
      <c r="C30" s="42" t="n"/>
      <c r="D30" s="42" t="n"/>
      <c r="E30" s="42" t="n"/>
      <c r="F30" s="42" t="n"/>
      <c r="G30" s="42" t="n"/>
      <c r="H30" s="42" t="n"/>
    </row>
    <row r="31">
      <c r="A31" s="42" t="n"/>
      <c r="B31" s="42" t="n"/>
      <c r="C31" s="42" t="n"/>
      <c r="D31" s="42" t="n"/>
      <c r="E31" s="42" t="n"/>
      <c r="F31" s="42" t="n"/>
      <c r="G31" s="42" t="n"/>
      <c r="H31" s="42" t="n"/>
    </row>
    <row r="32">
      <c r="A32" s="42" t="n"/>
      <c r="B32" s="42" t="n"/>
      <c r="C32" s="42" t="n"/>
      <c r="D32" s="42" t="n"/>
      <c r="E32" s="42" t="n"/>
      <c r="F32" s="42" t="n"/>
      <c r="G32" s="42" t="n"/>
      <c r="H32" s="42" t="n"/>
    </row>
    <row r="33">
      <c r="A33" s="42" t="n"/>
      <c r="B33" s="42" t="n"/>
      <c r="C33" s="42" t="n"/>
      <c r="D33" s="42" t="n"/>
      <c r="E33" s="42" t="n"/>
      <c r="F33" s="42" t="n"/>
      <c r="G33" s="42" t="n"/>
      <c r="H33" s="42" t="n"/>
    </row>
    <row r="34">
      <c r="A34" s="42" t="n"/>
      <c r="B34" s="42" t="n"/>
      <c r="C34" s="42" t="n"/>
      <c r="D34" s="42" t="n"/>
      <c r="E34" s="42" t="n"/>
      <c r="F34" s="42" t="n"/>
      <c r="G34" s="42" t="n"/>
      <c r="H34" s="42" t="n"/>
    </row>
    <row r="35">
      <c r="A35" s="42" t="n"/>
      <c r="B35" s="42" t="n"/>
      <c r="C35" s="42" t="n"/>
      <c r="D35" s="42" t="n"/>
      <c r="E35" s="42" t="n"/>
      <c r="F35" s="42" t="n"/>
      <c r="G35" s="42" t="n"/>
      <c r="H35" s="42" t="n"/>
    </row>
    <row r="36">
      <c r="A36" s="42" t="n"/>
      <c r="B36" s="42" t="n"/>
      <c r="C36" s="42" t="n"/>
      <c r="D36" s="42" t="n"/>
      <c r="E36" s="42" t="n"/>
      <c r="F36" s="42" t="n"/>
      <c r="G36" s="42" t="n"/>
      <c r="H36" s="42" t="n"/>
    </row>
    <row r="37">
      <c r="A37" s="42" t="n"/>
      <c r="B37" s="42" t="n"/>
      <c r="C37" s="42" t="n"/>
      <c r="D37" s="42" t="n"/>
      <c r="E37" s="42" t="n"/>
      <c r="F37" s="42" t="n"/>
      <c r="G37" s="42" t="n"/>
      <c r="H37" s="42" t="n"/>
    </row>
    <row r="38">
      <c r="A38" s="42" t="n"/>
      <c r="B38" s="42" t="n"/>
      <c r="C38" s="42" t="n"/>
      <c r="D38" s="42" t="n"/>
      <c r="E38" s="42" t="n"/>
      <c r="F38" s="42" t="n"/>
      <c r="G38" s="42" t="n"/>
      <c r="H38" s="42" t="n"/>
    </row>
    <row r="39">
      <c r="A39" s="42" t="n"/>
      <c r="B39" s="42" t="n"/>
      <c r="C39" s="42" t="n"/>
      <c r="D39" s="42" t="n"/>
      <c r="E39" s="42" t="n"/>
      <c r="F39" s="42" t="n"/>
      <c r="G39" s="42" t="n"/>
      <c r="H39" s="42" t="n"/>
    </row>
    <row r="40">
      <c r="A40" s="42" t="n"/>
      <c r="B40" s="42" t="n"/>
      <c r="C40" s="42" t="n"/>
      <c r="D40" s="42" t="n"/>
      <c r="E40" s="42" t="n"/>
      <c r="F40" s="42" t="n"/>
      <c r="G40" s="42" t="n"/>
      <c r="H40" s="42" t="n"/>
    </row>
    <row r="41">
      <c r="A41" s="42" t="n"/>
      <c r="B41" s="42" t="n"/>
      <c r="C41" s="42" t="n"/>
      <c r="D41" s="42" t="n"/>
      <c r="E41" s="42" t="n"/>
      <c r="F41" s="42" t="n"/>
      <c r="G41" s="42" t="n"/>
      <c r="H41" s="42" t="n"/>
    </row>
    <row r="42">
      <c r="A42" s="42" t="n"/>
      <c r="B42" s="42" t="n"/>
      <c r="C42" s="42" t="n"/>
      <c r="D42" s="42" t="n"/>
      <c r="E42" s="42" t="n"/>
      <c r="F42" s="42" t="n"/>
      <c r="G42" s="42" t="n"/>
      <c r="H42" s="42" t="n"/>
    </row>
    <row r="43">
      <c r="A43" s="42" t="n"/>
      <c r="B43" s="42" t="n"/>
      <c r="C43" s="42" t="n"/>
      <c r="D43" s="42" t="n"/>
      <c r="E43" s="42" t="n"/>
      <c r="F43" s="42" t="n"/>
      <c r="G43" s="42" t="n"/>
      <c r="H43" s="42" t="n"/>
    </row>
    <row r="44">
      <c r="A44" s="42" t="n"/>
      <c r="B44" s="42" t="n"/>
      <c r="C44" s="42" t="n"/>
      <c r="D44" s="42" t="n"/>
      <c r="E44" s="42" t="n"/>
      <c r="F44" s="42" t="n"/>
      <c r="G44" s="42" t="n"/>
      <c r="H44" s="42" t="n"/>
    </row>
    <row r="45">
      <c r="A45" s="42" t="n"/>
      <c r="B45" s="42" t="n"/>
      <c r="C45" s="42" t="n"/>
      <c r="D45" s="42" t="n"/>
      <c r="E45" s="42" t="n"/>
      <c r="F45" s="42" t="n"/>
      <c r="G45" s="42" t="n"/>
      <c r="H45" s="42" t="n"/>
    </row>
    <row r="46">
      <c r="A46" s="42" t="n"/>
      <c r="B46" s="42" t="n"/>
      <c r="C46" s="42" t="n"/>
      <c r="D46" s="42" t="n"/>
      <c r="E46" s="42" t="n"/>
      <c r="F46" s="42" t="n"/>
      <c r="G46" s="42" t="n"/>
      <c r="H46" s="42" t="n"/>
    </row>
    <row r="47">
      <c r="A47" s="42" t="n"/>
      <c r="B47" s="42" t="n"/>
      <c r="C47" s="42" t="n"/>
      <c r="D47" s="42" t="n"/>
      <c r="E47" s="42" t="n"/>
      <c r="F47" s="42" t="n"/>
      <c r="G47" s="42" t="n"/>
      <c r="H47" s="42" t="n"/>
    </row>
    <row r="48">
      <c r="A48" s="42" t="n"/>
      <c r="B48" s="42" t="n"/>
      <c r="C48" s="42" t="n"/>
      <c r="D48" s="42" t="n"/>
      <c r="E48" s="42" t="n"/>
      <c r="F48" s="42" t="n"/>
      <c r="G48" s="42" t="n"/>
      <c r="H48" s="42" t="n"/>
    </row>
    <row r="49">
      <c r="A49" s="42" t="n"/>
      <c r="B49" s="42" t="n"/>
      <c r="C49" s="42" t="n"/>
      <c r="D49" s="42" t="n"/>
      <c r="E49" s="42" t="n"/>
      <c r="F49" s="42" t="n"/>
      <c r="G49" s="42" t="n"/>
      <c r="H49" s="42" t="n"/>
    </row>
    <row r="50">
      <c r="A50" s="42" t="n"/>
      <c r="B50" s="42" t="n"/>
      <c r="C50" s="42" t="n"/>
      <c r="D50" s="42" t="n"/>
      <c r="E50" s="42" t="n"/>
      <c r="F50" s="42" t="n"/>
      <c r="G50" s="42" t="n"/>
      <c r="H50" s="42" t="n"/>
    </row>
    <row r="51">
      <c r="A51" s="42" t="n"/>
      <c r="B51" s="42" t="n"/>
      <c r="C51" s="42" t="n"/>
      <c r="D51" s="42" t="n"/>
      <c r="E51" s="42" t="n"/>
      <c r="F51" s="42" t="n"/>
      <c r="G51" s="42" t="n"/>
      <c r="H51" s="42" t="n"/>
    </row>
    <row r="52">
      <c r="A52" s="42" t="n"/>
      <c r="B52" s="42" t="n"/>
      <c r="C52" s="42" t="n"/>
      <c r="D52" s="42" t="n"/>
      <c r="E52" s="42" t="n"/>
      <c r="F52" s="42" t="n"/>
      <c r="G52" s="42" t="n"/>
      <c r="H52" s="42" t="n"/>
    </row>
    <row r="53">
      <c r="A53" s="42" t="n"/>
      <c r="B53" s="42" t="n"/>
      <c r="C53" s="42" t="n"/>
      <c r="D53" s="42" t="n"/>
      <c r="E53" s="42" t="n"/>
      <c r="F53" s="42" t="n"/>
      <c r="G53" s="42" t="n"/>
      <c r="H53" s="42" t="n"/>
    </row>
    <row r="54">
      <c r="A54" s="42" t="n"/>
      <c r="B54" s="42" t="n"/>
      <c r="C54" s="42" t="n"/>
      <c r="D54" s="42" t="n"/>
      <c r="E54" s="42" t="n"/>
      <c r="F54" s="42" t="n"/>
      <c r="G54" s="42" t="n"/>
      <c r="H54" s="42" t="n"/>
    </row>
    <row r="55">
      <c r="A55" s="42" t="n"/>
      <c r="B55" s="42" t="n"/>
      <c r="C55" s="42" t="n"/>
      <c r="D55" s="42" t="n"/>
      <c r="E55" s="42" t="n"/>
      <c r="F55" s="42" t="n"/>
      <c r="G55" s="42" t="n"/>
      <c r="H55" s="42" t="n"/>
    </row>
    <row r="56">
      <c r="A56" s="42" t="n"/>
      <c r="B56" s="42" t="n"/>
      <c r="C56" s="42" t="n"/>
      <c r="D56" s="42" t="n"/>
      <c r="E56" s="42" t="n"/>
      <c r="F56" s="42" t="n"/>
      <c r="G56" s="42" t="n"/>
      <c r="H56" s="42" t="n"/>
    </row>
    <row r="57">
      <c r="A57" s="42" t="n"/>
      <c r="B57" s="42" t="n"/>
      <c r="C57" s="42" t="n"/>
      <c r="D57" s="42" t="n"/>
      <c r="E57" s="42" t="n"/>
      <c r="F57" s="42" t="n"/>
      <c r="G57" s="42" t="n"/>
      <c r="H57" s="42" t="n"/>
    </row>
    <row r="58">
      <c r="A58" s="42" t="n"/>
      <c r="B58" s="42" t="n"/>
      <c r="C58" s="42" t="n"/>
      <c r="D58" s="42" t="n"/>
      <c r="E58" s="42" t="n"/>
      <c r="F58" s="42" t="n"/>
      <c r="G58" s="42" t="n"/>
      <c r="H58" s="42" t="n"/>
    </row>
    <row r="59">
      <c r="A59" s="42" t="n"/>
      <c r="B59" s="42" t="n"/>
      <c r="C59" s="42" t="n"/>
      <c r="D59" s="42" t="n"/>
      <c r="E59" s="42" t="n"/>
      <c r="F59" s="42" t="n"/>
      <c r="G59" s="42" t="n"/>
      <c r="H59" s="42" t="n"/>
    </row>
    <row r="60">
      <c r="A60" s="42" t="n"/>
      <c r="B60" s="42" t="n"/>
      <c r="C60" s="42" t="n"/>
      <c r="D60" s="42" t="n"/>
      <c r="E60" s="42" t="n"/>
      <c r="F60" s="42" t="n"/>
      <c r="G60" s="42" t="n"/>
      <c r="H60" s="42" t="n"/>
    </row>
    <row r="61">
      <c r="A61" s="42" t="n"/>
      <c r="B61" s="42" t="n"/>
      <c r="C61" s="42" t="n"/>
      <c r="D61" s="42" t="n"/>
      <c r="E61" s="42" t="n"/>
      <c r="F61" s="42" t="n"/>
      <c r="G61" s="42" t="n"/>
      <c r="H61" s="42" t="n"/>
    </row>
    <row r="62">
      <c r="A62" s="42" t="n"/>
      <c r="B62" s="42" t="n"/>
      <c r="C62" s="42" t="n"/>
      <c r="D62" s="42" t="n"/>
      <c r="E62" s="42" t="n"/>
      <c r="F62" s="42" t="n"/>
      <c r="G62" s="42" t="n"/>
      <c r="H62" s="42" t="n"/>
    </row>
    <row r="63">
      <c r="A63" s="42" t="n"/>
      <c r="B63" s="42" t="n"/>
      <c r="C63" s="42" t="n"/>
      <c r="D63" s="42" t="n"/>
      <c r="E63" s="42" t="n"/>
      <c r="F63" s="42" t="n"/>
      <c r="G63" s="42" t="n"/>
      <c r="H63" s="42" t="n"/>
    </row>
    <row r="64">
      <c r="A64" s="42" t="n"/>
      <c r="B64" s="42" t="n"/>
      <c r="C64" s="42" t="n"/>
      <c r="D64" s="42" t="n"/>
      <c r="E64" s="42" t="n"/>
      <c r="F64" s="42" t="n"/>
      <c r="G64" s="42" t="n"/>
      <c r="H64" s="42" t="n"/>
    </row>
    <row r="65">
      <c r="A65" s="42" t="n"/>
      <c r="B65" s="42" t="n"/>
      <c r="C65" s="42" t="n"/>
      <c r="D65" s="42" t="n"/>
      <c r="E65" s="42" t="n"/>
      <c r="F65" s="42" t="n"/>
      <c r="G65" s="42" t="n"/>
      <c r="H65" s="42" t="n"/>
    </row>
    <row r="66">
      <c r="A66" s="42" t="n"/>
      <c r="B66" s="42" t="n"/>
      <c r="C66" s="42" t="n"/>
      <c r="D66" s="42" t="n"/>
      <c r="E66" s="42" t="n"/>
      <c r="F66" s="42" t="n"/>
      <c r="G66" s="42" t="n"/>
      <c r="H66" s="42" t="n"/>
    </row>
    <row r="67">
      <c r="A67" s="42" t="n"/>
      <c r="B67" s="42" t="n"/>
      <c r="C67" s="42" t="n"/>
      <c r="D67" s="42" t="n"/>
      <c r="E67" s="42" t="n"/>
      <c r="F67" s="42" t="n"/>
      <c r="G67" s="42" t="n"/>
      <c r="H67" s="42" t="n"/>
    </row>
    <row r="68">
      <c r="A68" s="42" t="n"/>
      <c r="B68" s="42" t="n"/>
      <c r="C68" s="42" t="n"/>
      <c r="D68" s="42" t="n"/>
      <c r="E68" s="42" t="n"/>
      <c r="F68" s="42" t="n"/>
      <c r="G68" s="42" t="n"/>
      <c r="H68" s="42" t="n"/>
    </row>
    <row r="69">
      <c r="A69" s="42" t="n"/>
      <c r="B69" s="42" t="n"/>
      <c r="C69" s="42" t="n"/>
      <c r="D69" s="42" t="n"/>
      <c r="E69" s="42" t="n"/>
      <c r="F69" s="42" t="n"/>
      <c r="G69" s="42" t="n"/>
      <c r="H69" s="42" t="n"/>
    </row>
    <row r="70">
      <c r="A70" s="42" t="n"/>
      <c r="B70" s="42" t="n"/>
      <c r="C70" s="42" t="n"/>
      <c r="D70" s="42" t="n"/>
      <c r="E70" s="42" t="n"/>
      <c r="F70" s="42" t="n"/>
      <c r="G70" s="42" t="n"/>
      <c r="H70" s="42" t="n"/>
    </row>
    <row r="71">
      <c r="A71" s="42" t="n"/>
      <c r="B71" s="42" t="n"/>
      <c r="C71" s="42" t="n"/>
      <c r="D71" s="42" t="n"/>
      <c r="E71" s="42" t="n"/>
      <c r="F71" s="42" t="n"/>
      <c r="G71" s="42" t="n"/>
      <c r="H71" s="42" t="n"/>
    </row>
    <row r="72">
      <c r="A72" s="42" t="n"/>
      <c r="B72" s="42" t="n"/>
      <c r="C72" s="42" t="n"/>
      <c r="D72" s="42" t="n"/>
      <c r="E72" s="42" t="n"/>
      <c r="F72" s="42" t="n"/>
      <c r="G72" s="42" t="n"/>
      <c r="H72" s="42" t="n"/>
    </row>
    <row r="73">
      <c r="A73" s="42" t="n"/>
      <c r="B73" s="42" t="n"/>
      <c r="C73" s="42" t="n"/>
      <c r="D73" s="42" t="n"/>
      <c r="E73" s="42" t="n"/>
      <c r="F73" s="42" t="n"/>
      <c r="G73" s="42" t="n"/>
      <c r="H73" s="42" t="n"/>
    </row>
    <row r="74">
      <c r="A74" s="42" t="n"/>
      <c r="B74" s="42" t="n"/>
      <c r="C74" s="42" t="n"/>
      <c r="D74" s="42" t="n"/>
      <c r="E74" s="42" t="n"/>
      <c r="F74" s="42" t="n"/>
      <c r="G74" s="42" t="n"/>
      <c r="H74" s="42" t="n"/>
    </row>
    <row r="75">
      <c r="A75" s="42" t="n"/>
      <c r="B75" s="42" t="n"/>
      <c r="C75" s="42" t="n"/>
      <c r="D75" s="42" t="n"/>
      <c r="E75" s="42" t="n"/>
      <c r="F75" s="42" t="n"/>
      <c r="G75" s="42" t="n"/>
      <c r="H75" s="42" t="n"/>
    </row>
    <row r="76">
      <c r="A76" s="42" t="n"/>
      <c r="B76" s="42" t="n"/>
      <c r="C76" s="42" t="n"/>
      <c r="D76" s="42" t="n"/>
      <c r="E76" s="42" t="n"/>
      <c r="F76" s="42" t="n"/>
      <c r="G76" s="42" t="n"/>
      <c r="H76" s="42" t="n"/>
    </row>
    <row r="77">
      <c r="A77" s="42" t="n"/>
      <c r="B77" s="42" t="n"/>
      <c r="C77" s="42" t="n"/>
      <c r="D77" s="42" t="n"/>
      <c r="E77" s="42" t="n"/>
      <c r="F77" s="42" t="n"/>
      <c r="G77" s="42" t="n"/>
      <c r="H77" s="42" t="n"/>
    </row>
    <row r="78">
      <c r="A78" s="42" t="n"/>
      <c r="B78" s="42" t="n"/>
      <c r="C78" s="42" t="n"/>
      <c r="D78" s="42" t="n"/>
      <c r="E78" s="42" t="n"/>
      <c r="F78" s="42" t="n"/>
      <c r="G78" s="42" t="n"/>
      <c r="H78" s="42" t="n"/>
    </row>
    <row r="79">
      <c r="A79" s="42" t="n"/>
      <c r="B79" s="42" t="n"/>
      <c r="C79" s="42" t="n"/>
      <c r="D79" s="42" t="n"/>
      <c r="E79" s="42" t="n"/>
      <c r="F79" s="42" t="n"/>
      <c r="G79" s="42" t="n"/>
      <c r="H79" s="42" t="n"/>
    </row>
    <row r="80">
      <c r="A80" s="42" t="n"/>
      <c r="B80" s="42" t="n"/>
      <c r="C80" s="42" t="n"/>
      <c r="D80" s="42" t="n"/>
      <c r="E80" s="42" t="n"/>
      <c r="F80" s="42" t="n"/>
      <c r="G80" s="42" t="n"/>
      <c r="H80" s="42" t="n"/>
    </row>
    <row r="81">
      <c r="A81" s="42" t="n"/>
      <c r="B81" s="42" t="n"/>
      <c r="C81" s="42" t="n"/>
      <c r="D81" s="42" t="n"/>
      <c r="E81" s="42" t="n"/>
      <c r="F81" s="42" t="n"/>
      <c r="G81" s="42" t="n"/>
      <c r="H81" s="42" t="n"/>
    </row>
    <row r="82">
      <c r="A82" s="42" t="n"/>
      <c r="B82" s="42" t="n"/>
      <c r="C82" s="42" t="n"/>
      <c r="D82" s="42" t="n"/>
      <c r="E82" s="42" t="n"/>
      <c r="F82" s="42" t="n"/>
      <c r="G82" s="42" t="n"/>
      <c r="H82" s="42" t="n"/>
    </row>
    <row r="83">
      <c r="A83" s="42" t="n"/>
      <c r="B83" s="42" t="n"/>
      <c r="C83" s="42" t="n"/>
      <c r="D83" s="42" t="n"/>
      <c r="E83" s="42" t="n"/>
      <c r="F83" s="42" t="n"/>
      <c r="G83" s="42" t="n"/>
      <c r="H83" s="42" t="n"/>
    </row>
    <row r="84">
      <c r="A84" s="42" t="n"/>
      <c r="B84" s="42" t="n"/>
      <c r="C84" s="42" t="n"/>
      <c r="D84" s="42" t="n"/>
      <c r="E84" s="42" t="n"/>
      <c r="F84" s="42" t="n"/>
      <c r="G84" s="42" t="n"/>
      <c r="H84" s="42" t="n"/>
    </row>
    <row r="85">
      <c r="A85" s="42" t="n"/>
      <c r="B85" s="42" t="n"/>
      <c r="C85" s="42" t="n"/>
      <c r="D85" s="42" t="n"/>
      <c r="E85" s="42" t="n"/>
      <c r="F85" s="42" t="n"/>
      <c r="G85" s="42" t="n"/>
      <c r="H85" s="42" t="n"/>
    </row>
    <row r="86">
      <c r="A86" s="42" t="n"/>
      <c r="B86" s="42" t="n"/>
      <c r="C86" s="42" t="n"/>
      <c r="D86" s="42" t="n"/>
      <c r="E86" s="42" t="n"/>
      <c r="F86" s="42" t="n"/>
      <c r="G86" s="42" t="n"/>
      <c r="H86" s="42" t="n"/>
    </row>
    <row r="87">
      <c r="A87" s="42" t="n"/>
      <c r="B87" s="42" t="n"/>
      <c r="C87" s="42" t="n"/>
      <c r="D87" s="42" t="n"/>
      <c r="E87" s="42" t="n"/>
      <c r="F87" s="42" t="n"/>
      <c r="G87" s="42" t="n"/>
      <c r="H87" s="42" t="n"/>
    </row>
    <row r="88">
      <c r="A88" s="42" t="n"/>
      <c r="B88" s="42" t="n"/>
      <c r="C88" s="42" t="n"/>
      <c r="D88" s="42" t="n"/>
      <c r="E88" s="42" t="n"/>
      <c r="F88" s="42" t="n"/>
      <c r="G88" s="42" t="n"/>
      <c r="H88" s="42" t="n"/>
    </row>
    <row r="89">
      <c r="A89" s="42" t="n"/>
      <c r="B89" s="42" t="n"/>
      <c r="C89" s="42" t="n"/>
      <c r="D89" s="42" t="n"/>
      <c r="E89" s="42" t="n"/>
      <c r="F89" s="42" t="n"/>
      <c r="G89" s="42" t="n"/>
      <c r="H89" s="42" t="n"/>
    </row>
    <row r="90">
      <c r="A90" s="42" t="n"/>
      <c r="B90" s="42" t="n"/>
      <c r="C90" s="42" t="n"/>
      <c r="D90" s="42" t="n"/>
      <c r="E90" s="42" t="n"/>
      <c r="F90" s="42" t="n"/>
      <c r="G90" s="42" t="n"/>
      <c r="H90" s="42" t="n"/>
    </row>
    <row r="91">
      <c r="A91" s="42" t="n"/>
      <c r="B91" s="42" t="n"/>
      <c r="C91" s="42" t="n"/>
      <c r="D91" s="42" t="n"/>
      <c r="E91" s="42" t="n"/>
      <c r="F91" s="42" t="n"/>
      <c r="G91" s="42" t="n"/>
      <c r="H91" s="42" t="n"/>
    </row>
    <row r="92">
      <c r="A92" s="42" t="n"/>
      <c r="B92" s="42" t="n"/>
      <c r="C92" s="42" t="n"/>
      <c r="D92" s="42" t="n"/>
      <c r="E92" s="42" t="n"/>
      <c r="F92" s="42" t="n"/>
      <c r="G92" s="42" t="n"/>
      <c r="H92" s="42" t="n"/>
    </row>
    <row r="93">
      <c r="A93" s="42" t="n"/>
      <c r="B93" s="42" t="n"/>
      <c r="C93" s="42" t="n"/>
      <c r="D93" s="42" t="n"/>
      <c r="E93" s="42" t="n"/>
      <c r="F93" s="42" t="n"/>
      <c r="G93" s="42" t="n"/>
      <c r="H93" s="42" t="n"/>
    </row>
    <row r="94">
      <c r="A94" s="42" t="n"/>
      <c r="B94" s="42" t="n"/>
      <c r="C94" s="42" t="n"/>
      <c r="D94" s="42" t="n"/>
      <c r="E94" s="42" t="n"/>
      <c r="F94" s="42" t="n"/>
      <c r="G94" s="42" t="n"/>
      <c r="H94" s="42" t="n"/>
    </row>
    <row r="95">
      <c r="A95" s="42" t="n"/>
      <c r="B95" s="42" t="n"/>
      <c r="C95" s="42" t="n"/>
      <c r="D95" s="42" t="n"/>
      <c r="E95" s="42" t="n"/>
      <c r="F95" s="42" t="n"/>
      <c r="G95" s="42" t="n"/>
      <c r="H95" s="42" t="n"/>
    </row>
    <row r="96">
      <c r="A96" s="42" t="n"/>
      <c r="B96" s="42" t="n"/>
      <c r="C96" s="42" t="n"/>
      <c r="D96" s="42" t="n"/>
      <c r="E96" s="42" t="n"/>
      <c r="F96" s="42" t="n"/>
      <c r="G96" s="42" t="n"/>
      <c r="H96" s="42" t="n"/>
    </row>
    <row r="97">
      <c r="A97" s="42" t="n"/>
      <c r="B97" s="42" t="n"/>
      <c r="C97" s="42" t="n"/>
      <c r="D97" s="42" t="n"/>
      <c r="E97" s="42" t="n"/>
      <c r="F97" s="42" t="n"/>
      <c r="G97" s="42" t="n"/>
      <c r="H97" s="42" t="n"/>
    </row>
    <row r="98">
      <c r="A98" s="42" t="n"/>
      <c r="B98" s="42" t="n"/>
      <c r="C98" s="42" t="n"/>
      <c r="D98" s="42" t="n"/>
      <c r="E98" s="42" t="n"/>
      <c r="F98" s="42" t="n"/>
      <c r="G98" s="42" t="n"/>
      <c r="H98" s="42" t="n"/>
    </row>
    <row r="99">
      <c r="A99" s="42" t="n"/>
      <c r="B99" s="42" t="n"/>
      <c r="C99" s="42" t="n"/>
      <c r="D99" s="42" t="n"/>
      <c r="E99" s="42" t="n"/>
      <c r="F99" s="42" t="n"/>
      <c r="G99" s="42" t="n"/>
      <c r="H99" s="42" t="n"/>
    </row>
    <row r="100">
      <c r="A100" s="42" t="n"/>
      <c r="B100" s="42" t="n"/>
      <c r="C100" s="42" t="n"/>
      <c r="D100" s="42" t="n"/>
      <c r="E100" s="42" t="n"/>
      <c r="F100" s="42" t="n"/>
      <c r="G100" s="42" t="n"/>
      <c r="H100" s="42" t="n"/>
    </row>
    <row r="101">
      <c r="A101" s="42" t="n"/>
      <c r="B101" s="42" t="n"/>
      <c r="C101" s="42" t="n"/>
      <c r="D101" s="42" t="n"/>
      <c r="E101" s="42" t="n"/>
      <c r="F101" s="42" t="n"/>
      <c r="G101" s="42" t="n"/>
      <c r="H101" s="42" t="n"/>
    </row>
    <row r="102">
      <c r="A102" s="42" t="n"/>
      <c r="B102" s="42" t="n"/>
      <c r="C102" s="42" t="n"/>
      <c r="D102" s="42" t="n"/>
      <c r="E102" s="42" t="n"/>
      <c r="F102" s="42" t="n"/>
      <c r="G102" s="42" t="n"/>
      <c r="H102" s="42" t="n"/>
    </row>
    <row r="103">
      <c r="A103" s="42" t="n"/>
      <c r="B103" s="42" t="n"/>
      <c r="C103" s="42" t="n"/>
      <c r="D103" s="42" t="n"/>
      <c r="E103" s="42" t="n"/>
      <c r="F103" s="42" t="n"/>
      <c r="G103" s="42" t="n"/>
      <c r="H103" s="42" t="n"/>
    </row>
    <row r="104">
      <c r="A104" s="42" t="n"/>
      <c r="B104" s="42" t="n"/>
      <c r="C104" s="42" t="n"/>
      <c r="D104" s="42" t="n"/>
      <c r="E104" s="42" t="n"/>
      <c r="F104" s="42" t="n"/>
      <c r="G104" s="42" t="n"/>
      <c r="H104" s="42" t="n"/>
    </row>
    <row r="105">
      <c r="A105" s="42" t="n"/>
      <c r="B105" s="42" t="n"/>
      <c r="C105" s="42" t="n"/>
      <c r="D105" s="42" t="n"/>
      <c r="E105" s="42" t="n"/>
      <c r="F105" s="42" t="n"/>
      <c r="G105" s="42" t="n"/>
      <c r="H105" s="42"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8" t="inlineStr">
        <is>
          <t>INVENTORY MAINTENANCE — SUMMARY DASHBOARD</t>
        </is>
      </c>
      <c r="B1" s="6" t="n"/>
      <c r="C1" s="6" t="n"/>
      <c r="D1" s="6" t="n"/>
      <c r="E1" s="6" t="n"/>
    </row>
    <row r="2" ht="18" customHeight="1">
      <c r="A2" s="43" t="inlineStr">
        <is>
          <t>ISO 27001:2022 · Control A.5.9 · Inventory of Information and Assets</t>
        </is>
      </c>
      <c r="B2" s="6" t="n"/>
      <c r="C2" s="6" t="n"/>
      <c r="D2" s="6" t="n"/>
      <c r="E2" s="6" t="n"/>
    </row>
    <row r="3" ht="6" customHeight="1"/>
    <row r="4">
      <c r="A4" s="44" t="inlineStr">
        <is>
          <t>TABLE 1: COMPLIANCE ASSESSMENT</t>
        </is>
      </c>
      <c r="B4" s="6" t="n"/>
      <c r="C4" s="6" t="n"/>
      <c r="D4" s="6" t="n"/>
      <c r="E4" s="6" t="n"/>
    </row>
    <row r="5">
      <c r="A5" s="45" t="inlineStr">
        <is>
          <t>Assessment Area</t>
        </is>
      </c>
      <c r="B5" s="45" t="inlineStr">
        <is>
          <t>Compliant</t>
        </is>
      </c>
      <c r="C5" s="45" t="inlineStr">
        <is>
          <t>Non-Compliant</t>
        </is>
      </c>
      <c r="D5" s="45" t="inlineStr">
        <is>
          <t>Total Items</t>
        </is>
      </c>
      <c r="E5" s="45" t="inlineStr">
        <is>
          <t>Compliance %</t>
        </is>
      </c>
    </row>
    <row r="6">
      <c r="A6" s="46" t="inlineStr">
        <is>
          <t>Update Trigger Workflow Coverage</t>
        </is>
      </c>
      <c r="B6" s="47">
        <f>COUNTIF('Update Triggers &amp; Workflows'!C4:C15,"Yes")</f>
        <v/>
      </c>
      <c r="C6" s="47">
        <f>D6-B6</f>
        <v/>
      </c>
      <c r="D6" s="47">
        <f>COUNTA('Update Triggers &amp; Workflows'!A4:A15)</f>
        <v/>
      </c>
      <c r="E6" s="48">
        <f>IFERROR(B6/D6,0)</f>
        <v/>
      </c>
    </row>
    <row r="7">
      <c r="A7" s="46" t="inlineStr">
        <is>
          <t>Update Trigger SLA Compliance</t>
        </is>
      </c>
      <c r="B7" s="47">
        <f>COUNTIF('Update Triggers &amp; Workflows'!H4:H15,"✅ Compliant")</f>
        <v/>
      </c>
      <c r="C7" s="47">
        <f>D7-B7</f>
        <v/>
      </c>
      <c r="D7" s="47">
        <f>COUNTA('Update Triggers &amp; Workflows'!A4:A15)</f>
        <v/>
      </c>
      <c r="E7" s="48">
        <f>IFERROR(B7/D7,0)</f>
        <v/>
      </c>
    </row>
    <row r="8">
      <c r="A8" s="46" t="inlineStr">
        <is>
          <t>Integration Architecture Health</t>
        </is>
      </c>
      <c r="B8" s="47">
        <f>COUNTIF('Integration Architecture'!H4:H15,"✅ Healthy")</f>
        <v/>
      </c>
      <c r="C8" s="47">
        <f>D8-B8</f>
        <v/>
      </c>
      <c r="D8" s="47">
        <f>COUNTA('Integration Architecture'!A4:A15)</f>
        <v/>
      </c>
      <c r="E8" s="48">
        <f>IFERROR(B8/D8,0)</f>
        <v/>
      </c>
    </row>
    <row r="9">
      <c r="A9" s="46" t="inlineStr">
        <is>
          <t>Quality Control Process Coverage</t>
        </is>
      </c>
      <c r="B9" s="47">
        <f>COUNTIF('Quality Control Processes'!C4:C53,"Yes")</f>
        <v/>
      </c>
      <c r="C9" s="47">
        <f>D9-B9</f>
        <v/>
      </c>
      <c r="D9" s="47">
        <f>COUNTA('Quality Control Processes'!A4:A53)</f>
        <v/>
      </c>
      <c r="E9" s="48">
        <f>IFERROR(B9/D9,0)</f>
        <v/>
      </c>
    </row>
    <row r="10">
      <c r="A10" s="46" t="inlineStr">
        <is>
          <t>Maintenance Trigger Automation Rate</t>
        </is>
      </c>
      <c r="B10" s="47">
        <f>COUNTIF('Update Triggers &amp; Workflows'!D4:D15,"Fully Automated")</f>
        <v/>
      </c>
      <c r="C10" s="47">
        <f>D10-B10</f>
        <v/>
      </c>
      <c r="D10" s="47">
        <f>COUNTA('Update Triggers &amp; Workflows'!A4:A15)</f>
        <v/>
      </c>
      <c r="E10" s="48">
        <f>IFERROR(B10/D10,0)</f>
        <v/>
      </c>
    </row>
    <row r="11">
      <c r="A11" s="49" t="inlineStr">
        <is>
          <t>TOTAL</t>
        </is>
      </c>
      <c r="B11" s="50">
        <f>SUM(B6:B10)</f>
        <v/>
      </c>
      <c r="C11" s="50">
        <f>SUM(C6:C10)</f>
        <v/>
      </c>
      <c r="D11" s="50">
        <f>SUM(D6:D10)</f>
        <v/>
      </c>
      <c r="E11" s="51">
        <f>IFERROR(B11/D11,0)</f>
        <v/>
      </c>
    </row>
    <row r="12" ht="6" customHeight="1"/>
    <row r="13">
      <c r="A13" s="44" t="inlineStr">
        <is>
          <t>TABLE 2: KEY PERFORMANCE INDICATORS</t>
        </is>
      </c>
      <c r="B13" s="6" t="n"/>
      <c r="C13" s="6" t="n"/>
      <c r="D13" s="6" t="n"/>
      <c r="E13" s="6" t="n"/>
    </row>
    <row r="14">
      <c r="A14" s="52" t="inlineStr">
        <is>
          <t>Update Trigger Coverage</t>
        </is>
      </c>
      <c r="B14" s="6" t="n"/>
      <c r="C14" s="6" t="n"/>
      <c r="D14" s="6" t="n"/>
      <c r="E14" s="6" t="n"/>
    </row>
    <row r="15">
      <c r="A15" s="46" t="inlineStr">
        <is>
          <t>Total Update Triggers Defined</t>
        </is>
      </c>
      <c r="B15" s="53">
        <f>COUNTA('Update Triggers &amp; Workflows'!A4:A15)</f>
        <v/>
      </c>
      <c r="C15" s="6" t="n"/>
      <c r="D15" s="6" t="n"/>
      <c r="E15" s="6" t="n"/>
    </row>
    <row r="16">
      <c r="A16" s="46" t="inlineStr">
        <is>
          <t>Triggers with Documented Workflow</t>
        </is>
      </c>
      <c r="B16" s="53">
        <f>COUNTIF('Update Triggers &amp; Workflows'!C4:C15,"Yes")</f>
        <v/>
      </c>
      <c r="C16" s="6" t="n"/>
      <c r="D16" s="6" t="n"/>
      <c r="E16" s="6" t="n"/>
    </row>
    <row r="17">
      <c r="A17" s="46" t="inlineStr">
        <is>
          <t>Fully Automated Triggers</t>
        </is>
      </c>
      <c r="B17" s="53">
        <f>COUNTIF('Update Triggers &amp; Workflows'!D4:D15,"Fully Automated")</f>
        <v/>
      </c>
      <c r="C17" s="6" t="n"/>
      <c r="D17" s="6" t="n"/>
      <c r="E17" s="6" t="n"/>
    </row>
    <row r="18">
      <c r="A18" s="52" t="inlineStr">
        <is>
          <t>Integration Architecture</t>
        </is>
      </c>
      <c r="B18" s="6" t="n"/>
      <c r="C18" s="6" t="n"/>
      <c r="D18" s="6" t="n"/>
      <c r="E18" s="6" t="n"/>
    </row>
    <row r="19">
      <c r="A19" s="46" t="inlineStr">
        <is>
          <t>Total Integrations Monitored</t>
        </is>
      </c>
      <c r="B19" s="53">
        <f>COUNTA('Integration Architecture'!A4:A15)</f>
        <v/>
      </c>
      <c r="C19" s="6" t="n"/>
      <c r="D19" s="6" t="n"/>
      <c r="E19" s="6" t="n"/>
    </row>
    <row r="20">
      <c r="A20" s="46" t="inlineStr">
        <is>
          <t>Active Integrations</t>
        </is>
      </c>
      <c r="B20" s="53">
        <f>COUNTIF('Integration Architecture'!E4:E15,"Active")</f>
        <v/>
      </c>
      <c r="C20" s="6" t="n"/>
      <c r="D20" s="6" t="n"/>
      <c r="E20" s="6" t="n"/>
    </row>
    <row r="21">
      <c r="A21" s="46" t="inlineStr">
        <is>
          <t>Healthy Integrations</t>
        </is>
      </c>
      <c r="B21" s="53">
        <f>COUNTIF('Integration Architecture'!H4:H15,"✅ Healthy")</f>
        <v/>
      </c>
      <c r="C21" s="6" t="n"/>
      <c r="D21" s="6" t="n"/>
      <c r="E21" s="6" t="n"/>
    </row>
    <row r="22">
      <c r="A22" s="52" t="inlineStr">
        <is>
          <t>Quality Control</t>
        </is>
      </c>
      <c r="B22" s="6" t="n"/>
      <c r="C22" s="6" t="n"/>
      <c r="D22" s="6" t="n"/>
      <c r="E22" s="6" t="n"/>
    </row>
    <row r="23">
      <c r="A23" s="46" t="inlineStr">
        <is>
          <t>Integration Failures (Failed Status)</t>
        </is>
      </c>
      <c r="B23" s="53">
        <f>COUNTIF('Integration Architecture'!H4:H15,"❌ Failed")</f>
        <v/>
      </c>
      <c r="C23" s="6" t="n"/>
      <c r="D23" s="6" t="n"/>
      <c r="E23" s="6" t="n"/>
    </row>
    <row r="24">
      <c r="A24" s="46" t="inlineStr">
        <is>
          <t>Degraded Integrations</t>
        </is>
      </c>
      <c r="B24" s="53">
        <f>COUNTIF('Integration Architecture'!H4:H15,"⚠️ Degraded")</f>
        <v/>
      </c>
      <c r="C24" s="6" t="n"/>
      <c r="D24" s="6" t="n"/>
      <c r="E24" s="6" t="n"/>
    </row>
    <row r="25">
      <c r="A25" s="52" t="inlineStr">
        <is>
          <t>Gaps &amp; Evidence</t>
        </is>
      </c>
      <c r="B25" s="6" t="n"/>
      <c r="C25" s="6" t="n"/>
      <c r="D25" s="6" t="n"/>
      <c r="E25" s="6" t="n"/>
    </row>
    <row r="26">
      <c r="A26" s="46" t="inlineStr">
        <is>
          <t>Triggers Without Documented Workflow</t>
        </is>
      </c>
      <c r="B26" s="53">
        <f>COUNTIF('Update Triggers &amp; Workflows'!C4:C15,"No")</f>
        <v/>
      </c>
      <c r="C26" s="6" t="n"/>
      <c r="D26" s="6" t="n"/>
      <c r="E26" s="6" t="n"/>
    </row>
    <row r="27">
      <c r="A27" s="46" t="inlineStr">
        <is>
          <t>Unverified Evidence Items</t>
        </is>
      </c>
      <c r="B27" s="53">
        <f>COUNTIF('Evidence Register'!H6:H105,"Not verified")</f>
        <v/>
      </c>
      <c r="C27" s="6" t="n"/>
      <c r="D27" s="6" t="n"/>
      <c r="E27" s="6" t="n"/>
    </row>
    <row r="28" ht="6" customHeight="1"/>
    <row r="29">
      <c r="A29" s="54" t="inlineStr">
        <is>
          <t>TABLE 3: CRITICAL FINDINGS &amp; RISK INDICATORS</t>
        </is>
      </c>
      <c r="B29" s="6" t="n"/>
      <c r="C29" s="6" t="n"/>
      <c r="D29" s="6" t="n"/>
      <c r="E29" s="6" t="n"/>
    </row>
    <row r="30">
      <c r="A30" s="45" t="inlineStr">
        <is>
          <t>Critical Finding</t>
        </is>
      </c>
      <c r="B30" s="45" t="inlineStr">
        <is>
          <t>Count</t>
        </is>
      </c>
      <c r="C30" s="45" t="inlineStr">
        <is>
          <t>Severity</t>
        </is>
      </c>
      <c r="D30" s="45" t="inlineStr">
        <is>
          <t>ISO Reference</t>
        </is>
      </c>
      <c r="E30" s="45" t="inlineStr">
        <is>
          <t>Action Required</t>
        </is>
      </c>
    </row>
    <row r="31">
      <c r="A31" s="55" t="inlineStr">
        <is>
          <t>Update triggers with no documented workflow</t>
        </is>
      </c>
      <c r="B31" s="56">
        <f>COUNTIF('Update Triggers &amp; Workflows'!C4:C15,"No")</f>
        <v/>
      </c>
      <c r="C31" s="56" t="inlineStr">
        <is>
          <t>CRITICAL</t>
        </is>
      </c>
      <c r="D31" s="56" t="inlineStr">
        <is>
          <t>A.5.9 §3.3</t>
        </is>
      </c>
      <c r="E31" s="55" t="inlineStr">
        <is>
          <t>Immediate — undocumented triggers lead to missed inventory updates and stale data</t>
        </is>
      </c>
    </row>
    <row r="32">
      <c r="A32" s="55" t="inlineStr">
        <is>
          <t>Integration feeds with failed health status</t>
        </is>
      </c>
      <c r="B32" s="56">
        <f>COUNTIF('Integration Architecture'!H4:H15,"❌ Failed")</f>
        <v/>
      </c>
      <c r="C32" s="56" t="inlineStr">
        <is>
          <t>CRITICAL</t>
        </is>
      </c>
      <c r="D32" s="56" t="inlineStr">
        <is>
          <t>A.5.9 §3.3</t>
        </is>
      </c>
      <c r="E32" s="55" t="inlineStr">
        <is>
          <t>Immediate — failed feeds create silent data gaps in the inventory</t>
        </is>
      </c>
    </row>
    <row r="33">
      <c r="A33" s="57" t="inlineStr">
        <is>
          <t>Integration feeds with degraded status</t>
        </is>
      </c>
      <c r="B33" s="58">
        <f>COUNTIF('Integration Architecture'!H4:H15,"⚠️ Degraded")</f>
        <v/>
      </c>
      <c r="C33" s="58" t="inlineStr">
        <is>
          <t>HIGH</t>
        </is>
      </c>
      <c r="D33" s="58" t="inlineStr">
        <is>
          <t>A.5.9 §3.3</t>
        </is>
      </c>
      <c r="E33" s="57" t="inlineStr">
        <is>
          <t>Urgent — degraded integrations reduce data quality and timeliness</t>
        </is>
      </c>
    </row>
    <row r="34">
      <c r="A34" s="57" t="inlineStr">
        <is>
          <t>Update triggers with no SLA compliance</t>
        </is>
      </c>
      <c r="B34" s="58">
        <f>COUNTIF('Update Triggers &amp; Workflows'!H4:H15,"❌ Non-Compliant")</f>
        <v/>
      </c>
      <c r="C34" s="58" t="inlineStr">
        <is>
          <t>HIGH</t>
        </is>
      </c>
      <c r="D34" s="58" t="inlineStr">
        <is>
          <t>A.5.9 §3.3</t>
        </is>
      </c>
      <c r="E34" s="57" t="inlineStr">
        <is>
          <t>Urgent — SLA breaches lead to stale inventory data</t>
        </is>
      </c>
    </row>
    <row r="35">
      <c r="A35" s="57" t="inlineStr">
        <is>
          <t>Critical triggers with no automation (ad-hoc)</t>
        </is>
      </c>
      <c r="B35" s="58">
        <f>COUNTIF('Update Triggers &amp; Workflows'!D4:D15,"Manual (Ad-hoc)")</f>
        <v/>
      </c>
      <c r="C35" s="58" t="inlineStr">
        <is>
          <t>HIGH</t>
        </is>
      </c>
      <c r="D35" s="58" t="inlineStr">
        <is>
          <t>A.5.9 §3.3</t>
        </is>
      </c>
      <c r="E35" s="57" t="inlineStr">
        <is>
          <t>Plan — manual ad-hoc processes are unreliable for critical update triggers</t>
        </is>
      </c>
    </row>
    <row r="36">
      <c r="A36" s="57" t="inlineStr">
        <is>
          <t>Integrations not in active status</t>
        </is>
      </c>
      <c r="B36" s="58">
        <f>COUNTA('Integration Architecture'!A4:A15)-COUNTIF('Integration Architecture'!E4:E15,"Active")</f>
        <v/>
      </c>
      <c r="C36" s="58" t="inlineStr">
        <is>
          <t>HIGH</t>
        </is>
      </c>
      <c r="D36" s="58" t="inlineStr">
        <is>
          <t>A.5.9 §3.3</t>
        </is>
      </c>
      <c r="E36" s="57" t="inlineStr">
        <is>
          <t>Plan — inactive integrations should be decommissioned or reactivated</t>
        </is>
      </c>
    </row>
    <row r="37">
      <c r="A37" s="59" t="inlineStr">
        <is>
          <t>Triggers with partial workflow only</t>
        </is>
      </c>
      <c r="B37" s="60">
        <f>COUNTIF('Update Triggers &amp; Workflows'!C4:C15,"Partial")</f>
        <v/>
      </c>
      <c r="C37" s="60" t="inlineStr">
        <is>
          <t>MEDIUM</t>
        </is>
      </c>
      <c r="D37" s="60" t="inlineStr">
        <is>
          <t>A.5.9 §3.3</t>
        </is>
      </c>
      <c r="E37" s="59" t="inlineStr">
        <is>
          <t>Plan — partial workflows require completion for reliable inventory maintenance</t>
        </is>
      </c>
    </row>
    <row r="38">
      <c r="A38" s="59" t="inlineStr">
        <is>
          <t>Unverified evidence items</t>
        </is>
      </c>
      <c r="B38" s="60">
        <f>COUNTIF('Evidence Register'!H6:H105,"Not verified")</f>
        <v/>
      </c>
      <c r="C38" s="60" t="inlineStr">
        <is>
          <t>MEDIUM</t>
        </is>
      </c>
      <c r="D38" s="60" t="inlineStr">
        <is>
          <t>A.5.9 §3</t>
        </is>
      </c>
      <c r="E38" s="59" t="inlineStr">
        <is>
          <t>Plan — evidence requires verification before next audit</t>
        </is>
      </c>
    </row>
  </sheetData>
  <mergeCells count="9">
    <mergeCell ref="A29:E29"/>
    <mergeCell ref="A4:E4"/>
    <mergeCell ref="A2:E2"/>
    <mergeCell ref="A25:E25"/>
    <mergeCell ref="A1:E1"/>
    <mergeCell ref="A13:E13"/>
    <mergeCell ref="A14:E14"/>
    <mergeCell ref="A22:E22"/>
    <mergeCell ref="A18:E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61" t="inlineStr">
        <is>
          <t>ASSESSMENT APPROVAL AND SIGN-OFF</t>
        </is>
      </c>
      <c r="B1" s="6" t="n"/>
      <c r="C1" s="6" t="n"/>
      <c r="D1" s="6" t="n"/>
      <c r="E1" s="6" t="n"/>
    </row>
    <row r="2">
      <c r="A2" s="62" t="inlineStr">
        <is>
          <t>ISO/IEC 27001:2022 - Control A.5.9: Inventory of Information and Assets</t>
        </is>
      </c>
      <c r="B2" s="6" t="n"/>
      <c r="C2" s="6" t="n"/>
      <c r="D2" s="6" t="n"/>
      <c r="E2" s="6" t="n"/>
    </row>
    <row r="3">
      <c r="A3" s="63" t="inlineStr">
        <is>
          <t>ASSESSMENT SUMMARY</t>
        </is>
      </c>
      <c r="B3" s="6" t="n"/>
      <c r="C3" s="6" t="n"/>
      <c r="D3" s="6" t="n"/>
      <c r="E3" s="6" t="n"/>
    </row>
    <row r="4">
      <c r="A4" s="3" t="inlineStr">
        <is>
          <t>Document:</t>
        </is>
      </c>
      <c r="B4" s="6" t="inlineStr">
        <is>
          <t>ISMS-IMP-A.5.9.2 - Inventory Maintenance</t>
        </is>
      </c>
      <c r="C4" s="6" t="n"/>
      <c r="D4" s="6" t="n"/>
      <c r="E4" s="6" t="n"/>
    </row>
    <row r="5">
      <c r="A5" s="3" t="inlineStr">
        <is>
          <t>Assessment Period:</t>
        </is>
      </c>
      <c r="B5" s="23" t="inlineStr"/>
      <c r="C5" s="6" t="n"/>
      <c r="D5" s="6" t="n"/>
      <c r="E5" s="6" t="n"/>
    </row>
    <row r="6">
      <c r="A6" s="3" t="inlineStr">
        <is>
          <t>Overall Compliance Rating:</t>
        </is>
      </c>
      <c r="B6" s="64">
        <f>IFERROR(AVERAGE('Summary Dashboard'!G6:G10),"")</f>
        <v/>
      </c>
      <c r="C6" s="6" t="n"/>
      <c r="D6" s="6" t="n"/>
      <c r="E6" s="6" t="n"/>
    </row>
    <row r="7">
      <c r="A7" s="3" t="inlineStr">
        <is>
          <t>Assessment Status:</t>
        </is>
      </c>
      <c r="B7" s="23" t="inlineStr"/>
      <c r="C7" s="6" t="n"/>
      <c r="D7" s="6" t="n"/>
      <c r="E7" s="6" t="n"/>
    </row>
    <row r="8">
      <c r="A8" s="3" t="inlineStr">
        <is>
          <t>Assessed By:</t>
        </is>
      </c>
      <c r="B8" s="23" t="inlineStr"/>
      <c r="C8" s="6" t="n"/>
      <c r="D8" s="6" t="n"/>
      <c r="E8" s="6" t="n"/>
    </row>
    <row r="11">
      <c r="A11" s="63" t="inlineStr">
        <is>
          <t>COMPLETED BY (ASSESSOR)</t>
        </is>
      </c>
      <c r="B11" s="6" t="n"/>
      <c r="C11" s="6" t="n"/>
      <c r="D11" s="6" t="n"/>
      <c r="E11" s="6" t="n"/>
    </row>
    <row r="12">
      <c r="A12" s="3" t="inlineStr">
        <is>
          <t>Name:</t>
        </is>
      </c>
      <c r="B12" s="23" t="n"/>
      <c r="C12" s="6" t="n"/>
      <c r="D12" s="6" t="n"/>
      <c r="E12" s="6" t="n"/>
    </row>
    <row r="13">
      <c r="A13" s="3" t="inlineStr">
        <is>
          <t>Title:</t>
        </is>
      </c>
      <c r="B13" s="23" t="n"/>
      <c r="C13" s="6" t="n"/>
      <c r="D13" s="6" t="n"/>
      <c r="E13" s="6" t="n"/>
    </row>
    <row r="14">
      <c r="A14" s="3" t="inlineStr">
        <is>
          <t>Date:</t>
        </is>
      </c>
      <c r="B14" s="23" t="n"/>
      <c r="C14" s="6" t="n"/>
      <c r="D14" s="6" t="n"/>
      <c r="E14" s="6" t="n"/>
    </row>
    <row r="15">
      <c r="A15" s="3" t="inlineStr">
        <is>
          <t>Signature:</t>
        </is>
      </c>
      <c r="B15" s="23" t="n"/>
      <c r="C15" s="6" t="n"/>
      <c r="D15" s="6" t="n"/>
      <c r="E15" s="6" t="n"/>
    </row>
    <row r="16">
      <c r="A16" s="3" t="inlineStr">
        <is>
          <t>Comments:</t>
        </is>
      </c>
      <c r="B16" s="23" t="n"/>
      <c r="C16" s="6" t="n"/>
      <c r="D16" s="6" t="n"/>
      <c r="E16" s="6" t="n"/>
    </row>
    <row r="18">
      <c r="A18" s="63" t="inlineStr">
        <is>
          <t>REVIEWED BY (INFORMATION SECURITY OFFICER)</t>
        </is>
      </c>
      <c r="B18" s="6" t="n"/>
      <c r="C18" s="6" t="n"/>
      <c r="D18" s="6" t="n"/>
      <c r="E18" s="6" t="n"/>
    </row>
    <row r="19">
      <c r="A19" s="3" t="inlineStr">
        <is>
          <t>Name:</t>
        </is>
      </c>
      <c r="B19" s="23" t="n"/>
      <c r="C19" s="6" t="n"/>
      <c r="D19" s="6" t="n"/>
      <c r="E19" s="6" t="n"/>
    </row>
    <row r="20">
      <c r="A20" s="3" t="inlineStr">
        <is>
          <t>Title:</t>
        </is>
      </c>
      <c r="B20" s="23" t="n"/>
      <c r="C20" s="6" t="n"/>
      <c r="D20" s="6" t="n"/>
      <c r="E20" s="6" t="n"/>
    </row>
    <row r="21">
      <c r="A21" s="3" t="inlineStr">
        <is>
          <t>Date:</t>
        </is>
      </c>
      <c r="B21" s="23" t="n"/>
      <c r="C21" s="6" t="n"/>
      <c r="D21" s="6" t="n"/>
      <c r="E21" s="6" t="n"/>
    </row>
    <row r="22">
      <c r="A22" s="3" t="inlineStr">
        <is>
          <t>Signature:</t>
        </is>
      </c>
      <c r="B22" s="23" t="n"/>
      <c r="C22" s="6" t="n"/>
      <c r="D22" s="6" t="n"/>
      <c r="E22" s="6" t="n"/>
    </row>
    <row r="23">
      <c r="A23" s="3" t="inlineStr">
        <is>
          <t>Comments:</t>
        </is>
      </c>
      <c r="B23" s="23" t="n"/>
      <c r="C23" s="6" t="n"/>
      <c r="D23" s="6" t="n"/>
      <c r="E23" s="6" t="n"/>
    </row>
    <row r="25">
      <c r="A25" s="65" t="inlineStr">
        <is>
          <t>APPROVED BY (CISO)</t>
        </is>
      </c>
      <c r="B25" s="6" t="n"/>
      <c r="C25" s="6" t="n"/>
      <c r="D25" s="6" t="n"/>
      <c r="E25" s="6" t="n"/>
    </row>
    <row r="26">
      <c r="A26" s="3" t="inlineStr">
        <is>
          <t>Name:</t>
        </is>
      </c>
      <c r="B26" s="23" t="n"/>
      <c r="C26" s="6" t="n"/>
      <c r="D26" s="6" t="n"/>
      <c r="E26" s="6" t="n"/>
    </row>
    <row r="27">
      <c r="A27" s="3" t="inlineStr">
        <is>
          <t>Title:</t>
        </is>
      </c>
      <c r="B27" s="23" t="n"/>
      <c r="C27" s="6" t="n"/>
      <c r="D27" s="6" t="n"/>
      <c r="E27" s="6" t="n"/>
    </row>
    <row r="28">
      <c r="A28" s="3" t="inlineStr">
        <is>
          <t>Date:</t>
        </is>
      </c>
      <c r="B28" s="23" t="n"/>
      <c r="C28" s="6" t="n"/>
      <c r="D28" s="6" t="n"/>
      <c r="E28" s="6" t="n"/>
    </row>
    <row r="29">
      <c r="A29" s="3" t="inlineStr">
        <is>
          <t>Signature:</t>
        </is>
      </c>
      <c r="B29" s="23" t="n"/>
      <c r="C29" s="6" t="n"/>
      <c r="D29" s="6" t="n"/>
      <c r="E29" s="6" t="n"/>
    </row>
    <row r="30">
      <c r="A30" s="3" t="inlineStr">
        <is>
          <t>Comments:</t>
        </is>
      </c>
      <c r="B30" s="23" t="n"/>
      <c r="C30" s="6" t="n"/>
      <c r="D30" s="6" t="n"/>
      <c r="E30" s="6" t="n"/>
    </row>
    <row r="32">
      <c r="A32" s="3" t="inlineStr">
        <is>
          <t>FINAL DECISION:</t>
        </is>
      </c>
      <c r="B32" s="23" t="n"/>
      <c r="C32" s="6" t="n"/>
      <c r="D32" s="6" t="n"/>
      <c r="E32" s="6" t="n"/>
    </row>
    <row r="35">
      <c r="A35" s="63" t="inlineStr">
        <is>
          <t>NEXT REVIEW DETAILS</t>
        </is>
      </c>
      <c r="B35" s="6" t="n"/>
      <c r="C35" s="6" t="n"/>
      <c r="D35" s="6" t="n"/>
      <c r="E35" s="6" t="n"/>
    </row>
    <row r="36">
      <c r="A36" s="3" t="inlineStr">
        <is>
          <t>Next Review Date:</t>
        </is>
      </c>
      <c r="B36" s="23" t="n"/>
      <c r="C36" s="6" t="n"/>
      <c r="D36" s="6" t="n"/>
      <c r="E36" s="6" t="n"/>
    </row>
    <row r="37">
      <c r="A37" s="3" t="inlineStr">
        <is>
          <t>Review Responsible:</t>
        </is>
      </c>
      <c r="B37" s="23" t="n"/>
      <c r="C37" s="6" t="n"/>
      <c r="D37" s="6" t="n"/>
      <c r="E37" s="6" t="n"/>
    </row>
    <row r="38">
      <c r="A38" s="3" t="inlineStr">
        <is>
          <t>Special Considerations:</t>
        </is>
      </c>
      <c r="B38" s="2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ISMS-IMP-A.5.9.2 — Inventory Maintenance</dc:title>
  <dc:description xmlns:dc="http://purl.org/dc/elements/1.1/">ISMS Implementation Workbook — ISMS-IMP-A.5.9.2</dc:description>
  <dc:subject xmlns:dc="http://purl.org/dc/elements/1.1/">ISO/IEC 27001:2022 — Control A.5.9: Inventory of Information and Assets</dc:subject>
  <dcterms:created xmlns:dcterms="http://purl.org/dc/terms/" xmlns:xsi="http://www.w3.org/2001/XMLSchema-instance" xsi:type="dcterms:W3CDTF">2026-03-01T16:57:40Z</dcterms:created>
  <dcterms:modified xmlns:dcterms="http://purl.org/dc/terms/" xmlns:xsi="http://www.w3.org/2001/XMLSchema-instance" xsi:type="dcterms:W3CDTF">2026-03-01T16:57:40Z</dcterms:modified>
</cp:coreProperties>
</file>