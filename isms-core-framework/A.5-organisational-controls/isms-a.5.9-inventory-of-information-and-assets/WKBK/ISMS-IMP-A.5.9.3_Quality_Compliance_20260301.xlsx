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uracy Sampling" sheetId="2" state="visible" r:id="rId2"/>
    <sheet xmlns:r="http://schemas.openxmlformats.org/officeDocument/2006/relationships" name="Completeness Assessment" sheetId="3" state="visible" r:id="rId3"/>
    <sheet xmlns:r="http://schemas.openxmlformats.org/officeDocument/2006/relationships" name="Currency Assessment" sheetId="4" state="visible" r:id="rId4"/>
    <sheet xmlns:r="http://schemas.openxmlformats.org/officeDocument/2006/relationships" name="Consistency Checks" sheetId="5" state="visible" r:id="rId5"/>
    <sheet xmlns:r="http://schemas.openxmlformats.org/officeDocument/2006/relationships" name="Policy Compliance Matrix" sheetId="6" state="visible" r:id="rId6"/>
    <sheet xmlns:r="http://schemas.openxmlformats.org/officeDocument/2006/relationships" name="Quality Metrics &amp; Scoring"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color rgb="00003366"/>
      <sz val="10"/>
    </font>
    <font>
      <b val="1"/>
      <color rgb="00FFFFFF"/>
    </font>
    <font>
      <b val="1"/>
      <color rgb="00FFFFFF"/>
      <sz val="12"/>
    </font>
    <font>
      <b val="1"/>
    </font>
    <font>
      <b val="1"/>
      <sz val="12"/>
    </font>
    <font>
      <b val="1"/>
      <color rgb="009C0006"/>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bgColor rgb="00F2F2F2"/>
      </patternFill>
    </fill>
    <fill>
      <patternFill patternType="solid">
        <fgColor rgb="00FFFFCC"/>
        <bgColor rgb="00FFFFCC"/>
      </patternFill>
    </fill>
    <fill>
      <patternFill patternType="solid">
        <fgColor rgb="004472C4"/>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xf>
    <xf numFmtId="0" fontId="6" fillId="0" borderId="0" applyAlignment="1" pivotButton="0" quotePrefix="0" xfId="0">
      <alignment horizontal="center" vertical="center"/>
    </xf>
    <xf numFmtId="0" fontId="7" fillId="2" borderId="0" applyAlignment="1" pivotButton="0" quotePrefix="0" xfId="0">
      <alignment horizontal="center" wrapText="1"/>
    </xf>
    <xf numFmtId="0" fontId="0" fillId="8" borderId="1" pivotButton="0" quotePrefix="0" xfId="0"/>
    <xf numFmtId="0" fontId="0" fillId="9" borderId="1" pivotButton="0" quotePrefix="0" xfId="0"/>
    <xf numFmtId="0" fontId="8" fillId="10" borderId="0" pivotButton="0" quotePrefix="0" xfId="0"/>
    <xf numFmtId="0" fontId="9" fillId="0" borderId="0" pivotButton="0" quotePrefix="0" xfId="0"/>
    <xf numFmtId="164" fontId="10" fillId="6" borderId="0" pivotButton="0" quotePrefix="0" xfId="0"/>
    <xf numFmtId="164" fontId="0" fillId="0" borderId="0" pivotButton="0" quotePrefix="0" xfId="0"/>
    <xf numFmtId="0" fontId="9" fillId="0" borderId="0" applyAlignment="1" pivotButton="0" quotePrefix="0" xfId="0">
      <alignment horizontal="center"/>
    </xf>
    <xf numFmtId="0" fontId="7" fillId="2" borderId="0" pivotButton="0" quotePrefix="0" xfId="0"/>
    <xf numFmtId="164" fontId="0" fillId="8" borderId="1" pivotButton="0" quotePrefix="0" xfId="0"/>
    <xf numFmtId="0" fontId="0" fillId="8" borderId="1" applyAlignment="1" pivotButton="0" quotePrefix="0" xfId="0">
      <alignment horizontal="center"/>
    </xf>
    <xf numFmtId="164" fontId="0" fillId="9" borderId="1" pivotButton="0" quotePrefix="0" xfId="0"/>
    <xf numFmtId="0" fontId="0" fillId="9" borderId="1" applyAlignment="1" pivotButton="0" quotePrefix="0" xfId="0">
      <alignment horizontal="center"/>
    </xf>
    <xf numFmtId="0" fontId="0" fillId="8" borderId="1" applyAlignment="1" pivotButton="0" quotePrefix="0" xfId="0">
      <alignment wrapText="1"/>
    </xf>
    <xf numFmtId="0" fontId="0" fillId="9" borderId="1" applyAlignment="1" pivotButton="0" quotePrefix="0" xfId="0">
      <alignment wrapText="1"/>
    </xf>
    <xf numFmtId="0" fontId="11" fillId="0" borderId="0" pivotButton="0" quotePrefix="0" xfId="0"/>
    <xf numFmtId="164" fontId="9" fillId="0" borderId="0" pivotButton="0" quotePrefix="0" xfId="0"/>
    <xf numFmtId="0" fontId="0" fillId="0" borderId="0" applyAlignment="1" pivotButton="0" quotePrefix="0" xfId="0">
      <alignment horizontal="center"/>
    </xf>
    <xf numFmtId="0" fontId="10" fillId="0" borderId="0" pivotButton="0" quotePrefix="0" xfId="0"/>
    <xf numFmtId="164" fontId="12" fillId="6" borderId="0" pivotButton="0" quotePrefix="0" xfId="0"/>
    <xf numFmtId="0" fontId="13" fillId="10" borderId="0" pivotButton="0" quotePrefix="0" xfId="0"/>
    <xf numFmtId="0" fontId="1" fillId="11" borderId="1" applyAlignment="1" pivotButton="0" quotePrefix="0" xfId="0">
      <alignment horizontal="center" vertical="center"/>
    </xf>
    <xf numFmtId="0" fontId="14" fillId="0"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1" pivotButton="0" quotePrefix="0" xfId="0"/>
    <xf numFmtId="0" fontId="0" fillId="9" borderId="1" applyAlignment="1" pivotButton="0" quotePrefix="0" xfId="0">
      <alignment vertical="center"/>
    </xf>
    <xf numFmtId="0" fontId="17" fillId="12" borderId="1" applyAlignment="1" pivotButton="0" quotePrefix="0" xfId="0">
      <alignment horizontal="left" vertical="center"/>
    </xf>
    <xf numFmtId="0" fontId="18" fillId="12" borderId="1" applyAlignment="1" pivotButton="0" quotePrefix="0" xfId="0">
      <alignment horizontal="left" vertical="center"/>
    </xf>
    <xf numFmtId="0" fontId="19" fillId="13" borderId="1" applyAlignment="1" pivotButton="0" quotePrefix="0" xfId="0">
      <alignment horizontal="center" vertical="center"/>
    </xf>
    <xf numFmtId="0" fontId="20" fillId="0" borderId="1" applyAlignment="1" pivotButton="0" quotePrefix="0" xfId="0">
      <alignment horizontal="left" vertical="center"/>
    </xf>
    <xf numFmtId="0" fontId="0" fillId="0" borderId="1" applyAlignment="1" pivotButton="0" quotePrefix="0" xfId="0">
      <alignment horizontal="center"/>
    </xf>
    <xf numFmtId="165"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5" fontId="4" fillId="13" borderId="1" applyAlignment="1" pivotButton="0" quotePrefix="0" xfId="0">
      <alignment horizontal="center" vertical="center"/>
    </xf>
    <xf numFmtId="0" fontId="19" fillId="13" borderId="1" applyAlignment="1" pivotButton="0" quotePrefix="0" xfId="0">
      <alignment horizontal="left" vertical="center"/>
    </xf>
    <xf numFmtId="0" fontId="4" fillId="0" borderId="1" applyAlignment="1" pivotButton="0" quotePrefix="0" xfId="0">
      <alignment horizontal="center"/>
    </xf>
    <xf numFmtId="0" fontId="18" fillId="14" borderId="1" applyAlignment="1" pivotButton="0" quotePrefix="0" xfId="0">
      <alignment horizontal="left" vertical="center"/>
    </xf>
    <xf numFmtId="0" fontId="21" fillId="15" borderId="1" applyAlignment="1" pivotButton="0" quotePrefix="0" xfId="0">
      <alignment horizontal="left" vertical="center" wrapText="1"/>
    </xf>
    <xf numFmtId="0" fontId="21" fillId="15" borderId="1" applyAlignment="1" pivotButton="0" quotePrefix="0" xfId="0">
      <alignment horizontal="center"/>
    </xf>
    <xf numFmtId="0" fontId="22" fillId="16" borderId="1" applyAlignment="1" pivotButton="0" quotePrefix="0" xfId="0">
      <alignment horizontal="left" vertical="center" wrapText="1"/>
    </xf>
    <xf numFmtId="0" fontId="22" fillId="16" borderId="1" applyAlignment="1" pivotButton="0" quotePrefix="0" xfId="0">
      <alignment horizontal="center"/>
    </xf>
    <xf numFmtId="0" fontId="23" fillId="17" borderId="1" applyAlignment="1" pivotButton="0" quotePrefix="0" xfId="0">
      <alignment horizontal="left" vertical="center" wrapText="1"/>
    </xf>
    <xf numFmtId="0" fontId="23" fillId="17" borderId="1" applyAlignment="1" pivotButton="0" quotePrefix="0" xfId="0">
      <alignment horizontal="center"/>
    </xf>
    <xf numFmtId="0" fontId="1" fillId="11" borderId="1" applyAlignment="1" pivotButton="0" quotePrefix="0" xfId="0">
      <alignment horizontal="center" vertical="center" wrapText="1"/>
    </xf>
    <xf numFmtId="0" fontId="24" fillId="0" borderId="1" applyAlignment="1" pivotButton="0" quotePrefix="0" xfId="0">
      <alignment horizontal="center" vertical="center"/>
    </xf>
    <xf numFmtId="0" fontId="18" fillId="12" borderId="1" pivotButton="0" quotePrefix="0" xfId="0"/>
    <xf numFmtId="165" fontId="0" fillId="0" borderId="1" pivotButton="0" quotePrefix="0" xfId="0"/>
    <xf numFmtId="0" fontId="18"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ISMS-IMP-A.5.9.3  -  Quality Compliance
ISO/IEC 27001:2022 - Control A.5.9: Inventory of Information and Assets</t>
        </is>
      </c>
    </row>
    <row r="3">
      <c r="A3" s="2" t="inlineStr">
        <is>
          <t>Document Information</t>
        </is>
      </c>
    </row>
    <row r="4">
      <c r="A4" s="3" t="inlineStr">
        <is>
          <t>Document ID</t>
        </is>
      </c>
      <c r="B4" t="inlineStr">
        <is>
          <t>ISMS-IMP-A.5.9.3</t>
        </is>
      </c>
    </row>
    <row r="5">
      <c r="A5" s="3" t="inlineStr">
        <is>
          <t>Workbook Title</t>
        </is>
      </c>
      <c r="B5" t="inlineStr">
        <is>
          <t>Quality Compliance</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Accuracy Sampling sheet using statistical sampling methodology.</t>
        </is>
      </c>
    </row>
    <row r="14">
      <c r="A14" t="inlineStr">
        <is>
          <t>2. Complete the Completeness Assessment sheet for all mandatory fields.</t>
        </is>
      </c>
    </row>
    <row r="15">
      <c r="A15" t="inlineStr">
        <is>
          <t>3. Complete the Currency Assessment sheet for data freshness verification.</t>
        </is>
      </c>
    </row>
    <row r="16">
      <c r="A16" t="inlineStr">
        <is>
          <t>4. Complete the Consistency Checks sheet for cross-system alignment.</t>
        </is>
      </c>
    </row>
    <row r="17">
      <c r="A17" t="inlineStr">
        <is>
          <t>5. Complete the Policy Compliance Matrix sheet for policy adherence.</t>
        </is>
      </c>
    </row>
    <row r="18">
      <c r="A18" t="inlineStr">
        <is>
          <t>6. Review the Quality Metrics and Scoring sheet for the overall quality index.</t>
        </is>
      </c>
    </row>
    <row r="19">
      <c r="A19" t="inlineStr">
        <is>
          <t>7. Link evidence in the Evidence Register sheet.</t>
        </is>
      </c>
    </row>
    <row r="20">
      <c r="A20" t="inlineStr">
        <is>
          <t>8. Obtain approvals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6"/>
  <sheetViews>
    <sheetView showGridLines="0" workbookViewId="0">
      <selection activeCell="A1" sqref="A1"/>
    </sheetView>
  </sheetViews>
  <sheetFormatPr baseColWidth="8" defaultRowHeight="15"/>
  <cols>
    <col width="15" customWidth="1" min="1" max="1"/>
    <col width="25" customWidth="1" min="2" max="2"/>
    <col width="25" customWidth="1" min="3" max="3"/>
    <col width="30" customWidth="1" min="4" max="4"/>
    <col width="30" customWidth="1" min="5" max="5"/>
    <col width="30" customWidth="1" min="6" max="6"/>
    <col width="12" customWidth="1" min="7" max="7"/>
    <col width="25" customWidth="1" min="8" max="8"/>
    <col width="30" customWidth="1" min="9" max="9"/>
    <col width="20" customWidth="1" min="10" max="10"/>
    <col width="18" customWidth="1" min="11" max="11"/>
    <col width="15" customWidth="1" min="12" max="12"/>
    <col width="15" customWidth="1" min="13" max="13"/>
    <col width="30" customWidth="1" min="14" max="14"/>
  </cols>
  <sheetData>
    <row r="1" ht="35" customHeight="1">
      <c r="A1" s="11" t="inlineStr">
        <is>
          <t>ACCURACY SAMPLING</t>
        </is>
      </c>
    </row>
    <row r="2" ht="16" customHeight="1">
      <c r="A2" s="12" t="inlineStr">
        <is>
          <t>ISO/IEC 27001:2022 - Control A.5.9: Inventory of Information and Assets</t>
        </is>
      </c>
    </row>
    <row r="3">
      <c r="A3" s="13" t="inlineStr">
        <is>
          <t>Sample ID</t>
        </is>
      </c>
      <c r="B3" s="13" t="inlineStr">
        <is>
          <t>Asset Category</t>
        </is>
      </c>
      <c r="C3" s="13" t="inlineStr">
        <is>
          <t>Asset ID (Inventory)</t>
        </is>
      </c>
      <c r="D3" s="13" t="inlineStr">
        <is>
          <t>Attribute Verified</t>
        </is>
      </c>
      <c r="E3" s="13" t="inlineStr">
        <is>
          <t>Inventory Value</t>
        </is>
      </c>
      <c r="F3" s="13" t="inlineStr">
        <is>
          <t>Ground Truth Value</t>
        </is>
      </c>
      <c r="G3" s="13" t="inlineStr">
        <is>
          <t>Match?</t>
        </is>
      </c>
      <c r="H3" s="13" t="inlineStr">
        <is>
          <t>Discrepancy Type</t>
        </is>
      </c>
      <c r="I3" s="13" t="inlineStr">
        <is>
          <t>Verification Method</t>
        </is>
      </c>
      <c r="J3" s="13" t="inlineStr">
        <is>
          <t>Verified By</t>
        </is>
      </c>
      <c r="K3" s="13" t="inlineStr">
        <is>
          <t>Verification Date</t>
        </is>
      </c>
      <c r="L3" s="13" t="inlineStr">
        <is>
          <t>Corrected?</t>
        </is>
      </c>
      <c r="M3" s="13" t="inlineStr">
        <is>
          <t>Evidence ID</t>
        </is>
      </c>
      <c r="N3" s="13" t="inlineStr">
        <is>
          <t>Notes</t>
        </is>
      </c>
    </row>
    <row r="4">
      <c r="A4" s="14" t="inlineStr">
        <is>
          <t>ACC-001</t>
        </is>
      </c>
      <c r="B4" s="14" t="inlineStr">
        <is>
          <t>Information Assets</t>
        </is>
      </c>
      <c r="C4" s="14" t="inlineStr">
        <is>
          <t>DB-PROD-001</t>
        </is>
      </c>
      <c r="D4" s="14" t="inlineStr">
        <is>
          <t>Database Size</t>
        </is>
      </c>
      <c r="E4" s="14" t="inlineStr">
        <is>
          <t>500 GB</t>
        </is>
      </c>
      <c r="F4" s="14" t="inlineStr">
        <is>
          <t>482 GB</t>
        </is>
      </c>
      <c r="G4" s="14" t="inlineStr">
        <is>
          <t>No</t>
        </is>
      </c>
      <c r="H4" s="14" t="n"/>
      <c r="I4" s="14" t="n"/>
      <c r="J4" s="14" t="n"/>
      <c r="K4" s="14" t="n"/>
      <c r="L4" s="14" t="n"/>
      <c r="M4" s="14" t="n"/>
      <c r="N4" s="14" t="n"/>
    </row>
    <row r="5">
      <c r="A5" s="15" t="inlineStr">
        <is>
          <t>ACC-002</t>
        </is>
      </c>
      <c r="B5" s="15" t="inlineStr">
        <is>
          <t>IT Infrastructure</t>
        </is>
      </c>
      <c r="C5" s="15" t="inlineStr">
        <is>
          <t>SRV-WEB-023</t>
        </is>
      </c>
      <c r="D5" s="15" t="inlineStr">
        <is>
          <t>IP Address</t>
        </is>
      </c>
      <c r="E5" s="15" t="inlineStr">
        <is>
          <t>10.1.2.45</t>
        </is>
      </c>
      <c r="F5" s="15" t="inlineStr">
        <is>
          <t>10.1.2.45</t>
        </is>
      </c>
      <c r="G5" s="15" t="inlineStr">
        <is>
          <t>Yes</t>
        </is>
      </c>
      <c r="H5" s="15" t="n"/>
      <c r="I5" s="15" t="n"/>
      <c r="J5" s="15" t="n"/>
      <c r="K5" s="15" t="n"/>
      <c r="L5" s="15" t="n"/>
      <c r="M5" s="15" t="n"/>
      <c r="N5" s="15" t="n"/>
    </row>
    <row r="6">
      <c r="A6" s="15" t="inlineStr">
        <is>
          <t>ACC-003</t>
        </is>
      </c>
      <c r="B6" s="15" t="inlineStr">
        <is>
          <t>Applications</t>
        </is>
      </c>
      <c r="C6" s="15" t="inlineStr">
        <is>
          <t>APP-JIRA-001</t>
        </is>
      </c>
      <c r="D6" s="15" t="inlineStr">
        <is>
          <t>Owner</t>
        </is>
      </c>
      <c r="E6" s="15" t="inlineStr">
        <is>
          <t>John Doe</t>
        </is>
      </c>
      <c r="F6" s="15" t="inlineStr">
        <is>
          <t>Jane Smith</t>
        </is>
      </c>
      <c r="G6" s="15" t="inlineStr">
        <is>
          <t>No</t>
        </is>
      </c>
      <c r="H6" s="15" t="n"/>
      <c r="I6" s="15" t="n"/>
      <c r="J6" s="15" t="n"/>
      <c r="K6" s="15" t="n"/>
      <c r="L6" s="15" t="n"/>
      <c r="M6" s="15" t="n"/>
      <c r="N6" s="15" t="n"/>
    </row>
    <row r="7">
      <c r="A7" s="15" t="inlineStr">
        <is>
          <t>ACC-004</t>
        </is>
      </c>
      <c r="B7" s="15" t="inlineStr">
        <is>
          <t>Personnel Assets</t>
        </is>
      </c>
      <c r="C7" s="15" t="inlineStr">
        <is>
          <t>PER-ENG-042</t>
        </is>
      </c>
      <c r="D7" s="15" t="inlineStr">
        <is>
          <t>Department</t>
        </is>
      </c>
      <c r="E7" s="15" t="inlineStr">
        <is>
          <t>Engineering</t>
        </is>
      </c>
      <c r="F7" s="15" t="inlineStr">
        <is>
          <t>Engineering</t>
        </is>
      </c>
      <c r="G7" s="15" t="inlineStr">
        <is>
          <t>Yes</t>
        </is>
      </c>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row r="56">
      <c r="A56" s="15" t="n"/>
      <c r="B56" s="15" t="n"/>
      <c r="C56" s="15" t="n"/>
      <c r="D56" s="15" t="n"/>
      <c r="E56" s="15" t="n"/>
      <c r="F56" s="15" t="n"/>
      <c r="G56" s="15" t="n"/>
      <c r="H56" s="15" t="n"/>
      <c r="I56" s="15" t="n"/>
      <c r="J56" s="15" t="n"/>
      <c r="K56" s="15" t="n"/>
      <c r="L56" s="15" t="n"/>
      <c r="M56" s="15" t="n"/>
      <c r="N56" s="15" t="n"/>
    </row>
    <row r="57">
      <c r="A57" s="15" t="n"/>
      <c r="B57" s="15" t="n"/>
      <c r="C57" s="15" t="n"/>
      <c r="D57" s="15" t="n"/>
      <c r="E57" s="15" t="n"/>
      <c r="F57" s="15" t="n"/>
      <c r="G57" s="15" t="n"/>
      <c r="H57" s="15" t="n"/>
      <c r="I57" s="15" t="n"/>
      <c r="J57" s="15" t="n"/>
      <c r="K57" s="15" t="n"/>
      <c r="L57" s="15" t="n"/>
      <c r="M57" s="15" t="n"/>
      <c r="N57" s="15" t="n"/>
    </row>
    <row r="60">
      <c r="A60" s="16" t="inlineStr">
        <is>
          <t>ACCURACY SAMPLING SUMMARY</t>
        </is>
      </c>
    </row>
    <row r="61">
      <c r="A61" t="inlineStr">
        <is>
          <t>Total Samples</t>
        </is>
      </c>
      <c r="B61" s="17">
        <f>COUNTA(A4:A7)</f>
        <v/>
      </c>
    </row>
    <row r="62">
      <c r="A62" t="inlineStr">
        <is>
          <t>Matches (Accurate)</t>
        </is>
      </c>
      <c r="B62" s="17">
        <f>COUNTIF(G4:G7,"Yes")</f>
        <v/>
      </c>
    </row>
    <row r="63">
      <c r="A63" t="inlineStr">
        <is>
          <t>Accuracy %</t>
        </is>
      </c>
      <c r="B63" s="18">
        <f>IFERROR(B62/B61*100,0)</f>
        <v/>
      </c>
    </row>
    <row r="64">
      <c r="A64" t="inlineStr">
        <is>
          <t>Target</t>
        </is>
      </c>
      <c r="B64" s="17" t="inlineStr">
        <is>
          <t>98%</t>
        </is>
      </c>
    </row>
    <row r="65">
      <c r="A65" t="inlineStr">
        <is>
          <t>Gap</t>
        </is>
      </c>
      <c r="B65" s="19">
        <f>B63-98</f>
        <v/>
      </c>
    </row>
    <row r="66">
      <c r="A66" t="inlineStr">
        <is>
          <t>Status</t>
        </is>
      </c>
      <c r="B66" s="20">
        <f>IF(B63&gt;=98,"✅ High Quality",IF(B63&gt;=93,"⚠️ Needs Improvement","❌ Poor Quality"))</f>
        <v/>
      </c>
    </row>
  </sheetData>
  <mergeCells count="2">
    <mergeCell ref="A2:N2"/>
    <mergeCell ref="A1:N1"/>
  </mergeCells>
  <dataValidations count="3">
    <dataValidation sqref="B4:B100" showDropDown="0" showInputMessage="0" showErrorMessage="0" allowBlank="1" type="list">
      <formula1>"Information Assets,IT Infrastructure,Applications,Physical Assets,Personnel Assets"</formula1>
    </dataValidation>
    <dataValidation sqref="G4:G100 L4:L100" showDropDown="0" showInputMessage="0" showErrorMessage="0" allowBlank="1" type="list">
      <formula1>"Yes,No"</formula1>
    </dataValidation>
    <dataValidation sqref="I4:I100" showDropDown="0" showInputMessage="0" showErrorMessage="0" allowBlank="1" type="list">
      <formula1>"Physical Inspection,Source System Query,Owner Confirmation,Network Scan Verification,HR System Verification,Procurement Records,Third-party Audit,Other (Specify)"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showGridLines="0" workbookViewId="0">
      <selection activeCell="A1" sqref="A1"/>
    </sheetView>
  </sheetViews>
  <sheetFormatPr baseColWidth="8" defaultRowHeight="15"/>
  <cols>
    <col width="25" customWidth="1" min="1" max="1"/>
    <col width="30" customWidth="1" min="2" max="2"/>
    <col width="15" customWidth="1" min="3" max="3"/>
    <col width="20" customWidth="1" min="4" max="4"/>
    <col width="16" customWidth="1" min="5" max="5"/>
    <col width="12" customWidth="1" min="6" max="6"/>
    <col width="12" customWidth="1" min="7" max="7"/>
    <col width="18" customWidth="1" min="8" max="8"/>
    <col width="15" customWidth="1" min="9" max="9"/>
    <col width="15" customWidth="1" min="10" max="10"/>
    <col width="30" customWidth="1" min="11" max="11"/>
  </cols>
  <sheetData>
    <row r="1">
      <c r="A1" s="11" t="inlineStr">
        <is>
          <t>COMPLETENESS ASSESSMENT</t>
        </is>
      </c>
    </row>
    <row r="2" ht="16" customHeight="1">
      <c r="A2" s="12" t="inlineStr">
        <is>
          <t>ISO/IEC 27001:2022 - Control A.5.9: Inventory of Information and Assets</t>
        </is>
      </c>
    </row>
    <row r="3">
      <c r="A3" s="21" t="inlineStr">
        <is>
          <t>Asset Category</t>
        </is>
      </c>
      <c r="B3" s="21" t="inlineStr">
        <is>
          <t>Mandatory Field</t>
        </is>
      </c>
      <c r="C3" s="21" t="inlineStr">
        <is>
          <t>Total Assets</t>
        </is>
      </c>
      <c r="D3" s="21" t="inlineStr">
        <is>
          <t>Assets with Field Populated</t>
        </is>
      </c>
      <c r="E3" s="21" t="inlineStr">
        <is>
          <t>Completeness %</t>
        </is>
      </c>
      <c r="F3" s="21" t="inlineStr">
        <is>
          <t>Target %</t>
        </is>
      </c>
      <c r="G3" s="21" t="inlineStr">
        <is>
          <t>Gap</t>
        </is>
      </c>
      <c r="H3" s="21" t="inlineStr">
        <is>
          <t>Status</t>
        </is>
      </c>
      <c r="I3" s="21" t="inlineStr">
        <is>
          <t>Missing Count</t>
        </is>
      </c>
      <c r="J3" s="21" t="inlineStr">
        <is>
          <t>Evidence ID</t>
        </is>
      </c>
      <c r="K3" s="21" t="inlineStr">
        <is>
          <t>Notes</t>
        </is>
      </c>
    </row>
    <row r="4">
      <c r="A4" s="14" t="inlineStr">
        <is>
          <t>Information Assets</t>
        </is>
      </c>
      <c r="B4" s="14" t="inlineStr">
        <is>
          <t>Asset Name</t>
        </is>
      </c>
      <c r="C4" s="14" t="n"/>
      <c r="D4" s="14" t="n"/>
      <c r="E4" s="22">
        <f>IFERROR(D4/C4*100,0)</f>
        <v/>
      </c>
      <c r="F4" s="14" t="inlineStr">
        <is>
          <t>95%</t>
        </is>
      </c>
      <c r="G4" s="22">
        <f>E4-95</f>
        <v/>
      </c>
      <c r="H4" s="23">
        <f>IF(E4&gt;=95,"✅ Complete",IF(E4&gt;=90,"⚠️ At Risk","❌ Incomplete"))</f>
        <v/>
      </c>
      <c r="I4" s="14">
        <f>C4-D4</f>
        <v/>
      </c>
      <c r="J4" s="14" t="n"/>
      <c r="K4" s="14" t="n"/>
    </row>
    <row r="5">
      <c r="A5" s="15" t="inlineStr">
        <is>
          <t>Information Assets</t>
        </is>
      </c>
      <c r="B5" s="15" t="inlineStr">
        <is>
          <t>Owner</t>
        </is>
      </c>
      <c r="C5" s="15" t="n"/>
      <c r="D5" s="15" t="n"/>
      <c r="E5" s="24">
        <f>IFERROR(D5/C5*100,0)</f>
        <v/>
      </c>
      <c r="F5" s="15" t="inlineStr">
        <is>
          <t>95%</t>
        </is>
      </c>
      <c r="G5" s="24">
        <f>E5-95</f>
        <v/>
      </c>
      <c r="H5" s="25">
        <f>IF(E5&gt;=95,"✅ Complete",IF(E5&gt;=90,"⚠️ At Risk","❌ Incomplete"))</f>
        <v/>
      </c>
      <c r="I5" s="15">
        <f>C5-D5</f>
        <v/>
      </c>
      <c r="J5" s="15" t="n"/>
      <c r="K5" s="15" t="n"/>
    </row>
    <row r="6">
      <c r="A6" s="15" t="inlineStr">
        <is>
          <t>Information Assets</t>
        </is>
      </c>
      <c r="B6" s="15" t="inlineStr">
        <is>
          <t>Classification</t>
        </is>
      </c>
      <c r="C6" s="15" t="n"/>
      <c r="D6" s="15" t="n"/>
      <c r="E6" s="24">
        <f>IFERROR(D6/C6*100,0)</f>
        <v/>
      </c>
      <c r="F6" s="15" t="inlineStr">
        <is>
          <t>95%</t>
        </is>
      </c>
      <c r="G6" s="24">
        <f>E6-95</f>
        <v/>
      </c>
      <c r="H6" s="25">
        <f>IF(E6&gt;=95,"✅ Complete",IF(E6&gt;=90,"⚠️ At Risk","❌ Incomplete"))</f>
        <v/>
      </c>
      <c r="I6" s="15">
        <f>C6-D6</f>
        <v/>
      </c>
      <c r="J6" s="15" t="n"/>
      <c r="K6" s="15" t="n"/>
    </row>
    <row r="7">
      <c r="A7" s="15" t="inlineStr">
        <is>
          <t>Information Assets</t>
        </is>
      </c>
      <c r="B7" s="15" t="inlineStr">
        <is>
          <t>Location</t>
        </is>
      </c>
      <c r="C7" s="15" t="n"/>
      <c r="D7" s="15" t="n"/>
      <c r="E7" s="24">
        <f>IFERROR(D7/C7*100,0)</f>
        <v/>
      </c>
      <c r="F7" s="15" t="inlineStr">
        <is>
          <t>95%</t>
        </is>
      </c>
      <c r="G7" s="24">
        <f>E7-95</f>
        <v/>
      </c>
      <c r="H7" s="25">
        <f>IF(E7&gt;=95,"✅ Complete",IF(E7&gt;=90,"⚠️ At Risk","❌ Incomplete"))</f>
        <v/>
      </c>
      <c r="I7" s="15">
        <f>C7-D7</f>
        <v/>
      </c>
      <c r="J7" s="15" t="n"/>
      <c r="K7" s="15" t="n"/>
    </row>
    <row r="8">
      <c r="A8" s="15" t="inlineStr">
        <is>
          <t>IT Infrastructure</t>
        </is>
      </c>
      <c r="B8" s="15" t="inlineStr">
        <is>
          <t>Asset Name</t>
        </is>
      </c>
      <c r="C8" s="15" t="n"/>
      <c r="D8" s="15" t="n"/>
      <c r="E8" s="24">
        <f>IFERROR(D8/C8*100,0)</f>
        <v/>
      </c>
      <c r="F8" s="15" t="inlineStr">
        <is>
          <t>95%</t>
        </is>
      </c>
      <c r="G8" s="24">
        <f>E8-95</f>
        <v/>
      </c>
      <c r="H8" s="25">
        <f>IF(E8&gt;=95,"✅ Complete",IF(E8&gt;=90,"⚠️ At Risk","❌ Incomplete"))</f>
        <v/>
      </c>
      <c r="I8" s="15">
        <f>C8-D8</f>
        <v/>
      </c>
      <c r="J8" s="15" t="n"/>
      <c r="K8" s="15" t="n"/>
    </row>
    <row r="9">
      <c r="A9" s="15" t="inlineStr">
        <is>
          <t>IT Infrastructure</t>
        </is>
      </c>
      <c r="B9" s="15" t="inlineStr">
        <is>
          <t>IP Address / Hostname</t>
        </is>
      </c>
      <c r="C9" s="15" t="n"/>
      <c r="D9" s="15" t="n"/>
      <c r="E9" s="24">
        <f>IFERROR(D9/C9*100,0)</f>
        <v/>
      </c>
      <c r="F9" s="15" t="inlineStr">
        <is>
          <t>95%</t>
        </is>
      </c>
      <c r="G9" s="24">
        <f>E9-95</f>
        <v/>
      </c>
      <c r="H9" s="25">
        <f>IF(E9&gt;=95,"✅ Complete",IF(E9&gt;=90,"⚠️ At Risk","❌ Incomplete"))</f>
        <v/>
      </c>
      <c r="I9" s="15">
        <f>C9-D9</f>
        <v/>
      </c>
      <c r="J9" s="15" t="n"/>
      <c r="K9" s="15" t="n"/>
    </row>
    <row r="10">
      <c r="A10" s="15" t="inlineStr">
        <is>
          <t>IT Infrastructure</t>
        </is>
      </c>
      <c r="B10" s="15" t="inlineStr">
        <is>
          <t>Owner</t>
        </is>
      </c>
      <c r="C10" s="15" t="n"/>
      <c r="D10" s="15" t="n"/>
      <c r="E10" s="24">
        <f>IFERROR(D10/C10*100,0)</f>
        <v/>
      </c>
      <c r="F10" s="15" t="inlineStr">
        <is>
          <t>95%</t>
        </is>
      </c>
      <c r="G10" s="24">
        <f>E10-95</f>
        <v/>
      </c>
      <c r="H10" s="25">
        <f>IF(E10&gt;=95,"✅ Complete",IF(E10&gt;=90,"⚠️ At Risk","❌ Incomplete"))</f>
        <v/>
      </c>
      <c r="I10" s="15">
        <f>C10-D10</f>
        <v/>
      </c>
      <c r="J10" s="15" t="n"/>
      <c r="K10" s="15" t="n"/>
    </row>
    <row r="11">
      <c r="A11" s="15" t="inlineStr">
        <is>
          <t>IT Infrastructure</t>
        </is>
      </c>
      <c r="B11" s="15" t="inlineStr">
        <is>
          <t>Location</t>
        </is>
      </c>
      <c r="C11" s="15" t="n"/>
      <c r="D11" s="15" t="n"/>
      <c r="E11" s="24">
        <f>IFERROR(D11/C11*100,0)</f>
        <v/>
      </c>
      <c r="F11" s="15" t="inlineStr">
        <is>
          <t>95%</t>
        </is>
      </c>
      <c r="G11" s="24">
        <f>E11-95</f>
        <v/>
      </c>
      <c r="H11" s="25">
        <f>IF(E11&gt;=95,"✅ Complete",IF(E11&gt;=90,"⚠️ At Risk","❌ Incomplete"))</f>
        <v/>
      </c>
      <c r="I11" s="15">
        <f>C11-D11</f>
        <v/>
      </c>
      <c r="J11" s="15" t="n"/>
      <c r="K11" s="15" t="n"/>
    </row>
    <row r="12">
      <c r="A12" s="15" t="inlineStr">
        <is>
          <t>Applications</t>
        </is>
      </c>
      <c r="B12" s="15" t="inlineStr">
        <is>
          <t>Application Name</t>
        </is>
      </c>
      <c r="C12" s="15" t="n"/>
      <c r="D12" s="15" t="n"/>
      <c r="E12" s="24">
        <f>IFERROR(D12/C12*100,0)</f>
        <v/>
      </c>
      <c r="F12" s="15" t="inlineStr">
        <is>
          <t>95%</t>
        </is>
      </c>
      <c r="G12" s="24">
        <f>E12-95</f>
        <v/>
      </c>
      <c r="H12" s="25">
        <f>IF(E12&gt;=95,"✅ Complete",IF(E12&gt;=90,"⚠️ At Risk","❌ Incomplete"))</f>
        <v/>
      </c>
      <c r="I12" s="15">
        <f>C12-D12</f>
        <v/>
      </c>
      <c r="J12" s="15" t="n"/>
      <c r="K12" s="15" t="n"/>
    </row>
    <row r="13">
      <c r="A13" s="15" t="inlineStr">
        <is>
          <t>Applications</t>
        </is>
      </c>
      <c r="B13" s="15" t="inlineStr">
        <is>
          <t>Version</t>
        </is>
      </c>
      <c r="C13" s="15" t="n"/>
      <c r="D13" s="15" t="n"/>
      <c r="E13" s="24">
        <f>IFERROR(D13/C13*100,0)</f>
        <v/>
      </c>
      <c r="F13" s="15" t="inlineStr">
        <is>
          <t>95%</t>
        </is>
      </c>
      <c r="G13" s="24">
        <f>E13-95</f>
        <v/>
      </c>
      <c r="H13" s="25">
        <f>IF(E13&gt;=95,"✅ Complete",IF(E13&gt;=90,"⚠️ At Risk","❌ Incomplete"))</f>
        <v/>
      </c>
      <c r="I13" s="15">
        <f>C13-D13</f>
        <v/>
      </c>
      <c r="J13" s="15" t="n"/>
      <c r="K13" s="15" t="n"/>
    </row>
    <row r="14">
      <c r="A14" s="15" t="inlineStr">
        <is>
          <t>Applications</t>
        </is>
      </c>
      <c r="B14" s="15" t="inlineStr">
        <is>
          <t>Owner</t>
        </is>
      </c>
      <c r="C14" s="15" t="n"/>
      <c r="D14" s="15" t="n"/>
      <c r="E14" s="24">
        <f>IFERROR(D14/C14*100,0)</f>
        <v/>
      </c>
      <c r="F14" s="15" t="inlineStr">
        <is>
          <t>95%</t>
        </is>
      </c>
      <c r="G14" s="24">
        <f>E14-95</f>
        <v/>
      </c>
      <c r="H14" s="25">
        <f>IF(E14&gt;=95,"✅ Complete",IF(E14&gt;=90,"⚠️ At Risk","❌ Incomplete"))</f>
        <v/>
      </c>
      <c r="I14" s="15">
        <f>C14-D14</f>
        <v/>
      </c>
      <c r="J14" s="15" t="n"/>
      <c r="K14" s="15" t="n"/>
    </row>
    <row r="15">
      <c r="A15" s="15" t="inlineStr">
        <is>
          <t>Applications</t>
        </is>
      </c>
      <c r="B15" s="15" t="inlineStr">
        <is>
          <t>Business Purpose</t>
        </is>
      </c>
      <c r="C15" s="15" t="n"/>
      <c r="D15" s="15" t="n"/>
      <c r="E15" s="24">
        <f>IFERROR(D15/C15*100,0)</f>
        <v/>
      </c>
      <c r="F15" s="15" t="inlineStr">
        <is>
          <t>95%</t>
        </is>
      </c>
      <c r="G15" s="24">
        <f>E15-95</f>
        <v/>
      </c>
      <c r="H15" s="25">
        <f>IF(E15&gt;=95,"✅ Complete",IF(E15&gt;=90,"⚠️ At Risk","❌ Incomplete"))</f>
        <v/>
      </c>
      <c r="I15" s="15">
        <f>C15-D15</f>
        <v/>
      </c>
      <c r="J15" s="15" t="n"/>
      <c r="K15" s="15" t="n"/>
    </row>
    <row r="16">
      <c r="A16" s="15" t="inlineStr">
        <is>
          <t>Physical Assets</t>
        </is>
      </c>
      <c r="B16" s="15" t="inlineStr">
        <is>
          <t>Asset Name</t>
        </is>
      </c>
      <c r="C16" s="15" t="n"/>
      <c r="D16" s="15" t="n"/>
      <c r="E16" s="24">
        <f>IFERROR(D16/C16*100,0)</f>
        <v/>
      </c>
      <c r="F16" s="15" t="inlineStr">
        <is>
          <t>95%</t>
        </is>
      </c>
      <c r="G16" s="24">
        <f>E16-95</f>
        <v/>
      </c>
      <c r="H16" s="25">
        <f>IF(E16&gt;=95,"✅ Complete",IF(E16&gt;=90,"⚠️ At Risk","❌ Incomplete"))</f>
        <v/>
      </c>
      <c r="I16" s="15">
        <f>C16-D16</f>
        <v/>
      </c>
      <c r="J16" s="15" t="n"/>
      <c r="K16" s="15" t="n"/>
    </row>
    <row r="17">
      <c r="A17" s="15" t="inlineStr">
        <is>
          <t>Physical Assets</t>
        </is>
      </c>
      <c r="B17" s="15" t="inlineStr">
        <is>
          <t>Location</t>
        </is>
      </c>
      <c r="C17" s="15" t="n"/>
      <c r="D17" s="15" t="n"/>
      <c r="E17" s="24">
        <f>IFERROR(D17/C17*100,0)</f>
        <v/>
      </c>
      <c r="F17" s="15" t="inlineStr">
        <is>
          <t>95%</t>
        </is>
      </c>
      <c r="G17" s="24">
        <f>E17-95</f>
        <v/>
      </c>
      <c r="H17" s="25">
        <f>IF(E17&gt;=95,"✅ Complete",IF(E17&gt;=90,"⚠️ At Risk","❌ Incomplete"))</f>
        <v/>
      </c>
      <c r="I17" s="15">
        <f>C17-D17</f>
        <v/>
      </c>
      <c r="J17" s="15" t="n"/>
      <c r="K17" s="15" t="n"/>
    </row>
    <row r="18">
      <c r="A18" s="15" t="inlineStr">
        <is>
          <t>Physical Assets</t>
        </is>
      </c>
      <c r="B18" s="15" t="inlineStr">
        <is>
          <t>Custodian</t>
        </is>
      </c>
      <c r="C18" s="15" t="n"/>
      <c r="D18" s="15" t="n"/>
      <c r="E18" s="24">
        <f>IFERROR(D18/C18*100,0)</f>
        <v/>
      </c>
      <c r="F18" s="15" t="inlineStr">
        <is>
          <t>95%</t>
        </is>
      </c>
      <c r="G18" s="24">
        <f>E18-95</f>
        <v/>
      </c>
      <c r="H18" s="25">
        <f>IF(E18&gt;=95,"✅ Complete",IF(E18&gt;=90,"⚠️ At Risk","❌ Incomplete"))</f>
        <v/>
      </c>
      <c r="I18" s="15">
        <f>C18-D18</f>
        <v/>
      </c>
      <c r="J18" s="15" t="n"/>
      <c r="K18" s="15" t="n"/>
    </row>
    <row r="19">
      <c r="A19" s="15" t="inlineStr">
        <is>
          <t>Personnel Assets</t>
        </is>
      </c>
      <c r="B19" s="15" t="inlineStr">
        <is>
          <t>Name</t>
        </is>
      </c>
      <c r="C19" s="15" t="n"/>
      <c r="D19" s="15" t="n"/>
      <c r="E19" s="24">
        <f>IFERROR(D19/C19*100,0)</f>
        <v/>
      </c>
      <c r="F19" s="15" t="inlineStr">
        <is>
          <t>100%</t>
        </is>
      </c>
      <c r="G19" s="24">
        <f>E19-100</f>
        <v/>
      </c>
      <c r="H19" s="25">
        <f>IF(E19&gt;=100,"✅ Complete",IF(E19&gt;=95,"⚠️ At Risk","❌ Incomplete"))</f>
        <v/>
      </c>
      <c r="I19" s="15">
        <f>C19-D19</f>
        <v/>
      </c>
      <c r="J19" s="15" t="n"/>
      <c r="K19" s="15" t="n"/>
    </row>
    <row r="20">
      <c r="A20" s="15" t="inlineStr">
        <is>
          <t>Personnel Assets</t>
        </is>
      </c>
      <c r="B20" s="15" t="inlineStr">
        <is>
          <t>Role</t>
        </is>
      </c>
      <c r="C20" s="15" t="n"/>
      <c r="D20" s="15" t="n"/>
      <c r="E20" s="24">
        <f>IFERROR(D20/C20*100,0)</f>
        <v/>
      </c>
      <c r="F20" s="15" t="inlineStr">
        <is>
          <t>100%</t>
        </is>
      </c>
      <c r="G20" s="24">
        <f>E20-100</f>
        <v/>
      </c>
      <c r="H20" s="25">
        <f>IF(E20&gt;=100,"✅ Complete",IF(E20&gt;=95,"⚠️ At Risk","❌ Incomplete"))</f>
        <v/>
      </c>
      <c r="I20" s="15">
        <f>C20-D20</f>
        <v/>
      </c>
      <c r="J20" s="15" t="n"/>
      <c r="K20" s="15" t="n"/>
    </row>
    <row r="21">
      <c r="A21" s="15" t="inlineStr">
        <is>
          <t>Personnel Assets</t>
        </is>
      </c>
      <c r="B21" s="15" t="inlineStr">
        <is>
          <t>Department</t>
        </is>
      </c>
      <c r="C21" s="15" t="n"/>
      <c r="D21" s="15" t="n"/>
      <c r="E21" s="24">
        <f>IFERROR(D21/C21*100,0)</f>
        <v/>
      </c>
      <c r="F21" s="15" t="inlineStr">
        <is>
          <t>100%</t>
        </is>
      </c>
      <c r="G21" s="24">
        <f>E21-100</f>
        <v/>
      </c>
      <c r="H21" s="25">
        <f>IF(E21&gt;=100,"✅ Complete",IF(E21&gt;=95,"⚠️ At Risk","❌ Incomplete"))</f>
        <v/>
      </c>
      <c r="I21" s="15">
        <f>C21-D21</f>
        <v/>
      </c>
      <c r="J21" s="15" t="n"/>
      <c r="K21" s="15" t="n"/>
    </row>
    <row r="22">
      <c r="A22" s="15" t="inlineStr">
        <is>
          <t>Personnel Assets</t>
        </is>
      </c>
      <c r="B22" s="15" t="inlineStr">
        <is>
          <t>Manager</t>
        </is>
      </c>
      <c r="C22" s="15" t="n"/>
      <c r="D22" s="15" t="n"/>
      <c r="E22" s="24">
        <f>IFERROR(D22/C22*100,0)</f>
        <v/>
      </c>
      <c r="F22" s="15" t="inlineStr">
        <is>
          <t>100%</t>
        </is>
      </c>
      <c r="G22" s="24">
        <f>E22-100</f>
        <v/>
      </c>
      <c r="H22" s="25">
        <f>IF(E22&gt;=100,"✅ Complete",IF(E22&gt;=95,"⚠️ At Risk","❌ Incomplete"))</f>
        <v/>
      </c>
      <c r="I22" s="15">
        <f>C22-D22</f>
        <v/>
      </c>
      <c r="J22" s="15" t="n"/>
      <c r="K22" s="15" t="n"/>
    </row>
    <row r="25">
      <c r="A25" s="16" t="inlineStr">
        <is>
          <t>COMPLETENESS SUMMARY</t>
        </is>
      </c>
    </row>
    <row r="26">
      <c r="A26" t="inlineStr">
        <is>
          <t>Average Completeness %</t>
        </is>
      </c>
      <c r="B26" s="18">
        <f>IFERROR(AVERAGE(E4:E22),0)</f>
        <v/>
      </c>
    </row>
    <row r="27">
      <c r="A27" t="inlineStr">
        <is>
          <t>Target</t>
        </is>
      </c>
      <c r="B27" t="inlineStr">
        <is>
          <t>95%</t>
        </is>
      </c>
    </row>
    <row r="28">
      <c r="A28" t="inlineStr">
        <is>
          <t>Gap</t>
        </is>
      </c>
      <c r="B28" s="19">
        <f>B26-95</f>
        <v/>
      </c>
    </row>
    <row r="29">
      <c r="A29" t="inlineStr">
        <is>
          <t>Status</t>
        </is>
      </c>
      <c r="B29" s="20">
        <f>IF(B26&gt;=95,"✅ High Quality",IF(B26&gt;=90,"⚠️ Needs Improvement","❌ Poor Quality"))</f>
        <v/>
      </c>
    </row>
  </sheetData>
  <mergeCells count="2">
    <mergeCell ref="A2:K2"/>
    <mergeCell ref="A1:K1"/>
  </mergeCells>
  <conditionalFormatting sqref="E4:E22">
    <cfRule type="cellIs" priority="1" operator="greaterThanOrEqual" dxfId="0">
      <formula>95</formula>
    </cfRule>
    <cfRule type="cellIs" priority="2" operator="between" dxfId="1">
      <formula>90</formula>
      <formula>94</formula>
    </cfRule>
    <cfRule type="cellIs" priority="3" operator="lessThan" dxfId="2">
      <formula>90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showGridLines="0" workbookViewId="0">
      <selection activeCell="A1" sqref="A1"/>
    </sheetView>
  </sheetViews>
  <sheetFormatPr baseColWidth="8" defaultRowHeight="15"/>
  <cols>
    <col width="25" customWidth="1" min="1" max="1"/>
    <col width="30" customWidth="1" min="2" max="2"/>
    <col width="15" customWidth="1" min="3" max="3"/>
    <col width="22" customWidth="1" min="4" max="4"/>
    <col width="15" customWidth="1" min="5" max="5"/>
    <col width="12" customWidth="1" min="6" max="6"/>
    <col width="12" customWidth="1" min="7" max="7"/>
    <col width="18" customWidth="1" min="8" max="8"/>
    <col width="18" customWidth="1" min="9" max="9"/>
    <col width="15" customWidth="1" min="10" max="10"/>
    <col width="30" customWidth="1" min="11" max="11"/>
  </cols>
  <sheetData>
    <row r="1">
      <c r="A1" s="11" t="inlineStr">
        <is>
          <t>CURRENCY ASSESSMENT</t>
        </is>
      </c>
    </row>
    <row r="2" ht="16" customHeight="1">
      <c r="A2" s="12" t="inlineStr">
        <is>
          <t>ISO/IEC 27001:2022 - Control A.5.9: Inventory of Information and Assets</t>
        </is>
      </c>
    </row>
    <row r="3">
      <c r="A3" s="21" t="inlineStr">
        <is>
          <t>Asset Category</t>
        </is>
      </c>
      <c r="B3" s="21" t="inlineStr">
        <is>
          <t>Currency Metric</t>
        </is>
      </c>
      <c r="C3" s="21" t="inlineStr">
        <is>
          <t>Total Assets</t>
        </is>
      </c>
      <c r="D3" s="21" t="inlineStr">
        <is>
          <t>Assets Meeting Currency Target</t>
        </is>
      </c>
      <c r="E3" s="21" t="inlineStr">
        <is>
          <t>Currency %</t>
        </is>
      </c>
      <c r="F3" s="21" t="inlineStr">
        <is>
          <t>Target %</t>
        </is>
      </c>
      <c r="G3" s="21" t="inlineStr">
        <is>
          <t>Gap</t>
        </is>
      </c>
      <c r="H3" s="21" t="inlineStr">
        <is>
          <t>Status</t>
        </is>
      </c>
      <c r="I3" s="21" t="inlineStr">
        <is>
          <t>Stale Assets Count</t>
        </is>
      </c>
      <c r="J3" s="21" t="inlineStr">
        <is>
          <t>Evidence ID</t>
        </is>
      </c>
      <c r="K3" s="21" t="inlineStr">
        <is>
          <t>Notes</t>
        </is>
      </c>
    </row>
    <row r="4">
      <c r="A4" s="14" t="inlineStr">
        <is>
          <t>Information Assets</t>
        </is>
      </c>
      <c r="B4" s="14" t="inlineStr">
        <is>
          <t>Last Reviewed &lt;90 days</t>
        </is>
      </c>
      <c r="C4" s="14" t="n"/>
      <c r="D4" s="14" t="n"/>
      <c r="E4" s="22">
        <f>IFERROR(D4/C4*100,0)</f>
        <v/>
      </c>
      <c r="F4" s="14" t="inlineStr">
        <is>
          <t>90%</t>
        </is>
      </c>
      <c r="G4" s="22">
        <f>E4-90</f>
        <v/>
      </c>
      <c r="H4" s="23">
        <f>IF(E4&gt;=90,"✅ Current",IF(E4&gt;=85,"⚠️ At Risk","❌ Stale"))</f>
        <v/>
      </c>
      <c r="I4" s="14">
        <f>C4-D4</f>
        <v/>
      </c>
      <c r="J4" s="14" t="n"/>
      <c r="K4" s="14" t="n"/>
    </row>
    <row r="5">
      <c r="A5" s="15" t="inlineStr">
        <is>
          <t>Information Assets</t>
        </is>
      </c>
      <c r="B5" s="15" t="inlineStr">
        <is>
          <t>Last Updated &lt;180 days</t>
        </is>
      </c>
      <c r="C5" s="15" t="n"/>
      <c r="D5" s="15" t="n"/>
      <c r="E5" s="24">
        <f>IFERROR(D5/C5*100,0)</f>
        <v/>
      </c>
      <c r="F5" s="15" t="inlineStr">
        <is>
          <t>90%</t>
        </is>
      </c>
      <c r="G5" s="24">
        <f>E5-90</f>
        <v/>
      </c>
      <c r="H5" s="25">
        <f>IF(E5&gt;=90,"✅ Current",IF(E5&gt;=85,"⚠️ At Risk","❌ Stale"))</f>
        <v/>
      </c>
      <c r="I5" s="15">
        <f>C5-D5</f>
        <v/>
      </c>
      <c r="J5" s="15" t="n"/>
      <c r="K5" s="15" t="n"/>
    </row>
    <row r="6">
      <c r="A6" s="15" t="inlineStr">
        <is>
          <t>IT Infrastructure</t>
        </is>
      </c>
      <c r="B6" s="15" t="inlineStr">
        <is>
          <t>Last Reviewed &lt;90 days</t>
        </is>
      </c>
      <c r="C6" s="15" t="n"/>
      <c r="D6" s="15" t="n"/>
      <c r="E6" s="24">
        <f>IFERROR(D6/C6*100,0)</f>
        <v/>
      </c>
      <c r="F6" s="15" t="inlineStr">
        <is>
          <t>90%</t>
        </is>
      </c>
      <c r="G6" s="24">
        <f>E6-90</f>
        <v/>
      </c>
      <c r="H6" s="25">
        <f>IF(E6&gt;=90,"✅ Current",IF(E6&gt;=85,"⚠️ At Risk","❌ Stale"))</f>
        <v/>
      </c>
      <c r="I6" s="15">
        <f>C6-D6</f>
        <v/>
      </c>
      <c r="J6" s="15" t="n"/>
      <c r="K6" s="15" t="n"/>
    </row>
    <row r="7">
      <c r="A7" s="15" t="inlineStr">
        <is>
          <t>IT Infrastructure</t>
        </is>
      </c>
      <c r="B7" s="15" t="inlineStr">
        <is>
          <t>Last Scanned &lt;30 days</t>
        </is>
      </c>
      <c r="C7" s="15" t="n"/>
      <c r="D7" s="15" t="n"/>
      <c r="E7" s="24">
        <f>IFERROR(D7/C7*100,0)</f>
        <v/>
      </c>
      <c r="F7" s="15" t="inlineStr">
        <is>
          <t>90%</t>
        </is>
      </c>
      <c r="G7" s="24">
        <f>E7-90</f>
        <v/>
      </c>
      <c r="H7" s="25">
        <f>IF(E7&gt;=90,"✅ Current",IF(E7&gt;=85,"⚠️ At Risk","❌ Stale"))</f>
        <v/>
      </c>
      <c r="I7" s="15">
        <f>C7-D7</f>
        <v/>
      </c>
      <c r="J7" s="15" t="n"/>
      <c r="K7" s="15" t="n"/>
    </row>
    <row r="8">
      <c r="A8" s="15" t="inlineStr">
        <is>
          <t>Applications</t>
        </is>
      </c>
      <c r="B8" s="15" t="inlineStr">
        <is>
          <t>Last Reviewed &lt;180 days</t>
        </is>
      </c>
      <c r="C8" s="15" t="n"/>
      <c r="D8" s="15" t="n"/>
      <c r="E8" s="24">
        <f>IFERROR(D8/C8*100,0)</f>
        <v/>
      </c>
      <c r="F8" s="15" t="inlineStr">
        <is>
          <t>90%</t>
        </is>
      </c>
      <c r="G8" s="24">
        <f>E8-90</f>
        <v/>
      </c>
      <c r="H8" s="25">
        <f>IF(E8&gt;=90,"✅ Current",IF(E8&gt;=85,"⚠️ At Risk","❌ Stale"))</f>
        <v/>
      </c>
      <c r="I8" s="15">
        <f>C8-D8</f>
        <v/>
      </c>
      <c r="J8" s="15" t="n"/>
      <c r="K8" s="15" t="n"/>
    </row>
    <row r="9">
      <c r="A9" s="15" t="inlineStr">
        <is>
          <t>Applications</t>
        </is>
      </c>
      <c r="B9" s="15" t="inlineStr">
        <is>
          <t>Version Current</t>
        </is>
      </c>
      <c r="C9" s="15" t="n"/>
      <c r="D9" s="15" t="n"/>
      <c r="E9" s="24">
        <f>IFERROR(D9/C9*100,0)</f>
        <v/>
      </c>
      <c r="F9" s="15" t="inlineStr">
        <is>
          <t>90%</t>
        </is>
      </c>
      <c r="G9" s="24">
        <f>E9-90</f>
        <v/>
      </c>
      <c r="H9" s="25">
        <f>IF(E9&gt;=90,"✅ Current",IF(E9&gt;=85,"⚠️ At Risk","❌ Stale"))</f>
        <v/>
      </c>
      <c r="I9" s="15">
        <f>C9-D9</f>
        <v/>
      </c>
      <c r="J9" s="15" t="n"/>
      <c r="K9" s="15" t="n"/>
    </row>
    <row r="10">
      <c r="A10" s="15" t="inlineStr">
        <is>
          <t>Physical Assets</t>
        </is>
      </c>
      <c r="B10" s="15" t="inlineStr">
        <is>
          <t>Last Inspected &lt;365 days</t>
        </is>
      </c>
      <c r="C10" s="15" t="n"/>
      <c r="D10" s="15" t="n"/>
      <c r="E10" s="24">
        <f>IFERROR(D10/C10*100,0)</f>
        <v/>
      </c>
      <c r="F10" s="15" t="inlineStr">
        <is>
          <t>90%</t>
        </is>
      </c>
      <c r="G10" s="24">
        <f>E10-90</f>
        <v/>
      </c>
      <c r="H10" s="25">
        <f>IF(E10&gt;=90,"✅ Current",IF(E10&gt;=85,"⚠️ At Risk","❌ Stale"))</f>
        <v/>
      </c>
      <c r="I10" s="15">
        <f>C10-D10</f>
        <v/>
      </c>
      <c r="J10" s="15" t="n"/>
      <c r="K10" s="15" t="n"/>
    </row>
    <row r="11">
      <c r="A11" s="15" t="inlineStr">
        <is>
          <t>Personnel Assets</t>
        </is>
      </c>
      <c r="B11" s="15" t="inlineStr">
        <is>
          <t>Last Updated &lt;30 days</t>
        </is>
      </c>
      <c r="C11" s="15" t="n"/>
      <c r="D11" s="15" t="n"/>
      <c r="E11" s="24">
        <f>IFERROR(D11/C11*100,0)</f>
        <v/>
      </c>
      <c r="F11" s="15" t="inlineStr">
        <is>
          <t>100%</t>
        </is>
      </c>
      <c r="G11" s="24">
        <f>E11-100</f>
        <v/>
      </c>
      <c r="H11" s="25">
        <f>IF(E11&gt;=100,"✅ Current",IF(E11&gt;=95,"⚠️ At Risk","❌ Stale"))</f>
        <v/>
      </c>
      <c r="I11" s="15">
        <f>C11-D11</f>
        <v/>
      </c>
      <c r="J11" s="15" t="n"/>
      <c r="K11" s="15" t="n"/>
    </row>
    <row r="14">
      <c r="A14" s="16" t="inlineStr">
        <is>
          <t>CURRENCY SUMMARY</t>
        </is>
      </c>
    </row>
    <row r="15">
      <c r="A15" t="inlineStr">
        <is>
          <t>Average Currency %</t>
        </is>
      </c>
      <c r="B15" s="18">
        <f>IFERROR(AVERAGE(E4:E11),0)</f>
        <v/>
      </c>
    </row>
    <row r="16">
      <c r="A16" t="inlineStr">
        <is>
          <t>Target</t>
        </is>
      </c>
      <c r="B16" t="inlineStr">
        <is>
          <t>90%</t>
        </is>
      </c>
    </row>
    <row r="17">
      <c r="A17" t="inlineStr">
        <is>
          <t>Gap</t>
        </is>
      </c>
      <c r="B17" s="19">
        <f>B15-90</f>
        <v/>
      </c>
    </row>
    <row r="18">
      <c r="A18" t="inlineStr">
        <is>
          <t>Status</t>
        </is>
      </c>
      <c r="B18" s="17">
        <f>IF(B15&gt;=90,"✅ High Quality",IF(B15&gt;=85,"⚠️ Needs Improvement","❌ Poor Quality"))</f>
        <v/>
      </c>
    </row>
  </sheetData>
  <mergeCells count="2">
    <mergeCell ref="A2:K2"/>
    <mergeCell ref="A1:K1"/>
  </mergeCells>
  <conditionalFormatting sqref="E4:E11">
    <cfRule type="cellIs" priority="1" operator="greaterThanOrEqual" dxfId="0">
      <formula>90</formula>
    </cfRule>
    <cfRule type="cellIs" priority="2" operator="between" dxfId="1">
      <formula>85</formula>
      <formula>89</formula>
    </cfRule>
    <cfRule type="cellIs" priority="3" operator="lessThan" dxfId="2">
      <formula>85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showGridLines="0" workbookViewId="0">
      <selection activeCell="A1" sqref="A1"/>
    </sheetView>
  </sheetViews>
  <sheetFormatPr baseColWidth="8" defaultRowHeight="15"/>
  <cols>
    <col width="35" customWidth="1" min="1" max="1"/>
    <col width="25" customWidth="1" min="2" max="2"/>
    <col width="25" customWidth="1" min="3" max="3"/>
    <col width="15" customWidth="1" min="4" max="4"/>
    <col width="15" customWidth="1" min="5" max="5"/>
    <col width="15" customWidth="1" min="6" max="6"/>
    <col width="16" customWidth="1" min="7" max="7"/>
    <col width="12" customWidth="1" min="8" max="8"/>
    <col width="12" customWidth="1" min="9" max="9"/>
    <col width="18" customWidth="1" min="10" max="10"/>
    <col width="15" customWidth="1" min="11" max="11"/>
    <col width="30" customWidth="1" min="12" max="12"/>
  </cols>
  <sheetData>
    <row r="1">
      <c r="A1" s="11" t="inlineStr">
        <is>
          <t>CONSISTENCY CHECKS</t>
        </is>
      </c>
    </row>
    <row r="2" ht="16" customHeight="1">
      <c r="A2" s="12" t="inlineStr">
        <is>
          <t>ISO/IEC 27001:2022 - Control A.5.9: Inventory of Information and Assets</t>
        </is>
      </c>
    </row>
    <row r="3">
      <c r="A3" s="21" t="inlineStr">
        <is>
          <t>Consistency Check</t>
        </is>
      </c>
      <c r="B3" s="21" t="inlineStr">
        <is>
          <t>System A</t>
        </is>
      </c>
      <c r="C3" s="21" t="inlineStr">
        <is>
          <t>System B</t>
        </is>
      </c>
      <c r="D3" s="21" t="inlineStr">
        <is>
          <t>Records in A</t>
        </is>
      </c>
      <c r="E3" s="21" t="inlineStr">
        <is>
          <t>Records in B</t>
        </is>
      </c>
      <c r="F3" s="21" t="inlineStr">
        <is>
          <t>Matches</t>
        </is>
      </c>
      <c r="G3" s="21" t="inlineStr">
        <is>
          <t>Consistency %</t>
        </is>
      </c>
      <c r="H3" s="21" t="inlineStr">
        <is>
          <t>Target %</t>
        </is>
      </c>
      <c r="I3" s="21" t="inlineStr">
        <is>
          <t>Gap</t>
        </is>
      </c>
      <c r="J3" s="21" t="inlineStr">
        <is>
          <t>Status</t>
        </is>
      </c>
      <c r="K3" s="21" t="inlineStr">
        <is>
          <t>Evidence ID</t>
        </is>
      </c>
      <c r="L3" s="21" t="inlineStr">
        <is>
          <t>Notes</t>
        </is>
      </c>
    </row>
    <row r="4">
      <c r="A4" s="14" t="inlineStr">
        <is>
          <t>IT Assets: Inventory ↔ CMDB</t>
        </is>
      </c>
      <c r="B4" s="14" t="inlineStr">
        <is>
          <t>Asset Inventory</t>
        </is>
      </c>
      <c r="C4" s="14" t="inlineStr">
        <is>
          <t>CMDB</t>
        </is>
      </c>
      <c r="D4" s="14" t="n"/>
      <c r="E4" s="14" t="n"/>
      <c r="F4" s="14" t="n"/>
      <c r="G4" s="22">
        <f>IFERROR(F4/MAX(D4,E4)*100,0)</f>
        <v/>
      </c>
      <c r="H4" s="14" t="inlineStr">
        <is>
          <t>95%</t>
        </is>
      </c>
      <c r="I4" s="22">
        <f>G4-95</f>
        <v/>
      </c>
      <c r="J4" s="23">
        <f>IF(G4&gt;=95,"✅ Consistent",IF(G4&gt;=90,"⚠️ At Risk","❌ Inconsistent"))</f>
        <v/>
      </c>
      <c r="K4" s="14" t="n"/>
      <c r="L4" s="14" t="n"/>
    </row>
    <row r="5">
      <c r="A5" s="15" t="inlineStr">
        <is>
          <t>Servers: Inventory ↔ Network Scan</t>
        </is>
      </c>
      <c r="B5" s="15" t="inlineStr">
        <is>
          <t>Asset Inventory</t>
        </is>
      </c>
      <c r="C5" s="15" t="inlineStr">
        <is>
          <t>Network Scan Results</t>
        </is>
      </c>
      <c r="D5" s="15" t="n"/>
      <c r="E5" s="15" t="n"/>
      <c r="F5" s="15" t="n"/>
      <c r="G5" s="24">
        <f>IFERROR(F5/MAX(D5,E5)*100,0)</f>
        <v/>
      </c>
      <c r="H5" s="15" t="inlineStr">
        <is>
          <t>95%</t>
        </is>
      </c>
      <c r="I5" s="24">
        <f>G5-95</f>
        <v/>
      </c>
      <c r="J5" s="25">
        <f>IF(G5&gt;=95,"✅ Consistent",IF(G5&gt;=90,"⚠️ At Risk","❌ Inconsistent"))</f>
        <v/>
      </c>
      <c r="K5" s="15" t="n"/>
      <c r="L5" s="15" t="n"/>
    </row>
    <row r="6">
      <c r="A6" s="15" t="inlineStr">
        <is>
          <t>Personnel: Inventory ↔ HR System</t>
        </is>
      </c>
      <c r="B6" s="15" t="inlineStr">
        <is>
          <t>Asset Inventory</t>
        </is>
      </c>
      <c r="C6" s="15" t="inlineStr">
        <is>
          <t>HR System</t>
        </is>
      </c>
      <c r="D6" s="15" t="n"/>
      <c r="E6" s="15" t="n"/>
      <c r="F6" s="15" t="n"/>
      <c r="G6" s="24">
        <f>IFERROR(F6/MAX(D6,E6)*100,0)</f>
        <v/>
      </c>
      <c r="H6" s="15" t="inlineStr">
        <is>
          <t>100%</t>
        </is>
      </c>
      <c r="I6" s="24">
        <f>G6-100</f>
        <v/>
      </c>
      <c r="J6" s="25">
        <f>IF(G6&gt;=100,"✅ Consistent",IF(G6&gt;=95,"⚠️ At Risk","❌ Inconsistent"))</f>
        <v/>
      </c>
      <c r="K6" s="15" t="n"/>
      <c r="L6" s="15" t="n"/>
    </row>
    <row r="7">
      <c r="A7" s="15" t="inlineStr">
        <is>
          <t>Applications: Inventory ↔ License DB</t>
        </is>
      </c>
      <c r="B7" s="15" t="inlineStr">
        <is>
          <t>Asset Inventory</t>
        </is>
      </c>
      <c r="C7" s="15" t="inlineStr">
        <is>
          <t>License Database</t>
        </is>
      </c>
      <c r="D7" s="15" t="n"/>
      <c r="E7" s="15" t="n"/>
      <c r="F7" s="15" t="n"/>
      <c r="G7" s="24">
        <f>IFERROR(F7/MAX(D7,E7)*100,0)</f>
        <v/>
      </c>
      <c r="H7" s="15" t="inlineStr">
        <is>
          <t>95%</t>
        </is>
      </c>
      <c r="I7" s="24">
        <f>G7-95</f>
        <v/>
      </c>
      <c r="J7" s="25">
        <f>IF(G7&gt;=95,"✅ Consistent",IF(G7&gt;=90,"⚠️ At Risk","❌ Inconsistent"))</f>
        <v/>
      </c>
      <c r="K7" s="15" t="n"/>
      <c r="L7" s="15" t="n"/>
    </row>
    <row r="8">
      <c r="A8" s="15" t="inlineStr">
        <is>
          <t>Hardware: Inventory ↔ Procurement</t>
        </is>
      </c>
      <c r="B8" s="15" t="inlineStr">
        <is>
          <t>Asset Inventory</t>
        </is>
      </c>
      <c r="C8" s="15" t="inlineStr">
        <is>
          <t>Procurement Records</t>
        </is>
      </c>
      <c r="D8" s="15" t="n"/>
      <c r="E8" s="15" t="n"/>
      <c r="F8" s="15" t="n"/>
      <c r="G8" s="24">
        <f>IFERROR(F8/MAX(D8,E8)*100,0)</f>
        <v/>
      </c>
      <c r="H8" s="15" t="inlineStr">
        <is>
          <t>95%</t>
        </is>
      </c>
      <c r="I8" s="24">
        <f>G8-95</f>
        <v/>
      </c>
      <c r="J8" s="25">
        <f>IF(G8&gt;=95,"✅ Consistent",IF(G8&gt;=90,"⚠️ At Risk","❌ Inconsistent"))</f>
        <v/>
      </c>
      <c r="K8" s="15" t="n"/>
      <c r="L8" s="15" t="n"/>
    </row>
    <row r="9">
      <c r="A9" s="15" t="inlineStr">
        <is>
          <t>Cloud Resources: Inventory ↔ Cloud API</t>
        </is>
      </c>
      <c r="B9" s="15" t="inlineStr">
        <is>
          <t>Asset Inventory</t>
        </is>
      </c>
      <c r="C9" s="15" t="inlineStr">
        <is>
          <t>AWS/Azure API</t>
        </is>
      </c>
      <c r="D9" s="15" t="n"/>
      <c r="E9" s="15" t="n"/>
      <c r="F9" s="15" t="n"/>
      <c r="G9" s="24">
        <f>IFERROR(F9/MAX(D9,E9)*100,0)</f>
        <v/>
      </c>
      <c r="H9" s="15" t="inlineStr">
        <is>
          <t>95%</t>
        </is>
      </c>
      <c r="I9" s="24">
        <f>G9-95</f>
        <v/>
      </c>
      <c r="J9" s="25">
        <f>IF(G9&gt;=95,"✅ Consistent",IF(G9&gt;=90,"⚠️ At Risk","❌ Inconsistent"))</f>
        <v/>
      </c>
      <c r="K9" s="15" t="n"/>
      <c r="L9" s="15" t="n"/>
    </row>
    <row r="12">
      <c r="A12" s="16" t="inlineStr">
        <is>
          <t>CONSISTENCY SUMMARY</t>
        </is>
      </c>
    </row>
    <row r="13">
      <c r="A13" t="inlineStr">
        <is>
          <t>Average Consistency %</t>
        </is>
      </c>
      <c r="B13" s="18">
        <f>IFERROR(AVERAGE(G4:G9),0)</f>
        <v/>
      </c>
    </row>
    <row r="14">
      <c r="A14" t="inlineStr">
        <is>
          <t>Target</t>
        </is>
      </c>
      <c r="B14" t="inlineStr">
        <is>
          <t>95%</t>
        </is>
      </c>
    </row>
    <row r="15">
      <c r="A15" t="inlineStr">
        <is>
          <t>Gap</t>
        </is>
      </c>
      <c r="B15" s="19">
        <f>B13-95</f>
        <v/>
      </c>
    </row>
    <row r="16">
      <c r="A16" t="inlineStr">
        <is>
          <t>Status</t>
        </is>
      </c>
      <c r="B16" s="17">
        <f>IF(B13&gt;=95,"✅ High Quality",IF(B13&gt;=90,"⚠️ Needs Improvement","❌ Poor Quality"))</f>
        <v/>
      </c>
    </row>
  </sheetData>
  <mergeCells count="2">
    <mergeCell ref="A2:L2"/>
    <mergeCell ref="A1:L1"/>
  </mergeCells>
  <conditionalFormatting sqref="G4:G9">
    <cfRule type="cellIs" priority="1" operator="greaterThanOrEqual" dxfId="0">
      <formula>95</formula>
    </cfRule>
    <cfRule type="cellIs" priority="2" operator="between" dxfId="1">
      <formula>90</formula>
      <formula>94</formula>
    </cfRule>
    <cfRule type="cellIs" priority="3" operator="lessThan" dxfId="2">
      <formula>90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50" customWidth="1" min="1" max="1"/>
    <col width="50" customWidth="1" min="2" max="2"/>
    <col width="18" customWidth="1" min="3" max="3"/>
    <col width="15" customWidth="1" min="4" max="4"/>
    <col width="16" customWidth="1" min="5" max="5"/>
    <col width="12" customWidth="1" min="6" max="6"/>
    <col width="12" customWidth="1" min="7" max="7"/>
    <col width="18" customWidth="1" min="8" max="8"/>
    <col width="15" customWidth="1" min="9" max="9"/>
    <col width="30" customWidth="1" min="10" max="10"/>
  </cols>
  <sheetData>
    <row r="1">
      <c r="A1" s="11" t="inlineStr">
        <is>
          <t>POLICY COMPLIANCE MATRIX</t>
        </is>
      </c>
    </row>
    <row r="2" ht="16" customHeight="1">
      <c r="A2" s="12" t="inlineStr">
        <is>
          <t>ISO/IEC 27001:2022 - Control A.5.9: Inventory of Information and Assets</t>
        </is>
      </c>
    </row>
    <row r="3">
      <c r="A3" s="21" t="inlineStr">
        <is>
          <t>Policy Requirement</t>
        </is>
      </c>
      <c r="B3" s="21" t="inlineStr">
        <is>
          <t>SHALL Requirement</t>
        </is>
      </c>
      <c r="C3" s="21" t="inlineStr">
        <is>
          <t>Compliant Assets</t>
        </is>
      </c>
      <c r="D3" s="21" t="inlineStr">
        <is>
          <t>Total Assets</t>
        </is>
      </c>
      <c r="E3" s="21" t="inlineStr">
        <is>
          <t>Compliance %</t>
        </is>
      </c>
      <c r="F3" s="21" t="inlineStr">
        <is>
          <t>Target</t>
        </is>
      </c>
      <c r="G3" s="21" t="inlineStr">
        <is>
          <t>Gap</t>
        </is>
      </c>
      <c r="H3" s="21" t="inlineStr">
        <is>
          <t>Status</t>
        </is>
      </c>
      <c r="I3" s="21" t="inlineStr">
        <is>
          <t>Evidence ID</t>
        </is>
      </c>
      <c r="J3" s="21" t="inlineStr">
        <is>
          <t>Notes</t>
        </is>
      </c>
    </row>
    <row r="4" ht="30" customHeight="1">
      <c r="A4" s="14" t="inlineStr">
        <is>
          <t>Asset Ownership</t>
        </is>
      </c>
      <c r="B4" s="26" t="inlineStr">
        <is>
          <t>[Organisation] SHALL assign an owner to each asset</t>
        </is>
      </c>
      <c r="C4" s="14" t="n"/>
      <c r="D4" s="14" t="n"/>
      <c r="E4" s="22">
        <f>IFERROR(C4/D4*100,0)</f>
        <v/>
      </c>
      <c r="F4" s="14" t="inlineStr">
        <is>
          <t>100%</t>
        </is>
      </c>
      <c r="G4" s="22">
        <f>E4-100</f>
        <v/>
      </c>
      <c r="H4" s="23">
        <f>IF(E4=100,"✅ Compliant",IF(E4&gt;=95,"⚠️ Minor Gap","❌ Non-Compliant"))</f>
        <v/>
      </c>
      <c r="I4" s="14" t="n"/>
      <c r="J4" s="14" t="n"/>
    </row>
    <row r="5" ht="30" customHeight="1">
      <c r="A5" s="15" t="inlineStr">
        <is>
          <t>Classification</t>
        </is>
      </c>
      <c r="B5" s="27" t="inlineStr">
        <is>
          <t>[Organisation] SHALL classify information assets by sensitivity</t>
        </is>
      </c>
      <c r="C5" s="15" t="n"/>
      <c r="D5" s="15" t="n"/>
      <c r="E5" s="24">
        <f>IFERROR(C5/D5*100,0)</f>
        <v/>
      </c>
      <c r="F5" s="15" t="inlineStr">
        <is>
          <t>100%</t>
        </is>
      </c>
      <c r="G5" s="24">
        <f>E5-100</f>
        <v/>
      </c>
      <c r="H5" s="25">
        <f>IF(E5=100,"✅ Compliant",IF(E5&gt;=95,"⚠️ Minor Gap","❌ Non-Compliant"))</f>
        <v/>
      </c>
      <c r="I5" s="15" t="n"/>
      <c r="J5" s="15" t="n"/>
    </row>
    <row r="6" ht="30" customHeight="1">
      <c r="A6" s="15" t="inlineStr">
        <is>
          <t>Acceptable Use</t>
        </is>
      </c>
      <c r="B6" s="27" t="inlineStr">
        <is>
          <t>Asset owners SHALL define acceptable use restrictions</t>
        </is>
      </c>
      <c r="C6" s="15" t="n"/>
      <c r="D6" s="15" t="n"/>
      <c r="E6" s="24">
        <f>IFERROR(C6/D6*100,0)</f>
        <v/>
      </c>
      <c r="F6" s="15" t="inlineStr">
        <is>
          <t>100%</t>
        </is>
      </c>
      <c r="G6" s="24">
        <f>E6-100</f>
        <v/>
      </c>
      <c r="H6" s="25">
        <f>IF(E6=100,"✅ Compliant",IF(E6&gt;=95,"⚠️ Minor Gap","❌ Non-Compliant"))</f>
        <v/>
      </c>
      <c r="I6" s="15" t="n"/>
      <c r="J6" s="15" t="n"/>
    </row>
    <row r="7" ht="30" customHeight="1">
      <c r="A7" s="15" t="inlineStr">
        <is>
          <t>Handling Requirements</t>
        </is>
      </c>
      <c r="B7" s="27" t="inlineStr">
        <is>
          <t>Asset owners SHALL document handling requirements</t>
        </is>
      </c>
      <c r="C7" s="15" t="n"/>
      <c r="D7" s="15" t="n"/>
      <c r="E7" s="24">
        <f>IFERROR(C7/D7*100,0)</f>
        <v/>
      </c>
      <c r="F7" s="15" t="inlineStr">
        <is>
          <t>100%</t>
        </is>
      </c>
      <c r="G7" s="24">
        <f>E7-100</f>
        <v/>
      </c>
      <c r="H7" s="25">
        <f>IF(E7=100,"✅ Compliant",IF(E7&gt;=95,"⚠️ Minor Gap","❌ Non-Compliant"))</f>
        <v/>
      </c>
      <c r="I7" s="15" t="n"/>
      <c r="J7" s="15" t="n"/>
    </row>
    <row r="8" ht="30" customHeight="1">
      <c r="A8" s="15" t="inlineStr">
        <is>
          <t>Inventory Maintenance</t>
        </is>
      </c>
      <c r="B8" s="27" t="inlineStr">
        <is>
          <t>[Organisation] SHALL maintain current and accurate inventory</t>
        </is>
      </c>
      <c r="C8" s="15" t="n"/>
      <c r="D8" s="15" t="n"/>
      <c r="E8" s="24">
        <f>IFERROR(C8/D8*100,0)</f>
        <v/>
      </c>
      <c r="F8" s="15" t="inlineStr">
        <is>
          <t>100%</t>
        </is>
      </c>
      <c r="G8" s="24">
        <f>E8-100</f>
        <v/>
      </c>
      <c r="H8" s="25">
        <f>IF(E8=100,"✅ Compliant",IF(E8&gt;=95,"⚠️ Minor Gap","❌ Non-Compliant"))</f>
        <v/>
      </c>
      <c r="I8" s="15" t="n"/>
      <c r="J8" s="15" t="n"/>
    </row>
    <row r="9" ht="30" customHeight="1">
      <c r="A9" s="15" t="inlineStr">
        <is>
          <t>Periodic Review</t>
        </is>
      </c>
      <c r="B9" s="27" t="inlineStr">
        <is>
          <t>Asset owners SHALL review assets at least annually</t>
        </is>
      </c>
      <c r="C9" s="15" t="n"/>
      <c r="D9" s="15" t="n"/>
      <c r="E9" s="24">
        <f>IFERROR(C9/D9*100,0)</f>
        <v/>
      </c>
      <c r="F9" s="15" t="inlineStr">
        <is>
          <t>100%</t>
        </is>
      </c>
      <c r="G9" s="24">
        <f>E9-100</f>
        <v/>
      </c>
      <c r="H9" s="25">
        <f>IF(E9=100,"✅ Compliant",IF(E9&gt;=95,"⚠️ Minor Gap","❌ Non-Compliant"))</f>
        <v/>
      </c>
      <c r="I9" s="15" t="n"/>
      <c r="J9" s="15" t="n"/>
    </row>
    <row r="10" ht="30" customHeight="1">
      <c r="A10" s="15" t="inlineStr">
        <is>
          <t>Decommissioning</t>
        </is>
      </c>
      <c r="B10" s="27" t="inlineStr">
        <is>
          <t>[Organisation] SHALL follow secure decommissioning procedures</t>
        </is>
      </c>
      <c r="C10" s="15" t="n"/>
      <c r="D10" s="15" t="n"/>
      <c r="E10" s="24">
        <f>IFERROR(C10/D10*100,0)</f>
        <v/>
      </c>
      <c r="F10" s="15" t="inlineStr">
        <is>
          <t>100%</t>
        </is>
      </c>
      <c r="G10" s="24">
        <f>E10-100</f>
        <v/>
      </c>
      <c r="H10" s="25">
        <f>IF(E10=100,"✅ Compliant",IF(E10&gt;=95,"⚠️ Minor Gap","❌ Non-Compliant"))</f>
        <v/>
      </c>
      <c r="I10" s="15" t="n"/>
      <c r="J10" s="15" t="n"/>
    </row>
    <row r="13">
      <c r="A13" s="16" t="inlineStr">
        <is>
          <t>POLICY COMPLIANCE SUMMARY</t>
        </is>
      </c>
    </row>
    <row r="14">
      <c r="A14" t="inlineStr">
        <is>
          <t>Average Policy Compliance %</t>
        </is>
      </c>
      <c r="B14" s="18">
        <f>IFERROR(AVERAGE(E4:E10),0)</f>
        <v/>
      </c>
    </row>
    <row r="15">
      <c r="A15" t="inlineStr">
        <is>
          <t>Target</t>
        </is>
      </c>
      <c r="B15" s="28" t="inlineStr">
        <is>
          <t>100%</t>
        </is>
      </c>
    </row>
    <row r="16">
      <c r="A16" t="inlineStr">
        <is>
          <t>Gap</t>
        </is>
      </c>
      <c r="B16" s="19">
        <f>B14-100</f>
        <v/>
      </c>
    </row>
    <row r="17">
      <c r="A17" t="inlineStr">
        <is>
          <t>Status</t>
        </is>
      </c>
      <c r="B17" s="17">
        <f>IF(B14=100,"✅ Fully Compliant",IF(B14&gt;=95,"⚠️ Minor Gaps","❌ Non-Compliant"))</f>
        <v/>
      </c>
    </row>
  </sheetData>
  <mergeCells count="2">
    <mergeCell ref="A1:J1"/>
    <mergeCell ref="A2:J2"/>
  </mergeCells>
  <conditionalFormatting sqref="E4:E10">
    <cfRule type="cellIs" priority="1" operator="equal" dxfId="0">
      <formula>100</formula>
    </cfRule>
    <cfRule type="cellIs" priority="2" operator="between" dxfId="1">
      <formula>95</formula>
      <formula>99</formula>
    </cfRule>
    <cfRule type="cellIs" priority="3" operator="lessThan" dxfId="2">
      <formula>95</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25" customWidth="1" min="1" max="1"/>
    <col width="15" customWidth="1" min="2" max="2"/>
    <col width="12" customWidth="1" min="3" max="3"/>
    <col width="18" customWidth="1" min="4" max="4"/>
    <col width="12" customWidth="1" min="5" max="5"/>
    <col width="12" customWidth="1" min="6" max="6"/>
    <col width="18" customWidth="1" min="7" max="7"/>
  </cols>
  <sheetData>
    <row r="1">
      <c r="A1" s="11" t="inlineStr">
        <is>
          <t>QUALITY METRICS &amp; SCORING</t>
        </is>
      </c>
    </row>
    <row r="3">
      <c r="A3" s="21" t="inlineStr">
        <is>
          <t>Quality Dimension</t>
        </is>
      </c>
      <c r="B3" s="21" t="inlineStr">
        <is>
          <t>Score %</t>
        </is>
      </c>
      <c r="C3" s="21" t="inlineStr">
        <is>
          <t>Weight %</t>
        </is>
      </c>
      <c r="D3" s="21" t="inlineStr">
        <is>
          <t>Weighted Score</t>
        </is>
      </c>
      <c r="E3" s="21" t="inlineStr">
        <is>
          <t>Target %</t>
        </is>
      </c>
      <c r="F3" s="21" t="inlineStr">
        <is>
          <t>Gap</t>
        </is>
      </c>
      <c r="G3" s="21" t="inlineStr">
        <is>
          <t>Status</t>
        </is>
      </c>
    </row>
    <row r="4">
      <c r="A4" s="17" t="inlineStr">
        <is>
          <t>Accuracy</t>
        </is>
      </c>
      <c r="B4" s="29">
        <f>'Accuracy Sampling'!B62</f>
        <v/>
      </c>
      <c r="C4" t="inlineStr">
        <is>
          <t>30%</t>
        </is>
      </c>
      <c r="D4" s="19">
        <f>B4*30/100</f>
        <v/>
      </c>
      <c r="E4" t="inlineStr">
        <is>
          <t>98%</t>
        </is>
      </c>
      <c r="F4" s="19">
        <f>B4-98/100</f>
        <v/>
      </c>
      <c r="G4" s="30">
        <f>IF(B4&gt;=98/100,"✅ High",IF(B4&gt;=98/100-0.05,"⚠️ Medium","❌ Low"))</f>
        <v/>
      </c>
    </row>
    <row r="5">
      <c r="A5" s="17" t="inlineStr">
        <is>
          <t>Completeness</t>
        </is>
      </c>
      <c r="B5" s="29">
        <f>'Completeness Assessment'!B28</f>
        <v/>
      </c>
      <c r="C5" t="inlineStr">
        <is>
          <t>25%</t>
        </is>
      </c>
      <c r="D5" s="19">
        <f>B5*25/100</f>
        <v/>
      </c>
      <c r="E5" t="inlineStr">
        <is>
          <t>95%</t>
        </is>
      </c>
      <c r="F5" s="19">
        <f>B5-95/100</f>
        <v/>
      </c>
      <c r="G5" s="30">
        <f>IF(B5&gt;=95/100,"✅ High",IF(B5&gt;=95/100-0.05,"⚠️ Medium","❌ Low"))</f>
        <v/>
      </c>
    </row>
    <row r="6">
      <c r="A6" s="17" t="inlineStr">
        <is>
          <t>Currency</t>
        </is>
      </c>
      <c r="B6" s="29">
        <f>'Currency Assessment'!B16</f>
        <v/>
      </c>
      <c r="C6" t="inlineStr">
        <is>
          <t>20%</t>
        </is>
      </c>
      <c r="D6" s="19">
        <f>B6*20/100</f>
        <v/>
      </c>
      <c r="E6" t="inlineStr">
        <is>
          <t>90%</t>
        </is>
      </c>
      <c r="F6" s="19">
        <f>B6-90/100</f>
        <v/>
      </c>
      <c r="G6" s="30">
        <f>IF(B6&gt;=90/100,"✅ High",IF(B6&gt;=90/100-0.05,"⚠️ Medium","❌ Low"))</f>
        <v/>
      </c>
    </row>
    <row r="7">
      <c r="A7" s="17" t="inlineStr">
        <is>
          <t>Consistency</t>
        </is>
      </c>
      <c r="B7" s="29">
        <f>'Consistency Checks'!B13</f>
        <v/>
      </c>
      <c r="C7" t="inlineStr">
        <is>
          <t>15%</t>
        </is>
      </c>
      <c r="D7" s="19">
        <f>B7*15/100</f>
        <v/>
      </c>
      <c r="E7" t="inlineStr">
        <is>
          <t>95%</t>
        </is>
      </c>
      <c r="F7" s="19">
        <f>B7-95/100</f>
        <v/>
      </c>
      <c r="G7" s="30">
        <f>IF(B7&gt;=95/100,"✅ High",IF(B7&gt;=95/100-0.05,"⚠️ Medium","❌ Low"))</f>
        <v/>
      </c>
    </row>
    <row r="8">
      <c r="A8" s="17" t="inlineStr">
        <is>
          <t>Policy Compliance</t>
        </is>
      </c>
      <c r="B8" s="29">
        <f>'Policy Compliance Matrix'!B15</f>
        <v/>
      </c>
      <c r="C8" t="inlineStr">
        <is>
          <t>10%</t>
        </is>
      </c>
      <c r="D8" s="19">
        <f>B8*10/100</f>
        <v/>
      </c>
      <c r="E8" t="inlineStr">
        <is>
          <t>100%</t>
        </is>
      </c>
      <c r="F8" s="19">
        <f>B8-100/100</f>
        <v/>
      </c>
      <c r="G8" s="30">
        <f>IF(B8&gt;=100/100,"✅ High",IF(B8&gt;=100/100-0.05,"⚠️ Medium","❌ Low"))</f>
        <v/>
      </c>
    </row>
    <row r="11">
      <c r="A11" s="31" t="inlineStr">
        <is>
          <t>OVERALL QUALITY INDEX</t>
        </is>
      </c>
      <c r="B11" s="32">
        <f>SUM(D4:D8)</f>
        <v/>
      </c>
    </row>
    <row r="12">
      <c r="A12" t="inlineStr">
        <is>
          <t>Overall Target</t>
        </is>
      </c>
      <c r="B12" s="17" t="inlineStr">
        <is>
          <t>97%</t>
        </is>
      </c>
    </row>
    <row r="13">
      <c r="A13" t="inlineStr">
        <is>
          <t>Overall Gap</t>
        </is>
      </c>
      <c r="B13" s="19">
        <f>B11-0.97</f>
        <v/>
      </c>
    </row>
    <row r="14">
      <c r="A14" t="inlineStr">
        <is>
          <t>Overall Status</t>
        </is>
      </c>
      <c r="B14" s="17">
        <f>IF(B11&gt;=0.97,"✅ High Quality",IF(B11&gt;=0.92,"⚠️ Needs Improvement","❌ Poor Quality"))</f>
        <v/>
      </c>
    </row>
    <row r="17">
      <c r="A17" s="33" t="inlineStr">
        <is>
          <t>CSV EXPORT FOR DASHBOARD (Copy rows below)</t>
        </is>
      </c>
    </row>
    <row r="18">
      <c r="A18" s="17" t="inlineStr">
        <is>
          <t>Quality_Dimension</t>
        </is>
      </c>
      <c r="B18" s="17" t="inlineStr">
        <is>
          <t>Score_%</t>
        </is>
      </c>
      <c r="C18" s="17" t="inlineStr">
        <is>
          <t>Status</t>
        </is>
      </c>
    </row>
    <row r="19">
      <c r="A19">
        <f>A4</f>
        <v/>
      </c>
      <c r="B19">
        <f>B4</f>
        <v/>
      </c>
      <c r="C19">
        <f>G4</f>
        <v/>
      </c>
    </row>
    <row r="20">
      <c r="A20">
        <f>A5</f>
        <v/>
      </c>
      <c r="B20">
        <f>B5</f>
        <v/>
      </c>
      <c r="C20">
        <f>G5</f>
        <v/>
      </c>
    </row>
    <row r="21">
      <c r="A21">
        <f>A6</f>
        <v/>
      </c>
      <c r="B21">
        <f>B6</f>
        <v/>
      </c>
      <c r="C21">
        <f>G6</f>
        <v/>
      </c>
    </row>
    <row r="22">
      <c r="A22">
        <f>A7</f>
        <v/>
      </c>
      <c r="B22">
        <f>B7</f>
        <v/>
      </c>
      <c r="C22">
        <f>G7</f>
        <v/>
      </c>
    </row>
    <row r="23">
      <c r="A23">
        <f>A8</f>
        <v/>
      </c>
      <c r="B23">
        <f>B8</f>
        <v/>
      </c>
      <c r="C23">
        <f>G8</f>
        <v/>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4" t="inlineStr">
        <is>
          <t>EVIDENCE REGISTER</t>
        </is>
      </c>
    </row>
    <row r="2">
      <c r="A2" s="35" t="inlineStr">
        <is>
          <t>ISO/IEC 27001:2022 - Control A.5.9: Inventory of Information and Assets</t>
        </is>
      </c>
    </row>
    <row r="4">
      <c r="A4" s="36" t="inlineStr">
        <is>
          <t>Evidence ID</t>
        </is>
      </c>
      <c r="B4" s="36" t="inlineStr">
        <is>
          <t>Evidence Type</t>
        </is>
      </c>
      <c r="C4" s="36" t="inlineStr">
        <is>
          <t>Description</t>
        </is>
      </c>
      <c r="D4" s="36" t="inlineStr">
        <is>
          <t>Related Control / Section</t>
        </is>
      </c>
      <c r="E4" s="36" t="inlineStr">
        <is>
          <t>Collection Date (DD.MM.YYYY)</t>
        </is>
      </c>
      <c r="F4" s="36" t="inlineStr">
        <is>
          <t>Storage Location / Reference</t>
        </is>
      </c>
      <c r="G4" s="36" t="inlineStr">
        <is>
          <t>Collected By</t>
        </is>
      </c>
      <c r="H4" s="36" t="inlineStr">
        <is>
          <t>Verification Status</t>
        </is>
      </c>
    </row>
    <row r="5">
      <c r="A5" s="37" t="inlineStr">
        <is>
          <t>EV-001</t>
        </is>
      </c>
      <c r="B5" s="37" t="inlineStr">
        <is>
          <t>Document</t>
        </is>
      </c>
      <c r="C5" s="37" t="inlineStr">
        <is>
          <t>Sample evidence entry — replace with actual evidence</t>
        </is>
      </c>
      <c r="D5" s="37" t="inlineStr">
        <is>
          <t>A.5.9 All Domains</t>
        </is>
      </c>
      <c r="E5" s="37" t="inlineStr">
        <is>
          <t>01.01.2026</t>
        </is>
      </c>
      <c r="F5" s="37" t="inlineStr">
        <is>
          <t>SharePoint/ISMS/Evidence/</t>
        </is>
      </c>
      <c r="G5" s="37" t="inlineStr">
        <is>
          <t>ISMS Team</t>
        </is>
      </c>
      <c r="H5" s="37" t="inlineStr">
        <is>
          <t>Not verified</t>
        </is>
      </c>
    </row>
    <row r="6">
      <c r="A6" s="38" t="n"/>
      <c r="B6" s="38" t="n"/>
      <c r="C6" s="38" t="n"/>
      <c r="D6" s="38" t="n"/>
      <c r="E6" s="38" t="n"/>
      <c r="F6" s="38" t="n"/>
      <c r="G6" s="38" t="n"/>
      <c r="H6" s="38" t="n"/>
    </row>
    <row r="7">
      <c r="A7" s="38" t="n"/>
      <c r="B7" s="38" t="n"/>
      <c r="C7" s="38" t="n"/>
      <c r="D7" s="38" t="n"/>
      <c r="E7" s="38" t="n"/>
      <c r="F7" s="38" t="n"/>
      <c r="G7" s="38" t="n"/>
      <c r="H7" s="38" t="n"/>
    </row>
    <row r="8">
      <c r="A8" s="38" t="n"/>
      <c r="B8" s="38" t="n"/>
      <c r="C8" s="38" t="n"/>
      <c r="D8" s="38" t="n"/>
      <c r="E8" s="38" t="n"/>
      <c r="F8" s="38" t="n"/>
      <c r="G8" s="38" t="n"/>
      <c r="H8" s="38" t="n"/>
    </row>
    <row r="9">
      <c r="A9" s="38" t="n"/>
      <c r="B9" s="38" t="n"/>
      <c r="C9" s="38" t="n"/>
      <c r="D9" s="38" t="n"/>
      <c r="E9" s="38" t="n"/>
      <c r="F9" s="38" t="n"/>
      <c r="G9" s="38" t="n"/>
      <c r="H9" s="38" t="n"/>
    </row>
    <row r="10">
      <c r="A10" s="38" t="n"/>
      <c r="B10" s="38" t="n"/>
      <c r="C10" s="38" t="n"/>
      <c r="D10" s="38" t="n"/>
      <c r="E10" s="38" t="n"/>
      <c r="F10" s="38" t="n"/>
      <c r="G10" s="38" t="n"/>
      <c r="H10" s="38" t="n"/>
    </row>
    <row r="11">
      <c r="A11" s="38" t="n"/>
      <c r="B11" s="38" t="n"/>
      <c r="C11" s="38" t="n"/>
      <c r="D11" s="38" t="n"/>
      <c r="E11" s="38" t="n"/>
      <c r="F11" s="38" t="n"/>
      <c r="G11" s="38" t="n"/>
      <c r="H11" s="38" t="n"/>
    </row>
    <row r="12">
      <c r="A12" s="38" t="n"/>
      <c r="B12" s="38" t="n"/>
      <c r="C12" s="38" t="n"/>
      <c r="D12" s="38" t="n"/>
      <c r="E12" s="38" t="n"/>
      <c r="F12" s="38" t="n"/>
      <c r="G12" s="38" t="n"/>
      <c r="H12" s="38" t="n"/>
    </row>
    <row r="13">
      <c r="A13" s="38" t="n"/>
      <c r="B13" s="38" t="n"/>
      <c r="C13" s="38" t="n"/>
      <c r="D13" s="38" t="n"/>
      <c r="E13" s="38" t="n"/>
      <c r="F13" s="38" t="n"/>
      <c r="G13" s="38" t="n"/>
      <c r="H13" s="38" t="n"/>
    </row>
    <row r="14">
      <c r="A14" s="38" t="n"/>
      <c r="B14" s="38" t="n"/>
      <c r="C14" s="38" t="n"/>
      <c r="D14" s="38" t="n"/>
      <c r="E14" s="38" t="n"/>
      <c r="F14" s="38" t="n"/>
      <c r="G14" s="38" t="n"/>
      <c r="H14" s="38" t="n"/>
    </row>
    <row r="15">
      <c r="A15" s="38" t="n"/>
      <c r="B15" s="38" t="n"/>
      <c r="C15" s="38" t="n"/>
      <c r="D15" s="38" t="n"/>
      <c r="E15" s="38" t="n"/>
      <c r="F15" s="38" t="n"/>
      <c r="G15" s="38" t="n"/>
      <c r="H15" s="38" t="n"/>
    </row>
    <row r="16">
      <c r="A16" s="38" t="n"/>
      <c r="B16" s="38" t="n"/>
      <c r="C16" s="38" t="n"/>
      <c r="D16" s="38" t="n"/>
      <c r="E16" s="38" t="n"/>
      <c r="F16" s="38" t="n"/>
      <c r="G16" s="38" t="n"/>
      <c r="H16" s="38" t="n"/>
    </row>
    <row r="17">
      <c r="A17" s="38" t="n"/>
      <c r="B17" s="38" t="n"/>
      <c r="C17" s="38" t="n"/>
      <c r="D17" s="38" t="n"/>
      <c r="E17" s="38" t="n"/>
      <c r="F17" s="38" t="n"/>
      <c r="G17" s="38" t="n"/>
      <c r="H17" s="38" t="n"/>
    </row>
    <row r="18">
      <c r="A18" s="38" t="n"/>
      <c r="B18" s="38" t="n"/>
      <c r="C18" s="38" t="n"/>
      <c r="D18" s="38" t="n"/>
      <c r="E18" s="38" t="n"/>
      <c r="F18" s="38" t="n"/>
      <c r="G18" s="38" t="n"/>
      <c r="H18" s="38" t="n"/>
    </row>
    <row r="19">
      <c r="A19" s="38" t="n"/>
      <c r="B19" s="38" t="n"/>
      <c r="C19" s="38" t="n"/>
      <c r="D19" s="38" t="n"/>
      <c r="E19" s="38" t="n"/>
      <c r="F19" s="38" t="n"/>
      <c r="G19" s="38" t="n"/>
      <c r="H19" s="38" t="n"/>
    </row>
    <row r="20">
      <c r="A20" s="38" t="n"/>
      <c r="B20" s="38" t="n"/>
      <c r="C20" s="38" t="n"/>
      <c r="D20" s="38" t="n"/>
      <c r="E20" s="38" t="n"/>
      <c r="F20" s="38" t="n"/>
      <c r="G20" s="38" t="n"/>
      <c r="H20" s="38" t="n"/>
    </row>
    <row r="21">
      <c r="A21" s="38" t="n"/>
      <c r="B21" s="38" t="n"/>
      <c r="C21" s="38" t="n"/>
      <c r="D21" s="38" t="n"/>
      <c r="E21" s="38" t="n"/>
      <c r="F21" s="38" t="n"/>
      <c r="G21" s="38" t="n"/>
      <c r="H21" s="38" t="n"/>
    </row>
    <row r="22">
      <c r="A22" s="38" t="n"/>
      <c r="B22" s="38" t="n"/>
      <c r="C22" s="38" t="n"/>
      <c r="D22" s="38" t="n"/>
      <c r="E22" s="38" t="n"/>
      <c r="F22" s="38" t="n"/>
      <c r="G22" s="38" t="n"/>
      <c r="H22" s="38" t="n"/>
    </row>
    <row r="23">
      <c r="A23" s="38" t="n"/>
      <c r="B23" s="38" t="n"/>
      <c r="C23" s="38" t="n"/>
      <c r="D23" s="38" t="n"/>
      <c r="E23" s="38" t="n"/>
      <c r="F23" s="38" t="n"/>
      <c r="G23" s="38" t="n"/>
      <c r="H23" s="38" t="n"/>
    </row>
    <row r="24">
      <c r="A24" s="38" t="n"/>
      <c r="B24" s="38" t="n"/>
      <c r="C24" s="38" t="n"/>
      <c r="D24" s="38" t="n"/>
      <c r="E24" s="38" t="n"/>
      <c r="F24" s="38" t="n"/>
      <c r="G24" s="38" t="n"/>
      <c r="H24" s="38" t="n"/>
    </row>
    <row r="25">
      <c r="A25" s="38" t="n"/>
      <c r="B25" s="38" t="n"/>
      <c r="C25" s="38" t="n"/>
      <c r="D25" s="38" t="n"/>
      <c r="E25" s="38" t="n"/>
      <c r="F25" s="38" t="n"/>
      <c r="G25" s="38" t="n"/>
      <c r="H25" s="38" t="n"/>
    </row>
    <row r="26">
      <c r="A26" s="38" t="n"/>
      <c r="B26" s="38" t="n"/>
      <c r="C26" s="38" t="n"/>
      <c r="D26" s="38" t="n"/>
      <c r="E26" s="38" t="n"/>
      <c r="F26" s="38" t="n"/>
      <c r="G26" s="38" t="n"/>
      <c r="H26" s="38" t="n"/>
    </row>
    <row r="27">
      <c r="A27" s="38" t="n"/>
      <c r="B27" s="38" t="n"/>
      <c r="C27" s="38" t="n"/>
      <c r="D27" s="38" t="n"/>
      <c r="E27" s="38" t="n"/>
      <c r="F27" s="38" t="n"/>
      <c r="G27" s="38" t="n"/>
      <c r="H27" s="38" t="n"/>
    </row>
    <row r="28">
      <c r="A28" s="38" t="n"/>
      <c r="B28" s="38" t="n"/>
      <c r="C28" s="38" t="n"/>
      <c r="D28" s="38" t="n"/>
      <c r="E28" s="38" t="n"/>
      <c r="F28" s="38" t="n"/>
      <c r="G28" s="38" t="n"/>
      <c r="H28" s="38" t="n"/>
    </row>
    <row r="29">
      <c r="A29" s="38" t="n"/>
      <c r="B29" s="38" t="n"/>
      <c r="C29" s="38" t="n"/>
      <c r="D29" s="38" t="n"/>
      <c r="E29" s="38" t="n"/>
      <c r="F29" s="38" t="n"/>
      <c r="G29" s="38" t="n"/>
      <c r="H29" s="38" t="n"/>
    </row>
    <row r="30">
      <c r="A30" s="38" t="n"/>
      <c r="B30" s="38" t="n"/>
      <c r="C30" s="38" t="n"/>
      <c r="D30" s="38" t="n"/>
      <c r="E30" s="38" t="n"/>
      <c r="F30" s="38" t="n"/>
      <c r="G30" s="38" t="n"/>
      <c r="H30" s="38" t="n"/>
    </row>
    <row r="31">
      <c r="A31" s="38" t="n"/>
      <c r="B31" s="38" t="n"/>
      <c r="C31" s="38" t="n"/>
      <c r="D31" s="38" t="n"/>
      <c r="E31" s="38" t="n"/>
      <c r="F31" s="38" t="n"/>
      <c r="G31" s="38" t="n"/>
      <c r="H31" s="38" t="n"/>
    </row>
    <row r="32">
      <c r="A32" s="38" t="n"/>
      <c r="B32" s="38" t="n"/>
      <c r="C32" s="38" t="n"/>
      <c r="D32" s="38" t="n"/>
      <c r="E32" s="38" t="n"/>
      <c r="F32" s="38" t="n"/>
      <c r="G32" s="38" t="n"/>
      <c r="H32" s="38" t="n"/>
    </row>
    <row r="33">
      <c r="A33" s="38" t="n"/>
      <c r="B33" s="38" t="n"/>
      <c r="C33" s="38" t="n"/>
      <c r="D33" s="38" t="n"/>
      <c r="E33" s="38" t="n"/>
      <c r="F33" s="38" t="n"/>
      <c r="G33" s="38" t="n"/>
      <c r="H33" s="38" t="n"/>
    </row>
    <row r="34">
      <c r="A34" s="38" t="n"/>
      <c r="B34" s="38" t="n"/>
      <c r="C34" s="38" t="n"/>
      <c r="D34" s="38" t="n"/>
      <c r="E34" s="38" t="n"/>
      <c r="F34" s="38" t="n"/>
      <c r="G34" s="38" t="n"/>
      <c r="H34" s="38" t="n"/>
    </row>
    <row r="35">
      <c r="A35" s="38" t="n"/>
      <c r="B35" s="38" t="n"/>
      <c r="C35" s="38" t="n"/>
      <c r="D35" s="38" t="n"/>
      <c r="E35" s="38" t="n"/>
      <c r="F35" s="38" t="n"/>
      <c r="G35" s="38" t="n"/>
      <c r="H35" s="38" t="n"/>
    </row>
    <row r="36">
      <c r="A36" s="38" t="n"/>
      <c r="B36" s="38" t="n"/>
      <c r="C36" s="38" t="n"/>
      <c r="D36" s="38" t="n"/>
      <c r="E36" s="38" t="n"/>
      <c r="F36" s="38" t="n"/>
      <c r="G36" s="38" t="n"/>
      <c r="H36" s="38" t="n"/>
    </row>
    <row r="37">
      <c r="A37" s="38" t="n"/>
      <c r="B37" s="38" t="n"/>
      <c r="C37" s="38" t="n"/>
      <c r="D37" s="38" t="n"/>
      <c r="E37" s="38" t="n"/>
      <c r="F37" s="38" t="n"/>
      <c r="G37" s="38" t="n"/>
      <c r="H37" s="38" t="n"/>
    </row>
    <row r="38">
      <c r="A38" s="38" t="n"/>
      <c r="B38" s="38" t="n"/>
      <c r="C38" s="38" t="n"/>
      <c r="D38" s="38" t="n"/>
      <c r="E38" s="38" t="n"/>
      <c r="F38" s="38" t="n"/>
      <c r="G38" s="38" t="n"/>
      <c r="H38" s="38" t="n"/>
    </row>
    <row r="39">
      <c r="A39" s="38" t="n"/>
      <c r="B39" s="38" t="n"/>
      <c r="C39" s="38" t="n"/>
      <c r="D39" s="38" t="n"/>
      <c r="E39" s="38" t="n"/>
      <c r="F39" s="38" t="n"/>
      <c r="G39" s="38" t="n"/>
      <c r="H39" s="38" t="n"/>
    </row>
    <row r="40">
      <c r="A40" s="38" t="n"/>
      <c r="B40" s="38" t="n"/>
      <c r="C40" s="38" t="n"/>
      <c r="D40" s="38" t="n"/>
      <c r="E40" s="38" t="n"/>
      <c r="F40" s="38" t="n"/>
      <c r="G40" s="38" t="n"/>
      <c r="H40" s="38" t="n"/>
    </row>
    <row r="41">
      <c r="A41" s="38" t="n"/>
      <c r="B41" s="38" t="n"/>
      <c r="C41" s="38" t="n"/>
      <c r="D41" s="38" t="n"/>
      <c r="E41" s="38" t="n"/>
      <c r="F41" s="38" t="n"/>
      <c r="G41" s="38" t="n"/>
      <c r="H41" s="38" t="n"/>
    </row>
    <row r="42">
      <c r="A42" s="38" t="n"/>
      <c r="B42" s="38" t="n"/>
      <c r="C42" s="38" t="n"/>
      <c r="D42" s="38" t="n"/>
      <c r="E42" s="38" t="n"/>
      <c r="F42" s="38" t="n"/>
      <c r="G42" s="38" t="n"/>
      <c r="H42" s="38" t="n"/>
    </row>
    <row r="43">
      <c r="A43" s="38" t="n"/>
      <c r="B43" s="38" t="n"/>
      <c r="C43" s="38" t="n"/>
      <c r="D43" s="38" t="n"/>
      <c r="E43" s="38" t="n"/>
      <c r="F43" s="38" t="n"/>
      <c r="G43" s="38" t="n"/>
      <c r="H43" s="38" t="n"/>
    </row>
    <row r="44">
      <c r="A44" s="38" t="n"/>
      <c r="B44" s="38" t="n"/>
      <c r="C44" s="38" t="n"/>
      <c r="D44" s="38" t="n"/>
      <c r="E44" s="38" t="n"/>
      <c r="F44" s="38" t="n"/>
      <c r="G44" s="38" t="n"/>
      <c r="H44" s="38" t="n"/>
    </row>
    <row r="45">
      <c r="A45" s="38" t="n"/>
      <c r="B45" s="38" t="n"/>
      <c r="C45" s="38" t="n"/>
      <c r="D45" s="38" t="n"/>
      <c r="E45" s="38" t="n"/>
      <c r="F45" s="38" t="n"/>
      <c r="G45" s="38" t="n"/>
      <c r="H45" s="38" t="n"/>
    </row>
    <row r="46">
      <c r="A46" s="38" t="n"/>
      <c r="B46" s="38" t="n"/>
      <c r="C46" s="38" t="n"/>
      <c r="D46" s="38" t="n"/>
      <c r="E46" s="38" t="n"/>
      <c r="F46" s="38" t="n"/>
      <c r="G46" s="38" t="n"/>
      <c r="H46" s="38" t="n"/>
    </row>
    <row r="47">
      <c r="A47" s="38" t="n"/>
      <c r="B47" s="38" t="n"/>
      <c r="C47" s="38" t="n"/>
      <c r="D47" s="38" t="n"/>
      <c r="E47" s="38" t="n"/>
      <c r="F47" s="38" t="n"/>
      <c r="G47" s="38" t="n"/>
      <c r="H47" s="38" t="n"/>
    </row>
    <row r="48">
      <c r="A48" s="38" t="n"/>
      <c r="B48" s="38" t="n"/>
      <c r="C48" s="38" t="n"/>
      <c r="D48" s="38" t="n"/>
      <c r="E48" s="38" t="n"/>
      <c r="F48" s="38" t="n"/>
      <c r="G48" s="38" t="n"/>
      <c r="H48" s="38" t="n"/>
    </row>
    <row r="49">
      <c r="A49" s="38" t="n"/>
      <c r="B49" s="38" t="n"/>
      <c r="C49" s="38" t="n"/>
      <c r="D49" s="38" t="n"/>
      <c r="E49" s="38" t="n"/>
      <c r="F49" s="38" t="n"/>
      <c r="G49" s="38" t="n"/>
      <c r="H49" s="38" t="n"/>
    </row>
    <row r="50">
      <c r="A50" s="38" t="n"/>
      <c r="B50" s="38" t="n"/>
      <c r="C50" s="38" t="n"/>
      <c r="D50" s="38" t="n"/>
      <c r="E50" s="38" t="n"/>
      <c r="F50" s="38" t="n"/>
      <c r="G50" s="38" t="n"/>
      <c r="H50" s="38" t="n"/>
    </row>
    <row r="51">
      <c r="A51" s="38" t="n"/>
      <c r="B51" s="38" t="n"/>
      <c r="C51" s="38" t="n"/>
      <c r="D51" s="38" t="n"/>
      <c r="E51" s="38" t="n"/>
      <c r="F51" s="38" t="n"/>
      <c r="G51" s="38" t="n"/>
      <c r="H51" s="38" t="n"/>
    </row>
    <row r="52">
      <c r="A52" s="38" t="n"/>
      <c r="B52" s="38" t="n"/>
      <c r="C52" s="38" t="n"/>
      <c r="D52" s="38" t="n"/>
      <c r="E52" s="38" t="n"/>
      <c r="F52" s="38" t="n"/>
      <c r="G52" s="38" t="n"/>
      <c r="H52" s="38" t="n"/>
    </row>
    <row r="53">
      <c r="A53" s="38" t="n"/>
      <c r="B53" s="38" t="n"/>
      <c r="C53" s="38" t="n"/>
      <c r="D53" s="38" t="n"/>
      <c r="E53" s="38" t="n"/>
      <c r="F53" s="38" t="n"/>
      <c r="G53" s="38" t="n"/>
      <c r="H53" s="38" t="n"/>
    </row>
    <row r="54">
      <c r="A54" s="38" t="n"/>
      <c r="B54" s="38" t="n"/>
      <c r="C54" s="38" t="n"/>
      <c r="D54" s="38" t="n"/>
      <c r="E54" s="38" t="n"/>
      <c r="F54" s="38" t="n"/>
      <c r="G54" s="38" t="n"/>
      <c r="H54" s="38" t="n"/>
    </row>
    <row r="55">
      <c r="A55" s="38" t="n"/>
      <c r="B55" s="38" t="n"/>
      <c r="C55" s="38" t="n"/>
      <c r="D55" s="38" t="n"/>
      <c r="E55" s="38" t="n"/>
      <c r="F55" s="38" t="n"/>
      <c r="G55" s="38" t="n"/>
      <c r="H55" s="38" t="n"/>
    </row>
    <row r="56">
      <c r="A56" s="38" t="n"/>
      <c r="B56" s="38" t="n"/>
      <c r="C56" s="38" t="n"/>
      <c r="D56" s="38" t="n"/>
      <c r="E56" s="38" t="n"/>
      <c r="F56" s="38" t="n"/>
      <c r="G56" s="38" t="n"/>
      <c r="H56" s="38" t="n"/>
    </row>
    <row r="57">
      <c r="A57" s="38" t="n"/>
      <c r="B57" s="38" t="n"/>
      <c r="C57" s="38" t="n"/>
      <c r="D57" s="38" t="n"/>
      <c r="E57" s="38" t="n"/>
      <c r="F57" s="38" t="n"/>
      <c r="G57" s="38" t="n"/>
      <c r="H57" s="38" t="n"/>
    </row>
    <row r="58">
      <c r="A58" s="38" t="n"/>
      <c r="B58" s="38" t="n"/>
      <c r="C58" s="38" t="n"/>
      <c r="D58" s="38" t="n"/>
      <c r="E58" s="38" t="n"/>
      <c r="F58" s="38" t="n"/>
      <c r="G58" s="38" t="n"/>
      <c r="H58" s="38" t="n"/>
    </row>
    <row r="59">
      <c r="A59" s="38" t="n"/>
      <c r="B59" s="38" t="n"/>
      <c r="C59" s="38" t="n"/>
      <c r="D59" s="38" t="n"/>
      <c r="E59" s="38" t="n"/>
      <c r="F59" s="38" t="n"/>
      <c r="G59" s="38" t="n"/>
      <c r="H59" s="38" t="n"/>
    </row>
    <row r="60">
      <c r="A60" s="38" t="n"/>
      <c r="B60" s="38" t="n"/>
      <c r="C60" s="38" t="n"/>
      <c r="D60" s="38" t="n"/>
      <c r="E60" s="38" t="n"/>
      <c r="F60" s="38" t="n"/>
      <c r="G60" s="38" t="n"/>
      <c r="H60" s="38" t="n"/>
    </row>
    <row r="61">
      <c r="A61" s="38" t="n"/>
      <c r="B61" s="38" t="n"/>
      <c r="C61" s="38" t="n"/>
      <c r="D61" s="38" t="n"/>
      <c r="E61" s="38" t="n"/>
      <c r="F61" s="38" t="n"/>
      <c r="G61" s="38" t="n"/>
      <c r="H61" s="38" t="n"/>
    </row>
    <row r="62">
      <c r="A62" s="38" t="n"/>
      <c r="B62" s="38" t="n"/>
      <c r="C62" s="38" t="n"/>
      <c r="D62" s="38" t="n"/>
      <c r="E62" s="38" t="n"/>
      <c r="F62" s="38" t="n"/>
      <c r="G62" s="38" t="n"/>
      <c r="H62" s="38" t="n"/>
    </row>
    <row r="63">
      <c r="A63" s="38" t="n"/>
      <c r="B63" s="38" t="n"/>
      <c r="C63" s="38" t="n"/>
      <c r="D63" s="38" t="n"/>
      <c r="E63" s="38" t="n"/>
      <c r="F63" s="38" t="n"/>
      <c r="G63" s="38" t="n"/>
      <c r="H63" s="38" t="n"/>
    </row>
    <row r="64">
      <c r="A64" s="38" t="n"/>
      <c r="B64" s="38" t="n"/>
      <c r="C64" s="38" t="n"/>
      <c r="D64" s="38" t="n"/>
      <c r="E64" s="38" t="n"/>
      <c r="F64" s="38" t="n"/>
      <c r="G64" s="38" t="n"/>
      <c r="H64" s="38" t="n"/>
    </row>
    <row r="65">
      <c r="A65" s="38" t="n"/>
      <c r="B65" s="38" t="n"/>
      <c r="C65" s="38" t="n"/>
      <c r="D65" s="38" t="n"/>
      <c r="E65" s="38" t="n"/>
      <c r="F65" s="38" t="n"/>
      <c r="G65" s="38" t="n"/>
      <c r="H65" s="38" t="n"/>
    </row>
    <row r="66">
      <c r="A66" s="38" t="n"/>
      <c r="B66" s="38" t="n"/>
      <c r="C66" s="38" t="n"/>
      <c r="D66" s="38" t="n"/>
      <c r="E66" s="38" t="n"/>
      <c r="F66" s="38" t="n"/>
      <c r="G66" s="38" t="n"/>
      <c r="H66" s="38" t="n"/>
    </row>
    <row r="67">
      <c r="A67" s="38" t="n"/>
      <c r="B67" s="38" t="n"/>
      <c r="C67" s="38" t="n"/>
      <c r="D67" s="38" t="n"/>
      <c r="E67" s="38" t="n"/>
      <c r="F67" s="38" t="n"/>
      <c r="G67" s="38" t="n"/>
      <c r="H67" s="38" t="n"/>
    </row>
    <row r="68">
      <c r="A68" s="38" t="n"/>
      <c r="B68" s="38" t="n"/>
      <c r="C68" s="38" t="n"/>
      <c r="D68" s="38" t="n"/>
      <c r="E68" s="38" t="n"/>
      <c r="F68" s="38" t="n"/>
      <c r="G68" s="38" t="n"/>
      <c r="H68" s="38" t="n"/>
    </row>
    <row r="69">
      <c r="A69" s="38" t="n"/>
      <c r="B69" s="38" t="n"/>
      <c r="C69" s="38" t="n"/>
      <c r="D69" s="38" t="n"/>
      <c r="E69" s="38" t="n"/>
      <c r="F69" s="38" t="n"/>
      <c r="G69" s="38" t="n"/>
      <c r="H69" s="38" t="n"/>
    </row>
    <row r="70">
      <c r="A70" s="38" t="n"/>
      <c r="B70" s="38" t="n"/>
      <c r="C70" s="38" t="n"/>
      <c r="D70" s="38" t="n"/>
      <c r="E70" s="38" t="n"/>
      <c r="F70" s="38" t="n"/>
      <c r="G70" s="38" t="n"/>
      <c r="H70" s="38" t="n"/>
    </row>
    <row r="71">
      <c r="A71" s="38" t="n"/>
      <c r="B71" s="38" t="n"/>
      <c r="C71" s="38" t="n"/>
      <c r="D71" s="38" t="n"/>
      <c r="E71" s="38" t="n"/>
      <c r="F71" s="38" t="n"/>
      <c r="G71" s="38" t="n"/>
      <c r="H71" s="38" t="n"/>
    </row>
    <row r="72">
      <c r="A72" s="38" t="n"/>
      <c r="B72" s="38" t="n"/>
      <c r="C72" s="38" t="n"/>
      <c r="D72" s="38" t="n"/>
      <c r="E72" s="38" t="n"/>
      <c r="F72" s="38" t="n"/>
      <c r="G72" s="38" t="n"/>
      <c r="H72" s="38" t="n"/>
    </row>
    <row r="73">
      <c r="A73" s="38" t="n"/>
      <c r="B73" s="38" t="n"/>
      <c r="C73" s="38" t="n"/>
      <c r="D73" s="38" t="n"/>
      <c r="E73" s="38" t="n"/>
      <c r="F73" s="38" t="n"/>
      <c r="G73" s="38" t="n"/>
      <c r="H73" s="38" t="n"/>
    </row>
    <row r="74">
      <c r="A74" s="38" t="n"/>
      <c r="B74" s="38" t="n"/>
      <c r="C74" s="38" t="n"/>
      <c r="D74" s="38" t="n"/>
      <c r="E74" s="38" t="n"/>
      <c r="F74" s="38" t="n"/>
      <c r="G74" s="38" t="n"/>
      <c r="H74" s="38" t="n"/>
    </row>
    <row r="75">
      <c r="A75" s="38" t="n"/>
      <c r="B75" s="38" t="n"/>
      <c r="C75" s="38" t="n"/>
      <c r="D75" s="38" t="n"/>
      <c r="E75" s="38" t="n"/>
      <c r="F75" s="38" t="n"/>
      <c r="G75" s="38" t="n"/>
      <c r="H75" s="38" t="n"/>
    </row>
    <row r="76">
      <c r="A76" s="38" t="n"/>
      <c r="B76" s="38" t="n"/>
      <c r="C76" s="38" t="n"/>
      <c r="D76" s="38" t="n"/>
      <c r="E76" s="38" t="n"/>
      <c r="F76" s="38" t="n"/>
      <c r="G76" s="38" t="n"/>
      <c r="H76" s="38" t="n"/>
    </row>
    <row r="77">
      <c r="A77" s="38" t="n"/>
      <c r="B77" s="38" t="n"/>
      <c r="C77" s="38" t="n"/>
      <c r="D77" s="38" t="n"/>
      <c r="E77" s="38" t="n"/>
      <c r="F77" s="38" t="n"/>
      <c r="G77" s="38" t="n"/>
      <c r="H77" s="38" t="n"/>
    </row>
    <row r="78">
      <c r="A78" s="38" t="n"/>
      <c r="B78" s="38" t="n"/>
      <c r="C78" s="38" t="n"/>
      <c r="D78" s="38" t="n"/>
      <c r="E78" s="38" t="n"/>
      <c r="F78" s="38" t="n"/>
      <c r="G78" s="38" t="n"/>
      <c r="H78" s="38" t="n"/>
    </row>
    <row r="79">
      <c r="A79" s="38" t="n"/>
      <c r="B79" s="38" t="n"/>
      <c r="C79" s="38" t="n"/>
      <c r="D79" s="38" t="n"/>
      <c r="E79" s="38" t="n"/>
      <c r="F79" s="38" t="n"/>
      <c r="G79" s="38" t="n"/>
      <c r="H79" s="38" t="n"/>
    </row>
    <row r="80">
      <c r="A80" s="38" t="n"/>
      <c r="B80" s="38" t="n"/>
      <c r="C80" s="38" t="n"/>
      <c r="D80" s="38" t="n"/>
      <c r="E80" s="38" t="n"/>
      <c r="F80" s="38" t="n"/>
      <c r="G80" s="38" t="n"/>
      <c r="H80" s="38" t="n"/>
    </row>
    <row r="81">
      <c r="A81" s="38" t="n"/>
      <c r="B81" s="38" t="n"/>
      <c r="C81" s="38" t="n"/>
      <c r="D81" s="38" t="n"/>
      <c r="E81" s="38" t="n"/>
      <c r="F81" s="38" t="n"/>
      <c r="G81" s="38" t="n"/>
      <c r="H81" s="38" t="n"/>
    </row>
    <row r="82">
      <c r="A82" s="38" t="n"/>
      <c r="B82" s="38" t="n"/>
      <c r="C82" s="38" t="n"/>
      <c r="D82" s="38" t="n"/>
      <c r="E82" s="38" t="n"/>
      <c r="F82" s="38" t="n"/>
      <c r="G82" s="38" t="n"/>
      <c r="H82" s="38" t="n"/>
    </row>
    <row r="83">
      <c r="A83" s="38" t="n"/>
      <c r="B83" s="38" t="n"/>
      <c r="C83" s="38" t="n"/>
      <c r="D83" s="38" t="n"/>
      <c r="E83" s="38" t="n"/>
      <c r="F83" s="38" t="n"/>
      <c r="G83" s="38" t="n"/>
      <c r="H83" s="38" t="n"/>
    </row>
    <row r="84">
      <c r="A84" s="38" t="n"/>
      <c r="B84" s="38" t="n"/>
      <c r="C84" s="38" t="n"/>
      <c r="D84" s="38" t="n"/>
      <c r="E84" s="38" t="n"/>
      <c r="F84" s="38" t="n"/>
      <c r="G84" s="38" t="n"/>
      <c r="H84" s="38" t="n"/>
    </row>
    <row r="85">
      <c r="A85" s="38" t="n"/>
      <c r="B85" s="38" t="n"/>
      <c r="C85" s="38" t="n"/>
      <c r="D85" s="38" t="n"/>
      <c r="E85" s="38" t="n"/>
      <c r="F85" s="38" t="n"/>
      <c r="G85" s="38" t="n"/>
      <c r="H85" s="38" t="n"/>
    </row>
    <row r="86">
      <c r="A86" s="38" t="n"/>
      <c r="B86" s="38" t="n"/>
      <c r="C86" s="38" t="n"/>
      <c r="D86" s="38" t="n"/>
      <c r="E86" s="38" t="n"/>
      <c r="F86" s="38" t="n"/>
      <c r="G86" s="38" t="n"/>
      <c r="H86" s="38" t="n"/>
    </row>
    <row r="87">
      <c r="A87" s="38" t="n"/>
      <c r="B87" s="38" t="n"/>
      <c r="C87" s="38" t="n"/>
      <c r="D87" s="38" t="n"/>
      <c r="E87" s="38" t="n"/>
      <c r="F87" s="38" t="n"/>
      <c r="G87" s="38" t="n"/>
      <c r="H87" s="38" t="n"/>
    </row>
    <row r="88">
      <c r="A88" s="38" t="n"/>
      <c r="B88" s="38" t="n"/>
      <c r="C88" s="38" t="n"/>
      <c r="D88" s="38" t="n"/>
      <c r="E88" s="38" t="n"/>
      <c r="F88" s="38" t="n"/>
      <c r="G88" s="38" t="n"/>
      <c r="H88" s="38" t="n"/>
    </row>
    <row r="89">
      <c r="A89" s="38" t="n"/>
      <c r="B89" s="38" t="n"/>
      <c r="C89" s="38" t="n"/>
      <c r="D89" s="38" t="n"/>
      <c r="E89" s="38" t="n"/>
      <c r="F89" s="38" t="n"/>
      <c r="G89" s="38" t="n"/>
      <c r="H89" s="38" t="n"/>
    </row>
    <row r="90">
      <c r="A90" s="38" t="n"/>
      <c r="B90" s="38" t="n"/>
      <c r="C90" s="38" t="n"/>
      <c r="D90" s="38" t="n"/>
      <c r="E90" s="38" t="n"/>
      <c r="F90" s="38" t="n"/>
      <c r="G90" s="38" t="n"/>
      <c r="H90" s="38" t="n"/>
    </row>
    <row r="91">
      <c r="A91" s="38" t="n"/>
      <c r="B91" s="38" t="n"/>
      <c r="C91" s="38" t="n"/>
      <c r="D91" s="38" t="n"/>
      <c r="E91" s="38" t="n"/>
      <c r="F91" s="38" t="n"/>
      <c r="G91" s="38" t="n"/>
      <c r="H91" s="38" t="n"/>
    </row>
    <row r="92">
      <c r="A92" s="38" t="n"/>
      <c r="B92" s="38" t="n"/>
      <c r="C92" s="38" t="n"/>
      <c r="D92" s="38" t="n"/>
      <c r="E92" s="38" t="n"/>
      <c r="F92" s="38" t="n"/>
      <c r="G92" s="38" t="n"/>
      <c r="H92" s="38" t="n"/>
    </row>
    <row r="93">
      <c r="A93" s="38" t="n"/>
      <c r="B93" s="38" t="n"/>
      <c r="C93" s="38" t="n"/>
      <c r="D93" s="38" t="n"/>
      <c r="E93" s="38" t="n"/>
      <c r="F93" s="38" t="n"/>
      <c r="G93" s="38" t="n"/>
      <c r="H93" s="38" t="n"/>
    </row>
    <row r="94">
      <c r="A94" s="38" t="n"/>
      <c r="B94" s="38" t="n"/>
      <c r="C94" s="38" t="n"/>
      <c r="D94" s="38" t="n"/>
      <c r="E94" s="38" t="n"/>
      <c r="F94" s="38" t="n"/>
      <c r="G94" s="38" t="n"/>
      <c r="H94" s="38" t="n"/>
    </row>
    <row r="95">
      <c r="A95" s="38" t="n"/>
      <c r="B95" s="38" t="n"/>
      <c r="C95" s="38" t="n"/>
      <c r="D95" s="38" t="n"/>
      <c r="E95" s="38" t="n"/>
      <c r="F95" s="38" t="n"/>
      <c r="G95" s="38" t="n"/>
      <c r="H95" s="38" t="n"/>
    </row>
    <row r="96">
      <c r="A96" s="38" t="n"/>
      <c r="B96" s="38" t="n"/>
      <c r="C96" s="38" t="n"/>
      <c r="D96" s="38" t="n"/>
      <c r="E96" s="38" t="n"/>
      <c r="F96" s="38" t="n"/>
      <c r="G96" s="38" t="n"/>
      <c r="H96" s="38" t="n"/>
    </row>
    <row r="97">
      <c r="A97" s="38" t="n"/>
      <c r="B97" s="38" t="n"/>
      <c r="C97" s="38" t="n"/>
      <c r="D97" s="38" t="n"/>
      <c r="E97" s="38" t="n"/>
      <c r="F97" s="38" t="n"/>
      <c r="G97" s="38" t="n"/>
      <c r="H97" s="38" t="n"/>
    </row>
    <row r="98">
      <c r="A98" s="38" t="n"/>
      <c r="B98" s="38" t="n"/>
      <c r="C98" s="38" t="n"/>
      <c r="D98" s="38" t="n"/>
      <c r="E98" s="38" t="n"/>
      <c r="F98" s="38" t="n"/>
      <c r="G98" s="38" t="n"/>
      <c r="H98" s="38" t="n"/>
    </row>
    <row r="99">
      <c r="A99" s="38" t="n"/>
      <c r="B99" s="38" t="n"/>
      <c r="C99" s="38" t="n"/>
      <c r="D99" s="38" t="n"/>
      <c r="E99" s="38" t="n"/>
      <c r="F99" s="38" t="n"/>
      <c r="G99" s="38" t="n"/>
      <c r="H99" s="38" t="n"/>
    </row>
    <row r="100">
      <c r="A100" s="38" t="n"/>
      <c r="B100" s="38" t="n"/>
      <c r="C100" s="38" t="n"/>
      <c r="D100" s="38" t="n"/>
      <c r="E100" s="38" t="n"/>
      <c r="F100" s="38" t="n"/>
      <c r="G100" s="38" t="n"/>
      <c r="H100" s="38" t="n"/>
    </row>
    <row r="101">
      <c r="A101" s="38" t="n"/>
      <c r="B101" s="38" t="n"/>
      <c r="C101" s="38" t="n"/>
      <c r="D101" s="38" t="n"/>
      <c r="E101" s="38" t="n"/>
      <c r="F101" s="38" t="n"/>
      <c r="G101" s="38" t="n"/>
      <c r="H101" s="38" t="n"/>
    </row>
    <row r="102">
      <c r="A102" s="38" t="n"/>
      <c r="B102" s="38" t="n"/>
      <c r="C102" s="38" t="n"/>
      <c r="D102" s="38" t="n"/>
      <c r="E102" s="38" t="n"/>
      <c r="F102" s="38" t="n"/>
      <c r="G102" s="38" t="n"/>
      <c r="H102" s="38" t="n"/>
    </row>
    <row r="103">
      <c r="A103" s="38" t="n"/>
      <c r="B103" s="38" t="n"/>
      <c r="C103" s="38" t="n"/>
      <c r="D103" s="38" t="n"/>
      <c r="E103" s="38" t="n"/>
      <c r="F103" s="38" t="n"/>
      <c r="G103" s="38" t="n"/>
      <c r="H103" s="38" t="n"/>
    </row>
    <row r="104">
      <c r="A104" s="38" t="n"/>
      <c r="B104" s="38" t="n"/>
      <c r="C104" s="38" t="n"/>
      <c r="D104" s="38" t="n"/>
      <c r="E104" s="38" t="n"/>
      <c r="F104" s="38" t="n"/>
      <c r="G104" s="38" t="n"/>
      <c r="H104" s="38" t="n"/>
    </row>
    <row r="105">
      <c r="A105" s="38" t="n"/>
      <c r="B105" s="38" t="n"/>
      <c r="C105" s="38" t="n"/>
      <c r="D105" s="38" t="n"/>
      <c r="E105" s="38" t="n"/>
      <c r="F105" s="38" t="n"/>
      <c r="G105" s="38" t="n"/>
      <c r="H105" s="38"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4" t="inlineStr">
        <is>
          <t>QUALITY &amp; COMPLIANCE ASSESSMENT — SUMMARY DASHBOARD</t>
        </is>
      </c>
      <c r="B1" s="6" t="n"/>
      <c r="C1" s="6" t="n"/>
      <c r="D1" s="6" t="n"/>
      <c r="E1" s="6" t="n"/>
    </row>
    <row r="2" ht="18" customHeight="1">
      <c r="A2" s="39" t="inlineStr">
        <is>
          <t>ISO 27001:2022 · Control A.5.9 · Inventory of Information and Assets</t>
        </is>
      </c>
      <c r="B2" s="6" t="n"/>
      <c r="C2" s="6" t="n"/>
      <c r="D2" s="6" t="n"/>
      <c r="E2" s="6" t="n"/>
    </row>
    <row r="3" ht="6" customHeight="1"/>
    <row r="4">
      <c r="A4" s="40" t="inlineStr">
        <is>
          <t>TABLE 1: COMPLIANCE ASSESSMENT</t>
        </is>
      </c>
      <c r="B4" s="6" t="n"/>
      <c r="C4" s="6" t="n"/>
      <c r="D4" s="6" t="n"/>
      <c r="E4" s="6" t="n"/>
    </row>
    <row r="5">
      <c r="A5" s="41" t="inlineStr">
        <is>
          <t>Assessment Area</t>
        </is>
      </c>
      <c r="B5" s="41" t="inlineStr">
        <is>
          <t>Compliant</t>
        </is>
      </c>
      <c r="C5" s="41" t="inlineStr">
        <is>
          <t>Non-Compliant</t>
        </is>
      </c>
      <c r="D5" s="41" t="inlineStr">
        <is>
          <t>Total Items</t>
        </is>
      </c>
      <c r="E5" s="41" t="inlineStr">
        <is>
          <t>Compliance %</t>
        </is>
      </c>
    </row>
    <row r="6">
      <c r="A6" s="42" t="inlineStr">
        <is>
          <t>Inventory Data Accuracy</t>
        </is>
      </c>
      <c r="B6" s="43">
        <f>COUNTIF('Accuracy Sampling'!G4:G57,"Yes")</f>
        <v/>
      </c>
      <c r="C6" s="43">
        <f>D6-B6</f>
        <v/>
      </c>
      <c r="D6" s="43">
        <f>COUNTA('Accuracy Sampling'!A4:A57)</f>
        <v/>
      </c>
      <c r="E6" s="44">
        <f>IFERROR(B6/D6,0)</f>
        <v/>
      </c>
    </row>
    <row r="7">
      <c r="A7" s="42" t="inlineStr">
        <is>
          <t>Inventory Data Completeness</t>
        </is>
      </c>
      <c r="B7" s="43">
        <f>COUNTIF('Completeness Assessment'!H4:H53,"✅ Complete")</f>
        <v/>
      </c>
      <c r="C7" s="43">
        <f>D7-B7</f>
        <v/>
      </c>
      <c r="D7" s="43">
        <f>COUNTA('Completeness Assessment'!A4:A53)</f>
        <v/>
      </c>
      <c r="E7" s="44">
        <f>IFERROR(B7/D7,0)</f>
        <v/>
      </c>
    </row>
    <row r="8">
      <c r="A8" s="42" t="inlineStr">
        <is>
          <t>Inventory Data Currency</t>
        </is>
      </c>
      <c r="B8" s="43">
        <f>COUNTIF('Currency Assessment'!H4:H53,"✅ Current")</f>
        <v/>
      </c>
      <c r="C8" s="43">
        <f>D8-B8</f>
        <v/>
      </c>
      <c r="D8" s="43">
        <f>COUNTA('Currency Assessment'!A4:A53)</f>
        <v/>
      </c>
      <c r="E8" s="44">
        <f>IFERROR(B8/D8,0)</f>
        <v/>
      </c>
    </row>
    <row r="9">
      <c r="A9" s="42" t="inlineStr">
        <is>
          <t>Cross-System Data Consistency</t>
        </is>
      </c>
      <c r="B9" s="43">
        <f>COUNTIF('Consistency Checks'!J4:J53,"✅ Consistent")</f>
        <v/>
      </c>
      <c r="C9" s="43">
        <f>D9-B9</f>
        <v/>
      </c>
      <c r="D9" s="43">
        <f>COUNTA('Consistency Checks'!A4:A53)</f>
        <v/>
      </c>
      <c r="E9" s="44">
        <f>IFERROR(B9/D9,0)</f>
        <v/>
      </c>
    </row>
    <row r="10">
      <c r="A10" s="42" t="inlineStr">
        <is>
          <t>Policy Compliance Coverage</t>
        </is>
      </c>
      <c r="B10" s="43">
        <f>COUNTIF('Policy Compliance Matrix'!H4:H53,"✅ Compliant")</f>
        <v/>
      </c>
      <c r="C10" s="43">
        <f>D10-B10</f>
        <v/>
      </c>
      <c r="D10" s="43">
        <f>COUNTA('Policy Compliance Matrix'!A4:A53)</f>
        <v/>
      </c>
      <c r="E10" s="44">
        <f>IFERROR(B10/D10,0)</f>
        <v/>
      </c>
    </row>
    <row r="11">
      <c r="A11" s="45" t="inlineStr">
        <is>
          <t>TOTAL</t>
        </is>
      </c>
      <c r="B11" s="46">
        <f>SUM(B6:B10)</f>
        <v/>
      </c>
      <c r="C11" s="46">
        <f>SUM(C6:C10)</f>
        <v/>
      </c>
      <c r="D11" s="46">
        <f>SUM(D6:D10)</f>
        <v/>
      </c>
      <c r="E11" s="47">
        <f>IFERROR(B11/D11,0)</f>
        <v/>
      </c>
    </row>
    <row r="12" ht="6" customHeight="1"/>
    <row r="13">
      <c r="A13" s="40" t="inlineStr">
        <is>
          <t>TABLE 2: KEY PERFORMANCE INDICATORS</t>
        </is>
      </c>
      <c r="B13" s="6" t="n"/>
      <c r="C13" s="6" t="n"/>
      <c r="D13" s="6" t="n"/>
      <c r="E13" s="6" t="n"/>
    </row>
    <row r="14">
      <c r="A14" s="48" t="inlineStr">
        <is>
          <t>Accuracy Sampling</t>
        </is>
      </c>
      <c r="B14" s="6" t="n"/>
      <c r="C14" s="6" t="n"/>
      <c r="D14" s="6" t="n"/>
      <c r="E14" s="6" t="n"/>
    </row>
    <row r="15">
      <c r="A15" s="42" t="inlineStr">
        <is>
          <t>Total Accuracy Samples Reviewed</t>
        </is>
      </c>
      <c r="B15" s="49">
        <f>COUNTA('Accuracy Sampling'!A4:A57)</f>
        <v/>
      </c>
      <c r="C15" s="6" t="n"/>
      <c r="D15" s="6" t="n"/>
      <c r="E15" s="6" t="n"/>
    </row>
    <row r="16">
      <c r="A16" s="42" t="inlineStr">
        <is>
          <t>Accurate Matches (Yes)</t>
        </is>
      </c>
      <c r="B16" s="49">
        <f>COUNTIF('Accuracy Sampling'!G4:G57,"Yes")</f>
        <v/>
      </c>
      <c r="C16" s="6" t="n"/>
      <c r="D16" s="6" t="n"/>
      <c r="E16" s="6" t="n"/>
    </row>
    <row r="17">
      <c r="A17" s="42" t="inlineStr">
        <is>
          <t>Corrected Discrepancies</t>
        </is>
      </c>
      <c r="B17" s="49">
        <f>COUNTIF('Accuracy Sampling'!L4:L57,"Yes")</f>
        <v/>
      </c>
      <c r="C17" s="6" t="n"/>
      <c r="D17" s="6" t="n"/>
      <c r="E17" s="6" t="n"/>
    </row>
    <row r="18">
      <c r="A18" s="48" t="inlineStr">
        <is>
          <t>Quality Dimensions</t>
        </is>
      </c>
      <c r="B18" s="6" t="n"/>
      <c r="C18" s="6" t="n"/>
      <c r="D18" s="6" t="n"/>
      <c r="E18" s="6" t="n"/>
    </row>
    <row r="19">
      <c r="A19" s="42" t="inlineStr">
        <is>
          <t>Complete Records</t>
        </is>
      </c>
      <c r="B19" s="49">
        <f>COUNTIF('Completeness Assessment'!H4:H53,"✅ Complete")</f>
        <v/>
      </c>
      <c r="C19" s="6" t="n"/>
      <c r="D19" s="6" t="n"/>
      <c r="E19" s="6" t="n"/>
    </row>
    <row r="20">
      <c r="A20" s="42" t="inlineStr">
        <is>
          <t>Current (Not Stale) Records</t>
        </is>
      </c>
      <c r="B20" s="49">
        <f>COUNTIF('Currency Assessment'!H4:H53,"✅ Current")</f>
        <v/>
      </c>
      <c r="C20" s="6" t="n"/>
      <c r="D20" s="6" t="n"/>
      <c r="E20" s="6" t="n"/>
    </row>
    <row r="21">
      <c r="A21" s="42" t="inlineStr">
        <is>
          <t>Consistent Cross-System Records</t>
        </is>
      </c>
      <c r="B21" s="49">
        <f>COUNTIF('Consistency Checks'!J4:J53,"✅ Consistent")</f>
        <v/>
      </c>
      <c r="C21" s="6" t="n"/>
      <c r="D21" s="6" t="n"/>
      <c r="E21" s="6" t="n"/>
    </row>
    <row r="22">
      <c r="A22" s="48" t="inlineStr">
        <is>
          <t>Policy Compliance</t>
        </is>
      </c>
      <c r="B22" s="6" t="n"/>
      <c r="C22" s="6" t="n"/>
      <c r="D22" s="6" t="n"/>
      <c r="E22" s="6" t="n"/>
    </row>
    <row r="23">
      <c r="A23" s="42" t="inlineStr">
        <is>
          <t>Policy Compliant Assets</t>
        </is>
      </c>
      <c r="B23" s="49">
        <f>COUNTIF('Policy Compliance Matrix'!H4:H53,"✅ Compliant")</f>
        <v/>
      </c>
      <c r="C23" s="6" t="n"/>
      <c r="D23" s="6" t="n"/>
      <c r="E23" s="6" t="n"/>
    </row>
    <row r="24">
      <c r="A24" s="42" t="inlineStr">
        <is>
          <t>Policy Non-Compliant Assets</t>
        </is>
      </c>
      <c r="B24" s="49">
        <f>COUNTIF('Policy Compliance Matrix'!H4:H53,"❌ Non-Compliant")</f>
        <v/>
      </c>
      <c r="C24" s="6" t="n"/>
      <c r="D24" s="6" t="n"/>
      <c r="E24" s="6" t="n"/>
    </row>
    <row r="25">
      <c r="A25" s="48" t="inlineStr">
        <is>
          <t>Gaps &amp; Evidence</t>
        </is>
      </c>
      <c r="B25" s="6" t="n"/>
      <c r="C25" s="6" t="n"/>
      <c r="D25" s="6" t="n"/>
      <c r="E25" s="6" t="n"/>
    </row>
    <row r="26">
      <c r="A26" s="42" t="inlineStr">
        <is>
          <t>Uncorrected Discrepancies</t>
        </is>
      </c>
      <c r="B26" s="49">
        <f>COUNTIF('Accuracy Sampling'!L4:L57,"No")</f>
        <v/>
      </c>
      <c r="C26" s="6" t="n"/>
      <c r="D26" s="6" t="n"/>
      <c r="E26" s="6" t="n"/>
    </row>
    <row r="27">
      <c r="A27" s="42" t="inlineStr">
        <is>
          <t>Unverified Evidence Items</t>
        </is>
      </c>
      <c r="B27" s="49">
        <f>COUNTIF('Evidence Register'!H6:H105,"Not verified")</f>
        <v/>
      </c>
      <c r="C27" s="6" t="n"/>
      <c r="D27" s="6" t="n"/>
      <c r="E27" s="6" t="n"/>
    </row>
    <row r="28" ht="6" customHeight="1"/>
    <row r="29">
      <c r="A29" s="50" t="inlineStr">
        <is>
          <t>TABLE 3: CRITICAL FINDINGS &amp; RISK INDICATORS</t>
        </is>
      </c>
      <c r="B29" s="6" t="n"/>
      <c r="C29" s="6" t="n"/>
      <c r="D29" s="6" t="n"/>
      <c r="E29" s="6" t="n"/>
    </row>
    <row r="30">
      <c r="A30" s="41" t="inlineStr">
        <is>
          <t>Critical Finding</t>
        </is>
      </c>
      <c r="B30" s="41" t="inlineStr">
        <is>
          <t>Count</t>
        </is>
      </c>
      <c r="C30" s="41" t="inlineStr">
        <is>
          <t>Severity</t>
        </is>
      </c>
      <c r="D30" s="41" t="inlineStr">
        <is>
          <t>ISO Reference</t>
        </is>
      </c>
      <c r="E30" s="41" t="inlineStr">
        <is>
          <t>Action Required</t>
        </is>
      </c>
    </row>
    <row r="31">
      <c r="A31" s="51" t="inlineStr">
        <is>
          <t>Data accuracy failures (not matching ground truth)</t>
        </is>
      </c>
      <c r="B31" s="52">
        <f>COUNTIF('Accuracy Sampling'!G4:G57,"No")</f>
        <v/>
      </c>
      <c r="C31" s="52" t="inlineStr">
        <is>
          <t>CRITICAL</t>
        </is>
      </c>
      <c r="D31" s="52" t="inlineStr">
        <is>
          <t>A.5.9 §4.1</t>
        </is>
      </c>
      <c r="E31" s="51" t="inlineStr">
        <is>
          <t>Immediate — inaccurate inventory data undermines all dependent security decisions</t>
        </is>
      </c>
    </row>
    <row r="32">
      <c r="A32" s="51" t="inlineStr">
        <is>
          <t>Policy non-compliance findings</t>
        </is>
      </c>
      <c r="B32" s="52">
        <f>COUNTIF('Policy Compliance Matrix'!H4:H53,"❌ Non-Compliant")</f>
        <v/>
      </c>
      <c r="C32" s="52" t="inlineStr">
        <is>
          <t>CRITICAL</t>
        </is>
      </c>
      <c r="D32" s="52" t="inlineStr">
        <is>
          <t>A.5.9 §4.5</t>
        </is>
      </c>
      <c r="E32" s="51" t="inlineStr">
        <is>
          <t>Immediate — policy violations require documented remediation and CISO escalation</t>
        </is>
      </c>
    </row>
    <row r="33">
      <c r="A33" s="53" t="inlineStr">
        <is>
          <t>Incomplete records (below completeness threshold)</t>
        </is>
      </c>
      <c r="B33" s="54">
        <f>COUNTIF('Completeness Assessment'!H4:H53,"❌ Incomplete")</f>
        <v/>
      </c>
      <c r="C33" s="54" t="inlineStr">
        <is>
          <t>HIGH</t>
        </is>
      </c>
      <c r="D33" s="54" t="inlineStr">
        <is>
          <t>A.5.9 §4.2</t>
        </is>
      </c>
      <c r="E33" s="53" t="inlineStr">
        <is>
          <t>Urgent — incomplete records cannot support risk assessment or audit evidence</t>
        </is>
      </c>
    </row>
    <row r="34">
      <c r="A34" s="53" t="inlineStr">
        <is>
          <t>Stale records (currency failures)</t>
        </is>
      </c>
      <c r="B34" s="54">
        <f>COUNTIF('Currency Assessment'!H4:H53,"❌ Stale")</f>
        <v/>
      </c>
      <c r="C34" s="54" t="inlineStr">
        <is>
          <t>HIGH</t>
        </is>
      </c>
      <c r="D34" s="54" t="inlineStr">
        <is>
          <t>A.5.9 §4.3</t>
        </is>
      </c>
      <c r="E34" s="53" t="inlineStr">
        <is>
          <t>Urgent — outdated data does not reflect current risk posture</t>
        </is>
      </c>
    </row>
    <row r="35">
      <c r="A35" s="53" t="inlineStr">
        <is>
          <t>Cross-system inconsistencies</t>
        </is>
      </c>
      <c r="B35" s="54">
        <f>COUNTIF('Consistency Checks'!J4:J53,"❌ Inconsistent")</f>
        <v/>
      </c>
      <c r="C35" s="54" t="inlineStr">
        <is>
          <t>HIGH</t>
        </is>
      </c>
      <c r="D35" s="54" t="inlineStr">
        <is>
          <t>A.5.9 §4.4</t>
        </is>
      </c>
      <c r="E35" s="53" t="inlineStr">
        <is>
          <t>Urgent — inconsistent data creates conflicting security decisions across teams</t>
        </is>
      </c>
    </row>
    <row r="36">
      <c r="A36" s="53" t="inlineStr">
        <is>
          <t>Uncorrected accuracy discrepancies</t>
        </is>
      </c>
      <c r="B36" s="54">
        <f>COUNTIF('Accuracy Sampling'!L4:L57,"No")</f>
        <v/>
      </c>
      <c r="C36" s="54" t="inlineStr">
        <is>
          <t>HIGH</t>
        </is>
      </c>
      <c r="D36" s="54" t="inlineStr">
        <is>
          <t>A.5.9 §4.1</t>
        </is>
      </c>
      <c r="E36" s="53" t="inlineStr">
        <is>
          <t>Plan — identified inaccuracies not corrected must be formally tracked</t>
        </is>
      </c>
    </row>
    <row r="37">
      <c r="A37" s="55" t="inlineStr">
        <is>
          <t>Policy minor gaps</t>
        </is>
      </c>
      <c r="B37" s="56">
        <f>COUNTIF('Policy Compliance Matrix'!H4:H53,"⚠️ Minor Gap")</f>
        <v/>
      </c>
      <c r="C37" s="56" t="inlineStr">
        <is>
          <t>MEDIUM</t>
        </is>
      </c>
      <c r="D37" s="56" t="inlineStr">
        <is>
          <t>A.5.9 §4.5</t>
        </is>
      </c>
      <c r="E37" s="55" t="inlineStr">
        <is>
          <t>Plan — minor gaps require remediation plan and owner assignment</t>
        </is>
      </c>
    </row>
    <row r="38">
      <c r="A38" s="55" t="inlineStr">
        <is>
          <t>Unverified evidence items</t>
        </is>
      </c>
      <c r="B38" s="56">
        <f>COUNTIF('Evidence Register'!H6:H105,"Not verified")</f>
        <v/>
      </c>
      <c r="C38" s="56" t="inlineStr">
        <is>
          <t>MEDIUM</t>
        </is>
      </c>
      <c r="D38" s="56" t="inlineStr">
        <is>
          <t>A.5.9 §3</t>
        </is>
      </c>
      <c r="E38" s="55" t="inlineStr">
        <is>
          <t>Plan — evidence requires verification before next audit</t>
        </is>
      </c>
    </row>
  </sheetData>
  <mergeCells count="9">
    <mergeCell ref="A29:E29"/>
    <mergeCell ref="A4:E4"/>
    <mergeCell ref="A2:E2"/>
    <mergeCell ref="A25:E25"/>
    <mergeCell ref="A1:E1"/>
    <mergeCell ref="A13:E13"/>
    <mergeCell ref="A14:E14"/>
    <mergeCell ref="A22:E22"/>
    <mergeCell ref="A18:E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7" t="inlineStr">
        <is>
          <t>ASSESSMENT APPROVAL AND SIGN-OFF</t>
        </is>
      </c>
      <c r="B1" s="6" t="n"/>
      <c r="C1" s="6" t="n"/>
      <c r="D1" s="6" t="n"/>
      <c r="E1" s="6" t="n"/>
    </row>
    <row r="2">
      <c r="A2" s="58" t="inlineStr">
        <is>
          <t>ISO/IEC 27001:2022 - Control A.5.9: Inventory of Information and Assets</t>
        </is>
      </c>
      <c r="B2" s="6" t="n"/>
      <c r="C2" s="6" t="n"/>
      <c r="D2" s="6" t="n"/>
      <c r="E2" s="6" t="n"/>
    </row>
    <row r="3">
      <c r="A3" s="59" t="inlineStr">
        <is>
          <t>ASSESSMENT SUMMARY</t>
        </is>
      </c>
      <c r="B3" s="6" t="n"/>
      <c r="C3" s="6" t="n"/>
      <c r="D3" s="6" t="n"/>
      <c r="E3" s="6" t="n"/>
    </row>
    <row r="4">
      <c r="A4" s="3" t="inlineStr">
        <is>
          <t>Document:</t>
        </is>
      </c>
      <c r="B4" s="6" t="inlineStr">
        <is>
          <t>ISMS-IMP-A.5.9.3 - Quality Compliance</t>
        </is>
      </c>
      <c r="C4" s="6" t="n"/>
      <c r="D4" s="6" t="n"/>
      <c r="E4" s="6" t="n"/>
    </row>
    <row r="5">
      <c r="A5" s="3" t="inlineStr">
        <is>
          <t>Assessment Period:</t>
        </is>
      </c>
      <c r="B5" s="15" t="inlineStr"/>
      <c r="C5" s="6" t="n"/>
      <c r="D5" s="6" t="n"/>
      <c r="E5" s="6" t="n"/>
    </row>
    <row r="6">
      <c r="A6" s="3" t="inlineStr">
        <is>
          <t>Overall Compliance Rating:</t>
        </is>
      </c>
      <c r="B6" s="60">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59"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59"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61"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59"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ISMS-IMP-A.5.9.3 — Quality Compliance</dc:title>
  <dc:description xmlns:dc="http://purl.org/dc/elements/1.1/">ISMS Implementation Workbook — ISMS-IMP-A.5.9.3</dc:description>
  <dc:subject xmlns:dc="http://purl.org/dc/elements/1.1/">ISO/IEC 27001:2022 — Control A.5.9: Inventory of Information and Assets</dc:subject>
  <dcterms:created xmlns:dcterms="http://purl.org/dc/terms/" xmlns:xsi="http://www.w3.org/2001/XMLSchema-instance" xsi:type="dcterms:W3CDTF">2026-03-01T16:57:40Z</dcterms:created>
  <dcterms:modified xmlns:dcterms="http://purl.org/dc/terms/" xmlns:xsi="http://www.w3.org/2001/XMLSchema-instance" xsi:type="dcterms:W3CDTF">2026-03-01T16:57:40Z</dcterms:modified>
</cp:coreProperties>
</file>