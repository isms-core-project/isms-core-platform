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wnership Coverage" sheetId="2" state="visible" r:id="rId2"/>
    <sheet xmlns:r="http://schemas.openxmlformats.org/officeDocument/2006/relationships" name="Owner Acknowledgment" sheetId="3" state="visible" r:id="rId3"/>
    <sheet xmlns:r="http://schemas.openxmlformats.org/officeDocument/2006/relationships" name="Owner Awareness" sheetId="4" state="visible" r:id="rId4"/>
    <sheet xmlns:r="http://schemas.openxmlformats.org/officeDocument/2006/relationships" name="Owner Performance" sheetId="5" state="visible" r:id="rId5"/>
    <sheet xmlns:r="http://schemas.openxmlformats.org/officeDocument/2006/relationships" name="Accountability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font>
    <font>
      <b val="1"/>
      <color rgb="00FFFFFF"/>
      <sz val="12"/>
    </font>
    <font>
      <b val="1"/>
      <color rgb="009C0006"/>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pivotButton="0" quotePrefix="0" xfId="0"/>
    <xf numFmtId="0" fontId="8" fillId="8" borderId="1" pivotButton="0" quotePrefix="0" xfId="0"/>
    <xf numFmtId="0" fontId="0" fillId="8" borderId="1" pivotButton="0" quotePrefix="0" xfId="0"/>
    <xf numFmtId="164" fontId="0" fillId="8" borderId="1" pivotButton="0" quotePrefix="0" xfId="0"/>
    <xf numFmtId="0" fontId="0" fillId="8" borderId="1" applyAlignment="1" pivotButton="0" quotePrefix="0" xfId="0">
      <alignment horizontal="center"/>
    </xf>
    <xf numFmtId="165" fontId="0" fillId="8" borderId="1" pivotButton="0" quotePrefix="0" xfId="0"/>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165" fontId="0" fillId="9" borderId="1" pivotButton="0" quotePrefix="0" xfId="0"/>
    <xf numFmtId="0" fontId="9" fillId="10" borderId="0" pivotButton="0" quotePrefix="0" xfId="0"/>
    <xf numFmtId="0" fontId="8" fillId="0" borderId="0" pivotButton="0" quotePrefix="0" xfId="0"/>
    <xf numFmtId="0" fontId="10" fillId="0" borderId="0" pivotButton="0" quotePrefix="0" xfId="0"/>
    <xf numFmtId="164" fontId="11" fillId="6" borderId="0" pivotButton="0" quotePrefix="0" xfId="0"/>
    <xf numFmtId="164" fontId="0" fillId="0" borderId="0" pivotButton="0" quotePrefix="0" xfId="0"/>
    <xf numFmtId="1" fontId="0" fillId="8" borderId="1" pivotButton="0" quotePrefix="0" xfId="0"/>
    <xf numFmtId="1" fontId="0" fillId="9" borderId="1" pivotButton="0" quotePrefix="0" xfId="0"/>
    <xf numFmtId="165" fontId="0" fillId="0" borderId="0" pivotButton="0" quotePrefix="0" xfId="0"/>
    <xf numFmtId="164" fontId="8" fillId="8" borderId="1" pivotButton="0" quotePrefix="0" xfId="0"/>
    <xf numFmtId="164" fontId="8" fillId="9" borderId="1" pivotButton="0" quotePrefix="0" xfId="0"/>
    <xf numFmtId="164" fontId="8" fillId="0" borderId="0" pivotButton="0" quotePrefix="0" xfId="0"/>
    <xf numFmtId="0" fontId="0" fillId="0" borderId="0" applyAlignment="1" pivotButton="0" quotePrefix="0" xfId="0">
      <alignment horizontal="center"/>
    </xf>
    <xf numFmtId="0" fontId="11"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6"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ISMS-IMP-A.5.9.4  -  Owner Accountability
ISO/IEC 27001:2022 - Control A.5.9: Inventory of Information and Assets</t>
        </is>
      </c>
    </row>
    <row r="3">
      <c r="A3" s="2" t="inlineStr">
        <is>
          <t>Document Information</t>
        </is>
      </c>
    </row>
    <row r="4">
      <c r="A4" s="3" t="inlineStr">
        <is>
          <t>Document ID</t>
        </is>
      </c>
      <c r="B4" t="inlineStr">
        <is>
          <t>ISMS-IMP-A.5.9.4</t>
        </is>
      </c>
    </row>
    <row r="5">
      <c r="A5" s="3" t="inlineStr">
        <is>
          <t>Workbook Title</t>
        </is>
      </c>
      <c r="B5" t="inlineStr">
        <is>
          <t>Owner Accountability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Ownership Coverage sheet with all asset types and owner assignments.</t>
        </is>
      </c>
    </row>
    <row r="14">
      <c r="A14" t="inlineStr">
        <is>
          <t>2. Complete the Owner Acknowledgment sheet tracking attestation campaign responses.</t>
        </is>
      </c>
    </row>
    <row r="15">
      <c r="A15" t="inlineStr">
        <is>
          <t>3. Complete the Owner Awareness sheet verifying owner knowledge of their assets.</t>
        </is>
      </c>
    </row>
    <row r="16">
      <c r="A16" t="inlineStr">
        <is>
          <t>4. Complete the Owner Performance sheet measuring active ownership engagement.</t>
        </is>
      </c>
    </row>
    <row r="17">
      <c r="A17" t="inlineStr">
        <is>
          <t>5. Review the Accountability Metrics sheet for the overall accountability index.</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5" customWidth="1" min="1" max="1"/>
    <col width="15" customWidth="1" min="2" max="2"/>
    <col width="18" customWidth="1" min="3" max="3"/>
    <col width="18" customWidth="1" min="4" max="4"/>
    <col width="15" customWidth="1" min="5" max="5"/>
    <col width="12" customWidth="1" min="6" max="6"/>
    <col width="12" customWidth="1" min="7" max="7"/>
    <col width="18" customWidth="1" min="8" max="8"/>
    <col width="18" customWidth="1" min="9" max="9"/>
    <col width="18" customWidth="1" min="10" max="10"/>
    <col width="15" customWidth="1" min="11" max="11"/>
    <col width="30" customWidth="1" min="12" max="12"/>
  </cols>
  <sheetData>
    <row r="1" ht="35" customHeight="1">
      <c r="A1" s="11" t="inlineStr">
        <is>
          <t>OWNERSHIP COVERAGE</t>
        </is>
      </c>
    </row>
    <row r="2" ht="16" customHeight="1">
      <c r="A2" s="12" t="inlineStr">
        <is>
          <t>ISO/IEC 27001:2022 - Control A.5.9: Inventory of Information and Assets</t>
        </is>
      </c>
    </row>
    <row r="3">
      <c r="A3" s="13" t="inlineStr">
        <is>
          <t>Asset Category</t>
        </is>
      </c>
      <c r="B3" s="13" t="inlineStr">
        <is>
          <t>Total Assets</t>
        </is>
      </c>
      <c r="C3" s="13" t="inlineStr">
        <is>
          <t>Assets with Owner</t>
        </is>
      </c>
      <c r="D3" s="13" t="inlineStr">
        <is>
          <t>Assets without Owner</t>
        </is>
      </c>
      <c r="E3" s="13" t="inlineStr">
        <is>
          <t>Coverage %</t>
        </is>
      </c>
      <c r="F3" s="13" t="inlineStr">
        <is>
          <t>Target %</t>
        </is>
      </c>
      <c r="G3" s="13" t="inlineStr">
        <is>
          <t>Gap</t>
        </is>
      </c>
      <c r="H3" s="13" t="inlineStr">
        <is>
          <t>Status</t>
        </is>
      </c>
      <c r="I3" s="13" t="inlineStr">
        <is>
          <t>Unique Owners Count</t>
        </is>
      </c>
      <c r="J3" s="13" t="inlineStr">
        <is>
          <t>Avg Assets per Owner</t>
        </is>
      </c>
      <c r="K3" s="13" t="inlineStr">
        <is>
          <t>Evidence ID</t>
        </is>
      </c>
      <c r="L3" s="13" t="inlineStr">
        <is>
          <t>Notes</t>
        </is>
      </c>
    </row>
    <row r="4">
      <c r="A4" s="14" t="inlineStr">
        <is>
          <t>Information Assets</t>
        </is>
      </c>
      <c r="B4" s="15" t="n"/>
      <c r="C4" s="15" t="n"/>
      <c r="D4" s="15">
        <f>B4-C4</f>
        <v/>
      </c>
      <c r="E4" s="16">
        <f>IFERROR(C4/B4*100,0)</f>
        <v/>
      </c>
      <c r="F4" s="15" t="inlineStr">
        <is>
          <t>100%</t>
        </is>
      </c>
      <c r="G4" s="16">
        <f>E4-100</f>
        <v/>
      </c>
      <c r="H4" s="17">
        <f>IF(E4=100,"✅ Full Coverage",IF(E4&gt;=95,"⚠️ Minor Gaps","❌ Major Gaps"))</f>
        <v/>
      </c>
      <c r="I4" s="15" t="n"/>
      <c r="J4" s="18">
        <f>IFERROR(B4/I4,0)</f>
        <v/>
      </c>
      <c r="K4" s="15" t="n"/>
      <c r="L4" s="15" t="n"/>
    </row>
    <row r="5">
      <c r="A5" s="19" t="inlineStr">
        <is>
          <t>IT Infrastructure</t>
        </is>
      </c>
      <c r="B5" s="20" t="n"/>
      <c r="C5" s="20" t="n"/>
      <c r="D5" s="20">
        <f>B5-C5</f>
        <v/>
      </c>
      <c r="E5" s="21">
        <f>IFERROR(C5/B5*100,0)</f>
        <v/>
      </c>
      <c r="F5" s="20" t="inlineStr">
        <is>
          <t>100%</t>
        </is>
      </c>
      <c r="G5" s="21">
        <f>E5-100</f>
        <v/>
      </c>
      <c r="H5" s="22">
        <f>IF(E5=100,"✅ Full Coverage",IF(E5&gt;=95,"⚠️ Minor Gaps","❌ Major Gaps"))</f>
        <v/>
      </c>
      <c r="I5" s="20" t="n"/>
      <c r="J5" s="23">
        <f>IFERROR(B5/I5,0)</f>
        <v/>
      </c>
      <c r="K5" s="20" t="n"/>
      <c r="L5" s="20" t="n"/>
    </row>
    <row r="6">
      <c r="A6" s="19" t="inlineStr">
        <is>
          <t>Applications</t>
        </is>
      </c>
      <c r="B6" s="20" t="n"/>
      <c r="C6" s="20" t="n"/>
      <c r="D6" s="20">
        <f>B6-C6</f>
        <v/>
      </c>
      <c r="E6" s="21">
        <f>IFERROR(C6/B6*100,0)</f>
        <v/>
      </c>
      <c r="F6" s="20" t="inlineStr">
        <is>
          <t>100%</t>
        </is>
      </c>
      <c r="G6" s="21">
        <f>E6-100</f>
        <v/>
      </c>
      <c r="H6" s="22">
        <f>IF(E6=100,"✅ Full Coverage",IF(E6&gt;=95,"⚠️ Minor Gaps","❌ Major Gaps"))</f>
        <v/>
      </c>
      <c r="I6" s="20" t="n"/>
      <c r="J6" s="23">
        <f>IFERROR(B6/I6,0)</f>
        <v/>
      </c>
      <c r="K6" s="20" t="n"/>
      <c r="L6" s="20" t="n"/>
    </row>
    <row r="7">
      <c r="A7" s="19" t="inlineStr">
        <is>
          <t>Physical Assets</t>
        </is>
      </c>
      <c r="B7" s="20" t="n"/>
      <c r="C7" s="20" t="n"/>
      <c r="D7" s="20">
        <f>B7-C7</f>
        <v/>
      </c>
      <c r="E7" s="21">
        <f>IFERROR(C7/B7*100,0)</f>
        <v/>
      </c>
      <c r="F7" s="20" t="inlineStr">
        <is>
          <t>100%</t>
        </is>
      </c>
      <c r="G7" s="21">
        <f>E7-100</f>
        <v/>
      </c>
      <c r="H7" s="22">
        <f>IF(E7=100,"✅ Full Coverage",IF(E7&gt;=95,"⚠️ Minor Gaps","❌ Major Gaps"))</f>
        <v/>
      </c>
      <c r="I7" s="20" t="n"/>
      <c r="J7" s="23">
        <f>IFERROR(B7/I7,0)</f>
        <v/>
      </c>
      <c r="K7" s="20" t="n"/>
      <c r="L7" s="20" t="n"/>
    </row>
    <row r="8">
      <c r="A8" s="19" t="inlineStr">
        <is>
          <t>Personnel Assets</t>
        </is>
      </c>
      <c r="B8" s="20" t="n"/>
      <c r="C8" s="20" t="n"/>
      <c r="D8" s="20">
        <f>B8-C8</f>
        <v/>
      </c>
      <c r="E8" s="21">
        <f>IFERROR(C8/B8*100,0)</f>
        <v/>
      </c>
      <c r="F8" s="20" t="inlineStr">
        <is>
          <t>100%</t>
        </is>
      </c>
      <c r="G8" s="21">
        <f>E8-100</f>
        <v/>
      </c>
      <c r="H8" s="22">
        <f>IF(E8=100,"✅ Full Coverage",IF(E8&gt;=95,"⚠️ Minor Gaps","❌ Major Gaps"))</f>
        <v/>
      </c>
      <c r="I8" s="20" t="n"/>
      <c r="J8" s="23">
        <f>IFERROR(B8/I8,0)</f>
        <v/>
      </c>
      <c r="K8" s="20" t="n"/>
      <c r="L8" s="20" t="n"/>
    </row>
    <row r="11">
      <c r="A11" s="24" t="inlineStr">
        <is>
          <t>OWNERSHIP COVERAGE SUMMARY</t>
        </is>
      </c>
    </row>
    <row r="12">
      <c r="A12" t="inlineStr">
        <is>
          <t>Total Assets</t>
        </is>
      </c>
      <c r="B12" s="25">
        <f>SUM(B4:B8)</f>
        <v/>
      </c>
    </row>
    <row r="13">
      <c r="A13" t="inlineStr">
        <is>
          <t>Assets with Owner</t>
        </is>
      </c>
      <c r="B13" s="25">
        <f>SUM(C4:C8)</f>
        <v/>
      </c>
    </row>
    <row r="14">
      <c r="A14" t="inlineStr">
        <is>
          <t>Assets without Owner</t>
        </is>
      </c>
      <c r="B14" s="26">
        <f>SUM(D4:D8)</f>
        <v/>
      </c>
    </row>
    <row r="15">
      <c r="A15" t="inlineStr">
        <is>
          <t>Overall Coverage %</t>
        </is>
      </c>
      <c r="B15" s="27">
        <f>IFERROR(B13/B12*100,0)</f>
        <v/>
      </c>
    </row>
    <row r="16">
      <c r="A16" t="inlineStr">
        <is>
          <t>Target</t>
        </is>
      </c>
      <c r="B16" s="26" t="inlineStr">
        <is>
          <t>100%</t>
        </is>
      </c>
    </row>
    <row r="17">
      <c r="A17" t="inlineStr">
        <is>
          <t>Gap</t>
        </is>
      </c>
      <c r="B17" s="28">
        <f>B15-100</f>
        <v/>
      </c>
    </row>
    <row r="18">
      <c r="A18" t="inlineStr">
        <is>
          <t>Status</t>
        </is>
      </c>
      <c r="B18" s="25">
        <f>IF(B15=100,"✅ Strong",IF(B15&gt;=95,"⚠️ Needs Improvement","❌ Weak"))</f>
        <v/>
      </c>
    </row>
  </sheetData>
  <mergeCells count="2">
    <mergeCell ref="A2:L2"/>
    <mergeCell ref="A1:L1"/>
  </mergeCells>
  <conditionalFormatting sqref="E4:E8">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showGridLines="0" workbookViewId="0">
      <selection activeCell="A1" sqref="A1"/>
    </sheetView>
  </sheetViews>
  <sheetFormatPr baseColWidth="8" defaultRowHeight="15"/>
  <cols>
    <col width="25"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5" customWidth="1" min="11" max="11"/>
    <col width="20" customWidth="1" min="12" max="12"/>
    <col width="25" customWidth="1" min="13" max="13"/>
    <col width="15" customWidth="1" min="14" max="14"/>
    <col width="30" customWidth="1" min="15" max="15"/>
  </cols>
  <sheetData>
    <row r="1">
      <c r="A1" s="11" t="inlineStr">
        <is>
          <t>OWNER ACKNOWLEDGMENT</t>
        </is>
      </c>
    </row>
    <row r="2" ht="16" customHeight="1">
      <c r="A2" s="12" t="inlineStr">
        <is>
          <t>ISO/IEC 27001:2022 - Control A.5.9: Inventory of Information and Assets</t>
        </is>
      </c>
    </row>
    <row r="3">
      <c r="A3" s="13" t="inlineStr">
        <is>
          <t>Owner Name</t>
        </is>
      </c>
      <c r="B3" s="13" t="inlineStr">
        <is>
          <t>Owner Email</t>
        </is>
      </c>
      <c r="C3" s="13" t="inlineStr">
        <is>
          <t>Department</t>
        </is>
      </c>
      <c r="D3" s="13" t="inlineStr">
        <is>
          <t>Assets Count</t>
        </is>
      </c>
      <c r="E3" s="13" t="inlineStr">
        <is>
          <t>Email Sent Date</t>
        </is>
      </c>
      <c r="F3" s="13" t="inlineStr">
        <is>
          <t>Reminder 1 (Day 7)</t>
        </is>
      </c>
      <c r="G3" s="13" t="inlineStr">
        <is>
          <t>Reminder 2 (Day 14)</t>
        </is>
      </c>
      <c r="H3" s="13" t="inlineStr">
        <is>
          <t>Reminder 3 (Day 21)</t>
        </is>
      </c>
      <c r="I3" s="13" t="inlineStr">
        <is>
          <t>Escalation (Day 28)</t>
        </is>
      </c>
      <c r="J3" s="13" t="inlineStr">
        <is>
          <t>Response Date</t>
        </is>
      </c>
      <c r="K3" s="13" t="inlineStr">
        <is>
          <t>Days to Respond</t>
        </is>
      </c>
      <c r="L3" s="13" t="inlineStr">
        <is>
          <t>Attestation Status</t>
        </is>
      </c>
      <c r="M3" s="13" t="inlineStr">
        <is>
          <t>Next Action</t>
        </is>
      </c>
      <c r="N3" s="13" t="inlineStr">
        <is>
          <t>Evidence ID</t>
        </is>
      </c>
      <c r="O3" s="13" t="inlineStr">
        <is>
          <t>Notes</t>
        </is>
      </c>
    </row>
    <row r="4">
      <c r="A4" s="15" t="inlineStr">
        <is>
          <t>John Doe</t>
        </is>
      </c>
      <c r="B4" s="15" t="inlineStr">
        <is>
          <t>john.doe@org.ch</t>
        </is>
      </c>
      <c r="C4" s="15" t="inlineStr">
        <is>
          <t>Engineering</t>
        </is>
      </c>
      <c r="D4" s="15" t="n">
        <v>15</v>
      </c>
      <c r="E4" s="15" t="n"/>
      <c r="F4" s="15" t="n"/>
      <c r="G4" s="15" t="n"/>
      <c r="H4" s="15" t="n"/>
      <c r="I4" s="15" t="n"/>
      <c r="J4" s="15" t="n"/>
      <c r="K4" s="29">
        <f>IF(AND(E4&lt;&gt;"",J4&lt;&gt;""),J4-E4,"")</f>
        <v/>
      </c>
      <c r="L4" s="15" t="n"/>
      <c r="M4" s="15" t="n"/>
      <c r="N4" s="15" t="n"/>
      <c r="O4" s="15" t="n"/>
    </row>
    <row r="5">
      <c r="A5" s="20" t="inlineStr">
        <is>
          <t>Jane Smith</t>
        </is>
      </c>
      <c r="B5" s="20" t="inlineStr">
        <is>
          <t>jane.smith@org.ch</t>
        </is>
      </c>
      <c r="C5" s="20" t="inlineStr">
        <is>
          <t>IT Operations</t>
        </is>
      </c>
      <c r="D5" s="20" t="n">
        <v>42</v>
      </c>
      <c r="E5" s="20" t="n"/>
      <c r="F5" s="20" t="n"/>
      <c r="G5" s="20" t="n"/>
      <c r="H5" s="20" t="n"/>
      <c r="I5" s="20" t="n"/>
      <c r="J5" s="20" t="n"/>
      <c r="K5" s="30">
        <f>IF(AND(E5&lt;&gt;"",J5&lt;&gt;""),J5-E5,"")</f>
        <v/>
      </c>
      <c r="L5" s="20" t="n"/>
      <c r="M5" s="20" t="n"/>
      <c r="N5" s="20" t="n"/>
      <c r="O5" s="20" t="n"/>
    </row>
    <row r="6">
      <c r="A6" s="20" t="inlineStr">
        <is>
          <t>Bob Johnson</t>
        </is>
      </c>
      <c r="B6" s="20" t="inlineStr">
        <is>
          <t>bob.johnson@org.ch</t>
        </is>
      </c>
      <c r="C6" s="20" t="inlineStr">
        <is>
          <t>Security</t>
        </is>
      </c>
      <c r="D6" s="20" t="n">
        <v>8</v>
      </c>
      <c r="E6" s="20" t="n"/>
      <c r="F6" s="20" t="n"/>
      <c r="G6" s="20" t="n"/>
      <c r="H6" s="20" t="n"/>
      <c r="I6" s="20" t="n"/>
      <c r="J6" s="20" t="n"/>
      <c r="K6" s="30">
        <f>IF(AND(E6&lt;&gt;"",J6&lt;&gt;""),J6-E6,"")</f>
        <v/>
      </c>
      <c r="L6" s="20" t="n"/>
      <c r="M6" s="20" t="n"/>
      <c r="N6" s="20" t="n"/>
      <c r="O6" s="20" t="n"/>
    </row>
    <row r="7">
      <c r="A7" s="20" t="inlineStr">
        <is>
          <t>Alice Williams</t>
        </is>
      </c>
      <c r="B7" s="20" t="inlineStr">
        <is>
          <t>alice.williams@org.ch</t>
        </is>
      </c>
      <c r="C7" s="20" t="inlineStr">
        <is>
          <t>HR</t>
        </is>
      </c>
      <c r="D7" s="20" t="n">
        <v>5</v>
      </c>
      <c r="E7" s="20" t="n"/>
      <c r="F7" s="20" t="n"/>
      <c r="G7" s="20" t="n"/>
      <c r="H7" s="20" t="n"/>
      <c r="I7" s="20" t="n"/>
      <c r="J7" s="20" t="n"/>
      <c r="K7" s="30">
        <f>IF(AND(E7&lt;&gt;"",J7&lt;&gt;""),J7-E7,"")</f>
        <v/>
      </c>
      <c r="L7" s="20" t="n"/>
      <c r="M7" s="20" t="n"/>
      <c r="N7" s="20" t="n"/>
      <c r="O7" s="20" t="n"/>
    </row>
    <row r="8">
      <c r="A8" s="20" t="n"/>
      <c r="B8" s="20" t="n"/>
      <c r="C8" s="20" t="n"/>
      <c r="D8" s="20" t="n"/>
      <c r="E8" s="20" t="n"/>
      <c r="F8" s="20" t="n"/>
      <c r="G8" s="20" t="n"/>
      <c r="H8" s="20" t="n"/>
      <c r="I8" s="20" t="n"/>
      <c r="J8" s="20" t="n"/>
      <c r="K8" s="20">
        <f>IF(AND(E8&lt;&gt;"",J8&lt;&gt;""),J8-E8,"")</f>
        <v/>
      </c>
      <c r="L8" s="20" t="n"/>
      <c r="M8" s="20" t="n"/>
      <c r="N8" s="20" t="n"/>
      <c r="O8" s="20" t="n"/>
    </row>
    <row r="9">
      <c r="A9" s="20" t="n"/>
      <c r="B9" s="20" t="n"/>
      <c r="C9" s="20" t="n"/>
      <c r="D9" s="20" t="n"/>
      <c r="E9" s="20" t="n"/>
      <c r="F9" s="20" t="n"/>
      <c r="G9" s="20" t="n"/>
      <c r="H9" s="20" t="n"/>
      <c r="I9" s="20" t="n"/>
      <c r="J9" s="20" t="n"/>
      <c r="K9" s="20">
        <f>IF(AND(E9&lt;&gt;"",J9&lt;&gt;""),J9-E9,"")</f>
        <v/>
      </c>
      <c r="L9" s="20" t="n"/>
      <c r="M9" s="20" t="n"/>
      <c r="N9" s="20" t="n"/>
      <c r="O9" s="20" t="n"/>
    </row>
    <row r="10">
      <c r="A10" s="20" t="n"/>
      <c r="B10" s="20" t="n"/>
      <c r="C10" s="20" t="n"/>
      <c r="D10" s="20" t="n"/>
      <c r="E10" s="20" t="n"/>
      <c r="F10" s="20" t="n"/>
      <c r="G10" s="20" t="n"/>
      <c r="H10" s="20" t="n"/>
      <c r="I10" s="20" t="n"/>
      <c r="J10" s="20" t="n"/>
      <c r="K10" s="20">
        <f>IF(AND(E10&lt;&gt;"",J10&lt;&gt;""),J10-E10,"")</f>
        <v/>
      </c>
      <c r="L10" s="20" t="n"/>
      <c r="M10" s="20" t="n"/>
      <c r="N10" s="20" t="n"/>
      <c r="O10" s="20" t="n"/>
    </row>
    <row r="11">
      <c r="A11" s="20" t="n"/>
      <c r="B11" s="20" t="n"/>
      <c r="C11" s="20" t="n"/>
      <c r="D11" s="20" t="n"/>
      <c r="E11" s="20" t="n"/>
      <c r="F11" s="20" t="n"/>
      <c r="G11" s="20" t="n"/>
      <c r="H11" s="20" t="n"/>
      <c r="I11" s="20" t="n"/>
      <c r="J11" s="20" t="n"/>
      <c r="K11" s="20">
        <f>IF(AND(E11&lt;&gt;"",J11&lt;&gt;""),J11-E11,"")</f>
        <v/>
      </c>
      <c r="L11" s="20" t="n"/>
      <c r="M11" s="20" t="n"/>
      <c r="N11" s="20" t="n"/>
      <c r="O11" s="20" t="n"/>
    </row>
    <row r="12">
      <c r="A12" s="20" t="n"/>
      <c r="B12" s="20" t="n"/>
      <c r="C12" s="20" t="n"/>
      <c r="D12" s="20" t="n"/>
      <c r="E12" s="20" t="n"/>
      <c r="F12" s="20" t="n"/>
      <c r="G12" s="20" t="n"/>
      <c r="H12" s="20" t="n"/>
      <c r="I12" s="20" t="n"/>
      <c r="J12" s="20" t="n"/>
      <c r="K12" s="20">
        <f>IF(AND(E12&lt;&gt;"",J12&lt;&gt;""),J12-E12,"")</f>
        <v/>
      </c>
      <c r="L12" s="20" t="n"/>
      <c r="M12" s="20" t="n"/>
      <c r="N12" s="20" t="n"/>
      <c r="O12" s="20" t="n"/>
    </row>
    <row r="13">
      <c r="A13" s="20" t="n"/>
      <c r="B13" s="20" t="n"/>
      <c r="C13" s="20" t="n"/>
      <c r="D13" s="20" t="n"/>
      <c r="E13" s="20" t="n"/>
      <c r="F13" s="20" t="n"/>
      <c r="G13" s="20" t="n"/>
      <c r="H13" s="20" t="n"/>
      <c r="I13" s="20" t="n"/>
      <c r="J13" s="20" t="n"/>
      <c r="K13" s="20">
        <f>IF(AND(E13&lt;&gt;"",J13&lt;&gt;""),J13-E13,"")</f>
        <v/>
      </c>
      <c r="L13" s="20" t="n"/>
      <c r="M13" s="20" t="n"/>
      <c r="N13" s="20" t="n"/>
      <c r="O13" s="20" t="n"/>
    </row>
    <row r="14">
      <c r="A14" s="20" t="n"/>
      <c r="B14" s="20" t="n"/>
      <c r="C14" s="20" t="n"/>
      <c r="D14" s="20" t="n"/>
      <c r="E14" s="20" t="n"/>
      <c r="F14" s="20" t="n"/>
      <c r="G14" s="20" t="n"/>
      <c r="H14" s="20" t="n"/>
      <c r="I14" s="20" t="n"/>
      <c r="J14" s="20" t="n"/>
      <c r="K14" s="20">
        <f>IF(AND(E14&lt;&gt;"",J14&lt;&gt;""),J14-E14,"")</f>
        <v/>
      </c>
      <c r="L14" s="20" t="n"/>
      <c r="M14" s="20" t="n"/>
      <c r="N14" s="20" t="n"/>
      <c r="O14" s="20" t="n"/>
    </row>
    <row r="15">
      <c r="A15" s="20" t="n"/>
      <c r="B15" s="20" t="n"/>
      <c r="C15" s="20" t="n"/>
      <c r="D15" s="20" t="n"/>
      <c r="E15" s="20" t="n"/>
      <c r="F15" s="20" t="n"/>
      <c r="G15" s="20" t="n"/>
      <c r="H15" s="20" t="n"/>
      <c r="I15" s="20" t="n"/>
      <c r="J15" s="20" t="n"/>
      <c r="K15" s="20">
        <f>IF(AND(E15&lt;&gt;"",J15&lt;&gt;""),J15-E15,"")</f>
        <v/>
      </c>
      <c r="L15" s="20" t="n"/>
      <c r="M15" s="20" t="n"/>
      <c r="N15" s="20" t="n"/>
      <c r="O15" s="20" t="n"/>
    </row>
    <row r="16">
      <c r="A16" s="20" t="n"/>
      <c r="B16" s="20" t="n"/>
      <c r="C16" s="20" t="n"/>
      <c r="D16" s="20" t="n"/>
      <c r="E16" s="20" t="n"/>
      <c r="F16" s="20" t="n"/>
      <c r="G16" s="20" t="n"/>
      <c r="H16" s="20" t="n"/>
      <c r="I16" s="20" t="n"/>
      <c r="J16" s="20" t="n"/>
      <c r="K16" s="20">
        <f>IF(AND(E16&lt;&gt;"",J16&lt;&gt;""),J16-E16,"")</f>
        <v/>
      </c>
      <c r="L16" s="20" t="n"/>
      <c r="M16" s="20" t="n"/>
      <c r="N16" s="20" t="n"/>
      <c r="O16" s="20" t="n"/>
    </row>
    <row r="17">
      <c r="A17" s="20" t="n"/>
      <c r="B17" s="20" t="n"/>
      <c r="C17" s="20" t="n"/>
      <c r="D17" s="20" t="n"/>
      <c r="E17" s="20" t="n"/>
      <c r="F17" s="20" t="n"/>
      <c r="G17" s="20" t="n"/>
      <c r="H17" s="20" t="n"/>
      <c r="I17" s="20" t="n"/>
      <c r="J17" s="20" t="n"/>
      <c r="K17" s="20">
        <f>IF(AND(E17&lt;&gt;"",J17&lt;&gt;""),J17-E17,"")</f>
        <v/>
      </c>
      <c r="L17" s="20" t="n"/>
      <c r="M17" s="20" t="n"/>
      <c r="N17" s="20" t="n"/>
      <c r="O17" s="20" t="n"/>
    </row>
    <row r="18">
      <c r="A18" s="20" t="n"/>
      <c r="B18" s="20" t="n"/>
      <c r="C18" s="20" t="n"/>
      <c r="D18" s="20" t="n"/>
      <c r="E18" s="20" t="n"/>
      <c r="F18" s="20" t="n"/>
      <c r="G18" s="20" t="n"/>
      <c r="H18" s="20" t="n"/>
      <c r="I18" s="20" t="n"/>
      <c r="J18" s="20" t="n"/>
      <c r="K18" s="20">
        <f>IF(AND(E18&lt;&gt;"",J18&lt;&gt;""),J18-E18,"")</f>
        <v/>
      </c>
      <c r="L18" s="20" t="n"/>
      <c r="M18" s="20" t="n"/>
      <c r="N18" s="20" t="n"/>
      <c r="O18" s="20" t="n"/>
    </row>
    <row r="19">
      <c r="A19" s="20" t="n"/>
      <c r="B19" s="20" t="n"/>
      <c r="C19" s="20" t="n"/>
      <c r="D19" s="20" t="n"/>
      <c r="E19" s="20" t="n"/>
      <c r="F19" s="20" t="n"/>
      <c r="G19" s="20" t="n"/>
      <c r="H19" s="20" t="n"/>
      <c r="I19" s="20" t="n"/>
      <c r="J19" s="20" t="n"/>
      <c r="K19" s="20">
        <f>IF(AND(E19&lt;&gt;"",J19&lt;&gt;""),J19-E19,"")</f>
        <v/>
      </c>
      <c r="L19" s="20" t="n"/>
      <c r="M19" s="20" t="n"/>
      <c r="N19" s="20" t="n"/>
      <c r="O19" s="20" t="n"/>
    </row>
    <row r="20">
      <c r="A20" s="20" t="n"/>
      <c r="B20" s="20" t="n"/>
      <c r="C20" s="20" t="n"/>
      <c r="D20" s="20" t="n"/>
      <c r="E20" s="20" t="n"/>
      <c r="F20" s="20" t="n"/>
      <c r="G20" s="20" t="n"/>
      <c r="H20" s="20" t="n"/>
      <c r="I20" s="20" t="n"/>
      <c r="J20" s="20" t="n"/>
      <c r="K20" s="20">
        <f>IF(AND(E20&lt;&gt;"",J20&lt;&gt;""),J20-E20,"")</f>
        <v/>
      </c>
      <c r="L20" s="20" t="n"/>
      <c r="M20" s="20" t="n"/>
      <c r="N20" s="20" t="n"/>
      <c r="O20" s="20" t="n"/>
    </row>
    <row r="21">
      <c r="A21" s="20" t="n"/>
      <c r="B21" s="20" t="n"/>
      <c r="C21" s="20" t="n"/>
      <c r="D21" s="20" t="n"/>
      <c r="E21" s="20" t="n"/>
      <c r="F21" s="20" t="n"/>
      <c r="G21" s="20" t="n"/>
      <c r="H21" s="20" t="n"/>
      <c r="I21" s="20" t="n"/>
      <c r="J21" s="20" t="n"/>
      <c r="K21" s="20">
        <f>IF(AND(E21&lt;&gt;"",J21&lt;&gt;""),J21-E21,"")</f>
        <v/>
      </c>
      <c r="L21" s="20" t="n"/>
      <c r="M21" s="20" t="n"/>
      <c r="N21" s="20" t="n"/>
      <c r="O21" s="20" t="n"/>
    </row>
    <row r="22">
      <c r="A22" s="20" t="n"/>
      <c r="B22" s="20" t="n"/>
      <c r="C22" s="20" t="n"/>
      <c r="D22" s="20" t="n"/>
      <c r="E22" s="20" t="n"/>
      <c r="F22" s="20" t="n"/>
      <c r="G22" s="20" t="n"/>
      <c r="H22" s="20" t="n"/>
      <c r="I22" s="20" t="n"/>
      <c r="J22" s="20" t="n"/>
      <c r="K22" s="20">
        <f>IF(AND(E22&lt;&gt;"",J22&lt;&gt;""),J22-E22,"")</f>
        <v/>
      </c>
      <c r="L22" s="20" t="n"/>
      <c r="M22" s="20" t="n"/>
      <c r="N22" s="20" t="n"/>
      <c r="O22" s="20" t="n"/>
    </row>
    <row r="23">
      <c r="A23" s="20" t="n"/>
      <c r="B23" s="20" t="n"/>
      <c r="C23" s="20" t="n"/>
      <c r="D23" s="20" t="n"/>
      <c r="E23" s="20" t="n"/>
      <c r="F23" s="20" t="n"/>
      <c r="G23" s="20" t="n"/>
      <c r="H23" s="20" t="n"/>
      <c r="I23" s="20" t="n"/>
      <c r="J23" s="20" t="n"/>
      <c r="K23" s="20">
        <f>IF(AND(E23&lt;&gt;"",J23&lt;&gt;""),J23-E23,"")</f>
        <v/>
      </c>
      <c r="L23" s="20" t="n"/>
      <c r="M23" s="20" t="n"/>
      <c r="N23" s="20" t="n"/>
      <c r="O23" s="20" t="n"/>
    </row>
    <row r="24">
      <c r="A24" s="20" t="n"/>
      <c r="B24" s="20" t="n"/>
      <c r="C24" s="20" t="n"/>
      <c r="D24" s="20" t="n"/>
      <c r="E24" s="20" t="n"/>
      <c r="F24" s="20" t="n"/>
      <c r="G24" s="20" t="n"/>
      <c r="H24" s="20" t="n"/>
      <c r="I24" s="20" t="n"/>
      <c r="J24" s="20" t="n"/>
      <c r="K24" s="20">
        <f>IF(AND(E24&lt;&gt;"",J24&lt;&gt;""),J24-E24,"")</f>
        <v/>
      </c>
      <c r="L24" s="20" t="n"/>
      <c r="M24" s="20" t="n"/>
      <c r="N24" s="20" t="n"/>
      <c r="O24" s="20" t="n"/>
    </row>
    <row r="25">
      <c r="A25" s="20" t="n"/>
      <c r="B25" s="20" t="n"/>
      <c r="C25" s="20" t="n"/>
      <c r="D25" s="20" t="n"/>
      <c r="E25" s="20" t="n"/>
      <c r="F25" s="20" t="n"/>
      <c r="G25" s="20" t="n"/>
      <c r="H25" s="20" t="n"/>
      <c r="I25" s="20" t="n"/>
      <c r="J25" s="20" t="n"/>
      <c r="K25" s="20">
        <f>IF(AND(E25&lt;&gt;"",J25&lt;&gt;""),J25-E25,"")</f>
        <v/>
      </c>
      <c r="L25" s="20" t="n"/>
      <c r="M25" s="20" t="n"/>
      <c r="N25" s="20" t="n"/>
      <c r="O25" s="20" t="n"/>
    </row>
    <row r="26">
      <c r="A26" s="20" t="n"/>
      <c r="B26" s="20" t="n"/>
      <c r="C26" s="20" t="n"/>
      <c r="D26" s="20" t="n"/>
      <c r="E26" s="20" t="n"/>
      <c r="F26" s="20" t="n"/>
      <c r="G26" s="20" t="n"/>
      <c r="H26" s="20" t="n"/>
      <c r="I26" s="20" t="n"/>
      <c r="J26" s="20" t="n"/>
      <c r="K26" s="20">
        <f>IF(AND(E26&lt;&gt;"",J26&lt;&gt;""),J26-E26,"")</f>
        <v/>
      </c>
      <c r="L26" s="20" t="n"/>
      <c r="M26" s="20" t="n"/>
      <c r="N26" s="20" t="n"/>
      <c r="O26" s="20" t="n"/>
    </row>
    <row r="27">
      <c r="A27" s="20" t="n"/>
      <c r="B27" s="20" t="n"/>
      <c r="C27" s="20" t="n"/>
      <c r="D27" s="20" t="n"/>
      <c r="E27" s="20" t="n"/>
      <c r="F27" s="20" t="n"/>
      <c r="G27" s="20" t="n"/>
      <c r="H27" s="20" t="n"/>
      <c r="I27" s="20" t="n"/>
      <c r="J27" s="20" t="n"/>
      <c r="K27" s="20">
        <f>IF(AND(E27&lt;&gt;"",J27&lt;&gt;""),J27-E27,"")</f>
        <v/>
      </c>
      <c r="L27" s="20" t="n"/>
      <c r="M27" s="20" t="n"/>
      <c r="N27" s="20" t="n"/>
      <c r="O27" s="20" t="n"/>
    </row>
    <row r="28">
      <c r="A28" s="20" t="n"/>
      <c r="B28" s="20" t="n"/>
      <c r="C28" s="20" t="n"/>
      <c r="D28" s="20" t="n"/>
      <c r="E28" s="20" t="n"/>
      <c r="F28" s="20" t="n"/>
      <c r="G28" s="20" t="n"/>
      <c r="H28" s="20" t="n"/>
      <c r="I28" s="20" t="n"/>
      <c r="J28" s="20" t="n"/>
      <c r="K28" s="20">
        <f>IF(AND(E28&lt;&gt;"",J28&lt;&gt;""),J28-E28,"")</f>
        <v/>
      </c>
      <c r="L28" s="20" t="n"/>
      <c r="M28" s="20" t="n"/>
      <c r="N28" s="20" t="n"/>
      <c r="O28" s="20" t="n"/>
    </row>
    <row r="29">
      <c r="A29" s="20" t="n"/>
      <c r="B29" s="20" t="n"/>
      <c r="C29" s="20" t="n"/>
      <c r="D29" s="20" t="n"/>
      <c r="E29" s="20" t="n"/>
      <c r="F29" s="20" t="n"/>
      <c r="G29" s="20" t="n"/>
      <c r="H29" s="20" t="n"/>
      <c r="I29" s="20" t="n"/>
      <c r="J29" s="20" t="n"/>
      <c r="K29" s="20">
        <f>IF(AND(E29&lt;&gt;"",J29&lt;&gt;""),J29-E29,"")</f>
        <v/>
      </c>
      <c r="L29" s="20" t="n"/>
      <c r="M29" s="20" t="n"/>
      <c r="N29" s="20" t="n"/>
      <c r="O29" s="20" t="n"/>
    </row>
    <row r="30">
      <c r="A30" s="20" t="n"/>
      <c r="B30" s="20" t="n"/>
      <c r="C30" s="20" t="n"/>
      <c r="D30" s="20" t="n"/>
      <c r="E30" s="20" t="n"/>
      <c r="F30" s="20" t="n"/>
      <c r="G30" s="20" t="n"/>
      <c r="H30" s="20" t="n"/>
      <c r="I30" s="20" t="n"/>
      <c r="J30" s="20" t="n"/>
      <c r="K30" s="20">
        <f>IF(AND(E30&lt;&gt;"",J30&lt;&gt;""),J30-E30,"")</f>
        <v/>
      </c>
      <c r="L30" s="20" t="n"/>
      <c r="M30" s="20" t="n"/>
      <c r="N30" s="20" t="n"/>
      <c r="O30" s="20" t="n"/>
    </row>
    <row r="31">
      <c r="A31" s="20" t="n"/>
      <c r="B31" s="20" t="n"/>
      <c r="C31" s="20" t="n"/>
      <c r="D31" s="20" t="n"/>
      <c r="E31" s="20" t="n"/>
      <c r="F31" s="20" t="n"/>
      <c r="G31" s="20" t="n"/>
      <c r="H31" s="20" t="n"/>
      <c r="I31" s="20" t="n"/>
      <c r="J31" s="20" t="n"/>
      <c r="K31" s="20">
        <f>IF(AND(E31&lt;&gt;"",J31&lt;&gt;""),J31-E31,"")</f>
        <v/>
      </c>
      <c r="L31" s="20" t="n"/>
      <c r="M31" s="20" t="n"/>
      <c r="N31" s="20" t="n"/>
      <c r="O31" s="20" t="n"/>
    </row>
    <row r="32">
      <c r="A32" s="20" t="n"/>
      <c r="B32" s="20" t="n"/>
      <c r="C32" s="20" t="n"/>
      <c r="D32" s="20" t="n"/>
      <c r="E32" s="20" t="n"/>
      <c r="F32" s="20" t="n"/>
      <c r="G32" s="20" t="n"/>
      <c r="H32" s="20" t="n"/>
      <c r="I32" s="20" t="n"/>
      <c r="J32" s="20" t="n"/>
      <c r="K32" s="20">
        <f>IF(AND(E32&lt;&gt;"",J32&lt;&gt;""),J32-E32,"")</f>
        <v/>
      </c>
      <c r="L32" s="20" t="n"/>
      <c r="M32" s="20" t="n"/>
      <c r="N32" s="20" t="n"/>
      <c r="O32" s="20" t="n"/>
    </row>
    <row r="33">
      <c r="A33" s="20" t="n"/>
      <c r="B33" s="20" t="n"/>
      <c r="C33" s="20" t="n"/>
      <c r="D33" s="20" t="n"/>
      <c r="E33" s="20" t="n"/>
      <c r="F33" s="20" t="n"/>
      <c r="G33" s="20" t="n"/>
      <c r="H33" s="20" t="n"/>
      <c r="I33" s="20" t="n"/>
      <c r="J33" s="20" t="n"/>
      <c r="K33" s="20">
        <f>IF(AND(E33&lt;&gt;"",J33&lt;&gt;""),J33-E33,"")</f>
        <v/>
      </c>
      <c r="L33" s="20" t="n"/>
      <c r="M33" s="20" t="n"/>
      <c r="N33" s="20" t="n"/>
      <c r="O33" s="20" t="n"/>
    </row>
    <row r="34">
      <c r="A34" s="20" t="n"/>
      <c r="B34" s="20" t="n"/>
      <c r="C34" s="20" t="n"/>
      <c r="D34" s="20" t="n"/>
      <c r="E34" s="20" t="n"/>
      <c r="F34" s="20" t="n"/>
      <c r="G34" s="20" t="n"/>
      <c r="H34" s="20" t="n"/>
      <c r="I34" s="20" t="n"/>
      <c r="J34" s="20" t="n"/>
      <c r="K34" s="20">
        <f>IF(AND(E34&lt;&gt;"",J34&lt;&gt;""),J34-E34,"")</f>
        <v/>
      </c>
      <c r="L34" s="20" t="n"/>
      <c r="M34" s="20" t="n"/>
      <c r="N34" s="20" t="n"/>
      <c r="O34" s="20" t="n"/>
    </row>
    <row r="35">
      <c r="A35" s="20" t="n"/>
      <c r="B35" s="20" t="n"/>
      <c r="C35" s="20" t="n"/>
      <c r="D35" s="20" t="n"/>
      <c r="E35" s="20" t="n"/>
      <c r="F35" s="20" t="n"/>
      <c r="G35" s="20" t="n"/>
      <c r="H35" s="20" t="n"/>
      <c r="I35" s="20" t="n"/>
      <c r="J35" s="20" t="n"/>
      <c r="K35" s="20">
        <f>IF(AND(E35&lt;&gt;"",J35&lt;&gt;""),J35-E35,"")</f>
        <v/>
      </c>
      <c r="L35" s="20" t="n"/>
      <c r="M35" s="20" t="n"/>
      <c r="N35" s="20" t="n"/>
      <c r="O35" s="20" t="n"/>
    </row>
    <row r="36">
      <c r="A36" s="20" t="n"/>
      <c r="B36" s="20" t="n"/>
      <c r="C36" s="20" t="n"/>
      <c r="D36" s="20" t="n"/>
      <c r="E36" s="20" t="n"/>
      <c r="F36" s="20" t="n"/>
      <c r="G36" s="20" t="n"/>
      <c r="H36" s="20" t="n"/>
      <c r="I36" s="20" t="n"/>
      <c r="J36" s="20" t="n"/>
      <c r="K36" s="20">
        <f>IF(AND(E36&lt;&gt;"",J36&lt;&gt;""),J36-E36,"")</f>
        <v/>
      </c>
      <c r="L36" s="20" t="n"/>
      <c r="M36" s="20" t="n"/>
      <c r="N36" s="20" t="n"/>
      <c r="O36" s="20" t="n"/>
    </row>
    <row r="37">
      <c r="A37" s="20" t="n"/>
      <c r="B37" s="20" t="n"/>
      <c r="C37" s="20" t="n"/>
      <c r="D37" s="20" t="n"/>
      <c r="E37" s="20" t="n"/>
      <c r="F37" s="20" t="n"/>
      <c r="G37" s="20" t="n"/>
      <c r="H37" s="20" t="n"/>
      <c r="I37" s="20" t="n"/>
      <c r="J37" s="20" t="n"/>
      <c r="K37" s="20">
        <f>IF(AND(E37&lt;&gt;"",J37&lt;&gt;""),J37-E37,"")</f>
        <v/>
      </c>
      <c r="L37" s="20" t="n"/>
      <c r="M37" s="20" t="n"/>
      <c r="N37" s="20" t="n"/>
      <c r="O37" s="20" t="n"/>
    </row>
    <row r="40">
      <c r="A40" s="24" t="inlineStr">
        <is>
          <t>ACKNOWLEDGMENT SUMMARY</t>
        </is>
      </c>
    </row>
    <row r="41">
      <c r="A41" t="inlineStr">
        <is>
          <t>Total Owners</t>
        </is>
      </c>
      <c r="B41">
        <f>COUNTA(A4:A7)</f>
        <v/>
      </c>
    </row>
    <row r="42">
      <c r="A42" t="inlineStr">
        <is>
          <t>Attested (On Time + Late)</t>
        </is>
      </c>
      <c r="B42">
        <f>COUNTIFS(L4:L7,"Attested*")</f>
        <v/>
      </c>
    </row>
    <row r="43">
      <c r="A43" t="inlineStr">
        <is>
          <t>Acknowledgment Rate %</t>
        </is>
      </c>
      <c r="B43" s="27">
        <f>IFERROR(B42/B41*100,0)</f>
        <v/>
      </c>
    </row>
    <row r="44">
      <c r="A44" t="inlineStr">
        <is>
          <t>Target</t>
        </is>
      </c>
      <c r="B44" t="inlineStr">
        <is>
          <t>95%</t>
        </is>
      </c>
    </row>
    <row r="45">
      <c r="A45" t="inlineStr">
        <is>
          <t>Gap</t>
        </is>
      </c>
      <c r="B45" s="28">
        <f>B43-95</f>
        <v/>
      </c>
    </row>
    <row r="46">
      <c r="A46" t="inlineStr">
        <is>
          <t>Average Response Time (Days)</t>
        </is>
      </c>
      <c r="B46" s="31">
        <f>IFERROR(AVERAGE(K4:K7),0)</f>
        <v/>
      </c>
    </row>
    <row r="47">
      <c r="A47" t="inlineStr">
        <is>
          <t>Status</t>
        </is>
      </c>
      <c r="B47" s="25">
        <f>IF(B43&gt;=95,"✅ Strong",IF(B43&gt;=90,"⚠️ Needs Improvement","❌ Weak"))</f>
        <v/>
      </c>
    </row>
  </sheetData>
  <mergeCells count="2">
    <mergeCell ref="A1:O1"/>
    <mergeCell ref="A2:O2"/>
  </mergeCells>
  <dataValidations count="1">
    <dataValidation sqref="L4:L37" showDropDown="0" showInputMessage="0" showErrorMessage="0" allowBlank="1" type="list">
      <formula1>"Attested - On Time,Attested - Late,Pending,Non-Responsive,Escalated,Exempted"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showGridLines="0" workbookViewId="0">
      <selection activeCell="A1" sqref="A1"/>
    </sheetView>
  </sheetViews>
  <sheetFormatPr baseColWidth="8" defaultRowHeight="15"/>
  <cols>
    <col width="25" customWidth="1" min="1" max="1"/>
    <col width="15" customWidth="1" min="2" max="2"/>
    <col width="22" customWidth="1" min="3" max="3"/>
    <col width="15" customWidth="1" min="4" max="4"/>
    <col width="12" customWidth="1" min="5" max="5"/>
    <col width="12" customWidth="1" min="6" max="6"/>
    <col width="18" customWidth="1" min="7" max="7"/>
    <col width="30" customWidth="1" min="8" max="8"/>
    <col width="18" customWidth="1" min="9" max="9"/>
    <col width="15" customWidth="1" min="10" max="10"/>
    <col width="30" customWidth="1" min="11" max="11"/>
  </cols>
  <sheetData>
    <row r="1">
      <c r="A1" s="11" t="inlineStr">
        <is>
          <t>OWNER AWARENESS</t>
        </is>
      </c>
    </row>
    <row r="2" ht="16" customHeight="1">
      <c r="A2" s="12" t="inlineStr">
        <is>
          <t>ISO/IEC 27001:2022 - Control A.5.9: Inventory of Information and Assets</t>
        </is>
      </c>
    </row>
    <row r="3">
      <c r="A3" s="13" t="inlineStr">
        <is>
          <t>Owner Name</t>
        </is>
      </c>
      <c r="B3" s="13" t="inlineStr">
        <is>
          <t>Assets Assigned</t>
        </is>
      </c>
      <c r="C3" s="13" t="inlineStr">
        <is>
          <t>Assets Identified by Owner</t>
        </is>
      </c>
      <c r="D3" s="13" t="inlineStr">
        <is>
          <t>Awareness %</t>
        </is>
      </c>
      <c r="E3" s="13" t="inlineStr">
        <is>
          <t>Target %</t>
        </is>
      </c>
      <c r="F3" s="13" t="inlineStr">
        <is>
          <t>Gap</t>
        </is>
      </c>
      <c r="G3" s="13" t="inlineStr">
        <is>
          <t>Status</t>
        </is>
      </c>
      <c r="H3" s="13" t="inlineStr">
        <is>
          <t>Verification Method</t>
        </is>
      </c>
      <c r="I3" s="13" t="inlineStr">
        <is>
          <t>Verification Date</t>
        </is>
      </c>
      <c r="J3" s="13" t="inlineStr">
        <is>
          <t>Evidence ID</t>
        </is>
      </c>
      <c r="K3" s="13" t="inlineStr">
        <is>
          <t>Notes</t>
        </is>
      </c>
    </row>
    <row r="4">
      <c r="A4" s="15" t="inlineStr">
        <is>
          <t>John Doe</t>
        </is>
      </c>
      <c r="B4" s="15" t="n"/>
      <c r="C4" s="15" t="n"/>
      <c r="D4" s="16">
        <f>IFERROR(C4/B4*100,0)</f>
        <v/>
      </c>
      <c r="E4" s="15" t="inlineStr">
        <is>
          <t>100%</t>
        </is>
      </c>
      <c r="F4" s="16">
        <f>D4-100</f>
        <v/>
      </c>
      <c r="G4" s="17">
        <f>IF(D4=100,"✅ Fully Aware",IF(D4&gt;=95,"⚠️ Mostly Aware","❌ Unaware"))</f>
        <v/>
      </c>
      <c r="H4" s="15" t="n"/>
      <c r="I4" s="15" t="n"/>
      <c r="J4" s="15" t="n"/>
      <c r="K4" s="15" t="n"/>
    </row>
    <row r="5">
      <c r="A5" s="20" t="inlineStr">
        <is>
          <t>Jane Smith</t>
        </is>
      </c>
      <c r="B5" s="20" t="n"/>
      <c r="C5" s="20" t="n"/>
      <c r="D5" s="21">
        <f>IFERROR(C5/B5*100,0)</f>
        <v/>
      </c>
      <c r="E5" s="20" t="inlineStr">
        <is>
          <t>100%</t>
        </is>
      </c>
      <c r="F5" s="21">
        <f>D5-100</f>
        <v/>
      </c>
      <c r="G5" s="22">
        <f>IF(D5=100,"✅ Fully Aware",IF(D5&gt;=95,"⚠️ Mostly Aware","❌ Unaware"))</f>
        <v/>
      </c>
      <c r="H5" s="20" t="n"/>
      <c r="I5" s="20" t="n"/>
      <c r="J5" s="20" t="n"/>
      <c r="K5" s="20" t="n"/>
    </row>
    <row r="6">
      <c r="A6" s="20" t="inlineStr">
        <is>
          <t>Bob Johnson</t>
        </is>
      </c>
      <c r="B6" s="20" t="n"/>
      <c r="C6" s="20" t="n"/>
      <c r="D6" s="21">
        <f>IFERROR(C6/B6*100,0)</f>
        <v/>
      </c>
      <c r="E6" s="20" t="inlineStr">
        <is>
          <t>100%</t>
        </is>
      </c>
      <c r="F6" s="21">
        <f>D6-100</f>
        <v/>
      </c>
      <c r="G6" s="22">
        <f>IF(D6=100,"✅ Fully Aware",IF(D6&gt;=95,"⚠️ Mostly Aware","❌ Unaware"))</f>
        <v/>
      </c>
      <c r="H6" s="20" t="n"/>
      <c r="I6" s="20" t="n"/>
      <c r="J6" s="20" t="n"/>
      <c r="K6" s="20" t="n"/>
    </row>
    <row r="7">
      <c r="A7" s="20" t="inlineStr">
        <is>
          <t>Alice Williams</t>
        </is>
      </c>
      <c r="B7" s="20" t="n"/>
      <c r="C7" s="20" t="n"/>
      <c r="D7" s="21">
        <f>IFERROR(C7/B7*100,0)</f>
        <v/>
      </c>
      <c r="E7" s="20" t="inlineStr">
        <is>
          <t>100%</t>
        </is>
      </c>
      <c r="F7" s="21">
        <f>D7-100</f>
        <v/>
      </c>
      <c r="G7" s="22">
        <f>IF(D7=100,"✅ Fully Aware",IF(D7&gt;=95,"⚠️ Mostly Aware","❌ Unaware"))</f>
        <v/>
      </c>
      <c r="H7" s="20" t="n"/>
      <c r="I7" s="20" t="n"/>
      <c r="J7" s="20" t="n"/>
      <c r="K7" s="20" t="n"/>
    </row>
    <row r="8">
      <c r="A8" s="20" t="n"/>
      <c r="B8" s="20" t="n"/>
      <c r="C8" s="20" t="n"/>
      <c r="D8" s="21">
        <f>IFERROR(C8/B8*100,0)</f>
        <v/>
      </c>
      <c r="E8" s="20" t="inlineStr">
        <is>
          <t>100%</t>
        </is>
      </c>
      <c r="F8" s="21">
        <f>D8-100</f>
        <v/>
      </c>
      <c r="G8" s="20">
        <f>IF(D8=100,"✅ Fully Aware",IF(D8&gt;=95,"⚠️ Mostly Aware","❌ Unaware"))</f>
        <v/>
      </c>
      <c r="H8" s="20" t="n"/>
      <c r="I8" s="20" t="n"/>
      <c r="J8" s="20" t="n"/>
      <c r="K8" s="20" t="n"/>
    </row>
    <row r="9">
      <c r="A9" s="20" t="n"/>
      <c r="B9" s="20" t="n"/>
      <c r="C9" s="20" t="n"/>
      <c r="D9" s="21">
        <f>IFERROR(C9/B9*100,0)</f>
        <v/>
      </c>
      <c r="E9" s="20" t="inlineStr">
        <is>
          <t>100%</t>
        </is>
      </c>
      <c r="F9" s="21">
        <f>D9-100</f>
        <v/>
      </c>
      <c r="G9" s="20">
        <f>IF(D9=100,"✅ Fully Aware",IF(D9&gt;=95,"⚠️ Mostly Aware","❌ Unaware"))</f>
        <v/>
      </c>
      <c r="H9" s="20" t="n"/>
      <c r="I9" s="20" t="n"/>
      <c r="J9" s="20" t="n"/>
      <c r="K9" s="20" t="n"/>
    </row>
    <row r="10">
      <c r="A10" s="20" t="n"/>
      <c r="B10" s="20" t="n"/>
      <c r="C10" s="20" t="n"/>
      <c r="D10" s="21">
        <f>IFERROR(C10/B10*100,0)</f>
        <v/>
      </c>
      <c r="E10" s="20" t="inlineStr">
        <is>
          <t>100%</t>
        </is>
      </c>
      <c r="F10" s="21">
        <f>D10-100</f>
        <v/>
      </c>
      <c r="G10" s="20">
        <f>IF(D10=100,"✅ Fully Aware",IF(D10&gt;=95,"⚠️ Mostly Aware","❌ Unaware"))</f>
        <v/>
      </c>
      <c r="H10" s="20" t="n"/>
      <c r="I10" s="20" t="n"/>
      <c r="J10" s="20" t="n"/>
      <c r="K10" s="20" t="n"/>
    </row>
    <row r="11">
      <c r="A11" s="20" t="n"/>
      <c r="B11" s="20" t="n"/>
      <c r="C11" s="20" t="n"/>
      <c r="D11" s="21">
        <f>IFERROR(C11/B11*100,0)</f>
        <v/>
      </c>
      <c r="E11" s="20" t="inlineStr">
        <is>
          <t>100%</t>
        </is>
      </c>
      <c r="F11" s="21">
        <f>D11-100</f>
        <v/>
      </c>
      <c r="G11" s="20">
        <f>IF(D11=100,"✅ Fully Aware",IF(D11&gt;=95,"⚠️ Mostly Aware","❌ Unaware"))</f>
        <v/>
      </c>
      <c r="H11" s="20" t="n"/>
      <c r="I11" s="20" t="n"/>
      <c r="J11" s="20" t="n"/>
      <c r="K11" s="20" t="n"/>
    </row>
    <row r="12">
      <c r="A12" s="20" t="n"/>
      <c r="B12" s="20" t="n"/>
      <c r="C12" s="20" t="n"/>
      <c r="D12" s="21">
        <f>IFERROR(C12/B12*100,0)</f>
        <v/>
      </c>
      <c r="E12" s="20" t="inlineStr">
        <is>
          <t>100%</t>
        </is>
      </c>
      <c r="F12" s="21">
        <f>D12-100</f>
        <v/>
      </c>
      <c r="G12" s="20">
        <f>IF(D12=100,"✅ Fully Aware",IF(D12&gt;=95,"⚠️ Mostly Aware","❌ Unaware"))</f>
        <v/>
      </c>
      <c r="H12" s="20" t="n"/>
      <c r="I12" s="20" t="n"/>
      <c r="J12" s="20" t="n"/>
      <c r="K12" s="20" t="n"/>
    </row>
    <row r="13">
      <c r="A13" s="20" t="n"/>
      <c r="B13" s="20" t="n"/>
      <c r="C13" s="20" t="n"/>
      <c r="D13" s="21">
        <f>IFERROR(C13/B13*100,0)</f>
        <v/>
      </c>
      <c r="E13" s="20" t="inlineStr">
        <is>
          <t>100%</t>
        </is>
      </c>
      <c r="F13" s="21">
        <f>D13-100</f>
        <v/>
      </c>
      <c r="G13" s="20">
        <f>IF(D13=100,"✅ Fully Aware",IF(D13&gt;=95,"⚠️ Mostly Aware","❌ Unaware"))</f>
        <v/>
      </c>
      <c r="H13" s="20" t="n"/>
      <c r="I13" s="20" t="n"/>
      <c r="J13" s="20" t="n"/>
      <c r="K13" s="20" t="n"/>
    </row>
    <row r="14">
      <c r="A14" s="20" t="n"/>
      <c r="B14" s="20" t="n"/>
      <c r="C14" s="20" t="n"/>
      <c r="D14" s="21">
        <f>IFERROR(C14/B14*100,0)</f>
        <v/>
      </c>
      <c r="E14" s="20" t="inlineStr">
        <is>
          <t>100%</t>
        </is>
      </c>
      <c r="F14" s="21">
        <f>D14-100</f>
        <v/>
      </c>
      <c r="G14" s="20">
        <f>IF(D14=100,"✅ Fully Aware",IF(D14&gt;=95,"⚠️ Mostly Aware","❌ Unaware"))</f>
        <v/>
      </c>
      <c r="H14" s="20" t="n"/>
      <c r="I14" s="20" t="n"/>
      <c r="J14" s="20" t="n"/>
      <c r="K14" s="20" t="n"/>
    </row>
    <row r="15">
      <c r="A15" s="20" t="n"/>
      <c r="B15" s="20" t="n"/>
      <c r="C15" s="20" t="n"/>
      <c r="D15" s="21">
        <f>IFERROR(C15/B15*100,0)</f>
        <v/>
      </c>
      <c r="E15" s="20" t="inlineStr">
        <is>
          <t>100%</t>
        </is>
      </c>
      <c r="F15" s="21">
        <f>D15-100</f>
        <v/>
      </c>
      <c r="G15" s="20">
        <f>IF(D15=100,"✅ Fully Aware",IF(D15&gt;=95,"⚠️ Mostly Aware","❌ Unaware"))</f>
        <v/>
      </c>
      <c r="H15" s="20" t="n"/>
      <c r="I15" s="20" t="n"/>
      <c r="J15" s="20" t="n"/>
      <c r="K15" s="20" t="n"/>
    </row>
    <row r="16">
      <c r="A16" s="20" t="n"/>
      <c r="B16" s="20" t="n"/>
      <c r="C16" s="20" t="n"/>
      <c r="D16" s="21">
        <f>IFERROR(C16/B16*100,0)</f>
        <v/>
      </c>
      <c r="E16" s="20" t="inlineStr">
        <is>
          <t>100%</t>
        </is>
      </c>
      <c r="F16" s="21">
        <f>D16-100</f>
        <v/>
      </c>
      <c r="G16" s="20">
        <f>IF(D16=100,"✅ Fully Aware",IF(D16&gt;=95,"⚠️ Mostly Aware","❌ Unaware"))</f>
        <v/>
      </c>
      <c r="H16" s="20" t="n"/>
      <c r="I16" s="20" t="n"/>
      <c r="J16" s="20" t="n"/>
      <c r="K16" s="20" t="n"/>
    </row>
    <row r="17">
      <c r="A17" s="20" t="n"/>
      <c r="B17" s="20" t="n"/>
      <c r="C17" s="20" t="n"/>
      <c r="D17" s="21">
        <f>IFERROR(C17/B17*100,0)</f>
        <v/>
      </c>
      <c r="E17" s="20" t="inlineStr">
        <is>
          <t>100%</t>
        </is>
      </c>
      <c r="F17" s="21">
        <f>D17-100</f>
        <v/>
      </c>
      <c r="G17" s="20">
        <f>IF(D17=100,"✅ Fully Aware",IF(D17&gt;=95,"⚠️ Mostly Aware","❌ Unaware"))</f>
        <v/>
      </c>
      <c r="H17" s="20" t="n"/>
      <c r="I17" s="20" t="n"/>
      <c r="J17" s="20" t="n"/>
      <c r="K17" s="20" t="n"/>
    </row>
    <row r="18">
      <c r="A18" s="20" t="n"/>
      <c r="B18" s="20" t="n"/>
      <c r="C18" s="20" t="n"/>
      <c r="D18" s="21">
        <f>IFERROR(C18/B18*100,0)</f>
        <v/>
      </c>
      <c r="E18" s="20" t="inlineStr">
        <is>
          <t>100%</t>
        </is>
      </c>
      <c r="F18" s="21">
        <f>D18-100</f>
        <v/>
      </c>
      <c r="G18" s="20">
        <f>IF(D18=100,"✅ Fully Aware",IF(D18&gt;=95,"⚠️ Mostly Aware","❌ Unaware"))</f>
        <v/>
      </c>
      <c r="H18" s="20" t="n"/>
      <c r="I18" s="20" t="n"/>
      <c r="J18" s="20" t="n"/>
      <c r="K18" s="20" t="n"/>
    </row>
    <row r="19">
      <c r="A19" s="20" t="n"/>
      <c r="B19" s="20" t="n"/>
      <c r="C19" s="20" t="n"/>
      <c r="D19" s="21">
        <f>IFERROR(C19/B19*100,0)</f>
        <v/>
      </c>
      <c r="E19" s="20" t="inlineStr">
        <is>
          <t>100%</t>
        </is>
      </c>
      <c r="F19" s="21">
        <f>D19-100</f>
        <v/>
      </c>
      <c r="G19" s="20">
        <f>IF(D19=100,"✅ Fully Aware",IF(D19&gt;=95,"⚠️ Mostly Aware","❌ Unaware"))</f>
        <v/>
      </c>
      <c r="H19" s="20" t="n"/>
      <c r="I19" s="20" t="n"/>
      <c r="J19" s="20" t="n"/>
      <c r="K19" s="20" t="n"/>
    </row>
    <row r="20">
      <c r="A20" s="20" t="n"/>
      <c r="B20" s="20" t="n"/>
      <c r="C20" s="20" t="n"/>
      <c r="D20" s="21">
        <f>IFERROR(C20/B20*100,0)</f>
        <v/>
      </c>
      <c r="E20" s="20" t="inlineStr">
        <is>
          <t>100%</t>
        </is>
      </c>
      <c r="F20" s="21">
        <f>D20-100</f>
        <v/>
      </c>
      <c r="G20" s="20">
        <f>IF(D20=100,"✅ Fully Aware",IF(D20&gt;=95,"⚠️ Mostly Aware","❌ Unaware"))</f>
        <v/>
      </c>
      <c r="H20" s="20" t="n"/>
      <c r="I20" s="20" t="n"/>
      <c r="J20" s="20" t="n"/>
      <c r="K20" s="20" t="n"/>
    </row>
    <row r="21">
      <c r="A21" s="20" t="n"/>
      <c r="B21" s="20" t="n"/>
      <c r="C21" s="20" t="n"/>
      <c r="D21" s="21">
        <f>IFERROR(C21/B21*100,0)</f>
        <v/>
      </c>
      <c r="E21" s="20" t="inlineStr">
        <is>
          <t>100%</t>
        </is>
      </c>
      <c r="F21" s="21">
        <f>D21-100</f>
        <v/>
      </c>
      <c r="G21" s="20">
        <f>IF(D21=100,"✅ Fully Aware",IF(D21&gt;=95,"⚠️ Mostly Aware","❌ Unaware"))</f>
        <v/>
      </c>
      <c r="H21" s="20" t="n"/>
      <c r="I21" s="20" t="n"/>
      <c r="J21" s="20" t="n"/>
      <c r="K21" s="20" t="n"/>
    </row>
    <row r="22">
      <c r="A22" s="20" t="n"/>
      <c r="B22" s="20" t="n"/>
      <c r="C22" s="20" t="n"/>
      <c r="D22" s="21">
        <f>IFERROR(C22/B22*100,0)</f>
        <v/>
      </c>
      <c r="E22" s="20" t="inlineStr">
        <is>
          <t>100%</t>
        </is>
      </c>
      <c r="F22" s="21">
        <f>D22-100</f>
        <v/>
      </c>
      <c r="G22" s="20">
        <f>IF(D22=100,"✅ Fully Aware",IF(D22&gt;=95,"⚠️ Mostly Aware","❌ Unaware"))</f>
        <v/>
      </c>
      <c r="H22" s="20" t="n"/>
      <c r="I22" s="20" t="n"/>
      <c r="J22" s="20" t="n"/>
      <c r="K22" s="20" t="n"/>
    </row>
    <row r="23">
      <c r="A23" s="20" t="n"/>
      <c r="B23" s="20" t="n"/>
      <c r="C23" s="20" t="n"/>
      <c r="D23" s="21">
        <f>IFERROR(C23/B23*100,0)</f>
        <v/>
      </c>
      <c r="E23" s="20" t="inlineStr">
        <is>
          <t>100%</t>
        </is>
      </c>
      <c r="F23" s="21">
        <f>D23-100</f>
        <v/>
      </c>
      <c r="G23" s="20">
        <f>IF(D23=100,"✅ Fully Aware",IF(D23&gt;=95,"⚠️ Mostly Aware","❌ Unaware"))</f>
        <v/>
      </c>
      <c r="H23" s="20" t="n"/>
      <c r="I23" s="20" t="n"/>
      <c r="J23" s="20" t="n"/>
      <c r="K23" s="20" t="n"/>
    </row>
    <row r="24">
      <c r="A24" s="20" t="n"/>
      <c r="B24" s="20" t="n"/>
      <c r="C24" s="20" t="n"/>
      <c r="D24" s="21">
        <f>IFERROR(C24/B24*100,0)</f>
        <v/>
      </c>
      <c r="E24" s="20" t="inlineStr">
        <is>
          <t>100%</t>
        </is>
      </c>
      <c r="F24" s="21">
        <f>D24-100</f>
        <v/>
      </c>
      <c r="G24" s="20">
        <f>IF(D24=100,"✅ Fully Aware",IF(D24&gt;=95,"⚠️ Mostly Aware","❌ Unaware"))</f>
        <v/>
      </c>
      <c r="H24" s="20" t="n"/>
      <c r="I24" s="20" t="n"/>
      <c r="J24" s="20" t="n"/>
      <c r="K24" s="20" t="n"/>
    </row>
    <row r="25">
      <c r="A25" s="20" t="n"/>
      <c r="B25" s="20" t="n"/>
      <c r="C25" s="20" t="n"/>
      <c r="D25" s="21">
        <f>IFERROR(C25/B25*100,0)</f>
        <v/>
      </c>
      <c r="E25" s="20" t="inlineStr">
        <is>
          <t>100%</t>
        </is>
      </c>
      <c r="F25" s="21">
        <f>D25-100</f>
        <v/>
      </c>
      <c r="G25" s="20">
        <f>IF(D25=100,"✅ Fully Aware",IF(D25&gt;=95,"⚠️ Mostly Aware","❌ Unaware"))</f>
        <v/>
      </c>
      <c r="H25" s="20" t="n"/>
      <c r="I25" s="20" t="n"/>
      <c r="J25" s="20" t="n"/>
      <c r="K25" s="20" t="n"/>
    </row>
    <row r="26">
      <c r="A26" s="20" t="n"/>
      <c r="B26" s="20" t="n"/>
      <c r="C26" s="20" t="n"/>
      <c r="D26" s="21">
        <f>IFERROR(C26/B26*100,0)</f>
        <v/>
      </c>
      <c r="E26" s="20" t="inlineStr">
        <is>
          <t>100%</t>
        </is>
      </c>
      <c r="F26" s="21">
        <f>D26-100</f>
        <v/>
      </c>
      <c r="G26" s="20">
        <f>IF(D26=100,"✅ Fully Aware",IF(D26&gt;=95,"⚠️ Mostly Aware","❌ Unaware"))</f>
        <v/>
      </c>
      <c r="H26" s="20" t="n"/>
      <c r="I26" s="20" t="n"/>
      <c r="J26" s="20" t="n"/>
      <c r="K26" s="20" t="n"/>
    </row>
    <row r="27">
      <c r="A27" s="20" t="n"/>
      <c r="B27" s="20" t="n"/>
      <c r="C27" s="20" t="n"/>
      <c r="D27" s="21">
        <f>IFERROR(C27/B27*100,0)</f>
        <v/>
      </c>
      <c r="E27" s="20" t="inlineStr">
        <is>
          <t>100%</t>
        </is>
      </c>
      <c r="F27" s="21">
        <f>D27-100</f>
        <v/>
      </c>
      <c r="G27" s="20">
        <f>IF(D27=100,"✅ Fully Aware",IF(D27&gt;=95,"⚠️ Mostly Aware","❌ Unaware"))</f>
        <v/>
      </c>
      <c r="H27" s="20" t="n"/>
      <c r="I27" s="20" t="n"/>
      <c r="J27" s="20" t="n"/>
      <c r="K27" s="20" t="n"/>
    </row>
    <row r="28">
      <c r="A28" s="20" t="n"/>
      <c r="B28" s="20" t="n"/>
      <c r="C28" s="20" t="n"/>
      <c r="D28" s="21">
        <f>IFERROR(C28/B28*100,0)</f>
        <v/>
      </c>
      <c r="E28" s="20" t="inlineStr">
        <is>
          <t>100%</t>
        </is>
      </c>
      <c r="F28" s="21">
        <f>D28-100</f>
        <v/>
      </c>
      <c r="G28" s="20">
        <f>IF(D28=100,"✅ Fully Aware",IF(D28&gt;=95,"⚠️ Mostly Aware","❌ Unaware"))</f>
        <v/>
      </c>
      <c r="H28" s="20" t="n"/>
      <c r="I28" s="20" t="n"/>
      <c r="J28" s="20" t="n"/>
      <c r="K28" s="20" t="n"/>
    </row>
    <row r="29">
      <c r="A29" s="20" t="n"/>
      <c r="B29" s="20" t="n"/>
      <c r="C29" s="20" t="n"/>
      <c r="D29" s="21">
        <f>IFERROR(C29/B29*100,0)</f>
        <v/>
      </c>
      <c r="E29" s="20" t="inlineStr">
        <is>
          <t>100%</t>
        </is>
      </c>
      <c r="F29" s="21">
        <f>D29-100</f>
        <v/>
      </c>
      <c r="G29" s="20">
        <f>IF(D29=100,"✅ Fully Aware",IF(D29&gt;=95,"⚠️ Mostly Aware","❌ Unaware"))</f>
        <v/>
      </c>
      <c r="H29" s="20" t="n"/>
      <c r="I29" s="20" t="n"/>
      <c r="J29" s="20" t="n"/>
      <c r="K29" s="20" t="n"/>
    </row>
    <row r="30">
      <c r="A30" s="20" t="n"/>
      <c r="B30" s="20" t="n"/>
      <c r="C30" s="20" t="n"/>
      <c r="D30" s="21">
        <f>IFERROR(C30/B30*100,0)</f>
        <v/>
      </c>
      <c r="E30" s="20" t="inlineStr">
        <is>
          <t>100%</t>
        </is>
      </c>
      <c r="F30" s="21">
        <f>D30-100</f>
        <v/>
      </c>
      <c r="G30" s="20">
        <f>IF(D30=100,"✅ Fully Aware",IF(D30&gt;=95,"⚠️ Mostly Aware","❌ Unaware"))</f>
        <v/>
      </c>
      <c r="H30" s="20" t="n"/>
      <c r="I30" s="20" t="n"/>
      <c r="J30" s="20" t="n"/>
      <c r="K30" s="20" t="n"/>
    </row>
    <row r="31">
      <c r="A31" s="20" t="n"/>
      <c r="B31" s="20" t="n"/>
      <c r="C31" s="20" t="n"/>
      <c r="D31" s="21">
        <f>IFERROR(C31/B31*100,0)</f>
        <v/>
      </c>
      <c r="E31" s="20" t="inlineStr">
        <is>
          <t>100%</t>
        </is>
      </c>
      <c r="F31" s="21">
        <f>D31-100</f>
        <v/>
      </c>
      <c r="G31" s="20">
        <f>IF(D31=100,"✅ Fully Aware",IF(D31&gt;=95,"⚠️ Mostly Aware","❌ Unaware"))</f>
        <v/>
      </c>
      <c r="H31" s="20" t="n"/>
      <c r="I31" s="20" t="n"/>
      <c r="J31" s="20" t="n"/>
      <c r="K31" s="20" t="n"/>
    </row>
    <row r="32">
      <c r="A32" s="20" t="n"/>
      <c r="B32" s="20" t="n"/>
      <c r="C32" s="20" t="n"/>
      <c r="D32" s="21">
        <f>IFERROR(C32/B32*100,0)</f>
        <v/>
      </c>
      <c r="E32" s="20" t="inlineStr">
        <is>
          <t>100%</t>
        </is>
      </c>
      <c r="F32" s="21">
        <f>D32-100</f>
        <v/>
      </c>
      <c r="G32" s="20">
        <f>IF(D32=100,"✅ Fully Aware",IF(D32&gt;=95,"⚠️ Mostly Aware","❌ Unaware"))</f>
        <v/>
      </c>
      <c r="H32" s="20" t="n"/>
      <c r="I32" s="20" t="n"/>
      <c r="J32" s="20" t="n"/>
      <c r="K32" s="20" t="n"/>
    </row>
    <row r="33">
      <c r="A33" s="20" t="n"/>
      <c r="B33" s="20" t="n"/>
      <c r="C33" s="20" t="n"/>
      <c r="D33" s="21">
        <f>IFERROR(C33/B33*100,0)</f>
        <v/>
      </c>
      <c r="E33" s="20" t="inlineStr">
        <is>
          <t>100%</t>
        </is>
      </c>
      <c r="F33" s="21">
        <f>D33-100</f>
        <v/>
      </c>
      <c r="G33" s="20">
        <f>IF(D33=100,"✅ Fully Aware",IF(D33&gt;=95,"⚠️ Mostly Aware","❌ Unaware"))</f>
        <v/>
      </c>
      <c r="H33" s="20" t="n"/>
      <c r="I33" s="20" t="n"/>
      <c r="J33" s="20" t="n"/>
      <c r="K33" s="20" t="n"/>
    </row>
    <row r="34">
      <c r="A34" s="20" t="n"/>
      <c r="B34" s="20" t="n"/>
      <c r="C34" s="20" t="n"/>
      <c r="D34" s="21">
        <f>IFERROR(C34/B34*100,0)</f>
        <v/>
      </c>
      <c r="E34" s="20" t="inlineStr">
        <is>
          <t>100%</t>
        </is>
      </c>
      <c r="F34" s="21">
        <f>D34-100</f>
        <v/>
      </c>
      <c r="G34" s="20">
        <f>IF(D34=100,"✅ Fully Aware",IF(D34&gt;=95,"⚠️ Mostly Aware","❌ Unaware"))</f>
        <v/>
      </c>
      <c r="H34" s="20" t="n"/>
      <c r="I34" s="20" t="n"/>
      <c r="J34" s="20" t="n"/>
      <c r="K34" s="20" t="n"/>
    </row>
    <row r="35">
      <c r="A35" s="20" t="n"/>
      <c r="B35" s="20" t="n"/>
      <c r="C35" s="20" t="n"/>
      <c r="D35" s="21">
        <f>IFERROR(C35/B35*100,0)</f>
        <v/>
      </c>
      <c r="E35" s="20" t="inlineStr">
        <is>
          <t>100%</t>
        </is>
      </c>
      <c r="F35" s="21">
        <f>D35-100</f>
        <v/>
      </c>
      <c r="G35" s="20">
        <f>IF(D35=100,"✅ Fully Aware",IF(D35&gt;=95,"⚠️ Mostly Aware","❌ Unaware"))</f>
        <v/>
      </c>
      <c r="H35" s="20" t="n"/>
      <c r="I35" s="20" t="n"/>
      <c r="J35" s="20" t="n"/>
      <c r="K35" s="20" t="n"/>
    </row>
    <row r="36">
      <c r="A36" s="20" t="n"/>
      <c r="B36" s="20" t="n"/>
      <c r="C36" s="20" t="n"/>
      <c r="D36" s="21">
        <f>IFERROR(C36/B36*100,0)</f>
        <v/>
      </c>
      <c r="E36" s="20" t="inlineStr">
        <is>
          <t>100%</t>
        </is>
      </c>
      <c r="F36" s="21">
        <f>D36-100</f>
        <v/>
      </c>
      <c r="G36" s="20">
        <f>IF(D36=100,"✅ Fully Aware",IF(D36&gt;=95,"⚠️ Mostly Aware","❌ Unaware"))</f>
        <v/>
      </c>
      <c r="H36" s="20" t="n"/>
      <c r="I36" s="20" t="n"/>
      <c r="J36" s="20" t="n"/>
      <c r="K36" s="20" t="n"/>
    </row>
    <row r="37">
      <c r="A37" s="20" t="n"/>
      <c r="B37" s="20" t="n"/>
      <c r="C37" s="20" t="n"/>
      <c r="D37" s="21">
        <f>IFERROR(C37/B37*100,0)</f>
        <v/>
      </c>
      <c r="E37" s="20" t="inlineStr">
        <is>
          <t>100%</t>
        </is>
      </c>
      <c r="F37" s="21">
        <f>D37-100</f>
        <v/>
      </c>
      <c r="G37" s="20">
        <f>IF(D37=100,"✅ Fully Aware",IF(D37&gt;=95,"⚠️ Mostly Aware","❌ Unaware"))</f>
        <v/>
      </c>
      <c r="H37" s="20" t="n"/>
      <c r="I37" s="20" t="n"/>
      <c r="J37" s="20" t="n"/>
      <c r="K37" s="20" t="n"/>
    </row>
    <row r="40">
      <c r="A40" s="24" t="inlineStr">
        <is>
          <t>AWARENESS SUMMARY</t>
        </is>
      </c>
    </row>
    <row r="41">
      <c r="A41" t="inlineStr">
        <is>
          <t>Average Awareness %</t>
        </is>
      </c>
      <c r="B41" s="27">
        <f>IFERROR(AVERAGE(D4:D7),0)</f>
        <v/>
      </c>
    </row>
    <row r="42">
      <c r="A42" t="inlineStr">
        <is>
          <t>Target</t>
        </is>
      </c>
      <c r="B42" s="26" t="inlineStr">
        <is>
          <t>100%</t>
        </is>
      </c>
    </row>
    <row r="43">
      <c r="A43" t="inlineStr">
        <is>
          <t>Gap</t>
        </is>
      </c>
      <c r="B43" s="28">
        <f>B41-100</f>
        <v/>
      </c>
    </row>
    <row r="44">
      <c r="A44" t="inlineStr">
        <is>
          <t>Status</t>
        </is>
      </c>
      <c r="B44" s="25">
        <f>IF(B41=100,"✅ Strong",IF(B41&gt;=95,"⚠️ Needs Improvement","❌ Weak"))</f>
        <v/>
      </c>
    </row>
  </sheetData>
  <mergeCells count="2">
    <mergeCell ref="A2:K2"/>
    <mergeCell ref="A1:K1"/>
  </mergeCells>
  <conditionalFormatting sqref="D4:D7">
    <cfRule type="cellIs" priority="1" operator="equal" dxfId="0">
      <formula>100</formula>
    </cfRule>
    <cfRule type="cellIs" priority="2" operator="between" dxfId="1">
      <formula>95</formula>
      <formula>99</formula>
    </cfRule>
    <cfRule type="cellIs" priority="3" operator="lessThan" dxfId="2">
      <formula>95</formula>
    </cfRule>
  </conditionalFormatting>
  <dataValidations count="1">
    <dataValidation sqref="H4:H37" showDropDown="0" showInputMessage="0" showErrorMessage="0" allowBlank="1" type="list">
      <formula1>"Interview - Owner Listed Assets,Survey - Owner Confirmed Assets,Audit - Cross-checked vs Inventory,Self-Assessment,Other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showGridLines="0" workbookViewId="0">
      <selection activeCell="A1" sqref="A1"/>
    </sheetView>
  </sheetViews>
  <sheetFormatPr baseColWidth="8" defaultRowHeight="15"/>
  <cols>
    <col width="25" customWidth="1" min="1" max="1"/>
    <col width="15" customWidth="1" min="2" max="2"/>
    <col width="15" customWidth="1" min="3" max="3"/>
    <col width="18" customWidth="1" min="4" max="4"/>
    <col width="18" customWidth="1" min="5" max="5"/>
    <col width="22" customWidth="1" min="6" max="6"/>
    <col width="20" customWidth="1" min="7" max="7"/>
    <col width="18" customWidth="1" min="8" max="8"/>
    <col width="18" customWidth="1" min="9" max="9"/>
    <col width="12" customWidth="1" min="10" max="10"/>
    <col width="18" customWidth="1" min="11" max="11"/>
    <col width="15" customWidth="1" min="12" max="12"/>
    <col width="30" customWidth="1" min="13" max="13"/>
  </cols>
  <sheetData>
    <row r="1">
      <c r="A1" s="11" t="inlineStr">
        <is>
          <t>OWNER PERFORMANCE</t>
        </is>
      </c>
    </row>
    <row r="2" ht="16" customHeight="1">
      <c r="A2" s="12" t="inlineStr">
        <is>
          <t>ISO/IEC 27001:2022 - Control A.5.9: Inventory of Information and Assets</t>
        </is>
      </c>
    </row>
    <row r="3">
      <c r="A3" s="13" t="inlineStr">
        <is>
          <t>Owner Name</t>
        </is>
      </c>
      <c r="B3" s="13" t="inlineStr">
        <is>
          <t>Assets Count</t>
        </is>
      </c>
      <c r="C3" s="13" t="inlineStr">
        <is>
          <t>Reviews Due</t>
        </is>
      </c>
      <c r="D3" s="13" t="inlineStr">
        <is>
          <t>Reviews Completed</t>
        </is>
      </c>
      <c r="E3" s="13" t="inlineStr">
        <is>
          <t>Review Compliance %</t>
        </is>
      </c>
      <c r="F3" s="13" t="inlineStr">
        <is>
          <t>Avg Response Time (Days)</t>
        </is>
      </c>
      <c r="G3" s="13" t="inlineStr">
        <is>
          <t>Target Response (Days)</t>
        </is>
      </c>
      <c r="H3" s="13" t="inlineStr">
        <is>
          <t>Responsiveness %</t>
        </is>
      </c>
      <c r="I3" s="13" t="inlineStr">
        <is>
          <t>Performance Score</t>
        </is>
      </c>
      <c r="J3" s="13" t="inlineStr">
        <is>
          <t>Target</t>
        </is>
      </c>
      <c r="K3" s="13" t="inlineStr">
        <is>
          <t>Status</t>
        </is>
      </c>
      <c r="L3" s="13" t="inlineStr">
        <is>
          <t>Evidence ID</t>
        </is>
      </c>
      <c r="M3" s="13" t="inlineStr">
        <is>
          <t>Notes</t>
        </is>
      </c>
    </row>
    <row r="4">
      <c r="A4" s="15" t="inlineStr">
        <is>
          <t>John Doe</t>
        </is>
      </c>
      <c r="B4" s="15" t="n">
        <v>15</v>
      </c>
      <c r="C4" s="15" t="n"/>
      <c r="D4" s="15" t="n"/>
      <c r="E4" s="16">
        <f>IFERROR(D4/C4*100,0)</f>
        <v/>
      </c>
      <c r="F4" s="15" t="n"/>
      <c r="G4" s="15" t="n">
        <v>3</v>
      </c>
      <c r="H4" s="16">
        <f>IF(F4="","",MAX(0,100-((F4-G4)/G4*100)))</f>
        <v/>
      </c>
      <c r="I4" s="32">
        <f>IF(OR(E4="",H4=""),"",(E4*0.6)+(H4*0.4))</f>
        <v/>
      </c>
      <c r="J4" s="15" t="inlineStr">
        <is>
          <t>80%</t>
        </is>
      </c>
      <c r="K4" s="17">
        <f>IF(I4="","",IF(I4&gt;=80,"✅ Strong",IF(I4&gt;=75,"⚠️ Needs Improvement","❌ Weak")))</f>
        <v/>
      </c>
      <c r="L4" s="15" t="n"/>
      <c r="M4" s="15" t="n"/>
    </row>
    <row r="5">
      <c r="A5" s="20" t="inlineStr">
        <is>
          <t>Jane Smith</t>
        </is>
      </c>
      <c r="B5" s="20" t="n">
        <v>42</v>
      </c>
      <c r="C5" s="20" t="n"/>
      <c r="D5" s="20" t="n"/>
      <c r="E5" s="21">
        <f>IFERROR(D5/C5*100,0)</f>
        <v/>
      </c>
      <c r="F5" s="20" t="n"/>
      <c r="G5" s="20" t="n">
        <v>3</v>
      </c>
      <c r="H5" s="21">
        <f>IF(F5="","",MAX(0,100-((F5-G5)/G5*100)))</f>
        <v/>
      </c>
      <c r="I5" s="33">
        <f>IF(OR(E5="",H5=""),"",(E5*0.6)+(H5*0.4))</f>
        <v/>
      </c>
      <c r="J5" s="20" t="inlineStr">
        <is>
          <t>80%</t>
        </is>
      </c>
      <c r="K5" s="22">
        <f>IF(I5="","",IF(I5&gt;=80,"✅ Strong",IF(I5&gt;=75,"⚠️ Needs Improvement","❌ Weak")))</f>
        <v/>
      </c>
      <c r="L5" s="20" t="n"/>
      <c r="M5" s="20" t="n"/>
    </row>
    <row r="6">
      <c r="A6" s="20" t="inlineStr">
        <is>
          <t>Bob Johnson</t>
        </is>
      </c>
      <c r="B6" s="20" t="n">
        <v>8</v>
      </c>
      <c r="C6" s="20" t="n"/>
      <c r="D6" s="20" t="n"/>
      <c r="E6" s="21">
        <f>IFERROR(D6/C6*100,0)</f>
        <v/>
      </c>
      <c r="F6" s="20" t="n"/>
      <c r="G6" s="20" t="n">
        <v>3</v>
      </c>
      <c r="H6" s="21">
        <f>IF(F6="","",MAX(0,100-((F6-G6)/G6*100)))</f>
        <v/>
      </c>
      <c r="I6" s="33">
        <f>IF(OR(E6="",H6=""),"",(E6*0.6)+(H6*0.4))</f>
        <v/>
      </c>
      <c r="J6" s="20" t="inlineStr">
        <is>
          <t>80%</t>
        </is>
      </c>
      <c r="K6" s="22">
        <f>IF(I6="","",IF(I6&gt;=80,"✅ Strong",IF(I6&gt;=75,"⚠️ Needs Improvement","❌ Weak")))</f>
        <v/>
      </c>
      <c r="L6" s="20" t="n"/>
      <c r="M6" s="20" t="n"/>
    </row>
    <row r="7">
      <c r="A7" s="20" t="inlineStr">
        <is>
          <t>Alice Williams</t>
        </is>
      </c>
      <c r="B7" s="20" t="n">
        <v>5</v>
      </c>
      <c r="C7" s="20" t="n"/>
      <c r="D7" s="20" t="n"/>
      <c r="E7" s="21">
        <f>IFERROR(D7/C7*100,0)</f>
        <v/>
      </c>
      <c r="F7" s="20" t="n"/>
      <c r="G7" s="20" t="n">
        <v>3</v>
      </c>
      <c r="H7" s="21">
        <f>IF(F7="","",MAX(0,100-((F7-G7)/G7*100)))</f>
        <v/>
      </c>
      <c r="I7" s="33">
        <f>IF(OR(E7="",H7=""),"",(E7*0.6)+(H7*0.4))</f>
        <v/>
      </c>
      <c r="J7" s="20" t="inlineStr">
        <is>
          <t>80%</t>
        </is>
      </c>
      <c r="K7" s="22">
        <f>IF(I7="","",IF(I7&gt;=80,"✅ Strong",IF(I7&gt;=75,"⚠️ Needs Improvement","❌ Weak")))</f>
        <v/>
      </c>
      <c r="L7" s="20" t="n"/>
      <c r="M7" s="20" t="n"/>
    </row>
    <row r="8">
      <c r="A8" s="20" t="n"/>
      <c r="B8" s="20" t="n"/>
      <c r="C8" s="20" t="n"/>
      <c r="D8" s="20" t="n"/>
      <c r="E8" s="21">
        <f>IFERROR(D8/C8*100,0)</f>
        <v/>
      </c>
      <c r="F8" s="20" t="n"/>
      <c r="G8" s="20" t="n">
        <v>3</v>
      </c>
      <c r="H8" s="21">
        <f>IF(F8="","",MAX(0,100-((F8-G8)/G8*100)))</f>
        <v/>
      </c>
      <c r="I8" s="21">
        <f>IF(OR(E8="",H8=""),"",(E8*0.6)+(H8*0.4))</f>
        <v/>
      </c>
      <c r="J8" s="20" t="inlineStr">
        <is>
          <t>80%</t>
        </is>
      </c>
      <c r="K8" s="20">
        <f>IF(I8="","",IF(I8&gt;=80,"✅ Strong",IF(I8&gt;=75,"⚠️ Needs Improvement","❌ Weak")))</f>
        <v/>
      </c>
      <c r="L8" s="20" t="n"/>
      <c r="M8" s="20" t="n"/>
    </row>
    <row r="9">
      <c r="A9" s="20" t="n"/>
      <c r="B9" s="20" t="n"/>
      <c r="C9" s="20" t="n"/>
      <c r="D9" s="20" t="n"/>
      <c r="E9" s="21">
        <f>IFERROR(D9/C9*100,0)</f>
        <v/>
      </c>
      <c r="F9" s="20" t="n"/>
      <c r="G9" s="20" t="n">
        <v>3</v>
      </c>
      <c r="H9" s="21">
        <f>IF(F9="","",MAX(0,100-((F9-G9)/G9*100)))</f>
        <v/>
      </c>
      <c r="I9" s="21">
        <f>IF(OR(E9="",H9=""),"",(E9*0.6)+(H9*0.4))</f>
        <v/>
      </c>
      <c r="J9" s="20" t="inlineStr">
        <is>
          <t>80%</t>
        </is>
      </c>
      <c r="K9" s="20">
        <f>IF(I9="","",IF(I9&gt;=80,"✅ Strong",IF(I9&gt;=75,"⚠️ Needs Improvement","❌ Weak")))</f>
        <v/>
      </c>
      <c r="L9" s="20" t="n"/>
      <c r="M9" s="20" t="n"/>
    </row>
    <row r="10">
      <c r="A10" s="20" t="n"/>
      <c r="B10" s="20" t="n"/>
      <c r="C10" s="20" t="n"/>
      <c r="D10" s="20" t="n"/>
      <c r="E10" s="21">
        <f>IFERROR(D10/C10*100,0)</f>
        <v/>
      </c>
      <c r="F10" s="20" t="n"/>
      <c r="G10" s="20" t="n">
        <v>3</v>
      </c>
      <c r="H10" s="21">
        <f>IF(F10="","",MAX(0,100-((F10-G10)/G10*100)))</f>
        <v/>
      </c>
      <c r="I10" s="21">
        <f>IF(OR(E10="",H10=""),"",(E10*0.6)+(H10*0.4))</f>
        <v/>
      </c>
      <c r="J10" s="20" t="inlineStr">
        <is>
          <t>80%</t>
        </is>
      </c>
      <c r="K10" s="20">
        <f>IF(I10="","",IF(I10&gt;=80,"✅ Strong",IF(I10&gt;=75,"⚠️ Needs Improvement","❌ Weak")))</f>
        <v/>
      </c>
      <c r="L10" s="20" t="n"/>
      <c r="M10" s="20" t="n"/>
    </row>
    <row r="11">
      <c r="A11" s="20" t="n"/>
      <c r="B11" s="20" t="n"/>
      <c r="C11" s="20" t="n"/>
      <c r="D11" s="20" t="n"/>
      <c r="E11" s="21">
        <f>IFERROR(D11/C11*100,0)</f>
        <v/>
      </c>
      <c r="F11" s="20" t="n"/>
      <c r="G11" s="20" t="n">
        <v>3</v>
      </c>
      <c r="H11" s="21">
        <f>IF(F11="","",MAX(0,100-((F11-G11)/G11*100)))</f>
        <v/>
      </c>
      <c r="I11" s="21">
        <f>IF(OR(E11="",H11=""),"",(E11*0.6)+(H11*0.4))</f>
        <v/>
      </c>
      <c r="J11" s="20" t="inlineStr">
        <is>
          <t>80%</t>
        </is>
      </c>
      <c r="K11" s="20">
        <f>IF(I11="","",IF(I11&gt;=80,"✅ Strong",IF(I11&gt;=75,"⚠️ Needs Improvement","❌ Weak")))</f>
        <v/>
      </c>
      <c r="L11" s="20" t="n"/>
      <c r="M11" s="20" t="n"/>
    </row>
    <row r="12">
      <c r="A12" s="20" t="n"/>
      <c r="B12" s="20" t="n"/>
      <c r="C12" s="20" t="n"/>
      <c r="D12" s="20" t="n"/>
      <c r="E12" s="21">
        <f>IFERROR(D12/C12*100,0)</f>
        <v/>
      </c>
      <c r="F12" s="20" t="n"/>
      <c r="G12" s="20" t="n">
        <v>3</v>
      </c>
      <c r="H12" s="21">
        <f>IF(F12="","",MAX(0,100-((F12-G12)/G12*100)))</f>
        <v/>
      </c>
      <c r="I12" s="21">
        <f>IF(OR(E12="",H12=""),"",(E12*0.6)+(H12*0.4))</f>
        <v/>
      </c>
      <c r="J12" s="20" t="inlineStr">
        <is>
          <t>80%</t>
        </is>
      </c>
      <c r="K12" s="20">
        <f>IF(I12="","",IF(I12&gt;=80,"✅ Strong",IF(I12&gt;=75,"⚠️ Needs Improvement","❌ Weak")))</f>
        <v/>
      </c>
      <c r="L12" s="20" t="n"/>
      <c r="M12" s="20" t="n"/>
    </row>
    <row r="13">
      <c r="A13" s="20" t="n"/>
      <c r="B13" s="20" t="n"/>
      <c r="C13" s="20" t="n"/>
      <c r="D13" s="20" t="n"/>
      <c r="E13" s="21">
        <f>IFERROR(D13/C13*100,0)</f>
        <v/>
      </c>
      <c r="F13" s="20" t="n"/>
      <c r="G13" s="20" t="n">
        <v>3</v>
      </c>
      <c r="H13" s="21">
        <f>IF(F13="","",MAX(0,100-((F13-G13)/G13*100)))</f>
        <v/>
      </c>
      <c r="I13" s="21">
        <f>IF(OR(E13="",H13=""),"",(E13*0.6)+(H13*0.4))</f>
        <v/>
      </c>
      <c r="J13" s="20" t="inlineStr">
        <is>
          <t>80%</t>
        </is>
      </c>
      <c r="K13" s="20">
        <f>IF(I13="","",IF(I13&gt;=80,"✅ Strong",IF(I13&gt;=75,"⚠️ Needs Improvement","❌ Weak")))</f>
        <v/>
      </c>
      <c r="L13" s="20" t="n"/>
      <c r="M13" s="20" t="n"/>
    </row>
    <row r="14">
      <c r="A14" s="20" t="n"/>
      <c r="B14" s="20" t="n"/>
      <c r="C14" s="20" t="n"/>
      <c r="D14" s="20" t="n"/>
      <c r="E14" s="21">
        <f>IFERROR(D14/C14*100,0)</f>
        <v/>
      </c>
      <c r="F14" s="20" t="n"/>
      <c r="G14" s="20" t="n">
        <v>3</v>
      </c>
      <c r="H14" s="21">
        <f>IF(F14="","",MAX(0,100-((F14-G14)/G14*100)))</f>
        <v/>
      </c>
      <c r="I14" s="21">
        <f>IF(OR(E14="",H14=""),"",(E14*0.6)+(H14*0.4))</f>
        <v/>
      </c>
      <c r="J14" s="20" t="inlineStr">
        <is>
          <t>80%</t>
        </is>
      </c>
      <c r="K14" s="20">
        <f>IF(I14="","",IF(I14&gt;=80,"✅ Strong",IF(I14&gt;=75,"⚠️ Needs Improvement","❌ Weak")))</f>
        <v/>
      </c>
      <c r="L14" s="20" t="n"/>
      <c r="M14" s="20" t="n"/>
    </row>
    <row r="15">
      <c r="A15" s="20" t="n"/>
      <c r="B15" s="20" t="n"/>
      <c r="C15" s="20" t="n"/>
      <c r="D15" s="20" t="n"/>
      <c r="E15" s="21">
        <f>IFERROR(D15/C15*100,0)</f>
        <v/>
      </c>
      <c r="F15" s="20" t="n"/>
      <c r="G15" s="20" t="n">
        <v>3</v>
      </c>
      <c r="H15" s="21">
        <f>IF(F15="","",MAX(0,100-((F15-G15)/G15*100)))</f>
        <v/>
      </c>
      <c r="I15" s="21">
        <f>IF(OR(E15="",H15=""),"",(E15*0.6)+(H15*0.4))</f>
        <v/>
      </c>
      <c r="J15" s="20" t="inlineStr">
        <is>
          <t>80%</t>
        </is>
      </c>
      <c r="K15" s="20">
        <f>IF(I15="","",IF(I15&gt;=80,"✅ Strong",IF(I15&gt;=75,"⚠️ Needs Improvement","❌ Weak")))</f>
        <v/>
      </c>
      <c r="L15" s="20" t="n"/>
      <c r="M15" s="20" t="n"/>
    </row>
    <row r="16">
      <c r="A16" s="20" t="n"/>
      <c r="B16" s="20" t="n"/>
      <c r="C16" s="20" t="n"/>
      <c r="D16" s="20" t="n"/>
      <c r="E16" s="21">
        <f>IFERROR(D16/C16*100,0)</f>
        <v/>
      </c>
      <c r="F16" s="20" t="n"/>
      <c r="G16" s="20" t="n">
        <v>3</v>
      </c>
      <c r="H16" s="21">
        <f>IF(F16="","",MAX(0,100-((F16-G16)/G16*100)))</f>
        <v/>
      </c>
      <c r="I16" s="21">
        <f>IF(OR(E16="",H16=""),"",(E16*0.6)+(H16*0.4))</f>
        <v/>
      </c>
      <c r="J16" s="20" t="inlineStr">
        <is>
          <t>80%</t>
        </is>
      </c>
      <c r="K16" s="20">
        <f>IF(I16="","",IF(I16&gt;=80,"✅ Strong",IF(I16&gt;=75,"⚠️ Needs Improvement","❌ Weak")))</f>
        <v/>
      </c>
      <c r="L16" s="20" t="n"/>
      <c r="M16" s="20" t="n"/>
    </row>
    <row r="17">
      <c r="A17" s="20" t="n"/>
      <c r="B17" s="20" t="n"/>
      <c r="C17" s="20" t="n"/>
      <c r="D17" s="20" t="n"/>
      <c r="E17" s="21">
        <f>IFERROR(D17/C17*100,0)</f>
        <v/>
      </c>
      <c r="F17" s="20" t="n"/>
      <c r="G17" s="20" t="n">
        <v>3</v>
      </c>
      <c r="H17" s="21">
        <f>IF(F17="","",MAX(0,100-((F17-G17)/G17*100)))</f>
        <v/>
      </c>
      <c r="I17" s="21">
        <f>IF(OR(E17="",H17=""),"",(E17*0.6)+(H17*0.4))</f>
        <v/>
      </c>
      <c r="J17" s="20" t="inlineStr">
        <is>
          <t>80%</t>
        </is>
      </c>
      <c r="K17" s="20">
        <f>IF(I17="","",IF(I17&gt;=80,"✅ Strong",IF(I17&gt;=75,"⚠️ Needs Improvement","❌ Weak")))</f>
        <v/>
      </c>
      <c r="L17" s="20" t="n"/>
      <c r="M17" s="20" t="n"/>
    </row>
    <row r="18">
      <c r="A18" s="20" t="n"/>
      <c r="B18" s="20" t="n"/>
      <c r="C18" s="20" t="n"/>
      <c r="D18" s="20" t="n"/>
      <c r="E18" s="21">
        <f>IFERROR(D18/C18*100,0)</f>
        <v/>
      </c>
      <c r="F18" s="20" t="n"/>
      <c r="G18" s="20" t="n">
        <v>3</v>
      </c>
      <c r="H18" s="21">
        <f>IF(F18="","",MAX(0,100-((F18-G18)/G18*100)))</f>
        <v/>
      </c>
      <c r="I18" s="21">
        <f>IF(OR(E18="",H18=""),"",(E18*0.6)+(H18*0.4))</f>
        <v/>
      </c>
      <c r="J18" s="20" t="inlineStr">
        <is>
          <t>80%</t>
        </is>
      </c>
      <c r="K18" s="20">
        <f>IF(I18="","",IF(I18&gt;=80,"✅ Strong",IF(I18&gt;=75,"⚠️ Needs Improvement","❌ Weak")))</f>
        <v/>
      </c>
      <c r="L18" s="20" t="n"/>
      <c r="M18" s="20" t="n"/>
    </row>
    <row r="19">
      <c r="A19" s="20" t="n"/>
      <c r="B19" s="20" t="n"/>
      <c r="C19" s="20" t="n"/>
      <c r="D19" s="20" t="n"/>
      <c r="E19" s="21">
        <f>IFERROR(D19/C19*100,0)</f>
        <v/>
      </c>
      <c r="F19" s="20" t="n"/>
      <c r="G19" s="20" t="n">
        <v>3</v>
      </c>
      <c r="H19" s="21">
        <f>IF(F19="","",MAX(0,100-((F19-G19)/G19*100)))</f>
        <v/>
      </c>
      <c r="I19" s="21">
        <f>IF(OR(E19="",H19=""),"",(E19*0.6)+(H19*0.4))</f>
        <v/>
      </c>
      <c r="J19" s="20" t="inlineStr">
        <is>
          <t>80%</t>
        </is>
      </c>
      <c r="K19" s="20">
        <f>IF(I19="","",IF(I19&gt;=80,"✅ Strong",IF(I19&gt;=75,"⚠️ Needs Improvement","❌ Weak")))</f>
        <v/>
      </c>
      <c r="L19" s="20" t="n"/>
      <c r="M19" s="20" t="n"/>
    </row>
    <row r="20">
      <c r="A20" s="20" t="n"/>
      <c r="B20" s="20" t="n"/>
      <c r="C20" s="20" t="n"/>
      <c r="D20" s="20" t="n"/>
      <c r="E20" s="21">
        <f>IFERROR(D20/C20*100,0)</f>
        <v/>
      </c>
      <c r="F20" s="20" t="n"/>
      <c r="G20" s="20" t="n">
        <v>3</v>
      </c>
      <c r="H20" s="21">
        <f>IF(F20="","",MAX(0,100-((F20-G20)/G20*100)))</f>
        <v/>
      </c>
      <c r="I20" s="21">
        <f>IF(OR(E20="",H20=""),"",(E20*0.6)+(H20*0.4))</f>
        <v/>
      </c>
      <c r="J20" s="20" t="inlineStr">
        <is>
          <t>80%</t>
        </is>
      </c>
      <c r="K20" s="20">
        <f>IF(I20="","",IF(I20&gt;=80,"✅ Strong",IF(I20&gt;=75,"⚠️ Needs Improvement","❌ Weak")))</f>
        <v/>
      </c>
      <c r="L20" s="20" t="n"/>
      <c r="M20" s="20" t="n"/>
    </row>
    <row r="21">
      <c r="A21" s="20" t="n"/>
      <c r="B21" s="20" t="n"/>
      <c r="C21" s="20" t="n"/>
      <c r="D21" s="20" t="n"/>
      <c r="E21" s="21">
        <f>IFERROR(D21/C21*100,0)</f>
        <v/>
      </c>
      <c r="F21" s="20" t="n"/>
      <c r="G21" s="20" t="n">
        <v>3</v>
      </c>
      <c r="H21" s="21">
        <f>IF(F21="","",MAX(0,100-((F21-G21)/G21*100)))</f>
        <v/>
      </c>
      <c r="I21" s="21">
        <f>IF(OR(E21="",H21=""),"",(E21*0.6)+(H21*0.4))</f>
        <v/>
      </c>
      <c r="J21" s="20" t="inlineStr">
        <is>
          <t>80%</t>
        </is>
      </c>
      <c r="K21" s="20">
        <f>IF(I21="","",IF(I21&gt;=80,"✅ Strong",IF(I21&gt;=75,"⚠️ Needs Improvement","❌ Weak")))</f>
        <v/>
      </c>
      <c r="L21" s="20" t="n"/>
      <c r="M21" s="20" t="n"/>
    </row>
    <row r="22">
      <c r="A22" s="20" t="n"/>
      <c r="B22" s="20" t="n"/>
      <c r="C22" s="20" t="n"/>
      <c r="D22" s="20" t="n"/>
      <c r="E22" s="21">
        <f>IFERROR(D22/C22*100,0)</f>
        <v/>
      </c>
      <c r="F22" s="20" t="n"/>
      <c r="G22" s="20" t="n">
        <v>3</v>
      </c>
      <c r="H22" s="21">
        <f>IF(F22="","",MAX(0,100-((F22-G22)/G22*100)))</f>
        <v/>
      </c>
      <c r="I22" s="21">
        <f>IF(OR(E22="",H22=""),"",(E22*0.6)+(H22*0.4))</f>
        <v/>
      </c>
      <c r="J22" s="20" t="inlineStr">
        <is>
          <t>80%</t>
        </is>
      </c>
      <c r="K22" s="20">
        <f>IF(I22="","",IF(I22&gt;=80,"✅ Strong",IF(I22&gt;=75,"⚠️ Needs Improvement","❌ Weak")))</f>
        <v/>
      </c>
      <c r="L22" s="20" t="n"/>
      <c r="M22" s="20" t="n"/>
    </row>
    <row r="23">
      <c r="A23" s="20" t="n"/>
      <c r="B23" s="20" t="n"/>
      <c r="C23" s="20" t="n"/>
      <c r="D23" s="20" t="n"/>
      <c r="E23" s="21">
        <f>IFERROR(D23/C23*100,0)</f>
        <v/>
      </c>
      <c r="F23" s="20" t="n"/>
      <c r="G23" s="20" t="n">
        <v>3</v>
      </c>
      <c r="H23" s="21">
        <f>IF(F23="","",MAX(0,100-((F23-G23)/G23*100)))</f>
        <v/>
      </c>
      <c r="I23" s="21">
        <f>IF(OR(E23="",H23=""),"",(E23*0.6)+(H23*0.4))</f>
        <v/>
      </c>
      <c r="J23" s="20" t="inlineStr">
        <is>
          <t>80%</t>
        </is>
      </c>
      <c r="K23" s="20">
        <f>IF(I23="","",IF(I23&gt;=80,"✅ Strong",IF(I23&gt;=75,"⚠️ Needs Improvement","❌ Weak")))</f>
        <v/>
      </c>
      <c r="L23" s="20" t="n"/>
      <c r="M23" s="20" t="n"/>
    </row>
    <row r="24">
      <c r="A24" s="20" t="n"/>
      <c r="B24" s="20" t="n"/>
      <c r="C24" s="20" t="n"/>
      <c r="D24" s="20" t="n"/>
      <c r="E24" s="21">
        <f>IFERROR(D24/C24*100,0)</f>
        <v/>
      </c>
      <c r="F24" s="20" t="n"/>
      <c r="G24" s="20" t="n">
        <v>3</v>
      </c>
      <c r="H24" s="21">
        <f>IF(F24="","",MAX(0,100-((F24-G24)/G24*100)))</f>
        <v/>
      </c>
      <c r="I24" s="21">
        <f>IF(OR(E24="",H24=""),"",(E24*0.6)+(H24*0.4))</f>
        <v/>
      </c>
      <c r="J24" s="20" t="inlineStr">
        <is>
          <t>80%</t>
        </is>
      </c>
      <c r="K24" s="20">
        <f>IF(I24="","",IF(I24&gt;=80,"✅ Strong",IF(I24&gt;=75,"⚠️ Needs Improvement","❌ Weak")))</f>
        <v/>
      </c>
      <c r="L24" s="20" t="n"/>
      <c r="M24" s="20" t="n"/>
    </row>
    <row r="25">
      <c r="A25" s="20" t="n"/>
      <c r="B25" s="20" t="n"/>
      <c r="C25" s="20" t="n"/>
      <c r="D25" s="20" t="n"/>
      <c r="E25" s="21">
        <f>IFERROR(D25/C25*100,0)</f>
        <v/>
      </c>
      <c r="F25" s="20" t="n"/>
      <c r="G25" s="20" t="n">
        <v>3</v>
      </c>
      <c r="H25" s="21">
        <f>IF(F25="","",MAX(0,100-((F25-G25)/G25*100)))</f>
        <v/>
      </c>
      <c r="I25" s="21">
        <f>IF(OR(E25="",H25=""),"",(E25*0.6)+(H25*0.4))</f>
        <v/>
      </c>
      <c r="J25" s="20" t="inlineStr">
        <is>
          <t>80%</t>
        </is>
      </c>
      <c r="K25" s="20">
        <f>IF(I25="","",IF(I25&gt;=80,"✅ Strong",IF(I25&gt;=75,"⚠️ Needs Improvement","❌ Weak")))</f>
        <v/>
      </c>
      <c r="L25" s="20" t="n"/>
      <c r="M25" s="20" t="n"/>
    </row>
    <row r="26">
      <c r="A26" s="20" t="n"/>
      <c r="B26" s="20" t="n"/>
      <c r="C26" s="20" t="n"/>
      <c r="D26" s="20" t="n"/>
      <c r="E26" s="21">
        <f>IFERROR(D26/C26*100,0)</f>
        <v/>
      </c>
      <c r="F26" s="20" t="n"/>
      <c r="G26" s="20" t="n">
        <v>3</v>
      </c>
      <c r="H26" s="21">
        <f>IF(F26="","",MAX(0,100-((F26-G26)/G26*100)))</f>
        <v/>
      </c>
      <c r="I26" s="21">
        <f>IF(OR(E26="",H26=""),"",(E26*0.6)+(H26*0.4))</f>
        <v/>
      </c>
      <c r="J26" s="20" t="inlineStr">
        <is>
          <t>80%</t>
        </is>
      </c>
      <c r="K26" s="20">
        <f>IF(I26="","",IF(I26&gt;=80,"✅ Strong",IF(I26&gt;=75,"⚠️ Needs Improvement","❌ Weak")))</f>
        <v/>
      </c>
      <c r="L26" s="20" t="n"/>
      <c r="M26" s="20" t="n"/>
    </row>
    <row r="27">
      <c r="A27" s="20" t="n"/>
      <c r="B27" s="20" t="n"/>
      <c r="C27" s="20" t="n"/>
      <c r="D27" s="20" t="n"/>
      <c r="E27" s="21">
        <f>IFERROR(D27/C27*100,0)</f>
        <v/>
      </c>
      <c r="F27" s="20" t="n"/>
      <c r="G27" s="20" t="n">
        <v>3</v>
      </c>
      <c r="H27" s="21">
        <f>IF(F27="","",MAX(0,100-((F27-G27)/G27*100)))</f>
        <v/>
      </c>
      <c r="I27" s="21">
        <f>IF(OR(E27="",H27=""),"",(E27*0.6)+(H27*0.4))</f>
        <v/>
      </c>
      <c r="J27" s="20" t="inlineStr">
        <is>
          <t>80%</t>
        </is>
      </c>
      <c r="K27" s="20">
        <f>IF(I27="","",IF(I27&gt;=80,"✅ Strong",IF(I27&gt;=75,"⚠️ Needs Improvement","❌ Weak")))</f>
        <v/>
      </c>
      <c r="L27" s="20" t="n"/>
      <c r="M27" s="20" t="n"/>
    </row>
    <row r="28">
      <c r="A28" s="20" t="n"/>
      <c r="B28" s="20" t="n"/>
      <c r="C28" s="20" t="n"/>
      <c r="D28" s="20" t="n"/>
      <c r="E28" s="21">
        <f>IFERROR(D28/C28*100,0)</f>
        <v/>
      </c>
      <c r="F28" s="20" t="n"/>
      <c r="G28" s="20" t="n">
        <v>3</v>
      </c>
      <c r="H28" s="21">
        <f>IF(F28="","",MAX(0,100-((F28-G28)/G28*100)))</f>
        <v/>
      </c>
      <c r="I28" s="21">
        <f>IF(OR(E28="",H28=""),"",(E28*0.6)+(H28*0.4))</f>
        <v/>
      </c>
      <c r="J28" s="20" t="inlineStr">
        <is>
          <t>80%</t>
        </is>
      </c>
      <c r="K28" s="20">
        <f>IF(I28="","",IF(I28&gt;=80,"✅ Strong",IF(I28&gt;=75,"⚠️ Needs Improvement","❌ Weak")))</f>
        <v/>
      </c>
      <c r="L28" s="20" t="n"/>
      <c r="M28" s="20" t="n"/>
    </row>
    <row r="29">
      <c r="A29" s="20" t="n"/>
      <c r="B29" s="20" t="n"/>
      <c r="C29" s="20" t="n"/>
      <c r="D29" s="20" t="n"/>
      <c r="E29" s="21">
        <f>IFERROR(D29/C29*100,0)</f>
        <v/>
      </c>
      <c r="F29" s="20" t="n"/>
      <c r="G29" s="20" t="n">
        <v>3</v>
      </c>
      <c r="H29" s="21">
        <f>IF(F29="","",MAX(0,100-((F29-G29)/G29*100)))</f>
        <v/>
      </c>
      <c r="I29" s="21">
        <f>IF(OR(E29="",H29=""),"",(E29*0.6)+(H29*0.4))</f>
        <v/>
      </c>
      <c r="J29" s="20" t="inlineStr">
        <is>
          <t>80%</t>
        </is>
      </c>
      <c r="K29" s="20">
        <f>IF(I29="","",IF(I29&gt;=80,"✅ Strong",IF(I29&gt;=75,"⚠️ Needs Improvement","❌ Weak")))</f>
        <v/>
      </c>
      <c r="L29" s="20" t="n"/>
      <c r="M29" s="20" t="n"/>
    </row>
    <row r="30">
      <c r="A30" s="20" t="n"/>
      <c r="B30" s="20" t="n"/>
      <c r="C30" s="20" t="n"/>
      <c r="D30" s="20" t="n"/>
      <c r="E30" s="21">
        <f>IFERROR(D30/C30*100,0)</f>
        <v/>
      </c>
      <c r="F30" s="20" t="n"/>
      <c r="G30" s="20" t="n">
        <v>3</v>
      </c>
      <c r="H30" s="21">
        <f>IF(F30="","",MAX(0,100-((F30-G30)/G30*100)))</f>
        <v/>
      </c>
      <c r="I30" s="21">
        <f>IF(OR(E30="",H30=""),"",(E30*0.6)+(H30*0.4))</f>
        <v/>
      </c>
      <c r="J30" s="20" t="inlineStr">
        <is>
          <t>80%</t>
        </is>
      </c>
      <c r="K30" s="20">
        <f>IF(I30="","",IF(I30&gt;=80,"✅ Strong",IF(I30&gt;=75,"⚠️ Needs Improvement","❌ Weak")))</f>
        <v/>
      </c>
      <c r="L30" s="20" t="n"/>
      <c r="M30" s="20" t="n"/>
    </row>
    <row r="31">
      <c r="A31" s="20" t="n"/>
      <c r="B31" s="20" t="n"/>
      <c r="C31" s="20" t="n"/>
      <c r="D31" s="20" t="n"/>
      <c r="E31" s="21">
        <f>IFERROR(D31/C31*100,0)</f>
        <v/>
      </c>
      <c r="F31" s="20" t="n"/>
      <c r="G31" s="20" t="n">
        <v>3</v>
      </c>
      <c r="H31" s="21">
        <f>IF(F31="","",MAX(0,100-((F31-G31)/G31*100)))</f>
        <v/>
      </c>
      <c r="I31" s="21">
        <f>IF(OR(E31="",H31=""),"",(E31*0.6)+(H31*0.4))</f>
        <v/>
      </c>
      <c r="J31" s="20" t="inlineStr">
        <is>
          <t>80%</t>
        </is>
      </c>
      <c r="K31" s="20">
        <f>IF(I31="","",IF(I31&gt;=80,"✅ Strong",IF(I31&gt;=75,"⚠️ Needs Improvement","❌ Weak")))</f>
        <v/>
      </c>
      <c r="L31" s="20" t="n"/>
      <c r="M31" s="20" t="n"/>
    </row>
    <row r="32">
      <c r="A32" s="20" t="n"/>
      <c r="B32" s="20" t="n"/>
      <c r="C32" s="20" t="n"/>
      <c r="D32" s="20" t="n"/>
      <c r="E32" s="21">
        <f>IFERROR(D32/C32*100,0)</f>
        <v/>
      </c>
      <c r="F32" s="20" t="n"/>
      <c r="G32" s="20" t="n">
        <v>3</v>
      </c>
      <c r="H32" s="21">
        <f>IF(F32="","",MAX(0,100-((F32-G32)/G32*100)))</f>
        <v/>
      </c>
      <c r="I32" s="21">
        <f>IF(OR(E32="",H32=""),"",(E32*0.6)+(H32*0.4))</f>
        <v/>
      </c>
      <c r="J32" s="20" t="inlineStr">
        <is>
          <t>80%</t>
        </is>
      </c>
      <c r="K32" s="20">
        <f>IF(I32="","",IF(I32&gt;=80,"✅ Strong",IF(I32&gt;=75,"⚠️ Needs Improvement","❌ Weak")))</f>
        <v/>
      </c>
      <c r="L32" s="20" t="n"/>
      <c r="M32" s="20" t="n"/>
    </row>
    <row r="33">
      <c r="A33" s="20" t="n"/>
      <c r="B33" s="20" t="n"/>
      <c r="C33" s="20" t="n"/>
      <c r="D33" s="20" t="n"/>
      <c r="E33" s="21">
        <f>IFERROR(D33/C33*100,0)</f>
        <v/>
      </c>
      <c r="F33" s="20" t="n"/>
      <c r="G33" s="20" t="n">
        <v>3</v>
      </c>
      <c r="H33" s="21">
        <f>IF(F33="","",MAX(0,100-((F33-G33)/G33*100)))</f>
        <v/>
      </c>
      <c r="I33" s="21">
        <f>IF(OR(E33="",H33=""),"",(E33*0.6)+(H33*0.4))</f>
        <v/>
      </c>
      <c r="J33" s="20" t="inlineStr">
        <is>
          <t>80%</t>
        </is>
      </c>
      <c r="K33" s="20">
        <f>IF(I33="","",IF(I33&gt;=80,"✅ Strong",IF(I33&gt;=75,"⚠️ Needs Improvement","❌ Weak")))</f>
        <v/>
      </c>
      <c r="L33" s="20" t="n"/>
      <c r="M33" s="20" t="n"/>
    </row>
    <row r="34">
      <c r="A34" s="20" t="n"/>
      <c r="B34" s="20" t="n"/>
      <c r="C34" s="20" t="n"/>
      <c r="D34" s="20" t="n"/>
      <c r="E34" s="21">
        <f>IFERROR(D34/C34*100,0)</f>
        <v/>
      </c>
      <c r="F34" s="20" t="n"/>
      <c r="G34" s="20" t="n">
        <v>3</v>
      </c>
      <c r="H34" s="21">
        <f>IF(F34="","",MAX(0,100-((F34-G34)/G34*100)))</f>
        <v/>
      </c>
      <c r="I34" s="21">
        <f>IF(OR(E34="",H34=""),"",(E34*0.6)+(H34*0.4))</f>
        <v/>
      </c>
      <c r="J34" s="20" t="inlineStr">
        <is>
          <t>80%</t>
        </is>
      </c>
      <c r="K34" s="20">
        <f>IF(I34="","",IF(I34&gt;=80,"✅ Strong",IF(I34&gt;=75,"⚠️ Needs Improvement","❌ Weak")))</f>
        <v/>
      </c>
      <c r="L34" s="20" t="n"/>
      <c r="M34" s="20" t="n"/>
    </row>
    <row r="35">
      <c r="A35" s="20" t="n"/>
      <c r="B35" s="20" t="n"/>
      <c r="C35" s="20" t="n"/>
      <c r="D35" s="20" t="n"/>
      <c r="E35" s="21">
        <f>IFERROR(D35/C35*100,0)</f>
        <v/>
      </c>
      <c r="F35" s="20" t="n"/>
      <c r="G35" s="20" t="n">
        <v>3</v>
      </c>
      <c r="H35" s="21">
        <f>IF(F35="","",MAX(0,100-((F35-G35)/G35*100)))</f>
        <v/>
      </c>
      <c r="I35" s="21">
        <f>IF(OR(E35="",H35=""),"",(E35*0.6)+(H35*0.4))</f>
        <v/>
      </c>
      <c r="J35" s="20" t="inlineStr">
        <is>
          <t>80%</t>
        </is>
      </c>
      <c r="K35" s="20">
        <f>IF(I35="","",IF(I35&gt;=80,"✅ Strong",IF(I35&gt;=75,"⚠️ Needs Improvement","❌ Weak")))</f>
        <v/>
      </c>
      <c r="L35" s="20" t="n"/>
      <c r="M35" s="20" t="n"/>
    </row>
    <row r="36">
      <c r="A36" s="20" t="n"/>
      <c r="B36" s="20" t="n"/>
      <c r="C36" s="20" t="n"/>
      <c r="D36" s="20" t="n"/>
      <c r="E36" s="21">
        <f>IFERROR(D36/C36*100,0)</f>
        <v/>
      </c>
      <c r="F36" s="20" t="n"/>
      <c r="G36" s="20" t="n">
        <v>3</v>
      </c>
      <c r="H36" s="21">
        <f>IF(F36="","",MAX(0,100-((F36-G36)/G36*100)))</f>
        <v/>
      </c>
      <c r="I36" s="21">
        <f>IF(OR(E36="",H36=""),"",(E36*0.6)+(H36*0.4))</f>
        <v/>
      </c>
      <c r="J36" s="20" t="inlineStr">
        <is>
          <t>80%</t>
        </is>
      </c>
      <c r="K36" s="20">
        <f>IF(I36="","",IF(I36&gt;=80,"✅ Strong",IF(I36&gt;=75,"⚠️ Needs Improvement","❌ Weak")))</f>
        <v/>
      </c>
      <c r="L36" s="20" t="n"/>
      <c r="M36" s="20" t="n"/>
    </row>
    <row r="37">
      <c r="A37" s="20" t="n"/>
      <c r="B37" s="20" t="n"/>
      <c r="C37" s="20" t="n"/>
      <c r="D37" s="20" t="n"/>
      <c r="E37" s="21">
        <f>IFERROR(D37/C37*100,0)</f>
        <v/>
      </c>
      <c r="F37" s="20" t="n"/>
      <c r="G37" s="20" t="n">
        <v>3</v>
      </c>
      <c r="H37" s="21">
        <f>IF(F37="","",MAX(0,100-((F37-G37)/G37*100)))</f>
        <v/>
      </c>
      <c r="I37" s="21">
        <f>IF(OR(E37="",H37=""),"",(E37*0.6)+(H37*0.4))</f>
        <v/>
      </c>
      <c r="J37" s="20" t="inlineStr">
        <is>
          <t>80%</t>
        </is>
      </c>
      <c r="K37" s="20">
        <f>IF(I37="","",IF(I37&gt;=80,"✅ Strong",IF(I37&gt;=75,"⚠️ Needs Improvement","❌ Weak")))</f>
        <v/>
      </c>
      <c r="L37" s="20" t="n"/>
      <c r="M37" s="20" t="n"/>
    </row>
    <row r="40">
      <c r="A40" s="24" t="inlineStr">
        <is>
          <t>PERFORMANCE SUMMARY</t>
        </is>
      </c>
    </row>
    <row r="41">
      <c r="A41" t="inlineStr">
        <is>
          <t>Average Performance Score %</t>
        </is>
      </c>
      <c r="B41" s="27">
        <f>IFERROR(AVERAGE(I4:I7),0)</f>
        <v/>
      </c>
    </row>
    <row r="42">
      <c r="A42" t="inlineStr">
        <is>
          <t>Target</t>
        </is>
      </c>
      <c r="B42" t="inlineStr">
        <is>
          <t>80%</t>
        </is>
      </c>
    </row>
    <row r="43">
      <c r="A43" t="inlineStr">
        <is>
          <t>Gap</t>
        </is>
      </c>
      <c r="B43" s="28">
        <f>B41-80</f>
        <v/>
      </c>
    </row>
    <row r="44">
      <c r="A44" t="inlineStr">
        <is>
          <t>Status</t>
        </is>
      </c>
      <c r="B44" s="25">
        <f>IF(B41&gt;=80,"✅ Strong",IF(B41&gt;=75,"⚠️ Needs Improvement","❌ Weak"))</f>
        <v/>
      </c>
    </row>
  </sheetData>
  <mergeCells count="2">
    <mergeCell ref="A2:M2"/>
    <mergeCell ref="A1:M1"/>
  </mergeCells>
  <conditionalFormatting sqref="I4:I7">
    <cfRule type="cellIs" priority="1" operator="greaterThanOrEqual" dxfId="0">
      <formula>80</formula>
    </cfRule>
    <cfRule type="cellIs" priority="2" operator="between" dxfId="1">
      <formula>75</formula>
      <formula>79</formula>
    </cfRule>
    <cfRule type="cellIs" priority="3" operator="lessThan" dxfId="2">
      <formula>75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ACCOUNTABILITY METRICS</t>
        </is>
      </c>
    </row>
    <row r="3">
      <c r="A3" s="13" t="inlineStr">
        <is>
          <t>Accountability Domain</t>
        </is>
      </c>
      <c r="B3" s="13" t="inlineStr">
        <is>
          <t>Score %</t>
        </is>
      </c>
      <c r="C3" s="13" t="inlineStr">
        <is>
          <t>Weight %</t>
        </is>
      </c>
      <c r="D3" s="13" t="inlineStr">
        <is>
          <t>Weighted Score</t>
        </is>
      </c>
      <c r="E3" s="13" t="inlineStr">
        <is>
          <t>Target %</t>
        </is>
      </c>
      <c r="F3" s="13" t="inlineStr">
        <is>
          <t>Gap</t>
        </is>
      </c>
      <c r="G3" s="13" t="inlineStr">
        <is>
          <t>Status</t>
        </is>
      </c>
    </row>
    <row r="4">
      <c r="A4" s="25" t="inlineStr">
        <is>
          <t>Coverage</t>
        </is>
      </c>
      <c r="B4" s="34">
        <f>'Ownership Coverage'!B17</f>
        <v/>
      </c>
      <c r="C4" t="inlineStr">
        <is>
          <t>40%</t>
        </is>
      </c>
      <c r="D4" s="28">
        <f>B4*40/100</f>
        <v/>
      </c>
      <c r="E4" t="inlineStr">
        <is>
          <t>100%</t>
        </is>
      </c>
      <c r="F4" s="28">
        <f>B4-100/100</f>
        <v/>
      </c>
      <c r="G4" s="35">
        <f>IF(B4&gt;=100/100,"✅ Strong",IF(B4&gt;=100/100-0.05,"⚠️ Medium","❌ Weak"))</f>
        <v/>
      </c>
    </row>
    <row r="5">
      <c r="A5" s="25" t="inlineStr">
        <is>
          <t>Acknowledgment</t>
        </is>
      </c>
      <c r="B5" s="34">
        <f>'Owner Acknowledgment'!B45</f>
        <v/>
      </c>
      <c r="C5" t="inlineStr">
        <is>
          <t>25%</t>
        </is>
      </c>
      <c r="D5" s="28">
        <f>B5*25/100</f>
        <v/>
      </c>
      <c r="E5" t="inlineStr">
        <is>
          <t>95%</t>
        </is>
      </c>
      <c r="F5" s="28">
        <f>B5-95/100</f>
        <v/>
      </c>
      <c r="G5" s="35">
        <f>IF(B5&gt;=95/100,"✅ Strong",IF(B5&gt;=95/100-0.05,"⚠️ Medium","❌ Weak"))</f>
        <v/>
      </c>
    </row>
    <row r="6">
      <c r="A6" s="25" t="inlineStr">
        <is>
          <t>Awareness</t>
        </is>
      </c>
      <c r="B6" s="34">
        <f>'Owner Awareness'!B40</f>
        <v/>
      </c>
      <c r="C6" t="inlineStr">
        <is>
          <t>20%</t>
        </is>
      </c>
      <c r="D6" s="28">
        <f>B6*20/100</f>
        <v/>
      </c>
      <c r="E6" t="inlineStr">
        <is>
          <t>100%</t>
        </is>
      </c>
      <c r="F6" s="28">
        <f>B6-100/100</f>
        <v/>
      </c>
      <c r="G6" s="35">
        <f>IF(B6&gt;=100/100,"✅ Strong",IF(B6&gt;=100/100-0.05,"⚠️ Medium","❌ Weak"))</f>
        <v/>
      </c>
    </row>
    <row r="7">
      <c r="A7" s="25" t="inlineStr">
        <is>
          <t>Performance</t>
        </is>
      </c>
      <c r="B7" s="34">
        <f>'Owner Performance'!B41</f>
        <v/>
      </c>
      <c r="C7" t="inlineStr">
        <is>
          <t>15%</t>
        </is>
      </c>
      <c r="D7" s="28">
        <f>B7*15/100</f>
        <v/>
      </c>
      <c r="E7" t="inlineStr">
        <is>
          <t>80%</t>
        </is>
      </c>
      <c r="F7" s="28">
        <f>B7-80/100</f>
        <v/>
      </c>
      <c r="G7" s="35">
        <f>IF(B7&gt;=80/100,"✅ Strong",IF(B7&gt;=80/100-0.05,"⚠️ Medium","❌ Weak"))</f>
        <v/>
      </c>
    </row>
    <row r="10">
      <c r="A10" s="36" t="inlineStr">
        <is>
          <t>OVERALL ACCOUNTABILITY INDEX</t>
        </is>
      </c>
      <c r="B10" s="37">
        <f>SUM(D4:D7)</f>
        <v/>
      </c>
    </row>
    <row r="11">
      <c r="A11" t="inlineStr">
        <is>
          <t>Overall Target</t>
        </is>
      </c>
      <c r="B11" s="25" t="inlineStr">
        <is>
          <t>94%</t>
        </is>
      </c>
    </row>
    <row r="12">
      <c r="A12" t="inlineStr">
        <is>
          <t>Overall Gap</t>
        </is>
      </c>
      <c r="B12" s="28">
        <f>B10-0.94</f>
        <v/>
      </c>
    </row>
    <row r="13">
      <c r="A13" t="inlineStr">
        <is>
          <t>Overall Status</t>
        </is>
      </c>
      <c r="B13" s="25">
        <f>IF(B10&gt;=0.94,"✅ Strong",IF(B10&gt;=0.89,"⚠️ Needs Improvement","❌ Weak"))</f>
        <v/>
      </c>
    </row>
    <row r="16">
      <c r="A16" s="38" t="inlineStr">
        <is>
          <t>CSV EXPORT FOR DASHBOARD (Copy rows below)</t>
        </is>
      </c>
    </row>
    <row r="17">
      <c r="A17" s="25" t="inlineStr">
        <is>
          <t>Accountability_Domain</t>
        </is>
      </c>
      <c r="B17" s="25" t="inlineStr">
        <is>
          <t>Score_%</t>
        </is>
      </c>
      <c r="C17" s="25" t="inlineStr">
        <is>
          <t>Status</t>
        </is>
      </c>
    </row>
    <row r="18">
      <c r="A18">
        <f>A4</f>
        <v/>
      </c>
      <c r="B18">
        <f>B4</f>
        <v/>
      </c>
      <c r="C18">
        <f>G4</f>
        <v/>
      </c>
    </row>
    <row r="19">
      <c r="A19">
        <f>A5</f>
        <v/>
      </c>
      <c r="B19">
        <f>B5</f>
        <v/>
      </c>
      <c r="C19">
        <f>G5</f>
        <v/>
      </c>
    </row>
    <row r="20">
      <c r="A20">
        <f>A6</f>
        <v/>
      </c>
      <c r="B20">
        <f>B6</f>
        <v/>
      </c>
      <c r="C20">
        <f>G6</f>
        <v/>
      </c>
    </row>
    <row r="21">
      <c r="A21">
        <f>A7</f>
        <v/>
      </c>
      <c r="B21">
        <f>B7</f>
        <v/>
      </c>
      <c r="C21">
        <f>G7</f>
        <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9" t="inlineStr">
        <is>
          <t>EVIDENCE REGISTER</t>
        </is>
      </c>
    </row>
    <row r="2">
      <c r="A2" s="40" t="inlineStr">
        <is>
          <t>ISO/IEC 27001:2022 - Control A.5.9: Inventory of Information and Assets</t>
        </is>
      </c>
    </row>
    <row r="4">
      <c r="A4" s="41" t="inlineStr">
        <is>
          <t>Evidence ID</t>
        </is>
      </c>
      <c r="B4" s="41" t="inlineStr">
        <is>
          <t>Evidence Type</t>
        </is>
      </c>
      <c r="C4" s="41" t="inlineStr">
        <is>
          <t>Description</t>
        </is>
      </c>
      <c r="D4" s="41" t="inlineStr">
        <is>
          <t>Related Control / Section</t>
        </is>
      </c>
      <c r="E4" s="41" t="inlineStr">
        <is>
          <t>Collection Date (DD.MM.YYYY)</t>
        </is>
      </c>
      <c r="F4" s="41" t="inlineStr">
        <is>
          <t>Storage Location / Reference</t>
        </is>
      </c>
      <c r="G4" s="41" t="inlineStr">
        <is>
          <t>Collected By</t>
        </is>
      </c>
      <c r="H4" s="41" t="inlineStr">
        <is>
          <t>Verification Status</t>
        </is>
      </c>
    </row>
    <row r="5">
      <c r="A5" s="42" t="inlineStr">
        <is>
          <t>EV-001</t>
        </is>
      </c>
      <c r="B5" s="42" t="inlineStr">
        <is>
          <t>Document</t>
        </is>
      </c>
      <c r="C5" s="42" t="inlineStr">
        <is>
          <t>Sample evidence entry — replace with actual evidence</t>
        </is>
      </c>
      <c r="D5" s="42" t="inlineStr">
        <is>
          <t>A.5.9 All Domains</t>
        </is>
      </c>
      <c r="E5" s="42" t="inlineStr">
        <is>
          <t>01.01.2026</t>
        </is>
      </c>
      <c r="F5" s="42" t="inlineStr">
        <is>
          <t>SharePoint/ISMS/Evidence/</t>
        </is>
      </c>
      <c r="G5" s="42" t="inlineStr">
        <is>
          <t>ISMS Team</t>
        </is>
      </c>
      <c r="H5" s="42" t="inlineStr">
        <is>
          <t>Not verified</t>
        </is>
      </c>
    </row>
    <row r="6">
      <c r="A6" s="43" t="n"/>
      <c r="B6" s="43" t="n"/>
      <c r="C6" s="43" t="n"/>
      <c r="D6" s="43" t="n"/>
      <c r="E6" s="43" t="n"/>
      <c r="F6" s="43" t="n"/>
      <c r="G6" s="43" t="n"/>
      <c r="H6" s="43" t="n"/>
    </row>
    <row r="7">
      <c r="A7" s="43" t="n"/>
      <c r="B7" s="43" t="n"/>
      <c r="C7" s="43" t="n"/>
      <c r="D7" s="43" t="n"/>
      <c r="E7" s="43" t="n"/>
      <c r="F7" s="43" t="n"/>
      <c r="G7" s="43" t="n"/>
      <c r="H7" s="43" t="n"/>
    </row>
    <row r="8">
      <c r="A8" s="43" t="n"/>
      <c r="B8" s="43" t="n"/>
      <c r="C8" s="43" t="n"/>
      <c r="D8" s="43" t="n"/>
      <c r="E8" s="43" t="n"/>
      <c r="F8" s="43" t="n"/>
      <c r="G8" s="43" t="n"/>
      <c r="H8" s="43" t="n"/>
    </row>
    <row r="9">
      <c r="A9" s="43" t="n"/>
      <c r="B9" s="43" t="n"/>
      <c r="C9" s="43" t="n"/>
      <c r="D9" s="43" t="n"/>
      <c r="E9" s="43" t="n"/>
      <c r="F9" s="43" t="n"/>
      <c r="G9" s="43" t="n"/>
      <c r="H9" s="43" t="n"/>
    </row>
    <row r="10">
      <c r="A10" s="43" t="n"/>
      <c r="B10" s="43" t="n"/>
      <c r="C10" s="43" t="n"/>
      <c r="D10" s="43" t="n"/>
      <c r="E10" s="43" t="n"/>
      <c r="F10" s="43" t="n"/>
      <c r="G10" s="43" t="n"/>
      <c r="H10" s="43" t="n"/>
    </row>
    <row r="11">
      <c r="A11" s="43" t="n"/>
      <c r="B11" s="43" t="n"/>
      <c r="C11" s="43" t="n"/>
      <c r="D11" s="43" t="n"/>
      <c r="E11" s="43" t="n"/>
      <c r="F11" s="43" t="n"/>
      <c r="G11" s="43" t="n"/>
      <c r="H11" s="43" t="n"/>
    </row>
    <row r="12">
      <c r="A12" s="43" t="n"/>
      <c r="B12" s="43" t="n"/>
      <c r="C12" s="43" t="n"/>
      <c r="D12" s="43" t="n"/>
      <c r="E12" s="43" t="n"/>
      <c r="F12" s="43" t="n"/>
      <c r="G12" s="43" t="n"/>
      <c r="H12" s="43" t="n"/>
    </row>
    <row r="13">
      <c r="A13" s="43" t="n"/>
      <c r="B13" s="43" t="n"/>
      <c r="C13" s="43" t="n"/>
      <c r="D13" s="43" t="n"/>
      <c r="E13" s="43" t="n"/>
      <c r="F13" s="43" t="n"/>
      <c r="G13" s="43" t="n"/>
      <c r="H13" s="43" t="n"/>
    </row>
    <row r="14">
      <c r="A14" s="43" t="n"/>
      <c r="B14" s="43" t="n"/>
      <c r="C14" s="43" t="n"/>
      <c r="D14" s="43" t="n"/>
      <c r="E14" s="43" t="n"/>
      <c r="F14" s="43" t="n"/>
      <c r="G14" s="43" t="n"/>
      <c r="H14" s="43" t="n"/>
    </row>
    <row r="15">
      <c r="A15" s="43" t="n"/>
      <c r="B15" s="43" t="n"/>
      <c r="C15" s="43" t="n"/>
      <c r="D15" s="43" t="n"/>
      <c r="E15" s="43" t="n"/>
      <c r="F15" s="43" t="n"/>
      <c r="G15" s="43" t="n"/>
      <c r="H15" s="43" t="n"/>
    </row>
    <row r="16">
      <c r="A16" s="43" t="n"/>
      <c r="B16" s="43" t="n"/>
      <c r="C16" s="43" t="n"/>
      <c r="D16" s="43" t="n"/>
      <c r="E16" s="43" t="n"/>
      <c r="F16" s="43" t="n"/>
      <c r="G16" s="43" t="n"/>
      <c r="H16" s="43" t="n"/>
    </row>
    <row r="17">
      <c r="A17" s="43" t="n"/>
      <c r="B17" s="43" t="n"/>
      <c r="C17" s="43" t="n"/>
      <c r="D17" s="43" t="n"/>
      <c r="E17" s="43" t="n"/>
      <c r="F17" s="43" t="n"/>
      <c r="G17" s="43" t="n"/>
      <c r="H17" s="43" t="n"/>
    </row>
    <row r="18">
      <c r="A18" s="43" t="n"/>
      <c r="B18" s="43" t="n"/>
      <c r="C18" s="43" t="n"/>
      <c r="D18" s="43" t="n"/>
      <c r="E18" s="43" t="n"/>
      <c r="F18" s="43" t="n"/>
      <c r="G18" s="43" t="n"/>
      <c r="H18" s="43" t="n"/>
    </row>
    <row r="19">
      <c r="A19" s="43" t="n"/>
      <c r="B19" s="43" t="n"/>
      <c r="C19" s="43" t="n"/>
      <c r="D19" s="43" t="n"/>
      <c r="E19" s="43" t="n"/>
      <c r="F19" s="43" t="n"/>
      <c r="G19" s="43" t="n"/>
      <c r="H19" s="43" t="n"/>
    </row>
    <row r="20">
      <c r="A20" s="43" t="n"/>
      <c r="B20" s="43" t="n"/>
      <c r="C20" s="43" t="n"/>
      <c r="D20" s="43" t="n"/>
      <c r="E20" s="43" t="n"/>
      <c r="F20" s="43" t="n"/>
      <c r="G20" s="43" t="n"/>
      <c r="H20" s="43" t="n"/>
    </row>
    <row r="21">
      <c r="A21" s="43" t="n"/>
      <c r="B21" s="43" t="n"/>
      <c r="C21" s="43" t="n"/>
      <c r="D21" s="43" t="n"/>
      <c r="E21" s="43" t="n"/>
      <c r="F21" s="43" t="n"/>
      <c r="G21" s="43" t="n"/>
      <c r="H21" s="43" t="n"/>
    </row>
    <row r="22">
      <c r="A22" s="43" t="n"/>
      <c r="B22" s="43" t="n"/>
      <c r="C22" s="43" t="n"/>
      <c r="D22" s="43" t="n"/>
      <c r="E22" s="43" t="n"/>
      <c r="F22" s="43" t="n"/>
      <c r="G22" s="43" t="n"/>
      <c r="H22" s="43" t="n"/>
    </row>
    <row r="23">
      <c r="A23" s="43" t="n"/>
      <c r="B23" s="43" t="n"/>
      <c r="C23" s="43" t="n"/>
      <c r="D23" s="43" t="n"/>
      <c r="E23" s="43" t="n"/>
      <c r="F23" s="43" t="n"/>
      <c r="G23" s="43" t="n"/>
      <c r="H23" s="43" t="n"/>
    </row>
    <row r="24">
      <c r="A24" s="43" t="n"/>
      <c r="B24" s="43" t="n"/>
      <c r="C24" s="43" t="n"/>
      <c r="D24" s="43" t="n"/>
      <c r="E24" s="43" t="n"/>
      <c r="F24" s="43" t="n"/>
      <c r="G24" s="43" t="n"/>
      <c r="H24" s="43" t="n"/>
    </row>
    <row r="25">
      <c r="A25" s="43" t="n"/>
      <c r="B25" s="43" t="n"/>
      <c r="C25" s="43" t="n"/>
      <c r="D25" s="43" t="n"/>
      <c r="E25" s="43" t="n"/>
      <c r="F25" s="43" t="n"/>
      <c r="G25" s="43" t="n"/>
      <c r="H25" s="43" t="n"/>
    </row>
    <row r="26">
      <c r="A26" s="43" t="n"/>
      <c r="B26" s="43" t="n"/>
      <c r="C26" s="43" t="n"/>
      <c r="D26" s="43" t="n"/>
      <c r="E26" s="43" t="n"/>
      <c r="F26" s="43" t="n"/>
      <c r="G26" s="43" t="n"/>
      <c r="H26" s="43" t="n"/>
    </row>
    <row r="27">
      <c r="A27" s="43" t="n"/>
      <c r="B27" s="43" t="n"/>
      <c r="C27" s="43" t="n"/>
      <c r="D27" s="43" t="n"/>
      <c r="E27" s="43" t="n"/>
      <c r="F27" s="43" t="n"/>
      <c r="G27" s="43" t="n"/>
      <c r="H27" s="43" t="n"/>
    </row>
    <row r="28">
      <c r="A28" s="43" t="n"/>
      <c r="B28" s="43" t="n"/>
      <c r="C28" s="43" t="n"/>
      <c r="D28" s="43" t="n"/>
      <c r="E28" s="43" t="n"/>
      <c r="F28" s="43" t="n"/>
      <c r="G28" s="43" t="n"/>
      <c r="H28" s="43" t="n"/>
    </row>
    <row r="29">
      <c r="A29" s="43" t="n"/>
      <c r="B29" s="43" t="n"/>
      <c r="C29" s="43" t="n"/>
      <c r="D29" s="43" t="n"/>
      <c r="E29" s="43" t="n"/>
      <c r="F29" s="43" t="n"/>
      <c r="G29" s="43" t="n"/>
      <c r="H29" s="43" t="n"/>
    </row>
    <row r="30">
      <c r="A30" s="43" t="n"/>
      <c r="B30" s="43" t="n"/>
      <c r="C30" s="43" t="n"/>
      <c r="D30" s="43" t="n"/>
      <c r="E30" s="43" t="n"/>
      <c r="F30" s="43" t="n"/>
      <c r="G30" s="43" t="n"/>
      <c r="H30" s="43" t="n"/>
    </row>
    <row r="31">
      <c r="A31" s="43" t="n"/>
      <c r="B31" s="43" t="n"/>
      <c r="C31" s="43" t="n"/>
      <c r="D31" s="43" t="n"/>
      <c r="E31" s="43" t="n"/>
      <c r="F31" s="43" t="n"/>
      <c r="G31" s="43" t="n"/>
      <c r="H31" s="43" t="n"/>
    </row>
    <row r="32">
      <c r="A32" s="43" t="n"/>
      <c r="B32" s="43" t="n"/>
      <c r="C32" s="43" t="n"/>
      <c r="D32" s="43" t="n"/>
      <c r="E32" s="43" t="n"/>
      <c r="F32" s="43" t="n"/>
      <c r="G32" s="43" t="n"/>
      <c r="H32" s="43" t="n"/>
    </row>
    <row r="33">
      <c r="A33" s="43" t="n"/>
      <c r="B33" s="43" t="n"/>
      <c r="C33" s="43" t="n"/>
      <c r="D33" s="43" t="n"/>
      <c r="E33" s="43" t="n"/>
      <c r="F33" s="43" t="n"/>
      <c r="G33" s="43" t="n"/>
      <c r="H33" s="43" t="n"/>
    </row>
    <row r="34">
      <c r="A34" s="43" t="n"/>
      <c r="B34" s="43" t="n"/>
      <c r="C34" s="43" t="n"/>
      <c r="D34" s="43" t="n"/>
      <c r="E34" s="43" t="n"/>
      <c r="F34" s="43" t="n"/>
      <c r="G34" s="43" t="n"/>
      <c r="H34" s="43" t="n"/>
    </row>
    <row r="35">
      <c r="A35" s="43" t="n"/>
      <c r="B35" s="43" t="n"/>
      <c r="C35" s="43" t="n"/>
      <c r="D35" s="43" t="n"/>
      <c r="E35" s="43" t="n"/>
      <c r="F35" s="43" t="n"/>
      <c r="G35" s="43" t="n"/>
      <c r="H35" s="43" t="n"/>
    </row>
    <row r="36">
      <c r="A36" s="43" t="n"/>
      <c r="B36" s="43" t="n"/>
      <c r="C36" s="43" t="n"/>
      <c r="D36" s="43" t="n"/>
      <c r="E36" s="43" t="n"/>
      <c r="F36" s="43" t="n"/>
      <c r="G36" s="43" t="n"/>
      <c r="H36" s="43" t="n"/>
    </row>
    <row r="37">
      <c r="A37" s="43" t="n"/>
      <c r="B37" s="43" t="n"/>
      <c r="C37" s="43" t="n"/>
      <c r="D37" s="43" t="n"/>
      <c r="E37" s="43" t="n"/>
      <c r="F37" s="43" t="n"/>
      <c r="G37" s="43" t="n"/>
      <c r="H37" s="43" t="n"/>
    </row>
    <row r="38">
      <c r="A38" s="43" t="n"/>
      <c r="B38" s="43" t="n"/>
      <c r="C38" s="43" t="n"/>
      <c r="D38" s="43" t="n"/>
      <c r="E38" s="43" t="n"/>
      <c r="F38" s="43" t="n"/>
      <c r="G38" s="43" t="n"/>
      <c r="H38" s="43" t="n"/>
    </row>
    <row r="39">
      <c r="A39" s="43" t="n"/>
      <c r="B39" s="43" t="n"/>
      <c r="C39" s="43" t="n"/>
      <c r="D39" s="43" t="n"/>
      <c r="E39" s="43" t="n"/>
      <c r="F39" s="43" t="n"/>
      <c r="G39" s="43" t="n"/>
      <c r="H39" s="43" t="n"/>
    </row>
    <row r="40">
      <c r="A40" s="43" t="n"/>
      <c r="B40" s="43" t="n"/>
      <c r="C40" s="43" t="n"/>
      <c r="D40" s="43" t="n"/>
      <c r="E40" s="43" t="n"/>
      <c r="F40" s="43" t="n"/>
      <c r="G40" s="43" t="n"/>
      <c r="H40" s="43" t="n"/>
    </row>
    <row r="41">
      <c r="A41" s="43" t="n"/>
      <c r="B41" s="43" t="n"/>
      <c r="C41" s="43" t="n"/>
      <c r="D41" s="43" t="n"/>
      <c r="E41" s="43" t="n"/>
      <c r="F41" s="43" t="n"/>
      <c r="G41" s="43" t="n"/>
      <c r="H41" s="43" t="n"/>
    </row>
    <row r="42">
      <c r="A42" s="43" t="n"/>
      <c r="B42" s="43" t="n"/>
      <c r="C42" s="43" t="n"/>
      <c r="D42" s="43" t="n"/>
      <c r="E42" s="43" t="n"/>
      <c r="F42" s="43" t="n"/>
      <c r="G42" s="43" t="n"/>
      <c r="H42" s="43" t="n"/>
    </row>
    <row r="43">
      <c r="A43" s="43" t="n"/>
      <c r="B43" s="43" t="n"/>
      <c r="C43" s="43" t="n"/>
      <c r="D43" s="43" t="n"/>
      <c r="E43" s="43" t="n"/>
      <c r="F43" s="43" t="n"/>
      <c r="G43" s="43" t="n"/>
      <c r="H43" s="43" t="n"/>
    </row>
    <row r="44">
      <c r="A44" s="43" t="n"/>
      <c r="B44" s="43" t="n"/>
      <c r="C44" s="43" t="n"/>
      <c r="D44" s="43" t="n"/>
      <c r="E44" s="43" t="n"/>
      <c r="F44" s="43" t="n"/>
      <c r="G44" s="43" t="n"/>
      <c r="H44" s="43" t="n"/>
    </row>
    <row r="45">
      <c r="A45" s="43" t="n"/>
      <c r="B45" s="43" t="n"/>
      <c r="C45" s="43" t="n"/>
      <c r="D45" s="43" t="n"/>
      <c r="E45" s="43" t="n"/>
      <c r="F45" s="43" t="n"/>
      <c r="G45" s="43" t="n"/>
      <c r="H45" s="43" t="n"/>
    </row>
    <row r="46">
      <c r="A46" s="43" t="n"/>
      <c r="B46" s="43" t="n"/>
      <c r="C46" s="43" t="n"/>
      <c r="D46" s="43" t="n"/>
      <c r="E46" s="43" t="n"/>
      <c r="F46" s="43" t="n"/>
      <c r="G46" s="43" t="n"/>
      <c r="H46" s="43" t="n"/>
    </row>
    <row r="47">
      <c r="A47" s="43" t="n"/>
      <c r="B47" s="43" t="n"/>
      <c r="C47" s="43" t="n"/>
      <c r="D47" s="43" t="n"/>
      <c r="E47" s="43" t="n"/>
      <c r="F47" s="43" t="n"/>
      <c r="G47" s="43" t="n"/>
      <c r="H47" s="43" t="n"/>
    </row>
    <row r="48">
      <c r="A48" s="43" t="n"/>
      <c r="B48" s="43" t="n"/>
      <c r="C48" s="43" t="n"/>
      <c r="D48" s="43" t="n"/>
      <c r="E48" s="43" t="n"/>
      <c r="F48" s="43" t="n"/>
      <c r="G48" s="43" t="n"/>
      <c r="H48" s="43" t="n"/>
    </row>
    <row r="49">
      <c r="A49" s="43" t="n"/>
      <c r="B49" s="43" t="n"/>
      <c r="C49" s="43" t="n"/>
      <c r="D49" s="43" t="n"/>
      <c r="E49" s="43" t="n"/>
      <c r="F49" s="43" t="n"/>
      <c r="G49" s="43" t="n"/>
      <c r="H49" s="43" t="n"/>
    </row>
    <row r="50">
      <c r="A50" s="43" t="n"/>
      <c r="B50" s="43" t="n"/>
      <c r="C50" s="43" t="n"/>
      <c r="D50" s="43" t="n"/>
      <c r="E50" s="43" t="n"/>
      <c r="F50" s="43" t="n"/>
      <c r="G50" s="43" t="n"/>
      <c r="H50" s="43" t="n"/>
    </row>
    <row r="51">
      <c r="A51" s="43" t="n"/>
      <c r="B51" s="43" t="n"/>
      <c r="C51" s="43" t="n"/>
      <c r="D51" s="43" t="n"/>
      <c r="E51" s="43" t="n"/>
      <c r="F51" s="43" t="n"/>
      <c r="G51" s="43" t="n"/>
      <c r="H51" s="43" t="n"/>
    </row>
    <row r="52">
      <c r="A52" s="43" t="n"/>
      <c r="B52" s="43" t="n"/>
      <c r="C52" s="43" t="n"/>
      <c r="D52" s="43" t="n"/>
      <c r="E52" s="43" t="n"/>
      <c r="F52" s="43" t="n"/>
      <c r="G52" s="43" t="n"/>
      <c r="H52" s="43" t="n"/>
    </row>
    <row r="53">
      <c r="A53" s="43" t="n"/>
      <c r="B53" s="43" t="n"/>
      <c r="C53" s="43" t="n"/>
      <c r="D53" s="43" t="n"/>
      <c r="E53" s="43" t="n"/>
      <c r="F53" s="43" t="n"/>
      <c r="G53" s="43" t="n"/>
      <c r="H53" s="43" t="n"/>
    </row>
    <row r="54">
      <c r="A54" s="43" t="n"/>
      <c r="B54" s="43" t="n"/>
      <c r="C54" s="43" t="n"/>
      <c r="D54" s="43" t="n"/>
      <c r="E54" s="43" t="n"/>
      <c r="F54" s="43" t="n"/>
      <c r="G54" s="43" t="n"/>
      <c r="H54" s="43" t="n"/>
    </row>
    <row r="55">
      <c r="A55" s="43" t="n"/>
      <c r="B55" s="43" t="n"/>
      <c r="C55" s="43" t="n"/>
      <c r="D55" s="43" t="n"/>
      <c r="E55" s="43" t="n"/>
      <c r="F55" s="43" t="n"/>
      <c r="G55" s="43" t="n"/>
      <c r="H55" s="43" t="n"/>
    </row>
    <row r="56">
      <c r="A56" s="43" t="n"/>
      <c r="B56" s="43" t="n"/>
      <c r="C56" s="43" t="n"/>
      <c r="D56" s="43" t="n"/>
      <c r="E56" s="43" t="n"/>
      <c r="F56" s="43" t="n"/>
      <c r="G56" s="43" t="n"/>
      <c r="H56" s="43" t="n"/>
    </row>
    <row r="57">
      <c r="A57" s="43" t="n"/>
      <c r="B57" s="43" t="n"/>
      <c r="C57" s="43" t="n"/>
      <c r="D57" s="43" t="n"/>
      <c r="E57" s="43" t="n"/>
      <c r="F57" s="43" t="n"/>
      <c r="G57" s="43" t="n"/>
      <c r="H57" s="43" t="n"/>
    </row>
    <row r="58">
      <c r="A58" s="43" t="n"/>
      <c r="B58" s="43" t="n"/>
      <c r="C58" s="43" t="n"/>
      <c r="D58" s="43" t="n"/>
      <c r="E58" s="43" t="n"/>
      <c r="F58" s="43" t="n"/>
      <c r="G58" s="43" t="n"/>
      <c r="H58" s="43" t="n"/>
    </row>
    <row r="59">
      <c r="A59" s="43" t="n"/>
      <c r="B59" s="43" t="n"/>
      <c r="C59" s="43" t="n"/>
      <c r="D59" s="43" t="n"/>
      <c r="E59" s="43" t="n"/>
      <c r="F59" s="43" t="n"/>
      <c r="G59" s="43" t="n"/>
      <c r="H59" s="43" t="n"/>
    </row>
    <row r="60">
      <c r="A60" s="43" t="n"/>
      <c r="B60" s="43" t="n"/>
      <c r="C60" s="43" t="n"/>
      <c r="D60" s="43" t="n"/>
      <c r="E60" s="43" t="n"/>
      <c r="F60" s="43" t="n"/>
      <c r="G60" s="43" t="n"/>
      <c r="H60" s="43" t="n"/>
    </row>
    <row r="61">
      <c r="A61" s="43" t="n"/>
      <c r="B61" s="43" t="n"/>
      <c r="C61" s="43" t="n"/>
      <c r="D61" s="43" t="n"/>
      <c r="E61" s="43" t="n"/>
      <c r="F61" s="43" t="n"/>
      <c r="G61" s="43" t="n"/>
      <c r="H61" s="43" t="n"/>
    </row>
    <row r="62">
      <c r="A62" s="43" t="n"/>
      <c r="B62" s="43" t="n"/>
      <c r="C62" s="43" t="n"/>
      <c r="D62" s="43" t="n"/>
      <c r="E62" s="43" t="n"/>
      <c r="F62" s="43" t="n"/>
      <c r="G62" s="43" t="n"/>
      <c r="H62" s="43" t="n"/>
    </row>
    <row r="63">
      <c r="A63" s="43" t="n"/>
      <c r="B63" s="43" t="n"/>
      <c r="C63" s="43" t="n"/>
      <c r="D63" s="43" t="n"/>
      <c r="E63" s="43" t="n"/>
      <c r="F63" s="43" t="n"/>
      <c r="G63" s="43" t="n"/>
      <c r="H63" s="43" t="n"/>
    </row>
    <row r="64">
      <c r="A64" s="43" t="n"/>
      <c r="B64" s="43" t="n"/>
      <c r="C64" s="43" t="n"/>
      <c r="D64" s="43" t="n"/>
      <c r="E64" s="43" t="n"/>
      <c r="F64" s="43" t="n"/>
      <c r="G64" s="43" t="n"/>
      <c r="H64" s="43" t="n"/>
    </row>
    <row r="65">
      <c r="A65" s="43" t="n"/>
      <c r="B65" s="43" t="n"/>
      <c r="C65" s="43" t="n"/>
      <c r="D65" s="43" t="n"/>
      <c r="E65" s="43" t="n"/>
      <c r="F65" s="43" t="n"/>
      <c r="G65" s="43" t="n"/>
      <c r="H65" s="43" t="n"/>
    </row>
    <row r="66">
      <c r="A66" s="43" t="n"/>
      <c r="B66" s="43" t="n"/>
      <c r="C66" s="43" t="n"/>
      <c r="D66" s="43" t="n"/>
      <c r="E66" s="43" t="n"/>
      <c r="F66" s="43" t="n"/>
      <c r="G66" s="43" t="n"/>
      <c r="H66" s="43" t="n"/>
    </row>
    <row r="67">
      <c r="A67" s="43" t="n"/>
      <c r="B67" s="43" t="n"/>
      <c r="C67" s="43" t="n"/>
      <c r="D67" s="43" t="n"/>
      <c r="E67" s="43" t="n"/>
      <c r="F67" s="43" t="n"/>
      <c r="G67" s="43" t="n"/>
      <c r="H67" s="43" t="n"/>
    </row>
    <row r="68">
      <c r="A68" s="43" t="n"/>
      <c r="B68" s="43" t="n"/>
      <c r="C68" s="43" t="n"/>
      <c r="D68" s="43" t="n"/>
      <c r="E68" s="43" t="n"/>
      <c r="F68" s="43" t="n"/>
      <c r="G68" s="43" t="n"/>
      <c r="H68" s="43" t="n"/>
    </row>
    <row r="69">
      <c r="A69" s="43" t="n"/>
      <c r="B69" s="43" t="n"/>
      <c r="C69" s="43" t="n"/>
      <c r="D69" s="43" t="n"/>
      <c r="E69" s="43" t="n"/>
      <c r="F69" s="43" t="n"/>
      <c r="G69" s="43" t="n"/>
      <c r="H69" s="43" t="n"/>
    </row>
    <row r="70">
      <c r="A70" s="43" t="n"/>
      <c r="B70" s="43" t="n"/>
      <c r="C70" s="43" t="n"/>
      <c r="D70" s="43" t="n"/>
      <c r="E70" s="43" t="n"/>
      <c r="F70" s="43" t="n"/>
      <c r="G70" s="43" t="n"/>
      <c r="H70" s="43" t="n"/>
    </row>
    <row r="71">
      <c r="A71" s="43" t="n"/>
      <c r="B71" s="43" t="n"/>
      <c r="C71" s="43" t="n"/>
      <c r="D71" s="43" t="n"/>
      <c r="E71" s="43" t="n"/>
      <c r="F71" s="43" t="n"/>
      <c r="G71" s="43" t="n"/>
      <c r="H71" s="43" t="n"/>
    </row>
    <row r="72">
      <c r="A72" s="43" t="n"/>
      <c r="B72" s="43" t="n"/>
      <c r="C72" s="43" t="n"/>
      <c r="D72" s="43" t="n"/>
      <c r="E72" s="43" t="n"/>
      <c r="F72" s="43" t="n"/>
      <c r="G72" s="43" t="n"/>
      <c r="H72" s="43" t="n"/>
    </row>
    <row r="73">
      <c r="A73" s="43" t="n"/>
      <c r="B73" s="43" t="n"/>
      <c r="C73" s="43" t="n"/>
      <c r="D73" s="43" t="n"/>
      <c r="E73" s="43" t="n"/>
      <c r="F73" s="43" t="n"/>
      <c r="G73" s="43" t="n"/>
      <c r="H73" s="43" t="n"/>
    </row>
    <row r="74">
      <c r="A74" s="43" t="n"/>
      <c r="B74" s="43" t="n"/>
      <c r="C74" s="43" t="n"/>
      <c r="D74" s="43" t="n"/>
      <c r="E74" s="43" t="n"/>
      <c r="F74" s="43" t="n"/>
      <c r="G74" s="43" t="n"/>
      <c r="H74" s="43" t="n"/>
    </row>
    <row r="75">
      <c r="A75" s="43" t="n"/>
      <c r="B75" s="43" t="n"/>
      <c r="C75" s="43" t="n"/>
      <c r="D75" s="43" t="n"/>
      <c r="E75" s="43" t="n"/>
      <c r="F75" s="43" t="n"/>
      <c r="G75" s="43" t="n"/>
      <c r="H75" s="43" t="n"/>
    </row>
    <row r="76">
      <c r="A76" s="43" t="n"/>
      <c r="B76" s="43" t="n"/>
      <c r="C76" s="43" t="n"/>
      <c r="D76" s="43" t="n"/>
      <c r="E76" s="43" t="n"/>
      <c r="F76" s="43" t="n"/>
      <c r="G76" s="43" t="n"/>
      <c r="H76" s="43" t="n"/>
    </row>
    <row r="77">
      <c r="A77" s="43" t="n"/>
      <c r="B77" s="43" t="n"/>
      <c r="C77" s="43" t="n"/>
      <c r="D77" s="43" t="n"/>
      <c r="E77" s="43" t="n"/>
      <c r="F77" s="43" t="n"/>
      <c r="G77" s="43" t="n"/>
      <c r="H77" s="43" t="n"/>
    </row>
    <row r="78">
      <c r="A78" s="43" t="n"/>
      <c r="B78" s="43" t="n"/>
      <c r="C78" s="43" t="n"/>
      <c r="D78" s="43" t="n"/>
      <c r="E78" s="43" t="n"/>
      <c r="F78" s="43" t="n"/>
      <c r="G78" s="43" t="n"/>
      <c r="H78" s="43" t="n"/>
    </row>
    <row r="79">
      <c r="A79" s="43" t="n"/>
      <c r="B79" s="43" t="n"/>
      <c r="C79" s="43" t="n"/>
      <c r="D79" s="43" t="n"/>
      <c r="E79" s="43" t="n"/>
      <c r="F79" s="43" t="n"/>
      <c r="G79" s="43" t="n"/>
      <c r="H79" s="43" t="n"/>
    </row>
    <row r="80">
      <c r="A80" s="43" t="n"/>
      <c r="B80" s="43" t="n"/>
      <c r="C80" s="43" t="n"/>
      <c r="D80" s="43" t="n"/>
      <c r="E80" s="43" t="n"/>
      <c r="F80" s="43" t="n"/>
      <c r="G80" s="43" t="n"/>
      <c r="H80" s="43" t="n"/>
    </row>
    <row r="81">
      <c r="A81" s="43" t="n"/>
      <c r="B81" s="43" t="n"/>
      <c r="C81" s="43" t="n"/>
      <c r="D81" s="43" t="n"/>
      <c r="E81" s="43" t="n"/>
      <c r="F81" s="43" t="n"/>
      <c r="G81" s="43" t="n"/>
      <c r="H81" s="43" t="n"/>
    </row>
    <row r="82">
      <c r="A82" s="43" t="n"/>
      <c r="B82" s="43" t="n"/>
      <c r="C82" s="43" t="n"/>
      <c r="D82" s="43" t="n"/>
      <c r="E82" s="43" t="n"/>
      <c r="F82" s="43" t="n"/>
      <c r="G82" s="43" t="n"/>
      <c r="H82" s="43" t="n"/>
    </row>
    <row r="83">
      <c r="A83" s="43" t="n"/>
      <c r="B83" s="43" t="n"/>
      <c r="C83" s="43" t="n"/>
      <c r="D83" s="43" t="n"/>
      <c r="E83" s="43" t="n"/>
      <c r="F83" s="43" t="n"/>
      <c r="G83" s="43" t="n"/>
      <c r="H83" s="43" t="n"/>
    </row>
    <row r="84">
      <c r="A84" s="43" t="n"/>
      <c r="B84" s="43" t="n"/>
      <c r="C84" s="43" t="n"/>
      <c r="D84" s="43" t="n"/>
      <c r="E84" s="43" t="n"/>
      <c r="F84" s="43" t="n"/>
      <c r="G84" s="43" t="n"/>
      <c r="H84" s="43" t="n"/>
    </row>
    <row r="85">
      <c r="A85" s="43" t="n"/>
      <c r="B85" s="43" t="n"/>
      <c r="C85" s="43" t="n"/>
      <c r="D85" s="43" t="n"/>
      <c r="E85" s="43" t="n"/>
      <c r="F85" s="43" t="n"/>
      <c r="G85" s="43" t="n"/>
      <c r="H85" s="43" t="n"/>
    </row>
    <row r="86">
      <c r="A86" s="43" t="n"/>
      <c r="B86" s="43" t="n"/>
      <c r="C86" s="43" t="n"/>
      <c r="D86" s="43" t="n"/>
      <c r="E86" s="43" t="n"/>
      <c r="F86" s="43" t="n"/>
      <c r="G86" s="43" t="n"/>
      <c r="H86" s="43" t="n"/>
    </row>
    <row r="87">
      <c r="A87" s="43" t="n"/>
      <c r="B87" s="43" t="n"/>
      <c r="C87" s="43" t="n"/>
      <c r="D87" s="43" t="n"/>
      <c r="E87" s="43" t="n"/>
      <c r="F87" s="43" t="n"/>
      <c r="G87" s="43" t="n"/>
      <c r="H87" s="43" t="n"/>
    </row>
    <row r="88">
      <c r="A88" s="43" t="n"/>
      <c r="B88" s="43" t="n"/>
      <c r="C88" s="43" t="n"/>
      <c r="D88" s="43" t="n"/>
      <c r="E88" s="43" t="n"/>
      <c r="F88" s="43" t="n"/>
      <c r="G88" s="43" t="n"/>
      <c r="H88" s="43" t="n"/>
    </row>
    <row r="89">
      <c r="A89" s="43" t="n"/>
      <c r="B89" s="43" t="n"/>
      <c r="C89" s="43" t="n"/>
      <c r="D89" s="43" t="n"/>
      <c r="E89" s="43" t="n"/>
      <c r="F89" s="43" t="n"/>
      <c r="G89" s="43" t="n"/>
      <c r="H89" s="43" t="n"/>
    </row>
    <row r="90">
      <c r="A90" s="43" t="n"/>
      <c r="B90" s="43" t="n"/>
      <c r="C90" s="43" t="n"/>
      <c r="D90" s="43" t="n"/>
      <c r="E90" s="43" t="n"/>
      <c r="F90" s="43" t="n"/>
      <c r="G90" s="43" t="n"/>
      <c r="H90" s="43" t="n"/>
    </row>
    <row r="91">
      <c r="A91" s="43" t="n"/>
      <c r="B91" s="43" t="n"/>
      <c r="C91" s="43" t="n"/>
      <c r="D91" s="43" t="n"/>
      <c r="E91" s="43" t="n"/>
      <c r="F91" s="43" t="n"/>
      <c r="G91" s="43" t="n"/>
      <c r="H91" s="43" t="n"/>
    </row>
    <row r="92">
      <c r="A92" s="43" t="n"/>
      <c r="B92" s="43" t="n"/>
      <c r="C92" s="43" t="n"/>
      <c r="D92" s="43" t="n"/>
      <c r="E92" s="43" t="n"/>
      <c r="F92" s="43" t="n"/>
      <c r="G92" s="43" t="n"/>
      <c r="H92" s="43" t="n"/>
    </row>
    <row r="93">
      <c r="A93" s="43" t="n"/>
      <c r="B93" s="43" t="n"/>
      <c r="C93" s="43" t="n"/>
      <c r="D93" s="43" t="n"/>
      <c r="E93" s="43" t="n"/>
      <c r="F93" s="43" t="n"/>
      <c r="G93" s="43" t="n"/>
      <c r="H93" s="43" t="n"/>
    </row>
    <row r="94">
      <c r="A94" s="43" t="n"/>
      <c r="B94" s="43" t="n"/>
      <c r="C94" s="43" t="n"/>
      <c r="D94" s="43" t="n"/>
      <c r="E94" s="43" t="n"/>
      <c r="F94" s="43" t="n"/>
      <c r="G94" s="43" t="n"/>
      <c r="H94" s="43" t="n"/>
    </row>
    <row r="95">
      <c r="A95" s="43" t="n"/>
      <c r="B95" s="43" t="n"/>
      <c r="C95" s="43" t="n"/>
      <c r="D95" s="43" t="n"/>
      <c r="E95" s="43" t="n"/>
      <c r="F95" s="43" t="n"/>
      <c r="G95" s="43" t="n"/>
      <c r="H95" s="43" t="n"/>
    </row>
    <row r="96">
      <c r="A96" s="43" t="n"/>
      <c r="B96" s="43" t="n"/>
      <c r="C96" s="43" t="n"/>
      <c r="D96" s="43" t="n"/>
      <c r="E96" s="43" t="n"/>
      <c r="F96" s="43" t="n"/>
      <c r="G96" s="43" t="n"/>
      <c r="H96" s="43" t="n"/>
    </row>
    <row r="97">
      <c r="A97" s="43" t="n"/>
      <c r="B97" s="43" t="n"/>
      <c r="C97" s="43" t="n"/>
      <c r="D97" s="43" t="n"/>
      <c r="E97" s="43" t="n"/>
      <c r="F97" s="43" t="n"/>
      <c r="G97" s="43" t="n"/>
      <c r="H97" s="43" t="n"/>
    </row>
    <row r="98">
      <c r="A98" s="43" t="n"/>
      <c r="B98" s="43" t="n"/>
      <c r="C98" s="43" t="n"/>
      <c r="D98" s="43" t="n"/>
      <c r="E98" s="43" t="n"/>
      <c r="F98" s="43" t="n"/>
      <c r="G98" s="43" t="n"/>
      <c r="H98" s="43" t="n"/>
    </row>
    <row r="99">
      <c r="A99" s="43" t="n"/>
      <c r="B99" s="43" t="n"/>
      <c r="C99" s="43" t="n"/>
      <c r="D99" s="43" t="n"/>
      <c r="E99" s="43" t="n"/>
      <c r="F99" s="43" t="n"/>
      <c r="G99" s="43" t="n"/>
      <c r="H99" s="43" t="n"/>
    </row>
    <row r="100">
      <c r="A100" s="43" t="n"/>
      <c r="B100" s="43" t="n"/>
      <c r="C100" s="43" t="n"/>
      <c r="D100" s="43" t="n"/>
      <c r="E100" s="43" t="n"/>
      <c r="F100" s="43" t="n"/>
      <c r="G100" s="43" t="n"/>
      <c r="H100" s="43" t="n"/>
    </row>
    <row r="101">
      <c r="A101" s="43" t="n"/>
      <c r="B101" s="43" t="n"/>
      <c r="C101" s="43" t="n"/>
      <c r="D101" s="43" t="n"/>
      <c r="E101" s="43" t="n"/>
      <c r="F101" s="43" t="n"/>
      <c r="G101" s="43" t="n"/>
      <c r="H101" s="43" t="n"/>
    </row>
    <row r="102">
      <c r="A102" s="43" t="n"/>
      <c r="B102" s="43" t="n"/>
      <c r="C102" s="43" t="n"/>
      <c r="D102" s="43" t="n"/>
      <c r="E102" s="43" t="n"/>
      <c r="F102" s="43" t="n"/>
      <c r="G102" s="43" t="n"/>
      <c r="H102" s="43" t="n"/>
    </row>
    <row r="103">
      <c r="A103" s="43" t="n"/>
      <c r="B103" s="43" t="n"/>
      <c r="C103" s="43" t="n"/>
      <c r="D103" s="43" t="n"/>
      <c r="E103" s="43" t="n"/>
      <c r="F103" s="43" t="n"/>
      <c r="G103" s="43" t="n"/>
      <c r="H103" s="43" t="n"/>
    </row>
    <row r="104">
      <c r="A104" s="43" t="n"/>
      <c r="B104" s="43" t="n"/>
      <c r="C104" s="43" t="n"/>
      <c r="D104" s="43" t="n"/>
      <c r="E104" s="43" t="n"/>
      <c r="F104" s="43" t="n"/>
      <c r="G104" s="43" t="n"/>
      <c r="H104" s="43" t="n"/>
    </row>
    <row r="105">
      <c r="A105" s="43" t="n"/>
      <c r="B105" s="43" t="n"/>
      <c r="C105" s="43" t="n"/>
      <c r="D105" s="43" t="n"/>
      <c r="E105" s="43" t="n"/>
      <c r="F105" s="43" t="n"/>
      <c r="G105" s="43" t="n"/>
      <c r="H105" s="4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9" t="inlineStr">
        <is>
          <t>OWNER ACCOUNTABILITY ASSESSMENT — SUMMARY DASHBOARD</t>
        </is>
      </c>
      <c r="B1" s="6" t="n"/>
      <c r="C1" s="6" t="n"/>
      <c r="D1" s="6" t="n"/>
      <c r="E1" s="6" t="n"/>
    </row>
    <row r="2" ht="18" customHeight="1">
      <c r="A2" s="44" t="inlineStr">
        <is>
          <t>ISO 27001:2022 · Control A.5.9 · Inventory of Information and Assets</t>
        </is>
      </c>
      <c r="B2" s="6" t="n"/>
      <c r="C2" s="6" t="n"/>
      <c r="D2" s="6" t="n"/>
      <c r="E2" s="6" t="n"/>
    </row>
    <row r="3" ht="6" customHeight="1"/>
    <row r="4">
      <c r="A4" s="45" t="inlineStr">
        <is>
          <t>TABLE 1: COMPLIANCE ASSESSMENT</t>
        </is>
      </c>
      <c r="B4" s="6" t="n"/>
      <c r="C4" s="6" t="n"/>
      <c r="D4" s="6" t="n"/>
      <c r="E4" s="6" t="n"/>
    </row>
    <row r="5">
      <c r="A5" s="46" t="inlineStr">
        <is>
          <t>Assessment Area</t>
        </is>
      </c>
      <c r="B5" s="46" t="inlineStr">
        <is>
          <t>Compliant</t>
        </is>
      </c>
      <c r="C5" s="46" t="inlineStr">
        <is>
          <t>Non-Compliant</t>
        </is>
      </c>
      <c r="D5" s="46" t="inlineStr">
        <is>
          <t>Total Items</t>
        </is>
      </c>
      <c r="E5" s="46" t="inlineStr">
        <is>
          <t>Compliance %</t>
        </is>
      </c>
    </row>
    <row r="6">
      <c r="A6" s="47" t="inlineStr">
        <is>
          <t>Ownership Coverage (All Categories)</t>
        </is>
      </c>
      <c r="B6" s="48">
        <f>COUNTIF('Ownership Coverage'!H4:H8,"✅ Full Coverage")</f>
        <v/>
      </c>
      <c r="C6" s="48">
        <f>D6-B6</f>
        <v/>
      </c>
      <c r="D6" s="48">
        <f>COUNTA('Ownership Coverage'!A4:A8)</f>
        <v/>
      </c>
      <c r="E6" s="49">
        <f>IFERROR(B6/D6,0)</f>
        <v/>
      </c>
    </row>
    <row r="7">
      <c r="A7" s="47" t="inlineStr">
        <is>
          <t>Owner Acknowledgment &amp; Attestation</t>
        </is>
      </c>
      <c r="B7" s="48">
        <f>COUNTIFS('Owner Acknowledgment'!L4:L53,"Attested*")</f>
        <v/>
      </c>
      <c r="C7" s="48">
        <f>D7-B7</f>
        <v/>
      </c>
      <c r="D7" s="48">
        <f>COUNTA('Owner Acknowledgment'!A4:A53)</f>
        <v/>
      </c>
      <c r="E7" s="49">
        <f>IFERROR(B7/D7,0)</f>
        <v/>
      </c>
    </row>
    <row r="8">
      <c r="A8" s="47" t="inlineStr">
        <is>
          <t>Owner Awareness Compliance</t>
        </is>
      </c>
      <c r="B8" s="48">
        <f>COUNTIF('Owner Awareness'!G4:G53,"✅ Fully Aware")</f>
        <v/>
      </c>
      <c r="C8" s="48">
        <f>D8-B8</f>
        <v/>
      </c>
      <c r="D8" s="48">
        <f>COUNTA('Owner Awareness'!A4:A53)</f>
        <v/>
      </c>
      <c r="E8" s="49">
        <f>IFERROR(B8/D8,0)</f>
        <v/>
      </c>
    </row>
    <row r="9">
      <c r="A9" s="47" t="inlineStr">
        <is>
          <t>Owner Performance — Threshold Met</t>
        </is>
      </c>
      <c r="B9" s="48">
        <f>COUNTIF('Owner Performance'!K4:K53,"✅ Strong")</f>
        <v/>
      </c>
      <c r="C9" s="48">
        <f>D9-B9</f>
        <v/>
      </c>
      <c r="D9" s="48">
        <f>COUNTA('Owner Performance'!A4:A53)</f>
        <v/>
      </c>
      <c r="E9" s="49">
        <f>IFERROR(B9/D9,0)</f>
        <v/>
      </c>
    </row>
    <row r="10">
      <c r="A10" s="47" t="inlineStr">
        <is>
          <t>Accountability Governance Strength</t>
        </is>
      </c>
      <c r="B10" s="48">
        <f>COUNTIF('Accountability Metrics'!G4:G13,"✅ Strong")</f>
        <v/>
      </c>
      <c r="C10" s="48">
        <f>D10-B10</f>
        <v/>
      </c>
      <c r="D10" s="48">
        <f>COUNTA('Accountability Metrics'!A4:A13)</f>
        <v/>
      </c>
      <c r="E10" s="49">
        <f>IFERROR(B10/D10,0)</f>
        <v/>
      </c>
    </row>
    <row r="11">
      <c r="A11" s="50" t="inlineStr">
        <is>
          <t>TOTAL</t>
        </is>
      </c>
      <c r="B11" s="51">
        <f>SUM(B6:B10)</f>
        <v/>
      </c>
      <c r="C11" s="51">
        <f>SUM(C6:C10)</f>
        <v/>
      </c>
      <c r="D11" s="51">
        <f>SUM(D6:D10)</f>
        <v/>
      </c>
      <c r="E11" s="52">
        <f>IFERROR(B11/D11,0)</f>
        <v/>
      </c>
    </row>
    <row r="12" ht="6" customHeight="1"/>
    <row r="13">
      <c r="A13" s="45" t="inlineStr">
        <is>
          <t>TABLE 2: KEY PERFORMANCE INDICATORS</t>
        </is>
      </c>
      <c r="B13" s="6" t="n"/>
      <c r="C13" s="6" t="n"/>
      <c r="D13" s="6" t="n"/>
      <c r="E13" s="6" t="n"/>
    </row>
    <row r="14">
      <c r="A14" s="53" t="inlineStr">
        <is>
          <t>Ownership Coverage</t>
        </is>
      </c>
      <c r="B14" s="6" t="n"/>
      <c r="C14" s="6" t="n"/>
      <c r="D14" s="6" t="n"/>
      <c r="E14" s="6" t="n"/>
    </row>
    <row r="15">
      <c r="A15" s="47" t="inlineStr">
        <is>
          <t>Asset Categories with Full Coverage</t>
        </is>
      </c>
      <c r="B15" s="54">
        <f>COUNTIF('Ownership Coverage'!H4:H8,"✅ Full Coverage")</f>
        <v/>
      </c>
      <c r="C15" s="6" t="n"/>
      <c r="D15" s="6" t="n"/>
      <c r="E15" s="6" t="n"/>
    </row>
    <row r="16">
      <c r="A16" s="47" t="inlineStr">
        <is>
          <t>Asset Categories with Gaps</t>
        </is>
      </c>
      <c r="B16" s="54">
        <f>COUNTIF('Ownership Coverage'!H4:H8,"⚠️ Minor Gaps")+COUNTIF('Ownership Coverage'!H4:H8,"❌ Major Gaps")</f>
        <v/>
      </c>
      <c r="C16" s="6" t="n"/>
      <c r="D16" s="6" t="n"/>
      <c r="E16" s="6" t="n"/>
    </row>
    <row r="17">
      <c r="A17" s="47" t="inlineStr">
        <is>
          <t>Total Assets Without Owner</t>
        </is>
      </c>
      <c r="B17" s="54">
        <f>SUM('Ownership Coverage'!D4:D8)</f>
        <v/>
      </c>
      <c r="C17" s="6" t="n"/>
      <c r="D17" s="6" t="n"/>
      <c r="E17" s="6" t="n"/>
    </row>
    <row r="18">
      <c r="A18" s="53" t="inlineStr">
        <is>
          <t>Acknowledgment &amp; Awareness</t>
        </is>
      </c>
      <c r="B18" s="6" t="n"/>
      <c r="C18" s="6" t="n"/>
      <c r="D18" s="6" t="n"/>
      <c r="E18" s="6" t="n"/>
    </row>
    <row r="19">
      <c r="A19" s="47" t="inlineStr">
        <is>
          <t>Owners Attested</t>
        </is>
      </c>
      <c r="B19" s="54">
        <f>COUNTIFS('Owner Acknowledgment'!L4:L53,"Attested*")</f>
        <v/>
      </c>
      <c r="C19" s="6" t="n"/>
      <c r="D19" s="6" t="n"/>
      <c r="E19" s="6" t="n"/>
    </row>
    <row r="20">
      <c r="A20" s="47" t="inlineStr">
        <is>
          <t>Owners Not Yet Attested</t>
        </is>
      </c>
      <c r="B20" s="54">
        <f>COUNTA('Owner Acknowledgment'!A4:A53)-COUNTIFS('Owner Acknowledgment'!L4:L53,"Attested*")</f>
        <v/>
      </c>
      <c r="C20" s="6" t="n"/>
      <c r="D20" s="6" t="n"/>
      <c r="E20" s="6" t="n"/>
    </row>
    <row r="21">
      <c r="A21" s="47" t="inlineStr">
        <is>
          <t>Fully Aware Owners</t>
        </is>
      </c>
      <c r="B21" s="54">
        <f>COUNTIF('Owner Awareness'!G4:G53,"✅ Fully Aware")</f>
        <v/>
      </c>
      <c r="C21" s="6" t="n"/>
      <c r="D21" s="6" t="n"/>
      <c r="E21" s="6" t="n"/>
    </row>
    <row r="22">
      <c r="A22" s="53" t="inlineStr">
        <is>
          <t>Owner Performance</t>
        </is>
      </c>
      <c r="B22" s="6" t="n"/>
      <c r="C22" s="6" t="n"/>
      <c r="D22" s="6" t="n"/>
      <c r="E22" s="6" t="n"/>
    </row>
    <row r="23">
      <c r="A23" s="47" t="inlineStr">
        <is>
          <t>Strong-Performing Owners</t>
        </is>
      </c>
      <c r="B23" s="54">
        <f>COUNTIF('Owner Performance'!K4:K53,"✅ Strong")</f>
        <v/>
      </c>
      <c r="C23" s="6" t="n"/>
      <c r="D23" s="6" t="n"/>
      <c r="E23" s="6" t="n"/>
    </row>
    <row r="24">
      <c r="A24" s="47" t="inlineStr">
        <is>
          <t>Underperforming Owners</t>
        </is>
      </c>
      <c r="B24" s="54">
        <f>COUNTIF('Owner Performance'!K4:K53,"❌ Weak")</f>
        <v/>
      </c>
      <c r="C24" s="6" t="n"/>
      <c r="D24" s="6" t="n"/>
      <c r="E24" s="6" t="n"/>
    </row>
    <row r="25">
      <c r="A25" s="53" t="inlineStr">
        <is>
          <t>Gaps &amp; Evidence</t>
        </is>
      </c>
      <c r="B25" s="6" t="n"/>
      <c r="C25" s="6" t="n"/>
      <c r="D25" s="6" t="n"/>
      <c r="E25" s="6" t="n"/>
    </row>
    <row r="26">
      <c r="A26" s="47" t="inlineStr">
        <is>
          <t>Awareness Gaps (Unaware)</t>
        </is>
      </c>
      <c r="B26" s="54">
        <f>COUNTIF('Owner Awareness'!G4:G53,"❌ Unaware")</f>
        <v/>
      </c>
      <c r="C26" s="6" t="n"/>
      <c r="D26" s="6" t="n"/>
      <c r="E26" s="6" t="n"/>
    </row>
    <row r="27">
      <c r="A27" s="47" t="inlineStr">
        <is>
          <t>Unverified Evidence Items</t>
        </is>
      </c>
      <c r="B27" s="54">
        <f>COUNTIF('Evidence Register'!H6:H105,"Not verified")</f>
        <v/>
      </c>
      <c r="C27" s="6" t="n"/>
      <c r="D27" s="6" t="n"/>
      <c r="E27" s="6" t="n"/>
    </row>
    <row r="28" ht="6" customHeight="1"/>
    <row r="29">
      <c r="A29" s="55" t="inlineStr">
        <is>
          <t>TABLE 3: CRITICAL FINDINGS &amp; RISK INDICATORS</t>
        </is>
      </c>
      <c r="B29" s="6" t="n"/>
      <c r="C29" s="6" t="n"/>
      <c r="D29" s="6" t="n"/>
      <c r="E29" s="6" t="n"/>
    </row>
    <row r="30">
      <c r="A30" s="46" t="inlineStr">
        <is>
          <t>Critical Finding</t>
        </is>
      </c>
      <c r="B30" s="46" t="inlineStr">
        <is>
          <t>Count</t>
        </is>
      </c>
      <c r="C30" s="46" t="inlineStr">
        <is>
          <t>Severity</t>
        </is>
      </c>
      <c r="D30" s="46" t="inlineStr">
        <is>
          <t>ISO Reference</t>
        </is>
      </c>
      <c r="E30" s="46" t="inlineStr">
        <is>
          <t>Action Required</t>
        </is>
      </c>
    </row>
    <row r="31">
      <c r="A31" s="56" t="inlineStr">
        <is>
          <t>Asset categories with major ownership gaps</t>
        </is>
      </c>
      <c r="B31" s="57">
        <f>COUNTIF('Ownership Coverage'!H4:H8,"❌ Major Gaps")</f>
        <v/>
      </c>
      <c r="C31" s="57" t="inlineStr">
        <is>
          <t>CRITICAL</t>
        </is>
      </c>
      <c r="D31" s="57" t="inlineStr">
        <is>
          <t>A.5.9 §5.1</t>
        </is>
      </c>
      <c r="E31" s="56" t="inlineStr">
        <is>
          <t>Immediate — unowned assets have no accountability for protection, classification, or disposal</t>
        </is>
      </c>
    </row>
    <row r="32">
      <c r="A32" s="56" t="inlineStr">
        <is>
          <t>Total assets without an assigned owner</t>
        </is>
      </c>
      <c r="B32" s="57">
        <f>SUM('Ownership Coverage'!D4:D8)</f>
        <v/>
      </c>
      <c r="C32" s="57" t="inlineStr">
        <is>
          <t>CRITICAL</t>
        </is>
      </c>
      <c r="D32" s="57" t="inlineStr">
        <is>
          <t>A.5.9 §5.1</t>
        </is>
      </c>
      <c r="E32" s="56" t="inlineStr">
        <is>
          <t>Immediate — every asset must have a named responsible owner per A.5.9</t>
        </is>
      </c>
    </row>
    <row r="33">
      <c r="A33" s="58" t="inlineStr">
        <is>
          <t>Owners who have not attested responsibilities</t>
        </is>
      </c>
      <c r="B33" s="59">
        <f>COUNTA('Owner Acknowledgment'!A4:A53)-COUNTIFS('Owner Acknowledgment'!L4:L53,"Attested*")</f>
        <v/>
      </c>
      <c r="C33" s="59" t="inlineStr">
        <is>
          <t>HIGH</t>
        </is>
      </c>
      <c r="D33" s="59" t="inlineStr">
        <is>
          <t>A.5.9 §5.2</t>
        </is>
      </c>
      <c r="E33" s="58" t="inlineStr">
        <is>
          <t>Urgent — unacknowledged ownership cannot be relied upon for compliance</t>
        </is>
      </c>
    </row>
    <row r="34">
      <c r="A34" s="58" t="inlineStr">
        <is>
          <t>Unaware asset owners</t>
        </is>
      </c>
      <c r="B34" s="59">
        <f>COUNTIF('Owner Awareness'!G4:G53,"❌ Unaware")</f>
        <v/>
      </c>
      <c r="C34" s="59" t="inlineStr">
        <is>
          <t>HIGH</t>
        </is>
      </c>
      <c r="D34" s="59" t="inlineStr">
        <is>
          <t>A.5.9 §5.3</t>
        </is>
      </c>
      <c r="E34" s="58" t="inlineStr">
        <is>
          <t>Urgent — owners who are unaware cannot fulfil classification or review duties</t>
        </is>
      </c>
    </row>
    <row r="35">
      <c r="A35" s="58" t="inlineStr">
        <is>
          <t>Underperforming owners (Weak rating)</t>
        </is>
      </c>
      <c r="B35" s="59">
        <f>COUNTIF('Owner Performance'!K4:K53,"❌ Weak")</f>
        <v/>
      </c>
      <c r="C35" s="59" t="inlineStr">
        <is>
          <t>HIGH</t>
        </is>
      </c>
      <c r="D35" s="59" t="inlineStr">
        <is>
          <t>A.5.9 §5.4</t>
        </is>
      </c>
      <c r="E35" s="58" t="inlineStr">
        <is>
          <t>Plan — underperforming owners require coaching, re-assignment, or escalation</t>
        </is>
      </c>
    </row>
    <row r="36">
      <c r="A36" s="58" t="inlineStr">
        <is>
          <t>Asset categories with minor coverage gaps</t>
        </is>
      </c>
      <c r="B36" s="59">
        <f>COUNTIF('Ownership Coverage'!H4:H8,"⚠️ Minor Gaps")</f>
        <v/>
      </c>
      <c r="C36" s="59" t="inlineStr">
        <is>
          <t>HIGH</t>
        </is>
      </c>
      <c r="D36" s="59" t="inlineStr">
        <is>
          <t>A.5.9 §5.1</t>
        </is>
      </c>
      <c r="E36" s="58" t="inlineStr">
        <is>
          <t>Plan — minor gaps require formal gap-closure plan before next review cycle</t>
        </is>
      </c>
    </row>
    <row r="37">
      <c r="A37" s="60" t="inlineStr">
        <is>
          <t>Owners needing improvement in performance</t>
        </is>
      </c>
      <c r="B37" s="61">
        <f>COUNTIF('Owner Performance'!K4:K53,"⚠️ Needs Improvement")</f>
        <v/>
      </c>
      <c r="C37" s="61" t="inlineStr">
        <is>
          <t>MEDIUM</t>
        </is>
      </c>
      <c r="D37" s="61" t="inlineStr">
        <is>
          <t>A.5.9 §5.4</t>
        </is>
      </c>
      <c r="E37" s="60" t="inlineStr">
        <is>
          <t>Plan — performance improvement plans required for owners below target</t>
        </is>
      </c>
    </row>
    <row r="38">
      <c r="A38" s="60" t="inlineStr">
        <is>
          <t>Unverified evidence items</t>
        </is>
      </c>
      <c r="B38" s="61">
        <f>COUNTIF('Evidence Register'!H6:H105,"Not verified")</f>
        <v/>
      </c>
      <c r="C38" s="61" t="inlineStr">
        <is>
          <t>MEDIUM</t>
        </is>
      </c>
      <c r="D38" s="61" t="inlineStr">
        <is>
          <t>A.5.9 §3</t>
        </is>
      </c>
      <c r="E38" s="60"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2" t="inlineStr">
        <is>
          <t>ASSESSMENT APPROVAL AND SIGN-OFF</t>
        </is>
      </c>
      <c r="B1" s="6" t="n"/>
      <c r="C1" s="6" t="n"/>
      <c r="D1" s="6" t="n"/>
      <c r="E1" s="6" t="n"/>
    </row>
    <row r="2">
      <c r="A2" s="63" t="inlineStr">
        <is>
          <t>ISO/IEC 27001:2022 - Control A.5.9: Inventory of Information and Assets</t>
        </is>
      </c>
      <c r="B2" s="6" t="n"/>
      <c r="C2" s="6" t="n"/>
      <c r="D2" s="6" t="n"/>
      <c r="E2" s="6" t="n"/>
    </row>
    <row r="3">
      <c r="A3" s="64" t="inlineStr">
        <is>
          <t>ASSESSMENT SUMMARY</t>
        </is>
      </c>
      <c r="B3" s="6" t="n"/>
      <c r="C3" s="6" t="n"/>
      <c r="D3" s="6" t="n"/>
      <c r="E3" s="6" t="n"/>
    </row>
    <row r="4">
      <c r="A4" s="3" t="inlineStr">
        <is>
          <t>Document:</t>
        </is>
      </c>
      <c r="B4" s="6" t="inlineStr">
        <is>
          <t>ISMS-IMP-A.5.9.4 - Owner Accountability</t>
        </is>
      </c>
      <c r="C4" s="6" t="n"/>
      <c r="D4" s="6" t="n"/>
      <c r="E4" s="6" t="n"/>
    </row>
    <row r="5">
      <c r="A5" s="3" t="inlineStr">
        <is>
          <t>Assessment Period:</t>
        </is>
      </c>
      <c r="B5" s="20" t="inlineStr"/>
      <c r="C5" s="6" t="n"/>
      <c r="D5" s="6" t="n"/>
      <c r="E5" s="6" t="n"/>
    </row>
    <row r="6">
      <c r="A6" s="3" t="inlineStr">
        <is>
          <t>Overall Compliance Rating:</t>
        </is>
      </c>
      <c r="B6" s="65">
        <f>IFERROR(AVERAGE('Summary Dashboard'!G6:G10),"")</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6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6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66"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6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ISMS-IMP-A.5.9.4 — Owner Accountability</dc:title>
  <dc:description xmlns:dc="http://purl.org/dc/elements/1.1/">ISMS Implementation Workbook — ISMS-IMP-A.5.9.4</dc:description>
  <dc:subject xmlns:dc="http://purl.org/dc/elements/1.1/">ISO/IEC 27001:2022 — Control A.5.9: Inventory of Information and Assets</dc:subject>
  <dcterms:created xmlns:dcterms="http://purl.org/dc/terms/" xmlns:xsi="http://www.w3.org/2001/XMLSchema-instance" xsi:type="dcterms:W3CDTF">2026-03-07T11:27:47Z</dcterms:created>
  <dcterms:modified xmlns:dcterms="http://purl.org/dc/terms/" xmlns:xsi="http://www.w3.org/2001/XMLSchema-instance" xsi:type="dcterms:W3CDTF">2026-03-07T11:27:48Z</dcterms:modified>
</cp:coreProperties>
</file>