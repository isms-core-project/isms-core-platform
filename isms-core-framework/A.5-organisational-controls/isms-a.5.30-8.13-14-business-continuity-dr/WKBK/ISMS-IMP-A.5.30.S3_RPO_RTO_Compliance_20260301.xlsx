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Capability Assessment" sheetId="3" state="visible" r:id="rId3"/>
    <sheet xmlns:r="http://schemas.openxmlformats.org/officeDocument/2006/relationships" name="Compliance Matrix" sheetId="4" state="visible" r:id="rId4"/>
    <sheet xmlns:r="http://schemas.openxmlformats.org/officeDocument/2006/relationships" name="Gap Analysi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1">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2"/>
    </font>
    <font>
      <i val="1"/>
      <color rgb="00666666"/>
      <sz val="10"/>
    </font>
    <font>
      <i val="1"/>
      <color rgb="00666666"/>
    </font>
    <font>
      <b val="1"/>
      <i val="1"/>
      <color rgb="00C00000"/>
      <sz val="10"/>
    </font>
    <font>
      <b val="1"/>
      <sz val="9"/>
    </font>
    <font>
      <name val="Calibri"/>
      <i val="1"/>
      <sz val="10"/>
    </font>
    <font>
      <name val="Calibri"/>
      <b val="1"/>
      <color rgb="00FFFFFF"/>
      <sz val="10"/>
    </font>
    <font>
      <name val="Calibri"/>
      <sz val="10"/>
    </font>
    <font>
      <name val="Calibri"/>
      <b val="1"/>
      <color rgb="00FFFFFF"/>
      <sz val="16"/>
    </font>
    <font>
      <i val="1"/>
      <sz val="10"/>
    </font>
    <font>
      <b val="1"/>
      <sz val="12"/>
    </font>
    <font>
      <b val="1"/>
      <sz val="11"/>
    </font>
    <font>
      <b val="1"/>
      <color rgb="00C00000"/>
      <sz val="11"/>
    </font>
    <font>
      <name val="Calibri"/>
      <i val="1"/>
      <color rgb="00003366"/>
      <sz val="10"/>
    </font>
    <font>
      <name val="Calibri"/>
      <b val="1"/>
      <color rgb="00FFFFFF"/>
      <sz val="11"/>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2" applyAlignment="1" pivotButton="0" quotePrefix="0" xfId="0">
      <alignment horizontal="center" vertical="center" wrapText="1"/>
    </xf>
    <xf numFmtId="0" fontId="0" fillId="0" borderId="2" pivotButton="0" quotePrefix="0" xfId="0"/>
    <xf numFmtId="0" fontId="0" fillId="11" borderId="2" pivotButton="0" quotePrefix="0" xfId="0"/>
    <xf numFmtId="0" fontId="0" fillId="11" borderId="2" applyAlignment="1" pivotButton="0" quotePrefix="0" xfId="0">
      <alignment vertical="top" wrapText="1"/>
    </xf>
    <xf numFmtId="0" fontId="0" fillId="12" borderId="2" pivotButton="0" quotePrefix="0" xfId="0"/>
    <xf numFmtId="0" fontId="6" fillId="0" borderId="0" pivotButton="0" quotePrefix="0" xfId="0"/>
    <xf numFmtId="0" fontId="7" fillId="0" borderId="2" pivotButton="0" quotePrefix="0" xfId="0"/>
    <xf numFmtId="0" fontId="8" fillId="0" borderId="0" pivotButton="0" quotePrefix="0" xfId="0"/>
    <xf numFmtId="0" fontId="0" fillId="0" borderId="2" applyAlignment="1" pivotButton="0" quotePrefix="0" xfId="0">
      <alignment wrapText="1"/>
    </xf>
    <xf numFmtId="0" fontId="0" fillId="11" borderId="2" applyAlignment="1" pivotButton="0" quotePrefix="0" xfId="0">
      <alignment wrapText="1"/>
    </xf>
    <xf numFmtId="0" fontId="0" fillId="12" borderId="2" applyAlignment="1" pivotButton="0" quotePrefix="0" xfId="0">
      <alignment wrapText="1"/>
    </xf>
    <xf numFmtId="0" fontId="4" fillId="0" borderId="0" pivotButton="0" quotePrefix="0" xfId="0"/>
    <xf numFmtId="164" fontId="4" fillId="0" borderId="0" pivotButton="0" quotePrefix="0" xfId="0"/>
    <xf numFmtId="0" fontId="9" fillId="0" borderId="2" pivotButton="0" quotePrefix="0" xfId="0"/>
    <xf numFmtId="0" fontId="0" fillId="0" borderId="2" applyAlignment="1" pivotButton="0" quotePrefix="0" xfId="0">
      <alignment vertical="top" wrapText="1"/>
    </xf>
    <xf numFmtId="0" fontId="9" fillId="11" borderId="2" pivotButton="0" quotePrefix="0" xfId="0"/>
    <xf numFmtId="0" fontId="0" fillId="12" borderId="2" applyAlignment="1" pivotButton="0" quotePrefix="0" xfId="0">
      <alignment vertical="top" wrapText="1"/>
    </xf>
    <xf numFmtId="165" fontId="4" fillId="0" borderId="0" pivotButton="0" quotePrefix="0" xfId="0"/>
    <xf numFmtId="0" fontId="1" fillId="8" borderId="1" applyAlignment="1" pivotButton="0" quotePrefix="0" xfId="0">
      <alignment horizontal="center" vertical="center"/>
    </xf>
    <xf numFmtId="0" fontId="10" fillId="0" borderId="1" applyAlignment="1" pivotButton="0" quotePrefix="0" xfId="0">
      <alignment horizontal="left" vertical="center"/>
    </xf>
    <xf numFmtId="0" fontId="11" fillId="8"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13" fillId="8" borderId="0" applyAlignment="1" pivotButton="0" quotePrefix="0" xfId="0">
      <alignment horizontal="center" vertical="center"/>
    </xf>
    <xf numFmtId="0" fontId="14" fillId="0" borderId="0" applyAlignment="1" pivotButton="0" quotePrefix="0" xfId="0">
      <alignment horizontal="center"/>
    </xf>
    <xf numFmtId="0" fontId="5" fillId="9" borderId="0" applyAlignment="1" pivotButton="0" quotePrefix="0" xfId="0">
      <alignment horizontal="left"/>
    </xf>
    <xf numFmtId="0" fontId="15" fillId="0" borderId="0" pivotButton="0" quotePrefix="0" xfId="0"/>
    <xf numFmtId="164" fontId="15" fillId="0" borderId="0" pivotButton="0" quotePrefix="0" xfId="0"/>
    <xf numFmtId="0" fontId="16" fillId="0" borderId="0" pivotButton="0" quotePrefix="0" xfId="0"/>
    <xf numFmtId="164" fontId="16" fillId="0" borderId="0" pivotButton="0" quotePrefix="0" xfId="0"/>
    <xf numFmtId="165" fontId="16" fillId="0" borderId="0" pivotButton="0" quotePrefix="0" xfId="0"/>
    <xf numFmtId="0" fontId="17" fillId="0" borderId="0" pivotButton="0" quotePrefix="0" xfId="0"/>
    <xf numFmtId="0" fontId="12" fillId="0" borderId="0" pivotButton="0" quotePrefix="0" xfId="0"/>
    <xf numFmtId="0" fontId="1" fillId="8" borderId="1" applyAlignment="1" pivotButton="0" quotePrefix="0" xfId="0">
      <alignment horizontal="center" vertical="center" wrapText="1"/>
    </xf>
    <xf numFmtId="0" fontId="18" fillId="0" borderId="1" applyAlignment="1" pivotButton="0" quotePrefix="0" xfId="0">
      <alignment horizontal="center" vertical="center"/>
    </xf>
    <xf numFmtId="0" fontId="19" fillId="9" borderId="1" applyAlignment="1" pivotButton="0" quotePrefix="0" xfId="0">
      <alignment horizontal="left" vertical="center"/>
    </xf>
    <xf numFmtId="0" fontId="4" fillId="0" borderId="1" pivotButton="0" quotePrefix="0" xfId="0"/>
    <xf numFmtId="0" fontId="0" fillId="12" borderId="1" pivotButton="0" quotePrefix="0" xfId="0"/>
    <xf numFmtId="164" fontId="0" fillId="0" borderId="1" pivotButton="0" quotePrefix="0" xfId="0"/>
    <xf numFmtId="0" fontId="19" fillId="8" borderId="1" applyAlignment="1" pivotButton="0" quotePrefix="0" xfId="0">
      <alignment horizontal="left" vertical="center"/>
    </xf>
    <xf numFmtId="0" fontId="2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ISMS-IMP-A.5.30.S3  -  RPO RTO Compliance
ISO/IEC 27001:2022 - Control A.5.30: Information Backup</t>
        </is>
      </c>
    </row>
    <row r="3">
      <c r="A3" s="2" t="inlineStr">
        <is>
          <t>Document Information</t>
        </is>
      </c>
    </row>
    <row r="4">
      <c r="A4" s="3" t="inlineStr">
        <is>
          <t>Document ID</t>
        </is>
      </c>
      <c r="B4" t="inlineStr">
        <is>
          <t>ISMS-IMP-A.5.30.S3</t>
        </is>
      </c>
    </row>
    <row r="5">
      <c r="A5" s="3" t="inlineStr">
        <is>
          <t>Workbook Title</t>
        </is>
      </c>
      <c r="B5" t="inlineStr">
        <is>
          <t>RPO RTO Compliance</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System Inventory worksheet from Business Impact Analysis (BIA) results.</t>
        </is>
      </c>
    </row>
    <row r="14">
      <c r="A14" t="inlineStr">
        <is>
          <t>2. Populate the Capability Assessment worksheet with TESTED technical recovery capabilities.</t>
        </is>
      </c>
    </row>
    <row r="15">
      <c r="A15" t="inlineStr">
        <is>
          <t>3. Review the Compliance Matrix (formulas automatically compare requirements vs capabilities).</t>
        </is>
      </c>
    </row>
    <row r="16">
      <c r="A16" t="inlineStr">
        <is>
          <t>4. Document identified gaps in the Gap Analysis worksheet with remediation plans.</t>
        </is>
      </c>
    </row>
    <row r="17">
      <c r="A17" t="inlineStr">
        <is>
          <t>5. Collect evidence in the Evidence Register (minimum 5 items required for audit).</t>
        </is>
      </c>
    </row>
    <row r="18">
      <c r="A18" t="inlineStr">
        <is>
          <t>6. Review the Summary Dashboard for overall compliance metrics.</t>
        </is>
      </c>
    </row>
    <row r="19">
      <c r="A19" t="inlineStr">
        <is>
          <t>7. Complete the Approval Sign-Off worksheet to obtain formal sign-off.</t>
        </is>
      </c>
    </row>
    <row r="20">
      <c r="A20" t="inlineStr">
        <is>
          <t>8. Re-assess quarterly to track improvement and maintain compliance.</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row r="29">
      <c r="A29" s="2" t="inlineStr">
        <is>
          <t>Acceptable Evidence (examples)</t>
        </is>
      </c>
    </row>
    <row r="30">
      <c r="A30" t="inlineStr">
        <is>
          <t>✓ Business Impact Analysis (BIA) report with RPO/RTO requirements for each system</t>
        </is>
      </c>
    </row>
    <row r="31">
      <c r="A31" t="inlineStr">
        <is>
          <t>✓ Backup restore test records with date, system, and actual restore time</t>
        </is>
      </c>
    </row>
    <row r="32">
      <c r="A32" t="inlineStr">
        <is>
          <t>✓ Failover test records with date, system, and actual failover time</t>
        </is>
      </c>
    </row>
    <row r="33">
      <c r="A33" t="inlineStr">
        <is>
          <t>✓ Gap analysis report showing RPO/RTO gaps and risk scores</t>
        </is>
      </c>
    </row>
    <row r="34">
      <c r="A34" t="inlineStr">
        <is>
          <t>✓ Remediation plans for identified gaps with target dates</t>
        </is>
      </c>
    </row>
    <row r="35">
      <c r="A35" t="inlineStr">
        <is>
          <t>✓ System criticality register from BIA process</t>
        </is>
      </c>
    </row>
    <row r="36">
      <c r="A36" t="inlineStr">
        <is>
          <t>✓ Testing schedules and historical test logs</t>
        </is>
      </c>
    </row>
    <row r="37">
      <c r="A37" t="inlineStr">
        <is>
          <t>✓ Compliance calculation worksheets and summary reports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showGridLines="0" workbookViewId="0">
      <pane ySplit="3" topLeftCell="A4" activePane="bottomLeft" state="frozen"/>
      <selection pane="bottomLeft" activeCell="A1" sqref="A1"/>
    </sheetView>
  </sheetViews>
  <sheetFormatPr baseColWidth="8" defaultRowHeight="15"/>
  <cols>
    <col width="25" customWidth="1" min="1" max="1"/>
    <col width="25" customWidth="1" min="2" max="2"/>
    <col width="18" customWidth="1" min="3" max="3"/>
    <col width="15" customWidth="1" min="4" max="4"/>
    <col width="22" customWidth="1" min="5" max="5"/>
    <col width="22" customWidth="1" min="6" max="6"/>
    <col width="45" customWidth="1" min="7" max="7"/>
  </cols>
  <sheetData>
    <row r="1" ht="35" customHeight="1">
      <c r="A1" s="11" t="inlineStr">
        <is>
          <t>SYSTEM INVENTORY - BIA RESULTS</t>
        </is>
      </c>
    </row>
    <row r="2">
      <c r="A2" s="12" t="inlineStr">
        <is>
          <t>Source: Business Impact Analysis (BIA) - RPO/RTO requirements from business stakeholders</t>
        </is>
      </c>
    </row>
    <row r="4">
      <c r="A4" s="13" t="inlineStr">
        <is>
          <t>System Name</t>
        </is>
      </c>
      <c r="B4" s="13" t="inlineStr">
        <is>
          <t>Business Process</t>
        </is>
      </c>
      <c r="C4" s="13" t="inlineStr">
        <is>
          <t>Criticality Tier</t>
        </is>
      </c>
      <c r="D4" s="13" t="inlineStr">
        <is>
          <t>MTPD (hours)</t>
        </is>
      </c>
      <c r="E4" s="13" t="inlineStr">
        <is>
          <t>RPO Requirement (hours)</t>
        </is>
      </c>
      <c r="F4" s="13" t="inlineStr">
        <is>
          <t>RTO Requirement (hours)</t>
        </is>
      </c>
      <c r="G4" s="13" t="inlineStr">
        <is>
          <t>Business Justification</t>
        </is>
      </c>
    </row>
    <row r="5">
      <c r="A5" s="14" t="n"/>
      <c r="B5" s="14" t="n"/>
      <c r="C5" s="14" t="n"/>
      <c r="D5" s="14" t="n"/>
      <c r="E5" s="14" t="n"/>
      <c r="F5" s="14" t="n"/>
      <c r="G5" s="14" t="n"/>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row r="13">
      <c r="A13" s="14" t="n"/>
      <c r="B13" s="14" t="n"/>
      <c r="C13" s="14" t="n"/>
      <c r="D13" s="14" t="n"/>
      <c r="E13" s="14" t="n"/>
      <c r="F13" s="14" t="n"/>
      <c r="G13" s="14" t="n"/>
    </row>
    <row r="14">
      <c r="A14" s="14" t="n"/>
      <c r="B14" s="14" t="n"/>
      <c r="C14" s="14" t="n"/>
      <c r="D14" s="14" t="n"/>
      <c r="E14" s="14" t="n"/>
      <c r="F14" s="14" t="n"/>
      <c r="G14" s="14" t="n"/>
    </row>
    <row r="15">
      <c r="A15" s="15" t="inlineStr">
        <is>
          <t>Example: Application Server</t>
        </is>
      </c>
      <c r="B15" s="15" t="inlineStr">
        <is>
          <t>Online Services</t>
        </is>
      </c>
      <c r="C15" s="15" t="inlineStr">
        <is>
          <t>Tier 1 - Critical</t>
        </is>
      </c>
      <c r="D15" s="15" t="n">
        <v>4</v>
      </c>
      <c r="E15" s="15" t="n">
        <v>1</v>
      </c>
      <c r="F15" s="15" t="n">
        <v>2</v>
      </c>
      <c r="G15" s="16" t="inlineStr">
        <is>
          <t>Enter business justification for RPO/RTO requirements here</t>
        </is>
      </c>
    </row>
    <row r="16">
      <c r="A16" s="17" t="n"/>
      <c r="B16" s="17" t="n"/>
      <c r="C16" s="17" t="n"/>
      <c r="D16" s="17" t="n"/>
      <c r="E16" s="17" t="n"/>
      <c r="F16" s="17" t="n"/>
      <c r="G16" s="17" t="n"/>
    </row>
    <row r="17">
      <c r="A17" s="17" t="n"/>
      <c r="B17" s="17" t="n"/>
      <c r="C17" s="17" t="n"/>
      <c r="D17" s="17" t="n"/>
      <c r="E17" s="17" t="n"/>
      <c r="F17" s="17" t="n"/>
      <c r="G17" s="17" t="n"/>
    </row>
    <row r="18">
      <c r="A18" s="17" t="n"/>
      <c r="B18" s="17" t="n"/>
      <c r="C18" s="17" t="n"/>
      <c r="D18" s="17" t="n"/>
      <c r="E18" s="17" t="n"/>
      <c r="F18" s="17" t="n"/>
      <c r="G18" s="17" t="n"/>
    </row>
    <row r="19">
      <c r="A19" s="17" t="n"/>
      <c r="B19" s="17" t="n"/>
      <c r="C19" s="17" t="n"/>
      <c r="D19" s="17" t="n"/>
      <c r="E19" s="17" t="n"/>
      <c r="F19" s="17" t="n"/>
      <c r="G19" s="17" t="n"/>
    </row>
    <row r="20">
      <c r="A20" s="17" t="n"/>
      <c r="B20" s="17" t="n"/>
      <c r="C20" s="17" t="n"/>
      <c r="D20" s="17" t="n"/>
      <c r="E20" s="17" t="n"/>
      <c r="F20" s="17" t="n"/>
      <c r="G20" s="17" t="n"/>
    </row>
    <row r="21">
      <c r="A21" s="17" t="n"/>
      <c r="B21" s="17" t="n"/>
      <c r="C21" s="17" t="n"/>
      <c r="D21" s="17" t="n"/>
      <c r="E21" s="17" t="n"/>
      <c r="F21" s="17" t="n"/>
      <c r="G21" s="17" t="n"/>
    </row>
    <row r="22">
      <c r="A22" s="17" t="n"/>
      <c r="B22" s="17" t="n"/>
      <c r="C22" s="17" t="n"/>
      <c r="D22" s="17" t="n"/>
      <c r="E22" s="17" t="n"/>
      <c r="F22" s="17" t="n"/>
      <c r="G22" s="17" t="n"/>
    </row>
    <row r="23">
      <c r="A23" s="17" t="n"/>
      <c r="B23" s="17" t="n"/>
      <c r="C23" s="17" t="n"/>
      <c r="D23" s="17" t="n"/>
      <c r="E23" s="17" t="n"/>
      <c r="F23" s="17" t="n"/>
      <c r="G23" s="17" t="n"/>
    </row>
    <row r="24">
      <c r="A24" s="17" t="n"/>
      <c r="B24" s="17" t="n"/>
      <c r="C24" s="17" t="n"/>
      <c r="D24" s="17" t="n"/>
      <c r="E24" s="17" t="n"/>
      <c r="F24" s="17" t="n"/>
      <c r="G24" s="17" t="n"/>
    </row>
    <row r="25">
      <c r="A25" s="17" t="n"/>
      <c r="B25" s="17" t="n"/>
      <c r="C25" s="17" t="n"/>
      <c r="D25" s="17" t="n"/>
      <c r="E25" s="17" t="n"/>
      <c r="F25" s="17" t="n"/>
      <c r="G25" s="17" t="n"/>
    </row>
    <row r="26">
      <c r="A26" s="17" t="n"/>
      <c r="B26" s="17" t="n"/>
      <c r="C26" s="17" t="n"/>
      <c r="D26" s="17" t="n"/>
      <c r="E26" s="17" t="n"/>
      <c r="F26" s="17" t="n"/>
      <c r="G26" s="17" t="n"/>
    </row>
    <row r="27">
      <c r="A27" s="17" t="n"/>
      <c r="B27" s="17" t="n"/>
      <c r="C27" s="17" t="n"/>
      <c r="D27" s="17" t="n"/>
      <c r="E27" s="17" t="n"/>
      <c r="F27" s="17" t="n"/>
      <c r="G27" s="17" t="n"/>
    </row>
    <row r="28">
      <c r="A28" s="17" t="n"/>
      <c r="B28" s="17" t="n"/>
      <c r="C28" s="17" t="n"/>
      <c r="D28" s="17" t="n"/>
      <c r="E28" s="17" t="n"/>
      <c r="F28" s="17" t="n"/>
      <c r="G28" s="17" t="n"/>
    </row>
    <row r="29">
      <c r="A29" s="17" t="n"/>
      <c r="B29" s="17" t="n"/>
      <c r="C29" s="17" t="n"/>
      <c r="D29" s="17" t="n"/>
      <c r="E29" s="17" t="n"/>
      <c r="F29" s="17" t="n"/>
      <c r="G29" s="17" t="n"/>
    </row>
    <row r="30">
      <c r="A30" s="17" t="n"/>
      <c r="B30" s="17" t="n"/>
      <c r="C30" s="17" t="n"/>
      <c r="D30" s="17" t="n"/>
      <c r="E30" s="17" t="n"/>
      <c r="F30" s="17" t="n"/>
      <c r="G30" s="17" t="n"/>
    </row>
    <row r="31">
      <c r="A31" s="17" t="n"/>
      <c r="B31" s="17" t="n"/>
      <c r="C31" s="17" t="n"/>
      <c r="D31" s="17" t="n"/>
      <c r="E31" s="17" t="n"/>
      <c r="F31" s="17" t="n"/>
      <c r="G31" s="17" t="n"/>
    </row>
    <row r="32">
      <c r="A32" s="17" t="n"/>
      <c r="B32" s="17" t="n"/>
      <c r="C32" s="17" t="n"/>
      <c r="D32" s="17" t="n"/>
      <c r="E32" s="17" t="n"/>
      <c r="F32" s="17" t="n"/>
      <c r="G32" s="17" t="n"/>
    </row>
    <row r="33">
      <c r="A33" s="17" t="n"/>
      <c r="B33" s="17" t="n"/>
      <c r="C33" s="17" t="n"/>
      <c r="D33" s="17" t="n"/>
      <c r="E33" s="17" t="n"/>
      <c r="F33" s="17" t="n"/>
      <c r="G33" s="17" t="n"/>
    </row>
    <row r="34">
      <c r="A34" s="17" t="n"/>
      <c r="B34" s="17" t="n"/>
      <c r="C34" s="17" t="n"/>
      <c r="D34" s="17" t="n"/>
      <c r="E34" s="17" t="n"/>
      <c r="F34" s="17" t="n"/>
      <c r="G34" s="17" t="n"/>
    </row>
    <row r="35">
      <c r="A35" s="17" t="n"/>
      <c r="B35" s="17" t="n"/>
      <c r="C35" s="17" t="n"/>
      <c r="D35" s="17" t="n"/>
      <c r="E35" s="17" t="n"/>
      <c r="F35" s="17" t="n"/>
      <c r="G35" s="17" t="n"/>
    </row>
    <row r="36">
      <c r="A36" s="17" t="n"/>
      <c r="B36" s="17" t="n"/>
      <c r="C36" s="17" t="n"/>
      <c r="D36" s="17" t="n"/>
      <c r="E36" s="17" t="n"/>
      <c r="F36" s="17" t="n"/>
      <c r="G36" s="17" t="n"/>
    </row>
    <row r="37">
      <c r="A37" s="17" t="n"/>
      <c r="B37" s="17" t="n"/>
      <c r="C37" s="17" t="n"/>
      <c r="D37" s="17" t="n"/>
      <c r="E37" s="17" t="n"/>
      <c r="F37" s="17" t="n"/>
      <c r="G37" s="17" t="n"/>
    </row>
    <row r="38">
      <c r="A38" s="17" t="n"/>
      <c r="B38" s="17" t="n"/>
      <c r="C38" s="17" t="n"/>
      <c r="D38" s="17" t="n"/>
      <c r="E38" s="17" t="n"/>
      <c r="F38" s="17" t="n"/>
      <c r="G38" s="17" t="n"/>
    </row>
    <row r="39">
      <c r="A39" s="17" t="n"/>
      <c r="B39" s="17" t="n"/>
      <c r="C39" s="17" t="n"/>
      <c r="D39" s="17" t="n"/>
      <c r="E39" s="17" t="n"/>
      <c r="F39" s="17" t="n"/>
      <c r="G39" s="17" t="n"/>
    </row>
    <row r="40">
      <c r="A40" s="17" t="n"/>
      <c r="B40" s="17" t="n"/>
      <c r="C40" s="17" t="n"/>
      <c r="D40" s="17" t="n"/>
      <c r="E40" s="17" t="n"/>
      <c r="F40" s="17" t="n"/>
      <c r="G40" s="17" t="n"/>
    </row>
    <row r="41">
      <c r="A41" s="17" t="n"/>
      <c r="B41" s="17" t="n"/>
      <c r="C41" s="17" t="n"/>
      <c r="D41" s="17" t="n"/>
      <c r="E41" s="17" t="n"/>
      <c r="F41" s="17" t="n"/>
      <c r="G41" s="17" t="n"/>
    </row>
    <row r="42">
      <c r="A42" s="17" t="n"/>
      <c r="B42" s="17" t="n"/>
      <c r="C42" s="17" t="n"/>
      <c r="D42" s="17" t="n"/>
      <c r="E42" s="17" t="n"/>
      <c r="F42" s="17" t="n"/>
      <c r="G42" s="17" t="n"/>
    </row>
    <row r="43">
      <c r="A43" s="17" t="n"/>
      <c r="B43" s="17" t="n"/>
      <c r="C43" s="17" t="n"/>
      <c r="D43" s="17" t="n"/>
      <c r="E43" s="17" t="n"/>
      <c r="F43" s="17" t="n"/>
      <c r="G43" s="17" t="n"/>
    </row>
    <row r="44">
      <c r="A44" s="17" t="n"/>
      <c r="B44" s="17" t="n"/>
      <c r="C44" s="17" t="n"/>
      <c r="D44" s="17" t="n"/>
      <c r="E44" s="17" t="n"/>
      <c r="F44" s="17" t="n"/>
      <c r="G44" s="17" t="n"/>
    </row>
    <row r="45">
      <c r="A45" s="17" t="n"/>
      <c r="B45" s="17" t="n"/>
      <c r="C45" s="17" t="n"/>
      <c r="D45" s="17" t="n"/>
      <c r="E45" s="17" t="n"/>
      <c r="F45" s="17" t="n"/>
      <c r="G45" s="17" t="n"/>
    </row>
    <row r="46">
      <c r="A46" s="17" t="n"/>
      <c r="B46" s="17" t="n"/>
      <c r="C46" s="17" t="n"/>
      <c r="D46" s="17" t="n"/>
      <c r="E46" s="17" t="n"/>
      <c r="F46" s="17" t="n"/>
      <c r="G46" s="17" t="n"/>
    </row>
    <row r="47">
      <c r="A47" s="17" t="n"/>
      <c r="B47" s="17" t="n"/>
      <c r="C47" s="17" t="n"/>
      <c r="D47" s="17" t="n"/>
      <c r="E47" s="17" t="n"/>
      <c r="F47" s="17" t="n"/>
      <c r="G47" s="17" t="n"/>
    </row>
    <row r="48">
      <c r="A48" s="17" t="n"/>
      <c r="B48" s="17" t="n"/>
      <c r="C48" s="17" t="n"/>
      <c r="D48" s="17" t="n"/>
      <c r="E48" s="17" t="n"/>
      <c r="F48" s="17" t="n"/>
      <c r="G48" s="17" t="n"/>
    </row>
    <row r="49">
      <c r="A49" s="17" t="n"/>
      <c r="B49" s="17" t="n"/>
      <c r="C49" s="17" t="n"/>
      <c r="D49" s="17" t="n"/>
      <c r="E49" s="17" t="n"/>
      <c r="F49" s="17" t="n"/>
      <c r="G49" s="17" t="n"/>
    </row>
    <row r="50">
      <c r="A50" s="17" t="n"/>
      <c r="B50" s="17" t="n"/>
      <c r="C50" s="17" t="n"/>
      <c r="D50" s="17" t="n"/>
      <c r="E50" s="17" t="n"/>
      <c r="F50" s="17" t="n"/>
      <c r="G50" s="17" t="n"/>
    </row>
    <row r="51">
      <c r="A51" s="17" t="n"/>
      <c r="B51" s="17" t="n"/>
      <c r="C51" s="17" t="n"/>
      <c r="D51" s="17" t="n"/>
      <c r="E51" s="17" t="n"/>
      <c r="F51" s="17" t="n"/>
      <c r="G51" s="17" t="n"/>
    </row>
    <row r="52">
      <c r="A52" s="17" t="n"/>
      <c r="B52" s="17" t="n"/>
      <c r="C52" s="17" t="n"/>
      <c r="D52" s="17" t="n"/>
      <c r="E52" s="17" t="n"/>
      <c r="F52" s="17" t="n"/>
      <c r="G52" s="17" t="n"/>
    </row>
    <row r="53">
      <c r="A53" s="17" t="n"/>
      <c r="B53" s="17" t="n"/>
      <c r="C53" s="17" t="n"/>
      <c r="D53" s="17" t="n"/>
      <c r="E53" s="17" t="n"/>
      <c r="F53" s="17" t="n"/>
      <c r="G53" s="17" t="n"/>
    </row>
    <row r="54">
      <c r="A54" s="17" t="n"/>
      <c r="B54" s="17" t="n"/>
      <c r="C54" s="17" t="n"/>
      <c r="D54" s="17" t="n"/>
      <c r="E54" s="17" t="n"/>
      <c r="F54" s="17" t="n"/>
      <c r="G54" s="17" t="n"/>
    </row>
    <row r="55">
      <c r="A55" s="17" t="n"/>
      <c r="B55" s="17" t="n"/>
      <c r="C55" s="17" t="n"/>
      <c r="D55" s="17" t="n"/>
      <c r="E55" s="17" t="n"/>
      <c r="F55" s="17" t="n"/>
      <c r="G55" s="17" t="n"/>
    </row>
    <row r="56">
      <c r="A56" s="17" t="n"/>
      <c r="B56" s="17" t="n"/>
      <c r="C56" s="17" t="n"/>
      <c r="D56" s="17" t="n"/>
      <c r="E56" s="17" t="n"/>
      <c r="F56" s="17" t="n"/>
      <c r="G56" s="17" t="n"/>
    </row>
    <row r="57">
      <c r="A57" s="17" t="n"/>
      <c r="B57" s="17" t="n"/>
      <c r="C57" s="17" t="n"/>
      <c r="D57" s="17" t="n"/>
      <c r="E57" s="17" t="n"/>
      <c r="F57" s="17" t="n"/>
      <c r="G57" s="17" t="n"/>
    </row>
    <row r="58">
      <c r="A58" s="17" t="n"/>
      <c r="B58" s="17" t="n"/>
      <c r="C58" s="17" t="n"/>
      <c r="D58" s="17" t="n"/>
      <c r="E58" s="17" t="n"/>
      <c r="F58" s="17" t="n"/>
      <c r="G58" s="17" t="n"/>
    </row>
    <row r="59">
      <c r="A59" s="17" t="n"/>
      <c r="B59" s="17" t="n"/>
      <c r="C59" s="17" t="n"/>
      <c r="D59" s="17" t="n"/>
      <c r="E59" s="17" t="n"/>
      <c r="F59" s="17" t="n"/>
      <c r="G59" s="17" t="n"/>
    </row>
    <row r="60">
      <c r="A60" s="17" t="n"/>
      <c r="B60" s="17" t="n"/>
      <c r="C60" s="17" t="n"/>
      <c r="D60" s="17" t="n"/>
      <c r="E60" s="17" t="n"/>
      <c r="F60" s="17" t="n"/>
      <c r="G60" s="17" t="n"/>
    </row>
    <row r="61">
      <c r="A61" s="17" t="n"/>
      <c r="B61" s="17" t="n"/>
      <c r="C61" s="17" t="n"/>
      <c r="D61" s="17" t="n"/>
      <c r="E61" s="17" t="n"/>
      <c r="F61" s="17" t="n"/>
      <c r="G61" s="17" t="n"/>
    </row>
    <row r="62">
      <c r="A62" s="17" t="n"/>
      <c r="B62" s="17" t="n"/>
      <c r="C62" s="17" t="n"/>
      <c r="D62" s="17" t="n"/>
      <c r="E62" s="17" t="n"/>
      <c r="F62" s="17" t="n"/>
      <c r="G62" s="17" t="n"/>
    </row>
    <row r="63">
      <c r="A63" s="17" t="n"/>
      <c r="B63" s="17" t="n"/>
      <c r="C63" s="17" t="n"/>
      <c r="D63" s="17" t="n"/>
      <c r="E63" s="17" t="n"/>
      <c r="F63" s="17" t="n"/>
      <c r="G63" s="17" t="n"/>
    </row>
    <row r="64">
      <c r="A64" s="17" t="n"/>
      <c r="B64" s="17" t="n"/>
      <c r="C64" s="17" t="n"/>
      <c r="D64" s="17" t="n"/>
      <c r="E64" s="17" t="n"/>
      <c r="F64" s="17" t="n"/>
      <c r="G64" s="17" t="n"/>
    </row>
    <row r="65">
      <c r="A65" s="17" t="n"/>
      <c r="B65" s="17" t="n"/>
      <c r="C65" s="17" t="n"/>
      <c r="D65" s="17" t="n"/>
      <c r="E65" s="17" t="n"/>
      <c r="F65" s="17" t="n"/>
      <c r="G65" s="17" t="n"/>
    </row>
    <row r="67">
      <c r="A67" s="18" t="inlineStr">
        <is>
          <t>DATA SOURCE: Business Impact Analysis (BIA) - Requirements are business-driven, not IT-driven</t>
        </is>
      </c>
    </row>
    <row r="68">
      <c r="A68" s="18" t="inlineStr">
        <is>
          <t>MTPD = Maximum Tolerable Period of Disruption | RPO = Recovery Point Objective | RTO = Recovery Time Objective</t>
        </is>
      </c>
    </row>
  </sheetData>
  <mergeCells count="4">
    <mergeCell ref="A67:G67"/>
    <mergeCell ref="A68:G68"/>
    <mergeCell ref="A2:G2"/>
    <mergeCell ref="A1:G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"Tier 1 - Critical,Tier 2 - Important,Tier 3 - Standard,Tier 4 - 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
  <sheetViews>
    <sheetView showGridLines="0" workbookViewId="0">
      <pane ySplit="3" topLeftCell="A4" activePane="bottomLeft" state="frozen"/>
      <selection pane="bottomLeft" activeCell="A1" sqref="A1"/>
    </sheetView>
  </sheetViews>
  <sheetFormatPr baseColWidth="8" defaultRowHeight="15"/>
  <cols>
    <col width="25" customWidth="1" min="1" max="1"/>
    <col width="24" customWidth="1" min="2" max="2"/>
    <col width="26" customWidth="1" min="3" max="3"/>
    <col width="28" customWidth="1" min="4" max="4"/>
    <col width="22" customWidth="1" min="5" max="5"/>
    <col width="22" customWidth="1" min="6" max="6"/>
    <col width="35" customWidth="1" min="7" max="7"/>
  </cols>
  <sheetData>
    <row r="1" ht="35" customHeight="1">
      <c r="A1" s="11" t="inlineStr">
        <is>
          <t>CAPABILITY ASSESSMENT - TESTED TECHNICAL CAPABILITIES</t>
        </is>
      </c>
    </row>
    <row r="2">
      <c r="A2" s="12" t="inlineStr">
        <is>
          <t>Source: Testing Results - Actual measured recovery times (restore tests, failover tests)</t>
        </is>
      </c>
    </row>
    <row r="4">
      <c r="A4" s="13" t="inlineStr">
        <is>
          <t>System Name</t>
        </is>
      </c>
      <c r="B4" s="13" t="inlineStr">
        <is>
          <t>Backup Frequency (hours)</t>
        </is>
      </c>
      <c r="C4" s="13" t="inlineStr">
        <is>
          <t>Restore Time Tested (hours)</t>
        </is>
      </c>
      <c r="D4" s="13" t="inlineStr">
        <is>
          <t>Failover Time Tested (hours)</t>
        </is>
      </c>
      <c r="E4" s="13" t="inlineStr">
        <is>
          <t>RPO Capability (hours)</t>
        </is>
      </c>
      <c r="F4" s="13" t="inlineStr">
        <is>
          <t>RTO Capability (hours)</t>
        </is>
      </c>
      <c r="G4" s="13" t="inlineStr">
        <is>
          <t>Test Notes / Observations</t>
        </is>
      </c>
    </row>
    <row r="5">
      <c r="A5" s="14" t="n"/>
      <c r="B5" s="14" t="n"/>
      <c r="C5" s="14" t="n"/>
      <c r="D5" s="14" t="n"/>
      <c r="E5" s="19">
        <f>IF(ISNUMBER(B5),B5,"")</f>
        <v/>
      </c>
      <c r="F5" s="19">
        <f>IF(AND(ISNUMBER(C5),ISNUMBER(D5)),MIN(C5,D5),IF(ISNUMBER(C5),C5,IF(ISNUMBER(D5),D5,"")))</f>
        <v/>
      </c>
      <c r="G5" s="14" t="n"/>
    </row>
    <row r="6">
      <c r="A6" s="14" t="n"/>
      <c r="B6" s="14" t="n"/>
      <c r="C6" s="14" t="n"/>
      <c r="D6" s="14" t="n"/>
      <c r="E6" s="19">
        <f>IF(ISNUMBER(B6),B6,"")</f>
        <v/>
      </c>
      <c r="F6" s="19">
        <f>IF(AND(ISNUMBER(C6),ISNUMBER(D6)),MIN(C6,D6),IF(ISNUMBER(C6),C6,IF(ISNUMBER(D6),D6,"")))</f>
        <v/>
      </c>
      <c r="G6" s="14" t="n"/>
    </row>
    <row r="7">
      <c r="A7" s="14" t="n"/>
      <c r="B7" s="14" t="n"/>
      <c r="C7" s="14" t="n"/>
      <c r="D7" s="14" t="n"/>
      <c r="E7" s="19">
        <f>IF(ISNUMBER(B7),B7,"")</f>
        <v/>
      </c>
      <c r="F7" s="19">
        <f>IF(AND(ISNUMBER(C7),ISNUMBER(D7)),MIN(C7,D7),IF(ISNUMBER(C7),C7,IF(ISNUMBER(D7),D7,"")))</f>
        <v/>
      </c>
      <c r="G7" s="14" t="n"/>
    </row>
    <row r="8">
      <c r="A8" s="14" t="n"/>
      <c r="B8" s="14" t="n"/>
      <c r="C8" s="14" t="n"/>
      <c r="D8" s="14" t="n"/>
      <c r="E8" s="19">
        <f>IF(ISNUMBER(B8),B8,"")</f>
        <v/>
      </c>
      <c r="F8" s="19">
        <f>IF(AND(ISNUMBER(C8),ISNUMBER(D8)),MIN(C8,D8),IF(ISNUMBER(C8),C8,IF(ISNUMBER(D8),D8,"")))</f>
        <v/>
      </c>
      <c r="G8" s="14" t="n"/>
    </row>
    <row r="9">
      <c r="A9" s="14" t="n"/>
      <c r="B9" s="14" t="n"/>
      <c r="C9" s="14" t="n"/>
      <c r="D9" s="14" t="n"/>
      <c r="E9" s="19">
        <f>IF(ISNUMBER(B9),B9,"")</f>
        <v/>
      </c>
      <c r="F9" s="19">
        <f>IF(AND(ISNUMBER(C9),ISNUMBER(D9)),MIN(C9,D9),IF(ISNUMBER(C9),C9,IF(ISNUMBER(D9),D9,"")))</f>
        <v/>
      </c>
      <c r="G9" s="14" t="n"/>
    </row>
    <row r="10">
      <c r="A10" s="14" t="n"/>
      <c r="B10" s="14" t="n"/>
      <c r="C10" s="14" t="n"/>
      <c r="D10" s="14" t="n"/>
      <c r="E10" s="19">
        <f>IF(ISNUMBER(B10),B10,"")</f>
        <v/>
      </c>
      <c r="F10" s="19">
        <f>IF(AND(ISNUMBER(C10),ISNUMBER(D10)),MIN(C10,D10),IF(ISNUMBER(C10),C10,IF(ISNUMBER(D10),D10,"")))</f>
        <v/>
      </c>
      <c r="G10" s="14" t="n"/>
    </row>
    <row r="11">
      <c r="A11" s="14" t="n"/>
      <c r="B11" s="14" t="n"/>
      <c r="C11" s="14" t="n"/>
      <c r="D11" s="14" t="n"/>
      <c r="E11" s="19">
        <f>IF(ISNUMBER(B11),B11,"")</f>
        <v/>
      </c>
      <c r="F11" s="19">
        <f>IF(AND(ISNUMBER(C11),ISNUMBER(D11)),MIN(C11,D11),IF(ISNUMBER(C11),C11,IF(ISNUMBER(D11),D11,"")))</f>
        <v/>
      </c>
      <c r="G11" s="14" t="n"/>
    </row>
    <row r="12">
      <c r="A12" s="14" t="n"/>
      <c r="B12" s="14" t="n"/>
      <c r="C12" s="14" t="n"/>
      <c r="D12" s="14" t="n"/>
      <c r="E12" s="19">
        <f>IF(ISNUMBER(B12),B12,"")</f>
        <v/>
      </c>
      <c r="F12" s="19">
        <f>IF(AND(ISNUMBER(C12),ISNUMBER(D12)),MIN(C12,D12),IF(ISNUMBER(C12),C12,IF(ISNUMBER(D12),D12,"")))</f>
        <v/>
      </c>
      <c r="G12" s="14" t="n"/>
    </row>
    <row r="13">
      <c r="A13" s="14" t="n"/>
      <c r="B13" s="14" t="n"/>
      <c r="C13" s="14" t="n"/>
      <c r="D13" s="14" t="n"/>
      <c r="E13" s="19">
        <f>IF(ISNUMBER(B13),B13,"")</f>
        <v/>
      </c>
      <c r="F13" s="19">
        <f>IF(AND(ISNUMBER(C13),ISNUMBER(D13)),MIN(C13,D13),IF(ISNUMBER(C13),C13,IF(ISNUMBER(D13),D13,"")))</f>
        <v/>
      </c>
      <c r="G13" s="14" t="n"/>
    </row>
    <row r="14">
      <c r="A14" s="14" t="n"/>
      <c r="B14" s="14" t="n"/>
      <c r="C14" s="14" t="n"/>
      <c r="D14" s="14" t="n"/>
      <c r="E14" s="19">
        <f>IF(ISNUMBER(B14),B14,"")</f>
        <v/>
      </c>
      <c r="F14" s="19">
        <f>IF(AND(ISNUMBER(C14),ISNUMBER(D14)),MIN(C14,D14),IF(ISNUMBER(C14),C14,IF(ISNUMBER(D14),D14,"")))</f>
        <v/>
      </c>
      <c r="G14" s="14" t="n"/>
    </row>
    <row r="15">
      <c r="A15" s="15" t="inlineStr">
        <is>
          <t>Example: Application Server</t>
        </is>
      </c>
      <c r="B15" s="15" t="n">
        <v>1</v>
      </c>
      <c r="C15" s="15" t="n">
        <v>4</v>
      </c>
      <c r="D15" s="15" t="inlineStr"/>
      <c r="E15" s="19">
        <f>IF(ISNUMBER(B15),B15,"")</f>
        <v/>
      </c>
      <c r="F15" s="19">
        <f>IF(AND(ISNUMBER(C15),ISNUMBER(D15)),MIN(C15,D15),IF(ISNUMBER(C15),C15,IF(ISNUMBER(D15),D15,"")))</f>
        <v/>
      </c>
      <c r="G15" s="16" t="inlineStr">
        <is>
          <t>Enter tested recovery times and observations</t>
        </is>
      </c>
    </row>
    <row r="16">
      <c r="A16" s="17" t="n"/>
      <c r="B16" s="17" t="n"/>
      <c r="C16" s="17" t="n"/>
      <c r="D16" s="17" t="n"/>
      <c r="E16" s="19">
        <f>IF(ISNUMBER(B16),B16,"")</f>
        <v/>
      </c>
      <c r="F16" s="19">
        <f>IF(AND(ISNUMBER(C16),ISNUMBER(D16)),MIN(C16,D16),IF(ISNUMBER(C16),C16,IF(ISNUMBER(D16),D16,"")))</f>
        <v/>
      </c>
      <c r="G16" s="17" t="n"/>
    </row>
    <row r="17">
      <c r="A17" s="17" t="n"/>
      <c r="B17" s="17" t="n"/>
      <c r="C17" s="17" t="n"/>
      <c r="D17" s="17" t="n"/>
      <c r="E17" s="19">
        <f>IF(ISNUMBER(B17),B17,"")</f>
        <v/>
      </c>
      <c r="F17" s="19">
        <f>IF(AND(ISNUMBER(C17),ISNUMBER(D17)),MIN(C17,D17),IF(ISNUMBER(C17),C17,IF(ISNUMBER(D17),D17,"")))</f>
        <v/>
      </c>
      <c r="G17" s="17" t="n"/>
    </row>
    <row r="18">
      <c r="A18" s="17" t="n"/>
      <c r="B18" s="17" t="n"/>
      <c r="C18" s="17" t="n"/>
      <c r="D18" s="17" t="n"/>
      <c r="E18" s="19">
        <f>IF(ISNUMBER(B18),B18,"")</f>
        <v/>
      </c>
      <c r="F18" s="19">
        <f>IF(AND(ISNUMBER(C18),ISNUMBER(D18)),MIN(C18,D18),IF(ISNUMBER(C18),C18,IF(ISNUMBER(D18),D18,"")))</f>
        <v/>
      </c>
      <c r="G18" s="17" t="n"/>
    </row>
    <row r="19">
      <c r="A19" s="17" t="n"/>
      <c r="B19" s="17" t="n"/>
      <c r="C19" s="17" t="n"/>
      <c r="D19" s="17" t="n"/>
      <c r="E19" s="19">
        <f>IF(ISNUMBER(B19),B19,"")</f>
        <v/>
      </c>
      <c r="F19" s="19">
        <f>IF(AND(ISNUMBER(C19),ISNUMBER(D19)),MIN(C19,D19),IF(ISNUMBER(C19),C19,IF(ISNUMBER(D19),D19,"")))</f>
        <v/>
      </c>
      <c r="G19" s="17" t="n"/>
    </row>
    <row r="20">
      <c r="A20" s="17" t="n"/>
      <c r="B20" s="17" t="n"/>
      <c r="C20" s="17" t="n"/>
      <c r="D20" s="17" t="n"/>
      <c r="E20" s="19">
        <f>IF(ISNUMBER(B20),B20,"")</f>
        <v/>
      </c>
      <c r="F20" s="19">
        <f>IF(AND(ISNUMBER(C20),ISNUMBER(D20)),MIN(C20,D20),IF(ISNUMBER(C20),C20,IF(ISNUMBER(D20),D20,"")))</f>
        <v/>
      </c>
      <c r="G20" s="17" t="n"/>
    </row>
    <row r="21">
      <c r="A21" s="17" t="n"/>
      <c r="B21" s="17" t="n"/>
      <c r="C21" s="17" t="n"/>
      <c r="D21" s="17" t="n"/>
      <c r="E21" s="19">
        <f>IF(ISNUMBER(B21),B21,"")</f>
        <v/>
      </c>
      <c r="F21" s="19">
        <f>IF(AND(ISNUMBER(C21),ISNUMBER(D21)),MIN(C21,D21),IF(ISNUMBER(C21),C21,IF(ISNUMBER(D21),D21,"")))</f>
        <v/>
      </c>
      <c r="G21" s="17" t="n"/>
    </row>
    <row r="22">
      <c r="A22" s="17" t="n"/>
      <c r="B22" s="17" t="n"/>
      <c r="C22" s="17" t="n"/>
      <c r="D22" s="17" t="n"/>
      <c r="E22" s="19">
        <f>IF(ISNUMBER(B22),B22,"")</f>
        <v/>
      </c>
      <c r="F22" s="19">
        <f>IF(AND(ISNUMBER(C22),ISNUMBER(D22)),MIN(C22,D22),IF(ISNUMBER(C22),C22,IF(ISNUMBER(D22),D22,"")))</f>
        <v/>
      </c>
      <c r="G22" s="17" t="n"/>
    </row>
    <row r="23">
      <c r="A23" s="17" t="n"/>
      <c r="B23" s="17" t="n"/>
      <c r="C23" s="17" t="n"/>
      <c r="D23" s="17" t="n"/>
      <c r="E23" s="19">
        <f>IF(ISNUMBER(B23),B23,"")</f>
        <v/>
      </c>
      <c r="F23" s="19">
        <f>IF(AND(ISNUMBER(C23),ISNUMBER(D23)),MIN(C23,D23),IF(ISNUMBER(C23),C23,IF(ISNUMBER(D23),D23,"")))</f>
        <v/>
      </c>
      <c r="G23" s="17" t="n"/>
    </row>
    <row r="24">
      <c r="A24" s="17" t="n"/>
      <c r="B24" s="17" t="n"/>
      <c r="C24" s="17" t="n"/>
      <c r="D24" s="17" t="n"/>
      <c r="E24" s="19">
        <f>IF(ISNUMBER(B24),B24,"")</f>
        <v/>
      </c>
      <c r="F24" s="19">
        <f>IF(AND(ISNUMBER(C24),ISNUMBER(D24)),MIN(C24,D24),IF(ISNUMBER(C24),C24,IF(ISNUMBER(D24),D24,"")))</f>
        <v/>
      </c>
      <c r="G24" s="17" t="n"/>
    </row>
    <row r="25">
      <c r="A25" s="17" t="n"/>
      <c r="B25" s="17" t="n"/>
      <c r="C25" s="17" t="n"/>
      <c r="D25" s="17" t="n"/>
      <c r="E25" s="19">
        <f>IF(ISNUMBER(B25),B25,"")</f>
        <v/>
      </c>
      <c r="F25" s="19">
        <f>IF(AND(ISNUMBER(C25),ISNUMBER(D25)),MIN(C25,D25),IF(ISNUMBER(C25),C25,IF(ISNUMBER(D25),D25,"")))</f>
        <v/>
      </c>
      <c r="G25" s="17" t="n"/>
    </row>
    <row r="26">
      <c r="A26" s="17" t="n"/>
      <c r="B26" s="17" t="n"/>
      <c r="C26" s="17" t="n"/>
      <c r="D26" s="17" t="n"/>
      <c r="E26" s="19">
        <f>IF(ISNUMBER(B26),B26,"")</f>
        <v/>
      </c>
      <c r="F26" s="19">
        <f>IF(AND(ISNUMBER(C26),ISNUMBER(D26)),MIN(C26,D26),IF(ISNUMBER(C26),C26,IF(ISNUMBER(D26),D26,"")))</f>
        <v/>
      </c>
      <c r="G26" s="17" t="n"/>
    </row>
    <row r="27">
      <c r="A27" s="17" t="n"/>
      <c r="B27" s="17" t="n"/>
      <c r="C27" s="17" t="n"/>
      <c r="D27" s="17" t="n"/>
      <c r="E27" s="19">
        <f>IF(ISNUMBER(B27),B27,"")</f>
        <v/>
      </c>
      <c r="F27" s="19">
        <f>IF(AND(ISNUMBER(C27),ISNUMBER(D27)),MIN(C27,D27),IF(ISNUMBER(C27),C27,IF(ISNUMBER(D27),D27,"")))</f>
        <v/>
      </c>
      <c r="G27" s="17" t="n"/>
    </row>
    <row r="28">
      <c r="A28" s="17" t="n"/>
      <c r="B28" s="17" t="n"/>
      <c r="C28" s="17" t="n"/>
      <c r="D28" s="17" t="n"/>
      <c r="E28" s="19">
        <f>IF(ISNUMBER(B28),B28,"")</f>
        <v/>
      </c>
      <c r="F28" s="19">
        <f>IF(AND(ISNUMBER(C28),ISNUMBER(D28)),MIN(C28,D28),IF(ISNUMBER(C28),C28,IF(ISNUMBER(D28),D28,"")))</f>
        <v/>
      </c>
      <c r="G28" s="17" t="n"/>
    </row>
    <row r="29">
      <c r="A29" s="17" t="n"/>
      <c r="B29" s="17" t="n"/>
      <c r="C29" s="17" t="n"/>
      <c r="D29" s="17" t="n"/>
      <c r="E29" s="19">
        <f>IF(ISNUMBER(B29),B29,"")</f>
        <v/>
      </c>
      <c r="F29" s="19">
        <f>IF(AND(ISNUMBER(C29),ISNUMBER(D29)),MIN(C29,D29),IF(ISNUMBER(C29),C29,IF(ISNUMBER(D29),D29,"")))</f>
        <v/>
      </c>
      <c r="G29" s="17" t="n"/>
    </row>
    <row r="30">
      <c r="A30" s="17" t="n"/>
      <c r="B30" s="17" t="n"/>
      <c r="C30" s="17" t="n"/>
      <c r="D30" s="17" t="n"/>
      <c r="E30" s="19">
        <f>IF(ISNUMBER(B30),B30,"")</f>
        <v/>
      </c>
      <c r="F30" s="19">
        <f>IF(AND(ISNUMBER(C30),ISNUMBER(D30)),MIN(C30,D30),IF(ISNUMBER(C30),C30,IF(ISNUMBER(D30),D30,"")))</f>
        <v/>
      </c>
      <c r="G30" s="17" t="n"/>
    </row>
    <row r="31">
      <c r="A31" s="17" t="n"/>
      <c r="B31" s="17" t="n"/>
      <c r="C31" s="17" t="n"/>
      <c r="D31" s="17" t="n"/>
      <c r="E31" s="19">
        <f>IF(ISNUMBER(B31),B31,"")</f>
        <v/>
      </c>
      <c r="F31" s="19">
        <f>IF(AND(ISNUMBER(C31),ISNUMBER(D31)),MIN(C31,D31),IF(ISNUMBER(C31),C31,IF(ISNUMBER(D31),D31,"")))</f>
        <v/>
      </c>
      <c r="G31" s="17" t="n"/>
    </row>
    <row r="32">
      <c r="A32" s="17" t="n"/>
      <c r="B32" s="17" t="n"/>
      <c r="C32" s="17" t="n"/>
      <c r="D32" s="17" t="n"/>
      <c r="E32" s="19">
        <f>IF(ISNUMBER(B32),B32,"")</f>
        <v/>
      </c>
      <c r="F32" s="19">
        <f>IF(AND(ISNUMBER(C32),ISNUMBER(D32)),MIN(C32,D32),IF(ISNUMBER(C32),C32,IF(ISNUMBER(D32),D32,"")))</f>
        <v/>
      </c>
      <c r="G32" s="17" t="n"/>
    </row>
    <row r="33">
      <c r="A33" s="17" t="n"/>
      <c r="B33" s="17" t="n"/>
      <c r="C33" s="17" t="n"/>
      <c r="D33" s="17" t="n"/>
      <c r="E33" s="19">
        <f>IF(ISNUMBER(B33),B33,"")</f>
        <v/>
      </c>
      <c r="F33" s="19">
        <f>IF(AND(ISNUMBER(C33),ISNUMBER(D33)),MIN(C33,D33),IF(ISNUMBER(C33),C33,IF(ISNUMBER(D33),D33,"")))</f>
        <v/>
      </c>
      <c r="G33" s="17" t="n"/>
    </row>
    <row r="34">
      <c r="A34" s="17" t="n"/>
      <c r="B34" s="17" t="n"/>
      <c r="C34" s="17" t="n"/>
      <c r="D34" s="17" t="n"/>
      <c r="E34" s="19">
        <f>IF(ISNUMBER(B34),B34,"")</f>
        <v/>
      </c>
      <c r="F34" s="19">
        <f>IF(AND(ISNUMBER(C34),ISNUMBER(D34)),MIN(C34,D34),IF(ISNUMBER(C34),C34,IF(ISNUMBER(D34),D34,"")))</f>
        <v/>
      </c>
      <c r="G34" s="17" t="n"/>
    </row>
    <row r="35">
      <c r="A35" s="17" t="n"/>
      <c r="B35" s="17" t="n"/>
      <c r="C35" s="17" t="n"/>
      <c r="D35" s="17" t="n"/>
      <c r="E35" s="19">
        <f>IF(ISNUMBER(B35),B35,"")</f>
        <v/>
      </c>
      <c r="F35" s="19">
        <f>IF(AND(ISNUMBER(C35),ISNUMBER(D35)),MIN(C35,D35),IF(ISNUMBER(C35),C35,IF(ISNUMBER(D35),D35,"")))</f>
        <v/>
      </c>
      <c r="G35" s="17" t="n"/>
    </row>
    <row r="36">
      <c r="A36" s="17" t="n"/>
      <c r="B36" s="17" t="n"/>
      <c r="C36" s="17" t="n"/>
      <c r="D36" s="17" t="n"/>
      <c r="E36" s="19">
        <f>IF(ISNUMBER(B36),B36,"")</f>
        <v/>
      </c>
      <c r="F36" s="19">
        <f>IF(AND(ISNUMBER(C36),ISNUMBER(D36)),MIN(C36,D36),IF(ISNUMBER(C36),C36,IF(ISNUMBER(D36),D36,"")))</f>
        <v/>
      </c>
      <c r="G36" s="17" t="n"/>
    </row>
    <row r="37">
      <c r="A37" s="17" t="n"/>
      <c r="B37" s="17" t="n"/>
      <c r="C37" s="17" t="n"/>
      <c r="D37" s="17" t="n"/>
      <c r="E37" s="19">
        <f>IF(ISNUMBER(B37),B37,"")</f>
        <v/>
      </c>
      <c r="F37" s="19">
        <f>IF(AND(ISNUMBER(C37),ISNUMBER(D37)),MIN(C37,D37),IF(ISNUMBER(C37),C37,IF(ISNUMBER(D37),D37,"")))</f>
        <v/>
      </c>
      <c r="G37" s="17" t="n"/>
    </row>
    <row r="38">
      <c r="A38" s="17" t="n"/>
      <c r="B38" s="17" t="n"/>
      <c r="C38" s="17" t="n"/>
      <c r="D38" s="17" t="n"/>
      <c r="E38" s="19">
        <f>IF(ISNUMBER(B38),B38,"")</f>
        <v/>
      </c>
      <c r="F38" s="19">
        <f>IF(AND(ISNUMBER(C38),ISNUMBER(D38)),MIN(C38,D38),IF(ISNUMBER(C38),C38,IF(ISNUMBER(D38),D38,"")))</f>
        <v/>
      </c>
      <c r="G38" s="17" t="n"/>
    </row>
    <row r="39">
      <c r="A39" s="17" t="n"/>
      <c r="B39" s="17" t="n"/>
      <c r="C39" s="17" t="n"/>
      <c r="D39" s="17" t="n"/>
      <c r="E39" s="19">
        <f>IF(ISNUMBER(B39),B39,"")</f>
        <v/>
      </c>
      <c r="F39" s="19">
        <f>IF(AND(ISNUMBER(C39),ISNUMBER(D39)),MIN(C39,D39),IF(ISNUMBER(C39),C39,IF(ISNUMBER(D39),D39,"")))</f>
        <v/>
      </c>
      <c r="G39" s="17" t="n"/>
    </row>
    <row r="40">
      <c r="A40" s="17" t="n"/>
      <c r="B40" s="17" t="n"/>
      <c r="C40" s="17" t="n"/>
      <c r="D40" s="17" t="n"/>
      <c r="E40" s="19">
        <f>IF(ISNUMBER(B40),B40,"")</f>
        <v/>
      </c>
      <c r="F40" s="19">
        <f>IF(AND(ISNUMBER(C40),ISNUMBER(D40)),MIN(C40,D40),IF(ISNUMBER(C40),C40,IF(ISNUMBER(D40),D40,"")))</f>
        <v/>
      </c>
      <c r="G40" s="17" t="n"/>
    </row>
    <row r="41">
      <c r="A41" s="17" t="n"/>
      <c r="B41" s="17" t="n"/>
      <c r="C41" s="17" t="n"/>
      <c r="D41" s="17" t="n"/>
      <c r="E41" s="19">
        <f>IF(ISNUMBER(B41),B41,"")</f>
        <v/>
      </c>
      <c r="F41" s="19">
        <f>IF(AND(ISNUMBER(C41),ISNUMBER(D41)),MIN(C41,D41),IF(ISNUMBER(C41),C41,IF(ISNUMBER(D41),D41,"")))</f>
        <v/>
      </c>
      <c r="G41" s="17" t="n"/>
    </row>
    <row r="42">
      <c r="A42" s="17" t="n"/>
      <c r="B42" s="17" t="n"/>
      <c r="C42" s="17" t="n"/>
      <c r="D42" s="17" t="n"/>
      <c r="E42" s="19">
        <f>IF(ISNUMBER(B42),B42,"")</f>
        <v/>
      </c>
      <c r="F42" s="19">
        <f>IF(AND(ISNUMBER(C42),ISNUMBER(D42)),MIN(C42,D42),IF(ISNUMBER(C42),C42,IF(ISNUMBER(D42),D42,"")))</f>
        <v/>
      </c>
      <c r="G42" s="17" t="n"/>
    </row>
    <row r="43">
      <c r="A43" s="17" t="n"/>
      <c r="B43" s="17" t="n"/>
      <c r="C43" s="17" t="n"/>
      <c r="D43" s="17" t="n"/>
      <c r="E43" s="19">
        <f>IF(ISNUMBER(B43),B43,"")</f>
        <v/>
      </c>
      <c r="F43" s="19">
        <f>IF(AND(ISNUMBER(C43),ISNUMBER(D43)),MIN(C43,D43),IF(ISNUMBER(C43),C43,IF(ISNUMBER(D43),D43,"")))</f>
        <v/>
      </c>
      <c r="G43" s="17" t="n"/>
    </row>
    <row r="44">
      <c r="A44" s="17" t="n"/>
      <c r="B44" s="17" t="n"/>
      <c r="C44" s="17" t="n"/>
      <c r="D44" s="17" t="n"/>
      <c r="E44" s="19">
        <f>IF(ISNUMBER(B44),B44,"")</f>
        <v/>
      </c>
      <c r="F44" s="19">
        <f>IF(AND(ISNUMBER(C44),ISNUMBER(D44)),MIN(C44,D44),IF(ISNUMBER(C44),C44,IF(ISNUMBER(D44),D44,"")))</f>
        <v/>
      </c>
      <c r="G44" s="17" t="n"/>
    </row>
    <row r="45">
      <c r="A45" s="17" t="n"/>
      <c r="B45" s="17" t="n"/>
      <c r="C45" s="17" t="n"/>
      <c r="D45" s="17" t="n"/>
      <c r="E45" s="19">
        <f>IF(ISNUMBER(B45),B45,"")</f>
        <v/>
      </c>
      <c r="F45" s="19">
        <f>IF(AND(ISNUMBER(C45),ISNUMBER(D45)),MIN(C45,D45),IF(ISNUMBER(C45),C45,IF(ISNUMBER(D45),D45,"")))</f>
        <v/>
      </c>
      <c r="G45" s="17" t="n"/>
    </row>
    <row r="46">
      <c r="A46" s="17" t="n"/>
      <c r="B46" s="17" t="n"/>
      <c r="C46" s="17" t="n"/>
      <c r="D46" s="17" t="n"/>
      <c r="E46" s="19">
        <f>IF(ISNUMBER(B46),B46,"")</f>
        <v/>
      </c>
      <c r="F46" s="19">
        <f>IF(AND(ISNUMBER(C46),ISNUMBER(D46)),MIN(C46,D46),IF(ISNUMBER(C46),C46,IF(ISNUMBER(D46),D46,"")))</f>
        <v/>
      </c>
      <c r="G46" s="17" t="n"/>
    </row>
    <row r="47">
      <c r="A47" s="17" t="n"/>
      <c r="B47" s="17" t="n"/>
      <c r="C47" s="17" t="n"/>
      <c r="D47" s="17" t="n"/>
      <c r="E47" s="19">
        <f>IF(ISNUMBER(B47),B47,"")</f>
        <v/>
      </c>
      <c r="F47" s="19">
        <f>IF(AND(ISNUMBER(C47),ISNUMBER(D47)),MIN(C47,D47),IF(ISNUMBER(C47),C47,IF(ISNUMBER(D47),D47,"")))</f>
        <v/>
      </c>
      <c r="G47" s="17" t="n"/>
    </row>
    <row r="48">
      <c r="A48" s="17" t="n"/>
      <c r="B48" s="17" t="n"/>
      <c r="C48" s="17" t="n"/>
      <c r="D48" s="17" t="n"/>
      <c r="E48" s="19">
        <f>IF(ISNUMBER(B48),B48,"")</f>
        <v/>
      </c>
      <c r="F48" s="19">
        <f>IF(AND(ISNUMBER(C48),ISNUMBER(D48)),MIN(C48,D48),IF(ISNUMBER(C48),C48,IF(ISNUMBER(D48),D48,"")))</f>
        <v/>
      </c>
      <c r="G48" s="17" t="n"/>
    </row>
    <row r="49">
      <c r="A49" s="17" t="n"/>
      <c r="B49" s="17" t="n"/>
      <c r="C49" s="17" t="n"/>
      <c r="D49" s="17" t="n"/>
      <c r="E49" s="19">
        <f>IF(ISNUMBER(B49),B49,"")</f>
        <v/>
      </c>
      <c r="F49" s="19">
        <f>IF(AND(ISNUMBER(C49),ISNUMBER(D49)),MIN(C49,D49),IF(ISNUMBER(C49),C49,IF(ISNUMBER(D49),D49,"")))</f>
        <v/>
      </c>
      <c r="G49" s="17" t="n"/>
    </row>
    <row r="50">
      <c r="A50" s="17" t="n"/>
      <c r="B50" s="17" t="n"/>
      <c r="C50" s="17" t="n"/>
      <c r="D50" s="17" t="n"/>
      <c r="E50" s="19">
        <f>IF(ISNUMBER(B50),B50,"")</f>
        <v/>
      </c>
      <c r="F50" s="19">
        <f>IF(AND(ISNUMBER(C50),ISNUMBER(D50)),MIN(C50,D50),IF(ISNUMBER(C50),C50,IF(ISNUMBER(D50),D50,"")))</f>
        <v/>
      </c>
      <c r="G50" s="17" t="n"/>
    </row>
    <row r="51">
      <c r="A51" s="17" t="n"/>
      <c r="B51" s="17" t="n"/>
      <c r="C51" s="17" t="n"/>
      <c r="D51" s="17" t="n"/>
      <c r="E51" s="19">
        <f>IF(ISNUMBER(B51),B51,"")</f>
        <v/>
      </c>
      <c r="F51" s="19">
        <f>IF(AND(ISNUMBER(C51),ISNUMBER(D51)),MIN(C51,D51),IF(ISNUMBER(C51),C51,IF(ISNUMBER(D51),D51,"")))</f>
        <v/>
      </c>
      <c r="G51" s="17" t="n"/>
    </row>
    <row r="52">
      <c r="A52" s="17" t="n"/>
      <c r="B52" s="17" t="n"/>
      <c r="C52" s="17" t="n"/>
      <c r="D52" s="17" t="n"/>
      <c r="E52" s="19">
        <f>IF(ISNUMBER(B52),B52,"")</f>
        <v/>
      </c>
      <c r="F52" s="19">
        <f>IF(AND(ISNUMBER(C52),ISNUMBER(D52)),MIN(C52,D52),IF(ISNUMBER(C52),C52,IF(ISNUMBER(D52),D52,"")))</f>
        <v/>
      </c>
      <c r="G52" s="17" t="n"/>
    </row>
    <row r="53">
      <c r="A53" s="17" t="n"/>
      <c r="B53" s="17" t="n"/>
      <c r="C53" s="17" t="n"/>
      <c r="D53" s="17" t="n"/>
      <c r="E53" s="19">
        <f>IF(ISNUMBER(B53),B53,"")</f>
        <v/>
      </c>
      <c r="F53" s="19">
        <f>IF(AND(ISNUMBER(C53),ISNUMBER(D53)),MIN(C53,D53),IF(ISNUMBER(C53),C53,IF(ISNUMBER(D53),D53,"")))</f>
        <v/>
      </c>
      <c r="G53" s="17" t="n"/>
    </row>
    <row r="54">
      <c r="A54" s="17" t="n"/>
      <c r="B54" s="17" t="n"/>
      <c r="C54" s="17" t="n"/>
      <c r="D54" s="17" t="n"/>
      <c r="E54" s="19">
        <f>IF(ISNUMBER(B54),B54,"")</f>
        <v/>
      </c>
      <c r="F54" s="19">
        <f>IF(AND(ISNUMBER(C54),ISNUMBER(D54)),MIN(C54,D54),IF(ISNUMBER(C54),C54,IF(ISNUMBER(D54),D54,"")))</f>
        <v/>
      </c>
      <c r="G54" s="17" t="n"/>
    </row>
    <row r="55">
      <c r="A55" s="17" t="n"/>
      <c r="B55" s="17" t="n"/>
      <c r="C55" s="17" t="n"/>
      <c r="D55" s="17" t="n"/>
      <c r="E55" s="19">
        <f>IF(ISNUMBER(B55),B55,"")</f>
        <v/>
      </c>
      <c r="F55" s="19">
        <f>IF(AND(ISNUMBER(C55),ISNUMBER(D55)),MIN(C55,D55),IF(ISNUMBER(C55),C55,IF(ISNUMBER(D55),D55,"")))</f>
        <v/>
      </c>
      <c r="G55" s="17" t="n"/>
    </row>
    <row r="56">
      <c r="A56" s="17" t="n"/>
      <c r="B56" s="17" t="n"/>
      <c r="C56" s="17" t="n"/>
      <c r="D56" s="17" t="n"/>
      <c r="E56" s="19">
        <f>IF(ISNUMBER(B56),B56,"")</f>
        <v/>
      </c>
      <c r="F56" s="19">
        <f>IF(AND(ISNUMBER(C56),ISNUMBER(D56)),MIN(C56,D56),IF(ISNUMBER(C56),C56,IF(ISNUMBER(D56),D56,"")))</f>
        <v/>
      </c>
      <c r="G56" s="17" t="n"/>
    </row>
    <row r="57">
      <c r="A57" s="17" t="n"/>
      <c r="B57" s="17" t="n"/>
      <c r="C57" s="17" t="n"/>
      <c r="D57" s="17" t="n"/>
      <c r="E57" s="19">
        <f>IF(ISNUMBER(B57),B57,"")</f>
        <v/>
      </c>
      <c r="F57" s="19">
        <f>IF(AND(ISNUMBER(C57),ISNUMBER(D57)),MIN(C57,D57),IF(ISNUMBER(C57),C57,IF(ISNUMBER(D57),D57,"")))</f>
        <v/>
      </c>
      <c r="G57" s="17" t="n"/>
    </row>
    <row r="58">
      <c r="A58" s="17" t="n"/>
      <c r="B58" s="17" t="n"/>
      <c r="C58" s="17" t="n"/>
      <c r="D58" s="17" t="n"/>
      <c r="E58" s="19">
        <f>IF(ISNUMBER(B58),B58,"")</f>
        <v/>
      </c>
      <c r="F58" s="19">
        <f>IF(AND(ISNUMBER(C58),ISNUMBER(D58)),MIN(C58,D58),IF(ISNUMBER(C58),C58,IF(ISNUMBER(D58),D58,"")))</f>
        <v/>
      </c>
      <c r="G58" s="17" t="n"/>
    </row>
    <row r="59">
      <c r="A59" s="17" t="n"/>
      <c r="B59" s="17" t="n"/>
      <c r="C59" s="17" t="n"/>
      <c r="D59" s="17" t="n"/>
      <c r="E59" s="19">
        <f>IF(ISNUMBER(B59),B59,"")</f>
        <v/>
      </c>
      <c r="F59" s="19">
        <f>IF(AND(ISNUMBER(C59),ISNUMBER(D59)),MIN(C59,D59),IF(ISNUMBER(C59),C59,IF(ISNUMBER(D59),D59,"")))</f>
        <v/>
      </c>
      <c r="G59" s="17" t="n"/>
    </row>
    <row r="60">
      <c r="A60" s="17" t="n"/>
      <c r="B60" s="17" t="n"/>
      <c r="C60" s="17" t="n"/>
      <c r="D60" s="17" t="n"/>
      <c r="E60" s="19">
        <f>IF(ISNUMBER(B60),B60,"")</f>
        <v/>
      </c>
      <c r="F60" s="19">
        <f>IF(AND(ISNUMBER(C60),ISNUMBER(D60)),MIN(C60,D60),IF(ISNUMBER(C60),C60,IF(ISNUMBER(D60),D60,"")))</f>
        <v/>
      </c>
      <c r="G60" s="17" t="n"/>
    </row>
    <row r="61">
      <c r="A61" s="17" t="n"/>
      <c r="B61" s="17" t="n"/>
      <c r="C61" s="17" t="n"/>
      <c r="D61" s="17" t="n"/>
      <c r="E61" s="19">
        <f>IF(ISNUMBER(B61),B61,"")</f>
        <v/>
      </c>
      <c r="F61" s="19">
        <f>IF(AND(ISNUMBER(C61),ISNUMBER(D61)),MIN(C61,D61),IF(ISNUMBER(C61),C61,IF(ISNUMBER(D61),D61,"")))</f>
        <v/>
      </c>
      <c r="G61" s="17" t="n"/>
    </row>
    <row r="62">
      <c r="A62" s="17" t="n"/>
      <c r="B62" s="17" t="n"/>
      <c r="C62" s="17" t="n"/>
      <c r="D62" s="17" t="n"/>
      <c r="E62" s="19">
        <f>IF(ISNUMBER(B62),B62,"")</f>
        <v/>
      </c>
      <c r="F62" s="19">
        <f>IF(AND(ISNUMBER(C62),ISNUMBER(D62)),MIN(C62,D62),IF(ISNUMBER(C62),C62,IF(ISNUMBER(D62),D62,"")))</f>
        <v/>
      </c>
      <c r="G62" s="17" t="n"/>
    </row>
    <row r="63">
      <c r="A63" s="17" t="n"/>
      <c r="B63" s="17" t="n"/>
      <c r="C63" s="17" t="n"/>
      <c r="D63" s="17" t="n"/>
      <c r="E63" s="19">
        <f>IF(ISNUMBER(B63),B63,"")</f>
        <v/>
      </c>
      <c r="F63" s="19">
        <f>IF(AND(ISNUMBER(C63),ISNUMBER(D63)),MIN(C63,D63),IF(ISNUMBER(C63),C63,IF(ISNUMBER(D63),D63,"")))</f>
        <v/>
      </c>
      <c r="G63" s="17" t="n"/>
    </row>
    <row r="64">
      <c r="A64" s="17" t="n"/>
      <c r="B64" s="17" t="n"/>
      <c r="C64" s="17" t="n"/>
      <c r="D64" s="17" t="n"/>
      <c r="E64" s="19">
        <f>IF(ISNUMBER(B64),B64,"")</f>
        <v/>
      </c>
      <c r="F64" s="19">
        <f>IF(AND(ISNUMBER(C64),ISNUMBER(D64)),MIN(C64,D64),IF(ISNUMBER(C64),C64,IF(ISNUMBER(D64),D64,"")))</f>
        <v/>
      </c>
      <c r="G64" s="17" t="n"/>
    </row>
    <row r="65">
      <c r="A65" s="17" t="n"/>
      <c r="B65" s="17" t="n"/>
      <c r="C65" s="17" t="n"/>
      <c r="D65" s="17" t="n"/>
      <c r="E65" s="19">
        <f>IF(ISNUMBER(B65),B65,"")</f>
        <v/>
      </c>
      <c r="F65" s="19">
        <f>IF(AND(ISNUMBER(C65),ISNUMBER(D65)),MIN(C65,D65),IF(ISNUMBER(C65),C65,IF(ISNUMBER(D65),D65,"")))</f>
        <v/>
      </c>
      <c r="G65" s="17" t="n"/>
    </row>
    <row r="67">
      <c r="A67" s="20" t="inlineStr">
        <is>
          <t>DATA SOURCE: Testing Results - CRITICAL: Capabilities must be TESTED, not assumed. Untested = Unknown compliance.</t>
        </is>
      </c>
    </row>
    <row r="68">
      <c r="A68" s="18" t="inlineStr">
        <is>
          <t>RPO Capability = Backup Frequency | RTO Capability = MIN(Restore Time, Failover Time) - formulas auto-calculate</t>
        </is>
      </c>
    </row>
  </sheetData>
  <mergeCells count="4">
    <mergeCell ref="A67:G67"/>
    <mergeCell ref="A68:G68"/>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18" customWidth="1" min="3" max="3"/>
    <col width="18" customWidth="1" min="4" max="4"/>
    <col width="22" customWidth="1" min="5" max="5"/>
    <col width="15" customWidth="1" min="6" max="6"/>
    <col width="25" customWidth="1" min="7" max="7"/>
    <col width="30" customWidth="1" min="8" max="8"/>
  </cols>
  <sheetData>
    <row r="1" ht="35" customHeight="1">
      <c r="A1" s="11" t="inlineStr">
        <is>
          <t>RPO/RTO COMPLIANCE MATRIX</t>
        </is>
      </c>
    </row>
    <row r="2">
      <c r="A2" s="12" t="inlineStr">
        <is>
          <t>Automatic comparison: Business Requirements (System Inventory) vs Technical Capabilities (Capability Assessment)</t>
        </is>
      </c>
    </row>
    <row r="4">
      <c r="A4" s="13" t="inlineStr">
        <is>
          <t>System Name</t>
        </is>
      </c>
      <c r="B4" s="13" t="inlineStr">
        <is>
          <t>Criticality</t>
        </is>
      </c>
      <c r="C4" s="13" t="inlineStr">
        <is>
          <t>RPO: Req vs Cap</t>
        </is>
      </c>
      <c r="D4" s="13" t="inlineStr">
        <is>
          <t>RTO: Req vs Cap</t>
        </is>
      </c>
      <c r="E4" s="13" t="inlineStr">
        <is>
          <t>Overall Compliance</t>
        </is>
      </c>
      <c r="F4" s="13" t="inlineStr">
        <is>
          <t>Priority</t>
        </is>
      </c>
      <c r="G4" s="13" t="inlineStr">
        <is>
          <t>Gap Summary</t>
        </is>
      </c>
      <c r="H4" s="13" t="inlineStr">
        <is>
          <t>Next Action Required</t>
        </is>
      </c>
    </row>
    <row r="5">
      <c r="A5" s="14">
        <f>'System Inventory'!A5</f>
        <v/>
      </c>
      <c r="B5" s="14">
        <f>'System Inventory'!C5</f>
        <v/>
      </c>
      <c r="C5" s="14">
        <f>IF(A5="","",IF(OR('System Inventory'!E5="",'Capability Assessment'!E5=""),"❓ Unknown",IF('Capability Assessment'!E5&lt;='System Inventory'!E5,"✅ Compliant","❌ Non-Compliant")))</f>
        <v/>
      </c>
      <c r="D5" s="14">
        <f>IF(A5="","",IF(OR('System Inventory'!F5="",'Capability Assessment'!F5=""),"❓ Unknown",IF('Capability Assessment'!F5&lt;='System Inventory'!F5,"✅ Compliant","❌ Non-Compliant")))</f>
        <v/>
      </c>
      <c r="E5" s="14">
        <f>IF(A5="","",IF(OR(C5="❓ Unknown",D5="❓ Unknown"),"❓ Unknown",IF(AND(C5="✅ Compliant",D5="✅ Compliant"),"✅ Full Compliance",IF(OR(C5="✅ Compliant",D5="✅ Compliant"),"⚠ Partial Compliance","❌ Non-Compliant"))))</f>
        <v/>
      </c>
      <c r="F5" s="14">
        <f>IF(A5="","",IF(AND(B5="Tier 1 - Critical",E5="❌ Non-Compliant"),"[!] Critical",IF(B5="Tier 1 - Critical","[~] High",IF(E5="❌ Non-Compliant","[~] High",IF(E5="⚠ Partial Compliance","[.] Medium","[ ] Low")))))</f>
        <v/>
      </c>
      <c r="G5" s="21">
        <f>IF(A5="","",IF(C5="❌ Non-Compliant",IF(D5="❌ Non-Compliant","Both RPO &amp; RTO gaps","RPO gap only"),IF(D5="❌ Non-Compliant","RTO gap only",IF(E5="❓ Unknown","Testing required","No gaps"))))</f>
        <v/>
      </c>
      <c r="H5" s="21" t="inlineStr">
        <is>
          <t>Monitor continuously, maintain current state</t>
        </is>
      </c>
    </row>
    <row r="6">
      <c r="A6" s="14">
        <f>'System Inventory'!A6</f>
        <v/>
      </c>
      <c r="B6" s="14">
        <f>'System Inventory'!C6</f>
        <v/>
      </c>
      <c r="C6" s="14">
        <f>IF(A6="","",IF(OR('System Inventory'!E6="",'Capability Assessment'!E6=""),"❓ Unknown",IF('Capability Assessment'!E6&lt;='System Inventory'!E6,"✅ Compliant","❌ Non-Compliant")))</f>
        <v/>
      </c>
      <c r="D6" s="14">
        <f>IF(A6="","",IF(OR('System Inventory'!F6="",'Capability Assessment'!F6=""),"❓ Unknown",IF('Capability Assessment'!F6&lt;='System Inventory'!F6,"✅ Compliant","❌ Non-Compliant")))</f>
        <v/>
      </c>
      <c r="E6" s="14">
        <f>IF(A6="","",IF(OR(C6="❓ Unknown",D6="❓ Unknown"),"❓ Unknown",IF(AND(C6="✅ Compliant",D6="✅ Compliant"),"✅ Full Compliance",IF(OR(C6="✅ Compliant",D6="✅ Compliant"),"⚠ Partial Compliance","❌ Non-Compliant"))))</f>
        <v/>
      </c>
      <c r="F6" s="14">
        <f>IF(A6="","",IF(AND(B6="Tier 1 - Critical",E6="❌ Non-Compliant"),"[!] Critical",IF(B6="Tier 1 - Critical","[~] High",IF(E6="❌ Non-Compliant","[~] High",IF(E6="⚠ Partial Compliance","[.] Medium","[ ] Low")))))</f>
        <v/>
      </c>
      <c r="G6" s="21">
        <f>IF(A6="","",IF(C6="❌ Non-Compliant",IF(D6="❌ Non-Compliant","Both RPO &amp; RTO gaps","RPO gap only"),IF(D6="❌ Non-Compliant","RTO gap only",IF(E6="❓ Unknown","Testing required","No gaps"))))</f>
        <v/>
      </c>
      <c r="H6" s="21" t="inlineStr">
        <is>
          <t>Monitor continuously, critical system</t>
        </is>
      </c>
    </row>
    <row r="7">
      <c r="A7" s="14">
        <f>'System Inventory'!A7</f>
        <v/>
      </c>
      <c r="B7" s="14">
        <f>'System Inventory'!C7</f>
        <v/>
      </c>
      <c r="C7" s="14">
        <f>IF(A7="","",IF(OR('System Inventory'!E7="",'Capability Assessment'!E7=""),"❓ Unknown",IF('Capability Assessment'!E7&lt;='System Inventory'!E7,"✅ Compliant","❌ Non-Compliant")))</f>
        <v/>
      </c>
      <c r="D7" s="14">
        <f>IF(A7="","",IF(OR('System Inventory'!F7="",'Capability Assessment'!F7=""),"❓ Unknown",IF('Capability Assessment'!F7&lt;='System Inventory'!F7,"✅ Compliant","❌ Non-Compliant")))</f>
        <v/>
      </c>
      <c r="E7" s="14">
        <f>IF(A7="","",IF(OR(C7="❓ Unknown",D7="❓ Unknown"),"❓ Unknown",IF(AND(C7="✅ Compliant",D7="✅ Compliant"),"✅ Full Compliance",IF(OR(C7="✅ Compliant",D7="✅ Compliant"),"⚠ Partial Compliance","❌ Non-Compliant"))))</f>
        <v/>
      </c>
      <c r="F7" s="14">
        <f>IF(A7="","",IF(AND(B7="Tier 1 - Critical",E7="❌ Non-Compliant"),"[!] Critical",IF(B7="Tier 1 - Critical","[~] High",IF(E7="❌ Non-Compliant","[~] High",IF(E7="⚠ Partial Compliance","[.] Medium","[ ] Low")))))</f>
        <v/>
      </c>
      <c r="G7" s="21">
        <f>IF(A7="","",IF(C7="❌ Non-Compliant",IF(D7="❌ Non-Compliant","Both RPO &amp; RTO gaps","RPO gap only"),IF(D7="❌ Non-Compliant","RTO gap only",IF(E7="❓ Unknown","Testing required","No gaps"))))</f>
        <v/>
      </c>
      <c r="H7" s="21" t="inlineStr">
        <is>
          <t>Consider more frequent backups (currently 4hr, need 4hr RTO)</t>
        </is>
      </c>
    </row>
    <row r="8">
      <c r="A8" s="14">
        <f>'System Inventory'!A8</f>
        <v/>
      </c>
      <c r="B8" s="14">
        <f>'System Inventory'!C8</f>
        <v/>
      </c>
      <c r="C8" s="14">
        <f>IF(A8="","",IF(OR('System Inventory'!E8="",'Capability Assessment'!E8=""),"❓ Unknown",IF('Capability Assessment'!E8&lt;='System Inventory'!E8,"✅ Compliant","❌ Non-Compliant")))</f>
        <v/>
      </c>
      <c r="D8" s="14">
        <f>IF(A8="","",IF(OR('System Inventory'!F8="",'Capability Assessment'!F8=""),"❓ Unknown",IF('Capability Assessment'!F8&lt;='System Inventory'!F8,"✅ Compliant","❌ Non-Compliant")))</f>
        <v/>
      </c>
      <c r="E8" s="14">
        <f>IF(A8="","",IF(OR(C8="❓ Unknown",D8="❓ Unknown"),"❓ Unknown",IF(AND(C8="✅ Compliant",D8="✅ Compliant"),"✅ Full Compliance",IF(OR(C8="✅ Compliant",D8="✅ Compliant"),"⚠ Partial Compliance","❌ Non-Compliant"))))</f>
        <v/>
      </c>
      <c r="F8" s="14">
        <f>IF(A8="","",IF(AND(B8="Tier 1 - Critical",E8="❌ Non-Compliant"),"[!] Critical",IF(B8="Tier 1 - Critical","[~] High",IF(E8="❌ Non-Compliant","[~] High",IF(E8="⚠ Partial Compliance","[.] Medium","[ ] Low")))))</f>
        <v/>
      </c>
      <c r="G8" s="21">
        <f>IF(A8="","",IF(C8="❌ Non-Compliant",IF(D8="❌ Non-Compliant","Both RPO &amp; RTO gaps","RPO gap only"),IF(D8="❌ Non-Compliant","RTO gap only",IF(E8="❓ Unknown","Testing required","No gaps"))))</f>
        <v/>
      </c>
      <c r="H8" s="21" t="inlineStr">
        <is>
          <t>Implement hot standby for faster recovery</t>
        </is>
      </c>
    </row>
    <row r="9">
      <c r="A9" s="14">
        <f>'System Inventory'!A9</f>
        <v/>
      </c>
      <c r="B9" s="14">
        <f>'System Inventory'!C9</f>
        <v/>
      </c>
      <c r="C9" s="14">
        <f>IF(A9="","",IF(OR('System Inventory'!E9="",'Capability Assessment'!E9=""),"❓ Unknown",IF('Capability Assessment'!E9&lt;='System Inventory'!E9,"✅ Compliant","❌ Non-Compliant")))</f>
        <v/>
      </c>
      <c r="D9" s="14">
        <f>IF(A9="","",IF(OR('System Inventory'!F9="",'Capability Assessment'!F9=""),"❓ Unknown",IF('Capability Assessment'!F9&lt;='System Inventory'!F9,"✅ Compliant","❌ Non-Compliant")))</f>
        <v/>
      </c>
      <c r="E9" s="14">
        <f>IF(A9="","",IF(OR(C9="❓ Unknown",D9="❓ Unknown"),"❓ Unknown",IF(AND(C9="✅ Compliant",D9="✅ Compliant"),"✅ Full Compliance",IF(OR(C9="✅ Compliant",D9="✅ Compliant"),"⚠ Partial Compliance","❌ Non-Compliant"))))</f>
        <v/>
      </c>
      <c r="F9" s="14">
        <f>IF(A9="","",IF(AND(B9="Tier 1 - Critical",E9="❌ Non-Compliant"),"[!] Critical",IF(B9="Tier 1 - Critical","[~] High",IF(E9="❌ Non-Compliant","[~] High",IF(E9="⚠ Partial Compliance","[.] Medium","[ ] Low")))))</f>
        <v/>
      </c>
      <c r="G9" s="21">
        <f>IF(A9="","",IF(C9="❌ Non-Compliant",IF(D9="❌ Non-Compliant","Both RPO &amp; RTO gaps","RPO gap only"),IF(D9="❌ Non-Compliant","RTO gap only",IF(E9="❓ Unknown","Testing required","No gaps"))))</f>
        <v/>
      </c>
      <c r="H9" s="21" t="inlineStr">
        <is>
          <t>Acceptable compliance, monitor quarterly</t>
        </is>
      </c>
    </row>
    <row r="10">
      <c r="A10" s="14">
        <f>'System Inventory'!A10</f>
        <v/>
      </c>
      <c r="B10" s="14">
        <f>'System Inventory'!C10</f>
        <v/>
      </c>
      <c r="C10" s="14">
        <f>IF(A10="","",IF(OR('System Inventory'!E10="",'Capability Assessment'!E10=""),"❓ Unknown",IF('Capability Assessment'!E10&lt;='System Inventory'!E10,"✅ Compliant","❌ Non-Compliant")))</f>
        <v/>
      </c>
      <c r="D10" s="14">
        <f>IF(A10="","",IF(OR('System Inventory'!F10="",'Capability Assessment'!F10=""),"❓ Unknown",IF('Capability Assessment'!F10&lt;='System Inventory'!F10,"✅ Compliant","❌ Non-Compliant")))</f>
        <v/>
      </c>
      <c r="E10" s="14">
        <f>IF(A10="","",IF(OR(C10="❓ Unknown",D10="❓ Unknown"),"❓ Unknown",IF(AND(C10="✅ Compliant",D10="✅ Compliant"),"✅ Full Compliance",IF(OR(C10="✅ Compliant",D10="✅ Compliant"),"⚠ Partial Compliance","❌ Non-Compliant"))))</f>
        <v/>
      </c>
      <c r="F10" s="14">
        <f>IF(A10="","",IF(AND(B10="Tier 1 - Critical",E10="❌ Non-Compliant"),"[!] Critical",IF(B10="Tier 1 - Critical","[~] High",IF(E10="❌ Non-Compliant","[~] High",IF(E10="⚠ Partial Compliance","[.] Medium","[ ] Low")))))</f>
        <v/>
      </c>
      <c r="G10" s="21">
        <f>IF(A10="","",IF(C10="❌ Non-Compliant",IF(D10="❌ Non-Compliant","Both RPO &amp; RTO gaps","RPO gap only"),IF(D10="❌ Non-Compliant","RTO gap only",IF(E10="❓ Unknown","Testing required","No gaps"))))</f>
        <v/>
      </c>
      <c r="H10" s="21" t="inlineStr">
        <is>
          <t>Acceptable compliance, monitor quarterly</t>
        </is>
      </c>
    </row>
    <row r="11">
      <c r="A11" s="14">
        <f>'System Inventory'!A11</f>
        <v/>
      </c>
      <c r="B11" s="14">
        <f>'System Inventory'!C11</f>
        <v/>
      </c>
      <c r="C11" s="14">
        <f>IF(A11="","",IF(OR('System Inventory'!E11="",'Capability Assessment'!E11=""),"❓ Unknown",IF('Capability Assessment'!E11&lt;='System Inventory'!E11,"✅ Compliant","❌ Non-Compliant")))</f>
        <v/>
      </c>
      <c r="D11" s="14">
        <f>IF(A11="","",IF(OR('System Inventory'!F11="",'Capability Assessment'!F11=""),"❓ Unknown",IF('Capability Assessment'!F11&lt;='System Inventory'!F11,"✅ Compliant","❌ Non-Compliant")))</f>
        <v/>
      </c>
      <c r="E11" s="14">
        <f>IF(A11="","",IF(OR(C11="❓ Unknown",D11="❓ Unknown"),"❓ Unknown",IF(AND(C11="✅ Compliant",D11="✅ Compliant"),"✅ Full Compliance",IF(OR(C11="✅ Compliant",D11="✅ Compliant"),"⚠ Partial Compliance","❌ Non-Compliant"))))</f>
        <v/>
      </c>
      <c r="F11" s="14">
        <f>IF(A11="","",IF(AND(B11="Tier 1 - Critical",E11="❌ Non-Compliant"),"[!] Critical",IF(B11="Tier 1 - Critical","[~] High",IF(E11="❌ Non-Compliant","[~] High",IF(E11="⚠ Partial Compliance","[.] Medium","[ ] Low")))))</f>
        <v/>
      </c>
      <c r="G11" s="21">
        <f>IF(A11="","",IF(C11="❌ Non-Compliant",IF(D11="❌ Non-Compliant","Both RPO &amp; RTO gaps","RPO gap only"),IF(D11="❌ Non-Compliant","RTO gap only",IF(E11="❓ Unknown","Testing required","No gaps"))))</f>
        <v/>
      </c>
      <c r="H11" s="21" t="inlineStr">
        <is>
          <t>Acceptable for Tier 3, no action required</t>
        </is>
      </c>
    </row>
    <row r="12">
      <c r="A12" s="14">
        <f>'System Inventory'!A12</f>
        <v/>
      </c>
      <c r="B12" s="14">
        <f>'System Inventory'!C12</f>
        <v/>
      </c>
      <c r="C12" s="14">
        <f>IF(A12="","",IF(OR('System Inventory'!E12="",'Capability Assessment'!E12=""),"❓ Unknown",IF('Capability Assessment'!E12&lt;='System Inventory'!E12,"✅ Compliant","❌ Non-Compliant")))</f>
        <v/>
      </c>
      <c r="D12" s="14">
        <f>IF(A12="","",IF(OR('System Inventory'!F12="",'Capability Assessment'!F12=""),"❓ Unknown",IF('Capability Assessment'!F12&lt;='System Inventory'!F12,"✅ Compliant","❌ Non-Compliant")))</f>
        <v/>
      </c>
      <c r="E12" s="14">
        <f>IF(A12="","",IF(OR(C12="❓ Unknown",D12="❓ Unknown"),"❓ Unknown",IF(AND(C12="✅ Compliant",D12="✅ Compliant"),"✅ Full Compliance",IF(OR(C12="✅ Compliant",D12="✅ Compliant"),"⚠ Partial Compliance","❌ Non-Compliant"))))</f>
        <v/>
      </c>
      <c r="F12" s="14">
        <f>IF(A12="","",IF(AND(B12="Tier 1 - Critical",E12="❌ Non-Compliant"),"[!] Critical",IF(B12="Tier 1 - Critical","[~] High",IF(E12="❌ Non-Compliant","[~] High",IF(E12="⚠ Partial Compliance","[.] Medium","[ ] Low")))))</f>
        <v/>
      </c>
      <c r="G12" s="21">
        <f>IF(A12="","",IF(C12="❌ Non-Compliant",IF(D12="❌ Non-Compliant","Both RPO &amp; RTO gaps","RPO gap only"),IF(D12="❌ Non-Compliant","RTO gap only",IF(E12="❓ Unknown","Testing required","No gaps"))))</f>
        <v/>
      </c>
      <c r="H12" s="21" t="inlineStr">
        <is>
          <t>Acceptable for Tier 3, no action required</t>
        </is>
      </c>
    </row>
    <row r="13">
      <c r="A13" s="14">
        <f>'System Inventory'!A13</f>
        <v/>
      </c>
      <c r="B13" s="14">
        <f>'System Inventory'!C13</f>
        <v/>
      </c>
      <c r="C13" s="14">
        <f>IF(A13="","",IF(OR('System Inventory'!E13="",'Capability Assessment'!E13=""),"❓ Unknown",IF('Capability Assessment'!E13&lt;='System Inventory'!E13,"✅ Compliant","❌ Non-Compliant")))</f>
        <v/>
      </c>
      <c r="D13" s="14">
        <f>IF(A13="","",IF(OR('System Inventory'!F13="",'Capability Assessment'!F13=""),"❓ Unknown",IF('Capability Assessment'!F13&lt;='System Inventory'!F13,"✅ Compliant","❌ Non-Compliant")))</f>
        <v/>
      </c>
      <c r="E13" s="14">
        <f>IF(A13="","",IF(OR(C13="❓ Unknown",D13="❓ Unknown"),"❓ Unknown",IF(AND(C13="✅ Compliant",D13="✅ Compliant"),"✅ Full Compliance",IF(OR(C13="✅ Compliant",D13="✅ Compliant"),"⚠ Partial Compliance","❌ Non-Compliant"))))</f>
        <v/>
      </c>
      <c r="F13" s="14">
        <f>IF(A13="","",IF(AND(B13="Tier 1 - Critical",E13="❌ Non-Compliant"),"[!] Critical",IF(B13="Tier 1 - Critical","[~] High",IF(E13="❌ Non-Compliant","[~] High",IF(E13="⚠ Partial Compliance","[.] Medium","[ ] Low")))))</f>
        <v/>
      </c>
      <c r="G13" s="21">
        <f>IF(A13="","",IF(C13="❌ Non-Compliant",IF(D13="❌ Non-Compliant","Both RPO &amp; RTO gaps","RPO gap only"),IF(D13="❌ Non-Compliant","RTO gap only",IF(E13="❓ Unknown","Testing required","No gaps"))))</f>
        <v/>
      </c>
      <c r="H13" s="21" t="inlineStr">
        <is>
          <t>Acceptable for Tier 4, no action required</t>
        </is>
      </c>
    </row>
    <row r="14">
      <c r="A14" s="14">
        <f>'System Inventory'!A14</f>
        <v/>
      </c>
      <c r="B14" s="14">
        <f>'System Inventory'!C14</f>
        <v/>
      </c>
      <c r="C14" s="14">
        <f>IF(A14="","",IF(OR('System Inventory'!E14="",'Capability Assessment'!E14=""),"❓ Unknown",IF('Capability Assessment'!E14&lt;='System Inventory'!E14,"✅ Compliant","❌ Non-Compliant")))</f>
        <v/>
      </c>
      <c r="D14" s="14">
        <f>IF(A14="","",IF(OR('System Inventory'!F14="",'Capability Assessment'!F14=""),"❓ Unknown",IF('Capability Assessment'!F14&lt;='System Inventory'!F14,"✅ Compliant","❌ Non-Compliant")))</f>
        <v/>
      </c>
      <c r="E14" s="14">
        <f>IF(A14="","",IF(OR(C14="❓ Unknown",D14="❓ Unknown"),"❓ Unknown",IF(AND(C14="✅ Compliant",D14="✅ Compliant"),"✅ Full Compliance",IF(OR(C14="✅ Compliant",D14="✅ Compliant"),"⚠ Partial Compliance","❌ Non-Compliant"))))</f>
        <v/>
      </c>
      <c r="F14" s="14">
        <f>IF(A14="","",IF(AND(B14="Tier 1 - Critical",E14="❌ Non-Compliant"),"[!] Critical",IF(B14="Tier 1 - Critical","[~] High",IF(E14="❌ Non-Compliant","[~] High",IF(E14="⚠ Partial Compliance","[.] Medium","[ ] Low")))))</f>
        <v/>
      </c>
      <c r="G14" s="21">
        <f>IF(A14="","",IF(C14="❌ Non-Compliant",IF(D14="❌ Non-Compliant","Both RPO &amp; RTO gaps","RPO gap only"),IF(D14="❌ Non-Compliant","RTO gap only",IF(E14="❓ Unknown","Testing required","No gaps"))))</f>
        <v/>
      </c>
      <c r="H14" s="21" t="inlineStr">
        <is>
          <t>Acceptable for Tier 4, no action required</t>
        </is>
      </c>
    </row>
    <row r="15">
      <c r="A15" s="15">
        <f>'System Inventory'!A15</f>
        <v/>
      </c>
      <c r="B15" s="15">
        <f>'System Inventory'!C15</f>
        <v/>
      </c>
      <c r="C15" s="15">
        <f>IF(A15="","",IF(OR('System Inventory'!E15="",'Capability Assessment'!E15=""),"❓ Unknown",IF('Capability Assessment'!E15&lt;='System Inventory'!E15,"✅ Compliant","❌ Non-Compliant")))</f>
        <v/>
      </c>
      <c r="D15" s="15">
        <f>IF(A15="","",IF(OR('System Inventory'!F15="",'Capability Assessment'!F15=""),"❓ Unknown",IF('Capability Assessment'!F15&lt;='System Inventory'!F15,"✅ Compliant","❌ Non-Compliant")))</f>
        <v/>
      </c>
      <c r="E15" s="15">
        <f>IF(A15="","",IF(OR(C15="❓ Unknown",D15="❓ Unknown"),"❓ Unknown",IF(AND(C15="✅ Compliant",D15="✅ Compliant"),"✅ Full Compliance",IF(OR(C15="✅ Compliant",D15="✅ Compliant"),"⚠ Partial Compliance","❌ Non-Compliant"))))</f>
        <v/>
      </c>
      <c r="F15" s="15">
        <f>IF(A15="","",IF(AND(B15="Tier 1 - Critical",E15="❌ Non-Compliant"),"[!] Critical",IF(B15="Tier 1 - Critical","[~] High",IF(E15="❌ Non-Compliant","[~] High",IF(E15="⚠ Partial Compliance","[.] Medium","[ ] Low")))))</f>
        <v/>
      </c>
      <c r="G15" s="22">
        <f>IF(A15="","",IF(C15="❌ Non-Compliant",IF(D15="❌ Non-Compliant","Both RPO &amp; RTO gaps","RPO gap only"),IF(D15="❌ Non-Compliant","RTO gap only",IF(E15="❓ Unknown","Testing required","No gaps"))))</f>
        <v/>
      </c>
      <c r="H15" s="22" t="inlineStr">
        <is>
          <t>Sample — enter next remediation action here</t>
        </is>
      </c>
    </row>
    <row r="16">
      <c r="A16" s="14">
        <f>'System Inventory'!A16</f>
        <v/>
      </c>
      <c r="B16" s="14">
        <f>'System Inventory'!C16</f>
        <v/>
      </c>
      <c r="C16" s="14">
        <f>IF(A16="","",IF(OR('System Inventory'!E16="",'Capability Assessment'!E16=""),"❓ Unknown",IF('Capability Assessment'!E16&lt;='System Inventory'!E16,"✅ Compliant","❌ Non-Compliant")))</f>
        <v/>
      </c>
      <c r="D16" s="14">
        <f>IF(A16="","",IF(OR('System Inventory'!F16="",'Capability Assessment'!F16=""),"❓ Unknown",IF('Capability Assessment'!F16&lt;='System Inventory'!F16,"✅ Compliant","❌ Non-Compliant")))</f>
        <v/>
      </c>
      <c r="E16" s="14">
        <f>IF(A16="","",IF(OR(C16="❓ Unknown",D16="❓ Unknown"),"❓ Unknown",IF(AND(C16="✅ Compliant",D16="✅ Compliant"),"✅ Full Compliance",IF(OR(C16="✅ Compliant",D16="✅ Compliant"),"⚠ Partial Compliance","❌ Non-Compliant"))))</f>
        <v/>
      </c>
      <c r="F16" s="14">
        <f>IF(A16="","",IF(AND(B16="Tier 1 - Critical",E16="❌ Non-Compliant"),"[!] Critical",IF(B16="Tier 1 - Critical","[~] High",IF(E16="❌ Non-Compliant","[~] High",IF(E16="⚠ Partial Compliance","[.] Medium","[ ] Low")))))</f>
        <v/>
      </c>
      <c r="G16" s="21">
        <f>IF(A16="","",IF(C16="❌ Non-Compliant",IF(D16="❌ Non-Compliant","Both RPO &amp; RTO gaps","RPO gap only"),IF(D16="❌ Non-Compliant","RTO gap only",IF(E16="❓ Unknown","Testing required","No gaps"))))</f>
        <v/>
      </c>
      <c r="H16" s="23" t="n"/>
    </row>
    <row r="17">
      <c r="A17" s="14">
        <f>'System Inventory'!A17</f>
        <v/>
      </c>
      <c r="B17" s="14">
        <f>'System Inventory'!C17</f>
        <v/>
      </c>
      <c r="C17" s="14">
        <f>IF(A17="","",IF(OR('System Inventory'!E17="",'Capability Assessment'!E17=""),"❓ Unknown",IF('Capability Assessment'!E17&lt;='System Inventory'!E17,"✅ Compliant","❌ Non-Compliant")))</f>
        <v/>
      </c>
      <c r="D17" s="14">
        <f>IF(A17="","",IF(OR('System Inventory'!F17="",'Capability Assessment'!F17=""),"❓ Unknown",IF('Capability Assessment'!F17&lt;='System Inventory'!F17,"✅ Compliant","❌ Non-Compliant")))</f>
        <v/>
      </c>
      <c r="E17" s="14">
        <f>IF(A17="","",IF(OR(C17="❓ Unknown",D17="❓ Unknown"),"❓ Unknown",IF(AND(C17="✅ Compliant",D17="✅ Compliant"),"✅ Full Compliance",IF(OR(C17="✅ Compliant",D17="✅ Compliant"),"⚠ Partial Compliance","❌ Non-Compliant"))))</f>
        <v/>
      </c>
      <c r="F17" s="14">
        <f>IF(A17="","",IF(AND(B17="Tier 1 - Critical",E17="❌ Non-Compliant"),"[!] Critical",IF(B17="Tier 1 - Critical","[~] High",IF(E17="❌ Non-Compliant","[~] High",IF(E17="⚠ Partial Compliance","[.] Medium","[ ] Low")))))</f>
        <v/>
      </c>
      <c r="G17" s="21">
        <f>IF(A17="","",IF(C17="❌ Non-Compliant",IF(D17="❌ Non-Compliant","Both RPO &amp; RTO gaps","RPO gap only"),IF(D17="❌ Non-Compliant","RTO gap only",IF(E17="❓ Unknown","Testing required","No gaps"))))</f>
        <v/>
      </c>
      <c r="H17" s="23" t="n"/>
    </row>
    <row r="18">
      <c r="A18" s="14">
        <f>'System Inventory'!A18</f>
        <v/>
      </c>
      <c r="B18" s="14">
        <f>'System Inventory'!C18</f>
        <v/>
      </c>
      <c r="C18" s="14">
        <f>IF(A18="","",IF(OR('System Inventory'!E18="",'Capability Assessment'!E18=""),"❓ Unknown",IF('Capability Assessment'!E18&lt;='System Inventory'!E18,"✅ Compliant","❌ Non-Compliant")))</f>
        <v/>
      </c>
      <c r="D18" s="14">
        <f>IF(A18="","",IF(OR('System Inventory'!F18="",'Capability Assessment'!F18=""),"❓ Unknown",IF('Capability Assessment'!F18&lt;='System Inventory'!F18,"✅ Compliant","❌ Non-Compliant")))</f>
        <v/>
      </c>
      <c r="E18" s="14">
        <f>IF(A18="","",IF(OR(C18="❓ Unknown",D18="❓ Unknown"),"❓ Unknown",IF(AND(C18="✅ Compliant",D18="✅ Compliant"),"✅ Full Compliance",IF(OR(C18="✅ Compliant",D18="✅ Compliant"),"⚠ Partial Compliance","❌ Non-Compliant"))))</f>
        <v/>
      </c>
      <c r="F18" s="14">
        <f>IF(A18="","",IF(AND(B18="Tier 1 - Critical",E18="❌ Non-Compliant"),"[!] Critical",IF(B18="Tier 1 - Critical","[~] High",IF(E18="❌ Non-Compliant","[~] High",IF(E18="⚠ Partial Compliance","[.] Medium","[ ] Low")))))</f>
        <v/>
      </c>
      <c r="G18" s="21">
        <f>IF(A18="","",IF(C18="❌ Non-Compliant",IF(D18="❌ Non-Compliant","Both RPO &amp; RTO gaps","RPO gap only"),IF(D18="❌ Non-Compliant","RTO gap only",IF(E18="❓ Unknown","Testing required","No gaps"))))</f>
        <v/>
      </c>
      <c r="H18" s="23" t="n"/>
    </row>
    <row r="19">
      <c r="A19" s="14">
        <f>'System Inventory'!A19</f>
        <v/>
      </c>
      <c r="B19" s="14">
        <f>'System Inventory'!C19</f>
        <v/>
      </c>
      <c r="C19" s="14">
        <f>IF(A19="","",IF(OR('System Inventory'!E19="",'Capability Assessment'!E19=""),"❓ Unknown",IF('Capability Assessment'!E19&lt;='System Inventory'!E19,"✅ Compliant","❌ Non-Compliant")))</f>
        <v/>
      </c>
      <c r="D19" s="14">
        <f>IF(A19="","",IF(OR('System Inventory'!F19="",'Capability Assessment'!F19=""),"❓ Unknown",IF('Capability Assessment'!F19&lt;='System Inventory'!F19,"✅ Compliant","❌ Non-Compliant")))</f>
        <v/>
      </c>
      <c r="E19" s="14">
        <f>IF(A19="","",IF(OR(C19="❓ Unknown",D19="❓ Unknown"),"❓ Unknown",IF(AND(C19="✅ Compliant",D19="✅ Compliant"),"✅ Full Compliance",IF(OR(C19="✅ Compliant",D19="✅ Compliant"),"⚠ Partial Compliance","❌ Non-Compliant"))))</f>
        <v/>
      </c>
      <c r="F19" s="14">
        <f>IF(A19="","",IF(AND(B19="Tier 1 - Critical",E19="❌ Non-Compliant"),"[!] Critical",IF(B19="Tier 1 - Critical","[~] High",IF(E19="❌ Non-Compliant","[~] High",IF(E19="⚠ Partial Compliance","[.] Medium","[ ] Low")))))</f>
        <v/>
      </c>
      <c r="G19" s="21">
        <f>IF(A19="","",IF(C19="❌ Non-Compliant",IF(D19="❌ Non-Compliant","Both RPO &amp; RTO gaps","RPO gap only"),IF(D19="❌ Non-Compliant","RTO gap only",IF(E19="❓ Unknown","Testing required","No gaps"))))</f>
        <v/>
      </c>
      <c r="H19" s="23" t="n"/>
    </row>
    <row r="20">
      <c r="A20" s="14">
        <f>'System Inventory'!A20</f>
        <v/>
      </c>
      <c r="B20" s="14">
        <f>'System Inventory'!C20</f>
        <v/>
      </c>
      <c r="C20" s="14">
        <f>IF(A20="","",IF(OR('System Inventory'!E20="",'Capability Assessment'!E20=""),"❓ Unknown",IF('Capability Assessment'!E20&lt;='System Inventory'!E20,"✅ Compliant","❌ Non-Compliant")))</f>
        <v/>
      </c>
      <c r="D20" s="14">
        <f>IF(A20="","",IF(OR('System Inventory'!F20="",'Capability Assessment'!F20=""),"❓ Unknown",IF('Capability Assessment'!F20&lt;='System Inventory'!F20,"✅ Compliant","❌ Non-Compliant")))</f>
        <v/>
      </c>
      <c r="E20" s="14">
        <f>IF(A20="","",IF(OR(C20="❓ Unknown",D20="❓ Unknown"),"❓ Unknown",IF(AND(C20="✅ Compliant",D20="✅ Compliant"),"✅ Full Compliance",IF(OR(C20="✅ Compliant",D20="✅ Compliant"),"⚠ Partial Compliance","❌ Non-Compliant"))))</f>
        <v/>
      </c>
      <c r="F20" s="14">
        <f>IF(A20="","",IF(AND(B20="Tier 1 - Critical",E20="❌ Non-Compliant"),"[!] Critical",IF(B20="Tier 1 - Critical","[~] High",IF(E20="❌ Non-Compliant","[~] High",IF(E20="⚠ Partial Compliance","[.] Medium","[ ] Low")))))</f>
        <v/>
      </c>
      <c r="G20" s="21">
        <f>IF(A20="","",IF(C20="❌ Non-Compliant",IF(D20="❌ Non-Compliant","Both RPO &amp; RTO gaps","RPO gap only"),IF(D20="❌ Non-Compliant","RTO gap only",IF(E20="❓ Unknown","Testing required","No gaps"))))</f>
        <v/>
      </c>
      <c r="H20" s="23" t="n"/>
    </row>
    <row r="21">
      <c r="A21" s="14">
        <f>'System Inventory'!A21</f>
        <v/>
      </c>
      <c r="B21" s="14">
        <f>'System Inventory'!C21</f>
        <v/>
      </c>
      <c r="C21" s="14">
        <f>IF(A21="","",IF(OR('System Inventory'!E21="",'Capability Assessment'!E21=""),"❓ Unknown",IF('Capability Assessment'!E21&lt;='System Inventory'!E21,"✅ Compliant","❌ Non-Compliant")))</f>
        <v/>
      </c>
      <c r="D21" s="14">
        <f>IF(A21="","",IF(OR('System Inventory'!F21="",'Capability Assessment'!F21=""),"❓ Unknown",IF('Capability Assessment'!F21&lt;='System Inventory'!F21,"✅ Compliant","❌ Non-Compliant")))</f>
        <v/>
      </c>
      <c r="E21" s="14">
        <f>IF(A21="","",IF(OR(C21="❓ Unknown",D21="❓ Unknown"),"❓ Unknown",IF(AND(C21="✅ Compliant",D21="✅ Compliant"),"✅ Full Compliance",IF(OR(C21="✅ Compliant",D21="✅ Compliant"),"⚠ Partial Compliance","❌ Non-Compliant"))))</f>
        <v/>
      </c>
      <c r="F21" s="14">
        <f>IF(A21="","",IF(AND(B21="Tier 1 - Critical",E21="❌ Non-Compliant"),"[!] Critical",IF(B21="Tier 1 - Critical","[~] High",IF(E21="❌ Non-Compliant","[~] High",IF(E21="⚠ Partial Compliance","[.] Medium","[ ] Low")))))</f>
        <v/>
      </c>
      <c r="G21" s="21">
        <f>IF(A21="","",IF(C21="❌ Non-Compliant",IF(D21="❌ Non-Compliant","Both RPO &amp; RTO gaps","RPO gap only"),IF(D21="❌ Non-Compliant","RTO gap only",IF(E21="❓ Unknown","Testing required","No gaps"))))</f>
        <v/>
      </c>
      <c r="H21" s="23" t="n"/>
    </row>
    <row r="22">
      <c r="A22" s="14">
        <f>'System Inventory'!A22</f>
        <v/>
      </c>
      <c r="B22" s="14">
        <f>'System Inventory'!C22</f>
        <v/>
      </c>
      <c r="C22" s="14">
        <f>IF(A22="","",IF(OR('System Inventory'!E22="",'Capability Assessment'!E22=""),"❓ Unknown",IF('Capability Assessment'!E22&lt;='System Inventory'!E22,"✅ Compliant","❌ Non-Compliant")))</f>
        <v/>
      </c>
      <c r="D22" s="14">
        <f>IF(A22="","",IF(OR('System Inventory'!F22="",'Capability Assessment'!F22=""),"❓ Unknown",IF('Capability Assessment'!F22&lt;='System Inventory'!F22,"✅ Compliant","❌ Non-Compliant")))</f>
        <v/>
      </c>
      <c r="E22" s="14">
        <f>IF(A22="","",IF(OR(C22="❓ Unknown",D22="❓ Unknown"),"❓ Unknown",IF(AND(C22="✅ Compliant",D22="✅ Compliant"),"✅ Full Compliance",IF(OR(C22="✅ Compliant",D22="✅ Compliant"),"⚠ Partial Compliance","❌ Non-Compliant"))))</f>
        <v/>
      </c>
      <c r="F22" s="14">
        <f>IF(A22="","",IF(AND(B22="Tier 1 - Critical",E22="❌ Non-Compliant"),"[!] Critical",IF(B22="Tier 1 - Critical","[~] High",IF(E22="❌ Non-Compliant","[~] High",IF(E22="⚠ Partial Compliance","[.] Medium","[ ] Low")))))</f>
        <v/>
      </c>
      <c r="G22" s="21">
        <f>IF(A22="","",IF(C22="❌ Non-Compliant",IF(D22="❌ Non-Compliant","Both RPO &amp; RTO gaps","RPO gap only"),IF(D22="❌ Non-Compliant","RTO gap only",IF(E22="❓ Unknown","Testing required","No gaps"))))</f>
        <v/>
      </c>
      <c r="H22" s="23" t="n"/>
    </row>
    <row r="23">
      <c r="A23" s="14">
        <f>'System Inventory'!A23</f>
        <v/>
      </c>
      <c r="B23" s="14">
        <f>'System Inventory'!C23</f>
        <v/>
      </c>
      <c r="C23" s="14">
        <f>IF(A23="","",IF(OR('System Inventory'!E23="",'Capability Assessment'!E23=""),"❓ Unknown",IF('Capability Assessment'!E23&lt;='System Inventory'!E23,"✅ Compliant","❌ Non-Compliant")))</f>
        <v/>
      </c>
      <c r="D23" s="14">
        <f>IF(A23="","",IF(OR('System Inventory'!F23="",'Capability Assessment'!F23=""),"❓ Unknown",IF('Capability Assessment'!F23&lt;='System Inventory'!F23,"✅ Compliant","❌ Non-Compliant")))</f>
        <v/>
      </c>
      <c r="E23" s="14">
        <f>IF(A23="","",IF(OR(C23="❓ Unknown",D23="❓ Unknown"),"❓ Unknown",IF(AND(C23="✅ Compliant",D23="✅ Compliant"),"✅ Full Compliance",IF(OR(C23="✅ Compliant",D23="✅ Compliant"),"⚠ Partial Compliance","❌ Non-Compliant"))))</f>
        <v/>
      </c>
      <c r="F23" s="14">
        <f>IF(A23="","",IF(AND(B23="Tier 1 - Critical",E23="❌ Non-Compliant"),"[!] Critical",IF(B23="Tier 1 - Critical","[~] High",IF(E23="❌ Non-Compliant","[~] High",IF(E23="⚠ Partial Compliance","[.] Medium","[ ] Low")))))</f>
        <v/>
      </c>
      <c r="G23" s="21">
        <f>IF(A23="","",IF(C23="❌ Non-Compliant",IF(D23="❌ Non-Compliant","Both RPO &amp; RTO gaps","RPO gap only"),IF(D23="❌ Non-Compliant","RTO gap only",IF(E23="❓ Unknown","Testing required","No gaps"))))</f>
        <v/>
      </c>
      <c r="H23" s="23" t="n"/>
    </row>
    <row r="24">
      <c r="A24" s="14">
        <f>'System Inventory'!A24</f>
        <v/>
      </c>
      <c r="B24" s="14">
        <f>'System Inventory'!C24</f>
        <v/>
      </c>
      <c r="C24" s="14">
        <f>IF(A24="","",IF(OR('System Inventory'!E24="",'Capability Assessment'!E24=""),"❓ Unknown",IF('Capability Assessment'!E24&lt;='System Inventory'!E24,"✅ Compliant","❌ Non-Compliant")))</f>
        <v/>
      </c>
      <c r="D24" s="14">
        <f>IF(A24="","",IF(OR('System Inventory'!F24="",'Capability Assessment'!F24=""),"❓ Unknown",IF('Capability Assessment'!F24&lt;='System Inventory'!F24,"✅ Compliant","❌ Non-Compliant")))</f>
        <v/>
      </c>
      <c r="E24" s="14">
        <f>IF(A24="","",IF(OR(C24="❓ Unknown",D24="❓ Unknown"),"❓ Unknown",IF(AND(C24="✅ Compliant",D24="✅ Compliant"),"✅ Full Compliance",IF(OR(C24="✅ Compliant",D24="✅ Compliant"),"⚠ Partial Compliance","❌ Non-Compliant"))))</f>
        <v/>
      </c>
      <c r="F24" s="14">
        <f>IF(A24="","",IF(AND(B24="Tier 1 - Critical",E24="❌ Non-Compliant"),"[!] Critical",IF(B24="Tier 1 - Critical","[~] High",IF(E24="❌ Non-Compliant","[~] High",IF(E24="⚠ Partial Compliance","[.] Medium","[ ] Low")))))</f>
        <v/>
      </c>
      <c r="G24" s="21">
        <f>IF(A24="","",IF(C24="❌ Non-Compliant",IF(D24="❌ Non-Compliant","Both RPO &amp; RTO gaps","RPO gap only"),IF(D24="❌ Non-Compliant","RTO gap only",IF(E24="❓ Unknown","Testing required","No gaps"))))</f>
        <v/>
      </c>
      <c r="H24" s="23" t="n"/>
    </row>
    <row r="25">
      <c r="A25" s="14">
        <f>'System Inventory'!A25</f>
        <v/>
      </c>
      <c r="B25" s="14">
        <f>'System Inventory'!C25</f>
        <v/>
      </c>
      <c r="C25" s="14">
        <f>IF(A25="","",IF(OR('System Inventory'!E25="",'Capability Assessment'!E25=""),"❓ Unknown",IF('Capability Assessment'!E25&lt;='System Inventory'!E25,"✅ Compliant","❌ Non-Compliant")))</f>
        <v/>
      </c>
      <c r="D25" s="14">
        <f>IF(A25="","",IF(OR('System Inventory'!F25="",'Capability Assessment'!F25=""),"❓ Unknown",IF('Capability Assessment'!F25&lt;='System Inventory'!F25,"✅ Compliant","❌ Non-Compliant")))</f>
        <v/>
      </c>
      <c r="E25" s="14">
        <f>IF(A25="","",IF(OR(C25="❓ Unknown",D25="❓ Unknown"),"❓ Unknown",IF(AND(C25="✅ Compliant",D25="✅ Compliant"),"✅ Full Compliance",IF(OR(C25="✅ Compliant",D25="✅ Compliant"),"⚠ Partial Compliance","❌ Non-Compliant"))))</f>
        <v/>
      </c>
      <c r="F25" s="14">
        <f>IF(A25="","",IF(AND(B25="Tier 1 - Critical",E25="❌ Non-Compliant"),"[!] Critical",IF(B25="Tier 1 - Critical","[~] High",IF(E25="❌ Non-Compliant","[~] High",IF(E25="⚠ Partial Compliance","[.] Medium","[ ] Low")))))</f>
        <v/>
      </c>
      <c r="G25" s="21">
        <f>IF(A25="","",IF(C25="❌ Non-Compliant",IF(D25="❌ Non-Compliant","Both RPO &amp; RTO gaps","RPO gap only"),IF(D25="❌ Non-Compliant","RTO gap only",IF(E25="❓ Unknown","Testing required","No gaps"))))</f>
        <v/>
      </c>
      <c r="H25" s="23" t="n"/>
    </row>
    <row r="26">
      <c r="A26" s="14">
        <f>'System Inventory'!A26</f>
        <v/>
      </c>
      <c r="B26" s="14">
        <f>'System Inventory'!C26</f>
        <v/>
      </c>
      <c r="C26" s="14">
        <f>IF(A26="","",IF(OR('System Inventory'!E26="",'Capability Assessment'!E26=""),"❓ Unknown",IF('Capability Assessment'!E26&lt;='System Inventory'!E26,"✅ Compliant","❌ Non-Compliant")))</f>
        <v/>
      </c>
      <c r="D26" s="14">
        <f>IF(A26="","",IF(OR('System Inventory'!F26="",'Capability Assessment'!F26=""),"❓ Unknown",IF('Capability Assessment'!F26&lt;='System Inventory'!F26,"✅ Compliant","❌ Non-Compliant")))</f>
        <v/>
      </c>
      <c r="E26" s="14">
        <f>IF(A26="","",IF(OR(C26="❓ Unknown",D26="❓ Unknown"),"❓ Unknown",IF(AND(C26="✅ Compliant",D26="✅ Compliant"),"✅ Full Compliance",IF(OR(C26="✅ Compliant",D26="✅ Compliant"),"⚠ Partial Compliance","❌ Non-Compliant"))))</f>
        <v/>
      </c>
      <c r="F26" s="14">
        <f>IF(A26="","",IF(AND(B26="Tier 1 - Critical",E26="❌ Non-Compliant"),"[!] Critical",IF(B26="Tier 1 - Critical","[~] High",IF(E26="❌ Non-Compliant","[~] High",IF(E26="⚠ Partial Compliance","[.] Medium","[ ] Low")))))</f>
        <v/>
      </c>
      <c r="G26" s="21">
        <f>IF(A26="","",IF(C26="❌ Non-Compliant",IF(D26="❌ Non-Compliant","Both RPO &amp; RTO gaps","RPO gap only"),IF(D26="❌ Non-Compliant","RTO gap only",IF(E26="❓ Unknown","Testing required","No gaps"))))</f>
        <v/>
      </c>
      <c r="H26" s="23" t="n"/>
    </row>
    <row r="27">
      <c r="A27" s="14">
        <f>'System Inventory'!A27</f>
        <v/>
      </c>
      <c r="B27" s="14">
        <f>'System Inventory'!C27</f>
        <v/>
      </c>
      <c r="C27" s="14">
        <f>IF(A27="","",IF(OR('System Inventory'!E27="",'Capability Assessment'!E27=""),"❓ Unknown",IF('Capability Assessment'!E27&lt;='System Inventory'!E27,"✅ Compliant","❌ Non-Compliant")))</f>
        <v/>
      </c>
      <c r="D27" s="14">
        <f>IF(A27="","",IF(OR('System Inventory'!F27="",'Capability Assessment'!F27=""),"❓ Unknown",IF('Capability Assessment'!F27&lt;='System Inventory'!F27,"✅ Compliant","❌ Non-Compliant")))</f>
        <v/>
      </c>
      <c r="E27" s="14">
        <f>IF(A27="","",IF(OR(C27="❓ Unknown",D27="❓ Unknown"),"❓ Unknown",IF(AND(C27="✅ Compliant",D27="✅ Compliant"),"✅ Full Compliance",IF(OR(C27="✅ Compliant",D27="✅ Compliant"),"⚠ Partial Compliance","❌ Non-Compliant"))))</f>
        <v/>
      </c>
      <c r="F27" s="14">
        <f>IF(A27="","",IF(AND(B27="Tier 1 - Critical",E27="❌ Non-Compliant"),"[!] Critical",IF(B27="Tier 1 - Critical","[~] High",IF(E27="❌ Non-Compliant","[~] High",IF(E27="⚠ Partial Compliance","[.] Medium","[ ] Low")))))</f>
        <v/>
      </c>
      <c r="G27" s="21">
        <f>IF(A27="","",IF(C27="❌ Non-Compliant",IF(D27="❌ Non-Compliant","Both RPO &amp; RTO gaps","RPO gap only"),IF(D27="❌ Non-Compliant","RTO gap only",IF(E27="❓ Unknown","Testing required","No gaps"))))</f>
        <v/>
      </c>
      <c r="H27" s="23" t="n"/>
    </row>
    <row r="28">
      <c r="A28" s="14">
        <f>'System Inventory'!A28</f>
        <v/>
      </c>
      <c r="B28" s="14">
        <f>'System Inventory'!C28</f>
        <v/>
      </c>
      <c r="C28" s="14">
        <f>IF(A28="","",IF(OR('System Inventory'!E28="",'Capability Assessment'!E28=""),"❓ Unknown",IF('Capability Assessment'!E28&lt;='System Inventory'!E28,"✅ Compliant","❌ Non-Compliant")))</f>
        <v/>
      </c>
      <c r="D28" s="14">
        <f>IF(A28="","",IF(OR('System Inventory'!F28="",'Capability Assessment'!F28=""),"❓ Unknown",IF('Capability Assessment'!F28&lt;='System Inventory'!F28,"✅ Compliant","❌ Non-Compliant")))</f>
        <v/>
      </c>
      <c r="E28" s="14">
        <f>IF(A28="","",IF(OR(C28="❓ Unknown",D28="❓ Unknown"),"❓ Unknown",IF(AND(C28="✅ Compliant",D28="✅ Compliant"),"✅ Full Compliance",IF(OR(C28="✅ Compliant",D28="✅ Compliant"),"⚠ Partial Compliance","❌ Non-Compliant"))))</f>
        <v/>
      </c>
      <c r="F28" s="14">
        <f>IF(A28="","",IF(AND(B28="Tier 1 - Critical",E28="❌ Non-Compliant"),"[!] Critical",IF(B28="Tier 1 - Critical","[~] High",IF(E28="❌ Non-Compliant","[~] High",IF(E28="⚠ Partial Compliance","[.] Medium","[ ] Low")))))</f>
        <v/>
      </c>
      <c r="G28" s="21">
        <f>IF(A28="","",IF(C28="❌ Non-Compliant",IF(D28="❌ Non-Compliant","Both RPO &amp; RTO gaps","RPO gap only"),IF(D28="❌ Non-Compliant","RTO gap only",IF(E28="❓ Unknown","Testing required","No gaps"))))</f>
        <v/>
      </c>
      <c r="H28" s="23" t="n"/>
    </row>
    <row r="29">
      <c r="A29" s="14">
        <f>'System Inventory'!A29</f>
        <v/>
      </c>
      <c r="B29" s="14">
        <f>'System Inventory'!C29</f>
        <v/>
      </c>
      <c r="C29" s="14">
        <f>IF(A29="","",IF(OR('System Inventory'!E29="",'Capability Assessment'!E29=""),"❓ Unknown",IF('Capability Assessment'!E29&lt;='System Inventory'!E29,"✅ Compliant","❌ Non-Compliant")))</f>
        <v/>
      </c>
      <c r="D29" s="14">
        <f>IF(A29="","",IF(OR('System Inventory'!F29="",'Capability Assessment'!F29=""),"❓ Unknown",IF('Capability Assessment'!F29&lt;='System Inventory'!F29,"✅ Compliant","❌ Non-Compliant")))</f>
        <v/>
      </c>
      <c r="E29" s="14">
        <f>IF(A29="","",IF(OR(C29="❓ Unknown",D29="❓ Unknown"),"❓ Unknown",IF(AND(C29="✅ Compliant",D29="✅ Compliant"),"✅ Full Compliance",IF(OR(C29="✅ Compliant",D29="✅ Compliant"),"⚠ Partial Compliance","❌ Non-Compliant"))))</f>
        <v/>
      </c>
      <c r="F29" s="14">
        <f>IF(A29="","",IF(AND(B29="Tier 1 - Critical",E29="❌ Non-Compliant"),"[!] Critical",IF(B29="Tier 1 - Critical","[~] High",IF(E29="❌ Non-Compliant","[~] High",IF(E29="⚠ Partial Compliance","[.] Medium","[ ] Low")))))</f>
        <v/>
      </c>
      <c r="G29" s="21">
        <f>IF(A29="","",IF(C29="❌ Non-Compliant",IF(D29="❌ Non-Compliant","Both RPO &amp; RTO gaps","RPO gap only"),IF(D29="❌ Non-Compliant","RTO gap only",IF(E29="❓ Unknown","Testing required","No gaps"))))</f>
        <v/>
      </c>
      <c r="H29" s="23" t="n"/>
    </row>
    <row r="30">
      <c r="A30" s="14">
        <f>'System Inventory'!A30</f>
        <v/>
      </c>
      <c r="B30" s="14">
        <f>'System Inventory'!C30</f>
        <v/>
      </c>
      <c r="C30" s="14">
        <f>IF(A30="","",IF(OR('System Inventory'!E30="",'Capability Assessment'!E30=""),"❓ Unknown",IF('Capability Assessment'!E30&lt;='System Inventory'!E30,"✅ Compliant","❌ Non-Compliant")))</f>
        <v/>
      </c>
      <c r="D30" s="14">
        <f>IF(A30="","",IF(OR('System Inventory'!F30="",'Capability Assessment'!F30=""),"❓ Unknown",IF('Capability Assessment'!F30&lt;='System Inventory'!F30,"✅ Compliant","❌ Non-Compliant")))</f>
        <v/>
      </c>
      <c r="E30" s="14">
        <f>IF(A30="","",IF(OR(C30="❓ Unknown",D30="❓ Unknown"),"❓ Unknown",IF(AND(C30="✅ Compliant",D30="✅ Compliant"),"✅ Full Compliance",IF(OR(C30="✅ Compliant",D30="✅ Compliant"),"⚠ Partial Compliance","❌ Non-Compliant"))))</f>
        <v/>
      </c>
      <c r="F30" s="14">
        <f>IF(A30="","",IF(AND(B30="Tier 1 - Critical",E30="❌ Non-Compliant"),"[!] Critical",IF(B30="Tier 1 - Critical","[~] High",IF(E30="❌ Non-Compliant","[~] High",IF(E30="⚠ Partial Compliance","[.] Medium","[ ] Low")))))</f>
        <v/>
      </c>
      <c r="G30" s="21">
        <f>IF(A30="","",IF(C30="❌ Non-Compliant",IF(D30="❌ Non-Compliant","Both RPO &amp; RTO gaps","RPO gap only"),IF(D30="❌ Non-Compliant","RTO gap only",IF(E30="❓ Unknown","Testing required","No gaps"))))</f>
        <v/>
      </c>
      <c r="H30" s="23" t="n"/>
    </row>
    <row r="31">
      <c r="A31" s="14">
        <f>'System Inventory'!A31</f>
        <v/>
      </c>
      <c r="B31" s="14">
        <f>'System Inventory'!C31</f>
        <v/>
      </c>
      <c r="C31" s="14">
        <f>IF(A31="","",IF(OR('System Inventory'!E31="",'Capability Assessment'!E31=""),"❓ Unknown",IF('Capability Assessment'!E31&lt;='System Inventory'!E31,"✅ Compliant","❌ Non-Compliant")))</f>
        <v/>
      </c>
      <c r="D31" s="14">
        <f>IF(A31="","",IF(OR('System Inventory'!F31="",'Capability Assessment'!F31=""),"❓ Unknown",IF('Capability Assessment'!F31&lt;='System Inventory'!F31,"✅ Compliant","❌ Non-Compliant")))</f>
        <v/>
      </c>
      <c r="E31" s="14">
        <f>IF(A31="","",IF(OR(C31="❓ Unknown",D31="❓ Unknown"),"❓ Unknown",IF(AND(C31="✅ Compliant",D31="✅ Compliant"),"✅ Full Compliance",IF(OR(C31="✅ Compliant",D31="✅ Compliant"),"⚠ Partial Compliance","❌ Non-Compliant"))))</f>
        <v/>
      </c>
      <c r="F31" s="14">
        <f>IF(A31="","",IF(AND(B31="Tier 1 - Critical",E31="❌ Non-Compliant"),"[!] Critical",IF(B31="Tier 1 - Critical","[~] High",IF(E31="❌ Non-Compliant","[~] High",IF(E31="⚠ Partial Compliance","[.] Medium","[ ] Low")))))</f>
        <v/>
      </c>
      <c r="G31" s="21">
        <f>IF(A31="","",IF(C31="❌ Non-Compliant",IF(D31="❌ Non-Compliant","Both RPO &amp; RTO gaps","RPO gap only"),IF(D31="❌ Non-Compliant","RTO gap only",IF(E31="❓ Unknown","Testing required","No gaps"))))</f>
        <v/>
      </c>
      <c r="H31" s="23" t="n"/>
    </row>
    <row r="32">
      <c r="A32" s="14">
        <f>'System Inventory'!A32</f>
        <v/>
      </c>
      <c r="B32" s="14">
        <f>'System Inventory'!C32</f>
        <v/>
      </c>
      <c r="C32" s="14">
        <f>IF(A32="","",IF(OR('System Inventory'!E32="",'Capability Assessment'!E32=""),"❓ Unknown",IF('Capability Assessment'!E32&lt;='System Inventory'!E32,"✅ Compliant","❌ Non-Compliant")))</f>
        <v/>
      </c>
      <c r="D32" s="14">
        <f>IF(A32="","",IF(OR('System Inventory'!F32="",'Capability Assessment'!F32=""),"❓ Unknown",IF('Capability Assessment'!F32&lt;='System Inventory'!F32,"✅ Compliant","❌ Non-Compliant")))</f>
        <v/>
      </c>
      <c r="E32" s="14">
        <f>IF(A32="","",IF(OR(C32="❓ Unknown",D32="❓ Unknown"),"❓ Unknown",IF(AND(C32="✅ Compliant",D32="✅ Compliant"),"✅ Full Compliance",IF(OR(C32="✅ Compliant",D32="✅ Compliant"),"⚠ Partial Compliance","❌ Non-Compliant"))))</f>
        <v/>
      </c>
      <c r="F32" s="14">
        <f>IF(A32="","",IF(AND(B32="Tier 1 - Critical",E32="❌ Non-Compliant"),"[!] Critical",IF(B32="Tier 1 - Critical","[~] High",IF(E32="❌ Non-Compliant","[~] High",IF(E32="⚠ Partial Compliance","[.] Medium","[ ] Low")))))</f>
        <v/>
      </c>
      <c r="G32" s="21">
        <f>IF(A32="","",IF(C32="❌ Non-Compliant",IF(D32="❌ Non-Compliant","Both RPO &amp; RTO gaps","RPO gap only"),IF(D32="❌ Non-Compliant","RTO gap only",IF(E32="❓ Unknown","Testing required","No gaps"))))</f>
        <v/>
      </c>
      <c r="H32" s="23" t="n"/>
    </row>
    <row r="33">
      <c r="A33" s="14">
        <f>'System Inventory'!A33</f>
        <v/>
      </c>
      <c r="B33" s="14">
        <f>'System Inventory'!C33</f>
        <v/>
      </c>
      <c r="C33" s="14">
        <f>IF(A33="","",IF(OR('System Inventory'!E33="",'Capability Assessment'!E33=""),"❓ Unknown",IF('Capability Assessment'!E33&lt;='System Inventory'!E33,"✅ Compliant","❌ Non-Compliant")))</f>
        <v/>
      </c>
      <c r="D33" s="14">
        <f>IF(A33="","",IF(OR('System Inventory'!F33="",'Capability Assessment'!F33=""),"❓ Unknown",IF('Capability Assessment'!F33&lt;='System Inventory'!F33,"✅ Compliant","❌ Non-Compliant")))</f>
        <v/>
      </c>
      <c r="E33" s="14">
        <f>IF(A33="","",IF(OR(C33="❓ Unknown",D33="❓ Unknown"),"❓ Unknown",IF(AND(C33="✅ Compliant",D33="✅ Compliant"),"✅ Full Compliance",IF(OR(C33="✅ Compliant",D33="✅ Compliant"),"⚠ Partial Compliance","❌ Non-Compliant"))))</f>
        <v/>
      </c>
      <c r="F33" s="14">
        <f>IF(A33="","",IF(AND(B33="Tier 1 - Critical",E33="❌ Non-Compliant"),"[!] Critical",IF(B33="Tier 1 - Critical","[~] High",IF(E33="❌ Non-Compliant","[~] High",IF(E33="⚠ Partial Compliance","[.] Medium","[ ] Low")))))</f>
        <v/>
      </c>
      <c r="G33" s="21">
        <f>IF(A33="","",IF(C33="❌ Non-Compliant",IF(D33="❌ Non-Compliant","Both RPO &amp; RTO gaps","RPO gap only"),IF(D33="❌ Non-Compliant","RTO gap only",IF(E33="❓ Unknown","Testing required","No gaps"))))</f>
        <v/>
      </c>
      <c r="H33" s="23" t="n"/>
    </row>
    <row r="34">
      <c r="A34" s="14">
        <f>'System Inventory'!A34</f>
        <v/>
      </c>
      <c r="B34" s="14">
        <f>'System Inventory'!C34</f>
        <v/>
      </c>
      <c r="C34" s="14">
        <f>IF(A34="","",IF(OR('System Inventory'!E34="",'Capability Assessment'!E34=""),"❓ Unknown",IF('Capability Assessment'!E34&lt;='System Inventory'!E34,"✅ Compliant","❌ Non-Compliant")))</f>
        <v/>
      </c>
      <c r="D34" s="14">
        <f>IF(A34="","",IF(OR('System Inventory'!F34="",'Capability Assessment'!F34=""),"❓ Unknown",IF('Capability Assessment'!F34&lt;='System Inventory'!F34,"✅ Compliant","❌ Non-Compliant")))</f>
        <v/>
      </c>
      <c r="E34" s="14">
        <f>IF(A34="","",IF(OR(C34="❓ Unknown",D34="❓ Unknown"),"❓ Unknown",IF(AND(C34="✅ Compliant",D34="✅ Compliant"),"✅ Full Compliance",IF(OR(C34="✅ Compliant",D34="✅ Compliant"),"⚠ Partial Compliance","❌ Non-Compliant"))))</f>
        <v/>
      </c>
      <c r="F34" s="14">
        <f>IF(A34="","",IF(AND(B34="Tier 1 - Critical",E34="❌ Non-Compliant"),"[!] Critical",IF(B34="Tier 1 - Critical","[~] High",IF(E34="❌ Non-Compliant","[~] High",IF(E34="⚠ Partial Compliance","[.] Medium","[ ] Low")))))</f>
        <v/>
      </c>
      <c r="G34" s="21">
        <f>IF(A34="","",IF(C34="❌ Non-Compliant",IF(D34="❌ Non-Compliant","Both RPO &amp; RTO gaps","RPO gap only"),IF(D34="❌ Non-Compliant","RTO gap only",IF(E34="❓ Unknown","Testing required","No gaps"))))</f>
        <v/>
      </c>
      <c r="H34" s="23" t="n"/>
    </row>
    <row r="35">
      <c r="A35" s="14">
        <f>'System Inventory'!A35</f>
        <v/>
      </c>
      <c r="B35" s="14">
        <f>'System Inventory'!C35</f>
        <v/>
      </c>
      <c r="C35" s="14">
        <f>IF(A35="","",IF(OR('System Inventory'!E35="",'Capability Assessment'!E35=""),"❓ Unknown",IF('Capability Assessment'!E35&lt;='System Inventory'!E35,"✅ Compliant","❌ Non-Compliant")))</f>
        <v/>
      </c>
      <c r="D35" s="14">
        <f>IF(A35="","",IF(OR('System Inventory'!F35="",'Capability Assessment'!F35=""),"❓ Unknown",IF('Capability Assessment'!F35&lt;='System Inventory'!F35,"✅ Compliant","❌ Non-Compliant")))</f>
        <v/>
      </c>
      <c r="E35" s="14">
        <f>IF(A35="","",IF(OR(C35="❓ Unknown",D35="❓ Unknown"),"❓ Unknown",IF(AND(C35="✅ Compliant",D35="✅ Compliant"),"✅ Full Compliance",IF(OR(C35="✅ Compliant",D35="✅ Compliant"),"⚠ Partial Compliance","❌ Non-Compliant"))))</f>
        <v/>
      </c>
      <c r="F35" s="14">
        <f>IF(A35="","",IF(AND(B35="Tier 1 - Critical",E35="❌ Non-Compliant"),"[!] Critical",IF(B35="Tier 1 - Critical","[~] High",IF(E35="❌ Non-Compliant","[~] High",IF(E35="⚠ Partial Compliance","[.] Medium","[ ] Low")))))</f>
        <v/>
      </c>
      <c r="G35" s="21">
        <f>IF(A35="","",IF(C35="❌ Non-Compliant",IF(D35="❌ Non-Compliant","Both RPO &amp; RTO gaps","RPO gap only"),IF(D35="❌ Non-Compliant","RTO gap only",IF(E35="❓ Unknown","Testing required","No gaps"))))</f>
        <v/>
      </c>
      <c r="H35" s="23" t="n"/>
    </row>
    <row r="36">
      <c r="A36" s="14">
        <f>'System Inventory'!A36</f>
        <v/>
      </c>
      <c r="B36" s="14">
        <f>'System Inventory'!C36</f>
        <v/>
      </c>
      <c r="C36" s="14">
        <f>IF(A36="","",IF(OR('System Inventory'!E36="",'Capability Assessment'!E36=""),"❓ Unknown",IF('Capability Assessment'!E36&lt;='System Inventory'!E36,"✅ Compliant","❌ Non-Compliant")))</f>
        <v/>
      </c>
      <c r="D36" s="14">
        <f>IF(A36="","",IF(OR('System Inventory'!F36="",'Capability Assessment'!F36=""),"❓ Unknown",IF('Capability Assessment'!F36&lt;='System Inventory'!F36,"✅ Compliant","❌ Non-Compliant")))</f>
        <v/>
      </c>
      <c r="E36" s="14">
        <f>IF(A36="","",IF(OR(C36="❓ Unknown",D36="❓ Unknown"),"❓ Unknown",IF(AND(C36="✅ Compliant",D36="✅ Compliant"),"✅ Full Compliance",IF(OR(C36="✅ Compliant",D36="✅ Compliant"),"⚠ Partial Compliance","❌ Non-Compliant"))))</f>
        <v/>
      </c>
      <c r="F36" s="14">
        <f>IF(A36="","",IF(AND(B36="Tier 1 - Critical",E36="❌ Non-Compliant"),"[!] Critical",IF(B36="Tier 1 - Critical","[~] High",IF(E36="❌ Non-Compliant","[~] High",IF(E36="⚠ Partial Compliance","[.] Medium","[ ] Low")))))</f>
        <v/>
      </c>
      <c r="G36" s="21">
        <f>IF(A36="","",IF(C36="❌ Non-Compliant",IF(D36="❌ Non-Compliant","Both RPO &amp; RTO gaps","RPO gap only"),IF(D36="❌ Non-Compliant","RTO gap only",IF(E36="❓ Unknown","Testing required","No gaps"))))</f>
        <v/>
      </c>
      <c r="H36" s="23" t="n"/>
    </row>
    <row r="37">
      <c r="A37" s="14">
        <f>'System Inventory'!A37</f>
        <v/>
      </c>
      <c r="B37" s="14">
        <f>'System Inventory'!C37</f>
        <v/>
      </c>
      <c r="C37" s="14">
        <f>IF(A37="","",IF(OR('System Inventory'!E37="",'Capability Assessment'!E37=""),"❓ Unknown",IF('Capability Assessment'!E37&lt;='System Inventory'!E37,"✅ Compliant","❌ Non-Compliant")))</f>
        <v/>
      </c>
      <c r="D37" s="14">
        <f>IF(A37="","",IF(OR('System Inventory'!F37="",'Capability Assessment'!F37=""),"❓ Unknown",IF('Capability Assessment'!F37&lt;='System Inventory'!F37,"✅ Compliant","❌ Non-Compliant")))</f>
        <v/>
      </c>
      <c r="E37" s="14">
        <f>IF(A37="","",IF(OR(C37="❓ Unknown",D37="❓ Unknown"),"❓ Unknown",IF(AND(C37="✅ Compliant",D37="✅ Compliant"),"✅ Full Compliance",IF(OR(C37="✅ Compliant",D37="✅ Compliant"),"⚠ Partial Compliance","❌ Non-Compliant"))))</f>
        <v/>
      </c>
      <c r="F37" s="14">
        <f>IF(A37="","",IF(AND(B37="Tier 1 - Critical",E37="❌ Non-Compliant"),"[!] Critical",IF(B37="Tier 1 - Critical","[~] High",IF(E37="❌ Non-Compliant","[~] High",IF(E37="⚠ Partial Compliance","[.] Medium","[ ] Low")))))</f>
        <v/>
      </c>
      <c r="G37" s="21">
        <f>IF(A37="","",IF(C37="❌ Non-Compliant",IF(D37="❌ Non-Compliant","Both RPO &amp; RTO gaps","RPO gap only"),IF(D37="❌ Non-Compliant","RTO gap only",IF(E37="❓ Unknown","Testing required","No gaps"))))</f>
        <v/>
      </c>
      <c r="H37" s="23" t="n"/>
    </row>
    <row r="38">
      <c r="A38" s="14">
        <f>'System Inventory'!A38</f>
        <v/>
      </c>
      <c r="B38" s="14">
        <f>'System Inventory'!C38</f>
        <v/>
      </c>
      <c r="C38" s="14">
        <f>IF(A38="","",IF(OR('System Inventory'!E38="",'Capability Assessment'!E38=""),"❓ Unknown",IF('Capability Assessment'!E38&lt;='System Inventory'!E38,"✅ Compliant","❌ Non-Compliant")))</f>
        <v/>
      </c>
      <c r="D38" s="14">
        <f>IF(A38="","",IF(OR('System Inventory'!F38="",'Capability Assessment'!F38=""),"❓ Unknown",IF('Capability Assessment'!F38&lt;='System Inventory'!F38,"✅ Compliant","❌ Non-Compliant")))</f>
        <v/>
      </c>
      <c r="E38" s="14">
        <f>IF(A38="","",IF(OR(C38="❓ Unknown",D38="❓ Unknown"),"❓ Unknown",IF(AND(C38="✅ Compliant",D38="✅ Compliant"),"✅ Full Compliance",IF(OR(C38="✅ Compliant",D38="✅ Compliant"),"⚠ Partial Compliance","❌ Non-Compliant"))))</f>
        <v/>
      </c>
      <c r="F38" s="14">
        <f>IF(A38="","",IF(AND(B38="Tier 1 - Critical",E38="❌ Non-Compliant"),"[!] Critical",IF(B38="Tier 1 - Critical","[~] High",IF(E38="❌ Non-Compliant","[~] High",IF(E38="⚠ Partial Compliance","[.] Medium","[ ] Low")))))</f>
        <v/>
      </c>
      <c r="G38" s="21">
        <f>IF(A38="","",IF(C38="❌ Non-Compliant",IF(D38="❌ Non-Compliant","Both RPO &amp; RTO gaps","RPO gap only"),IF(D38="❌ Non-Compliant","RTO gap only",IF(E38="❓ Unknown","Testing required","No gaps"))))</f>
        <v/>
      </c>
      <c r="H38" s="23" t="n"/>
    </row>
    <row r="39">
      <c r="A39" s="14">
        <f>'System Inventory'!A39</f>
        <v/>
      </c>
      <c r="B39" s="14">
        <f>'System Inventory'!C39</f>
        <v/>
      </c>
      <c r="C39" s="14">
        <f>IF(A39="","",IF(OR('System Inventory'!E39="",'Capability Assessment'!E39=""),"❓ Unknown",IF('Capability Assessment'!E39&lt;='System Inventory'!E39,"✅ Compliant","❌ Non-Compliant")))</f>
        <v/>
      </c>
      <c r="D39" s="14">
        <f>IF(A39="","",IF(OR('System Inventory'!F39="",'Capability Assessment'!F39=""),"❓ Unknown",IF('Capability Assessment'!F39&lt;='System Inventory'!F39,"✅ Compliant","❌ Non-Compliant")))</f>
        <v/>
      </c>
      <c r="E39" s="14">
        <f>IF(A39="","",IF(OR(C39="❓ Unknown",D39="❓ Unknown"),"❓ Unknown",IF(AND(C39="✅ Compliant",D39="✅ Compliant"),"✅ Full Compliance",IF(OR(C39="✅ Compliant",D39="✅ Compliant"),"⚠ Partial Compliance","❌ Non-Compliant"))))</f>
        <v/>
      </c>
      <c r="F39" s="14">
        <f>IF(A39="","",IF(AND(B39="Tier 1 - Critical",E39="❌ Non-Compliant"),"[!] Critical",IF(B39="Tier 1 - Critical","[~] High",IF(E39="❌ Non-Compliant","[~] High",IF(E39="⚠ Partial Compliance","[.] Medium","[ ] Low")))))</f>
        <v/>
      </c>
      <c r="G39" s="21">
        <f>IF(A39="","",IF(C39="❌ Non-Compliant",IF(D39="❌ Non-Compliant","Both RPO &amp; RTO gaps","RPO gap only"),IF(D39="❌ Non-Compliant","RTO gap only",IF(E39="❓ Unknown","Testing required","No gaps"))))</f>
        <v/>
      </c>
      <c r="H39" s="23" t="n"/>
    </row>
    <row r="40">
      <c r="A40" s="14">
        <f>'System Inventory'!A40</f>
        <v/>
      </c>
      <c r="B40" s="14">
        <f>'System Inventory'!C40</f>
        <v/>
      </c>
      <c r="C40" s="14">
        <f>IF(A40="","",IF(OR('System Inventory'!E40="",'Capability Assessment'!E40=""),"❓ Unknown",IF('Capability Assessment'!E40&lt;='System Inventory'!E40,"✅ Compliant","❌ Non-Compliant")))</f>
        <v/>
      </c>
      <c r="D40" s="14">
        <f>IF(A40="","",IF(OR('System Inventory'!F40="",'Capability Assessment'!F40=""),"❓ Unknown",IF('Capability Assessment'!F40&lt;='System Inventory'!F40,"✅ Compliant","❌ Non-Compliant")))</f>
        <v/>
      </c>
      <c r="E40" s="14">
        <f>IF(A40="","",IF(OR(C40="❓ Unknown",D40="❓ Unknown"),"❓ Unknown",IF(AND(C40="✅ Compliant",D40="✅ Compliant"),"✅ Full Compliance",IF(OR(C40="✅ Compliant",D40="✅ Compliant"),"⚠ Partial Compliance","❌ Non-Compliant"))))</f>
        <v/>
      </c>
      <c r="F40" s="14">
        <f>IF(A40="","",IF(AND(B40="Tier 1 - Critical",E40="❌ Non-Compliant"),"[!] Critical",IF(B40="Tier 1 - Critical","[~] High",IF(E40="❌ Non-Compliant","[~] High",IF(E40="⚠ Partial Compliance","[.] Medium","[ ] Low")))))</f>
        <v/>
      </c>
      <c r="G40" s="21">
        <f>IF(A40="","",IF(C40="❌ Non-Compliant",IF(D40="❌ Non-Compliant","Both RPO &amp; RTO gaps","RPO gap only"),IF(D40="❌ Non-Compliant","RTO gap only",IF(E40="❓ Unknown","Testing required","No gaps"))))</f>
        <v/>
      </c>
      <c r="H40" s="23" t="n"/>
    </row>
    <row r="41">
      <c r="A41" s="14">
        <f>'System Inventory'!A41</f>
        <v/>
      </c>
      <c r="B41" s="14">
        <f>'System Inventory'!C41</f>
        <v/>
      </c>
      <c r="C41" s="14">
        <f>IF(A41="","",IF(OR('System Inventory'!E41="",'Capability Assessment'!E41=""),"❓ Unknown",IF('Capability Assessment'!E41&lt;='System Inventory'!E41,"✅ Compliant","❌ Non-Compliant")))</f>
        <v/>
      </c>
      <c r="D41" s="14">
        <f>IF(A41="","",IF(OR('System Inventory'!F41="",'Capability Assessment'!F41=""),"❓ Unknown",IF('Capability Assessment'!F41&lt;='System Inventory'!F41,"✅ Compliant","❌ Non-Compliant")))</f>
        <v/>
      </c>
      <c r="E41" s="14">
        <f>IF(A41="","",IF(OR(C41="❓ Unknown",D41="❓ Unknown"),"❓ Unknown",IF(AND(C41="✅ Compliant",D41="✅ Compliant"),"✅ Full Compliance",IF(OR(C41="✅ Compliant",D41="✅ Compliant"),"⚠ Partial Compliance","❌ Non-Compliant"))))</f>
        <v/>
      </c>
      <c r="F41" s="14">
        <f>IF(A41="","",IF(AND(B41="Tier 1 - Critical",E41="❌ Non-Compliant"),"[!] Critical",IF(B41="Tier 1 - Critical","[~] High",IF(E41="❌ Non-Compliant","[~] High",IF(E41="⚠ Partial Compliance","[.] Medium","[ ] Low")))))</f>
        <v/>
      </c>
      <c r="G41" s="21">
        <f>IF(A41="","",IF(C41="❌ Non-Compliant",IF(D41="❌ Non-Compliant","Both RPO &amp; RTO gaps","RPO gap only"),IF(D41="❌ Non-Compliant","RTO gap only",IF(E41="❓ Unknown","Testing required","No gaps"))))</f>
        <v/>
      </c>
      <c r="H41" s="23" t="n"/>
    </row>
    <row r="42">
      <c r="A42" s="14">
        <f>'System Inventory'!A42</f>
        <v/>
      </c>
      <c r="B42" s="14">
        <f>'System Inventory'!C42</f>
        <v/>
      </c>
      <c r="C42" s="14">
        <f>IF(A42="","",IF(OR('System Inventory'!E42="",'Capability Assessment'!E42=""),"❓ Unknown",IF('Capability Assessment'!E42&lt;='System Inventory'!E42,"✅ Compliant","❌ Non-Compliant")))</f>
        <v/>
      </c>
      <c r="D42" s="14">
        <f>IF(A42="","",IF(OR('System Inventory'!F42="",'Capability Assessment'!F42=""),"❓ Unknown",IF('Capability Assessment'!F42&lt;='System Inventory'!F42,"✅ Compliant","❌ Non-Compliant")))</f>
        <v/>
      </c>
      <c r="E42" s="14">
        <f>IF(A42="","",IF(OR(C42="❓ Unknown",D42="❓ Unknown"),"❓ Unknown",IF(AND(C42="✅ Compliant",D42="✅ Compliant"),"✅ Full Compliance",IF(OR(C42="✅ Compliant",D42="✅ Compliant"),"⚠ Partial Compliance","❌ Non-Compliant"))))</f>
        <v/>
      </c>
      <c r="F42" s="14">
        <f>IF(A42="","",IF(AND(B42="Tier 1 - Critical",E42="❌ Non-Compliant"),"[!] Critical",IF(B42="Tier 1 - Critical","[~] High",IF(E42="❌ Non-Compliant","[~] High",IF(E42="⚠ Partial Compliance","[.] Medium","[ ] Low")))))</f>
        <v/>
      </c>
      <c r="G42" s="21">
        <f>IF(A42="","",IF(C42="❌ Non-Compliant",IF(D42="❌ Non-Compliant","Both RPO &amp; RTO gaps","RPO gap only"),IF(D42="❌ Non-Compliant","RTO gap only",IF(E42="❓ Unknown","Testing required","No gaps"))))</f>
        <v/>
      </c>
      <c r="H42" s="23" t="n"/>
    </row>
    <row r="43">
      <c r="A43" s="14">
        <f>'System Inventory'!A43</f>
        <v/>
      </c>
      <c r="B43" s="14">
        <f>'System Inventory'!C43</f>
        <v/>
      </c>
      <c r="C43" s="14">
        <f>IF(A43="","",IF(OR('System Inventory'!E43="",'Capability Assessment'!E43=""),"❓ Unknown",IF('Capability Assessment'!E43&lt;='System Inventory'!E43,"✅ Compliant","❌ Non-Compliant")))</f>
        <v/>
      </c>
      <c r="D43" s="14">
        <f>IF(A43="","",IF(OR('System Inventory'!F43="",'Capability Assessment'!F43=""),"❓ Unknown",IF('Capability Assessment'!F43&lt;='System Inventory'!F43,"✅ Compliant","❌ Non-Compliant")))</f>
        <v/>
      </c>
      <c r="E43" s="14">
        <f>IF(A43="","",IF(OR(C43="❓ Unknown",D43="❓ Unknown"),"❓ Unknown",IF(AND(C43="✅ Compliant",D43="✅ Compliant"),"✅ Full Compliance",IF(OR(C43="✅ Compliant",D43="✅ Compliant"),"⚠ Partial Compliance","❌ Non-Compliant"))))</f>
        <v/>
      </c>
      <c r="F43" s="14">
        <f>IF(A43="","",IF(AND(B43="Tier 1 - Critical",E43="❌ Non-Compliant"),"[!] Critical",IF(B43="Tier 1 - Critical","[~] High",IF(E43="❌ Non-Compliant","[~] High",IF(E43="⚠ Partial Compliance","[.] Medium","[ ] Low")))))</f>
        <v/>
      </c>
      <c r="G43" s="21">
        <f>IF(A43="","",IF(C43="❌ Non-Compliant",IF(D43="❌ Non-Compliant","Both RPO &amp; RTO gaps","RPO gap only"),IF(D43="❌ Non-Compliant","RTO gap only",IF(E43="❓ Unknown","Testing required","No gaps"))))</f>
        <v/>
      </c>
      <c r="H43" s="23" t="n"/>
    </row>
    <row r="44">
      <c r="A44" s="14">
        <f>'System Inventory'!A44</f>
        <v/>
      </c>
      <c r="B44" s="14">
        <f>'System Inventory'!C44</f>
        <v/>
      </c>
      <c r="C44" s="14">
        <f>IF(A44="","",IF(OR('System Inventory'!E44="",'Capability Assessment'!E44=""),"❓ Unknown",IF('Capability Assessment'!E44&lt;='System Inventory'!E44,"✅ Compliant","❌ Non-Compliant")))</f>
        <v/>
      </c>
      <c r="D44" s="14">
        <f>IF(A44="","",IF(OR('System Inventory'!F44="",'Capability Assessment'!F44=""),"❓ Unknown",IF('Capability Assessment'!F44&lt;='System Inventory'!F44,"✅ Compliant","❌ Non-Compliant")))</f>
        <v/>
      </c>
      <c r="E44" s="14">
        <f>IF(A44="","",IF(OR(C44="❓ Unknown",D44="❓ Unknown"),"❓ Unknown",IF(AND(C44="✅ Compliant",D44="✅ Compliant"),"✅ Full Compliance",IF(OR(C44="✅ Compliant",D44="✅ Compliant"),"⚠ Partial Compliance","❌ Non-Compliant"))))</f>
        <v/>
      </c>
      <c r="F44" s="14">
        <f>IF(A44="","",IF(AND(B44="Tier 1 - Critical",E44="❌ Non-Compliant"),"[!] Critical",IF(B44="Tier 1 - Critical","[~] High",IF(E44="❌ Non-Compliant","[~] High",IF(E44="⚠ Partial Compliance","[.] Medium","[ ] Low")))))</f>
        <v/>
      </c>
      <c r="G44" s="21">
        <f>IF(A44="","",IF(C44="❌ Non-Compliant",IF(D44="❌ Non-Compliant","Both RPO &amp; RTO gaps","RPO gap only"),IF(D44="❌ Non-Compliant","RTO gap only",IF(E44="❓ Unknown","Testing required","No gaps"))))</f>
        <v/>
      </c>
      <c r="H44" s="23" t="n"/>
    </row>
    <row r="45">
      <c r="A45" s="14">
        <f>'System Inventory'!A45</f>
        <v/>
      </c>
      <c r="B45" s="14">
        <f>'System Inventory'!C45</f>
        <v/>
      </c>
      <c r="C45" s="14">
        <f>IF(A45="","",IF(OR('System Inventory'!E45="",'Capability Assessment'!E45=""),"❓ Unknown",IF('Capability Assessment'!E45&lt;='System Inventory'!E45,"✅ Compliant","❌ Non-Compliant")))</f>
        <v/>
      </c>
      <c r="D45" s="14">
        <f>IF(A45="","",IF(OR('System Inventory'!F45="",'Capability Assessment'!F45=""),"❓ Unknown",IF('Capability Assessment'!F45&lt;='System Inventory'!F45,"✅ Compliant","❌ Non-Compliant")))</f>
        <v/>
      </c>
      <c r="E45" s="14">
        <f>IF(A45="","",IF(OR(C45="❓ Unknown",D45="❓ Unknown"),"❓ Unknown",IF(AND(C45="✅ Compliant",D45="✅ Compliant"),"✅ Full Compliance",IF(OR(C45="✅ Compliant",D45="✅ Compliant"),"⚠ Partial Compliance","❌ Non-Compliant"))))</f>
        <v/>
      </c>
      <c r="F45" s="14">
        <f>IF(A45="","",IF(AND(B45="Tier 1 - Critical",E45="❌ Non-Compliant"),"[!] Critical",IF(B45="Tier 1 - Critical","[~] High",IF(E45="❌ Non-Compliant","[~] High",IF(E45="⚠ Partial Compliance","[.] Medium","[ ] Low")))))</f>
        <v/>
      </c>
      <c r="G45" s="21">
        <f>IF(A45="","",IF(C45="❌ Non-Compliant",IF(D45="❌ Non-Compliant","Both RPO &amp; RTO gaps","RPO gap only"),IF(D45="❌ Non-Compliant","RTO gap only",IF(E45="❓ Unknown","Testing required","No gaps"))))</f>
        <v/>
      </c>
      <c r="H45" s="23" t="n"/>
    </row>
    <row r="46">
      <c r="A46" s="14">
        <f>'System Inventory'!A46</f>
        <v/>
      </c>
      <c r="B46" s="14">
        <f>'System Inventory'!C46</f>
        <v/>
      </c>
      <c r="C46" s="14">
        <f>IF(A46="","",IF(OR('System Inventory'!E46="",'Capability Assessment'!E46=""),"❓ Unknown",IF('Capability Assessment'!E46&lt;='System Inventory'!E46,"✅ Compliant","❌ Non-Compliant")))</f>
        <v/>
      </c>
      <c r="D46" s="14">
        <f>IF(A46="","",IF(OR('System Inventory'!F46="",'Capability Assessment'!F46=""),"❓ Unknown",IF('Capability Assessment'!F46&lt;='System Inventory'!F46,"✅ Compliant","❌ Non-Compliant")))</f>
        <v/>
      </c>
      <c r="E46" s="14">
        <f>IF(A46="","",IF(OR(C46="❓ Unknown",D46="❓ Unknown"),"❓ Unknown",IF(AND(C46="✅ Compliant",D46="✅ Compliant"),"✅ Full Compliance",IF(OR(C46="✅ Compliant",D46="✅ Compliant"),"⚠ Partial Compliance","❌ Non-Compliant"))))</f>
        <v/>
      </c>
      <c r="F46" s="14">
        <f>IF(A46="","",IF(AND(B46="Tier 1 - Critical",E46="❌ Non-Compliant"),"[!] Critical",IF(B46="Tier 1 - Critical","[~] High",IF(E46="❌ Non-Compliant","[~] High",IF(E46="⚠ Partial Compliance","[.] Medium","[ ] Low")))))</f>
        <v/>
      </c>
      <c r="G46" s="21">
        <f>IF(A46="","",IF(C46="❌ Non-Compliant",IF(D46="❌ Non-Compliant","Both RPO &amp; RTO gaps","RPO gap only"),IF(D46="❌ Non-Compliant","RTO gap only",IF(E46="❓ Unknown","Testing required","No gaps"))))</f>
        <v/>
      </c>
      <c r="H46" s="23" t="n"/>
    </row>
    <row r="47">
      <c r="A47" s="14">
        <f>'System Inventory'!A47</f>
        <v/>
      </c>
      <c r="B47" s="14">
        <f>'System Inventory'!C47</f>
        <v/>
      </c>
      <c r="C47" s="14">
        <f>IF(A47="","",IF(OR('System Inventory'!E47="",'Capability Assessment'!E47=""),"❓ Unknown",IF('Capability Assessment'!E47&lt;='System Inventory'!E47,"✅ Compliant","❌ Non-Compliant")))</f>
        <v/>
      </c>
      <c r="D47" s="14">
        <f>IF(A47="","",IF(OR('System Inventory'!F47="",'Capability Assessment'!F47=""),"❓ Unknown",IF('Capability Assessment'!F47&lt;='System Inventory'!F47,"✅ Compliant","❌ Non-Compliant")))</f>
        <v/>
      </c>
      <c r="E47" s="14">
        <f>IF(A47="","",IF(OR(C47="❓ Unknown",D47="❓ Unknown"),"❓ Unknown",IF(AND(C47="✅ Compliant",D47="✅ Compliant"),"✅ Full Compliance",IF(OR(C47="✅ Compliant",D47="✅ Compliant"),"⚠ Partial Compliance","❌ Non-Compliant"))))</f>
        <v/>
      </c>
      <c r="F47" s="14">
        <f>IF(A47="","",IF(AND(B47="Tier 1 - Critical",E47="❌ Non-Compliant"),"[!] Critical",IF(B47="Tier 1 - Critical","[~] High",IF(E47="❌ Non-Compliant","[~] High",IF(E47="⚠ Partial Compliance","[.] Medium","[ ] Low")))))</f>
        <v/>
      </c>
      <c r="G47" s="21">
        <f>IF(A47="","",IF(C47="❌ Non-Compliant",IF(D47="❌ Non-Compliant","Both RPO &amp; RTO gaps","RPO gap only"),IF(D47="❌ Non-Compliant","RTO gap only",IF(E47="❓ Unknown","Testing required","No gaps"))))</f>
        <v/>
      </c>
      <c r="H47" s="23" t="n"/>
    </row>
    <row r="48">
      <c r="A48" s="14">
        <f>'System Inventory'!A48</f>
        <v/>
      </c>
      <c r="B48" s="14">
        <f>'System Inventory'!C48</f>
        <v/>
      </c>
      <c r="C48" s="14">
        <f>IF(A48="","",IF(OR('System Inventory'!E48="",'Capability Assessment'!E48=""),"❓ Unknown",IF('Capability Assessment'!E48&lt;='System Inventory'!E48,"✅ Compliant","❌ Non-Compliant")))</f>
        <v/>
      </c>
      <c r="D48" s="14">
        <f>IF(A48="","",IF(OR('System Inventory'!F48="",'Capability Assessment'!F48=""),"❓ Unknown",IF('Capability Assessment'!F48&lt;='System Inventory'!F48,"✅ Compliant","❌ Non-Compliant")))</f>
        <v/>
      </c>
      <c r="E48" s="14">
        <f>IF(A48="","",IF(OR(C48="❓ Unknown",D48="❓ Unknown"),"❓ Unknown",IF(AND(C48="✅ Compliant",D48="✅ Compliant"),"✅ Full Compliance",IF(OR(C48="✅ Compliant",D48="✅ Compliant"),"⚠ Partial Compliance","❌ Non-Compliant"))))</f>
        <v/>
      </c>
      <c r="F48" s="14">
        <f>IF(A48="","",IF(AND(B48="Tier 1 - Critical",E48="❌ Non-Compliant"),"[!] Critical",IF(B48="Tier 1 - Critical","[~] High",IF(E48="❌ Non-Compliant","[~] High",IF(E48="⚠ Partial Compliance","[.] Medium","[ ] Low")))))</f>
        <v/>
      </c>
      <c r="G48" s="21">
        <f>IF(A48="","",IF(C48="❌ Non-Compliant",IF(D48="❌ Non-Compliant","Both RPO &amp; RTO gaps","RPO gap only"),IF(D48="❌ Non-Compliant","RTO gap only",IF(E48="❓ Unknown","Testing required","No gaps"))))</f>
        <v/>
      </c>
      <c r="H48" s="23" t="n"/>
    </row>
    <row r="49">
      <c r="A49" s="14">
        <f>'System Inventory'!A49</f>
        <v/>
      </c>
      <c r="B49" s="14">
        <f>'System Inventory'!C49</f>
        <v/>
      </c>
      <c r="C49" s="14">
        <f>IF(A49="","",IF(OR('System Inventory'!E49="",'Capability Assessment'!E49=""),"❓ Unknown",IF('Capability Assessment'!E49&lt;='System Inventory'!E49,"✅ Compliant","❌ Non-Compliant")))</f>
        <v/>
      </c>
      <c r="D49" s="14">
        <f>IF(A49="","",IF(OR('System Inventory'!F49="",'Capability Assessment'!F49=""),"❓ Unknown",IF('Capability Assessment'!F49&lt;='System Inventory'!F49,"✅ Compliant","❌ Non-Compliant")))</f>
        <v/>
      </c>
      <c r="E49" s="14">
        <f>IF(A49="","",IF(OR(C49="❓ Unknown",D49="❓ Unknown"),"❓ Unknown",IF(AND(C49="✅ Compliant",D49="✅ Compliant"),"✅ Full Compliance",IF(OR(C49="✅ Compliant",D49="✅ Compliant"),"⚠ Partial Compliance","❌ Non-Compliant"))))</f>
        <v/>
      </c>
      <c r="F49" s="14">
        <f>IF(A49="","",IF(AND(B49="Tier 1 - Critical",E49="❌ Non-Compliant"),"[!] Critical",IF(B49="Tier 1 - Critical","[~] High",IF(E49="❌ Non-Compliant","[~] High",IF(E49="⚠ Partial Compliance","[.] Medium","[ ] Low")))))</f>
        <v/>
      </c>
      <c r="G49" s="21">
        <f>IF(A49="","",IF(C49="❌ Non-Compliant",IF(D49="❌ Non-Compliant","Both RPO &amp; RTO gaps","RPO gap only"),IF(D49="❌ Non-Compliant","RTO gap only",IF(E49="❓ Unknown","Testing required","No gaps"))))</f>
        <v/>
      </c>
      <c r="H49" s="23" t="n"/>
    </row>
    <row r="50">
      <c r="A50" s="14">
        <f>'System Inventory'!A50</f>
        <v/>
      </c>
      <c r="B50" s="14">
        <f>'System Inventory'!C50</f>
        <v/>
      </c>
      <c r="C50" s="14">
        <f>IF(A50="","",IF(OR('System Inventory'!E50="",'Capability Assessment'!E50=""),"❓ Unknown",IF('Capability Assessment'!E50&lt;='System Inventory'!E50,"✅ Compliant","❌ Non-Compliant")))</f>
        <v/>
      </c>
      <c r="D50" s="14">
        <f>IF(A50="","",IF(OR('System Inventory'!F50="",'Capability Assessment'!F50=""),"❓ Unknown",IF('Capability Assessment'!F50&lt;='System Inventory'!F50,"✅ Compliant","❌ Non-Compliant")))</f>
        <v/>
      </c>
      <c r="E50" s="14">
        <f>IF(A50="","",IF(OR(C50="❓ Unknown",D50="❓ Unknown"),"❓ Unknown",IF(AND(C50="✅ Compliant",D50="✅ Compliant"),"✅ Full Compliance",IF(OR(C50="✅ Compliant",D50="✅ Compliant"),"⚠ Partial Compliance","❌ Non-Compliant"))))</f>
        <v/>
      </c>
      <c r="F50" s="14">
        <f>IF(A50="","",IF(AND(B50="Tier 1 - Critical",E50="❌ Non-Compliant"),"[!] Critical",IF(B50="Tier 1 - Critical","[~] High",IF(E50="❌ Non-Compliant","[~] High",IF(E50="⚠ Partial Compliance","[.] Medium","[ ] Low")))))</f>
        <v/>
      </c>
      <c r="G50" s="21">
        <f>IF(A50="","",IF(C50="❌ Non-Compliant",IF(D50="❌ Non-Compliant","Both RPO &amp; RTO gaps","RPO gap only"),IF(D50="❌ Non-Compliant","RTO gap only",IF(E50="❓ Unknown","Testing required","No gaps"))))</f>
        <v/>
      </c>
      <c r="H50" s="23" t="n"/>
    </row>
    <row r="51">
      <c r="A51" s="14">
        <f>'System Inventory'!A51</f>
        <v/>
      </c>
      <c r="B51" s="14">
        <f>'System Inventory'!C51</f>
        <v/>
      </c>
      <c r="C51" s="14">
        <f>IF(A51="","",IF(OR('System Inventory'!E51="",'Capability Assessment'!E51=""),"❓ Unknown",IF('Capability Assessment'!E51&lt;='System Inventory'!E51,"✅ Compliant","❌ Non-Compliant")))</f>
        <v/>
      </c>
      <c r="D51" s="14">
        <f>IF(A51="","",IF(OR('System Inventory'!F51="",'Capability Assessment'!F51=""),"❓ Unknown",IF('Capability Assessment'!F51&lt;='System Inventory'!F51,"✅ Compliant","❌ Non-Compliant")))</f>
        <v/>
      </c>
      <c r="E51" s="14">
        <f>IF(A51="","",IF(OR(C51="❓ Unknown",D51="❓ Unknown"),"❓ Unknown",IF(AND(C51="✅ Compliant",D51="✅ Compliant"),"✅ Full Compliance",IF(OR(C51="✅ Compliant",D51="✅ Compliant"),"⚠ Partial Compliance","❌ Non-Compliant"))))</f>
        <v/>
      </c>
      <c r="F51" s="14">
        <f>IF(A51="","",IF(AND(B51="Tier 1 - Critical",E51="❌ Non-Compliant"),"[!] Critical",IF(B51="Tier 1 - Critical","[~] High",IF(E51="❌ Non-Compliant","[~] High",IF(E51="⚠ Partial Compliance","[.] Medium","[ ] Low")))))</f>
        <v/>
      </c>
      <c r="G51" s="21">
        <f>IF(A51="","",IF(C51="❌ Non-Compliant",IF(D51="❌ Non-Compliant","Both RPO &amp; RTO gaps","RPO gap only"),IF(D51="❌ Non-Compliant","RTO gap only",IF(E51="❓ Unknown","Testing required","No gaps"))))</f>
        <v/>
      </c>
      <c r="H51" s="23" t="n"/>
    </row>
    <row r="52">
      <c r="A52" s="14">
        <f>'System Inventory'!A52</f>
        <v/>
      </c>
      <c r="B52" s="14">
        <f>'System Inventory'!C52</f>
        <v/>
      </c>
      <c r="C52" s="14">
        <f>IF(A52="","",IF(OR('System Inventory'!E52="",'Capability Assessment'!E52=""),"❓ Unknown",IF('Capability Assessment'!E52&lt;='System Inventory'!E52,"✅ Compliant","❌ Non-Compliant")))</f>
        <v/>
      </c>
      <c r="D52" s="14">
        <f>IF(A52="","",IF(OR('System Inventory'!F52="",'Capability Assessment'!F52=""),"❓ Unknown",IF('Capability Assessment'!F52&lt;='System Inventory'!F52,"✅ Compliant","❌ Non-Compliant")))</f>
        <v/>
      </c>
      <c r="E52" s="14">
        <f>IF(A52="","",IF(OR(C52="❓ Unknown",D52="❓ Unknown"),"❓ Unknown",IF(AND(C52="✅ Compliant",D52="✅ Compliant"),"✅ Full Compliance",IF(OR(C52="✅ Compliant",D52="✅ Compliant"),"⚠ Partial Compliance","❌ Non-Compliant"))))</f>
        <v/>
      </c>
      <c r="F52" s="14">
        <f>IF(A52="","",IF(AND(B52="Tier 1 - Critical",E52="❌ Non-Compliant"),"[!] Critical",IF(B52="Tier 1 - Critical","[~] High",IF(E52="❌ Non-Compliant","[~] High",IF(E52="⚠ Partial Compliance","[.] Medium","[ ] Low")))))</f>
        <v/>
      </c>
      <c r="G52" s="21">
        <f>IF(A52="","",IF(C52="❌ Non-Compliant",IF(D52="❌ Non-Compliant","Both RPO &amp; RTO gaps","RPO gap only"),IF(D52="❌ Non-Compliant","RTO gap only",IF(E52="❓ Unknown","Testing required","No gaps"))))</f>
        <v/>
      </c>
      <c r="H52" s="23" t="n"/>
    </row>
    <row r="53">
      <c r="A53" s="14">
        <f>'System Inventory'!A53</f>
        <v/>
      </c>
      <c r="B53" s="14">
        <f>'System Inventory'!C53</f>
        <v/>
      </c>
      <c r="C53" s="14">
        <f>IF(A53="","",IF(OR('System Inventory'!E53="",'Capability Assessment'!E53=""),"❓ Unknown",IF('Capability Assessment'!E53&lt;='System Inventory'!E53,"✅ Compliant","❌ Non-Compliant")))</f>
        <v/>
      </c>
      <c r="D53" s="14">
        <f>IF(A53="","",IF(OR('System Inventory'!F53="",'Capability Assessment'!F53=""),"❓ Unknown",IF('Capability Assessment'!F53&lt;='System Inventory'!F53,"✅ Compliant","❌ Non-Compliant")))</f>
        <v/>
      </c>
      <c r="E53" s="14">
        <f>IF(A53="","",IF(OR(C53="❓ Unknown",D53="❓ Unknown"),"❓ Unknown",IF(AND(C53="✅ Compliant",D53="✅ Compliant"),"✅ Full Compliance",IF(OR(C53="✅ Compliant",D53="✅ Compliant"),"⚠ Partial Compliance","❌ Non-Compliant"))))</f>
        <v/>
      </c>
      <c r="F53" s="14">
        <f>IF(A53="","",IF(AND(B53="Tier 1 - Critical",E53="❌ Non-Compliant"),"[!] Critical",IF(B53="Tier 1 - Critical","[~] High",IF(E53="❌ Non-Compliant","[~] High",IF(E53="⚠ Partial Compliance","[.] Medium","[ ] Low")))))</f>
        <v/>
      </c>
      <c r="G53" s="21">
        <f>IF(A53="","",IF(C53="❌ Non-Compliant",IF(D53="❌ Non-Compliant","Both RPO &amp; RTO gaps","RPO gap only"),IF(D53="❌ Non-Compliant","RTO gap only",IF(E53="❓ Unknown","Testing required","No gaps"))))</f>
        <v/>
      </c>
      <c r="H53" s="23" t="n"/>
    </row>
    <row r="54">
      <c r="A54" s="14">
        <f>'System Inventory'!A54</f>
        <v/>
      </c>
      <c r="B54" s="14">
        <f>'System Inventory'!C54</f>
        <v/>
      </c>
      <c r="C54" s="14">
        <f>IF(A54="","",IF(OR('System Inventory'!E54="",'Capability Assessment'!E54=""),"❓ Unknown",IF('Capability Assessment'!E54&lt;='System Inventory'!E54,"✅ Compliant","❌ Non-Compliant")))</f>
        <v/>
      </c>
      <c r="D54" s="14">
        <f>IF(A54="","",IF(OR('System Inventory'!F54="",'Capability Assessment'!F54=""),"❓ Unknown",IF('Capability Assessment'!F54&lt;='System Inventory'!F54,"✅ Compliant","❌ Non-Compliant")))</f>
        <v/>
      </c>
      <c r="E54" s="14">
        <f>IF(A54="","",IF(OR(C54="❓ Unknown",D54="❓ Unknown"),"❓ Unknown",IF(AND(C54="✅ Compliant",D54="✅ Compliant"),"✅ Full Compliance",IF(OR(C54="✅ Compliant",D54="✅ Compliant"),"⚠ Partial Compliance","❌ Non-Compliant"))))</f>
        <v/>
      </c>
      <c r="F54" s="14">
        <f>IF(A54="","",IF(AND(B54="Tier 1 - Critical",E54="❌ Non-Compliant"),"[!] Critical",IF(B54="Tier 1 - Critical","[~] High",IF(E54="❌ Non-Compliant","[~] High",IF(E54="⚠ Partial Compliance","[.] Medium","[ ] Low")))))</f>
        <v/>
      </c>
      <c r="G54" s="21">
        <f>IF(A54="","",IF(C54="❌ Non-Compliant",IF(D54="❌ Non-Compliant","Both RPO &amp; RTO gaps","RPO gap only"),IF(D54="❌ Non-Compliant","RTO gap only",IF(E54="❓ Unknown","Testing required","No gaps"))))</f>
        <v/>
      </c>
      <c r="H54" s="23" t="n"/>
    </row>
    <row r="55">
      <c r="A55" s="14">
        <f>'System Inventory'!A55</f>
        <v/>
      </c>
      <c r="B55" s="14">
        <f>'System Inventory'!C55</f>
        <v/>
      </c>
      <c r="C55" s="14">
        <f>IF(A55="","",IF(OR('System Inventory'!E55="",'Capability Assessment'!E55=""),"❓ Unknown",IF('Capability Assessment'!E55&lt;='System Inventory'!E55,"✅ Compliant","❌ Non-Compliant")))</f>
        <v/>
      </c>
      <c r="D55" s="14">
        <f>IF(A55="","",IF(OR('System Inventory'!F55="",'Capability Assessment'!F55=""),"❓ Unknown",IF('Capability Assessment'!F55&lt;='System Inventory'!F55,"✅ Compliant","❌ Non-Compliant")))</f>
        <v/>
      </c>
      <c r="E55" s="14">
        <f>IF(A55="","",IF(OR(C55="❓ Unknown",D55="❓ Unknown"),"❓ Unknown",IF(AND(C55="✅ Compliant",D55="✅ Compliant"),"✅ Full Compliance",IF(OR(C55="✅ Compliant",D55="✅ Compliant"),"⚠ Partial Compliance","❌ Non-Compliant"))))</f>
        <v/>
      </c>
      <c r="F55" s="14">
        <f>IF(A55="","",IF(AND(B55="Tier 1 - Critical",E55="❌ Non-Compliant"),"[!] Critical",IF(B55="Tier 1 - Critical","[~] High",IF(E55="❌ Non-Compliant","[~] High",IF(E55="⚠ Partial Compliance","[.] Medium","[ ] Low")))))</f>
        <v/>
      </c>
      <c r="G55" s="21">
        <f>IF(A55="","",IF(C55="❌ Non-Compliant",IF(D55="❌ Non-Compliant","Both RPO &amp; RTO gaps","RPO gap only"),IF(D55="❌ Non-Compliant","RTO gap only",IF(E55="❓ Unknown","Testing required","No gaps"))))</f>
        <v/>
      </c>
      <c r="H55" s="23" t="n"/>
    </row>
    <row r="56">
      <c r="A56" s="14">
        <f>'System Inventory'!A56</f>
        <v/>
      </c>
      <c r="B56" s="14">
        <f>'System Inventory'!C56</f>
        <v/>
      </c>
      <c r="C56" s="14">
        <f>IF(A56="","",IF(OR('System Inventory'!E56="",'Capability Assessment'!E56=""),"❓ Unknown",IF('Capability Assessment'!E56&lt;='System Inventory'!E56,"✅ Compliant","❌ Non-Compliant")))</f>
        <v/>
      </c>
      <c r="D56" s="14">
        <f>IF(A56="","",IF(OR('System Inventory'!F56="",'Capability Assessment'!F56=""),"❓ Unknown",IF('Capability Assessment'!F56&lt;='System Inventory'!F56,"✅ Compliant","❌ Non-Compliant")))</f>
        <v/>
      </c>
      <c r="E56" s="14">
        <f>IF(A56="","",IF(OR(C56="❓ Unknown",D56="❓ Unknown"),"❓ Unknown",IF(AND(C56="✅ Compliant",D56="✅ Compliant"),"✅ Full Compliance",IF(OR(C56="✅ Compliant",D56="✅ Compliant"),"⚠ Partial Compliance","❌ Non-Compliant"))))</f>
        <v/>
      </c>
      <c r="F56" s="14">
        <f>IF(A56="","",IF(AND(B56="Tier 1 - Critical",E56="❌ Non-Compliant"),"[!] Critical",IF(B56="Tier 1 - Critical","[~] High",IF(E56="❌ Non-Compliant","[~] High",IF(E56="⚠ Partial Compliance","[.] Medium","[ ] Low")))))</f>
        <v/>
      </c>
      <c r="G56" s="21">
        <f>IF(A56="","",IF(C56="❌ Non-Compliant",IF(D56="❌ Non-Compliant","Both RPO &amp; RTO gaps","RPO gap only"),IF(D56="❌ Non-Compliant","RTO gap only",IF(E56="❓ Unknown","Testing required","No gaps"))))</f>
        <v/>
      </c>
      <c r="H56" s="23" t="n"/>
    </row>
    <row r="57">
      <c r="A57" s="14">
        <f>'System Inventory'!A57</f>
        <v/>
      </c>
      <c r="B57" s="14">
        <f>'System Inventory'!C57</f>
        <v/>
      </c>
      <c r="C57" s="14">
        <f>IF(A57="","",IF(OR('System Inventory'!E57="",'Capability Assessment'!E57=""),"❓ Unknown",IF('Capability Assessment'!E57&lt;='System Inventory'!E57,"✅ Compliant","❌ Non-Compliant")))</f>
        <v/>
      </c>
      <c r="D57" s="14">
        <f>IF(A57="","",IF(OR('System Inventory'!F57="",'Capability Assessment'!F57=""),"❓ Unknown",IF('Capability Assessment'!F57&lt;='System Inventory'!F57,"✅ Compliant","❌ Non-Compliant")))</f>
        <v/>
      </c>
      <c r="E57" s="14">
        <f>IF(A57="","",IF(OR(C57="❓ Unknown",D57="❓ Unknown"),"❓ Unknown",IF(AND(C57="✅ Compliant",D57="✅ Compliant"),"✅ Full Compliance",IF(OR(C57="✅ Compliant",D57="✅ Compliant"),"⚠ Partial Compliance","❌ Non-Compliant"))))</f>
        <v/>
      </c>
      <c r="F57" s="14">
        <f>IF(A57="","",IF(AND(B57="Tier 1 - Critical",E57="❌ Non-Compliant"),"[!] Critical",IF(B57="Tier 1 - Critical","[~] High",IF(E57="❌ Non-Compliant","[~] High",IF(E57="⚠ Partial Compliance","[.] Medium","[ ] Low")))))</f>
        <v/>
      </c>
      <c r="G57" s="21">
        <f>IF(A57="","",IF(C57="❌ Non-Compliant",IF(D57="❌ Non-Compliant","Both RPO &amp; RTO gaps","RPO gap only"),IF(D57="❌ Non-Compliant","RTO gap only",IF(E57="❓ Unknown","Testing required","No gaps"))))</f>
        <v/>
      </c>
      <c r="H57" s="23" t="n"/>
    </row>
    <row r="58">
      <c r="A58" s="14">
        <f>'System Inventory'!A58</f>
        <v/>
      </c>
      <c r="B58" s="14">
        <f>'System Inventory'!C58</f>
        <v/>
      </c>
      <c r="C58" s="14">
        <f>IF(A58="","",IF(OR('System Inventory'!E58="",'Capability Assessment'!E58=""),"❓ Unknown",IF('Capability Assessment'!E58&lt;='System Inventory'!E58,"✅ Compliant","❌ Non-Compliant")))</f>
        <v/>
      </c>
      <c r="D58" s="14">
        <f>IF(A58="","",IF(OR('System Inventory'!F58="",'Capability Assessment'!F58=""),"❓ Unknown",IF('Capability Assessment'!F58&lt;='System Inventory'!F58,"✅ Compliant","❌ Non-Compliant")))</f>
        <v/>
      </c>
      <c r="E58" s="14">
        <f>IF(A58="","",IF(OR(C58="❓ Unknown",D58="❓ Unknown"),"❓ Unknown",IF(AND(C58="✅ Compliant",D58="✅ Compliant"),"✅ Full Compliance",IF(OR(C58="✅ Compliant",D58="✅ Compliant"),"⚠ Partial Compliance","❌ Non-Compliant"))))</f>
        <v/>
      </c>
      <c r="F58" s="14">
        <f>IF(A58="","",IF(AND(B58="Tier 1 - Critical",E58="❌ Non-Compliant"),"[!] Critical",IF(B58="Tier 1 - Critical","[~] High",IF(E58="❌ Non-Compliant","[~] High",IF(E58="⚠ Partial Compliance","[.] Medium","[ ] Low")))))</f>
        <v/>
      </c>
      <c r="G58" s="21">
        <f>IF(A58="","",IF(C58="❌ Non-Compliant",IF(D58="❌ Non-Compliant","Both RPO &amp; RTO gaps","RPO gap only"),IF(D58="❌ Non-Compliant","RTO gap only",IF(E58="❓ Unknown","Testing required","No gaps"))))</f>
        <v/>
      </c>
      <c r="H58" s="23" t="n"/>
    </row>
    <row r="59">
      <c r="A59" s="14">
        <f>'System Inventory'!A59</f>
        <v/>
      </c>
      <c r="B59" s="14">
        <f>'System Inventory'!C59</f>
        <v/>
      </c>
      <c r="C59" s="14">
        <f>IF(A59="","",IF(OR('System Inventory'!E59="",'Capability Assessment'!E59=""),"❓ Unknown",IF('Capability Assessment'!E59&lt;='System Inventory'!E59,"✅ Compliant","❌ Non-Compliant")))</f>
        <v/>
      </c>
      <c r="D59" s="14">
        <f>IF(A59="","",IF(OR('System Inventory'!F59="",'Capability Assessment'!F59=""),"❓ Unknown",IF('Capability Assessment'!F59&lt;='System Inventory'!F59,"✅ Compliant","❌ Non-Compliant")))</f>
        <v/>
      </c>
      <c r="E59" s="14">
        <f>IF(A59="","",IF(OR(C59="❓ Unknown",D59="❓ Unknown"),"❓ Unknown",IF(AND(C59="✅ Compliant",D59="✅ Compliant"),"✅ Full Compliance",IF(OR(C59="✅ Compliant",D59="✅ Compliant"),"⚠ Partial Compliance","❌ Non-Compliant"))))</f>
        <v/>
      </c>
      <c r="F59" s="14">
        <f>IF(A59="","",IF(AND(B59="Tier 1 - Critical",E59="❌ Non-Compliant"),"[!] Critical",IF(B59="Tier 1 - Critical","[~] High",IF(E59="❌ Non-Compliant","[~] High",IF(E59="⚠ Partial Compliance","[.] Medium","[ ] Low")))))</f>
        <v/>
      </c>
      <c r="G59" s="21">
        <f>IF(A59="","",IF(C59="❌ Non-Compliant",IF(D59="❌ Non-Compliant","Both RPO &amp; RTO gaps","RPO gap only"),IF(D59="❌ Non-Compliant","RTO gap only",IF(E59="❓ Unknown","Testing required","No gaps"))))</f>
        <v/>
      </c>
      <c r="H59" s="23" t="n"/>
    </row>
    <row r="60">
      <c r="A60" s="14">
        <f>'System Inventory'!A60</f>
        <v/>
      </c>
      <c r="B60" s="14">
        <f>'System Inventory'!C60</f>
        <v/>
      </c>
      <c r="C60" s="14">
        <f>IF(A60="","",IF(OR('System Inventory'!E60="",'Capability Assessment'!E60=""),"❓ Unknown",IF('Capability Assessment'!E60&lt;='System Inventory'!E60,"✅ Compliant","❌ Non-Compliant")))</f>
        <v/>
      </c>
      <c r="D60" s="14">
        <f>IF(A60="","",IF(OR('System Inventory'!F60="",'Capability Assessment'!F60=""),"❓ Unknown",IF('Capability Assessment'!F60&lt;='System Inventory'!F60,"✅ Compliant","❌ Non-Compliant")))</f>
        <v/>
      </c>
      <c r="E60" s="14">
        <f>IF(A60="","",IF(OR(C60="❓ Unknown",D60="❓ Unknown"),"❓ Unknown",IF(AND(C60="✅ Compliant",D60="✅ Compliant"),"✅ Full Compliance",IF(OR(C60="✅ Compliant",D60="✅ Compliant"),"⚠ Partial Compliance","❌ Non-Compliant"))))</f>
        <v/>
      </c>
      <c r="F60" s="14">
        <f>IF(A60="","",IF(AND(B60="Tier 1 - Critical",E60="❌ Non-Compliant"),"[!] Critical",IF(B60="Tier 1 - Critical","[~] High",IF(E60="❌ Non-Compliant","[~] High",IF(E60="⚠ Partial Compliance","[.] Medium","[ ] Low")))))</f>
        <v/>
      </c>
      <c r="G60" s="21">
        <f>IF(A60="","",IF(C60="❌ Non-Compliant",IF(D60="❌ Non-Compliant","Both RPO &amp; RTO gaps","RPO gap only"),IF(D60="❌ Non-Compliant","RTO gap only",IF(E60="❓ Unknown","Testing required","No gaps"))))</f>
        <v/>
      </c>
      <c r="H60" s="23" t="n"/>
    </row>
    <row r="61">
      <c r="A61" s="14">
        <f>'System Inventory'!A61</f>
        <v/>
      </c>
      <c r="B61" s="14">
        <f>'System Inventory'!C61</f>
        <v/>
      </c>
      <c r="C61" s="14">
        <f>IF(A61="","",IF(OR('System Inventory'!E61="",'Capability Assessment'!E61=""),"❓ Unknown",IF('Capability Assessment'!E61&lt;='System Inventory'!E61,"✅ Compliant","❌ Non-Compliant")))</f>
        <v/>
      </c>
      <c r="D61" s="14">
        <f>IF(A61="","",IF(OR('System Inventory'!F61="",'Capability Assessment'!F61=""),"❓ Unknown",IF('Capability Assessment'!F61&lt;='System Inventory'!F61,"✅ Compliant","❌ Non-Compliant")))</f>
        <v/>
      </c>
      <c r="E61" s="14">
        <f>IF(A61="","",IF(OR(C61="❓ Unknown",D61="❓ Unknown"),"❓ Unknown",IF(AND(C61="✅ Compliant",D61="✅ Compliant"),"✅ Full Compliance",IF(OR(C61="✅ Compliant",D61="✅ Compliant"),"⚠ Partial Compliance","❌ Non-Compliant"))))</f>
        <v/>
      </c>
      <c r="F61" s="14">
        <f>IF(A61="","",IF(AND(B61="Tier 1 - Critical",E61="❌ Non-Compliant"),"[!] Critical",IF(B61="Tier 1 - Critical","[~] High",IF(E61="❌ Non-Compliant","[~] High",IF(E61="⚠ Partial Compliance","[.] Medium","[ ] Low")))))</f>
        <v/>
      </c>
      <c r="G61" s="21">
        <f>IF(A61="","",IF(C61="❌ Non-Compliant",IF(D61="❌ Non-Compliant","Both RPO &amp; RTO gaps","RPO gap only"),IF(D61="❌ Non-Compliant","RTO gap only",IF(E61="❓ Unknown","Testing required","No gaps"))))</f>
        <v/>
      </c>
      <c r="H61" s="23" t="n"/>
    </row>
    <row r="62">
      <c r="A62" s="14">
        <f>'System Inventory'!A62</f>
        <v/>
      </c>
      <c r="B62" s="14">
        <f>'System Inventory'!C62</f>
        <v/>
      </c>
      <c r="C62" s="14">
        <f>IF(A62="","",IF(OR('System Inventory'!E62="",'Capability Assessment'!E62=""),"❓ Unknown",IF('Capability Assessment'!E62&lt;='System Inventory'!E62,"✅ Compliant","❌ Non-Compliant")))</f>
        <v/>
      </c>
      <c r="D62" s="14">
        <f>IF(A62="","",IF(OR('System Inventory'!F62="",'Capability Assessment'!F62=""),"❓ Unknown",IF('Capability Assessment'!F62&lt;='System Inventory'!F62,"✅ Compliant","❌ Non-Compliant")))</f>
        <v/>
      </c>
      <c r="E62" s="14">
        <f>IF(A62="","",IF(OR(C62="❓ Unknown",D62="❓ Unknown"),"❓ Unknown",IF(AND(C62="✅ Compliant",D62="✅ Compliant"),"✅ Full Compliance",IF(OR(C62="✅ Compliant",D62="✅ Compliant"),"⚠ Partial Compliance","❌ Non-Compliant"))))</f>
        <v/>
      </c>
      <c r="F62" s="14">
        <f>IF(A62="","",IF(AND(B62="Tier 1 - Critical",E62="❌ Non-Compliant"),"[!] Critical",IF(B62="Tier 1 - Critical","[~] High",IF(E62="❌ Non-Compliant","[~] High",IF(E62="⚠ Partial Compliance","[.] Medium","[ ] Low")))))</f>
        <v/>
      </c>
      <c r="G62" s="21">
        <f>IF(A62="","",IF(C62="❌ Non-Compliant",IF(D62="❌ Non-Compliant","Both RPO &amp; RTO gaps","RPO gap only"),IF(D62="❌ Non-Compliant","RTO gap only",IF(E62="❓ Unknown","Testing required","No gaps"))))</f>
        <v/>
      </c>
      <c r="H62" s="23" t="n"/>
    </row>
    <row r="63">
      <c r="A63" s="14">
        <f>'System Inventory'!A63</f>
        <v/>
      </c>
      <c r="B63" s="14">
        <f>'System Inventory'!C63</f>
        <v/>
      </c>
      <c r="C63" s="14">
        <f>IF(A63="","",IF(OR('System Inventory'!E63="",'Capability Assessment'!E63=""),"❓ Unknown",IF('Capability Assessment'!E63&lt;='System Inventory'!E63,"✅ Compliant","❌ Non-Compliant")))</f>
        <v/>
      </c>
      <c r="D63" s="14">
        <f>IF(A63="","",IF(OR('System Inventory'!F63="",'Capability Assessment'!F63=""),"❓ Unknown",IF('Capability Assessment'!F63&lt;='System Inventory'!F63,"✅ Compliant","❌ Non-Compliant")))</f>
        <v/>
      </c>
      <c r="E63" s="14">
        <f>IF(A63="","",IF(OR(C63="❓ Unknown",D63="❓ Unknown"),"❓ Unknown",IF(AND(C63="✅ Compliant",D63="✅ Compliant"),"✅ Full Compliance",IF(OR(C63="✅ Compliant",D63="✅ Compliant"),"⚠ Partial Compliance","❌ Non-Compliant"))))</f>
        <v/>
      </c>
      <c r="F63" s="14">
        <f>IF(A63="","",IF(AND(B63="Tier 1 - Critical",E63="❌ Non-Compliant"),"[!] Critical",IF(B63="Tier 1 - Critical","[~] High",IF(E63="❌ Non-Compliant","[~] High",IF(E63="⚠ Partial Compliance","[.] Medium","[ ] Low")))))</f>
        <v/>
      </c>
      <c r="G63" s="21">
        <f>IF(A63="","",IF(C63="❌ Non-Compliant",IF(D63="❌ Non-Compliant","Both RPO &amp; RTO gaps","RPO gap only"),IF(D63="❌ Non-Compliant","RTO gap only",IF(E63="❓ Unknown","Testing required","No gaps"))))</f>
        <v/>
      </c>
      <c r="H63" s="23" t="n"/>
    </row>
    <row r="64">
      <c r="A64" s="14">
        <f>'System Inventory'!A64</f>
        <v/>
      </c>
      <c r="B64" s="14">
        <f>'System Inventory'!C64</f>
        <v/>
      </c>
      <c r="C64" s="14">
        <f>IF(A64="","",IF(OR('System Inventory'!E64="",'Capability Assessment'!E64=""),"❓ Unknown",IF('Capability Assessment'!E64&lt;='System Inventory'!E64,"✅ Compliant","❌ Non-Compliant")))</f>
        <v/>
      </c>
      <c r="D64" s="14">
        <f>IF(A64="","",IF(OR('System Inventory'!F64="",'Capability Assessment'!F64=""),"❓ Unknown",IF('Capability Assessment'!F64&lt;='System Inventory'!F64,"✅ Compliant","❌ Non-Compliant")))</f>
        <v/>
      </c>
      <c r="E64" s="14">
        <f>IF(A64="","",IF(OR(C64="❓ Unknown",D64="❓ Unknown"),"❓ Unknown",IF(AND(C64="✅ Compliant",D64="✅ Compliant"),"✅ Full Compliance",IF(OR(C64="✅ Compliant",D64="✅ Compliant"),"⚠ Partial Compliance","❌ Non-Compliant"))))</f>
        <v/>
      </c>
      <c r="F64" s="14">
        <f>IF(A64="","",IF(AND(B64="Tier 1 - Critical",E64="❌ Non-Compliant"),"[!] Critical",IF(B64="Tier 1 - Critical","[~] High",IF(E64="❌ Non-Compliant","[~] High",IF(E64="⚠ Partial Compliance","[.] Medium","[ ] Low")))))</f>
        <v/>
      </c>
      <c r="G64" s="21">
        <f>IF(A64="","",IF(C64="❌ Non-Compliant",IF(D64="❌ Non-Compliant","Both RPO &amp; RTO gaps","RPO gap only"),IF(D64="❌ Non-Compliant","RTO gap only",IF(E64="❓ Unknown","Testing required","No gaps"))))</f>
        <v/>
      </c>
      <c r="H64" s="23" t="n"/>
    </row>
    <row r="65">
      <c r="A65" s="14">
        <f>'System Inventory'!A65</f>
        <v/>
      </c>
      <c r="B65" s="14">
        <f>'System Inventory'!C65</f>
        <v/>
      </c>
      <c r="C65" s="14">
        <f>IF(A65="","",IF(OR('System Inventory'!E65="",'Capability Assessment'!E65=""),"❓ Unknown",IF('Capability Assessment'!E65&lt;='System Inventory'!E65,"✅ Compliant","❌ Non-Compliant")))</f>
        <v/>
      </c>
      <c r="D65" s="14">
        <f>IF(A65="","",IF(OR('System Inventory'!F65="",'Capability Assessment'!F65=""),"❓ Unknown",IF('Capability Assessment'!F65&lt;='System Inventory'!F65,"✅ Compliant","❌ Non-Compliant")))</f>
        <v/>
      </c>
      <c r="E65" s="14">
        <f>IF(A65="","",IF(OR(C65="❓ Unknown",D65="❓ Unknown"),"❓ Unknown",IF(AND(C65="✅ Compliant",D65="✅ Compliant"),"✅ Full Compliance",IF(OR(C65="✅ Compliant",D65="✅ Compliant"),"⚠ Partial Compliance","❌ Non-Compliant"))))</f>
        <v/>
      </c>
      <c r="F65" s="14">
        <f>IF(A65="","",IF(AND(B65="Tier 1 - Critical",E65="❌ Non-Compliant"),"[!] Critical",IF(B65="Tier 1 - Critical","[~] High",IF(E65="❌ Non-Compliant","[~] High",IF(E65="⚠ Partial Compliance","[.] Medium","[ ] Low")))))</f>
        <v/>
      </c>
      <c r="G65" s="21">
        <f>IF(A65="","",IF(C65="❌ Non-Compliant",IF(D65="❌ Non-Compliant","Both RPO &amp; RTO gaps","RPO gap only"),IF(D65="❌ Non-Compliant","RTO gap only",IF(E65="❓ Unknown","Testing required","No gaps"))))</f>
        <v/>
      </c>
      <c r="H65" s="23" t="n"/>
    </row>
    <row r="68">
      <c r="A68" s="12" t="inlineStr">
        <is>
          <t>COMPLIANCE SUMMARY METRICS</t>
        </is>
      </c>
    </row>
    <row r="69">
      <c r="A69" s="24" t="inlineStr">
        <is>
          <t>Total Systems:</t>
        </is>
      </c>
      <c r="B69" s="24">
        <f>COUNTA(A6:A65)</f>
        <v/>
      </c>
    </row>
    <row r="70">
      <c r="A70" s="24" t="inlineStr">
        <is>
          <t>Full Compliance (✅):</t>
        </is>
      </c>
      <c r="B70" s="24">
        <f>COUNTIF(E6:E65,"✅*")</f>
        <v/>
      </c>
    </row>
    <row r="71">
      <c r="A71" s="24" t="inlineStr">
        <is>
          <t>Partial Compliance (⚠️):</t>
        </is>
      </c>
      <c r="B71" s="24">
        <f>COUNTIF(E6:E65,"⚠*")</f>
        <v/>
      </c>
    </row>
    <row r="72">
      <c r="A72" s="24" t="inlineStr">
        <is>
          <t>Non-Compliant (❌):</t>
        </is>
      </c>
      <c r="B72" s="24">
        <f>COUNTIF(E6:E65,"❌*")</f>
        <v/>
      </c>
    </row>
    <row r="73">
      <c r="A73" s="24" t="inlineStr">
        <is>
          <t>Unknown (❓):</t>
        </is>
      </c>
      <c r="B73" s="24">
        <f>COUNTIF(E6:E65,"❓*")</f>
        <v/>
      </c>
    </row>
    <row r="74">
      <c r="A74" s="24" t="inlineStr">
        <is>
          <t>Overall Compliance Rate:</t>
        </is>
      </c>
      <c r="B74" s="25">
        <f>IF(B69&gt;0,B70/B69,0)</f>
        <v/>
      </c>
    </row>
  </sheetData>
  <mergeCells count="3">
    <mergeCell ref="A68:H68"/>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0"/>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18" customWidth="1" min="3" max="3"/>
    <col width="40" customWidth="1" min="4" max="4"/>
    <col width="18" customWidth="1" min="5" max="5"/>
    <col width="15" customWidth="1" min="6" max="6"/>
    <col width="40" customWidth="1" min="7" max="7"/>
    <col width="15" customWidth="1" min="8" max="8"/>
  </cols>
  <sheetData>
    <row r="1" ht="35" customHeight="1">
      <c r="A1" s="11" t="inlineStr">
        <is>
          <t>GAP ANALYSIS &amp; REMEDIATION TRACKING</t>
        </is>
      </c>
    </row>
    <row r="2">
      <c r="A2" s="12" t="inlineStr">
        <is>
          <t>Document identified gaps with risk scoring and remediation plans</t>
        </is>
      </c>
    </row>
    <row r="4">
      <c r="A4" s="13" t="inlineStr">
        <is>
          <t>Gap ID</t>
        </is>
      </c>
      <c r="B4" s="13" t="inlineStr">
        <is>
          <t>System</t>
        </is>
      </c>
      <c r="C4" s="13" t="inlineStr">
        <is>
          <t>Gap Type</t>
        </is>
      </c>
      <c r="D4" s="13" t="inlineStr">
        <is>
          <t>Gap Description</t>
        </is>
      </c>
      <c r="E4" s="13" t="inlineStr">
        <is>
          <t>Risk Score (1-10)</t>
        </is>
      </c>
      <c r="F4" s="13" t="inlineStr">
        <is>
          <t>Priority</t>
        </is>
      </c>
      <c r="G4" s="13" t="inlineStr">
        <is>
          <t>Remediation Plan</t>
        </is>
      </c>
      <c r="H4" s="13" t="inlineStr">
        <is>
          <t>Status</t>
        </is>
      </c>
    </row>
    <row r="5">
      <c r="A5" s="26" t="n"/>
      <c r="B5" s="27" t="n"/>
      <c r="C5" s="14" t="n"/>
      <c r="D5" s="27" t="n"/>
      <c r="E5" s="14" t="n"/>
      <c r="F5" s="14" t="n"/>
      <c r="G5" s="27" t="n"/>
      <c r="H5" s="14" t="n"/>
    </row>
    <row r="6">
      <c r="A6" s="26" t="n"/>
      <c r="B6" s="27" t="n"/>
      <c r="C6" s="14" t="n"/>
      <c r="D6" s="27" t="n"/>
      <c r="E6" s="14" t="n"/>
      <c r="F6" s="14" t="n"/>
      <c r="G6" s="27" t="n"/>
      <c r="H6" s="14" t="n"/>
    </row>
    <row r="7">
      <c r="A7" s="26" t="n"/>
      <c r="B7" s="27" t="n"/>
      <c r="C7" s="14" t="n"/>
      <c r="D7" s="27" t="n"/>
      <c r="E7" s="14" t="n"/>
      <c r="F7" s="14" t="n"/>
      <c r="G7" s="27" t="n"/>
      <c r="H7" s="14" t="n"/>
    </row>
    <row r="8">
      <c r="A8" s="26" t="n"/>
      <c r="B8" s="27" t="n"/>
      <c r="C8" s="14" t="n"/>
      <c r="D8" s="27" t="n"/>
      <c r="E8" s="14" t="n"/>
      <c r="F8" s="14" t="n"/>
      <c r="G8" s="27" t="n"/>
      <c r="H8" s="14" t="n"/>
    </row>
    <row r="9">
      <c r="A9" s="26" t="n"/>
      <c r="B9" s="27" t="n"/>
      <c r="C9" s="14" t="n"/>
      <c r="D9" s="27" t="n"/>
      <c r="E9" s="14" t="n"/>
      <c r="F9" s="14" t="n"/>
      <c r="G9" s="27" t="n"/>
      <c r="H9" s="14" t="n"/>
    </row>
    <row r="10">
      <c r="A10" s="26" t="n"/>
      <c r="B10" s="27" t="n"/>
      <c r="C10" s="14" t="n"/>
      <c r="D10" s="27" t="n"/>
      <c r="E10" s="14" t="n"/>
      <c r="F10" s="14" t="n"/>
      <c r="G10" s="27" t="n"/>
      <c r="H10" s="14" t="n"/>
    </row>
    <row r="11">
      <c r="A11" s="26" t="n"/>
      <c r="B11" s="27" t="n"/>
      <c r="C11" s="14" t="n"/>
      <c r="D11" s="27" t="n"/>
      <c r="E11" s="14" t="n"/>
      <c r="F11" s="14" t="n"/>
      <c r="G11" s="27" t="n"/>
      <c r="H11" s="14" t="n"/>
    </row>
    <row r="12">
      <c r="A12" s="26" t="n"/>
      <c r="B12" s="27" t="n"/>
      <c r="C12" s="14" t="n"/>
      <c r="D12" s="27" t="n"/>
      <c r="E12" s="14" t="n"/>
      <c r="F12" s="14" t="n"/>
      <c r="G12" s="27" t="n"/>
      <c r="H12" s="14" t="n"/>
    </row>
    <row r="13">
      <c r="A13" s="26" t="n"/>
      <c r="B13" s="27" t="n"/>
      <c r="C13" s="14" t="n"/>
      <c r="D13" s="27" t="n"/>
      <c r="E13" s="14" t="n"/>
      <c r="F13" s="14" t="n"/>
      <c r="G13" s="27" t="n"/>
      <c r="H13" s="14" t="n"/>
    </row>
    <row r="14">
      <c r="A14" s="26" t="n"/>
      <c r="B14" s="27" t="n"/>
      <c r="C14" s="14" t="n"/>
      <c r="D14" s="27" t="n"/>
      <c r="E14" s="14" t="n"/>
      <c r="F14" s="14" t="n"/>
      <c r="G14" s="27" t="n"/>
      <c r="H14" s="14" t="n"/>
    </row>
    <row r="15">
      <c r="A15" s="28" t="inlineStr">
        <is>
          <t>GAP-NNN</t>
        </is>
      </c>
      <c r="B15" s="16" t="inlineStr">
        <is>
          <t>System Name</t>
        </is>
      </c>
      <c r="C15" s="15" t="inlineStr">
        <is>
          <t>RTO Gap</t>
        </is>
      </c>
      <c r="D15" s="16" t="inlineStr">
        <is>
          <t>Gap description — actual vs required RPO/RTO</t>
        </is>
      </c>
      <c r="E15" s="15" t="n">
        <v>7</v>
      </c>
      <c r="F15" s="15" t="inlineStr">
        <is>
          <t>[~] High</t>
        </is>
      </c>
      <c r="G15" s="16" t="inlineStr">
        <is>
          <t>Remediation plan and target timeline</t>
        </is>
      </c>
      <c r="H15" s="15" t="inlineStr">
        <is>
          <t>In Progress</t>
        </is>
      </c>
    </row>
    <row r="16">
      <c r="A16" s="17" t="n"/>
      <c r="B16" s="29" t="n"/>
      <c r="C16" s="17" t="n"/>
      <c r="D16" s="29" t="n"/>
      <c r="E16" s="17" t="n"/>
      <c r="F16" s="14" t="n"/>
      <c r="G16" s="29" t="n"/>
      <c r="H16" s="14" t="n"/>
    </row>
    <row r="17">
      <c r="A17" s="17" t="n"/>
      <c r="B17" s="29" t="n"/>
      <c r="C17" s="17" t="n"/>
      <c r="D17" s="29" t="n"/>
      <c r="E17" s="17" t="n"/>
      <c r="F17" s="14" t="n"/>
      <c r="G17" s="29" t="n"/>
      <c r="H17" s="14" t="n"/>
    </row>
    <row r="18">
      <c r="A18" s="17" t="n"/>
      <c r="B18" s="29" t="n"/>
      <c r="C18" s="17" t="n"/>
      <c r="D18" s="29" t="n"/>
      <c r="E18" s="17" t="n"/>
      <c r="F18" s="14" t="n"/>
      <c r="G18" s="29" t="n"/>
      <c r="H18" s="14" t="n"/>
    </row>
    <row r="19">
      <c r="A19" s="17" t="n"/>
      <c r="B19" s="29" t="n"/>
      <c r="C19" s="17" t="n"/>
      <c r="D19" s="29" t="n"/>
      <c r="E19" s="17" t="n"/>
      <c r="F19" s="14" t="n"/>
      <c r="G19" s="29" t="n"/>
      <c r="H19" s="14" t="n"/>
    </row>
    <row r="20">
      <c r="A20" s="17" t="n"/>
      <c r="B20" s="29" t="n"/>
      <c r="C20" s="17" t="n"/>
      <c r="D20" s="29" t="n"/>
      <c r="E20" s="17" t="n"/>
      <c r="F20" s="14" t="n"/>
      <c r="G20" s="29" t="n"/>
      <c r="H20" s="14" t="n"/>
    </row>
    <row r="21">
      <c r="A21" s="17" t="n"/>
      <c r="B21" s="29" t="n"/>
      <c r="C21" s="17" t="n"/>
      <c r="D21" s="29" t="n"/>
      <c r="E21" s="17" t="n"/>
      <c r="F21" s="14" t="n"/>
      <c r="G21" s="29" t="n"/>
      <c r="H21" s="14" t="n"/>
    </row>
    <row r="22">
      <c r="A22" s="17" t="n"/>
      <c r="B22" s="29" t="n"/>
      <c r="C22" s="17" t="n"/>
      <c r="D22" s="29" t="n"/>
      <c r="E22" s="17" t="n"/>
      <c r="F22" s="14" t="n"/>
      <c r="G22" s="29" t="n"/>
      <c r="H22" s="14" t="n"/>
    </row>
    <row r="23">
      <c r="A23" s="17" t="n"/>
      <c r="B23" s="29" t="n"/>
      <c r="C23" s="17" t="n"/>
      <c r="D23" s="29" t="n"/>
      <c r="E23" s="17" t="n"/>
      <c r="F23" s="14" t="n"/>
      <c r="G23" s="29" t="n"/>
      <c r="H23" s="14" t="n"/>
    </row>
    <row r="24">
      <c r="A24" s="17" t="n"/>
      <c r="B24" s="29" t="n"/>
      <c r="C24" s="17" t="n"/>
      <c r="D24" s="29" t="n"/>
      <c r="E24" s="17" t="n"/>
      <c r="F24" s="14" t="n"/>
      <c r="G24" s="29" t="n"/>
      <c r="H24" s="14" t="n"/>
    </row>
    <row r="25">
      <c r="A25" s="17" t="n"/>
      <c r="B25" s="29" t="n"/>
      <c r="C25" s="17" t="n"/>
      <c r="D25" s="29" t="n"/>
      <c r="E25" s="17" t="n"/>
      <c r="F25" s="14" t="n"/>
      <c r="G25" s="29" t="n"/>
      <c r="H25" s="14" t="n"/>
    </row>
    <row r="26">
      <c r="A26" s="17" t="n"/>
      <c r="B26" s="29" t="n"/>
      <c r="C26" s="17" t="n"/>
      <c r="D26" s="29" t="n"/>
      <c r="E26" s="17" t="n"/>
      <c r="F26" s="14" t="n"/>
      <c r="G26" s="29" t="n"/>
      <c r="H26" s="14" t="n"/>
    </row>
    <row r="27">
      <c r="A27" s="17" t="n"/>
      <c r="B27" s="29" t="n"/>
      <c r="C27" s="17" t="n"/>
      <c r="D27" s="29" t="n"/>
      <c r="E27" s="17" t="n"/>
      <c r="F27" s="14" t="n"/>
      <c r="G27" s="29" t="n"/>
      <c r="H27" s="14" t="n"/>
    </row>
    <row r="28">
      <c r="A28" s="17" t="n"/>
      <c r="B28" s="29" t="n"/>
      <c r="C28" s="17" t="n"/>
      <c r="D28" s="29" t="n"/>
      <c r="E28" s="17" t="n"/>
      <c r="F28" s="14" t="n"/>
      <c r="G28" s="29" t="n"/>
      <c r="H28" s="14" t="n"/>
    </row>
    <row r="29">
      <c r="A29" s="17" t="n"/>
      <c r="B29" s="29" t="n"/>
      <c r="C29" s="17" t="n"/>
      <c r="D29" s="29" t="n"/>
      <c r="E29" s="17" t="n"/>
      <c r="F29" s="14" t="n"/>
      <c r="G29" s="29" t="n"/>
      <c r="H29" s="14" t="n"/>
    </row>
    <row r="30">
      <c r="A30" s="17" t="n"/>
      <c r="B30" s="29" t="n"/>
      <c r="C30" s="17" t="n"/>
      <c r="D30" s="29" t="n"/>
      <c r="E30" s="17" t="n"/>
      <c r="F30" s="14" t="n"/>
      <c r="G30" s="29" t="n"/>
      <c r="H30" s="14" t="n"/>
    </row>
    <row r="31">
      <c r="A31" s="17" t="n"/>
      <c r="B31" s="29" t="n"/>
      <c r="C31" s="17" t="n"/>
      <c r="D31" s="29" t="n"/>
      <c r="E31" s="17" t="n"/>
      <c r="F31" s="14" t="n"/>
      <c r="G31" s="29" t="n"/>
      <c r="H31" s="14" t="n"/>
    </row>
    <row r="32">
      <c r="A32" s="17" t="n"/>
      <c r="B32" s="29" t="n"/>
      <c r="C32" s="17" t="n"/>
      <c r="D32" s="29" t="n"/>
      <c r="E32" s="17" t="n"/>
      <c r="F32" s="14" t="n"/>
      <c r="G32" s="29" t="n"/>
      <c r="H32" s="14" t="n"/>
    </row>
    <row r="33">
      <c r="A33" s="17" t="n"/>
      <c r="B33" s="29" t="n"/>
      <c r="C33" s="17" t="n"/>
      <c r="D33" s="29" t="n"/>
      <c r="E33" s="17" t="n"/>
      <c r="F33" s="14" t="n"/>
      <c r="G33" s="29" t="n"/>
      <c r="H33" s="14" t="n"/>
    </row>
    <row r="34">
      <c r="A34" s="17" t="n"/>
      <c r="B34" s="29" t="n"/>
      <c r="C34" s="17" t="n"/>
      <c r="D34" s="29" t="n"/>
      <c r="E34" s="17" t="n"/>
      <c r="F34" s="14" t="n"/>
      <c r="G34" s="29" t="n"/>
      <c r="H34" s="14" t="n"/>
    </row>
    <row r="35">
      <c r="A35" s="17" t="n"/>
      <c r="B35" s="29" t="n"/>
      <c r="C35" s="17" t="n"/>
      <c r="D35" s="29" t="n"/>
      <c r="E35" s="17" t="n"/>
      <c r="F35" s="14" t="n"/>
      <c r="G35" s="29" t="n"/>
      <c r="H35" s="14" t="n"/>
    </row>
    <row r="36">
      <c r="A36" s="17" t="n"/>
      <c r="B36" s="29" t="n"/>
      <c r="C36" s="17" t="n"/>
      <c r="D36" s="29" t="n"/>
      <c r="E36" s="17" t="n"/>
      <c r="F36" s="14" t="n"/>
      <c r="G36" s="29" t="n"/>
      <c r="H36" s="14" t="n"/>
    </row>
    <row r="37">
      <c r="A37" s="17" t="n"/>
      <c r="B37" s="29" t="n"/>
      <c r="C37" s="17" t="n"/>
      <c r="D37" s="29" t="n"/>
      <c r="E37" s="17" t="n"/>
      <c r="F37" s="14" t="n"/>
      <c r="G37" s="29" t="n"/>
      <c r="H37" s="14" t="n"/>
    </row>
    <row r="38">
      <c r="A38" s="17" t="n"/>
      <c r="B38" s="29" t="n"/>
      <c r="C38" s="17" t="n"/>
      <c r="D38" s="29" t="n"/>
      <c r="E38" s="17" t="n"/>
      <c r="F38" s="14" t="n"/>
      <c r="G38" s="29" t="n"/>
      <c r="H38" s="14" t="n"/>
    </row>
    <row r="39">
      <c r="A39" s="17" t="n"/>
      <c r="B39" s="29" t="n"/>
      <c r="C39" s="17" t="n"/>
      <c r="D39" s="29" t="n"/>
      <c r="E39" s="17" t="n"/>
      <c r="F39" s="14" t="n"/>
      <c r="G39" s="29" t="n"/>
      <c r="H39" s="14" t="n"/>
    </row>
    <row r="40">
      <c r="A40" s="17" t="n"/>
      <c r="B40" s="29" t="n"/>
      <c r="C40" s="17" t="n"/>
      <c r="D40" s="29" t="n"/>
      <c r="E40" s="17" t="n"/>
      <c r="F40" s="14" t="n"/>
      <c r="G40" s="29" t="n"/>
      <c r="H40" s="14" t="n"/>
    </row>
    <row r="41">
      <c r="A41" s="17" t="n"/>
      <c r="B41" s="29" t="n"/>
      <c r="C41" s="17" t="n"/>
      <c r="D41" s="29" t="n"/>
      <c r="E41" s="17" t="n"/>
      <c r="F41" s="14" t="n"/>
      <c r="G41" s="29" t="n"/>
      <c r="H41" s="14" t="n"/>
    </row>
    <row r="42">
      <c r="A42" s="17" t="n"/>
      <c r="B42" s="29" t="n"/>
      <c r="C42" s="17" t="n"/>
      <c r="D42" s="29" t="n"/>
      <c r="E42" s="17" t="n"/>
      <c r="F42" s="14" t="n"/>
      <c r="G42" s="29" t="n"/>
      <c r="H42" s="14" t="n"/>
    </row>
    <row r="43">
      <c r="A43" s="17" t="n"/>
      <c r="B43" s="29" t="n"/>
      <c r="C43" s="17" t="n"/>
      <c r="D43" s="29" t="n"/>
      <c r="E43" s="17" t="n"/>
      <c r="F43" s="14" t="n"/>
      <c r="G43" s="29" t="n"/>
      <c r="H43" s="14" t="n"/>
    </row>
    <row r="44">
      <c r="A44" s="17" t="n"/>
      <c r="B44" s="29" t="n"/>
      <c r="C44" s="17" t="n"/>
      <c r="D44" s="29" t="n"/>
      <c r="E44" s="17" t="n"/>
      <c r="F44" s="14" t="n"/>
      <c r="G44" s="29" t="n"/>
      <c r="H44" s="14" t="n"/>
    </row>
    <row r="45">
      <c r="A45" s="17" t="n"/>
      <c r="B45" s="29" t="n"/>
      <c r="C45" s="17" t="n"/>
      <c r="D45" s="29" t="n"/>
      <c r="E45" s="17" t="n"/>
      <c r="F45" s="14" t="n"/>
      <c r="G45" s="29" t="n"/>
      <c r="H45" s="14" t="n"/>
    </row>
    <row r="46">
      <c r="A46" s="17" t="n"/>
      <c r="B46" s="29" t="n"/>
      <c r="C46" s="17" t="n"/>
      <c r="D46" s="29" t="n"/>
      <c r="E46" s="17" t="n"/>
      <c r="F46" s="14" t="n"/>
      <c r="G46" s="29" t="n"/>
      <c r="H46" s="14" t="n"/>
    </row>
    <row r="47">
      <c r="A47" s="17" t="n"/>
      <c r="B47" s="29" t="n"/>
      <c r="C47" s="17" t="n"/>
      <c r="D47" s="29" t="n"/>
      <c r="E47" s="17" t="n"/>
      <c r="F47" s="14" t="n"/>
      <c r="G47" s="29" t="n"/>
      <c r="H47" s="14" t="n"/>
    </row>
    <row r="48">
      <c r="A48" s="17" t="n"/>
      <c r="B48" s="29" t="n"/>
      <c r="C48" s="17" t="n"/>
      <c r="D48" s="29" t="n"/>
      <c r="E48" s="17" t="n"/>
      <c r="F48" s="14" t="n"/>
      <c r="G48" s="29" t="n"/>
      <c r="H48" s="14" t="n"/>
    </row>
    <row r="49">
      <c r="A49" s="17" t="n"/>
      <c r="B49" s="29" t="n"/>
      <c r="C49" s="17" t="n"/>
      <c r="D49" s="29" t="n"/>
      <c r="E49" s="17" t="n"/>
      <c r="F49" s="14" t="n"/>
      <c r="G49" s="29" t="n"/>
      <c r="H49" s="14" t="n"/>
    </row>
    <row r="50">
      <c r="A50" s="17" t="n"/>
      <c r="B50" s="29" t="n"/>
      <c r="C50" s="17" t="n"/>
      <c r="D50" s="29" t="n"/>
      <c r="E50" s="17" t="n"/>
      <c r="F50" s="14" t="n"/>
      <c r="G50" s="29" t="n"/>
      <c r="H50" s="14" t="n"/>
    </row>
    <row r="51">
      <c r="A51" s="17" t="n"/>
      <c r="B51" s="29" t="n"/>
      <c r="C51" s="17" t="n"/>
      <c r="D51" s="29" t="n"/>
      <c r="E51" s="17" t="n"/>
      <c r="F51" s="14" t="n"/>
      <c r="G51" s="29" t="n"/>
      <c r="H51" s="14" t="n"/>
    </row>
    <row r="52">
      <c r="A52" s="17" t="n"/>
      <c r="B52" s="29" t="n"/>
      <c r="C52" s="17" t="n"/>
      <c r="D52" s="29" t="n"/>
      <c r="E52" s="17" t="n"/>
      <c r="F52" s="14" t="n"/>
      <c r="G52" s="29" t="n"/>
      <c r="H52" s="14" t="n"/>
    </row>
    <row r="53">
      <c r="A53" s="17" t="n"/>
      <c r="B53" s="29" t="n"/>
      <c r="C53" s="17" t="n"/>
      <c r="D53" s="29" t="n"/>
      <c r="E53" s="17" t="n"/>
      <c r="F53" s="14" t="n"/>
      <c r="G53" s="29" t="n"/>
      <c r="H53" s="14" t="n"/>
    </row>
    <row r="54">
      <c r="A54" s="17" t="n"/>
      <c r="B54" s="29" t="n"/>
      <c r="C54" s="17" t="n"/>
      <c r="D54" s="29" t="n"/>
      <c r="E54" s="17" t="n"/>
      <c r="F54" s="14" t="n"/>
      <c r="G54" s="29" t="n"/>
      <c r="H54" s="14" t="n"/>
    </row>
    <row r="55">
      <c r="A55" s="17" t="n"/>
      <c r="B55" s="29" t="n"/>
      <c r="C55" s="17" t="n"/>
      <c r="D55" s="29" t="n"/>
      <c r="E55" s="17" t="n"/>
      <c r="F55" s="14" t="n"/>
      <c r="G55" s="29" t="n"/>
      <c r="H55" s="14" t="n"/>
    </row>
    <row r="56">
      <c r="A56" s="17" t="n"/>
      <c r="B56" s="29" t="n"/>
      <c r="C56" s="17" t="n"/>
      <c r="D56" s="29" t="n"/>
      <c r="E56" s="17" t="n"/>
      <c r="F56" s="14" t="n"/>
      <c r="G56" s="29" t="n"/>
      <c r="H56" s="14" t="n"/>
    </row>
    <row r="57">
      <c r="A57" s="17" t="n"/>
      <c r="B57" s="29" t="n"/>
      <c r="C57" s="17" t="n"/>
      <c r="D57" s="29" t="n"/>
      <c r="E57" s="17" t="n"/>
      <c r="F57" s="14" t="n"/>
      <c r="G57" s="29" t="n"/>
      <c r="H57" s="14" t="n"/>
    </row>
    <row r="58">
      <c r="A58" s="17" t="n"/>
      <c r="B58" s="29" t="n"/>
      <c r="C58" s="17" t="n"/>
      <c r="D58" s="29" t="n"/>
      <c r="E58" s="17" t="n"/>
      <c r="F58" s="14" t="n"/>
      <c r="G58" s="29" t="n"/>
      <c r="H58" s="14" t="n"/>
    </row>
    <row r="59">
      <c r="A59" s="17" t="n"/>
      <c r="B59" s="29" t="n"/>
      <c r="C59" s="17" t="n"/>
      <c r="D59" s="29" t="n"/>
      <c r="E59" s="17" t="n"/>
      <c r="F59" s="14" t="n"/>
      <c r="G59" s="29" t="n"/>
      <c r="H59" s="14" t="n"/>
    </row>
    <row r="60">
      <c r="A60" s="17" t="n"/>
      <c r="B60" s="29" t="n"/>
      <c r="C60" s="17" t="n"/>
      <c r="D60" s="29" t="n"/>
      <c r="E60" s="17" t="n"/>
      <c r="F60" s="14" t="n"/>
      <c r="G60" s="29" t="n"/>
      <c r="H60" s="14" t="n"/>
    </row>
    <row r="61">
      <c r="A61" s="17" t="n"/>
      <c r="B61" s="29" t="n"/>
      <c r="C61" s="17" t="n"/>
      <c r="D61" s="29" t="n"/>
      <c r="E61" s="17" t="n"/>
      <c r="F61" s="14" t="n"/>
      <c r="G61" s="29" t="n"/>
      <c r="H61" s="14" t="n"/>
    </row>
    <row r="62">
      <c r="A62" s="17" t="n"/>
      <c r="B62" s="29" t="n"/>
      <c r="C62" s="17" t="n"/>
      <c r="D62" s="29" t="n"/>
      <c r="E62" s="17" t="n"/>
      <c r="F62" s="14" t="n"/>
      <c r="G62" s="29" t="n"/>
      <c r="H62" s="14" t="n"/>
    </row>
    <row r="63">
      <c r="A63" s="17" t="n"/>
      <c r="B63" s="29" t="n"/>
      <c r="C63" s="17" t="n"/>
      <c r="D63" s="29" t="n"/>
      <c r="E63" s="17" t="n"/>
      <c r="F63" s="14" t="n"/>
      <c r="G63" s="29" t="n"/>
      <c r="H63" s="14" t="n"/>
    </row>
    <row r="64">
      <c r="A64" s="17" t="n"/>
      <c r="B64" s="29" t="n"/>
      <c r="C64" s="17" t="n"/>
      <c r="D64" s="29" t="n"/>
      <c r="E64" s="17" t="n"/>
      <c r="F64" s="14" t="n"/>
      <c r="G64" s="29" t="n"/>
      <c r="H64" s="14" t="n"/>
    </row>
    <row r="65">
      <c r="A65" s="17" t="n"/>
      <c r="B65" s="29" t="n"/>
      <c r="C65" s="17" t="n"/>
      <c r="D65" s="29" t="n"/>
      <c r="E65" s="17" t="n"/>
      <c r="F65" s="14" t="n"/>
      <c r="G65" s="29" t="n"/>
      <c r="H65" s="14" t="n"/>
    </row>
    <row r="67">
      <c r="A67" s="12" t="inlineStr">
        <is>
          <t>GAP SUMMARY METRICS</t>
        </is>
      </c>
    </row>
    <row r="68">
      <c r="A68" s="24" t="inlineStr">
        <is>
          <t>Total Gaps Identified:</t>
        </is>
      </c>
      <c r="B68" s="24">
        <f>COUNTA(B5:B65)</f>
        <v/>
      </c>
    </row>
    <row r="69">
      <c r="A69" s="24" t="inlineStr">
        <is>
          <t>[!] Critical Priority:</t>
        </is>
      </c>
      <c r="B69" s="24">
        <f>COUNTIF(F5:F65,"[!]*")</f>
        <v/>
      </c>
    </row>
    <row r="70">
      <c r="A70" s="24" t="inlineStr">
        <is>
          <t>[~] High Priority:</t>
        </is>
      </c>
      <c r="B70" s="24">
        <f>COUNTIF(F5:F65,"[~]*")</f>
        <v/>
      </c>
    </row>
    <row r="71">
      <c r="A71" s="24" t="inlineStr">
        <is>
          <t>[.] Medium Priority:</t>
        </is>
      </c>
      <c r="B71" s="24">
        <f>COUNTIF(F5:F65,"[.]*")</f>
        <v/>
      </c>
    </row>
    <row r="72">
      <c r="A72" s="24" t="inlineStr">
        <is>
          <t>[ ] Low Priority:</t>
        </is>
      </c>
      <c r="B72" s="24">
        <f>COUNTIF(F5:F65,"[ ]*")</f>
        <v/>
      </c>
    </row>
    <row r="74">
      <c r="A74" s="24" t="inlineStr">
        <is>
          <t>Open Gaps:</t>
        </is>
      </c>
      <c r="B74" s="24">
        <f>COUNTIF(H5:H65,"Open*")</f>
        <v/>
      </c>
    </row>
    <row r="75">
      <c r="A75" s="24" t="inlineStr">
        <is>
          <t>In Progress:</t>
        </is>
      </c>
      <c r="B75" s="24">
        <f>COUNTIF(H5:H65,"In Progress*")</f>
        <v/>
      </c>
    </row>
    <row r="76">
      <c r="A76" s="24" t="inlineStr">
        <is>
          <t>✅ Closed Gaps:</t>
        </is>
      </c>
      <c r="B76" s="24">
        <f>COUNTIF(H5:H65,"✅*")</f>
        <v/>
      </c>
    </row>
    <row r="77">
      <c r="A77" s="24" t="inlineStr">
        <is>
          <t>Risk Accepted:</t>
        </is>
      </c>
      <c r="B77" s="24">
        <f>COUNTIF(H5:H65,"Risk Accepted*")</f>
        <v/>
      </c>
    </row>
    <row r="79">
      <c r="A79" s="24" t="inlineStr">
        <is>
          <t>Average Risk Score:</t>
        </is>
      </c>
      <c r="B79" s="30">
        <f>IFERROR(AVERAGE(E5:E114),0)</f>
        <v/>
      </c>
    </row>
    <row r="80">
      <c r="A80" s="24" t="inlineStr">
        <is>
          <t>Max Risk Score:</t>
        </is>
      </c>
      <c r="B80" s="30">
        <f>IFERROR(MAX(E5:E114),0)</f>
        <v/>
      </c>
    </row>
  </sheetData>
  <mergeCells count="3">
    <mergeCell ref="A67:H67"/>
    <mergeCell ref="A2:H2"/>
    <mergeCell ref="A1:H1"/>
  </mergeCells>
  <dataValidations count="3">
    <dataValidation sqref="F5 F6 F7 F8 F9 F10 F11 F12 F13 F14 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 Critical,[~] High,[.] Medium,[ ] Low"</formula1>
    </dataValidation>
    <dataValidation sqref="C5 C6 C7 C8 C9 C10 C11 C12 C13 C14 C15 C16 C17 C18 C19 C20 C21 C22 C23 C24 C25 C26 C27 C28 C29 C30 C31 C32 C33 C34 C35 C36 C37 C38 C39 C40 C41 C42 C43 C44 C45 C46 C47 C48 C49 C50 C51 C52 C53 C54 C55 C56 C57 C58 C59 C60 C61 C62 C63 C64 C65" showDropDown="0" showInputMessage="0" showErrorMessage="0" allowBlank="0" type="list">
      <formula1>"RPO Gap,RTO Gap,Both RPO &amp; RTO,Testing Gap,Documentation Gap"</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type="list">
      <formula1>"Open,In Progress,✅ 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31" t="inlineStr">
        <is>
          <t>EVIDENCE REGISTER</t>
        </is>
      </c>
      <c r="B1" s="6" t="n"/>
      <c r="C1" s="6" t="n"/>
      <c r="D1" s="6" t="n"/>
      <c r="E1" s="6" t="n"/>
      <c r="F1" s="6" t="n"/>
      <c r="G1" s="6" t="n"/>
      <c r="H1" s="6" t="n"/>
    </row>
    <row r="2">
      <c r="A2" s="32" t="inlineStr">
        <is>
          <t>Document all evidence collected during this assessment (minimum 5 items required for audit compliance)</t>
        </is>
      </c>
      <c r="B2" s="6" t="n"/>
      <c r="C2" s="6" t="n"/>
      <c r="D2" s="6" t="n"/>
      <c r="E2" s="6" t="n"/>
      <c r="F2" s="6" t="n"/>
      <c r="G2" s="6" t="n"/>
      <c r="H2" s="6" t="n"/>
    </row>
    <row r="4">
      <c r="A4" s="33" t="inlineStr">
        <is>
          <t>Evidence ID</t>
        </is>
      </c>
      <c r="B4" s="33" t="inlineStr">
        <is>
          <t>Assessment Area</t>
        </is>
      </c>
      <c r="C4" s="33" t="inlineStr">
        <is>
          <t>Evidence Type</t>
        </is>
      </c>
      <c r="D4" s="33" t="inlineStr">
        <is>
          <t>Description</t>
        </is>
      </c>
      <c r="E4" s="33" t="inlineStr">
        <is>
          <t>Location / Path</t>
        </is>
      </c>
      <c r="F4" s="33" t="inlineStr">
        <is>
          <t>Date Collected</t>
        </is>
      </c>
      <c r="G4" s="33" t="inlineStr">
        <is>
          <t>Collected By</t>
        </is>
      </c>
      <c r="H4" s="33" t="inlineStr">
        <is>
          <t>Verification Status</t>
        </is>
      </c>
    </row>
    <row r="5">
      <c r="A5" s="34" t="inlineStr">
        <is>
          <t>EV-001</t>
        </is>
      </c>
      <c r="B5" s="35" t="inlineStr">
        <is>
          <t>Compliance Matrix</t>
        </is>
      </c>
      <c r="C5" s="35" t="inlineStr">
        <is>
          <t>BIA Report</t>
        </is>
      </c>
      <c r="D5" s="35" t="inlineStr">
        <is>
          <t>Business Impact Analysis report with RPO/RTO requirements for all systems</t>
        </is>
      </c>
      <c r="E5" s="35" t="inlineStr">
        <is>
          <t>/evidence/bia/BIA_Report_Q1_2024.pdf</t>
        </is>
      </c>
      <c r="F5" s="35" t="inlineStr">
        <is>
          <t>01.03.2026</t>
        </is>
      </c>
      <c r="G5" s="35" t="inlineStr">
        <is>
          <t>BC/DR Coordinator</t>
        </is>
      </c>
      <c r="H5" s="35" t="inlineStr">
        <is>
          <t>✅ Verified</t>
        </is>
      </c>
    </row>
    <row r="6">
      <c r="A6" s="36" t="n"/>
      <c r="B6" s="37" t="n"/>
      <c r="C6" s="37" t="n"/>
      <c r="D6" s="37" t="n"/>
      <c r="E6" s="37" t="n"/>
      <c r="F6" s="37" t="n"/>
      <c r="G6" s="37" t="n"/>
      <c r="H6" s="37" t="n"/>
    </row>
    <row r="7">
      <c r="A7" s="36" t="n"/>
      <c r="B7" s="37" t="n"/>
      <c r="C7" s="37" t="n"/>
      <c r="D7" s="37" t="n"/>
      <c r="E7" s="37" t="n"/>
      <c r="F7" s="37" t="n"/>
      <c r="G7" s="37" t="n"/>
      <c r="H7" s="37" t="n"/>
    </row>
    <row r="8">
      <c r="A8" s="36" t="n"/>
      <c r="B8" s="37" t="n"/>
      <c r="C8" s="37" t="n"/>
      <c r="D8" s="37" t="n"/>
      <c r="E8" s="37" t="n"/>
      <c r="F8" s="37" t="n"/>
      <c r="G8" s="37" t="n"/>
      <c r="H8" s="37" t="n"/>
    </row>
    <row r="9">
      <c r="A9" s="36" t="n"/>
      <c r="B9" s="37" t="n"/>
      <c r="C9" s="37" t="n"/>
      <c r="D9" s="37" t="n"/>
      <c r="E9" s="37" t="n"/>
      <c r="F9" s="37" t="n"/>
      <c r="G9" s="37" t="n"/>
      <c r="H9" s="37" t="n"/>
    </row>
    <row r="10">
      <c r="A10" s="36" t="n"/>
      <c r="B10" s="37" t="n"/>
      <c r="C10" s="37" t="n"/>
      <c r="D10" s="37" t="n"/>
      <c r="E10" s="37" t="n"/>
      <c r="F10" s="37" t="n"/>
      <c r="G10" s="37" t="n"/>
      <c r="H10" s="37" t="n"/>
    </row>
    <row r="11">
      <c r="A11" s="36" t="n"/>
      <c r="B11" s="37" t="n"/>
      <c r="C11" s="37" t="n"/>
      <c r="D11" s="37" t="n"/>
      <c r="E11" s="37" t="n"/>
      <c r="F11" s="37" t="n"/>
      <c r="G11" s="37" t="n"/>
      <c r="H11" s="37" t="n"/>
    </row>
    <row r="12">
      <c r="A12" s="36" t="n"/>
      <c r="B12" s="37" t="n"/>
      <c r="C12" s="37" t="n"/>
      <c r="D12" s="37" t="n"/>
      <c r="E12" s="37" t="n"/>
      <c r="F12" s="37" t="n"/>
      <c r="G12" s="37" t="n"/>
      <c r="H12" s="37" t="n"/>
    </row>
    <row r="13">
      <c r="A13" s="36" t="n"/>
      <c r="B13" s="37" t="n"/>
      <c r="C13" s="37" t="n"/>
      <c r="D13" s="37" t="n"/>
      <c r="E13" s="37" t="n"/>
      <c r="F13" s="37" t="n"/>
      <c r="G13" s="37" t="n"/>
      <c r="H13" s="37" t="n"/>
    </row>
    <row r="14">
      <c r="A14" s="36" t="n"/>
      <c r="B14" s="37" t="n"/>
      <c r="C14" s="37" t="n"/>
      <c r="D14" s="37" t="n"/>
      <c r="E14" s="37" t="n"/>
      <c r="F14" s="37" t="n"/>
      <c r="G14" s="37" t="n"/>
      <c r="H14" s="37" t="n"/>
    </row>
    <row r="15">
      <c r="A15" s="36" t="n"/>
      <c r="B15" s="37" t="n"/>
      <c r="C15" s="37" t="n"/>
      <c r="D15" s="37" t="n"/>
      <c r="E15" s="37" t="n"/>
      <c r="F15" s="37" t="n"/>
      <c r="G15" s="37" t="n"/>
      <c r="H15" s="37" t="n"/>
    </row>
    <row r="16">
      <c r="A16" s="36" t="n"/>
      <c r="B16" s="37" t="n"/>
      <c r="C16" s="37" t="n"/>
      <c r="D16" s="37" t="n"/>
      <c r="E16" s="37" t="n"/>
      <c r="F16" s="37" t="n"/>
      <c r="G16" s="37" t="n"/>
      <c r="H16" s="37" t="n"/>
    </row>
    <row r="17">
      <c r="A17" s="36" t="n"/>
      <c r="B17" s="37" t="n"/>
      <c r="C17" s="37" t="n"/>
      <c r="D17" s="37" t="n"/>
      <c r="E17" s="37" t="n"/>
      <c r="F17" s="37" t="n"/>
      <c r="G17" s="37" t="n"/>
      <c r="H17" s="37" t="n"/>
    </row>
    <row r="18">
      <c r="A18" s="36" t="n"/>
      <c r="B18" s="37" t="n"/>
      <c r="C18" s="37" t="n"/>
      <c r="D18" s="37" t="n"/>
      <c r="E18" s="37" t="n"/>
      <c r="F18" s="37" t="n"/>
      <c r="G18" s="37" t="n"/>
      <c r="H18" s="37" t="n"/>
    </row>
    <row r="19">
      <c r="A19" s="36" t="n"/>
      <c r="B19" s="37" t="n"/>
      <c r="C19" s="37" t="n"/>
      <c r="D19" s="37" t="n"/>
      <c r="E19" s="37" t="n"/>
      <c r="F19" s="37" t="n"/>
      <c r="G19" s="37" t="n"/>
      <c r="H19" s="37" t="n"/>
    </row>
    <row r="20">
      <c r="A20" s="36" t="n"/>
      <c r="B20" s="37" t="n"/>
      <c r="C20" s="37" t="n"/>
      <c r="D20" s="37" t="n"/>
      <c r="E20" s="37" t="n"/>
      <c r="F20" s="37" t="n"/>
      <c r="G20" s="37" t="n"/>
      <c r="H20" s="37" t="n"/>
    </row>
    <row r="21">
      <c r="A21" s="36" t="n"/>
      <c r="B21" s="37" t="n"/>
      <c r="C21" s="37" t="n"/>
      <c r="D21" s="37" t="n"/>
      <c r="E21" s="37" t="n"/>
      <c r="F21" s="37" t="n"/>
      <c r="G21" s="37" t="n"/>
      <c r="H21" s="37" t="n"/>
    </row>
    <row r="22">
      <c r="A22" s="36" t="n"/>
      <c r="B22" s="37" t="n"/>
      <c r="C22" s="37" t="n"/>
      <c r="D22" s="37" t="n"/>
      <c r="E22" s="37" t="n"/>
      <c r="F22" s="37" t="n"/>
      <c r="G22" s="37" t="n"/>
      <c r="H22" s="37" t="n"/>
    </row>
    <row r="23">
      <c r="A23" s="36" t="n"/>
      <c r="B23" s="37" t="n"/>
      <c r="C23" s="37" t="n"/>
      <c r="D23" s="37" t="n"/>
      <c r="E23" s="37" t="n"/>
      <c r="F23" s="37" t="n"/>
      <c r="G23" s="37" t="n"/>
      <c r="H23" s="37" t="n"/>
    </row>
    <row r="24">
      <c r="A24" s="36" t="n"/>
      <c r="B24" s="37" t="n"/>
      <c r="C24" s="37" t="n"/>
      <c r="D24" s="37" t="n"/>
      <c r="E24" s="37" t="n"/>
      <c r="F24" s="37" t="n"/>
      <c r="G24" s="37" t="n"/>
      <c r="H24" s="37" t="n"/>
    </row>
    <row r="25">
      <c r="A25" s="36" t="n"/>
      <c r="B25" s="37" t="n"/>
      <c r="C25" s="37" t="n"/>
      <c r="D25" s="37" t="n"/>
      <c r="E25" s="37" t="n"/>
      <c r="F25" s="37" t="n"/>
      <c r="G25" s="37" t="n"/>
      <c r="H25" s="37" t="n"/>
    </row>
    <row r="26">
      <c r="A26" s="36" t="n"/>
      <c r="B26" s="37" t="n"/>
      <c r="C26" s="37" t="n"/>
      <c r="D26" s="37" t="n"/>
      <c r="E26" s="37" t="n"/>
      <c r="F26" s="37" t="n"/>
      <c r="G26" s="37" t="n"/>
      <c r="H26" s="37" t="n"/>
    </row>
    <row r="27">
      <c r="A27" s="36" t="n"/>
      <c r="B27" s="37" t="n"/>
      <c r="C27" s="37" t="n"/>
      <c r="D27" s="37" t="n"/>
      <c r="E27" s="37" t="n"/>
      <c r="F27" s="37" t="n"/>
      <c r="G27" s="37" t="n"/>
      <c r="H27" s="37" t="n"/>
    </row>
    <row r="28">
      <c r="A28" s="36" t="n"/>
      <c r="B28" s="37" t="n"/>
      <c r="C28" s="37" t="n"/>
      <c r="D28" s="37" t="n"/>
      <c r="E28" s="37" t="n"/>
      <c r="F28" s="37" t="n"/>
      <c r="G28" s="37" t="n"/>
      <c r="H28" s="37" t="n"/>
    </row>
    <row r="29">
      <c r="A29" s="36" t="n"/>
      <c r="B29" s="37" t="n"/>
      <c r="C29" s="37" t="n"/>
      <c r="D29" s="37" t="n"/>
      <c r="E29" s="37" t="n"/>
      <c r="F29" s="37" t="n"/>
      <c r="G29" s="37" t="n"/>
      <c r="H29" s="37" t="n"/>
    </row>
    <row r="30">
      <c r="A30" s="36" t="n"/>
      <c r="B30" s="37" t="n"/>
      <c r="C30" s="37" t="n"/>
      <c r="D30" s="37" t="n"/>
      <c r="E30" s="37" t="n"/>
      <c r="F30" s="37" t="n"/>
      <c r="G30" s="37" t="n"/>
      <c r="H30" s="37" t="n"/>
    </row>
    <row r="31">
      <c r="A31" s="36" t="n"/>
      <c r="B31" s="37" t="n"/>
      <c r="C31" s="37" t="n"/>
      <c r="D31" s="37" t="n"/>
      <c r="E31" s="37" t="n"/>
      <c r="F31" s="37" t="n"/>
      <c r="G31" s="37" t="n"/>
      <c r="H31" s="37" t="n"/>
    </row>
    <row r="32">
      <c r="A32" s="36" t="n"/>
      <c r="B32" s="37" t="n"/>
      <c r="C32" s="37" t="n"/>
      <c r="D32" s="37" t="n"/>
      <c r="E32" s="37" t="n"/>
      <c r="F32" s="37" t="n"/>
      <c r="G32" s="37" t="n"/>
      <c r="H32" s="37" t="n"/>
    </row>
    <row r="33">
      <c r="A33" s="36" t="n"/>
      <c r="B33" s="37" t="n"/>
      <c r="C33" s="37" t="n"/>
      <c r="D33" s="37" t="n"/>
      <c r="E33" s="37" t="n"/>
      <c r="F33" s="37" t="n"/>
      <c r="G33" s="37" t="n"/>
      <c r="H33" s="37" t="n"/>
    </row>
    <row r="34">
      <c r="A34" s="36" t="n"/>
      <c r="B34" s="37" t="n"/>
      <c r="C34" s="37" t="n"/>
      <c r="D34" s="37" t="n"/>
      <c r="E34" s="37" t="n"/>
      <c r="F34" s="37" t="n"/>
      <c r="G34" s="37" t="n"/>
      <c r="H34" s="37" t="n"/>
    </row>
    <row r="35">
      <c r="A35" s="36" t="n"/>
      <c r="B35" s="37" t="n"/>
      <c r="C35" s="37" t="n"/>
      <c r="D35" s="37" t="n"/>
      <c r="E35" s="37" t="n"/>
      <c r="F35" s="37" t="n"/>
      <c r="G35" s="37" t="n"/>
      <c r="H35" s="37" t="n"/>
    </row>
    <row r="36">
      <c r="A36" s="36" t="n"/>
      <c r="B36" s="37" t="n"/>
      <c r="C36" s="37" t="n"/>
      <c r="D36" s="37" t="n"/>
      <c r="E36" s="37" t="n"/>
      <c r="F36" s="37" t="n"/>
      <c r="G36" s="37" t="n"/>
      <c r="H36" s="37" t="n"/>
    </row>
    <row r="37">
      <c r="A37" s="36" t="n"/>
      <c r="B37" s="37" t="n"/>
      <c r="C37" s="37" t="n"/>
      <c r="D37" s="37" t="n"/>
      <c r="E37" s="37" t="n"/>
      <c r="F37" s="37" t="n"/>
      <c r="G37" s="37" t="n"/>
      <c r="H37" s="37" t="n"/>
    </row>
    <row r="38">
      <c r="A38" s="36" t="n"/>
      <c r="B38" s="37" t="n"/>
      <c r="C38" s="37" t="n"/>
      <c r="D38" s="37" t="n"/>
      <c r="E38" s="37" t="n"/>
      <c r="F38" s="37" t="n"/>
      <c r="G38" s="37" t="n"/>
      <c r="H38" s="37" t="n"/>
    </row>
    <row r="39">
      <c r="A39" s="36" t="n"/>
      <c r="B39" s="37" t="n"/>
      <c r="C39" s="37" t="n"/>
      <c r="D39" s="37" t="n"/>
      <c r="E39" s="37" t="n"/>
      <c r="F39" s="37" t="n"/>
      <c r="G39" s="37" t="n"/>
      <c r="H39" s="37" t="n"/>
    </row>
    <row r="40">
      <c r="A40" s="36" t="n"/>
      <c r="B40" s="37" t="n"/>
      <c r="C40" s="37" t="n"/>
      <c r="D40" s="37" t="n"/>
      <c r="E40" s="37" t="n"/>
      <c r="F40" s="37" t="n"/>
      <c r="G40" s="37" t="n"/>
      <c r="H40" s="37" t="n"/>
    </row>
    <row r="41">
      <c r="A41" s="36" t="n"/>
      <c r="B41" s="37" t="n"/>
      <c r="C41" s="37" t="n"/>
      <c r="D41" s="37" t="n"/>
      <c r="E41" s="37" t="n"/>
      <c r="F41" s="37" t="n"/>
      <c r="G41" s="37" t="n"/>
      <c r="H41" s="37" t="n"/>
    </row>
    <row r="42">
      <c r="A42" s="36" t="n"/>
      <c r="B42" s="37" t="n"/>
      <c r="C42" s="37" t="n"/>
      <c r="D42" s="37" t="n"/>
      <c r="E42" s="37" t="n"/>
      <c r="F42" s="37" t="n"/>
      <c r="G42" s="37" t="n"/>
      <c r="H42" s="37" t="n"/>
    </row>
    <row r="43">
      <c r="A43" s="36" t="n"/>
      <c r="B43" s="37" t="n"/>
      <c r="C43" s="37" t="n"/>
      <c r="D43" s="37" t="n"/>
      <c r="E43" s="37" t="n"/>
      <c r="F43" s="37" t="n"/>
      <c r="G43" s="37" t="n"/>
      <c r="H43" s="37" t="n"/>
    </row>
    <row r="44">
      <c r="A44" s="36" t="n"/>
      <c r="B44" s="37" t="n"/>
      <c r="C44" s="37" t="n"/>
      <c r="D44" s="37" t="n"/>
      <c r="E44" s="37" t="n"/>
      <c r="F44" s="37" t="n"/>
      <c r="G44" s="37" t="n"/>
      <c r="H44" s="37" t="n"/>
    </row>
    <row r="45">
      <c r="A45" s="36" t="n"/>
      <c r="B45" s="37" t="n"/>
      <c r="C45" s="37" t="n"/>
      <c r="D45" s="37" t="n"/>
      <c r="E45" s="37" t="n"/>
      <c r="F45" s="37" t="n"/>
      <c r="G45" s="37" t="n"/>
      <c r="H45" s="37" t="n"/>
    </row>
    <row r="46">
      <c r="A46" s="36" t="n"/>
      <c r="B46" s="37" t="n"/>
      <c r="C46" s="37" t="n"/>
      <c r="D46" s="37" t="n"/>
      <c r="E46" s="37" t="n"/>
      <c r="F46" s="37" t="n"/>
      <c r="G46" s="37" t="n"/>
      <c r="H46" s="37" t="n"/>
    </row>
    <row r="47">
      <c r="A47" s="36" t="n"/>
      <c r="B47" s="37" t="n"/>
      <c r="C47" s="37" t="n"/>
      <c r="D47" s="37" t="n"/>
      <c r="E47" s="37" t="n"/>
      <c r="F47" s="37" t="n"/>
      <c r="G47" s="37" t="n"/>
      <c r="H47" s="37" t="n"/>
    </row>
    <row r="48">
      <c r="A48" s="36" t="n"/>
      <c r="B48" s="37" t="n"/>
      <c r="C48" s="37" t="n"/>
      <c r="D48" s="37" t="n"/>
      <c r="E48" s="37" t="n"/>
      <c r="F48" s="37" t="n"/>
      <c r="G48" s="37" t="n"/>
      <c r="H48" s="37" t="n"/>
    </row>
    <row r="49">
      <c r="A49" s="36" t="n"/>
      <c r="B49" s="37" t="n"/>
      <c r="C49" s="37" t="n"/>
      <c r="D49" s="37" t="n"/>
      <c r="E49" s="37" t="n"/>
      <c r="F49" s="37" t="n"/>
      <c r="G49" s="37" t="n"/>
      <c r="H49" s="37" t="n"/>
    </row>
    <row r="50">
      <c r="A50" s="36" t="n"/>
      <c r="B50" s="37" t="n"/>
      <c r="C50" s="37" t="n"/>
      <c r="D50" s="37" t="n"/>
      <c r="E50" s="37" t="n"/>
      <c r="F50" s="37" t="n"/>
      <c r="G50" s="37" t="n"/>
      <c r="H50" s="37" t="n"/>
    </row>
    <row r="51">
      <c r="A51" s="36" t="n"/>
      <c r="B51" s="37" t="n"/>
      <c r="C51" s="37" t="n"/>
      <c r="D51" s="37" t="n"/>
      <c r="E51" s="37" t="n"/>
      <c r="F51" s="37" t="n"/>
      <c r="G51" s="37" t="n"/>
      <c r="H51" s="37" t="n"/>
    </row>
    <row r="52">
      <c r="A52" s="36" t="n"/>
      <c r="B52" s="37" t="n"/>
      <c r="C52" s="37" t="n"/>
      <c r="D52" s="37" t="n"/>
      <c r="E52" s="37" t="n"/>
      <c r="F52" s="37" t="n"/>
      <c r="G52" s="37" t="n"/>
      <c r="H52" s="37" t="n"/>
    </row>
    <row r="53">
      <c r="A53" s="36" t="n"/>
      <c r="B53" s="37" t="n"/>
      <c r="C53" s="37" t="n"/>
      <c r="D53" s="37" t="n"/>
      <c r="E53" s="37" t="n"/>
      <c r="F53" s="37" t="n"/>
      <c r="G53" s="37" t="n"/>
      <c r="H53" s="37" t="n"/>
    </row>
    <row r="54">
      <c r="A54" s="36" t="n"/>
      <c r="B54" s="37" t="n"/>
      <c r="C54" s="37" t="n"/>
      <c r="D54" s="37" t="n"/>
      <c r="E54" s="37" t="n"/>
      <c r="F54" s="37" t="n"/>
      <c r="G54" s="37" t="n"/>
      <c r="H54" s="37" t="n"/>
    </row>
    <row r="55">
      <c r="A55" s="36" t="n"/>
      <c r="B55" s="37" t="n"/>
      <c r="C55" s="37" t="n"/>
      <c r="D55" s="37" t="n"/>
      <c r="E55" s="37" t="n"/>
      <c r="F55" s="37" t="n"/>
      <c r="G55" s="37" t="n"/>
      <c r="H55" s="37" t="n"/>
    </row>
    <row r="56">
      <c r="A56" s="36" t="n"/>
      <c r="B56" s="37" t="n"/>
      <c r="C56" s="37" t="n"/>
      <c r="D56" s="37" t="n"/>
      <c r="E56" s="37" t="n"/>
      <c r="F56" s="37" t="n"/>
      <c r="G56" s="37" t="n"/>
      <c r="H56" s="37" t="n"/>
    </row>
    <row r="57">
      <c r="A57" s="36" t="n"/>
      <c r="B57" s="37" t="n"/>
      <c r="C57" s="37" t="n"/>
      <c r="D57" s="37" t="n"/>
      <c r="E57" s="37" t="n"/>
      <c r="F57" s="37" t="n"/>
      <c r="G57" s="37" t="n"/>
      <c r="H57" s="37" t="n"/>
    </row>
    <row r="58">
      <c r="A58" s="36" t="n"/>
      <c r="B58" s="37" t="n"/>
      <c r="C58" s="37" t="n"/>
      <c r="D58" s="37" t="n"/>
      <c r="E58" s="37" t="n"/>
      <c r="F58" s="37" t="n"/>
      <c r="G58" s="37" t="n"/>
      <c r="H58" s="37" t="n"/>
    </row>
    <row r="59">
      <c r="A59" s="36" t="n"/>
      <c r="B59" s="37" t="n"/>
      <c r="C59" s="37" t="n"/>
      <c r="D59" s="37" t="n"/>
      <c r="E59" s="37" t="n"/>
      <c r="F59" s="37" t="n"/>
      <c r="G59" s="37" t="n"/>
      <c r="H59" s="37" t="n"/>
    </row>
    <row r="60">
      <c r="A60" s="36" t="n"/>
      <c r="B60" s="37" t="n"/>
      <c r="C60" s="37" t="n"/>
      <c r="D60" s="37" t="n"/>
      <c r="E60" s="37" t="n"/>
      <c r="F60" s="37" t="n"/>
      <c r="G60" s="37" t="n"/>
      <c r="H60" s="37" t="n"/>
    </row>
    <row r="61">
      <c r="A61" s="36" t="n"/>
      <c r="B61" s="37" t="n"/>
      <c r="C61" s="37" t="n"/>
      <c r="D61" s="37" t="n"/>
      <c r="E61" s="37" t="n"/>
      <c r="F61" s="37" t="n"/>
      <c r="G61" s="37" t="n"/>
      <c r="H61" s="37" t="n"/>
    </row>
    <row r="62">
      <c r="A62" s="36" t="n"/>
      <c r="B62" s="37" t="n"/>
      <c r="C62" s="37" t="n"/>
      <c r="D62" s="37" t="n"/>
      <c r="E62" s="37" t="n"/>
      <c r="F62" s="37" t="n"/>
      <c r="G62" s="37" t="n"/>
      <c r="H62" s="37" t="n"/>
    </row>
    <row r="63">
      <c r="A63" s="36" t="n"/>
      <c r="B63" s="37" t="n"/>
      <c r="C63" s="37" t="n"/>
      <c r="D63" s="37" t="n"/>
      <c r="E63" s="37" t="n"/>
      <c r="F63" s="37" t="n"/>
      <c r="G63" s="37" t="n"/>
      <c r="H63" s="37" t="n"/>
    </row>
    <row r="64">
      <c r="A64" s="36" t="n"/>
      <c r="B64" s="37" t="n"/>
      <c r="C64" s="37" t="n"/>
      <c r="D64" s="37" t="n"/>
      <c r="E64" s="37" t="n"/>
      <c r="F64" s="37" t="n"/>
      <c r="G64" s="37" t="n"/>
      <c r="H64" s="37" t="n"/>
    </row>
    <row r="65">
      <c r="A65" s="36" t="n"/>
      <c r="B65" s="37" t="n"/>
      <c r="C65" s="37" t="n"/>
      <c r="D65" s="37" t="n"/>
      <c r="E65" s="37" t="n"/>
      <c r="F65" s="37" t="n"/>
      <c r="G65" s="37" t="n"/>
      <c r="H65" s="37" t="n"/>
    </row>
    <row r="66">
      <c r="A66" s="36" t="n"/>
      <c r="B66" s="37" t="n"/>
      <c r="C66" s="37" t="n"/>
      <c r="D66" s="37" t="n"/>
      <c r="E66" s="37" t="n"/>
      <c r="F66" s="37" t="n"/>
      <c r="G66" s="37" t="n"/>
      <c r="H66" s="37" t="n"/>
    </row>
    <row r="67">
      <c r="A67" s="36" t="n"/>
      <c r="B67" s="37" t="n"/>
      <c r="C67" s="37" t="n"/>
      <c r="D67" s="37" t="n"/>
      <c r="E67" s="37" t="n"/>
      <c r="F67" s="37" t="n"/>
      <c r="G67" s="37" t="n"/>
      <c r="H67" s="37" t="n"/>
    </row>
    <row r="68">
      <c r="A68" s="36" t="n"/>
      <c r="B68" s="37" t="n"/>
      <c r="C68" s="37" t="n"/>
      <c r="D68" s="37" t="n"/>
      <c r="E68" s="37" t="n"/>
      <c r="F68" s="37" t="n"/>
      <c r="G68" s="37" t="n"/>
      <c r="H68" s="37" t="n"/>
    </row>
    <row r="69">
      <c r="A69" s="36" t="n"/>
      <c r="B69" s="37" t="n"/>
      <c r="C69" s="37" t="n"/>
      <c r="D69" s="37" t="n"/>
      <c r="E69" s="37" t="n"/>
      <c r="F69" s="37" t="n"/>
      <c r="G69" s="37" t="n"/>
      <c r="H69" s="37" t="n"/>
    </row>
    <row r="70">
      <c r="A70" s="36" t="n"/>
      <c r="B70" s="37" t="n"/>
      <c r="C70" s="37" t="n"/>
      <c r="D70" s="37" t="n"/>
      <c r="E70" s="37" t="n"/>
      <c r="F70" s="37" t="n"/>
      <c r="G70" s="37" t="n"/>
      <c r="H70" s="37" t="n"/>
    </row>
    <row r="71">
      <c r="A71" s="36" t="n"/>
      <c r="B71" s="37" t="n"/>
      <c r="C71" s="37" t="n"/>
      <c r="D71" s="37" t="n"/>
      <c r="E71" s="37" t="n"/>
      <c r="F71" s="37" t="n"/>
      <c r="G71" s="37" t="n"/>
      <c r="H71" s="37" t="n"/>
    </row>
    <row r="72">
      <c r="A72" s="36" t="n"/>
      <c r="B72" s="37" t="n"/>
      <c r="C72" s="37" t="n"/>
      <c r="D72" s="37" t="n"/>
      <c r="E72" s="37" t="n"/>
      <c r="F72" s="37" t="n"/>
      <c r="G72" s="37" t="n"/>
      <c r="H72" s="37" t="n"/>
    </row>
    <row r="73">
      <c r="A73" s="36" t="n"/>
      <c r="B73" s="37" t="n"/>
      <c r="C73" s="37" t="n"/>
      <c r="D73" s="37" t="n"/>
      <c r="E73" s="37" t="n"/>
      <c r="F73" s="37" t="n"/>
      <c r="G73" s="37" t="n"/>
      <c r="H73" s="37" t="n"/>
    </row>
    <row r="74">
      <c r="A74" s="36" t="n"/>
      <c r="B74" s="37" t="n"/>
      <c r="C74" s="37" t="n"/>
      <c r="D74" s="37" t="n"/>
      <c r="E74" s="37" t="n"/>
      <c r="F74" s="37" t="n"/>
      <c r="G74" s="37" t="n"/>
      <c r="H74" s="37" t="n"/>
    </row>
    <row r="75">
      <c r="A75" s="36" t="n"/>
      <c r="B75" s="37" t="n"/>
      <c r="C75" s="37" t="n"/>
      <c r="D75" s="37" t="n"/>
      <c r="E75" s="37" t="n"/>
      <c r="F75" s="37" t="n"/>
      <c r="G75" s="37" t="n"/>
      <c r="H75" s="37" t="n"/>
    </row>
    <row r="76">
      <c r="A76" s="36" t="n"/>
      <c r="B76" s="37" t="n"/>
      <c r="C76" s="37" t="n"/>
      <c r="D76" s="37" t="n"/>
      <c r="E76" s="37" t="n"/>
      <c r="F76" s="37" t="n"/>
      <c r="G76" s="37" t="n"/>
      <c r="H76" s="37" t="n"/>
    </row>
    <row r="77">
      <c r="A77" s="36" t="n"/>
      <c r="B77" s="37" t="n"/>
      <c r="C77" s="37" t="n"/>
      <c r="D77" s="37" t="n"/>
      <c r="E77" s="37" t="n"/>
      <c r="F77" s="37" t="n"/>
      <c r="G77" s="37" t="n"/>
      <c r="H77" s="37" t="n"/>
    </row>
    <row r="78">
      <c r="A78" s="36" t="n"/>
      <c r="B78" s="37" t="n"/>
      <c r="C78" s="37" t="n"/>
      <c r="D78" s="37" t="n"/>
      <c r="E78" s="37" t="n"/>
      <c r="F78" s="37" t="n"/>
      <c r="G78" s="37" t="n"/>
      <c r="H78" s="37" t="n"/>
    </row>
    <row r="79">
      <c r="A79" s="36" t="n"/>
      <c r="B79" s="37" t="n"/>
      <c r="C79" s="37" t="n"/>
      <c r="D79" s="37" t="n"/>
      <c r="E79" s="37" t="n"/>
      <c r="F79" s="37" t="n"/>
      <c r="G79" s="37" t="n"/>
      <c r="H79" s="37" t="n"/>
    </row>
    <row r="80">
      <c r="A80" s="36" t="n"/>
      <c r="B80" s="37" t="n"/>
      <c r="C80" s="37" t="n"/>
      <c r="D80" s="37" t="n"/>
      <c r="E80" s="37" t="n"/>
      <c r="F80" s="37" t="n"/>
      <c r="G80" s="37" t="n"/>
      <c r="H80" s="37" t="n"/>
    </row>
    <row r="81">
      <c r="A81" s="36" t="n"/>
      <c r="B81" s="37" t="n"/>
      <c r="C81" s="37" t="n"/>
      <c r="D81" s="37" t="n"/>
      <c r="E81" s="37" t="n"/>
      <c r="F81" s="37" t="n"/>
      <c r="G81" s="37" t="n"/>
      <c r="H81" s="37" t="n"/>
    </row>
    <row r="82">
      <c r="A82" s="36" t="n"/>
      <c r="B82" s="37" t="n"/>
      <c r="C82" s="37" t="n"/>
      <c r="D82" s="37" t="n"/>
      <c r="E82" s="37" t="n"/>
      <c r="F82" s="37" t="n"/>
      <c r="G82" s="37" t="n"/>
      <c r="H82" s="37" t="n"/>
    </row>
    <row r="83">
      <c r="A83" s="36" t="n"/>
      <c r="B83" s="37" t="n"/>
      <c r="C83" s="37" t="n"/>
      <c r="D83" s="37" t="n"/>
      <c r="E83" s="37" t="n"/>
      <c r="F83" s="37" t="n"/>
      <c r="G83" s="37" t="n"/>
      <c r="H83" s="37" t="n"/>
    </row>
    <row r="84">
      <c r="A84" s="36" t="n"/>
      <c r="B84" s="37" t="n"/>
      <c r="C84" s="37" t="n"/>
      <c r="D84" s="37" t="n"/>
      <c r="E84" s="37" t="n"/>
      <c r="F84" s="37" t="n"/>
      <c r="G84" s="37" t="n"/>
      <c r="H84" s="37" t="n"/>
    </row>
    <row r="85">
      <c r="A85" s="36" t="n"/>
      <c r="B85" s="37" t="n"/>
      <c r="C85" s="37" t="n"/>
      <c r="D85" s="37" t="n"/>
      <c r="E85" s="37" t="n"/>
      <c r="F85" s="37" t="n"/>
      <c r="G85" s="37" t="n"/>
      <c r="H85" s="37" t="n"/>
    </row>
    <row r="86">
      <c r="A86" s="36" t="n"/>
      <c r="B86" s="37" t="n"/>
      <c r="C86" s="37" t="n"/>
      <c r="D86" s="37" t="n"/>
      <c r="E86" s="37" t="n"/>
      <c r="F86" s="37" t="n"/>
      <c r="G86" s="37" t="n"/>
      <c r="H86" s="37" t="n"/>
    </row>
    <row r="87">
      <c r="A87" s="36" t="n"/>
      <c r="B87" s="37" t="n"/>
      <c r="C87" s="37" t="n"/>
      <c r="D87" s="37" t="n"/>
      <c r="E87" s="37" t="n"/>
      <c r="F87" s="37" t="n"/>
      <c r="G87" s="37" t="n"/>
      <c r="H87" s="37" t="n"/>
    </row>
    <row r="88">
      <c r="A88" s="36" t="n"/>
      <c r="B88" s="37" t="n"/>
      <c r="C88" s="37" t="n"/>
      <c r="D88" s="37" t="n"/>
      <c r="E88" s="37" t="n"/>
      <c r="F88" s="37" t="n"/>
      <c r="G88" s="37" t="n"/>
      <c r="H88" s="37" t="n"/>
    </row>
    <row r="89">
      <c r="A89" s="36" t="n"/>
      <c r="B89" s="37" t="n"/>
      <c r="C89" s="37" t="n"/>
      <c r="D89" s="37" t="n"/>
      <c r="E89" s="37" t="n"/>
      <c r="F89" s="37" t="n"/>
      <c r="G89" s="37" t="n"/>
      <c r="H89" s="37" t="n"/>
    </row>
    <row r="90">
      <c r="A90" s="36" t="n"/>
      <c r="B90" s="37" t="n"/>
      <c r="C90" s="37" t="n"/>
      <c r="D90" s="37" t="n"/>
      <c r="E90" s="37" t="n"/>
      <c r="F90" s="37" t="n"/>
      <c r="G90" s="37" t="n"/>
      <c r="H90" s="37" t="n"/>
    </row>
    <row r="91">
      <c r="A91" s="36" t="n"/>
      <c r="B91" s="37" t="n"/>
      <c r="C91" s="37" t="n"/>
      <c r="D91" s="37" t="n"/>
      <c r="E91" s="37" t="n"/>
      <c r="F91" s="37" t="n"/>
      <c r="G91" s="37" t="n"/>
      <c r="H91" s="37" t="n"/>
    </row>
    <row r="92">
      <c r="A92" s="36" t="n"/>
      <c r="B92" s="37" t="n"/>
      <c r="C92" s="37" t="n"/>
      <c r="D92" s="37" t="n"/>
      <c r="E92" s="37" t="n"/>
      <c r="F92" s="37" t="n"/>
      <c r="G92" s="37" t="n"/>
      <c r="H92" s="37" t="n"/>
    </row>
    <row r="93">
      <c r="A93" s="36" t="n"/>
      <c r="B93" s="37" t="n"/>
      <c r="C93" s="37" t="n"/>
      <c r="D93" s="37" t="n"/>
      <c r="E93" s="37" t="n"/>
      <c r="F93" s="37" t="n"/>
      <c r="G93" s="37" t="n"/>
      <c r="H93" s="37" t="n"/>
    </row>
    <row r="94">
      <c r="A94" s="36" t="n"/>
      <c r="B94" s="37" t="n"/>
      <c r="C94" s="37" t="n"/>
      <c r="D94" s="37" t="n"/>
      <c r="E94" s="37" t="n"/>
      <c r="F94" s="37" t="n"/>
      <c r="G94" s="37" t="n"/>
      <c r="H94" s="37" t="n"/>
    </row>
    <row r="95">
      <c r="A95" s="36" t="n"/>
      <c r="B95" s="37" t="n"/>
      <c r="C95" s="37" t="n"/>
      <c r="D95" s="37" t="n"/>
      <c r="E95" s="37" t="n"/>
      <c r="F95" s="37" t="n"/>
      <c r="G95" s="37" t="n"/>
      <c r="H95" s="37" t="n"/>
    </row>
    <row r="96">
      <c r="A96" s="36" t="n"/>
      <c r="B96" s="37" t="n"/>
      <c r="C96" s="37" t="n"/>
      <c r="D96" s="37" t="n"/>
      <c r="E96" s="37" t="n"/>
      <c r="F96" s="37" t="n"/>
      <c r="G96" s="37" t="n"/>
      <c r="H96" s="37" t="n"/>
    </row>
    <row r="97">
      <c r="A97" s="36" t="n"/>
      <c r="B97" s="37" t="n"/>
      <c r="C97" s="37" t="n"/>
      <c r="D97" s="37" t="n"/>
      <c r="E97" s="37" t="n"/>
      <c r="F97" s="37" t="n"/>
      <c r="G97" s="37" t="n"/>
      <c r="H97" s="37" t="n"/>
    </row>
    <row r="98">
      <c r="A98" s="36" t="n"/>
      <c r="B98" s="37" t="n"/>
      <c r="C98" s="37" t="n"/>
      <c r="D98" s="37" t="n"/>
      <c r="E98" s="37" t="n"/>
      <c r="F98" s="37" t="n"/>
      <c r="G98" s="37" t="n"/>
      <c r="H98" s="37" t="n"/>
    </row>
    <row r="99">
      <c r="A99" s="36" t="n"/>
      <c r="B99" s="37" t="n"/>
      <c r="C99" s="37" t="n"/>
      <c r="D99" s="37" t="n"/>
      <c r="E99" s="37" t="n"/>
      <c r="F99" s="37" t="n"/>
      <c r="G99" s="37" t="n"/>
      <c r="H99" s="37" t="n"/>
    </row>
    <row r="100">
      <c r="A100" s="36" t="n"/>
      <c r="B100" s="37" t="n"/>
      <c r="C100" s="37" t="n"/>
      <c r="D100" s="37" t="n"/>
      <c r="E100" s="37" t="n"/>
      <c r="F100" s="37" t="n"/>
      <c r="G100" s="37" t="n"/>
      <c r="H100" s="37" t="n"/>
    </row>
    <row r="101">
      <c r="A101" s="36" t="n"/>
      <c r="B101" s="37" t="n"/>
      <c r="C101" s="37" t="n"/>
      <c r="D101" s="37" t="n"/>
      <c r="E101" s="37" t="n"/>
      <c r="F101" s="37" t="n"/>
      <c r="G101" s="37" t="n"/>
      <c r="H101" s="37" t="n"/>
    </row>
    <row r="102">
      <c r="A102" s="36" t="n"/>
      <c r="B102" s="37" t="n"/>
      <c r="C102" s="37" t="n"/>
      <c r="D102" s="37" t="n"/>
      <c r="E102" s="37" t="n"/>
      <c r="F102" s="37" t="n"/>
      <c r="G102" s="37" t="n"/>
      <c r="H102" s="37" t="n"/>
    </row>
    <row r="103">
      <c r="A103" s="36" t="n"/>
      <c r="B103" s="37" t="n"/>
      <c r="C103" s="37" t="n"/>
      <c r="D103" s="37" t="n"/>
      <c r="E103" s="37" t="n"/>
      <c r="F103" s="37" t="n"/>
      <c r="G103" s="37" t="n"/>
      <c r="H103" s="37" t="n"/>
    </row>
    <row r="104">
      <c r="A104" s="36" t="n"/>
      <c r="B104" s="37" t="n"/>
      <c r="C104" s="37" t="n"/>
      <c r="D104" s="37" t="n"/>
      <c r="E104" s="37" t="n"/>
      <c r="F104" s="37" t="n"/>
      <c r="G104" s="37" t="n"/>
      <c r="H104" s="37" t="n"/>
    </row>
    <row r="105">
      <c r="A105" s="36" t="n"/>
      <c r="B105" s="37" t="n"/>
      <c r="C105" s="37" t="n"/>
      <c r="D105" s="37" t="n"/>
      <c r="E105" s="37" t="n"/>
      <c r="F105" s="37" t="n"/>
      <c r="G105" s="37" t="n"/>
      <c r="H105" s="37"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 File,Screenshot,Report,Log File,Test Result,Policy Document,BIA Report,Diagram,Other"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4"/>
  <sheetViews>
    <sheetView showGridLines="0" workbookViewId="0">
      <selection activeCell="A1" sqref="A1"/>
    </sheetView>
  </sheetViews>
  <sheetFormatPr baseColWidth="8" defaultRowHeight="15"/>
  <cols>
    <col width="50" customWidth="1" min="1" max="1"/>
    <col width="25" customWidth="1" min="2" max="2"/>
    <col width="15" customWidth="1" min="3" max="3"/>
    <col width="15" customWidth="1" min="4" max="4"/>
    <col width="15" customWidth="1" min="5" max="5"/>
  </cols>
  <sheetData>
    <row r="1" ht="35" customHeight="1">
      <c r="A1" s="38" t="inlineStr">
        <is>
          <t>RPO/RTO COMPLIANCE — SUMMARY DASHBOARD</t>
        </is>
      </c>
    </row>
    <row r="2">
      <c r="A2" s="39" t="inlineStr">
        <is>
          <t>Assessment ID: ISMS-IMP-A.5.30.S3 | Assessment Date: [enter date]</t>
        </is>
      </c>
    </row>
    <row r="4">
      <c r="A4" s="40" t="inlineStr">
        <is>
          <t>OVERALL RPO/RTO COMPLIANCE</t>
        </is>
      </c>
    </row>
    <row r="5">
      <c r="A5" s="24" t="inlineStr">
        <is>
          <t>Total Systems Assessed:</t>
        </is>
      </c>
      <c r="B5" s="41">
        <f>COUNTA('System Inventory'!A16:A65)</f>
        <v/>
      </c>
    </row>
    <row r="6">
      <c r="A6" s="24" t="inlineStr">
        <is>
          <t>Systems with Full Compliance (RPO &amp; RTO):</t>
        </is>
      </c>
      <c r="B6" s="41">
        <f>COUNTIF('Compliance Matrix'!E16:E65,"✅*")</f>
        <v/>
      </c>
    </row>
    <row r="7">
      <c r="A7" s="24" t="inlineStr">
        <is>
          <t>Systems with Partial Compliance:</t>
        </is>
      </c>
      <c r="B7" s="41">
        <f>COUNTIF('Compliance Matrix'!E16:E65,"⚠*")</f>
        <v/>
      </c>
    </row>
    <row r="8">
      <c r="A8" s="24" t="inlineStr">
        <is>
          <t>Non-Compliant Systems:</t>
        </is>
      </c>
      <c r="B8" s="41">
        <f>COUNTIF('Compliance Matrix'!E16:E65,"❌*")</f>
        <v/>
      </c>
    </row>
    <row r="9">
      <c r="A9" s="24" t="inlineStr">
        <is>
          <t>Unknown Status (Not Tested):</t>
        </is>
      </c>
      <c r="B9" s="41">
        <f>COUNTIF('Compliance Matrix'!E16:E65,"❓*")</f>
        <v/>
      </c>
    </row>
    <row r="10">
      <c r="A10" s="24" t="inlineStr">
        <is>
          <t>Overall Compliance Rate:</t>
        </is>
      </c>
      <c r="B10" s="42">
        <f>IF(B5&gt;0,B6/B5,0)</f>
        <v/>
      </c>
    </row>
    <row r="12">
      <c r="A12" s="40" t="inlineStr">
        <is>
          <t>COMPLIANCE BY CRITICALITY TIER</t>
        </is>
      </c>
    </row>
    <row r="13">
      <c r="A13" s="24" t="inlineStr">
        <is>
          <t>Tier 1 - Critical Systems:</t>
        </is>
      </c>
      <c r="B13" s="43">
        <f>COUNTIF('System Inventory'!C16:C65,"Tier 1*")</f>
        <v/>
      </c>
    </row>
    <row r="14">
      <c r="A14" s="24" t="inlineStr">
        <is>
          <t>Tier 1 - Full Compliance:</t>
        </is>
      </c>
      <c r="B14" s="43">
        <f>SUMPRODUCT(('System Inventory'!C16:C65="Tier 1 - Critical")*('Compliance Matrix'!E16:E65="✅ Full Compliance"))</f>
        <v/>
      </c>
    </row>
    <row r="15">
      <c r="A15" s="24" t="inlineStr">
        <is>
          <t>Tier 1 - Compliance Rate:</t>
        </is>
      </c>
      <c r="B15" s="44">
        <f>IF(B13&gt;0,B14/B13,0)</f>
        <v/>
      </c>
    </row>
    <row r="17">
      <c r="A17" s="24" t="inlineStr">
        <is>
          <t>Tier 2 - Important Systems:</t>
        </is>
      </c>
      <c r="B17" s="43">
        <f>COUNTIF('System Inventory'!C16:C65,"Tier 2*")</f>
        <v/>
      </c>
    </row>
    <row r="18">
      <c r="A18" s="24" t="inlineStr">
        <is>
          <t>Tier 2 - Full Compliance:</t>
        </is>
      </c>
      <c r="B18" s="43">
        <f>SUMPRODUCT(('System Inventory'!C16:C65="Tier 2 - Important")*('Compliance Matrix'!E16:E65="✅ Full Compliance"))</f>
        <v/>
      </c>
    </row>
    <row r="19">
      <c r="A19" s="24" t="inlineStr">
        <is>
          <t>Tier 2 - Compliance Rate:</t>
        </is>
      </c>
      <c r="B19" s="44">
        <f>IF(B17&gt;0,B18/B17,0)</f>
        <v/>
      </c>
    </row>
    <row r="21">
      <c r="A21" s="40" t="inlineStr">
        <is>
          <t>GAP ANALYSIS SUMMARY</t>
        </is>
      </c>
    </row>
    <row r="22">
      <c r="A22" s="24" t="inlineStr">
        <is>
          <t>Total Gaps Identified:</t>
        </is>
      </c>
      <c r="B22" s="43">
        <f>COUNTA('Gap Analysis'!A16:A65)</f>
        <v/>
      </c>
    </row>
    <row r="23">
      <c r="A23" s="24" t="inlineStr">
        <is>
          <t>[!] Critical Priority Gaps:</t>
        </is>
      </c>
      <c r="B23" s="43">
        <f>COUNTIF('Gap Analysis'!F16:F65,"[!]*")</f>
        <v/>
      </c>
    </row>
    <row r="24">
      <c r="A24" s="24" t="inlineStr">
        <is>
          <t>[~] High Priority Gaps:</t>
        </is>
      </c>
      <c r="B24" s="43">
        <f>COUNTIF('Gap Analysis'!F16:F65,"[~]*")</f>
        <v/>
      </c>
    </row>
    <row r="25">
      <c r="A25" s="24" t="inlineStr">
        <is>
          <t>[.] Medium Priority Gaps:</t>
        </is>
      </c>
      <c r="B25" s="43">
        <f>COUNTIF('Gap Analysis'!F16:F65,"[.]*")</f>
        <v/>
      </c>
    </row>
    <row r="26">
      <c r="A26" s="24" t="inlineStr">
        <is>
          <t>[ ] Low Priority Gaps:</t>
        </is>
      </c>
      <c r="B26" s="43">
        <f>COUNTIF('Gap Analysis'!F16:F65,"[ ]*")</f>
        <v/>
      </c>
    </row>
    <row r="28">
      <c r="A28" s="24" t="inlineStr">
        <is>
          <t>Open Gaps:</t>
        </is>
      </c>
      <c r="B28" s="43">
        <f>COUNTIF('Gap Analysis'!H16:H65,"Open*")</f>
        <v/>
      </c>
    </row>
    <row r="29">
      <c r="A29" s="24" t="inlineStr">
        <is>
          <t>In Progress Gaps:</t>
        </is>
      </c>
      <c r="B29" s="43">
        <f>COUNTIF('Gap Analysis'!H16:H65,"In Progress*")</f>
        <v/>
      </c>
    </row>
    <row r="30">
      <c r="A30" s="24" t="inlineStr">
        <is>
          <t>Closed Gaps:</t>
        </is>
      </c>
      <c r="B30" s="43">
        <f>COUNTIF('Gap Analysis'!H16:H65,"✅*")</f>
        <v/>
      </c>
    </row>
    <row r="32">
      <c r="A32" s="24" t="inlineStr">
        <is>
          <t>Average Risk Score:</t>
        </is>
      </c>
      <c r="B32" s="45">
        <f>IFERROR(AVERAGE('Gap Analysis'!E16:E65),0)</f>
        <v/>
      </c>
    </row>
    <row r="34">
      <c r="A34" s="40" t="inlineStr">
        <is>
          <t>EVIDENCE &amp; APPROVAL STATUS</t>
        </is>
      </c>
    </row>
    <row r="35">
      <c r="A35" s="24" t="inlineStr">
        <is>
          <t>Evidence Items Collected:</t>
        </is>
      </c>
      <c r="B35" s="43">
        <f>COUNTA('Evidence Register'!A6:A105)</f>
        <v/>
      </c>
    </row>
    <row r="36">
      <c r="A36" s="24" t="inlineStr">
        <is>
          <t>Verified Evidence:</t>
        </is>
      </c>
      <c r="B36" s="43">
        <f>COUNTIF('Evidence Register'!H6:H105,"✅*")</f>
        <v/>
      </c>
    </row>
    <row r="37">
      <c r="A37" s="24" t="inlineStr">
        <is>
          <t>Minimum Evidence Required:</t>
        </is>
      </c>
      <c r="B37" s="46" t="inlineStr">
        <is>
          <t>5</t>
        </is>
      </c>
    </row>
    <row r="38">
      <c r="A38" s="24" t="inlineStr">
        <is>
          <t>Evidence Compliance:</t>
        </is>
      </c>
      <c r="B38" s="43">
        <f>IF(B40&gt;=B42,"✅ Sufficient","❌ Insufficient")</f>
        <v/>
      </c>
    </row>
    <row r="40">
      <c r="A40" s="24" t="inlineStr">
        <is>
          <t>Assessment Status:</t>
        </is>
      </c>
      <c r="B40" s="43">
        <f>'Approval Sign-Off'!B7</f>
        <v/>
      </c>
    </row>
    <row r="41">
      <c r="A41" s="24" t="inlineStr">
        <is>
          <t>Level 1 - Assessor Completed:</t>
        </is>
      </c>
      <c r="B41" s="43">
        <f>IF('Approval Sign-Off'!B11&lt;&gt;"","✅ Complete","Pending")</f>
        <v/>
      </c>
    </row>
    <row r="42">
      <c r="A42" s="24" t="inlineStr">
        <is>
          <t>Level 2 - ISO Review:</t>
        </is>
      </c>
      <c r="B42" s="43">
        <f>IF('Approval Sign-Off'!B18&lt;&gt;"","✅ Complete","Pending")</f>
        <v/>
      </c>
    </row>
    <row r="43">
      <c r="A43" s="24" t="inlineStr">
        <is>
          <t>Level 3 - CISO Approval:</t>
        </is>
      </c>
      <c r="B43" s="43">
        <f>IF('Approval Sign-Off'!B25&lt;&gt;"","✅ Complete","Pending")</f>
        <v/>
      </c>
    </row>
    <row r="45">
      <c r="A45" s="40" t="inlineStr">
        <is>
          <t>PRIORITY ACTIONS</t>
        </is>
      </c>
    </row>
    <row r="46">
      <c r="A46" s="47" t="inlineStr">
        <is>
          <t>1. Address all [!] Critical priority gaps immediately (target: 90 days)</t>
        </is>
      </c>
    </row>
    <row r="47">
      <c r="A47" s="47" t="inlineStr">
        <is>
          <t>2. Test all systems marked unknown (capability assessment needed)</t>
        </is>
      </c>
    </row>
    <row r="48">
      <c r="A48" s="47" t="inlineStr">
        <is>
          <t>3. Focus on Tier 1 systems first (business-critical)</t>
        </is>
      </c>
    </row>
    <row r="49">
      <c r="A49" s="47" t="inlineStr">
        <is>
          <t>4. Close RPO gaps: Increase backup frequency OR implement replication</t>
        </is>
      </c>
    </row>
    <row r="50">
      <c r="A50" s="47" t="inlineStr">
        <is>
          <t>5. Close RTO gaps: Implement redundancy OR optimise restore procedures</t>
        </is>
      </c>
    </row>
    <row r="51">
      <c r="A51" s="47" t="inlineStr">
        <is>
          <t>6. Collect minimum 5 evidence items in the Evidence Register</t>
        </is>
      </c>
    </row>
    <row r="52">
      <c r="A52" s="47" t="inlineStr">
        <is>
          <t>7. Complete all 3 approval levels (Assessor to ISO to CISO)</t>
        </is>
      </c>
    </row>
    <row r="53">
      <c r="A53" s="47" t="inlineStr">
        <is>
          <t>8. Track remediation progress in the Gap Analysis worksheet</t>
        </is>
      </c>
    </row>
    <row r="54">
      <c r="A54" s="47" t="inlineStr">
        <is>
          <t>9. Reassess quarterly to measure continuous improvement</t>
        </is>
      </c>
    </row>
  </sheetData>
  <mergeCells count="7">
    <mergeCell ref="A21:E21"/>
    <mergeCell ref="A34:E34"/>
    <mergeCell ref="A12:E12"/>
    <mergeCell ref="A4:E4"/>
    <mergeCell ref="A2:E2"/>
    <mergeCell ref="A1:E1"/>
    <mergeCell ref="A45:E4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8" t="inlineStr">
        <is>
          <t>ASSESSMENT APPROVAL AND SIGN-OFF</t>
        </is>
      </c>
      <c r="B1" s="6" t="n"/>
      <c r="C1" s="6" t="n"/>
      <c r="D1" s="6" t="n"/>
      <c r="E1" s="6" t="n"/>
    </row>
    <row r="2">
      <c r="A2" s="49" t="inlineStr">
        <is>
          <t>ISMS-IMP-A.5.30.S3 | ISO/IEC 27001:2022 - Control A.5.30 (ICT Readiness for Business Continuity)</t>
        </is>
      </c>
      <c r="B2" s="6" t="n"/>
      <c r="C2" s="6" t="n"/>
      <c r="D2" s="6" t="n"/>
      <c r="E2" s="6" t="n"/>
    </row>
    <row r="3">
      <c r="A3" s="50" t="inlineStr">
        <is>
          <t>ASSESSMENT SUMMARY</t>
        </is>
      </c>
      <c r="B3" s="6" t="n"/>
      <c r="C3" s="6" t="n"/>
      <c r="D3" s="6" t="n"/>
      <c r="E3" s="6" t="n"/>
    </row>
    <row r="4">
      <c r="A4" s="51" t="inlineStr">
        <is>
          <t>Document:</t>
        </is>
      </c>
      <c r="B4" s="6" t="inlineStr">
        <is>
          <t>ISMS-IMP-A.5.30.S3 - RPO/RTO Compliance Matrix</t>
        </is>
      </c>
      <c r="C4" s="6" t="n"/>
      <c r="D4" s="6" t="n"/>
      <c r="E4" s="6" t="n"/>
    </row>
    <row r="5">
      <c r="A5" s="51" t="inlineStr">
        <is>
          <t>Assessment Period:</t>
        </is>
      </c>
      <c r="B5" s="52" t="inlineStr"/>
      <c r="C5" s="52" t="n"/>
      <c r="D5" s="52" t="n"/>
      <c r="E5" s="52" t="n"/>
    </row>
    <row r="6">
      <c r="A6" s="51" t="inlineStr">
        <is>
          <t>Overall RPO/RTO Compliance Rate:</t>
        </is>
      </c>
      <c r="B6" s="53">
        <f>'Summary Dashboard'!B10</f>
        <v/>
      </c>
      <c r="C6" s="6" t="n"/>
      <c r="D6" s="6" t="n"/>
      <c r="E6" s="6" t="n"/>
    </row>
    <row r="7">
      <c r="A7" s="51" t="inlineStr">
        <is>
          <t>Assessment Status:</t>
        </is>
      </c>
      <c r="B7" s="52" t="inlineStr"/>
      <c r="C7" s="52" t="n"/>
      <c r="D7" s="52" t="n"/>
      <c r="E7" s="52" t="n"/>
    </row>
    <row r="8">
      <c r="A8" s="51" t="inlineStr">
        <is>
          <t>Assessed By:</t>
        </is>
      </c>
      <c r="B8" s="52" t="inlineStr"/>
      <c r="C8" s="52" t="n"/>
      <c r="D8" s="52" t="n"/>
      <c r="E8" s="52" t="n"/>
    </row>
    <row r="11">
      <c r="A11" s="50" t="inlineStr">
        <is>
          <t>COMPLETED BY (ASSESSOR)</t>
        </is>
      </c>
      <c r="B11" s="6" t="n"/>
      <c r="C11" s="6" t="n"/>
      <c r="D11" s="6" t="n"/>
      <c r="E11" s="6" t="n"/>
    </row>
    <row r="12">
      <c r="A12" s="51" t="inlineStr">
        <is>
          <t>Name:</t>
        </is>
      </c>
      <c r="B12" s="52" t="n"/>
      <c r="C12" s="52" t="n"/>
      <c r="D12" s="52" t="n"/>
      <c r="E12" s="52" t="n"/>
    </row>
    <row r="13">
      <c r="A13" s="51" t="inlineStr">
        <is>
          <t>Title:</t>
        </is>
      </c>
      <c r="B13" s="52" t="n"/>
      <c r="C13" s="52" t="n"/>
      <c r="D13" s="52" t="n"/>
      <c r="E13" s="52" t="n"/>
    </row>
    <row r="14">
      <c r="A14" s="51" t="inlineStr">
        <is>
          <t>Date:</t>
        </is>
      </c>
      <c r="B14" s="52" t="n"/>
      <c r="C14" s="52" t="n"/>
      <c r="D14" s="52" t="n"/>
      <c r="E14" s="52" t="n"/>
    </row>
    <row r="15">
      <c r="A15" s="51" t="inlineStr">
        <is>
          <t>Signature:</t>
        </is>
      </c>
      <c r="B15" s="52" t="n"/>
      <c r="C15" s="52" t="n"/>
      <c r="D15" s="52" t="n"/>
      <c r="E15" s="52" t="n"/>
    </row>
    <row r="16">
      <c r="A16" s="51" t="inlineStr">
        <is>
          <t>Comments:</t>
        </is>
      </c>
      <c r="B16" s="52" t="n"/>
      <c r="C16" s="52" t="n"/>
      <c r="D16" s="52" t="n"/>
      <c r="E16" s="52" t="n"/>
    </row>
    <row r="18">
      <c r="A18" s="50" t="inlineStr">
        <is>
          <t>REVIEWED BY (INFORMATION SECURITY OFFICER)</t>
        </is>
      </c>
      <c r="B18" s="6" t="n"/>
      <c r="C18" s="6" t="n"/>
      <c r="D18" s="6" t="n"/>
      <c r="E18" s="6" t="n"/>
    </row>
    <row r="19">
      <c r="A19" s="51" t="inlineStr">
        <is>
          <t>Name:</t>
        </is>
      </c>
      <c r="B19" s="52" t="n"/>
      <c r="C19" s="52" t="n"/>
      <c r="D19" s="52" t="n"/>
      <c r="E19" s="52" t="n"/>
    </row>
    <row r="20">
      <c r="A20" s="51" t="inlineStr">
        <is>
          <t>Title:</t>
        </is>
      </c>
      <c r="B20" s="52" t="n"/>
      <c r="C20" s="52" t="n"/>
      <c r="D20" s="52" t="n"/>
      <c r="E20" s="52" t="n"/>
    </row>
    <row r="21">
      <c r="A21" s="51" t="inlineStr">
        <is>
          <t>Date:</t>
        </is>
      </c>
      <c r="B21" s="52" t="n"/>
      <c r="C21" s="52" t="n"/>
      <c r="D21" s="52" t="n"/>
      <c r="E21" s="52" t="n"/>
    </row>
    <row r="22">
      <c r="A22" s="51" t="inlineStr">
        <is>
          <t>Signature:</t>
        </is>
      </c>
      <c r="B22" s="52" t="n"/>
      <c r="C22" s="52" t="n"/>
      <c r="D22" s="52" t="n"/>
      <c r="E22" s="52" t="n"/>
    </row>
    <row r="23">
      <c r="A23" s="51" t="inlineStr">
        <is>
          <t>Comments:</t>
        </is>
      </c>
      <c r="B23" s="52" t="n"/>
      <c r="C23" s="52" t="n"/>
      <c r="D23" s="52" t="n"/>
      <c r="E23" s="52" t="n"/>
    </row>
    <row r="25">
      <c r="A25" s="54" t="inlineStr">
        <is>
          <t>APPROVED BY (CISO)</t>
        </is>
      </c>
      <c r="B25" s="6" t="n"/>
      <c r="C25" s="6" t="n"/>
      <c r="D25" s="6" t="n"/>
      <c r="E25" s="6" t="n"/>
    </row>
    <row r="26">
      <c r="A26" s="51" t="inlineStr">
        <is>
          <t>Name:</t>
        </is>
      </c>
      <c r="B26" s="52" t="n"/>
      <c r="C26" s="52" t="n"/>
      <c r="D26" s="52" t="n"/>
      <c r="E26" s="52" t="n"/>
    </row>
    <row r="27">
      <c r="A27" s="51" t="inlineStr">
        <is>
          <t>Title:</t>
        </is>
      </c>
      <c r="B27" s="52" t="n"/>
      <c r="C27" s="52" t="n"/>
      <c r="D27" s="52" t="n"/>
      <c r="E27" s="52" t="n"/>
    </row>
    <row r="28">
      <c r="A28" s="51" t="inlineStr">
        <is>
          <t>Date:</t>
        </is>
      </c>
      <c r="B28" s="52" t="n"/>
      <c r="C28" s="52" t="n"/>
      <c r="D28" s="52" t="n"/>
      <c r="E28" s="52" t="n"/>
    </row>
    <row r="29">
      <c r="A29" s="51" t="inlineStr">
        <is>
          <t>Signature:</t>
        </is>
      </c>
      <c r="B29" s="52" t="n"/>
      <c r="C29" s="52" t="n"/>
      <c r="D29" s="52" t="n"/>
      <c r="E29" s="52" t="n"/>
    </row>
    <row r="30">
      <c r="A30" s="51" t="inlineStr">
        <is>
          <t>Comments:</t>
        </is>
      </c>
      <c r="B30" s="52" t="n"/>
      <c r="C30" s="52" t="n"/>
      <c r="D30" s="52" t="n"/>
      <c r="E30" s="52" t="n"/>
    </row>
    <row r="32">
      <c r="A32" s="55" t="inlineStr">
        <is>
          <t>FINAL DECISION:</t>
        </is>
      </c>
      <c r="B32" s="52" t="n"/>
      <c r="C32" s="52" t="n"/>
      <c r="D32" s="52" t="n"/>
      <c r="E32" s="52" t="n"/>
    </row>
    <row r="35">
      <c r="A35" s="50" t="inlineStr">
        <is>
          <t>NEXT REVIEW DETAILS</t>
        </is>
      </c>
      <c r="B35" s="6" t="n"/>
      <c r="C35" s="6" t="n"/>
      <c r="D35" s="6" t="n"/>
      <c r="E35" s="6" t="n"/>
    </row>
    <row r="36">
      <c r="A36" s="51" t="inlineStr">
        <is>
          <t>Next Review Date:</t>
        </is>
      </c>
      <c r="B36" s="52" t="n"/>
      <c r="C36" s="52" t="n"/>
      <c r="D36" s="52" t="n"/>
      <c r="E36" s="52" t="n"/>
    </row>
    <row r="37">
      <c r="A37" s="51" t="inlineStr">
        <is>
          <t>Review Responsible:</t>
        </is>
      </c>
      <c r="B37" s="52" t="n"/>
      <c r="C37" s="52" t="n"/>
      <c r="D37" s="52" t="n"/>
      <c r="E37" s="52" t="n"/>
    </row>
    <row r="38">
      <c r="A38" s="51" t="inlineStr">
        <is>
          <t>Special Considerations:</t>
        </is>
      </c>
      <c r="B38" s="52" t="n"/>
      <c r="C38" s="52" t="n"/>
      <c r="D38" s="52" t="n"/>
      <c r="E38" s="52"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ISMS-IMP-A.5.30.S3 — RPO RTO Compliance</dc:title>
  <dc:description xmlns:dc="http://purl.org/dc/elements/1.1/">ISMS Implementation Workbook — ISMS-IMP-A.5.30.S3</dc:description>
  <dc:subject xmlns:dc="http://purl.org/dc/elements/1.1/">ISO/IEC 27001:2022 — Control A.5.30: Information Backup</dc:subject>
  <dcterms:created xmlns:dcterms="http://purl.org/dc/terms/" xmlns:xsi="http://www.w3.org/2001/XMLSchema-instance" xsi:type="dcterms:W3CDTF">2026-03-01T09:41:58Z</dcterms:created>
  <dcterms:modified xmlns:dcterms="http://purl.org/dc/terms/" xmlns:xsi="http://www.w3.org/2001/XMLSchema-instance" xsi:type="dcterms:W3CDTF">2026-03-01T09:41:58Z</dcterms:modified>
</cp:coreProperties>
</file>