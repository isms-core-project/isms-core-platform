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dundancy Inventory" sheetId="2" state="visible" r:id="rId2"/>
    <sheet xmlns:r="http://schemas.openxmlformats.org/officeDocument/2006/relationships" name="SPOF Register" sheetId="3" state="visible" r:id="rId3"/>
    <sheet xmlns:r="http://schemas.openxmlformats.org/officeDocument/2006/relationships" name="RTO Compliance"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sz val="10"/>
    </font>
    <font>
      <name val="Calibri"/>
      <b val="1"/>
      <color rgb="00FFFFFF"/>
      <sz val="10"/>
    </font>
    <font>
      <name val="Calibri"/>
      <sz val="10"/>
    </font>
    <font>
      <name val="Calibri"/>
      <b val="1"/>
      <color rgb="00FFFFFF"/>
      <sz val="16"/>
    </font>
    <font>
      <i val="1"/>
      <sz val="10"/>
    </font>
    <font>
      <b val="1"/>
      <sz val="12"/>
    </font>
    <font>
      <name val="Calibri"/>
      <i val="1"/>
      <color rgb="00003366"/>
      <sz val="10"/>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1" applyAlignment="1" pivotButton="0" quotePrefix="0" xfId="0">
      <alignment horizontal="center" vertical="center" wrapText="1"/>
    </xf>
    <xf numFmtId="0" fontId="0" fillId="11" borderId="1" pivotButton="0" quotePrefix="0" xfId="0"/>
    <xf numFmtId="0" fontId="0" fillId="12" borderId="1" pivotButton="0" quotePrefix="0" xfId="0"/>
    <xf numFmtId="0" fontId="4" fillId="0" borderId="0" pivotButton="0" quotePrefix="0" xfId="0"/>
    <xf numFmtId="164" fontId="4" fillId="0" borderId="0"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9" fillId="8" borderId="0" applyAlignment="1" pivotButton="0" quotePrefix="0" xfId="0">
      <alignment horizontal="center" vertical="center"/>
    </xf>
    <xf numFmtId="0" fontId="10" fillId="0" borderId="0" applyAlignment="1" pivotButton="0" quotePrefix="0" xfId="0">
      <alignment horizontal="center"/>
    </xf>
    <xf numFmtId="0" fontId="5" fillId="9" borderId="0" applyAlignment="1" pivotButton="0" quotePrefix="0" xfId="0">
      <alignment horizontal="left"/>
    </xf>
    <xf numFmtId="0" fontId="11" fillId="0" borderId="0" pivotButton="0" quotePrefix="0" xfId="0"/>
    <xf numFmtId="164" fontId="11" fillId="0" borderId="0"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5" fillId="9" borderId="1" applyAlignment="1" pivotButton="0" quotePrefix="0" xfId="0">
      <alignment horizontal="left" vertical="center"/>
    </xf>
    <xf numFmtId="0" fontId="4" fillId="0" borderId="1" pivotButton="0" quotePrefix="0" xfId="0"/>
    <xf numFmtId="164" fontId="0" fillId="0" borderId="1" pivotButton="0" quotePrefix="0" xfId="0"/>
    <xf numFmtId="0" fontId="5" fillId="8"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ISMS-IMP-A.5.30.S2  -  Redundancy Analysis
ISO/IEC 27001:2022 - Control A.5.30: Information Backup</t>
        </is>
      </c>
    </row>
    <row r="3">
      <c r="A3" s="2" t="inlineStr">
        <is>
          <t>Document Information</t>
        </is>
      </c>
    </row>
    <row r="4">
      <c r="A4" s="3" t="inlineStr">
        <is>
          <t>Document ID</t>
        </is>
      </c>
      <c r="B4" t="inlineStr">
        <is>
          <t>ISMS-IMP-A.5.30.S2</t>
        </is>
      </c>
    </row>
    <row r="5">
      <c r="A5" s="3" t="inlineStr">
        <is>
          <t>Workbook Title</t>
        </is>
      </c>
      <c r="B5" t="inlineStr">
        <is>
          <t>Redundancy Analysis</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Populate the Redundancy Inventory worksheet (document redundancy status for all systems).</t>
        </is>
      </c>
    </row>
    <row r="14">
      <c r="A14" t="inlineStr">
        <is>
          <t>2. Complete the SPOF Register worksheet (identify and track Single Points of Failure).</t>
        </is>
      </c>
    </row>
    <row r="15">
      <c r="A15" t="inlineStr">
        <is>
          <t>3. Assess the RTO Compliance worksheet (compare failover capability vs BIA requirements).</t>
        </is>
      </c>
    </row>
    <row r="16">
      <c r="A16" t="inlineStr">
        <is>
          <t>4. Document evidence in the Evidence Register (minimum 5 items required for audit).</t>
        </is>
      </c>
    </row>
    <row r="17">
      <c r="A17" t="inlineStr">
        <is>
          <t>5. Review the Summary Dashboard for compliance status overview.</t>
        </is>
      </c>
    </row>
    <row r="18">
      <c r="A18" t="inlineStr">
        <is>
          <t>6. Complete the Approval Sign-Off worksheet to obtain formal sign-off.</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row r="27">
      <c r="A27" s="2" t="inlineStr">
        <is>
          <t>Acceptable Evidence (examples)</t>
        </is>
      </c>
    </row>
    <row r="28">
      <c r="A28" t="inlineStr">
        <is>
          <t>✓ Redundancy architecture diagrams (Active-Active, Active-Passive, N+1)</t>
        </is>
      </c>
    </row>
    <row r="29">
      <c r="A29" t="inlineStr">
        <is>
          <t>✓ Failover test records with date, system, and RTO achieved</t>
        </is>
      </c>
    </row>
    <row r="30">
      <c r="A30" t="inlineStr">
        <is>
          <t>✓ System monitoring screenshots showing HA/DR status</t>
        </is>
      </c>
    </row>
    <row r="31">
      <c r="A31" t="inlineStr">
        <is>
          <t>✓ Cloud provider multi-region/availability zone configuration</t>
        </is>
      </c>
    </row>
    <row r="32">
      <c r="A32" t="inlineStr">
        <is>
          <t>✓ SPOF remediation tickets and closure evidence</t>
        </is>
      </c>
    </row>
    <row r="33">
      <c r="A33" t="inlineStr">
        <is>
          <t>✓ RTO/RTOs defined in Business Impact Analysis (BIA)</t>
        </is>
      </c>
    </row>
    <row r="34">
      <c r="A34" t="inlineStr">
        <is>
          <t>✓ Vendor SLA documents for critical systems</t>
        </is>
      </c>
    </row>
    <row r="35">
      <c r="A35" t="inlineStr">
        <is>
          <t>✓ Disaster Recovery runbooks and test results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22" customWidth="1" min="3" max="3"/>
    <col width="18" customWidth="1" min="4" max="4"/>
    <col width="25" customWidth="1" min="5" max="5"/>
    <col width="18" customWidth="1" min="6" max="6"/>
    <col width="20" customWidth="1" min="7" max="7"/>
    <col width="18" customWidth="1" min="8" max="8"/>
    <col width="15" customWidth="1" min="9" max="9"/>
    <col width="40" customWidth="1" min="10" max="10"/>
  </cols>
  <sheetData>
    <row r="1" ht="35" customHeight="1">
      <c r="A1" s="11" t="inlineStr">
        <is>
          <t>REDUNDANCY INVENTORY &amp; STATUS</t>
        </is>
      </c>
    </row>
    <row r="2">
      <c r="A2" s="12" t="inlineStr">
        <is>
          <t>Document redundancy status for all systems requiring RTO &lt; 4 hours</t>
        </is>
      </c>
    </row>
    <row r="4">
      <c r="A4" s="13" t="inlineStr">
        <is>
          <t>System Name</t>
        </is>
      </c>
      <c r="B4" s="13" t="inlineStr">
        <is>
          <t>Criticality Tier</t>
        </is>
      </c>
      <c r="C4" s="13" t="inlineStr">
        <is>
          <t>RTO Requirement (hours)</t>
        </is>
      </c>
      <c r="D4" s="13" t="inlineStr">
        <is>
          <t>Redundancy Status</t>
        </is>
      </c>
      <c r="E4" s="13" t="inlineStr">
        <is>
          <t>Architecture Type</t>
        </is>
      </c>
      <c r="F4" s="13" t="inlineStr">
        <is>
          <t>Failover Type</t>
        </is>
      </c>
      <c r="G4" s="13" t="inlineStr">
        <is>
          <t>Geographic Redundancy</t>
        </is>
      </c>
      <c r="H4" s="13" t="inlineStr">
        <is>
          <t>Last Failover Test</t>
        </is>
      </c>
      <c r="I4" s="13" t="inlineStr">
        <is>
          <t>Test Result</t>
        </is>
      </c>
      <c r="J4" s="13" t="inlineStr">
        <is>
          <t>Notes</t>
        </is>
      </c>
    </row>
    <row r="5">
      <c r="A5" s="14" t="inlineStr">
        <is>
          <t>Mail Server (Example)</t>
        </is>
      </c>
      <c r="B5" s="14" t="inlineStr">
        <is>
          <t>Tier 2 - Important</t>
        </is>
      </c>
      <c r="C5" s="14" t="n">
        <v>4</v>
      </c>
      <c r="D5" s="14" t="inlineStr">
        <is>
          <t>⚠ Partial</t>
        </is>
      </c>
      <c r="E5" s="14" t="inlineStr">
        <is>
          <t>Active-Passive</t>
        </is>
      </c>
      <c r="F5" s="14" t="inlineStr">
        <is>
          <t>Manual</t>
        </is>
      </c>
      <c r="G5" s="14" t="inlineStr">
        <is>
          <t>❌ No</t>
        </is>
      </c>
      <c r="H5" s="14" t="inlineStr"/>
      <c r="I5" s="14" t="inlineStr">
        <is>
          <t>➖ Not Tested</t>
        </is>
      </c>
      <c r="J5" s="14" t="inlineStr">
        <is>
          <t>Sample — replace with actual system data</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8">
      <c r="A58" s="12" t="inlineStr">
        <is>
          <t>REDUNDANCY COVERAGE METRICS</t>
        </is>
      </c>
    </row>
    <row r="59">
      <c r="A59" s="16" t="inlineStr">
        <is>
          <t>Total Systems:</t>
        </is>
      </c>
      <c r="B59" s="16">
        <f>COUNTA(A6:A55)</f>
        <v/>
      </c>
    </row>
    <row r="60">
      <c r="A60" s="16" t="inlineStr">
        <is>
          <t>Systems with Redundancy:</t>
        </is>
      </c>
      <c r="B60" s="16">
        <f>COUNTIF(D6:D55,"{CHECK}*")</f>
        <v/>
      </c>
    </row>
    <row r="61">
      <c r="A61" s="16" t="inlineStr">
        <is>
          <t>Redundancy Coverage %:</t>
        </is>
      </c>
      <c r="B61" s="17">
        <f>IF(B59&gt;0,B60/B59,0)</f>
        <v/>
      </c>
    </row>
    <row r="62">
      <c r="A62" s="16" t="inlineStr">
        <is>
          <t>Critical Systems (RTO &lt; 4h):</t>
        </is>
      </c>
      <c r="B62" s="16">
        <f>COUNTIFS(B6:B55,"Tier 1*",C6:C55,"&lt;4")</f>
        <v/>
      </c>
    </row>
    <row r="63">
      <c r="A63" s="16" t="inlineStr">
        <is>
          <t>Critical with Redundancy:</t>
        </is>
      </c>
      <c r="B63" s="16">
        <f>COUNTIFS(B6:B55,"Tier 1*",D6:D55,"{CHECK}*")</f>
        <v/>
      </c>
    </row>
    <row r="64">
      <c r="A64" s="16" t="inlineStr">
        <is>
          <t>Critical Coverage %:</t>
        </is>
      </c>
      <c r="B64" s="17">
        <f>IF(B62&gt;0,B63/B62,1)</f>
        <v/>
      </c>
    </row>
  </sheetData>
  <mergeCells count="3">
    <mergeCell ref="A58:J58"/>
    <mergeCell ref="A1:J1"/>
    <mergeCell ref="A2:J2"/>
  </mergeCells>
  <dataValidations count="6">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0" type="list">
      <formula1>"Tier 1 - Critical,Tier 2 - Important,Tier 3 - Standard,Tier 4 - Low"</formula1>
    </dataValidation>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 Implemented,⚠️ Partial,❌ None,⏳ In Progress"</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"Active-Active,Active-Passive,N+1 Cluster,N+2 Cluster,Warm Standby,Cold Standby,None"</formula1>
    </dataValidation>
    <dataValidation sqref="F5 F6 F7 F8 F9 F10 F11 F12 F13 F14 F15 F16 F17 F18 F19 F20 F21 F22 F23 F24 F25 F26 F27 F28 F29 F30 F31 F32 F33 F34 F35 F36 F37 F38 F39 F40 F41 F42 F43 F44 F45 F46 F47 F48 F49 F50 F51 F52 F53 F54 F55" showDropDown="0" showInputMessage="0" showErrorMessage="0" allowBlank="0" type="list">
      <formula1>"Automatic,Manual,None,➖ N/A"</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0" type="list">
      <formula1>"✅ Yes,❌ No,➖ N/A"</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0" type="list">
      <formula1>"✅ Success,⚠️ Partial,❌ Failure,➖ 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30" customWidth="1" min="3" max="3"/>
    <col width="18" customWidth="1" min="4" max="4"/>
    <col width="15" customWidth="1" min="5" max="5"/>
    <col width="18" customWidth="1" min="6" max="6"/>
    <col width="35" customWidth="1" min="7" max="7"/>
    <col width="20" customWidth="1" min="8" max="8"/>
    <col width="15" customWidth="1" min="9" max="9"/>
  </cols>
  <sheetData>
    <row r="1" ht="35" customHeight="1">
      <c r="A1" s="11" t="inlineStr">
        <is>
          <t>SINGLE POINT OF FAILURE (SPOF) REGISTER</t>
        </is>
      </c>
    </row>
    <row r="2">
      <c r="A2" s="12" t="inlineStr">
        <is>
          <t>Track identified SPOFs and mitigation progress</t>
        </is>
      </c>
    </row>
    <row r="4">
      <c r="A4" s="13" t="inlineStr">
        <is>
          <t>SPOF ID</t>
        </is>
      </c>
      <c r="B4" s="13" t="inlineStr">
        <is>
          <t>System Affected</t>
        </is>
      </c>
      <c r="C4" s="13" t="inlineStr">
        <is>
          <t>SPOF Component</t>
        </is>
      </c>
      <c r="D4" s="13" t="inlineStr">
        <is>
          <t>SPOF Type</t>
        </is>
      </c>
      <c r="E4" s="13" t="inlineStr">
        <is>
          <t>Risk Level</t>
        </is>
      </c>
      <c r="F4" s="13" t="inlineStr">
        <is>
          <t>Mitigation Status</t>
        </is>
      </c>
      <c r="G4" s="13" t="inlineStr">
        <is>
          <t>Mitigation Plan</t>
        </is>
      </c>
      <c r="H4" s="13" t="inlineStr">
        <is>
          <t>Owner</t>
        </is>
      </c>
      <c r="I4" s="13" t="inlineStr">
        <is>
          <t>Target Date</t>
        </is>
      </c>
    </row>
    <row r="5">
      <c r="A5" s="14" t="inlineStr">
        <is>
          <t>SPOF-008</t>
        </is>
      </c>
      <c r="B5" s="14" t="inlineStr">
        <is>
          <t>Database Server (Example)</t>
        </is>
      </c>
      <c r="C5" s="14" t="inlineStr">
        <is>
          <t>Single storage array</t>
        </is>
      </c>
      <c r="D5" s="14" t="inlineStr">
        <is>
          <t>Storage</t>
        </is>
      </c>
      <c r="E5" s="14" t="inlineStr">
        <is>
          <t>[~] High</t>
        </is>
      </c>
      <c r="F5" s="14" t="inlineStr">
        <is>
          <t>⏳ In Progress</t>
        </is>
      </c>
      <c r="G5" s="14" t="inlineStr">
        <is>
          <t>Add redundant storage and configure RAID</t>
        </is>
      </c>
      <c r="H5" s="14" t="inlineStr">
        <is>
          <t>Storage Admin</t>
        </is>
      </c>
      <c r="I5" s="14" t="inlineStr"/>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row r="55">
      <c r="A55" s="15" t="n"/>
      <c r="B55" s="15" t="n"/>
      <c r="C55" s="15" t="n"/>
      <c r="D55" s="15" t="n"/>
      <c r="E55" s="15" t="n"/>
      <c r="F55" s="15" t="n"/>
      <c r="G55" s="15" t="n"/>
      <c r="H55" s="15" t="n"/>
      <c r="I55" s="15" t="n"/>
    </row>
    <row r="58">
      <c r="A58" s="12" t="inlineStr">
        <is>
          <t>SPOF SUMMARY</t>
        </is>
      </c>
    </row>
    <row r="59">
      <c r="A59" s="16" t="inlineStr">
        <is>
          <t>Total SPOFs Identified:</t>
        </is>
      </c>
      <c r="B59" s="16">
        <f>COUNTA(B6:B55)</f>
        <v/>
      </c>
    </row>
    <row r="60">
      <c r="A60" s="16" t="inlineStr">
        <is>
          <t>SPOFs Mitigated:</t>
        </is>
      </c>
      <c r="B60" s="16">
        <f>COUNTIF(F6:F55,"{CHECK}*")</f>
        <v/>
      </c>
    </row>
    <row r="61">
      <c r="A61" s="16" t="inlineStr">
        <is>
          <t>SPOFs In Progress:</t>
        </is>
      </c>
      <c r="B61" s="16">
        <f>COUNTIF(F6:F55,"⏳*")</f>
        <v/>
      </c>
    </row>
    <row r="62">
      <c r="A62" s="16" t="inlineStr">
        <is>
          <t>Open SPOFs:</t>
        </is>
      </c>
      <c r="B62" s="16">
        <f>COUNTIF(F6:F55,"{XMARK}*")</f>
        <v/>
      </c>
    </row>
    <row r="63">
      <c r="A63" s="16" t="inlineStr">
        <is>
          <t>Critical Open SPOFs:</t>
        </is>
      </c>
      <c r="B63" s="16">
        <f>COUNTIFS(E6:E55,"[!]*",F6:F55,"{XMARK}*")</f>
        <v/>
      </c>
    </row>
    <row r="64">
      <c r="A64" s="16" t="inlineStr">
        <is>
          <t>Mitigation Rate:</t>
        </is>
      </c>
      <c r="B64" s="17">
        <f>IF(B59&gt;0,B60/B59,0)</f>
        <v/>
      </c>
    </row>
  </sheetData>
  <mergeCells count="3">
    <mergeCell ref="A1:I1"/>
    <mergeCell ref="A2:I2"/>
    <mergeCell ref="A58:I58"/>
  </mergeCells>
  <dataValidations count="3">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"Hardware,Network,Power,Software,Database,Storage,Cloud Provider,DNS,Load Balancer,Other"</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 Critical,[-] Medium,[.] Low"</formula1>
    </dataValidation>
    <dataValidation sqref="F5 F6 F7 F8 F9 F10 F11 F12 F13 F14 F15 F16 F17 F18 F19 F20 F21 F22 F23 F24 F25 F26 F27 F28 F29 F30 F31 F32 F33 F34 F35 F36 F37 F38 F39 F40 F41 F42 F43 F44 F45 F46 F47 F48 F49 F50 F51 F52 F53 F54 F55" showDropDown="0" showInputMessage="0" showErrorMessage="0" allowBlank="0" type="list">
      <formula1>"✅ Mitigated,⏳ In Progress,❌ Open"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22" customWidth="1" min="3" max="3"/>
    <col width="26" customWidth="1" min="4" max="4"/>
    <col width="18" customWidth="1" min="5" max="5"/>
    <col width="15" customWidth="1" min="6" max="6"/>
    <col width="35" customWidth="1" min="7" max="7"/>
  </cols>
  <sheetData>
    <row r="1" ht="35" customHeight="1">
      <c r="A1" s="11" t="inlineStr">
        <is>
          <t>RTO COMPLIANCE ASSESSMENT</t>
        </is>
      </c>
    </row>
    <row r="2">
      <c r="A2" s="12" t="inlineStr">
        <is>
          <t>Compare RTO requirements vs actual tested failover time</t>
        </is>
      </c>
    </row>
    <row r="4">
      <c r="A4" s="13" t="inlineStr">
        <is>
          <t>System Name</t>
        </is>
      </c>
      <c r="B4" s="13" t="inlineStr">
        <is>
          <t>Criticality Tier</t>
        </is>
      </c>
      <c r="C4" s="13" t="inlineStr">
        <is>
          <t>RTO Requirement (hours)</t>
        </is>
      </c>
      <c r="D4" s="13" t="inlineStr">
        <is>
          <t>Actual Failover Time (hours)</t>
        </is>
      </c>
      <c r="E4" s="13" t="inlineStr">
        <is>
          <t>RTO Compliant</t>
        </is>
      </c>
      <c r="F4" s="13" t="inlineStr">
        <is>
          <t>Gap (hours)</t>
        </is>
      </c>
      <c r="G4" s="13" t="inlineStr">
        <is>
          <t>Notes</t>
        </is>
      </c>
    </row>
    <row r="5">
      <c r="E5">
        <f>IF(AND(ISNUMBER(C5),ISNUMBER(D5)),IF(D5&lt;=C5,"✅ Compliant","❌ Non-Compliant"),"❓ Unknown")</f>
        <v/>
      </c>
      <c r="F5">
        <f>IF(AND(ISNUMBER(C5),ISNUMBER(D5)),MAX(0,D5-C5),"")</f>
        <v/>
      </c>
    </row>
    <row r="6">
      <c r="E6">
        <f>IF(AND(ISNUMBER(C6),ISNUMBER(D6)),IF(D6&lt;=C6,"✅ Compliant","❌ Non-Compliant"),"❓ Unknown")</f>
        <v/>
      </c>
      <c r="F6">
        <f>IF(AND(ISNUMBER(C6),ISNUMBER(D6)),MAX(0,D6-C6),"")</f>
        <v/>
      </c>
    </row>
    <row r="7">
      <c r="E7">
        <f>IF(AND(ISNUMBER(C7),ISNUMBER(D7)),IF(D7&lt;=C7,"✅ Compliant","❌ Non-Compliant"),"❓ Unknown")</f>
        <v/>
      </c>
      <c r="F7">
        <f>IF(AND(ISNUMBER(C7),ISNUMBER(D7)),MAX(0,D7-C7),"")</f>
        <v/>
      </c>
    </row>
    <row r="8">
      <c r="E8">
        <f>IF(AND(ISNUMBER(C8),ISNUMBER(D8)),IF(D8&lt;=C8,"✅ Compliant","❌ Non-Compliant"),"❓ Unknown")</f>
        <v/>
      </c>
      <c r="F8">
        <f>IF(AND(ISNUMBER(C8),ISNUMBER(D8)),MAX(0,D8-C8),"")</f>
        <v/>
      </c>
    </row>
    <row r="9">
      <c r="E9">
        <f>IF(AND(ISNUMBER(C9),ISNUMBER(D9)),IF(D9&lt;=C9,"✅ Compliant","❌ Non-Compliant"),"❓ Unknown")</f>
        <v/>
      </c>
      <c r="F9">
        <f>IF(AND(ISNUMBER(C9),ISNUMBER(D9)),MAX(0,D9-C9),"")</f>
        <v/>
      </c>
    </row>
    <row r="10">
      <c r="E10">
        <f>IF(AND(ISNUMBER(C10),ISNUMBER(D10)),IF(D10&lt;=C10,"✅ Compliant","❌ Non-Compliant"),"❓ Unknown")</f>
        <v/>
      </c>
      <c r="F10">
        <f>IF(AND(ISNUMBER(C10),ISNUMBER(D10)),MAX(0,D10-C10),"")</f>
        <v/>
      </c>
    </row>
    <row r="11">
      <c r="E11">
        <f>IF(AND(ISNUMBER(C11),ISNUMBER(D11)),IF(D11&lt;=C11,"✅ Compliant","❌ Non-Compliant"),"❓ Unknown")</f>
        <v/>
      </c>
      <c r="F11">
        <f>IF(AND(ISNUMBER(C11),ISNUMBER(D11)),MAX(0,D11-C11),"")</f>
        <v/>
      </c>
    </row>
    <row r="12">
      <c r="E12">
        <f>IF(AND(ISNUMBER(C12),ISNUMBER(D12)),IF(D12&lt;=C12,"✅ Compliant","❌ Non-Compliant"),"❓ Unknown")</f>
        <v/>
      </c>
      <c r="F12">
        <f>IF(AND(ISNUMBER(C12),ISNUMBER(D12)),MAX(0,D12-C12),"")</f>
        <v/>
      </c>
    </row>
    <row r="13">
      <c r="E13">
        <f>IF(AND(ISNUMBER(C13),ISNUMBER(D13)),IF(D13&lt;=C13,"✅ Compliant","❌ Non-Compliant"),"❓ Unknown")</f>
        <v/>
      </c>
      <c r="F13">
        <f>IF(AND(ISNUMBER(C13),ISNUMBER(D13)),MAX(0,D13-C13),"")</f>
        <v/>
      </c>
    </row>
    <row r="14">
      <c r="E14">
        <f>IF(AND(ISNUMBER(C14),ISNUMBER(D14)),IF(D14&lt;=C14,"✅ Compliant","❌ Non-Compliant"),"❓ Unknown")</f>
        <v/>
      </c>
      <c r="F14">
        <f>IF(AND(ISNUMBER(C14),ISNUMBER(D14)),MAX(0,D14-C14),"")</f>
        <v/>
      </c>
    </row>
    <row r="15">
      <c r="E15">
        <f>IF(AND(ISNUMBER(C15),ISNUMBER(D15)),IF(D15&lt;=C15,"✅ Compliant","❌ Non-Compliant"),"❓ Unknown")</f>
        <v/>
      </c>
      <c r="F15">
        <f>IF(AND(ISNUMBER(C15),ISNUMBER(D15)),MAX(0,D15-C15),"")</f>
        <v/>
      </c>
    </row>
    <row r="16">
      <c r="E16">
        <f>IF(AND(ISNUMBER(C16),ISNUMBER(D16)),IF(D16&lt;=C16,"✅ Compliant","❌ Non-Compliant"),"❓ Unknown")</f>
        <v/>
      </c>
      <c r="F16">
        <f>IF(AND(ISNUMBER(C16),ISNUMBER(D16)),MAX(0,D16-C16),"")</f>
        <v/>
      </c>
    </row>
    <row r="17">
      <c r="E17">
        <f>IF(AND(ISNUMBER(C17),ISNUMBER(D17)),IF(D17&lt;=C17,"✅ Compliant","❌ Non-Compliant"),"❓ Unknown")</f>
        <v/>
      </c>
      <c r="F17">
        <f>IF(AND(ISNUMBER(C17),ISNUMBER(D17)),MAX(0,D17-C17),"")</f>
        <v/>
      </c>
    </row>
    <row r="18">
      <c r="E18">
        <f>IF(AND(ISNUMBER(C18),ISNUMBER(D18)),IF(D18&lt;=C18,"✅ Compliant","❌ Non-Compliant"),"❓ Unknown")</f>
        <v/>
      </c>
      <c r="F18">
        <f>IF(AND(ISNUMBER(C18),ISNUMBER(D18)),MAX(0,D18-C18),"")</f>
        <v/>
      </c>
    </row>
    <row r="19">
      <c r="E19">
        <f>IF(AND(ISNUMBER(C19),ISNUMBER(D19)),IF(D19&lt;=C19,"✅ Compliant","❌ Non-Compliant"),"❓ Unknown")</f>
        <v/>
      </c>
      <c r="F19">
        <f>IF(AND(ISNUMBER(C19),ISNUMBER(D19)),MAX(0,D19-C19),"")</f>
        <v/>
      </c>
    </row>
    <row r="20">
      <c r="E20">
        <f>IF(AND(ISNUMBER(C20),ISNUMBER(D20)),IF(D20&lt;=C20,"✅ Compliant","❌ Non-Compliant"),"❓ Unknown")</f>
        <v/>
      </c>
      <c r="F20">
        <f>IF(AND(ISNUMBER(C20),ISNUMBER(D20)),MAX(0,D20-C20),"")</f>
        <v/>
      </c>
    </row>
    <row r="21">
      <c r="E21">
        <f>IF(AND(ISNUMBER(C21),ISNUMBER(D21)),IF(D21&lt;=C21,"✅ Compliant","❌ Non-Compliant"),"❓ Unknown")</f>
        <v/>
      </c>
      <c r="F21">
        <f>IF(AND(ISNUMBER(C21),ISNUMBER(D21)),MAX(0,D21-C21),"")</f>
        <v/>
      </c>
    </row>
    <row r="22">
      <c r="E22">
        <f>IF(AND(ISNUMBER(C22),ISNUMBER(D22)),IF(D22&lt;=C22,"✅ Compliant","❌ Non-Compliant"),"❓ Unknown")</f>
        <v/>
      </c>
      <c r="F22">
        <f>IF(AND(ISNUMBER(C22),ISNUMBER(D22)),MAX(0,D22-C22),"")</f>
        <v/>
      </c>
    </row>
    <row r="23">
      <c r="E23">
        <f>IF(AND(ISNUMBER(C23),ISNUMBER(D23)),IF(D23&lt;=C23,"✅ Compliant","❌ Non-Compliant"),"❓ Unknown")</f>
        <v/>
      </c>
      <c r="F23">
        <f>IF(AND(ISNUMBER(C23),ISNUMBER(D23)),MAX(0,D23-C23),"")</f>
        <v/>
      </c>
    </row>
    <row r="24">
      <c r="E24">
        <f>IF(AND(ISNUMBER(C24),ISNUMBER(D24)),IF(D24&lt;=C24,"✅ Compliant","❌ Non-Compliant"),"❓ Unknown")</f>
        <v/>
      </c>
      <c r="F24">
        <f>IF(AND(ISNUMBER(C24),ISNUMBER(D24)),MAX(0,D24-C24),"")</f>
        <v/>
      </c>
    </row>
    <row r="25">
      <c r="E25">
        <f>IF(AND(ISNUMBER(C25),ISNUMBER(D25)),IF(D25&lt;=C25,"✅ Compliant","❌ Non-Compliant"),"❓ Unknown")</f>
        <v/>
      </c>
      <c r="F25">
        <f>IF(AND(ISNUMBER(C25),ISNUMBER(D25)),MAX(0,D25-C25),"")</f>
        <v/>
      </c>
    </row>
    <row r="26">
      <c r="E26">
        <f>IF(AND(ISNUMBER(C26),ISNUMBER(D26)),IF(D26&lt;=C26,"✅ Compliant","❌ Non-Compliant"),"❓ Unknown")</f>
        <v/>
      </c>
      <c r="F26">
        <f>IF(AND(ISNUMBER(C26),ISNUMBER(D26)),MAX(0,D26-C26),"")</f>
        <v/>
      </c>
    </row>
    <row r="27">
      <c r="E27">
        <f>IF(AND(ISNUMBER(C27),ISNUMBER(D27)),IF(D27&lt;=C27,"✅ Compliant","❌ Non-Compliant"),"❓ Unknown")</f>
        <v/>
      </c>
      <c r="F27">
        <f>IF(AND(ISNUMBER(C27),ISNUMBER(D27)),MAX(0,D27-C27),"")</f>
        <v/>
      </c>
    </row>
    <row r="28">
      <c r="E28">
        <f>IF(AND(ISNUMBER(C28),ISNUMBER(D28)),IF(D28&lt;=C28,"✅ Compliant","❌ Non-Compliant"),"❓ Unknown")</f>
        <v/>
      </c>
      <c r="F28">
        <f>IF(AND(ISNUMBER(C28),ISNUMBER(D28)),MAX(0,D28-C28),"")</f>
        <v/>
      </c>
    </row>
    <row r="29">
      <c r="E29">
        <f>IF(AND(ISNUMBER(C29),ISNUMBER(D29)),IF(D29&lt;=C29,"✅ Compliant","❌ Non-Compliant"),"❓ Unknown")</f>
        <v/>
      </c>
      <c r="F29">
        <f>IF(AND(ISNUMBER(C29),ISNUMBER(D29)),MAX(0,D29-C29),"")</f>
        <v/>
      </c>
    </row>
    <row r="30">
      <c r="E30">
        <f>IF(AND(ISNUMBER(C30),ISNUMBER(D30)),IF(D30&lt;=C30,"✅ Compliant","❌ Non-Compliant"),"❓ Unknown")</f>
        <v/>
      </c>
      <c r="F30">
        <f>IF(AND(ISNUMBER(C30),ISNUMBER(D30)),MAX(0,D30-C30),"")</f>
        <v/>
      </c>
    </row>
    <row r="31">
      <c r="E31">
        <f>IF(AND(ISNUMBER(C31),ISNUMBER(D31)),IF(D31&lt;=C31,"✅ Compliant","❌ Non-Compliant"),"❓ Unknown")</f>
        <v/>
      </c>
      <c r="F31">
        <f>IF(AND(ISNUMBER(C31),ISNUMBER(D31)),MAX(0,D31-C31),"")</f>
        <v/>
      </c>
    </row>
    <row r="32">
      <c r="E32">
        <f>IF(AND(ISNUMBER(C32),ISNUMBER(D32)),IF(D32&lt;=C32,"✅ Compliant","❌ Non-Compliant"),"❓ Unknown")</f>
        <v/>
      </c>
      <c r="F32">
        <f>IF(AND(ISNUMBER(C32),ISNUMBER(D32)),MAX(0,D32-C32),"")</f>
        <v/>
      </c>
    </row>
    <row r="33">
      <c r="E33">
        <f>IF(AND(ISNUMBER(C33),ISNUMBER(D33)),IF(D33&lt;=C33,"✅ Compliant","❌ Non-Compliant"),"❓ Unknown")</f>
        <v/>
      </c>
      <c r="F33">
        <f>IF(AND(ISNUMBER(C33),ISNUMBER(D33)),MAX(0,D33-C33),"")</f>
        <v/>
      </c>
    </row>
    <row r="34">
      <c r="E34">
        <f>IF(AND(ISNUMBER(C34),ISNUMBER(D34)),IF(D34&lt;=C34,"✅ Compliant","❌ Non-Compliant"),"❓ Unknown")</f>
        <v/>
      </c>
      <c r="F34">
        <f>IF(AND(ISNUMBER(C34),ISNUMBER(D34)),MAX(0,D34-C34),"")</f>
        <v/>
      </c>
    </row>
    <row r="35">
      <c r="E35">
        <f>IF(AND(ISNUMBER(C35),ISNUMBER(D35)),IF(D35&lt;=C35,"✅ Compliant","❌ Non-Compliant"),"❓ Unknown")</f>
        <v/>
      </c>
      <c r="F35">
        <f>IF(AND(ISNUMBER(C35),ISNUMBER(D35)),MAX(0,D35-C35),"")</f>
        <v/>
      </c>
    </row>
    <row r="36">
      <c r="E36">
        <f>IF(AND(ISNUMBER(C36),ISNUMBER(D36)),IF(D36&lt;=C36,"✅ Compliant","❌ Non-Compliant"),"❓ Unknown")</f>
        <v/>
      </c>
      <c r="F36">
        <f>IF(AND(ISNUMBER(C36),ISNUMBER(D36)),MAX(0,D36-C36),"")</f>
        <v/>
      </c>
    </row>
    <row r="37">
      <c r="E37">
        <f>IF(AND(ISNUMBER(C37),ISNUMBER(D37)),IF(D37&lt;=C37,"✅ Compliant","❌ Non-Compliant"),"❓ Unknown")</f>
        <v/>
      </c>
      <c r="F37">
        <f>IF(AND(ISNUMBER(C37),ISNUMBER(D37)),MAX(0,D37-C37),"")</f>
        <v/>
      </c>
    </row>
    <row r="38">
      <c r="E38">
        <f>IF(AND(ISNUMBER(C38),ISNUMBER(D38)),IF(D38&lt;=C38,"✅ Compliant","❌ Non-Compliant"),"❓ Unknown")</f>
        <v/>
      </c>
      <c r="F38">
        <f>IF(AND(ISNUMBER(C38),ISNUMBER(D38)),MAX(0,D38-C38),"")</f>
        <v/>
      </c>
    </row>
    <row r="39">
      <c r="E39">
        <f>IF(AND(ISNUMBER(C39),ISNUMBER(D39)),IF(D39&lt;=C39,"✅ Compliant","❌ Non-Compliant"),"❓ Unknown")</f>
        <v/>
      </c>
      <c r="F39">
        <f>IF(AND(ISNUMBER(C39),ISNUMBER(D39)),MAX(0,D39-C39),"")</f>
        <v/>
      </c>
    </row>
    <row r="40">
      <c r="E40">
        <f>IF(AND(ISNUMBER(C40),ISNUMBER(D40)),IF(D40&lt;=C40,"✅ Compliant","❌ Non-Compliant"),"❓ Unknown")</f>
        <v/>
      </c>
      <c r="F40">
        <f>IF(AND(ISNUMBER(C40),ISNUMBER(D40)),MAX(0,D40-C40),"")</f>
        <v/>
      </c>
    </row>
    <row r="41">
      <c r="E41">
        <f>IF(AND(ISNUMBER(C41),ISNUMBER(D41)),IF(D41&lt;=C41,"✅ Compliant","❌ Non-Compliant"),"❓ Unknown")</f>
        <v/>
      </c>
      <c r="F41">
        <f>IF(AND(ISNUMBER(C41),ISNUMBER(D41)),MAX(0,D41-C41),"")</f>
        <v/>
      </c>
    </row>
    <row r="42">
      <c r="E42">
        <f>IF(AND(ISNUMBER(C42),ISNUMBER(D42)),IF(D42&lt;=C42,"✅ Compliant","❌ Non-Compliant"),"❓ Unknown")</f>
        <v/>
      </c>
      <c r="F42">
        <f>IF(AND(ISNUMBER(C42),ISNUMBER(D42)),MAX(0,D42-C42),"")</f>
        <v/>
      </c>
    </row>
    <row r="43">
      <c r="E43">
        <f>IF(AND(ISNUMBER(C43),ISNUMBER(D43)),IF(D43&lt;=C43,"✅ Compliant","❌ Non-Compliant"),"❓ Unknown")</f>
        <v/>
      </c>
      <c r="F43">
        <f>IF(AND(ISNUMBER(C43),ISNUMBER(D43)),MAX(0,D43-C43),"")</f>
        <v/>
      </c>
    </row>
    <row r="44">
      <c r="E44">
        <f>IF(AND(ISNUMBER(C44),ISNUMBER(D44)),IF(D44&lt;=C44,"✅ Compliant","❌ Non-Compliant"),"❓ Unknown")</f>
        <v/>
      </c>
      <c r="F44">
        <f>IF(AND(ISNUMBER(C44),ISNUMBER(D44)),MAX(0,D44-C44),"")</f>
        <v/>
      </c>
    </row>
    <row r="45">
      <c r="E45">
        <f>IF(AND(ISNUMBER(C45),ISNUMBER(D45)),IF(D45&lt;=C45,"✅ Compliant","❌ Non-Compliant"),"❓ Unknown")</f>
        <v/>
      </c>
      <c r="F45">
        <f>IF(AND(ISNUMBER(C45),ISNUMBER(D45)),MAX(0,D45-C45),"")</f>
        <v/>
      </c>
    </row>
    <row r="46">
      <c r="E46">
        <f>IF(AND(ISNUMBER(C46),ISNUMBER(D46)),IF(D46&lt;=C46,"✅ Compliant","❌ Non-Compliant"),"❓ Unknown")</f>
        <v/>
      </c>
      <c r="F46">
        <f>IF(AND(ISNUMBER(C46),ISNUMBER(D46)),MAX(0,D46-C46),"")</f>
        <v/>
      </c>
    </row>
    <row r="47">
      <c r="E47">
        <f>IF(AND(ISNUMBER(C47),ISNUMBER(D47)),IF(D47&lt;=C47,"✅ Compliant","❌ Non-Compliant"),"❓ Unknown")</f>
        <v/>
      </c>
      <c r="F47">
        <f>IF(AND(ISNUMBER(C47),ISNUMBER(D47)),MAX(0,D47-C47),"")</f>
        <v/>
      </c>
    </row>
    <row r="48">
      <c r="E48">
        <f>IF(AND(ISNUMBER(C48),ISNUMBER(D48)),IF(D48&lt;=C48,"✅ Compliant","❌ Non-Compliant"),"❓ Unknown")</f>
        <v/>
      </c>
      <c r="F48">
        <f>IF(AND(ISNUMBER(C48),ISNUMBER(D48)),MAX(0,D48-C48),"")</f>
        <v/>
      </c>
    </row>
    <row r="49">
      <c r="E49">
        <f>IF(AND(ISNUMBER(C49),ISNUMBER(D49)),IF(D49&lt;=C49,"✅ Compliant","❌ Non-Compliant"),"❓ Unknown")</f>
        <v/>
      </c>
      <c r="F49">
        <f>IF(AND(ISNUMBER(C49),ISNUMBER(D49)),MAX(0,D49-C49),"")</f>
        <v/>
      </c>
    </row>
    <row r="50">
      <c r="E50">
        <f>IF(AND(ISNUMBER(C50),ISNUMBER(D50)),IF(D50&lt;=C50,"✅ Compliant","❌ Non-Compliant"),"❓ Unknown")</f>
        <v/>
      </c>
      <c r="F50">
        <f>IF(AND(ISNUMBER(C50),ISNUMBER(D50)),MAX(0,D50-C50),"")</f>
        <v/>
      </c>
    </row>
    <row r="51">
      <c r="E51">
        <f>IF(AND(ISNUMBER(C51),ISNUMBER(D51)),IF(D51&lt;=C51,"✅ Compliant","❌ Non-Compliant"),"❓ Unknown")</f>
        <v/>
      </c>
      <c r="F51">
        <f>IF(AND(ISNUMBER(C51),ISNUMBER(D51)),MAX(0,D51-C51),"")</f>
        <v/>
      </c>
    </row>
    <row r="52">
      <c r="E52">
        <f>IF(AND(ISNUMBER(C52),ISNUMBER(D52)),IF(D52&lt;=C52,"✅ Compliant","❌ Non-Compliant"),"❓ Unknown")</f>
        <v/>
      </c>
      <c r="F52">
        <f>IF(AND(ISNUMBER(C52),ISNUMBER(D52)),MAX(0,D52-C52),"")</f>
        <v/>
      </c>
    </row>
    <row r="53">
      <c r="E53">
        <f>IF(AND(ISNUMBER(C53),ISNUMBER(D53)),IF(D53&lt;=C53,"✅ Compliant","❌ Non-Compliant"),"❓ Unknown")</f>
        <v/>
      </c>
      <c r="F53">
        <f>IF(AND(ISNUMBER(C53),ISNUMBER(D53)),MAX(0,D53-C53),"")</f>
        <v/>
      </c>
    </row>
    <row r="54">
      <c r="E54">
        <f>IF(AND(ISNUMBER(C54),ISNUMBER(D54)),IF(D54&lt;=C54,"✅ Compliant","❌ Non-Compliant"),"❓ Unknown")</f>
        <v/>
      </c>
      <c r="F54">
        <f>IF(AND(ISNUMBER(C54),ISNUMBER(D54)),MAX(0,D54-C54),"")</f>
        <v/>
      </c>
    </row>
    <row r="55">
      <c r="E55">
        <f>IF(AND(ISNUMBER(C55),ISNUMBER(D55)),IF(D55&lt;=C55,"✅ Compliant","❌ Non-Compliant"),"❓ Unknown")</f>
        <v/>
      </c>
      <c r="F55">
        <f>IF(AND(ISNUMBER(C55),ISNUMBER(D55)),MAX(0,D55-C55),"")</f>
        <v/>
      </c>
    </row>
    <row r="56">
      <c r="E56">
        <f>IF(AND(ISNUMBER(C56),ISNUMBER(D56)),IF(D56&lt;=C56,"✅ Compliant","❌ Non-Compliant"),"❓ Unknown")</f>
        <v/>
      </c>
      <c r="F56">
        <f>IF(AND(ISNUMBER(C56),ISNUMBER(D56)),MAX(0,D56-C56),"")</f>
        <v/>
      </c>
    </row>
    <row r="57">
      <c r="E57">
        <f>IF(AND(ISNUMBER(C57),ISNUMBER(D57)),IF(D57&lt;=C57,"✅ Compliant","❌ Non-Compliant"),"❓ Unknown")</f>
        <v/>
      </c>
      <c r="F57">
        <f>IF(AND(ISNUMBER(C57),ISNUMBER(D57)),MAX(0,D57-C57),"")</f>
        <v/>
      </c>
    </row>
    <row r="58">
      <c r="E58">
        <f>IF(AND(ISNUMBER(C58),ISNUMBER(D58)),IF(D58&lt;=C58,"✅ Compliant","❌ Non-Compliant"),"❓ Unknown")</f>
        <v/>
      </c>
      <c r="F58">
        <f>IF(AND(ISNUMBER(C58),ISNUMBER(D58)),MAX(0,D58-C58),"")</f>
        <v/>
      </c>
    </row>
    <row r="59">
      <c r="E59">
        <f>IF(AND(ISNUMBER(C59),ISNUMBER(D59)),IF(D59&lt;=C59,"✅ Compliant","❌ Non-Compliant"),"❓ Unknown")</f>
        <v/>
      </c>
      <c r="F59">
        <f>IF(AND(ISNUMBER(C59),ISNUMBER(D59)),MAX(0,D59-C59),"")</f>
        <v/>
      </c>
    </row>
    <row r="60">
      <c r="E60">
        <f>IF(AND(ISNUMBER(C60),ISNUMBER(D60)),IF(D60&lt;=C60,"✅ Compliant","❌ Non-Compliant"),"❓ Unknown")</f>
        <v/>
      </c>
      <c r="F60">
        <f>IF(AND(ISNUMBER(C60),ISNUMBER(D60)),MAX(0,D60-C60),"")</f>
        <v/>
      </c>
    </row>
    <row r="61">
      <c r="E61">
        <f>IF(AND(ISNUMBER(C61),ISNUMBER(D61)),IF(D61&lt;=C61,"✅ Compliant","❌ Non-Compliant"),"❓ Unknown")</f>
        <v/>
      </c>
      <c r="F61">
        <f>IF(AND(ISNUMBER(C61),ISNUMBER(D61)),MAX(0,D61-C61),"")</f>
        <v/>
      </c>
    </row>
    <row r="62">
      <c r="E62">
        <f>IF(AND(ISNUMBER(C62),ISNUMBER(D62)),IF(D62&lt;=C62,"✅ Compliant","❌ Non-Compliant"),"❓ Unknown")</f>
        <v/>
      </c>
      <c r="F62">
        <f>IF(AND(ISNUMBER(C62),ISNUMBER(D62)),MAX(0,D62-C62),"")</f>
        <v/>
      </c>
    </row>
    <row r="63">
      <c r="E63">
        <f>IF(AND(ISNUMBER(C63),ISNUMBER(D63)),IF(D63&lt;=C63,"✅ Compliant","❌ Non-Compliant"),"❓ Unknown")</f>
        <v/>
      </c>
      <c r="F63">
        <f>IF(AND(ISNUMBER(C63),ISNUMBER(D63)),MAX(0,D63-C63),"")</f>
        <v/>
      </c>
    </row>
    <row r="64">
      <c r="E64">
        <f>IF(AND(ISNUMBER(C64),ISNUMBER(D64)),IF(D64&lt;=C64,"✅ Compliant","❌ Non-Compliant"),"❓ Unknown")</f>
        <v/>
      </c>
      <c r="F64">
        <f>IF(AND(ISNUMBER(C64),ISNUMBER(D64)),MAX(0,D64-C64),"")</f>
        <v/>
      </c>
    </row>
    <row r="65">
      <c r="E65">
        <f>IF(AND(ISNUMBER(C65),ISNUMBER(D65)),IF(D65&lt;=C65,"✅ Compliant","❌ Non-Compliant"),"❓ Unknown")</f>
        <v/>
      </c>
      <c r="F65">
        <f>IF(AND(ISNUMBER(C65),ISNUMBER(D65)),MAX(0,D65-C65),"")</f>
        <v/>
      </c>
    </row>
    <row r="66">
      <c r="E66">
        <f>IF(AND(ISNUMBER(C66),ISNUMBER(D66)),IF(D66&lt;=C66,"✅ Compliant","❌ Non-Compliant"),"❓ Unknown")</f>
        <v/>
      </c>
      <c r="F66">
        <f>IF(AND(ISNUMBER(C66),ISNUMBER(D66)),MAX(0,D66-C66),"")</f>
        <v/>
      </c>
    </row>
    <row r="67">
      <c r="E67">
        <f>IF(AND(ISNUMBER(C67),ISNUMBER(D67)),IF(D67&lt;=C67,"✅ Compliant","❌ Non-Compliant"),"❓ Unknown")</f>
        <v/>
      </c>
      <c r="F67">
        <f>IF(AND(ISNUMBER(C67),ISNUMBER(D67)),MAX(0,D67-C67),"")</f>
        <v/>
      </c>
    </row>
    <row r="68">
      <c r="E68">
        <f>IF(AND(ISNUMBER(C68),ISNUMBER(D68)),IF(D68&lt;=C68,"✅ Compliant","❌ Non-Compliant"),"❓ Unknown")</f>
        <v/>
      </c>
      <c r="F68">
        <f>IF(AND(ISNUMBER(C68),ISNUMBER(D68)),MAX(0,D68-C68),"")</f>
        <v/>
      </c>
    </row>
    <row r="69">
      <c r="E69">
        <f>IF(AND(ISNUMBER(C69),ISNUMBER(D69)),IF(D69&lt;=C69,"✅ Compliant","❌ Non-Compliant"),"❓ Unknown")</f>
        <v/>
      </c>
      <c r="F69">
        <f>IF(AND(ISNUMBER(C69),ISNUMBER(D69)),MAX(0,D69-C69),"")</f>
        <v/>
      </c>
    </row>
    <row r="70">
      <c r="E70">
        <f>IF(AND(ISNUMBER(C70),ISNUMBER(D70)),IF(D70&lt;=C70,"✅ Compliant","❌ Non-Compliant"),"❓ Unknown")</f>
        <v/>
      </c>
      <c r="F70">
        <f>IF(AND(ISNUMBER(C70),ISNUMBER(D70)),MAX(0,D70-C70),"")</f>
        <v/>
      </c>
    </row>
    <row r="71">
      <c r="E71">
        <f>IF(AND(ISNUMBER(C71),ISNUMBER(D71)),IF(D71&lt;=C71,"✅ Compliant","❌ Non-Compliant"),"❓ Unknown")</f>
        <v/>
      </c>
      <c r="F71">
        <f>IF(AND(ISNUMBER(C71),ISNUMBER(D71)),MAX(0,D71-C71),"")</f>
        <v/>
      </c>
    </row>
    <row r="72">
      <c r="E72">
        <f>IF(AND(ISNUMBER(C72),ISNUMBER(D72)),IF(D72&lt;=C72,"✅ Compliant","❌ Non-Compliant"),"❓ Unknown")</f>
        <v/>
      </c>
      <c r="F72">
        <f>IF(AND(ISNUMBER(C72),ISNUMBER(D72)),MAX(0,D72-C72),"")</f>
        <v/>
      </c>
    </row>
    <row r="73">
      <c r="E73">
        <f>IF(AND(ISNUMBER(C73),ISNUMBER(D73)),IF(D73&lt;=C73,"✅ Compliant","❌ Non-Compliant"),"❓ Unknown")</f>
        <v/>
      </c>
      <c r="F73">
        <f>IF(AND(ISNUMBER(C73),ISNUMBER(D73)),MAX(0,D73-C73),"")</f>
        <v/>
      </c>
    </row>
    <row r="74">
      <c r="E74">
        <f>IF(AND(ISNUMBER(C74),ISNUMBER(D74)),IF(D74&lt;=C74,"✅ Compliant","❌ Non-Compliant"),"❓ Unknown")</f>
        <v/>
      </c>
      <c r="F74">
        <f>IF(AND(ISNUMBER(C74),ISNUMBER(D74)),MAX(0,D74-C74),"")</f>
        <v/>
      </c>
    </row>
    <row r="75">
      <c r="E75">
        <f>IF(AND(ISNUMBER(C75),ISNUMBER(D75)),IF(D75&lt;=C75,"✅ Compliant","❌ Non-Compliant"),"❓ Unknown")</f>
        <v/>
      </c>
      <c r="F75">
        <f>IF(AND(ISNUMBER(C75),ISNUMBER(D75)),MAX(0,D75-C75),"")</f>
        <v/>
      </c>
    </row>
    <row r="76">
      <c r="E76">
        <f>IF(AND(ISNUMBER(C76),ISNUMBER(D76)),IF(D76&lt;=C76,"✅ Compliant","❌ Non-Compliant"),"❓ Unknown")</f>
        <v/>
      </c>
      <c r="F76">
        <f>IF(AND(ISNUMBER(C76),ISNUMBER(D76)),MAX(0,D76-C76),"")</f>
        <v/>
      </c>
    </row>
    <row r="77">
      <c r="E77">
        <f>IF(AND(ISNUMBER(C77),ISNUMBER(D77)),IF(D77&lt;=C77,"✅ Compliant","❌ Non-Compliant"),"❓ Unknown")</f>
        <v/>
      </c>
      <c r="F77">
        <f>IF(AND(ISNUMBER(C77),ISNUMBER(D77)),MAX(0,D77-C77),"")</f>
        <v/>
      </c>
    </row>
    <row r="78">
      <c r="E78">
        <f>IF(AND(ISNUMBER(C78),ISNUMBER(D78)),IF(D78&lt;=C78,"✅ Compliant","❌ Non-Compliant"),"❓ Unknown")</f>
        <v/>
      </c>
      <c r="F78">
        <f>IF(AND(ISNUMBER(C78),ISNUMBER(D78)),MAX(0,D78-C78),"")</f>
        <v/>
      </c>
    </row>
    <row r="79">
      <c r="E79">
        <f>IF(AND(ISNUMBER(C79),ISNUMBER(D79)),IF(D79&lt;=C79,"✅ Compliant","❌ Non-Compliant"),"❓ Unknown")</f>
        <v/>
      </c>
      <c r="F79">
        <f>IF(AND(ISNUMBER(C79),ISNUMBER(D79)),MAX(0,D79-C79),"")</f>
        <v/>
      </c>
    </row>
    <row r="80">
      <c r="E80">
        <f>IF(AND(ISNUMBER(C80),ISNUMBER(D80)),IF(D80&lt;=C80,"✅ Compliant","❌ Non-Compliant"),"❓ Unknown")</f>
        <v/>
      </c>
      <c r="F80">
        <f>IF(AND(ISNUMBER(C80),ISNUMBER(D80)),MAX(0,D80-C80),"")</f>
        <v/>
      </c>
    </row>
    <row r="81">
      <c r="E81">
        <f>IF(AND(ISNUMBER(C81),ISNUMBER(D81)),IF(D81&lt;=C81,"✅ Compliant","❌ Non-Compliant"),"❓ Unknown")</f>
        <v/>
      </c>
      <c r="F81">
        <f>IF(AND(ISNUMBER(C81),ISNUMBER(D81)),MAX(0,D81-C81),"")</f>
        <v/>
      </c>
    </row>
    <row r="82">
      <c r="E82">
        <f>IF(AND(ISNUMBER(C82),ISNUMBER(D82)),IF(D82&lt;=C82,"✅ Compliant","❌ Non-Compliant"),"❓ Unknown")</f>
        <v/>
      </c>
      <c r="F82">
        <f>IF(AND(ISNUMBER(C82),ISNUMBER(D82)),MAX(0,D82-C82),"")</f>
        <v/>
      </c>
    </row>
    <row r="83">
      <c r="E83">
        <f>IF(AND(ISNUMBER(C83),ISNUMBER(D83)),IF(D83&lt;=C83,"✅ Compliant","❌ Non-Compliant"),"❓ Unknown")</f>
        <v/>
      </c>
      <c r="F83">
        <f>IF(AND(ISNUMBER(C83),ISNUMBER(D83)),MAX(0,D83-C83),"")</f>
        <v/>
      </c>
    </row>
    <row r="84">
      <c r="E84">
        <f>IF(AND(ISNUMBER(C84),ISNUMBER(D84)),IF(D84&lt;=C84,"✅ Compliant","❌ Non-Compliant"),"❓ Unknown")</f>
        <v/>
      </c>
      <c r="F84">
        <f>IF(AND(ISNUMBER(C84),ISNUMBER(D84)),MAX(0,D84-C84),"")</f>
        <v/>
      </c>
    </row>
    <row r="85">
      <c r="E85">
        <f>IF(AND(ISNUMBER(C85),ISNUMBER(D85)),IF(D85&lt;=C85,"✅ Compliant","❌ Non-Compliant"),"❓ Unknown")</f>
        <v/>
      </c>
      <c r="F85">
        <f>IF(AND(ISNUMBER(C85),ISNUMBER(D85)),MAX(0,D85-C85),"")</f>
        <v/>
      </c>
    </row>
    <row r="86">
      <c r="E86">
        <f>IF(AND(ISNUMBER(C86),ISNUMBER(D86)),IF(D86&lt;=C86,"✅ Compliant","❌ Non-Compliant"),"❓ Unknown")</f>
        <v/>
      </c>
      <c r="F86">
        <f>IF(AND(ISNUMBER(C86),ISNUMBER(D86)),MAX(0,D86-C86),"")</f>
        <v/>
      </c>
    </row>
    <row r="87">
      <c r="E87">
        <f>IF(AND(ISNUMBER(C87),ISNUMBER(D87)),IF(D87&lt;=C87,"✅ Compliant","❌ Non-Compliant"),"❓ Unknown")</f>
        <v/>
      </c>
      <c r="F87">
        <f>IF(AND(ISNUMBER(C87),ISNUMBER(D87)),MAX(0,D87-C87),"")</f>
        <v/>
      </c>
    </row>
    <row r="88">
      <c r="E88">
        <f>IF(AND(ISNUMBER(C88),ISNUMBER(D88)),IF(D88&lt;=C88,"✅ Compliant","❌ Non-Compliant"),"❓ Unknown")</f>
        <v/>
      </c>
      <c r="F88">
        <f>IF(AND(ISNUMBER(C88),ISNUMBER(D88)),MAX(0,D88-C88),"")</f>
        <v/>
      </c>
    </row>
    <row r="89">
      <c r="E89">
        <f>IF(AND(ISNUMBER(C89),ISNUMBER(D89)),IF(D89&lt;=C89,"✅ Compliant","❌ Non-Compliant"),"❓ Unknown")</f>
        <v/>
      </c>
      <c r="F89">
        <f>IF(AND(ISNUMBER(C89),ISNUMBER(D89)),MAX(0,D89-C89),"")</f>
        <v/>
      </c>
    </row>
    <row r="90">
      <c r="E90">
        <f>IF(AND(ISNUMBER(C90),ISNUMBER(D90)),IF(D90&lt;=C90,"✅ Compliant","❌ Non-Compliant"),"❓ Unknown")</f>
        <v/>
      </c>
      <c r="F90">
        <f>IF(AND(ISNUMBER(C90),ISNUMBER(D90)),MAX(0,D90-C90),"")</f>
        <v/>
      </c>
    </row>
    <row r="91">
      <c r="E91">
        <f>IF(AND(ISNUMBER(C91),ISNUMBER(D91)),IF(D91&lt;=C91,"✅ Compliant","❌ Non-Compliant"),"❓ Unknown")</f>
        <v/>
      </c>
      <c r="F91">
        <f>IF(AND(ISNUMBER(C91),ISNUMBER(D91)),MAX(0,D91-C91),"")</f>
        <v/>
      </c>
    </row>
    <row r="92">
      <c r="E92">
        <f>IF(AND(ISNUMBER(C92),ISNUMBER(D92)),IF(D92&lt;=C92,"✅ Compliant","❌ Non-Compliant"),"❓ Unknown")</f>
        <v/>
      </c>
      <c r="F92">
        <f>IF(AND(ISNUMBER(C92),ISNUMBER(D92)),MAX(0,D92-C92),"")</f>
        <v/>
      </c>
    </row>
    <row r="93">
      <c r="E93">
        <f>IF(AND(ISNUMBER(C93),ISNUMBER(D93)),IF(D93&lt;=C93,"✅ Compliant","❌ Non-Compliant"),"❓ Unknown")</f>
        <v/>
      </c>
      <c r="F93">
        <f>IF(AND(ISNUMBER(C93),ISNUMBER(D93)),MAX(0,D93-C93),"")</f>
        <v/>
      </c>
    </row>
    <row r="94">
      <c r="E94">
        <f>IF(AND(ISNUMBER(C94),ISNUMBER(D94)),IF(D94&lt;=C94,"✅ Compliant","❌ Non-Compliant"),"❓ Unknown")</f>
        <v/>
      </c>
      <c r="F94">
        <f>IF(AND(ISNUMBER(C94),ISNUMBER(D94)),MAX(0,D94-C94),"")</f>
        <v/>
      </c>
    </row>
    <row r="95">
      <c r="E95">
        <f>IF(AND(ISNUMBER(C95),ISNUMBER(D95)),IF(D95&lt;=C95,"✅ Compliant","❌ Non-Compliant"),"❓ Unknown")</f>
        <v/>
      </c>
      <c r="F95">
        <f>IF(AND(ISNUMBER(C95),ISNUMBER(D95)),MAX(0,D95-C95),"")</f>
        <v/>
      </c>
    </row>
    <row r="96">
      <c r="E96">
        <f>IF(AND(ISNUMBER(C96),ISNUMBER(D96)),IF(D96&lt;=C96,"✅ Compliant","❌ Non-Compliant"),"❓ Unknown")</f>
        <v/>
      </c>
      <c r="F96">
        <f>IF(AND(ISNUMBER(C96),ISNUMBER(D96)),MAX(0,D96-C96),"")</f>
        <v/>
      </c>
    </row>
    <row r="97">
      <c r="E97">
        <f>IF(AND(ISNUMBER(C97),ISNUMBER(D97)),IF(D97&lt;=C97,"✅ Compliant","❌ Non-Compliant"),"❓ Unknown")</f>
        <v/>
      </c>
      <c r="F97">
        <f>IF(AND(ISNUMBER(C97),ISNUMBER(D97)),MAX(0,D97-C97),"")</f>
        <v/>
      </c>
    </row>
    <row r="98">
      <c r="E98">
        <f>IF(AND(ISNUMBER(C98),ISNUMBER(D98)),IF(D98&lt;=C98,"✅ Compliant","❌ Non-Compliant"),"❓ Unknown")</f>
        <v/>
      </c>
      <c r="F98">
        <f>IF(AND(ISNUMBER(C98),ISNUMBER(D98)),MAX(0,D98-C98),"")</f>
        <v/>
      </c>
    </row>
    <row r="99">
      <c r="E99">
        <f>IF(AND(ISNUMBER(C99),ISNUMBER(D99)),IF(D99&lt;=C99,"✅ Compliant","❌ Non-Compliant"),"❓ Unknown")</f>
        <v/>
      </c>
      <c r="F99">
        <f>IF(AND(ISNUMBER(C99),ISNUMBER(D99)),MAX(0,D99-C99),"")</f>
        <v/>
      </c>
    </row>
    <row r="100">
      <c r="E100">
        <f>IF(AND(ISNUMBER(C100),ISNUMBER(D100)),IF(D100&lt;=C100,"✅ Compliant","❌ Non-Compliant"),"❓ Unknown")</f>
        <v/>
      </c>
      <c r="F100">
        <f>IF(AND(ISNUMBER(C100),ISNUMBER(D100)),MAX(0,D100-C100),"")</f>
        <v/>
      </c>
    </row>
    <row r="101">
      <c r="E101">
        <f>IF(AND(ISNUMBER(C101),ISNUMBER(D101)),IF(D101&lt;=C101,"✅ Compliant","❌ Non-Compliant"),"❓ Unknown")</f>
        <v/>
      </c>
      <c r="F101">
        <f>IF(AND(ISNUMBER(C101),ISNUMBER(D101)),MAX(0,D101-C101),"")</f>
        <v/>
      </c>
    </row>
    <row r="102">
      <c r="E102">
        <f>IF(AND(ISNUMBER(C102),ISNUMBER(D102)),IF(D102&lt;=C102,"✅ Compliant","❌ Non-Compliant"),"❓ Unknown")</f>
        <v/>
      </c>
      <c r="F102">
        <f>IF(AND(ISNUMBER(C102),ISNUMBER(D102)),MAX(0,D102-C102),"")</f>
        <v/>
      </c>
    </row>
    <row r="103">
      <c r="E103">
        <f>IF(AND(ISNUMBER(C103),ISNUMBER(D103)),IF(D103&lt;=C103,"✅ Compliant","❌ Non-Compliant"),"❓ Unknown")</f>
        <v/>
      </c>
      <c r="F103">
        <f>IF(AND(ISNUMBER(C103),ISNUMBER(D103)),MAX(0,D103-C103),"")</f>
        <v/>
      </c>
    </row>
    <row r="104">
      <c r="E104">
        <f>IF(AND(ISNUMBER(C104),ISNUMBER(D104)),IF(D104&lt;=C104,"✅ Compliant","❌ Non-Compliant"),"❓ Unknown")</f>
        <v/>
      </c>
      <c r="F104">
        <f>IF(AND(ISNUMBER(C104),ISNUMBER(D104)),MAX(0,D104-C104),"")</f>
        <v/>
      </c>
    </row>
    <row r="105">
      <c r="E105">
        <f>IF(AND(ISNUMBER(C105),ISNUMBER(D105)),IF(D105&lt;=C105,"✅ Compliant","❌ Non-Compliant"),"❓ Unknown")</f>
        <v/>
      </c>
      <c r="F105">
        <f>IF(AND(ISNUMBER(C105),ISNUMBER(D105)),MAX(0,D105-C105),"")</f>
        <v/>
      </c>
    </row>
    <row r="106">
      <c r="E106">
        <f>IF(AND(ISNUMBER(C106),ISNUMBER(D106)),IF(D106&lt;=C106,"✅ Compliant","❌ Non-Compliant"),"❓ Unknown")</f>
        <v/>
      </c>
      <c r="F106">
        <f>IF(AND(ISNUMBER(C106),ISNUMBER(D106)),MAX(0,D106-C106),"")</f>
        <v/>
      </c>
    </row>
    <row r="107">
      <c r="E107">
        <f>IF(AND(ISNUMBER(C107),ISNUMBER(D107)),IF(D107&lt;=C107,"✅ Compliant","❌ Non-Compliant"),"❓ Unknown")</f>
        <v/>
      </c>
      <c r="F107">
        <f>IF(AND(ISNUMBER(C107),ISNUMBER(D107)),MAX(0,D107-C107),"")</f>
        <v/>
      </c>
    </row>
    <row r="108">
      <c r="E108">
        <f>IF(AND(ISNUMBER(C108),ISNUMBER(D108)),IF(D108&lt;=C108,"✅ Compliant","❌ Non-Compliant"),"❓ Unknown")</f>
        <v/>
      </c>
      <c r="F108">
        <f>IF(AND(ISNUMBER(C108),ISNUMBER(D108)),MAX(0,D108-C108),"")</f>
        <v/>
      </c>
    </row>
    <row r="109">
      <c r="E109">
        <f>IF(AND(ISNUMBER(C109),ISNUMBER(D109)),IF(D109&lt;=C109,"✅ Compliant","❌ Non-Compliant"),"❓ Unknown")</f>
        <v/>
      </c>
      <c r="F109">
        <f>IF(AND(ISNUMBER(C109),ISNUMBER(D109)),MAX(0,D109-C109),"")</f>
        <v/>
      </c>
    </row>
    <row r="110">
      <c r="E110">
        <f>IF(AND(ISNUMBER(C110),ISNUMBER(D110)),IF(D110&lt;=C110,"✅ Compliant","❌ Non-Compliant"),"❓ Unknown")</f>
        <v/>
      </c>
      <c r="F110">
        <f>IF(AND(ISNUMBER(C110),ISNUMBER(D110)),MAX(0,D110-C110),"")</f>
        <v/>
      </c>
    </row>
    <row r="111">
      <c r="E111">
        <f>IF(AND(ISNUMBER(C111),ISNUMBER(D111)),IF(D111&lt;=C111,"✅ Compliant","❌ Non-Compliant"),"❓ Unknown")</f>
        <v/>
      </c>
      <c r="F111">
        <f>IF(AND(ISNUMBER(C111),ISNUMBER(D111)),MAX(0,D111-C111),"")</f>
        <v/>
      </c>
    </row>
    <row r="112">
      <c r="E112">
        <f>IF(AND(ISNUMBER(C112),ISNUMBER(D112)),IF(D112&lt;=C112,"✅ Compliant","❌ Non-Compliant"),"❓ Unknown")</f>
        <v/>
      </c>
      <c r="F112">
        <f>IF(AND(ISNUMBER(C112),ISNUMBER(D112)),MAX(0,D112-C112),"")</f>
        <v/>
      </c>
    </row>
    <row r="113">
      <c r="E113">
        <f>IF(AND(ISNUMBER(C113),ISNUMBER(D113)),IF(D113&lt;=C113,"✅ Compliant","❌ Non-Compliant"),"❓ Unknown")</f>
        <v/>
      </c>
      <c r="F113">
        <f>IF(AND(ISNUMBER(C113),ISNUMBER(D113)),MAX(0,D113-C113),"")</f>
        <v/>
      </c>
    </row>
    <row r="114">
      <c r="E114">
        <f>IF(AND(ISNUMBER(C114),ISNUMBER(D114)),IF(D114&lt;=C114,"✅ Compliant","❌ Non-Compliant"),"❓ Unknown")</f>
        <v/>
      </c>
      <c r="F114">
        <f>IF(AND(ISNUMBER(C114),ISNUMBER(D114)),MAX(0,D114-C114),"")</f>
        <v/>
      </c>
    </row>
    <row r="118">
      <c r="A118" s="12" t="inlineStr">
        <is>
          <t>RTO COMPLIANCE METRICS</t>
        </is>
      </c>
    </row>
    <row r="119">
      <c r="A119" s="16" t="inlineStr">
        <is>
          <t>Total Systems:</t>
        </is>
      </c>
      <c r="B119" s="16">
        <f>COUNTA(A5:A114)</f>
        <v/>
      </c>
    </row>
    <row r="120">
      <c r="A120" s="16" t="inlineStr">
        <is>
          <t>Systems Compliant:</t>
        </is>
      </c>
      <c r="B120" s="16">
        <f>COUNTIF(E5:E114,"✅*")</f>
        <v/>
      </c>
    </row>
    <row r="121">
      <c r="A121" s="16" t="inlineStr">
        <is>
          <t>Systems Non-Compliant:</t>
        </is>
      </c>
      <c r="B121" s="16">
        <f>COUNTIF(E5:E114,"❌*")</f>
        <v/>
      </c>
    </row>
    <row r="122">
      <c r="A122" s="16" t="inlineStr">
        <is>
          <t>Systems Not Tested:</t>
        </is>
      </c>
      <c r="B122" s="16">
        <f>COUNTIF(E5:E114,"❓*")</f>
        <v/>
      </c>
    </row>
    <row r="123">
      <c r="A123" s="16" t="inlineStr">
        <is>
          <t>RTO Compliance Rate:</t>
        </is>
      </c>
      <c r="B123" s="17">
        <f>IF(B119&gt;0,B120/B119,0)</f>
        <v/>
      </c>
    </row>
    <row r="124">
      <c r="A124" s="16" t="inlineStr">
        <is>
          <t>Critical Compliance Rate:</t>
        </is>
      </c>
      <c r="B124" s="17">
        <f>IF(COUNTIF(B5:B114,"Tier 1*")&gt;0,COUNTIFS(B5:B114,"Tier 1*",E5:E114,"✅*")/COUNTIF(B5:B114,"Tier 1*"),1)</f>
        <v/>
      </c>
    </row>
  </sheetData>
  <mergeCells count="3">
    <mergeCell ref="A118:G118"/>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 (minimum 5 items required for audit compliance)</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Redundancy Inventory</t>
        </is>
      </c>
      <c r="C5" s="22" t="inlineStr">
        <is>
          <t>Architecture Diagram</t>
        </is>
      </c>
      <c r="D5" s="22" t="inlineStr">
        <is>
          <t>E-Commerce redundancy architecture diagram (Active-Passive configuration)</t>
        </is>
      </c>
      <c r="E5" s="22" t="inlineStr">
        <is>
          <t>/evidence/redundancy/ecommerce_architecture.pdf</t>
        </is>
      </c>
      <c r="F5" s="22" t="inlineStr">
        <is>
          <t>07.03.2026</t>
        </is>
      </c>
      <c r="G5" s="22" t="inlineStr">
        <is>
          <t>Solutions Architect</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"Architecture Diagram,Config File,Screenshot,Report,Log File,Test Result,Policy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55" customWidth="1" min="1" max="1"/>
    <col width="20" customWidth="1" min="2" max="2"/>
  </cols>
  <sheetData>
    <row r="1" ht="35" customHeight="1">
      <c r="A1" s="25" t="inlineStr">
        <is>
          <t>REDUNDANCY ANALYSIS — SUMMARY DASHBOARD</t>
        </is>
      </c>
    </row>
    <row r="2">
      <c r="A2" s="26" t="inlineStr">
        <is>
          <t>Assessment ID: ISMS-IMP-A.5.30.S2 | Assessment Date: [enter date]</t>
        </is>
      </c>
    </row>
    <row r="4">
      <c r="A4" s="27" t="inlineStr">
        <is>
          <t>REDUNDANCY COVERAGE</t>
        </is>
      </c>
    </row>
    <row r="5">
      <c r="A5" s="16" t="inlineStr">
        <is>
          <t>Total Systems:</t>
        </is>
      </c>
      <c r="B5" s="28">
        <f>'Redundancy Inventory'!B59</f>
        <v/>
      </c>
    </row>
    <row r="6">
      <c r="A6" s="16" t="inlineStr">
        <is>
          <t>Systems with Redundancy:</t>
        </is>
      </c>
      <c r="B6" s="28">
        <f>'Redundancy Inventory'!B60</f>
        <v/>
      </c>
    </row>
    <row r="7">
      <c r="A7" s="16" t="inlineStr">
        <is>
          <t>Overall Coverage:</t>
        </is>
      </c>
      <c r="B7" s="29">
        <f>'Redundancy Inventory'!B61</f>
        <v/>
      </c>
    </row>
    <row r="8">
      <c r="A8" s="16" t="inlineStr">
        <is>
          <t>Critical Systems (RTO &lt; 4h):</t>
        </is>
      </c>
      <c r="B8" s="28">
        <f>'Redundancy Inventory'!B62</f>
        <v/>
      </c>
    </row>
    <row r="9">
      <c r="A9" s="16" t="inlineStr">
        <is>
          <t>Critical with Redundancy:</t>
        </is>
      </c>
      <c r="B9" s="28">
        <f>'Redundancy Inventory'!B63</f>
        <v/>
      </c>
    </row>
    <row r="10">
      <c r="A10" s="16" t="inlineStr">
        <is>
          <t>Critical Coverage:</t>
        </is>
      </c>
      <c r="B10" s="29">
        <f>'Redundancy Inventory'!B64</f>
        <v/>
      </c>
    </row>
    <row r="12">
      <c r="A12" s="27" t="inlineStr">
        <is>
          <t>SINGLE POINTS OF FAILURE (SPOF)</t>
        </is>
      </c>
    </row>
    <row r="13">
      <c r="A13" s="16" t="inlineStr">
        <is>
          <t>Total SPOFs Identified:</t>
        </is>
      </c>
      <c r="B13" s="28">
        <f>'SPOF Register'!B59</f>
        <v/>
      </c>
    </row>
    <row r="14">
      <c r="A14" s="16" t="inlineStr">
        <is>
          <t>SPOFs Mitigated:</t>
        </is>
      </c>
      <c r="B14" s="28">
        <f>'SPOF Register'!B60</f>
        <v/>
      </c>
    </row>
    <row r="15">
      <c r="A15" s="16" t="inlineStr">
        <is>
          <t>SPOFs In Progress:</t>
        </is>
      </c>
      <c r="B15" s="28">
        <f>'SPOF Register'!B61</f>
        <v/>
      </c>
    </row>
    <row r="16">
      <c r="A16" s="16" t="inlineStr">
        <is>
          <t>Open SPOFs:</t>
        </is>
      </c>
      <c r="B16" s="28">
        <f>'SPOF Register'!B62</f>
        <v/>
      </c>
    </row>
    <row r="17">
      <c r="A17" s="16" t="inlineStr">
        <is>
          <t>Critical Open SPOFs:</t>
        </is>
      </c>
      <c r="B17" s="28">
        <f>'SPOF Register'!B63</f>
        <v/>
      </c>
    </row>
    <row r="18">
      <c r="A18" s="16" t="inlineStr">
        <is>
          <t>Mitigation Rate:</t>
        </is>
      </c>
      <c r="B18" s="29">
        <f>'SPOF Register'!B64</f>
        <v/>
      </c>
    </row>
    <row r="20">
      <c r="A20" s="27" t="inlineStr">
        <is>
          <t>RTO COMPLIANCE</t>
        </is>
      </c>
    </row>
    <row r="21">
      <c r="A21" s="16" t="inlineStr">
        <is>
          <t>Total Systems:</t>
        </is>
      </c>
      <c r="B21" s="28">
        <f>'RTO Compliance'!B119</f>
        <v/>
      </c>
    </row>
    <row r="22">
      <c r="A22" s="16" t="inlineStr">
        <is>
          <t>Systems Compliant:</t>
        </is>
      </c>
      <c r="B22" s="28">
        <f>'RTO Compliance'!B120</f>
        <v/>
      </c>
    </row>
    <row r="23">
      <c r="A23" s="16" t="inlineStr">
        <is>
          <t>Systems Non-Compliant:</t>
        </is>
      </c>
      <c r="B23" s="28">
        <f>'RTO Compliance'!B121</f>
        <v/>
      </c>
    </row>
    <row r="24">
      <c r="A24" s="16" t="inlineStr">
        <is>
          <t>Systems Not Tested:</t>
        </is>
      </c>
      <c r="B24" s="28">
        <f>'RTO Compliance'!B122</f>
        <v/>
      </c>
    </row>
    <row r="25">
      <c r="A25" s="16" t="inlineStr">
        <is>
          <t>RTO Compliance Rate:</t>
        </is>
      </c>
      <c r="B25" s="29">
        <f>'RTO Compliance'!B123</f>
        <v/>
      </c>
    </row>
    <row r="26">
      <c r="A26" s="16" t="inlineStr">
        <is>
          <t>Critical Compliance Rate:</t>
        </is>
      </c>
      <c r="B26" s="29">
        <f>'RTO Compliance'!B124</f>
        <v/>
      </c>
    </row>
    <row r="28">
      <c r="A28" s="27" t="inlineStr">
        <is>
          <t>KEY ACTIONS</t>
        </is>
      </c>
    </row>
    <row r="29">
      <c r="A29" t="inlineStr">
        <is>
          <t>• Address [!] Critical Open SPOFs immediately (30-day target)</t>
        </is>
      </c>
    </row>
    <row r="30">
      <c r="A30" t="inlineStr">
        <is>
          <t>• Review systems with ❌ None redundancy (especially Tier 1)</t>
        </is>
      </c>
    </row>
    <row r="31">
      <c r="A31" t="inlineStr">
        <is>
          <t>• Test all systems marked ➖ Not Tested (failover testing required)</t>
        </is>
      </c>
    </row>
    <row r="32">
      <c r="A32" t="inlineStr">
        <is>
          <t>• Address RTO gaps (actual failover time &gt; requirement)</t>
        </is>
      </c>
    </row>
    <row r="33">
      <c r="A33" t="inlineStr">
        <is>
          <t>• Target: 100% redundancy for Critical systems (RTO &lt; 4h)</t>
        </is>
      </c>
    </row>
    <row r="34">
      <c r="A34" t="inlineStr">
        <is>
          <t>• Document minimum 5 evidence items in Evidence_Register</t>
        </is>
      </c>
    </row>
  </sheetData>
  <mergeCells count="6">
    <mergeCell ref="A12:E12"/>
    <mergeCell ref="A4:E4"/>
    <mergeCell ref="A20:E20"/>
    <mergeCell ref="A2:E2"/>
    <mergeCell ref="A28:E28"/>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0" t="inlineStr">
        <is>
          <t>ASSESSMENT APPROVAL AND SIGN-OFF</t>
        </is>
      </c>
      <c r="B1" s="6" t="n"/>
      <c r="C1" s="6" t="n"/>
      <c r="D1" s="6" t="n"/>
      <c r="E1" s="6" t="n"/>
    </row>
    <row r="2">
      <c r="A2" s="31" t="inlineStr">
        <is>
          <t>ISMS-IMP-A.5.30.S2 | ISO/IEC 27001:2022 - Control A.8.14 (Redundancy of Information Processing Facilities)</t>
        </is>
      </c>
      <c r="B2" s="6" t="n"/>
      <c r="C2" s="6" t="n"/>
      <c r="D2" s="6" t="n"/>
      <c r="E2" s="6" t="n"/>
    </row>
    <row r="3">
      <c r="A3" s="32" t="inlineStr">
        <is>
          <t>ASSESSMENT SUMMARY</t>
        </is>
      </c>
      <c r="B3" s="6" t="n"/>
      <c r="C3" s="6" t="n"/>
      <c r="D3" s="6" t="n"/>
      <c r="E3" s="6" t="n"/>
    </row>
    <row r="4">
      <c r="A4" s="33" t="inlineStr">
        <is>
          <t>Document:</t>
        </is>
      </c>
      <c r="B4" s="6" t="inlineStr">
        <is>
          <t>ISMS-IMP-A.5.30.S2 - Redundancy Analysis &amp; SPOF Assessment</t>
        </is>
      </c>
      <c r="C4" s="6" t="n"/>
      <c r="D4" s="6" t="n"/>
      <c r="E4" s="6" t="n"/>
    </row>
    <row r="5">
      <c r="A5" s="33" t="inlineStr">
        <is>
          <t>Assessment Period:</t>
        </is>
      </c>
      <c r="B5" s="15" t="inlineStr"/>
      <c r="C5" s="15" t="n"/>
      <c r="D5" s="15" t="n"/>
      <c r="E5" s="15" t="n"/>
    </row>
    <row r="6">
      <c r="A6" s="33" t="inlineStr">
        <is>
          <t>Overall Redundancy Coverage:</t>
        </is>
      </c>
      <c r="B6" s="34">
        <f>'Summary Dashboard'!B7</f>
        <v/>
      </c>
      <c r="C6" s="6" t="n"/>
      <c r="D6" s="6" t="n"/>
      <c r="E6" s="6" t="n"/>
    </row>
    <row r="7">
      <c r="A7" s="33" t="inlineStr">
        <is>
          <t>Assessment Status:</t>
        </is>
      </c>
      <c r="B7" s="15" t="inlineStr"/>
      <c r="C7" s="15" t="n"/>
      <c r="D7" s="15" t="n"/>
      <c r="E7" s="15" t="n"/>
    </row>
    <row r="8">
      <c r="A8" s="33" t="inlineStr">
        <is>
          <t>Assessed By:</t>
        </is>
      </c>
      <c r="B8" s="15" t="inlineStr"/>
      <c r="C8" s="15" t="n"/>
      <c r="D8" s="15" t="n"/>
      <c r="E8" s="15" t="n"/>
    </row>
    <row r="11">
      <c r="A11" s="32" t="inlineStr">
        <is>
          <t>COMPLETED BY (ASSESSOR)</t>
        </is>
      </c>
      <c r="B11" s="6" t="n"/>
      <c r="C11" s="6" t="n"/>
      <c r="D11" s="6" t="n"/>
      <c r="E11" s="6" t="n"/>
    </row>
    <row r="12">
      <c r="A12" s="33" t="inlineStr">
        <is>
          <t>Name:</t>
        </is>
      </c>
      <c r="B12" s="15" t="n"/>
      <c r="C12" s="15" t="n"/>
      <c r="D12" s="15" t="n"/>
      <c r="E12" s="15" t="n"/>
    </row>
    <row r="13">
      <c r="A13" s="33" t="inlineStr">
        <is>
          <t>Title:</t>
        </is>
      </c>
      <c r="B13" s="15" t="n"/>
      <c r="C13" s="15" t="n"/>
      <c r="D13" s="15" t="n"/>
      <c r="E13" s="15" t="n"/>
    </row>
    <row r="14">
      <c r="A14" s="33" t="inlineStr">
        <is>
          <t>Date:</t>
        </is>
      </c>
      <c r="B14" s="15" t="n"/>
      <c r="C14" s="15" t="n"/>
      <c r="D14" s="15" t="n"/>
      <c r="E14" s="15" t="n"/>
    </row>
    <row r="15">
      <c r="A15" s="33" t="inlineStr">
        <is>
          <t>Signature:</t>
        </is>
      </c>
      <c r="B15" s="15" t="n"/>
      <c r="C15" s="15" t="n"/>
      <c r="D15" s="15" t="n"/>
      <c r="E15" s="15" t="n"/>
    </row>
    <row r="16">
      <c r="A16" s="33" t="inlineStr">
        <is>
          <t>Comments:</t>
        </is>
      </c>
      <c r="B16" s="15" t="n"/>
      <c r="C16" s="15" t="n"/>
      <c r="D16" s="15" t="n"/>
      <c r="E16" s="15" t="n"/>
    </row>
    <row r="18">
      <c r="A18" s="32" t="inlineStr">
        <is>
          <t>REVIEWED BY (INFORMATION SECURITY OFFICER)</t>
        </is>
      </c>
      <c r="B18" s="6" t="n"/>
      <c r="C18" s="6" t="n"/>
      <c r="D18" s="6" t="n"/>
      <c r="E18" s="6" t="n"/>
    </row>
    <row r="19">
      <c r="A19" s="33" t="inlineStr">
        <is>
          <t>Name:</t>
        </is>
      </c>
      <c r="B19" s="15" t="n"/>
      <c r="C19" s="15" t="n"/>
      <c r="D19" s="15" t="n"/>
      <c r="E19" s="15" t="n"/>
    </row>
    <row r="20">
      <c r="A20" s="33" t="inlineStr">
        <is>
          <t>Title:</t>
        </is>
      </c>
      <c r="B20" s="15" t="n"/>
      <c r="C20" s="15" t="n"/>
      <c r="D20" s="15" t="n"/>
      <c r="E20" s="15" t="n"/>
    </row>
    <row r="21">
      <c r="A21" s="33" t="inlineStr">
        <is>
          <t>Date:</t>
        </is>
      </c>
      <c r="B21" s="15" t="n"/>
      <c r="C21" s="15" t="n"/>
      <c r="D21" s="15" t="n"/>
      <c r="E21" s="15" t="n"/>
    </row>
    <row r="22">
      <c r="A22" s="33" t="inlineStr">
        <is>
          <t>Signature:</t>
        </is>
      </c>
      <c r="B22" s="15" t="n"/>
      <c r="C22" s="15" t="n"/>
      <c r="D22" s="15" t="n"/>
      <c r="E22" s="15" t="n"/>
    </row>
    <row r="23">
      <c r="A23" s="33" t="inlineStr">
        <is>
          <t>Comments:</t>
        </is>
      </c>
      <c r="B23" s="15" t="n"/>
      <c r="C23" s="15" t="n"/>
      <c r="D23" s="15" t="n"/>
      <c r="E23" s="15" t="n"/>
    </row>
    <row r="25">
      <c r="A25" s="35" t="inlineStr">
        <is>
          <t>APPROVED BY (CISO)</t>
        </is>
      </c>
      <c r="B25" s="6" t="n"/>
      <c r="C25" s="6" t="n"/>
      <c r="D25" s="6" t="n"/>
      <c r="E25" s="6" t="n"/>
    </row>
    <row r="26">
      <c r="A26" s="33" t="inlineStr">
        <is>
          <t>Name:</t>
        </is>
      </c>
      <c r="B26" s="15" t="n"/>
      <c r="C26" s="15" t="n"/>
      <c r="D26" s="15" t="n"/>
      <c r="E26" s="15" t="n"/>
    </row>
    <row r="27">
      <c r="A27" s="33" t="inlineStr">
        <is>
          <t>Title:</t>
        </is>
      </c>
      <c r="B27" s="15" t="n"/>
      <c r="C27" s="15" t="n"/>
      <c r="D27" s="15" t="n"/>
      <c r="E27" s="15" t="n"/>
    </row>
    <row r="28">
      <c r="A28" s="33" t="inlineStr">
        <is>
          <t>Date:</t>
        </is>
      </c>
      <c r="B28" s="15" t="n"/>
      <c r="C28" s="15" t="n"/>
      <c r="D28" s="15" t="n"/>
      <c r="E28" s="15" t="n"/>
    </row>
    <row r="29">
      <c r="A29" s="33" t="inlineStr">
        <is>
          <t>Signature:</t>
        </is>
      </c>
      <c r="B29" s="15" t="n"/>
      <c r="C29" s="15" t="n"/>
      <c r="D29" s="15" t="n"/>
      <c r="E29" s="15" t="n"/>
    </row>
    <row r="30">
      <c r="A30" s="33" t="inlineStr">
        <is>
          <t>Comments:</t>
        </is>
      </c>
      <c r="B30" s="15" t="n"/>
      <c r="C30" s="15" t="n"/>
      <c r="D30" s="15" t="n"/>
      <c r="E30" s="15" t="n"/>
    </row>
    <row r="32">
      <c r="A32" s="36" t="inlineStr">
        <is>
          <t>FINAL DECISION:</t>
        </is>
      </c>
      <c r="B32" s="15" t="n"/>
      <c r="C32" s="15" t="n"/>
      <c r="D32" s="15" t="n"/>
      <c r="E32" s="15" t="n"/>
    </row>
    <row r="35">
      <c r="A35" s="32" t="inlineStr">
        <is>
          <t>NEXT REVIEW DETAILS</t>
        </is>
      </c>
      <c r="B35" s="6" t="n"/>
      <c r="C35" s="6" t="n"/>
      <c r="D35" s="6" t="n"/>
      <c r="E35" s="6" t="n"/>
    </row>
    <row r="36">
      <c r="A36" s="33" t="inlineStr">
        <is>
          <t>Next Review Date:</t>
        </is>
      </c>
      <c r="B36" s="15" t="n"/>
      <c r="C36" s="15" t="n"/>
      <c r="D36" s="15" t="n"/>
      <c r="E36" s="15" t="n"/>
    </row>
    <row r="37">
      <c r="A37" s="33" t="inlineStr">
        <is>
          <t>Review Responsible:</t>
        </is>
      </c>
      <c r="B37" s="15" t="n"/>
      <c r="C37" s="15" t="n"/>
      <c r="D37" s="15" t="n"/>
      <c r="E37" s="15" t="n"/>
    </row>
    <row r="38">
      <c r="A38" s="33"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ISMS-IMP-A.5.30.S2 — Redundancy Analysis</dc:title>
  <dc:description xmlns:dc="http://purl.org/dc/elements/1.1/">ISMS Implementation Workbook — ISMS-IMP-A.5.30.S2</dc:description>
  <dc:subject xmlns:dc="http://purl.org/dc/elements/1.1/">ISO/IEC 27001:2022 — Control A.5.30: Information Backup</dc:subject>
  <dcterms:created xmlns:dcterms="http://purl.org/dc/terms/" xmlns:xsi="http://www.w3.org/2001/XMLSchema-instance" xsi:type="dcterms:W3CDTF">2026-03-07T11:27:31Z</dcterms:created>
  <dcterms:modified xmlns:dcterms="http://purl.org/dc/terms/" xmlns:xsi="http://www.w3.org/2001/XMLSchema-instance" xsi:type="dcterms:W3CDTF">2026-03-07T11:27:31Z</dcterms:modified>
</cp:coreProperties>
</file>