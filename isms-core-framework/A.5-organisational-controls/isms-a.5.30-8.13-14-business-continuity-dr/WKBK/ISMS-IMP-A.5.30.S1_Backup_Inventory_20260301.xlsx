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Backup Inventory" sheetId="2" state="visible" r:id="rId2"/>
    <sheet xmlns:r="http://schemas.openxmlformats.org/officeDocument/2006/relationships" name="RPO Compliance" sheetId="3" state="visible" r:id="rId3"/>
    <sheet xmlns:r="http://schemas.openxmlformats.org/officeDocument/2006/relationships" name="3-2-1-1-0 Compliance" sheetId="4" state="visible" r:id="rId4"/>
    <sheet xmlns:r="http://schemas.openxmlformats.org/officeDocument/2006/relationships" name="Evidence Register" sheetId="5" state="visible" r:id="rId5"/>
    <sheet xmlns:r="http://schemas.openxmlformats.org/officeDocument/2006/relationships" name="Summary Dashboard"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i val="1"/>
      <sz val="10"/>
    </font>
    <font>
      <name val="Calibri"/>
      <b val="1"/>
      <color rgb="00FFFFFF"/>
      <sz val="10"/>
    </font>
    <font>
      <name val="Calibri"/>
      <sz val="10"/>
    </font>
    <font>
      <name val="Calibri"/>
      <b val="1"/>
      <color rgb="00FFFFFF"/>
      <sz val="16"/>
    </font>
    <font>
      <i val="1"/>
      <sz val="10"/>
    </font>
    <font>
      <b val="1"/>
      <sz val="12"/>
    </font>
    <font>
      <name val="Calibri"/>
      <i val="1"/>
      <color rgb="00003366"/>
      <sz val="10"/>
    </font>
    <font>
      <name val="Calibri"/>
      <b val="1"/>
      <sz val="11"/>
    </font>
  </fonts>
  <fills count="13">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s>
  <borders count="2">
    <border>
      <left/>
      <right/>
      <top/>
      <bottom/>
      <diagonal/>
    </border>
    <border>
      <left style="thin"/>
      <right style="thin"/>
      <top style="thin"/>
      <bottom style="thin"/>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9" borderId="0" applyAlignment="1" pivotButton="0" quotePrefix="0" xfId="0">
      <alignment horizontal="center"/>
    </xf>
    <xf numFmtId="0" fontId="4" fillId="10" borderId="1" applyAlignment="1" pivotButton="0" quotePrefix="0" xfId="0">
      <alignment horizontal="center" vertical="center" wrapText="1"/>
    </xf>
    <xf numFmtId="0" fontId="0" fillId="11" borderId="1" pivotButton="0" quotePrefix="0" xfId="0"/>
    <xf numFmtId="0" fontId="0" fillId="12" borderId="1" pivotButton="0" quotePrefix="0" xfId="0"/>
    <xf numFmtId="0" fontId="4" fillId="0" borderId="0" pivotButton="0" quotePrefix="0" xfId="0"/>
    <xf numFmtId="164" fontId="4" fillId="0" borderId="0" pivotButton="0" quotePrefix="0" xfId="0"/>
    <xf numFmtId="0" fontId="1" fillId="8" borderId="1" applyAlignment="1" pivotButton="0" quotePrefix="0" xfId="0">
      <alignment horizontal="center" vertical="center"/>
    </xf>
    <xf numFmtId="0" fontId="6" fillId="0" borderId="1" applyAlignment="1" pivotButton="0" quotePrefix="0" xfId="0">
      <alignment horizontal="left" vertical="center"/>
    </xf>
    <xf numFmtId="0" fontId="7" fillId="8" borderId="1" applyAlignment="1" pivotButton="0" quotePrefix="0" xfId="0">
      <alignment horizontal="center" vertical="center" wrapText="1"/>
    </xf>
    <xf numFmtId="0" fontId="8"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0" fillId="12" borderId="1" applyAlignment="1" pivotButton="0" quotePrefix="0" xfId="0">
      <alignment horizontal="center" vertical="center" wrapText="1"/>
    </xf>
    <xf numFmtId="0" fontId="0" fillId="12" borderId="1" applyAlignment="1" pivotButton="0" quotePrefix="0" xfId="0">
      <alignment horizontal="left" vertical="center" wrapText="1"/>
    </xf>
    <xf numFmtId="0" fontId="9" fillId="8" borderId="0" applyAlignment="1" pivotButton="0" quotePrefix="0" xfId="0">
      <alignment horizontal="center" vertical="center"/>
    </xf>
    <xf numFmtId="0" fontId="10" fillId="0" borderId="0" applyAlignment="1" pivotButton="0" quotePrefix="0" xfId="0">
      <alignment horizontal="center"/>
    </xf>
    <xf numFmtId="0" fontId="5" fillId="9" borderId="0" applyAlignment="1" pivotButton="0" quotePrefix="0" xfId="0">
      <alignment horizontal="left"/>
    </xf>
    <xf numFmtId="0" fontId="11" fillId="0" borderId="0" pivotButton="0" quotePrefix="0" xfId="0"/>
    <xf numFmtId="164" fontId="11" fillId="0" borderId="0" pivotButton="0" quotePrefix="0" xfId="0"/>
    <xf numFmtId="0" fontId="8" fillId="0" borderId="0" pivotButton="0" quotePrefix="0" xfId="0"/>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5" fillId="9" borderId="1" applyAlignment="1" pivotButton="0" quotePrefix="0" xfId="0">
      <alignment horizontal="left" vertical="center"/>
    </xf>
    <xf numFmtId="0" fontId="4" fillId="0" borderId="1" pivotButton="0" quotePrefix="0" xfId="0"/>
    <xf numFmtId="164" fontId="0" fillId="0" borderId="1" pivotButton="0" quotePrefix="0" xfId="0"/>
    <xf numFmtId="0" fontId="5" fillId="8" borderId="1" applyAlignment="1" pivotButton="0" quotePrefix="0" xfId="0">
      <alignment horizontal="left" vertical="center"/>
    </xf>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ISMS-IMP-A.5.30.S1  -  Backup Inventory
ISO/IEC 27001:2022 - Control A.5.30: Information Backup</t>
        </is>
      </c>
    </row>
    <row r="3">
      <c r="A3" s="2" t="inlineStr">
        <is>
          <t>Document Information</t>
        </is>
      </c>
    </row>
    <row r="4">
      <c r="A4" s="3" t="inlineStr">
        <is>
          <t>Document ID</t>
        </is>
      </c>
      <c r="B4" t="inlineStr">
        <is>
          <t>ISMS-IMP-A.5.30.S1</t>
        </is>
      </c>
    </row>
    <row r="5">
      <c r="A5" s="3" t="inlineStr">
        <is>
          <t>Workbook Title</t>
        </is>
      </c>
      <c r="B5" t="inlineStr">
        <is>
          <t>Backup Inventory</t>
        </is>
      </c>
    </row>
    <row r="6">
      <c r="A6" s="3" t="inlineStr">
        <is>
          <t>Control Reference</t>
        </is>
      </c>
      <c r="B6" t="inlineStr">
        <is>
          <t>ISO/IEC 27001:2022 - Control A.5.30: Information Backup</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Populate the Backup Inventory worksheet (document all systems requiring backup).</t>
        </is>
      </c>
    </row>
    <row r="14">
      <c r="A14" t="inlineStr">
        <is>
          <t>2. Complete the RPO Compliance worksheet (compare BIA requirements vs actual frequency).</t>
        </is>
      </c>
    </row>
    <row r="15">
      <c r="A15" t="inlineStr">
        <is>
          <t>3. Assess the 3-2-1-1-0 Compliance worksheet (evaluate backup architecture).</t>
        </is>
      </c>
    </row>
    <row r="16">
      <c r="A16" t="inlineStr">
        <is>
          <t>4. Document evidence in the Evidence Register (minimum 5 items required for audit).</t>
        </is>
      </c>
    </row>
    <row r="17">
      <c r="A17" t="inlineStr">
        <is>
          <t>5. Review the Summary Dashboard for compliance status overview.</t>
        </is>
      </c>
    </row>
    <row r="18">
      <c r="A18" t="inlineStr">
        <is>
          <t>6. Complete the Approval Sign-Off worksheet to obtain formal sign-off.</t>
        </is>
      </c>
    </row>
    <row r="19">
      <c r="A19" t="inlineStr">
        <is>
          <t>7. Re-assess quarterly to track improvements and maintain compliance.</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row r="28">
      <c r="A28" s="2" t="inlineStr">
        <is>
          <t>Acceptable Evidence (examples)</t>
        </is>
      </c>
    </row>
    <row r="29">
      <c r="A29" t="inlineStr">
        <is>
          <t>✓ Backup job configuration screenshots (Veeam, AWS Backup, Azure Backup)</t>
        </is>
      </c>
    </row>
    <row r="30">
      <c r="A30" t="inlineStr">
        <is>
          <t>✓ Backup completion logs and status reports (last 30 days)</t>
        </is>
      </c>
    </row>
    <row r="31">
      <c r="A31" t="inlineStr">
        <is>
          <t>✓ Restore test records with date, system, and outcome</t>
        </is>
      </c>
    </row>
    <row r="32">
      <c r="A32" t="inlineStr">
        <is>
          <t>✓ RPO/RTO definitions from Business Impact Analysis (BIA)</t>
        </is>
      </c>
    </row>
    <row r="33">
      <c r="A33" t="inlineStr">
        <is>
          <t>✓ Cloud storage configuration screenshots (S3 Object Lock, Azure Immutable)</t>
        </is>
      </c>
    </row>
    <row r="34">
      <c r="A34" t="inlineStr">
        <is>
          <t>✓ Offsite backup policy and configuration evidence</t>
        </is>
      </c>
    </row>
    <row r="35">
      <c r="A35" t="inlineStr">
        <is>
          <t>✓ Backup monitoring alerts and notification configuration</t>
        </is>
      </c>
    </row>
    <row r="36">
      <c r="A36" t="inlineStr">
        <is>
          <t>✓ Backup vendor contracts and SLA documents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18" customWidth="1" min="5" max="5"/>
    <col width="18" customWidth="1" min="6" max="6"/>
    <col width="15" customWidth="1" min="7" max="7"/>
    <col width="18" customWidth="1" min="8" max="8"/>
    <col width="15" customWidth="1" min="9" max="9"/>
    <col width="15" customWidth="1" min="10" max="10"/>
    <col width="45" customWidth="1" min="11" max="11"/>
  </cols>
  <sheetData>
    <row r="1" ht="35" customHeight="1">
      <c r="A1" s="11" t="inlineStr">
        <is>
          <t>BACKUP INVENTORY &amp; STATUS</t>
        </is>
      </c>
    </row>
    <row r="2">
      <c r="A2" s="12" t="inlineStr">
        <is>
          <t>Document backup status for all in-scope systems</t>
        </is>
      </c>
    </row>
    <row r="4">
      <c r="A4" s="13" t="inlineStr">
        <is>
          <t>System Name</t>
        </is>
      </c>
      <c r="B4" s="13" t="inlineStr">
        <is>
          <t>Criticality Tier</t>
        </is>
      </c>
      <c r="C4" s="13" t="inlineStr">
        <is>
          <t>Backup Status</t>
        </is>
      </c>
      <c r="D4" s="13" t="inlineStr">
        <is>
          <t>Backup Solution</t>
        </is>
      </c>
      <c r="E4" s="13" t="inlineStr">
        <is>
          <t>Backup Frequency</t>
        </is>
      </c>
      <c r="F4" s="13" t="inlineStr">
        <is>
          <t>Last Backup Date</t>
        </is>
      </c>
      <c r="G4" s="13" t="inlineStr">
        <is>
          <t>Offsite Backup</t>
        </is>
      </c>
      <c r="H4" s="13" t="inlineStr">
        <is>
          <t>Immutable Backup</t>
        </is>
      </c>
      <c r="I4" s="13" t="inlineStr">
        <is>
          <t>Last Test Date</t>
        </is>
      </c>
      <c r="J4" s="13" t="inlineStr">
        <is>
          <t>Test Result</t>
        </is>
      </c>
      <c r="K4" s="13" t="inlineStr">
        <is>
          <t>Notes</t>
        </is>
      </c>
    </row>
    <row r="5">
      <c r="A5" s="14" t="inlineStr">
        <is>
          <t>Web Application (Example)</t>
        </is>
      </c>
      <c r="B5" s="14" t="inlineStr">
        <is>
          <t>Tier 2 - Important</t>
        </is>
      </c>
      <c r="C5" s="14" t="inlineStr">
        <is>
          <t>✅ Backed Up</t>
        </is>
      </c>
      <c r="D5" s="14" t="inlineStr">
        <is>
          <t>Veeam Backup &amp; Replication</t>
        </is>
      </c>
      <c r="E5" s="14" t="inlineStr">
        <is>
          <t>Daily</t>
        </is>
      </c>
      <c r="F5" s="14" t="inlineStr"/>
      <c r="G5" s="14" t="inlineStr">
        <is>
          <t>✅ Yes</t>
        </is>
      </c>
      <c r="H5" s="14" t="inlineStr">
        <is>
          <t>❌ No</t>
        </is>
      </c>
      <c r="I5" s="14" t="inlineStr"/>
      <c r="J5" s="14" t="inlineStr">
        <is>
          <t>➖ Not Tested</t>
        </is>
      </c>
      <c r="K5" s="14" t="inlineStr">
        <is>
          <t>Sample — replace with actual system data</t>
        </is>
      </c>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row r="55">
      <c r="A55" s="15" t="n"/>
      <c r="B55" s="15" t="n"/>
      <c r="C55" s="15" t="n"/>
      <c r="D55" s="15" t="n"/>
      <c r="E55" s="15" t="n"/>
      <c r="F55" s="15" t="n"/>
      <c r="G55" s="15" t="n"/>
      <c r="H55" s="15" t="n"/>
      <c r="I55" s="15" t="n"/>
      <c r="J55" s="15" t="n"/>
      <c r="K55" s="15" t="n"/>
    </row>
    <row r="58">
      <c r="A58" s="12" t="inlineStr">
        <is>
          <t>BACKUP COVERAGE METRICS</t>
        </is>
      </c>
    </row>
    <row r="59">
      <c r="A59" s="16" t="inlineStr">
        <is>
          <t>Total Systems:</t>
        </is>
      </c>
      <c r="B59" s="16">
        <f>COUNTA(A6:A55)</f>
        <v/>
      </c>
    </row>
    <row r="60">
      <c r="A60" s="16" t="inlineStr">
        <is>
          <t>Systems Backed Up:</t>
        </is>
      </c>
      <c r="B60" s="16">
        <f>COUNTIF(C6:C55,"✅*")</f>
        <v/>
      </c>
    </row>
    <row r="61">
      <c r="A61" s="16" t="inlineStr">
        <is>
          <t>Backup Coverage %:</t>
        </is>
      </c>
      <c r="B61" s="17">
        <f>IF(B59&gt;0,B60/B59,0)</f>
        <v/>
      </c>
    </row>
    <row r="62">
      <c r="A62" s="16" t="inlineStr">
        <is>
          <t>Critical Systems (Tier 1):</t>
        </is>
      </c>
      <c r="B62" s="16">
        <f>COUNTIF(B6:B55,"Tier 1*")</f>
        <v/>
      </c>
    </row>
    <row r="63">
      <c r="A63" s="16" t="inlineStr">
        <is>
          <t>Critical Systems Backed Up:</t>
        </is>
      </c>
      <c r="B63" s="16">
        <f>COUNTIFS(B6:B55,"Tier 1*",C6:C55,"✅*")</f>
        <v/>
      </c>
    </row>
    <row r="64">
      <c r="A64" s="16" t="inlineStr">
        <is>
          <t>Critical Coverage %:</t>
        </is>
      </c>
      <c r="B64" s="17">
        <f>IF(B62&gt;0,B63/B62,1)</f>
        <v/>
      </c>
    </row>
  </sheetData>
  <mergeCells count="3">
    <mergeCell ref="A2:K2"/>
    <mergeCell ref="A58:K58"/>
    <mergeCell ref="A1:K1"/>
  </mergeCells>
  <dataValidations count="5">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0" type="list">
      <formula1>"Tier 1 - Critical,Tier 2 - Important,Tier 3 - Standard,Tier 4 - Low"</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0" type="list">
      <formula1>"✅ Backed Up,❌ Not Backed Up,Pending,Migrating"</formula1>
    </dataValidation>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"Continuous,Every 15 min,Hourly,Every 4 hours,Daily,Weekly,Monthly,Other"</formula1>
    </dataValidation>
    <dataValidation sqref="G5 G6 G7 G8 G9 G10 G11 G12 G13 G14 G15 G16 G17 G18 G19 G20 G21 G22 G23 G24 G25 G26 G27 G28 G29 G30 G31 G32 G33 G34 G35 G36 G37 G38 G39 G40 G41 G42 G43 G44 G45 G46 G47 G48 G49 G50 G51 G52 G53 G54 G55 H5 H6 H7 H8 H9 H10 H11 H12 H13 H14 H15 H16 H17 H18 H19 H20 H21 H22 H23 H24 H25 H26 H27 H28 H29 H30 H31 H32 H33 H34 H35 H36 H37 H38 H39 H40 H41 H42 H43 H44 H45 H46 H47 H48 H49 H50 H51 H52 H53 H54 H55" showDropDown="0" showInputMessage="0" showErrorMessage="0" allowBlank="0" type="list">
      <formula1>"✅ Yes,❌ No,➖ N/A"</formula1>
    </dataValidation>
    <dataValidation sqref="J5 J6 J7 J8 J9 J10 J11 J12 J13 J14 J15 J16 J17 J18 J19 J20 J21 J22 J23 J24 J25 J26 J27 J28 J29 J30 J31 J32 J33 J34 J35 J36 J37 J38 J39 J40 J41 J42 J43 J44 J45 J46 J47 J48 J49 J50 J51 J52 J53 J54 J55" showDropDown="0" showInputMessage="0" showErrorMessage="0" allowBlank="0" type="list">
      <formula1>"✅ Success,⚠️ Partial,❌ Failure,➖ 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5"/>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22" customWidth="1" min="3" max="3"/>
    <col width="24" customWidth="1" min="4" max="4"/>
    <col width="18" customWidth="1" min="5" max="5"/>
    <col width="15" customWidth="1" min="6" max="6"/>
    <col width="45" customWidth="1" min="7" max="7"/>
  </cols>
  <sheetData>
    <row r="1" ht="35" customHeight="1">
      <c r="A1" s="11" t="inlineStr">
        <is>
          <t>RPO COMPLIANCE ASSESSMENT</t>
        </is>
      </c>
    </row>
    <row r="2">
      <c r="A2" s="12" t="inlineStr">
        <is>
          <t>Compare RPO requirements (from BIA) vs actual backup capability</t>
        </is>
      </c>
    </row>
    <row r="4">
      <c r="A4" s="13" t="inlineStr">
        <is>
          <t>System Name</t>
        </is>
      </c>
      <c r="B4" s="13" t="inlineStr">
        <is>
          <t>Criticality Tier</t>
        </is>
      </c>
      <c r="C4" s="13" t="inlineStr">
        <is>
          <t>RPO Requirement (hours)</t>
        </is>
      </c>
      <c r="D4" s="13" t="inlineStr">
        <is>
          <t>Backup Frequency (hours)</t>
        </is>
      </c>
      <c r="E4" s="13" t="inlineStr">
        <is>
          <t>RPO Compliant</t>
        </is>
      </c>
      <c r="F4" s="13" t="inlineStr">
        <is>
          <t>Gap (hours)</t>
        </is>
      </c>
      <c r="G4" s="13" t="inlineStr">
        <is>
          <t>Notes</t>
        </is>
      </c>
    </row>
    <row r="5">
      <c r="E5">
        <f>IF(AND(ISNUMBER(C5),ISNUMBER(D5)),IF(D5&lt;=C5,"✅ Compliant","❌ Non-Compliant"),"❓ Unknown")</f>
        <v/>
      </c>
      <c r="F5">
        <f>IF(AND(ISNUMBER(C5),ISNUMBER(D5)),MAX(0,D5-C5),"")</f>
        <v/>
      </c>
    </row>
    <row r="6">
      <c r="E6">
        <f>IF(AND(ISNUMBER(C6),ISNUMBER(D6)),IF(D6&lt;=C6,"✅ Compliant","❌ Non-Compliant"),"❓ Unknown")</f>
        <v/>
      </c>
      <c r="F6">
        <f>IF(AND(ISNUMBER(C6),ISNUMBER(D6)),MAX(0,D6-C6),"")</f>
        <v/>
      </c>
    </row>
    <row r="7">
      <c r="E7">
        <f>IF(AND(ISNUMBER(C7),ISNUMBER(D7)),IF(D7&lt;=C7,"✅ Compliant","❌ Non-Compliant"),"❓ Unknown")</f>
        <v/>
      </c>
      <c r="F7">
        <f>IF(AND(ISNUMBER(C7),ISNUMBER(D7)),MAX(0,D7-C7),"")</f>
        <v/>
      </c>
    </row>
    <row r="8">
      <c r="E8">
        <f>IF(AND(ISNUMBER(C8),ISNUMBER(D8)),IF(D8&lt;=C8,"✅ Compliant","❌ Non-Compliant"),"❓ Unknown")</f>
        <v/>
      </c>
      <c r="F8">
        <f>IF(AND(ISNUMBER(C8),ISNUMBER(D8)),MAX(0,D8-C8),"")</f>
        <v/>
      </c>
    </row>
    <row r="9">
      <c r="E9">
        <f>IF(AND(ISNUMBER(C9),ISNUMBER(D9)),IF(D9&lt;=C9,"✅ Compliant","❌ Non-Compliant"),"❓ Unknown")</f>
        <v/>
      </c>
      <c r="F9">
        <f>IF(AND(ISNUMBER(C9),ISNUMBER(D9)),MAX(0,D9-C9),"")</f>
        <v/>
      </c>
    </row>
    <row r="10">
      <c r="E10">
        <f>IF(AND(ISNUMBER(C10),ISNUMBER(D10)),IF(D10&lt;=C10,"✅ Compliant","❌ Non-Compliant"),"❓ Unknown")</f>
        <v/>
      </c>
      <c r="F10">
        <f>IF(AND(ISNUMBER(C10),ISNUMBER(D10)),MAX(0,D10-C10),"")</f>
        <v/>
      </c>
    </row>
    <row r="11">
      <c r="E11">
        <f>IF(AND(ISNUMBER(C11),ISNUMBER(D11)),IF(D11&lt;=C11,"✅ Compliant","❌ Non-Compliant"),"❓ Unknown")</f>
        <v/>
      </c>
      <c r="F11">
        <f>IF(AND(ISNUMBER(C11),ISNUMBER(D11)),MAX(0,D11-C11),"")</f>
        <v/>
      </c>
    </row>
    <row r="12">
      <c r="E12">
        <f>IF(AND(ISNUMBER(C12),ISNUMBER(D12)),IF(D12&lt;=C12,"✅ Compliant","❌ Non-Compliant"),"❓ Unknown")</f>
        <v/>
      </c>
      <c r="F12">
        <f>IF(AND(ISNUMBER(C12),ISNUMBER(D12)),MAX(0,D12-C12),"")</f>
        <v/>
      </c>
    </row>
    <row r="13">
      <c r="E13">
        <f>IF(AND(ISNUMBER(C13),ISNUMBER(D13)),IF(D13&lt;=C13,"✅ Compliant","❌ Non-Compliant"),"❓ Unknown")</f>
        <v/>
      </c>
      <c r="F13">
        <f>IF(AND(ISNUMBER(C13),ISNUMBER(D13)),MAX(0,D13-C13),"")</f>
        <v/>
      </c>
    </row>
    <row r="14">
      <c r="E14">
        <f>IF(AND(ISNUMBER(C14),ISNUMBER(D14)),IF(D14&lt;=C14,"✅ Compliant","❌ Non-Compliant"),"❓ Unknown")</f>
        <v/>
      </c>
      <c r="F14">
        <f>IF(AND(ISNUMBER(C14),ISNUMBER(D14)),MAX(0,D14-C14),"")</f>
        <v/>
      </c>
    </row>
    <row r="15">
      <c r="E15">
        <f>IF(AND(ISNUMBER(C15),ISNUMBER(D15)),IF(D15&lt;=C15,"✅ Compliant","❌ Non-Compliant"),"❓ Unknown")</f>
        <v/>
      </c>
      <c r="F15">
        <f>IF(AND(ISNUMBER(C15),ISNUMBER(D15)),MAX(0,D15-C15),"")</f>
        <v/>
      </c>
    </row>
    <row r="16">
      <c r="E16">
        <f>IF(AND(ISNUMBER(C16),ISNUMBER(D16)),IF(D16&lt;=C16,"✅ Compliant","❌ Non-Compliant"),"❓ Unknown")</f>
        <v/>
      </c>
      <c r="F16">
        <f>IF(AND(ISNUMBER(C16),ISNUMBER(D16)),MAX(0,D16-C16),"")</f>
        <v/>
      </c>
    </row>
    <row r="17">
      <c r="E17">
        <f>IF(AND(ISNUMBER(C17),ISNUMBER(D17)),IF(D17&lt;=C17,"✅ Compliant","❌ Non-Compliant"),"❓ Unknown")</f>
        <v/>
      </c>
      <c r="F17">
        <f>IF(AND(ISNUMBER(C17),ISNUMBER(D17)),MAX(0,D17-C17),"")</f>
        <v/>
      </c>
    </row>
    <row r="18">
      <c r="E18">
        <f>IF(AND(ISNUMBER(C18),ISNUMBER(D18)),IF(D18&lt;=C18,"✅ Compliant","❌ Non-Compliant"),"❓ Unknown")</f>
        <v/>
      </c>
      <c r="F18">
        <f>IF(AND(ISNUMBER(C18),ISNUMBER(D18)),MAX(0,D18-C18),"")</f>
        <v/>
      </c>
    </row>
    <row r="19">
      <c r="E19">
        <f>IF(AND(ISNUMBER(C19),ISNUMBER(D19)),IF(D19&lt;=C19,"✅ Compliant","❌ Non-Compliant"),"❓ Unknown")</f>
        <v/>
      </c>
      <c r="F19">
        <f>IF(AND(ISNUMBER(C19),ISNUMBER(D19)),MAX(0,D19-C19),"")</f>
        <v/>
      </c>
    </row>
    <row r="20">
      <c r="E20">
        <f>IF(AND(ISNUMBER(C20),ISNUMBER(D20)),IF(D20&lt;=C20,"✅ Compliant","❌ Non-Compliant"),"❓ Unknown")</f>
        <v/>
      </c>
      <c r="F20">
        <f>IF(AND(ISNUMBER(C20),ISNUMBER(D20)),MAX(0,D20-C20),"")</f>
        <v/>
      </c>
    </row>
    <row r="21">
      <c r="E21">
        <f>IF(AND(ISNUMBER(C21),ISNUMBER(D21)),IF(D21&lt;=C21,"✅ Compliant","❌ Non-Compliant"),"❓ Unknown")</f>
        <v/>
      </c>
      <c r="F21">
        <f>IF(AND(ISNUMBER(C21),ISNUMBER(D21)),MAX(0,D21-C21),"")</f>
        <v/>
      </c>
    </row>
    <row r="22">
      <c r="E22">
        <f>IF(AND(ISNUMBER(C22),ISNUMBER(D22)),IF(D22&lt;=C22,"✅ Compliant","❌ Non-Compliant"),"❓ Unknown")</f>
        <v/>
      </c>
      <c r="F22">
        <f>IF(AND(ISNUMBER(C22),ISNUMBER(D22)),MAX(0,D22-C22),"")</f>
        <v/>
      </c>
    </row>
    <row r="23">
      <c r="E23">
        <f>IF(AND(ISNUMBER(C23),ISNUMBER(D23)),IF(D23&lt;=C23,"✅ Compliant","❌ Non-Compliant"),"❓ Unknown")</f>
        <v/>
      </c>
      <c r="F23">
        <f>IF(AND(ISNUMBER(C23),ISNUMBER(D23)),MAX(0,D23-C23),"")</f>
        <v/>
      </c>
    </row>
    <row r="24">
      <c r="E24">
        <f>IF(AND(ISNUMBER(C24),ISNUMBER(D24)),IF(D24&lt;=C24,"✅ Compliant","❌ Non-Compliant"),"❓ Unknown")</f>
        <v/>
      </c>
      <c r="F24">
        <f>IF(AND(ISNUMBER(C24),ISNUMBER(D24)),MAX(0,D24-C24),"")</f>
        <v/>
      </c>
    </row>
    <row r="25">
      <c r="E25">
        <f>IF(AND(ISNUMBER(C25),ISNUMBER(D25)),IF(D25&lt;=C25,"✅ Compliant","❌ Non-Compliant"),"❓ Unknown")</f>
        <v/>
      </c>
      <c r="F25">
        <f>IF(AND(ISNUMBER(C25),ISNUMBER(D25)),MAX(0,D25-C25),"")</f>
        <v/>
      </c>
    </row>
    <row r="26">
      <c r="E26">
        <f>IF(AND(ISNUMBER(C26),ISNUMBER(D26)),IF(D26&lt;=C26,"✅ Compliant","❌ Non-Compliant"),"❓ Unknown")</f>
        <v/>
      </c>
      <c r="F26">
        <f>IF(AND(ISNUMBER(C26),ISNUMBER(D26)),MAX(0,D26-C26),"")</f>
        <v/>
      </c>
    </row>
    <row r="27">
      <c r="E27">
        <f>IF(AND(ISNUMBER(C27),ISNUMBER(D27)),IF(D27&lt;=C27,"✅ Compliant","❌ Non-Compliant"),"❓ Unknown")</f>
        <v/>
      </c>
      <c r="F27">
        <f>IF(AND(ISNUMBER(C27),ISNUMBER(D27)),MAX(0,D27-C27),"")</f>
        <v/>
      </c>
    </row>
    <row r="28">
      <c r="E28">
        <f>IF(AND(ISNUMBER(C28),ISNUMBER(D28)),IF(D28&lt;=C28,"✅ Compliant","❌ Non-Compliant"),"❓ Unknown")</f>
        <v/>
      </c>
      <c r="F28">
        <f>IF(AND(ISNUMBER(C28),ISNUMBER(D28)),MAX(0,D28-C28),"")</f>
        <v/>
      </c>
    </row>
    <row r="29">
      <c r="E29">
        <f>IF(AND(ISNUMBER(C29),ISNUMBER(D29)),IF(D29&lt;=C29,"✅ Compliant","❌ Non-Compliant"),"❓ Unknown")</f>
        <v/>
      </c>
      <c r="F29">
        <f>IF(AND(ISNUMBER(C29),ISNUMBER(D29)),MAX(0,D29-C29),"")</f>
        <v/>
      </c>
    </row>
    <row r="30">
      <c r="E30">
        <f>IF(AND(ISNUMBER(C30),ISNUMBER(D30)),IF(D30&lt;=C30,"✅ Compliant","❌ Non-Compliant"),"❓ Unknown")</f>
        <v/>
      </c>
      <c r="F30">
        <f>IF(AND(ISNUMBER(C30),ISNUMBER(D30)),MAX(0,D30-C30),"")</f>
        <v/>
      </c>
    </row>
    <row r="31">
      <c r="E31">
        <f>IF(AND(ISNUMBER(C31),ISNUMBER(D31)),IF(D31&lt;=C31,"✅ Compliant","❌ Non-Compliant"),"❓ Unknown")</f>
        <v/>
      </c>
      <c r="F31">
        <f>IF(AND(ISNUMBER(C31),ISNUMBER(D31)),MAX(0,D31-C31),"")</f>
        <v/>
      </c>
    </row>
    <row r="32">
      <c r="E32">
        <f>IF(AND(ISNUMBER(C32),ISNUMBER(D32)),IF(D32&lt;=C32,"✅ Compliant","❌ Non-Compliant"),"❓ Unknown")</f>
        <v/>
      </c>
      <c r="F32">
        <f>IF(AND(ISNUMBER(C32),ISNUMBER(D32)),MAX(0,D32-C32),"")</f>
        <v/>
      </c>
    </row>
    <row r="33">
      <c r="E33">
        <f>IF(AND(ISNUMBER(C33),ISNUMBER(D33)),IF(D33&lt;=C33,"✅ Compliant","❌ Non-Compliant"),"❓ Unknown")</f>
        <v/>
      </c>
      <c r="F33">
        <f>IF(AND(ISNUMBER(C33),ISNUMBER(D33)),MAX(0,D33-C33),"")</f>
        <v/>
      </c>
    </row>
    <row r="34">
      <c r="E34">
        <f>IF(AND(ISNUMBER(C34),ISNUMBER(D34)),IF(D34&lt;=C34,"✅ Compliant","❌ Non-Compliant"),"❓ Unknown")</f>
        <v/>
      </c>
      <c r="F34">
        <f>IF(AND(ISNUMBER(C34),ISNUMBER(D34)),MAX(0,D34-C34),"")</f>
        <v/>
      </c>
    </row>
    <row r="35">
      <c r="E35">
        <f>IF(AND(ISNUMBER(C35),ISNUMBER(D35)),IF(D35&lt;=C35,"✅ Compliant","❌ Non-Compliant"),"❓ Unknown")</f>
        <v/>
      </c>
      <c r="F35">
        <f>IF(AND(ISNUMBER(C35),ISNUMBER(D35)),MAX(0,D35-C35),"")</f>
        <v/>
      </c>
    </row>
    <row r="36">
      <c r="E36">
        <f>IF(AND(ISNUMBER(C36),ISNUMBER(D36)),IF(D36&lt;=C36,"✅ Compliant","❌ Non-Compliant"),"❓ Unknown")</f>
        <v/>
      </c>
      <c r="F36">
        <f>IF(AND(ISNUMBER(C36),ISNUMBER(D36)),MAX(0,D36-C36),"")</f>
        <v/>
      </c>
    </row>
    <row r="37">
      <c r="E37">
        <f>IF(AND(ISNUMBER(C37),ISNUMBER(D37)),IF(D37&lt;=C37,"✅ Compliant","❌ Non-Compliant"),"❓ Unknown")</f>
        <v/>
      </c>
      <c r="F37">
        <f>IF(AND(ISNUMBER(C37),ISNUMBER(D37)),MAX(0,D37-C37),"")</f>
        <v/>
      </c>
    </row>
    <row r="38">
      <c r="E38">
        <f>IF(AND(ISNUMBER(C38),ISNUMBER(D38)),IF(D38&lt;=C38,"✅ Compliant","❌ Non-Compliant"),"❓ Unknown")</f>
        <v/>
      </c>
      <c r="F38">
        <f>IF(AND(ISNUMBER(C38),ISNUMBER(D38)),MAX(0,D38-C38),"")</f>
        <v/>
      </c>
    </row>
    <row r="39">
      <c r="E39">
        <f>IF(AND(ISNUMBER(C39),ISNUMBER(D39)),IF(D39&lt;=C39,"✅ Compliant","❌ Non-Compliant"),"❓ Unknown")</f>
        <v/>
      </c>
      <c r="F39">
        <f>IF(AND(ISNUMBER(C39),ISNUMBER(D39)),MAX(0,D39-C39),"")</f>
        <v/>
      </c>
    </row>
    <row r="40">
      <c r="E40">
        <f>IF(AND(ISNUMBER(C40),ISNUMBER(D40)),IF(D40&lt;=C40,"✅ Compliant","❌ Non-Compliant"),"❓ Unknown")</f>
        <v/>
      </c>
      <c r="F40">
        <f>IF(AND(ISNUMBER(C40),ISNUMBER(D40)),MAX(0,D40-C40),"")</f>
        <v/>
      </c>
    </row>
    <row r="41">
      <c r="E41">
        <f>IF(AND(ISNUMBER(C41),ISNUMBER(D41)),IF(D41&lt;=C41,"✅ Compliant","❌ Non-Compliant"),"❓ Unknown")</f>
        <v/>
      </c>
      <c r="F41">
        <f>IF(AND(ISNUMBER(C41),ISNUMBER(D41)),MAX(0,D41-C41),"")</f>
        <v/>
      </c>
    </row>
    <row r="42">
      <c r="E42">
        <f>IF(AND(ISNUMBER(C42),ISNUMBER(D42)),IF(D42&lt;=C42,"✅ Compliant","❌ Non-Compliant"),"❓ Unknown")</f>
        <v/>
      </c>
      <c r="F42">
        <f>IF(AND(ISNUMBER(C42),ISNUMBER(D42)),MAX(0,D42-C42),"")</f>
        <v/>
      </c>
    </row>
    <row r="43">
      <c r="E43">
        <f>IF(AND(ISNUMBER(C43),ISNUMBER(D43)),IF(D43&lt;=C43,"✅ Compliant","❌ Non-Compliant"),"❓ Unknown")</f>
        <v/>
      </c>
      <c r="F43">
        <f>IF(AND(ISNUMBER(C43),ISNUMBER(D43)),MAX(0,D43-C43),"")</f>
        <v/>
      </c>
    </row>
    <row r="44">
      <c r="E44">
        <f>IF(AND(ISNUMBER(C44),ISNUMBER(D44)),IF(D44&lt;=C44,"✅ Compliant","❌ Non-Compliant"),"❓ Unknown")</f>
        <v/>
      </c>
      <c r="F44">
        <f>IF(AND(ISNUMBER(C44),ISNUMBER(D44)),MAX(0,D44-C44),"")</f>
        <v/>
      </c>
    </row>
    <row r="45">
      <c r="E45">
        <f>IF(AND(ISNUMBER(C45),ISNUMBER(D45)),IF(D45&lt;=C45,"✅ Compliant","❌ Non-Compliant"),"❓ Unknown")</f>
        <v/>
      </c>
      <c r="F45">
        <f>IF(AND(ISNUMBER(C45),ISNUMBER(D45)),MAX(0,D45-C45),"")</f>
        <v/>
      </c>
    </row>
    <row r="46">
      <c r="E46">
        <f>IF(AND(ISNUMBER(C46),ISNUMBER(D46)),IF(D46&lt;=C46,"✅ Compliant","❌ Non-Compliant"),"❓ Unknown")</f>
        <v/>
      </c>
      <c r="F46">
        <f>IF(AND(ISNUMBER(C46),ISNUMBER(D46)),MAX(0,D46-C46),"")</f>
        <v/>
      </c>
    </row>
    <row r="47">
      <c r="E47">
        <f>IF(AND(ISNUMBER(C47),ISNUMBER(D47)),IF(D47&lt;=C47,"✅ Compliant","❌ Non-Compliant"),"❓ Unknown")</f>
        <v/>
      </c>
      <c r="F47">
        <f>IF(AND(ISNUMBER(C47),ISNUMBER(D47)),MAX(0,D47-C47),"")</f>
        <v/>
      </c>
    </row>
    <row r="48">
      <c r="E48">
        <f>IF(AND(ISNUMBER(C48),ISNUMBER(D48)),IF(D48&lt;=C48,"✅ Compliant","❌ Non-Compliant"),"❓ Unknown")</f>
        <v/>
      </c>
      <c r="F48">
        <f>IF(AND(ISNUMBER(C48),ISNUMBER(D48)),MAX(0,D48-C48),"")</f>
        <v/>
      </c>
    </row>
    <row r="49">
      <c r="E49">
        <f>IF(AND(ISNUMBER(C49),ISNUMBER(D49)),IF(D49&lt;=C49,"✅ Compliant","❌ Non-Compliant"),"❓ Unknown")</f>
        <v/>
      </c>
      <c r="F49">
        <f>IF(AND(ISNUMBER(C49),ISNUMBER(D49)),MAX(0,D49-C49),"")</f>
        <v/>
      </c>
    </row>
    <row r="50">
      <c r="E50">
        <f>IF(AND(ISNUMBER(C50),ISNUMBER(D50)),IF(D50&lt;=C50,"✅ Compliant","❌ Non-Compliant"),"❓ Unknown")</f>
        <v/>
      </c>
      <c r="F50">
        <f>IF(AND(ISNUMBER(C50),ISNUMBER(D50)),MAX(0,D50-C50),"")</f>
        <v/>
      </c>
    </row>
    <row r="51">
      <c r="E51">
        <f>IF(AND(ISNUMBER(C51),ISNUMBER(D51)),IF(D51&lt;=C51,"✅ Compliant","❌ Non-Compliant"),"❓ Unknown")</f>
        <v/>
      </c>
      <c r="F51">
        <f>IF(AND(ISNUMBER(C51),ISNUMBER(D51)),MAX(0,D51-C51),"")</f>
        <v/>
      </c>
    </row>
    <row r="52">
      <c r="E52">
        <f>IF(AND(ISNUMBER(C52),ISNUMBER(D52)),IF(D52&lt;=C52,"✅ Compliant","❌ Non-Compliant"),"❓ Unknown")</f>
        <v/>
      </c>
      <c r="F52">
        <f>IF(AND(ISNUMBER(C52),ISNUMBER(D52)),MAX(0,D52-C52),"")</f>
        <v/>
      </c>
    </row>
    <row r="53">
      <c r="E53">
        <f>IF(AND(ISNUMBER(C53),ISNUMBER(D53)),IF(D53&lt;=C53,"✅ Compliant","❌ Non-Compliant"),"❓ Unknown")</f>
        <v/>
      </c>
      <c r="F53">
        <f>IF(AND(ISNUMBER(C53),ISNUMBER(D53)),MAX(0,D53-C53),"")</f>
        <v/>
      </c>
    </row>
    <row r="54">
      <c r="E54">
        <f>IF(AND(ISNUMBER(C54),ISNUMBER(D54)),IF(D54&lt;=C54,"✅ Compliant","❌ Non-Compliant"),"❓ Unknown")</f>
        <v/>
      </c>
      <c r="F54">
        <f>IF(AND(ISNUMBER(C54),ISNUMBER(D54)),MAX(0,D54-C54),"")</f>
        <v/>
      </c>
    </row>
    <row r="55">
      <c r="E55">
        <f>IF(AND(ISNUMBER(C55),ISNUMBER(D55)),IF(D55&lt;=C55,"✅ Compliant","❌ Non-Compliant"),"❓ Unknown")</f>
        <v/>
      </c>
      <c r="F55">
        <f>IF(AND(ISNUMBER(C55),ISNUMBER(D55)),MAX(0,D55-C55),"")</f>
        <v/>
      </c>
    </row>
    <row r="56">
      <c r="E56">
        <f>IF(AND(ISNUMBER(C56),ISNUMBER(D56)),IF(D56&lt;=C56,"✅ Compliant","❌ Non-Compliant"),"❓ Unknown")</f>
        <v/>
      </c>
      <c r="F56">
        <f>IF(AND(ISNUMBER(C56),ISNUMBER(D56)),MAX(0,D56-C56),"")</f>
        <v/>
      </c>
    </row>
    <row r="57">
      <c r="E57">
        <f>IF(AND(ISNUMBER(C57),ISNUMBER(D57)),IF(D57&lt;=C57,"✅ Compliant","❌ Non-Compliant"),"❓ Unknown")</f>
        <v/>
      </c>
      <c r="F57">
        <f>IF(AND(ISNUMBER(C57),ISNUMBER(D57)),MAX(0,D57-C57),"")</f>
        <v/>
      </c>
    </row>
    <row r="58">
      <c r="E58">
        <f>IF(AND(ISNUMBER(C58),ISNUMBER(D58)),IF(D58&lt;=C58,"✅ Compliant","❌ Non-Compliant"),"❓ Unknown")</f>
        <v/>
      </c>
      <c r="F58">
        <f>IF(AND(ISNUMBER(C58),ISNUMBER(D58)),MAX(0,D58-C58),"")</f>
        <v/>
      </c>
    </row>
    <row r="59">
      <c r="E59">
        <f>IF(AND(ISNUMBER(C59),ISNUMBER(D59)),IF(D59&lt;=C59,"✅ Compliant","❌ Non-Compliant"),"❓ Unknown")</f>
        <v/>
      </c>
      <c r="F59">
        <f>IF(AND(ISNUMBER(C59),ISNUMBER(D59)),MAX(0,D59-C59),"")</f>
        <v/>
      </c>
    </row>
    <row r="60">
      <c r="E60">
        <f>IF(AND(ISNUMBER(C60),ISNUMBER(D60)),IF(D60&lt;=C60,"✅ Compliant","❌ Non-Compliant"),"❓ Unknown")</f>
        <v/>
      </c>
      <c r="F60">
        <f>IF(AND(ISNUMBER(C60),ISNUMBER(D60)),MAX(0,D60-C60),"")</f>
        <v/>
      </c>
    </row>
    <row r="61">
      <c r="E61">
        <f>IF(AND(ISNUMBER(C61),ISNUMBER(D61)),IF(D61&lt;=C61,"✅ Compliant","❌ Non-Compliant"),"❓ Unknown")</f>
        <v/>
      </c>
      <c r="F61">
        <f>IF(AND(ISNUMBER(C61),ISNUMBER(D61)),MAX(0,D61-C61),"")</f>
        <v/>
      </c>
    </row>
    <row r="62">
      <c r="E62">
        <f>IF(AND(ISNUMBER(C62),ISNUMBER(D62)),IF(D62&lt;=C62,"✅ Compliant","❌ Non-Compliant"),"❓ Unknown")</f>
        <v/>
      </c>
      <c r="F62">
        <f>IF(AND(ISNUMBER(C62),ISNUMBER(D62)),MAX(0,D62-C62),"")</f>
        <v/>
      </c>
    </row>
    <row r="63">
      <c r="E63">
        <f>IF(AND(ISNUMBER(C63),ISNUMBER(D63)),IF(D63&lt;=C63,"✅ Compliant","❌ Non-Compliant"),"❓ Unknown")</f>
        <v/>
      </c>
      <c r="F63">
        <f>IF(AND(ISNUMBER(C63),ISNUMBER(D63)),MAX(0,D63-C63),"")</f>
        <v/>
      </c>
    </row>
    <row r="64">
      <c r="E64">
        <f>IF(AND(ISNUMBER(C64),ISNUMBER(D64)),IF(D64&lt;=C64,"✅ Compliant","❌ Non-Compliant"),"❓ Unknown")</f>
        <v/>
      </c>
      <c r="F64">
        <f>IF(AND(ISNUMBER(C64),ISNUMBER(D64)),MAX(0,D64-C64),"")</f>
        <v/>
      </c>
    </row>
    <row r="65">
      <c r="E65">
        <f>IF(AND(ISNUMBER(C65),ISNUMBER(D65)),IF(D65&lt;=C65,"✅ Compliant","❌ Non-Compliant"),"❓ Unknown")</f>
        <v/>
      </c>
      <c r="F65">
        <f>IF(AND(ISNUMBER(C65),ISNUMBER(D65)),MAX(0,D65-C65),"")</f>
        <v/>
      </c>
    </row>
    <row r="66">
      <c r="E66">
        <f>IF(AND(ISNUMBER(C66),ISNUMBER(D66)),IF(D66&lt;=C66,"✅ Compliant","❌ Non-Compliant"),"❓ Unknown")</f>
        <v/>
      </c>
      <c r="F66">
        <f>IF(AND(ISNUMBER(C66),ISNUMBER(D66)),MAX(0,D66-C66),"")</f>
        <v/>
      </c>
    </row>
    <row r="67">
      <c r="E67">
        <f>IF(AND(ISNUMBER(C67),ISNUMBER(D67)),IF(D67&lt;=C67,"✅ Compliant","❌ Non-Compliant"),"❓ Unknown")</f>
        <v/>
      </c>
      <c r="F67">
        <f>IF(AND(ISNUMBER(C67),ISNUMBER(D67)),MAX(0,D67-C67),"")</f>
        <v/>
      </c>
    </row>
    <row r="68">
      <c r="E68">
        <f>IF(AND(ISNUMBER(C68),ISNUMBER(D68)),IF(D68&lt;=C68,"✅ Compliant","❌ Non-Compliant"),"❓ Unknown")</f>
        <v/>
      </c>
      <c r="F68">
        <f>IF(AND(ISNUMBER(C68),ISNUMBER(D68)),MAX(0,D68-C68),"")</f>
        <v/>
      </c>
    </row>
    <row r="69">
      <c r="E69">
        <f>IF(AND(ISNUMBER(C69),ISNUMBER(D69)),IF(D69&lt;=C69,"✅ Compliant","❌ Non-Compliant"),"❓ Unknown")</f>
        <v/>
      </c>
      <c r="F69">
        <f>IF(AND(ISNUMBER(C69),ISNUMBER(D69)),MAX(0,D69-C69),"")</f>
        <v/>
      </c>
    </row>
    <row r="70">
      <c r="E70">
        <f>IF(AND(ISNUMBER(C70),ISNUMBER(D70)),IF(D70&lt;=C70,"✅ Compliant","❌ Non-Compliant"),"❓ Unknown")</f>
        <v/>
      </c>
      <c r="F70">
        <f>IF(AND(ISNUMBER(C70),ISNUMBER(D70)),MAX(0,D70-C70),"")</f>
        <v/>
      </c>
    </row>
    <row r="71">
      <c r="E71">
        <f>IF(AND(ISNUMBER(C71),ISNUMBER(D71)),IF(D71&lt;=C71,"✅ Compliant","❌ Non-Compliant"),"❓ Unknown")</f>
        <v/>
      </c>
      <c r="F71">
        <f>IF(AND(ISNUMBER(C71),ISNUMBER(D71)),MAX(0,D71-C71),"")</f>
        <v/>
      </c>
    </row>
    <row r="72">
      <c r="E72">
        <f>IF(AND(ISNUMBER(C72),ISNUMBER(D72)),IF(D72&lt;=C72,"✅ Compliant","❌ Non-Compliant"),"❓ Unknown")</f>
        <v/>
      </c>
      <c r="F72">
        <f>IF(AND(ISNUMBER(C72),ISNUMBER(D72)),MAX(0,D72-C72),"")</f>
        <v/>
      </c>
    </row>
    <row r="73">
      <c r="E73">
        <f>IF(AND(ISNUMBER(C73),ISNUMBER(D73)),IF(D73&lt;=C73,"✅ Compliant","❌ Non-Compliant"),"❓ Unknown")</f>
        <v/>
      </c>
      <c r="F73">
        <f>IF(AND(ISNUMBER(C73),ISNUMBER(D73)),MAX(0,D73-C73),"")</f>
        <v/>
      </c>
    </row>
    <row r="74">
      <c r="E74">
        <f>IF(AND(ISNUMBER(C74),ISNUMBER(D74)),IF(D74&lt;=C74,"✅ Compliant","❌ Non-Compliant"),"❓ Unknown")</f>
        <v/>
      </c>
      <c r="F74">
        <f>IF(AND(ISNUMBER(C74),ISNUMBER(D74)),MAX(0,D74-C74),"")</f>
        <v/>
      </c>
    </row>
    <row r="75">
      <c r="E75">
        <f>IF(AND(ISNUMBER(C75),ISNUMBER(D75)),IF(D75&lt;=C75,"✅ Compliant","❌ Non-Compliant"),"❓ Unknown")</f>
        <v/>
      </c>
      <c r="F75">
        <f>IF(AND(ISNUMBER(C75),ISNUMBER(D75)),MAX(0,D75-C75),"")</f>
        <v/>
      </c>
    </row>
    <row r="76">
      <c r="E76">
        <f>IF(AND(ISNUMBER(C76),ISNUMBER(D76)),IF(D76&lt;=C76,"✅ Compliant","❌ Non-Compliant"),"❓ Unknown")</f>
        <v/>
      </c>
      <c r="F76">
        <f>IF(AND(ISNUMBER(C76),ISNUMBER(D76)),MAX(0,D76-C76),"")</f>
        <v/>
      </c>
    </row>
    <row r="77">
      <c r="E77">
        <f>IF(AND(ISNUMBER(C77),ISNUMBER(D77)),IF(D77&lt;=C77,"✅ Compliant","❌ Non-Compliant"),"❓ Unknown")</f>
        <v/>
      </c>
      <c r="F77">
        <f>IF(AND(ISNUMBER(C77),ISNUMBER(D77)),MAX(0,D77-C77),"")</f>
        <v/>
      </c>
    </row>
    <row r="78">
      <c r="E78">
        <f>IF(AND(ISNUMBER(C78),ISNUMBER(D78)),IF(D78&lt;=C78,"✅ Compliant","❌ Non-Compliant"),"❓ Unknown")</f>
        <v/>
      </c>
      <c r="F78">
        <f>IF(AND(ISNUMBER(C78),ISNUMBER(D78)),MAX(0,D78-C78),"")</f>
        <v/>
      </c>
    </row>
    <row r="79">
      <c r="E79">
        <f>IF(AND(ISNUMBER(C79),ISNUMBER(D79)),IF(D79&lt;=C79,"✅ Compliant","❌ Non-Compliant"),"❓ Unknown")</f>
        <v/>
      </c>
      <c r="F79">
        <f>IF(AND(ISNUMBER(C79),ISNUMBER(D79)),MAX(0,D79-C79),"")</f>
        <v/>
      </c>
    </row>
    <row r="80">
      <c r="E80">
        <f>IF(AND(ISNUMBER(C80),ISNUMBER(D80)),IF(D80&lt;=C80,"✅ Compliant","❌ Non-Compliant"),"❓ Unknown")</f>
        <v/>
      </c>
      <c r="F80">
        <f>IF(AND(ISNUMBER(C80),ISNUMBER(D80)),MAX(0,D80-C80),"")</f>
        <v/>
      </c>
    </row>
    <row r="81">
      <c r="E81">
        <f>IF(AND(ISNUMBER(C81),ISNUMBER(D81)),IF(D81&lt;=C81,"✅ Compliant","❌ Non-Compliant"),"❓ Unknown")</f>
        <v/>
      </c>
      <c r="F81">
        <f>IF(AND(ISNUMBER(C81),ISNUMBER(D81)),MAX(0,D81-C81),"")</f>
        <v/>
      </c>
    </row>
    <row r="82">
      <c r="E82">
        <f>IF(AND(ISNUMBER(C82),ISNUMBER(D82)),IF(D82&lt;=C82,"✅ Compliant","❌ Non-Compliant"),"❓ Unknown")</f>
        <v/>
      </c>
      <c r="F82">
        <f>IF(AND(ISNUMBER(C82),ISNUMBER(D82)),MAX(0,D82-C82),"")</f>
        <v/>
      </c>
    </row>
    <row r="83">
      <c r="E83">
        <f>IF(AND(ISNUMBER(C83),ISNUMBER(D83)),IF(D83&lt;=C83,"✅ Compliant","❌ Non-Compliant"),"❓ Unknown")</f>
        <v/>
      </c>
      <c r="F83">
        <f>IF(AND(ISNUMBER(C83),ISNUMBER(D83)),MAX(0,D83-C83),"")</f>
        <v/>
      </c>
    </row>
    <row r="84">
      <c r="E84">
        <f>IF(AND(ISNUMBER(C84),ISNUMBER(D84)),IF(D84&lt;=C84,"✅ Compliant","❌ Non-Compliant"),"❓ Unknown")</f>
        <v/>
      </c>
      <c r="F84">
        <f>IF(AND(ISNUMBER(C84),ISNUMBER(D84)),MAX(0,D84-C84),"")</f>
        <v/>
      </c>
    </row>
    <row r="85">
      <c r="E85">
        <f>IF(AND(ISNUMBER(C85),ISNUMBER(D85)),IF(D85&lt;=C85,"✅ Compliant","❌ Non-Compliant"),"❓ Unknown")</f>
        <v/>
      </c>
      <c r="F85">
        <f>IF(AND(ISNUMBER(C85),ISNUMBER(D85)),MAX(0,D85-C85),"")</f>
        <v/>
      </c>
    </row>
    <row r="86">
      <c r="E86">
        <f>IF(AND(ISNUMBER(C86),ISNUMBER(D86)),IF(D86&lt;=C86,"✅ Compliant","❌ Non-Compliant"),"❓ Unknown")</f>
        <v/>
      </c>
      <c r="F86">
        <f>IF(AND(ISNUMBER(C86),ISNUMBER(D86)),MAX(0,D86-C86),"")</f>
        <v/>
      </c>
    </row>
    <row r="87">
      <c r="E87">
        <f>IF(AND(ISNUMBER(C87),ISNUMBER(D87)),IF(D87&lt;=C87,"✅ Compliant","❌ Non-Compliant"),"❓ Unknown")</f>
        <v/>
      </c>
      <c r="F87">
        <f>IF(AND(ISNUMBER(C87),ISNUMBER(D87)),MAX(0,D87-C87),"")</f>
        <v/>
      </c>
    </row>
    <row r="88">
      <c r="E88">
        <f>IF(AND(ISNUMBER(C88),ISNUMBER(D88)),IF(D88&lt;=C88,"✅ Compliant","❌ Non-Compliant"),"❓ Unknown")</f>
        <v/>
      </c>
      <c r="F88">
        <f>IF(AND(ISNUMBER(C88),ISNUMBER(D88)),MAX(0,D88-C88),"")</f>
        <v/>
      </c>
    </row>
    <row r="89">
      <c r="E89">
        <f>IF(AND(ISNUMBER(C89),ISNUMBER(D89)),IF(D89&lt;=C89,"✅ Compliant","❌ Non-Compliant"),"❓ Unknown")</f>
        <v/>
      </c>
      <c r="F89">
        <f>IF(AND(ISNUMBER(C89),ISNUMBER(D89)),MAX(0,D89-C89),"")</f>
        <v/>
      </c>
    </row>
    <row r="90">
      <c r="E90">
        <f>IF(AND(ISNUMBER(C90),ISNUMBER(D90)),IF(D90&lt;=C90,"✅ Compliant","❌ Non-Compliant"),"❓ Unknown")</f>
        <v/>
      </c>
      <c r="F90">
        <f>IF(AND(ISNUMBER(C90),ISNUMBER(D90)),MAX(0,D90-C90),"")</f>
        <v/>
      </c>
    </row>
    <row r="91">
      <c r="E91">
        <f>IF(AND(ISNUMBER(C91),ISNUMBER(D91)),IF(D91&lt;=C91,"✅ Compliant","❌ Non-Compliant"),"❓ Unknown")</f>
        <v/>
      </c>
      <c r="F91">
        <f>IF(AND(ISNUMBER(C91),ISNUMBER(D91)),MAX(0,D91-C91),"")</f>
        <v/>
      </c>
    </row>
    <row r="92">
      <c r="E92">
        <f>IF(AND(ISNUMBER(C92),ISNUMBER(D92)),IF(D92&lt;=C92,"✅ Compliant","❌ Non-Compliant"),"❓ Unknown")</f>
        <v/>
      </c>
      <c r="F92">
        <f>IF(AND(ISNUMBER(C92),ISNUMBER(D92)),MAX(0,D92-C92),"")</f>
        <v/>
      </c>
    </row>
    <row r="93">
      <c r="E93">
        <f>IF(AND(ISNUMBER(C93),ISNUMBER(D93)),IF(D93&lt;=C93,"✅ Compliant","❌ Non-Compliant"),"❓ Unknown")</f>
        <v/>
      </c>
      <c r="F93">
        <f>IF(AND(ISNUMBER(C93),ISNUMBER(D93)),MAX(0,D93-C93),"")</f>
        <v/>
      </c>
    </row>
    <row r="94">
      <c r="E94">
        <f>IF(AND(ISNUMBER(C94),ISNUMBER(D94)),IF(D94&lt;=C94,"✅ Compliant","❌ Non-Compliant"),"❓ Unknown")</f>
        <v/>
      </c>
      <c r="F94">
        <f>IF(AND(ISNUMBER(C94),ISNUMBER(D94)),MAX(0,D94-C94),"")</f>
        <v/>
      </c>
    </row>
    <row r="95">
      <c r="E95">
        <f>IF(AND(ISNUMBER(C95),ISNUMBER(D95)),IF(D95&lt;=C95,"✅ Compliant","❌ Non-Compliant"),"❓ Unknown")</f>
        <v/>
      </c>
      <c r="F95">
        <f>IF(AND(ISNUMBER(C95),ISNUMBER(D95)),MAX(0,D95-C95),"")</f>
        <v/>
      </c>
    </row>
    <row r="96">
      <c r="E96">
        <f>IF(AND(ISNUMBER(C96),ISNUMBER(D96)),IF(D96&lt;=C96,"✅ Compliant","❌ Non-Compliant"),"❓ Unknown")</f>
        <v/>
      </c>
      <c r="F96">
        <f>IF(AND(ISNUMBER(C96),ISNUMBER(D96)),MAX(0,D96-C96),"")</f>
        <v/>
      </c>
    </row>
    <row r="97">
      <c r="E97">
        <f>IF(AND(ISNUMBER(C97),ISNUMBER(D97)),IF(D97&lt;=C97,"✅ Compliant","❌ Non-Compliant"),"❓ Unknown")</f>
        <v/>
      </c>
      <c r="F97">
        <f>IF(AND(ISNUMBER(C97),ISNUMBER(D97)),MAX(0,D97-C97),"")</f>
        <v/>
      </c>
    </row>
    <row r="98">
      <c r="E98">
        <f>IF(AND(ISNUMBER(C98),ISNUMBER(D98)),IF(D98&lt;=C98,"✅ Compliant","❌ Non-Compliant"),"❓ Unknown")</f>
        <v/>
      </c>
      <c r="F98">
        <f>IF(AND(ISNUMBER(C98),ISNUMBER(D98)),MAX(0,D98-C98),"")</f>
        <v/>
      </c>
    </row>
    <row r="99">
      <c r="E99">
        <f>IF(AND(ISNUMBER(C99),ISNUMBER(D99)),IF(D99&lt;=C99,"✅ Compliant","❌ Non-Compliant"),"❓ Unknown")</f>
        <v/>
      </c>
      <c r="F99">
        <f>IF(AND(ISNUMBER(C99),ISNUMBER(D99)),MAX(0,D99-C99),"")</f>
        <v/>
      </c>
    </row>
    <row r="100">
      <c r="E100">
        <f>IF(AND(ISNUMBER(C100),ISNUMBER(D100)),IF(D100&lt;=C100,"✅ Compliant","❌ Non-Compliant"),"❓ Unknown")</f>
        <v/>
      </c>
      <c r="F100">
        <f>IF(AND(ISNUMBER(C100),ISNUMBER(D100)),MAX(0,D100-C100),"")</f>
        <v/>
      </c>
    </row>
    <row r="101">
      <c r="E101">
        <f>IF(AND(ISNUMBER(C101),ISNUMBER(D101)),IF(D101&lt;=C101,"✅ Compliant","❌ Non-Compliant"),"❓ Unknown")</f>
        <v/>
      </c>
      <c r="F101">
        <f>IF(AND(ISNUMBER(C101),ISNUMBER(D101)),MAX(0,D101-C101),"")</f>
        <v/>
      </c>
    </row>
    <row r="102">
      <c r="E102">
        <f>IF(AND(ISNUMBER(C102),ISNUMBER(D102)),IF(D102&lt;=C102,"✅ Compliant","❌ Non-Compliant"),"❓ Unknown")</f>
        <v/>
      </c>
      <c r="F102">
        <f>IF(AND(ISNUMBER(C102),ISNUMBER(D102)),MAX(0,D102-C102),"")</f>
        <v/>
      </c>
    </row>
    <row r="103">
      <c r="E103">
        <f>IF(AND(ISNUMBER(C103),ISNUMBER(D103)),IF(D103&lt;=C103,"✅ Compliant","❌ Non-Compliant"),"❓ Unknown")</f>
        <v/>
      </c>
      <c r="F103">
        <f>IF(AND(ISNUMBER(C103),ISNUMBER(D103)),MAX(0,D103-C103),"")</f>
        <v/>
      </c>
    </row>
    <row r="104">
      <c r="E104">
        <f>IF(AND(ISNUMBER(C104),ISNUMBER(D104)),IF(D104&lt;=C104,"✅ Compliant","❌ Non-Compliant"),"❓ Unknown")</f>
        <v/>
      </c>
      <c r="F104">
        <f>IF(AND(ISNUMBER(C104),ISNUMBER(D104)),MAX(0,D104-C104),"")</f>
        <v/>
      </c>
    </row>
    <row r="105">
      <c r="E105">
        <f>IF(AND(ISNUMBER(C105),ISNUMBER(D105)),IF(D105&lt;=C105,"✅ Compliant","❌ Non-Compliant"),"❓ Unknown")</f>
        <v/>
      </c>
      <c r="F105">
        <f>IF(AND(ISNUMBER(C105),ISNUMBER(D105)),MAX(0,D105-C105),"")</f>
        <v/>
      </c>
    </row>
    <row r="106">
      <c r="E106">
        <f>IF(AND(ISNUMBER(C106),ISNUMBER(D106)),IF(D106&lt;=C106,"✅ Compliant","❌ Non-Compliant"),"❓ Unknown")</f>
        <v/>
      </c>
      <c r="F106">
        <f>IF(AND(ISNUMBER(C106),ISNUMBER(D106)),MAX(0,D106-C106),"")</f>
        <v/>
      </c>
    </row>
    <row r="107">
      <c r="E107">
        <f>IF(AND(ISNUMBER(C107),ISNUMBER(D107)),IF(D107&lt;=C107,"✅ Compliant","❌ Non-Compliant"),"❓ Unknown")</f>
        <v/>
      </c>
      <c r="F107">
        <f>IF(AND(ISNUMBER(C107),ISNUMBER(D107)),MAX(0,D107-C107),"")</f>
        <v/>
      </c>
    </row>
    <row r="108">
      <c r="E108">
        <f>IF(AND(ISNUMBER(C108),ISNUMBER(D108)),IF(D108&lt;=C108,"✅ Compliant","❌ Non-Compliant"),"❓ Unknown")</f>
        <v/>
      </c>
      <c r="F108">
        <f>IF(AND(ISNUMBER(C108),ISNUMBER(D108)),MAX(0,D108-C108),"")</f>
        <v/>
      </c>
    </row>
    <row r="109">
      <c r="E109">
        <f>IF(AND(ISNUMBER(C109),ISNUMBER(D109)),IF(D109&lt;=C109,"✅ Compliant","❌ Non-Compliant"),"❓ Unknown")</f>
        <v/>
      </c>
      <c r="F109">
        <f>IF(AND(ISNUMBER(C109),ISNUMBER(D109)),MAX(0,D109-C109),"")</f>
        <v/>
      </c>
    </row>
    <row r="110">
      <c r="E110">
        <f>IF(AND(ISNUMBER(C110),ISNUMBER(D110)),IF(D110&lt;=C110,"✅ Compliant","❌ Non-Compliant"),"❓ Unknown")</f>
        <v/>
      </c>
      <c r="F110">
        <f>IF(AND(ISNUMBER(C110),ISNUMBER(D110)),MAX(0,D110-C110),"")</f>
        <v/>
      </c>
    </row>
    <row r="111">
      <c r="E111">
        <f>IF(AND(ISNUMBER(C111),ISNUMBER(D111)),IF(D111&lt;=C111,"✅ Compliant","❌ Non-Compliant"),"❓ Unknown")</f>
        <v/>
      </c>
      <c r="F111">
        <f>IF(AND(ISNUMBER(C111),ISNUMBER(D111)),MAX(0,D111-C111),"")</f>
        <v/>
      </c>
    </row>
    <row r="112">
      <c r="E112">
        <f>IF(AND(ISNUMBER(C112),ISNUMBER(D112)),IF(D112&lt;=C112,"✅ Compliant","❌ Non-Compliant"),"❓ Unknown")</f>
        <v/>
      </c>
      <c r="F112">
        <f>IF(AND(ISNUMBER(C112),ISNUMBER(D112)),MAX(0,D112-C112),"")</f>
        <v/>
      </c>
    </row>
    <row r="113">
      <c r="E113">
        <f>IF(AND(ISNUMBER(C113),ISNUMBER(D113)),IF(D113&lt;=C113,"✅ Compliant","❌ Non-Compliant"),"❓ Unknown")</f>
        <v/>
      </c>
      <c r="F113">
        <f>IF(AND(ISNUMBER(C113),ISNUMBER(D113)),MAX(0,D113-C113),"")</f>
        <v/>
      </c>
    </row>
    <row r="114">
      <c r="E114">
        <f>IF(AND(ISNUMBER(C114),ISNUMBER(D114)),IF(D114&lt;=C114,"✅ Compliant","❌ Non-Compliant"),"❓ Unknown")</f>
        <v/>
      </c>
      <c r="F114">
        <f>IF(AND(ISNUMBER(C114),ISNUMBER(D114)),MAX(0,D114-C114),"")</f>
        <v/>
      </c>
    </row>
    <row r="118">
      <c r="A118" s="12" t="inlineStr">
        <is>
          <t>RPO COMPLIANCE METRICS</t>
        </is>
      </c>
    </row>
    <row r="119">
      <c r="A119" s="16" t="inlineStr">
        <is>
          <t>Total Systems:</t>
        </is>
      </c>
      <c r="B119" s="16">
        <f>COUNTA(A5:A114)</f>
        <v/>
      </c>
    </row>
    <row r="120">
      <c r="A120" s="16" t="inlineStr">
        <is>
          <t>Systems Compliant:</t>
        </is>
      </c>
      <c r="B120" s="16">
        <f>COUNTIF(E5:E114,"✅*")</f>
        <v/>
      </c>
    </row>
    <row r="121">
      <c r="A121" s="16" t="inlineStr">
        <is>
          <t>Systems Non-Compliant:</t>
        </is>
      </c>
      <c r="B121" s="16">
        <f>COUNTIF(E5:E114,"❌*")</f>
        <v/>
      </c>
    </row>
    <row r="122">
      <c r="A122" s="16" t="inlineStr">
        <is>
          <t>RPO Compliance Rate:</t>
        </is>
      </c>
      <c r="B122" s="17">
        <f>IF(B119&gt;0,B120/B119,0)</f>
        <v/>
      </c>
    </row>
    <row r="123">
      <c r="A123" s="16" t="inlineStr">
        <is>
          <t>Critical Systems (Tier 1):</t>
        </is>
      </c>
      <c r="B123" s="16">
        <f>COUNTIF(B5:B114,"Tier 1*")</f>
        <v/>
      </c>
    </row>
    <row r="124">
      <c r="A124" s="16" t="inlineStr">
        <is>
          <t>Critical Compliant:</t>
        </is>
      </c>
      <c r="B124" s="16">
        <f>COUNTIFS(B5:B114,"Tier 1*",E5:E114,"✅*")</f>
        <v/>
      </c>
    </row>
    <row r="125">
      <c r="A125" s="16" t="inlineStr">
        <is>
          <t>Critical Compliance Rate:</t>
        </is>
      </c>
      <c r="B125" s="17">
        <f>IF(B123&gt;0,B124/B123,1)</f>
        <v/>
      </c>
    </row>
  </sheetData>
  <mergeCells count="3">
    <mergeCell ref="A118:G118"/>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6"/>
  <sheetViews>
    <sheetView showGridLines="0" workbookViewId="0">
      <pane ySplit="3" topLeftCell="A4" activePane="bottomLeft" state="frozen"/>
      <selection pane="bottomLeft" activeCell="A1" sqref="A1"/>
    </sheetView>
  </sheetViews>
  <sheetFormatPr baseColWidth="8" defaultRowHeight="15"/>
  <cols>
    <col width="25" customWidth="1" min="1" max="1"/>
    <col width="15" customWidth="1" min="2" max="2"/>
    <col width="12" customWidth="1" min="3" max="3"/>
    <col width="15" customWidth="1" min="4" max="4"/>
    <col width="12" customWidth="1" min="5" max="5"/>
    <col width="15" customWidth="1" min="6" max="6"/>
    <col width="18" customWidth="1" min="7" max="7"/>
    <col width="18" customWidth="1" min="8" max="8"/>
    <col width="22" customWidth="1" min="9" max="9"/>
    <col width="45" customWidth="1" min="10" max="10"/>
  </cols>
  <sheetData>
    <row r="1" ht="35" customHeight="1">
      <c r="A1" s="11" t="inlineStr">
        <is>
          <t>3-2-1-1-0 BACKUP RULE COMPLIANCE (VEEAM BEST PRACTICE)</t>
        </is>
      </c>
    </row>
    <row r="2">
      <c r="A2" s="12" t="inlineStr">
        <is>
          <t>3 copies | 2 media types | 1 offsite | 1 immutable | 0 errors (tested)</t>
        </is>
      </c>
    </row>
    <row r="4">
      <c r="A4" s="13" t="inlineStr">
        <is>
          <t>System Name</t>
        </is>
      </c>
      <c r="B4" s="13" t="inlineStr">
        <is>
          <t>Criticality</t>
        </is>
      </c>
      <c r="C4" s="13" t="inlineStr">
        <is>
          <t>3 Copies</t>
        </is>
      </c>
      <c r="D4" s="13" t="inlineStr">
        <is>
          <t>2 Media Types</t>
        </is>
      </c>
      <c r="E4" s="13" t="inlineStr">
        <is>
          <t>1 Offsite</t>
        </is>
      </c>
      <c r="F4" s="13" t="inlineStr">
        <is>
          <t>1 Immutable</t>
        </is>
      </c>
      <c r="G4" s="13" t="inlineStr">
        <is>
          <t>0 Errors (Tested)</t>
        </is>
      </c>
      <c r="H4" s="13" t="inlineStr">
        <is>
          <t>Total Score (0-5)</t>
        </is>
      </c>
      <c r="I4" s="13" t="inlineStr">
        <is>
          <t>Compliance Status</t>
        </is>
      </c>
      <c r="J4" s="13" t="inlineStr">
        <is>
          <t>Notes</t>
        </is>
      </c>
    </row>
    <row r="5">
      <c r="H5">
        <f>(IF(C5="✅ Yes",1,0)+IF(D5="✅ Yes",1,0)+IF(E5="✅ Yes",1,0)+IF(F5="✅ Yes",1,0)+IF(G5="✅ Yes",1,0))</f>
        <v/>
      </c>
      <c r="I5">
        <f>IF(A5="","",IF(H5=5,"✅✅ Full Compliance",IF(H5&gt;=3,"⚠ Partial ("&amp;TEXT(H5,"0")&amp;"/5)","❌❌ Non-Compliant ("&amp;TEXT(H5,"0")&amp;"/5)")))</f>
        <v/>
      </c>
    </row>
    <row r="6">
      <c r="H6">
        <f>(IF(C6="✅ Yes",1,0)+IF(D6="✅ Yes",1,0)+IF(E6="✅ Yes",1,0)+IF(F6="✅ Yes",1,0)+IF(G6="✅ Yes",1,0))</f>
        <v/>
      </c>
      <c r="I6">
        <f>IF(A6="","",IF(H6=5,"✅✅ Full Compliance",IF(H6&gt;=3,"⚠ Partial ("&amp;TEXT(H6,"0")&amp;"/5)","❌❌ Non-Compliant ("&amp;TEXT(H6,"0")&amp;"/5)")))</f>
        <v/>
      </c>
    </row>
    <row r="7">
      <c r="H7">
        <f>(IF(C7="✅ Yes",1,0)+IF(D7="✅ Yes",1,0)+IF(E7="✅ Yes",1,0)+IF(F7="✅ Yes",1,0)+IF(G7="✅ Yes",1,0))</f>
        <v/>
      </c>
      <c r="I7">
        <f>IF(A7="","",IF(H7=5,"✅✅ Full Compliance",IF(H7&gt;=3,"⚠ Partial ("&amp;TEXT(H7,"0")&amp;"/5)","❌❌ Non-Compliant ("&amp;TEXT(H7,"0")&amp;"/5)")))</f>
        <v/>
      </c>
    </row>
    <row r="8">
      <c r="H8">
        <f>(IF(C8="✅ Yes",1,0)+IF(D8="✅ Yes",1,0)+IF(E8="✅ Yes",1,0)+IF(F8="✅ Yes",1,0)+IF(G8="✅ Yes",1,0))</f>
        <v/>
      </c>
      <c r="I8">
        <f>IF(A8="","",IF(H8=5,"✅✅ Full Compliance",IF(H8&gt;=3,"⚠ Partial ("&amp;TEXT(H8,"0")&amp;"/5)","❌❌ Non-Compliant ("&amp;TEXT(H8,"0")&amp;"/5)")))</f>
        <v/>
      </c>
    </row>
    <row r="9">
      <c r="H9">
        <f>(IF(C9="✅ Yes",1,0)+IF(D9="✅ Yes",1,0)+IF(E9="✅ Yes",1,0)+IF(F9="✅ Yes",1,0)+IF(G9="✅ Yes",1,0))</f>
        <v/>
      </c>
      <c r="I9">
        <f>IF(A9="","",IF(H9=5,"✅✅ Full Compliance",IF(H9&gt;=3,"⚠ Partial ("&amp;TEXT(H9,"0")&amp;"/5)","❌❌ Non-Compliant ("&amp;TEXT(H9,"0")&amp;"/5)")))</f>
        <v/>
      </c>
    </row>
    <row r="10">
      <c r="H10">
        <f>(IF(C10="✅ Yes",1,0)+IF(D10="✅ Yes",1,0)+IF(E10="✅ Yes",1,0)+IF(F10="✅ Yes",1,0)+IF(G10="✅ Yes",1,0))</f>
        <v/>
      </c>
      <c r="I10">
        <f>IF(A10="","",IF(H10=5,"✅✅ Full Compliance",IF(H10&gt;=3,"⚠ Partial ("&amp;TEXT(H10,"0")&amp;"/5)","❌❌ Non-Compliant ("&amp;TEXT(H10,"0")&amp;"/5)")))</f>
        <v/>
      </c>
    </row>
    <row r="11">
      <c r="H11">
        <f>(IF(C11="✅ Yes",1,0)+IF(D11="✅ Yes",1,0)+IF(E11="✅ Yes",1,0)+IF(F11="✅ Yes",1,0)+IF(G11="✅ Yes",1,0))</f>
        <v/>
      </c>
      <c r="I11">
        <f>IF(A11="","",IF(H11=5,"✅✅ Full Compliance",IF(H11&gt;=3,"⚠ Partial ("&amp;TEXT(H11,"0")&amp;"/5)","❌❌ Non-Compliant ("&amp;TEXT(H11,"0")&amp;"/5)")))</f>
        <v/>
      </c>
    </row>
    <row r="12">
      <c r="H12">
        <f>(IF(C12="✅ Yes",1,0)+IF(D12="✅ Yes",1,0)+IF(E12="✅ Yes",1,0)+IF(F12="✅ Yes",1,0)+IF(G12="✅ Yes",1,0))</f>
        <v/>
      </c>
      <c r="I12">
        <f>IF(A12="","",IF(H12=5,"✅✅ Full Compliance",IF(H12&gt;=3,"⚠ Partial ("&amp;TEXT(H12,"0")&amp;"/5)","❌❌ Non-Compliant ("&amp;TEXT(H12,"0")&amp;"/5)")))</f>
        <v/>
      </c>
    </row>
    <row r="13">
      <c r="H13">
        <f>(IF(C13="✅ Yes",1,0)+IF(D13="✅ Yes",1,0)+IF(E13="✅ Yes",1,0)+IF(F13="✅ Yes",1,0)+IF(G13="✅ Yes",1,0))</f>
        <v/>
      </c>
      <c r="I13">
        <f>IF(A13="","",IF(H13=5,"✅✅ Full Compliance",IF(H13&gt;=3,"⚠ Partial ("&amp;TEXT(H13,"0")&amp;"/5)","❌❌ Non-Compliant ("&amp;TEXT(H13,"0")&amp;"/5)")))</f>
        <v/>
      </c>
    </row>
    <row r="14">
      <c r="H14">
        <f>(IF(C14="✅ Yes",1,0)+IF(D14="✅ Yes",1,0)+IF(E14="✅ Yes",1,0)+IF(F14="✅ Yes",1,0)+IF(G14="✅ Yes",1,0))</f>
        <v/>
      </c>
      <c r="I14">
        <f>IF(A14="","",IF(H14=5,"✅✅ Full Compliance",IF(H14&gt;=3,"⚠ Partial ("&amp;TEXT(H14,"0")&amp;"/5)","❌❌ Non-Compliant ("&amp;TEXT(H14,"0")&amp;"/5)")))</f>
        <v/>
      </c>
    </row>
    <row r="15">
      <c r="H15">
        <f>(IF(C15="✅ Yes",1,0)+IF(D15="✅ Yes",1,0)+IF(E15="✅ Yes",1,0)+IF(F15="✅ Yes",1,0)+IF(G15="✅ Yes",1,0))</f>
        <v/>
      </c>
      <c r="I15">
        <f>IF(A15="","",IF(H15=5,"✅✅ Full Compliance",IF(H15&gt;=3,"⚠ Partial ("&amp;TEXT(H15,"0")&amp;"/5)","❌❌ Non-Compliant ("&amp;TEXT(H15,"0")&amp;"/5)")))</f>
        <v/>
      </c>
    </row>
    <row r="16">
      <c r="H16">
        <f>(IF(C16="✅ Yes",1,0)+IF(D16="✅ Yes",1,0)+IF(E16="✅ Yes",1,0)+IF(F16="✅ Yes",1,0)+IF(G16="✅ Yes",1,0))</f>
        <v/>
      </c>
      <c r="I16">
        <f>IF(A16="","",IF(H16=5,"✅✅ Full Compliance",IF(H16&gt;=3,"⚠ Partial ("&amp;TEXT(H16,"0")&amp;"/5)","❌❌ Non-Compliant ("&amp;TEXT(H16,"0")&amp;"/5)")))</f>
        <v/>
      </c>
    </row>
    <row r="17">
      <c r="H17">
        <f>(IF(C17="✅ Yes",1,0)+IF(D17="✅ Yes",1,0)+IF(E17="✅ Yes",1,0)+IF(F17="✅ Yes",1,0)+IF(G17="✅ Yes",1,0))</f>
        <v/>
      </c>
      <c r="I17">
        <f>IF(A17="","",IF(H17=5,"✅✅ Full Compliance",IF(H17&gt;=3,"⚠ Partial ("&amp;TEXT(H17,"0")&amp;"/5)","❌❌ Non-Compliant ("&amp;TEXT(H17,"0")&amp;"/5)")))</f>
        <v/>
      </c>
    </row>
    <row r="18">
      <c r="H18">
        <f>(IF(C18="✅ Yes",1,0)+IF(D18="✅ Yes",1,0)+IF(E18="✅ Yes",1,0)+IF(F18="✅ Yes",1,0)+IF(G18="✅ Yes",1,0))</f>
        <v/>
      </c>
      <c r="I18">
        <f>IF(A18="","",IF(H18=5,"✅✅ Full Compliance",IF(H18&gt;=3,"⚠ Partial ("&amp;TEXT(H18,"0")&amp;"/5)","❌❌ Non-Compliant ("&amp;TEXT(H18,"0")&amp;"/5)")))</f>
        <v/>
      </c>
    </row>
    <row r="19">
      <c r="H19">
        <f>(IF(C19="✅ Yes",1,0)+IF(D19="✅ Yes",1,0)+IF(E19="✅ Yes",1,0)+IF(F19="✅ Yes",1,0)+IF(G19="✅ Yes",1,0))</f>
        <v/>
      </c>
      <c r="I19">
        <f>IF(A19="","",IF(H19=5,"✅✅ Full Compliance",IF(H19&gt;=3,"⚠ Partial ("&amp;TEXT(H19,"0")&amp;"/5)","❌❌ Non-Compliant ("&amp;TEXT(H19,"0")&amp;"/5)")))</f>
        <v/>
      </c>
    </row>
    <row r="20">
      <c r="H20">
        <f>(IF(C20="✅ Yes",1,0)+IF(D20="✅ Yes",1,0)+IF(E20="✅ Yes",1,0)+IF(F20="✅ Yes",1,0)+IF(G20="✅ Yes",1,0))</f>
        <v/>
      </c>
      <c r="I20">
        <f>IF(A20="","",IF(H20=5,"✅✅ Full Compliance",IF(H20&gt;=3,"⚠ Partial ("&amp;TEXT(H20,"0")&amp;"/5)","❌❌ Non-Compliant ("&amp;TEXT(H20,"0")&amp;"/5)")))</f>
        <v/>
      </c>
    </row>
    <row r="21">
      <c r="H21">
        <f>(IF(C21="✅ Yes",1,0)+IF(D21="✅ Yes",1,0)+IF(E21="✅ Yes",1,0)+IF(F21="✅ Yes",1,0)+IF(G21="✅ Yes",1,0))</f>
        <v/>
      </c>
      <c r="I21">
        <f>IF(A21="","",IF(H21=5,"✅✅ Full Compliance",IF(H21&gt;=3,"⚠ Partial ("&amp;TEXT(H21,"0")&amp;"/5)","❌❌ Non-Compliant ("&amp;TEXT(H21,"0")&amp;"/5)")))</f>
        <v/>
      </c>
    </row>
    <row r="22">
      <c r="H22">
        <f>(IF(C22="✅ Yes",1,0)+IF(D22="✅ Yes",1,0)+IF(E22="✅ Yes",1,0)+IF(F22="✅ Yes",1,0)+IF(G22="✅ Yes",1,0))</f>
        <v/>
      </c>
      <c r="I22">
        <f>IF(A22="","",IF(H22=5,"✅✅ Full Compliance",IF(H22&gt;=3,"⚠ Partial ("&amp;TEXT(H22,"0")&amp;"/5)","❌❌ Non-Compliant ("&amp;TEXT(H22,"0")&amp;"/5)")))</f>
        <v/>
      </c>
    </row>
    <row r="23">
      <c r="H23">
        <f>(IF(C23="✅ Yes",1,0)+IF(D23="✅ Yes",1,0)+IF(E23="✅ Yes",1,0)+IF(F23="✅ Yes",1,0)+IF(G23="✅ Yes",1,0))</f>
        <v/>
      </c>
      <c r="I23">
        <f>IF(A23="","",IF(H23=5,"✅✅ Full Compliance",IF(H23&gt;=3,"⚠ Partial ("&amp;TEXT(H23,"0")&amp;"/5)","❌❌ Non-Compliant ("&amp;TEXT(H23,"0")&amp;"/5)")))</f>
        <v/>
      </c>
    </row>
    <row r="24">
      <c r="H24">
        <f>(IF(C24="✅ Yes",1,0)+IF(D24="✅ Yes",1,0)+IF(E24="✅ Yes",1,0)+IF(F24="✅ Yes",1,0)+IF(G24="✅ Yes",1,0))</f>
        <v/>
      </c>
      <c r="I24">
        <f>IF(A24="","",IF(H24=5,"✅✅ Full Compliance",IF(H24&gt;=3,"⚠ Partial ("&amp;TEXT(H24,"0")&amp;"/5)","❌❌ Non-Compliant ("&amp;TEXT(H24,"0")&amp;"/5)")))</f>
        <v/>
      </c>
    </row>
    <row r="25">
      <c r="H25">
        <f>(IF(C25="✅ Yes",1,0)+IF(D25="✅ Yes",1,0)+IF(E25="✅ Yes",1,0)+IF(F25="✅ Yes",1,0)+IF(G25="✅ Yes",1,0))</f>
        <v/>
      </c>
      <c r="I25">
        <f>IF(A25="","",IF(H25=5,"✅✅ Full Compliance",IF(H25&gt;=3,"⚠ Partial ("&amp;TEXT(H25,"0")&amp;"/5)","❌❌ Non-Compliant ("&amp;TEXT(H25,"0")&amp;"/5)")))</f>
        <v/>
      </c>
    </row>
    <row r="26">
      <c r="H26">
        <f>(IF(C26="✅ Yes",1,0)+IF(D26="✅ Yes",1,0)+IF(E26="✅ Yes",1,0)+IF(F26="✅ Yes",1,0)+IF(G26="✅ Yes",1,0))</f>
        <v/>
      </c>
      <c r="I26">
        <f>IF(A26="","",IF(H26=5,"✅✅ Full Compliance",IF(H26&gt;=3,"⚠ Partial ("&amp;TEXT(H26,"0")&amp;"/5)","❌❌ Non-Compliant ("&amp;TEXT(H26,"0")&amp;"/5)")))</f>
        <v/>
      </c>
    </row>
    <row r="27">
      <c r="H27">
        <f>(IF(C27="✅ Yes",1,0)+IF(D27="✅ Yes",1,0)+IF(E27="✅ Yes",1,0)+IF(F27="✅ Yes",1,0)+IF(G27="✅ Yes",1,0))</f>
        <v/>
      </c>
      <c r="I27">
        <f>IF(A27="","",IF(H27=5,"✅✅ Full Compliance",IF(H27&gt;=3,"⚠ Partial ("&amp;TEXT(H27,"0")&amp;"/5)","❌❌ Non-Compliant ("&amp;TEXT(H27,"0")&amp;"/5)")))</f>
        <v/>
      </c>
    </row>
    <row r="28">
      <c r="H28">
        <f>(IF(C28="✅ Yes",1,0)+IF(D28="✅ Yes",1,0)+IF(E28="✅ Yes",1,0)+IF(F28="✅ Yes",1,0)+IF(G28="✅ Yes",1,0))</f>
        <v/>
      </c>
      <c r="I28">
        <f>IF(A28="","",IF(H28=5,"✅✅ Full Compliance",IF(H28&gt;=3,"⚠ Partial ("&amp;TEXT(H28,"0")&amp;"/5)","❌❌ Non-Compliant ("&amp;TEXT(H28,"0")&amp;"/5)")))</f>
        <v/>
      </c>
    </row>
    <row r="29">
      <c r="H29">
        <f>(IF(C29="✅ Yes",1,0)+IF(D29="✅ Yes",1,0)+IF(E29="✅ Yes",1,0)+IF(F29="✅ Yes",1,0)+IF(G29="✅ Yes",1,0))</f>
        <v/>
      </c>
      <c r="I29">
        <f>IF(A29="","",IF(H29=5,"✅✅ Full Compliance",IF(H29&gt;=3,"⚠ Partial ("&amp;TEXT(H29,"0")&amp;"/5)","❌❌ Non-Compliant ("&amp;TEXT(H29,"0")&amp;"/5)")))</f>
        <v/>
      </c>
    </row>
    <row r="30">
      <c r="H30">
        <f>(IF(C30="✅ Yes",1,0)+IF(D30="✅ Yes",1,0)+IF(E30="✅ Yes",1,0)+IF(F30="✅ Yes",1,0)+IF(G30="✅ Yes",1,0))</f>
        <v/>
      </c>
      <c r="I30">
        <f>IF(A30="","",IF(H30=5,"✅✅ Full Compliance",IF(H30&gt;=3,"⚠ Partial ("&amp;TEXT(H30,"0")&amp;"/5)","❌❌ Non-Compliant ("&amp;TEXT(H30,"0")&amp;"/5)")))</f>
        <v/>
      </c>
    </row>
    <row r="31">
      <c r="H31">
        <f>(IF(C31="✅ Yes",1,0)+IF(D31="✅ Yes",1,0)+IF(E31="✅ Yes",1,0)+IF(F31="✅ Yes",1,0)+IF(G31="✅ Yes",1,0))</f>
        <v/>
      </c>
      <c r="I31">
        <f>IF(A31="","",IF(H31=5,"✅✅ Full Compliance",IF(H31&gt;=3,"⚠ Partial ("&amp;TEXT(H31,"0")&amp;"/5)","❌❌ Non-Compliant ("&amp;TEXT(H31,"0")&amp;"/5)")))</f>
        <v/>
      </c>
    </row>
    <row r="32">
      <c r="H32">
        <f>(IF(C32="✅ Yes",1,0)+IF(D32="✅ Yes",1,0)+IF(E32="✅ Yes",1,0)+IF(F32="✅ Yes",1,0)+IF(G32="✅ Yes",1,0))</f>
        <v/>
      </c>
      <c r="I32">
        <f>IF(A32="","",IF(H32=5,"✅✅ Full Compliance",IF(H32&gt;=3,"⚠ Partial ("&amp;TEXT(H32,"0")&amp;"/5)","❌❌ Non-Compliant ("&amp;TEXT(H32,"0")&amp;"/5)")))</f>
        <v/>
      </c>
    </row>
    <row r="33">
      <c r="H33">
        <f>(IF(C33="✅ Yes",1,0)+IF(D33="✅ Yes",1,0)+IF(E33="✅ Yes",1,0)+IF(F33="✅ Yes",1,0)+IF(G33="✅ Yes",1,0))</f>
        <v/>
      </c>
      <c r="I33">
        <f>IF(A33="","",IF(H33=5,"✅✅ Full Compliance",IF(H33&gt;=3,"⚠ Partial ("&amp;TEXT(H33,"0")&amp;"/5)","❌❌ Non-Compliant ("&amp;TEXT(H33,"0")&amp;"/5)")))</f>
        <v/>
      </c>
    </row>
    <row r="34">
      <c r="H34">
        <f>(IF(C34="✅ Yes",1,0)+IF(D34="✅ Yes",1,0)+IF(E34="✅ Yes",1,0)+IF(F34="✅ Yes",1,0)+IF(G34="✅ Yes",1,0))</f>
        <v/>
      </c>
      <c r="I34">
        <f>IF(A34="","",IF(H34=5,"✅✅ Full Compliance",IF(H34&gt;=3,"⚠ Partial ("&amp;TEXT(H34,"0")&amp;"/5)","❌❌ Non-Compliant ("&amp;TEXT(H34,"0")&amp;"/5)")))</f>
        <v/>
      </c>
    </row>
    <row r="35">
      <c r="H35">
        <f>(IF(C35="✅ Yes",1,0)+IF(D35="✅ Yes",1,0)+IF(E35="✅ Yes",1,0)+IF(F35="✅ Yes",1,0)+IF(G35="✅ Yes",1,0))</f>
        <v/>
      </c>
      <c r="I35">
        <f>IF(A35="","",IF(H35=5,"✅✅ Full Compliance",IF(H35&gt;=3,"⚠ Partial ("&amp;TEXT(H35,"0")&amp;"/5)","❌❌ Non-Compliant ("&amp;TEXT(H35,"0")&amp;"/5)")))</f>
        <v/>
      </c>
    </row>
    <row r="36">
      <c r="H36">
        <f>(IF(C36="✅ Yes",1,0)+IF(D36="✅ Yes",1,0)+IF(E36="✅ Yes",1,0)+IF(F36="✅ Yes",1,0)+IF(G36="✅ Yes",1,0))</f>
        <v/>
      </c>
      <c r="I36">
        <f>IF(A36="","",IF(H36=5,"✅✅ Full Compliance",IF(H36&gt;=3,"⚠ Partial ("&amp;TEXT(H36,"0")&amp;"/5)","❌❌ Non-Compliant ("&amp;TEXT(H36,"0")&amp;"/5)")))</f>
        <v/>
      </c>
    </row>
    <row r="37">
      <c r="H37">
        <f>(IF(C37="✅ Yes",1,0)+IF(D37="✅ Yes",1,0)+IF(E37="✅ Yes",1,0)+IF(F37="✅ Yes",1,0)+IF(G37="✅ Yes",1,0))</f>
        <v/>
      </c>
      <c r="I37">
        <f>IF(A37="","",IF(H37=5,"✅✅ Full Compliance",IF(H37&gt;=3,"⚠ Partial ("&amp;TEXT(H37,"0")&amp;"/5)","❌❌ Non-Compliant ("&amp;TEXT(H37,"0")&amp;"/5)")))</f>
        <v/>
      </c>
    </row>
    <row r="38">
      <c r="H38">
        <f>(IF(C38="✅ Yes",1,0)+IF(D38="✅ Yes",1,0)+IF(E38="✅ Yes",1,0)+IF(F38="✅ Yes",1,0)+IF(G38="✅ Yes",1,0))</f>
        <v/>
      </c>
      <c r="I38">
        <f>IF(A38="","",IF(H38=5,"✅✅ Full Compliance",IF(H38&gt;=3,"⚠ Partial ("&amp;TEXT(H38,"0")&amp;"/5)","❌❌ Non-Compliant ("&amp;TEXT(H38,"0")&amp;"/5)")))</f>
        <v/>
      </c>
    </row>
    <row r="39">
      <c r="H39">
        <f>(IF(C39="✅ Yes",1,0)+IF(D39="✅ Yes",1,0)+IF(E39="✅ Yes",1,0)+IF(F39="✅ Yes",1,0)+IF(G39="✅ Yes",1,0))</f>
        <v/>
      </c>
      <c r="I39">
        <f>IF(A39="","",IF(H39=5,"✅✅ Full Compliance",IF(H39&gt;=3,"⚠ Partial ("&amp;TEXT(H39,"0")&amp;"/5)","❌❌ Non-Compliant ("&amp;TEXT(H39,"0")&amp;"/5)")))</f>
        <v/>
      </c>
    </row>
    <row r="40">
      <c r="H40">
        <f>(IF(C40="✅ Yes",1,0)+IF(D40="✅ Yes",1,0)+IF(E40="✅ Yes",1,0)+IF(F40="✅ Yes",1,0)+IF(G40="✅ Yes",1,0))</f>
        <v/>
      </c>
      <c r="I40">
        <f>IF(A40="","",IF(H40=5,"✅✅ Full Compliance",IF(H40&gt;=3,"⚠ Partial ("&amp;TEXT(H40,"0")&amp;"/5)","❌❌ Non-Compliant ("&amp;TEXT(H40,"0")&amp;"/5)")))</f>
        <v/>
      </c>
    </row>
    <row r="41">
      <c r="H41">
        <f>(IF(C41="✅ Yes",1,0)+IF(D41="✅ Yes",1,0)+IF(E41="✅ Yes",1,0)+IF(F41="✅ Yes",1,0)+IF(G41="✅ Yes",1,0))</f>
        <v/>
      </c>
      <c r="I41">
        <f>IF(A41="","",IF(H41=5,"✅✅ Full Compliance",IF(H41&gt;=3,"⚠ Partial ("&amp;TEXT(H41,"0")&amp;"/5)","❌❌ Non-Compliant ("&amp;TEXT(H41,"0")&amp;"/5)")))</f>
        <v/>
      </c>
    </row>
    <row r="42">
      <c r="H42">
        <f>(IF(C42="✅ Yes",1,0)+IF(D42="✅ Yes",1,0)+IF(E42="✅ Yes",1,0)+IF(F42="✅ Yes",1,0)+IF(G42="✅ Yes",1,0))</f>
        <v/>
      </c>
      <c r="I42">
        <f>IF(A42="","",IF(H42=5,"✅✅ Full Compliance",IF(H42&gt;=3,"⚠ Partial ("&amp;TEXT(H42,"0")&amp;"/5)","❌❌ Non-Compliant ("&amp;TEXT(H42,"0")&amp;"/5)")))</f>
        <v/>
      </c>
    </row>
    <row r="43">
      <c r="H43">
        <f>(IF(C43="✅ Yes",1,0)+IF(D43="✅ Yes",1,0)+IF(E43="✅ Yes",1,0)+IF(F43="✅ Yes",1,0)+IF(G43="✅ Yes",1,0))</f>
        <v/>
      </c>
      <c r="I43">
        <f>IF(A43="","",IF(H43=5,"✅✅ Full Compliance",IF(H43&gt;=3,"⚠ Partial ("&amp;TEXT(H43,"0")&amp;"/5)","❌❌ Non-Compliant ("&amp;TEXT(H43,"0")&amp;"/5)")))</f>
        <v/>
      </c>
    </row>
    <row r="44">
      <c r="H44">
        <f>(IF(C44="✅ Yes",1,0)+IF(D44="✅ Yes",1,0)+IF(E44="✅ Yes",1,0)+IF(F44="✅ Yes",1,0)+IF(G44="✅ Yes",1,0))</f>
        <v/>
      </c>
      <c r="I44">
        <f>IF(A44="","",IF(H44=5,"✅✅ Full Compliance",IF(H44&gt;=3,"⚠ Partial ("&amp;TEXT(H44,"0")&amp;"/5)","❌❌ Non-Compliant ("&amp;TEXT(H44,"0")&amp;"/5)")))</f>
        <v/>
      </c>
    </row>
    <row r="45">
      <c r="H45">
        <f>(IF(C45="✅ Yes",1,0)+IF(D45="✅ Yes",1,0)+IF(E45="✅ Yes",1,0)+IF(F45="✅ Yes",1,0)+IF(G45="✅ Yes",1,0))</f>
        <v/>
      </c>
      <c r="I45">
        <f>IF(A45="","",IF(H45=5,"✅✅ Full Compliance",IF(H45&gt;=3,"⚠ Partial ("&amp;TEXT(H45,"0")&amp;"/5)","❌❌ Non-Compliant ("&amp;TEXT(H45,"0")&amp;"/5)")))</f>
        <v/>
      </c>
    </row>
    <row r="46">
      <c r="H46">
        <f>(IF(C46="✅ Yes",1,0)+IF(D46="✅ Yes",1,0)+IF(E46="✅ Yes",1,0)+IF(F46="✅ Yes",1,0)+IF(G46="✅ Yes",1,0))</f>
        <v/>
      </c>
      <c r="I46">
        <f>IF(A46="","",IF(H46=5,"✅✅ Full Compliance",IF(H46&gt;=3,"⚠ Partial ("&amp;TEXT(H46,"0")&amp;"/5)","❌❌ Non-Compliant ("&amp;TEXT(H46,"0")&amp;"/5)")))</f>
        <v/>
      </c>
    </row>
    <row r="47">
      <c r="H47">
        <f>(IF(C47="✅ Yes",1,0)+IF(D47="✅ Yes",1,0)+IF(E47="✅ Yes",1,0)+IF(F47="✅ Yes",1,0)+IF(G47="✅ Yes",1,0))</f>
        <v/>
      </c>
      <c r="I47">
        <f>IF(A47="","",IF(H47=5,"✅✅ Full Compliance",IF(H47&gt;=3,"⚠ Partial ("&amp;TEXT(H47,"0")&amp;"/5)","❌❌ Non-Compliant ("&amp;TEXT(H47,"0")&amp;"/5)")))</f>
        <v/>
      </c>
    </row>
    <row r="48">
      <c r="H48">
        <f>(IF(C48="✅ Yes",1,0)+IF(D48="✅ Yes",1,0)+IF(E48="✅ Yes",1,0)+IF(F48="✅ Yes",1,0)+IF(G48="✅ Yes",1,0))</f>
        <v/>
      </c>
      <c r="I48">
        <f>IF(A48="","",IF(H48=5,"✅✅ Full Compliance",IF(H48&gt;=3,"⚠ Partial ("&amp;TEXT(H48,"0")&amp;"/5)","❌❌ Non-Compliant ("&amp;TEXT(H48,"0")&amp;"/5)")))</f>
        <v/>
      </c>
    </row>
    <row r="49">
      <c r="H49">
        <f>(IF(C49="✅ Yes",1,0)+IF(D49="✅ Yes",1,0)+IF(E49="✅ Yes",1,0)+IF(F49="✅ Yes",1,0)+IF(G49="✅ Yes",1,0))</f>
        <v/>
      </c>
      <c r="I49">
        <f>IF(A49="","",IF(H49=5,"✅✅ Full Compliance",IF(H49&gt;=3,"⚠ Partial ("&amp;TEXT(H49,"0")&amp;"/5)","❌❌ Non-Compliant ("&amp;TEXT(H49,"0")&amp;"/5)")))</f>
        <v/>
      </c>
    </row>
    <row r="50">
      <c r="H50">
        <f>(IF(C50="✅ Yes",1,0)+IF(D50="✅ Yes",1,0)+IF(E50="✅ Yes",1,0)+IF(F50="✅ Yes",1,0)+IF(G50="✅ Yes",1,0))</f>
        <v/>
      </c>
      <c r="I50">
        <f>IF(A50="","",IF(H50=5,"✅✅ Full Compliance",IF(H50&gt;=3,"⚠ Partial ("&amp;TEXT(H50,"0")&amp;"/5)","❌❌ Non-Compliant ("&amp;TEXT(H50,"0")&amp;"/5)")))</f>
        <v/>
      </c>
    </row>
    <row r="51">
      <c r="H51">
        <f>(IF(C51="✅ Yes",1,0)+IF(D51="✅ Yes",1,0)+IF(E51="✅ Yes",1,0)+IF(F51="✅ Yes",1,0)+IF(G51="✅ Yes",1,0))</f>
        <v/>
      </c>
      <c r="I51">
        <f>IF(A51="","",IF(H51=5,"✅✅ Full Compliance",IF(H51&gt;=3,"⚠ Partial ("&amp;TEXT(H51,"0")&amp;"/5)","❌❌ Non-Compliant ("&amp;TEXT(H51,"0")&amp;"/5)")))</f>
        <v/>
      </c>
    </row>
    <row r="52">
      <c r="H52">
        <f>(IF(C52="✅ Yes",1,0)+IF(D52="✅ Yes",1,0)+IF(E52="✅ Yes",1,0)+IF(F52="✅ Yes",1,0)+IF(G52="✅ Yes",1,0))</f>
        <v/>
      </c>
      <c r="I52">
        <f>IF(A52="","",IF(H52=5,"✅✅ Full Compliance",IF(H52&gt;=3,"⚠ Partial ("&amp;TEXT(H52,"0")&amp;"/5)","❌❌ Non-Compliant ("&amp;TEXT(H52,"0")&amp;"/5)")))</f>
        <v/>
      </c>
    </row>
    <row r="53">
      <c r="H53">
        <f>(IF(C53="✅ Yes",1,0)+IF(D53="✅ Yes",1,0)+IF(E53="✅ Yes",1,0)+IF(F53="✅ Yes",1,0)+IF(G53="✅ Yes",1,0))</f>
        <v/>
      </c>
      <c r="I53">
        <f>IF(A53="","",IF(H53=5,"✅✅ Full Compliance",IF(H53&gt;=3,"⚠ Partial ("&amp;TEXT(H53,"0")&amp;"/5)","❌❌ Non-Compliant ("&amp;TEXT(H53,"0")&amp;"/5)")))</f>
        <v/>
      </c>
    </row>
    <row r="54">
      <c r="H54">
        <f>(IF(C54="✅ Yes",1,0)+IF(D54="✅ Yes",1,0)+IF(E54="✅ Yes",1,0)+IF(F54="✅ Yes",1,0)+IF(G54="✅ Yes",1,0))</f>
        <v/>
      </c>
      <c r="I54">
        <f>IF(A54="","",IF(H54=5,"✅✅ Full Compliance",IF(H54&gt;=3,"⚠ Partial ("&amp;TEXT(H54,"0")&amp;"/5)","❌❌ Non-Compliant ("&amp;TEXT(H54,"0")&amp;"/5)")))</f>
        <v/>
      </c>
    </row>
    <row r="55">
      <c r="H55">
        <f>(IF(C55="✅ Yes",1,0)+IF(D55="✅ Yes",1,0)+IF(E55="✅ Yes",1,0)+IF(F55="✅ Yes",1,0)+IF(G55="✅ Yes",1,0))</f>
        <v/>
      </c>
      <c r="I55">
        <f>IF(A55="","",IF(H55=5,"✅✅ Full Compliance",IF(H55&gt;=3,"⚠ Partial ("&amp;TEXT(H55,"0")&amp;"/5)","❌❌ Non-Compliant ("&amp;TEXT(H55,"0")&amp;"/5)")))</f>
        <v/>
      </c>
    </row>
    <row r="56">
      <c r="H56">
        <f>(IF(C56="✅ Yes",1,0)+IF(D56="✅ Yes",1,0)+IF(E56="✅ Yes",1,0)+IF(F56="✅ Yes",1,0)+IF(G56="✅ Yes",1,0))</f>
        <v/>
      </c>
      <c r="I56">
        <f>IF(A56="","",IF(H56=5,"✅✅ Full Compliance",IF(H56&gt;=3,"⚠ Partial ("&amp;TEXT(H56,"0")&amp;"/5)","❌❌ Non-Compliant ("&amp;TEXT(H56,"0")&amp;"/5)")))</f>
        <v/>
      </c>
    </row>
    <row r="57">
      <c r="H57">
        <f>(IF(C57="✅ Yes",1,0)+IF(D57="✅ Yes",1,0)+IF(E57="✅ Yes",1,0)+IF(F57="✅ Yes",1,0)+IF(G57="✅ Yes",1,0))</f>
        <v/>
      </c>
      <c r="I57">
        <f>IF(A57="","",IF(H57=5,"✅✅ Full Compliance",IF(H57&gt;=3,"⚠ Partial ("&amp;TEXT(H57,"0")&amp;"/5)","❌❌ Non-Compliant ("&amp;TEXT(H57,"0")&amp;"/5)")))</f>
        <v/>
      </c>
    </row>
    <row r="58">
      <c r="H58">
        <f>(IF(C58="✅ Yes",1,0)+IF(D58="✅ Yes",1,0)+IF(E58="✅ Yes",1,0)+IF(F58="✅ Yes",1,0)+IF(G58="✅ Yes",1,0))</f>
        <v/>
      </c>
      <c r="I58">
        <f>IF(A58="","",IF(H58=5,"✅✅ Full Compliance",IF(H58&gt;=3,"⚠ Partial ("&amp;TEXT(H58,"0")&amp;"/5)","❌❌ Non-Compliant ("&amp;TEXT(H58,"0")&amp;"/5)")))</f>
        <v/>
      </c>
    </row>
    <row r="59">
      <c r="H59">
        <f>(IF(C59="✅ Yes",1,0)+IF(D59="✅ Yes",1,0)+IF(E59="✅ Yes",1,0)+IF(F59="✅ Yes",1,0)+IF(G59="✅ Yes",1,0))</f>
        <v/>
      </c>
      <c r="I59">
        <f>IF(A59="","",IF(H59=5,"✅✅ Full Compliance",IF(H59&gt;=3,"⚠ Partial ("&amp;TEXT(H59,"0")&amp;"/5)","❌❌ Non-Compliant ("&amp;TEXT(H59,"0")&amp;"/5)")))</f>
        <v/>
      </c>
    </row>
    <row r="60">
      <c r="H60">
        <f>(IF(C60="✅ Yes",1,0)+IF(D60="✅ Yes",1,0)+IF(E60="✅ Yes",1,0)+IF(F60="✅ Yes",1,0)+IF(G60="✅ Yes",1,0))</f>
        <v/>
      </c>
      <c r="I60">
        <f>IF(A60="","",IF(H60=5,"✅✅ Full Compliance",IF(H60&gt;=3,"⚠ Partial ("&amp;TEXT(H60,"0")&amp;"/5)","❌❌ Non-Compliant ("&amp;TEXT(H60,"0")&amp;"/5)")))</f>
        <v/>
      </c>
    </row>
    <row r="61">
      <c r="H61">
        <f>(IF(C61="✅ Yes",1,0)+IF(D61="✅ Yes",1,0)+IF(E61="✅ Yes",1,0)+IF(F61="✅ Yes",1,0)+IF(G61="✅ Yes",1,0))</f>
        <v/>
      </c>
      <c r="I61">
        <f>IF(A61="","",IF(H61=5,"✅✅ Full Compliance",IF(H61&gt;=3,"⚠ Partial ("&amp;TEXT(H61,"0")&amp;"/5)","❌❌ Non-Compliant ("&amp;TEXT(H61,"0")&amp;"/5)")))</f>
        <v/>
      </c>
    </row>
    <row r="62">
      <c r="H62">
        <f>(IF(C62="✅ Yes",1,0)+IF(D62="✅ Yes",1,0)+IF(E62="✅ Yes",1,0)+IF(F62="✅ Yes",1,0)+IF(G62="✅ Yes",1,0))</f>
        <v/>
      </c>
      <c r="I62">
        <f>IF(A62="","",IF(H62=5,"✅✅ Full Compliance",IF(H62&gt;=3,"⚠ Partial ("&amp;TEXT(H62,"0")&amp;"/5)","❌❌ Non-Compliant ("&amp;TEXT(H62,"0")&amp;"/5)")))</f>
        <v/>
      </c>
    </row>
    <row r="63">
      <c r="H63">
        <f>(IF(C63="✅ Yes",1,0)+IF(D63="✅ Yes",1,0)+IF(E63="✅ Yes",1,0)+IF(F63="✅ Yes",1,0)+IF(G63="✅ Yes",1,0))</f>
        <v/>
      </c>
      <c r="I63">
        <f>IF(A63="","",IF(H63=5,"✅✅ Full Compliance",IF(H63&gt;=3,"⚠ Partial ("&amp;TEXT(H63,"0")&amp;"/5)","❌❌ Non-Compliant ("&amp;TEXT(H63,"0")&amp;"/5)")))</f>
        <v/>
      </c>
    </row>
    <row r="64">
      <c r="H64">
        <f>(IF(C64="✅ Yes",1,0)+IF(D64="✅ Yes",1,0)+IF(E64="✅ Yes",1,0)+IF(F64="✅ Yes",1,0)+IF(G64="✅ Yes",1,0))</f>
        <v/>
      </c>
      <c r="I64">
        <f>IF(A64="","",IF(H64=5,"✅✅ Full Compliance",IF(H64&gt;=3,"⚠ Partial ("&amp;TEXT(H64,"0")&amp;"/5)","❌❌ Non-Compliant ("&amp;TEXT(H64,"0")&amp;"/5)")))</f>
        <v/>
      </c>
    </row>
    <row r="65">
      <c r="H65">
        <f>(IF(C65="✅ Yes",1,0)+IF(D65="✅ Yes",1,0)+IF(E65="✅ Yes",1,0)+IF(F65="✅ Yes",1,0)+IF(G65="✅ Yes",1,0))</f>
        <v/>
      </c>
      <c r="I65">
        <f>IF(A65="","",IF(H65=5,"✅✅ Full Compliance",IF(H65&gt;=3,"⚠ Partial ("&amp;TEXT(H65,"0")&amp;"/5)","❌❌ Non-Compliant ("&amp;TEXT(H65,"0")&amp;"/5)")))</f>
        <v/>
      </c>
    </row>
    <row r="66">
      <c r="H66">
        <f>(IF(C66="✅ Yes",1,0)+IF(D66="✅ Yes",1,0)+IF(E66="✅ Yes",1,0)+IF(F66="✅ Yes",1,0)+IF(G66="✅ Yes",1,0))</f>
        <v/>
      </c>
      <c r="I66">
        <f>IF(A66="","",IF(H66=5,"✅✅ Full Compliance",IF(H66&gt;=3,"⚠ Partial ("&amp;TEXT(H66,"0")&amp;"/5)","❌❌ Non-Compliant ("&amp;TEXT(H66,"0")&amp;"/5)")))</f>
        <v/>
      </c>
    </row>
    <row r="67">
      <c r="H67">
        <f>(IF(C67="✅ Yes",1,0)+IF(D67="✅ Yes",1,0)+IF(E67="✅ Yes",1,0)+IF(F67="✅ Yes",1,0)+IF(G67="✅ Yes",1,0))</f>
        <v/>
      </c>
      <c r="I67">
        <f>IF(A67="","",IF(H67=5,"✅✅ Full Compliance",IF(H67&gt;=3,"⚠ Partial ("&amp;TEXT(H67,"0")&amp;"/5)","❌❌ Non-Compliant ("&amp;TEXT(H67,"0")&amp;"/5)")))</f>
        <v/>
      </c>
    </row>
    <row r="68">
      <c r="H68">
        <f>(IF(C68="✅ Yes",1,0)+IF(D68="✅ Yes",1,0)+IF(E68="✅ Yes",1,0)+IF(F68="✅ Yes",1,0)+IF(G68="✅ Yes",1,0))</f>
        <v/>
      </c>
      <c r="I68">
        <f>IF(A68="","",IF(H68=5,"✅✅ Full Compliance",IF(H68&gt;=3,"⚠ Partial ("&amp;TEXT(H68,"0")&amp;"/5)","❌❌ Non-Compliant ("&amp;TEXT(H68,"0")&amp;"/5)")))</f>
        <v/>
      </c>
    </row>
    <row r="69">
      <c r="H69">
        <f>(IF(C69="✅ Yes",1,0)+IF(D69="✅ Yes",1,0)+IF(E69="✅ Yes",1,0)+IF(F69="✅ Yes",1,0)+IF(G69="✅ Yes",1,0))</f>
        <v/>
      </c>
      <c r="I69">
        <f>IF(A69="","",IF(H69=5,"✅✅ Full Compliance",IF(H69&gt;=3,"⚠ Partial ("&amp;TEXT(H69,"0")&amp;"/5)","❌❌ Non-Compliant ("&amp;TEXT(H69,"0")&amp;"/5)")))</f>
        <v/>
      </c>
    </row>
    <row r="70">
      <c r="H70">
        <f>(IF(C70="✅ Yes",1,0)+IF(D70="✅ Yes",1,0)+IF(E70="✅ Yes",1,0)+IF(F70="✅ Yes",1,0)+IF(G70="✅ Yes",1,0))</f>
        <v/>
      </c>
      <c r="I70">
        <f>IF(A70="","",IF(H70=5,"✅✅ Full Compliance",IF(H70&gt;=3,"⚠ Partial ("&amp;TEXT(H70,"0")&amp;"/5)","❌❌ Non-Compliant ("&amp;TEXT(H70,"0")&amp;"/5)")))</f>
        <v/>
      </c>
    </row>
    <row r="71">
      <c r="H71">
        <f>(IF(C71="✅ Yes",1,0)+IF(D71="✅ Yes",1,0)+IF(E71="✅ Yes",1,0)+IF(F71="✅ Yes",1,0)+IF(G71="✅ Yes",1,0))</f>
        <v/>
      </c>
      <c r="I71">
        <f>IF(A71="","",IF(H71=5,"✅✅ Full Compliance",IF(H71&gt;=3,"⚠ Partial ("&amp;TEXT(H71,"0")&amp;"/5)","❌❌ Non-Compliant ("&amp;TEXT(H71,"0")&amp;"/5)")))</f>
        <v/>
      </c>
    </row>
    <row r="72">
      <c r="H72">
        <f>(IF(C72="✅ Yes",1,0)+IF(D72="✅ Yes",1,0)+IF(E72="✅ Yes",1,0)+IF(F72="✅ Yes",1,0)+IF(G72="✅ Yes",1,0))</f>
        <v/>
      </c>
      <c r="I72">
        <f>IF(A72="","",IF(H72=5,"✅✅ Full Compliance",IF(H72&gt;=3,"⚠ Partial ("&amp;TEXT(H72,"0")&amp;"/5)","❌❌ Non-Compliant ("&amp;TEXT(H72,"0")&amp;"/5)")))</f>
        <v/>
      </c>
    </row>
    <row r="73">
      <c r="H73">
        <f>(IF(C73="✅ Yes",1,0)+IF(D73="✅ Yes",1,0)+IF(E73="✅ Yes",1,0)+IF(F73="✅ Yes",1,0)+IF(G73="✅ Yes",1,0))</f>
        <v/>
      </c>
      <c r="I73">
        <f>IF(A73="","",IF(H73=5,"✅✅ Full Compliance",IF(H73&gt;=3,"⚠ Partial ("&amp;TEXT(H73,"0")&amp;"/5)","❌❌ Non-Compliant ("&amp;TEXT(H73,"0")&amp;"/5)")))</f>
        <v/>
      </c>
    </row>
    <row r="74">
      <c r="H74">
        <f>(IF(C74="✅ Yes",1,0)+IF(D74="✅ Yes",1,0)+IF(E74="✅ Yes",1,0)+IF(F74="✅ Yes",1,0)+IF(G74="✅ Yes",1,0))</f>
        <v/>
      </c>
      <c r="I74">
        <f>IF(A74="","",IF(H74=5,"✅✅ Full Compliance",IF(H74&gt;=3,"⚠ Partial ("&amp;TEXT(H74,"0")&amp;"/5)","❌❌ Non-Compliant ("&amp;TEXT(H74,"0")&amp;"/5)")))</f>
        <v/>
      </c>
    </row>
    <row r="75">
      <c r="H75">
        <f>(IF(C75="✅ Yes",1,0)+IF(D75="✅ Yes",1,0)+IF(E75="✅ Yes",1,0)+IF(F75="✅ Yes",1,0)+IF(G75="✅ Yes",1,0))</f>
        <v/>
      </c>
      <c r="I75">
        <f>IF(A75="","",IF(H75=5,"✅✅ Full Compliance",IF(H75&gt;=3,"⚠ Partial ("&amp;TEXT(H75,"0")&amp;"/5)","❌❌ Non-Compliant ("&amp;TEXT(H75,"0")&amp;"/5)")))</f>
        <v/>
      </c>
    </row>
    <row r="76">
      <c r="H76">
        <f>(IF(C76="✅ Yes",1,0)+IF(D76="✅ Yes",1,0)+IF(E76="✅ Yes",1,0)+IF(F76="✅ Yes",1,0)+IF(G76="✅ Yes",1,0))</f>
        <v/>
      </c>
      <c r="I76">
        <f>IF(A76="","",IF(H76=5,"✅✅ Full Compliance",IF(H76&gt;=3,"⚠ Partial ("&amp;TEXT(H76,"0")&amp;"/5)","❌❌ Non-Compliant ("&amp;TEXT(H76,"0")&amp;"/5)")))</f>
        <v/>
      </c>
    </row>
    <row r="77">
      <c r="H77">
        <f>(IF(C77="✅ Yes",1,0)+IF(D77="✅ Yes",1,0)+IF(E77="✅ Yes",1,0)+IF(F77="✅ Yes",1,0)+IF(G77="✅ Yes",1,0))</f>
        <v/>
      </c>
      <c r="I77">
        <f>IF(A77="","",IF(H77=5,"✅✅ Full Compliance",IF(H77&gt;=3,"⚠ Partial ("&amp;TEXT(H77,"0")&amp;"/5)","❌❌ Non-Compliant ("&amp;TEXT(H77,"0")&amp;"/5)")))</f>
        <v/>
      </c>
    </row>
    <row r="78">
      <c r="H78">
        <f>(IF(C78="✅ Yes",1,0)+IF(D78="✅ Yes",1,0)+IF(E78="✅ Yes",1,0)+IF(F78="✅ Yes",1,0)+IF(G78="✅ Yes",1,0))</f>
        <v/>
      </c>
      <c r="I78">
        <f>IF(A78="","",IF(H78=5,"✅✅ Full Compliance",IF(H78&gt;=3,"⚠ Partial ("&amp;TEXT(H78,"0")&amp;"/5)","❌❌ Non-Compliant ("&amp;TEXT(H78,"0")&amp;"/5)")))</f>
        <v/>
      </c>
    </row>
    <row r="79">
      <c r="H79">
        <f>(IF(C79="✅ Yes",1,0)+IF(D79="✅ Yes",1,0)+IF(E79="✅ Yes",1,0)+IF(F79="✅ Yes",1,0)+IF(G79="✅ Yes",1,0))</f>
        <v/>
      </c>
      <c r="I79">
        <f>IF(A79="","",IF(H79=5,"✅✅ Full Compliance",IF(H79&gt;=3,"⚠ Partial ("&amp;TEXT(H79,"0")&amp;"/5)","❌❌ Non-Compliant ("&amp;TEXT(H79,"0")&amp;"/5)")))</f>
        <v/>
      </c>
    </row>
    <row r="80">
      <c r="H80">
        <f>(IF(C80="✅ Yes",1,0)+IF(D80="✅ Yes",1,0)+IF(E80="✅ Yes",1,0)+IF(F80="✅ Yes",1,0)+IF(G80="✅ Yes",1,0))</f>
        <v/>
      </c>
      <c r="I80">
        <f>IF(A80="","",IF(H80=5,"✅✅ Full Compliance",IF(H80&gt;=3,"⚠ Partial ("&amp;TEXT(H80,"0")&amp;"/5)","❌❌ Non-Compliant ("&amp;TEXT(H80,"0")&amp;"/5)")))</f>
        <v/>
      </c>
    </row>
    <row r="81">
      <c r="H81">
        <f>(IF(C81="✅ Yes",1,0)+IF(D81="✅ Yes",1,0)+IF(E81="✅ Yes",1,0)+IF(F81="✅ Yes",1,0)+IF(G81="✅ Yes",1,0))</f>
        <v/>
      </c>
      <c r="I81">
        <f>IF(A81="","",IF(H81=5,"✅✅ Full Compliance",IF(H81&gt;=3,"⚠ Partial ("&amp;TEXT(H81,"0")&amp;"/5)","❌❌ Non-Compliant ("&amp;TEXT(H81,"0")&amp;"/5)")))</f>
        <v/>
      </c>
    </row>
    <row r="82">
      <c r="H82">
        <f>(IF(C82="✅ Yes",1,0)+IF(D82="✅ Yes",1,0)+IF(E82="✅ Yes",1,0)+IF(F82="✅ Yes",1,0)+IF(G82="✅ Yes",1,0))</f>
        <v/>
      </c>
      <c r="I82">
        <f>IF(A82="","",IF(H82=5,"✅✅ Full Compliance",IF(H82&gt;=3,"⚠ Partial ("&amp;TEXT(H82,"0")&amp;"/5)","❌❌ Non-Compliant ("&amp;TEXT(H82,"0")&amp;"/5)")))</f>
        <v/>
      </c>
    </row>
    <row r="83">
      <c r="H83">
        <f>(IF(C83="✅ Yes",1,0)+IF(D83="✅ Yes",1,0)+IF(E83="✅ Yes",1,0)+IF(F83="✅ Yes",1,0)+IF(G83="✅ Yes",1,0))</f>
        <v/>
      </c>
      <c r="I83">
        <f>IF(A83="","",IF(H83=5,"✅✅ Full Compliance",IF(H83&gt;=3,"⚠ Partial ("&amp;TEXT(H83,"0")&amp;"/5)","❌❌ Non-Compliant ("&amp;TEXT(H83,"0")&amp;"/5)")))</f>
        <v/>
      </c>
    </row>
    <row r="84">
      <c r="H84">
        <f>(IF(C84="✅ Yes",1,0)+IF(D84="✅ Yes",1,0)+IF(E84="✅ Yes",1,0)+IF(F84="✅ Yes",1,0)+IF(G84="✅ Yes",1,0))</f>
        <v/>
      </c>
      <c r="I84">
        <f>IF(A84="","",IF(H84=5,"✅✅ Full Compliance",IF(H84&gt;=3,"⚠ Partial ("&amp;TEXT(H84,"0")&amp;"/5)","❌❌ Non-Compliant ("&amp;TEXT(H84,"0")&amp;"/5)")))</f>
        <v/>
      </c>
    </row>
    <row r="85">
      <c r="H85">
        <f>(IF(C85="✅ Yes",1,0)+IF(D85="✅ Yes",1,0)+IF(E85="✅ Yes",1,0)+IF(F85="✅ Yes",1,0)+IF(G85="✅ Yes",1,0))</f>
        <v/>
      </c>
      <c r="I85">
        <f>IF(A85="","",IF(H85=5,"✅✅ Full Compliance",IF(H85&gt;=3,"⚠ Partial ("&amp;TEXT(H85,"0")&amp;"/5)","❌❌ Non-Compliant ("&amp;TEXT(H85,"0")&amp;"/5)")))</f>
        <v/>
      </c>
    </row>
    <row r="86">
      <c r="H86">
        <f>(IF(C86="✅ Yes",1,0)+IF(D86="✅ Yes",1,0)+IF(E86="✅ Yes",1,0)+IF(F86="✅ Yes",1,0)+IF(G86="✅ Yes",1,0))</f>
        <v/>
      </c>
      <c r="I86">
        <f>IF(A86="","",IF(H86=5,"✅✅ Full Compliance",IF(H86&gt;=3,"⚠ Partial ("&amp;TEXT(H86,"0")&amp;"/5)","❌❌ Non-Compliant ("&amp;TEXT(H86,"0")&amp;"/5)")))</f>
        <v/>
      </c>
    </row>
    <row r="87">
      <c r="H87">
        <f>(IF(C87="✅ Yes",1,0)+IF(D87="✅ Yes",1,0)+IF(E87="✅ Yes",1,0)+IF(F87="✅ Yes",1,0)+IF(G87="✅ Yes",1,0))</f>
        <v/>
      </c>
      <c r="I87">
        <f>IF(A87="","",IF(H87=5,"✅✅ Full Compliance",IF(H87&gt;=3,"⚠ Partial ("&amp;TEXT(H87,"0")&amp;"/5)","❌❌ Non-Compliant ("&amp;TEXT(H87,"0")&amp;"/5)")))</f>
        <v/>
      </c>
    </row>
    <row r="88">
      <c r="H88">
        <f>(IF(C88="✅ Yes",1,0)+IF(D88="✅ Yes",1,0)+IF(E88="✅ Yes",1,0)+IF(F88="✅ Yes",1,0)+IF(G88="✅ Yes",1,0))</f>
        <v/>
      </c>
      <c r="I88">
        <f>IF(A88="","",IF(H88=5,"✅✅ Full Compliance",IF(H88&gt;=3,"⚠ Partial ("&amp;TEXT(H88,"0")&amp;"/5)","❌❌ Non-Compliant ("&amp;TEXT(H88,"0")&amp;"/5)")))</f>
        <v/>
      </c>
    </row>
    <row r="89">
      <c r="H89">
        <f>(IF(C89="✅ Yes",1,0)+IF(D89="✅ Yes",1,0)+IF(E89="✅ Yes",1,0)+IF(F89="✅ Yes",1,0)+IF(G89="✅ Yes",1,0))</f>
        <v/>
      </c>
      <c r="I89">
        <f>IF(A89="","",IF(H89=5,"✅✅ Full Compliance",IF(H89&gt;=3,"⚠ Partial ("&amp;TEXT(H89,"0")&amp;"/5)","❌❌ Non-Compliant ("&amp;TEXT(H89,"0")&amp;"/5)")))</f>
        <v/>
      </c>
    </row>
    <row r="90">
      <c r="H90">
        <f>(IF(C90="✅ Yes",1,0)+IF(D90="✅ Yes",1,0)+IF(E90="✅ Yes",1,0)+IF(F90="✅ Yes",1,0)+IF(G90="✅ Yes",1,0))</f>
        <v/>
      </c>
      <c r="I90">
        <f>IF(A90="","",IF(H90=5,"✅✅ Full Compliance",IF(H90&gt;=3,"⚠ Partial ("&amp;TEXT(H90,"0")&amp;"/5)","❌❌ Non-Compliant ("&amp;TEXT(H90,"0")&amp;"/5)")))</f>
        <v/>
      </c>
    </row>
    <row r="91">
      <c r="H91">
        <f>(IF(C91="✅ Yes",1,0)+IF(D91="✅ Yes",1,0)+IF(E91="✅ Yes",1,0)+IF(F91="✅ Yes",1,0)+IF(G91="✅ Yes",1,0))</f>
        <v/>
      </c>
      <c r="I91">
        <f>IF(A91="","",IF(H91=5,"✅✅ Full Compliance",IF(H91&gt;=3,"⚠ Partial ("&amp;TEXT(H91,"0")&amp;"/5)","❌❌ Non-Compliant ("&amp;TEXT(H91,"0")&amp;"/5)")))</f>
        <v/>
      </c>
    </row>
    <row r="92">
      <c r="H92">
        <f>(IF(C92="✅ Yes",1,0)+IF(D92="✅ Yes",1,0)+IF(E92="✅ Yes",1,0)+IF(F92="✅ Yes",1,0)+IF(G92="✅ Yes",1,0))</f>
        <v/>
      </c>
      <c r="I92">
        <f>IF(A92="","",IF(H92=5,"✅✅ Full Compliance",IF(H92&gt;=3,"⚠ Partial ("&amp;TEXT(H92,"0")&amp;"/5)","❌❌ Non-Compliant ("&amp;TEXT(H92,"0")&amp;"/5)")))</f>
        <v/>
      </c>
    </row>
    <row r="93">
      <c r="H93">
        <f>(IF(C93="✅ Yes",1,0)+IF(D93="✅ Yes",1,0)+IF(E93="✅ Yes",1,0)+IF(F93="✅ Yes",1,0)+IF(G93="✅ Yes",1,0))</f>
        <v/>
      </c>
      <c r="I93">
        <f>IF(A93="","",IF(H93=5,"✅✅ Full Compliance",IF(H93&gt;=3,"⚠ Partial ("&amp;TEXT(H93,"0")&amp;"/5)","❌❌ Non-Compliant ("&amp;TEXT(H93,"0")&amp;"/5)")))</f>
        <v/>
      </c>
    </row>
    <row r="94">
      <c r="H94">
        <f>(IF(C94="✅ Yes",1,0)+IF(D94="✅ Yes",1,0)+IF(E94="✅ Yes",1,0)+IF(F94="✅ Yes",1,0)+IF(G94="✅ Yes",1,0))</f>
        <v/>
      </c>
      <c r="I94">
        <f>IF(A94="","",IF(H94=5,"✅✅ Full Compliance",IF(H94&gt;=3,"⚠ Partial ("&amp;TEXT(H94,"0")&amp;"/5)","❌❌ Non-Compliant ("&amp;TEXT(H94,"0")&amp;"/5)")))</f>
        <v/>
      </c>
    </row>
    <row r="95">
      <c r="H95">
        <f>(IF(C95="✅ Yes",1,0)+IF(D95="✅ Yes",1,0)+IF(E95="✅ Yes",1,0)+IF(F95="✅ Yes",1,0)+IF(G95="✅ Yes",1,0))</f>
        <v/>
      </c>
      <c r="I95">
        <f>IF(A95="","",IF(H95=5,"✅✅ Full Compliance",IF(H95&gt;=3,"⚠ Partial ("&amp;TEXT(H95,"0")&amp;"/5)","❌❌ Non-Compliant ("&amp;TEXT(H95,"0")&amp;"/5)")))</f>
        <v/>
      </c>
    </row>
    <row r="96">
      <c r="H96">
        <f>(IF(C96="✅ Yes",1,0)+IF(D96="✅ Yes",1,0)+IF(E96="✅ Yes",1,0)+IF(F96="✅ Yes",1,0)+IF(G96="✅ Yes",1,0))</f>
        <v/>
      </c>
      <c r="I96">
        <f>IF(A96="","",IF(H96=5,"✅✅ Full Compliance",IF(H96&gt;=3,"⚠ Partial ("&amp;TEXT(H96,"0")&amp;"/5)","❌❌ Non-Compliant ("&amp;TEXT(H96,"0")&amp;"/5)")))</f>
        <v/>
      </c>
    </row>
    <row r="97">
      <c r="H97">
        <f>(IF(C97="✅ Yes",1,0)+IF(D97="✅ Yes",1,0)+IF(E97="✅ Yes",1,0)+IF(F97="✅ Yes",1,0)+IF(G97="✅ Yes",1,0))</f>
        <v/>
      </c>
      <c r="I97">
        <f>IF(A97="","",IF(H97=5,"✅✅ Full Compliance",IF(H97&gt;=3,"⚠ Partial ("&amp;TEXT(H97,"0")&amp;"/5)","❌❌ Non-Compliant ("&amp;TEXT(H97,"0")&amp;"/5)")))</f>
        <v/>
      </c>
    </row>
    <row r="98">
      <c r="H98">
        <f>(IF(C98="✅ Yes",1,0)+IF(D98="✅ Yes",1,0)+IF(E98="✅ Yes",1,0)+IF(F98="✅ Yes",1,0)+IF(G98="✅ Yes",1,0))</f>
        <v/>
      </c>
      <c r="I98">
        <f>IF(A98="","",IF(H98=5,"✅✅ Full Compliance",IF(H98&gt;=3,"⚠ Partial ("&amp;TEXT(H98,"0")&amp;"/5)","❌❌ Non-Compliant ("&amp;TEXT(H98,"0")&amp;"/5)")))</f>
        <v/>
      </c>
    </row>
    <row r="99">
      <c r="H99">
        <f>(IF(C99="✅ Yes",1,0)+IF(D99="✅ Yes",1,0)+IF(E99="✅ Yes",1,0)+IF(F99="✅ Yes",1,0)+IF(G99="✅ Yes",1,0))</f>
        <v/>
      </c>
      <c r="I99">
        <f>IF(A99="","",IF(H99=5,"✅✅ Full Compliance",IF(H99&gt;=3,"⚠ Partial ("&amp;TEXT(H99,"0")&amp;"/5)","❌❌ Non-Compliant ("&amp;TEXT(H99,"0")&amp;"/5)")))</f>
        <v/>
      </c>
    </row>
    <row r="100">
      <c r="H100">
        <f>(IF(C100="✅ Yes",1,0)+IF(D100="✅ Yes",1,0)+IF(E100="✅ Yes",1,0)+IF(F100="✅ Yes",1,0)+IF(G100="✅ Yes",1,0))</f>
        <v/>
      </c>
      <c r="I100">
        <f>IF(A100="","",IF(H100=5,"✅✅ Full Compliance",IF(H100&gt;=3,"⚠ Partial ("&amp;TEXT(H100,"0")&amp;"/5)","❌❌ Non-Compliant ("&amp;TEXT(H100,"0")&amp;"/5)")))</f>
        <v/>
      </c>
    </row>
    <row r="101">
      <c r="H101">
        <f>(IF(C101="✅ Yes",1,0)+IF(D101="✅ Yes",1,0)+IF(E101="✅ Yes",1,0)+IF(F101="✅ Yes",1,0)+IF(G101="✅ Yes",1,0))</f>
        <v/>
      </c>
      <c r="I101">
        <f>IF(A101="","",IF(H101=5,"✅✅ Full Compliance",IF(H101&gt;=3,"⚠ Partial ("&amp;TEXT(H101,"0")&amp;"/5)","❌❌ Non-Compliant ("&amp;TEXT(H101,"0")&amp;"/5)")))</f>
        <v/>
      </c>
    </row>
    <row r="102">
      <c r="H102">
        <f>(IF(C102="✅ Yes",1,0)+IF(D102="✅ Yes",1,0)+IF(E102="✅ Yes",1,0)+IF(F102="✅ Yes",1,0)+IF(G102="✅ Yes",1,0))</f>
        <v/>
      </c>
      <c r="I102">
        <f>IF(A102="","",IF(H102=5,"✅✅ Full Compliance",IF(H102&gt;=3,"⚠ Partial ("&amp;TEXT(H102,"0")&amp;"/5)","❌❌ Non-Compliant ("&amp;TEXT(H102,"0")&amp;"/5)")))</f>
        <v/>
      </c>
    </row>
    <row r="103">
      <c r="H103">
        <f>(IF(C103="✅ Yes",1,0)+IF(D103="✅ Yes",1,0)+IF(E103="✅ Yes",1,0)+IF(F103="✅ Yes",1,0)+IF(G103="✅ Yes",1,0))</f>
        <v/>
      </c>
      <c r="I103">
        <f>IF(A103="","",IF(H103=5,"✅✅ Full Compliance",IF(H103&gt;=3,"⚠ Partial ("&amp;TEXT(H103,"0")&amp;"/5)","❌❌ Non-Compliant ("&amp;TEXT(H103,"0")&amp;"/5)")))</f>
        <v/>
      </c>
    </row>
    <row r="104">
      <c r="H104">
        <f>(IF(C104="✅ Yes",1,0)+IF(D104="✅ Yes",1,0)+IF(E104="✅ Yes",1,0)+IF(F104="✅ Yes",1,0)+IF(G104="✅ Yes",1,0))</f>
        <v/>
      </c>
      <c r="I104">
        <f>IF(A104="","",IF(H104=5,"✅✅ Full Compliance",IF(H104&gt;=3,"⚠ Partial ("&amp;TEXT(H104,"0")&amp;"/5)","❌❌ Non-Compliant ("&amp;TEXT(H104,"0")&amp;"/5)")))</f>
        <v/>
      </c>
    </row>
    <row r="105">
      <c r="H105">
        <f>(IF(C105="✅ Yes",1,0)+IF(D105="✅ Yes",1,0)+IF(E105="✅ Yes",1,0)+IF(F105="✅ Yes",1,0)+IF(G105="✅ Yes",1,0))</f>
        <v/>
      </c>
      <c r="I105">
        <f>IF(A105="","",IF(H105=5,"✅✅ Full Compliance",IF(H105&gt;=3,"⚠ Partial ("&amp;TEXT(H105,"0")&amp;"/5)","❌❌ Non-Compliant ("&amp;TEXT(H105,"0")&amp;"/5)")))</f>
        <v/>
      </c>
    </row>
    <row r="106">
      <c r="H106">
        <f>(IF(C106="✅ Yes",1,0)+IF(D106="✅ Yes",1,0)+IF(E106="✅ Yes",1,0)+IF(F106="✅ Yes",1,0)+IF(G106="✅ Yes",1,0))</f>
        <v/>
      </c>
      <c r="I106">
        <f>IF(A106="","",IF(H106=5,"✅✅ Full Compliance",IF(H106&gt;=3,"⚠ Partial ("&amp;TEXT(H106,"0")&amp;"/5)","❌❌ Non-Compliant ("&amp;TEXT(H106,"0")&amp;"/5)")))</f>
        <v/>
      </c>
    </row>
    <row r="107">
      <c r="H107">
        <f>(IF(C107="✅ Yes",1,0)+IF(D107="✅ Yes",1,0)+IF(E107="✅ Yes",1,0)+IF(F107="✅ Yes",1,0)+IF(G107="✅ Yes",1,0))</f>
        <v/>
      </c>
      <c r="I107">
        <f>IF(A107="","",IF(H107=5,"✅✅ Full Compliance",IF(H107&gt;=3,"⚠ Partial ("&amp;TEXT(H107,"0")&amp;"/5)","❌❌ Non-Compliant ("&amp;TEXT(H107,"0")&amp;"/5)")))</f>
        <v/>
      </c>
    </row>
    <row r="108">
      <c r="H108">
        <f>(IF(C108="✅ Yes",1,0)+IF(D108="✅ Yes",1,0)+IF(E108="✅ Yes",1,0)+IF(F108="✅ Yes",1,0)+IF(G108="✅ Yes",1,0))</f>
        <v/>
      </c>
      <c r="I108">
        <f>IF(A108="","",IF(H108=5,"✅✅ Full Compliance",IF(H108&gt;=3,"⚠ Partial ("&amp;TEXT(H108,"0")&amp;"/5)","❌❌ Non-Compliant ("&amp;TEXT(H108,"0")&amp;"/5)")))</f>
        <v/>
      </c>
    </row>
    <row r="109">
      <c r="H109">
        <f>(IF(C109="✅ Yes",1,0)+IF(D109="✅ Yes",1,0)+IF(E109="✅ Yes",1,0)+IF(F109="✅ Yes",1,0)+IF(G109="✅ Yes",1,0))</f>
        <v/>
      </c>
      <c r="I109">
        <f>IF(A109="","",IF(H109=5,"✅✅ Full Compliance",IF(H109&gt;=3,"⚠ Partial ("&amp;TEXT(H109,"0")&amp;"/5)","❌❌ Non-Compliant ("&amp;TEXT(H109,"0")&amp;"/5)")))</f>
        <v/>
      </c>
    </row>
    <row r="110">
      <c r="H110">
        <f>(IF(C110="✅ Yes",1,0)+IF(D110="✅ Yes",1,0)+IF(E110="✅ Yes",1,0)+IF(F110="✅ Yes",1,0)+IF(G110="✅ Yes",1,0))</f>
        <v/>
      </c>
      <c r="I110">
        <f>IF(A110="","",IF(H110=5,"✅✅ Full Compliance",IF(H110&gt;=3,"⚠ Partial ("&amp;TEXT(H110,"0")&amp;"/5)","❌❌ Non-Compliant ("&amp;TEXT(H110,"0")&amp;"/5)")))</f>
        <v/>
      </c>
    </row>
    <row r="111">
      <c r="H111">
        <f>(IF(C111="✅ Yes",1,0)+IF(D111="✅ Yes",1,0)+IF(E111="✅ Yes",1,0)+IF(F111="✅ Yes",1,0)+IF(G111="✅ Yes",1,0))</f>
        <v/>
      </c>
      <c r="I111">
        <f>IF(A111="","",IF(H111=5,"✅✅ Full Compliance",IF(H111&gt;=3,"⚠ Partial ("&amp;TEXT(H111,"0")&amp;"/5)","❌❌ Non-Compliant ("&amp;TEXT(H111,"0")&amp;"/5)")))</f>
        <v/>
      </c>
    </row>
    <row r="112">
      <c r="H112">
        <f>(IF(C112="✅ Yes",1,0)+IF(D112="✅ Yes",1,0)+IF(E112="✅ Yes",1,0)+IF(F112="✅ Yes",1,0)+IF(G112="✅ Yes",1,0))</f>
        <v/>
      </c>
      <c r="I112">
        <f>IF(A112="","",IF(H112=5,"✅✅ Full Compliance",IF(H112&gt;=3,"⚠ Partial ("&amp;TEXT(H112,"0")&amp;"/5)","❌❌ Non-Compliant ("&amp;TEXT(H112,"0")&amp;"/5)")))</f>
        <v/>
      </c>
    </row>
    <row r="113">
      <c r="H113">
        <f>(IF(C113="✅ Yes",1,0)+IF(D113="✅ Yes",1,0)+IF(E113="✅ Yes",1,0)+IF(F113="✅ Yes",1,0)+IF(G113="✅ Yes",1,0))</f>
        <v/>
      </c>
      <c r="I113">
        <f>IF(A113="","",IF(H113=5,"✅✅ Full Compliance",IF(H113&gt;=3,"⚠ Partial ("&amp;TEXT(H113,"0")&amp;"/5)","❌❌ Non-Compliant ("&amp;TEXT(H113,"0")&amp;"/5)")))</f>
        <v/>
      </c>
    </row>
    <row r="114">
      <c r="H114">
        <f>(IF(C114="✅ Yes",1,0)+IF(D114="✅ Yes",1,0)+IF(E114="✅ Yes",1,0)+IF(F114="✅ Yes",1,0)+IF(G114="✅ Yes",1,0))</f>
        <v/>
      </c>
      <c r="I114">
        <f>IF(A114="","",IF(H114=5,"✅✅ Full Compliance",IF(H114&gt;=3,"⚠ Partial ("&amp;TEXT(H114,"0")&amp;"/5)","❌❌ Non-Compliant ("&amp;TEXT(H114,"0")&amp;"/5)")))</f>
        <v/>
      </c>
    </row>
    <row r="118">
      <c r="A118" s="12" t="inlineStr">
        <is>
          <t>3-2-1-1-0 COMPLIANCE METRICS</t>
        </is>
      </c>
    </row>
    <row r="119">
      <c r="A119" s="16" t="inlineStr">
        <is>
          <t>Total Systems:</t>
        </is>
      </c>
      <c r="B119" s="16">
        <f>COUNTA(A5:A114)</f>
        <v/>
      </c>
    </row>
    <row r="120">
      <c r="A120" s="16" t="inlineStr">
        <is>
          <t>Full Compliance (5/5):</t>
        </is>
      </c>
      <c r="B120" s="16">
        <f>COUNTIF(I5:I114,"✅✅*")</f>
        <v/>
      </c>
    </row>
    <row r="121">
      <c r="A121" s="16" t="inlineStr">
        <is>
          <t>Partial Compliance (3-4/5):</t>
        </is>
      </c>
      <c r="B121" s="16">
        <f>COUNTIF(I5:I114,"⚠*")</f>
        <v/>
      </c>
    </row>
    <row r="122">
      <c r="A122" s="16" t="inlineStr">
        <is>
          <t>Non-Compliant (0-2/5):</t>
        </is>
      </c>
      <c r="B122" s="16">
        <f>COUNTIF(I5:I114,"❌❌*")</f>
        <v/>
      </c>
    </row>
    <row r="123">
      <c r="A123" s="16" t="inlineStr">
        <is>
          <t>Full Compliance Rate:</t>
        </is>
      </c>
      <c r="B123" s="17">
        <f>IF(B119&gt;0,B120/B119,0)</f>
        <v/>
      </c>
    </row>
    <row r="124">
      <c r="A124" s="16" t="inlineStr">
        <is>
          <t>Critical Systems (Tier 1):</t>
        </is>
      </c>
      <c r="B124" s="16">
        <f>COUNTIF(B5:B114,"Tier 1*")</f>
        <v/>
      </c>
    </row>
    <row r="125">
      <c r="A125" s="16" t="inlineStr">
        <is>
          <t>Critical Full Compliance:</t>
        </is>
      </c>
      <c r="B125" s="16">
        <f>COUNTIFS(B5:B114,"Tier 1*",I5:I114,"✅✅*")</f>
        <v/>
      </c>
    </row>
    <row r="126">
      <c r="A126" s="16" t="inlineStr">
        <is>
          <t>Critical Full Compliance Rate:</t>
        </is>
      </c>
      <c r="B126" s="17">
        <f>IF(B124&gt;0,B125/B124,1)</f>
        <v/>
      </c>
    </row>
  </sheetData>
  <mergeCells count="3">
    <mergeCell ref="A1:J1"/>
    <mergeCell ref="A118:J118"/>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5" customWidth="1" min="4" max="4"/>
    <col width="45" customWidth="1" min="5" max="5"/>
    <col width="16" customWidth="1" min="6" max="6"/>
    <col width="22" customWidth="1" min="7" max="7"/>
    <col width="20"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 (minimum 5 items required for audit compliance)</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Backup Inventory</t>
        </is>
      </c>
      <c r="C5" s="22" t="inlineStr">
        <is>
          <t>Screenshot</t>
        </is>
      </c>
      <c r="D5" s="22" t="inlineStr">
        <is>
          <t>Veeam Backup &amp; Replication dashboard showing successful backup jobs</t>
        </is>
      </c>
      <c r="E5" s="22" t="inlineStr">
        <is>
          <t>/evidence/backup/veeam_dashboard_2026-01-10.png</t>
        </is>
      </c>
      <c r="F5" s="22" t="inlineStr">
        <is>
          <t>01.03.2026</t>
        </is>
      </c>
      <c r="G5" s="22" t="inlineStr">
        <is>
          <t>Backup Administrator</t>
        </is>
      </c>
      <c r="H5" s="22" t="inlineStr">
        <is>
          <t>✅ Verified</t>
        </is>
      </c>
    </row>
    <row r="6">
      <c r="A6" s="23" t="n"/>
      <c r="B6" s="24" t="n"/>
      <c r="C6" s="24" t="n"/>
      <c r="D6" s="24" t="n"/>
      <c r="E6" s="24" t="n"/>
      <c r="F6" s="24" t="n"/>
      <c r="G6" s="24" t="n"/>
      <c r="H6" s="24" t="n"/>
    </row>
    <row r="7">
      <c r="A7" s="23" t="n"/>
      <c r="B7" s="24" t="n"/>
      <c r="C7" s="24" t="n"/>
      <c r="D7" s="24" t="n"/>
      <c r="E7" s="24" t="n"/>
      <c r="F7" s="24" t="n"/>
      <c r="G7" s="24" t="n"/>
      <c r="H7" s="24" t="n"/>
    </row>
    <row r="8">
      <c r="A8" s="23" t="n"/>
      <c r="B8" s="24" t="n"/>
      <c r="C8" s="24" t="n"/>
      <c r="D8" s="24" t="n"/>
      <c r="E8" s="24" t="n"/>
      <c r="F8" s="24" t="n"/>
      <c r="G8" s="24" t="n"/>
      <c r="H8" s="24" t="n"/>
    </row>
    <row r="9">
      <c r="A9" s="23" t="n"/>
      <c r="B9" s="24" t="n"/>
      <c r="C9" s="24" t="n"/>
      <c r="D9" s="24" t="n"/>
      <c r="E9" s="24" t="n"/>
      <c r="F9" s="24" t="n"/>
      <c r="G9" s="24" t="n"/>
      <c r="H9" s="24" t="n"/>
    </row>
    <row r="10">
      <c r="A10" s="23" t="n"/>
      <c r="B10" s="24" t="n"/>
      <c r="C10" s="24" t="n"/>
      <c r="D10" s="24" t="n"/>
      <c r="E10" s="24" t="n"/>
      <c r="F10" s="24" t="n"/>
      <c r="G10" s="24" t="n"/>
      <c r="H10" s="24" t="n"/>
    </row>
    <row r="11">
      <c r="A11" s="23" t="n"/>
      <c r="B11" s="24" t="n"/>
      <c r="C11" s="24" t="n"/>
      <c r="D11" s="24" t="n"/>
      <c r="E11" s="24" t="n"/>
      <c r="F11" s="24" t="n"/>
      <c r="G11" s="24" t="n"/>
      <c r="H11" s="24" t="n"/>
    </row>
    <row r="12">
      <c r="A12" s="23" t="n"/>
      <c r="B12" s="24" t="n"/>
      <c r="C12" s="24" t="n"/>
      <c r="D12" s="24" t="n"/>
      <c r="E12" s="24" t="n"/>
      <c r="F12" s="24" t="n"/>
      <c r="G12" s="24" t="n"/>
      <c r="H12" s="24" t="n"/>
    </row>
    <row r="13">
      <c r="A13" s="23" t="n"/>
      <c r="B13" s="24" t="n"/>
      <c r="C13" s="24" t="n"/>
      <c r="D13" s="24" t="n"/>
      <c r="E13" s="24" t="n"/>
      <c r="F13" s="24" t="n"/>
      <c r="G13" s="24" t="n"/>
      <c r="H13" s="24" t="n"/>
    </row>
    <row r="14">
      <c r="A14" s="23" t="n"/>
      <c r="B14" s="24" t="n"/>
      <c r="C14" s="24" t="n"/>
      <c r="D14" s="24" t="n"/>
      <c r="E14" s="24" t="n"/>
      <c r="F14" s="24" t="n"/>
      <c r="G14" s="24" t="n"/>
      <c r="H14" s="24" t="n"/>
    </row>
    <row r="15">
      <c r="A15" s="23" t="n"/>
      <c r="B15" s="24" t="n"/>
      <c r="C15" s="24" t="n"/>
      <c r="D15" s="24" t="n"/>
      <c r="E15" s="24" t="n"/>
      <c r="F15" s="24" t="n"/>
      <c r="G15" s="24" t="n"/>
      <c r="H15" s="24" t="n"/>
    </row>
    <row r="16">
      <c r="A16" s="23" t="n"/>
      <c r="B16" s="24" t="n"/>
      <c r="C16" s="24" t="n"/>
      <c r="D16" s="24" t="n"/>
      <c r="E16" s="24" t="n"/>
      <c r="F16" s="24" t="n"/>
      <c r="G16" s="24" t="n"/>
      <c r="H16" s="24" t="n"/>
    </row>
    <row r="17">
      <c r="A17" s="23" t="n"/>
      <c r="B17" s="24" t="n"/>
      <c r="C17" s="24" t="n"/>
      <c r="D17" s="24" t="n"/>
      <c r="E17" s="24" t="n"/>
      <c r="F17" s="24" t="n"/>
      <c r="G17" s="24" t="n"/>
      <c r="H17" s="24" t="n"/>
    </row>
    <row r="18">
      <c r="A18" s="23" t="n"/>
      <c r="B18" s="24" t="n"/>
      <c r="C18" s="24" t="n"/>
      <c r="D18" s="24" t="n"/>
      <c r="E18" s="24" t="n"/>
      <c r="F18" s="24" t="n"/>
      <c r="G18" s="24" t="n"/>
      <c r="H18" s="24" t="n"/>
    </row>
    <row r="19">
      <c r="A19" s="23" t="n"/>
      <c r="B19" s="24" t="n"/>
      <c r="C19" s="24" t="n"/>
      <c r="D19" s="24" t="n"/>
      <c r="E19" s="24" t="n"/>
      <c r="F19" s="24" t="n"/>
      <c r="G19" s="24" t="n"/>
      <c r="H19" s="24" t="n"/>
    </row>
    <row r="20">
      <c r="A20" s="23" t="n"/>
      <c r="B20" s="24" t="n"/>
      <c r="C20" s="24" t="n"/>
      <c r="D20" s="24" t="n"/>
      <c r="E20" s="24" t="n"/>
      <c r="F20" s="24" t="n"/>
      <c r="G20" s="24" t="n"/>
      <c r="H20" s="24" t="n"/>
    </row>
    <row r="21">
      <c r="A21" s="23" t="n"/>
      <c r="B21" s="24" t="n"/>
      <c r="C21" s="24" t="n"/>
      <c r="D21" s="24" t="n"/>
      <c r="E21" s="24" t="n"/>
      <c r="F21" s="24" t="n"/>
      <c r="G21" s="24" t="n"/>
      <c r="H21" s="24" t="n"/>
    </row>
    <row r="22">
      <c r="A22" s="23" t="n"/>
      <c r="B22" s="24" t="n"/>
      <c r="C22" s="24" t="n"/>
      <c r="D22" s="24" t="n"/>
      <c r="E22" s="24" t="n"/>
      <c r="F22" s="24" t="n"/>
      <c r="G22" s="24" t="n"/>
      <c r="H22" s="24" t="n"/>
    </row>
    <row r="23">
      <c r="A23" s="23" t="n"/>
      <c r="B23" s="24" t="n"/>
      <c r="C23" s="24" t="n"/>
      <c r="D23" s="24" t="n"/>
      <c r="E23" s="24" t="n"/>
      <c r="F23" s="24" t="n"/>
      <c r="G23" s="24" t="n"/>
      <c r="H23" s="24" t="n"/>
    </row>
    <row r="24">
      <c r="A24" s="23" t="n"/>
      <c r="B24" s="24" t="n"/>
      <c r="C24" s="24" t="n"/>
      <c r="D24" s="24" t="n"/>
      <c r="E24" s="24" t="n"/>
      <c r="F24" s="24" t="n"/>
      <c r="G24" s="24" t="n"/>
      <c r="H24" s="24" t="n"/>
    </row>
    <row r="25">
      <c r="A25" s="23" t="n"/>
      <c r="B25" s="24" t="n"/>
      <c r="C25" s="24" t="n"/>
      <c r="D25" s="24" t="n"/>
      <c r="E25" s="24" t="n"/>
      <c r="F25" s="24" t="n"/>
      <c r="G25" s="24" t="n"/>
      <c r="H25" s="24" t="n"/>
    </row>
    <row r="26">
      <c r="A26" s="23" t="n"/>
      <c r="B26" s="24" t="n"/>
      <c r="C26" s="24" t="n"/>
      <c r="D26" s="24" t="n"/>
      <c r="E26" s="24" t="n"/>
      <c r="F26" s="24" t="n"/>
      <c r="G26" s="24" t="n"/>
      <c r="H26" s="24" t="n"/>
    </row>
    <row r="27">
      <c r="A27" s="23" t="n"/>
      <c r="B27" s="24" t="n"/>
      <c r="C27" s="24" t="n"/>
      <c r="D27" s="24" t="n"/>
      <c r="E27" s="24" t="n"/>
      <c r="F27" s="24" t="n"/>
      <c r="G27" s="24" t="n"/>
      <c r="H27" s="24" t="n"/>
    </row>
    <row r="28">
      <c r="A28" s="23" t="n"/>
      <c r="B28" s="24" t="n"/>
      <c r="C28" s="24" t="n"/>
      <c r="D28" s="24" t="n"/>
      <c r="E28" s="24" t="n"/>
      <c r="F28" s="24" t="n"/>
      <c r="G28" s="24" t="n"/>
      <c r="H28" s="24" t="n"/>
    </row>
    <row r="29">
      <c r="A29" s="23" t="n"/>
      <c r="B29" s="24" t="n"/>
      <c r="C29" s="24" t="n"/>
      <c r="D29" s="24" t="n"/>
      <c r="E29" s="24" t="n"/>
      <c r="F29" s="24" t="n"/>
      <c r="G29" s="24" t="n"/>
      <c r="H29" s="24" t="n"/>
    </row>
    <row r="30">
      <c r="A30" s="23" t="n"/>
      <c r="B30" s="24" t="n"/>
      <c r="C30" s="24" t="n"/>
      <c r="D30" s="24" t="n"/>
      <c r="E30" s="24" t="n"/>
      <c r="F30" s="24" t="n"/>
      <c r="G30" s="24" t="n"/>
      <c r="H30" s="24" t="n"/>
    </row>
    <row r="31">
      <c r="A31" s="23" t="n"/>
      <c r="B31" s="24" t="n"/>
      <c r="C31" s="24" t="n"/>
      <c r="D31" s="24" t="n"/>
      <c r="E31" s="24" t="n"/>
      <c r="F31" s="24" t="n"/>
      <c r="G31" s="24" t="n"/>
      <c r="H31" s="24" t="n"/>
    </row>
    <row r="32">
      <c r="A32" s="23" t="n"/>
      <c r="B32" s="24" t="n"/>
      <c r="C32" s="24" t="n"/>
      <c r="D32" s="24" t="n"/>
      <c r="E32" s="24" t="n"/>
      <c r="F32" s="24" t="n"/>
      <c r="G32" s="24" t="n"/>
      <c r="H32" s="24" t="n"/>
    </row>
    <row r="33">
      <c r="A33" s="23" t="n"/>
      <c r="B33" s="24" t="n"/>
      <c r="C33" s="24" t="n"/>
      <c r="D33" s="24" t="n"/>
      <c r="E33" s="24" t="n"/>
      <c r="F33" s="24" t="n"/>
      <c r="G33" s="24" t="n"/>
      <c r="H33" s="24" t="n"/>
    </row>
    <row r="34">
      <c r="A34" s="23" t="n"/>
      <c r="B34" s="24" t="n"/>
      <c r="C34" s="24" t="n"/>
      <c r="D34" s="24" t="n"/>
      <c r="E34" s="24" t="n"/>
      <c r="F34" s="24" t="n"/>
      <c r="G34" s="24" t="n"/>
      <c r="H34" s="24" t="n"/>
    </row>
    <row r="35">
      <c r="A35" s="23" t="n"/>
      <c r="B35" s="24" t="n"/>
      <c r="C35" s="24" t="n"/>
      <c r="D35" s="24" t="n"/>
      <c r="E35" s="24" t="n"/>
      <c r="F35" s="24" t="n"/>
      <c r="G35" s="24" t="n"/>
      <c r="H35" s="24" t="n"/>
    </row>
    <row r="36">
      <c r="A36" s="23" t="n"/>
      <c r="B36" s="24" t="n"/>
      <c r="C36" s="24" t="n"/>
      <c r="D36" s="24" t="n"/>
      <c r="E36" s="24" t="n"/>
      <c r="F36" s="24" t="n"/>
      <c r="G36" s="24" t="n"/>
      <c r="H36" s="24" t="n"/>
    </row>
    <row r="37">
      <c r="A37" s="23" t="n"/>
      <c r="B37" s="24" t="n"/>
      <c r="C37" s="24" t="n"/>
      <c r="D37" s="24" t="n"/>
      <c r="E37" s="24" t="n"/>
      <c r="F37" s="24" t="n"/>
      <c r="G37" s="24" t="n"/>
      <c r="H37" s="24" t="n"/>
    </row>
    <row r="38">
      <c r="A38" s="23" t="n"/>
      <c r="B38" s="24" t="n"/>
      <c r="C38" s="24" t="n"/>
      <c r="D38" s="24" t="n"/>
      <c r="E38" s="24" t="n"/>
      <c r="F38" s="24" t="n"/>
      <c r="G38" s="24" t="n"/>
      <c r="H38" s="24" t="n"/>
    </row>
    <row r="39">
      <c r="A39" s="23" t="n"/>
      <c r="B39" s="24" t="n"/>
      <c r="C39" s="24" t="n"/>
      <c r="D39" s="24" t="n"/>
      <c r="E39" s="24" t="n"/>
      <c r="F39" s="24" t="n"/>
      <c r="G39" s="24" t="n"/>
      <c r="H39" s="24" t="n"/>
    </row>
    <row r="40">
      <c r="A40" s="23" t="n"/>
      <c r="B40" s="24" t="n"/>
      <c r="C40" s="24" t="n"/>
      <c r="D40" s="24" t="n"/>
      <c r="E40" s="24" t="n"/>
      <c r="F40" s="24" t="n"/>
      <c r="G40" s="24" t="n"/>
      <c r="H40" s="24" t="n"/>
    </row>
    <row r="41">
      <c r="A41" s="23" t="n"/>
      <c r="B41" s="24" t="n"/>
      <c r="C41" s="24" t="n"/>
      <c r="D41" s="24" t="n"/>
      <c r="E41" s="24" t="n"/>
      <c r="F41" s="24" t="n"/>
      <c r="G41" s="24" t="n"/>
      <c r="H41" s="24" t="n"/>
    </row>
    <row r="42">
      <c r="A42" s="23" t="n"/>
      <c r="B42" s="24" t="n"/>
      <c r="C42" s="24" t="n"/>
      <c r="D42" s="24" t="n"/>
      <c r="E42" s="24" t="n"/>
      <c r="F42" s="24" t="n"/>
      <c r="G42" s="24" t="n"/>
      <c r="H42" s="24" t="n"/>
    </row>
    <row r="43">
      <c r="A43" s="23" t="n"/>
      <c r="B43" s="24" t="n"/>
      <c r="C43" s="24" t="n"/>
      <c r="D43" s="24" t="n"/>
      <c r="E43" s="24" t="n"/>
      <c r="F43" s="24" t="n"/>
      <c r="G43" s="24" t="n"/>
      <c r="H43" s="24" t="n"/>
    </row>
    <row r="44">
      <c r="A44" s="23" t="n"/>
      <c r="B44" s="24" t="n"/>
      <c r="C44" s="24" t="n"/>
      <c r="D44" s="24" t="n"/>
      <c r="E44" s="24" t="n"/>
      <c r="F44" s="24" t="n"/>
      <c r="G44" s="24" t="n"/>
      <c r="H44" s="24" t="n"/>
    </row>
    <row r="45">
      <c r="A45" s="23" t="n"/>
      <c r="B45" s="24" t="n"/>
      <c r="C45" s="24" t="n"/>
      <c r="D45" s="24" t="n"/>
      <c r="E45" s="24" t="n"/>
      <c r="F45" s="24" t="n"/>
      <c r="G45" s="24" t="n"/>
      <c r="H45" s="24" t="n"/>
    </row>
    <row r="46">
      <c r="A46" s="23" t="n"/>
      <c r="B46" s="24" t="n"/>
      <c r="C46" s="24" t="n"/>
      <c r="D46" s="24" t="n"/>
      <c r="E46" s="24" t="n"/>
      <c r="F46" s="24" t="n"/>
      <c r="G46" s="24" t="n"/>
      <c r="H46" s="24" t="n"/>
    </row>
    <row r="47">
      <c r="A47" s="23" t="n"/>
      <c r="B47" s="24" t="n"/>
      <c r="C47" s="24" t="n"/>
      <c r="D47" s="24" t="n"/>
      <c r="E47" s="24" t="n"/>
      <c r="F47" s="24" t="n"/>
      <c r="G47" s="24" t="n"/>
      <c r="H47" s="24" t="n"/>
    </row>
    <row r="48">
      <c r="A48" s="23" t="n"/>
      <c r="B48" s="24" t="n"/>
      <c r="C48" s="24" t="n"/>
      <c r="D48" s="24" t="n"/>
      <c r="E48" s="24" t="n"/>
      <c r="F48" s="24" t="n"/>
      <c r="G48" s="24" t="n"/>
      <c r="H48" s="24" t="n"/>
    </row>
    <row r="49">
      <c r="A49" s="23" t="n"/>
      <c r="B49" s="24" t="n"/>
      <c r="C49" s="24" t="n"/>
      <c r="D49" s="24" t="n"/>
      <c r="E49" s="24" t="n"/>
      <c r="F49" s="24" t="n"/>
      <c r="G49" s="24" t="n"/>
      <c r="H49" s="24" t="n"/>
    </row>
    <row r="50">
      <c r="A50" s="23" t="n"/>
      <c r="B50" s="24" t="n"/>
      <c r="C50" s="24" t="n"/>
      <c r="D50" s="24" t="n"/>
      <c r="E50" s="24" t="n"/>
      <c r="F50" s="24" t="n"/>
      <c r="G50" s="24" t="n"/>
      <c r="H50" s="24" t="n"/>
    </row>
    <row r="51">
      <c r="A51" s="23" t="n"/>
      <c r="B51" s="24" t="n"/>
      <c r="C51" s="24" t="n"/>
      <c r="D51" s="24" t="n"/>
      <c r="E51" s="24" t="n"/>
      <c r="F51" s="24" t="n"/>
      <c r="G51" s="24" t="n"/>
      <c r="H51" s="24" t="n"/>
    </row>
    <row r="52">
      <c r="A52" s="23" t="n"/>
      <c r="B52" s="24" t="n"/>
      <c r="C52" s="24" t="n"/>
      <c r="D52" s="24" t="n"/>
      <c r="E52" s="24" t="n"/>
      <c r="F52" s="24" t="n"/>
      <c r="G52" s="24" t="n"/>
      <c r="H52" s="24" t="n"/>
    </row>
    <row r="53">
      <c r="A53" s="23" t="n"/>
      <c r="B53" s="24" t="n"/>
      <c r="C53" s="24" t="n"/>
      <c r="D53" s="24" t="n"/>
      <c r="E53" s="24" t="n"/>
      <c r="F53" s="24" t="n"/>
      <c r="G53" s="24" t="n"/>
      <c r="H53" s="24" t="n"/>
    </row>
    <row r="54">
      <c r="A54" s="23" t="n"/>
      <c r="B54" s="24" t="n"/>
      <c r="C54" s="24" t="n"/>
      <c r="D54" s="24" t="n"/>
      <c r="E54" s="24" t="n"/>
      <c r="F54" s="24" t="n"/>
      <c r="G54" s="24" t="n"/>
      <c r="H54" s="24" t="n"/>
    </row>
    <row r="55">
      <c r="A55" s="23" t="n"/>
      <c r="B55" s="24" t="n"/>
      <c r="C55" s="24" t="n"/>
      <c r="D55" s="24" t="n"/>
      <c r="E55" s="24" t="n"/>
      <c r="F55" s="24" t="n"/>
      <c r="G55" s="24" t="n"/>
      <c r="H55" s="24" t="n"/>
    </row>
    <row r="56">
      <c r="A56" s="23" t="n"/>
      <c r="B56" s="24" t="n"/>
      <c r="C56" s="24" t="n"/>
      <c r="D56" s="24" t="n"/>
      <c r="E56" s="24" t="n"/>
      <c r="F56" s="24" t="n"/>
      <c r="G56" s="24" t="n"/>
      <c r="H56" s="24" t="n"/>
    </row>
    <row r="57">
      <c r="A57" s="23" t="n"/>
      <c r="B57" s="24" t="n"/>
      <c r="C57" s="24" t="n"/>
      <c r="D57" s="24" t="n"/>
      <c r="E57" s="24" t="n"/>
      <c r="F57" s="24" t="n"/>
      <c r="G57" s="24" t="n"/>
      <c r="H57" s="24" t="n"/>
    </row>
    <row r="58">
      <c r="A58" s="23" t="n"/>
      <c r="B58" s="24" t="n"/>
      <c r="C58" s="24" t="n"/>
      <c r="D58" s="24" t="n"/>
      <c r="E58" s="24" t="n"/>
      <c r="F58" s="24" t="n"/>
      <c r="G58" s="24" t="n"/>
      <c r="H58" s="24" t="n"/>
    </row>
    <row r="59">
      <c r="A59" s="23" t="n"/>
      <c r="B59" s="24" t="n"/>
      <c r="C59" s="24" t="n"/>
      <c r="D59" s="24" t="n"/>
      <c r="E59" s="24" t="n"/>
      <c r="F59" s="24" t="n"/>
      <c r="G59" s="24" t="n"/>
      <c r="H59" s="24" t="n"/>
    </row>
    <row r="60">
      <c r="A60" s="23" t="n"/>
      <c r="B60" s="24" t="n"/>
      <c r="C60" s="24" t="n"/>
      <c r="D60" s="24" t="n"/>
      <c r="E60" s="24" t="n"/>
      <c r="F60" s="24" t="n"/>
      <c r="G60" s="24" t="n"/>
      <c r="H60" s="24" t="n"/>
    </row>
    <row r="61">
      <c r="A61" s="23" t="n"/>
      <c r="B61" s="24" t="n"/>
      <c r="C61" s="24" t="n"/>
      <c r="D61" s="24" t="n"/>
      <c r="E61" s="24" t="n"/>
      <c r="F61" s="24" t="n"/>
      <c r="G61" s="24" t="n"/>
      <c r="H61" s="24" t="n"/>
    </row>
    <row r="62">
      <c r="A62" s="23" t="n"/>
      <c r="B62" s="24" t="n"/>
      <c r="C62" s="24" t="n"/>
      <c r="D62" s="24" t="n"/>
      <c r="E62" s="24" t="n"/>
      <c r="F62" s="24" t="n"/>
      <c r="G62" s="24" t="n"/>
      <c r="H62" s="24" t="n"/>
    </row>
    <row r="63">
      <c r="A63" s="23" t="n"/>
      <c r="B63" s="24" t="n"/>
      <c r="C63" s="24" t="n"/>
      <c r="D63" s="24" t="n"/>
      <c r="E63" s="24" t="n"/>
      <c r="F63" s="24" t="n"/>
      <c r="G63" s="24" t="n"/>
      <c r="H63" s="24" t="n"/>
    </row>
    <row r="64">
      <c r="A64" s="23" t="n"/>
      <c r="B64" s="24" t="n"/>
      <c r="C64" s="24" t="n"/>
      <c r="D64" s="24" t="n"/>
      <c r="E64" s="24" t="n"/>
      <c r="F64" s="24" t="n"/>
      <c r="G64" s="24" t="n"/>
      <c r="H64" s="24" t="n"/>
    </row>
    <row r="65">
      <c r="A65" s="23" t="n"/>
      <c r="B65" s="24" t="n"/>
      <c r="C65" s="24" t="n"/>
      <c r="D65" s="24" t="n"/>
      <c r="E65" s="24" t="n"/>
      <c r="F65" s="24" t="n"/>
      <c r="G65" s="24" t="n"/>
      <c r="H65" s="24" t="n"/>
    </row>
    <row r="66">
      <c r="A66" s="23" t="n"/>
      <c r="B66" s="24" t="n"/>
      <c r="C66" s="24" t="n"/>
      <c r="D66" s="24" t="n"/>
      <c r="E66" s="24" t="n"/>
      <c r="F66" s="24" t="n"/>
      <c r="G66" s="24" t="n"/>
      <c r="H66" s="24" t="n"/>
    </row>
    <row r="67">
      <c r="A67" s="23" t="n"/>
      <c r="B67" s="24" t="n"/>
      <c r="C67" s="24" t="n"/>
      <c r="D67" s="24" t="n"/>
      <c r="E67" s="24" t="n"/>
      <c r="F67" s="24" t="n"/>
      <c r="G67" s="24" t="n"/>
      <c r="H67" s="24" t="n"/>
    </row>
    <row r="68">
      <c r="A68" s="23" t="n"/>
      <c r="B68" s="24" t="n"/>
      <c r="C68" s="24" t="n"/>
      <c r="D68" s="24" t="n"/>
      <c r="E68" s="24" t="n"/>
      <c r="F68" s="24" t="n"/>
      <c r="G68" s="24" t="n"/>
      <c r="H68" s="24" t="n"/>
    </row>
    <row r="69">
      <c r="A69" s="23" t="n"/>
      <c r="B69" s="24" t="n"/>
      <c r="C69" s="24" t="n"/>
      <c r="D69" s="24" t="n"/>
      <c r="E69" s="24" t="n"/>
      <c r="F69" s="24" t="n"/>
      <c r="G69" s="24" t="n"/>
      <c r="H69" s="24" t="n"/>
    </row>
    <row r="70">
      <c r="A70" s="23" t="n"/>
      <c r="B70" s="24" t="n"/>
      <c r="C70" s="24" t="n"/>
      <c r="D70" s="24" t="n"/>
      <c r="E70" s="24" t="n"/>
      <c r="F70" s="24" t="n"/>
      <c r="G70" s="24" t="n"/>
      <c r="H70" s="24" t="n"/>
    </row>
    <row r="71">
      <c r="A71" s="23" t="n"/>
      <c r="B71" s="24" t="n"/>
      <c r="C71" s="24" t="n"/>
      <c r="D71" s="24" t="n"/>
      <c r="E71" s="24" t="n"/>
      <c r="F71" s="24" t="n"/>
      <c r="G71" s="24" t="n"/>
      <c r="H71" s="24" t="n"/>
    </row>
    <row r="72">
      <c r="A72" s="23" t="n"/>
      <c r="B72" s="24" t="n"/>
      <c r="C72" s="24" t="n"/>
      <c r="D72" s="24" t="n"/>
      <c r="E72" s="24" t="n"/>
      <c r="F72" s="24" t="n"/>
      <c r="G72" s="24" t="n"/>
      <c r="H72" s="24" t="n"/>
    </row>
    <row r="73">
      <c r="A73" s="23" t="n"/>
      <c r="B73" s="24" t="n"/>
      <c r="C73" s="24" t="n"/>
      <c r="D73" s="24" t="n"/>
      <c r="E73" s="24" t="n"/>
      <c r="F73" s="24" t="n"/>
      <c r="G73" s="24" t="n"/>
      <c r="H73" s="24" t="n"/>
    </row>
    <row r="74">
      <c r="A74" s="23" t="n"/>
      <c r="B74" s="24" t="n"/>
      <c r="C74" s="24" t="n"/>
      <c r="D74" s="24" t="n"/>
      <c r="E74" s="24" t="n"/>
      <c r="F74" s="24" t="n"/>
      <c r="G74" s="24" t="n"/>
      <c r="H74" s="24" t="n"/>
    </row>
    <row r="75">
      <c r="A75" s="23" t="n"/>
      <c r="B75" s="24" t="n"/>
      <c r="C75" s="24" t="n"/>
      <c r="D75" s="24" t="n"/>
      <c r="E75" s="24" t="n"/>
      <c r="F75" s="24" t="n"/>
      <c r="G75" s="24" t="n"/>
      <c r="H75" s="24" t="n"/>
    </row>
    <row r="76">
      <c r="A76" s="23" t="n"/>
      <c r="B76" s="24" t="n"/>
      <c r="C76" s="24" t="n"/>
      <c r="D76" s="24" t="n"/>
      <c r="E76" s="24" t="n"/>
      <c r="F76" s="24" t="n"/>
      <c r="G76" s="24" t="n"/>
      <c r="H76" s="24" t="n"/>
    </row>
    <row r="77">
      <c r="A77" s="23" t="n"/>
      <c r="B77" s="24" t="n"/>
      <c r="C77" s="24" t="n"/>
      <c r="D77" s="24" t="n"/>
      <c r="E77" s="24" t="n"/>
      <c r="F77" s="24" t="n"/>
      <c r="G77" s="24" t="n"/>
      <c r="H77" s="24" t="n"/>
    </row>
    <row r="78">
      <c r="A78" s="23" t="n"/>
      <c r="B78" s="24" t="n"/>
      <c r="C78" s="24" t="n"/>
      <c r="D78" s="24" t="n"/>
      <c r="E78" s="24" t="n"/>
      <c r="F78" s="24" t="n"/>
      <c r="G78" s="24" t="n"/>
      <c r="H78" s="24" t="n"/>
    </row>
    <row r="79">
      <c r="A79" s="23" t="n"/>
      <c r="B79" s="24" t="n"/>
      <c r="C79" s="24" t="n"/>
      <c r="D79" s="24" t="n"/>
      <c r="E79" s="24" t="n"/>
      <c r="F79" s="24" t="n"/>
      <c r="G79" s="24" t="n"/>
      <c r="H79" s="24" t="n"/>
    </row>
    <row r="80">
      <c r="A80" s="23" t="n"/>
      <c r="B80" s="24" t="n"/>
      <c r="C80" s="24" t="n"/>
      <c r="D80" s="24" t="n"/>
      <c r="E80" s="24" t="n"/>
      <c r="F80" s="24" t="n"/>
      <c r="G80" s="24" t="n"/>
      <c r="H80" s="24" t="n"/>
    </row>
    <row r="81">
      <c r="A81" s="23" t="n"/>
      <c r="B81" s="24" t="n"/>
      <c r="C81" s="24" t="n"/>
      <c r="D81" s="24" t="n"/>
      <c r="E81" s="24" t="n"/>
      <c r="F81" s="24" t="n"/>
      <c r="G81" s="24" t="n"/>
      <c r="H81" s="24" t="n"/>
    </row>
    <row r="82">
      <c r="A82" s="23" t="n"/>
      <c r="B82" s="24" t="n"/>
      <c r="C82" s="24" t="n"/>
      <c r="D82" s="24" t="n"/>
      <c r="E82" s="24" t="n"/>
      <c r="F82" s="24" t="n"/>
      <c r="G82" s="24" t="n"/>
      <c r="H82" s="24" t="n"/>
    </row>
    <row r="83">
      <c r="A83" s="23" t="n"/>
      <c r="B83" s="24" t="n"/>
      <c r="C83" s="24" t="n"/>
      <c r="D83" s="24" t="n"/>
      <c r="E83" s="24" t="n"/>
      <c r="F83" s="24" t="n"/>
      <c r="G83" s="24" t="n"/>
      <c r="H83" s="24" t="n"/>
    </row>
    <row r="84">
      <c r="A84" s="23" t="n"/>
      <c r="B84" s="24" t="n"/>
      <c r="C84" s="24" t="n"/>
      <c r="D84" s="24" t="n"/>
      <c r="E84" s="24" t="n"/>
      <c r="F84" s="24" t="n"/>
      <c r="G84" s="24" t="n"/>
      <c r="H84" s="24" t="n"/>
    </row>
    <row r="85">
      <c r="A85" s="23" t="n"/>
      <c r="B85" s="24" t="n"/>
      <c r="C85" s="24" t="n"/>
      <c r="D85" s="24" t="n"/>
      <c r="E85" s="24" t="n"/>
      <c r="F85" s="24" t="n"/>
      <c r="G85" s="24" t="n"/>
      <c r="H85" s="24" t="n"/>
    </row>
    <row r="86">
      <c r="A86" s="23" t="n"/>
      <c r="B86" s="24" t="n"/>
      <c r="C86" s="24" t="n"/>
      <c r="D86" s="24" t="n"/>
      <c r="E86" s="24" t="n"/>
      <c r="F86" s="24" t="n"/>
      <c r="G86" s="24" t="n"/>
      <c r="H86" s="24" t="n"/>
    </row>
    <row r="87">
      <c r="A87" s="23" t="n"/>
      <c r="B87" s="24" t="n"/>
      <c r="C87" s="24" t="n"/>
      <c r="D87" s="24" t="n"/>
      <c r="E87" s="24" t="n"/>
      <c r="F87" s="24" t="n"/>
      <c r="G87" s="24" t="n"/>
      <c r="H87" s="24" t="n"/>
    </row>
    <row r="88">
      <c r="A88" s="23" t="n"/>
      <c r="B88" s="24" t="n"/>
      <c r="C88" s="24" t="n"/>
      <c r="D88" s="24" t="n"/>
      <c r="E88" s="24" t="n"/>
      <c r="F88" s="24" t="n"/>
      <c r="G88" s="24" t="n"/>
      <c r="H88" s="24" t="n"/>
    </row>
    <row r="89">
      <c r="A89" s="23" t="n"/>
      <c r="B89" s="24" t="n"/>
      <c r="C89" s="24" t="n"/>
      <c r="D89" s="24" t="n"/>
      <c r="E89" s="24" t="n"/>
      <c r="F89" s="24" t="n"/>
      <c r="G89" s="24" t="n"/>
      <c r="H89" s="24" t="n"/>
    </row>
    <row r="90">
      <c r="A90" s="23" t="n"/>
      <c r="B90" s="24" t="n"/>
      <c r="C90" s="24" t="n"/>
      <c r="D90" s="24" t="n"/>
      <c r="E90" s="24" t="n"/>
      <c r="F90" s="24" t="n"/>
      <c r="G90" s="24" t="n"/>
      <c r="H90" s="24" t="n"/>
    </row>
    <row r="91">
      <c r="A91" s="23" t="n"/>
      <c r="B91" s="24" t="n"/>
      <c r="C91" s="24" t="n"/>
      <c r="D91" s="24" t="n"/>
      <c r="E91" s="24" t="n"/>
      <c r="F91" s="24" t="n"/>
      <c r="G91" s="24" t="n"/>
      <c r="H91" s="24" t="n"/>
    </row>
    <row r="92">
      <c r="A92" s="23" t="n"/>
      <c r="B92" s="24" t="n"/>
      <c r="C92" s="24" t="n"/>
      <c r="D92" s="24" t="n"/>
      <c r="E92" s="24" t="n"/>
      <c r="F92" s="24" t="n"/>
      <c r="G92" s="24" t="n"/>
      <c r="H92" s="24" t="n"/>
    </row>
    <row r="93">
      <c r="A93" s="23" t="n"/>
      <c r="B93" s="24" t="n"/>
      <c r="C93" s="24" t="n"/>
      <c r="D93" s="24" t="n"/>
      <c r="E93" s="24" t="n"/>
      <c r="F93" s="24" t="n"/>
      <c r="G93" s="24" t="n"/>
      <c r="H93" s="24" t="n"/>
    </row>
    <row r="94">
      <c r="A94" s="23" t="n"/>
      <c r="B94" s="24" t="n"/>
      <c r="C94" s="24" t="n"/>
      <c r="D94" s="24" t="n"/>
      <c r="E94" s="24" t="n"/>
      <c r="F94" s="24" t="n"/>
      <c r="G94" s="24" t="n"/>
      <c r="H94" s="24" t="n"/>
    </row>
    <row r="95">
      <c r="A95" s="23" t="n"/>
      <c r="B95" s="24" t="n"/>
      <c r="C95" s="24" t="n"/>
      <c r="D95" s="24" t="n"/>
      <c r="E95" s="24" t="n"/>
      <c r="F95" s="24" t="n"/>
      <c r="G95" s="24" t="n"/>
      <c r="H95" s="24" t="n"/>
    </row>
    <row r="96">
      <c r="A96" s="23" t="n"/>
      <c r="B96" s="24" t="n"/>
      <c r="C96" s="24" t="n"/>
      <c r="D96" s="24" t="n"/>
      <c r="E96" s="24" t="n"/>
      <c r="F96" s="24" t="n"/>
      <c r="G96" s="24" t="n"/>
      <c r="H96" s="24" t="n"/>
    </row>
    <row r="97">
      <c r="A97" s="23" t="n"/>
      <c r="B97" s="24" t="n"/>
      <c r="C97" s="24" t="n"/>
      <c r="D97" s="24" t="n"/>
      <c r="E97" s="24" t="n"/>
      <c r="F97" s="24" t="n"/>
      <c r="G97" s="24" t="n"/>
      <c r="H97" s="24" t="n"/>
    </row>
    <row r="98">
      <c r="A98" s="23" t="n"/>
      <c r="B98" s="24" t="n"/>
      <c r="C98" s="24" t="n"/>
      <c r="D98" s="24" t="n"/>
      <c r="E98" s="24" t="n"/>
      <c r="F98" s="24" t="n"/>
      <c r="G98" s="24" t="n"/>
      <c r="H98" s="24" t="n"/>
    </row>
    <row r="99">
      <c r="A99" s="23" t="n"/>
      <c r="B99" s="24" t="n"/>
      <c r="C99" s="24" t="n"/>
      <c r="D99" s="24" t="n"/>
      <c r="E99" s="24" t="n"/>
      <c r="F99" s="24" t="n"/>
      <c r="G99" s="24" t="n"/>
      <c r="H99" s="24" t="n"/>
    </row>
    <row r="100">
      <c r="A100" s="23" t="n"/>
      <c r="B100" s="24" t="n"/>
      <c r="C100" s="24" t="n"/>
      <c r="D100" s="24" t="n"/>
      <c r="E100" s="24" t="n"/>
      <c r="F100" s="24" t="n"/>
      <c r="G100" s="24" t="n"/>
      <c r="H100" s="24" t="n"/>
    </row>
    <row r="101">
      <c r="A101" s="23" t="n"/>
      <c r="B101" s="24" t="n"/>
      <c r="C101" s="24" t="n"/>
      <c r="D101" s="24" t="n"/>
      <c r="E101" s="24" t="n"/>
      <c r="F101" s="24" t="n"/>
      <c r="G101" s="24" t="n"/>
      <c r="H101" s="24" t="n"/>
    </row>
    <row r="102">
      <c r="A102" s="23" t="n"/>
      <c r="B102" s="24" t="n"/>
      <c r="C102" s="24" t="n"/>
      <c r="D102" s="24" t="n"/>
      <c r="E102" s="24" t="n"/>
      <c r="F102" s="24" t="n"/>
      <c r="G102" s="24" t="n"/>
      <c r="H102" s="24" t="n"/>
    </row>
    <row r="103">
      <c r="A103" s="23" t="n"/>
      <c r="B103" s="24" t="n"/>
      <c r="C103" s="24" t="n"/>
      <c r="D103" s="24" t="n"/>
      <c r="E103" s="24" t="n"/>
      <c r="F103" s="24" t="n"/>
      <c r="G103" s="24" t="n"/>
      <c r="H103" s="24" t="n"/>
    </row>
    <row r="104">
      <c r="A104" s="23" t="n"/>
      <c r="B104" s="24" t="n"/>
      <c r="C104" s="24" t="n"/>
      <c r="D104" s="24" t="n"/>
      <c r="E104" s="24" t="n"/>
      <c r="F104" s="24" t="n"/>
      <c r="G104" s="24" t="n"/>
      <c r="H104" s="24" t="n"/>
    </row>
    <row r="105">
      <c r="A105" s="23" t="n"/>
      <c r="B105" s="24" t="n"/>
      <c r="C105" s="24" t="n"/>
      <c r="D105" s="24" t="n"/>
      <c r="E105" s="24" t="n"/>
      <c r="F105" s="24" t="n"/>
      <c r="G105" s="24" t="n"/>
      <c r="H105"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 File,Screenshot,Report,Log File,Test Result,Policy Document,Contract,Diagram,Other"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Verified,Pending,❌ Not Verified"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9"/>
  <sheetViews>
    <sheetView showGridLines="0" workbookViewId="0">
      <selection activeCell="A1" sqref="A1"/>
    </sheetView>
  </sheetViews>
  <sheetFormatPr baseColWidth="8" defaultRowHeight="15"/>
  <cols>
    <col width="55" customWidth="1" min="1" max="1"/>
    <col width="20" customWidth="1" min="2" max="2"/>
    <col width="15" customWidth="1" min="3" max="3"/>
    <col width="15" customWidth="1" min="4" max="4"/>
    <col width="15" customWidth="1" min="5" max="5"/>
  </cols>
  <sheetData>
    <row r="1" ht="35" customHeight="1">
      <c r="A1" s="25" t="inlineStr">
        <is>
          <t>BACKUP INVENTORY — SUMMARY DASHBOARD</t>
        </is>
      </c>
    </row>
    <row r="2">
      <c r="A2" s="26" t="inlineStr">
        <is>
          <t>Assessment ID: ISMS-IMP-A.5.30.S1 | Assessment Date: [enter date]</t>
        </is>
      </c>
    </row>
    <row r="4">
      <c r="A4" s="27" t="inlineStr">
        <is>
          <t>OVERALL BACKUP METRICS</t>
        </is>
      </c>
    </row>
    <row r="5">
      <c r="A5" s="16" t="inlineStr">
        <is>
          <t>Total Systems Assessed:</t>
        </is>
      </c>
      <c r="B5" s="28">
        <f>'Backup Inventory'!B59</f>
        <v/>
      </c>
    </row>
    <row r="6">
      <c r="A6" s="16" t="inlineStr">
        <is>
          <t>Systems with Backup:</t>
        </is>
      </c>
      <c r="B6" s="28">
        <f>'Backup Inventory'!B60</f>
        <v/>
      </c>
    </row>
    <row r="7">
      <c r="A7" s="16" t="inlineStr">
        <is>
          <t>Overall Backup Coverage:</t>
        </is>
      </c>
      <c r="B7" s="29">
        <f>'Backup Inventory'!B61</f>
        <v/>
      </c>
    </row>
    <row r="8">
      <c r="A8" s="16" t="inlineStr">
        <is>
          <t>Critical Systems (Tier 1):</t>
        </is>
      </c>
      <c r="B8" s="28">
        <f>'Backup Inventory'!B62</f>
        <v/>
      </c>
    </row>
    <row r="9">
      <c r="A9" s="16" t="inlineStr">
        <is>
          <t>Critical Systems Backed Up:</t>
        </is>
      </c>
      <c r="B9" s="28">
        <f>'Backup Inventory'!B63</f>
        <v/>
      </c>
    </row>
    <row r="10">
      <c r="A10" s="16" t="inlineStr">
        <is>
          <t>Critical System Coverage:</t>
        </is>
      </c>
      <c r="B10" s="29">
        <f>'Backup Inventory'!B64</f>
        <v/>
      </c>
    </row>
    <row r="12">
      <c r="A12" s="27" t="inlineStr">
        <is>
          <t>RPO COMPLIANCE (Business Requirements vs Capability)</t>
        </is>
      </c>
    </row>
    <row r="13">
      <c r="A13" s="16" t="inlineStr">
        <is>
          <t>Total Systems Assessed:</t>
        </is>
      </c>
      <c r="B13" s="28">
        <f>'RPO Compliance'!B119</f>
        <v/>
      </c>
    </row>
    <row r="14">
      <c r="A14" s="16" t="inlineStr">
        <is>
          <t>Systems RPO Compliant:</t>
        </is>
      </c>
      <c r="B14" s="28">
        <f>'RPO Compliance'!B120</f>
        <v/>
      </c>
    </row>
    <row r="15">
      <c r="A15" s="16" t="inlineStr">
        <is>
          <t>Systems Non-Compliant:</t>
        </is>
      </c>
      <c r="B15" s="28">
        <f>'RPO Compliance'!B121</f>
        <v/>
      </c>
    </row>
    <row r="16">
      <c r="A16" s="16" t="inlineStr">
        <is>
          <t>Overall RPO Compliance Rate:</t>
        </is>
      </c>
      <c r="B16" s="29">
        <f>'RPO Compliance'!B122</f>
        <v/>
      </c>
    </row>
    <row r="17">
      <c r="A17" s="16" t="inlineStr">
        <is>
          <t>Critical Systems (Tier 1):</t>
        </is>
      </c>
      <c r="B17" s="28">
        <f>'RPO Compliance'!B123</f>
        <v/>
      </c>
    </row>
    <row r="18">
      <c r="A18" s="16" t="inlineStr">
        <is>
          <t>Critical Compliant:</t>
        </is>
      </c>
      <c r="B18" s="28">
        <f>'RPO Compliance'!B124</f>
        <v/>
      </c>
    </row>
    <row r="19">
      <c r="A19" s="16" t="inlineStr">
        <is>
          <t>Critical RPO Compliance Rate:</t>
        </is>
      </c>
      <c r="B19" s="29">
        <f>'RPO Compliance'!B125</f>
        <v/>
      </c>
    </row>
    <row r="21">
      <c r="A21" s="27" t="inlineStr">
        <is>
          <t>3-2-1-1-0 RULE COMPLIANCE (Veeam Best Practice)</t>
        </is>
      </c>
    </row>
    <row r="22">
      <c r="A22" s="16" t="inlineStr">
        <is>
          <t>Total Systems Assessed:</t>
        </is>
      </c>
      <c r="B22" s="28">
        <f>'3-2-1-1-0 Compliance'!B119</f>
        <v/>
      </c>
    </row>
    <row r="23">
      <c r="A23" s="16" t="inlineStr">
        <is>
          <t>Full Compliance (5/5):</t>
        </is>
      </c>
      <c r="B23" s="28">
        <f>'3-2-1-1-0 Compliance'!B120</f>
        <v/>
      </c>
    </row>
    <row r="24">
      <c r="A24" s="16" t="inlineStr">
        <is>
          <t>Partial Compliance (3-4/5):</t>
        </is>
      </c>
      <c r="B24" s="28">
        <f>'3-2-1-1-0 Compliance'!B121</f>
        <v/>
      </c>
    </row>
    <row r="25">
      <c r="A25" s="16" t="inlineStr">
        <is>
          <t>Non-Compliant (0-2/5):</t>
        </is>
      </c>
      <c r="B25" s="28">
        <f>'3-2-1-1-0 Compliance'!B122</f>
        <v/>
      </c>
    </row>
    <row r="26">
      <c r="A26" s="16" t="inlineStr">
        <is>
          <t>Full Compliance Rate:</t>
        </is>
      </c>
      <c r="B26" s="29">
        <f>'3-2-1-1-0 Compliance'!B123</f>
        <v/>
      </c>
    </row>
    <row r="27">
      <c r="A27" s="16" t="inlineStr">
        <is>
          <t>Critical Systems (Tier 1):</t>
        </is>
      </c>
      <c r="B27" s="28">
        <f>'3-2-1-1-0 Compliance'!B124</f>
        <v/>
      </c>
    </row>
    <row r="28">
      <c r="A28" s="16" t="inlineStr">
        <is>
          <t>Critical Full Compliance:</t>
        </is>
      </c>
      <c r="B28" s="28">
        <f>'3-2-1-1-0 Compliance'!B125</f>
        <v/>
      </c>
    </row>
    <row r="29">
      <c r="A29" s="16" t="inlineStr">
        <is>
          <t>Critical Full Compliance Rate:</t>
        </is>
      </c>
      <c r="B29" s="29">
        <f>'3-2-1-1-0 Compliance'!B126</f>
        <v/>
      </c>
    </row>
    <row r="31">
      <c r="A31" s="27" t="inlineStr">
        <is>
          <t>KEY FINDINGS &amp; ACTION ITEMS</t>
        </is>
      </c>
    </row>
    <row r="32">
      <c r="A32" s="30" t="inlineStr">
        <is>
          <t>• CRITICAL: Review systems with ❌ Not Backed Up status (Backup_Inventory sheet)</t>
        </is>
      </c>
    </row>
    <row r="33">
      <c r="A33" s="30" t="inlineStr">
        <is>
          <t>• Address RPO gaps where backup frequency &gt; RPO requirement (RPO_Compliance sheet)</t>
        </is>
      </c>
    </row>
    <row r="34">
      <c r="A34" s="30" t="inlineStr">
        <is>
          <t>• Prioritize Critical systems (Tier 1) for full 3-2-1-1-0 compliance (5/5 score)</t>
        </is>
      </c>
    </row>
    <row r="35">
      <c r="A35" s="30" t="inlineStr">
        <is>
          <t>• Test all systems marked ➖ Not Tested - restore testing is mandatory</t>
        </is>
      </c>
    </row>
    <row r="36">
      <c r="A36" s="30" t="inlineStr">
        <is>
          <t>• Implement immutable backups for DORA/NIS2 compliance (Critical systems)</t>
        </is>
      </c>
    </row>
    <row r="37">
      <c r="A37" s="30" t="inlineStr">
        <is>
          <t>• Document minimum 5 evidence items in Evidence_Register before approval</t>
        </is>
      </c>
    </row>
    <row r="38">
      <c r="A38" s="30" t="inlineStr">
        <is>
          <t>• Complete Approval_Sign_Off workflow (all 3 levels: Assessor, ISO, CISO)</t>
        </is>
      </c>
    </row>
    <row r="39">
      <c r="A39" s="30" t="inlineStr">
        <is>
          <t>• Re-assess quarterly to track compliance improvements over time</t>
        </is>
      </c>
    </row>
  </sheetData>
  <mergeCells count="6">
    <mergeCell ref="A21:E21"/>
    <mergeCell ref="A12:E12"/>
    <mergeCell ref="A4:E4"/>
    <mergeCell ref="A2:E2"/>
    <mergeCell ref="A1:E1"/>
    <mergeCell ref="A31:E3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1" t="inlineStr">
        <is>
          <t>ASSESSMENT APPROVAL AND SIGN-OFF</t>
        </is>
      </c>
      <c r="B1" s="6" t="n"/>
      <c r="C1" s="6" t="n"/>
      <c r="D1" s="6" t="n"/>
      <c r="E1" s="6" t="n"/>
    </row>
    <row r="2">
      <c r="A2" s="32" t="inlineStr">
        <is>
          <t>ISMS-IMP-A.5.30.S1 | ISO/IEC 27001:2022 - Control A.5.30 (Information Backup)</t>
        </is>
      </c>
      <c r="B2" s="6" t="n"/>
      <c r="C2" s="6" t="n"/>
      <c r="D2" s="6" t="n"/>
      <c r="E2" s="6" t="n"/>
    </row>
    <row r="3">
      <c r="A3" s="33" t="inlineStr">
        <is>
          <t>ASSESSMENT SUMMARY</t>
        </is>
      </c>
      <c r="B3" s="6" t="n"/>
      <c r="C3" s="6" t="n"/>
      <c r="D3" s="6" t="n"/>
      <c r="E3" s="6" t="n"/>
    </row>
    <row r="4">
      <c r="A4" s="34" t="inlineStr">
        <is>
          <t>Document:</t>
        </is>
      </c>
      <c r="B4" s="6" t="inlineStr">
        <is>
          <t>ISMS-IMP-A.5.30.S1 - Backup Inventory &amp; Coverage Assessment</t>
        </is>
      </c>
      <c r="C4" s="6" t="n"/>
      <c r="D4" s="6" t="n"/>
      <c r="E4" s="6" t="n"/>
    </row>
    <row r="5">
      <c r="A5" s="34" t="inlineStr">
        <is>
          <t>Assessment Period:</t>
        </is>
      </c>
      <c r="B5" s="15" t="inlineStr"/>
      <c r="C5" s="15" t="n"/>
      <c r="D5" s="15" t="n"/>
      <c r="E5" s="15" t="n"/>
    </row>
    <row r="6">
      <c r="A6" s="34" t="inlineStr">
        <is>
          <t>Overall Backup Coverage:</t>
        </is>
      </c>
      <c r="B6" s="35">
        <f>'Summary Dashboard'!B7</f>
        <v/>
      </c>
      <c r="C6" s="6" t="n"/>
      <c r="D6" s="6" t="n"/>
      <c r="E6" s="6" t="n"/>
    </row>
    <row r="7">
      <c r="A7" s="34" t="inlineStr">
        <is>
          <t>Assessment Status:</t>
        </is>
      </c>
      <c r="B7" s="15" t="inlineStr"/>
      <c r="C7" s="15" t="n"/>
      <c r="D7" s="15" t="n"/>
      <c r="E7" s="15" t="n"/>
    </row>
    <row r="8">
      <c r="A8" s="34" t="inlineStr">
        <is>
          <t>Assessed By:</t>
        </is>
      </c>
      <c r="B8" s="15" t="inlineStr"/>
      <c r="C8" s="15" t="n"/>
      <c r="D8" s="15" t="n"/>
      <c r="E8" s="15" t="n"/>
    </row>
    <row r="11">
      <c r="A11" s="33" t="inlineStr">
        <is>
          <t>COMPLETED BY (ASSESSOR)</t>
        </is>
      </c>
      <c r="B11" s="6" t="n"/>
      <c r="C11" s="6" t="n"/>
      <c r="D11" s="6" t="n"/>
      <c r="E11" s="6" t="n"/>
    </row>
    <row r="12">
      <c r="A12" s="34" t="inlineStr">
        <is>
          <t>Name:</t>
        </is>
      </c>
      <c r="B12" s="15" t="n"/>
      <c r="C12" s="15" t="n"/>
      <c r="D12" s="15" t="n"/>
      <c r="E12" s="15" t="n"/>
    </row>
    <row r="13">
      <c r="A13" s="34" t="inlineStr">
        <is>
          <t>Title:</t>
        </is>
      </c>
      <c r="B13" s="15" t="n"/>
      <c r="C13" s="15" t="n"/>
      <c r="D13" s="15" t="n"/>
      <c r="E13" s="15" t="n"/>
    </row>
    <row r="14">
      <c r="A14" s="34" t="inlineStr">
        <is>
          <t>Date:</t>
        </is>
      </c>
      <c r="B14" s="15" t="n"/>
      <c r="C14" s="15" t="n"/>
      <c r="D14" s="15" t="n"/>
      <c r="E14" s="15" t="n"/>
    </row>
    <row r="15">
      <c r="A15" s="34" t="inlineStr">
        <is>
          <t>Signature:</t>
        </is>
      </c>
      <c r="B15" s="15" t="n"/>
      <c r="C15" s="15" t="n"/>
      <c r="D15" s="15" t="n"/>
      <c r="E15" s="15" t="n"/>
    </row>
    <row r="16">
      <c r="A16" s="34" t="inlineStr">
        <is>
          <t>Comments:</t>
        </is>
      </c>
      <c r="B16" s="15" t="n"/>
      <c r="C16" s="15" t="n"/>
      <c r="D16" s="15" t="n"/>
      <c r="E16" s="15" t="n"/>
    </row>
    <row r="18">
      <c r="A18" s="33" t="inlineStr">
        <is>
          <t>REVIEWED BY (INFORMATION SECURITY OFFICER)</t>
        </is>
      </c>
      <c r="B18" s="6" t="n"/>
      <c r="C18" s="6" t="n"/>
      <c r="D18" s="6" t="n"/>
      <c r="E18" s="6" t="n"/>
    </row>
    <row r="19">
      <c r="A19" s="34" t="inlineStr">
        <is>
          <t>Name:</t>
        </is>
      </c>
      <c r="B19" s="15" t="n"/>
      <c r="C19" s="15" t="n"/>
      <c r="D19" s="15" t="n"/>
      <c r="E19" s="15" t="n"/>
    </row>
    <row r="20">
      <c r="A20" s="34" t="inlineStr">
        <is>
          <t>Title:</t>
        </is>
      </c>
      <c r="B20" s="15" t="n"/>
      <c r="C20" s="15" t="n"/>
      <c r="D20" s="15" t="n"/>
      <c r="E20" s="15" t="n"/>
    </row>
    <row r="21">
      <c r="A21" s="34" t="inlineStr">
        <is>
          <t>Date:</t>
        </is>
      </c>
      <c r="B21" s="15" t="n"/>
      <c r="C21" s="15" t="n"/>
      <c r="D21" s="15" t="n"/>
      <c r="E21" s="15" t="n"/>
    </row>
    <row r="22">
      <c r="A22" s="34" t="inlineStr">
        <is>
          <t>Signature:</t>
        </is>
      </c>
      <c r="B22" s="15" t="n"/>
      <c r="C22" s="15" t="n"/>
      <c r="D22" s="15" t="n"/>
      <c r="E22" s="15" t="n"/>
    </row>
    <row r="23">
      <c r="A23" s="34" t="inlineStr">
        <is>
          <t>Comments:</t>
        </is>
      </c>
      <c r="B23" s="15" t="n"/>
      <c r="C23" s="15" t="n"/>
      <c r="D23" s="15" t="n"/>
      <c r="E23" s="15" t="n"/>
    </row>
    <row r="25">
      <c r="A25" s="36" t="inlineStr">
        <is>
          <t>APPROVED BY (CISO)</t>
        </is>
      </c>
      <c r="B25" s="6" t="n"/>
      <c r="C25" s="6" t="n"/>
      <c r="D25" s="6" t="n"/>
      <c r="E25" s="6" t="n"/>
    </row>
    <row r="26">
      <c r="A26" s="34" t="inlineStr">
        <is>
          <t>Name:</t>
        </is>
      </c>
      <c r="B26" s="15" t="n"/>
      <c r="C26" s="15" t="n"/>
      <c r="D26" s="15" t="n"/>
      <c r="E26" s="15" t="n"/>
    </row>
    <row r="27">
      <c r="A27" s="34" t="inlineStr">
        <is>
          <t>Title:</t>
        </is>
      </c>
      <c r="B27" s="15" t="n"/>
      <c r="C27" s="15" t="n"/>
      <c r="D27" s="15" t="n"/>
      <c r="E27" s="15" t="n"/>
    </row>
    <row r="28">
      <c r="A28" s="34" t="inlineStr">
        <is>
          <t>Date:</t>
        </is>
      </c>
      <c r="B28" s="15" t="n"/>
      <c r="C28" s="15" t="n"/>
      <c r="D28" s="15" t="n"/>
      <c r="E28" s="15" t="n"/>
    </row>
    <row r="29">
      <c r="A29" s="34" t="inlineStr">
        <is>
          <t>Signature:</t>
        </is>
      </c>
      <c r="B29" s="15" t="n"/>
      <c r="C29" s="15" t="n"/>
      <c r="D29" s="15" t="n"/>
      <c r="E29" s="15" t="n"/>
    </row>
    <row r="30">
      <c r="A30" s="34" t="inlineStr">
        <is>
          <t>Comments:</t>
        </is>
      </c>
      <c r="B30" s="15" t="n"/>
      <c r="C30" s="15" t="n"/>
      <c r="D30" s="15" t="n"/>
      <c r="E30" s="15" t="n"/>
    </row>
    <row r="32">
      <c r="A32" s="37" t="inlineStr">
        <is>
          <t>FINAL DECISION:</t>
        </is>
      </c>
      <c r="B32" s="15" t="n"/>
      <c r="C32" s="15" t="n"/>
      <c r="D32" s="15" t="n"/>
      <c r="E32" s="15" t="n"/>
    </row>
    <row r="35">
      <c r="A35" s="33" t="inlineStr">
        <is>
          <t>NEXT REVIEW DETAILS</t>
        </is>
      </c>
      <c r="B35" s="6" t="n"/>
      <c r="C35" s="6" t="n"/>
      <c r="D35" s="6" t="n"/>
      <c r="E35" s="6" t="n"/>
    </row>
    <row r="36">
      <c r="A36" s="34" t="inlineStr">
        <is>
          <t>Next Review Date:</t>
        </is>
      </c>
      <c r="B36" s="15" t="n"/>
      <c r="C36" s="15" t="n"/>
      <c r="D36" s="15" t="n"/>
      <c r="E36" s="15" t="n"/>
    </row>
    <row r="37">
      <c r="A37" s="34" t="inlineStr">
        <is>
          <t>Review Responsible:</t>
        </is>
      </c>
      <c r="B37" s="15" t="n"/>
      <c r="C37" s="15" t="n"/>
      <c r="D37" s="15" t="n"/>
      <c r="E37" s="15" t="n"/>
    </row>
    <row r="38">
      <c r="A38" s="34" t="inlineStr">
        <is>
          <t>Special Considerations:</t>
        </is>
      </c>
      <c r="B38" s="15" t="n"/>
      <c r="C38" s="15" t="n"/>
      <c r="D38" s="15" t="n"/>
      <c r="E38" s="15"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ISMS-IMP-A.5.30.S1 — Backup Inventory</dc:title>
  <dc:description xmlns:dc="http://purl.org/dc/elements/1.1/">ISMS Implementation Workbook — ISMS-IMP-A.5.30.S1</dc:description>
  <dc:subject xmlns:dc="http://purl.org/dc/elements/1.1/">ISO/IEC 27001:2022 — Control A.5.30: Information Backup</dc:subject>
  <dcterms:created xmlns:dcterms="http://purl.org/dc/terms/" xmlns:xsi="http://www.w3.org/2001/XMLSchema-instance" xsi:type="dcterms:W3CDTF">2026-03-01T09:41:57Z</dcterms:created>
  <dcterms:modified xmlns:dcterms="http://purl.org/dc/terms/" xmlns:xsi="http://www.w3.org/2001/XMLSchema-instance" xsi:type="dcterms:W3CDTF">2026-03-01T09:41:57Z</dcterms:modified>
</cp:coreProperties>
</file>