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dundancy Inventory" sheetId="2" state="visible" r:id="rId2"/>
    <sheet xmlns:r="http://schemas.openxmlformats.org/officeDocument/2006/relationships" name="SPOF Register" sheetId="3" state="visible" r:id="rId3"/>
    <sheet xmlns:r="http://schemas.openxmlformats.org/officeDocument/2006/relationships" name="RTO Compliance"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sz val="10"/>
    </font>
    <font>
      <name val="Calibri"/>
      <b val="1"/>
      <color rgb="00FFFFFF"/>
      <sz val="10"/>
    </font>
    <font>
      <name val="Calibri"/>
      <sz val="10"/>
    </font>
    <font>
      <name val="Calibri"/>
      <b val="1"/>
      <color rgb="00FFFFFF"/>
      <sz val="16"/>
    </font>
    <font>
      <i val="1"/>
      <sz val="10"/>
    </font>
    <font>
      <b val="1"/>
      <sz val="12"/>
    </font>
    <font>
      <name val="Calibri"/>
      <i val="1"/>
      <color rgb="00003366"/>
      <sz val="10"/>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1" applyAlignment="1" pivotButton="0" quotePrefix="0" xfId="0">
      <alignment horizontal="center" vertical="center" wrapText="1"/>
    </xf>
    <xf numFmtId="0" fontId="0" fillId="11" borderId="1" pivotButton="0" quotePrefix="0" xfId="0"/>
    <xf numFmtId="0" fontId="0" fillId="12" borderId="1" pivotButton="0" quotePrefix="0" xfId="0"/>
    <xf numFmtId="0" fontId="4" fillId="0" borderId="0" pivotButton="0" quotePrefix="0" xfId="0"/>
    <xf numFmtId="164" fontId="4" fillId="0" borderId="0"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9" fillId="8" borderId="0" applyAlignment="1" pivotButton="0" quotePrefix="0" xfId="0">
      <alignment horizontal="center" vertical="center"/>
    </xf>
    <xf numFmtId="0" fontId="10" fillId="0" borderId="0" applyAlignment="1" pivotButton="0" quotePrefix="0" xfId="0">
      <alignment horizontal="center"/>
    </xf>
    <xf numFmtId="0" fontId="5" fillId="9" borderId="0" applyAlignment="1" pivotButton="0" quotePrefix="0" xfId="0">
      <alignment horizontal="left"/>
    </xf>
    <xf numFmtId="0" fontId="11" fillId="0" borderId="0" pivotButton="0" quotePrefix="0" xfId="0"/>
    <xf numFmtId="164" fontId="11" fillId="0" borderId="0"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5" fillId="9" borderId="1" applyAlignment="1" pivotButton="0" quotePrefix="0" xfId="0">
      <alignment horizontal="left" vertical="center"/>
    </xf>
    <xf numFmtId="0" fontId="4" fillId="0" borderId="1" pivotButton="0" quotePrefix="0" xfId="0"/>
    <xf numFmtId="164" fontId="0" fillId="0" borderId="1" pivotButton="0" quotePrefix="0" xfId="0"/>
    <xf numFmtId="0" fontId="5"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ISMS-IMP-A.5.30.S2  -  Redundancy Analysis
ISO/IEC 27001:2022 - Control A.5.30: Information Backup</t>
        </is>
      </c>
    </row>
    <row r="3">
      <c r="A3" s="2" t="inlineStr">
        <is>
          <t>Document Information</t>
        </is>
      </c>
    </row>
    <row r="4">
      <c r="A4" s="3" t="inlineStr">
        <is>
          <t>Document ID</t>
        </is>
      </c>
      <c r="B4" t="inlineStr">
        <is>
          <t>ISMS-IMP-A.5.30.S2</t>
        </is>
      </c>
    </row>
    <row r="5">
      <c r="A5" s="3" t="inlineStr">
        <is>
          <t>Workbook Title</t>
        </is>
      </c>
      <c r="B5" t="inlineStr">
        <is>
          <t>Redundancy Analysis</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Populate the Redundancy Inventory worksheet (document redundancy status for all systems).</t>
        </is>
      </c>
    </row>
    <row r="14">
      <c r="A14" t="inlineStr">
        <is>
          <t>2. Complete the SPOF Register worksheet (identify and track Single Points of Failure).</t>
        </is>
      </c>
    </row>
    <row r="15">
      <c r="A15" t="inlineStr">
        <is>
          <t>3. Assess the RTO Compliance worksheet (compare failover capability vs BIA requirements).</t>
        </is>
      </c>
    </row>
    <row r="16">
      <c r="A16" t="inlineStr">
        <is>
          <t>4. Document evidence in the Evidence Register (minimum 5 items required for audit).</t>
        </is>
      </c>
    </row>
    <row r="17">
      <c r="A17" t="inlineStr">
        <is>
          <t>5. Review the Summary Dashboard for compliance status overview.</t>
        </is>
      </c>
    </row>
    <row r="18">
      <c r="A18" t="inlineStr">
        <is>
          <t>6. Complete the Approval Sign-Off worksheet to obtain formal sign-off.</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row r="27">
      <c r="A27" s="2" t="inlineStr">
        <is>
          <t>Acceptable Evidence (examples)</t>
        </is>
      </c>
    </row>
    <row r="28">
      <c r="A28" t="inlineStr">
        <is>
          <t>✓ Redundancy architecture diagrams (Active-Active, Active-Passive, N+1)</t>
        </is>
      </c>
    </row>
    <row r="29">
      <c r="A29" t="inlineStr">
        <is>
          <t>✓ Failover test records with date, system, and RTO achieved</t>
        </is>
      </c>
    </row>
    <row r="30">
      <c r="A30" t="inlineStr">
        <is>
          <t>✓ System monitoring screenshots showing HA/DR status</t>
        </is>
      </c>
    </row>
    <row r="31">
      <c r="A31" t="inlineStr">
        <is>
          <t>✓ Cloud provider multi-region/availability zone configuration</t>
        </is>
      </c>
    </row>
    <row r="32">
      <c r="A32" t="inlineStr">
        <is>
          <t>✓ SPOF remediation tickets and closure evidence</t>
        </is>
      </c>
    </row>
    <row r="33">
      <c r="A33" t="inlineStr">
        <is>
          <t>✓ RTO/RTOs defined in Business Impact Analysis (BIA)</t>
        </is>
      </c>
    </row>
    <row r="34">
      <c r="A34" t="inlineStr">
        <is>
          <t>✓ Vendor SLA documents for critical systems</t>
        </is>
      </c>
    </row>
    <row r="35">
      <c r="A35" t="inlineStr">
        <is>
          <t>✓ Disaster Recovery runbooks and test results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18" customWidth="1" min="4" max="4"/>
    <col width="25" customWidth="1" min="5" max="5"/>
    <col width="18" customWidth="1" min="6" max="6"/>
    <col width="20" customWidth="1" min="7" max="7"/>
    <col width="18" customWidth="1" min="8" max="8"/>
    <col width="15" customWidth="1" min="9" max="9"/>
    <col width="40" customWidth="1" min="10" max="10"/>
  </cols>
  <sheetData>
    <row r="1" ht="35" customHeight="1">
      <c r="A1" s="11" t="inlineStr">
        <is>
          <t>REDUNDANCY INVENTORY &amp; STATUS</t>
        </is>
      </c>
    </row>
    <row r="2">
      <c r="A2" s="12" t="inlineStr">
        <is>
          <t>Document redundancy status for all systems requiring RTO &lt; 4 hours</t>
        </is>
      </c>
    </row>
    <row r="4">
      <c r="A4" s="13" t="inlineStr">
        <is>
          <t>System Name</t>
        </is>
      </c>
      <c r="B4" s="13" t="inlineStr">
        <is>
          <t>Criticality Tier</t>
        </is>
      </c>
      <c r="C4" s="13" t="inlineStr">
        <is>
          <t>RTO Requirement (hours)</t>
        </is>
      </c>
      <c r="D4" s="13" t="inlineStr">
        <is>
          <t>Redundancy Status</t>
        </is>
      </c>
      <c r="E4" s="13" t="inlineStr">
        <is>
          <t>Architecture Type</t>
        </is>
      </c>
      <c r="F4" s="13" t="inlineStr">
        <is>
          <t>Failover Type</t>
        </is>
      </c>
      <c r="G4" s="13" t="inlineStr">
        <is>
          <t>Geographic Redundancy</t>
        </is>
      </c>
      <c r="H4" s="13" t="inlineStr">
        <is>
          <t>Last Failover Test</t>
        </is>
      </c>
      <c r="I4" s="13" t="inlineStr">
        <is>
          <t>Test Result</t>
        </is>
      </c>
      <c r="J4" s="13" t="inlineStr">
        <is>
          <t>Notes</t>
        </is>
      </c>
    </row>
    <row r="5">
      <c r="A5" s="14" t="inlineStr">
        <is>
          <t>Mail Server (Example)</t>
        </is>
      </c>
      <c r="B5" s="14" t="inlineStr">
        <is>
          <t>Tier 2 - Important</t>
        </is>
      </c>
      <c r="C5" s="14" t="n">
        <v>4</v>
      </c>
      <c r="D5" s="14" t="inlineStr">
        <is>
          <t>⚠ Partial</t>
        </is>
      </c>
      <c r="E5" s="14" t="inlineStr">
        <is>
          <t>Active-Passive</t>
        </is>
      </c>
      <c r="F5" s="14" t="inlineStr">
        <is>
          <t>Manual</t>
        </is>
      </c>
      <c r="G5" s="14" t="inlineStr">
        <is>
          <t>❌ No</t>
        </is>
      </c>
      <c r="H5" s="14" t="inlineStr"/>
      <c r="I5" s="14" t="inlineStr">
        <is>
          <t>➖ Not Tested</t>
        </is>
      </c>
      <c r="J5" s="14" t="inlineStr">
        <is>
          <t>Sample — replace with actual system data</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8">
      <c r="A58" s="12" t="inlineStr">
        <is>
          <t>REDUNDANCY COVERAGE METRICS</t>
        </is>
      </c>
    </row>
    <row r="59">
      <c r="A59" s="16" t="inlineStr">
        <is>
          <t>Total Systems:</t>
        </is>
      </c>
      <c r="B59" s="16">
        <f>COUNTA(A6:A55)</f>
        <v/>
      </c>
    </row>
    <row r="60">
      <c r="A60" s="16" t="inlineStr">
        <is>
          <t>Systems with Redundancy:</t>
        </is>
      </c>
      <c r="B60" s="16">
        <f>COUNTIF(D6:D55,"{CHECK}*")</f>
        <v/>
      </c>
    </row>
    <row r="61">
      <c r="A61" s="16" t="inlineStr">
        <is>
          <t>Redundancy Coverage %:</t>
        </is>
      </c>
      <c r="B61" s="17">
        <f>IF(B59&gt;0,B60/B59,0)</f>
        <v/>
      </c>
    </row>
    <row r="62">
      <c r="A62" s="16" t="inlineStr">
        <is>
          <t>Critical Systems (RTO &lt; 4h):</t>
        </is>
      </c>
      <c r="B62" s="16">
        <f>COUNTIFS(B6:B55,"Tier 1*",C6:C55,"&lt;4")</f>
        <v/>
      </c>
    </row>
    <row r="63">
      <c r="A63" s="16" t="inlineStr">
        <is>
          <t>Critical with Redundancy:</t>
        </is>
      </c>
      <c r="B63" s="16">
        <f>COUNTIFS(B6:B55,"Tier 1*",D6:D55,"{CHECK}*")</f>
        <v/>
      </c>
    </row>
    <row r="64">
      <c r="A64" s="16" t="inlineStr">
        <is>
          <t>Critical Coverage %:</t>
        </is>
      </c>
      <c r="B64" s="17">
        <f>IF(B62&gt;0,B63/B62,1)</f>
        <v/>
      </c>
    </row>
  </sheetData>
  <mergeCells count="3">
    <mergeCell ref="A58:J58"/>
    <mergeCell ref="A1:J1"/>
    <mergeCell ref="A2:J2"/>
  </mergeCells>
  <dataValidations count="6">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 Implemented,⚠️ Partial,❌ None,⏳ In Progress"</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"Active-Active,Active-Passive,N+1 Cluster,N+2 Cluster,Warm Standby,Cold Standby,None"</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"Automatic,Manual,None,➖ N/A"</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0" type="list">
      <formula1>"✅ Yes,❌ No,➖ N/A"</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0" type="list">
      <formula1>"✅ Success,⚠️ Partial,❌ Failure,➖ 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30" customWidth="1" min="3" max="3"/>
    <col width="18" customWidth="1" min="4" max="4"/>
    <col width="15" customWidth="1" min="5" max="5"/>
    <col width="18" customWidth="1" min="6" max="6"/>
    <col width="35" customWidth="1" min="7" max="7"/>
    <col width="20" customWidth="1" min="8" max="8"/>
    <col width="15" customWidth="1" min="9" max="9"/>
  </cols>
  <sheetData>
    <row r="1" ht="35" customHeight="1">
      <c r="A1" s="11" t="inlineStr">
        <is>
          <t>SINGLE POINT OF FAILURE (SPOF) REGISTER</t>
        </is>
      </c>
    </row>
    <row r="2">
      <c r="A2" s="12" t="inlineStr">
        <is>
          <t>Track identified SPOFs and mitigation progress</t>
        </is>
      </c>
    </row>
    <row r="4">
      <c r="A4" s="13" t="inlineStr">
        <is>
          <t>SPOF ID</t>
        </is>
      </c>
      <c r="B4" s="13" t="inlineStr">
        <is>
          <t>System Affected</t>
        </is>
      </c>
      <c r="C4" s="13" t="inlineStr">
        <is>
          <t>SPOF Component</t>
        </is>
      </c>
      <c r="D4" s="13" t="inlineStr">
        <is>
          <t>SPOF Type</t>
        </is>
      </c>
      <c r="E4" s="13" t="inlineStr">
        <is>
          <t>Risk Level</t>
        </is>
      </c>
      <c r="F4" s="13" t="inlineStr">
        <is>
          <t>Mitigation Status</t>
        </is>
      </c>
      <c r="G4" s="13" t="inlineStr">
        <is>
          <t>Mitigation Plan</t>
        </is>
      </c>
      <c r="H4" s="13" t="inlineStr">
        <is>
          <t>Owner</t>
        </is>
      </c>
      <c r="I4" s="13" t="inlineStr">
        <is>
          <t>Target Date</t>
        </is>
      </c>
    </row>
    <row r="5">
      <c r="A5" s="14" t="inlineStr">
        <is>
          <t>SPOF-008</t>
        </is>
      </c>
      <c r="B5" s="14" t="inlineStr">
        <is>
          <t>Database Server (Example)</t>
        </is>
      </c>
      <c r="C5" s="14" t="inlineStr">
        <is>
          <t>Single storage array</t>
        </is>
      </c>
      <c r="D5" s="14" t="inlineStr">
        <is>
          <t>Storage</t>
        </is>
      </c>
      <c r="E5" s="14" t="inlineStr">
        <is>
          <t>[~] High</t>
        </is>
      </c>
      <c r="F5" s="14" t="inlineStr">
        <is>
          <t>⏳ In Progress</t>
        </is>
      </c>
      <c r="G5" s="14" t="inlineStr">
        <is>
          <t>Add redundant storage and configure RAID</t>
        </is>
      </c>
      <c r="H5" s="14" t="inlineStr">
        <is>
          <t>Storage Admin</t>
        </is>
      </c>
      <c r="I5" s="14" t="inlineStr"/>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row r="55">
      <c r="A55" s="15" t="n"/>
      <c r="B55" s="15" t="n"/>
      <c r="C55" s="15" t="n"/>
      <c r="D55" s="15" t="n"/>
      <c r="E55" s="15" t="n"/>
      <c r="F55" s="15" t="n"/>
      <c r="G55" s="15" t="n"/>
      <c r="H55" s="15" t="n"/>
      <c r="I55" s="15" t="n"/>
    </row>
    <row r="58">
      <c r="A58" s="12" t="inlineStr">
        <is>
          <t>SPOF SUMMARY</t>
        </is>
      </c>
    </row>
    <row r="59">
      <c r="A59" s="16" t="inlineStr">
        <is>
          <t>Total SPOFs Identified:</t>
        </is>
      </c>
      <c r="B59" s="16">
        <f>COUNTA(B6:B55)</f>
        <v/>
      </c>
    </row>
    <row r="60">
      <c r="A60" s="16" t="inlineStr">
        <is>
          <t>SPOFs Mitigated:</t>
        </is>
      </c>
      <c r="B60" s="16">
        <f>COUNTIF(F6:F55,"{CHECK}*")</f>
        <v/>
      </c>
    </row>
    <row r="61">
      <c r="A61" s="16" t="inlineStr">
        <is>
          <t>SPOFs In Progress:</t>
        </is>
      </c>
      <c r="B61" s="16">
        <f>COUNTIF(F6:F55,"⏳*")</f>
        <v/>
      </c>
    </row>
    <row r="62">
      <c r="A62" s="16" t="inlineStr">
        <is>
          <t>Open SPOFs:</t>
        </is>
      </c>
      <c r="B62" s="16">
        <f>COUNTIF(F6:F55,"{XMARK}*")</f>
        <v/>
      </c>
    </row>
    <row r="63">
      <c r="A63" s="16" t="inlineStr">
        <is>
          <t>Critical Open SPOFs:</t>
        </is>
      </c>
      <c r="B63" s="16">
        <f>COUNTIFS(E6:E55,"[!]*",F6:F55,"{XMARK}*")</f>
        <v/>
      </c>
    </row>
    <row r="64">
      <c r="A64" s="16" t="inlineStr">
        <is>
          <t>Mitigation Rate:</t>
        </is>
      </c>
      <c r="B64" s="17">
        <f>IF(B59&gt;0,B60/B59,0)</f>
        <v/>
      </c>
    </row>
  </sheetData>
  <mergeCells count="3">
    <mergeCell ref="A1:I1"/>
    <mergeCell ref="A2:I2"/>
    <mergeCell ref="A58:I58"/>
  </mergeCells>
  <dataValidations count="3">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"Hardware,Network,Power,Software,Database,Storage,Cloud Provider,DNS,Load Balancer,Other"</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 Critical,[-] Medium,[.] Low"</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 Mitigated,⏳ In Progress,❌ Open"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26" customWidth="1" min="4" max="4"/>
    <col width="18" customWidth="1" min="5" max="5"/>
    <col width="15" customWidth="1" min="6" max="6"/>
    <col width="35" customWidth="1" min="7" max="7"/>
  </cols>
  <sheetData>
    <row r="1" ht="35" customHeight="1">
      <c r="A1" s="11" t="inlineStr">
        <is>
          <t>RTO COMPLIANCE ASSESSMENT</t>
        </is>
      </c>
    </row>
    <row r="2">
      <c r="A2" s="12" t="inlineStr">
        <is>
          <t>Compare RTO requirements vs actual tested failover time</t>
        </is>
      </c>
    </row>
    <row r="4">
      <c r="A4" s="13" t="inlineStr">
        <is>
          <t>System Name</t>
        </is>
      </c>
      <c r="B4" s="13" t="inlineStr">
        <is>
          <t>Criticality Tier</t>
        </is>
      </c>
      <c r="C4" s="13" t="inlineStr">
        <is>
          <t>RTO Requirement (hours)</t>
        </is>
      </c>
      <c r="D4" s="13" t="inlineStr">
        <is>
          <t>Actual Failover Time (hours)</t>
        </is>
      </c>
      <c r="E4" s="13" t="inlineStr">
        <is>
          <t>RTO Compliant</t>
        </is>
      </c>
      <c r="F4" s="13" t="inlineStr">
        <is>
          <t>Gap (hours)</t>
        </is>
      </c>
      <c r="G4" s="13" t="inlineStr">
        <is>
          <t>Notes</t>
        </is>
      </c>
    </row>
    <row r="5">
      <c r="E5">
        <f>IF(AND(ISNUMBER(C5),ISNUMBER(D5)),IF(D5&lt;=C5,"✅ Compliant","❌ Non-Compliant"),"❓ Unknown")</f>
        <v/>
      </c>
      <c r="F5">
        <f>IF(AND(ISNUMBER(C5),ISNUMBER(D5)),MAX(0,D5-C5),"")</f>
        <v/>
      </c>
    </row>
    <row r="6">
      <c r="E6">
        <f>IF(AND(ISNUMBER(C6),ISNUMBER(D6)),IF(D6&lt;=C6,"✅ Compliant","❌ Non-Compliant"),"❓ Unknown")</f>
        <v/>
      </c>
      <c r="F6">
        <f>IF(AND(ISNUMBER(C6),ISNUMBER(D6)),MAX(0,D6-C6),"")</f>
        <v/>
      </c>
    </row>
    <row r="7">
      <c r="E7">
        <f>IF(AND(ISNUMBER(C7),ISNUMBER(D7)),IF(D7&lt;=C7,"✅ Compliant","❌ Non-Compliant"),"❓ Unknown")</f>
        <v/>
      </c>
      <c r="F7">
        <f>IF(AND(ISNUMBER(C7),ISNUMBER(D7)),MAX(0,D7-C7),"")</f>
        <v/>
      </c>
    </row>
    <row r="8">
      <c r="E8">
        <f>IF(AND(ISNUMBER(C8),ISNUMBER(D8)),IF(D8&lt;=C8,"✅ Compliant","❌ Non-Compliant"),"❓ Unknown")</f>
        <v/>
      </c>
      <c r="F8">
        <f>IF(AND(ISNUMBER(C8),ISNUMBER(D8)),MAX(0,D8-C8),"")</f>
        <v/>
      </c>
    </row>
    <row r="9">
      <c r="E9">
        <f>IF(AND(ISNUMBER(C9),ISNUMBER(D9)),IF(D9&lt;=C9,"✅ Compliant","❌ Non-Compliant"),"❓ Unknown")</f>
        <v/>
      </c>
      <c r="F9">
        <f>IF(AND(ISNUMBER(C9),ISNUMBER(D9)),MAX(0,D9-C9),"")</f>
        <v/>
      </c>
    </row>
    <row r="10">
      <c r="E10">
        <f>IF(AND(ISNUMBER(C10),ISNUMBER(D10)),IF(D10&lt;=C10,"✅ Compliant","❌ Non-Compliant"),"❓ Unknown")</f>
        <v/>
      </c>
      <c r="F10">
        <f>IF(AND(ISNUMBER(C10),ISNUMBER(D10)),MAX(0,D10-C10),"")</f>
        <v/>
      </c>
    </row>
    <row r="11">
      <c r="E11">
        <f>IF(AND(ISNUMBER(C11),ISNUMBER(D11)),IF(D11&lt;=C11,"✅ Compliant","❌ Non-Compliant"),"❓ Unknown")</f>
        <v/>
      </c>
      <c r="F11">
        <f>IF(AND(ISNUMBER(C11),ISNUMBER(D11)),MAX(0,D11-C11),"")</f>
        <v/>
      </c>
    </row>
    <row r="12">
      <c r="E12">
        <f>IF(AND(ISNUMBER(C12),ISNUMBER(D12)),IF(D12&lt;=C12,"✅ Compliant","❌ Non-Compliant"),"❓ Unknown")</f>
        <v/>
      </c>
      <c r="F12">
        <f>IF(AND(ISNUMBER(C12),ISNUMBER(D12)),MAX(0,D12-C12),"")</f>
        <v/>
      </c>
    </row>
    <row r="13">
      <c r="E13">
        <f>IF(AND(ISNUMBER(C13),ISNUMBER(D13)),IF(D13&lt;=C13,"✅ Compliant","❌ Non-Compliant"),"❓ Unknown")</f>
        <v/>
      </c>
      <c r="F13">
        <f>IF(AND(ISNUMBER(C13),ISNUMBER(D13)),MAX(0,D13-C13),"")</f>
        <v/>
      </c>
    </row>
    <row r="14">
      <c r="E14">
        <f>IF(AND(ISNUMBER(C14),ISNUMBER(D14)),IF(D14&lt;=C14,"✅ Compliant","❌ Non-Compliant"),"❓ Unknown")</f>
        <v/>
      </c>
      <c r="F14">
        <f>IF(AND(ISNUMBER(C14),ISNUMBER(D14)),MAX(0,D14-C14),"")</f>
        <v/>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12" t="inlineStr">
        <is>
          <t>RTO COMPLIANCE METRICS</t>
        </is>
      </c>
    </row>
    <row r="119">
      <c r="A119" s="16" t="inlineStr">
        <is>
          <t>Total Systems:</t>
        </is>
      </c>
      <c r="B119" s="16">
        <f>COUNTA(A5:A114)</f>
        <v/>
      </c>
    </row>
    <row r="120">
      <c r="A120" s="16" t="inlineStr">
        <is>
          <t>Systems Compliant:</t>
        </is>
      </c>
      <c r="B120" s="16">
        <f>COUNTIF(E5:E114,"✅*")</f>
        <v/>
      </c>
    </row>
    <row r="121">
      <c r="A121" s="16" t="inlineStr">
        <is>
          <t>Systems Non-Compliant:</t>
        </is>
      </c>
      <c r="B121" s="16">
        <f>COUNTIF(E5:E114,"❌*")</f>
        <v/>
      </c>
    </row>
    <row r="122">
      <c r="A122" s="16" t="inlineStr">
        <is>
          <t>Systems Not Tested:</t>
        </is>
      </c>
      <c r="B122" s="16">
        <f>COUNTIF(E5:E114,"❓*")</f>
        <v/>
      </c>
    </row>
    <row r="123">
      <c r="A123" s="16" t="inlineStr">
        <is>
          <t>RTO Compliance Rate:</t>
        </is>
      </c>
      <c r="B123" s="17">
        <f>IF(B119&gt;0,B120/B119,0)</f>
        <v/>
      </c>
    </row>
    <row r="124">
      <c r="A124" s="16" t="inlineStr">
        <is>
          <t>Critical Compliance Rate:</t>
        </is>
      </c>
      <c r="B124" s="17">
        <f>IF(COUNTIF(B5:B114,"Tier 1*")&gt;0,COUNTIFS(B5:B114,"Tier 1*",E5:E114,"✅*")/COUNTIF(B5:B114,"Tier 1*"),1)</f>
        <v/>
      </c>
    </row>
  </sheetData>
  <mergeCells count="3">
    <mergeCell ref="A118:G118"/>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 (minimum 5 items required for audit compliance)</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Redundancy Inventory</t>
        </is>
      </c>
      <c r="C5" s="22" t="inlineStr">
        <is>
          <t>Architecture Diagram</t>
        </is>
      </c>
      <c r="D5" s="22" t="inlineStr">
        <is>
          <t>E-Commerce redundancy architecture diagram (Active-Passive configuration)</t>
        </is>
      </c>
      <c r="E5" s="22" t="inlineStr">
        <is>
          <t>/evidence/redundancy/ecommerce_architecture.pdf</t>
        </is>
      </c>
      <c r="F5" s="22" t="inlineStr">
        <is>
          <t>10.03.2026</t>
        </is>
      </c>
      <c r="G5" s="22" t="inlineStr">
        <is>
          <t>Solutions Architect</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"Architecture Diagram,Config File,Screenshot,Report,Log File,Test Result,Policy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55" customWidth="1" min="1" max="1"/>
    <col width="20" customWidth="1" min="2" max="2"/>
  </cols>
  <sheetData>
    <row r="1" ht="35" customHeight="1">
      <c r="A1" s="25" t="inlineStr">
        <is>
          <t>REDUNDANCY ANALYSIS — SUMMARY DASHBOARD</t>
        </is>
      </c>
    </row>
    <row r="2">
      <c r="A2" s="26" t="inlineStr">
        <is>
          <t>Assessment ID: ISMS-IMP-A.5.30.S2 | Assessment Date: [enter date]</t>
        </is>
      </c>
    </row>
    <row r="4">
      <c r="A4" s="27" t="inlineStr">
        <is>
          <t>REDUNDANCY COVERAGE</t>
        </is>
      </c>
    </row>
    <row r="5">
      <c r="A5" s="16" t="inlineStr">
        <is>
          <t>Total Systems:</t>
        </is>
      </c>
      <c r="B5" s="28">
        <f>'Redundancy Inventory'!B59</f>
        <v/>
      </c>
    </row>
    <row r="6">
      <c r="A6" s="16" t="inlineStr">
        <is>
          <t>Systems with Redundancy:</t>
        </is>
      </c>
      <c r="B6" s="28">
        <f>'Redundancy Inventory'!B60</f>
        <v/>
      </c>
    </row>
    <row r="7">
      <c r="A7" s="16" t="inlineStr">
        <is>
          <t>Overall Coverage:</t>
        </is>
      </c>
      <c r="B7" s="29">
        <f>'Redundancy Inventory'!B61</f>
        <v/>
      </c>
    </row>
    <row r="8">
      <c r="A8" s="16" t="inlineStr">
        <is>
          <t>Critical Systems (RTO &lt; 4h):</t>
        </is>
      </c>
      <c r="B8" s="28">
        <f>'Redundancy Inventory'!B62</f>
        <v/>
      </c>
    </row>
    <row r="9">
      <c r="A9" s="16" t="inlineStr">
        <is>
          <t>Critical with Redundancy:</t>
        </is>
      </c>
      <c r="B9" s="28">
        <f>'Redundancy Inventory'!B63</f>
        <v/>
      </c>
    </row>
    <row r="10">
      <c r="A10" s="16" t="inlineStr">
        <is>
          <t>Critical Coverage:</t>
        </is>
      </c>
      <c r="B10" s="29">
        <f>'Redundancy Inventory'!B64</f>
        <v/>
      </c>
    </row>
    <row r="12">
      <c r="A12" s="27" t="inlineStr">
        <is>
          <t>SINGLE POINTS OF FAILURE (SPOF)</t>
        </is>
      </c>
    </row>
    <row r="13">
      <c r="A13" s="16" t="inlineStr">
        <is>
          <t>Total SPOFs Identified:</t>
        </is>
      </c>
      <c r="B13" s="28">
        <f>'SPOF Register'!B59</f>
        <v/>
      </c>
    </row>
    <row r="14">
      <c r="A14" s="16" t="inlineStr">
        <is>
          <t>SPOFs Mitigated:</t>
        </is>
      </c>
      <c r="B14" s="28">
        <f>'SPOF Register'!B60</f>
        <v/>
      </c>
    </row>
    <row r="15">
      <c r="A15" s="16" t="inlineStr">
        <is>
          <t>SPOFs In Progress:</t>
        </is>
      </c>
      <c r="B15" s="28">
        <f>'SPOF Register'!B61</f>
        <v/>
      </c>
    </row>
    <row r="16">
      <c r="A16" s="16" t="inlineStr">
        <is>
          <t>Open SPOFs:</t>
        </is>
      </c>
      <c r="B16" s="28">
        <f>'SPOF Register'!B62</f>
        <v/>
      </c>
    </row>
    <row r="17">
      <c r="A17" s="16" t="inlineStr">
        <is>
          <t>Critical Open SPOFs:</t>
        </is>
      </c>
      <c r="B17" s="28">
        <f>'SPOF Register'!B63</f>
        <v/>
      </c>
    </row>
    <row r="18">
      <c r="A18" s="16" t="inlineStr">
        <is>
          <t>Mitigation Rate:</t>
        </is>
      </c>
      <c r="B18" s="29">
        <f>'SPOF Register'!B64</f>
        <v/>
      </c>
    </row>
    <row r="20">
      <c r="A20" s="27" t="inlineStr">
        <is>
          <t>RTO COMPLIANCE</t>
        </is>
      </c>
    </row>
    <row r="21">
      <c r="A21" s="16" t="inlineStr">
        <is>
          <t>Total Systems:</t>
        </is>
      </c>
      <c r="B21" s="28">
        <f>'RTO Compliance'!B119</f>
        <v/>
      </c>
    </row>
    <row r="22">
      <c r="A22" s="16" t="inlineStr">
        <is>
          <t>Systems Compliant:</t>
        </is>
      </c>
      <c r="B22" s="28">
        <f>'RTO Compliance'!B120</f>
        <v/>
      </c>
    </row>
    <row r="23">
      <c r="A23" s="16" t="inlineStr">
        <is>
          <t>Systems Non-Compliant:</t>
        </is>
      </c>
      <c r="B23" s="28">
        <f>'RTO Compliance'!B121</f>
        <v/>
      </c>
    </row>
    <row r="24">
      <c r="A24" s="16" t="inlineStr">
        <is>
          <t>Systems Not Tested:</t>
        </is>
      </c>
      <c r="B24" s="28">
        <f>'RTO Compliance'!B122</f>
        <v/>
      </c>
    </row>
    <row r="25">
      <c r="A25" s="16" t="inlineStr">
        <is>
          <t>RTO Compliance Rate:</t>
        </is>
      </c>
      <c r="B25" s="29">
        <f>'RTO Compliance'!B123</f>
        <v/>
      </c>
    </row>
    <row r="26">
      <c r="A26" s="16" t="inlineStr">
        <is>
          <t>Critical Compliance Rate:</t>
        </is>
      </c>
      <c r="B26" s="29">
        <f>'RTO Compliance'!B124</f>
        <v/>
      </c>
    </row>
    <row r="28">
      <c r="A28" s="27" t="inlineStr">
        <is>
          <t>KEY ACTIONS</t>
        </is>
      </c>
    </row>
    <row r="29">
      <c r="A29" t="inlineStr">
        <is>
          <t>• Address [!] Critical Open SPOFs immediately (30-day target)</t>
        </is>
      </c>
    </row>
    <row r="30">
      <c r="A30" t="inlineStr">
        <is>
          <t>• Review systems with ❌ None redundancy (especially Tier 1)</t>
        </is>
      </c>
    </row>
    <row r="31">
      <c r="A31" t="inlineStr">
        <is>
          <t>• Test all systems marked ➖ Not Tested (failover testing required)</t>
        </is>
      </c>
    </row>
    <row r="32">
      <c r="A32" t="inlineStr">
        <is>
          <t>• Address RTO gaps (actual failover time &gt; requirement)</t>
        </is>
      </c>
    </row>
    <row r="33">
      <c r="A33" t="inlineStr">
        <is>
          <t>• Target: 100% redundancy for Critical systems (RTO &lt; 4h)</t>
        </is>
      </c>
    </row>
    <row r="34">
      <c r="A34" t="inlineStr">
        <is>
          <t>• Document minimum 5 evidence items in Evidence_Register</t>
        </is>
      </c>
    </row>
  </sheetData>
  <mergeCells count="6">
    <mergeCell ref="A12:E12"/>
    <mergeCell ref="A4:E4"/>
    <mergeCell ref="A20:E20"/>
    <mergeCell ref="A2:E2"/>
    <mergeCell ref="A28:E28"/>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0" t="inlineStr">
        <is>
          <t>ASSESSMENT APPROVAL AND SIGN-OFF</t>
        </is>
      </c>
      <c r="B1" s="6" t="n"/>
      <c r="C1" s="6" t="n"/>
      <c r="D1" s="6" t="n"/>
      <c r="E1" s="6" t="n"/>
    </row>
    <row r="2">
      <c r="A2" s="31" t="inlineStr">
        <is>
          <t>ISMS-IMP-A.5.30.S2 | ISO/IEC 27001:2022 - Control A.8.14 (Redundancy of Information Processing Facilities)</t>
        </is>
      </c>
      <c r="B2" s="6" t="n"/>
      <c r="C2" s="6" t="n"/>
      <c r="D2" s="6" t="n"/>
      <c r="E2" s="6" t="n"/>
    </row>
    <row r="3">
      <c r="A3" s="32" t="inlineStr">
        <is>
          <t>ASSESSMENT SUMMARY</t>
        </is>
      </c>
      <c r="B3" s="6" t="n"/>
      <c r="C3" s="6" t="n"/>
      <c r="D3" s="6" t="n"/>
      <c r="E3" s="6" t="n"/>
    </row>
    <row r="4">
      <c r="A4" s="33" t="inlineStr">
        <is>
          <t>Document:</t>
        </is>
      </c>
      <c r="B4" s="6" t="inlineStr">
        <is>
          <t>ISMS-IMP-A.5.30.S2 - Redundancy Analysis &amp; SPOF Assessment</t>
        </is>
      </c>
      <c r="C4" s="6" t="n"/>
      <c r="D4" s="6" t="n"/>
      <c r="E4" s="6" t="n"/>
    </row>
    <row r="5">
      <c r="A5" s="33" t="inlineStr">
        <is>
          <t>Assessment Period:</t>
        </is>
      </c>
      <c r="B5" s="15" t="inlineStr"/>
      <c r="C5" s="15" t="n"/>
      <c r="D5" s="15" t="n"/>
      <c r="E5" s="15" t="n"/>
    </row>
    <row r="6">
      <c r="A6" s="33" t="inlineStr">
        <is>
          <t>Overall Redundancy Coverage:</t>
        </is>
      </c>
      <c r="B6" s="34">
        <f>'Summary Dashboard'!B7</f>
        <v/>
      </c>
      <c r="C6" s="6" t="n"/>
      <c r="D6" s="6" t="n"/>
      <c r="E6" s="6" t="n"/>
    </row>
    <row r="7">
      <c r="A7" s="33" t="inlineStr">
        <is>
          <t>Assessment Status:</t>
        </is>
      </c>
      <c r="B7" s="15" t="inlineStr"/>
      <c r="C7" s="15" t="n"/>
      <c r="D7" s="15" t="n"/>
      <c r="E7" s="15" t="n"/>
    </row>
    <row r="8">
      <c r="A8" s="33" t="inlineStr">
        <is>
          <t>Assessed By:</t>
        </is>
      </c>
      <c r="B8" s="15" t="inlineStr"/>
      <c r="C8" s="15" t="n"/>
      <c r="D8" s="15" t="n"/>
      <c r="E8" s="15" t="n"/>
    </row>
    <row r="11">
      <c r="A11" s="32" t="inlineStr">
        <is>
          <t>COMPLETED BY (ASSESSOR)</t>
        </is>
      </c>
      <c r="B11" s="6" t="n"/>
      <c r="C11" s="6" t="n"/>
      <c r="D11" s="6" t="n"/>
      <c r="E11" s="6" t="n"/>
    </row>
    <row r="12">
      <c r="A12" s="33" t="inlineStr">
        <is>
          <t>Name:</t>
        </is>
      </c>
      <c r="B12" s="15" t="n"/>
      <c r="C12" s="15" t="n"/>
      <c r="D12" s="15" t="n"/>
      <c r="E12" s="15" t="n"/>
    </row>
    <row r="13">
      <c r="A13" s="33" t="inlineStr">
        <is>
          <t>Title:</t>
        </is>
      </c>
      <c r="B13" s="15" t="n"/>
      <c r="C13" s="15" t="n"/>
      <c r="D13" s="15" t="n"/>
      <c r="E13" s="15" t="n"/>
    </row>
    <row r="14">
      <c r="A14" s="33" t="inlineStr">
        <is>
          <t>Date:</t>
        </is>
      </c>
      <c r="B14" s="15" t="n"/>
      <c r="C14" s="15" t="n"/>
      <c r="D14" s="15" t="n"/>
      <c r="E14" s="15" t="n"/>
    </row>
    <row r="15">
      <c r="A15" s="33" t="inlineStr">
        <is>
          <t>Signature:</t>
        </is>
      </c>
      <c r="B15" s="15" t="n"/>
      <c r="C15" s="15" t="n"/>
      <c r="D15" s="15" t="n"/>
      <c r="E15" s="15" t="n"/>
    </row>
    <row r="16">
      <c r="A16" s="33" t="inlineStr">
        <is>
          <t>Comments:</t>
        </is>
      </c>
      <c r="B16" s="15" t="n"/>
      <c r="C16" s="15" t="n"/>
      <c r="D16" s="15" t="n"/>
      <c r="E16" s="15" t="n"/>
    </row>
    <row r="18">
      <c r="A18" s="32" t="inlineStr">
        <is>
          <t>REVIEWED BY (INFORMATION SECURITY OFFICER)</t>
        </is>
      </c>
      <c r="B18" s="6" t="n"/>
      <c r="C18" s="6" t="n"/>
      <c r="D18" s="6" t="n"/>
      <c r="E18" s="6" t="n"/>
    </row>
    <row r="19">
      <c r="A19" s="33" t="inlineStr">
        <is>
          <t>Name:</t>
        </is>
      </c>
      <c r="B19" s="15" t="n"/>
      <c r="C19" s="15" t="n"/>
      <c r="D19" s="15" t="n"/>
      <c r="E19" s="15" t="n"/>
    </row>
    <row r="20">
      <c r="A20" s="33" t="inlineStr">
        <is>
          <t>Title:</t>
        </is>
      </c>
      <c r="B20" s="15" t="n"/>
      <c r="C20" s="15" t="n"/>
      <c r="D20" s="15" t="n"/>
      <c r="E20" s="15" t="n"/>
    </row>
    <row r="21">
      <c r="A21" s="33" t="inlineStr">
        <is>
          <t>Date:</t>
        </is>
      </c>
      <c r="B21" s="15" t="n"/>
      <c r="C21" s="15" t="n"/>
      <c r="D21" s="15" t="n"/>
      <c r="E21" s="15" t="n"/>
    </row>
    <row r="22">
      <c r="A22" s="33" t="inlineStr">
        <is>
          <t>Signature:</t>
        </is>
      </c>
      <c r="B22" s="15" t="n"/>
      <c r="C22" s="15" t="n"/>
      <c r="D22" s="15" t="n"/>
      <c r="E22" s="15" t="n"/>
    </row>
    <row r="23">
      <c r="A23" s="33" t="inlineStr">
        <is>
          <t>Comments:</t>
        </is>
      </c>
      <c r="B23" s="15" t="n"/>
      <c r="C23" s="15" t="n"/>
      <c r="D23" s="15" t="n"/>
      <c r="E23" s="15" t="n"/>
    </row>
    <row r="25">
      <c r="A25" s="35" t="inlineStr">
        <is>
          <t>APPROVED BY (CISO)</t>
        </is>
      </c>
      <c r="B25" s="6" t="n"/>
      <c r="C25" s="6" t="n"/>
      <c r="D25" s="6" t="n"/>
      <c r="E25" s="6" t="n"/>
    </row>
    <row r="26">
      <c r="A26" s="33" t="inlineStr">
        <is>
          <t>Name:</t>
        </is>
      </c>
      <c r="B26" s="15" t="n"/>
      <c r="C26" s="15" t="n"/>
      <c r="D26" s="15" t="n"/>
      <c r="E26" s="15" t="n"/>
    </row>
    <row r="27">
      <c r="A27" s="33" t="inlineStr">
        <is>
          <t>Title:</t>
        </is>
      </c>
      <c r="B27" s="15" t="n"/>
      <c r="C27" s="15" t="n"/>
      <c r="D27" s="15" t="n"/>
      <c r="E27" s="15" t="n"/>
    </row>
    <row r="28">
      <c r="A28" s="33" t="inlineStr">
        <is>
          <t>Date:</t>
        </is>
      </c>
      <c r="B28" s="15" t="n"/>
      <c r="C28" s="15" t="n"/>
      <c r="D28" s="15" t="n"/>
      <c r="E28" s="15" t="n"/>
    </row>
    <row r="29">
      <c r="A29" s="33" t="inlineStr">
        <is>
          <t>Signature:</t>
        </is>
      </c>
      <c r="B29" s="15" t="n"/>
      <c r="C29" s="15" t="n"/>
      <c r="D29" s="15" t="n"/>
      <c r="E29" s="15" t="n"/>
    </row>
    <row r="30">
      <c r="A30" s="33" t="inlineStr">
        <is>
          <t>Comments:</t>
        </is>
      </c>
      <c r="B30" s="15" t="n"/>
      <c r="C30" s="15" t="n"/>
      <c r="D30" s="15" t="n"/>
      <c r="E30" s="15" t="n"/>
    </row>
    <row r="32">
      <c r="A32" s="36" t="inlineStr">
        <is>
          <t>FINAL DECISION:</t>
        </is>
      </c>
      <c r="B32" s="15" t="n"/>
      <c r="C32" s="15" t="n"/>
      <c r="D32" s="15" t="n"/>
      <c r="E32" s="15" t="n"/>
    </row>
    <row r="35">
      <c r="A35" s="32" t="inlineStr">
        <is>
          <t>NEXT REVIEW DETAILS</t>
        </is>
      </c>
      <c r="B35" s="6" t="n"/>
      <c r="C35" s="6" t="n"/>
      <c r="D35" s="6" t="n"/>
      <c r="E35" s="6" t="n"/>
    </row>
    <row r="36">
      <c r="A36" s="33" t="inlineStr">
        <is>
          <t>Next Review Date:</t>
        </is>
      </c>
      <c r="B36" s="15" t="n"/>
      <c r="C36" s="15" t="n"/>
      <c r="D36" s="15" t="n"/>
      <c r="E36" s="15" t="n"/>
    </row>
    <row r="37">
      <c r="A37" s="33" t="inlineStr">
        <is>
          <t>Review Responsible:</t>
        </is>
      </c>
      <c r="B37" s="15" t="n"/>
      <c r="C37" s="15" t="n"/>
      <c r="D37" s="15" t="n"/>
      <c r="E37" s="15" t="n"/>
    </row>
    <row r="38">
      <c r="A38" s="33"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ISMS-IMP-A.5.30.S2 — Redundancy Analysis</dc:title>
  <dc:description xmlns:dc="http://purl.org/dc/elements/1.1/">ISMS Implementation Workbook — ISMS-IMP-A.5.30.S2</dc:description>
  <dc:subject xmlns:dc="http://purl.org/dc/elements/1.1/">ISO/IEC 27001:2022 — Control A.5.30: Information Backup</dc:subject>
  <dcterms:created xmlns:dcterms="http://purl.org/dc/terms/" xmlns:xsi="http://www.w3.org/2001/XMLSchema-instance" xsi:type="dcterms:W3CDTF">2026-03-10T18:48:45Z</dcterms:created>
  <dcterms:modified xmlns:dcterms="http://purl.org/dc/terms/" xmlns:xsi="http://www.w3.org/2001/XMLSchema-instance" xsi:type="dcterms:W3CDTF">2026-03-10T18:48:45Z</dcterms:modified>
</cp:coreProperties>
</file>