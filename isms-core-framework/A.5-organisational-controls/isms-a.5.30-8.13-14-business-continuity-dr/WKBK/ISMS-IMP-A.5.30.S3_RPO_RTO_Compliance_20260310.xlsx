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ystem Inventory" sheetId="2" state="visible" r:id="rId2"/>
    <sheet xmlns:r="http://schemas.openxmlformats.org/officeDocument/2006/relationships" name="Capability Assessment" sheetId="3" state="visible" r:id="rId3"/>
    <sheet xmlns:r="http://schemas.openxmlformats.org/officeDocument/2006/relationships" name="Compliance Matrix"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i val="1"/>
      <color rgb="00666666"/>
      <sz val="10"/>
    </font>
    <font>
      <i val="1"/>
      <color rgb="00666666"/>
    </font>
    <font>
      <b val="1"/>
      <i val="1"/>
      <color rgb="00C00000"/>
      <sz val="10"/>
    </font>
    <font>
      <b val="1"/>
      <sz val="9"/>
    </font>
    <font>
      <name val="Calibri"/>
      <i val="1"/>
      <sz val="10"/>
    </font>
    <font>
      <name val="Calibri"/>
      <b val="1"/>
      <color rgb="00FFFFFF"/>
      <sz val="10"/>
    </font>
    <font>
      <name val="Calibri"/>
      <sz val="10"/>
    </font>
    <font>
      <name val="Calibri"/>
      <b val="1"/>
      <color rgb="00FFFFFF"/>
      <sz val="16"/>
    </font>
    <font>
      <i val="1"/>
      <sz val="10"/>
    </font>
    <font>
      <b val="1"/>
      <sz val="12"/>
    </font>
    <font>
      <b val="1"/>
      <sz val="11"/>
    </font>
    <font>
      <b val="1"/>
      <color rgb="00C00000"/>
      <sz val="11"/>
    </font>
    <font>
      <name val="Calibri"/>
      <i val="1"/>
      <color rgb="00003366"/>
      <sz val="10"/>
    </font>
    <font>
      <name val="Calibri"/>
      <b val="1"/>
      <color rgb="00FFFFFF"/>
      <sz val="11"/>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2" applyAlignment="1" pivotButton="0" quotePrefix="0" xfId="0">
      <alignment horizontal="center" vertical="center" wrapText="1"/>
    </xf>
    <xf numFmtId="0" fontId="0" fillId="0" borderId="2" pivotButton="0" quotePrefix="0" xfId="0"/>
    <xf numFmtId="0" fontId="0" fillId="11" borderId="2" pivotButton="0" quotePrefix="0" xfId="0"/>
    <xf numFmtId="0" fontId="0" fillId="11" borderId="2" applyAlignment="1" pivotButton="0" quotePrefix="0" xfId="0">
      <alignment vertical="top" wrapText="1"/>
    </xf>
    <xf numFmtId="0" fontId="0" fillId="12" borderId="2" pivotButton="0" quotePrefix="0" xfId="0"/>
    <xf numFmtId="0" fontId="6" fillId="0" borderId="0" pivotButton="0" quotePrefix="0" xfId="0"/>
    <xf numFmtId="0" fontId="7" fillId="0" borderId="2" pivotButton="0" quotePrefix="0" xfId="0"/>
    <xf numFmtId="0" fontId="8" fillId="0" borderId="0" pivotButton="0" quotePrefix="0" xfId="0"/>
    <xf numFmtId="0" fontId="0" fillId="0" borderId="2" applyAlignment="1" pivotButton="0" quotePrefix="0" xfId="0">
      <alignment wrapText="1"/>
    </xf>
    <xf numFmtId="0" fontId="0" fillId="11" borderId="2" applyAlignment="1" pivotButton="0" quotePrefix="0" xfId="0">
      <alignment wrapText="1"/>
    </xf>
    <xf numFmtId="0" fontId="0" fillId="12" borderId="2" applyAlignment="1" pivotButton="0" quotePrefix="0" xfId="0">
      <alignment wrapText="1"/>
    </xf>
    <xf numFmtId="0" fontId="4" fillId="0" borderId="0" pivotButton="0" quotePrefix="0" xfId="0"/>
    <xf numFmtId="164" fontId="4" fillId="0" borderId="0" pivotButton="0" quotePrefix="0" xfId="0"/>
    <xf numFmtId="0" fontId="9" fillId="0" borderId="2" pivotButton="0" quotePrefix="0" xfId="0"/>
    <xf numFmtId="0" fontId="0" fillId="0" borderId="2" applyAlignment="1" pivotButton="0" quotePrefix="0" xfId="0">
      <alignment vertical="top" wrapText="1"/>
    </xf>
    <xf numFmtId="0" fontId="9" fillId="11" borderId="2" pivotButton="0" quotePrefix="0" xfId="0"/>
    <xf numFmtId="0" fontId="0" fillId="12" borderId="2" applyAlignment="1" pivotButton="0" quotePrefix="0" xfId="0">
      <alignment vertical="top" wrapText="1"/>
    </xf>
    <xf numFmtId="165" fontId="4" fillId="0" borderId="0" pivotButton="0" quotePrefix="0" xfId="0"/>
    <xf numFmtId="0" fontId="1" fillId="8" borderId="1" applyAlignment="1" pivotButton="0" quotePrefix="0" xfId="0">
      <alignment horizontal="center" vertical="center"/>
    </xf>
    <xf numFmtId="0" fontId="10" fillId="0" borderId="1" applyAlignment="1" pivotButton="0" quotePrefix="0" xfId="0">
      <alignment horizontal="left" vertical="center"/>
    </xf>
    <xf numFmtId="0" fontId="11" fillId="8" borderId="1" applyAlignment="1" pivotButton="0" quotePrefix="0" xfId="0">
      <alignment horizontal="center" vertical="center" wrapText="1"/>
    </xf>
    <xf numFmtId="0" fontId="12" fillId="11" borderId="1" applyAlignment="1" pivotButton="0" quotePrefix="0" xfId="0">
      <alignment horizontal="center" vertical="center" wrapText="1"/>
    </xf>
    <xf numFmtId="0" fontId="12"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13" fillId="8" borderId="0" applyAlignment="1" pivotButton="0" quotePrefix="0" xfId="0">
      <alignment horizontal="center" vertical="center"/>
    </xf>
    <xf numFmtId="0" fontId="14" fillId="0" borderId="0" applyAlignment="1" pivotButton="0" quotePrefix="0" xfId="0">
      <alignment horizontal="center"/>
    </xf>
    <xf numFmtId="0" fontId="5" fillId="9" borderId="0" applyAlignment="1" pivotButton="0" quotePrefix="0" xfId="0">
      <alignment horizontal="left"/>
    </xf>
    <xf numFmtId="0" fontId="15" fillId="0" borderId="0" pivotButton="0" quotePrefix="0" xfId="0"/>
    <xf numFmtId="164" fontId="15" fillId="0" borderId="0" pivotButton="0" quotePrefix="0" xfId="0"/>
    <xf numFmtId="0" fontId="16" fillId="0" borderId="0" pivotButton="0" quotePrefix="0" xfId="0"/>
    <xf numFmtId="164" fontId="16" fillId="0" borderId="0" pivotButton="0" quotePrefix="0" xfId="0"/>
    <xf numFmtId="165" fontId="16" fillId="0" borderId="0" pivotButton="0" quotePrefix="0" xfId="0"/>
    <xf numFmtId="0" fontId="17" fillId="0" borderId="0" pivotButton="0" quotePrefix="0" xfId="0"/>
    <xf numFmtId="0" fontId="12" fillId="0" borderId="0" pivotButton="0" quotePrefix="0" xfId="0"/>
    <xf numFmtId="0" fontId="1" fillId="8" borderId="1" applyAlignment="1" pivotButton="0" quotePrefix="0" xfId="0">
      <alignment horizontal="center" vertical="center" wrapText="1"/>
    </xf>
    <xf numFmtId="0" fontId="18" fillId="0" borderId="1" applyAlignment="1" pivotButton="0" quotePrefix="0" xfId="0">
      <alignment horizontal="center" vertical="center"/>
    </xf>
    <xf numFmtId="0" fontId="19" fillId="9" borderId="1" applyAlignment="1" pivotButton="0" quotePrefix="0" xfId="0">
      <alignment horizontal="left" vertical="center"/>
    </xf>
    <xf numFmtId="0" fontId="4" fillId="0" borderId="1" pivotButton="0" quotePrefix="0" xfId="0"/>
    <xf numFmtId="0" fontId="0" fillId="12" borderId="1" pivotButton="0" quotePrefix="0" xfId="0"/>
    <xf numFmtId="164" fontId="0" fillId="0" borderId="1" pivotButton="0" quotePrefix="0" xfId="0"/>
    <xf numFmtId="0" fontId="19" fillId="8" borderId="1" applyAlignment="1" pivotButton="0" quotePrefix="0" xfId="0">
      <alignment horizontal="left" vertical="center"/>
    </xf>
    <xf numFmtId="0" fontId="2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ISMS-IMP-A.5.30.S3  -  RPO RTO Compliance
ISO/IEC 27001:2022 - Control A.5.30: Information Backup</t>
        </is>
      </c>
    </row>
    <row r="3">
      <c r="A3" s="2" t="inlineStr">
        <is>
          <t>Document Information</t>
        </is>
      </c>
    </row>
    <row r="4">
      <c r="A4" s="3" t="inlineStr">
        <is>
          <t>Document ID</t>
        </is>
      </c>
      <c r="B4" t="inlineStr">
        <is>
          <t>ISMS-IMP-A.5.30.S3</t>
        </is>
      </c>
    </row>
    <row r="5">
      <c r="A5" s="3" t="inlineStr">
        <is>
          <t>Workbook Title</t>
        </is>
      </c>
      <c r="B5" t="inlineStr">
        <is>
          <t>RPO RTO Compliance</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Populate the System Inventory worksheet from Business Impact Analysis (BIA) results.</t>
        </is>
      </c>
    </row>
    <row r="14">
      <c r="A14" t="inlineStr">
        <is>
          <t>2. Populate the Capability Assessment worksheet with TESTED technical recovery capabilities.</t>
        </is>
      </c>
    </row>
    <row r="15">
      <c r="A15" t="inlineStr">
        <is>
          <t>3. Review the Compliance Matrix (formulas automatically compare requirements vs capabilities).</t>
        </is>
      </c>
    </row>
    <row r="16">
      <c r="A16" t="inlineStr">
        <is>
          <t>4. Document identified gaps in the Gap Analysis worksheet with remediation plans.</t>
        </is>
      </c>
    </row>
    <row r="17">
      <c r="A17" t="inlineStr">
        <is>
          <t>5. Collect evidence in the Evidence Register (minimum 5 items required for audit).</t>
        </is>
      </c>
    </row>
    <row r="18">
      <c r="A18" t="inlineStr">
        <is>
          <t>6. Review the Summary Dashboard for overall compliance metrics.</t>
        </is>
      </c>
    </row>
    <row r="19">
      <c r="A19" t="inlineStr">
        <is>
          <t>7. Complete the Approval Sign-Off worksheet to obtain formal sign-off.</t>
        </is>
      </c>
    </row>
    <row r="20">
      <c r="A20" t="inlineStr">
        <is>
          <t>8. Re-assess quarterly to track improvement and maintain compliance.</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row r="29">
      <c r="A29" s="2" t="inlineStr">
        <is>
          <t>Acceptable Evidence (examples)</t>
        </is>
      </c>
    </row>
    <row r="30">
      <c r="A30" t="inlineStr">
        <is>
          <t>✓ Business Impact Analysis (BIA) report with RPO/RTO requirements for each system</t>
        </is>
      </c>
    </row>
    <row r="31">
      <c r="A31" t="inlineStr">
        <is>
          <t>✓ Backup restore test records with date, system, and actual restore time</t>
        </is>
      </c>
    </row>
    <row r="32">
      <c r="A32" t="inlineStr">
        <is>
          <t>✓ Failover test records with date, system, and actual failover time</t>
        </is>
      </c>
    </row>
    <row r="33">
      <c r="A33" t="inlineStr">
        <is>
          <t>✓ Gap analysis report showing RPO/RTO gaps and risk scores</t>
        </is>
      </c>
    </row>
    <row r="34">
      <c r="A34" t="inlineStr">
        <is>
          <t>✓ Remediation plans for identified gaps with target dates</t>
        </is>
      </c>
    </row>
    <row r="35">
      <c r="A35" t="inlineStr">
        <is>
          <t>✓ System criticality register from BIA process</t>
        </is>
      </c>
    </row>
    <row r="36">
      <c r="A36" t="inlineStr">
        <is>
          <t>✓ Testing schedules and historical test logs</t>
        </is>
      </c>
    </row>
    <row r="37">
      <c r="A37" t="inlineStr">
        <is>
          <t>✓ Compliance calculation worksheets and summary reports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showGridLines="0" workbookViewId="0">
      <pane ySplit="3" topLeftCell="A4" activePane="bottomLeft" state="frozen"/>
      <selection pane="bottomLeft" activeCell="A1" sqref="A1"/>
    </sheetView>
  </sheetViews>
  <sheetFormatPr baseColWidth="8" defaultRowHeight="15"/>
  <cols>
    <col width="25" customWidth="1" min="1" max="1"/>
    <col width="25" customWidth="1" min="2" max="2"/>
    <col width="18" customWidth="1" min="3" max="3"/>
    <col width="15" customWidth="1" min="4" max="4"/>
    <col width="22" customWidth="1" min="5" max="5"/>
    <col width="22" customWidth="1" min="6" max="6"/>
    <col width="45" customWidth="1" min="7" max="7"/>
  </cols>
  <sheetData>
    <row r="1" ht="35" customHeight="1">
      <c r="A1" s="11" t="inlineStr">
        <is>
          <t>SYSTEM INVENTORY - BIA RESULTS</t>
        </is>
      </c>
    </row>
    <row r="2">
      <c r="A2" s="12" t="inlineStr">
        <is>
          <t>Source: Business Impact Analysis (BIA) - RPO/RTO requirements from business stakeholders</t>
        </is>
      </c>
    </row>
    <row r="4">
      <c r="A4" s="13" t="inlineStr">
        <is>
          <t>System Name</t>
        </is>
      </c>
      <c r="B4" s="13" t="inlineStr">
        <is>
          <t>Business Process</t>
        </is>
      </c>
      <c r="C4" s="13" t="inlineStr">
        <is>
          <t>Criticality Tier</t>
        </is>
      </c>
      <c r="D4" s="13" t="inlineStr">
        <is>
          <t>MTPD (hours)</t>
        </is>
      </c>
      <c r="E4" s="13" t="inlineStr">
        <is>
          <t>RPO Requirement (hours)</t>
        </is>
      </c>
      <c r="F4" s="13" t="inlineStr">
        <is>
          <t>RTO Requirement (hours)</t>
        </is>
      </c>
      <c r="G4" s="13" t="inlineStr">
        <is>
          <t>Business Justification</t>
        </is>
      </c>
    </row>
    <row r="5">
      <c r="A5" s="14" t="n"/>
      <c r="B5" s="14" t="n"/>
      <c r="C5" s="14" t="n"/>
      <c r="D5" s="14" t="n"/>
      <c r="E5" s="14" t="n"/>
      <c r="F5" s="14" t="n"/>
      <c r="G5" s="14" t="n"/>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5" t="inlineStr">
        <is>
          <t>Example: Application Server</t>
        </is>
      </c>
      <c r="B15" s="15" t="inlineStr">
        <is>
          <t>Online Services</t>
        </is>
      </c>
      <c r="C15" s="15" t="inlineStr">
        <is>
          <t>Tier 1 - Critical</t>
        </is>
      </c>
      <c r="D15" s="15" t="n">
        <v>4</v>
      </c>
      <c r="E15" s="15" t="n">
        <v>1</v>
      </c>
      <c r="F15" s="15" t="n">
        <v>2</v>
      </c>
      <c r="G15" s="16" t="inlineStr">
        <is>
          <t>Enter business justification for RPO/RTO requirements here</t>
        </is>
      </c>
    </row>
    <row r="16">
      <c r="A16" s="17" t="n"/>
      <c r="B16" s="17" t="n"/>
      <c r="C16" s="17" t="n"/>
      <c r="D16" s="17" t="n"/>
      <c r="E16" s="17" t="n"/>
      <c r="F16" s="17" t="n"/>
      <c r="G16" s="17" t="n"/>
    </row>
    <row r="17">
      <c r="A17" s="17" t="n"/>
      <c r="B17" s="17" t="n"/>
      <c r="C17" s="17" t="n"/>
      <c r="D17" s="17" t="n"/>
      <c r="E17" s="17" t="n"/>
      <c r="F17" s="17" t="n"/>
      <c r="G17" s="17" t="n"/>
    </row>
    <row r="18">
      <c r="A18" s="17" t="n"/>
      <c r="B18" s="17" t="n"/>
      <c r="C18" s="17" t="n"/>
      <c r="D18" s="17" t="n"/>
      <c r="E18" s="17" t="n"/>
      <c r="F18" s="17" t="n"/>
      <c r="G18" s="17" t="n"/>
    </row>
    <row r="19">
      <c r="A19" s="17" t="n"/>
      <c r="B19" s="17" t="n"/>
      <c r="C19" s="17" t="n"/>
      <c r="D19" s="17" t="n"/>
      <c r="E19" s="17" t="n"/>
      <c r="F19" s="17" t="n"/>
      <c r="G19" s="17" t="n"/>
    </row>
    <row r="20">
      <c r="A20" s="17" t="n"/>
      <c r="B20" s="17" t="n"/>
      <c r="C20" s="17" t="n"/>
      <c r="D20" s="17" t="n"/>
      <c r="E20" s="17" t="n"/>
      <c r="F20" s="17" t="n"/>
      <c r="G20" s="17" t="n"/>
    </row>
    <row r="21">
      <c r="A21" s="17" t="n"/>
      <c r="B21" s="17" t="n"/>
      <c r="C21" s="17" t="n"/>
      <c r="D21" s="17" t="n"/>
      <c r="E21" s="17" t="n"/>
      <c r="F21" s="17" t="n"/>
      <c r="G21" s="17" t="n"/>
    </row>
    <row r="22">
      <c r="A22" s="17" t="n"/>
      <c r="B22" s="17" t="n"/>
      <c r="C22" s="17" t="n"/>
      <c r="D22" s="17" t="n"/>
      <c r="E22" s="17" t="n"/>
      <c r="F22" s="17" t="n"/>
      <c r="G22" s="17" t="n"/>
    </row>
    <row r="23">
      <c r="A23" s="17" t="n"/>
      <c r="B23" s="17" t="n"/>
      <c r="C23" s="17" t="n"/>
      <c r="D23" s="17" t="n"/>
      <c r="E23" s="17" t="n"/>
      <c r="F23" s="17" t="n"/>
      <c r="G23" s="17" t="n"/>
    </row>
    <row r="24">
      <c r="A24" s="17" t="n"/>
      <c r="B24" s="17" t="n"/>
      <c r="C24" s="17" t="n"/>
      <c r="D24" s="17" t="n"/>
      <c r="E24" s="17" t="n"/>
      <c r="F24" s="17" t="n"/>
      <c r="G24" s="17" t="n"/>
    </row>
    <row r="25">
      <c r="A25" s="17" t="n"/>
      <c r="B25" s="17" t="n"/>
      <c r="C25" s="17" t="n"/>
      <c r="D25" s="17" t="n"/>
      <c r="E25" s="17" t="n"/>
      <c r="F25" s="17" t="n"/>
      <c r="G25" s="17" t="n"/>
    </row>
    <row r="26">
      <c r="A26" s="17" t="n"/>
      <c r="B26" s="17" t="n"/>
      <c r="C26" s="17" t="n"/>
      <c r="D26" s="17" t="n"/>
      <c r="E26" s="17" t="n"/>
      <c r="F26" s="17" t="n"/>
      <c r="G26" s="17" t="n"/>
    </row>
    <row r="27">
      <c r="A27" s="17" t="n"/>
      <c r="B27" s="17" t="n"/>
      <c r="C27" s="17" t="n"/>
      <c r="D27" s="17" t="n"/>
      <c r="E27" s="17" t="n"/>
      <c r="F27" s="17" t="n"/>
      <c r="G27" s="17" t="n"/>
    </row>
    <row r="28">
      <c r="A28" s="17" t="n"/>
      <c r="B28" s="17" t="n"/>
      <c r="C28" s="17" t="n"/>
      <c r="D28" s="17" t="n"/>
      <c r="E28" s="17" t="n"/>
      <c r="F28" s="17" t="n"/>
      <c r="G28" s="17" t="n"/>
    </row>
    <row r="29">
      <c r="A29" s="17" t="n"/>
      <c r="B29" s="17" t="n"/>
      <c r="C29" s="17" t="n"/>
      <c r="D29" s="17" t="n"/>
      <c r="E29" s="17" t="n"/>
      <c r="F29" s="17" t="n"/>
      <c r="G29" s="17" t="n"/>
    </row>
    <row r="30">
      <c r="A30" s="17" t="n"/>
      <c r="B30" s="17" t="n"/>
      <c r="C30" s="17" t="n"/>
      <c r="D30" s="17" t="n"/>
      <c r="E30" s="17" t="n"/>
      <c r="F30" s="17" t="n"/>
      <c r="G30" s="17" t="n"/>
    </row>
    <row r="31">
      <c r="A31" s="17" t="n"/>
      <c r="B31" s="17" t="n"/>
      <c r="C31" s="17" t="n"/>
      <c r="D31" s="17" t="n"/>
      <c r="E31" s="17" t="n"/>
      <c r="F31" s="17" t="n"/>
      <c r="G31" s="17" t="n"/>
    </row>
    <row r="32">
      <c r="A32" s="17" t="n"/>
      <c r="B32" s="17" t="n"/>
      <c r="C32" s="17" t="n"/>
      <c r="D32" s="17" t="n"/>
      <c r="E32" s="17" t="n"/>
      <c r="F32" s="17" t="n"/>
      <c r="G32" s="17" t="n"/>
    </row>
    <row r="33">
      <c r="A33" s="17" t="n"/>
      <c r="B33" s="17" t="n"/>
      <c r="C33" s="17" t="n"/>
      <c r="D33" s="17" t="n"/>
      <c r="E33" s="17" t="n"/>
      <c r="F33" s="17" t="n"/>
      <c r="G33" s="17" t="n"/>
    </row>
    <row r="34">
      <c r="A34" s="17" t="n"/>
      <c r="B34" s="17" t="n"/>
      <c r="C34" s="17" t="n"/>
      <c r="D34" s="17" t="n"/>
      <c r="E34" s="17" t="n"/>
      <c r="F34" s="17" t="n"/>
      <c r="G34" s="17" t="n"/>
    </row>
    <row r="35">
      <c r="A35" s="17" t="n"/>
      <c r="B35" s="17" t="n"/>
      <c r="C35" s="17" t="n"/>
      <c r="D35" s="17" t="n"/>
      <c r="E35" s="17" t="n"/>
      <c r="F35" s="17" t="n"/>
      <c r="G35" s="17" t="n"/>
    </row>
    <row r="36">
      <c r="A36" s="17" t="n"/>
      <c r="B36" s="17" t="n"/>
      <c r="C36" s="17" t="n"/>
      <c r="D36" s="17" t="n"/>
      <c r="E36" s="17" t="n"/>
      <c r="F36" s="17" t="n"/>
      <c r="G36" s="17" t="n"/>
    </row>
    <row r="37">
      <c r="A37" s="17" t="n"/>
      <c r="B37" s="17" t="n"/>
      <c r="C37" s="17" t="n"/>
      <c r="D37" s="17" t="n"/>
      <c r="E37" s="17" t="n"/>
      <c r="F37" s="17" t="n"/>
      <c r="G37" s="17" t="n"/>
    </row>
    <row r="38">
      <c r="A38" s="17" t="n"/>
      <c r="B38" s="17" t="n"/>
      <c r="C38" s="17" t="n"/>
      <c r="D38" s="17" t="n"/>
      <c r="E38" s="17" t="n"/>
      <c r="F38" s="17" t="n"/>
      <c r="G38" s="17" t="n"/>
    </row>
    <row r="39">
      <c r="A39" s="17" t="n"/>
      <c r="B39" s="17" t="n"/>
      <c r="C39" s="17" t="n"/>
      <c r="D39" s="17" t="n"/>
      <c r="E39" s="17" t="n"/>
      <c r="F39" s="17" t="n"/>
      <c r="G39" s="17" t="n"/>
    </row>
    <row r="40">
      <c r="A40" s="17" t="n"/>
      <c r="B40" s="17" t="n"/>
      <c r="C40" s="17" t="n"/>
      <c r="D40" s="17" t="n"/>
      <c r="E40" s="17" t="n"/>
      <c r="F40" s="17" t="n"/>
      <c r="G40" s="17" t="n"/>
    </row>
    <row r="41">
      <c r="A41" s="17" t="n"/>
      <c r="B41" s="17" t="n"/>
      <c r="C41" s="17" t="n"/>
      <c r="D41" s="17" t="n"/>
      <c r="E41" s="17" t="n"/>
      <c r="F41" s="17" t="n"/>
      <c r="G41" s="17" t="n"/>
    </row>
    <row r="42">
      <c r="A42" s="17" t="n"/>
      <c r="B42" s="17" t="n"/>
      <c r="C42" s="17" t="n"/>
      <c r="D42" s="17" t="n"/>
      <c r="E42" s="17" t="n"/>
      <c r="F42" s="17" t="n"/>
      <c r="G42" s="17" t="n"/>
    </row>
    <row r="43">
      <c r="A43" s="17" t="n"/>
      <c r="B43" s="17" t="n"/>
      <c r="C43" s="17" t="n"/>
      <c r="D43" s="17" t="n"/>
      <c r="E43" s="17" t="n"/>
      <c r="F43" s="17" t="n"/>
      <c r="G43" s="17" t="n"/>
    </row>
    <row r="44">
      <c r="A44" s="17" t="n"/>
      <c r="B44" s="17" t="n"/>
      <c r="C44" s="17" t="n"/>
      <c r="D44" s="17" t="n"/>
      <c r="E44" s="17" t="n"/>
      <c r="F44" s="17" t="n"/>
      <c r="G44" s="17" t="n"/>
    </row>
    <row r="45">
      <c r="A45" s="17" t="n"/>
      <c r="B45" s="17" t="n"/>
      <c r="C45" s="17" t="n"/>
      <c r="D45" s="17" t="n"/>
      <c r="E45" s="17" t="n"/>
      <c r="F45" s="17" t="n"/>
      <c r="G45" s="17" t="n"/>
    </row>
    <row r="46">
      <c r="A46" s="17" t="n"/>
      <c r="B46" s="17" t="n"/>
      <c r="C46" s="17" t="n"/>
      <c r="D46" s="17" t="n"/>
      <c r="E46" s="17" t="n"/>
      <c r="F46" s="17" t="n"/>
      <c r="G46" s="17" t="n"/>
    </row>
    <row r="47">
      <c r="A47" s="17" t="n"/>
      <c r="B47" s="17" t="n"/>
      <c r="C47" s="17" t="n"/>
      <c r="D47" s="17" t="n"/>
      <c r="E47" s="17" t="n"/>
      <c r="F47" s="17" t="n"/>
      <c r="G47" s="17" t="n"/>
    </row>
    <row r="48">
      <c r="A48" s="17" t="n"/>
      <c r="B48" s="17" t="n"/>
      <c r="C48" s="17" t="n"/>
      <c r="D48" s="17" t="n"/>
      <c r="E48" s="17" t="n"/>
      <c r="F48" s="17" t="n"/>
      <c r="G48" s="17" t="n"/>
    </row>
    <row r="49">
      <c r="A49" s="17" t="n"/>
      <c r="B49" s="17" t="n"/>
      <c r="C49" s="17" t="n"/>
      <c r="D49" s="17" t="n"/>
      <c r="E49" s="17" t="n"/>
      <c r="F49" s="17" t="n"/>
      <c r="G49" s="17" t="n"/>
    </row>
    <row r="50">
      <c r="A50" s="17" t="n"/>
      <c r="B50" s="17" t="n"/>
      <c r="C50" s="17" t="n"/>
      <c r="D50" s="17" t="n"/>
      <c r="E50" s="17" t="n"/>
      <c r="F50" s="17" t="n"/>
      <c r="G50" s="17" t="n"/>
    </row>
    <row r="51">
      <c r="A51" s="17" t="n"/>
      <c r="B51" s="17" t="n"/>
      <c r="C51" s="17" t="n"/>
      <c r="D51" s="17" t="n"/>
      <c r="E51" s="17" t="n"/>
      <c r="F51" s="17" t="n"/>
      <c r="G51" s="17" t="n"/>
    </row>
    <row r="52">
      <c r="A52" s="17" t="n"/>
      <c r="B52" s="17" t="n"/>
      <c r="C52" s="17" t="n"/>
      <c r="D52" s="17" t="n"/>
      <c r="E52" s="17" t="n"/>
      <c r="F52" s="17" t="n"/>
      <c r="G52" s="17" t="n"/>
    </row>
    <row r="53">
      <c r="A53" s="17" t="n"/>
      <c r="B53" s="17" t="n"/>
      <c r="C53" s="17" t="n"/>
      <c r="D53" s="17" t="n"/>
      <c r="E53" s="17" t="n"/>
      <c r="F53" s="17" t="n"/>
      <c r="G53" s="17" t="n"/>
    </row>
    <row r="54">
      <c r="A54" s="17" t="n"/>
      <c r="B54" s="17" t="n"/>
      <c r="C54" s="17" t="n"/>
      <c r="D54" s="17" t="n"/>
      <c r="E54" s="17" t="n"/>
      <c r="F54" s="17" t="n"/>
      <c r="G54" s="17" t="n"/>
    </row>
    <row r="55">
      <c r="A55" s="17" t="n"/>
      <c r="B55" s="17" t="n"/>
      <c r="C55" s="17" t="n"/>
      <c r="D55" s="17" t="n"/>
      <c r="E55" s="17" t="n"/>
      <c r="F55" s="17" t="n"/>
      <c r="G55" s="17" t="n"/>
    </row>
    <row r="56">
      <c r="A56" s="17" t="n"/>
      <c r="B56" s="17" t="n"/>
      <c r="C56" s="17" t="n"/>
      <c r="D56" s="17" t="n"/>
      <c r="E56" s="17" t="n"/>
      <c r="F56" s="17" t="n"/>
      <c r="G56" s="17" t="n"/>
    </row>
    <row r="57">
      <c r="A57" s="17" t="n"/>
      <c r="B57" s="17" t="n"/>
      <c r="C57" s="17" t="n"/>
      <c r="D57" s="17" t="n"/>
      <c r="E57" s="17" t="n"/>
      <c r="F57" s="17" t="n"/>
      <c r="G57" s="17" t="n"/>
    </row>
    <row r="58">
      <c r="A58" s="17" t="n"/>
      <c r="B58" s="17" t="n"/>
      <c r="C58" s="17" t="n"/>
      <c r="D58" s="17" t="n"/>
      <c r="E58" s="17" t="n"/>
      <c r="F58" s="17" t="n"/>
      <c r="G58" s="17" t="n"/>
    </row>
    <row r="59">
      <c r="A59" s="17" t="n"/>
      <c r="B59" s="17" t="n"/>
      <c r="C59" s="17" t="n"/>
      <c r="D59" s="17" t="n"/>
      <c r="E59" s="17" t="n"/>
      <c r="F59" s="17" t="n"/>
      <c r="G59" s="17" t="n"/>
    </row>
    <row r="60">
      <c r="A60" s="17" t="n"/>
      <c r="B60" s="17" t="n"/>
      <c r="C60" s="17" t="n"/>
      <c r="D60" s="17" t="n"/>
      <c r="E60" s="17" t="n"/>
      <c r="F60" s="17" t="n"/>
      <c r="G60" s="17" t="n"/>
    </row>
    <row r="61">
      <c r="A61" s="17" t="n"/>
      <c r="B61" s="17" t="n"/>
      <c r="C61" s="17" t="n"/>
      <c r="D61" s="17" t="n"/>
      <c r="E61" s="17" t="n"/>
      <c r="F61" s="17" t="n"/>
      <c r="G61" s="17" t="n"/>
    </row>
    <row r="62">
      <c r="A62" s="17" t="n"/>
      <c r="B62" s="17" t="n"/>
      <c r="C62" s="17" t="n"/>
      <c r="D62" s="17" t="n"/>
      <c r="E62" s="17" t="n"/>
      <c r="F62" s="17" t="n"/>
      <c r="G62" s="17" t="n"/>
    </row>
    <row r="63">
      <c r="A63" s="17" t="n"/>
      <c r="B63" s="17" t="n"/>
      <c r="C63" s="17" t="n"/>
      <c r="D63" s="17" t="n"/>
      <c r="E63" s="17" t="n"/>
      <c r="F63" s="17" t="n"/>
      <c r="G63" s="17" t="n"/>
    </row>
    <row r="64">
      <c r="A64" s="17" t="n"/>
      <c r="B64" s="17" t="n"/>
      <c r="C64" s="17" t="n"/>
      <c r="D64" s="17" t="n"/>
      <c r="E64" s="17" t="n"/>
      <c r="F64" s="17" t="n"/>
      <c r="G64" s="17" t="n"/>
    </row>
    <row r="65">
      <c r="A65" s="17" t="n"/>
      <c r="B65" s="17" t="n"/>
      <c r="C65" s="17" t="n"/>
      <c r="D65" s="17" t="n"/>
      <c r="E65" s="17" t="n"/>
      <c r="F65" s="17" t="n"/>
      <c r="G65" s="17" t="n"/>
    </row>
    <row r="67">
      <c r="A67" s="18" t="inlineStr">
        <is>
          <t>DATA SOURCE: Business Impact Analysis (BIA) - Requirements are business-driven, not IT-driven</t>
        </is>
      </c>
    </row>
    <row r="68">
      <c r="A68" s="18" t="inlineStr">
        <is>
          <t>MTPD = Maximum Tolerable Period of Disruption | RPO = Recovery Point Objective | RTO = Recovery Time Objective</t>
        </is>
      </c>
    </row>
  </sheetData>
  <mergeCells count="4">
    <mergeCell ref="A67:G67"/>
    <mergeCell ref="A68:G68"/>
    <mergeCell ref="A2:G2"/>
    <mergeCell ref="A1:G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"Tier 1 - Critical,Tier 2 - Important,Tier 3 - Standard,Tier 4 - 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8"/>
  <sheetViews>
    <sheetView showGridLines="0" workbookViewId="0">
      <pane ySplit="3" topLeftCell="A4" activePane="bottomLeft" state="frozen"/>
      <selection pane="bottomLeft" activeCell="A1" sqref="A1"/>
    </sheetView>
  </sheetViews>
  <sheetFormatPr baseColWidth="8" defaultRowHeight="15"/>
  <cols>
    <col width="25" customWidth="1" min="1" max="1"/>
    <col width="24" customWidth="1" min="2" max="2"/>
    <col width="26" customWidth="1" min="3" max="3"/>
    <col width="28" customWidth="1" min="4" max="4"/>
    <col width="22" customWidth="1" min="5" max="5"/>
    <col width="22" customWidth="1" min="6" max="6"/>
    <col width="35" customWidth="1" min="7" max="7"/>
  </cols>
  <sheetData>
    <row r="1" ht="35" customHeight="1">
      <c r="A1" s="11" t="inlineStr">
        <is>
          <t>CAPABILITY ASSESSMENT - TESTED TECHNICAL CAPABILITIES</t>
        </is>
      </c>
    </row>
    <row r="2">
      <c r="A2" s="12" t="inlineStr">
        <is>
          <t>Source: Testing Results - Actual measured recovery times (restore tests, failover tests)</t>
        </is>
      </c>
    </row>
    <row r="4">
      <c r="A4" s="13" t="inlineStr">
        <is>
          <t>System Name</t>
        </is>
      </c>
      <c r="B4" s="13" t="inlineStr">
        <is>
          <t>Backup Frequency (hours)</t>
        </is>
      </c>
      <c r="C4" s="13" t="inlineStr">
        <is>
          <t>Restore Time Tested (hours)</t>
        </is>
      </c>
      <c r="D4" s="13" t="inlineStr">
        <is>
          <t>Failover Time Tested (hours)</t>
        </is>
      </c>
      <c r="E4" s="13" t="inlineStr">
        <is>
          <t>RPO Capability (hours)</t>
        </is>
      </c>
      <c r="F4" s="13" t="inlineStr">
        <is>
          <t>RTO Capability (hours)</t>
        </is>
      </c>
      <c r="G4" s="13" t="inlineStr">
        <is>
          <t>Test Notes / Observations</t>
        </is>
      </c>
    </row>
    <row r="5">
      <c r="A5" s="14" t="n"/>
      <c r="B5" s="14" t="n"/>
      <c r="C5" s="14" t="n"/>
      <c r="D5" s="14" t="n"/>
      <c r="E5" s="19">
        <f>IF(ISNUMBER(B5),B5,"")</f>
        <v/>
      </c>
      <c r="F5" s="19">
        <f>IF(AND(ISNUMBER(C5),ISNUMBER(D5)),MIN(C5,D5),IF(ISNUMBER(C5),C5,IF(ISNUMBER(D5),D5,"")))</f>
        <v/>
      </c>
      <c r="G5" s="14" t="n"/>
    </row>
    <row r="6">
      <c r="A6" s="14" t="n"/>
      <c r="B6" s="14" t="n"/>
      <c r="C6" s="14" t="n"/>
      <c r="D6" s="14" t="n"/>
      <c r="E6" s="19">
        <f>IF(ISNUMBER(B6),B6,"")</f>
        <v/>
      </c>
      <c r="F6" s="19">
        <f>IF(AND(ISNUMBER(C6),ISNUMBER(D6)),MIN(C6,D6),IF(ISNUMBER(C6),C6,IF(ISNUMBER(D6),D6,"")))</f>
        <v/>
      </c>
      <c r="G6" s="14" t="n"/>
    </row>
    <row r="7">
      <c r="A7" s="14" t="n"/>
      <c r="B7" s="14" t="n"/>
      <c r="C7" s="14" t="n"/>
      <c r="D7" s="14" t="n"/>
      <c r="E7" s="19">
        <f>IF(ISNUMBER(B7),B7,"")</f>
        <v/>
      </c>
      <c r="F7" s="19">
        <f>IF(AND(ISNUMBER(C7),ISNUMBER(D7)),MIN(C7,D7),IF(ISNUMBER(C7),C7,IF(ISNUMBER(D7),D7,"")))</f>
        <v/>
      </c>
      <c r="G7" s="14" t="n"/>
    </row>
    <row r="8">
      <c r="A8" s="14" t="n"/>
      <c r="B8" s="14" t="n"/>
      <c r="C8" s="14" t="n"/>
      <c r="D8" s="14" t="n"/>
      <c r="E8" s="19">
        <f>IF(ISNUMBER(B8),B8,"")</f>
        <v/>
      </c>
      <c r="F8" s="19">
        <f>IF(AND(ISNUMBER(C8),ISNUMBER(D8)),MIN(C8,D8),IF(ISNUMBER(C8),C8,IF(ISNUMBER(D8),D8,"")))</f>
        <v/>
      </c>
      <c r="G8" s="14" t="n"/>
    </row>
    <row r="9">
      <c r="A9" s="14" t="n"/>
      <c r="B9" s="14" t="n"/>
      <c r="C9" s="14" t="n"/>
      <c r="D9" s="14" t="n"/>
      <c r="E9" s="19">
        <f>IF(ISNUMBER(B9),B9,"")</f>
        <v/>
      </c>
      <c r="F9" s="19">
        <f>IF(AND(ISNUMBER(C9),ISNUMBER(D9)),MIN(C9,D9),IF(ISNUMBER(C9),C9,IF(ISNUMBER(D9),D9,"")))</f>
        <v/>
      </c>
      <c r="G9" s="14" t="n"/>
    </row>
    <row r="10">
      <c r="A10" s="14" t="n"/>
      <c r="B10" s="14" t="n"/>
      <c r="C10" s="14" t="n"/>
      <c r="D10" s="14" t="n"/>
      <c r="E10" s="19">
        <f>IF(ISNUMBER(B10),B10,"")</f>
        <v/>
      </c>
      <c r="F10" s="19">
        <f>IF(AND(ISNUMBER(C10),ISNUMBER(D10)),MIN(C10,D10),IF(ISNUMBER(C10),C10,IF(ISNUMBER(D10),D10,"")))</f>
        <v/>
      </c>
      <c r="G10" s="14" t="n"/>
    </row>
    <row r="11">
      <c r="A11" s="14" t="n"/>
      <c r="B11" s="14" t="n"/>
      <c r="C11" s="14" t="n"/>
      <c r="D11" s="14" t="n"/>
      <c r="E11" s="19">
        <f>IF(ISNUMBER(B11),B11,"")</f>
        <v/>
      </c>
      <c r="F11" s="19">
        <f>IF(AND(ISNUMBER(C11),ISNUMBER(D11)),MIN(C11,D11),IF(ISNUMBER(C11),C11,IF(ISNUMBER(D11),D11,"")))</f>
        <v/>
      </c>
      <c r="G11" s="14" t="n"/>
    </row>
    <row r="12">
      <c r="A12" s="14" t="n"/>
      <c r="B12" s="14" t="n"/>
      <c r="C12" s="14" t="n"/>
      <c r="D12" s="14" t="n"/>
      <c r="E12" s="19">
        <f>IF(ISNUMBER(B12),B12,"")</f>
        <v/>
      </c>
      <c r="F12" s="19">
        <f>IF(AND(ISNUMBER(C12),ISNUMBER(D12)),MIN(C12,D12),IF(ISNUMBER(C12),C12,IF(ISNUMBER(D12),D12,"")))</f>
        <v/>
      </c>
      <c r="G12" s="14" t="n"/>
    </row>
    <row r="13">
      <c r="A13" s="14" t="n"/>
      <c r="B13" s="14" t="n"/>
      <c r="C13" s="14" t="n"/>
      <c r="D13" s="14" t="n"/>
      <c r="E13" s="19">
        <f>IF(ISNUMBER(B13),B13,"")</f>
        <v/>
      </c>
      <c r="F13" s="19">
        <f>IF(AND(ISNUMBER(C13),ISNUMBER(D13)),MIN(C13,D13),IF(ISNUMBER(C13),C13,IF(ISNUMBER(D13),D13,"")))</f>
        <v/>
      </c>
      <c r="G13" s="14" t="n"/>
    </row>
    <row r="14">
      <c r="A14" s="14" t="n"/>
      <c r="B14" s="14" t="n"/>
      <c r="C14" s="14" t="n"/>
      <c r="D14" s="14" t="n"/>
      <c r="E14" s="19">
        <f>IF(ISNUMBER(B14),B14,"")</f>
        <v/>
      </c>
      <c r="F14" s="19">
        <f>IF(AND(ISNUMBER(C14),ISNUMBER(D14)),MIN(C14,D14),IF(ISNUMBER(C14),C14,IF(ISNUMBER(D14),D14,"")))</f>
        <v/>
      </c>
      <c r="G14" s="14" t="n"/>
    </row>
    <row r="15">
      <c r="A15" s="15" t="inlineStr">
        <is>
          <t>Example: Application Server</t>
        </is>
      </c>
      <c r="B15" s="15" t="n">
        <v>1</v>
      </c>
      <c r="C15" s="15" t="n">
        <v>4</v>
      </c>
      <c r="D15" s="15" t="inlineStr"/>
      <c r="E15" s="19">
        <f>IF(ISNUMBER(B15),B15,"")</f>
        <v/>
      </c>
      <c r="F15" s="19">
        <f>IF(AND(ISNUMBER(C15),ISNUMBER(D15)),MIN(C15,D15),IF(ISNUMBER(C15),C15,IF(ISNUMBER(D15),D15,"")))</f>
        <v/>
      </c>
      <c r="G15" s="16" t="inlineStr">
        <is>
          <t>Enter tested recovery times and observations</t>
        </is>
      </c>
    </row>
    <row r="16">
      <c r="A16" s="17" t="n"/>
      <c r="B16" s="17" t="n"/>
      <c r="C16" s="17" t="n"/>
      <c r="D16" s="17" t="n"/>
      <c r="E16" s="19">
        <f>IF(ISNUMBER(B16),B16,"")</f>
        <v/>
      </c>
      <c r="F16" s="19">
        <f>IF(AND(ISNUMBER(C16),ISNUMBER(D16)),MIN(C16,D16),IF(ISNUMBER(C16),C16,IF(ISNUMBER(D16),D16,"")))</f>
        <v/>
      </c>
      <c r="G16" s="17" t="n"/>
    </row>
    <row r="17">
      <c r="A17" s="17" t="n"/>
      <c r="B17" s="17" t="n"/>
      <c r="C17" s="17" t="n"/>
      <c r="D17" s="17" t="n"/>
      <c r="E17" s="19">
        <f>IF(ISNUMBER(B17),B17,"")</f>
        <v/>
      </c>
      <c r="F17" s="19">
        <f>IF(AND(ISNUMBER(C17),ISNUMBER(D17)),MIN(C17,D17),IF(ISNUMBER(C17),C17,IF(ISNUMBER(D17),D17,"")))</f>
        <v/>
      </c>
      <c r="G17" s="17" t="n"/>
    </row>
    <row r="18">
      <c r="A18" s="17" t="n"/>
      <c r="B18" s="17" t="n"/>
      <c r="C18" s="17" t="n"/>
      <c r="D18" s="17" t="n"/>
      <c r="E18" s="19">
        <f>IF(ISNUMBER(B18),B18,"")</f>
        <v/>
      </c>
      <c r="F18" s="19">
        <f>IF(AND(ISNUMBER(C18),ISNUMBER(D18)),MIN(C18,D18),IF(ISNUMBER(C18),C18,IF(ISNUMBER(D18),D18,"")))</f>
        <v/>
      </c>
      <c r="G18" s="17" t="n"/>
    </row>
    <row r="19">
      <c r="A19" s="17" t="n"/>
      <c r="B19" s="17" t="n"/>
      <c r="C19" s="17" t="n"/>
      <c r="D19" s="17" t="n"/>
      <c r="E19" s="19">
        <f>IF(ISNUMBER(B19),B19,"")</f>
        <v/>
      </c>
      <c r="F19" s="19">
        <f>IF(AND(ISNUMBER(C19),ISNUMBER(D19)),MIN(C19,D19),IF(ISNUMBER(C19),C19,IF(ISNUMBER(D19),D19,"")))</f>
        <v/>
      </c>
      <c r="G19" s="17" t="n"/>
    </row>
    <row r="20">
      <c r="A20" s="17" t="n"/>
      <c r="B20" s="17" t="n"/>
      <c r="C20" s="17" t="n"/>
      <c r="D20" s="17" t="n"/>
      <c r="E20" s="19">
        <f>IF(ISNUMBER(B20),B20,"")</f>
        <v/>
      </c>
      <c r="F20" s="19">
        <f>IF(AND(ISNUMBER(C20),ISNUMBER(D20)),MIN(C20,D20),IF(ISNUMBER(C20),C20,IF(ISNUMBER(D20),D20,"")))</f>
        <v/>
      </c>
      <c r="G20" s="17" t="n"/>
    </row>
    <row r="21">
      <c r="A21" s="17" t="n"/>
      <c r="B21" s="17" t="n"/>
      <c r="C21" s="17" t="n"/>
      <c r="D21" s="17" t="n"/>
      <c r="E21" s="19">
        <f>IF(ISNUMBER(B21),B21,"")</f>
        <v/>
      </c>
      <c r="F21" s="19">
        <f>IF(AND(ISNUMBER(C21),ISNUMBER(D21)),MIN(C21,D21),IF(ISNUMBER(C21),C21,IF(ISNUMBER(D21),D21,"")))</f>
        <v/>
      </c>
      <c r="G21" s="17" t="n"/>
    </row>
    <row r="22">
      <c r="A22" s="17" t="n"/>
      <c r="B22" s="17" t="n"/>
      <c r="C22" s="17" t="n"/>
      <c r="D22" s="17" t="n"/>
      <c r="E22" s="19">
        <f>IF(ISNUMBER(B22),B22,"")</f>
        <v/>
      </c>
      <c r="F22" s="19">
        <f>IF(AND(ISNUMBER(C22),ISNUMBER(D22)),MIN(C22,D22),IF(ISNUMBER(C22),C22,IF(ISNUMBER(D22),D22,"")))</f>
        <v/>
      </c>
      <c r="G22" s="17" t="n"/>
    </row>
    <row r="23">
      <c r="A23" s="17" t="n"/>
      <c r="B23" s="17" t="n"/>
      <c r="C23" s="17" t="n"/>
      <c r="D23" s="17" t="n"/>
      <c r="E23" s="19">
        <f>IF(ISNUMBER(B23),B23,"")</f>
        <v/>
      </c>
      <c r="F23" s="19">
        <f>IF(AND(ISNUMBER(C23),ISNUMBER(D23)),MIN(C23,D23),IF(ISNUMBER(C23),C23,IF(ISNUMBER(D23),D23,"")))</f>
        <v/>
      </c>
      <c r="G23" s="17" t="n"/>
    </row>
    <row r="24">
      <c r="A24" s="17" t="n"/>
      <c r="B24" s="17" t="n"/>
      <c r="C24" s="17" t="n"/>
      <c r="D24" s="17" t="n"/>
      <c r="E24" s="19">
        <f>IF(ISNUMBER(B24),B24,"")</f>
        <v/>
      </c>
      <c r="F24" s="19">
        <f>IF(AND(ISNUMBER(C24),ISNUMBER(D24)),MIN(C24,D24),IF(ISNUMBER(C24),C24,IF(ISNUMBER(D24),D24,"")))</f>
        <v/>
      </c>
      <c r="G24" s="17" t="n"/>
    </row>
    <row r="25">
      <c r="A25" s="17" t="n"/>
      <c r="B25" s="17" t="n"/>
      <c r="C25" s="17" t="n"/>
      <c r="D25" s="17" t="n"/>
      <c r="E25" s="19">
        <f>IF(ISNUMBER(B25),B25,"")</f>
        <v/>
      </c>
      <c r="F25" s="19">
        <f>IF(AND(ISNUMBER(C25),ISNUMBER(D25)),MIN(C25,D25),IF(ISNUMBER(C25),C25,IF(ISNUMBER(D25),D25,"")))</f>
        <v/>
      </c>
      <c r="G25" s="17" t="n"/>
    </row>
    <row r="26">
      <c r="A26" s="17" t="n"/>
      <c r="B26" s="17" t="n"/>
      <c r="C26" s="17" t="n"/>
      <c r="D26" s="17" t="n"/>
      <c r="E26" s="19">
        <f>IF(ISNUMBER(B26),B26,"")</f>
        <v/>
      </c>
      <c r="F26" s="19">
        <f>IF(AND(ISNUMBER(C26),ISNUMBER(D26)),MIN(C26,D26),IF(ISNUMBER(C26),C26,IF(ISNUMBER(D26),D26,"")))</f>
        <v/>
      </c>
      <c r="G26" s="17" t="n"/>
    </row>
    <row r="27">
      <c r="A27" s="17" t="n"/>
      <c r="B27" s="17" t="n"/>
      <c r="C27" s="17" t="n"/>
      <c r="D27" s="17" t="n"/>
      <c r="E27" s="19">
        <f>IF(ISNUMBER(B27),B27,"")</f>
        <v/>
      </c>
      <c r="F27" s="19">
        <f>IF(AND(ISNUMBER(C27),ISNUMBER(D27)),MIN(C27,D27),IF(ISNUMBER(C27),C27,IF(ISNUMBER(D27),D27,"")))</f>
        <v/>
      </c>
      <c r="G27" s="17" t="n"/>
    </row>
    <row r="28">
      <c r="A28" s="17" t="n"/>
      <c r="B28" s="17" t="n"/>
      <c r="C28" s="17" t="n"/>
      <c r="D28" s="17" t="n"/>
      <c r="E28" s="19">
        <f>IF(ISNUMBER(B28),B28,"")</f>
        <v/>
      </c>
      <c r="F28" s="19">
        <f>IF(AND(ISNUMBER(C28),ISNUMBER(D28)),MIN(C28,D28),IF(ISNUMBER(C28),C28,IF(ISNUMBER(D28),D28,"")))</f>
        <v/>
      </c>
      <c r="G28" s="17" t="n"/>
    </row>
    <row r="29">
      <c r="A29" s="17" t="n"/>
      <c r="B29" s="17" t="n"/>
      <c r="C29" s="17" t="n"/>
      <c r="D29" s="17" t="n"/>
      <c r="E29" s="19">
        <f>IF(ISNUMBER(B29),B29,"")</f>
        <v/>
      </c>
      <c r="F29" s="19">
        <f>IF(AND(ISNUMBER(C29),ISNUMBER(D29)),MIN(C29,D29),IF(ISNUMBER(C29),C29,IF(ISNUMBER(D29),D29,"")))</f>
        <v/>
      </c>
      <c r="G29" s="17" t="n"/>
    </row>
    <row r="30">
      <c r="A30" s="17" t="n"/>
      <c r="B30" s="17" t="n"/>
      <c r="C30" s="17" t="n"/>
      <c r="D30" s="17" t="n"/>
      <c r="E30" s="19">
        <f>IF(ISNUMBER(B30),B30,"")</f>
        <v/>
      </c>
      <c r="F30" s="19">
        <f>IF(AND(ISNUMBER(C30),ISNUMBER(D30)),MIN(C30,D30),IF(ISNUMBER(C30),C30,IF(ISNUMBER(D30),D30,"")))</f>
        <v/>
      </c>
      <c r="G30" s="17" t="n"/>
    </row>
    <row r="31">
      <c r="A31" s="17" t="n"/>
      <c r="B31" s="17" t="n"/>
      <c r="C31" s="17" t="n"/>
      <c r="D31" s="17" t="n"/>
      <c r="E31" s="19">
        <f>IF(ISNUMBER(B31),B31,"")</f>
        <v/>
      </c>
      <c r="F31" s="19">
        <f>IF(AND(ISNUMBER(C31),ISNUMBER(D31)),MIN(C31,D31),IF(ISNUMBER(C31),C31,IF(ISNUMBER(D31),D31,"")))</f>
        <v/>
      </c>
      <c r="G31" s="17" t="n"/>
    </row>
    <row r="32">
      <c r="A32" s="17" t="n"/>
      <c r="B32" s="17" t="n"/>
      <c r="C32" s="17" t="n"/>
      <c r="D32" s="17" t="n"/>
      <c r="E32" s="19">
        <f>IF(ISNUMBER(B32),B32,"")</f>
        <v/>
      </c>
      <c r="F32" s="19">
        <f>IF(AND(ISNUMBER(C32),ISNUMBER(D32)),MIN(C32,D32),IF(ISNUMBER(C32),C32,IF(ISNUMBER(D32),D32,"")))</f>
        <v/>
      </c>
      <c r="G32" s="17" t="n"/>
    </row>
    <row r="33">
      <c r="A33" s="17" t="n"/>
      <c r="B33" s="17" t="n"/>
      <c r="C33" s="17" t="n"/>
      <c r="D33" s="17" t="n"/>
      <c r="E33" s="19">
        <f>IF(ISNUMBER(B33),B33,"")</f>
        <v/>
      </c>
      <c r="F33" s="19">
        <f>IF(AND(ISNUMBER(C33),ISNUMBER(D33)),MIN(C33,D33),IF(ISNUMBER(C33),C33,IF(ISNUMBER(D33),D33,"")))</f>
        <v/>
      </c>
      <c r="G33" s="17" t="n"/>
    </row>
    <row r="34">
      <c r="A34" s="17" t="n"/>
      <c r="B34" s="17" t="n"/>
      <c r="C34" s="17" t="n"/>
      <c r="D34" s="17" t="n"/>
      <c r="E34" s="19">
        <f>IF(ISNUMBER(B34),B34,"")</f>
        <v/>
      </c>
      <c r="F34" s="19">
        <f>IF(AND(ISNUMBER(C34),ISNUMBER(D34)),MIN(C34,D34),IF(ISNUMBER(C34),C34,IF(ISNUMBER(D34),D34,"")))</f>
        <v/>
      </c>
      <c r="G34" s="17" t="n"/>
    </row>
    <row r="35">
      <c r="A35" s="17" t="n"/>
      <c r="B35" s="17" t="n"/>
      <c r="C35" s="17" t="n"/>
      <c r="D35" s="17" t="n"/>
      <c r="E35" s="19">
        <f>IF(ISNUMBER(B35),B35,"")</f>
        <v/>
      </c>
      <c r="F35" s="19">
        <f>IF(AND(ISNUMBER(C35),ISNUMBER(D35)),MIN(C35,D35),IF(ISNUMBER(C35),C35,IF(ISNUMBER(D35),D35,"")))</f>
        <v/>
      </c>
      <c r="G35" s="17" t="n"/>
    </row>
    <row r="36">
      <c r="A36" s="17" t="n"/>
      <c r="B36" s="17" t="n"/>
      <c r="C36" s="17" t="n"/>
      <c r="D36" s="17" t="n"/>
      <c r="E36" s="19">
        <f>IF(ISNUMBER(B36),B36,"")</f>
        <v/>
      </c>
      <c r="F36" s="19">
        <f>IF(AND(ISNUMBER(C36),ISNUMBER(D36)),MIN(C36,D36),IF(ISNUMBER(C36),C36,IF(ISNUMBER(D36),D36,"")))</f>
        <v/>
      </c>
      <c r="G36" s="17" t="n"/>
    </row>
    <row r="37">
      <c r="A37" s="17" t="n"/>
      <c r="B37" s="17" t="n"/>
      <c r="C37" s="17" t="n"/>
      <c r="D37" s="17" t="n"/>
      <c r="E37" s="19">
        <f>IF(ISNUMBER(B37),B37,"")</f>
        <v/>
      </c>
      <c r="F37" s="19">
        <f>IF(AND(ISNUMBER(C37),ISNUMBER(D37)),MIN(C37,D37),IF(ISNUMBER(C37),C37,IF(ISNUMBER(D37),D37,"")))</f>
        <v/>
      </c>
      <c r="G37" s="17" t="n"/>
    </row>
    <row r="38">
      <c r="A38" s="17" t="n"/>
      <c r="B38" s="17" t="n"/>
      <c r="C38" s="17" t="n"/>
      <c r="D38" s="17" t="n"/>
      <c r="E38" s="19">
        <f>IF(ISNUMBER(B38),B38,"")</f>
        <v/>
      </c>
      <c r="F38" s="19">
        <f>IF(AND(ISNUMBER(C38),ISNUMBER(D38)),MIN(C38,D38),IF(ISNUMBER(C38),C38,IF(ISNUMBER(D38),D38,"")))</f>
        <v/>
      </c>
      <c r="G38" s="17" t="n"/>
    </row>
    <row r="39">
      <c r="A39" s="17" t="n"/>
      <c r="B39" s="17" t="n"/>
      <c r="C39" s="17" t="n"/>
      <c r="D39" s="17" t="n"/>
      <c r="E39" s="19">
        <f>IF(ISNUMBER(B39),B39,"")</f>
        <v/>
      </c>
      <c r="F39" s="19">
        <f>IF(AND(ISNUMBER(C39),ISNUMBER(D39)),MIN(C39,D39),IF(ISNUMBER(C39),C39,IF(ISNUMBER(D39),D39,"")))</f>
        <v/>
      </c>
      <c r="G39" s="17" t="n"/>
    </row>
    <row r="40">
      <c r="A40" s="17" t="n"/>
      <c r="B40" s="17" t="n"/>
      <c r="C40" s="17" t="n"/>
      <c r="D40" s="17" t="n"/>
      <c r="E40" s="19">
        <f>IF(ISNUMBER(B40),B40,"")</f>
        <v/>
      </c>
      <c r="F40" s="19">
        <f>IF(AND(ISNUMBER(C40),ISNUMBER(D40)),MIN(C40,D40),IF(ISNUMBER(C40),C40,IF(ISNUMBER(D40),D40,"")))</f>
        <v/>
      </c>
      <c r="G40" s="17" t="n"/>
    </row>
    <row r="41">
      <c r="A41" s="17" t="n"/>
      <c r="B41" s="17" t="n"/>
      <c r="C41" s="17" t="n"/>
      <c r="D41" s="17" t="n"/>
      <c r="E41" s="19">
        <f>IF(ISNUMBER(B41),B41,"")</f>
        <v/>
      </c>
      <c r="F41" s="19">
        <f>IF(AND(ISNUMBER(C41),ISNUMBER(D41)),MIN(C41,D41),IF(ISNUMBER(C41),C41,IF(ISNUMBER(D41),D41,"")))</f>
        <v/>
      </c>
      <c r="G41" s="17" t="n"/>
    </row>
    <row r="42">
      <c r="A42" s="17" t="n"/>
      <c r="B42" s="17" t="n"/>
      <c r="C42" s="17" t="n"/>
      <c r="D42" s="17" t="n"/>
      <c r="E42" s="19">
        <f>IF(ISNUMBER(B42),B42,"")</f>
        <v/>
      </c>
      <c r="F42" s="19">
        <f>IF(AND(ISNUMBER(C42),ISNUMBER(D42)),MIN(C42,D42),IF(ISNUMBER(C42),C42,IF(ISNUMBER(D42),D42,"")))</f>
        <v/>
      </c>
      <c r="G42" s="17" t="n"/>
    </row>
    <row r="43">
      <c r="A43" s="17" t="n"/>
      <c r="B43" s="17" t="n"/>
      <c r="C43" s="17" t="n"/>
      <c r="D43" s="17" t="n"/>
      <c r="E43" s="19">
        <f>IF(ISNUMBER(B43),B43,"")</f>
        <v/>
      </c>
      <c r="F43" s="19">
        <f>IF(AND(ISNUMBER(C43),ISNUMBER(D43)),MIN(C43,D43),IF(ISNUMBER(C43),C43,IF(ISNUMBER(D43),D43,"")))</f>
        <v/>
      </c>
      <c r="G43" s="17" t="n"/>
    </row>
    <row r="44">
      <c r="A44" s="17" t="n"/>
      <c r="B44" s="17" t="n"/>
      <c r="C44" s="17" t="n"/>
      <c r="D44" s="17" t="n"/>
      <c r="E44" s="19">
        <f>IF(ISNUMBER(B44),B44,"")</f>
        <v/>
      </c>
      <c r="F44" s="19">
        <f>IF(AND(ISNUMBER(C44),ISNUMBER(D44)),MIN(C44,D44),IF(ISNUMBER(C44),C44,IF(ISNUMBER(D44),D44,"")))</f>
        <v/>
      </c>
      <c r="G44" s="17" t="n"/>
    </row>
    <row r="45">
      <c r="A45" s="17" t="n"/>
      <c r="B45" s="17" t="n"/>
      <c r="C45" s="17" t="n"/>
      <c r="D45" s="17" t="n"/>
      <c r="E45" s="19">
        <f>IF(ISNUMBER(B45),B45,"")</f>
        <v/>
      </c>
      <c r="F45" s="19">
        <f>IF(AND(ISNUMBER(C45),ISNUMBER(D45)),MIN(C45,D45),IF(ISNUMBER(C45),C45,IF(ISNUMBER(D45),D45,"")))</f>
        <v/>
      </c>
      <c r="G45" s="17" t="n"/>
    </row>
    <row r="46">
      <c r="A46" s="17" t="n"/>
      <c r="B46" s="17" t="n"/>
      <c r="C46" s="17" t="n"/>
      <c r="D46" s="17" t="n"/>
      <c r="E46" s="19">
        <f>IF(ISNUMBER(B46),B46,"")</f>
        <v/>
      </c>
      <c r="F46" s="19">
        <f>IF(AND(ISNUMBER(C46),ISNUMBER(D46)),MIN(C46,D46),IF(ISNUMBER(C46),C46,IF(ISNUMBER(D46),D46,"")))</f>
        <v/>
      </c>
      <c r="G46" s="17" t="n"/>
    </row>
    <row r="47">
      <c r="A47" s="17" t="n"/>
      <c r="B47" s="17" t="n"/>
      <c r="C47" s="17" t="n"/>
      <c r="D47" s="17" t="n"/>
      <c r="E47" s="19">
        <f>IF(ISNUMBER(B47),B47,"")</f>
        <v/>
      </c>
      <c r="F47" s="19">
        <f>IF(AND(ISNUMBER(C47),ISNUMBER(D47)),MIN(C47,D47),IF(ISNUMBER(C47),C47,IF(ISNUMBER(D47),D47,"")))</f>
        <v/>
      </c>
      <c r="G47" s="17" t="n"/>
    </row>
    <row r="48">
      <c r="A48" s="17" t="n"/>
      <c r="B48" s="17" t="n"/>
      <c r="C48" s="17" t="n"/>
      <c r="D48" s="17" t="n"/>
      <c r="E48" s="19">
        <f>IF(ISNUMBER(B48),B48,"")</f>
        <v/>
      </c>
      <c r="F48" s="19">
        <f>IF(AND(ISNUMBER(C48),ISNUMBER(D48)),MIN(C48,D48),IF(ISNUMBER(C48),C48,IF(ISNUMBER(D48),D48,"")))</f>
        <v/>
      </c>
      <c r="G48" s="17" t="n"/>
    </row>
    <row r="49">
      <c r="A49" s="17" t="n"/>
      <c r="B49" s="17" t="n"/>
      <c r="C49" s="17" t="n"/>
      <c r="D49" s="17" t="n"/>
      <c r="E49" s="19">
        <f>IF(ISNUMBER(B49),B49,"")</f>
        <v/>
      </c>
      <c r="F49" s="19">
        <f>IF(AND(ISNUMBER(C49),ISNUMBER(D49)),MIN(C49,D49),IF(ISNUMBER(C49),C49,IF(ISNUMBER(D49),D49,"")))</f>
        <v/>
      </c>
      <c r="G49" s="17" t="n"/>
    </row>
    <row r="50">
      <c r="A50" s="17" t="n"/>
      <c r="B50" s="17" t="n"/>
      <c r="C50" s="17" t="n"/>
      <c r="D50" s="17" t="n"/>
      <c r="E50" s="19">
        <f>IF(ISNUMBER(B50),B50,"")</f>
        <v/>
      </c>
      <c r="F50" s="19">
        <f>IF(AND(ISNUMBER(C50),ISNUMBER(D50)),MIN(C50,D50),IF(ISNUMBER(C50),C50,IF(ISNUMBER(D50),D50,"")))</f>
        <v/>
      </c>
      <c r="G50" s="17" t="n"/>
    </row>
    <row r="51">
      <c r="A51" s="17" t="n"/>
      <c r="B51" s="17" t="n"/>
      <c r="C51" s="17" t="n"/>
      <c r="D51" s="17" t="n"/>
      <c r="E51" s="19">
        <f>IF(ISNUMBER(B51),B51,"")</f>
        <v/>
      </c>
      <c r="F51" s="19">
        <f>IF(AND(ISNUMBER(C51),ISNUMBER(D51)),MIN(C51,D51),IF(ISNUMBER(C51),C51,IF(ISNUMBER(D51),D51,"")))</f>
        <v/>
      </c>
      <c r="G51" s="17" t="n"/>
    </row>
    <row r="52">
      <c r="A52" s="17" t="n"/>
      <c r="B52" s="17" t="n"/>
      <c r="C52" s="17" t="n"/>
      <c r="D52" s="17" t="n"/>
      <c r="E52" s="19">
        <f>IF(ISNUMBER(B52),B52,"")</f>
        <v/>
      </c>
      <c r="F52" s="19">
        <f>IF(AND(ISNUMBER(C52),ISNUMBER(D52)),MIN(C52,D52),IF(ISNUMBER(C52),C52,IF(ISNUMBER(D52),D52,"")))</f>
        <v/>
      </c>
      <c r="G52" s="17" t="n"/>
    </row>
    <row r="53">
      <c r="A53" s="17" t="n"/>
      <c r="B53" s="17" t="n"/>
      <c r="C53" s="17" t="n"/>
      <c r="D53" s="17" t="n"/>
      <c r="E53" s="19">
        <f>IF(ISNUMBER(B53),B53,"")</f>
        <v/>
      </c>
      <c r="F53" s="19">
        <f>IF(AND(ISNUMBER(C53),ISNUMBER(D53)),MIN(C53,D53),IF(ISNUMBER(C53),C53,IF(ISNUMBER(D53),D53,"")))</f>
        <v/>
      </c>
      <c r="G53" s="17" t="n"/>
    </row>
    <row r="54">
      <c r="A54" s="17" t="n"/>
      <c r="B54" s="17" t="n"/>
      <c r="C54" s="17" t="n"/>
      <c r="D54" s="17" t="n"/>
      <c r="E54" s="19">
        <f>IF(ISNUMBER(B54),B54,"")</f>
        <v/>
      </c>
      <c r="F54" s="19">
        <f>IF(AND(ISNUMBER(C54),ISNUMBER(D54)),MIN(C54,D54),IF(ISNUMBER(C54),C54,IF(ISNUMBER(D54),D54,"")))</f>
        <v/>
      </c>
      <c r="G54" s="17" t="n"/>
    </row>
    <row r="55">
      <c r="A55" s="17" t="n"/>
      <c r="B55" s="17" t="n"/>
      <c r="C55" s="17" t="n"/>
      <c r="D55" s="17" t="n"/>
      <c r="E55" s="19">
        <f>IF(ISNUMBER(B55),B55,"")</f>
        <v/>
      </c>
      <c r="F55" s="19">
        <f>IF(AND(ISNUMBER(C55),ISNUMBER(D55)),MIN(C55,D55),IF(ISNUMBER(C55),C55,IF(ISNUMBER(D55),D55,"")))</f>
        <v/>
      </c>
      <c r="G55" s="17" t="n"/>
    </row>
    <row r="56">
      <c r="A56" s="17" t="n"/>
      <c r="B56" s="17" t="n"/>
      <c r="C56" s="17" t="n"/>
      <c r="D56" s="17" t="n"/>
      <c r="E56" s="19">
        <f>IF(ISNUMBER(B56),B56,"")</f>
        <v/>
      </c>
      <c r="F56" s="19">
        <f>IF(AND(ISNUMBER(C56),ISNUMBER(D56)),MIN(C56,D56),IF(ISNUMBER(C56),C56,IF(ISNUMBER(D56),D56,"")))</f>
        <v/>
      </c>
      <c r="G56" s="17" t="n"/>
    </row>
    <row r="57">
      <c r="A57" s="17" t="n"/>
      <c r="B57" s="17" t="n"/>
      <c r="C57" s="17" t="n"/>
      <c r="D57" s="17" t="n"/>
      <c r="E57" s="19">
        <f>IF(ISNUMBER(B57),B57,"")</f>
        <v/>
      </c>
      <c r="F57" s="19">
        <f>IF(AND(ISNUMBER(C57),ISNUMBER(D57)),MIN(C57,D57),IF(ISNUMBER(C57),C57,IF(ISNUMBER(D57),D57,"")))</f>
        <v/>
      </c>
      <c r="G57" s="17" t="n"/>
    </row>
    <row r="58">
      <c r="A58" s="17" t="n"/>
      <c r="B58" s="17" t="n"/>
      <c r="C58" s="17" t="n"/>
      <c r="D58" s="17" t="n"/>
      <c r="E58" s="19">
        <f>IF(ISNUMBER(B58),B58,"")</f>
        <v/>
      </c>
      <c r="F58" s="19">
        <f>IF(AND(ISNUMBER(C58),ISNUMBER(D58)),MIN(C58,D58),IF(ISNUMBER(C58),C58,IF(ISNUMBER(D58),D58,"")))</f>
        <v/>
      </c>
      <c r="G58" s="17" t="n"/>
    </row>
    <row r="59">
      <c r="A59" s="17" t="n"/>
      <c r="B59" s="17" t="n"/>
      <c r="C59" s="17" t="n"/>
      <c r="D59" s="17" t="n"/>
      <c r="E59" s="19">
        <f>IF(ISNUMBER(B59),B59,"")</f>
        <v/>
      </c>
      <c r="F59" s="19">
        <f>IF(AND(ISNUMBER(C59),ISNUMBER(D59)),MIN(C59,D59),IF(ISNUMBER(C59),C59,IF(ISNUMBER(D59),D59,"")))</f>
        <v/>
      </c>
      <c r="G59" s="17" t="n"/>
    </row>
    <row r="60">
      <c r="A60" s="17" t="n"/>
      <c r="B60" s="17" t="n"/>
      <c r="C60" s="17" t="n"/>
      <c r="D60" s="17" t="n"/>
      <c r="E60" s="19">
        <f>IF(ISNUMBER(B60),B60,"")</f>
        <v/>
      </c>
      <c r="F60" s="19">
        <f>IF(AND(ISNUMBER(C60),ISNUMBER(D60)),MIN(C60,D60),IF(ISNUMBER(C60),C60,IF(ISNUMBER(D60),D60,"")))</f>
        <v/>
      </c>
      <c r="G60" s="17" t="n"/>
    </row>
    <row r="61">
      <c r="A61" s="17" t="n"/>
      <c r="B61" s="17" t="n"/>
      <c r="C61" s="17" t="n"/>
      <c r="D61" s="17" t="n"/>
      <c r="E61" s="19">
        <f>IF(ISNUMBER(B61),B61,"")</f>
        <v/>
      </c>
      <c r="F61" s="19">
        <f>IF(AND(ISNUMBER(C61),ISNUMBER(D61)),MIN(C61,D61),IF(ISNUMBER(C61),C61,IF(ISNUMBER(D61),D61,"")))</f>
        <v/>
      </c>
      <c r="G61" s="17" t="n"/>
    </row>
    <row r="62">
      <c r="A62" s="17" t="n"/>
      <c r="B62" s="17" t="n"/>
      <c r="C62" s="17" t="n"/>
      <c r="D62" s="17" t="n"/>
      <c r="E62" s="19">
        <f>IF(ISNUMBER(B62),B62,"")</f>
        <v/>
      </c>
      <c r="F62" s="19">
        <f>IF(AND(ISNUMBER(C62),ISNUMBER(D62)),MIN(C62,D62),IF(ISNUMBER(C62),C62,IF(ISNUMBER(D62),D62,"")))</f>
        <v/>
      </c>
      <c r="G62" s="17" t="n"/>
    </row>
    <row r="63">
      <c r="A63" s="17" t="n"/>
      <c r="B63" s="17" t="n"/>
      <c r="C63" s="17" t="n"/>
      <c r="D63" s="17" t="n"/>
      <c r="E63" s="19">
        <f>IF(ISNUMBER(B63),B63,"")</f>
        <v/>
      </c>
      <c r="F63" s="19">
        <f>IF(AND(ISNUMBER(C63),ISNUMBER(D63)),MIN(C63,D63),IF(ISNUMBER(C63),C63,IF(ISNUMBER(D63),D63,"")))</f>
        <v/>
      </c>
      <c r="G63" s="17" t="n"/>
    </row>
    <row r="64">
      <c r="A64" s="17" t="n"/>
      <c r="B64" s="17" t="n"/>
      <c r="C64" s="17" t="n"/>
      <c r="D64" s="17" t="n"/>
      <c r="E64" s="19">
        <f>IF(ISNUMBER(B64),B64,"")</f>
        <v/>
      </c>
      <c r="F64" s="19">
        <f>IF(AND(ISNUMBER(C64),ISNUMBER(D64)),MIN(C64,D64),IF(ISNUMBER(C64),C64,IF(ISNUMBER(D64),D64,"")))</f>
        <v/>
      </c>
      <c r="G64" s="17" t="n"/>
    </row>
    <row r="65">
      <c r="A65" s="17" t="n"/>
      <c r="B65" s="17" t="n"/>
      <c r="C65" s="17" t="n"/>
      <c r="D65" s="17" t="n"/>
      <c r="E65" s="19">
        <f>IF(ISNUMBER(B65),B65,"")</f>
        <v/>
      </c>
      <c r="F65" s="19">
        <f>IF(AND(ISNUMBER(C65),ISNUMBER(D65)),MIN(C65,D65),IF(ISNUMBER(C65),C65,IF(ISNUMBER(D65),D65,"")))</f>
        <v/>
      </c>
      <c r="G65" s="17" t="n"/>
    </row>
    <row r="67">
      <c r="A67" s="20" t="inlineStr">
        <is>
          <t>DATA SOURCE: Testing Results - CRITICAL: Capabilities must be TESTED, not assumed. Untested = Unknown compliance.</t>
        </is>
      </c>
    </row>
    <row r="68">
      <c r="A68" s="18" t="inlineStr">
        <is>
          <t>RPO Capability = Backup Frequency | RTO Capability = MIN(Restore Time, Failover Time) - formulas auto-calculate</t>
        </is>
      </c>
    </row>
  </sheetData>
  <mergeCells count="4">
    <mergeCell ref="A67:G67"/>
    <mergeCell ref="A68:G68"/>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8" customWidth="1" min="3" max="3"/>
    <col width="18" customWidth="1" min="4" max="4"/>
    <col width="22" customWidth="1" min="5" max="5"/>
    <col width="15" customWidth="1" min="6" max="6"/>
    <col width="25" customWidth="1" min="7" max="7"/>
    <col width="30" customWidth="1" min="8" max="8"/>
  </cols>
  <sheetData>
    <row r="1" ht="35" customHeight="1">
      <c r="A1" s="11" t="inlineStr">
        <is>
          <t>RPO/RTO COMPLIANCE MATRIX</t>
        </is>
      </c>
    </row>
    <row r="2">
      <c r="A2" s="12" t="inlineStr">
        <is>
          <t>Automatic comparison: Business Requirements (System Inventory) vs Technical Capabilities (Capability Assessment)</t>
        </is>
      </c>
    </row>
    <row r="4">
      <c r="A4" s="13" t="inlineStr">
        <is>
          <t>System Name</t>
        </is>
      </c>
      <c r="B4" s="13" t="inlineStr">
        <is>
          <t>Criticality</t>
        </is>
      </c>
      <c r="C4" s="13" t="inlineStr">
        <is>
          <t>RPO: Req vs Cap</t>
        </is>
      </c>
      <c r="D4" s="13" t="inlineStr">
        <is>
          <t>RTO: Req vs Cap</t>
        </is>
      </c>
      <c r="E4" s="13" t="inlineStr">
        <is>
          <t>Overall Compliance</t>
        </is>
      </c>
      <c r="F4" s="13" t="inlineStr">
        <is>
          <t>Priority</t>
        </is>
      </c>
      <c r="G4" s="13" t="inlineStr">
        <is>
          <t>Gap Summary</t>
        </is>
      </c>
      <c r="H4" s="13" t="inlineStr">
        <is>
          <t>Next Action Required</t>
        </is>
      </c>
    </row>
    <row r="5">
      <c r="A5" s="14">
        <f>'System Inventory'!A5</f>
        <v/>
      </c>
      <c r="B5" s="14">
        <f>'System Inventory'!C5</f>
        <v/>
      </c>
      <c r="C5" s="14">
        <f>IF(A5="","",IF(OR('System Inventory'!E5="",'Capability Assessment'!E5=""),"❓ Unknown",IF('Capability Assessment'!E5&lt;='System Inventory'!E5,"✅ Compliant","❌ Non-Compliant")))</f>
        <v/>
      </c>
      <c r="D5" s="14">
        <f>IF(A5="","",IF(OR('System Inventory'!F5="",'Capability Assessment'!F5=""),"❓ Unknown",IF('Capability Assessment'!F5&lt;='System Inventory'!F5,"✅ Compliant","❌ Non-Compliant")))</f>
        <v/>
      </c>
      <c r="E5" s="14">
        <f>IF(A5="","",IF(OR(C5="❓ Unknown",D5="❓ Unknown"),"❓ Unknown",IF(AND(C5="✅ Compliant",D5="✅ Compliant"),"✅ Full Compliance",IF(OR(C5="✅ Compliant",D5="✅ Compliant"),"⚠ Partial Compliance","❌ Non-Compliant"))))</f>
        <v/>
      </c>
      <c r="F5" s="14">
        <f>IF(A5="","",IF(AND(B5="Tier 1 - Critical",E5="❌ Non-Compliant"),"[!] Critical",IF(B5="Tier 1 - Critical","[~] High",IF(E5="❌ Non-Compliant","[~] High",IF(E5="⚠ Partial Compliance","[.] Medium","[ ] Low")))))</f>
        <v/>
      </c>
      <c r="G5" s="21">
        <f>IF(A5="","",IF(C5="❌ Non-Compliant",IF(D5="❌ Non-Compliant","Both RPO &amp; RTO gaps","RPO gap only"),IF(D5="❌ Non-Compliant","RTO gap only",IF(E5="❓ Unknown","Testing required","No gaps"))))</f>
        <v/>
      </c>
      <c r="H5" s="21" t="inlineStr">
        <is>
          <t>Monitor continuously, maintain current state</t>
        </is>
      </c>
    </row>
    <row r="6">
      <c r="A6" s="14">
        <f>'System Inventory'!A6</f>
        <v/>
      </c>
      <c r="B6" s="14">
        <f>'System Inventory'!C6</f>
        <v/>
      </c>
      <c r="C6" s="14">
        <f>IF(A6="","",IF(OR('System Inventory'!E6="",'Capability Assessment'!E6=""),"❓ Unknown",IF('Capability Assessment'!E6&lt;='System Inventory'!E6,"✅ Compliant","❌ Non-Compliant")))</f>
        <v/>
      </c>
      <c r="D6" s="14">
        <f>IF(A6="","",IF(OR('System Inventory'!F6="",'Capability Assessment'!F6=""),"❓ Unknown",IF('Capability Assessment'!F6&lt;='System Inventory'!F6,"✅ Compliant","❌ Non-Compliant")))</f>
        <v/>
      </c>
      <c r="E6" s="14">
        <f>IF(A6="","",IF(OR(C6="❓ Unknown",D6="❓ Unknown"),"❓ Unknown",IF(AND(C6="✅ Compliant",D6="✅ Compliant"),"✅ Full Compliance",IF(OR(C6="✅ Compliant",D6="✅ Compliant"),"⚠ Partial Compliance","❌ Non-Compliant"))))</f>
        <v/>
      </c>
      <c r="F6" s="14">
        <f>IF(A6="","",IF(AND(B6="Tier 1 - Critical",E6="❌ Non-Compliant"),"[!] Critical",IF(B6="Tier 1 - Critical","[~] High",IF(E6="❌ Non-Compliant","[~] High",IF(E6="⚠ Partial Compliance","[.] Medium","[ ] Low")))))</f>
        <v/>
      </c>
      <c r="G6" s="21">
        <f>IF(A6="","",IF(C6="❌ Non-Compliant",IF(D6="❌ Non-Compliant","Both RPO &amp; RTO gaps","RPO gap only"),IF(D6="❌ Non-Compliant","RTO gap only",IF(E6="❓ Unknown","Testing required","No gaps"))))</f>
        <v/>
      </c>
      <c r="H6" s="21" t="inlineStr">
        <is>
          <t>Monitor continuously, critical system</t>
        </is>
      </c>
    </row>
    <row r="7">
      <c r="A7" s="14">
        <f>'System Inventory'!A7</f>
        <v/>
      </c>
      <c r="B7" s="14">
        <f>'System Inventory'!C7</f>
        <v/>
      </c>
      <c r="C7" s="14">
        <f>IF(A7="","",IF(OR('System Inventory'!E7="",'Capability Assessment'!E7=""),"❓ Unknown",IF('Capability Assessment'!E7&lt;='System Inventory'!E7,"✅ Compliant","❌ Non-Compliant")))</f>
        <v/>
      </c>
      <c r="D7" s="14">
        <f>IF(A7="","",IF(OR('System Inventory'!F7="",'Capability Assessment'!F7=""),"❓ Unknown",IF('Capability Assessment'!F7&lt;='System Inventory'!F7,"✅ Compliant","❌ Non-Compliant")))</f>
        <v/>
      </c>
      <c r="E7" s="14">
        <f>IF(A7="","",IF(OR(C7="❓ Unknown",D7="❓ Unknown"),"❓ Unknown",IF(AND(C7="✅ Compliant",D7="✅ Compliant"),"✅ Full Compliance",IF(OR(C7="✅ Compliant",D7="✅ Compliant"),"⚠ Partial Compliance","❌ Non-Compliant"))))</f>
        <v/>
      </c>
      <c r="F7" s="14">
        <f>IF(A7="","",IF(AND(B7="Tier 1 - Critical",E7="❌ Non-Compliant"),"[!] Critical",IF(B7="Tier 1 - Critical","[~] High",IF(E7="❌ Non-Compliant","[~] High",IF(E7="⚠ Partial Compliance","[.] Medium","[ ] Low")))))</f>
        <v/>
      </c>
      <c r="G7" s="21">
        <f>IF(A7="","",IF(C7="❌ Non-Compliant",IF(D7="❌ Non-Compliant","Both RPO &amp; RTO gaps","RPO gap only"),IF(D7="❌ Non-Compliant","RTO gap only",IF(E7="❓ Unknown","Testing required","No gaps"))))</f>
        <v/>
      </c>
      <c r="H7" s="21" t="inlineStr">
        <is>
          <t>Consider more frequent backups (currently 4hr, need 4hr RTO)</t>
        </is>
      </c>
    </row>
    <row r="8">
      <c r="A8" s="14">
        <f>'System Inventory'!A8</f>
        <v/>
      </c>
      <c r="B8" s="14">
        <f>'System Inventory'!C8</f>
        <v/>
      </c>
      <c r="C8" s="14">
        <f>IF(A8="","",IF(OR('System Inventory'!E8="",'Capability Assessment'!E8=""),"❓ Unknown",IF('Capability Assessment'!E8&lt;='System Inventory'!E8,"✅ Compliant","❌ Non-Compliant")))</f>
        <v/>
      </c>
      <c r="D8" s="14">
        <f>IF(A8="","",IF(OR('System Inventory'!F8="",'Capability Assessment'!F8=""),"❓ Unknown",IF('Capability Assessment'!F8&lt;='System Inventory'!F8,"✅ Compliant","❌ Non-Compliant")))</f>
        <v/>
      </c>
      <c r="E8" s="14">
        <f>IF(A8="","",IF(OR(C8="❓ Unknown",D8="❓ Unknown"),"❓ Unknown",IF(AND(C8="✅ Compliant",D8="✅ Compliant"),"✅ Full Compliance",IF(OR(C8="✅ Compliant",D8="✅ Compliant"),"⚠ Partial Compliance","❌ Non-Compliant"))))</f>
        <v/>
      </c>
      <c r="F8" s="14">
        <f>IF(A8="","",IF(AND(B8="Tier 1 - Critical",E8="❌ Non-Compliant"),"[!] Critical",IF(B8="Tier 1 - Critical","[~] High",IF(E8="❌ Non-Compliant","[~] High",IF(E8="⚠ Partial Compliance","[.] Medium","[ ] Low")))))</f>
        <v/>
      </c>
      <c r="G8" s="21">
        <f>IF(A8="","",IF(C8="❌ Non-Compliant",IF(D8="❌ Non-Compliant","Both RPO &amp; RTO gaps","RPO gap only"),IF(D8="❌ Non-Compliant","RTO gap only",IF(E8="❓ Unknown","Testing required","No gaps"))))</f>
        <v/>
      </c>
      <c r="H8" s="21" t="inlineStr">
        <is>
          <t>Implement hot standby for faster recovery</t>
        </is>
      </c>
    </row>
    <row r="9">
      <c r="A9" s="14">
        <f>'System Inventory'!A9</f>
        <v/>
      </c>
      <c r="B9" s="14">
        <f>'System Inventory'!C9</f>
        <v/>
      </c>
      <c r="C9" s="14">
        <f>IF(A9="","",IF(OR('System Inventory'!E9="",'Capability Assessment'!E9=""),"❓ Unknown",IF('Capability Assessment'!E9&lt;='System Inventory'!E9,"✅ Compliant","❌ Non-Compliant")))</f>
        <v/>
      </c>
      <c r="D9" s="14">
        <f>IF(A9="","",IF(OR('System Inventory'!F9="",'Capability Assessment'!F9=""),"❓ Unknown",IF('Capability Assessment'!F9&lt;='System Inventory'!F9,"✅ Compliant","❌ Non-Compliant")))</f>
        <v/>
      </c>
      <c r="E9" s="14">
        <f>IF(A9="","",IF(OR(C9="❓ Unknown",D9="❓ Unknown"),"❓ Unknown",IF(AND(C9="✅ Compliant",D9="✅ Compliant"),"✅ Full Compliance",IF(OR(C9="✅ Compliant",D9="✅ Compliant"),"⚠ Partial Compliance","❌ Non-Compliant"))))</f>
        <v/>
      </c>
      <c r="F9" s="14">
        <f>IF(A9="","",IF(AND(B9="Tier 1 - Critical",E9="❌ Non-Compliant"),"[!] Critical",IF(B9="Tier 1 - Critical","[~] High",IF(E9="❌ Non-Compliant","[~] High",IF(E9="⚠ Partial Compliance","[.] Medium","[ ] Low")))))</f>
        <v/>
      </c>
      <c r="G9" s="21">
        <f>IF(A9="","",IF(C9="❌ Non-Compliant",IF(D9="❌ Non-Compliant","Both RPO &amp; RTO gaps","RPO gap only"),IF(D9="❌ Non-Compliant","RTO gap only",IF(E9="❓ Unknown","Testing required","No gaps"))))</f>
        <v/>
      </c>
      <c r="H9" s="21" t="inlineStr">
        <is>
          <t>Acceptable compliance, monitor quarterly</t>
        </is>
      </c>
    </row>
    <row r="10">
      <c r="A10" s="14">
        <f>'System Inventory'!A10</f>
        <v/>
      </c>
      <c r="B10" s="14">
        <f>'System Inventory'!C10</f>
        <v/>
      </c>
      <c r="C10" s="14">
        <f>IF(A10="","",IF(OR('System Inventory'!E10="",'Capability Assessment'!E10=""),"❓ Unknown",IF('Capability Assessment'!E10&lt;='System Inventory'!E10,"✅ Compliant","❌ Non-Compliant")))</f>
        <v/>
      </c>
      <c r="D10" s="14">
        <f>IF(A10="","",IF(OR('System Inventory'!F10="",'Capability Assessment'!F10=""),"❓ Unknown",IF('Capability Assessment'!F10&lt;='System Inventory'!F10,"✅ Compliant","❌ Non-Compliant")))</f>
        <v/>
      </c>
      <c r="E10" s="14">
        <f>IF(A10="","",IF(OR(C10="❓ Unknown",D10="❓ Unknown"),"❓ Unknown",IF(AND(C10="✅ Compliant",D10="✅ Compliant"),"✅ Full Compliance",IF(OR(C10="✅ Compliant",D10="✅ Compliant"),"⚠ Partial Compliance","❌ Non-Compliant"))))</f>
        <v/>
      </c>
      <c r="F10" s="14">
        <f>IF(A10="","",IF(AND(B10="Tier 1 - Critical",E10="❌ Non-Compliant"),"[!] Critical",IF(B10="Tier 1 - Critical","[~] High",IF(E10="❌ Non-Compliant","[~] High",IF(E10="⚠ Partial Compliance","[.] Medium","[ ] Low")))))</f>
        <v/>
      </c>
      <c r="G10" s="21">
        <f>IF(A10="","",IF(C10="❌ Non-Compliant",IF(D10="❌ Non-Compliant","Both RPO &amp; RTO gaps","RPO gap only"),IF(D10="❌ Non-Compliant","RTO gap only",IF(E10="❓ Unknown","Testing required","No gaps"))))</f>
        <v/>
      </c>
      <c r="H10" s="21" t="inlineStr">
        <is>
          <t>Acceptable compliance, monitor quarterly</t>
        </is>
      </c>
    </row>
    <row r="11">
      <c r="A11" s="14">
        <f>'System Inventory'!A11</f>
        <v/>
      </c>
      <c r="B11" s="14">
        <f>'System Inventory'!C11</f>
        <v/>
      </c>
      <c r="C11" s="14">
        <f>IF(A11="","",IF(OR('System Inventory'!E11="",'Capability Assessment'!E11=""),"❓ Unknown",IF('Capability Assessment'!E11&lt;='System Inventory'!E11,"✅ Compliant","❌ Non-Compliant")))</f>
        <v/>
      </c>
      <c r="D11" s="14">
        <f>IF(A11="","",IF(OR('System Inventory'!F11="",'Capability Assessment'!F11=""),"❓ Unknown",IF('Capability Assessment'!F11&lt;='System Inventory'!F11,"✅ Compliant","❌ Non-Compliant")))</f>
        <v/>
      </c>
      <c r="E11" s="14">
        <f>IF(A11="","",IF(OR(C11="❓ Unknown",D11="❓ Unknown"),"❓ Unknown",IF(AND(C11="✅ Compliant",D11="✅ Compliant"),"✅ Full Compliance",IF(OR(C11="✅ Compliant",D11="✅ Compliant"),"⚠ Partial Compliance","❌ Non-Compliant"))))</f>
        <v/>
      </c>
      <c r="F11" s="14">
        <f>IF(A11="","",IF(AND(B11="Tier 1 - Critical",E11="❌ Non-Compliant"),"[!] Critical",IF(B11="Tier 1 - Critical","[~] High",IF(E11="❌ Non-Compliant","[~] High",IF(E11="⚠ Partial Compliance","[.] Medium","[ ] Low")))))</f>
        <v/>
      </c>
      <c r="G11" s="21">
        <f>IF(A11="","",IF(C11="❌ Non-Compliant",IF(D11="❌ Non-Compliant","Both RPO &amp; RTO gaps","RPO gap only"),IF(D11="❌ Non-Compliant","RTO gap only",IF(E11="❓ Unknown","Testing required","No gaps"))))</f>
        <v/>
      </c>
      <c r="H11" s="21" t="inlineStr">
        <is>
          <t>Acceptable for Tier 3, no action required</t>
        </is>
      </c>
    </row>
    <row r="12">
      <c r="A12" s="14">
        <f>'System Inventory'!A12</f>
        <v/>
      </c>
      <c r="B12" s="14">
        <f>'System Inventory'!C12</f>
        <v/>
      </c>
      <c r="C12" s="14">
        <f>IF(A12="","",IF(OR('System Inventory'!E12="",'Capability Assessment'!E12=""),"❓ Unknown",IF('Capability Assessment'!E12&lt;='System Inventory'!E12,"✅ Compliant","❌ Non-Compliant")))</f>
        <v/>
      </c>
      <c r="D12" s="14">
        <f>IF(A12="","",IF(OR('System Inventory'!F12="",'Capability Assessment'!F12=""),"❓ Unknown",IF('Capability Assessment'!F12&lt;='System Inventory'!F12,"✅ Compliant","❌ Non-Compliant")))</f>
        <v/>
      </c>
      <c r="E12" s="14">
        <f>IF(A12="","",IF(OR(C12="❓ Unknown",D12="❓ Unknown"),"❓ Unknown",IF(AND(C12="✅ Compliant",D12="✅ Compliant"),"✅ Full Compliance",IF(OR(C12="✅ Compliant",D12="✅ Compliant"),"⚠ Partial Compliance","❌ Non-Compliant"))))</f>
        <v/>
      </c>
      <c r="F12" s="14">
        <f>IF(A12="","",IF(AND(B12="Tier 1 - Critical",E12="❌ Non-Compliant"),"[!] Critical",IF(B12="Tier 1 - Critical","[~] High",IF(E12="❌ Non-Compliant","[~] High",IF(E12="⚠ Partial Compliance","[.] Medium","[ ] Low")))))</f>
        <v/>
      </c>
      <c r="G12" s="21">
        <f>IF(A12="","",IF(C12="❌ Non-Compliant",IF(D12="❌ Non-Compliant","Both RPO &amp; RTO gaps","RPO gap only"),IF(D12="❌ Non-Compliant","RTO gap only",IF(E12="❓ Unknown","Testing required","No gaps"))))</f>
        <v/>
      </c>
      <c r="H12" s="21" t="inlineStr">
        <is>
          <t>Acceptable for Tier 3, no action required</t>
        </is>
      </c>
    </row>
    <row r="13">
      <c r="A13" s="14">
        <f>'System Inventory'!A13</f>
        <v/>
      </c>
      <c r="B13" s="14">
        <f>'System Inventory'!C13</f>
        <v/>
      </c>
      <c r="C13" s="14">
        <f>IF(A13="","",IF(OR('System Inventory'!E13="",'Capability Assessment'!E13=""),"❓ Unknown",IF('Capability Assessment'!E13&lt;='System Inventory'!E13,"✅ Compliant","❌ Non-Compliant")))</f>
        <v/>
      </c>
      <c r="D13" s="14">
        <f>IF(A13="","",IF(OR('System Inventory'!F13="",'Capability Assessment'!F13=""),"❓ Unknown",IF('Capability Assessment'!F13&lt;='System Inventory'!F13,"✅ Compliant","❌ Non-Compliant")))</f>
        <v/>
      </c>
      <c r="E13" s="14">
        <f>IF(A13="","",IF(OR(C13="❓ Unknown",D13="❓ Unknown"),"❓ Unknown",IF(AND(C13="✅ Compliant",D13="✅ Compliant"),"✅ Full Compliance",IF(OR(C13="✅ Compliant",D13="✅ Compliant"),"⚠ Partial Compliance","❌ Non-Compliant"))))</f>
        <v/>
      </c>
      <c r="F13" s="14">
        <f>IF(A13="","",IF(AND(B13="Tier 1 - Critical",E13="❌ Non-Compliant"),"[!] Critical",IF(B13="Tier 1 - Critical","[~] High",IF(E13="❌ Non-Compliant","[~] High",IF(E13="⚠ Partial Compliance","[.] Medium","[ ] Low")))))</f>
        <v/>
      </c>
      <c r="G13" s="21">
        <f>IF(A13="","",IF(C13="❌ Non-Compliant",IF(D13="❌ Non-Compliant","Both RPO &amp; RTO gaps","RPO gap only"),IF(D13="❌ Non-Compliant","RTO gap only",IF(E13="❓ Unknown","Testing required","No gaps"))))</f>
        <v/>
      </c>
      <c r="H13" s="21" t="inlineStr">
        <is>
          <t>Acceptable for Tier 4, no action required</t>
        </is>
      </c>
    </row>
    <row r="14">
      <c r="A14" s="14">
        <f>'System Inventory'!A14</f>
        <v/>
      </c>
      <c r="B14" s="14">
        <f>'System Inventory'!C14</f>
        <v/>
      </c>
      <c r="C14" s="14">
        <f>IF(A14="","",IF(OR('System Inventory'!E14="",'Capability Assessment'!E14=""),"❓ Unknown",IF('Capability Assessment'!E14&lt;='System Inventory'!E14,"✅ Compliant","❌ Non-Compliant")))</f>
        <v/>
      </c>
      <c r="D14" s="14">
        <f>IF(A14="","",IF(OR('System Inventory'!F14="",'Capability Assessment'!F14=""),"❓ Unknown",IF('Capability Assessment'!F14&lt;='System Inventory'!F14,"✅ Compliant","❌ Non-Compliant")))</f>
        <v/>
      </c>
      <c r="E14" s="14">
        <f>IF(A14="","",IF(OR(C14="❓ Unknown",D14="❓ Unknown"),"❓ Unknown",IF(AND(C14="✅ Compliant",D14="✅ Compliant"),"✅ Full Compliance",IF(OR(C14="✅ Compliant",D14="✅ Compliant"),"⚠ Partial Compliance","❌ Non-Compliant"))))</f>
        <v/>
      </c>
      <c r="F14" s="14">
        <f>IF(A14="","",IF(AND(B14="Tier 1 - Critical",E14="❌ Non-Compliant"),"[!] Critical",IF(B14="Tier 1 - Critical","[~] High",IF(E14="❌ Non-Compliant","[~] High",IF(E14="⚠ Partial Compliance","[.] Medium","[ ] Low")))))</f>
        <v/>
      </c>
      <c r="G14" s="21">
        <f>IF(A14="","",IF(C14="❌ Non-Compliant",IF(D14="❌ Non-Compliant","Both RPO &amp; RTO gaps","RPO gap only"),IF(D14="❌ Non-Compliant","RTO gap only",IF(E14="❓ Unknown","Testing required","No gaps"))))</f>
        <v/>
      </c>
      <c r="H14" s="21" t="inlineStr">
        <is>
          <t>Acceptable for Tier 4, no action required</t>
        </is>
      </c>
    </row>
    <row r="15">
      <c r="A15" s="15">
        <f>'System Inventory'!A15</f>
        <v/>
      </c>
      <c r="B15" s="15">
        <f>'System Inventory'!C15</f>
        <v/>
      </c>
      <c r="C15" s="15">
        <f>IF(A15="","",IF(OR('System Inventory'!E15="",'Capability Assessment'!E15=""),"❓ Unknown",IF('Capability Assessment'!E15&lt;='System Inventory'!E15,"✅ Compliant","❌ Non-Compliant")))</f>
        <v/>
      </c>
      <c r="D15" s="15">
        <f>IF(A15="","",IF(OR('System Inventory'!F15="",'Capability Assessment'!F15=""),"❓ Unknown",IF('Capability Assessment'!F15&lt;='System Inventory'!F15,"✅ Compliant","❌ Non-Compliant")))</f>
        <v/>
      </c>
      <c r="E15" s="15">
        <f>IF(A15="","",IF(OR(C15="❓ Unknown",D15="❓ Unknown"),"❓ Unknown",IF(AND(C15="✅ Compliant",D15="✅ Compliant"),"✅ Full Compliance",IF(OR(C15="✅ Compliant",D15="✅ Compliant"),"⚠ Partial Compliance","❌ Non-Compliant"))))</f>
        <v/>
      </c>
      <c r="F15" s="15">
        <f>IF(A15="","",IF(AND(B15="Tier 1 - Critical",E15="❌ Non-Compliant"),"[!] Critical",IF(B15="Tier 1 - Critical","[~] High",IF(E15="❌ Non-Compliant","[~] High",IF(E15="⚠ Partial Compliance","[.] Medium","[ ] Low")))))</f>
        <v/>
      </c>
      <c r="G15" s="22">
        <f>IF(A15="","",IF(C15="❌ Non-Compliant",IF(D15="❌ Non-Compliant","Both RPO &amp; RTO gaps","RPO gap only"),IF(D15="❌ Non-Compliant","RTO gap only",IF(E15="❓ Unknown","Testing required","No gaps"))))</f>
        <v/>
      </c>
      <c r="H15" s="22" t="inlineStr">
        <is>
          <t>Sample — enter next remediation action here</t>
        </is>
      </c>
    </row>
    <row r="16">
      <c r="A16" s="14">
        <f>'System Inventory'!A16</f>
        <v/>
      </c>
      <c r="B16" s="14">
        <f>'System Inventory'!C16</f>
        <v/>
      </c>
      <c r="C16" s="14">
        <f>IF(A16="","",IF(OR('System Inventory'!E16="",'Capability Assessment'!E16=""),"❓ Unknown",IF('Capability Assessment'!E16&lt;='System Inventory'!E16,"✅ Compliant","❌ Non-Compliant")))</f>
        <v/>
      </c>
      <c r="D16" s="14">
        <f>IF(A16="","",IF(OR('System Inventory'!F16="",'Capability Assessment'!F16=""),"❓ Unknown",IF('Capability Assessment'!F16&lt;='System Inventory'!F16,"✅ Compliant","❌ Non-Compliant")))</f>
        <v/>
      </c>
      <c r="E16" s="14">
        <f>IF(A16="","",IF(OR(C16="❓ Unknown",D16="❓ Unknown"),"❓ Unknown",IF(AND(C16="✅ Compliant",D16="✅ Compliant"),"✅ Full Compliance",IF(OR(C16="✅ Compliant",D16="✅ Compliant"),"⚠ Partial Compliance","❌ Non-Compliant"))))</f>
        <v/>
      </c>
      <c r="F16" s="14">
        <f>IF(A16="","",IF(AND(B16="Tier 1 - Critical",E16="❌ Non-Compliant"),"[!] Critical",IF(B16="Tier 1 - Critical","[~] High",IF(E16="❌ Non-Compliant","[~] High",IF(E16="⚠ Partial Compliance","[.] Medium","[ ] Low")))))</f>
        <v/>
      </c>
      <c r="G16" s="21">
        <f>IF(A16="","",IF(C16="❌ Non-Compliant",IF(D16="❌ Non-Compliant","Both RPO &amp; RTO gaps","RPO gap only"),IF(D16="❌ Non-Compliant","RTO gap only",IF(E16="❓ Unknown","Testing required","No gaps"))))</f>
        <v/>
      </c>
      <c r="H16" s="23" t="n"/>
    </row>
    <row r="17">
      <c r="A17" s="14">
        <f>'System Inventory'!A17</f>
        <v/>
      </c>
      <c r="B17" s="14">
        <f>'System Inventory'!C17</f>
        <v/>
      </c>
      <c r="C17" s="14">
        <f>IF(A17="","",IF(OR('System Inventory'!E17="",'Capability Assessment'!E17=""),"❓ Unknown",IF('Capability Assessment'!E17&lt;='System Inventory'!E17,"✅ Compliant","❌ Non-Compliant")))</f>
        <v/>
      </c>
      <c r="D17" s="14">
        <f>IF(A17="","",IF(OR('System Inventory'!F17="",'Capability Assessment'!F17=""),"❓ Unknown",IF('Capability Assessment'!F17&lt;='System Inventory'!F17,"✅ Compliant","❌ Non-Compliant")))</f>
        <v/>
      </c>
      <c r="E17" s="14">
        <f>IF(A17="","",IF(OR(C17="❓ Unknown",D17="❓ Unknown"),"❓ Unknown",IF(AND(C17="✅ Compliant",D17="✅ Compliant"),"✅ Full Compliance",IF(OR(C17="✅ Compliant",D17="✅ Compliant"),"⚠ Partial Compliance","❌ Non-Compliant"))))</f>
        <v/>
      </c>
      <c r="F17" s="14">
        <f>IF(A17="","",IF(AND(B17="Tier 1 - Critical",E17="❌ Non-Compliant"),"[!] Critical",IF(B17="Tier 1 - Critical","[~] High",IF(E17="❌ Non-Compliant","[~] High",IF(E17="⚠ Partial Compliance","[.] Medium","[ ] Low")))))</f>
        <v/>
      </c>
      <c r="G17" s="21">
        <f>IF(A17="","",IF(C17="❌ Non-Compliant",IF(D17="❌ Non-Compliant","Both RPO &amp; RTO gaps","RPO gap only"),IF(D17="❌ Non-Compliant","RTO gap only",IF(E17="❓ Unknown","Testing required","No gaps"))))</f>
        <v/>
      </c>
      <c r="H17" s="23" t="n"/>
    </row>
    <row r="18">
      <c r="A18" s="14">
        <f>'System Inventory'!A18</f>
        <v/>
      </c>
      <c r="B18" s="14">
        <f>'System Inventory'!C18</f>
        <v/>
      </c>
      <c r="C18" s="14">
        <f>IF(A18="","",IF(OR('System Inventory'!E18="",'Capability Assessment'!E18=""),"❓ Unknown",IF('Capability Assessment'!E18&lt;='System Inventory'!E18,"✅ Compliant","❌ Non-Compliant")))</f>
        <v/>
      </c>
      <c r="D18" s="14">
        <f>IF(A18="","",IF(OR('System Inventory'!F18="",'Capability Assessment'!F18=""),"❓ Unknown",IF('Capability Assessment'!F18&lt;='System Inventory'!F18,"✅ Compliant","❌ Non-Compliant")))</f>
        <v/>
      </c>
      <c r="E18" s="14">
        <f>IF(A18="","",IF(OR(C18="❓ Unknown",D18="❓ Unknown"),"❓ Unknown",IF(AND(C18="✅ Compliant",D18="✅ Compliant"),"✅ Full Compliance",IF(OR(C18="✅ Compliant",D18="✅ Compliant"),"⚠ Partial Compliance","❌ Non-Compliant"))))</f>
        <v/>
      </c>
      <c r="F18" s="14">
        <f>IF(A18="","",IF(AND(B18="Tier 1 - Critical",E18="❌ Non-Compliant"),"[!] Critical",IF(B18="Tier 1 - Critical","[~] High",IF(E18="❌ Non-Compliant","[~] High",IF(E18="⚠ Partial Compliance","[.] Medium","[ ] Low")))))</f>
        <v/>
      </c>
      <c r="G18" s="21">
        <f>IF(A18="","",IF(C18="❌ Non-Compliant",IF(D18="❌ Non-Compliant","Both RPO &amp; RTO gaps","RPO gap only"),IF(D18="❌ Non-Compliant","RTO gap only",IF(E18="❓ Unknown","Testing required","No gaps"))))</f>
        <v/>
      </c>
      <c r="H18" s="23" t="n"/>
    </row>
    <row r="19">
      <c r="A19" s="14">
        <f>'System Inventory'!A19</f>
        <v/>
      </c>
      <c r="B19" s="14">
        <f>'System Inventory'!C19</f>
        <v/>
      </c>
      <c r="C19" s="14">
        <f>IF(A19="","",IF(OR('System Inventory'!E19="",'Capability Assessment'!E19=""),"❓ Unknown",IF('Capability Assessment'!E19&lt;='System Inventory'!E19,"✅ Compliant","❌ Non-Compliant")))</f>
        <v/>
      </c>
      <c r="D19" s="14">
        <f>IF(A19="","",IF(OR('System Inventory'!F19="",'Capability Assessment'!F19=""),"❓ Unknown",IF('Capability Assessment'!F19&lt;='System Inventory'!F19,"✅ Compliant","❌ Non-Compliant")))</f>
        <v/>
      </c>
      <c r="E19" s="14">
        <f>IF(A19="","",IF(OR(C19="❓ Unknown",D19="❓ Unknown"),"❓ Unknown",IF(AND(C19="✅ Compliant",D19="✅ Compliant"),"✅ Full Compliance",IF(OR(C19="✅ Compliant",D19="✅ Compliant"),"⚠ Partial Compliance","❌ Non-Compliant"))))</f>
        <v/>
      </c>
      <c r="F19" s="14">
        <f>IF(A19="","",IF(AND(B19="Tier 1 - Critical",E19="❌ Non-Compliant"),"[!] Critical",IF(B19="Tier 1 - Critical","[~] High",IF(E19="❌ Non-Compliant","[~] High",IF(E19="⚠ Partial Compliance","[.] Medium","[ ] Low")))))</f>
        <v/>
      </c>
      <c r="G19" s="21">
        <f>IF(A19="","",IF(C19="❌ Non-Compliant",IF(D19="❌ Non-Compliant","Both RPO &amp; RTO gaps","RPO gap only"),IF(D19="❌ Non-Compliant","RTO gap only",IF(E19="❓ Unknown","Testing required","No gaps"))))</f>
        <v/>
      </c>
      <c r="H19" s="23" t="n"/>
    </row>
    <row r="20">
      <c r="A20" s="14">
        <f>'System Inventory'!A20</f>
        <v/>
      </c>
      <c r="B20" s="14">
        <f>'System Inventory'!C20</f>
        <v/>
      </c>
      <c r="C20" s="14">
        <f>IF(A20="","",IF(OR('System Inventory'!E20="",'Capability Assessment'!E20=""),"❓ Unknown",IF('Capability Assessment'!E20&lt;='System Inventory'!E20,"✅ Compliant","❌ Non-Compliant")))</f>
        <v/>
      </c>
      <c r="D20" s="14">
        <f>IF(A20="","",IF(OR('System Inventory'!F20="",'Capability Assessment'!F20=""),"❓ Unknown",IF('Capability Assessment'!F20&lt;='System Inventory'!F20,"✅ Compliant","❌ Non-Compliant")))</f>
        <v/>
      </c>
      <c r="E20" s="14">
        <f>IF(A20="","",IF(OR(C20="❓ Unknown",D20="❓ Unknown"),"❓ Unknown",IF(AND(C20="✅ Compliant",D20="✅ Compliant"),"✅ Full Compliance",IF(OR(C20="✅ Compliant",D20="✅ Compliant"),"⚠ Partial Compliance","❌ Non-Compliant"))))</f>
        <v/>
      </c>
      <c r="F20" s="14">
        <f>IF(A20="","",IF(AND(B20="Tier 1 - Critical",E20="❌ Non-Compliant"),"[!] Critical",IF(B20="Tier 1 - Critical","[~] High",IF(E20="❌ Non-Compliant","[~] High",IF(E20="⚠ Partial Compliance","[.] Medium","[ ] Low")))))</f>
        <v/>
      </c>
      <c r="G20" s="21">
        <f>IF(A20="","",IF(C20="❌ Non-Compliant",IF(D20="❌ Non-Compliant","Both RPO &amp; RTO gaps","RPO gap only"),IF(D20="❌ Non-Compliant","RTO gap only",IF(E20="❓ Unknown","Testing required","No gaps"))))</f>
        <v/>
      </c>
      <c r="H20" s="23" t="n"/>
    </row>
    <row r="21">
      <c r="A21" s="14">
        <f>'System Inventory'!A21</f>
        <v/>
      </c>
      <c r="B21" s="14">
        <f>'System Inventory'!C21</f>
        <v/>
      </c>
      <c r="C21" s="14">
        <f>IF(A21="","",IF(OR('System Inventory'!E21="",'Capability Assessment'!E21=""),"❓ Unknown",IF('Capability Assessment'!E21&lt;='System Inventory'!E21,"✅ Compliant","❌ Non-Compliant")))</f>
        <v/>
      </c>
      <c r="D21" s="14">
        <f>IF(A21="","",IF(OR('System Inventory'!F21="",'Capability Assessment'!F21=""),"❓ Unknown",IF('Capability Assessment'!F21&lt;='System Inventory'!F21,"✅ Compliant","❌ Non-Compliant")))</f>
        <v/>
      </c>
      <c r="E21" s="14">
        <f>IF(A21="","",IF(OR(C21="❓ Unknown",D21="❓ Unknown"),"❓ Unknown",IF(AND(C21="✅ Compliant",D21="✅ Compliant"),"✅ Full Compliance",IF(OR(C21="✅ Compliant",D21="✅ Compliant"),"⚠ Partial Compliance","❌ Non-Compliant"))))</f>
        <v/>
      </c>
      <c r="F21" s="14">
        <f>IF(A21="","",IF(AND(B21="Tier 1 - Critical",E21="❌ Non-Compliant"),"[!] Critical",IF(B21="Tier 1 - Critical","[~] High",IF(E21="❌ Non-Compliant","[~] High",IF(E21="⚠ Partial Compliance","[.] Medium","[ ] Low")))))</f>
        <v/>
      </c>
      <c r="G21" s="21">
        <f>IF(A21="","",IF(C21="❌ Non-Compliant",IF(D21="❌ Non-Compliant","Both RPO &amp; RTO gaps","RPO gap only"),IF(D21="❌ Non-Compliant","RTO gap only",IF(E21="❓ Unknown","Testing required","No gaps"))))</f>
        <v/>
      </c>
      <c r="H21" s="23" t="n"/>
    </row>
    <row r="22">
      <c r="A22" s="14">
        <f>'System Inventory'!A22</f>
        <v/>
      </c>
      <c r="B22" s="14">
        <f>'System Inventory'!C22</f>
        <v/>
      </c>
      <c r="C22" s="14">
        <f>IF(A22="","",IF(OR('System Inventory'!E22="",'Capability Assessment'!E22=""),"❓ Unknown",IF('Capability Assessment'!E22&lt;='System Inventory'!E22,"✅ Compliant","❌ Non-Compliant")))</f>
        <v/>
      </c>
      <c r="D22" s="14">
        <f>IF(A22="","",IF(OR('System Inventory'!F22="",'Capability Assessment'!F22=""),"❓ Unknown",IF('Capability Assessment'!F22&lt;='System Inventory'!F22,"✅ Compliant","❌ Non-Compliant")))</f>
        <v/>
      </c>
      <c r="E22" s="14">
        <f>IF(A22="","",IF(OR(C22="❓ Unknown",D22="❓ Unknown"),"❓ Unknown",IF(AND(C22="✅ Compliant",D22="✅ Compliant"),"✅ Full Compliance",IF(OR(C22="✅ Compliant",D22="✅ Compliant"),"⚠ Partial Compliance","❌ Non-Compliant"))))</f>
        <v/>
      </c>
      <c r="F22" s="14">
        <f>IF(A22="","",IF(AND(B22="Tier 1 - Critical",E22="❌ Non-Compliant"),"[!] Critical",IF(B22="Tier 1 - Critical","[~] High",IF(E22="❌ Non-Compliant","[~] High",IF(E22="⚠ Partial Compliance","[.] Medium","[ ] Low")))))</f>
        <v/>
      </c>
      <c r="G22" s="21">
        <f>IF(A22="","",IF(C22="❌ Non-Compliant",IF(D22="❌ Non-Compliant","Both RPO &amp; RTO gaps","RPO gap only"),IF(D22="❌ Non-Compliant","RTO gap only",IF(E22="❓ Unknown","Testing required","No gaps"))))</f>
        <v/>
      </c>
      <c r="H22" s="23" t="n"/>
    </row>
    <row r="23">
      <c r="A23" s="14">
        <f>'System Inventory'!A23</f>
        <v/>
      </c>
      <c r="B23" s="14">
        <f>'System Inventory'!C23</f>
        <v/>
      </c>
      <c r="C23" s="14">
        <f>IF(A23="","",IF(OR('System Inventory'!E23="",'Capability Assessment'!E23=""),"❓ Unknown",IF('Capability Assessment'!E23&lt;='System Inventory'!E23,"✅ Compliant","❌ Non-Compliant")))</f>
        <v/>
      </c>
      <c r="D23" s="14">
        <f>IF(A23="","",IF(OR('System Inventory'!F23="",'Capability Assessment'!F23=""),"❓ Unknown",IF('Capability Assessment'!F23&lt;='System Inventory'!F23,"✅ Compliant","❌ Non-Compliant")))</f>
        <v/>
      </c>
      <c r="E23" s="14">
        <f>IF(A23="","",IF(OR(C23="❓ Unknown",D23="❓ Unknown"),"❓ Unknown",IF(AND(C23="✅ Compliant",D23="✅ Compliant"),"✅ Full Compliance",IF(OR(C23="✅ Compliant",D23="✅ Compliant"),"⚠ Partial Compliance","❌ Non-Compliant"))))</f>
        <v/>
      </c>
      <c r="F23" s="14">
        <f>IF(A23="","",IF(AND(B23="Tier 1 - Critical",E23="❌ Non-Compliant"),"[!] Critical",IF(B23="Tier 1 - Critical","[~] High",IF(E23="❌ Non-Compliant","[~] High",IF(E23="⚠ Partial Compliance","[.] Medium","[ ] Low")))))</f>
        <v/>
      </c>
      <c r="G23" s="21">
        <f>IF(A23="","",IF(C23="❌ Non-Compliant",IF(D23="❌ Non-Compliant","Both RPO &amp; RTO gaps","RPO gap only"),IF(D23="❌ Non-Compliant","RTO gap only",IF(E23="❓ Unknown","Testing required","No gaps"))))</f>
        <v/>
      </c>
      <c r="H23" s="23" t="n"/>
    </row>
    <row r="24">
      <c r="A24" s="14">
        <f>'System Inventory'!A24</f>
        <v/>
      </c>
      <c r="B24" s="14">
        <f>'System Inventory'!C24</f>
        <v/>
      </c>
      <c r="C24" s="14">
        <f>IF(A24="","",IF(OR('System Inventory'!E24="",'Capability Assessment'!E24=""),"❓ Unknown",IF('Capability Assessment'!E24&lt;='System Inventory'!E24,"✅ Compliant","❌ Non-Compliant")))</f>
        <v/>
      </c>
      <c r="D24" s="14">
        <f>IF(A24="","",IF(OR('System Inventory'!F24="",'Capability Assessment'!F24=""),"❓ Unknown",IF('Capability Assessment'!F24&lt;='System Inventory'!F24,"✅ Compliant","❌ Non-Compliant")))</f>
        <v/>
      </c>
      <c r="E24" s="14">
        <f>IF(A24="","",IF(OR(C24="❓ Unknown",D24="❓ Unknown"),"❓ Unknown",IF(AND(C24="✅ Compliant",D24="✅ Compliant"),"✅ Full Compliance",IF(OR(C24="✅ Compliant",D24="✅ Compliant"),"⚠ Partial Compliance","❌ Non-Compliant"))))</f>
        <v/>
      </c>
      <c r="F24" s="14">
        <f>IF(A24="","",IF(AND(B24="Tier 1 - Critical",E24="❌ Non-Compliant"),"[!] Critical",IF(B24="Tier 1 - Critical","[~] High",IF(E24="❌ Non-Compliant","[~] High",IF(E24="⚠ Partial Compliance","[.] Medium","[ ] Low")))))</f>
        <v/>
      </c>
      <c r="G24" s="21">
        <f>IF(A24="","",IF(C24="❌ Non-Compliant",IF(D24="❌ Non-Compliant","Both RPO &amp; RTO gaps","RPO gap only"),IF(D24="❌ Non-Compliant","RTO gap only",IF(E24="❓ Unknown","Testing required","No gaps"))))</f>
        <v/>
      </c>
      <c r="H24" s="23" t="n"/>
    </row>
    <row r="25">
      <c r="A25" s="14">
        <f>'System Inventory'!A25</f>
        <v/>
      </c>
      <c r="B25" s="14">
        <f>'System Inventory'!C25</f>
        <v/>
      </c>
      <c r="C25" s="14">
        <f>IF(A25="","",IF(OR('System Inventory'!E25="",'Capability Assessment'!E25=""),"❓ Unknown",IF('Capability Assessment'!E25&lt;='System Inventory'!E25,"✅ Compliant","❌ Non-Compliant")))</f>
        <v/>
      </c>
      <c r="D25" s="14">
        <f>IF(A25="","",IF(OR('System Inventory'!F25="",'Capability Assessment'!F25=""),"❓ Unknown",IF('Capability Assessment'!F25&lt;='System Inventory'!F25,"✅ Compliant","❌ Non-Compliant")))</f>
        <v/>
      </c>
      <c r="E25" s="14">
        <f>IF(A25="","",IF(OR(C25="❓ Unknown",D25="❓ Unknown"),"❓ Unknown",IF(AND(C25="✅ Compliant",D25="✅ Compliant"),"✅ Full Compliance",IF(OR(C25="✅ Compliant",D25="✅ Compliant"),"⚠ Partial Compliance","❌ Non-Compliant"))))</f>
        <v/>
      </c>
      <c r="F25" s="14">
        <f>IF(A25="","",IF(AND(B25="Tier 1 - Critical",E25="❌ Non-Compliant"),"[!] Critical",IF(B25="Tier 1 - Critical","[~] High",IF(E25="❌ Non-Compliant","[~] High",IF(E25="⚠ Partial Compliance","[.] Medium","[ ] Low")))))</f>
        <v/>
      </c>
      <c r="G25" s="21">
        <f>IF(A25="","",IF(C25="❌ Non-Compliant",IF(D25="❌ Non-Compliant","Both RPO &amp; RTO gaps","RPO gap only"),IF(D25="❌ Non-Compliant","RTO gap only",IF(E25="❓ Unknown","Testing required","No gaps"))))</f>
        <v/>
      </c>
      <c r="H25" s="23" t="n"/>
    </row>
    <row r="26">
      <c r="A26" s="14">
        <f>'System Inventory'!A26</f>
        <v/>
      </c>
      <c r="B26" s="14">
        <f>'System Inventory'!C26</f>
        <v/>
      </c>
      <c r="C26" s="14">
        <f>IF(A26="","",IF(OR('System Inventory'!E26="",'Capability Assessment'!E26=""),"❓ Unknown",IF('Capability Assessment'!E26&lt;='System Inventory'!E26,"✅ Compliant","❌ Non-Compliant")))</f>
        <v/>
      </c>
      <c r="D26" s="14">
        <f>IF(A26="","",IF(OR('System Inventory'!F26="",'Capability Assessment'!F26=""),"❓ Unknown",IF('Capability Assessment'!F26&lt;='System Inventory'!F26,"✅ Compliant","❌ Non-Compliant")))</f>
        <v/>
      </c>
      <c r="E26" s="14">
        <f>IF(A26="","",IF(OR(C26="❓ Unknown",D26="❓ Unknown"),"❓ Unknown",IF(AND(C26="✅ Compliant",D26="✅ Compliant"),"✅ Full Compliance",IF(OR(C26="✅ Compliant",D26="✅ Compliant"),"⚠ Partial Compliance","❌ Non-Compliant"))))</f>
        <v/>
      </c>
      <c r="F26" s="14">
        <f>IF(A26="","",IF(AND(B26="Tier 1 - Critical",E26="❌ Non-Compliant"),"[!] Critical",IF(B26="Tier 1 - Critical","[~] High",IF(E26="❌ Non-Compliant","[~] High",IF(E26="⚠ Partial Compliance","[.] Medium","[ ] Low")))))</f>
        <v/>
      </c>
      <c r="G26" s="21">
        <f>IF(A26="","",IF(C26="❌ Non-Compliant",IF(D26="❌ Non-Compliant","Both RPO &amp; RTO gaps","RPO gap only"),IF(D26="❌ Non-Compliant","RTO gap only",IF(E26="❓ Unknown","Testing required","No gaps"))))</f>
        <v/>
      </c>
      <c r="H26" s="23" t="n"/>
    </row>
    <row r="27">
      <c r="A27" s="14">
        <f>'System Inventory'!A27</f>
        <v/>
      </c>
      <c r="B27" s="14">
        <f>'System Inventory'!C27</f>
        <v/>
      </c>
      <c r="C27" s="14">
        <f>IF(A27="","",IF(OR('System Inventory'!E27="",'Capability Assessment'!E27=""),"❓ Unknown",IF('Capability Assessment'!E27&lt;='System Inventory'!E27,"✅ Compliant","❌ Non-Compliant")))</f>
        <v/>
      </c>
      <c r="D27" s="14">
        <f>IF(A27="","",IF(OR('System Inventory'!F27="",'Capability Assessment'!F27=""),"❓ Unknown",IF('Capability Assessment'!F27&lt;='System Inventory'!F27,"✅ Compliant","❌ Non-Compliant")))</f>
        <v/>
      </c>
      <c r="E27" s="14">
        <f>IF(A27="","",IF(OR(C27="❓ Unknown",D27="❓ Unknown"),"❓ Unknown",IF(AND(C27="✅ Compliant",D27="✅ Compliant"),"✅ Full Compliance",IF(OR(C27="✅ Compliant",D27="✅ Compliant"),"⚠ Partial Compliance","❌ Non-Compliant"))))</f>
        <v/>
      </c>
      <c r="F27" s="14">
        <f>IF(A27="","",IF(AND(B27="Tier 1 - Critical",E27="❌ Non-Compliant"),"[!] Critical",IF(B27="Tier 1 - Critical","[~] High",IF(E27="❌ Non-Compliant","[~] High",IF(E27="⚠ Partial Compliance","[.] Medium","[ ] Low")))))</f>
        <v/>
      </c>
      <c r="G27" s="21">
        <f>IF(A27="","",IF(C27="❌ Non-Compliant",IF(D27="❌ Non-Compliant","Both RPO &amp; RTO gaps","RPO gap only"),IF(D27="❌ Non-Compliant","RTO gap only",IF(E27="❓ Unknown","Testing required","No gaps"))))</f>
        <v/>
      </c>
      <c r="H27" s="23" t="n"/>
    </row>
    <row r="28">
      <c r="A28" s="14">
        <f>'System Inventory'!A28</f>
        <v/>
      </c>
      <c r="B28" s="14">
        <f>'System Inventory'!C28</f>
        <v/>
      </c>
      <c r="C28" s="14">
        <f>IF(A28="","",IF(OR('System Inventory'!E28="",'Capability Assessment'!E28=""),"❓ Unknown",IF('Capability Assessment'!E28&lt;='System Inventory'!E28,"✅ Compliant","❌ Non-Compliant")))</f>
        <v/>
      </c>
      <c r="D28" s="14">
        <f>IF(A28="","",IF(OR('System Inventory'!F28="",'Capability Assessment'!F28=""),"❓ Unknown",IF('Capability Assessment'!F28&lt;='System Inventory'!F28,"✅ Compliant","❌ Non-Compliant")))</f>
        <v/>
      </c>
      <c r="E28" s="14">
        <f>IF(A28="","",IF(OR(C28="❓ Unknown",D28="❓ Unknown"),"❓ Unknown",IF(AND(C28="✅ Compliant",D28="✅ Compliant"),"✅ Full Compliance",IF(OR(C28="✅ Compliant",D28="✅ Compliant"),"⚠ Partial Compliance","❌ Non-Compliant"))))</f>
        <v/>
      </c>
      <c r="F28" s="14">
        <f>IF(A28="","",IF(AND(B28="Tier 1 - Critical",E28="❌ Non-Compliant"),"[!] Critical",IF(B28="Tier 1 - Critical","[~] High",IF(E28="❌ Non-Compliant","[~] High",IF(E28="⚠ Partial Compliance","[.] Medium","[ ] Low")))))</f>
        <v/>
      </c>
      <c r="G28" s="21">
        <f>IF(A28="","",IF(C28="❌ Non-Compliant",IF(D28="❌ Non-Compliant","Both RPO &amp; RTO gaps","RPO gap only"),IF(D28="❌ Non-Compliant","RTO gap only",IF(E28="❓ Unknown","Testing required","No gaps"))))</f>
        <v/>
      </c>
      <c r="H28" s="23" t="n"/>
    </row>
    <row r="29">
      <c r="A29" s="14">
        <f>'System Inventory'!A29</f>
        <v/>
      </c>
      <c r="B29" s="14">
        <f>'System Inventory'!C29</f>
        <v/>
      </c>
      <c r="C29" s="14">
        <f>IF(A29="","",IF(OR('System Inventory'!E29="",'Capability Assessment'!E29=""),"❓ Unknown",IF('Capability Assessment'!E29&lt;='System Inventory'!E29,"✅ Compliant","❌ Non-Compliant")))</f>
        <v/>
      </c>
      <c r="D29" s="14">
        <f>IF(A29="","",IF(OR('System Inventory'!F29="",'Capability Assessment'!F29=""),"❓ Unknown",IF('Capability Assessment'!F29&lt;='System Inventory'!F29,"✅ Compliant","❌ Non-Compliant")))</f>
        <v/>
      </c>
      <c r="E29" s="14">
        <f>IF(A29="","",IF(OR(C29="❓ Unknown",D29="❓ Unknown"),"❓ Unknown",IF(AND(C29="✅ Compliant",D29="✅ Compliant"),"✅ Full Compliance",IF(OR(C29="✅ Compliant",D29="✅ Compliant"),"⚠ Partial Compliance","❌ Non-Compliant"))))</f>
        <v/>
      </c>
      <c r="F29" s="14">
        <f>IF(A29="","",IF(AND(B29="Tier 1 - Critical",E29="❌ Non-Compliant"),"[!] Critical",IF(B29="Tier 1 - Critical","[~] High",IF(E29="❌ Non-Compliant","[~] High",IF(E29="⚠ Partial Compliance","[.] Medium","[ ] Low")))))</f>
        <v/>
      </c>
      <c r="G29" s="21">
        <f>IF(A29="","",IF(C29="❌ Non-Compliant",IF(D29="❌ Non-Compliant","Both RPO &amp; RTO gaps","RPO gap only"),IF(D29="❌ Non-Compliant","RTO gap only",IF(E29="❓ Unknown","Testing required","No gaps"))))</f>
        <v/>
      </c>
      <c r="H29" s="23" t="n"/>
    </row>
    <row r="30">
      <c r="A30" s="14">
        <f>'System Inventory'!A30</f>
        <v/>
      </c>
      <c r="B30" s="14">
        <f>'System Inventory'!C30</f>
        <v/>
      </c>
      <c r="C30" s="14">
        <f>IF(A30="","",IF(OR('System Inventory'!E30="",'Capability Assessment'!E30=""),"❓ Unknown",IF('Capability Assessment'!E30&lt;='System Inventory'!E30,"✅ Compliant","❌ Non-Compliant")))</f>
        <v/>
      </c>
      <c r="D30" s="14">
        <f>IF(A30="","",IF(OR('System Inventory'!F30="",'Capability Assessment'!F30=""),"❓ Unknown",IF('Capability Assessment'!F30&lt;='System Inventory'!F30,"✅ Compliant","❌ Non-Compliant")))</f>
        <v/>
      </c>
      <c r="E30" s="14">
        <f>IF(A30="","",IF(OR(C30="❓ Unknown",D30="❓ Unknown"),"❓ Unknown",IF(AND(C30="✅ Compliant",D30="✅ Compliant"),"✅ Full Compliance",IF(OR(C30="✅ Compliant",D30="✅ Compliant"),"⚠ Partial Compliance","❌ Non-Compliant"))))</f>
        <v/>
      </c>
      <c r="F30" s="14">
        <f>IF(A30="","",IF(AND(B30="Tier 1 - Critical",E30="❌ Non-Compliant"),"[!] Critical",IF(B30="Tier 1 - Critical","[~] High",IF(E30="❌ Non-Compliant","[~] High",IF(E30="⚠ Partial Compliance","[.] Medium","[ ] Low")))))</f>
        <v/>
      </c>
      <c r="G30" s="21">
        <f>IF(A30="","",IF(C30="❌ Non-Compliant",IF(D30="❌ Non-Compliant","Both RPO &amp; RTO gaps","RPO gap only"),IF(D30="❌ Non-Compliant","RTO gap only",IF(E30="❓ Unknown","Testing required","No gaps"))))</f>
        <v/>
      </c>
      <c r="H30" s="23" t="n"/>
    </row>
    <row r="31">
      <c r="A31" s="14">
        <f>'System Inventory'!A31</f>
        <v/>
      </c>
      <c r="B31" s="14">
        <f>'System Inventory'!C31</f>
        <v/>
      </c>
      <c r="C31" s="14">
        <f>IF(A31="","",IF(OR('System Inventory'!E31="",'Capability Assessment'!E31=""),"❓ Unknown",IF('Capability Assessment'!E31&lt;='System Inventory'!E31,"✅ Compliant","❌ Non-Compliant")))</f>
        <v/>
      </c>
      <c r="D31" s="14">
        <f>IF(A31="","",IF(OR('System Inventory'!F31="",'Capability Assessment'!F31=""),"❓ Unknown",IF('Capability Assessment'!F31&lt;='System Inventory'!F31,"✅ Compliant","❌ Non-Compliant")))</f>
        <v/>
      </c>
      <c r="E31" s="14">
        <f>IF(A31="","",IF(OR(C31="❓ Unknown",D31="❓ Unknown"),"❓ Unknown",IF(AND(C31="✅ Compliant",D31="✅ Compliant"),"✅ Full Compliance",IF(OR(C31="✅ Compliant",D31="✅ Compliant"),"⚠ Partial Compliance","❌ Non-Compliant"))))</f>
        <v/>
      </c>
      <c r="F31" s="14">
        <f>IF(A31="","",IF(AND(B31="Tier 1 - Critical",E31="❌ Non-Compliant"),"[!] Critical",IF(B31="Tier 1 - Critical","[~] High",IF(E31="❌ Non-Compliant","[~] High",IF(E31="⚠ Partial Compliance","[.] Medium","[ ] Low")))))</f>
        <v/>
      </c>
      <c r="G31" s="21">
        <f>IF(A31="","",IF(C31="❌ Non-Compliant",IF(D31="❌ Non-Compliant","Both RPO &amp; RTO gaps","RPO gap only"),IF(D31="❌ Non-Compliant","RTO gap only",IF(E31="❓ Unknown","Testing required","No gaps"))))</f>
        <v/>
      </c>
      <c r="H31" s="23" t="n"/>
    </row>
    <row r="32">
      <c r="A32" s="14">
        <f>'System Inventory'!A32</f>
        <v/>
      </c>
      <c r="B32" s="14">
        <f>'System Inventory'!C32</f>
        <v/>
      </c>
      <c r="C32" s="14">
        <f>IF(A32="","",IF(OR('System Inventory'!E32="",'Capability Assessment'!E32=""),"❓ Unknown",IF('Capability Assessment'!E32&lt;='System Inventory'!E32,"✅ Compliant","❌ Non-Compliant")))</f>
        <v/>
      </c>
      <c r="D32" s="14">
        <f>IF(A32="","",IF(OR('System Inventory'!F32="",'Capability Assessment'!F32=""),"❓ Unknown",IF('Capability Assessment'!F32&lt;='System Inventory'!F32,"✅ Compliant","❌ Non-Compliant")))</f>
        <v/>
      </c>
      <c r="E32" s="14">
        <f>IF(A32="","",IF(OR(C32="❓ Unknown",D32="❓ Unknown"),"❓ Unknown",IF(AND(C32="✅ Compliant",D32="✅ Compliant"),"✅ Full Compliance",IF(OR(C32="✅ Compliant",D32="✅ Compliant"),"⚠ Partial Compliance","❌ Non-Compliant"))))</f>
        <v/>
      </c>
      <c r="F32" s="14">
        <f>IF(A32="","",IF(AND(B32="Tier 1 - Critical",E32="❌ Non-Compliant"),"[!] Critical",IF(B32="Tier 1 - Critical","[~] High",IF(E32="❌ Non-Compliant","[~] High",IF(E32="⚠ Partial Compliance","[.] Medium","[ ] Low")))))</f>
        <v/>
      </c>
      <c r="G32" s="21">
        <f>IF(A32="","",IF(C32="❌ Non-Compliant",IF(D32="❌ Non-Compliant","Both RPO &amp; RTO gaps","RPO gap only"),IF(D32="❌ Non-Compliant","RTO gap only",IF(E32="❓ Unknown","Testing required","No gaps"))))</f>
        <v/>
      </c>
      <c r="H32" s="23" t="n"/>
    </row>
    <row r="33">
      <c r="A33" s="14">
        <f>'System Inventory'!A33</f>
        <v/>
      </c>
      <c r="B33" s="14">
        <f>'System Inventory'!C33</f>
        <v/>
      </c>
      <c r="C33" s="14">
        <f>IF(A33="","",IF(OR('System Inventory'!E33="",'Capability Assessment'!E33=""),"❓ Unknown",IF('Capability Assessment'!E33&lt;='System Inventory'!E33,"✅ Compliant","❌ Non-Compliant")))</f>
        <v/>
      </c>
      <c r="D33" s="14">
        <f>IF(A33="","",IF(OR('System Inventory'!F33="",'Capability Assessment'!F33=""),"❓ Unknown",IF('Capability Assessment'!F33&lt;='System Inventory'!F33,"✅ Compliant","❌ Non-Compliant")))</f>
        <v/>
      </c>
      <c r="E33" s="14">
        <f>IF(A33="","",IF(OR(C33="❓ Unknown",D33="❓ Unknown"),"❓ Unknown",IF(AND(C33="✅ Compliant",D33="✅ Compliant"),"✅ Full Compliance",IF(OR(C33="✅ Compliant",D33="✅ Compliant"),"⚠ Partial Compliance","❌ Non-Compliant"))))</f>
        <v/>
      </c>
      <c r="F33" s="14">
        <f>IF(A33="","",IF(AND(B33="Tier 1 - Critical",E33="❌ Non-Compliant"),"[!] Critical",IF(B33="Tier 1 - Critical","[~] High",IF(E33="❌ Non-Compliant","[~] High",IF(E33="⚠ Partial Compliance","[.] Medium","[ ] Low")))))</f>
        <v/>
      </c>
      <c r="G33" s="21">
        <f>IF(A33="","",IF(C33="❌ Non-Compliant",IF(D33="❌ Non-Compliant","Both RPO &amp; RTO gaps","RPO gap only"),IF(D33="❌ Non-Compliant","RTO gap only",IF(E33="❓ Unknown","Testing required","No gaps"))))</f>
        <v/>
      </c>
      <c r="H33" s="23" t="n"/>
    </row>
    <row r="34">
      <c r="A34" s="14">
        <f>'System Inventory'!A34</f>
        <v/>
      </c>
      <c r="B34" s="14">
        <f>'System Inventory'!C34</f>
        <v/>
      </c>
      <c r="C34" s="14">
        <f>IF(A34="","",IF(OR('System Inventory'!E34="",'Capability Assessment'!E34=""),"❓ Unknown",IF('Capability Assessment'!E34&lt;='System Inventory'!E34,"✅ Compliant","❌ Non-Compliant")))</f>
        <v/>
      </c>
      <c r="D34" s="14">
        <f>IF(A34="","",IF(OR('System Inventory'!F34="",'Capability Assessment'!F34=""),"❓ Unknown",IF('Capability Assessment'!F34&lt;='System Inventory'!F34,"✅ Compliant","❌ Non-Compliant")))</f>
        <v/>
      </c>
      <c r="E34" s="14">
        <f>IF(A34="","",IF(OR(C34="❓ Unknown",D34="❓ Unknown"),"❓ Unknown",IF(AND(C34="✅ Compliant",D34="✅ Compliant"),"✅ Full Compliance",IF(OR(C34="✅ Compliant",D34="✅ Compliant"),"⚠ Partial Compliance","❌ Non-Compliant"))))</f>
        <v/>
      </c>
      <c r="F34" s="14">
        <f>IF(A34="","",IF(AND(B34="Tier 1 - Critical",E34="❌ Non-Compliant"),"[!] Critical",IF(B34="Tier 1 - Critical","[~] High",IF(E34="❌ Non-Compliant","[~] High",IF(E34="⚠ Partial Compliance","[.] Medium","[ ] Low")))))</f>
        <v/>
      </c>
      <c r="G34" s="21">
        <f>IF(A34="","",IF(C34="❌ Non-Compliant",IF(D34="❌ Non-Compliant","Both RPO &amp; RTO gaps","RPO gap only"),IF(D34="❌ Non-Compliant","RTO gap only",IF(E34="❓ Unknown","Testing required","No gaps"))))</f>
        <v/>
      </c>
      <c r="H34" s="23" t="n"/>
    </row>
    <row r="35">
      <c r="A35" s="14">
        <f>'System Inventory'!A35</f>
        <v/>
      </c>
      <c r="B35" s="14">
        <f>'System Inventory'!C35</f>
        <v/>
      </c>
      <c r="C35" s="14">
        <f>IF(A35="","",IF(OR('System Inventory'!E35="",'Capability Assessment'!E35=""),"❓ Unknown",IF('Capability Assessment'!E35&lt;='System Inventory'!E35,"✅ Compliant","❌ Non-Compliant")))</f>
        <v/>
      </c>
      <c r="D35" s="14">
        <f>IF(A35="","",IF(OR('System Inventory'!F35="",'Capability Assessment'!F35=""),"❓ Unknown",IF('Capability Assessment'!F35&lt;='System Inventory'!F35,"✅ Compliant","❌ Non-Compliant")))</f>
        <v/>
      </c>
      <c r="E35" s="14">
        <f>IF(A35="","",IF(OR(C35="❓ Unknown",D35="❓ Unknown"),"❓ Unknown",IF(AND(C35="✅ Compliant",D35="✅ Compliant"),"✅ Full Compliance",IF(OR(C35="✅ Compliant",D35="✅ Compliant"),"⚠ Partial Compliance","❌ Non-Compliant"))))</f>
        <v/>
      </c>
      <c r="F35" s="14">
        <f>IF(A35="","",IF(AND(B35="Tier 1 - Critical",E35="❌ Non-Compliant"),"[!] Critical",IF(B35="Tier 1 - Critical","[~] High",IF(E35="❌ Non-Compliant","[~] High",IF(E35="⚠ Partial Compliance","[.] Medium","[ ] Low")))))</f>
        <v/>
      </c>
      <c r="G35" s="21">
        <f>IF(A35="","",IF(C35="❌ Non-Compliant",IF(D35="❌ Non-Compliant","Both RPO &amp; RTO gaps","RPO gap only"),IF(D35="❌ Non-Compliant","RTO gap only",IF(E35="❓ Unknown","Testing required","No gaps"))))</f>
        <v/>
      </c>
      <c r="H35" s="23" t="n"/>
    </row>
    <row r="36">
      <c r="A36" s="14">
        <f>'System Inventory'!A36</f>
        <v/>
      </c>
      <c r="B36" s="14">
        <f>'System Inventory'!C36</f>
        <v/>
      </c>
      <c r="C36" s="14">
        <f>IF(A36="","",IF(OR('System Inventory'!E36="",'Capability Assessment'!E36=""),"❓ Unknown",IF('Capability Assessment'!E36&lt;='System Inventory'!E36,"✅ Compliant","❌ Non-Compliant")))</f>
        <v/>
      </c>
      <c r="D36" s="14">
        <f>IF(A36="","",IF(OR('System Inventory'!F36="",'Capability Assessment'!F36=""),"❓ Unknown",IF('Capability Assessment'!F36&lt;='System Inventory'!F36,"✅ Compliant","❌ Non-Compliant")))</f>
        <v/>
      </c>
      <c r="E36" s="14">
        <f>IF(A36="","",IF(OR(C36="❓ Unknown",D36="❓ Unknown"),"❓ Unknown",IF(AND(C36="✅ Compliant",D36="✅ Compliant"),"✅ Full Compliance",IF(OR(C36="✅ Compliant",D36="✅ Compliant"),"⚠ Partial Compliance","❌ Non-Compliant"))))</f>
        <v/>
      </c>
      <c r="F36" s="14">
        <f>IF(A36="","",IF(AND(B36="Tier 1 - Critical",E36="❌ Non-Compliant"),"[!] Critical",IF(B36="Tier 1 - Critical","[~] High",IF(E36="❌ Non-Compliant","[~] High",IF(E36="⚠ Partial Compliance","[.] Medium","[ ] Low")))))</f>
        <v/>
      </c>
      <c r="G36" s="21">
        <f>IF(A36="","",IF(C36="❌ Non-Compliant",IF(D36="❌ Non-Compliant","Both RPO &amp; RTO gaps","RPO gap only"),IF(D36="❌ Non-Compliant","RTO gap only",IF(E36="❓ Unknown","Testing required","No gaps"))))</f>
        <v/>
      </c>
      <c r="H36" s="23" t="n"/>
    </row>
    <row r="37">
      <c r="A37" s="14">
        <f>'System Inventory'!A37</f>
        <v/>
      </c>
      <c r="B37" s="14">
        <f>'System Inventory'!C37</f>
        <v/>
      </c>
      <c r="C37" s="14">
        <f>IF(A37="","",IF(OR('System Inventory'!E37="",'Capability Assessment'!E37=""),"❓ Unknown",IF('Capability Assessment'!E37&lt;='System Inventory'!E37,"✅ Compliant","❌ Non-Compliant")))</f>
        <v/>
      </c>
      <c r="D37" s="14">
        <f>IF(A37="","",IF(OR('System Inventory'!F37="",'Capability Assessment'!F37=""),"❓ Unknown",IF('Capability Assessment'!F37&lt;='System Inventory'!F37,"✅ Compliant","❌ Non-Compliant")))</f>
        <v/>
      </c>
      <c r="E37" s="14">
        <f>IF(A37="","",IF(OR(C37="❓ Unknown",D37="❓ Unknown"),"❓ Unknown",IF(AND(C37="✅ Compliant",D37="✅ Compliant"),"✅ Full Compliance",IF(OR(C37="✅ Compliant",D37="✅ Compliant"),"⚠ Partial Compliance","❌ Non-Compliant"))))</f>
        <v/>
      </c>
      <c r="F37" s="14">
        <f>IF(A37="","",IF(AND(B37="Tier 1 - Critical",E37="❌ Non-Compliant"),"[!] Critical",IF(B37="Tier 1 - Critical","[~] High",IF(E37="❌ Non-Compliant","[~] High",IF(E37="⚠ Partial Compliance","[.] Medium","[ ] Low")))))</f>
        <v/>
      </c>
      <c r="G37" s="21">
        <f>IF(A37="","",IF(C37="❌ Non-Compliant",IF(D37="❌ Non-Compliant","Both RPO &amp; RTO gaps","RPO gap only"),IF(D37="❌ Non-Compliant","RTO gap only",IF(E37="❓ Unknown","Testing required","No gaps"))))</f>
        <v/>
      </c>
      <c r="H37" s="23" t="n"/>
    </row>
    <row r="38">
      <c r="A38" s="14">
        <f>'System Inventory'!A38</f>
        <v/>
      </c>
      <c r="B38" s="14">
        <f>'System Inventory'!C38</f>
        <v/>
      </c>
      <c r="C38" s="14">
        <f>IF(A38="","",IF(OR('System Inventory'!E38="",'Capability Assessment'!E38=""),"❓ Unknown",IF('Capability Assessment'!E38&lt;='System Inventory'!E38,"✅ Compliant","❌ Non-Compliant")))</f>
        <v/>
      </c>
      <c r="D38" s="14">
        <f>IF(A38="","",IF(OR('System Inventory'!F38="",'Capability Assessment'!F38=""),"❓ Unknown",IF('Capability Assessment'!F38&lt;='System Inventory'!F38,"✅ Compliant","❌ Non-Compliant")))</f>
        <v/>
      </c>
      <c r="E38" s="14">
        <f>IF(A38="","",IF(OR(C38="❓ Unknown",D38="❓ Unknown"),"❓ Unknown",IF(AND(C38="✅ Compliant",D38="✅ Compliant"),"✅ Full Compliance",IF(OR(C38="✅ Compliant",D38="✅ Compliant"),"⚠ Partial Compliance","❌ Non-Compliant"))))</f>
        <v/>
      </c>
      <c r="F38" s="14">
        <f>IF(A38="","",IF(AND(B38="Tier 1 - Critical",E38="❌ Non-Compliant"),"[!] Critical",IF(B38="Tier 1 - Critical","[~] High",IF(E38="❌ Non-Compliant","[~] High",IF(E38="⚠ Partial Compliance","[.] Medium","[ ] Low")))))</f>
        <v/>
      </c>
      <c r="G38" s="21">
        <f>IF(A38="","",IF(C38="❌ Non-Compliant",IF(D38="❌ Non-Compliant","Both RPO &amp; RTO gaps","RPO gap only"),IF(D38="❌ Non-Compliant","RTO gap only",IF(E38="❓ Unknown","Testing required","No gaps"))))</f>
        <v/>
      </c>
      <c r="H38" s="23" t="n"/>
    </row>
    <row r="39">
      <c r="A39" s="14">
        <f>'System Inventory'!A39</f>
        <v/>
      </c>
      <c r="B39" s="14">
        <f>'System Inventory'!C39</f>
        <v/>
      </c>
      <c r="C39" s="14">
        <f>IF(A39="","",IF(OR('System Inventory'!E39="",'Capability Assessment'!E39=""),"❓ Unknown",IF('Capability Assessment'!E39&lt;='System Inventory'!E39,"✅ Compliant","❌ Non-Compliant")))</f>
        <v/>
      </c>
      <c r="D39" s="14">
        <f>IF(A39="","",IF(OR('System Inventory'!F39="",'Capability Assessment'!F39=""),"❓ Unknown",IF('Capability Assessment'!F39&lt;='System Inventory'!F39,"✅ Compliant","❌ Non-Compliant")))</f>
        <v/>
      </c>
      <c r="E39" s="14">
        <f>IF(A39="","",IF(OR(C39="❓ Unknown",D39="❓ Unknown"),"❓ Unknown",IF(AND(C39="✅ Compliant",D39="✅ Compliant"),"✅ Full Compliance",IF(OR(C39="✅ Compliant",D39="✅ Compliant"),"⚠ Partial Compliance","❌ Non-Compliant"))))</f>
        <v/>
      </c>
      <c r="F39" s="14">
        <f>IF(A39="","",IF(AND(B39="Tier 1 - Critical",E39="❌ Non-Compliant"),"[!] Critical",IF(B39="Tier 1 - Critical","[~] High",IF(E39="❌ Non-Compliant","[~] High",IF(E39="⚠ Partial Compliance","[.] Medium","[ ] Low")))))</f>
        <v/>
      </c>
      <c r="G39" s="21">
        <f>IF(A39="","",IF(C39="❌ Non-Compliant",IF(D39="❌ Non-Compliant","Both RPO &amp; RTO gaps","RPO gap only"),IF(D39="❌ Non-Compliant","RTO gap only",IF(E39="❓ Unknown","Testing required","No gaps"))))</f>
        <v/>
      </c>
      <c r="H39" s="23" t="n"/>
    </row>
    <row r="40">
      <c r="A40" s="14">
        <f>'System Inventory'!A40</f>
        <v/>
      </c>
      <c r="B40" s="14">
        <f>'System Inventory'!C40</f>
        <v/>
      </c>
      <c r="C40" s="14">
        <f>IF(A40="","",IF(OR('System Inventory'!E40="",'Capability Assessment'!E40=""),"❓ Unknown",IF('Capability Assessment'!E40&lt;='System Inventory'!E40,"✅ Compliant","❌ Non-Compliant")))</f>
        <v/>
      </c>
      <c r="D40" s="14">
        <f>IF(A40="","",IF(OR('System Inventory'!F40="",'Capability Assessment'!F40=""),"❓ Unknown",IF('Capability Assessment'!F40&lt;='System Inventory'!F40,"✅ Compliant","❌ Non-Compliant")))</f>
        <v/>
      </c>
      <c r="E40" s="14">
        <f>IF(A40="","",IF(OR(C40="❓ Unknown",D40="❓ Unknown"),"❓ Unknown",IF(AND(C40="✅ Compliant",D40="✅ Compliant"),"✅ Full Compliance",IF(OR(C40="✅ Compliant",D40="✅ Compliant"),"⚠ Partial Compliance","❌ Non-Compliant"))))</f>
        <v/>
      </c>
      <c r="F40" s="14">
        <f>IF(A40="","",IF(AND(B40="Tier 1 - Critical",E40="❌ Non-Compliant"),"[!] Critical",IF(B40="Tier 1 - Critical","[~] High",IF(E40="❌ Non-Compliant","[~] High",IF(E40="⚠ Partial Compliance","[.] Medium","[ ] Low")))))</f>
        <v/>
      </c>
      <c r="G40" s="21">
        <f>IF(A40="","",IF(C40="❌ Non-Compliant",IF(D40="❌ Non-Compliant","Both RPO &amp; RTO gaps","RPO gap only"),IF(D40="❌ Non-Compliant","RTO gap only",IF(E40="❓ Unknown","Testing required","No gaps"))))</f>
        <v/>
      </c>
      <c r="H40" s="23" t="n"/>
    </row>
    <row r="41">
      <c r="A41" s="14">
        <f>'System Inventory'!A41</f>
        <v/>
      </c>
      <c r="B41" s="14">
        <f>'System Inventory'!C41</f>
        <v/>
      </c>
      <c r="C41" s="14">
        <f>IF(A41="","",IF(OR('System Inventory'!E41="",'Capability Assessment'!E41=""),"❓ Unknown",IF('Capability Assessment'!E41&lt;='System Inventory'!E41,"✅ Compliant","❌ Non-Compliant")))</f>
        <v/>
      </c>
      <c r="D41" s="14">
        <f>IF(A41="","",IF(OR('System Inventory'!F41="",'Capability Assessment'!F41=""),"❓ Unknown",IF('Capability Assessment'!F41&lt;='System Inventory'!F41,"✅ Compliant","❌ Non-Compliant")))</f>
        <v/>
      </c>
      <c r="E41" s="14">
        <f>IF(A41="","",IF(OR(C41="❓ Unknown",D41="❓ Unknown"),"❓ Unknown",IF(AND(C41="✅ Compliant",D41="✅ Compliant"),"✅ Full Compliance",IF(OR(C41="✅ Compliant",D41="✅ Compliant"),"⚠ Partial Compliance","❌ Non-Compliant"))))</f>
        <v/>
      </c>
      <c r="F41" s="14">
        <f>IF(A41="","",IF(AND(B41="Tier 1 - Critical",E41="❌ Non-Compliant"),"[!] Critical",IF(B41="Tier 1 - Critical","[~] High",IF(E41="❌ Non-Compliant","[~] High",IF(E41="⚠ Partial Compliance","[.] Medium","[ ] Low")))))</f>
        <v/>
      </c>
      <c r="G41" s="21">
        <f>IF(A41="","",IF(C41="❌ Non-Compliant",IF(D41="❌ Non-Compliant","Both RPO &amp; RTO gaps","RPO gap only"),IF(D41="❌ Non-Compliant","RTO gap only",IF(E41="❓ Unknown","Testing required","No gaps"))))</f>
        <v/>
      </c>
      <c r="H41" s="23" t="n"/>
    </row>
    <row r="42">
      <c r="A42" s="14">
        <f>'System Inventory'!A42</f>
        <v/>
      </c>
      <c r="B42" s="14">
        <f>'System Inventory'!C42</f>
        <v/>
      </c>
      <c r="C42" s="14">
        <f>IF(A42="","",IF(OR('System Inventory'!E42="",'Capability Assessment'!E42=""),"❓ Unknown",IF('Capability Assessment'!E42&lt;='System Inventory'!E42,"✅ Compliant","❌ Non-Compliant")))</f>
        <v/>
      </c>
      <c r="D42" s="14">
        <f>IF(A42="","",IF(OR('System Inventory'!F42="",'Capability Assessment'!F42=""),"❓ Unknown",IF('Capability Assessment'!F42&lt;='System Inventory'!F42,"✅ Compliant","❌ Non-Compliant")))</f>
        <v/>
      </c>
      <c r="E42" s="14">
        <f>IF(A42="","",IF(OR(C42="❓ Unknown",D42="❓ Unknown"),"❓ Unknown",IF(AND(C42="✅ Compliant",D42="✅ Compliant"),"✅ Full Compliance",IF(OR(C42="✅ Compliant",D42="✅ Compliant"),"⚠ Partial Compliance","❌ Non-Compliant"))))</f>
        <v/>
      </c>
      <c r="F42" s="14">
        <f>IF(A42="","",IF(AND(B42="Tier 1 - Critical",E42="❌ Non-Compliant"),"[!] Critical",IF(B42="Tier 1 - Critical","[~] High",IF(E42="❌ Non-Compliant","[~] High",IF(E42="⚠ Partial Compliance","[.] Medium","[ ] Low")))))</f>
        <v/>
      </c>
      <c r="G42" s="21">
        <f>IF(A42="","",IF(C42="❌ Non-Compliant",IF(D42="❌ Non-Compliant","Both RPO &amp; RTO gaps","RPO gap only"),IF(D42="❌ Non-Compliant","RTO gap only",IF(E42="❓ Unknown","Testing required","No gaps"))))</f>
        <v/>
      </c>
      <c r="H42" s="23" t="n"/>
    </row>
    <row r="43">
      <c r="A43" s="14">
        <f>'System Inventory'!A43</f>
        <v/>
      </c>
      <c r="B43" s="14">
        <f>'System Inventory'!C43</f>
        <v/>
      </c>
      <c r="C43" s="14">
        <f>IF(A43="","",IF(OR('System Inventory'!E43="",'Capability Assessment'!E43=""),"❓ Unknown",IF('Capability Assessment'!E43&lt;='System Inventory'!E43,"✅ Compliant","❌ Non-Compliant")))</f>
        <v/>
      </c>
      <c r="D43" s="14">
        <f>IF(A43="","",IF(OR('System Inventory'!F43="",'Capability Assessment'!F43=""),"❓ Unknown",IF('Capability Assessment'!F43&lt;='System Inventory'!F43,"✅ Compliant","❌ Non-Compliant")))</f>
        <v/>
      </c>
      <c r="E43" s="14">
        <f>IF(A43="","",IF(OR(C43="❓ Unknown",D43="❓ Unknown"),"❓ Unknown",IF(AND(C43="✅ Compliant",D43="✅ Compliant"),"✅ Full Compliance",IF(OR(C43="✅ Compliant",D43="✅ Compliant"),"⚠ Partial Compliance","❌ Non-Compliant"))))</f>
        <v/>
      </c>
      <c r="F43" s="14">
        <f>IF(A43="","",IF(AND(B43="Tier 1 - Critical",E43="❌ Non-Compliant"),"[!] Critical",IF(B43="Tier 1 - Critical","[~] High",IF(E43="❌ Non-Compliant","[~] High",IF(E43="⚠ Partial Compliance","[.] Medium","[ ] Low")))))</f>
        <v/>
      </c>
      <c r="G43" s="21">
        <f>IF(A43="","",IF(C43="❌ Non-Compliant",IF(D43="❌ Non-Compliant","Both RPO &amp; RTO gaps","RPO gap only"),IF(D43="❌ Non-Compliant","RTO gap only",IF(E43="❓ Unknown","Testing required","No gaps"))))</f>
        <v/>
      </c>
      <c r="H43" s="23" t="n"/>
    </row>
    <row r="44">
      <c r="A44" s="14">
        <f>'System Inventory'!A44</f>
        <v/>
      </c>
      <c r="B44" s="14">
        <f>'System Inventory'!C44</f>
        <v/>
      </c>
      <c r="C44" s="14">
        <f>IF(A44="","",IF(OR('System Inventory'!E44="",'Capability Assessment'!E44=""),"❓ Unknown",IF('Capability Assessment'!E44&lt;='System Inventory'!E44,"✅ Compliant","❌ Non-Compliant")))</f>
        <v/>
      </c>
      <c r="D44" s="14">
        <f>IF(A44="","",IF(OR('System Inventory'!F44="",'Capability Assessment'!F44=""),"❓ Unknown",IF('Capability Assessment'!F44&lt;='System Inventory'!F44,"✅ Compliant","❌ Non-Compliant")))</f>
        <v/>
      </c>
      <c r="E44" s="14">
        <f>IF(A44="","",IF(OR(C44="❓ Unknown",D44="❓ Unknown"),"❓ Unknown",IF(AND(C44="✅ Compliant",D44="✅ Compliant"),"✅ Full Compliance",IF(OR(C44="✅ Compliant",D44="✅ Compliant"),"⚠ Partial Compliance","❌ Non-Compliant"))))</f>
        <v/>
      </c>
      <c r="F44" s="14">
        <f>IF(A44="","",IF(AND(B44="Tier 1 - Critical",E44="❌ Non-Compliant"),"[!] Critical",IF(B44="Tier 1 - Critical","[~] High",IF(E44="❌ Non-Compliant","[~] High",IF(E44="⚠ Partial Compliance","[.] Medium","[ ] Low")))))</f>
        <v/>
      </c>
      <c r="G44" s="21">
        <f>IF(A44="","",IF(C44="❌ Non-Compliant",IF(D44="❌ Non-Compliant","Both RPO &amp; RTO gaps","RPO gap only"),IF(D44="❌ Non-Compliant","RTO gap only",IF(E44="❓ Unknown","Testing required","No gaps"))))</f>
        <v/>
      </c>
      <c r="H44" s="23" t="n"/>
    </row>
    <row r="45">
      <c r="A45" s="14">
        <f>'System Inventory'!A45</f>
        <v/>
      </c>
      <c r="B45" s="14">
        <f>'System Inventory'!C45</f>
        <v/>
      </c>
      <c r="C45" s="14">
        <f>IF(A45="","",IF(OR('System Inventory'!E45="",'Capability Assessment'!E45=""),"❓ Unknown",IF('Capability Assessment'!E45&lt;='System Inventory'!E45,"✅ Compliant","❌ Non-Compliant")))</f>
        <v/>
      </c>
      <c r="D45" s="14">
        <f>IF(A45="","",IF(OR('System Inventory'!F45="",'Capability Assessment'!F45=""),"❓ Unknown",IF('Capability Assessment'!F45&lt;='System Inventory'!F45,"✅ Compliant","❌ Non-Compliant")))</f>
        <v/>
      </c>
      <c r="E45" s="14">
        <f>IF(A45="","",IF(OR(C45="❓ Unknown",D45="❓ Unknown"),"❓ Unknown",IF(AND(C45="✅ Compliant",D45="✅ Compliant"),"✅ Full Compliance",IF(OR(C45="✅ Compliant",D45="✅ Compliant"),"⚠ Partial Compliance","❌ Non-Compliant"))))</f>
        <v/>
      </c>
      <c r="F45" s="14">
        <f>IF(A45="","",IF(AND(B45="Tier 1 - Critical",E45="❌ Non-Compliant"),"[!] Critical",IF(B45="Tier 1 - Critical","[~] High",IF(E45="❌ Non-Compliant","[~] High",IF(E45="⚠ Partial Compliance","[.] Medium","[ ] Low")))))</f>
        <v/>
      </c>
      <c r="G45" s="21">
        <f>IF(A45="","",IF(C45="❌ Non-Compliant",IF(D45="❌ Non-Compliant","Both RPO &amp; RTO gaps","RPO gap only"),IF(D45="❌ Non-Compliant","RTO gap only",IF(E45="❓ Unknown","Testing required","No gaps"))))</f>
        <v/>
      </c>
      <c r="H45" s="23" t="n"/>
    </row>
    <row r="46">
      <c r="A46" s="14">
        <f>'System Inventory'!A46</f>
        <v/>
      </c>
      <c r="B46" s="14">
        <f>'System Inventory'!C46</f>
        <v/>
      </c>
      <c r="C46" s="14">
        <f>IF(A46="","",IF(OR('System Inventory'!E46="",'Capability Assessment'!E46=""),"❓ Unknown",IF('Capability Assessment'!E46&lt;='System Inventory'!E46,"✅ Compliant","❌ Non-Compliant")))</f>
        <v/>
      </c>
      <c r="D46" s="14">
        <f>IF(A46="","",IF(OR('System Inventory'!F46="",'Capability Assessment'!F46=""),"❓ Unknown",IF('Capability Assessment'!F46&lt;='System Inventory'!F46,"✅ Compliant","❌ Non-Compliant")))</f>
        <v/>
      </c>
      <c r="E46" s="14">
        <f>IF(A46="","",IF(OR(C46="❓ Unknown",D46="❓ Unknown"),"❓ Unknown",IF(AND(C46="✅ Compliant",D46="✅ Compliant"),"✅ Full Compliance",IF(OR(C46="✅ Compliant",D46="✅ Compliant"),"⚠ Partial Compliance","❌ Non-Compliant"))))</f>
        <v/>
      </c>
      <c r="F46" s="14">
        <f>IF(A46="","",IF(AND(B46="Tier 1 - Critical",E46="❌ Non-Compliant"),"[!] Critical",IF(B46="Tier 1 - Critical","[~] High",IF(E46="❌ Non-Compliant","[~] High",IF(E46="⚠ Partial Compliance","[.] Medium","[ ] Low")))))</f>
        <v/>
      </c>
      <c r="G46" s="21">
        <f>IF(A46="","",IF(C46="❌ Non-Compliant",IF(D46="❌ Non-Compliant","Both RPO &amp; RTO gaps","RPO gap only"),IF(D46="❌ Non-Compliant","RTO gap only",IF(E46="❓ Unknown","Testing required","No gaps"))))</f>
        <v/>
      </c>
      <c r="H46" s="23" t="n"/>
    </row>
    <row r="47">
      <c r="A47" s="14">
        <f>'System Inventory'!A47</f>
        <v/>
      </c>
      <c r="B47" s="14">
        <f>'System Inventory'!C47</f>
        <v/>
      </c>
      <c r="C47" s="14">
        <f>IF(A47="","",IF(OR('System Inventory'!E47="",'Capability Assessment'!E47=""),"❓ Unknown",IF('Capability Assessment'!E47&lt;='System Inventory'!E47,"✅ Compliant","❌ Non-Compliant")))</f>
        <v/>
      </c>
      <c r="D47" s="14">
        <f>IF(A47="","",IF(OR('System Inventory'!F47="",'Capability Assessment'!F47=""),"❓ Unknown",IF('Capability Assessment'!F47&lt;='System Inventory'!F47,"✅ Compliant","❌ Non-Compliant")))</f>
        <v/>
      </c>
      <c r="E47" s="14">
        <f>IF(A47="","",IF(OR(C47="❓ Unknown",D47="❓ Unknown"),"❓ Unknown",IF(AND(C47="✅ Compliant",D47="✅ Compliant"),"✅ Full Compliance",IF(OR(C47="✅ Compliant",D47="✅ Compliant"),"⚠ Partial Compliance","❌ Non-Compliant"))))</f>
        <v/>
      </c>
      <c r="F47" s="14">
        <f>IF(A47="","",IF(AND(B47="Tier 1 - Critical",E47="❌ Non-Compliant"),"[!] Critical",IF(B47="Tier 1 - Critical","[~] High",IF(E47="❌ Non-Compliant","[~] High",IF(E47="⚠ Partial Compliance","[.] Medium","[ ] Low")))))</f>
        <v/>
      </c>
      <c r="G47" s="21">
        <f>IF(A47="","",IF(C47="❌ Non-Compliant",IF(D47="❌ Non-Compliant","Both RPO &amp; RTO gaps","RPO gap only"),IF(D47="❌ Non-Compliant","RTO gap only",IF(E47="❓ Unknown","Testing required","No gaps"))))</f>
        <v/>
      </c>
      <c r="H47" s="23" t="n"/>
    </row>
    <row r="48">
      <c r="A48" s="14">
        <f>'System Inventory'!A48</f>
        <v/>
      </c>
      <c r="B48" s="14">
        <f>'System Inventory'!C48</f>
        <v/>
      </c>
      <c r="C48" s="14">
        <f>IF(A48="","",IF(OR('System Inventory'!E48="",'Capability Assessment'!E48=""),"❓ Unknown",IF('Capability Assessment'!E48&lt;='System Inventory'!E48,"✅ Compliant","❌ Non-Compliant")))</f>
        <v/>
      </c>
      <c r="D48" s="14">
        <f>IF(A48="","",IF(OR('System Inventory'!F48="",'Capability Assessment'!F48=""),"❓ Unknown",IF('Capability Assessment'!F48&lt;='System Inventory'!F48,"✅ Compliant","❌ Non-Compliant")))</f>
        <v/>
      </c>
      <c r="E48" s="14">
        <f>IF(A48="","",IF(OR(C48="❓ Unknown",D48="❓ Unknown"),"❓ Unknown",IF(AND(C48="✅ Compliant",D48="✅ Compliant"),"✅ Full Compliance",IF(OR(C48="✅ Compliant",D48="✅ Compliant"),"⚠ Partial Compliance","❌ Non-Compliant"))))</f>
        <v/>
      </c>
      <c r="F48" s="14">
        <f>IF(A48="","",IF(AND(B48="Tier 1 - Critical",E48="❌ Non-Compliant"),"[!] Critical",IF(B48="Tier 1 - Critical","[~] High",IF(E48="❌ Non-Compliant","[~] High",IF(E48="⚠ Partial Compliance","[.] Medium","[ ] Low")))))</f>
        <v/>
      </c>
      <c r="G48" s="21">
        <f>IF(A48="","",IF(C48="❌ Non-Compliant",IF(D48="❌ Non-Compliant","Both RPO &amp; RTO gaps","RPO gap only"),IF(D48="❌ Non-Compliant","RTO gap only",IF(E48="❓ Unknown","Testing required","No gaps"))))</f>
        <v/>
      </c>
      <c r="H48" s="23" t="n"/>
    </row>
    <row r="49">
      <c r="A49" s="14">
        <f>'System Inventory'!A49</f>
        <v/>
      </c>
      <c r="B49" s="14">
        <f>'System Inventory'!C49</f>
        <v/>
      </c>
      <c r="C49" s="14">
        <f>IF(A49="","",IF(OR('System Inventory'!E49="",'Capability Assessment'!E49=""),"❓ Unknown",IF('Capability Assessment'!E49&lt;='System Inventory'!E49,"✅ Compliant","❌ Non-Compliant")))</f>
        <v/>
      </c>
      <c r="D49" s="14">
        <f>IF(A49="","",IF(OR('System Inventory'!F49="",'Capability Assessment'!F49=""),"❓ Unknown",IF('Capability Assessment'!F49&lt;='System Inventory'!F49,"✅ Compliant","❌ Non-Compliant")))</f>
        <v/>
      </c>
      <c r="E49" s="14">
        <f>IF(A49="","",IF(OR(C49="❓ Unknown",D49="❓ Unknown"),"❓ Unknown",IF(AND(C49="✅ Compliant",D49="✅ Compliant"),"✅ Full Compliance",IF(OR(C49="✅ Compliant",D49="✅ Compliant"),"⚠ Partial Compliance","❌ Non-Compliant"))))</f>
        <v/>
      </c>
      <c r="F49" s="14">
        <f>IF(A49="","",IF(AND(B49="Tier 1 - Critical",E49="❌ Non-Compliant"),"[!] Critical",IF(B49="Tier 1 - Critical","[~] High",IF(E49="❌ Non-Compliant","[~] High",IF(E49="⚠ Partial Compliance","[.] Medium","[ ] Low")))))</f>
        <v/>
      </c>
      <c r="G49" s="21">
        <f>IF(A49="","",IF(C49="❌ Non-Compliant",IF(D49="❌ Non-Compliant","Both RPO &amp; RTO gaps","RPO gap only"),IF(D49="❌ Non-Compliant","RTO gap only",IF(E49="❓ Unknown","Testing required","No gaps"))))</f>
        <v/>
      </c>
      <c r="H49" s="23" t="n"/>
    </row>
    <row r="50">
      <c r="A50" s="14">
        <f>'System Inventory'!A50</f>
        <v/>
      </c>
      <c r="B50" s="14">
        <f>'System Inventory'!C50</f>
        <v/>
      </c>
      <c r="C50" s="14">
        <f>IF(A50="","",IF(OR('System Inventory'!E50="",'Capability Assessment'!E50=""),"❓ Unknown",IF('Capability Assessment'!E50&lt;='System Inventory'!E50,"✅ Compliant","❌ Non-Compliant")))</f>
        <v/>
      </c>
      <c r="D50" s="14">
        <f>IF(A50="","",IF(OR('System Inventory'!F50="",'Capability Assessment'!F50=""),"❓ Unknown",IF('Capability Assessment'!F50&lt;='System Inventory'!F50,"✅ Compliant","❌ Non-Compliant")))</f>
        <v/>
      </c>
      <c r="E50" s="14">
        <f>IF(A50="","",IF(OR(C50="❓ Unknown",D50="❓ Unknown"),"❓ Unknown",IF(AND(C50="✅ Compliant",D50="✅ Compliant"),"✅ Full Compliance",IF(OR(C50="✅ Compliant",D50="✅ Compliant"),"⚠ Partial Compliance","❌ Non-Compliant"))))</f>
        <v/>
      </c>
      <c r="F50" s="14">
        <f>IF(A50="","",IF(AND(B50="Tier 1 - Critical",E50="❌ Non-Compliant"),"[!] Critical",IF(B50="Tier 1 - Critical","[~] High",IF(E50="❌ Non-Compliant","[~] High",IF(E50="⚠ Partial Compliance","[.] Medium","[ ] Low")))))</f>
        <v/>
      </c>
      <c r="G50" s="21">
        <f>IF(A50="","",IF(C50="❌ Non-Compliant",IF(D50="❌ Non-Compliant","Both RPO &amp; RTO gaps","RPO gap only"),IF(D50="❌ Non-Compliant","RTO gap only",IF(E50="❓ Unknown","Testing required","No gaps"))))</f>
        <v/>
      </c>
      <c r="H50" s="23" t="n"/>
    </row>
    <row r="51">
      <c r="A51" s="14">
        <f>'System Inventory'!A51</f>
        <v/>
      </c>
      <c r="B51" s="14">
        <f>'System Inventory'!C51</f>
        <v/>
      </c>
      <c r="C51" s="14">
        <f>IF(A51="","",IF(OR('System Inventory'!E51="",'Capability Assessment'!E51=""),"❓ Unknown",IF('Capability Assessment'!E51&lt;='System Inventory'!E51,"✅ Compliant","❌ Non-Compliant")))</f>
        <v/>
      </c>
      <c r="D51" s="14">
        <f>IF(A51="","",IF(OR('System Inventory'!F51="",'Capability Assessment'!F51=""),"❓ Unknown",IF('Capability Assessment'!F51&lt;='System Inventory'!F51,"✅ Compliant","❌ Non-Compliant")))</f>
        <v/>
      </c>
      <c r="E51" s="14">
        <f>IF(A51="","",IF(OR(C51="❓ Unknown",D51="❓ Unknown"),"❓ Unknown",IF(AND(C51="✅ Compliant",D51="✅ Compliant"),"✅ Full Compliance",IF(OR(C51="✅ Compliant",D51="✅ Compliant"),"⚠ Partial Compliance","❌ Non-Compliant"))))</f>
        <v/>
      </c>
      <c r="F51" s="14">
        <f>IF(A51="","",IF(AND(B51="Tier 1 - Critical",E51="❌ Non-Compliant"),"[!] Critical",IF(B51="Tier 1 - Critical","[~] High",IF(E51="❌ Non-Compliant","[~] High",IF(E51="⚠ Partial Compliance","[.] Medium","[ ] Low")))))</f>
        <v/>
      </c>
      <c r="G51" s="21">
        <f>IF(A51="","",IF(C51="❌ Non-Compliant",IF(D51="❌ Non-Compliant","Both RPO &amp; RTO gaps","RPO gap only"),IF(D51="❌ Non-Compliant","RTO gap only",IF(E51="❓ Unknown","Testing required","No gaps"))))</f>
        <v/>
      </c>
      <c r="H51" s="23" t="n"/>
    </row>
    <row r="52">
      <c r="A52" s="14">
        <f>'System Inventory'!A52</f>
        <v/>
      </c>
      <c r="B52" s="14">
        <f>'System Inventory'!C52</f>
        <v/>
      </c>
      <c r="C52" s="14">
        <f>IF(A52="","",IF(OR('System Inventory'!E52="",'Capability Assessment'!E52=""),"❓ Unknown",IF('Capability Assessment'!E52&lt;='System Inventory'!E52,"✅ Compliant","❌ Non-Compliant")))</f>
        <v/>
      </c>
      <c r="D52" s="14">
        <f>IF(A52="","",IF(OR('System Inventory'!F52="",'Capability Assessment'!F52=""),"❓ Unknown",IF('Capability Assessment'!F52&lt;='System Inventory'!F52,"✅ Compliant","❌ Non-Compliant")))</f>
        <v/>
      </c>
      <c r="E52" s="14">
        <f>IF(A52="","",IF(OR(C52="❓ Unknown",D52="❓ Unknown"),"❓ Unknown",IF(AND(C52="✅ Compliant",D52="✅ Compliant"),"✅ Full Compliance",IF(OR(C52="✅ Compliant",D52="✅ Compliant"),"⚠ Partial Compliance","❌ Non-Compliant"))))</f>
        <v/>
      </c>
      <c r="F52" s="14">
        <f>IF(A52="","",IF(AND(B52="Tier 1 - Critical",E52="❌ Non-Compliant"),"[!] Critical",IF(B52="Tier 1 - Critical","[~] High",IF(E52="❌ Non-Compliant","[~] High",IF(E52="⚠ Partial Compliance","[.] Medium","[ ] Low")))))</f>
        <v/>
      </c>
      <c r="G52" s="21">
        <f>IF(A52="","",IF(C52="❌ Non-Compliant",IF(D52="❌ Non-Compliant","Both RPO &amp; RTO gaps","RPO gap only"),IF(D52="❌ Non-Compliant","RTO gap only",IF(E52="❓ Unknown","Testing required","No gaps"))))</f>
        <v/>
      </c>
      <c r="H52" s="23" t="n"/>
    </row>
    <row r="53">
      <c r="A53" s="14">
        <f>'System Inventory'!A53</f>
        <v/>
      </c>
      <c r="B53" s="14">
        <f>'System Inventory'!C53</f>
        <v/>
      </c>
      <c r="C53" s="14">
        <f>IF(A53="","",IF(OR('System Inventory'!E53="",'Capability Assessment'!E53=""),"❓ Unknown",IF('Capability Assessment'!E53&lt;='System Inventory'!E53,"✅ Compliant","❌ Non-Compliant")))</f>
        <v/>
      </c>
      <c r="D53" s="14">
        <f>IF(A53="","",IF(OR('System Inventory'!F53="",'Capability Assessment'!F53=""),"❓ Unknown",IF('Capability Assessment'!F53&lt;='System Inventory'!F53,"✅ Compliant","❌ Non-Compliant")))</f>
        <v/>
      </c>
      <c r="E53" s="14">
        <f>IF(A53="","",IF(OR(C53="❓ Unknown",D53="❓ Unknown"),"❓ Unknown",IF(AND(C53="✅ Compliant",D53="✅ Compliant"),"✅ Full Compliance",IF(OR(C53="✅ Compliant",D53="✅ Compliant"),"⚠ Partial Compliance","❌ Non-Compliant"))))</f>
        <v/>
      </c>
      <c r="F53" s="14">
        <f>IF(A53="","",IF(AND(B53="Tier 1 - Critical",E53="❌ Non-Compliant"),"[!] Critical",IF(B53="Tier 1 - Critical","[~] High",IF(E53="❌ Non-Compliant","[~] High",IF(E53="⚠ Partial Compliance","[.] Medium","[ ] Low")))))</f>
        <v/>
      </c>
      <c r="G53" s="21">
        <f>IF(A53="","",IF(C53="❌ Non-Compliant",IF(D53="❌ Non-Compliant","Both RPO &amp; RTO gaps","RPO gap only"),IF(D53="❌ Non-Compliant","RTO gap only",IF(E53="❓ Unknown","Testing required","No gaps"))))</f>
        <v/>
      </c>
      <c r="H53" s="23" t="n"/>
    </row>
    <row r="54">
      <c r="A54" s="14">
        <f>'System Inventory'!A54</f>
        <v/>
      </c>
      <c r="B54" s="14">
        <f>'System Inventory'!C54</f>
        <v/>
      </c>
      <c r="C54" s="14">
        <f>IF(A54="","",IF(OR('System Inventory'!E54="",'Capability Assessment'!E54=""),"❓ Unknown",IF('Capability Assessment'!E54&lt;='System Inventory'!E54,"✅ Compliant","❌ Non-Compliant")))</f>
        <v/>
      </c>
      <c r="D54" s="14">
        <f>IF(A54="","",IF(OR('System Inventory'!F54="",'Capability Assessment'!F54=""),"❓ Unknown",IF('Capability Assessment'!F54&lt;='System Inventory'!F54,"✅ Compliant","❌ Non-Compliant")))</f>
        <v/>
      </c>
      <c r="E54" s="14">
        <f>IF(A54="","",IF(OR(C54="❓ Unknown",D54="❓ Unknown"),"❓ Unknown",IF(AND(C54="✅ Compliant",D54="✅ Compliant"),"✅ Full Compliance",IF(OR(C54="✅ Compliant",D54="✅ Compliant"),"⚠ Partial Compliance","❌ Non-Compliant"))))</f>
        <v/>
      </c>
      <c r="F54" s="14">
        <f>IF(A54="","",IF(AND(B54="Tier 1 - Critical",E54="❌ Non-Compliant"),"[!] Critical",IF(B54="Tier 1 - Critical","[~] High",IF(E54="❌ Non-Compliant","[~] High",IF(E54="⚠ Partial Compliance","[.] Medium","[ ] Low")))))</f>
        <v/>
      </c>
      <c r="G54" s="21">
        <f>IF(A54="","",IF(C54="❌ Non-Compliant",IF(D54="❌ Non-Compliant","Both RPO &amp; RTO gaps","RPO gap only"),IF(D54="❌ Non-Compliant","RTO gap only",IF(E54="❓ Unknown","Testing required","No gaps"))))</f>
        <v/>
      </c>
      <c r="H54" s="23" t="n"/>
    </row>
    <row r="55">
      <c r="A55" s="14">
        <f>'System Inventory'!A55</f>
        <v/>
      </c>
      <c r="B55" s="14">
        <f>'System Inventory'!C55</f>
        <v/>
      </c>
      <c r="C55" s="14">
        <f>IF(A55="","",IF(OR('System Inventory'!E55="",'Capability Assessment'!E55=""),"❓ Unknown",IF('Capability Assessment'!E55&lt;='System Inventory'!E55,"✅ Compliant","❌ Non-Compliant")))</f>
        <v/>
      </c>
      <c r="D55" s="14">
        <f>IF(A55="","",IF(OR('System Inventory'!F55="",'Capability Assessment'!F55=""),"❓ Unknown",IF('Capability Assessment'!F55&lt;='System Inventory'!F55,"✅ Compliant","❌ Non-Compliant")))</f>
        <v/>
      </c>
      <c r="E55" s="14">
        <f>IF(A55="","",IF(OR(C55="❓ Unknown",D55="❓ Unknown"),"❓ Unknown",IF(AND(C55="✅ Compliant",D55="✅ Compliant"),"✅ Full Compliance",IF(OR(C55="✅ Compliant",D55="✅ Compliant"),"⚠ Partial Compliance","❌ Non-Compliant"))))</f>
        <v/>
      </c>
      <c r="F55" s="14">
        <f>IF(A55="","",IF(AND(B55="Tier 1 - Critical",E55="❌ Non-Compliant"),"[!] Critical",IF(B55="Tier 1 - Critical","[~] High",IF(E55="❌ Non-Compliant","[~] High",IF(E55="⚠ Partial Compliance","[.] Medium","[ ] Low")))))</f>
        <v/>
      </c>
      <c r="G55" s="21">
        <f>IF(A55="","",IF(C55="❌ Non-Compliant",IF(D55="❌ Non-Compliant","Both RPO &amp; RTO gaps","RPO gap only"),IF(D55="❌ Non-Compliant","RTO gap only",IF(E55="❓ Unknown","Testing required","No gaps"))))</f>
        <v/>
      </c>
      <c r="H55" s="23" t="n"/>
    </row>
    <row r="56">
      <c r="A56" s="14">
        <f>'System Inventory'!A56</f>
        <v/>
      </c>
      <c r="B56" s="14">
        <f>'System Inventory'!C56</f>
        <v/>
      </c>
      <c r="C56" s="14">
        <f>IF(A56="","",IF(OR('System Inventory'!E56="",'Capability Assessment'!E56=""),"❓ Unknown",IF('Capability Assessment'!E56&lt;='System Inventory'!E56,"✅ Compliant","❌ Non-Compliant")))</f>
        <v/>
      </c>
      <c r="D56" s="14">
        <f>IF(A56="","",IF(OR('System Inventory'!F56="",'Capability Assessment'!F56=""),"❓ Unknown",IF('Capability Assessment'!F56&lt;='System Inventory'!F56,"✅ Compliant","❌ Non-Compliant")))</f>
        <v/>
      </c>
      <c r="E56" s="14">
        <f>IF(A56="","",IF(OR(C56="❓ Unknown",D56="❓ Unknown"),"❓ Unknown",IF(AND(C56="✅ Compliant",D56="✅ Compliant"),"✅ Full Compliance",IF(OR(C56="✅ Compliant",D56="✅ Compliant"),"⚠ Partial Compliance","❌ Non-Compliant"))))</f>
        <v/>
      </c>
      <c r="F56" s="14">
        <f>IF(A56="","",IF(AND(B56="Tier 1 - Critical",E56="❌ Non-Compliant"),"[!] Critical",IF(B56="Tier 1 - Critical","[~] High",IF(E56="❌ Non-Compliant","[~] High",IF(E56="⚠ Partial Compliance","[.] Medium","[ ] Low")))))</f>
        <v/>
      </c>
      <c r="G56" s="21">
        <f>IF(A56="","",IF(C56="❌ Non-Compliant",IF(D56="❌ Non-Compliant","Both RPO &amp; RTO gaps","RPO gap only"),IF(D56="❌ Non-Compliant","RTO gap only",IF(E56="❓ Unknown","Testing required","No gaps"))))</f>
        <v/>
      </c>
      <c r="H56" s="23" t="n"/>
    </row>
    <row r="57">
      <c r="A57" s="14">
        <f>'System Inventory'!A57</f>
        <v/>
      </c>
      <c r="B57" s="14">
        <f>'System Inventory'!C57</f>
        <v/>
      </c>
      <c r="C57" s="14">
        <f>IF(A57="","",IF(OR('System Inventory'!E57="",'Capability Assessment'!E57=""),"❓ Unknown",IF('Capability Assessment'!E57&lt;='System Inventory'!E57,"✅ Compliant","❌ Non-Compliant")))</f>
        <v/>
      </c>
      <c r="D57" s="14">
        <f>IF(A57="","",IF(OR('System Inventory'!F57="",'Capability Assessment'!F57=""),"❓ Unknown",IF('Capability Assessment'!F57&lt;='System Inventory'!F57,"✅ Compliant","❌ Non-Compliant")))</f>
        <v/>
      </c>
      <c r="E57" s="14">
        <f>IF(A57="","",IF(OR(C57="❓ Unknown",D57="❓ Unknown"),"❓ Unknown",IF(AND(C57="✅ Compliant",D57="✅ Compliant"),"✅ Full Compliance",IF(OR(C57="✅ Compliant",D57="✅ Compliant"),"⚠ Partial Compliance","❌ Non-Compliant"))))</f>
        <v/>
      </c>
      <c r="F57" s="14">
        <f>IF(A57="","",IF(AND(B57="Tier 1 - Critical",E57="❌ Non-Compliant"),"[!] Critical",IF(B57="Tier 1 - Critical","[~] High",IF(E57="❌ Non-Compliant","[~] High",IF(E57="⚠ Partial Compliance","[.] Medium","[ ] Low")))))</f>
        <v/>
      </c>
      <c r="G57" s="21">
        <f>IF(A57="","",IF(C57="❌ Non-Compliant",IF(D57="❌ Non-Compliant","Both RPO &amp; RTO gaps","RPO gap only"),IF(D57="❌ Non-Compliant","RTO gap only",IF(E57="❓ Unknown","Testing required","No gaps"))))</f>
        <v/>
      </c>
      <c r="H57" s="23" t="n"/>
    </row>
    <row r="58">
      <c r="A58" s="14">
        <f>'System Inventory'!A58</f>
        <v/>
      </c>
      <c r="B58" s="14">
        <f>'System Inventory'!C58</f>
        <v/>
      </c>
      <c r="C58" s="14">
        <f>IF(A58="","",IF(OR('System Inventory'!E58="",'Capability Assessment'!E58=""),"❓ Unknown",IF('Capability Assessment'!E58&lt;='System Inventory'!E58,"✅ Compliant","❌ Non-Compliant")))</f>
        <v/>
      </c>
      <c r="D58" s="14">
        <f>IF(A58="","",IF(OR('System Inventory'!F58="",'Capability Assessment'!F58=""),"❓ Unknown",IF('Capability Assessment'!F58&lt;='System Inventory'!F58,"✅ Compliant","❌ Non-Compliant")))</f>
        <v/>
      </c>
      <c r="E58" s="14">
        <f>IF(A58="","",IF(OR(C58="❓ Unknown",D58="❓ Unknown"),"❓ Unknown",IF(AND(C58="✅ Compliant",D58="✅ Compliant"),"✅ Full Compliance",IF(OR(C58="✅ Compliant",D58="✅ Compliant"),"⚠ Partial Compliance","❌ Non-Compliant"))))</f>
        <v/>
      </c>
      <c r="F58" s="14">
        <f>IF(A58="","",IF(AND(B58="Tier 1 - Critical",E58="❌ Non-Compliant"),"[!] Critical",IF(B58="Tier 1 - Critical","[~] High",IF(E58="❌ Non-Compliant","[~] High",IF(E58="⚠ Partial Compliance","[.] Medium","[ ] Low")))))</f>
        <v/>
      </c>
      <c r="G58" s="21">
        <f>IF(A58="","",IF(C58="❌ Non-Compliant",IF(D58="❌ Non-Compliant","Both RPO &amp; RTO gaps","RPO gap only"),IF(D58="❌ Non-Compliant","RTO gap only",IF(E58="❓ Unknown","Testing required","No gaps"))))</f>
        <v/>
      </c>
      <c r="H58" s="23" t="n"/>
    </row>
    <row r="59">
      <c r="A59" s="14">
        <f>'System Inventory'!A59</f>
        <v/>
      </c>
      <c r="B59" s="14">
        <f>'System Inventory'!C59</f>
        <v/>
      </c>
      <c r="C59" s="14">
        <f>IF(A59="","",IF(OR('System Inventory'!E59="",'Capability Assessment'!E59=""),"❓ Unknown",IF('Capability Assessment'!E59&lt;='System Inventory'!E59,"✅ Compliant","❌ Non-Compliant")))</f>
        <v/>
      </c>
      <c r="D59" s="14">
        <f>IF(A59="","",IF(OR('System Inventory'!F59="",'Capability Assessment'!F59=""),"❓ Unknown",IF('Capability Assessment'!F59&lt;='System Inventory'!F59,"✅ Compliant","❌ Non-Compliant")))</f>
        <v/>
      </c>
      <c r="E59" s="14">
        <f>IF(A59="","",IF(OR(C59="❓ Unknown",D59="❓ Unknown"),"❓ Unknown",IF(AND(C59="✅ Compliant",D59="✅ Compliant"),"✅ Full Compliance",IF(OR(C59="✅ Compliant",D59="✅ Compliant"),"⚠ Partial Compliance","❌ Non-Compliant"))))</f>
        <v/>
      </c>
      <c r="F59" s="14">
        <f>IF(A59="","",IF(AND(B59="Tier 1 - Critical",E59="❌ Non-Compliant"),"[!] Critical",IF(B59="Tier 1 - Critical","[~] High",IF(E59="❌ Non-Compliant","[~] High",IF(E59="⚠ Partial Compliance","[.] Medium","[ ] Low")))))</f>
        <v/>
      </c>
      <c r="G59" s="21">
        <f>IF(A59="","",IF(C59="❌ Non-Compliant",IF(D59="❌ Non-Compliant","Both RPO &amp; RTO gaps","RPO gap only"),IF(D59="❌ Non-Compliant","RTO gap only",IF(E59="❓ Unknown","Testing required","No gaps"))))</f>
        <v/>
      </c>
      <c r="H59" s="23" t="n"/>
    </row>
    <row r="60">
      <c r="A60" s="14">
        <f>'System Inventory'!A60</f>
        <v/>
      </c>
      <c r="B60" s="14">
        <f>'System Inventory'!C60</f>
        <v/>
      </c>
      <c r="C60" s="14">
        <f>IF(A60="","",IF(OR('System Inventory'!E60="",'Capability Assessment'!E60=""),"❓ Unknown",IF('Capability Assessment'!E60&lt;='System Inventory'!E60,"✅ Compliant","❌ Non-Compliant")))</f>
        <v/>
      </c>
      <c r="D60" s="14">
        <f>IF(A60="","",IF(OR('System Inventory'!F60="",'Capability Assessment'!F60=""),"❓ Unknown",IF('Capability Assessment'!F60&lt;='System Inventory'!F60,"✅ Compliant","❌ Non-Compliant")))</f>
        <v/>
      </c>
      <c r="E60" s="14">
        <f>IF(A60="","",IF(OR(C60="❓ Unknown",D60="❓ Unknown"),"❓ Unknown",IF(AND(C60="✅ Compliant",D60="✅ Compliant"),"✅ Full Compliance",IF(OR(C60="✅ Compliant",D60="✅ Compliant"),"⚠ Partial Compliance","❌ Non-Compliant"))))</f>
        <v/>
      </c>
      <c r="F60" s="14">
        <f>IF(A60="","",IF(AND(B60="Tier 1 - Critical",E60="❌ Non-Compliant"),"[!] Critical",IF(B60="Tier 1 - Critical","[~] High",IF(E60="❌ Non-Compliant","[~] High",IF(E60="⚠ Partial Compliance","[.] Medium","[ ] Low")))))</f>
        <v/>
      </c>
      <c r="G60" s="21">
        <f>IF(A60="","",IF(C60="❌ Non-Compliant",IF(D60="❌ Non-Compliant","Both RPO &amp; RTO gaps","RPO gap only"),IF(D60="❌ Non-Compliant","RTO gap only",IF(E60="❓ Unknown","Testing required","No gaps"))))</f>
        <v/>
      </c>
      <c r="H60" s="23" t="n"/>
    </row>
    <row r="61">
      <c r="A61" s="14">
        <f>'System Inventory'!A61</f>
        <v/>
      </c>
      <c r="B61" s="14">
        <f>'System Inventory'!C61</f>
        <v/>
      </c>
      <c r="C61" s="14">
        <f>IF(A61="","",IF(OR('System Inventory'!E61="",'Capability Assessment'!E61=""),"❓ Unknown",IF('Capability Assessment'!E61&lt;='System Inventory'!E61,"✅ Compliant","❌ Non-Compliant")))</f>
        <v/>
      </c>
      <c r="D61" s="14">
        <f>IF(A61="","",IF(OR('System Inventory'!F61="",'Capability Assessment'!F61=""),"❓ Unknown",IF('Capability Assessment'!F61&lt;='System Inventory'!F61,"✅ Compliant","❌ Non-Compliant")))</f>
        <v/>
      </c>
      <c r="E61" s="14">
        <f>IF(A61="","",IF(OR(C61="❓ Unknown",D61="❓ Unknown"),"❓ Unknown",IF(AND(C61="✅ Compliant",D61="✅ Compliant"),"✅ Full Compliance",IF(OR(C61="✅ Compliant",D61="✅ Compliant"),"⚠ Partial Compliance","❌ Non-Compliant"))))</f>
        <v/>
      </c>
      <c r="F61" s="14">
        <f>IF(A61="","",IF(AND(B61="Tier 1 - Critical",E61="❌ Non-Compliant"),"[!] Critical",IF(B61="Tier 1 - Critical","[~] High",IF(E61="❌ Non-Compliant","[~] High",IF(E61="⚠ Partial Compliance","[.] Medium","[ ] Low")))))</f>
        <v/>
      </c>
      <c r="G61" s="21">
        <f>IF(A61="","",IF(C61="❌ Non-Compliant",IF(D61="❌ Non-Compliant","Both RPO &amp; RTO gaps","RPO gap only"),IF(D61="❌ Non-Compliant","RTO gap only",IF(E61="❓ Unknown","Testing required","No gaps"))))</f>
        <v/>
      </c>
      <c r="H61" s="23" t="n"/>
    </row>
    <row r="62">
      <c r="A62" s="14">
        <f>'System Inventory'!A62</f>
        <v/>
      </c>
      <c r="B62" s="14">
        <f>'System Inventory'!C62</f>
        <v/>
      </c>
      <c r="C62" s="14">
        <f>IF(A62="","",IF(OR('System Inventory'!E62="",'Capability Assessment'!E62=""),"❓ Unknown",IF('Capability Assessment'!E62&lt;='System Inventory'!E62,"✅ Compliant","❌ Non-Compliant")))</f>
        <v/>
      </c>
      <c r="D62" s="14">
        <f>IF(A62="","",IF(OR('System Inventory'!F62="",'Capability Assessment'!F62=""),"❓ Unknown",IF('Capability Assessment'!F62&lt;='System Inventory'!F62,"✅ Compliant","❌ Non-Compliant")))</f>
        <v/>
      </c>
      <c r="E62" s="14">
        <f>IF(A62="","",IF(OR(C62="❓ Unknown",D62="❓ Unknown"),"❓ Unknown",IF(AND(C62="✅ Compliant",D62="✅ Compliant"),"✅ Full Compliance",IF(OR(C62="✅ Compliant",D62="✅ Compliant"),"⚠ Partial Compliance","❌ Non-Compliant"))))</f>
        <v/>
      </c>
      <c r="F62" s="14">
        <f>IF(A62="","",IF(AND(B62="Tier 1 - Critical",E62="❌ Non-Compliant"),"[!] Critical",IF(B62="Tier 1 - Critical","[~] High",IF(E62="❌ Non-Compliant","[~] High",IF(E62="⚠ Partial Compliance","[.] Medium","[ ] Low")))))</f>
        <v/>
      </c>
      <c r="G62" s="21">
        <f>IF(A62="","",IF(C62="❌ Non-Compliant",IF(D62="❌ Non-Compliant","Both RPO &amp; RTO gaps","RPO gap only"),IF(D62="❌ Non-Compliant","RTO gap only",IF(E62="❓ Unknown","Testing required","No gaps"))))</f>
        <v/>
      </c>
      <c r="H62" s="23" t="n"/>
    </row>
    <row r="63">
      <c r="A63" s="14">
        <f>'System Inventory'!A63</f>
        <v/>
      </c>
      <c r="B63" s="14">
        <f>'System Inventory'!C63</f>
        <v/>
      </c>
      <c r="C63" s="14">
        <f>IF(A63="","",IF(OR('System Inventory'!E63="",'Capability Assessment'!E63=""),"❓ Unknown",IF('Capability Assessment'!E63&lt;='System Inventory'!E63,"✅ Compliant","❌ Non-Compliant")))</f>
        <v/>
      </c>
      <c r="D63" s="14">
        <f>IF(A63="","",IF(OR('System Inventory'!F63="",'Capability Assessment'!F63=""),"❓ Unknown",IF('Capability Assessment'!F63&lt;='System Inventory'!F63,"✅ Compliant","❌ Non-Compliant")))</f>
        <v/>
      </c>
      <c r="E63" s="14">
        <f>IF(A63="","",IF(OR(C63="❓ Unknown",D63="❓ Unknown"),"❓ Unknown",IF(AND(C63="✅ Compliant",D63="✅ Compliant"),"✅ Full Compliance",IF(OR(C63="✅ Compliant",D63="✅ Compliant"),"⚠ Partial Compliance","❌ Non-Compliant"))))</f>
        <v/>
      </c>
      <c r="F63" s="14">
        <f>IF(A63="","",IF(AND(B63="Tier 1 - Critical",E63="❌ Non-Compliant"),"[!] Critical",IF(B63="Tier 1 - Critical","[~] High",IF(E63="❌ Non-Compliant","[~] High",IF(E63="⚠ Partial Compliance","[.] Medium","[ ] Low")))))</f>
        <v/>
      </c>
      <c r="G63" s="21">
        <f>IF(A63="","",IF(C63="❌ Non-Compliant",IF(D63="❌ Non-Compliant","Both RPO &amp; RTO gaps","RPO gap only"),IF(D63="❌ Non-Compliant","RTO gap only",IF(E63="❓ Unknown","Testing required","No gaps"))))</f>
        <v/>
      </c>
      <c r="H63" s="23" t="n"/>
    </row>
    <row r="64">
      <c r="A64" s="14">
        <f>'System Inventory'!A64</f>
        <v/>
      </c>
      <c r="B64" s="14">
        <f>'System Inventory'!C64</f>
        <v/>
      </c>
      <c r="C64" s="14">
        <f>IF(A64="","",IF(OR('System Inventory'!E64="",'Capability Assessment'!E64=""),"❓ Unknown",IF('Capability Assessment'!E64&lt;='System Inventory'!E64,"✅ Compliant","❌ Non-Compliant")))</f>
        <v/>
      </c>
      <c r="D64" s="14">
        <f>IF(A64="","",IF(OR('System Inventory'!F64="",'Capability Assessment'!F64=""),"❓ Unknown",IF('Capability Assessment'!F64&lt;='System Inventory'!F64,"✅ Compliant","❌ Non-Compliant")))</f>
        <v/>
      </c>
      <c r="E64" s="14">
        <f>IF(A64="","",IF(OR(C64="❓ Unknown",D64="❓ Unknown"),"❓ Unknown",IF(AND(C64="✅ Compliant",D64="✅ Compliant"),"✅ Full Compliance",IF(OR(C64="✅ Compliant",D64="✅ Compliant"),"⚠ Partial Compliance","❌ Non-Compliant"))))</f>
        <v/>
      </c>
      <c r="F64" s="14">
        <f>IF(A64="","",IF(AND(B64="Tier 1 - Critical",E64="❌ Non-Compliant"),"[!] Critical",IF(B64="Tier 1 - Critical","[~] High",IF(E64="❌ Non-Compliant","[~] High",IF(E64="⚠ Partial Compliance","[.] Medium","[ ] Low")))))</f>
        <v/>
      </c>
      <c r="G64" s="21">
        <f>IF(A64="","",IF(C64="❌ Non-Compliant",IF(D64="❌ Non-Compliant","Both RPO &amp; RTO gaps","RPO gap only"),IF(D64="❌ Non-Compliant","RTO gap only",IF(E64="❓ Unknown","Testing required","No gaps"))))</f>
        <v/>
      </c>
      <c r="H64" s="23" t="n"/>
    </row>
    <row r="65">
      <c r="A65" s="14">
        <f>'System Inventory'!A65</f>
        <v/>
      </c>
      <c r="B65" s="14">
        <f>'System Inventory'!C65</f>
        <v/>
      </c>
      <c r="C65" s="14">
        <f>IF(A65="","",IF(OR('System Inventory'!E65="",'Capability Assessment'!E65=""),"❓ Unknown",IF('Capability Assessment'!E65&lt;='System Inventory'!E65,"✅ Compliant","❌ Non-Compliant")))</f>
        <v/>
      </c>
      <c r="D65" s="14">
        <f>IF(A65="","",IF(OR('System Inventory'!F65="",'Capability Assessment'!F65=""),"❓ Unknown",IF('Capability Assessment'!F65&lt;='System Inventory'!F65,"✅ Compliant","❌ Non-Compliant")))</f>
        <v/>
      </c>
      <c r="E65" s="14">
        <f>IF(A65="","",IF(OR(C65="❓ Unknown",D65="❓ Unknown"),"❓ Unknown",IF(AND(C65="✅ Compliant",D65="✅ Compliant"),"✅ Full Compliance",IF(OR(C65="✅ Compliant",D65="✅ Compliant"),"⚠ Partial Compliance","❌ Non-Compliant"))))</f>
        <v/>
      </c>
      <c r="F65" s="14">
        <f>IF(A65="","",IF(AND(B65="Tier 1 - Critical",E65="❌ Non-Compliant"),"[!] Critical",IF(B65="Tier 1 - Critical","[~] High",IF(E65="❌ Non-Compliant","[~] High",IF(E65="⚠ Partial Compliance","[.] Medium","[ ] Low")))))</f>
        <v/>
      </c>
      <c r="G65" s="21">
        <f>IF(A65="","",IF(C65="❌ Non-Compliant",IF(D65="❌ Non-Compliant","Both RPO &amp; RTO gaps","RPO gap only"),IF(D65="❌ Non-Compliant","RTO gap only",IF(E65="❓ Unknown","Testing required","No gaps"))))</f>
        <v/>
      </c>
      <c r="H65" s="23" t="n"/>
    </row>
    <row r="68">
      <c r="A68" s="12" t="inlineStr">
        <is>
          <t>COMPLIANCE SUMMARY METRICS</t>
        </is>
      </c>
    </row>
    <row r="69">
      <c r="A69" s="24" t="inlineStr">
        <is>
          <t>Total Systems:</t>
        </is>
      </c>
      <c r="B69" s="24">
        <f>COUNTA(A6:A65)</f>
        <v/>
      </c>
    </row>
    <row r="70">
      <c r="A70" s="24" t="inlineStr">
        <is>
          <t>Full Compliance (✅):</t>
        </is>
      </c>
      <c r="B70" s="24">
        <f>COUNTIF(E6:E65,"✅*")</f>
        <v/>
      </c>
    </row>
    <row r="71">
      <c r="A71" s="24" t="inlineStr">
        <is>
          <t>Partial Compliance (⚠️):</t>
        </is>
      </c>
      <c r="B71" s="24">
        <f>COUNTIF(E6:E65,"⚠*")</f>
        <v/>
      </c>
    </row>
    <row r="72">
      <c r="A72" s="24" t="inlineStr">
        <is>
          <t>Non-Compliant (❌):</t>
        </is>
      </c>
      <c r="B72" s="24">
        <f>COUNTIF(E6:E65,"❌*")</f>
        <v/>
      </c>
    </row>
    <row r="73">
      <c r="A73" s="24" t="inlineStr">
        <is>
          <t>Unknown (❓):</t>
        </is>
      </c>
      <c r="B73" s="24">
        <f>COUNTIF(E6:E65,"❓*")</f>
        <v/>
      </c>
    </row>
    <row r="74">
      <c r="A74" s="24" t="inlineStr">
        <is>
          <t>Overall Compliance Rate:</t>
        </is>
      </c>
      <c r="B74" s="25">
        <f>IF(B69&gt;0,B70/B69,0)</f>
        <v/>
      </c>
    </row>
  </sheetData>
  <mergeCells count="3">
    <mergeCell ref="A68:H68"/>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0"/>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40" customWidth="1" min="4" max="4"/>
    <col width="18" customWidth="1" min="5" max="5"/>
    <col width="15" customWidth="1" min="6" max="6"/>
    <col width="40" customWidth="1" min="7" max="7"/>
    <col width="15" customWidth="1" min="8" max="8"/>
  </cols>
  <sheetData>
    <row r="1" ht="35" customHeight="1">
      <c r="A1" s="11" t="inlineStr">
        <is>
          <t>GAP ANALYSIS &amp; REMEDIATION TRACKING</t>
        </is>
      </c>
    </row>
    <row r="2">
      <c r="A2" s="12" t="inlineStr">
        <is>
          <t>Document identified gaps with risk scoring and remediation plans</t>
        </is>
      </c>
    </row>
    <row r="4">
      <c r="A4" s="13" t="inlineStr">
        <is>
          <t>Gap ID</t>
        </is>
      </c>
      <c r="B4" s="13" t="inlineStr">
        <is>
          <t>System</t>
        </is>
      </c>
      <c r="C4" s="13" t="inlineStr">
        <is>
          <t>Gap Type</t>
        </is>
      </c>
      <c r="D4" s="13" t="inlineStr">
        <is>
          <t>Gap Description</t>
        </is>
      </c>
      <c r="E4" s="13" t="inlineStr">
        <is>
          <t>Risk Score (1-10)</t>
        </is>
      </c>
      <c r="F4" s="13" t="inlineStr">
        <is>
          <t>Priority</t>
        </is>
      </c>
      <c r="G4" s="13" t="inlineStr">
        <is>
          <t>Remediation Plan</t>
        </is>
      </c>
      <c r="H4" s="13" t="inlineStr">
        <is>
          <t>Status</t>
        </is>
      </c>
    </row>
    <row r="5">
      <c r="A5" s="26" t="n"/>
      <c r="B5" s="27" t="n"/>
      <c r="C5" s="14" t="n"/>
      <c r="D5" s="27" t="n"/>
      <c r="E5" s="14" t="n"/>
      <c r="F5" s="14" t="n"/>
      <c r="G5" s="27" t="n"/>
      <c r="H5" s="14" t="n"/>
    </row>
    <row r="6">
      <c r="A6" s="26" t="n"/>
      <c r="B6" s="27" t="n"/>
      <c r="C6" s="14" t="n"/>
      <c r="D6" s="27" t="n"/>
      <c r="E6" s="14" t="n"/>
      <c r="F6" s="14" t="n"/>
      <c r="G6" s="27" t="n"/>
      <c r="H6" s="14" t="n"/>
    </row>
    <row r="7">
      <c r="A7" s="26" t="n"/>
      <c r="B7" s="27" t="n"/>
      <c r="C7" s="14" t="n"/>
      <c r="D7" s="27" t="n"/>
      <c r="E7" s="14" t="n"/>
      <c r="F7" s="14" t="n"/>
      <c r="G7" s="27" t="n"/>
      <c r="H7" s="14" t="n"/>
    </row>
    <row r="8">
      <c r="A8" s="26" t="n"/>
      <c r="B8" s="27" t="n"/>
      <c r="C8" s="14" t="n"/>
      <c r="D8" s="27" t="n"/>
      <c r="E8" s="14" t="n"/>
      <c r="F8" s="14" t="n"/>
      <c r="G8" s="27" t="n"/>
      <c r="H8" s="14" t="n"/>
    </row>
    <row r="9">
      <c r="A9" s="26" t="n"/>
      <c r="B9" s="27" t="n"/>
      <c r="C9" s="14" t="n"/>
      <c r="D9" s="27" t="n"/>
      <c r="E9" s="14" t="n"/>
      <c r="F9" s="14" t="n"/>
      <c r="G9" s="27" t="n"/>
      <c r="H9" s="14" t="n"/>
    </row>
    <row r="10">
      <c r="A10" s="26" t="n"/>
      <c r="B10" s="27" t="n"/>
      <c r="C10" s="14" t="n"/>
      <c r="D10" s="27" t="n"/>
      <c r="E10" s="14" t="n"/>
      <c r="F10" s="14" t="n"/>
      <c r="G10" s="27" t="n"/>
      <c r="H10" s="14" t="n"/>
    </row>
    <row r="11">
      <c r="A11" s="26" t="n"/>
      <c r="B11" s="27" t="n"/>
      <c r="C11" s="14" t="n"/>
      <c r="D11" s="27" t="n"/>
      <c r="E11" s="14" t="n"/>
      <c r="F11" s="14" t="n"/>
      <c r="G11" s="27" t="n"/>
      <c r="H11" s="14" t="n"/>
    </row>
    <row r="12">
      <c r="A12" s="26" t="n"/>
      <c r="B12" s="27" t="n"/>
      <c r="C12" s="14" t="n"/>
      <c r="D12" s="27" t="n"/>
      <c r="E12" s="14" t="n"/>
      <c r="F12" s="14" t="n"/>
      <c r="G12" s="27" t="n"/>
      <c r="H12" s="14" t="n"/>
    </row>
    <row r="13">
      <c r="A13" s="26" t="n"/>
      <c r="B13" s="27" t="n"/>
      <c r="C13" s="14" t="n"/>
      <c r="D13" s="27" t="n"/>
      <c r="E13" s="14" t="n"/>
      <c r="F13" s="14" t="n"/>
      <c r="G13" s="27" t="n"/>
      <c r="H13" s="14" t="n"/>
    </row>
    <row r="14">
      <c r="A14" s="26" t="n"/>
      <c r="B14" s="27" t="n"/>
      <c r="C14" s="14" t="n"/>
      <c r="D14" s="27" t="n"/>
      <c r="E14" s="14" t="n"/>
      <c r="F14" s="14" t="n"/>
      <c r="G14" s="27" t="n"/>
      <c r="H14" s="14" t="n"/>
    </row>
    <row r="15">
      <c r="A15" s="28" t="inlineStr">
        <is>
          <t>GAP-NNN</t>
        </is>
      </c>
      <c r="B15" s="16" t="inlineStr">
        <is>
          <t>System Name</t>
        </is>
      </c>
      <c r="C15" s="15" t="inlineStr">
        <is>
          <t>RTO Gap</t>
        </is>
      </c>
      <c r="D15" s="16" t="inlineStr">
        <is>
          <t>Gap description — actual vs required RPO/RTO</t>
        </is>
      </c>
      <c r="E15" s="15" t="n">
        <v>7</v>
      </c>
      <c r="F15" s="15" t="inlineStr">
        <is>
          <t>[~] High</t>
        </is>
      </c>
      <c r="G15" s="16" t="inlineStr">
        <is>
          <t>Remediation plan and target timeline</t>
        </is>
      </c>
      <c r="H15" s="15" t="inlineStr">
        <is>
          <t>In Progress</t>
        </is>
      </c>
    </row>
    <row r="16">
      <c r="A16" s="17" t="n"/>
      <c r="B16" s="29" t="n"/>
      <c r="C16" s="17" t="n"/>
      <c r="D16" s="29" t="n"/>
      <c r="E16" s="17" t="n"/>
      <c r="F16" s="14" t="n"/>
      <c r="G16" s="29" t="n"/>
      <c r="H16" s="14" t="n"/>
    </row>
    <row r="17">
      <c r="A17" s="17" t="n"/>
      <c r="B17" s="29" t="n"/>
      <c r="C17" s="17" t="n"/>
      <c r="D17" s="29" t="n"/>
      <c r="E17" s="17" t="n"/>
      <c r="F17" s="14" t="n"/>
      <c r="G17" s="29" t="n"/>
      <c r="H17" s="14" t="n"/>
    </row>
    <row r="18">
      <c r="A18" s="17" t="n"/>
      <c r="B18" s="29" t="n"/>
      <c r="C18" s="17" t="n"/>
      <c r="D18" s="29" t="n"/>
      <c r="E18" s="17" t="n"/>
      <c r="F18" s="14" t="n"/>
      <c r="G18" s="29" t="n"/>
      <c r="H18" s="14" t="n"/>
    </row>
    <row r="19">
      <c r="A19" s="17" t="n"/>
      <c r="B19" s="29" t="n"/>
      <c r="C19" s="17" t="n"/>
      <c r="D19" s="29" t="n"/>
      <c r="E19" s="17" t="n"/>
      <c r="F19" s="14" t="n"/>
      <c r="G19" s="29" t="n"/>
      <c r="H19" s="14" t="n"/>
    </row>
    <row r="20">
      <c r="A20" s="17" t="n"/>
      <c r="B20" s="29" t="n"/>
      <c r="C20" s="17" t="n"/>
      <c r="D20" s="29" t="n"/>
      <c r="E20" s="17" t="n"/>
      <c r="F20" s="14" t="n"/>
      <c r="G20" s="29" t="n"/>
      <c r="H20" s="14" t="n"/>
    </row>
    <row r="21">
      <c r="A21" s="17" t="n"/>
      <c r="B21" s="29" t="n"/>
      <c r="C21" s="17" t="n"/>
      <c r="D21" s="29" t="n"/>
      <c r="E21" s="17" t="n"/>
      <c r="F21" s="14" t="n"/>
      <c r="G21" s="29" t="n"/>
      <c r="H21" s="14" t="n"/>
    </row>
    <row r="22">
      <c r="A22" s="17" t="n"/>
      <c r="B22" s="29" t="n"/>
      <c r="C22" s="17" t="n"/>
      <c r="D22" s="29" t="n"/>
      <c r="E22" s="17" t="n"/>
      <c r="F22" s="14" t="n"/>
      <c r="G22" s="29" t="n"/>
      <c r="H22" s="14" t="n"/>
    </row>
    <row r="23">
      <c r="A23" s="17" t="n"/>
      <c r="B23" s="29" t="n"/>
      <c r="C23" s="17" t="n"/>
      <c r="D23" s="29" t="n"/>
      <c r="E23" s="17" t="n"/>
      <c r="F23" s="14" t="n"/>
      <c r="G23" s="29" t="n"/>
      <c r="H23" s="14" t="n"/>
    </row>
    <row r="24">
      <c r="A24" s="17" t="n"/>
      <c r="B24" s="29" t="n"/>
      <c r="C24" s="17" t="n"/>
      <c r="D24" s="29" t="n"/>
      <c r="E24" s="17" t="n"/>
      <c r="F24" s="14" t="n"/>
      <c r="G24" s="29" t="n"/>
      <c r="H24" s="14" t="n"/>
    </row>
    <row r="25">
      <c r="A25" s="17" t="n"/>
      <c r="B25" s="29" t="n"/>
      <c r="C25" s="17" t="n"/>
      <c r="D25" s="29" t="n"/>
      <c r="E25" s="17" t="n"/>
      <c r="F25" s="14" t="n"/>
      <c r="G25" s="29" t="n"/>
      <c r="H25" s="14" t="n"/>
    </row>
    <row r="26">
      <c r="A26" s="17" t="n"/>
      <c r="B26" s="29" t="n"/>
      <c r="C26" s="17" t="n"/>
      <c r="D26" s="29" t="n"/>
      <c r="E26" s="17" t="n"/>
      <c r="F26" s="14" t="n"/>
      <c r="G26" s="29" t="n"/>
      <c r="H26" s="14" t="n"/>
    </row>
    <row r="27">
      <c r="A27" s="17" t="n"/>
      <c r="B27" s="29" t="n"/>
      <c r="C27" s="17" t="n"/>
      <c r="D27" s="29" t="n"/>
      <c r="E27" s="17" t="n"/>
      <c r="F27" s="14" t="n"/>
      <c r="G27" s="29" t="n"/>
      <c r="H27" s="14" t="n"/>
    </row>
    <row r="28">
      <c r="A28" s="17" t="n"/>
      <c r="B28" s="29" t="n"/>
      <c r="C28" s="17" t="n"/>
      <c r="D28" s="29" t="n"/>
      <c r="E28" s="17" t="n"/>
      <c r="F28" s="14" t="n"/>
      <c r="G28" s="29" t="n"/>
      <c r="H28" s="14" t="n"/>
    </row>
    <row r="29">
      <c r="A29" s="17" t="n"/>
      <c r="B29" s="29" t="n"/>
      <c r="C29" s="17" t="n"/>
      <c r="D29" s="29" t="n"/>
      <c r="E29" s="17" t="n"/>
      <c r="F29" s="14" t="n"/>
      <c r="G29" s="29" t="n"/>
      <c r="H29" s="14" t="n"/>
    </row>
    <row r="30">
      <c r="A30" s="17" t="n"/>
      <c r="B30" s="29" t="n"/>
      <c r="C30" s="17" t="n"/>
      <c r="D30" s="29" t="n"/>
      <c r="E30" s="17" t="n"/>
      <c r="F30" s="14" t="n"/>
      <c r="G30" s="29" t="n"/>
      <c r="H30" s="14" t="n"/>
    </row>
    <row r="31">
      <c r="A31" s="17" t="n"/>
      <c r="B31" s="29" t="n"/>
      <c r="C31" s="17" t="n"/>
      <c r="D31" s="29" t="n"/>
      <c r="E31" s="17" t="n"/>
      <c r="F31" s="14" t="n"/>
      <c r="G31" s="29" t="n"/>
      <c r="H31" s="14" t="n"/>
    </row>
    <row r="32">
      <c r="A32" s="17" t="n"/>
      <c r="B32" s="29" t="n"/>
      <c r="C32" s="17" t="n"/>
      <c r="D32" s="29" t="n"/>
      <c r="E32" s="17" t="n"/>
      <c r="F32" s="14" t="n"/>
      <c r="G32" s="29" t="n"/>
      <c r="H32" s="14" t="n"/>
    </row>
    <row r="33">
      <c r="A33" s="17" t="n"/>
      <c r="B33" s="29" t="n"/>
      <c r="C33" s="17" t="n"/>
      <c r="D33" s="29" t="n"/>
      <c r="E33" s="17" t="n"/>
      <c r="F33" s="14" t="n"/>
      <c r="G33" s="29" t="n"/>
      <c r="H33" s="14" t="n"/>
    </row>
    <row r="34">
      <c r="A34" s="17" t="n"/>
      <c r="B34" s="29" t="n"/>
      <c r="C34" s="17" t="n"/>
      <c r="D34" s="29" t="n"/>
      <c r="E34" s="17" t="n"/>
      <c r="F34" s="14" t="n"/>
      <c r="G34" s="29" t="n"/>
      <c r="H34" s="14" t="n"/>
    </row>
    <row r="35">
      <c r="A35" s="17" t="n"/>
      <c r="B35" s="29" t="n"/>
      <c r="C35" s="17" t="n"/>
      <c r="D35" s="29" t="n"/>
      <c r="E35" s="17" t="n"/>
      <c r="F35" s="14" t="n"/>
      <c r="G35" s="29" t="n"/>
      <c r="H35" s="14" t="n"/>
    </row>
    <row r="36">
      <c r="A36" s="17" t="n"/>
      <c r="B36" s="29" t="n"/>
      <c r="C36" s="17" t="n"/>
      <c r="D36" s="29" t="n"/>
      <c r="E36" s="17" t="n"/>
      <c r="F36" s="14" t="n"/>
      <c r="G36" s="29" t="n"/>
      <c r="H36" s="14" t="n"/>
    </row>
    <row r="37">
      <c r="A37" s="17" t="n"/>
      <c r="B37" s="29" t="n"/>
      <c r="C37" s="17" t="n"/>
      <c r="D37" s="29" t="n"/>
      <c r="E37" s="17" t="n"/>
      <c r="F37" s="14" t="n"/>
      <c r="G37" s="29" t="n"/>
      <c r="H37" s="14" t="n"/>
    </row>
    <row r="38">
      <c r="A38" s="17" t="n"/>
      <c r="B38" s="29" t="n"/>
      <c r="C38" s="17" t="n"/>
      <c r="D38" s="29" t="n"/>
      <c r="E38" s="17" t="n"/>
      <c r="F38" s="14" t="n"/>
      <c r="G38" s="29" t="n"/>
      <c r="H38" s="14" t="n"/>
    </row>
    <row r="39">
      <c r="A39" s="17" t="n"/>
      <c r="B39" s="29" t="n"/>
      <c r="C39" s="17" t="n"/>
      <c r="D39" s="29" t="n"/>
      <c r="E39" s="17" t="n"/>
      <c r="F39" s="14" t="n"/>
      <c r="G39" s="29" t="n"/>
      <c r="H39" s="14" t="n"/>
    </row>
    <row r="40">
      <c r="A40" s="17" t="n"/>
      <c r="B40" s="29" t="n"/>
      <c r="C40" s="17" t="n"/>
      <c r="D40" s="29" t="n"/>
      <c r="E40" s="17" t="n"/>
      <c r="F40" s="14" t="n"/>
      <c r="G40" s="29" t="n"/>
      <c r="H40" s="14" t="n"/>
    </row>
    <row r="41">
      <c r="A41" s="17" t="n"/>
      <c r="B41" s="29" t="n"/>
      <c r="C41" s="17" t="n"/>
      <c r="D41" s="29" t="n"/>
      <c r="E41" s="17" t="n"/>
      <c r="F41" s="14" t="n"/>
      <c r="G41" s="29" t="n"/>
      <c r="H41" s="14" t="n"/>
    </row>
    <row r="42">
      <c r="A42" s="17" t="n"/>
      <c r="B42" s="29" t="n"/>
      <c r="C42" s="17" t="n"/>
      <c r="D42" s="29" t="n"/>
      <c r="E42" s="17" t="n"/>
      <c r="F42" s="14" t="n"/>
      <c r="G42" s="29" t="n"/>
      <c r="H42" s="14" t="n"/>
    </row>
    <row r="43">
      <c r="A43" s="17" t="n"/>
      <c r="B43" s="29" t="n"/>
      <c r="C43" s="17" t="n"/>
      <c r="D43" s="29" t="n"/>
      <c r="E43" s="17" t="n"/>
      <c r="F43" s="14" t="n"/>
      <c r="G43" s="29" t="n"/>
      <c r="H43" s="14" t="n"/>
    </row>
    <row r="44">
      <c r="A44" s="17" t="n"/>
      <c r="B44" s="29" t="n"/>
      <c r="C44" s="17" t="n"/>
      <c r="D44" s="29" t="n"/>
      <c r="E44" s="17" t="n"/>
      <c r="F44" s="14" t="n"/>
      <c r="G44" s="29" t="n"/>
      <c r="H44" s="14" t="n"/>
    </row>
    <row r="45">
      <c r="A45" s="17" t="n"/>
      <c r="B45" s="29" t="n"/>
      <c r="C45" s="17" t="n"/>
      <c r="D45" s="29" t="n"/>
      <c r="E45" s="17" t="n"/>
      <c r="F45" s="14" t="n"/>
      <c r="G45" s="29" t="n"/>
      <c r="H45" s="14" t="n"/>
    </row>
    <row r="46">
      <c r="A46" s="17" t="n"/>
      <c r="B46" s="29" t="n"/>
      <c r="C46" s="17" t="n"/>
      <c r="D46" s="29" t="n"/>
      <c r="E46" s="17" t="n"/>
      <c r="F46" s="14" t="n"/>
      <c r="G46" s="29" t="n"/>
      <c r="H46" s="14" t="n"/>
    </row>
    <row r="47">
      <c r="A47" s="17" t="n"/>
      <c r="B47" s="29" t="n"/>
      <c r="C47" s="17" t="n"/>
      <c r="D47" s="29" t="n"/>
      <c r="E47" s="17" t="n"/>
      <c r="F47" s="14" t="n"/>
      <c r="G47" s="29" t="n"/>
      <c r="H47" s="14" t="n"/>
    </row>
    <row r="48">
      <c r="A48" s="17" t="n"/>
      <c r="B48" s="29" t="n"/>
      <c r="C48" s="17" t="n"/>
      <c r="D48" s="29" t="n"/>
      <c r="E48" s="17" t="n"/>
      <c r="F48" s="14" t="n"/>
      <c r="G48" s="29" t="n"/>
      <c r="H48" s="14" t="n"/>
    </row>
    <row r="49">
      <c r="A49" s="17" t="n"/>
      <c r="B49" s="29" t="n"/>
      <c r="C49" s="17" t="n"/>
      <c r="D49" s="29" t="n"/>
      <c r="E49" s="17" t="n"/>
      <c r="F49" s="14" t="n"/>
      <c r="G49" s="29" t="n"/>
      <c r="H49" s="14" t="n"/>
    </row>
    <row r="50">
      <c r="A50" s="17" t="n"/>
      <c r="B50" s="29" t="n"/>
      <c r="C50" s="17" t="n"/>
      <c r="D50" s="29" t="n"/>
      <c r="E50" s="17" t="n"/>
      <c r="F50" s="14" t="n"/>
      <c r="G50" s="29" t="n"/>
      <c r="H50" s="14" t="n"/>
    </row>
    <row r="51">
      <c r="A51" s="17" t="n"/>
      <c r="B51" s="29" t="n"/>
      <c r="C51" s="17" t="n"/>
      <c r="D51" s="29" t="n"/>
      <c r="E51" s="17" t="n"/>
      <c r="F51" s="14" t="n"/>
      <c r="G51" s="29" t="n"/>
      <c r="H51" s="14" t="n"/>
    </row>
    <row r="52">
      <c r="A52" s="17" t="n"/>
      <c r="B52" s="29" t="n"/>
      <c r="C52" s="17" t="n"/>
      <c r="D52" s="29" t="n"/>
      <c r="E52" s="17" t="n"/>
      <c r="F52" s="14" t="n"/>
      <c r="G52" s="29" t="n"/>
      <c r="H52" s="14" t="n"/>
    </row>
    <row r="53">
      <c r="A53" s="17" t="n"/>
      <c r="B53" s="29" t="n"/>
      <c r="C53" s="17" t="n"/>
      <c r="D53" s="29" t="n"/>
      <c r="E53" s="17" t="n"/>
      <c r="F53" s="14" t="n"/>
      <c r="G53" s="29" t="n"/>
      <c r="H53" s="14" t="n"/>
    </row>
    <row r="54">
      <c r="A54" s="17" t="n"/>
      <c r="B54" s="29" t="n"/>
      <c r="C54" s="17" t="n"/>
      <c r="D54" s="29" t="n"/>
      <c r="E54" s="17" t="n"/>
      <c r="F54" s="14" t="n"/>
      <c r="G54" s="29" t="n"/>
      <c r="H54" s="14" t="n"/>
    </row>
    <row r="55">
      <c r="A55" s="17" t="n"/>
      <c r="B55" s="29" t="n"/>
      <c r="C55" s="17" t="n"/>
      <c r="D55" s="29" t="n"/>
      <c r="E55" s="17" t="n"/>
      <c r="F55" s="14" t="n"/>
      <c r="G55" s="29" t="n"/>
      <c r="H55" s="14" t="n"/>
    </row>
    <row r="56">
      <c r="A56" s="17" t="n"/>
      <c r="B56" s="29" t="n"/>
      <c r="C56" s="17" t="n"/>
      <c r="D56" s="29" t="n"/>
      <c r="E56" s="17" t="n"/>
      <c r="F56" s="14" t="n"/>
      <c r="G56" s="29" t="n"/>
      <c r="H56" s="14" t="n"/>
    </row>
    <row r="57">
      <c r="A57" s="17" t="n"/>
      <c r="B57" s="29" t="n"/>
      <c r="C57" s="17" t="n"/>
      <c r="D57" s="29" t="n"/>
      <c r="E57" s="17" t="n"/>
      <c r="F57" s="14" t="n"/>
      <c r="G57" s="29" t="n"/>
      <c r="H57" s="14" t="n"/>
    </row>
    <row r="58">
      <c r="A58" s="17" t="n"/>
      <c r="B58" s="29" t="n"/>
      <c r="C58" s="17" t="n"/>
      <c r="D58" s="29" t="n"/>
      <c r="E58" s="17" t="n"/>
      <c r="F58" s="14" t="n"/>
      <c r="G58" s="29" t="n"/>
      <c r="H58" s="14" t="n"/>
    </row>
    <row r="59">
      <c r="A59" s="17" t="n"/>
      <c r="B59" s="29" t="n"/>
      <c r="C59" s="17" t="n"/>
      <c r="D59" s="29" t="n"/>
      <c r="E59" s="17" t="n"/>
      <c r="F59" s="14" t="n"/>
      <c r="G59" s="29" t="n"/>
      <c r="H59" s="14" t="n"/>
    </row>
    <row r="60">
      <c r="A60" s="17" t="n"/>
      <c r="B60" s="29" t="n"/>
      <c r="C60" s="17" t="n"/>
      <c r="D60" s="29" t="n"/>
      <c r="E60" s="17" t="n"/>
      <c r="F60" s="14" t="n"/>
      <c r="G60" s="29" t="n"/>
      <c r="H60" s="14" t="n"/>
    </row>
    <row r="61">
      <c r="A61" s="17" t="n"/>
      <c r="B61" s="29" t="n"/>
      <c r="C61" s="17" t="n"/>
      <c r="D61" s="29" t="n"/>
      <c r="E61" s="17" t="n"/>
      <c r="F61" s="14" t="n"/>
      <c r="G61" s="29" t="n"/>
      <c r="H61" s="14" t="n"/>
    </row>
    <row r="62">
      <c r="A62" s="17" t="n"/>
      <c r="B62" s="29" t="n"/>
      <c r="C62" s="17" t="n"/>
      <c r="D62" s="29" t="n"/>
      <c r="E62" s="17" t="n"/>
      <c r="F62" s="14" t="n"/>
      <c r="G62" s="29" t="n"/>
      <c r="H62" s="14" t="n"/>
    </row>
    <row r="63">
      <c r="A63" s="17" t="n"/>
      <c r="B63" s="29" t="n"/>
      <c r="C63" s="17" t="n"/>
      <c r="D63" s="29" t="n"/>
      <c r="E63" s="17" t="n"/>
      <c r="F63" s="14" t="n"/>
      <c r="G63" s="29" t="n"/>
      <c r="H63" s="14" t="n"/>
    </row>
    <row r="64">
      <c r="A64" s="17" t="n"/>
      <c r="B64" s="29" t="n"/>
      <c r="C64" s="17" t="n"/>
      <c r="D64" s="29" t="n"/>
      <c r="E64" s="17" t="n"/>
      <c r="F64" s="14" t="n"/>
      <c r="G64" s="29" t="n"/>
      <c r="H64" s="14" t="n"/>
    </row>
    <row r="65">
      <c r="A65" s="17" t="n"/>
      <c r="B65" s="29" t="n"/>
      <c r="C65" s="17" t="n"/>
      <c r="D65" s="29" t="n"/>
      <c r="E65" s="17" t="n"/>
      <c r="F65" s="14" t="n"/>
      <c r="G65" s="29" t="n"/>
      <c r="H65" s="14" t="n"/>
    </row>
    <row r="67">
      <c r="A67" s="12" t="inlineStr">
        <is>
          <t>GAP SUMMARY METRICS</t>
        </is>
      </c>
    </row>
    <row r="68">
      <c r="A68" s="24" t="inlineStr">
        <is>
          <t>Total Gaps Identified:</t>
        </is>
      </c>
      <c r="B68" s="24">
        <f>COUNTA(B5:B65)</f>
        <v/>
      </c>
    </row>
    <row r="69">
      <c r="A69" s="24" t="inlineStr">
        <is>
          <t>[!] Critical Priority:</t>
        </is>
      </c>
      <c r="B69" s="24">
        <f>COUNTIF(F5:F65,"[!]*")</f>
        <v/>
      </c>
    </row>
    <row r="70">
      <c r="A70" s="24" t="inlineStr">
        <is>
          <t>[~] High Priority:</t>
        </is>
      </c>
      <c r="B70" s="24">
        <f>COUNTIF(F5:F65,"[~]*")</f>
        <v/>
      </c>
    </row>
    <row r="71">
      <c r="A71" s="24" t="inlineStr">
        <is>
          <t>[.] Medium Priority:</t>
        </is>
      </c>
      <c r="B71" s="24">
        <f>COUNTIF(F5:F65,"[.]*")</f>
        <v/>
      </c>
    </row>
    <row r="72">
      <c r="A72" s="24" t="inlineStr">
        <is>
          <t>[ ] Low Priority:</t>
        </is>
      </c>
      <c r="B72" s="24">
        <f>COUNTIF(F5:F65,"[ ]*")</f>
        <v/>
      </c>
    </row>
    <row r="74">
      <c r="A74" s="24" t="inlineStr">
        <is>
          <t>Open Gaps:</t>
        </is>
      </c>
      <c r="B74" s="24">
        <f>COUNTIF(H5:H65,"Open*")</f>
        <v/>
      </c>
    </row>
    <row r="75">
      <c r="A75" s="24" t="inlineStr">
        <is>
          <t>In Progress:</t>
        </is>
      </c>
      <c r="B75" s="24">
        <f>COUNTIF(H5:H65,"In Progress*")</f>
        <v/>
      </c>
    </row>
    <row r="76">
      <c r="A76" s="24" t="inlineStr">
        <is>
          <t>✅ Closed Gaps:</t>
        </is>
      </c>
      <c r="B76" s="24">
        <f>COUNTIF(H5:H65,"✅*")</f>
        <v/>
      </c>
    </row>
    <row r="77">
      <c r="A77" s="24" t="inlineStr">
        <is>
          <t>Risk Accepted:</t>
        </is>
      </c>
      <c r="B77" s="24">
        <f>COUNTIF(H5:H65,"Risk Accepted*")</f>
        <v/>
      </c>
    </row>
    <row r="79">
      <c r="A79" s="24" t="inlineStr">
        <is>
          <t>Average Risk Score:</t>
        </is>
      </c>
      <c r="B79" s="30">
        <f>IFERROR(AVERAGE(E5:E114),0)</f>
        <v/>
      </c>
    </row>
    <row r="80">
      <c r="A80" s="24" t="inlineStr">
        <is>
          <t>Max Risk Score:</t>
        </is>
      </c>
      <c r="B80" s="30">
        <f>IFERROR(MAX(E5:E114),0)</f>
        <v/>
      </c>
    </row>
  </sheetData>
  <mergeCells count="3">
    <mergeCell ref="A67:H67"/>
    <mergeCell ref="A2:H2"/>
    <mergeCell ref="A1:H1"/>
  </mergeCells>
  <dataValidations count="3">
    <dataValidation sqref="F5 F6 F7 F8 F9 F10 F11 F12 F13 F14 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 Critical,[~] High,[.] Medium,[ ] Low"</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"RPO Gap,RTO Gap,Both RPO &amp; RTO,Testing Gap,Documentation Gap"</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showDropDown="0" showInputMessage="0" showErrorMessage="0" allowBlank="0" type="list">
      <formula1>"Open,In Progress,✅ Closed,Risk 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31" t="inlineStr">
        <is>
          <t>EVIDENCE REGISTER</t>
        </is>
      </c>
      <c r="B1" s="6" t="n"/>
      <c r="C1" s="6" t="n"/>
      <c r="D1" s="6" t="n"/>
      <c r="E1" s="6" t="n"/>
      <c r="F1" s="6" t="n"/>
      <c r="G1" s="6" t="n"/>
      <c r="H1" s="6" t="n"/>
    </row>
    <row r="2">
      <c r="A2" s="32" t="inlineStr">
        <is>
          <t>Document all evidence collected during this assessment (minimum 5 items required for audit compliance)</t>
        </is>
      </c>
      <c r="B2" s="6" t="n"/>
      <c r="C2" s="6" t="n"/>
      <c r="D2" s="6" t="n"/>
      <c r="E2" s="6" t="n"/>
      <c r="F2" s="6" t="n"/>
      <c r="G2" s="6" t="n"/>
      <c r="H2" s="6" t="n"/>
    </row>
    <row r="4">
      <c r="A4" s="33" t="inlineStr">
        <is>
          <t>Evidence ID</t>
        </is>
      </c>
      <c r="B4" s="33" t="inlineStr">
        <is>
          <t>Assessment Area</t>
        </is>
      </c>
      <c r="C4" s="33" t="inlineStr">
        <is>
          <t>Evidence Type</t>
        </is>
      </c>
      <c r="D4" s="33" t="inlineStr">
        <is>
          <t>Description</t>
        </is>
      </c>
      <c r="E4" s="33" t="inlineStr">
        <is>
          <t>Location / Path</t>
        </is>
      </c>
      <c r="F4" s="33" t="inlineStr">
        <is>
          <t>Date Collected</t>
        </is>
      </c>
      <c r="G4" s="33" t="inlineStr">
        <is>
          <t>Collected By</t>
        </is>
      </c>
      <c r="H4" s="33" t="inlineStr">
        <is>
          <t>Verification Status</t>
        </is>
      </c>
    </row>
    <row r="5">
      <c r="A5" s="34" t="inlineStr">
        <is>
          <t>EV-001</t>
        </is>
      </c>
      <c r="B5" s="35" t="inlineStr">
        <is>
          <t>Compliance Matrix</t>
        </is>
      </c>
      <c r="C5" s="35" t="inlineStr">
        <is>
          <t>BIA Report</t>
        </is>
      </c>
      <c r="D5" s="35" t="inlineStr">
        <is>
          <t>Business Impact Analysis report with RPO/RTO requirements for all systems</t>
        </is>
      </c>
      <c r="E5" s="35" t="inlineStr">
        <is>
          <t>/evidence/bia/BIA_Report_Q1_2024.pdf</t>
        </is>
      </c>
      <c r="F5" s="35" t="inlineStr">
        <is>
          <t>10.03.2026</t>
        </is>
      </c>
      <c r="G5" s="35" t="inlineStr">
        <is>
          <t>BC/DR Coordinator</t>
        </is>
      </c>
      <c r="H5" s="35" t="inlineStr">
        <is>
          <t>✅ Verified</t>
        </is>
      </c>
    </row>
    <row r="6">
      <c r="A6" s="36" t="n"/>
      <c r="B6" s="37" t="n"/>
      <c r="C6" s="37" t="n"/>
      <c r="D6" s="37" t="n"/>
      <c r="E6" s="37" t="n"/>
      <c r="F6" s="37" t="n"/>
      <c r="G6" s="37" t="n"/>
      <c r="H6" s="37" t="n"/>
    </row>
    <row r="7">
      <c r="A7" s="36" t="n"/>
      <c r="B7" s="37" t="n"/>
      <c r="C7" s="37" t="n"/>
      <c r="D7" s="37" t="n"/>
      <c r="E7" s="37" t="n"/>
      <c r="F7" s="37" t="n"/>
      <c r="G7" s="37" t="n"/>
      <c r="H7" s="37" t="n"/>
    </row>
    <row r="8">
      <c r="A8" s="36" t="n"/>
      <c r="B8" s="37" t="n"/>
      <c r="C8" s="37" t="n"/>
      <c r="D8" s="37" t="n"/>
      <c r="E8" s="37" t="n"/>
      <c r="F8" s="37" t="n"/>
      <c r="G8" s="37" t="n"/>
      <c r="H8" s="37" t="n"/>
    </row>
    <row r="9">
      <c r="A9" s="36" t="n"/>
      <c r="B9" s="37" t="n"/>
      <c r="C9" s="37" t="n"/>
      <c r="D9" s="37" t="n"/>
      <c r="E9" s="37" t="n"/>
      <c r="F9" s="37" t="n"/>
      <c r="G9" s="37" t="n"/>
      <c r="H9" s="37" t="n"/>
    </row>
    <row r="10">
      <c r="A10" s="36" t="n"/>
      <c r="B10" s="37" t="n"/>
      <c r="C10" s="37" t="n"/>
      <c r="D10" s="37" t="n"/>
      <c r="E10" s="37" t="n"/>
      <c r="F10" s="37" t="n"/>
      <c r="G10" s="37" t="n"/>
      <c r="H10" s="37" t="n"/>
    </row>
    <row r="11">
      <c r="A11" s="36" t="n"/>
      <c r="B11" s="37" t="n"/>
      <c r="C11" s="37" t="n"/>
      <c r="D11" s="37" t="n"/>
      <c r="E11" s="37" t="n"/>
      <c r="F11" s="37" t="n"/>
      <c r="G11" s="37" t="n"/>
      <c r="H11" s="37" t="n"/>
    </row>
    <row r="12">
      <c r="A12" s="36" t="n"/>
      <c r="B12" s="37" t="n"/>
      <c r="C12" s="37" t="n"/>
      <c r="D12" s="37" t="n"/>
      <c r="E12" s="37" t="n"/>
      <c r="F12" s="37" t="n"/>
      <c r="G12" s="37" t="n"/>
      <c r="H12" s="37" t="n"/>
    </row>
    <row r="13">
      <c r="A13" s="36" t="n"/>
      <c r="B13" s="37" t="n"/>
      <c r="C13" s="37" t="n"/>
      <c r="D13" s="37" t="n"/>
      <c r="E13" s="37" t="n"/>
      <c r="F13" s="37" t="n"/>
      <c r="G13" s="37" t="n"/>
      <c r="H13" s="37" t="n"/>
    </row>
    <row r="14">
      <c r="A14" s="36" t="n"/>
      <c r="B14" s="37" t="n"/>
      <c r="C14" s="37" t="n"/>
      <c r="D14" s="37" t="n"/>
      <c r="E14" s="37" t="n"/>
      <c r="F14" s="37" t="n"/>
      <c r="G14" s="37" t="n"/>
      <c r="H14" s="37" t="n"/>
    </row>
    <row r="15">
      <c r="A15" s="36" t="n"/>
      <c r="B15" s="37" t="n"/>
      <c r="C15" s="37" t="n"/>
      <c r="D15" s="37" t="n"/>
      <c r="E15" s="37" t="n"/>
      <c r="F15" s="37" t="n"/>
      <c r="G15" s="37" t="n"/>
      <c r="H15" s="37" t="n"/>
    </row>
    <row r="16">
      <c r="A16" s="36" t="n"/>
      <c r="B16" s="37" t="n"/>
      <c r="C16" s="37" t="n"/>
      <c r="D16" s="37" t="n"/>
      <c r="E16" s="37" t="n"/>
      <c r="F16" s="37" t="n"/>
      <c r="G16" s="37" t="n"/>
      <c r="H16" s="37" t="n"/>
    </row>
    <row r="17">
      <c r="A17" s="36" t="n"/>
      <c r="B17" s="37" t="n"/>
      <c r="C17" s="37" t="n"/>
      <c r="D17" s="37" t="n"/>
      <c r="E17" s="37" t="n"/>
      <c r="F17" s="37" t="n"/>
      <c r="G17" s="37" t="n"/>
      <c r="H17" s="37" t="n"/>
    </row>
    <row r="18">
      <c r="A18" s="36" t="n"/>
      <c r="B18" s="37" t="n"/>
      <c r="C18" s="37" t="n"/>
      <c r="D18" s="37" t="n"/>
      <c r="E18" s="37" t="n"/>
      <c r="F18" s="37" t="n"/>
      <c r="G18" s="37" t="n"/>
      <c r="H18" s="37" t="n"/>
    </row>
    <row r="19">
      <c r="A19" s="36" t="n"/>
      <c r="B19" s="37" t="n"/>
      <c r="C19" s="37" t="n"/>
      <c r="D19" s="37" t="n"/>
      <c r="E19" s="37" t="n"/>
      <c r="F19" s="37" t="n"/>
      <c r="G19" s="37" t="n"/>
      <c r="H19" s="37" t="n"/>
    </row>
    <row r="20">
      <c r="A20" s="36" t="n"/>
      <c r="B20" s="37" t="n"/>
      <c r="C20" s="37" t="n"/>
      <c r="D20" s="37" t="n"/>
      <c r="E20" s="37" t="n"/>
      <c r="F20" s="37" t="n"/>
      <c r="G20" s="37" t="n"/>
      <c r="H20" s="37" t="n"/>
    </row>
    <row r="21">
      <c r="A21" s="36" t="n"/>
      <c r="B21" s="37" t="n"/>
      <c r="C21" s="37" t="n"/>
      <c r="D21" s="37" t="n"/>
      <c r="E21" s="37" t="n"/>
      <c r="F21" s="37" t="n"/>
      <c r="G21" s="37" t="n"/>
      <c r="H21" s="37" t="n"/>
    </row>
    <row r="22">
      <c r="A22" s="36" t="n"/>
      <c r="B22" s="37" t="n"/>
      <c r="C22" s="37" t="n"/>
      <c r="D22" s="37" t="n"/>
      <c r="E22" s="37" t="n"/>
      <c r="F22" s="37" t="n"/>
      <c r="G22" s="37" t="n"/>
      <c r="H22" s="37" t="n"/>
    </row>
    <row r="23">
      <c r="A23" s="36" t="n"/>
      <c r="B23" s="37" t="n"/>
      <c r="C23" s="37" t="n"/>
      <c r="D23" s="37" t="n"/>
      <c r="E23" s="37" t="n"/>
      <c r="F23" s="37" t="n"/>
      <c r="G23" s="37" t="n"/>
      <c r="H23" s="37" t="n"/>
    </row>
    <row r="24">
      <c r="A24" s="36" t="n"/>
      <c r="B24" s="37" t="n"/>
      <c r="C24" s="37" t="n"/>
      <c r="D24" s="37" t="n"/>
      <c r="E24" s="37" t="n"/>
      <c r="F24" s="37" t="n"/>
      <c r="G24" s="37" t="n"/>
      <c r="H24" s="37" t="n"/>
    </row>
    <row r="25">
      <c r="A25" s="36" t="n"/>
      <c r="B25" s="37" t="n"/>
      <c r="C25" s="37" t="n"/>
      <c r="D25" s="37" t="n"/>
      <c r="E25" s="37" t="n"/>
      <c r="F25" s="37" t="n"/>
      <c r="G25" s="37" t="n"/>
      <c r="H25" s="37" t="n"/>
    </row>
    <row r="26">
      <c r="A26" s="36" t="n"/>
      <c r="B26" s="37" t="n"/>
      <c r="C26" s="37" t="n"/>
      <c r="D26" s="37" t="n"/>
      <c r="E26" s="37" t="n"/>
      <c r="F26" s="37" t="n"/>
      <c r="G26" s="37" t="n"/>
      <c r="H26" s="37" t="n"/>
    </row>
    <row r="27">
      <c r="A27" s="36" t="n"/>
      <c r="B27" s="37" t="n"/>
      <c r="C27" s="37" t="n"/>
      <c r="D27" s="37" t="n"/>
      <c r="E27" s="37" t="n"/>
      <c r="F27" s="37" t="n"/>
      <c r="G27" s="37" t="n"/>
      <c r="H27" s="37" t="n"/>
    </row>
    <row r="28">
      <c r="A28" s="36" t="n"/>
      <c r="B28" s="37" t="n"/>
      <c r="C28" s="37" t="n"/>
      <c r="D28" s="37" t="n"/>
      <c r="E28" s="37" t="n"/>
      <c r="F28" s="37" t="n"/>
      <c r="G28" s="37" t="n"/>
      <c r="H28" s="37" t="n"/>
    </row>
    <row r="29">
      <c r="A29" s="36" t="n"/>
      <c r="B29" s="37" t="n"/>
      <c r="C29" s="37" t="n"/>
      <c r="D29" s="37" t="n"/>
      <c r="E29" s="37" t="n"/>
      <c r="F29" s="37" t="n"/>
      <c r="G29" s="37" t="n"/>
      <c r="H29" s="37" t="n"/>
    </row>
    <row r="30">
      <c r="A30" s="36" t="n"/>
      <c r="B30" s="37" t="n"/>
      <c r="C30" s="37" t="n"/>
      <c r="D30" s="37" t="n"/>
      <c r="E30" s="37" t="n"/>
      <c r="F30" s="37" t="n"/>
      <c r="G30" s="37" t="n"/>
      <c r="H30" s="37" t="n"/>
    </row>
    <row r="31">
      <c r="A31" s="36" t="n"/>
      <c r="B31" s="37" t="n"/>
      <c r="C31" s="37" t="n"/>
      <c r="D31" s="37" t="n"/>
      <c r="E31" s="37" t="n"/>
      <c r="F31" s="37" t="n"/>
      <c r="G31" s="37" t="n"/>
      <c r="H31" s="37" t="n"/>
    </row>
    <row r="32">
      <c r="A32" s="36" t="n"/>
      <c r="B32" s="37" t="n"/>
      <c r="C32" s="37" t="n"/>
      <c r="D32" s="37" t="n"/>
      <c r="E32" s="37" t="n"/>
      <c r="F32" s="37" t="n"/>
      <c r="G32" s="37" t="n"/>
      <c r="H32" s="37" t="n"/>
    </row>
    <row r="33">
      <c r="A33" s="36" t="n"/>
      <c r="B33" s="37" t="n"/>
      <c r="C33" s="37" t="n"/>
      <c r="D33" s="37" t="n"/>
      <c r="E33" s="37" t="n"/>
      <c r="F33" s="37" t="n"/>
      <c r="G33" s="37" t="n"/>
      <c r="H33" s="37" t="n"/>
    </row>
    <row r="34">
      <c r="A34" s="36" t="n"/>
      <c r="B34" s="37" t="n"/>
      <c r="C34" s="37" t="n"/>
      <c r="D34" s="37" t="n"/>
      <c r="E34" s="37" t="n"/>
      <c r="F34" s="37" t="n"/>
      <c r="G34" s="37" t="n"/>
      <c r="H34" s="37" t="n"/>
    </row>
    <row r="35">
      <c r="A35" s="36" t="n"/>
      <c r="B35" s="37" t="n"/>
      <c r="C35" s="37" t="n"/>
      <c r="D35" s="37" t="n"/>
      <c r="E35" s="37" t="n"/>
      <c r="F35" s="37" t="n"/>
      <c r="G35" s="37" t="n"/>
      <c r="H35" s="37" t="n"/>
    </row>
    <row r="36">
      <c r="A36" s="36" t="n"/>
      <c r="B36" s="37" t="n"/>
      <c r="C36" s="37" t="n"/>
      <c r="D36" s="37" t="n"/>
      <c r="E36" s="37" t="n"/>
      <c r="F36" s="37" t="n"/>
      <c r="G36" s="37" t="n"/>
      <c r="H36" s="37" t="n"/>
    </row>
    <row r="37">
      <c r="A37" s="36" t="n"/>
      <c r="B37" s="37" t="n"/>
      <c r="C37" s="37" t="n"/>
      <c r="D37" s="37" t="n"/>
      <c r="E37" s="37" t="n"/>
      <c r="F37" s="37" t="n"/>
      <c r="G37" s="37" t="n"/>
      <c r="H37" s="37" t="n"/>
    </row>
    <row r="38">
      <c r="A38" s="36" t="n"/>
      <c r="B38" s="37" t="n"/>
      <c r="C38" s="37" t="n"/>
      <c r="D38" s="37" t="n"/>
      <c r="E38" s="37" t="n"/>
      <c r="F38" s="37" t="n"/>
      <c r="G38" s="37" t="n"/>
      <c r="H38" s="37" t="n"/>
    </row>
    <row r="39">
      <c r="A39" s="36" t="n"/>
      <c r="B39" s="37" t="n"/>
      <c r="C39" s="37" t="n"/>
      <c r="D39" s="37" t="n"/>
      <c r="E39" s="37" t="n"/>
      <c r="F39" s="37" t="n"/>
      <c r="G39" s="37" t="n"/>
      <c r="H39" s="37" t="n"/>
    </row>
    <row r="40">
      <c r="A40" s="36" t="n"/>
      <c r="B40" s="37" t="n"/>
      <c r="C40" s="37" t="n"/>
      <c r="D40" s="37" t="n"/>
      <c r="E40" s="37" t="n"/>
      <c r="F40" s="37" t="n"/>
      <c r="G40" s="37" t="n"/>
      <c r="H40" s="37" t="n"/>
    </row>
    <row r="41">
      <c r="A41" s="36" t="n"/>
      <c r="B41" s="37" t="n"/>
      <c r="C41" s="37" t="n"/>
      <c r="D41" s="37" t="n"/>
      <c r="E41" s="37" t="n"/>
      <c r="F41" s="37" t="n"/>
      <c r="G41" s="37" t="n"/>
      <c r="H41" s="37" t="n"/>
    </row>
    <row r="42">
      <c r="A42" s="36" t="n"/>
      <c r="B42" s="37" t="n"/>
      <c r="C42" s="37" t="n"/>
      <c r="D42" s="37" t="n"/>
      <c r="E42" s="37" t="n"/>
      <c r="F42" s="37" t="n"/>
      <c r="G42" s="37" t="n"/>
      <c r="H42" s="37" t="n"/>
    </row>
    <row r="43">
      <c r="A43" s="36" t="n"/>
      <c r="B43" s="37" t="n"/>
      <c r="C43" s="37" t="n"/>
      <c r="D43" s="37" t="n"/>
      <c r="E43" s="37" t="n"/>
      <c r="F43" s="37" t="n"/>
      <c r="G43" s="37" t="n"/>
      <c r="H43" s="37" t="n"/>
    </row>
    <row r="44">
      <c r="A44" s="36" t="n"/>
      <c r="B44" s="37" t="n"/>
      <c r="C44" s="37" t="n"/>
      <c r="D44" s="37" t="n"/>
      <c r="E44" s="37" t="n"/>
      <c r="F44" s="37" t="n"/>
      <c r="G44" s="37" t="n"/>
      <c r="H44" s="37" t="n"/>
    </row>
    <row r="45">
      <c r="A45" s="36" t="n"/>
      <c r="B45" s="37" t="n"/>
      <c r="C45" s="37" t="n"/>
      <c r="D45" s="37" t="n"/>
      <c r="E45" s="37" t="n"/>
      <c r="F45" s="37" t="n"/>
      <c r="G45" s="37" t="n"/>
      <c r="H45" s="37" t="n"/>
    </row>
    <row r="46">
      <c r="A46" s="36" t="n"/>
      <c r="B46" s="37" t="n"/>
      <c r="C46" s="37" t="n"/>
      <c r="D46" s="37" t="n"/>
      <c r="E46" s="37" t="n"/>
      <c r="F46" s="37" t="n"/>
      <c r="G46" s="37" t="n"/>
      <c r="H46" s="37" t="n"/>
    </row>
    <row r="47">
      <c r="A47" s="36" t="n"/>
      <c r="B47" s="37" t="n"/>
      <c r="C47" s="37" t="n"/>
      <c r="D47" s="37" t="n"/>
      <c r="E47" s="37" t="n"/>
      <c r="F47" s="37" t="n"/>
      <c r="G47" s="37" t="n"/>
      <c r="H47" s="37" t="n"/>
    </row>
    <row r="48">
      <c r="A48" s="36" t="n"/>
      <c r="B48" s="37" t="n"/>
      <c r="C48" s="37" t="n"/>
      <c r="D48" s="37" t="n"/>
      <c r="E48" s="37" t="n"/>
      <c r="F48" s="37" t="n"/>
      <c r="G48" s="37" t="n"/>
      <c r="H48" s="37" t="n"/>
    </row>
    <row r="49">
      <c r="A49" s="36" t="n"/>
      <c r="B49" s="37" t="n"/>
      <c r="C49" s="37" t="n"/>
      <c r="D49" s="37" t="n"/>
      <c r="E49" s="37" t="n"/>
      <c r="F49" s="37" t="n"/>
      <c r="G49" s="37" t="n"/>
      <c r="H49" s="37" t="n"/>
    </row>
    <row r="50">
      <c r="A50" s="36" t="n"/>
      <c r="B50" s="37" t="n"/>
      <c r="C50" s="37" t="n"/>
      <c r="D50" s="37" t="n"/>
      <c r="E50" s="37" t="n"/>
      <c r="F50" s="37" t="n"/>
      <c r="G50" s="37" t="n"/>
      <c r="H50" s="37" t="n"/>
    </row>
    <row r="51">
      <c r="A51" s="36" t="n"/>
      <c r="B51" s="37" t="n"/>
      <c r="C51" s="37" t="n"/>
      <c r="D51" s="37" t="n"/>
      <c r="E51" s="37" t="n"/>
      <c r="F51" s="37" t="n"/>
      <c r="G51" s="37" t="n"/>
      <c r="H51" s="37" t="n"/>
    </row>
    <row r="52">
      <c r="A52" s="36" t="n"/>
      <c r="B52" s="37" t="n"/>
      <c r="C52" s="37" t="n"/>
      <c r="D52" s="37" t="n"/>
      <c r="E52" s="37" t="n"/>
      <c r="F52" s="37" t="n"/>
      <c r="G52" s="37" t="n"/>
      <c r="H52" s="37" t="n"/>
    </row>
    <row r="53">
      <c r="A53" s="36" t="n"/>
      <c r="B53" s="37" t="n"/>
      <c r="C53" s="37" t="n"/>
      <c r="D53" s="37" t="n"/>
      <c r="E53" s="37" t="n"/>
      <c r="F53" s="37" t="n"/>
      <c r="G53" s="37" t="n"/>
      <c r="H53" s="37" t="n"/>
    </row>
    <row r="54">
      <c r="A54" s="36" t="n"/>
      <c r="B54" s="37" t="n"/>
      <c r="C54" s="37" t="n"/>
      <c r="D54" s="37" t="n"/>
      <c r="E54" s="37" t="n"/>
      <c r="F54" s="37" t="n"/>
      <c r="G54" s="37" t="n"/>
      <c r="H54" s="37" t="n"/>
    </row>
    <row r="55">
      <c r="A55" s="36" t="n"/>
      <c r="B55" s="37" t="n"/>
      <c r="C55" s="37" t="n"/>
      <c r="D55" s="37" t="n"/>
      <c r="E55" s="37" t="n"/>
      <c r="F55" s="37" t="n"/>
      <c r="G55" s="37" t="n"/>
      <c r="H55" s="37" t="n"/>
    </row>
    <row r="56">
      <c r="A56" s="36" t="n"/>
      <c r="B56" s="37" t="n"/>
      <c r="C56" s="37" t="n"/>
      <c r="D56" s="37" t="n"/>
      <c r="E56" s="37" t="n"/>
      <c r="F56" s="37" t="n"/>
      <c r="G56" s="37" t="n"/>
      <c r="H56" s="37" t="n"/>
    </row>
    <row r="57">
      <c r="A57" s="36" t="n"/>
      <c r="B57" s="37" t="n"/>
      <c r="C57" s="37" t="n"/>
      <c r="D57" s="37" t="n"/>
      <c r="E57" s="37" t="n"/>
      <c r="F57" s="37" t="n"/>
      <c r="G57" s="37" t="n"/>
      <c r="H57" s="37" t="n"/>
    </row>
    <row r="58">
      <c r="A58" s="36" t="n"/>
      <c r="B58" s="37" t="n"/>
      <c r="C58" s="37" t="n"/>
      <c r="D58" s="37" t="n"/>
      <c r="E58" s="37" t="n"/>
      <c r="F58" s="37" t="n"/>
      <c r="G58" s="37" t="n"/>
      <c r="H58" s="37" t="n"/>
    </row>
    <row r="59">
      <c r="A59" s="36" t="n"/>
      <c r="B59" s="37" t="n"/>
      <c r="C59" s="37" t="n"/>
      <c r="D59" s="37" t="n"/>
      <c r="E59" s="37" t="n"/>
      <c r="F59" s="37" t="n"/>
      <c r="G59" s="37" t="n"/>
      <c r="H59" s="37" t="n"/>
    </row>
    <row r="60">
      <c r="A60" s="36" t="n"/>
      <c r="B60" s="37" t="n"/>
      <c r="C60" s="37" t="n"/>
      <c r="D60" s="37" t="n"/>
      <c r="E60" s="37" t="n"/>
      <c r="F60" s="37" t="n"/>
      <c r="G60" s="37" t="n"/>
      <c r="H60" s="37" t="n"/>
    </row>
    <row r="61">
      <c r="A61" s="36" t="n"/>
      <c r="B61" s="37" t="n"/>
      <c r="C61" s="37" t="n"/>
      <c r="D61" s="37" t="n"/>
      <c r="E61" s="37" t="n"/>
      <c r="F61" s="37" t="n"/>
      <c r="G61" s="37" t="n"/>
      <c r="H61" s="37" t="n"/>
    </row>
    <row r="62">
      <c r="A62" s="36" t="n"/>
      <c r="B62" s="37" t="n"/>
      <c r="C62" s="37" t="n"/>
      <c r="D62" s="37" t="n"/>
      <c r="E62" s="37" t="n"/>
      <c r="F62" s="37" t="n"/>
      <c r="G62" s="37" t="n"/>
      <c r="H62" s="37" t="n"/>
    </row>
    <row r="63">
      <c r="A63" s="36" t="n"/>
      <c r="B63" s="37" t="n"/>
      <c r="C63" s="37" t="n"/>
      <c r="D63" s="37" t="n"/>
      <c r="E63" s="37" t="n"/>
      <c r="F63" s="37" t="n"/>
      <c r="G63" s="37" t="n"/>
      <c r="H63" s="37" t="n"/>
    </row>
    <row r="64">
      <c r="A64" s="36" t="n"/>
      <c r="B64" s="37" t="n"/>
      <c r="C64" s="37" t="n"/>
      <c r="D64" s="37" t="n"/>
      <c r="E64" s="37" t="n"/>
      <c r="F64" s="37" t="n"/>
      <c r="G64" s="37" t="n"/>
      <c r="H64" s="37" t="n"/>
    </row>
    <row r="65">
      <c r="A65" s="36" t="n"/>
      <c r="B65" s="37" t="n"/>
      <c r="C65" s="37" t="n"/>
      <c r="D65" s="37" t="n"/>
      <c r="E65" s="37" t="n"/>
      <c r="F65" s="37" t="n"/>
      <c r="G65" s="37" t="n"/>
      <c r="H65" s="37" t="n"/>
    </row>
    <row r="66">
      <c r="A66" s="36" t="n"/>
      <c r="B66" s="37" t="n"/>
      <c r="C66" s="37" t="n"/>
      <c r="D66" s="37" t="n"/>
      <c r="E66" s="37" t="n"/>
      <c r="F66" s="37" t="n"/>
      <c r="G66" s="37" t="n"/>
      <c r="H66" s="37" t="n"/>
    </row>
    <row r="67">
      <c r="A67" s="36" t="n"/>
      <c r="B67" s="37" t="n"/>
      <c r="C67" s="37" t="n"/>
      <c r="D67" s="37" t="n"/>
      <c r="E67" s="37" t="n"/>
      <c r="F67" s="37" t="n"/>
      <c r="G67" s="37" t="n"/>
      <c r="H67" s="37" t="n"/>
    </row>
    <row r="68">
      <c r="A68" s="36" t="n"/>
      <c r="B68" s="37" t="n"/>
      <c r="C68" s="37" t="n"/>
      <c r="D68" s="37" t="n"/>
      <c r="E68" s="37" t="n"/>
      <c r="F68" s="37" t="n"/>
      <c r="G68" s="37" t="n"/>
      <c r="H68" s="37" t="n"/>
    </row>
    <row r="69">
      <c r="A69" s="36" t="n"/>
      <c r="B69" s="37" t="n"/>
      <c r="C69" s="37" t="n"/>
      <c r="D69" s="37" t="n"/>
      <c r="E69" s="37" t="n"/>
      <c r="F69" s="37" t="n"/>
      <c r="G69" s="37" t="n"/>
      <c r="H69" s="37" t="n"/>
    </row>
    <row r="70">
      <c r="A70" s="36" t="n"/>
      <c r="B70" s="37" t="n"/>
      <c r="C70" s="37" t="n"/>
      <c r="D70" s="37" t="n"/>
      <c r="E70" s="37" t="n"/>
      <c r="F70" s="37" t="n"/>
      <c r="G70" s="37" t="n"/>
      <c r="H70" s="37" t="n"/>
    </row>
    <row r="71">
      <c r="A71" s="36" t="n"/>
      <c r="B71" s="37" t="n"/>
      <c r="C71" s="37" t="n"/>
      <c r="D71" s="37" t="n"/>
      <c r="E71" s="37" t="n"/>
      <c r="F71" s="37" t="n"/>
      <c r="G71" s="37" t="n"/>
      <c r="H71" s="37" t="n"/>
    </row>
    <row r="72">
      <c r="A72" s="36" t="n"/>
      <c r="B72" s="37" t="n"/>
      <c r="C72" s="37" t="n"/>
      <c r="D72" s="37" t="n"/>
      <c r="E72" s="37" t="n"/>
      <c r="F72" s="37" t="n"/>
      <c r="G72" s="37" t="n"/>
      <c r="H72" s="37" t="n"/>
    </row>
    <row r="73">
      <c r="A73" s="36" t="n"/>
      <c r="B73" s="37" t="n"/>
      <c r="C73" s="37" t="n"/>
      <c r="D73" s="37" t="n"/>
      <c r="E73" s="37" t="n"/>
      <c r="F73" s="37" t="n"/>
      <c r="G73" s="37" t="n"/>
      <c r="H73" s="37" t="n"/>
    </row>
    <row r="74">
      <c r="A74" s="36" t="n"/>
      <c r="B74" s="37" t="n"/>
      <c r="C74" s="37" t="n"/>
      <c r="D74" s="37" t="n"/>
      <c r="E74" s="37" t="n"/>
      <c r="F74" s="37" t="n"/>
      <c r="G74" s="37" t="n"/>
      <c r="H74" s="37" t="n"/>
    </row>
    <row r="75">
      <c r="A75" s="36" t="n"/>
      <c r="B75" s="37" t="n"/>
      <c r="C75" s="37" t="n"/>
      <c r="D75" s="37" t="n"/>
      <c r="E75" s="37" t="n"/>
      <c r="F75" s="37" t="n"/>
      <c r="G75" s="37" t="n"/>
      <c r="H75" s="37" t="n"/>
    </row>
    <row r="76">
      <c r="A76" s="36" t="n"/>
      <c r="B76" s="37" t="n"/>
      <c r="C76" s="37" t="n"/>
      <c r="D76" s="37" t="n"/>
      <c r="E76" s="37" t="n"/>
      <c r="F76" s="37" t="n"/>
      <c r="G76" s="37" t="n"/>
      <c r="H76" s="37" t="n"/>
    </row>
    <row r="77">
      <c r="A77" s="36" t="n"/>
      <c r="B77" s="37" t="n"/>
      <c r="C77" s="37" t="n"/>
      <c r="D77" s="37" t="n"/>
      <c r="E77" s="37" t="n"/>
      <c r="F77" s="37" t="n"/>
      <c r="G77" s="37" t="n"/>
      <c r="H77" s="37" t="n"/>
    </row>
    <row r="78">
      <c r="A78" s="36" t="n"/>
      <c r="B78" s="37" t="n"/>
      <c r="C78" s="37" t="n"/>
      <c r="D78" s="37" t="n"/>
      <c r="E78" s="37" t="n"/>
      <c r="F78" s="37" t="n"/>
      <c r="G78" s="37" t="n"/>
      <c r="H78" s="37" t="n"/>
    </row>
    <row r="79">
      <c r="A79" s="36" t="n"/>
      <c r="B79" s="37" t="n"/>
      <c r="C79" s="37" t="n"/>
      <c r="D79" s="37" t="n"/>
      <c r="E79" s="37" t="n"/>
      <c r="F79" s="37" t="n"/>
      <c r="G79" s="37" t="n"/>
      <c r="H79" s="37" t="n"/>
    </row>
    <row r="80">
      <c r="A80" s="36" t="n"/>
      <c r="B80" s="37" t="n"/>
      <c r="C80" s="37" t="n"/>
      <c r="D80" s="37" t="n"/>
      <c r="E80" s="37" t="n"/>
      <c r="F80" s="37" t="n"/>
      <c r="G80" s="37" t="n"/>
      <c r="H80" s="37" t="n"/>
    </row>
    <row r="81">
      <c r="A81" s="36" t="n"/>
      <c r="B81" s="37" t="n"/>
      <c r="C81" s="37" t="n"/>
      <c r="D81" s="37" t="n"/>
      <c r="E81" s="37" t="n"/>
      <c r="F81" s="37" t="n"/>
      <c r="G81" s="37" t="n"/>
      <c r="H81" s="37" t="n"/>
    </row>
    <row r="82">
      <c r="A82" s="36" t="n"/>
      <c r="B82" s="37" t="n"/>
      <c r="C82" s="37" t="n"/>
      <c r="D82" s="37" t="n"/>
      <c r="E82" s="37" t="n"/>
      <c r="F82" s="37" t="n"/>
      <c r="G82" s="37" t="n"/>
      <c r="H82" s="37" t="n"/>
    </row>
    <row r="83">
      <c r="A83" s="36" t="n"/>
      <c r="B83" s="37" t="n"/>
      <c r="C83" s="37" t="n"/>
      <c r="D83" s="37" t="n"/>
      <c r="E83" s="37" t="n"/>
      <c r="F83" s="37" t="n"/>
      <c r="G83" s="37" t="n"/>
      <c r="H83" s="37" t="n"/>
    </row>
    <row r="84">
      <c r="A84" s="36" t="n"/>
      <c r="B84" s="37" t="n"/>
      <c r="C84" s="37" t="n"/>
      <c r="D84" s="37" t="n"/>
      <c r="E84" s="37" t="n"/>
      <c r="F84" s="37" t="n"/>
      <c r="G84" s="37" t="n"/>
      <c r="H84" s="37" t="n"/>
    </row>
    <row r="85">
      <c r="A85" s="36" t="n"/>
      <c r="B85" s="37" t="n"/>
      <c r="C85" s="37" t="n"/>
      <c r="D85" s="37" t="n"/>
      <c r="E85" s="37" t="n"/>
      <c r="F85" s="37" t="n"/>
      <c r="G85" s="37" t="n"/>
      <c r="H85" s="37" t="n"/>
    </row>
    <row r="86">
      <c r="A86" s="36" t="n"/>
      <c r="B86" s="37" t="n"/>
      <c r="C86" s="37" t="n"/>
      <c r="D86" s="37" t="n"/>
      <c r="E86" s="37" t="n"/>
      <c r="F86" s="37" t="n"/>
      <c r="G86" s="37" t="n"/>
      <c r="H86" s="37" t="n"/>
    </row>
    <row r="87">
      <c r="A87" s="36" t="n"/>
      <c r="B87" s="37" t="n"/>
      <c r="C87" s="37" t="n"/>
      <c r="D87" s="37" t="n"/>
      <c r="E87" s="37" t="n"/>
      <c r="F87" s="37" t="n"/>
      <c r="G87" s="37" t="n"/>
      <c r="H87" s="37" t="n"/>
    </row>
    <row r="88">
      <c r="A88" s="36" t="n"/>
      <c r="B88" s="37" t="n"/>
      <c r="C88" s="37" t="n"/>
      <c r="D88" s="37" t="n"/>
      <c r="E88" s="37" t="n"/>
      <c r="F88" s="37" t="n"/>
      <c r="G88" s="37" t="n"/>
      <c r="H88" s="37" t="n"/>
    </row>
    <row r="89">
      <c r="A89" s="36" t="n"/>
      <c r="B89" s="37" t="n"/>
      <c r="C89" s="37" t="n"/>
      <c r="D89" s="37" t="n"/>
      <c r="E89" s="37" t="n"/>
      <c r="F89" s="37" t="n"/>
      <c r="G89" s="37" t="n"/>
      <c r="H89" s="37" t="n"/>
    </row>
    <row r="90">
      <c r="A90" s="36" t="n"/>
      <c r="B90" s="37" t="n"/>
      <c r="C90" s="37" t="n"/>
      <c r="D90" s="37" t="n"/>
      <c r="E90" s="37" t="n"/>
      <c r="F90" s="37" t="n"/>
      <c r="G90" s="37" t="n"/>
      <c r="H90" s="37" t="n"/>
    </row>
    <row r="91">
      <c r="A91" s="36" t="n"/>
      <c r="B91" s="37" t="n"/>
      <c r="C91" s="37" t="n"/>
      <c r="D91" s="37" t="n"/>
      <c r="E91" s="37" t="n"/>
      <c r="F91" s="37" t="n"/>
      <c r="G91" s="37" t="n"/>
      <c r="H91" s="37" t="n"/>
    </row>
    <row r="92">
      <c r="A92" s="36" t="n"/>
      <c r="B92" s="37" t="n"/>
      <c r="C92" s="37" t="n"/>
      <c r="D92" s="37" t="n"/>
      <c r="E92" s="37" t="n"/>
      <c r="F92" s="37" t="n"/>
      <c r="G92" s="37" t="n"/>
      <c r="H92" s="37" t="n"/>
    </row>
    <row r="93">
      <c r="A93" s="36" t="n"/>
      <c r="B93" s="37" t="n"/>
      <c r="C93" s="37" t="n"/>
      <c r="D93" s="37" t="n"/>
      <c r="E93" s="37" t="n"/>
      <c r="F93" s="37" t="n"/>
      <c r="G93" s="37" t="n"/>
      <c r="H93" s="37" t="n"/>
    </row>
    <row r="94">
      <c r="A94" s="36" t="n"/>
      <c r="B94" s="37" t="n"/>
      <c r="C94" s="37" t="n"/>
      <c r="D94" s="37" t="n"/>
      <c r="E94" s="37" t="n"/>
      <c r="F94" s="37" t="n"/>
      <c r="G94" s="37" t="n"/>
      <c r="H94" s="37" t="n"/>
    </row>
    <row r="95">
      <c r="A95" s="36" t="n"/>
      <c r="B95" s="37" t="n"/>
      <c r="C95" s="37" t="n"/>
      <c r="D95" s="37" t="n"/>
      <c r="E95" s="37" t="n"/>
      <c r="F95" s="37" t="n"/>
      <c r="G95" s="37" t="n"/>
      <c r="H95" s="37" t="n"/>
    </row>
    <row r="96">
      <c r="A96" s="36" t="n"/>
      <c r="B96" s="37" t="n"/>
      <c r="C96" s="37" t="n"/>
      <c r="D96" s="37" t="n"/>
      <c r="E96" s="37" t="n"/>
      <c r="F96" s="37" t="n"/>
      <c r="G96" s="37" t="n"/>
      <c r="H96" s="37" t="n"/>
    </row>
    <row r="97">
      <c r="A97" s="36" t="n"/>
      <c r="B97" s="37" t="n"/>
      <c r="C97" s="37" t="n"/>
      <c r="D97" s="37" t="n"/>
      <c r="E97" s="37" t="n"/>
      <c r="F97" s="37" t="n"/>
      <c r="G97" s="37" t="n"/>
      <c r="H97" s="37" t="n"/>
    </row>
    <row r="98">
      <c r="A98" s="36" t="n"/>
      <c r="B98" s="37" t="n"/>
      <c r="C98" s="37" t="n"/>
      <c r="D98" s="37" t="n"/>
      <c r="E98" s="37" t="n"/>
      <c r="F98" s="37" t="n"/>
      <c r="G98" s="37" t="n"/>
      <c r="H98" s="37" t="n"/>
    </row>
    <row r="99">
      <c r="A99" s="36" t="n"/>
      <c r="B99" s="37" t="n"/>
      <c r="C99" s="37" t="n"/>
      <c r="D99" s="37" t="n"/>
      <c r="E99" s="37" t="n"/>
      <c r="F99" s="37" t="n"/>
      <c r="G99" s="37" t="n"/>
      <c r="H99" s="37" t="n"/>
    </row>
    <row r="100">
      <c r="A100" s="36" t="n"/>
      <c r="B100" s="37" t="n"/>
      <c r="C100" s="37" t="n"/>
      <c r="D100" s="37" t="n"/>
      <c r="E100" s="37" t="n"/>
      <c r="F100" s="37" t="n"/>
      <c r="G100" s="37" t="n"/>
      <c r="H100" s="37" t="n"/>
    </row>
    <row r="101">
      <c r="A101" s="36" t="n"/>
      <c r="B101" s="37" t="n"/>
      <c r="C101" s="37" t="n"/>
      <c r="D101" s="37" t="n"/>
      <c r="E101" s="37" t="n"/>
      <c r="F101" s="37" t="n"/>
      <c r="G101" s="37" t="n"/>
      <c r="H101" s="37" t="n"/>
    </row>
    <row r="102">
      <c r="A102" s="36" t="n"/>
      <c r="B102" s="37" t="n"/>
      <c r="C102" s="37" t="n"/>
      <c r="D102" s="37" t="n"/>
      <c r="E102" s="37" t="n"/>
      <c r="F102" s="37" t="n"/>
      <c r="G102" s="37" t="n"/>
      <c r="H102" s="37" t="n"/>
    </row>
    <row r="103">
      <c r="A103" s="36" t="n"/>
      <c r="B103" s="37" t="n"/>
      <c r="C103" s="37" t="n"/>
      <c r="D103" s="37" t="n"/>
      <c r="E103" s="37" t="n"/>
      <c r="F103" s="37" t="n"/>
      <c r="G103" s="37" t="n"/>
      <c r="H103" s="37" t="n"/>
    </row>
    <row r="104">
      <c r="A104" s="36" t="n"/>
      <c r="B104" s="37" t="n"/>
      <c r="C104" s="37" t="n"/>
      <c r="D104" s="37" t="n"/>
      <c r="E104" s="37" t="n"/>
      <c r="F104" s="37" t="n"/>
      <c r="G104" s="37" t="n"/>
      <c r="H104" s="37" t="n"/>
    </row>
    <row r="105">
      <c r="A105" s="36" t="n"/>
      <c r="B105" s="37" t="n"/>
      <c r="C105" s="37" t="n"/>
      <c r="D105" s="37" t="n"/>
      <c r="E105" s="37" t="n"/>
      <c r="F105" s="37" t="n"/>
      <c r="G105" s="37" t="n"/>
      <c r="H105" s="3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Document,BIA Report,Diagram,Other"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50" customWidth="1" min="1" max="1"/>
    <col width="25" customWidth="1" min="2" max="2"/>
    <col width="15" customWidth="1" min="3" max="3"/>
    <col width="15" customWidth="1" min="4" max="4"/>
    <col width="15" customWidth="1" min="5" max="5"/>
  </cols>
  <sheetData>
    <row r="1" ht="35" customHeight="1">
      <c r="A1" s="38" t="inlineStr">
        <is>
          <t>RPO/RTO COMPLIANCE — SUMMARY DASHBOARD</t>
        </is>
      </c>
    </row>
    <row r="2">
      <c r="A2" s="39" t="inlineStr">
        <is>
          <t>Assessment ID: ISMS-IMP-A.5.30.S3 | Assessment Date: [enter date]</t>
        </is>
      </c>
    </row>
    <row r="4">
      <c r="A4" s="40" t="inlineStr">
        <is>
          <t>OVERALL RPO/RTO COMPLIANCE</t>
        </is>
      </c>
    </row>
    <row r="5">
      <c r="A5" s="24" t="inlineStr">
        <is>
          <t>Total Systems Assessed:</t>
        </is>
      </c>
      <c r="B5" s="41">
        <f>COUNTA('System Inventory'!A16:A65)</f>
        <v/>
      </c>
    </row>
    <row r="6">
      <c r="A6" s="24" t="inlineStr">
        <is>
          <t>Systems with Full Compliance (RPO &amp; RTO):</t>
        </is>
      </c>
      <c r="B6" s="41">
        <f>COUNTIF('Compliance Matrix'!E16:E65,"✅*")</f>
        <v/>
      </c>
    </row>
    <row r="7">
      <c r="A7" s="24" t="inlineStr">
        <is>
          <t>Systems with Partial Compliance:</t>
        </is>
      </c>
      <c r="B7" s="41">
        <f>COUNTIF('Compliance Matrix'!E16:E65,"⚠*")</f>
        <v/>
      </c>
    </row>
    <row r="8">
      <c r="A8" s="24" t="inlineStr">
        <is>
          <t>Non-Compliant Systems:</t>
        </is>
      </c>
      <c r="B8" s="41">
        <f>COUNTIF('Compliance Matrix'!E16:E65,"❌*")</f>
        <v/>
      </c>
    </row>
    <row r="9">
      <c r="A9" s="24" t="inlineStr">
        <is>
          <t>Unknown Status (Not Tested):</t>
        </is>
      </c>
      <c r="B9" s="41">
        <f>COUNTIF('Compliance Matrix'!E16:E65,"❓*")</f>
        <v/>
      </c>
    </row>
    <row r="10">
      <c r="A10" s="24" t="inlineStr">
        <is>
          <t>Overall Compliance Rate:</t>
        </is>
      </c>
      <c r="B10" s="42">
        <f>IF(B5&gt;0,B6/B5,0)</f>
        <v/>
      </c>
    </row>
    <row r="12">
      <c r="A12" s="40" t="inlineStr">
        <is>
          <t>COMPLIANCE BY CRITICALITY TIER</t>
        </is>
      </c>
    </row>
    <row r="13">
      <c r="A13" s="24" t="inlineStr">
        <is>
          <t>Tier 1 - Critical Systems:</t>
        </is>
      </c>
      <c r="B13" s="43">
        <f>COUNTIF('System Inventory'!C16:C65,"Tier 1*")</f>
        <v/>
      </c>
    </row>
    <row r="14">
      <c r="A14" s="24" t="inlineStr">
        <is>
          <t>Tier 1 - Full Compliance:</t>
        </is>
      </c>
      <c r="B14" s="43">
        <f>SUMPRODUCT(('System Inventory'!C16:C65="Tier 1 - Critical")*('Compliance Matrix'!E16:E65="✅ Full Compliance"))</f>
        <v/>
      </c>
    </row>
    <row r="15">
      <c r="A15" s="24" t="inlineStr">
        <is>
          <t>Tier 1 - Compliance Rate:</t>
        </is>
      </c>
      <c r="B15" s="44">
        <f>IF(B13&gt;0,B14/B13,0)</f>
        <v/>
      </c>
    </row>
    <row r="17">
      <c r="A17" s="24" t="inlineStr">
        <is>
          <t>Tier 2 - Important Systems:</t>
        </is>
      </c>
      <c r="B17" s="43">
        <f>COUNTIF('System Inventory'!C16:C65,"Tier 2*")</f>
        <v/>
      </c>
    </row>
    <row r="18">
      <c r="A18" s="24" t="inlineStr">
        <is>
          <t>Tier 2 - Full Compliance:</t>
        </is>
      </c>
      <c r="B18" s="43">
        <f>SUMPRODUCT(('System Inventory'!C16:C65="Tier 2 - Important")*('Compliance Matrix'!E16:E65="✅ Full Compliance"))</f>
        <v/>
      </c>
    </row>
    <row r="19">
      <c r="A19" s="24" t="inlineStr">
        <is>
          <t>Tier 2 - Compliance Rate:</t>
        </is>
      </c>
      <c r="B19" s="44">
        <f>IF(B17&gt;0,B18/B17,0)</f>
        <v/>
      </c>
    </row>
    <row r="21">
      <c r="A21" s="40" t="inlineStr">
        <is>
          <t>GAP ANALYSIS SUMMARY</t>
        </is>
      </c>
    </row>
    <row r="22">
      <c r="A22" s="24" t="inlineStr">
        <is>
          <t>Total Gaps Identified:</t>
        </is>
      </c>
      <c r="B22" s="43">
        <f>COUNTA('Gap Analysis'!A16:A65)</f>
        <v/>
      </c>
    </row>
    <row r="23">
      <c r="A23" s="24" t="inlineStr">
        <is>
          <t>[!] Critical Priority Gaps:</t>
        </is>
      </c>
      <c r="B23" s="43">
        <f>COUNTIF('Gap Analysis'!F16:F65,"[!]*")</f>
        <v/>
      </c>
    </row>
    <row r="24">
      <c r="A24" s="24" t="inlineStr">
        <is>
          <t>[~] High Priority Gaps:</t>
        </is>
      </c>
      <c r="B24" s="43">
        <f>COUNTIF('Gap Analysis'!F16:F65,"[~]*")</f>
        <v/>
      </c>
    </row>
    <row r="25">
      <c r="A25" s="24" t="inlineStr">
        <is>
          <t>[.] Medium Priority Gaps:</t>
        </is>
      </c>
      <c r="B25" s="43">
        <f>COUNTIF('Gap Analysis'!F16:F65,"[.]*")</f>
        <v/>
      </c>
    </row>
    <row r="26">
      <c r="A26" s="24" t="inlineStr">
        <is>
          <t>[ ] Low Priority Gaps:</t>
        </is>
      </c>
      <c r="B26" s="43">
        <f>COUNTIF('Gap Analysis'!F16:F65,"[ ]*")</f>
        <v/>
      </c>
    </row>
    <row r="28">
      <c r="A28" s="24" t="inlineStr">
        <is>
          <t>Open Gaps:</t>
        </is>
      </c>
      <c r="B28" s="43">
        <f>COUNTIF('Gap Analysis'!H16:H65,"Open*")</f>
        <v/>
      </c>
    </row>
    <row r="29">
      <c r="A29" s="24" t="inlineStr">
        <is>
          <t>In Progress Gaps:</t>
        </is>
      </c>
      <c r="B29" s="43">
        <f>COUNTIF('Gap Analysis'!H16:H65,"In Progress*")</f>
        <v/>
      </c>
    </row>
    <row r="30">
      <c r="A30" s="24" t="inlineStr">
        <is>
          <t>Closed Gaps:</t>
        </is>
      </c>
      <c r="B30" s="43">
        <f>COUNTIF('Gap Analysis'!H16:H65,"✅*")</f>
        <v/>
      </c>
    </row>
    <row r="32">
      <c r="A32" s="24" t="inlineStr">
        <is>
          <t>Average Risk Score:</t>
        </is>
      </c>
      <c r="B32" s="45">
        <f>IFERROR(AVERAGE('Gap Analysis'!E16:E65),0)</f>
        <v/>
      </c>
    </row>
    <row r="34">
      <c r="A34" s="40" t="inlineStr">
        <is>
          <t>EVIDENCE &amp; APPROVAL STATUS</t>
        </is>
      </c>
    </row>
    <row r="35">
      <c r="A35" s="24" t="inlineStr">
        <is>
          <t>Evidence Items Collected:</t>
        </is>
      </c>
      <c r="B35" s="43">
        <f>COUNTA('Evidence Register'!A6:A105)</f>
        <v/>
      </c>
    </row>
    <row r="36">
      <c r="A36" s="24" t="inlineStr">
        <is>
          <t>Verified Evidence:</t>
        </is>
      </c>
      <c r="B36" s="43">
        <f>COUNTIF('Evidence Register'!H6:H105,"✅*")</f>
        <v/>
      </c>
    </row>
    <row r="37">
      <c r="A37" s="24" t="inlineStr">
        <is>
          <t>Minimum Evidence Required:</t>
        </is>
      </c>
      <c r="B37" s="46" t="inlineStr">
        <is>
          <t>5</t>
        </is>
      </c>
    </row>
    <row r="38">
      <c r="A38" s="24" t="inlineStr">
        <is>
          <t>Evidence Compliance:</t>
        </is>
      </c>
      <c r="B38" s="43">
        <f>IF(B40&gt;=B42,"✅ Sufficient","❌ Insufficient")</f>
        <v/>
      </c>
    </row>
    <row r="40">
      <c r="A40" s="24" t="inlineStr">
        <is>
          <t>Assessment Status:</t>
        </is>
      </c>
      <c r="B40" s="43">
        <f>'Approval Sign-Off'!B7</f>
        <v/>
      </c>
    </row>
    <row r="41">
      <c r="A41" s="24" t="inlineStr">
        <is>
          <t>Level 1 - Assessor Completed:</t>
        </is>
      </c>
      <c r="B41" s="43">
        <f>IF('Approval Sign-Off'!B11&lt;&gt;"","✅ Complete","Pending")</f>
        <v/>
      </c>
    </row>
    <row r="42">
      <c r="A42" s="24" t="inlineStr">
        <is>
          <t>Level 2 - ISO Review:</t>
        </is>
      </c>
      <c r="B42" s="43">
        <f>IF('Approval Sign-Off'!B18&lt;&gt;"","✅ Complete","Pending")</f>
        <v/>
      </c>
    </row>
    <row r="43">
      <c r="A43" s="24" t="inlineStr">
        <is>
          <t>Level 3 - CISO Approval:</t>
        </is>
      </c>
      <c r="B43" s="43">
        <f>IF('Approval Sign-Off'!B25&lt;&gt;"","✅ Complete","Pending")</f>
        <v/>
      </c>
    </row>
    <row r="45">
      <c r="A45" s="40" t="inlineStr">
        <is>
          <t>PRIORITY ACTIONS</t>
        </is>
      </c>
    </row>
    <row r="46">
      <c r="A46" s="47" t="inlineStr">
        <is>
          <t>1. Address all [!] Critical priority gaps immediately (target: 90 days)</t>
        </is>
      </c>
    </row>
    <row r="47">
      <c r="A47" s="47" t="inlineStr">
        <is>
          <t>2. Test all systems marked unknown (capability assessment needed)</t>
        </is>
      </c>
    </row>
    <row r="48">
      <c r="A48" s="47" t="inlineStr">
        <is>
          <t>3. Focus on Tier 1 systems first (business-critical)</t>
        </is>
      </c>
    </row>
    <row r="49">
      <c r="A49" s="47" t="inlineStr">
        <is>
          <t>4. Close RPO gaps: Increase backup frequency OR implement replication</t>
        </is>
      </c>
    </row>
    <row r="50">
      <c r="A50" s="47" t="inlineStr">
        <is>
          <t>5. Close RTO gaps: Implement redundancy OR optimise restore procedures</t>
        </is>
      </c>
    </row>
    <row r="51">
      <c r="A51" s="47" t="inlineStr">
        <is>
          <t>6. Collect minimum 5 evidence items in the Evidence Register</t>
        </is>
      </c>
    </row>
    <row r="52">
      <c r="A52" s="47" t="inlineStr">
        <is>
          <t>7. Complete all 3 approval levels (Assessor to ISO to CISO)</t>
        </is>
      </c>
    </row>
    <row r="53">
      <c r="A53" s="47" t="inlineStr">
        <is>
          <t>8. Track remediation progress in the Gap Analysis worksheet</t>
        </is>
      </c>
    </row>
    <row r="54">
      <c r="A54" s="47" t="inlineStr">
        <is>
          <t>9. Reassess quarterly to measure continuous improvement</t>
        </is>
      </c>
    </row>
  </sheetData>
  <mergeCells count="7">
    <mergeCell ref="A21:E21"/>
    <mergeCell ref="A34:E34"/>
    <mergeCell ref="A12:E12"/>
    <mergeCell ref="A4:E4"/>
    <mergeCell ref="A2:E2"/>
    <mergeCell ref="A1:E1"/>
    <mergeCell ref="A45:E4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8" t="inlineStr">
        <is>
          <t>ASSESSMENT APPROVAL AND SIGN-OFF</t>
        </is>
      </c>
      <c r="B1" s="6" t="n"/>
      <c r="C1" s="6" t="n"/>
      <c r="D1" s="6" t="n"/>
      <c r="E1" s="6" t="n"/>
    </row>
    <row r="2">
      <c r="A2" s="49" t="inlineStr">
        <is>
          <t>ISMS-IMP-A.5.30.S3 | ISO/IEC 27001:2022 - Control A.5.30 (ICT Readiness for Business Continuity)</t>
        </is>
      </c>
      <c r="B2" s="6" t="n"/>
      <c r="C2" s="6" t="n"/>
      <c r="D2" s="6" t="n"/>
      <c r="E2" s="6" t="n"/>
    </row>
    <row r="3">
      <c r="A3" s="50" t="inlineStr">
        <is>
          <t>ASSESSMENT SUMMARY</t>
        </is>
      </c>
      <c r="B3" s="6" t="n"/>
      <c r="C3" s="6" t="n"/>
      <c r="D3" s="6" t="n"/>
      <c r="E3" s="6" t="n"/>
    </row>
    <row r="4">
      <c r="A4" s="51" t="inlineStr">
        <is>
          <t>Document:</t>
        </is>
      </c>
      <c r="B4" s="6" t="inlineStr">
        <is>
          <t>ISMS-IMP-A.5.30.S3 - RPO/RTO Compliance Matrix</t>
        </is>
      </c>
      <c r="C4" s="6" t="n"/>
      <c r="D4" s="6" t="n"/>
      <c r="E4" s="6" t="n"/>
    </row>
    <row r="5">
      <c r="A5" s="51" t="inlineStr">
        <is>
          <t>Assessment Period:</t>
        </is>
      </c>
      <c r="B5" s="52" t="inlineStr"/>
      <c r="C5" s="52" t="n"/>
      <c r="D5" s="52" t="n"/>
      <c r="E5" s="52" t="n"/>
    </row>
    <row r="6">
      <c r="A6" s="51" t="inlineStr">
        <is>
          <t>Overall RPO/RTO Compliance Rate:</t>
        </is>
      </c>
      <c r="B6" s="53">
        <f>'Summary Dashboard'!B10</f>
        <v/>
      </c>
      <c r="C6" s="6" t="n"/>
      <c r="D6" s="6" t="n"/>
      <c r="E6" s="6" t="n"/>
    </row>
    <row r="7">
      <c r="A7" s="51" t="inlineStr">
        <is>
          <t>Assessment Status:</t>
        </is>
      </c>
      <c r="B7" s="52" t="inlineStr"/>
      <c r="C7" s="52" t="n"/>
      <c r="D7" s="52" t="n"/>
      <c r="E7" s="52" t="n"/>
    </row>
    <row r="8">
      <c r="A8" s="51" t="inlineStr">
        <is>
          <t>Assessed By:</t>
        </is>
      </c>
      <c r="B8" s="52" t="inlineStr"/>
      <c r="C8" s="52" t="n"/>
      <c r="D8" s="52" t="n"/>
      <c r="E8" s="52" t="n"/>
    </row>
    <row r="11">
      <c r="A11" s="50" t="inlineStr">
        <is>
          <t>COMPLETED BY (ASSESSOR)</t>
        </is>
      </c>
      <c r="B11" s="6" t="n"/>
      <c r="C11" s="6" t="n"/>
      <c r="D11" s="6" t="n"/>
      <c r="E11" s="6" t="n"/>
    </row>
    <row r="12">
      <c r="A12" s="51" t="inlineStr">
        <is>
          <t>Name:</t>
        </is>
      </c>
      <c r="B12" s="52" t="n"/>
      <c r="C12" s="52" t="n"/>
      <c r="D12" s="52" t="n"/>
      <c r="E12" s="52" t="n"/>
    </row>
    <row r="13">
      <c r="A13" s="51" t="inlineStr">
        <is>
          <t>Title:</t>
        </is>
      </c>
      <c r="B13" s="52" t="n"/>
      <c r="C13" s="52" t="n"/>
      <c r="D13" s="52" t="n"/>
      <c r="E13" s="52" t="n"/>
    </row>
    <row r="14">
      <c r="A14" s="51" t="inlineStr">
        <is>
          <t>Date:</t>
        </is>
      </c>
      <c r="B14" s="52" t="n"/>
      <c r="C14" s="52" t="n"/>
      <c r="D14" s="52" t="n"/>
      <c r="E14" s="52" t="n"/>
    </row>
    <row r="15">
      <c r="A15" s="51" t="inlineStr">
        <is>
          <t>Signature:</t>
        </is>
      </c>
      <c r="B15" s="52" t="n"/>
      <c r="C15" s="52" t="n"/>
      <c r="D15" s="52" t="n"/>
      <c r="E15" s="52" t="n"/>
    </row>
    <row r="16">
      <c r="A16" s="51" t="inlineStr">
        <is>
          <t>Comments:</t>
        </is>
      </c>
      <c r="B16" s="52" t="n"/>
      <c r="C16" s="52" t="n"/>
      <c r="D16" s="52" t="n"/>
      <c r="E16" s="52" t="n"/>
    </row>
    <row r="18">
      <c r="A18" s="50" t="inlineStr">
        <is>
          <t>REVIEWED BY (INFORMATION SECURITY OFFICER)</t>
        </is>
      </c>
      <c r="B18" s="6" t="n"/>
      <c r="C18" s="6" t="n"/>
      <c r="D18" s="6" t="n"/>
      <c r="E18" s="6" t="n"/>
    </row>
    <row r="19">
      <c r="A19" s="51" t="inlineStr">
        <is>
          <t>Name:</t>
        </is>
      </c>
      <c r="B19" s="52" t="n"/>
      <c r="C19" s="52" t="n"/>
      <c r="D19" s="52" t="n"/>
      <c r="E19" s="52" t="n"/>
    </row>
    <row r="20">
      <c r="A20" s="51" t="inlineStr">
        <is>
          <t>Title:</t>
        </is>
      </c>
      <c r="B20" s="52" t="n"/>
      <c r="C20" s="52" t="n"/>
      <c r="D20" s="52" t="n"/>
      <c r="E20" s="52" t="n"/>
    </row>
    <row r="21">
      <c r="A21" s="51" t="inlineStr">
        <is>
          <t>Date:</t>
        </is>
      </c>
      <c r="B21" s="52" t="n"/>
      <c r="C21" s="52" t="n"/>
      <c r="D21" s="52" t="n"/>
      <c r="E21" s="52" t="n"/>
    </row>
    <row r="22">
      <c r="A22" s="51" t="inlineStr">
        <is>
          <t>Signature:</t>
        </is>
      </c>
      <c r="B22" s="52" t="n"/>
      <c r="C22" s="52" t="n"/>
      <c r="D22" s="52" t="n"/>
      <c r="E22" s="52" t="n"/>
    </row>
    <row r="23">
      <c r="A23" s="51" t="inlineStr">
        <is>
          <t>Comments:</t>
        </is>
      </c>
      <c r="B23" s="52" t="n"/>
      <c r="C23" s="52" t="n"/>
      <c r="D23" s="52" t="n"/>
      <c r="E23" s="52" t="n"/>
    </row>
    <row r="25">
      <c r="A25" s="54" t="inlineStr">
        <is>
          <t>APPROVED BY (CISO)</t>
        </is>
      </c>
      <c r="B25" s="6" t="n"/>
      <c r="C25" s="6" t="n"/>
      <c r="D25" s="6" t="n"/>
      <c r="E25" s="6" t="n"/>
    </row>
    <row r="26">
      <c r="A26" s="51" t="inlineStr">
        <is>
          <t>Name:</t>
        </is>
      </c>
      <c r="B26" s="52" t="n"/>
      <c r="C26" s="52" t="n"/>
      <c r="D26" s="52" t="n"/>
      <c r="E26" s="52" t="n"/>
    </row>
    <row r="27">
      <c r="A27" s="51" t="inlineStr">
        <is>
          <t>Title:</t>
        </is>
      </c>
      <c r="B27" s="52" t="n"/>
      <c r="C27" s="52" t="n"/>
      <c r="D27" s="52" t="n"/>
      <c r="E27" s="52" t="n"/>
    </row>
    <row r="28">
      <c r="A28" s="51" t="inlineStr">
        <is>
          <t>Date:</t>
        </is>
      </c>
      <c r="B28" s="52" t="n"/>
      <c r="C28" s="52" t="n"/>
      <c r="D28" s="52" t="n"/>
      <c r="E28" s="52" t="n"/>
    </row>
    <row r="29">
      <c r="A29" s="51" t="inlineStr">
        <is>
          <t>Signature:</t>
        </is>
      </c>
      <c r="B29" s="52" t="n"/>
      <c r="C29" s="52" t="n"/>
      <c r="D29" s="52" t="n"/>
      <c r="E29" s="52" t="n"/>
    </row>
    <row r="30">
      <c r="A30" s="51" t="inlineStr">
        <is>
          <t>Comments:</t>
        </is>
      </c>
      <c r="B30" s="52" t="n"/>
      <c r="C30" s="52" t="n"/>
      <c r="D30" s="52" t="n"/>
      <c r="E30" s="52" t="n"/>
    </row>
    <row r="32">
      <c r="A32" s="55" t="inlineStr">
        <is>
          <t>FINAL DECISION:</t>
        </is>
      </c>
      <c r="B32" s="52" t="n"/>
      <c r="C32" s="52" t="n"/>
      <c r="D32" s="52" t="n"/>
      <c r="E32" s="52" t="n"/>
    </row>
    <row r="35">
      <c r="A35" s="50" t="inlineStr">
        <is>
          <t>NEXT REVIEW DETAILS</t>
        </is>
      </c>
      <c r="B35" s="6" t="n"/>
      <c r="C35" s="6" t="n"/>
      <c r="D35" s="6" t="n"/>
      <c r="E35" s="6" t="n"/>
    </row>
    <row r="36">
      <c r="A36" s="51" t="inlineStr">
        <is>
          <t>Next Review Date:</t>
        </is>
      </c>
      <c r="B36" s="52" t="n"/>
      <c r="C36" s="52" t="n"/>
      <c r="D36" s="52" t="n"/>
      <c r="E36" s="52" t="n"/>
    </row>
    <row r="37">
      <c r="A37" s="51" t="inlineStr">
        <is>
          <t>Review Responsible:</t>
        </is>
      </c>
      <c r="B37" s="52" t="n"/>
      <c r="C37" s="52" t="n"/>
      <c r="D37" s="52" t="n"/>
      <c r="E37" s="52" t="n"/>
    </row>
    <row r="38">
      <c r="A38" s="51" t="inlineStr">
        <is>
          <t>Special Considerations:</t>
        </is>
      </c>
      <c r="B38" s="52" t="n"/>
      <c r="C38" s="52" t="n"/>
      <c r="D38" s="52" t="n"/>
      <c r="E38" s="52"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ISMS-IMP-A.5.30.S3 — RPO RTO Compliance</dc:title>
  <dc:description xmlns:dc="http://purl.org/dc/elements/1.1/">ISMS Implementation Workbook — ISMS-IMP-A.5.30.S3</dc:description>
  <dc:subject xmlns:dc="http://purl.org/dc/elements/1.1/">ISO/IEC 27001:2022 — Control A.5.30: Information Backup</dc:subject>
  <dcterms:created xmlns:dcterms="http://purl.org/dc/terms/" xmlns:xsi="http://www.w3.org/2001/XMLSchema-instance" xsi:type="dcterms:W3CDTF">2026-03-10T18:48:45Z</dcterms:created>
  <dcterms:modified xmlns:dcterms="http://purl.org/dc/terms/" xmlns:xsi="http://www.w3.org/2001/XMLSchema-instance" xsi:type="dcterms:W3CDTF">2026-03-10T18:48:45Z</dcterms:modified>
</cp:coreProperties>
</file>