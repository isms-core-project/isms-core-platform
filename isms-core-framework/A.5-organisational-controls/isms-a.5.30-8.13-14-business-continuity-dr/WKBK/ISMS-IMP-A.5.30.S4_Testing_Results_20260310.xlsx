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Test Schedule" sheetId="2" state="visible" r:id="rId2"/>
    <sheet xmlns:r="http://schemas.openxmlformats.org/officeDocument/2006/relationships" name="Test Results Log" sheetId="3" state="visible" r:id="rId3"/>
    <sheet xmlns:r="http://schemas.openxmlformats.org/officeDocument/2006/relationships" name="Issue Remediation" sheetId="4" state="visible" r:id="rId4"/>
    <sheet xmlns:r="http://schemas.openxmlformats.org/officeDocument/2006/relationships" name="Testing Compliance" sheetId="5" state="visible" r:id="rId5"/>
    <sheet xmlns:r="http://schemas.openxmlformats.org/officeDocument/2006/relationships" name="Evidence Register" sheetId="6" state="visible" r:id="rId6"/>
    <sheet xmlns:r="http://schemas.openxmlformats.org/officeDocument/2006/relationships" name="Summary Dashboard" sheetId="7" state="visible" r:id="rId7"/>
    <sheet xmlns:r="http://schemas.openxmlformats.org/officeDocument/2006/relationships" name="Approval Sign-Off" sheetId="8" state="visible" r:id="rId8"/>
  </sheets>
  <definedNames/>
  <calcPr calcId="124519" fullCalcOnLoad="1"/>
</workbook>
</file>

<file path=xl/styles.xml><?xml version="1.0" encoding="utf-8"?>
<styleSheet xmlns="http://schemas.openxmlformats.org/spreadsheetml/2006/main">
  <numFmts count="3">
    <numFmt numFmtId="164" formatCode="DD.MM.YYYY"/>
    <numFmt numFmtId="165" formatCode="0.0%"/>
    <numFmt numFmtId="166" formatCode="0.0"/>
  </numFmts>
  <fonts count="19">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2"/>
    </font>
    <font>
      <b val="1"/>
      <sz val="9"/>
    </font>
    <font>
      <i val="1"/>
      <color rgb="00666666"/>
    </font>
    <font>
      <name val="Calibri"/>
      <i val="1"/>
      <sz val="10"/>
    </font>
    <font>
      <name val="Calibri"/>
      <b val="1"/>
      <color rgb="00FFFFFF"/>
      <sz val="10"/>
    </font>
    <font>
      <name val="Calibri"/>
      <b val="1"/>
      <color rgb="00FFFFFF"/>
      <sz val="16"/>
    </font>
    <font>
      <i val="1"/>
      <sz val="10"/>
    </font>
    <font>
      <b val="1"/>
      <sz val="12"/>
    </font>
    <font>
      <b val="1"/>
      <sz val="11"/>
    </font>
    <font>
      <b val="1"/>
      <color rgb="00C00000"/>
      <sz val="11"/>
    </font>
    <font>
      <name val="Calibri"/>
      <sz val="10"/>
    </font>
    <font>
      <name val="Calibri"/>
      <i val="1"/>
      <color rgb="00003366"/>
      <sz val="10"/>
    </font>
    <font>
      <name val="Calibri"/>
      <b val="1"/>
      <color rgb="00FFFFFF"/>
      <sz val="11"/>
    </font>
    <font>
      <name val="Calibri"/>
      <b val="1"/>
      <sz val="11"/>
    </font>
  </fonts>
  <fills count="13">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4472C4"/>
        <bgColor rgb="004472C4"/>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s>
  <borders count="3">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s>
  <cellStyleXfs count="1">
    <xf numFmtId="0" fontId="0" fillId="0" borderId="0"/>
  </cellStyleXfs>
  <cellXfs count="54">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xf>
    <xf numFmtId="0" fontId="5" fillId="9" borderId="0" applyAlignment="1" pivotButton="0" quotePrefix="0" xfId="0">
      <alignment horizontal="center"/>
    </xf>
    <xf numFmtId="0" fontId="4" fillId="10" borderId="2" applyAlignment="1" pivotButton="0" quotePrefix="0" xfId="0">
      <alignment horizontal="center" vertical="center" wrapText="1"/>
    </xf>
    <xf numFmtId="0" fontId="6" fillId="0" borderId="2" pivotButton="0" quotePrefix="0" xfId="0"/>
    <xf numFmtId="0" fontId="0" fillId="0" borderId="2" applyAlignment="1" pivotButton="0" quotePrefix="0" xfId="0">
      <alignment vertical="top" wrapText="1"/>
    </xf>
    <xf numFmtId="0" fontId="0" fillId="0" borderId="2" pivotButton="0" quotePrefix="0" xfId="0"/>
    <xf numFmtId="164" fontId="0" fillId="0" borderId="2" pivotButton="0" quotePrefix="0" xfId="0"/>
    <xf numFmtId="0" fontId="6" fillId="11" borderId="2" pivotButton="0" quotePrefix="0" xfId="0"/>
    <xf numFmtId="0" fontId="0" fillId="11" borderId="2" applyAlignment="1" pivotButton="0" quotePrefix="0" xfId="0">
      <alignment vertical="top" wrapText="1"/>
    </xf>
    <xf numFmtId="0" fontId="0" fillId="11" borderId="2" pivotButton="0" quotePrefix="0" xfId="0"/>
    <xf numFmtId="164" fontId="0" fillId="11" borderId="2" pivotButton="0" quotePrefix="0" xfId="0"/>
    <xf numFmtId="0" fontId="0" fillId="12" borderId="2" pivotButton="0" quotePrefix="0" xfId="0"/>
    <xf numFmtId="0" fontId="0" fillId="12" borderId="2" applyAlignment="1" pivotButton="0" quotePrefix="0" xfId="0">
      <alignment vertical="top" wrapText="1"/>
    </xf>
    <xf numFmtId="164" fontId="0" fillId="12" borderId="2" pivotButton="0" quotePrefix="0" xfId="0"/>
    <xf numFmtId="0" fontId="4" fillId="0" borderId="0" pivotButton="0" quotePrefix="0" xfId="0"/>
    <xf numFmtId="165" fontId="4" fillId="0" borderId="0" pivotButton="0" quotePrefix="0" xfId="0"/>
    <xf numFmtId="166" fontId="4" fillId="0" borderId="0" pivotButton="0" quotePrefix="0" xfId="0"/>
    <xf numFmtId="0" fontId="7" fillId="0" borderId="2" pivotButton="0" quotePrefix="0" xfId="0"/>
    <xf numFmtId="164" fontId="7" fillId="0" borderId="2" pivotButton="0" quotePrefix="0" xfId="0"/>
    <xf numFmtId="0" fontId="7" fillId="11" borderId="2" pivotButton="0" quotePrefix="0" xfId="0"/>
    <xf numFmtId="164" fontId="7" fillId="11" borderId="2" pivotButton="0" quotePrefix="0" xfId="0"/>
    <xf numFmtId="0" fontId="8" fillId="0" borderId="0" applyAlignment="1" pivotButton="0" quotePrefix="0" xfId="0">
      <alignment horizontal="center"/>
    </xf>
    <xf numFmtId="0" fontId="9" fillId="8" borderId="1" applyAlignment="1" pivotButton="0" quotePrefix="0" xfId="0">
      <alignment horizontal="center" vertical="center" wrapText="1"/>
    </xf>
    <xf numFmtId="0" fontId="8" fillId="11" borderId="1" pivotButton="0" quotePrefix="0" xfId="0"/>
    <xf numFmtId="164" fontId="8" fillId="11" borderId="1" pivotButton="0" quotePrefix="0" xfId="0"/>
    <xf numFmtId="0" fontId="0" fillId="12" borderId="1" pivotButton="0" quotePrefix="0" xfId="0"/>
    <xf numFmtId="164" fontId="0" fillId="12" borderId="1" pivotButton="0" quotePrefix="0" xfId="0"/>
    <xf numFmtId="0" fontId="10" fillId="8" borderId="0" applyAlignment="1" pivotButton="0" quotePrefix="0" xfId="0">
      <alignment horizontal="center" vertical="center"/>
    </xf>
    <xf numFmtId="0" fontId="11" fillId="0" borderId="0" applyAlignment="1" pivotButton="0" quotePrefix="0" xfId="0">
      <alignment horizontal="center"/>
    </xf>
    <xf numFmtId="0" fontId="5" fillId="9" borderId="0" applyAlignment="1" pivotButton="0" quotePrefix="0" xfId="0">
      <alignment horizontal="left"/>
    </xf>
    <xf numFmtId="0" fontId="12" fillId="0" borderId="0" pivotButton="0" quotePrefix="0" xfId="0"/>
    <xf numFmtId="165" fontId="12" fillId="0" borderId="0" pivotButton="0" quotePrefix="0" xfId="0"/>
    <xf numFmtId="0" fontId="13" fillId="0" borderId="0" pivotButton="0" quotePrefix="0" xfId="0"/>
    <xf numFmtId="165" fontId="13" fillId="0" borderId="0" pivotButton="0" quotePrefix="0" xfId="0"/>
    <xf numFmtId="0" fontId="14" fillId="0" borderId="0" pivotButton="0" quotePrefix="0" xfId="0"/>
    <xf numFmtId="0" fontId="15" fillId="0" borderId="0" pivotButton="0" quotePrefix="0" xfId="0"/>
    <xf numFmtId="0" fontId="1" fillId="8" borderId="1" applyAlignment="1" pivotButton="0" quotePrefix="0" xfId="0">
      <alignment horizontal="center" vertical="center" wrapText="1"/>
    </xf>
    <xf numFmtId="0" fontId="16" fillId="0" borderId="1" applyAlignment="1" pivotButton="0" quotePrefix="0" xfId="0">
      <alignment horizontal="center" vertical="center"/>
    </xf>
    <xf numFmtId="0" fontId="17" fillId="9" borderId="1" applyAlignment="1" pivotButton="0" quotePrefix="0" xfId="0">
      <alignment horizontal="left" vertical="center"/>
    </xf>
    <xf numFmtId="0" fontId="4" fillId="0" borderId="1" pivotButton="0" quotePrefix="0" xfId="0"/>
    <xf numFmtId="165" fontId="0" fillId="0" borderId="1" pivotButton="0" quotePrefix="0" xfId="0"/>
    <xf numFmtId="0" fontId="17" fillId="8" borderId="1" applyAlignment="1" pivotButton="0" quotePrefix="0" xfId="0">
      <alignment horizontal="left" vertical="center"/>
    </xf>
    <xf numFmtId="0" fontId="18"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ISMS-IMP-A.5.30.S4  -  Testing Results
ISO/IEC 27001:2022 - Control A.5.30: Information Backup</t>
        </is>
      </c>
    </row>
    <row r="3">
      <c r="A3" s="2" t="inlineStr">
        <is>
          <t>Document Information</t>
        </is>
      </c>
    </row>
    <row r="4">
      <c r="A4" s="3" t="inlineStr">
        <is>
          <t>Document ID</t>
        </is>
      </c>
      <c r="B4" t="inlineStr">
        <is>
          <t>ISMS-IMP-A.5.30.S4</t>
        </is>
      </c>
    </row>
    <row r="5">
      <c r="A5" s="3" t="inlineStr">
        <is>
          <t>Workbook Title</t>
        </is>
      </c>
      <c r="B5" t="inlineStr">
        <is>
          <t>Testing Results</t>
        </is>
      </c>
    </row>
    <row r="6">
      <c r="A6" s="3" t="inlineStr">
        <is>
          <t>Control Reference</t>
        </is>
      </c>
      <c r="B6" t="inlineStr">
        <is>
          <t>ISO/IEC 27001:2022 - Control A.5.30: Information Backup</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Plan tests in the Test Schedule worksheet (define annual test plan).</t>
        </is>
      </c>
    </row>
    <row r="14">
      <c r="A14" t="inlineStr">
        <is>
          <t>2. Execute tests according to schedule and document actual execution.</t>
        </is>
      </c>
    </row>
    <row r="15">
      <c r="A15" t="inlineStr">
        <is>
          <t>3. Log results in the Test Results Log worksheet (document every test performed).</t>
        </is>
      </c>
    </row>
    <row r="16">
      <c r="A16" t="inlineStr">
        <is>
          <t>4. Document issues in the Issue Remediation worksheet (problems discovered during testing).</t>
        </is>
      </c>
    </row>
    <row r="17">
      <c r="A17" t="inlineStr">
        <is>
          <t>5. Track remediation of issues to closure.</t>
        </is>
      </c>
    </row>
    <row r="18">
      <c r="A18" t="inlineStr">
        <is>
          <t>6. Review Testing Compliance worksheet (annual compliance assessment).</t>
        </is>
      </c>
    </row>
    <row r="19">
      <c r="A19" t="inlineStr">
        <is>
          <t>7. Collect evidence in the Evidence Register (minimum 5 items required for audit).</t>
        </is>
      </c>
    </row>
    <row r="20">
      <c r="A20" t="inlineStr">
        <is>
          <t>8. Review the Summary Dashboard for overall testing compliance metrics.</t>
        </is>
      </c>
    </row>
    <row r="21">
      <c r="A21" t="inlineStr">
        <is>
          <t>9. Complete the Approval Sign-Off worksheet to obtain formal sign-off.</t>
        </is>
      </c>
    </row>
    <row r="22">
      <c r="A22" t="inlineStr">
        <is>
          <t>10. Repeat annually for continuous compliance.</t>
        </is>
      </c>
    </row>
    <row r="24">
      <c r="A24" s="2" t="inlineStr">
        <is>
          <t>Status Legend</t>
        </is>
      </c>
    </row>
    <row r="25">
      <c r="A25" s="5" t="inlineStr">
        <is>
          <t>Symbol</t>
        </is>
      </c>
      <c r="B25" s="5" t="inlineStr">
        <is>
          <t>Status</t>
        </is>
      </c>
      <c r="C25" s="5" t="inlineStr">
        <is>
          <t>Description</t>
        </is>
      </c>
    </row>
    <row r="26">
      <c r="A26" s="6" t="inlineStr">
        <is>
          <t>✓</t>
        </is>
      </c>
      <c r="B26" s="7" t="inlineStr">
        <is>
          <t>Compliant / Complete</t>
        </is>
      </c>
      <c r="C26" s="8" t="inlineStr">
        <is>
          <t>Requirement fully met</t>
        </is>
      </c>
    </row>
    <row r="27">
      <c r="A27" s="6" t="inlineStr">
        <is>
          <t>⚠</t>
        </is>
      </c>
      <c r="B27" s="9" t="inlineStr">
        <is>
          <t>Partial / In Progress</t>
        </is>
      </c>
      <c r="C27" s="8" t="inlineStr">
        <is>
          <t>Partially met or in progress</t>
        </is>
      </c>
    </row>
    <row r="28">
      <c r="A28" s="6" t="inlineStr">
        <is>
          <t>✗</t>
        </is>
      </c>
      <c r="B28" s="10" t="inlineStr">
        <is>
          <t>Non-Compliant / Not Started</t>
        </is>
      </c>
      <c r="C28" s="8" t="inlineStr">
        <is>
          <t>Requirement not met</t>
        </is>
      </c>
    </row>
    <row r="29">
      <c r="A29" s="6" t="inlineStr">
        <is>
          <t>—</t>
        </is>
      </c>
      <c r="B29" s="8" t="inlineStr">
        <is>
          <t>Not Applicable</t>
        </is>
      </c>
      <c r="C29" s="8" t="inlineStr">
        <is>
          <t>Not applicable to this assessment</t>
        </is>
      </c>
    </row>
    <row r="31">
      <c r="A31" s="2" t="inlineStr">
        <is>
          <t>Acceptable Evidence (examples)</t>
        </is>
      </c>
    </row>
    <row r="32">
      <c r="A32" t="inlineStr">
        <is>
          <t>✓ Test reports with date, system name, test type, outcome, and actual duration</t>
        </is>
      </c>
    </row>
    <row r="33">
      <c r="A33" t="inlineStr">
        <is>
          <t>✓ Screenshots of backup restore test completion (data integrity verified)</t>
        </is>
      </c>
    </row>
    <row r="34">
      <c r="A34" t="inlineStr">
        <is>
          <t>✓ Failover test logs showing actual switchover time</t>
        </is>
      </c>
    </row>
    <row r="35">
      <c r="A35" t="inlineStr">
        <is>
          <t>✓ Full DR scenario exercise reports with stakeholder attendance</t>
        </is>
      </c>
    </row>
    <row r="36">
      <c r="A36" t="inlineStr">
        <is>
          <t>✓ Issue tracking records (Jira tickets, remediation plans) from test failures</t>
        </is>
      </c>
    </row>
    <row r="37">
      <c r="A37" t="inlineStr">
        <is>
          <t>✓ Testing schedule demonstrating regular cadence aligned to criticality tiers</t>
        </is>
      </c>
    </row>
    <row r="38">
      <c r="A38" t="inlineStr">
        <is>
          <t>✓ Video recordings or observer notes from tabletop exercises</t>
        </is>
      </c>
    </row>
    <row r="39">
      <c r="A39" t="inlineStr">
        <is>
          <t>✓ Management sign-off on annual testing programme</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3"/>
  <sheetViews>
    <sheetView showGridLines="0" workbookViewId="0">
      <pane ySplit="3" topLeftCell="A4" activePane="bottomLeft" state="frozen"/>
      <selection pane="bottomLeft" activeCell="A1" sqref="A1"/>
    </sheetView>
  </sheetViews>
  <sheetFormatPr baseColWidth="8" defaultRowHeight="15"/>
  <cols>
    <col width="12" customWidth="1" min="1" max="1"/>
    <col width="25" customWidth="1" min="2" max="2"/>
    <col width="20" customWidth="1" min="3" max="3"/>
    <col width="18" customWidth="1" min="4" max="4"/>
    <col width="18" customWidth="1" min="5" max="5"/>
    <col width="15" customWidth="1" min="6" max="6"/>
    <col width="20" customWidth="1" min="7" max="7"/>
    <col width="40" customWidth="1" min="8" max="8"/>
  </cols>
  <sheetData>
    <row r="1" ht="35" customHeight="1">
      <c r="A1" s="11" t="inlineStr">
        <is>
          <t>BC/DR TEST SCHEDULE</t>
        </is>
      </c>
    </row>
    <row r="2">
      <c r="A2" s="12" t="inlineStr">
        <is>
          <t>Define annual test plan - what tests to perform when (schedule all required tests)</t>
        </is>
      </c>
    </row>
    <row r="4">
      <c r="A4" s="13" t="inlineStr">
        <is>
          <t>Test ID</t>
        </is>
      </c>
      <c r="B4" s="13" t="inlineStr">
        <is>
          <t>System Name</t>
        </is>
      </c>
      <c r="C4" s="13" t="inlineStr">
        <is>
          <t>Test Type</t>
        </is>
      </c>
      <c r="D4" s="13" t="inlineStr">
        <is>
          <t>Criticality</t>
        </is>
      </c>
      <c r="E4" s="13" t="inlineStr">
        <is>
          <t>Required Frequency</t>
        </is>
      </c>
      <c r="F4" s="13" t="inlineStr">
        <is>
          <t>Scheduled Date</t>
        </is>
      </c>
      <c r="G4" s="13" t="inlineStr">
        <is>
          <t>Test Owner</t>
        </is>
      </c>
      <c r="H4" s="13" t="inlineStr">
        <is>
          <t>Notes / Prerequisites</t>
        </is>
      </c>
    </row>
    <row r="5">
      <c r="A5" s="14" t="n"/>
      <c r="B5" s="15" t="n"/>
      <c r="C5" s="16" t="n"/>
      <c r="D5" s="16" t="n"/>
      <c r="E5" s="16" t="n"/>
      <c r="F5" s="17" t="n"/>
      <c r="G5" s="15" t="n"/>
      <c r="H5" s="15" t="n"/>
    </row>
    <row r="6">
      <c r="A6" s="14" t="n"/>
      <c r="B6" s="15" t="n"/>
      <c r="C6" s="16" t="n"/>
      <c r="D6" s="16" t="n"/>
      <c r="E6" s="16" t="n"/>
      <c r="F6" s="17" t="n"/>
      <c r="G6" s="15" t="n"/>
      <c r="H6" s="15" t="n"/>
    </row>
    <row r="7">
      <c r="A7" s="14" t="n"/>
      <c r="B7" s="15" t="n"/>
      <c r="C7" s="16" t="n"/>
      <c r="D7" s="16" t="n"/>
      <c r="E7" s="16" t="n"/>
      <c r="F7" s="17" t="n"/>
      <c r="G7" s="15" t="n"/>
      <c r="H7" s="15" t="n"/>
    </row>
    <row r="8">
      <c r="A8" s="14" t="n"/>
      <c r="B8" s="15" t="n"/>
      <c r="C8" s="16" t="n"/>
      <c r="D8" s="16" t="n"/>
      <c r="E8" s="16" t="n"/>
      <c r="F8" s="17" t="n"/>
      <c r="G8" s="15" t="n"/>
      <c r="H8" s="15" t="n"/>
    </row>
    <row r="9">
      <c r="A9" s="14" t="n"/>
      <c r="B9" s="15" t="n"/>
      <c r="C9" s="16" t="n"/>
      <c r="D9" s="16" t="n"/>
      <c r="E9" s="16" t="n"/>
      <c r="F9" s="17" t="n"/>
      <c r="G9" s="15" t="n"/>
      <c r="H9" s="15" t="n"/>
    </row>
    <row r="10">
      <c r="A10" s="14" t="n"/>
      <c r="B10" s="15" t="n"/>
      <c r="C10" s="16" t="n"/>
      <c r="D10" s="16" t="n"/>
      <c r="E10" s="16" t="n"/>
      <c r="F10" s="17" t="n"/>
      <c r="G10" s="15" t="n"/>
      <c r="H10" s="15" t="n"/>
    </row>
    <row r="11">
      <c r="A11" s="14" t="n"/>
      <c r="B11" s="15" t="n"/>
      <c r="C11" s="16" t="n"/>
      <c r="D11" s="16" t="n"/>
      <c r="E11" s="16" t="n"/>
      <c r="F11" s="17" t="n"/>
      <c r="G11" s="15" t="n"/>
      <c r="H11" s="15" t="n"/>
    </row>
    <row r="12">
      <c r="A12" s="14" t="n"/>
      <c r="B12" s="15" t="n"/>
      <c r="C12" s="16" t="n"/>
      <c r="D12" s="16" t="n"/>
      <c r="E12" s="16" t="n"/>
      <c r="F12" s="17" t="n"/>
      <c r="G12" s="15" t="n"/>
      <c r="H12" s="15" t="n"/>
    </row>
    <row r="13">
      <c r="A13" s="14" t="n"/>
      <c r="B13" s="15" t="n"/>
      <c r="C13" s="16" t="n"/>
      <c r="D13" s="16" t="n"/>
      <c r="E13" s="16" t="n"/>
      <c r="F13" s="17" t="n"/>
      <c r="G13" s="15" t="n"/>
      <c r="H13" s="15" t="n"/>
    </row>
    <row r="14">
      <c r="A14" s="14" t="n"/>
      <c r="B14" s="15" t="n"/>
      <c r="C14" s="16" t="n"/>
      <c r="D14" s="16" t="n"/>
      <c r="E14" s="16" t="n"/>
      <c r="F14" s="17" t="n"/>
      <c r="G14" s="15" t="n"/>
      <c r="H14" s="15" t="n"/>
    </row>
    <row r="15">
      <c r="A15" s="18" t="inlineStr">
        <is>
          <t>TEST-NNN</t>
        </is>
      </c>
      <c r="B15" s="19" t="inlineStr">
        <is>
          <t>System Name</t>
        </is>
      </c>
      <c r="C15" s="20" t="inlineStr">
        <is>
          <t>Backup Restore</t>
        </is>
      </c>
      <c r="D15" s="20" t="inlineStr">
        <is>
          <t>Tier 1 - Critical</t>
        </is>
      </c>
      <c r="E15" s="20" t="inlineStr">
        <is>
          <t>Quarterly</t>
        </is>
      </c>
      <c r="F15" s="21" t="inlineStr">
        <is>
          <t>DD.MM.YYYY</t>
        </is>
      </c>
      <c r="G15" s="19" t="inlineStr">
        <is>
          <t>Owner Name</t>
        </is>
      </c>
      <c r="H15" s="19" t="inlineStr">
        <is>
          <t>Prerequisites and notes here</t>
        </is>
      </c>
    </row>
    <row r="16">
      <c r="A16" s="22" t="n"/>
      <c r="B16" s="23" t="n"/>
      <c r="C16" s="16" t="n"/>
      <c r="D16" s="16" t="n"/>
      <c r="E16" s="16" t="n"/>
      <c r="F16" s="24" t="n"/>
      <c r="G16" s="23" t="n"/>
      <c r="H16" s="23" t="n"/>
    </row>
    <row r="17">
      <c r="A17" s="22" t="n"/>
      <c r="B17" s="23" t="n"/>
      <c r="C17" s="16" t="n"/>
      <c r="D17" s="16" t="n"/>
      <c r="E17" s="16" t="n"/>
      <c r="F17" s="24" t="n"/>
      <c r="G17" s="23" t="n"/>
      <c r="H17" s="23" t="n"/>
    </row>
    <row r="18">
      <c r="A18" s="22" t="n"/>
      <c r="B18" s="23" t="n"/>
      <c r="C18" s="16" t="n"/>
      <c r="D18" s="16" t="n"/>
      <c r="E18" s="16" t="n"/>
      <c r="F18" s="24" t="n"/>
      <c r="G18" s="23" t="n"/>
      <c r="H18" s="23" t="n"/>
    </row>
    <row r="19">
      <c r="A19" s="22" t="n"/>
      <c r="B19" s="23" t="n"/>
      <c r="C19" s="16" t="n"/>
      <c r="D19" s="16" t="n"/>
      <c r="E19" s="16" t="n"/>
      <c r="F19" s="24" t="n"/>
      <c r="G19" s="23" t="n"/>
      <c r="H19" s="23" t="n"/>
    </row>
    <row r="20">
      <c r="A20" s="22" t="n"/>
      <c r="B20" s="23" t="n"/>
      <c r="C20" s="16" t="n"/>
      <c r="D20" s="16" t="n"/>
      <c r="E20" s="16" t="n"/>
      <c r="F20" s="24" t="n"/>
      <c r="G20" s="23" t="n"/>
      <c r="H20" s="23" t="n"/>
    </row>
    <row r="21">
      <c r="A21" s="22" t="n"/>
      <c r="B21" s="23" t="n"/>
      <c r="C21" s="16" t="n"/>
      <c r="D21" s="16" t="n"/>
      <c r="E21" s="16" t="n"/>
      <c r="F21" s="24" t="n"/>
      <c r="G21" s="23" t="n"/>
      <c r="H21" s="23" t="n"/>
    </row>
    <row r="22">
      <c r="A22" s="22" t="n"/>
      <c r="B22" s="23" t="n"/>
      <c r="C22" s="16" t="n"/>
      <c r="D22" s="16" t="n"/>
      <c r="E22" s="16" t="n"/>
      <c r="F22" s="24" t="n"/>
      <c r="G22" s="23" t="n"/>
      <c r="H22" s="23" t="n"/>
    </row>
    <row r="23">
      <c r="A23" s="22" t="n"/>
      <c r="B23" s="23" t="n"/>
      <c r="C23" s="16" t="n"/>
      <c r="D23" s="16" t="n"/>
      <c r="E23" s="16" t="n"/>
      <c r="F23" s="24" t="n"/>
      <c r="G23" s="23" t="n"/>
      <c r="H23" s="23" t="n"/>
    </row>
    <row r="24">
      <c r="A24" s="22" t="n"/>
      <c r="B24" s="23" t="n"/>
      <c r="C24" s="16" t="n"/>
      <c r="D24" s="16" t="n"/>
      <c r="E24" s="16" t="n"/>
      <c r="F24" s="24" t="n"/>
      <c r="G24" s="23" t="n"/>
      <c r="H24" s="23" t="n"/>
    </row>
    <row r="25">
      <c r="A25" s="22" t="n"/>
      <c r="B25" s="23" t="n"/>
      <c r="C25" s="16" t="n"/>
      <c r="D25" s="16" t="n"/>
      <c r="E25" s="16" t="n"/>
      <c r="F25" s="24" t="n"/>
      <c r="G25" s="23" t="n"/>
      <c r="H25" s="23" t="n"/>
    </row>
    <row r="26">
      <c r="A26" s="22" t="n"/>
      <c r="B26" s="23" t="n"/>
      <c r="C26" s="16" t="n"/>
      <c r="D26" s="16" t="n"/>
      <c r="E26" s="16" t="n"/>
      <c r="F26" s="24" t="n"/>
      <c r="G26" s="23" t="n"/>
      <c r="H26" s="23" t="n"/>
    </row>
    <row r="27">
      <c r="A27" s="22" t="n"/>
      <c r="B27" s="23" t="n"/>
      <c r="C27" s="16" t="n"/>
      <c r="D27" s="16" t="n"/>
      <c r="E27" s="16" t="n"/>
      <c r="F27" s="24" t="n"/>
      <c r="G27" s="23" t="n"/>
      <c r="H27" s="23" t="n"/>
    </row>
    <row r="28">
      <c r="A28" s="22" t="n"/>
      <c r="B28" s="23" t="n"/>
      <c r="C28" s="16" t="n"/>
      <c r="D28" s="16" t="n"/>
      <c r="E28" s="16" t="n"/>
      <c r="F28" s="24" t="n"/>
      <c r="G28" s="23" t="n"/>
      <c r="H28" s="23" t="n"/>
    </row>
    <row r="29">
      <c r="A29" s="22" t="n"/>
      <c r="B29" s="23" t="n"/>
      <c r="C29" s="16" t="n"/>
      <c r="D29" s="16" t="n"/>
      <c r="E29" s="16" t="n"/>
      <c r="F29" s="24" t="n"/>
      <c r="G29" s="23" t="n"/>
      <c r="H29" s="23" t="n"/>
    </row>
    <row r="30">
      <c r="A30" s="22" t="n"/>
      <c r="B30" s="23" t="n"/>
      <c r="C30" s="16" t="n"/>
      <c r="D30" s="16" t="n"/>
      <c r="E30" s="16" t="n"/>
      <c r="F30" s="24" t="n"/>
      <c r="G30" s="23" t="n"/>
      <c r="H30" s="23" t="n"/>
    </row>
    <row r="31">
      <c r="A31" s="22" t="n"/>
      <c r="B31" s="23" t="n"/>
      <c r="C31" s="16" t="n"/>
      <c r="D31" s="16" t="n"/>
      <c r="E31" s="16" t="n"/>
      <c r="F31" s="24" t="n"/>
      <c r="G31" s="23" t="n"/>
      <c r="H31" s="23" t="n"/>
    </row>
    <row r="32">
      <c r="A32" s="22" t="n"/>
      <c r="B32" s="23" t="n"/>
      <c r="C32" s="16" t="n"/>
      <c r="D32" s="16" t="n"/>
      <c r="E32" s="16" t="n"/>
      <c r="F32" s="24" t="n"/>
      <c r="G32" s="23" t="n"/>
      <c r="H32" s="23" t="n"/>
    </row>
    <row r="33">
      <c r="A33" s="22" t="n"/>
      <c r="B33" s="23" t="n"/>
      <c r="C33" s="16" t="n"/>
      <c r="D33" s="16" t="n"/>
      <c r="E33" s="16" t="n"/>
      <c r="F33" s="24" t="n"/>
      <c r="G33" s="23" t="n"/>
      <c r="H33" s="23" t="n"/>
    </row>
    <row r="34">
      <c r="A34" s="22" t="n"/>
      <c r="B34" s="23" t="n"/>
      <c r="C34" s="16" t="n"/>
      <c r="D34" s="16" t="n"/>
      <c r="E34" s="16" t="n"/>
      <c r="F34" s="24" t="n"/>
      <c r="G34" s="23" t="n"/>
      <c r="H34" s="23" t="n"/>
    </row>
    <row r="35">
      <c r="A35" s="22" t="n"/>
      <c r="B35" s="23" t="n"/>
      <c r="C35" s="16" t="n"/>
      <c r="D35" s="16" t="n"/>
      <c r="E35" s="16" t="n"/>
      <c r="F35" s="24" t="n"/>
      <c r="G35" s="23" t="n"/>
      <c r="H35" s="23" t="n"/>
    </row>
    <row r="36">
      <c r="A36" s="22" t="n"/>
      <c r="B36" s="23" t="n"/>
      <c r="C36" s="16" t="n"/>
      <c r="D36" s="16" t="n"/>
      <c r="E36" s="16" t="n"/>
      <c r="F36" s="24" t="n"/>
      <c r="G36" s="23" t="n"/>
      <c r="H36" s="23" t="n"/>
    </row>
    <row r="37">
      <c r="A37" s="22" t="n"/>
      <c r="B37" s="23" t="n"/>
      <c r="C37" s="16" t="n"/>
      <c r="D37" s="16" t="n"/>
      <c r="E37" s="16" t="n"/>
      <c r="F37" s="24" t="n"/>
      <c r="G37" s="23" t="n"/>
      <c r="H37" s="23" t="n"/>
    </row>
    <row r="38">
      <c r="A38" s="22" t="n"/>
      <c r="B38" s="23" t="n"/>
      <c r="C38" s="16" t="n"/>
      <c r="D38" s="16" t="n"/>
      <c r="E38" s="16" t="n"/>
      <c r="F38" s="24" t="n"/>
      <c r="G38" s="23" t="n"/>
      <c r="H38" s="23" t="n"/>
    </row>
    <row r="39">
      <c r="A39" s="22" t="n"/>
      <c r="B39" s="23" t="n"/>
      <c r="C39" s="16" t="n"/>
      <c r="D39" s="16" t="n"/>
      <c r="E39" s="16" t="n"/>
      <c r="F39" s="24" t="n"/>
      <c r="G39" s="23" t="n"/>
      <c r="H39" s="23" t="n"/>
    </row>
    <row r="40">
      <c r="A40" s="22" t="n"/>
      <c r="B40" s="23" t="n"/>
      <c r="C40" s="16" t="n"/>
      <c r="D40" s="16" t="n"/>
      <c r="E40" s="16" t="n"/>
      <c r="F40" s="24" t="n"/>
      <c r="G40" s="23" t="n"/>
      <c r="H40" s="23" t="n"/>
    </row>
    <row r="41">
      <c r="A41" s="22" t="n"/>
      <c r="B41" s="23" t="n"/>
      <c r="C41" s="16" t="n"/>
      <c r="D41" s="16" t="n"/>
      <c r="E41" s="16" t="n"/>
      <c r="F41" s="24" t="n"/>
      <c r="G41" s="23" t="n"/>
      <c r="H41" s="23" t="n"/>
    </row>
    <row r="42">
      <c r="A42" s="22" t="n"/>
      <c r="B42" s="23" t="n"/>
      <c r="C42" s="16" t="n"/>
      <c r="D42" s="16" t="n"/>
      <c r="E42" s="16" t="n"/>
      <c r="F42" s="24" t="n"/>
      <c r="G42" s="23" t="n"/>
      <c r="H42" s="23" t="n"/>
    </row>
    <row r="43">
      <c r="A43" s="22" t="n"/>
      <c r="B43" s="23" t="n"/>
      <c r="C43" s="16" t="n"/>
      <c r="D43" s="16" t="n"/>
      <c r="E43" s="16" t="n"/>
      <c r="F43" s="24" t="n"/>
      <c r="G43" s="23" t="n"/>
      <c r="H43" s="23" t="n"/>
    </row>
    <row r="44">
      <c r="A44" s="22" t="n"/>
      <c r="B44" s="23" t="n"/>
      <c r="C44" s="16" t="n"/>
      <c r="D44" s="16" t="n"/>
      <c r="E44" s="16" t="n"/>
      <c r="F44" s="24" t="n"/>
      <c r="G44" s="23" t="n"/>
      <c r="H44" s="23" t="n"/>
    </row>
    <row r="45">
      <c r="A45" s="22" t="n"/>
      <c r="B45" s="23" t="n"/>
      <c r="C45" s="16" t="n"/>
      <c r="D45" s="16" t="n"/>
      <c r="E45" s="16" t="n"/>
      <c r="F45" s="24" t="n"/>
      <c r="G45" s="23" t="n"/>
      <c r="H45" s="23" t="n"/>
    </row>
    <row r="46">
      <c r="A46" s="22" t="n"/>
      <c r="B46" s="23" t="n"/>
      <c r="C46" s="16" t="n"/>
      <c r="D46" s="16" t="n"/>
      <c r="E46" s="16" t="n"/>
      <c r="F46" s="24" t="n"/>
      <c r="G46" s="23" t="n"/>
      <c r="H46" s="23" t="n"/>
    </row>
    <row r="47">
      <c r="A47" s="22" t="n"/>
      <c r="B47" s="23" t="n"/>
      <c r="C47" s="16" t="n"/>
      <c r="D47" s="16" t="n"/>
      <c r="E47" s="16" t="n"/>
      <c r="F47" s="24" t="n"/>
      <c r="G47" s="23" t="n"/>
      <c r="H47" s="23" t="n"/>
    </row>
    <row r="48">
      <c r="A48" s="22" t="n"/>
      <c r="B48" s="23" t="n"/>
      <c r="C48" s="16" t="n"/>
      <c r="D48" s="16" t="n"/>
      <c r="E48" s="16" t="n"/>
      <c r="F48" s="24" t="n"/>
      <c r="G48" s="23" t="n"/>
      <c r="H48" s="23" t="n"/>
    </row>
    <row r="49">
      <c r="A49" s="22" t="n"/>
      <c r="B49" s="23" t="n"/>
      <c r="C49" s="16" t="n"/>
      <c r="D49" s="16" t="n"/>
      <c r="E49" s="16" t="n"/>
      <c r="F49" s="24" t="n"/>
      <c r="G49" s="23" t="n"/>
      <c r="H49" s="23" t="n"/>
    </row>
    <row r="50">
      <c r="A50" s="22" t="n"/>
      <c r="B50" s="23" t="n"/>
      <c r="C50" s="16" t="n"/>
      <c r="D50" s="16" t="n"/>
      <c r="E50" s="16" t="n"/>
      <c r="F50" s="24" t="n"/>
      <c r="G50" s="23" t="n"/>
      <c r="H50" s="23" t="n"/>
    </row>
    <row r="51">
      <c r="A51" s="22" t="n"/>
      <c r="B51" s="23" t="n"/>
      <c r="C51" s="16" t="n"/>
      <c r="D51" s="16" t="n"/>
      <c r="E51" s="16" t="n"/>
      <c r="F51" s="24" t="n"/>
      <c r="G51" s="23" t="n"/>
      <c r="H51" s="23" t="n"/>
    </row>
    <row r="52">
      <c r="A52" s="22" t="n"/>
      <c r="B52" s="23" t="n"/>
      <c r="C52" s="16" t="n"/>
      <c r="D52" s="16" t="n"/>
      <c r="E52" s="16" t="n"/>
      <c r="F52" s="24" t="n"/>
      <c r="G52" s="23" t="n"/>
      <c r="H52" s="23" t="n"/>
    </row>
    <row r="53">
      <c r="A53" s="22" t="n"/>
      <c r="B53" s="23" t="n"/>
      <c r="C53" s="16" t="n"/>
      <c r="D53" s="16" t="n"/>
      <c r="E53" s="16" t="n"/>
      <c r="F53" s="24" t="n"/>
      <c r="G53" s="23" t="n"/>
      <c r="H53" s="23" t="n"/>
    </row>
    <row r="54">
      <c r="A54" s="22" t="n"/>
      <c r="B54" s="23" t="n"/>
      <c r="C54" s="16" t="n"/>
      <c r="D54" s="16" t="n"/>
      <c r="E54" s="16" t="n"/>
      <c r="F54" s="24" t="n"/>
      <c r="G54" s="23" t="n"/>
      <c r="H54" s="23" t="n"/>
    </row>
    <row r="55">
      <c r="A55" s="22" t="n"/>
      <c r="B55" s="23" t="n"/>
      <c r="C55" s="16" t="n"/>
      <c r="D55" s="16" t="n"/>
      <c r="E55" s="16" t="n"/>
      <c r="F55" s="24" t="n"/>
      <c r="G55" s="23" t="n"/>
      <c r="H55" s="23" t="n"/>
    </row>
    <row r="56">
      <c r="A56" s="22" t="n"/>
      <c r="B56" s="23" t="n"/>
      <c r="C56" s="16" t="n"/>
      <c r="D56" s="16" t="n"/>
      <c r="E56" s="16" t="n"/>
      <c r="F56" s="24" t="n"/>
      <c r="G56" s="23" t="n"/>
      <c r="H56" s="23" t="n"/>
    </row>
    <row r="57">
      <c r="A57" s="22" t="n"/>
      <c r="B57" s="23" t="n"/>
      <c r="C57" s="16" t="n"/>
      <c r="D57" s="16" t="n"/>
      <c r="E57" s="16" t="n"/>
      <c r="F57" s="24" t="n"/>
      <c r="G57" s="23" t="n"/>
      <c r="H57" s="23" t="n"/>
    </row>
    <row r="58">
      <c r="A58" s="22" t="n"/>
      <c r="B58" s="23" t="n"/>
      <c r="C58" s="16" t="n"/>
      <c r="D58" s="16" t="n"/>
      <c r="E58" s="16" t="n"/>
      <c r="F58" s="24" t="n"/>
      <c r="G58" s="23" t="n"/>
      <c r="H58" s="23" t="n"/>
    </row>
    <row r="59">
      <c r="A59" s="22" t="n"/>
      <c r="B59" s="23" t="n"/>
      <c r="C59" s="16" t="n"/>
      <c r="D59" s="16" t="n"/>
      <c r="E59" s="16" t="n"/>
      <c r="F59" s="24" t="n"/>
      <c r="G59" s="23" t="n"/>
      <c r="H59" s="23" t="n"/>
    </row>
    <row r="60">
      <c r="A60" s="22" t="n"/>
      <c r="B60" s="23" t="n"/>
      <c r="C60" s="16" t="n"/>
      <c r="D60" s="16" t="n"/>
      <c r="E60" s="16" t="n"/>
      <c r="F60" s="24" t="n"/>
      <c r="G60" s="23" t="n"/>
      <c r="H60" s="23" t="n"/>
    </row>
    <row r="61">
      <c r="A61" s="22" t="n"/>
      <c r="B61" s="23" t="n"/>
      <c r="C61" s="16" t="n"/>
      <c r="D61" s="16" t="n"/>
      <c r="E61" s="16" t="n"/>
      <c r="F61" s="24" t="n"/>
      <c r="G61" s="23" t="n"/>
      <c r="H61" s="23" t="n"/>
    </row>
    <row r="62">
      <c r="A62" s="22" t="n"/>
      <c r="B62" s="23" t="n"/>
      <c r="C62" s="16" t="n"/>
      <c r="D62" s="16" t="n"/>
      <c r="E62" s="16" t="n"/>
      <c r="F62" s="24" t="n"/>
      <c r="G62" s="23" t="n"/>
      <c r="H62" s="23" t="n"/>
    </row>
    <row r="63">
      <c r="A63" s="22" t="n"/>
      <c r="B63" s="23" t="n"/>
      <c r="C63" s="16" t="n"/>
      <c r="D63" s="16" t="n"/>
      <c r="E63" s="16" t="n"/>
      <c r="F63" s="24" t="n"/>
      <c r="G63" s="23" t="n"/>
      <c r="H63" s="23" t="n"/>
    </row>
    <row r="64">
      <c r="A64" s="22" t="n"/>
      <c r="B64" s="23" t="n"/>
      <c r="C64" s="16" t="n"/>
      <c r="D64" s="16" t="n"/>
      <c r="E64" s="16" t="n"/>
      <c r="F64" s="24" t="n"/>
      <c r="G64" s="23" t="n"/>
      <c r="H64" s="23" t="n"/>
    </row>
    <row r="65">
      <c r="A65" s="22" t="n"/>
      <c r="B65" s="23" t="n"/>
      <c r="C65" s="16" t="n"/>
      <c r="D65" s="16" t="n"/>
      <c r="E65" s="16" t="n"/>
      <c r="F65" s="24" t="n"/>
      <c r="G65" s="23" t="n"/>
      <c r="H65" s="23" t="n"/>
    </row>
    <row r="67">
      <c r="A67" s="12" t="inlineStr">
        <is>
          <t>TEST SCHEDULE SUMMARY</t>
        </is>
      </c>
    </row>
    <row r="68">
      <c r="A68" s="25" t="inlineStr">
        <is>
          <t>Total Tests Scheduled:</t>
        </is>
      </c>
      <c r="B68" s="25">
        <f>COUNTA(B5:B65)</f>
        <v/>
      </c>
    </row>
    <row r="69">
      <c r="A69" s="25" t="inlineStr">
        <is>
          <t>Backup Restore Tests:</t>
        </is>
      </c>
      <c r="B69" s="25">
        <f>COUNTIF(C5:C65,"Backup*")</f>
        <v/>
      </c>
    </row>
    <row r="70">
      <c r="A70" s="25" t="inlineStr">
        <is>
          <t>Failover Tests:</t>
        </is>
      </c>
      <c r="B70" s="25">
        <f>COUNTIF(C5:C65,"Failover*")</f>
        <v/>
      </c>
    </row>
    <row r="71">
      <c r="A71" s="25" t="inlineStr">
        <is>
          <t>Full DR Scenarios:</t>
        </is>
      </c>
      <c r="B71" s="25">
        <f>COUNTIF(C5:C65,"Full DR*")</f>
        <v/>
      </c>
    </row>
    <row r="72">
      <c r="A72" s="25" t="inlineStr">
        <is>
          <t>Tier 1 System Tests:</t>
        </is>
      </c>
      <c r="B72" s="25">
        <f>COUNTIF(D5:D65,"Tier 1*")</f>
        <v/>
      </c>
    </row>
    <row r="73">
      <c r="A73" s="25" t="inlineStr">
        <is>
          <t>Quarterly Tests:</t>
        </is>
      </c>
      <c r="B73" s="25">
        <f>COUNTIF(E5:E65,"Quarterly")</f>
        <v/>
      </c>
    </row>
  </sheetData>
  <mergeCells count="3">
    <mergeCell ref="A67:H67"/>
    <mergeCell ref="A2:H2"/>
    <mergeCell ref="A1:H1"/>
  </mergeCells>
  <dataValidations count="3">
    <dataValidation sqref="C5 C6 C7 C8 C9 C10 C11 C12 C13 C14 C15 C16 C17 C18 C19 C20 C21 C22 C23 C24 C25 C26 C27 C28 C29 C30 C31 C32 C33 C34 C35 C36 C37 C38 C39 C40 C41 C42 C43 C44 C45 C46 C47 C48 C49 C50 C51 C52 C53 C54 C55 C56 C57 C58 C59 C60 C61 C62 C63 C64 C65" showDropDown="0" showInputMessage="0" showErrorMessage="0" allowBlank="0" type="list">
      <formula1>"Backup Restore,Failover Test,Full DR Scenario,Tabletop Exercise,Component Test,Integration Test"</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showDropDown="0" showInputMessage="0" showErrorMessage="0" allowBlank="0" type="list">
      <formula1>"Tier 1 - Critical,Tier 2 - Important,Tier 3 - Standard,Tier 4 - Low"</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showDropDown="0" showInputMessage="0" showErrorMessage="0" allowBlank="0" type="list">
      <formula1>"Quarterly,Semi-Annual,Annual,Ad-Hoc,Not Required"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73"/>
  <sheetViews>
    <sheetView showGridLines="0" workbookViewId="0">
      <pane ySplit="3" topLeftCell="A4" activePane="bottomLeft" state="frozen"/>
      <selection pane="bottomLeft" activeCell="A1" sqref="A1"/>
    </sheetView>
  </sheetViews>
  <sheetFormatPr baseColWidth="8" defaultRowHeight="15"/>
  <cols>
    <col width="12" customWidth="1" min="1" max="1"/>
    <col width="18" customWidth="1" min="2" max="2"/>
    <col width="25" customWidth="1" min="3" max="3"/>
    <col width="20" customWidth="1" min="4" max="4"/>
    <col width="15" customWidth="1" min="5" max="5"/>
    <col width="18" customWidth="1" min="6" max="6"/>
    <col width="18" customWidth="1" min="7" max="7"/>
    <col width="20" customWidth="1" min="8" max="8"/>
    <col width="20" customWidth="1" min="9" max="9"/>
    <col width="45" customWidth="1" min="10" max="10"/>
  </cols>
  <sheetData>
    <row r="1" ht="35" customHeight="1">
      <c r="A1" s="11" t="inlineStr">
        <is>
          <t>BC/DR TEST RESULTS LOG</t>
        </is>
      </c>
    </row>
    <row r="2">
      <c r="A2" s="12" t="inlineStr">
        <is>
          <t>Document all test executions - actual test results (log every test performed)</t>
        </is>
      </c>
    </row>
    <row r="4">
      <c r="A4" s="13" t="inlineStr">
        <is>
          <t>Result ID</t>
        </is>
      </c>
      <c r="B4" s="13" t="inlineStr">
        <is>
          <t>Test ID (Schedule)</t>
        </is>
      </c>
      <c r="C4" s="13" t="inlineStr">
        <is>
          <t>System Name</t>
        </is>
      </c>
      <c r="D4" s="13" t="inlineStr">
        <is>
          <t>Test Type</t>
        </is>
      </c>
      <c r="E4" s="13" t="inlineStr">
        <is>
          <t>Test Date</t>
        </is>
      </c>
      <c r="F4" s="13" t="inlineStr">
        <is>
          <t>Result</t>
        </is>
      </c>
      <c r="G4" s="13" t="inlineStr">
        <is>
          <t>Actual Duration (hrs)</t>
        </is>
      </c>
      <c r="H4" s="13" t="inlineStr">
        <is>
          <t>Tested By</t>
        </is>
      </c>
      <c r="I4" s="13" t="inlineStr">
        <is>
          <t>Issues Found</t>
        </is>
      </c>
      <c r="J4" s="13" t="inlineStr">
        <is>
          <t>Detailed Notes</t>
        </is>
      </c>
    </row>
    <row r="5">
      <c r="A5" s="14" t="inlineStr">
        <is>
          <t>RES-001</t>
        </is>
      </c>
      <c r="B5" s="15" t="n"/>
      <c r="C5" s="15" t="n"/>
      <c r="D5" s="16" t="n"/>
      <c r="E5" s="17" t="n"/>
      <c r="F5" s="16" t="n"/>
      <c r="G5" s="16" t="n"/>
      <c r="H5" s="15" t="n"/>
      <c r="I5" s="15" t="n"/>
      <c r="J5" s="15" t="n"/>
    </row>
    <row r="6">
      <c r="A6" s="14" t="inlineStr">
        <is>
          <t>RES-002</t>
        </is>
      </c>
      <c r="B6" s="15" t="n"/>
      <c r="C6" s="15" t="n"/>
      <c r="D6" s="16" t="n"/>
      <c r="E6" s="17" t="n"/>
      <c r="F6" s="16" t="n"/>
      <c r="G6" s="16" t="n"/>
      <c r="H6" s="15" t="n"/>
      <c r="I6" s="15" t="n"/>
      <c r="J6" s="15" t="n"/>
    </row>
    <row r="7">
      <c r="A7" s="14" t="inlineStr">
        <is>
          <t>RES-003</t>
        </is>
      </c>
      <c r="B7" s="15" t="n"/>
      <c r="C7" s="15" t="n"/>
      <c r="D7" s="16" t="n"/>
      <c r="E7" s="17" t="n"/>
      <c r="F7" s="16" t="n"/>
      <c r="G7" s="16" t="n"/>
      <c r="H7" s="15" t="n"/>
      <c r="I7" s="15" t="n"/>
      <c r="J7" s="15" t="n"/>
    </row>
    <row r="8">
      <c r="A8" s="14" t="inlineStr">
        <is>
          <t>RES-004</t>
        </is>
      </c>
      <c r="B8" s="15" t="n"/>
      <c r="C8" s="15" t="n"/>
      <c r="D8" s="16" t="n"/>
      <c r="E8" s="17" t="n"/>
      <c r="F8" s="16" t="n"/>
      <c r="G8" s="16" t="n"/>
      <c r="H8" s="15" t="n"/>
      <c r="I8" s="15" t="n"/>
      <c r="J8" s="15" t="n"/>
    </row>
    <row r="9">
      <c r="A9" s="14" t="inlineStr">
        <is>
          <t>RES-005</t>
        </is>
      </c>
      <c r="B9" s="15" t="n"/>
      <c r="C9" s="15" t="n"/>
      <c r="D9" s="16" t="n"/>
      <c r="E9" s="17" t="n"/>
      <c r="F9" s="16" t="n"/>
      <c r="G9" s="16" t="n"/>
      <c r="H9" s="15" t="n"/>
      <c r="I9" s="15" t="n"/>
      <c r="J9" s="15" t="n"/>
    </row>
    <row r="10">
      <c r="A10" s="14" t="inlineStr">
        <is>
          <t>RES-006</t>
        </is>
      </c>
      <c r="B10" s="15" t="n"/>
      <c r="C10" s="15" t="n"/>
      <c r="D10" s="16" t="n"/>
      <c r="E10" s="17" t="n"/>
      <c r="F10" s="16" t="n"/>
      <c r="G10" s="16" t="n"/>
      <c r="H10" s="15" t="n"/>
      <c r="I10" s="15" t="n"/>
      <c r="J10" s="15" t="n"/>
    </row>
    <row r="11">
      <c r="A11" s="14" t="inlineStr">
        <is>
          <t>RES-007</t>
        </is>
      </c>
      <c r="B11" s="15" t="n"/>
      <c r="C11" s="15" t="n"/>
      <c r="D11" s="16" t="n"/>
      <c r="E11" s="17" t="n"/>
      <c r="F11" s="16" t="n"/>
      <c r="G11" s="16" t="n"/>
      <c r="H11" s="15" t="n"/>
      <c r="I11" s="15" t="n"/>
      <c r="J11" s="15" t="n"/>
    </row>
    <row r="12">
      <c r="A12" s="14" t="inlineStr">
        <is>
          <t>RES-008</t>
        </is>
      </c>
      <c r="B12" s="15" t="n"/>
      <c r="C12" s="15" t="n"/>
      <c r="D12" s="16" t="n"/>
      <c r="E12" s="17" t="n"/>
      <c r="F12" s="16" t="n"/>
      <c r="G12" s="16" t="n"/>
      <c r="H12" s="15" t="n"/>
      <c r="I12" s="15" t="n"/>
      <c r="J12" s="15" t="n"/>
    </row>
    <row r="13">
      <c r="A13" s="14" t="inlineStr">
        <is>
          <t>RES-009</t>
        </is>
      </c>
      <c r="B13" s="15" t="n"/>
      <c r="C13" s="15" t="n"/>
      <c r="D13" s="16" t="n"/>
      <c r="E13" s="17" t="n"/>
      <c r="F13" s="16" t="n"/>
      <c r="G13" s="16" t="n"/>
      <c r="H13" s="15" t="n"/>
      <c r="I13" s="15" t="n"/>
      <c r="J13" s="15" t="n"/>
    </row>
    <row r="14">
      <c r="A14" s="14" t="inlineStr">
        <is>
          <t>RES-010</t>
        </is>
      </c>
      <c r="B14" s="15" t="n"/>
      <c r="C14" s="15" t="n"/>
      <c r="D14" s="16" t="n"/>
      <c r="E14" s="17" t="n"/>
      <c r="F14" s="16" t="n"/>
      <c r="G14" s="16" t="n"/>
      <c r="H14" s="15" t="n"/>
      <c r="I14" s="15" t="n"/>
      <c r="J14" s="15" t="n"/>
    </row>
    <row r="15">
      <c r="A15" s="18" t="inlineStr">
        <is>
          <t>RES-EXX</t>
        </is>
      </c>
      <c r="B15" s="19" t="inlineStr">
        <is>
          <t>TEST-EX</t>
        </is>
      </c>
      <c r="C15" s="19" t="inlineStr">
        <is>
          <t>New System (Example)</t>
        </is>
      </c>
      <c r="D15" s="16" t="inlineStr">
        <is>
          <t>Backup Restore</t>
        </is>
      </c>
      <c r="E15" s="24" t="n"/>
      <c r="F15" s="16" t="inlineStr">
        <is>
          <t>✅ Success</t>
        </is>
      </c>
      <c r="G15" s="22" t="n">
        <v>2.5</v>
      </c>
      <c r="H15" s="19" t="inlineStr">
        <is>
          <t>IT Operations Team</t>
        </is>
      </c>
      <c r="I15" s="19" t="inlineStr">
        <is>
          <t>None</t>
        </is>
      </c>
      <c r="J15" s="19" t="inlineStr">
        <is>
          <t>Sample — enter actual test outcome and notes here</t>
        </is>
      </c>
    </row>
    <row r="16">
      <c r="A16" s="22" t="n"/>
      <c r="B16" s="23" t="n"/>
      <c r="C16" s="23" t="n"/>
      <c r="D16" s="16" t="n"/>
      <c r="E16" s="24" t="n"/>
      <c r="F16" s="16" t="n"/>
      <c r="G16" s="22" t="n"/>
      <c r="H16" s="23" t="n"/>
      <c r="I16" s="23" t="n"/>
      <c r="J16" s="23" t="n"/>
    </row>
    <row r="17">
      <c r="A17" s="22" t="n"/>
      <c r="B17" s="23" t="n"/>
      <c r="C17" s="23" t="n"/>
      <c r="D17" s="16" t="n"/>
      <c r="E17" s="24" t="n"/>
      <c r="F17" s="16" t="n"/>
      <c r="G17" s="22" t="n"/>
      <c r="H17" s="23" t="n"/>
      <c r="I17" s="23" t="n"/>
      <c r="J17" s="23" t="n"/>
    </row>
    <row r="18">
      <c r="A18" s="22" t="n"/>
      <c r="B18" s="23" t="n"/>
      <c r="C18" s="23" t="n"/>
      <c r="D18" s="16" t="n"/>
      <c r="E18" s="24" t="n"/>
      <c r="F18" s="16" t="n"/>
      <c r="G18" s="22" t="n"/>
      <c r="H18" s="23" t="n"/>
      <c r="I18" s="23" t="n"/>
      <c r="J18" s="23" t="n"/>
    </row>
    <row r="19">
      <c r="A19" s="22" t="n"/>
      <c r="B19" s="23" t="n"/>
      <c r="C19" s="23" t="n"/>
      <c r="D19" s="16" t="n"/>
      <c r="E19" s="24" t="n"/>
      <c r="F19" s="16" t="n"/>
      <c r="G19" s="22" t="n"/>
      <c r="H19" s="23" t="n"/>
      <c r="I19" s="23" t="n"/>
      <c r="J19" s="23" t="n"/>
    </row>
    <row r="20">
      <c r="A20" s="22" t="n"/>
      <c r="B20" s="23" t="n"/>
      <c r="C20" s="23" t="n"/>
      <c r="D20" s="16" t="n"/>
      <c r="E20" s="24" t="n"/>
      <c r="F20" s="16" t="n"/>
      <c r="G20" s="22" t="n"/>
      <c r="H20" s="23" t="n"/>
      <c r="I20" s="23" t="n"/>
      <c r="J20" s="23" t="n"/>
    </row>
    <row r="21">
      <c r="A21" s="22" t="n"/>
      <c r="B21" s="23" t="n"/>
      <c r="C21" s="23" t="n"/>
      <c r="D21" s="16" t="n"/>
      <c r="E21" s="24" t="n"/>
      <c r="F21" s="16" t="n"/>
      <c r="G21" s="22" t="n"/>
      <c r="H21" s="23" t="n"/>
      <c r="I21" s="23" t="n"/>
      <c r="J21" s="23" t="n"/>
    </row>
    <row r="22">
      <c r="A22" s="22" t="n"/>
      <c r="B22" s="23" t="n"/>
      <c r="C22" s="23" t="n"/>
      <c r="D22" s="16" t="n"/>
      <c r="E22" s="24" t="n"/>
      <c r="F22" s="16" t="n"/>
      <c r="G22" s="22" t="n"/>
      <c r="H22" s="23" t="n"/>
      <c r="I22" s="23" t="n"/>
      <c r="J22" s="23" t="n"/>
    </row>
    <row r="23">
      <c r="A23" s="22" t="n"/>
      <c r="B23" s="23" t="n"/>
      <c r="C23" s="23" t="n"/>
      <c r="D23" s="16" t="n"/>
      <c r="E23" s="24" t="n"/>
      <c r="F23" s="16" t="n"/>
      <c r="G23" s="22" t="n"/>
      <c r="H23" s="23" t="n"/>
      <c r="I23" s="23" t="n"/>
      <c r="J23" s="23" t="n"/>
    </row>
    <row r="24">
      <c r="A24" s="22" t="n"/>
      <c r="B24" s="23" t="n"/>
      <c r="C24" s="23" t="n"/>
      <c r="D24" s="16" t="n"/>
      <c r="E24" s="24" t="n"/>
      <c r="F24" s="16" t="n"/>
      <c r="G24" s="22" t="n"/>
      <c r="H24" s="23" t="n"/>
      <c r="I24" s="23" t="n"/>
      <c r="J24" s="23" t="n"/>
    </row>
    <row r="25">
      <c r="A25" s="22" t="n"/>
      <c r="B25" s="23" t="n"/>
      <c r="C25" s="23" t="n"/>
      <c r="D25" s="16" t="n"/>
      <c r="E25" s="24" t="n"/>
      <c r="F25" s="16" t="n"/>
      <c r="G25" s="22" t="n"/>
      <c r="H25" s="23" t="n"/>
      <c r="I25" s="23" t="n"/>
      <c r="J25" s="23" t="n"/>
    </row>
    <row r="26">
      <c r="A26" s="22" t="n"/>
      <c r="B26" s="23" t="n"/>
      <c r="C26" s="23" t="n"/>
      <c r="D26" s="16" t="n"/>
      <c r="E26" s="24" t="n"/>
      <c r="F26" s="16" t="n"/>
      <c r="G26" s="22" t="n"/>
      <c r="H26" s="23" t="n"/>
      <c r="I26" s="23" t="n"/>
      <c r="J26" s="23" t="n"/>
    </row>
    <row r="27">
      <c r="A27" s="22" t="n"/>
      <c r="B27" s="23" t="n"/>
      <c r="C27" s="23" t="n"/>
      <c r="D27" s="16" t="n"/>
      <c r="E27" s="24" t="n"/>
      <c r="F27" s="16" t="n"/>
      <c r="G27" s="22" t="n"/>
      <c r="H27" s="23" t="n"/>
      <c r="I27" s="23" t="n"/>
      <c r="J27" s="23" t="n"/>
    </row>
    <row r="28">
      <c r="A28" s="22" t="n"/>
      <c r="B28" s="23" t="n"/>
      <c r="C28" s="23" t="n"/>
      <c r="D28" s="16" t="n"/>
      <c r="E28" s="24" t="n"/>
      <c r="F28" s="16" t="n"/>
      <c r="G28" s="22" t="n"/>
      <c r="H28" s="23" t="n"/>
      <c r="I28" s="23" t="n"/>
      <c r="J28" s="23" t="n"/>
    </row>
    <row r="29">
      <c r="A29" s="22" t="n"/>
      <c r="B29" s="23" t="n"/>
      <c r="C29" s="23" t="n"/>
      <c r="D29" s="16" t="n"/>
      <c r="E29" s="24" t="n"/>
      <c r="F29" s="16" t="n"/>
      <c r="G29" s="22" t="n"/>
      <c r="H29" s="23" t="n"/>
      <c r="I29" s="23" t="n"/>
      <c r="J29" s="23" t="n"/>
    </row>
    <row r="30">
      <c r="A30" s="22" t="n"/>
      <c r="B30" s="23" t="n"/>
      <c r="C30" s="23" t="n"/>
      <c r="D30" s="16" t="n"/>
      <c r="E30" s="24" t="n"/>
      <c r="F30" s="16" t="n"/>
      <c r="G30" s="22" t="n"/>
      <c r="H30" s="23" t="n"/>
      <c r="I30" s="23" t="n"/>
      <c r="J30" s="23" t="n"/>
    </row>
    <row r="31">
      <c r="A31" s="22" t="n"/>
      <c r="B31" s="23" t="n"/>
      <c r="C31" s="23" t="n"/>
      <c r="D31" s="16" t="n"/>
      <c r="E31" s="24" t="n"/>
      <c r="F31" s="16" t="n"/>
      <c r="G31" s="22" t="n"/>
      <c r="H31" s="23" t="n"/>
      <c r="I31" s="23" t="n"/>
      <c r="J31" s="23" t="n"/>
    </row>
    <row r="32">
      <c r="A32" s="22" t="n"/>
      <c r="B32" s="23" t="n"/>
      <c r="C32" s="23" t="n"/>
      <c r="D32" s="16" t="n"/>
      <c r="E32" s="24" t="n"/>
      <c r="F32" s="16" t="n"/>
      <c r="G32" s="22" t="n"/>
      <c r="H32" s="23" t="n"/>
      <c r="I32" s="23" t="n"/>
      <c r="J32" s="23" t="n"/>
    </row>
    <row r="33">
      <c r="A33" s="22" t="n"/>
      <c r="B33" s="23" t="n"/>
      <c r="C33" s="23" t="n"/>
      <c r="D33" s="16" t="n"/>
      <c r="E33" s="24" t="n"/>
      <c r="F33" s="16" t="n"/>
      <c r="G33" s="22" t="n"/>
      <c r="H33" s="23" t="n"/>
      <c r="I33" s="23" t="n"/>
      <c r="J33" s="23" t="n"/>
    </row>
    <row r="34">
      <c r="A34" s="22" t="n"/>
      <c r="B34" s="23" t="n"/>
      <c r="C34" s="23" t="n"/>
      <c r="D34" s="16" t="n"/>
      <c r="E34" s="24" t="n"/>
      <c r="F34" s="16" t="n"/>
      <c r="G34" s="22" t="n"/>
      <c r="H34" s="23" t="n"/>
      <c r="I34" s="23" t="n"/>
      <c r="J34" s="23" t="n"/>
    </row>
    <row r="35">
      <c r="A35" s="22" t="n"/>
      <c r="B35" s="23" t="n"/>
      <c r="C35" s="23" t="n"/>
      <c r="D35" s="16" t="n"/>
      <c r="E35" s="24" t="n"/>
      <c r="F35" s="16" t="n"/>
      <c r="G35" s="22" t="n"/>
      <c r="H35" s="23" t="n"/>
      <c r="I35" s="23" t="n"/>
      <c r="J35" s="23" t="n"/>
    </row>
    <row r="36">
      <c r="A36" s="22" t="n"/>
      <c r="B36" s="23" t="n"/>
      <c r="C36" s="23" t="n"/>
      <c r="D36" s="16" t="n"/>
      <c r="E36" s="24" t="n"/>
      <c r="F36" s="16" t="n"/>
      <c r="G36" s="22" t="n"/>
      <c r="H36" s="23" t="n"/>
      <c r="I36" s="23" t="n"/>
      <c r="J36" s="23" t="n"/>
    </row>
    <row r="37">
      <c r="A37" s="22" t="n"/>
      <c r="B37" s="23" t="n"/>
      <c r="C37" s="23" t="n"/>
      <c r="D37" s="16" t="n"/>
      <c r="E37" s="24" t="n"/>
      <c r="F37" s="16" t="n"/>
      <c r="G37" s="22" t="n"/>
      <c r="H37" s="23" t="n"/>
      <c r="I37" s="23" t="n"/>
      <c r="J37" s="23" t="n"/>
    </row>
    <row r="38">
      <c r="A38" s="22" t="n"/>
      <c r="B38" s="23" t="n"/>
      <c r="C38" s="23" t="n"/>
      <c r="D38" s="16" t="n"/>
      <c r="E38" s="24" t="n"/>
      <c r="F38" s="16" t="n"/>
      <c r="G38" s="22" t="n"/>
      <c r="H38" s="23" t="n"/>
      <c r="I38" s="23" t="n"/>
      <c r="J38" s="23" t="n"/>
    </row>
    <row r="39">
      <c r="A39" s="22" t="n"/>
      <c r="B39" s="23" t="n"/>
      <c r="C39" s="23" t="n"/>
      <c r="D39" s="16" t="n"/>
      <c r="E39" s="24" t="n"/>
      <c r="F39" s="16" t="n"/>
      <c r="G39" s="22" t="n"/>
      <c r="H39" s="23" t="n"/>
      <c r="I39" s="23" t="n"/>
      <c r="J39" s="23" t="n"/>
    </row>
    <row r="40">
      <c r="A40" s="22" t="n"/>
      <c r="B40" s="23" t="n"/>
      <c r="C40" s="23" t="n"/>
      <c r="D40" s="16" t="n"/>
      <c r="E40" s="24" t="n"/>
      <c r="F40" s="16" t="n"/>
      <c r="G40" s="22" t="n"/>
      <c r="H40" s="23" t="n"/>
      <c r="I40" s="23" t="n"/>
      <c r="J40" s="23" t="n"/>
    </row>
    <row r="41">
      <c r="A41" s="22" t="n"/>
      <c r="B41" s="23" t="n"/>
      <c r="C41" s="23" t="n"/>
      <c r="D41" s="16" t="n"/>
      <c r="E41" s="24" t="n"/>
      <c r="F41" s="16" t="n"/>
      <c r="G41" s="22" t="n"/>
      <c r="H41" s="23" t="n"/>
      <c r="I41" s="23" t="n"/>
      <c r="J41" s="23" t="n"/>
    </row>
    <row r="42">
      <c r="A42" s="22" t="n"/>
      <c r="B42" s="23" t="n"/>
      <c r="C42" s="23" t="n"/>
      <c r="D42" s="16" t="n"/>
      <c r="E42" s="24" t="n"/>
      <c r="F42" s="16" t="n"/>
      <c r="G42" s="22" t="n"/>
      <c r="H42" s="23" t="n"/>
      <c r="I42" s="23" t="n"/>
      <c r="J42" s="23" t="n"/>
    </row>
    <row r="43">
      <c r="A43" s="22" t="n"/>
      <c r="B43" s="23" t="n"/>
      <c r="C43" s="23" t="n"/>
      <c r="D43" s="16" t="n"/>
      <c r="E43" s="24" t="n"/>
      <c r="F43" s="16" t="n"/>
      <c r="G43" s="22" t="n"/>
      <c r="H43" s="23" t="n"/>
      <c r="I43" s="23" t="n"/>
      <c r="J43" s="23" t="n"/>
    </row>
    <row r="44">
      <c r="A44" s="22" t="n"/>
      <c r="B44" s="23" t="n"/>
      <c r="C44" s="23" t="n"/>
      <c r="D44" s="16" t="n"/>
      <c r="E44" s="24" t="n"/>
      <c r="F44" s="16" t="n"/>
      <c r="G44" s="22" t="n"/>
      <c r="H44" s="23" t="n"/>
      <c r="I44" s="23" t="n"/>
      <c r="J44" s="23" t="n"/>
    </row>
    <row r="45">
      <c r="A45" s="22" t="n"/>
      <c r="B45" s="23" t="n"/>
      <c r="C45" s="23" t="n"/>
      <c r="D45" s="16" t="n"/>
      <c r="E45" s="24" t="n"/>
      <c r="F45" s="16" t="n"/>
      <c r="G45" s="22" t="n"/>
      <c r="H45" s="23" t="n"/>
      <c r="I45" s="23" t="n"/>
      <c r="J45" s="23" t="n"/>
    </row>
    <row r="46">
      <c r="A46" s="22" t="n"/>
      <c r="B46" s="23" t="n"/>
      <c r="C46" s="23" t="n"/>
      <c r="D46" s="16" t="n"/>
      <c r="E46" s="24" t="n"/>
      <c r="F46" s="16" t="n"/>
      <c r="G46" s="22" t="n"/>
      <c r="H46" s="23" t="n"/>
      <c r="I46" s="23" t="n"/>
      <c r="J46" s="23" t="n"/>
    </row>
    <row r="47">
      <c r="A47" s="22" t="n"/>
      <c r="B47" s="23" t="n"/>
      <c r="C47" s="23" t="n"/>
      <c r="D47" s="16" t="n"/>
      <c r="E47" s="24" t="n"/>
      <c r="F47" s="16" t="n"/>
      <c r="G47" s="22" t="n"/>
      <c r="H47" s="23" t="n"/>
      <c r="I47" s="23" t="n"/>
      <c r="J47" s="23" t="n"/>
    </row>
    <row r="48">
      <c r="A48" s="22" t="n"/>
      <c r="B48" s="23" t="n"/>
      <c r="C48" s="23" t="n"/>
      <c r="D48" s="16" t="n"/>
      <c r="E48" s="24" t="n"/>
      <c r="F48" s="16" t="n"/>
      <c r="G48" s="22" t="n"/>
      <c r="H48" s="23" t="n"/>
      <c r="I48" s="23" t="n"/>
      <c r="J48" s="23" t="n"/>
    </row>
    <row r="49">
      <c r="A49" s="22" t="n"/>
      <c r="B49" s="23" t="n"/>
      <c r="C49" s="23" t="n"/>
      <c r="D49" s="16" t="n"/>
      <c r="E49" s="24" t="n"/>
      <c r="F49" s="16" t="n"/>
      <c r="G49" s="22" t="n"/>
      <c r="H49" s="23" t="n"/>
      <c r="I49" s="23" t="n"/>
      <c r="J49" s="23" t="n"/>
    </row>
    <row r="50">
      <c r="A50" s="22" t="n"/>
      <c r="B50" s="23" t="n"/>
      <c r="C50" s="23" t="n"/>
      <c r="D50" s="16" t="n"/>
      <c r="E50" s="24" t="n"/>
      <c r="F50" s="16" t="n"/>
      <c r="G50" s="22" t="n"/>
      <c r="H50" s="23" t="n"/>
      <c r="I50" s="23" t="n"/>
      <c r="J50" s="23" t="n"/>
    </row>
    <row r="51">
      <c r="A51" s="22" t="n"/>
      <c r="B51" s="23" t="n"/>
      <c r="C51" s="23" t="n"/>
      <c r="D51" s="16" t="n"/>
      <c r="E51" s="24" t="n"/>
      <c r="F51" s="16" t="n"/>
      <c r="G51" s="22" t="n"/>
      <c r="H51" s="23" t="n"/>
      <c r="I51" s="23" t="n"/>
      <c r="J51" s="23" t="n"/>
    </row>
    <row r="52">
      <c r="A52" s="22" t="n"/>
      <c r="B52" s="23" t="n"/>
      <c r="C52" s="23" t="n"/>
      <c r="D52" s="16" t="n"/>
      <c r="E52" s="24" t="n"/>
      <c r="F52" s="16" t="n"/>
      <c r="G52" s="22" t="n"/>
      <c r="H52" s="23" t="n"/>
      <c r="I52" s="23" t="n"/>
      <c r="J52" s="23" t="n"/>
    </row>
    <row r="53">
      <c r="A53" s="22" t="n"/>
      <c r="B53" s="23" t="n"/>
      <c r="C53" s="23" t="n"/>
      <c r="D53" s="16" t="n"/>
      <c r="E53" s="24" t="n"/>
      <c r="F53" s="16" t="n"/>
      <c r="G53" s="22" t="n"/>
      <c r="H53" s="23" t="n"/>
      <c r="I53" s="23" t="n"/>
      <c r="J53" s="23" t="n"/>
    </row>
    <row r="54">
      <c r="A54" s="22" t="n"/>
      <c r="B54" s="23" t="n"/>
      <c r="C54" s="23" t="n"/>
      <c r="D54" s="16" t="n"/>
      <c r="E54" s="24" t="n"/>
      <c r="F54" s="16" t="n"/>
      <c r="G54" s="22" t="n"/>
      <c r="H54" s="23" t="n"/>
      <c r="I54" s="23" t="n"/>
      <c r="J54" s="23" t="n"/>
    </row>
    <row r="55">
      <c r="A55" s="22" t="n"/>
      <c r="B55" s="23" t="n"/>
      <c r="C55" s="23" t="n"/>
      <c r="D55" s="16" t="n"/>
      <c r="E55" s="24" t="n"/>
      <c r="F55" s="16" t="n"/>
      <c r="G55" s="22" t="n"/>
      <c r="H55" s="23" t="n"/>
      <c r="I55" s="23" t="n"/>
      <c r="J55" s="23" t="n"/>
    </row>
    <row r="56">
      <c r="A56" s="22" t="n"/>
      <c r="B56" s="23" t="n"/>
      <c r="C56" s="23" t="n"/>
      <c r="D56" s="16" t="n"/>
      <c r="E56" s="24" t="n"/>
      <c r="F56" s="16" t="n"/>
      <c r="G56" s="22" t="n"/>
      <c r="H56" s="23" t="n"/>
      <c r="I56" s="23" t="n"/>
      <c r="J56" s="23" t="n"/>
    </row>
    <row r="57">
      <c r="A57" s="22" t="n"/>
      <c r="B57" s="23" t="n"/>
      <c r="C57" s="23" t="n"/>
      <c r="D57" s="16" t="n"/>
      <c r="E57" s="24" t="n"/>
      <c r="F57" s="16" t="n"/>
      <c r="G57" s="22" t="n"/>
      <c r="H57" s="23" t="n"/>
      <c r="I57" s="23" t="n"/>
      <c r="J57" s="23" t="n"/>
    </row>
    <row r="58">
      <c r="A58" s="22" t="n"/>
      <c r="B58" s="23" t="n"/>
      <c r="C58" s="23" t="n"/>
      <c r="D58" s="16" t="n"/>
      <c r="E58" s="24" t="n"/>
      <c r="F58" s="16" t="n"/>
      <c r="G58" s="22" t="n"/>
      <c r="H58" s="23" t="n"/>
      <c r="I58" s="23" t="n"/>
      <c r="J58" s="23" t="n"/>
    </row>
    <row r="59">
      <c r="A59" s="22" t="n"/>
      <c r="B59" s="23" t="n"/>
      <c r="C59" s="23" t="n"/>
      <c r="D59" s="16" t="n"/>
      <c r="E59" s="24" t="n"/>
      <c r="F59" s="16" t="n"/>
      <c r="G59" s="22" t="n"/>
      <c r="H59" s="23" t="n"/>
      <c r="I59" s="23" t="n"/>
      <c r="J59" s="23" t="n"/>
    </row>
    <row r="60">
      <c r="A60" s="22" t="n"/>
      <c r="B60" s="23" t="n"/>
      <c r="C60" s="23" t="n"/>
      <c r="D60" s="16" t="n"/>
      <c r="E60" s="24" t="n"/>
      <c r="F60" s="16" t="n"/>
      <c r="G60" s="22" t="n"/>
      <c r="H60" s="23" t="n"/>
      <c r="I60" s="23" t="n"/>
      <c r="J60" s="23" t="n"/>
    </row>
    <row r="61">
      <c r="A61" s="22" t="n"/>
      <c r="B61" s="23" t="n"/>
      <c r="C61" s="23" t="n"/>
      <c r="D61" s="16" t="n"/>
      <c r="E61" s="24" t="n"/>
      <c r="F61" s="16" t="n"/>
      <c r="G61" s="22" t="n"/>
      <c r="H61" s="23" t="n"/>
      <c r="I61" s="23" t="n"/>
      <c r="J61" s="23" t="n"/>
    </row>
    <row r="62">
      <c r="A62" s="22" t="n"/>
      <c r="B62" s="23" t="n"/>
      <c r="C62" s="23" t="n"/>
      <c r="D62" s="16" t="n"/>
      <c r="E62" s="24" t="n"/>
      <c r="F62" s="16" t="n"/>
      <c r="G62" s="22" t="n"/>
      <c r="H62" s="23" t="n"/>
      <c r="I62" s="23" t="n"/>
      <c r="J62" s="23" t="n"/>
    </row>
    <row r="63">
      <c r="A63" s="22" t="n"/>
      <c r="B63" s="23" t="n"/>
      <c r="C63" s="23" t="n"/>
      <c r="D63" s="16" t="n"/>
      <c r="E63" s="24" t="n"/>
      <c r="F63" s="16" t="n"/>
      <c r="G63" s="22" t="n"/>
      <c r="H63" s="23" t="n"/>
      <c r="I63" s="23" t="n"/>
      <c r="J63" s="23" t="n"/>
    </row>
    <row r="64">
      <c r="A64" s="22" t="n"/>
      <c r="B64" s="23" t="n"/>
      <c r="C64" s="23" t="n"/>
      <c r="D64" s="16" t="n"/>
      <c r="E64" s="24" t="n"/>
      <c r="F64" s="16" t="n"/>
      <c r="G64" s="22" t="n"/>
      <c r="H64" s="23" t="n"/>
      <c r="I64" s="23" t="n"/>
      <c r="J64" s="23" t="n"/>
    </row>
    <row r="65">
      <c r="A65" s="22" t="n"/>
      <c r="B65" s="23" t="n"/>
      <c r="C65" s="23" t="n"/>
      <c r="D65" s="16" t="n"/>
      <c r="E65" s="24" t="n"/>
      <c r="F65" s="16" t="n"/>
      <c r="G65" s="22" t="n"/>
      <c r="H65" s="23" t="n"/>
      <c r="I65" s="23" t="n"/>
      <c r="J65" s="23" t="n"/>
    </row>
    <row r="67">
      <c r="A67" s="12" t="inlineStr">
        <is>
          <t>TEST RESULTS SUMMARY</t>
        </is>
      </c>
    </row>
    <row r="68">
      <c r="A68" s="25" t="inlineStr">
        <is>
          <t>Total Tests Executed:</t>
        </is>
      </c>
      <c r="B68" s="25">
        <f>COUNTA(C5:C65)</f>
        <v/>
      </c>
    </row>
    <row r="69">
      <c r="A69" s="25" t="inlineStr">
        <is>
          <t>✅ Successful Tests:</t>
        </is>
      </c>
      <c r="B69" s="25">
        <f>COUNTIF(F5:F65,"✅*")</f>
        <v/>
      </c>
    </row>
    <row r="70">
      <c r="A70" s="25" t="inlineStr">
        <is>
          <t>⚠ Partial Success:</t>
        </is>
      </c>
      <c r="B70" s="25">
        <f>COUNTIF(F5:F65,"⚠*")</f>
        <v/>
      </c>
    </row>
    <row r="71">
      <c r="A71" s="25" t="inlineStr">
        <is>
          <t>❌ Failed Tests:</t>
        </is>
      </c>
      <c r="B71" s="25">
        <f>COUNTIF(F5:F65,"❌*")</f>
        <v/>
      </c>
    </row>
    <row r="72">
      <c r="A72" s="25" t="inlineStr">
        <is>
          <t>Success Rate:</t>
        </is>
      </c>
      <c r="B72" s="26">
        <f>IF(B68&gt;0,(B69+B70*0.5)/B68,0)</f>
        <v/>
      </c>
    </row>
    <row r="73">
      <c r="A73" s="25" t="inlineStr">
        <is>
          <t>Average Test Duration (hrs):</t>
        </is>
      </c>
      <c r="B73" s="27">
        <f>IFERROR(AVERAGE(G5:G65),0)</f>
        <v/>
      </c>
    </row>
  </sheetData>
  <mergeCells count="3">
    <mergeCell ref="A1:J1"/>
    <mergeCell ref="A67:J67"/>
    <mergeCell ref="A2:J2"/>
  </mergeCells>
  <dataValidations count="2">
    <dataValidation sqref="D5 D6 D7 D8 D9 D10 D11 D12 D13 D14 D15 D16 D17 D18 D19 D20 D21 D22 D23 D24 D25 D26 D27 D28 D29 D30 D31 D32 D33 D34 D35 D36 D37 D38 D39 D40 D41 D42 D43 D44 D45 D46 D47 D48 D49 D50 D51 D52 D53 D54 D55 D56 D57 D58 D59 D60 D61 D62 D63 D64 D65" showDropDown="0" showInputMessage="0" showErrorMessage="0" allowBlank="0" type="list">
      <formula1>"Backup Restore,Failover Test,Full DR Scenario,Tabletop Exercise,Component Test,Integration Test"</formula1>
    </dataValidation>
    <dataValidation sqref="F5 F6 F7 F8 F9 F10 F11 F12 F13 F14 F15 F16 F17 F18 F19 F20 F21 F22 F23 F24 F25 F26 F27 F28 F29 F30 F31 F32 F33 F34 F35 F36 F37 F38 F39 F40 F41 F42 F43 F44 F45 F46 F47 F48 F49 F50 F51 F52 F53 F54 F55 F56 F57 F58 F59 F60 F61 F62 F63 F64 F65" showDropDown="0" showInputMessage="0" showErrorMessage="0" allowBlank="0" type="list">
      <formula1>"✅ Success,⚠ Partial Success,❌ Failure,In Progress,Not Started,Cancelled"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6"/>
  <sheetViews>
    <sheetView showGridLines="0" workbookViewId="0">
      <pane ySplit="3" topLeftCell="A4" activePane="bottomLeft" state="frozen"/>
      <selection pane="bottomLeft" activeCell="A1" sqref="A1"/>
    </sheetView>
  </sheetViews>
  <sheetFormatPr baseColWidth="8" defaultRowHeight="15"/>
  <cols>
    <col width="12" customWidth="1" min="1" max="1"/>
    <col width="18" customWidth="1" min="2" max="2"/>
    <col width="40" customWidth="1" min="3" max="3"/>
    <col width="35" customWidth="1" min="4" max="4"/>
    <col width="15" customWidth="1" min="5" max="5"/>
    <col width="15" customWidth="1" min="6" max="6"/>
    <col width="45" customWidth="1" min="7" max="7"/>
    <col width="20" customWidth="1" min="8" max="8"/>
  </cols>
  <sheetData>
    <row r="1" ht="35" customHeight="1">
      <c r="A1" s="11" t="inlineStr">
        <is>
          <t>ISSUE REMEDIATION TRACKER</t>
        </is>
      </c>
    </row>
    <row r="2">
      <c r="A2" s="12" t="inlineStr">
        <is>
          <t>Track issues discovered during testing to closure</t>
        </is>
      </c>
    </row>
    <row r="4">
      <c r="A4" s="13" t="inlineStr">
        <is>
          <t>Issue ID</t>
        </is>
      </c>
      <c r="B4" s="13" t="inlineStr">
        <is>
          <t>Related Test (Result ID)</t>
        </is>
      </c>
      <c r="C4" s="13" t="inlineStr">
        <is>
          <t>Issue Description</t>
        </is>
      </c>
      <c r="D4" s="13" t="inlineStr">
        <is>
          <t>Root Cause</t>
        </is>
      </c>
      <c r="E4" s="13" t="inlineStr">
        <is>
          <t>Severity</t>
        </is>
      </c>
      <c r="F4" s="13" t="inlineStr">
        <is>
          <t>Status</t>
        </is>
      </c>
      <c r="G4" s="13" t="inlineStr">
        <is>
          <t>Remediation Plan</t>
        </is>
      </c>
      <c r="H4" s="13" t="inlineStr">
        <is>
          <t>Target Resolution Date</t>
        </is>
      </c>
    </row>
    <row r="5">
      <c r="A5" s="14" t="inlineStr">
        <is>
          <t>ISS-001</t>
        </is>
      </c>
      <c r="B5" s="15" t="n"/>
      <c r="C5" s="15" t="n"/>
      <c r="D5" s="15" t="n"/>
      <c r="E5" s="16" t="n"/>
      <c r="F5" s="16" t="n"/>
      <c r="G5" s="15" t="n"/>
      <c r="H5" s="17" t="n"/>
    </row>
    <row r="6">
      <c r="A6" s="14" t="inlineStr">
        <is>
          <t>ISS-002</t>
        </is>
      </c>
      <c r="B6" s="15" t="n"/>
      <c r="C6" s="15" t="n"/>
      <c r="D6" s="15" t="n"/>
      <c r="E6" s="16" t="n"/>
      <c r="F6" s="16" t="n"/>
      <c r="G6" s="15" t="n"/>
      <c r="H6" s="17" t="n"/>
    </row>
    <row r="7">
      <c r="A7" s="14" t="inlineStr">
        <is>
          <t>ISS-003</t>
        </is>
      </c>
      <c r="B7" s="15" t="n"/>
      <c r="C7" s="15" t="n"/>
      <c r="D7" s="15" t="n"/>
      <c r="E7" s="16" t="n"/>
      <c r="F7" s="16" t="n"/>
      <c r="G7" s="15" t="n"/>
      <c r="H7" s="17" t="n"/>
    </row>
    <row r="8">
      <c r="A8" s="14" t="inlineStr">
        <is>
          <t>ISS-004</t>
        </is>
      </c>
      <c r="B8" s="15" t="n"/>
      <c r="C8" s="15" t="n"/>
      <c r="D8" s="15" t="n"/>
      <c r="E8" s="16" t="n"/>
      <c r="F8" s="16" t="n"/>
      <c r="G8" s="15" t="n"/>
      <c r="H8" s="17" t="n"/>
    </row>
    <row r="9">
      <c r="A9" s="14" t="inlineStr">
        <is>
          <t>ISS-005</t>
        </is>
      </c>
      <c r="B9" s="15" t="n"/>
      <c r="C9" s="15" t="n"/>
      <c r="D9" s="15" t="n"/>
      <c r="E9" s="16" t="n"/>
      <c r="F9" s="16" t="n"/>
      <c r="G9" s="15" t="n"/>
      <c r="H9" s="17" t="n"/>
    </row>
    <row r="10">
      <c r="A10" s="14" t="inlineStr">
        <is>
          <t>ISS-006</t>
        </is>
      </c>
      <c r="B10" s="15" t="n"/>
      <c r="C10" s="15" t="n"/>
      <c r="D10" s="15" t="n"/>
      <c r="E10" s="16" t="n"/>
      <c r="F10" s="16" t="n"/>
      <c r="G10" s="15" t="n"/>
      <c r="H10" s="17" t="n"/>
    </row>
    <row r="11">
      <c r="A11" s="14" t="inlineStr">
        <is>
          <t>ISS-007</t>
        </is>
      </c>
      <c r="B11" s="15" t="n"/>
      <c r="C11" s="15" t="n"/>
      <c r="D11" s="15" t="n"/>
      <c r="E11" s="16" t="n"/>
      <c r="F11" s="16" t="n"/>
      <c r="G11" s="15" t="n"/>
      <c r="H11" s="17" t="n"/>
    </row>
    <row r="12">
      <c r="A12" s="14" t="inlineStr">
        <is>
          <t>ISS-008</t>
        </is>
      </c>
      <c r="B12" s="15" t="n"/>
      <c r="C12" s="15" t="n"/>
      <c r="D12" s="15" t="n"/>
      <c r="E12" s="16" t="n"/>
      <c r="F12" s="16" t="n"/>
      <c r="G12" s="15" t="n"/>
      <c r="H12" s="17" t="n"/>
    </row>
    <row r="13">
      <c r="A13" s="14" t="inlineStr">
        <is>
          <t>ISS-009</t>
        </is>
      </c>
      <c r="B13" s="15" t="n"/>
      <c r="C13" s="15" t="n"/>
      <c r="D13" s="15" t="n"/>
      <c r="E13" s="16" t="n"/>
      <c r="F13" s="16" t="n"/>
      <c r="G13" s="15" t="n"/>
      <c r="H13" s="17" t="n"/>
    </row>
    <row r="14">
      <c r="A14" s="14" t="inlineStr">
        <is>
          <t>ISS-010</t>
        </is>
      </c>
      <c r="B14" s="15" t="n"/>
      <c r="C14" s="15" t="n"/>
      <c r="D14" s="15" t="n"/>
      <c r="E14" s="16" t="n"/>
      <c r="F14" s="16" t="n"/>
      <c r="G14" s="15" t="n"/>
      <c r="H14" s="17" t="n"/>
    </row>
    <row r="15">
      <c r="A15" s="18" t="inlineStr">
        <is>
          <t>ISS-EXX</t>
        </is>
      </c>
      <c r="B15" s="19" t="inlineStr">
        <is>
          <t>RES-EX</t>
        </is>
      </c>
      <c r="C15" s="19" t="inlineStr">
        <is>
          <t>Sample issue description — enter details here</t>
        </is>
      </c>
      <c r="D15" s="19" t="inlineStr">
        <is>
          <t>Root cause not yet identified</t>
        </is>
      </c>
      <c r="E15" s="16" t="inlineStr">
        <is>
          <t>[.] Medium</t>
        </is>
      </c>
      <c r="F15" s="16" t="inlineStr">
        <is>
          <t>Open</t>
        </is>
      </c>
      <c r="G15" s="19" t="inlineStr">
        <is>
          <t>Sample — enter remediation plan here</t>
        </is>
      </c>
      <c r="H15" s="21" t="n"/>
    </row>
    <row r="16">
      <c r="A16" s="22" t="n"/>
      <c r="B16" s="23" t="n"/>
      <c r="C16" s="23" t="n"/>
      <c r="D16" s="23" t="n"/>
      <c r="E16" s="16" t="n"/>
      <c r="F16" s="16" t="n"/>
      <c r="G16" s="23" t="n"/>
      <c r="H16" s="24" t="n"/>
    </row>
    <row r="17">
      <c r="A17" s="22" t="n"/>
      <c r="B17" s="23" t="n"/>
      <c r="C17" s="23" t="n"/>
      <c r="D17" s="23" t="n"/>
      <c r="E17" s="16" t="n"/>
      <c r="F17" s="16" t="n"/>
      <c r="G17" s="23" t="n"/>
      <c r="H17" s="24" t="n"/>
    </row>
    <row r="18">
      <c r="A18" s="22" t="n"/>
      <c r="B18" s="23" t="n"/>
      <c r="C18" s="23" t="n"/>
      <c r="D18" s="23" t="n"/>
      <c r="E18" s="16" t="n"/>
      <c r="F18" s="16" t="n"/>
      <c r="G18" s="23" t="n"/>
      <c r="H18" s="24" t="n"/>
    </row>
    <row r="19">
      <c r="A19" s="22" t="n"/>
      <c r="B19" s="23" t="n"/>
      <c r="C19" s="23" t="n"/>
      <c r="D19" s="23" t="n"/>
      <c r="E19" s="16" t="n"/>
      <c r="F19" s="16" t="n"/>
      <c r="G19" s="23" t="n"/>
      <c r="H19" s="24" t="n"/>
    </row>
    <row r="20">
      <c r="A20" s="22" t="n"/>
      <c r="B20" s="23" t="n"/>
      <c r="C20" s="23" t="n"/>
      <c r="D20" s="23" t="n"/>
      <c r="E20" s="16" t="n"/>
      <c r="F20" s="16" t="n"/>
      <c r="G20" s="23" t="n"/>
      <c r="H20" s="24" t="n"/>
    </row>
    <row r="21">
      <c r="A21" s="22" t="n"/>
      <c r="B21" s="23" t="n"/>
      <c r="C21" s="23" t="n"/>
      <c r="D21" s="23" t="n"/>
      <c r="E21" s="16" t="n"/>
      <c r="F21" s="16" t="n"/>
      <c r="G21" s="23" t="n"/>
      <c r="H21" s="24" t="n"/>
    </row>
    <row r="22">
      <c r="A22" s="22" t="n"/>
      <c r="B22" s="23" t="n"/>
      <c r="C22" s="23" t="n"/>
      <c r="D22" s="23" t="n"/>
      <c r="E22" s="16" t="n"/>
      <c r="F22" s="16" t="n"/>
      <c r="G22" s="23" t="n"/>
      <c r="H22" s="24" t="n"/>
    </row>
    <row r="23">
      <c r="A23" s="22" t="n"/>
      <c r="B23" s="23" t="n"/>
      <c r="C23" s="23" t="n"/>
      <c r="D23" s="23" t="n"/>
      <c r="E23" s="16" t="n"/>
      <c r="F23" s="16" t="n"/>
      <c r="G23" s="23" t="n"/>
      <c r="H23" s="24" t="n"/>
    </row>
    <row r="24">
      <c r="A24" s="22" t="n"/>
      <c r="B24" s="23" t="n"/>
      <c r="C24" s="23" t="n"/>
      <c r="D24" s="23" t="n"/>
      <c r="E24" s="16" t="n"/>
      <c r="F24" s="16" t="n"/>
      <c r="G24" s="23" t="n"/>
      <c r="H24" s="24" t="n"/>
    </row>
    <row r="25">
      <c r="A25" s="22" t="n"/>
      <c r="B25" s="23" t="n"/>
      <c r="C25" s="23" t="n"/>
      <c r="D25" s="23" t="n"/>
      <c r="E25" s="16" t="n"/>
      <c r="F25" s="16" t="n"/>
      <c r="G25" s="23" t="n"/>
      <c r="H25" s="24" t="n"/>
    </row>
    <row r="26">
      <c r="A26" s="22" t="n"/>
      <c r="B26" s="23" t="n"/>
      <c r="C26" s="23" t="n"/>
      <c r="D26" s="23" t="n"/>
      <c r="E26" s="16" t="n"/>
      <c r="F26" s="16" t="n"/>
      <c r="G26" s="23" t="n"/>
      <c r="H26" s="24" t="n"/>
    </row>
    <row r="27">
      <c r="A27" s="22" t="n"/>
      <c r="B27" s="23" t="n"/>
      <c r="C27" s="23" t="n"/>
      <c r="D27" s="23" t="n"/>
      <c r="E27" s="16" t="n"/>
      <c r="F27" s="16" t="n"/>
      <c r="G27" s="23" t="n"/>
      <c r="H27" s="24" t="n"/>
    </row>
    <row r="28">
      <c r="A28" s="22" t="n"/>
      <c r="B28" s="23" t="n"/>
      <c r="C28" s="23" t="n"/>
      <c r="D28" s="23" t="n"/>
      <c r="E28" s="16" t="n"/>
      <c r="F28" s="16" t="n"/>
      <c r="G28" s="23" t="n"/>
      <c r="H28" s="24" t="n"/>
    </row>
    <row r="29">
      <c r="A29" s="22" t="n"/>
      <c r="B29" s="23" t="n"/>
      <c r="C29" s="23" t="n"/>
      <c r="D29" s="23" t="n"/>
      <c r="E29" s="16" t="n"/>
      <c r="F29" s="16" t="n"/>
      <c r="G29" s="23" t="n"/>
      <c r="H29" s="24" t="n"/>
    </row>
    <row r="30">
      <c r="A30" s="22" t="n"/>
      <c r="B30" s="23" t="n"/>
      <c r="C30" s="23" t="n"/>
      <c r="D30" s="23" t="n"/>
      <c r="E30" s="16" t="n"/>
      <c r="F30" s="16" t="n"/>
      <c r="G30" s="23" t="n"/>
      <c r="H30" s="24" t="n"/>
    </row>
    <row r="31">
      <c r="A31" s="22" t="n"/>
      <c r="B31" s="23" t="n"/>
      <c r="C31" s="23" t="n"/>
      <c r="D31" s="23" t="n"/>
      <c r="E31" s="16" t="n"/>
      <c r="F31" s="16" t="n"/>
      <c r="G31" s="23" t="n"/>
      <c r="H31" s="24" t="n"/>
    </row>
    <row r="32">
      <c r="A32" s="22" t="n"/>
      <c r="B32" s="23" t="n"/>
      <c r="C32" s="23" t="n"/>
      <c r="D32" s="23" t="n"/>
      <c r="E32" s="16" t="n"/>
      <c r="F32" s="16" t="n"/>
      <c r="G32" s="23" t="n"/>
      <c r="H32" s="24" t="n"/>
    </row>
    <row r="33">
      <c r="A33" s="22" t="n"/>
      <c r="B33" s="23" t="n"/>
      <c r="C33" s="23" t="n"/>
      <c r="D33" s="23" t="n"/>
      <c r="E33" s="16" t="n"/>
      <c r="F33" s="16" t="n"/>
      <c r="G33" s="23" t="n"/>
      <c r="H33" s="24" t="n"/>
    </row>
    <row r="34">
      <c r="A34" s="22" t="n"/>
      <c r="B34" s="23" t="n"/>
      <c r="C34" s="23" t="n"/>
      <c r="D34" s="23" t="n"/>
      <c r="E34" s="16" t="n"/>
      <c r="F34" s="16" t="n"/>
      <c r="G34" s="23" t="n"/>
      <c r="H34" s="24" t="n"/>
    </row>
    <row r="35">
      <c r="A35" s="22" t="n"/>
      <c r="B35" s="23" t="n"/>
      <c r="C35" s="23" t="n"/>
      <c r="D35" s="23" t="n"/>
      <c r="E35" s="16" t="n"/>
      <c r="F35" s="16" t="n"/>
      <c r="G35" s="23" t="n"/>
      <c r="H35" s="24" t="n"/>
    </row>
    <row r="36">
      <c r="A36" s="22" t="n"/>
      <c r="B36" s="23" t="n"/>
      <c r="C36" s="23" t="n"/>
      <c r="D36" s="23" t="n"/>
      <c r="E36" s="16" t="n"/>
      <c r="F36" s="16" t="n"/>
      <c r="G36" s="23" t="n"/>
      <c r="H36" s="24" t="n"/>
    </row>
    <row r="37">
      <c r="A37" s="22" t="n"/>
      <c r="B37" s="23" t="n"/>
      <c r="C37" s="23" t="n"/>
      <c r="D37" s="23" t="n"/>
      <c r="E37" s="16" t="n"/>
      <c r="F37" s="16" t="n"/>
      <c r="G37" s="23" t="n"/>
      <c r="H37" s="24" t="n"/>
    </row>
    <row r="38">
      <c r="A38" s="22" t="n"/>
      <c r="B38" s="23" t="n"/>
      <c r="C38" s="23" t="n"/>
      <c r="D38" s="23" t="n"/>
      <c r="E38" s="16" t="n"/>
      <c r="F38" s="16" t="n"/>
      <c r="G38" s="23" t="n"/>
      <c r="H38" s="24" t="n"/>
    </row>
    <row r="39">
      <c r="A39" s="22" t="n"/>
      <c r="B39" s="23" t="n"/>
      <c r="C39" s="23" t="n"/>
      <c r="D39" s="23" t="n"/>
      <c r="E39" s="16" t="n"/>
      <c r="F39" s="16" t="n"/>
      <c r="G39" s="23" t="n"/>
      <c r="H39" s="24" t="n"/>
    </row>
    <row r="40">
      <c r="A40" s="22" t="n"/>
      <c r="B40" s="23" t="n"/>
      <c r="C40" s="23" t="n"/>
      <c r="D40" s="23" t="n"/>
      <c r="E40" s="16" t="n"/>
      <c r="F40" s="16" t="n"/>
      <c r="G40" s="23" t="n"/>
      <c r="H40" s="24" t="n"/>
    </row>
    <row r="41">
      <c r="A41" s="22" t="n"/>
      <c r="B41" s="23" t="n"/>
      <c r="C41" s="23" t="n"/>
      <c r="D41" s="23" t="n"/>
      <c r="E41" s="16" t="n"/>
      <c r="F41" s="16" t="n"/>
      <c r="G41" s="23" t="n"/>
      <c r="H41" s="24" t="n"/>
    </row>
    <row r="42">
      <c r="A42" s="22" t="n"/>
      <c r="B42" s="23" t="n"/>
      <c r="C42" s="23" t="n"/>
      <c r="D42" s="23" t="n"/>
      <c r="E42" s="16" t="n"/>
      <c r="F42" s="16" t="n"/>
      <c r="G42" s="23" t="n"/>
      <c r="H42" s="24" t="n"/>
    </row>
    <row r="43">
      <c r="A43" s="22" t="n"/>
      <c r="B43" s="23" t="n"/>
      <c r="C43" s="23" t="n"/>
      <c r="D43" s="23" t="n"/>
      <c r="E43" s="16" t="n"/>
      <c r="F43" s="16" t="n"/>
      <c r="G43" s="23" t="n"/>
      <c r="H43" s="24" t="n"/>
    </row>
    <row r="44">
      <c r="A44" s="22" t="n"/>
      <c r="B44" s="23" t="n"/>
      <c r="C44" s="23" t="n"/>
      <c r="D44" s="23" t="n"/>
      <c r="E44" s="16" t="n"/>
      <c r="F44" s="16" t="n"/>
      <c r="G44" s="23" t="n"/>
      <c r="H44" s="24" t="n"/>
    </row>
    <row r="45">
      <c r="A45" s="22" t="n"/>
      <c r="B45" s="23" t="n"/>
      <c r="C45" s="23" t="n"/>
      <c r="D45" s="23" t="n"/>
      <c r="E45" s="16" t="n"/>
      <c r="F45" s="16" t="n"/>
      <c r="G45" s="23" t="n"/>
      <c r="H45" s="24" t="n"/>
    </row>
    <row r="46">
      <c r="A46" s="22" t="n"/>
      <c r="B46" s="23" t="n"/>
      <c r="C46" s="23" t="n"/>
      <c r="D46" s="23" t="n"/>
      <c r="E46" s="16" t="n"/>
      <c r="F46" s="16" t="n"/>
      <c r="G46" s="23" t="n"/>
      <c r="H46" s="24" t="n"/>
    </row>
    <row r="47">
      <c r="A47" s="22" t="n"/>
      <c r="B47" s="23" t="n"/>
      <c r="C47" s="23" t="n"/>
      <c r="D47" s="23" t="n"/>
      <c r="E47" s="16" t="n"/>
      <c r="F47" s="16" t="n"/>
      <c r="G47" s="23" t="n"/>
      <c r="H47" s="24" t="n"/>
    </row>
    <row r="48">
      <c r="A48" s="22" t="n"/>
      <c r="B48" s="23" t="n"/>
      <c r="C48" s="23" t="n"/>
      <c r="D48" s="23" t="n"/>
      <c r="E48" s="16" t="n"/>
      <c r="F48" s="16" t="n"/>
      <c r="G48" s="23" t="n"/>
      <c r="H48" s="24" t="n"/>
    </row>
    <row r="49">
      <c r="A49" s="22" t="n"/>
      <c r="B49" s="23" t="n"/>
      <c r="C49" s="23" t="n"/>
      <c r="D49" s="23" t="n"/>
      <c r="E49" s="16" t="n"/>
      <c r="F49" s="16" t="n"/>
      <c r="G49" s="23" t="n"/>
      <c r="H49" s="24" t="n"/>
    </row>
    <row r="50">
      <c r="A50" s="22" t="n"/>
      <c r="B50" s="23" t="n"/>
      <c r="C50" s="23" t="n"/>
      <c r="D50" s="23" t="n"/>
      <c r="E50" s="16" t="n"/>
      <c r="F50" s="16" t="n"/>
      <c r="G50" s="23" t="n"/>
      <c r="H50" s="24" t="n"/>
    </row>
    <row r="51">
      <c r="A51" s="22" t="n"/>
      <c r="B51" s="23" t="n"/>
      <c r="C51" s="23" t="n"/>
      <c r="D51" s="23" t="n"/>
      <c r="E51" s="16" t="n"/>
      <c r="F51" s="16" t="n"/>
      <c r="G51" s="23" t="n"/>
      <c r="H51" s="24" t="n"/>
    </row>
    <row r="52">
      <c r="A52" s="22" t="n"/>
      <c r="B52" s="23" t="n"/>
      <c r="C52" s="23" t="n"/>
      <c r="D52" s="23" t="n"/>
      <c r="E52" s="16" t="n"/>
      <c r="F52" s="16" t="n"/>
      <c r="G52" s="23" t="n"/>
      <c r="H52" s="24" t="n"/>
    </row>
    <row r="53">
      <c r="A53" s="22" t="n"/>
      <c r="B53" s="23" t="n"/>
      <c r="C53" s="23" t="n"/>
      <c r="D53" s="23" t="n"/>
      <c r="E53" s="16" t="n"/>
      <c r="F53" s="16" t="n"/>
      <c r="G53" s="23" t="n"/>
      <c r="H53" s="24" t="n"/>
    </row>
    <row r="54">
      <c r="A54" s="22" t="n"/>
      <c r="B54" s="23" t="n"/>
      <c r="C54" s="23" t="n"/>
      <c r="D54" s="23" t="n"/>
      <c r="E54" s="16" t="n"/>
      <c r="F54" s="16" t="n"/>
      <c r="G54" s="23" t="n"/>
      <c r="H54" s="24" t="n"/>
    </row>
    <row r="55">
      <c r="A55" s="22" t="n"/>
      <c r="B55" s="23" t="n"/>
      <c r="C55" s="23" t="n"/>
      <c r="D55" s="23" t="n"/>
      <c r="E55" s="16" t="n"/>
      <c r="F55" s="16" t="n"/>
      <c r="G55" s="23" t="n"/>
      <c r="H55" s="24" t="n"/>
    </row>
    <row r="56">
      <c r="A56" s="22" t="n"/>
      <c r="B56" s="23" t="n"/>
      <c r="C56" s="23" t="n"/>
      <c r="D56" s="23" t="n"/>
      <c r="E56" s="16" t="n"/>
      <c r="F56" s="16" t="n"/>
      <c r="G56" s="23" t="n"/>
      <c r="H56" s="24" t="n"/>
    </row>
    <row r="57">
      <c r="A57" s="22" t="n"/>
      <c r="B57" s="23" t="n"/>
      <c r="C57" s="23" t="n"/>
      <c r="D57" s="23" t="n"/>
      <c r="E57" s="16" t="n"/>
      <c r="F57" s="16" t="n"/>
      <c r="G57" s="23" t="n"/>
      <c r="H57" s="24" t="n"/>
    </row>
    <row r="58">
      <c r="A58" s="22" t="n"/>
      <c r="B58" s="23" t="n"/>
      <c r="C58" s="23" t="n"/>
      <c r="D58" s="23" t="n"/>
      <c r="E58" s="16" t="n"/>
      <c r="F58" s="16" t="n"/>
      <c r="G58" s="23" t="n"/>
      <c r="H58" s="24" t="n"/>
    </row>
    <row r="59">
      <c r="A59" s="22" t="n"/>
      <c r="B59" s="23" t="n"/>
      <c r="C59" s="23" t="n"/>
      <c r="D59" s="23" t="n"/>
      <c r="E59" s="16" t="n"/>
      <c r="F59" s="16" t="n"/>
      <c r="G59" s="23" t="n"/>
      <c r="H59" s="24" t="n"/>
    </row>
    <row r="60">
      <c r="A60" s="22" t="n"/>
      <c r="B60" s="23" t="n"/>
      <c r="C60" s="23" t="n"/>
      <c r="D60" s="23" t="n"/>
      <c r="E60" s="16" t="n"/>
      <c r="F60" s="16" t="n"/>
      <c r="G60" s="23" t="n"/>
      <c r="H60" s="24" t="n"/>
    </row>
    <row r="61">
      <c r="A61" s="22" t="n"/>
      <c r="B61" s="23" t="n"/>
      <c r="C61" s="23" t="n"/>
      <c r="D61" s="23" t="n"/>
      <c r="E61" s="16" t="n"/>
      <c r="F61" s="16" t="n"/>
      <c r="G61" s="23" t="n"/>
      <c r="H61" s="24" t="n"/>
    </row>
    <row r="62">
      <c r="A62" s="22" t="n"/>
      <c r="B62" s="23" t="n"/>
      <c r="C62" s="23" t="n"/>
      <c r="D62" s="23" t="n"/>
      <c r="E62" s="16" t="n"/>
      <c r="F62" s="16" t="n"/>
      <c r="G62" s="23" t="n"/>
      <c r="H62" s="24" t="n"/>
    </row>
    <row r="63">
      <c r="A63" s="22" t="n"/>
      <c r="B63" s="23" t="n"/>
      <c r="C63" s="23" t="n"/>
      <c r="D63" s="23" t="n"/>
      <c r="E63" s="16" t="n"/>
      <c r="F63" s="16" t="n"/>
      <c r="G63" s="23" t="n"/>
      <c r="H63" s="24" t="n"/>
    </row>
    <row r="64">
      <c r="A64" s="22" t="n"/>
      <c r="B64" s="23" t="n"/>
      <c r="C64" s="23" t="n"/>
      <c r="D64" s="23" t="n"/>
      <c r="E64" s="16" t="n"/>
      <c r="F64" s="16" t="n"/>
      <c r="G64" s="23" t="n"/>
      <c r="H64" s="24" t="n"/>
    </row>
    <row r="65">
      <c r="A65" s="22" t="n"/>
      <c r="B65" s="23" t="n"/>
      <c r="C65" s="23" t="n"/>
      <c r="D65" s="23" t="n"/>
      <c r="E65" s="16" t="n"/>
      <c r="F65" s="16" t="n"/>
      <c r="G65" s="23" t="n"/>
      <c r="H65" s="24" t="n"/>
    </row>
    <row r="67">
      <c r="A67" s="12" t="inlineStr">
        <is>
          <t>ISSUE REMEDIATION SUMMARY</t>
        </is>
      </c>
    </row>
    <row r="68">
      <c r="A68" s="25" t="inlineStr">
        <is>
          <t>Total Issues:</t>
        </is>
      </c>
      <c r="B68" s="25">
        <f>COUNTA(C5:C65)</f>
        <v/>
      </c>
    </row>
    <row r="69">
      <c r="A69" s="25" t="inlineStr">
        <is>
          <t>[!] Critical Issues:</t>
        </is>
      </c>
      <c r="B69" s="25">
        <f>COUNTIF(E5:E65,"[!]*")</f>
        <v/>
      </c>
    </row>
    <row r="70">
      <c r="A70" s="25" t="inlineStr">
        <is>
          <t>[~] High Severity:</t>
        </is>
      </c>
      <c r="B70" s="25">
        <f>COUNTIF(E5:E65,"[~]*")</f>
        <v/>
      </c>
    </row>
    <row r="71">
      <c r="A71" s="25" t="inlineStr">
        <is>
          <t>[.] Medium Severity:</t>
        </is>
      </c>
      <c r="B71" s="25">
        <f>COUNTIF(E5:E65,"[.]*")</f>
        <v/>
      </c>
    </row>
    <row r="73">
      <c r="A73" s="25" t="inlineStr">
        <is>
          <t>Open Issues:</t>
        </is>
      </c>
      <c r="B73" s="25">
        <f>COUNTIF(F5:F65,"Open*")</f>
        <v/>
      </c>
    </row>
    <row r="74">
      <c r="A74" s="25" t="inlineStr">
        <is>
          <t>In Progress:</t>
        </is>
      </c>
      <c r="B74" s="25">
        <f>COUNTIF(F5:F65,"In Progress*")</f>
        <v/>
      </c>
    </row>
    <row r="75">
      <c r="A75" s="25" t="inlineStr">
        <is>
          <t>✅ Closed Issues:</t>
        </is>
      </c>
      <c r="B75" s="25">
        <f>COUNTIF(F5:F65,"✅*")</f>
        <v/>
      </c>
    </row>
    <row r="76">
      <c r="A76" s="25" t="inlineStr">
        <is>
          <t>Issue Closure Rate:</t>
        </is>
      </c>
      <c r="B76" s="26">
        <f>IF(B68&gt;0,B75/B68,0)</f>
        <v/>
      </c>
    </row>
  </sheetData>
  <mergeCells count="3">
    <mergeCell ref="A67:H67"/>
    <mergeCell ref="A2:H2"/>
    <mergeCell ref="A1:H1"/>
  </mergeCells>
  <dataValidations count="2">
    <dataValidation sqref="E5 E6 E7 E8 E9 E10 E11 E12 E13 E14 E15 E16 E17 E18 E19 E20 E21 E22 E23 E24 E25 E26 E27 E28 E29 E30 E31 E32 E33 E34 E35 E36 E37 E38 E39 E40 E41 E42 E43 E44 E45 E46 E47 E48 E49 E50 E51 E52 E53 E54 E55 E56 E57 E58 E59 E60 E61 E62 E63 E64 E65" showDropDown="0" showInputMessage="0" showErrorMessage="0" allowBlank="0" type="list">
      <formula1>"[!] Critical,[~] High,[.] Medium,[ ] Low"</formula1>
    </dataValidation>
    <dataValidation sqref="F5 F6 F7 F8 F9 F10 F11 F12 F13 F14 F15 F16 F17 F18 F19 F20 F21 F22 F23 F24 F25 F26 F27 F28 F29 F30 F31 F32 F33 F34 F35 F36 F37 F38 F39 F40 F41 F42 F43 F44 F45 F46 F47 F48 F49 F50 F51 F52 F53 F54 F55 F56 F57 F58 F59 F60 F61 F62 F63 F64 F65" showDropDown="0" showInputMessage="0" showErrorMessage="0" allowBlank="0" type="list">
      <formula1>"Open,In Progress,✅ Closed,Risk Accepted"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76"/>
  <sheetViews>
    <sheetView showGridLines="0" workbookViewId="0">
      <pane ySplit="3" topLeftCell="A4" activePane="bottomLeft" state="frozen"/>
      <selection pane="bottomLeft" activeCell="A1" sqref="A1"/>
    </sheetView>
  </sheetViews>
  <sheetFormatPr baseColWidth="8" defaultRowHeight="15"/>
  <cols>
    <col width="25" customWidth="1" min="1" max="1"/>
    <col width="20" customWidth="1" min="2" max="2"/>
    <col width="18" customWidth="1" min="3" max="3"/>
    <col width="18" customWidth="1" min="4" max="4"/>
    <col width="15" customWidth="1" min="5" max="5"/>
    <col width="20" customWidth="1" min="6" max="6"/>
    <col width="20" customWidth="1" min="7" max="7"/>
    <col width="15" customWidth="1" min="8" max="8"/>
  </cols>
  <sheetData>
    <row r="1" ht="35" customHeight="1">
      <c r="A1" s="11" t="inlineStr">
        <is>
          <t>TESTING COMPLIANCE ASSESSMENT</t>
        </is>
      </c>
    </row>
    <row r="2">
      <c r="A2" s="12" t="inlineStr">
        <is>
          <t>Annual compliance assessment - are systems being tested according to requirements?</t>
        </is>
      </c>
    </row>
    <row r="4">
      <c r="A4" s="13" t="inlineStr">
        <is>
          <t>System Name</t>
        </is>
      </c>
      <c r="B4" s="13" t="inlineStr">
        <is>
          <t>Test Type</t>
        </is>
      </c>
      <c r="C4" s="13" t="inlineStr">
        <is>
          <t>Criticality</t>
        </is>
      </c>
      <c r="D4" s="13" t="inlineStr">
        <is>
          <t>Required Frequency</t>
        </is>
      </c>
      <c r="E4" s="13" t="inlineStr">
        <is>
          <t>Last Test Date</t>
        </is>
      </c>
      <c r="F4" s="13" t="inlineStr">
        <is>
          <t>Days Since Last Test</t>
        </is>
      </c>
      <c r="G4" s="13" t="inlineStr">
        <is>
          <t>Compliance Status</t>
        </is>
      </c>
      <c r="H4" s="13" t="inlineStr">
        <is>
          <t>Next Test Due</t>
        </is>
      </c>
    </row>
    <row r="5">
      <c r="A5" s="16" t="n"/>
      <c r="B5" s="16" t="n"/>
      <c r="C5" s="16" t="n"/>
      <c r="D5" s="16" t="n"/>
      <c r="E5" s="17" t="n"/>
      <c r="F5" s="28">
        <f>IF(E5="","",TODAY()-E5)</f>
        <v/>
      </c>
      <c r="G5" s="28">
        <f>IF(A5="","",IF(E5="","❓ Unknown",IF(D5="Quarterly",IF(F5&lt;=90,"✅ Compliant",IF(F5&lt;=105,"⚠ Overdue","❌ Non-Compliant")),IF(D5="Semi-Annual",IF(F5&lt;=180,"✅ Compliant",IF(F5&lt;=200,"⚠ Overdue","❌ Non-Compliant")),IF(D5="Annual",IF(F5&lt;=365,"✅ Compliant",IF(F5&lt;=400,"⚠ Overdue","❌ Non-Compliant")),"✅ Compliant")))))</f>
        <v/>
      </c>
      <c r="H5" s="29">
        <f>IF(E5="","",IF(D5="Quarterly",E5+90,IF(D5="Semi-Annual",E5+180,IF(D5="Annual",E5+365,E5))))</f>
        <v/>
      </c>
    </row>
    <row r="6">
      <c r="A6" s="16" t="n"/>
      <c r="B6" s="16" t="n"/>
      <c r="C6" s="16" t="n"/>
      <c r="D6" s="16" t="n"/>
      <c r="E6" s="17" t="n"/>
      <c r="F6" s="28">
        <f>IF(E6="","",TODAY()-E6)</f>
        <v/>
      </c>
      <c r="G6" s="28">
        <f>IF(A6="","",IF(E6="","❓ Unknown",IF(D6="Quarterly",IF(F6&lt;=90,"✅ Compliant",IF(F6&lt;=105,"⚠ Overdue","❌ Non-Compliant")),IF(D6="Semi-Annual",IF(F6&lt;=180,"✅ Compliant",IF(F6&lt;=200,"⚠ Overdue","❌ Non-Compliant")),IF(D6="Annual",IF(F6&lt;=365,"✅ Compliant",IF(F6&lt;=400,"⚠ Overdue","❌ Non-Compliant")),"✅ Compliant")))))</f>
        <v/>
      </c>
      <c r="H6" s="29">
        <f>IF(E6="","",IF(D6="Quarterly",E6+90,IF(D6="Semi-Annual",E6+180,IF(D6="Annual",E6+365,E6))))</f>
        <v/>
      </c>
    </row>
    <row r="7">
      <c r="A7" s="16" t="n"/>
      <c r="B7" s="16" t="n"/>
      <c r="C7" s="16" t="n"/>
      <c r="D7" s="16" t="n"/>
      <c r="E7" s="17" t="n"/>
      <c r="F7" s="28">
        <f>IF(E7="","",TODAY()-E7)</f>
        <v/>
      </c>
      <c r="G7" s="28">
        <f>IF(A7="","",IF(E7="","❓ Unknown",IF(D7="Quarterly",IF(F7&lt;=90,"✅ Compliant",IF(F7&lt;=105,"⚠ Overdue","❌ Non-Compliant")),IF(D7="Semi-Annual",IF(F7&lt;=180,"✅ Compliant",IF(F7&lt;=200,"⚠ Overdue","❌ Non-Compliant")),IF(D7="Annual",IF(F7&lt;=365,"✅ Compliant",IF(F7&lt;=400,"⚠ Overdue","❌ Non-Compliant")),"✅ Compliant")))))</f>
        <v/>
      </c>
      <c r="H7" s="29">
        <f>IF(E7="","",IF(D7="Quarterly",E7+90,IF(D7="Semi-Annual",E7+180,IF(D7="Annual",E7+365,E7))))</f>
        <v/>
      </c>
    </row>
    <row r="8">
      <c r="A8" s="16" t="n"/>
      <c r="B8" s="16" t="n"/>
      <c r="C8" s="16" t="n"/>
      <c r="D8" s="16" t="n"/>
      <c r="E8" s="17" t="n"/>
      <c r="F8" s="28">
        <f>IF(E8="","",TODAY()-E8)</f>
        <v/>
      </c>
      <c r="G8" s="28">
        <f>IF(A8="","",IF(E8="","❓ Unknown",IF(D8="Quarterly",IF(F8&lt;=90,"✅ Compliant",IF(F8&lt;=105,"⚠ Overdue","❌ Non-Compliant")),IF(D8="Semi-Annual",IF(F8&lt;=180,"✅ Compliant",IF(F8&lt;=200,"⚠ Overdue","❌ Non-Compliant")),IF(D8="Annual",IF(F8&lt;=365,"✅ Compliant",IF(F8&lt;=400,"⚠ Overdue","❌ Non-Compliant")),"✅ Compliant")))))</f>
        <v/>
      </c>
      <c r="H8" s="29">
        <f>IF(E8="","",IF(D8="Quarterly",E8+90,IF(D8="Semi-Annual",E8+180,IF(D8="Annual",E8+365,E8))))</f>
        <v/>
      </c>
    </row>
    <row r="9">
      <c r="A9" s="16" t="n"/>
      <c r="B9" s="16" t="n"/>
      <c r="C9" s="16" t="n"/>
      <c r="D9" s="16" t="n"/>
      <c r="E9" s="17" t="n"/>
      <c r="F9" s="28">
        <f>IF(E9="","",TODAY()-E9)</f>
        <v/>
      </c>
      <c r="G9" s="28">
        <f>IF(A9="","",IF(E9="","❓ Unknown",IF(D9="Quarterly",IF(F9&lt;=90,"✅ Compliant",IF(F9&lt;=105,"⚠ Overdue","❌ Non-Compliant")),IF(D9="Semi-Annual",IF(F9&lt;=180,"✅ Compliant",IF(F9&lt;=200,"⚠ Overdue","❌ Non-Compliant")),IF(D9="Annual",IF(F9&lt;=365,"✅ Compliant",IF(F9&lt;=400,"⚠ Overdue","❌ Non-Compliant")),"✅ Compliant")))))</f>
        <v/>
      </c>
      <c r="H9" s="29">
        <f>IF(E9="","",IF(D9="Quarterly",E9+90,IF(D9="Semi-Annual",E9+180,IF(D9="Annual",E9+365,E9))))</f>
        <v/>
      </c>
    </row>
    <row r="10">
      <c r="A10" s="16" t="n"/>
      <c r="B10" s="16" t="n"/>
      <c r="C10" s="16" t="n"/>
      <c r="D10" s="16" t="n"/>
      <c r="E10" s="17" t="n"/>
      <c r="F10" s="28">
        <f>IF(E10="","",TODAY()-E10)</f>
        <v/>
      </c>
      <c r="G10" s="28">
        <f>IF(A10="","",IF(E10="","❓ Unknown",IF(D10="Quarterly",IF(F10&lt;=90,"✅ Compliant",IF(F10&lt;=105,"⚠ Overdue","❌ Non-Compliant")),IF(D10="Semi-Annual",IF(F10&lt;=180,"✅ Compliant",IF(F10&lt;=200,"⚠ Overdue","❌ Non-Compliant")),IF(D10="Annual",IF(F10&lt;=365,"✅ Compliant",IF(F10&lt;=400,"⚠ Overdue","❌ Non-Compliant")),"✅ Compliant")))))</f>
        <v/>
      </c>
      <c r="H10" s="29">
        <f>IF(E10="","",IF(D10="Quarterly",E10+90,IF(D10="Semi-Annual",E10+180,IF(D10="Annual",E10+365,E10))))</f>
        <v/>
      </c>
    </row>
    <row r="11">
      <c r="A11" s="16" t="n"/>
      <c r="B11" s="16" t="n"/>
      <c r="C11" s="16" t="n"/>
      <c r="D11" s="16" t="n"/>
      <c r="E11" s="17" t="n"/>
      <c r="F11" s="28">
        <f>IF(E11="","",TODAY()-E11)</f>
        <v/>
      </c>
      <c r="G11" s="28">
        <f>IF(A11="","",IF(E11="","❓ Unknown",IF(D11="Quarterly",IF(F11&lt;=90,"✅ Compliant",IF(F11&lt;=105,"⚠ Overdue","❌ Non-Compliant")),IF(D11="Semi-Annual",IF(F11&lt;=180,"✅ Compliant",IF(F11&lt;=200,"⚠ Overdue","❌ Non-Compliant")),IF(D11="Annual",IF(F11&lt;=365,"✅ Compliant",IF(F11&lt;=400,"⚠ Overdue","❌ Non-Compliant")),"✅ Compliant")))))</f>
        <v/>
      </c>
      <c r="H11" s="29">
        <f>IF(E11="","",IF(D11="Quarterly",E11+90,IF(D11="Semi-Annual",E11+180,IF(D11="Annual",E11+365,E11))))</f>
        <v/>
      </c>
    </row>
    <row r="12">
      <c r="A12" s="16" t="n"/>
      <c r="B12" s="16" t="n"/>
      <c r="C12" s="16" t="n"/>
      <c r="D12" s="16" t="n"/>
      <c r="E12" s="17" t="n"/>
      <c r="F12" s="28">
        <f>IF(E12="","",TODAY()-E12)</f>
        <v/>
      </c>
      <c r="G12" s="28">
        <f>IF(A12="","",IF(E12="","❓ Unknown",IF(D12="Quarterly",IF(F12&lt;=90,"✅ Compliant",IF(F12&lt;=105,"⚠ Overdue","❌ Non-Compliant")),IF(D12="Semi-Annual",IF(F12&lt;=180,"✅ Compliant",IF(F12&lt;=200,"⚠ Overdue","❌ Non-Compliant")),IF(D12="Annual",IF(F12&lt;=365,"✅ Compliant",IF(F12&lt;=400,"⚠ Overdue","❌ Non-Compliant")),"✅ Compliant")))))</f>
        <v/>
      </c>
      <c r="H12" s="29">
        <f>IF(E12="","",IF(D12="Quarterly",E12+90,IF(D12="Semi-Annual",E12+180,IF(D12="Annual",E12+365,E12))))</f>
        <v/>
      </c>
    </row>
    <row r="13">
      <c r="A13" s="16" t="n"/>
      <c r="B13" s="16" t="n"/>
      <c r="C13" s="16" t="n"/>
      <c r="D13" s="16" t="n"/>
      <c r="E13" s="17" t="n"/>
      <c r="F13" s="28">
        <f>IF(E13="","",TODAY()-E13)</f>
        <v/>
      </c>
      <c r="G13" s="28">
        <f>IF(A13="","",IF(E13="","❓ Unknown",IF(D13="Quarterly",IF(F13&lt;=90,"✅ Compliant",IF(F13&lt;=105,"⚠ Overdue","❌ Non-Compliant")),IF(D13="Semi-Annual",IF(F13&lt;=180,"✅ Compliant",IF(F13&lt;=200,"⚠ Overdue","❌ Non-Compliant")),IF(D13="Annual",IF(F13&lt;=365,"✅ Compliant",IF(F13&lt;=400,"⚠ Overdue","❌ Non-Compliant")),"✅ Compliant")))))</f>
        <v/>
      </c>
      <c r="H13" s="29">
        <f>IF(E13="","",IF(D13="Quarterly",E13+90,IF(D13="Semi-Annual",E13+180,IF(D13="Annual",E13+365,E13))))</f>
        <v/>
      </c>
    </row>
    <row r="14">
      <c r="A14" s="16" t="n"/>
      <c r="B14" s="16" t="n"/>
      <c r="C14" s="16" t="n"/>
      <c r="D14" s="16" t="n"/>
      <c r="E14" s="17" t="n"/>
      <c r="F14" s="28">
        <f>IF(E14="","",TODAY()-E14)</f>
        <v/>
      </c>
      <c r="G14" s="28">
        <f>IF(A14="","",IF(E14="","❓ Unknown",IF(D14="Quarterly",IF(F14&lt;=90,"✅ Compliant",IF(F14&lt;=105,"⚠ Overdue","❌ Non-Compliant")),IF(D14="Semi-Annual",IF(F14&lt;=180,"✅ Compliant",IF(F14&lt;=200,"⚠ Overdue","❌ Non-Compliant")),IF(D14="Annual",IF(F14&lt;=365,"✅ Compliant",IF(F14&lt;=400,"⚠ Overdue","❌ Non-Compliant")),"✅ Compliant")))))</f>
        <v/>
      </c>
      <c r="H14" s="29">
        <f>IF(E14="","",IF(D14="Quarterly",E14+90,IF(D14="Semi-Annual",E14+180,IF(D14="Annual",E14+365,E14))))</f>
        <v/>
      </c>
    </row>
    <row r="15">
      <c r="A15" s="20" t="inlineStr">
        <is>
          <t>Example: Application Server</t>
        </is>
      </c>
      <c r="B15" s="20" t="inlineStr">
        <is>
          <t>Failover Test</t>
        </is>
      </c>
      <c r="C15" s="20" t="inlineStr">
        <is>
          <t>Tier 1 - Critical</t>
        </is>
      </c>
      <c r="D15" s="20" t="inlineStr">
        <is>
          <t>Annual</t>
        </is>
      </c>
      <c r="E15" s="21" t="inlineStr"/>
      <c r="F15" s="30">
        <f>IF(E15="","",TODAY()-E15)</f>
        <v/>
      </c>
      <c r="G15" s="30">
        <f>IF(A15="","",IF(E15="","❓ Unknown",IF(D15="Quarterly",IF(F15&lt;=90,"✅ Compliant",IF(F15&lt;=105,"⚠ Overdue","❌ Non-Compliant")),IF(D15="Semi-Annual",IF(F15&lt;=180,"✅ Compliant",IF(F15&lt;=200,"⚠ Overdue","❌ Non-Compliant")),IF(D15="Annual",IF(F15&lt;=365,"✅ Compliant",IF(F15&lt;=400,"⚠ Overdue","❌ Non-Compliant")),"✅ Compliant")))))</f>
        <v/>
      </c>
      <c r="H15" s="31">
        <f>IF(E15="","",IF(D15="Quarterly",E15+90,IF(D15="Semi-Annual",E15+180,IF(D15="Annual",E15+365,E15))))</f>
        <v/>
      </c>
    </row>
    <row r="16">
      <c r="A16" s="22" t="n"/>
      <c r="B16" s="16" t="n"/>
      <c r="C16" s="16" t="n"/>
      <c r="D16" s="16" t="n"/>
      <c r="E16" s="24" t="n"/>
      <c r="F16" s="28">
        <f>IF(E16="","",TODAY()-E16)</f>
        <v/>
      </c>
      <c r="G16" s="28">
        <f>IF(A16="","",IF(E16="","❓ Unknown",IF(D16="Quarterly",IF(F16&lt;=90,"✅ Compliant",IF(F16&lt;=105,"⚠ Overdue","❌ Non-Compliant")),IF(D16="Semi-Annual",IF(F16&lt;=180,"✅ Compliant",IF(F16&lt;=200,"⚠ Overdue","❌ Non-Compliant")),IF(D16="Annual",IF(F16&lt;=365,"✅ Compliant",IF(F16&lt;=400,"⚠ Overdue","❌ Non-Compliant")),"✅ Compliant")))))</f>
        <v/>
      </c>
      <c r="H16" s="29">
        <f>IF(E16="","",IF(D16="Quarterly",E16+90,IF(D16="Semi-Annual",E16+180,IF(D16="Annual",E16+365,E16))))</f>
        <v/>
      </c>
    </row>
    <row r="17">
      <c r="A17" s="22" t="n"/>
      <c r="B17" s="16" t="n"/>
      <c r="C17" s="16" t="n"/>
      <c r="D17" s="16" t="n"/>
      <c r="E17" s="24" t="n"/>
      <c r="F17" s="28">
        <f>IF(E17="","",TODAY()-E17)</f>
        <v/>
      </c>
      <c r="G17" s="28">
        <f>IF(A17="","",IF(E17="","❓ Unknown",IF(D17="Quarterly",IF(F17&lt;=90,"✅ Compliant",IF(F17&lt;=105,"⚠ Overdue","❌ Non-Compliant")),IF(D17="Semi-Annual",IF(F17&lt;=180,"✅ Compliant",IF(F17&lt;=200,"⚠ Overdue","❌ Non-Compliant")),IF(D17="Annual",IF(F17&lt;=365,"✅ Compliant",IF(F17&lt;=400,"⚠ Overdue","❌ Non-Compliant")),"✅ Compliant")))))</f>
        <v/>
      </c>
      <c r="H17" s="29">
        <f>IF(E17="","",IF(D17="Quarterly",E17+90,IF(D17="Semi-Annual",E17+180,IF(D17="Annual",E17+365,E17))))</f>
        <v/>
      </c>
    </row>
    <row r="18">
      <c r="A18" s="22" t="n"/>
      <c r="B18" s="16" t="n"/>
      <c r="C18" s="16" t="n"/>
      <c r="D18" s="16" t="n"/>
      <c r="E18" s="24" t="n"/>
      <c r="F18" s="28">
        <f>IF(E18="","",TODAY()-E18)</f>
        <v/>
      </c>
      <c r="G18" s="28">
        <f>IF(A18="","",IF(E18="","❓ Unknown",IF(D18="Quarterly",IF(F18&lt;=90,"✅ Compliant",IF(F18&lt;=105,"⚠ Overdue","❌ Non-Compliant")),IF(D18="Semi-Annual",IF(F18&lt;=180,"✅ Compliant",IF(F18&lt;=200,"⚠ Overdue","❌ Non-Compliant")),IF(D18="Annual",IF(F18&lt;=365,"✅ Compliant",IF(F18&lt;=400,"⚠ Overdue","❌ Non-Compliant")),"✅ Compliant")))))</f>
        <v/>
      </c>
      <c r="H18" s="29">
        <f>IF(E18="","",IF(D18="Quarterly",E18+90,IF(D18="Semi-Annual",E18+180,IF(D18="Annual",E18+365,E18))))</f>
        <v/>
      </c>
    </row>
    <row r="19">
      <c r="A19" s="22" t="n"/>
      <c r="B19" s="16" t="n"/>
      <c r="C19" s="16" t="n"/>
      <c r="D19" s="16" t="n"/>
      <c r="E19" s="24" t="n"/>
      <c r="F19" s="28">
        <f>IF(E19="","",TODAY()-E19)</f>
        <v/>
      </c>
      <c r="G19" s="28">
        <f>IF(A19="","",IF(E19="","❓ Unknown",IF(D19="Quarterly",IF(F19&lt;=90,"✅ Compliant",IF(F19&lt;=105,"⚠ Overdue","❌ Non-Compliant")),IF(D19="Semi-Annual",IF(F19&lt;=180,"✅ Compliant",IF(F19&lt;=200,"⚠ Overdue","❌ Non-Compliant")),IF(D19="Annual",IF(F19&lt;=365,"✅ Compliant",IF(F19&lt;=400,"⚠ Overdue","❌ Non-Compliant")),"✅ Compliant")))))</f>
        <v/>
      </c>
      <c r="H19" s="29">
        <f>IF(E19="","",IF(D19="Quarterly",E19+90,IF(D19="Semi-Annual",E19+180,IF(D19="Annual",E19+365,E19))))</f>
        <v/>
      </c>
    </row>
    <row r="20">
      <c r="A20" s="22" t="n"/>
      <c r="B20" s="16" t="n"/>
      <c r="C20" s="16" t="n"/>
      <c r="D20" s="16" t="n"/>
      <c r="E20" s="24" t="n"/>
      <c r="F20" s="28">
        <f>IF(E20="","",TODAY()-E20)</f>
        <v/>
      </c>
      <c r="G20" s="28">
        <f>IF(A20="","",IF(E20="","❓ Unknown",IF(D20="Quarterly",IF(F20&lt;=90,"✅ Compliant",IF(F20&lt;=105,"⚠ Overdue","❌ Non-Compliant")),IF(D20="Semi-Annual",IF(F20&lt;=180,"✅ Compliant",IF(F20&lt;=200,"⚠ Overdue","❌ Non-Compliant")),IF(D20="Annual",IF(F20&lt;=365,"✅ Compliant",IF(F20&lt;=400,"⚠ Overdue","❌ Non-Compliant")),"✅ Compliant")))))</f>
        <v/>
      </c>
      <c r="H20" s="29">
        <f>IF(E20="","",IF(D20="Quarterly",E20+90,IF(D20="Semi-Annual",E20+180,IF(D20="Annual",E20+365,E20))))</f>
        <v/>
      </c>
    </row>
    <row r="21">
      <c r="A21" s="22" t="n"/>
      <c r="B21" s="16" t="n"/>
      <c r="C21" s="16" t="n"/>
      <c r="D21" s="16" t="n"/>
      <c r="E21" s="24" t="n"/>
      <c r="F21" s="28">
        <f>IF(E21="","",TODAY()-E21)</f>
        <v/>
      </c>
      <c r="G21" s="28">
        <f>IF(A21="","",IF(E21="","❓ Unknown",IF(D21="Quarterly",IF(F21&lt;=90,"✅ Compliant",IF(F21&lt;=105,"⚠ Overdue","❌ Non-Compliant")),IF(D21="Semi-Annual",IF(F21&lt;=180,"✅ Compliant",IF(F21&lt;=200,"⚠ Overdue","❌ Non-Compliant")),IF(D21="Annual",IF(F21&lt;=365,"✅ Compliant",IF(F21&lt;=400,"⚠ Overdue","❌ Non-Compliant")),"✅ Compliant")))))</f>
        <v/>
      </c>
      <c r="H21" s="29">
        <f>IF(E21="","",IF(D21="Quarterly",E21+90,IF(D21="Semi-Annual",E21+180,IF(D21="Annual",E21+365,E21))))</f>
        <v/>
      </c>
    </row>
    <row r="22">
      <c r="A22" s="22" t="n"/>
      <c r="B22" s="16" t="n"/>
      <c r="C22" s="16" t="n"/>
      <c r="D22" s="16" t="n"/>
      <c r="E22" s="24" t="n"/>
      <c r="F22" s="28">
        <f>IF(E22="","",TODAY()-E22)</f>
        <v/>
      </c>
      <c r="G22" s="28">
        <f>IF(A22="","",IF(E22="","❓ Unknown",IF(D22="Quarterly",IF(F22&lt;=90,"✅ Compliant",IF(F22&lt;=105,"⚠ Overdue","❌ Non-Compliant")),IF(D22="Semi-Annual",IF(F22&lt;=180,"✅ Compliant",IF(F22&lt;=200,"⚠ Overdue","❌ Non-Compliant")),IF(D22="Annual",IF(F22&lt;=365,"✅ Compliant",IF(F22&lt;=400,"⚠ Overdue","❌ Non-Compliant")),"✅ Compliant")))))</f>
        <v/>
      </c>
      <c r="H22" s="29">
        <f>IF(E22="","",IF(D22="Quarterly",E22+90,IF(D22="Semi-Annual",E22+180,IF(D22="Annual",E22+365,E22))))</f>
        <v/>
      </c>
    </row>
    <row r="23">
      <c r="A23" s="22" t="n"/>
      <c r="B23" s="16" t="n"/>
      <c r="C23" s="16" t="n"/>
      <c r="D23" s="16" t="n"/>
      <c r="E23" s="24" t="n"/>
      <c r="F23" s="28">
        <f>IF(E23="","",TODAY()-E23)</f>
        <v/>
      </c>
      <c r="G23" s="28">
        <f>IF(A23="","",IF(E23="","❓ Unknown",IF(D23="Quarterly",IF(F23&lt;=90,"✅ Compliant",IF(F23&lt;=105,"⚠ Overdue","❌ Non-Compliant")),IF(D23="Semi-Annual",IF(F23&lt;=180,"✅ Compliant",IF(F23&lt;=200,"⚠ Overdue","❌ Non-Compliant")),IF(D23="Annual",IF(F23&lt;=365,"✅ Compliant",IF(F23&lt;=400,"⚠ Overdue","❌ Non-Compliant")),"✅ Compliant")))))</f>
        <v/>
      </c>
      <c r="H23" s="29">
        <f>IF(E23="","",IF(D23="Quarterly",E23+90,IF(D23="Semi-Annual",E23+180,IF(D23="Annual",E23+365,E23))))</f>
        <v/>
      </c>
    </row>
    <row r="24">
      <c r="A24" s="22" t="n"/>
      <c r="B24" s="16" t="n"/>
      <c r="C24" s="16" t="n"/>
      <c r="D24" s="16" t="n"/>
      <c r="E24" s="24" t="n"/>
      <c r="F24" s="28">
        <f>IF(E24="","",TODAY()-E24)</f>
        <v/>
      </c>
      <c r="G24" s="28">
        <f>IF(A24="","",IF(E24="","❓ Unknown",IF(D24="Quarterly",IF(F24&lt;=90,"✅ Compliant",IF(F24&lt;=105,"⚠ Overdue","❌ Non-Compliant")),IF(D24="Semi-Annual",IF(F24&lt;=180,"✅ Compliant",IF(F24&lt;=200,"⚠ Overdue","❌ Non-Compliant")),IF(D24="Annual",IF(F24&lt;=365,"✅ Compliant",IF(F24&lt;=400,"⚠ Overdue","❌ Non-Compliant")),"✅ Compliant")))))</f>
        <v/>
      </c>
      <c r="H24" s="29">
        <f>IF(E24="","",IF(D24="Quarterly",E24+90,IF(D24="Semi-Annual",E24+180,IF(D24="Annual",E24+365,E24))))</f>
        <v/>
      </c>
    </row>
    <row r="25">
      <c r="A25" s="22" t="n"/>
      <c r="B25" s="16" t="n"/>
      <c r="C25" s="16" t="n"/>
      <c r="D25" s="16" t="n"/>
      <c r="E25" s="24" t="n"/>
      <c r="F25" s="28">
        <f>IF(E25="","",TODAY()-E25)</f>
        <v/>
      </c>
      <c r="G25" s="28">
        <f>IF(A25="","",IF(E25="","❓ Unknown",IF(D25="Quarterly",IF(F25&lt;=90,"✅ Compliant",IF(F25&lt;=105,"⚠ Overdue","❌ Non-Compliant")),IF(D25="Semi-Annual",IF(F25&lt;=180,"✅ Compliant",IF(F25&lt;=200,"⚠ Overdue","❌ Non-Compliant")),IF(D25="Annual",IF(F25&lt;=365,"✅ Compliant",IF(F25&lt;=400,"⚠ Overdue","❌ Non-Compliant")),"✅ Compliant")))))</f>
        <v/>
      </c>
      <c r="H25" s="29">
        <f>IF(E25="","",IF(D25="Quarterly",E25+90,IF(D25="Semi-Annual",E25+180,IF(D25="Annual",E25+365,E25))))</f>
        <v/>
      </c>
    </row>
    <row r="26">
      <c r="A26" s="22" t="n"/>
      <c r="B26" s="16" t="n"/>
      <c r="C26" s="16" t="n"/>
      <c r="D26" s="16" t="n"/>
      <c r="E26" s="24" t="n"/>
      <c r="F26" s="28">
        <f>IF(E26="","",TODAY()-E26)</f>
        <v/>
      </c>
      <c r="G26" s="28">
        <f>IF(A26="","",IF(E26="","❓ Unknown",IF(D26="Quarterly",IF(F26&lt;=90,"✅ Compliant",IF(F26&lt;=105,"⚠ Overdue","❌ Non-Compliant")),IF(D26="Semi-Annual",IF(F26&lt;=180,"✅ Compliant",IF(F26&lt;=200,"⚠ Overdue","❌ Non-Compliant")),IF(D26="Annual",IF(F26&lt;=365,"✅ Compliant",IF(F26&lt;=400,"⚠ Overdue","❌ Non-Compliant")),"✅ Compliant")))))</f>
        <v/>
      </c>
      <c r="H26" s="29">
        <f>IF(E26="","",IF(D26="Quarterly",E26+90,IF(D26="Semi-Annual",E26+180,IF(D26="Annual",E26+365,E26))))</f>
        <v/>
      </c>
    </row>
    <row r="27">
      <c r="A27" s="22" t="n"/>
      <c r="B27" s="16" t="n"/>
      <c r="C27" s="16" t="n"/>
      <c r="D27" s="16" t="n"/>
      <c r="E27" s="24" t="n"/>
      <c r="F27" s="28">
        <f>IF(E27="","",TODAY()-E27)</f>
        <v/>
      </c>
      <c r="G27" s="28">
        <f>IF(A27="","",IF(E27="","❓ Unknown",IF(D27="Quarterly",IF(F27&lt;=90,"✅ Compliant",IF(F27&lt;=105,"⚠ Overdue","❌ Non-Compliant")),IF(D27="Semi-Annual",IF(F27&lt;=180,"✅ Compliant",IF(F27&lt;=200,"⚠ Overdue","❌ Non-Compliant")),IF(D27="Annual",IF(F27&lt;=365,"✅ Compliant",IF(F27&lt;=400,"⚠ Overdue","❌ Non-Compliant")),"✅ Compliant")))))</f>
        <v/>
      </c>
      <c r="H27" s="29">
        <f>IF(E27="","",IF(D27="Quarterly",E27+90,IF(D27="Semi-Annual",E27+180,IF(D27="Annual",E27+365,E27))))</f>
        <v/>
      </c>
    </row>
    <row r="28">
      <c r="A28" s="22" t="n"/>
      <c r="B28" s="16" t="n"/>
      <c r="C28" s="16" t="n"/>
      <c r="D28" s="16" t="n"/>
      <c r="E28" s="24" t="n"/>
      <c r="F28" s="28">
        <f>IF(E28="","",TODAY()-E28)</f>
        <v/>
      </c>
      <c r="G28" s="28">
        <f>IF(A28="","",IF(E28="","❓ Unknown",IF(D28="Quarterly",IF(F28&lt;=90,"✅ Compliant",IF(F28&lt;=105,"⚠ Overdue","❌ Non-Compliant")),IF(D28="Semi-Annual",IF(F28&lt;=180,"✅ Compliant",IF(F28&lt;=200,"⚠ Overdue","❌ Non-Compliant")),IF(D28="Annual",IF(F28&lt;=365,"✅ Compliant",IF(F28&lt;=400,"⚠ Overdue","❌ Non-Compliant")),"✅ Compliant")))))</f>
        <v/>
      </c>
      <c r="H28" s="29">
        <f>IF(E28="","",IF(D28="Quarterly",E28+90,IF(D28="Semi-Annual",E28+180,IF(D28="Annual",E28+365,E28))))</f>
        <v/>
      </c>
    </row>
    <row r="29">
      <c r="A29" s="22" t="n"/>
      <c r="B29" s="16" t="n"/>
      <c r="C29" s="16" t="n"/>
      <c r="D29" s="16" t="n"/>
      <c r="E29" s="24" t="n"/>
      <c r="F29" s="28">
        <f>IF(E29="","",TODAY()-E29)</f>
        <v/>
      </c>
      <c r="G29" s="28">
        <f>IF(A29="","",IF(E29="","❓ Unknown",IF(D29="Quarterly",IF(F29&lt;=90,"✅ Compliant",IF(F29&lt;=105,"⚠ Overdue","❌ Non-Compliant")),IF(D29="Semi-Annual",IF(F29&lt;=180,"✅ Compliant",IF(F29&lt;=200,"⚠ Overdue","❌ Non-Compliant")),IF(D29="Annual",IF(F29&lt;=365,"✅ Compliant",IF(F29&lt;=400,"⚠ Overdue","❌ Non-Compliant")),"✅ Compliant")))))</f>
        <v/>
      </c>
      <c r="H29" s="29">
        <f>IF(E29="","",IF(D29="Quarterly",E29+90,IF(D29="Semi-Annual",E29+180,IF(D29="Annual",E29+365,E29))))</f>
        <v/>
      </c>
    </row>
    <row r="30">
      <c r="A30" s="22" t="n"/>
      <c r="B30" s="16" t="n"/>
      <c r="C30" s="16" t="n"/>
      <c r="D30" s="16" t="n"/>
      <c r="E30" s="24" t="n"/>
      <c r="F30" s="28">
        <f>IF(E30="","",TODAY()-E30)</f>
        <v/>
      </c>
      <c r="G30" s="28">
        <f>IF(A30="","",IF(E30="","❓ Unknown",IF(D30="Quarterly",IF(F30&lt;=90,"✅ Compliant",IF(F30&lt;=105,"⚠ Overdue","❌ Non-Compliant")),IF(D30="Semi-Annual",IF(F30&lt;=180,"✅ Compliant",IF(F30&lt;=200,"⚠ Overdue","❌ Non-Compliant")),IF(D30="Annual",IF(F30&lt;=365,"✅ Compliant",IF(F30&lt;=400,"⚠ Overdue","❌ Non-Compliant")),"✅ Compliant")))))</f>
        <v/>
      </c>
      <c r="H30" s="29">
        <f>IF(E30="","",IF(D30="Quarterly",E30+90,IF(D30="Semi-Annual",E30+180,IF(D30="Annual",E30+365,E30))))</f>
        <v/>
      </c>
    </row>
    <row r="31">
      <c r="A31" s="22" t="n"/>
      <c r="B31" s="16" t="n"/>
      <c r="C31" s="16" t="n"/>
      <c r="D31" s="16" t="n"/>
      <c r="E31" s="24" t="n"/>
      <c r="F31" s="28">
        <f>IF(E31="","",TODAY()-E31)</f>
        <v/>
      </c>
      <c r="G31" s="28">
        <f>IF(A31="","",IF(E31="","❓ Unknown",IF(D31="Quarterly",IF(F31&lt;=90,"✅ Compliant",IF(F31&lt;=105,"⚠ Overdue","❌ Non-Compliant")),IF(D31="Semi-Annual",IF(F31&lt;=180,"✅ Compliant",IF(F31&lt;=200,"⚠ Overdue","❌ Non-Compliant")),IF(D31="Annual",IF(F31&lt;=365,"✅ Compliant",IF(F31&lt;=400,"⚠ Overdue","❌ Non-Compliant")),"✅ Compliant")))))</f>
        <v/>
      </c>
      <c r="H31" s="29">
        <f>IF(E31="","",IF(D31="Quarterly",E31+90,IF(D31="Semi-Annual",E31+180,IF(D31="Annual",E31+365,E31))))</f>
        <v/>
      </c>
    </row>
    <row r="32">
      <c r="A32" s="22" t="n"/>
      <c r="B32" s="16" t="n"/>
      <c r="C32" s="16" t="n"/>
      <c r="D32" s="16" t="n"/>
      <c r="E32" s="24" t="n"/>
      <c r="F32" s="28">
        <f>IF(E32="","",TODAY()-E32)</f>
        <v/>
      </c>
      <c r="G32" s="28">
        <f>IF(A32="","",IF(E32="","❓ Unknown",IF(D32="Quarterly",IF(F32&lt;=90,"✅ Compliant",IF(F32&lt;=105,"⚠ Overdue","❌ Non-Compliant")),IF(D32="Semi-Annual",IF(F32&lt;=180,"✅ Compliant",IF(F32&lt;=200,"⚠ Overdue","❌ Non-Compliant")),IF(D32="Annual",IF(F32&lt;=365,"✅ Compliant",IF(F32&lt;=400,"⚠ Overdue","❌ Non-Compliant")),"✅ Compliant")))))</f>
        <v/>
      </c>
      <c r="H32" s="29">
        <f>IF(E32="","",IF(D32="Quarterly",E32+90,IF(D32="Semi-Annual",E32+180,IF(D32="Annual",E32+365,E32))))</f>
        <v/>
      </c>
    </row>
    <row r="33">
      <c r="A33" s="22" t="n"/>
      <c r="B33" s="16" t="n"/>
      <c r="C33" s="16" t="n"/>
      <c r="D33" s="16" t="n"/>
      <c r="E33" s="24" t="n"/>
      <c r="F33" s="28">
        <f>IF(E33="","",TODAY()-E33)</f>
        <v/>
      </c>
      <c r="G33" s="28">
        <f>IF(A33="","",IF(E33="","❓ Unknown",IF(D33="Quarterly",IF(F33&lt;=90,"✅ Compliant",IF(F33&lt;=105,"⚠ Overdue","❌ Non-Compliant")),IF(D33="Semi-Annual",IF(F33&lt;=180,"✅ Compliant",IF(F33&lt;=200,"⚠ Overdue","❌ Non-Compliant")),IF(D33="Annual",IF(F33&lt;=365,"✅ Compliant",IF(F33&lt;=400,"⚠ Overdue","❌ Non-Compliant")),"✅ Compliant")))))</f>
        <v/>
      </c>
      <c r="H33" s="29">
        <f>IF(E33="","",IF(D33="Quarterly",E33+90,IF(D33="Semi-Annual",E33+180,IF(D33="Annual",E33+365,E33))))</f>
        <v/>
      </c>
    </row>
    <row r="34">
      <c r="A34" s="22" t="n"/>
      <c r="B34" s="16" t="n"/>
      <c r="C34" s="16" t="n"/>
      <c r="D34" s="16" t="n"/>
      <c r="E34" s="24" t="n"/>
      <c r="F34" s="28">
        <f>IF(E34="","",TODAY()-E34)</f>
        <v/>
      </c>
      <c r="G34" s="28">
        <f>IF(A34="","",IF(E34="","❓ Unknown",IF(D34="Quarterly",IF(F34&lt;=90,"✅ Compliant",IF(F34&lt;=105,"⚠ Overdue","❌ Non-Compliant")),IF(D34="Semi-Annual",IF(F34&lt;=180,"✅ Compliant",IF(F34&lt;=200,"⚠ Overdue","❌ Non-Compliant")),IF(D34="Annual",IF(F34&lt;=365,"✅ Compliant",IF(F34&lt;=400,"⚠ Overdue","❌ Non-Compliant")),"✅ Compliant")))))</f>
        <v/>
      </c>
      <c r="H34" s="29">
        <f>IF(E34="","",IF(D34="Quarterly",E34+90,IF(D34="Semi-Annual",E34+180,IF(D34="Annual",E34+365,E34))))</f>
        <v/>
      </c>
    </row>
    <row r="35">
      <c r="A35" s="22" t="n"/>
      <c r="B35" s="16" t="n"/>
      <c r="C35" s="16" t="n"/>
      <c r="D35" s="16" t="n"/>
      <c r="E35" s="24" t="n"/>
      <c r="F35" s="28">
        <f>IF(E35="","",TODAY()-E35)</f>
        <v/>
      </c>
      <c r="G35" s="28">
        <f>IF(A35="","",IF(E35="","❓ Unknown",IF(D35="Quarterly",IF(F35&lt;=90,"✅ Compliant",IF(F35&lt;=105,"⚠ Overdue","❌ Non-Compliant")),IF(D35="Semi-Annual",IF(F35&lt;=180,"✅ Compliant",IF(F35&lt;=200,"⚠ Overdue","❌ Non-Compliant")),IF(D35="Annual",IF(F35&lt;=365,"✅ Compliant",IF(F35&lt;=400,"⚠ Overdue","❌ Non-Compliant")),"✅ Compliant")))))</f>
        <v/>
      </c>
      <c r="H35" s="29">
        <f>IF(E35="","",IF(D35="Quarterly",E35+90,IF(D35="Semi-Annual",E35+180,IF(D35="Annual",E35+365,E35))))</f>
        <v/>
      </c>
    </row>
    <row r="36">
      <c r="A36" s="22" t="n"/>
      <c r="B36" s="16" t="n"/>
      <c r="C36" s="16" t="n"/>
      <c r="D36" s="16" t="n"/>
      <c r="E36" s="24" t="n"/>
      <c r="F36" s="28">
        <f>IF(E36="","",TODAY()-E36)</f>
        <v/>
      </c>
      <c r="G36" s="28">
        <f>IF(A36="","",IF(E36="","❓ Unknown",IF(D36="Quarterly",IF(F36&lt;=90,"✅ Compliant",IF(F36&lt;=105,"⚠ Overdue","❌ Non-Compliant")),IF(D36="Semi-Annual",IF(F36&lt;=180,"✅ Compliant",IF(F36&lt;=200,"⚠ Overdue","❌ Non-Compliant")),IF(D36="Annual",IF(F36&lt;=365,"✅ Compliant",IF(F36&lt;=400,"⚠ Overdue","❌ Non-Compliant")),"✅ Compliant")))))</f>
        <v/>
      </c>
      <c r="H36" s="29">
        <f>IF(E36="","",IF(D36="Quarterly",E36+90,IF(D36="Semi-Annual",E36+180,IF(D36="Annual",E36+365,E36))))</f>
        <v/>
      </c>
    </row>
    <row r="37">
      <c r="A37" s="22" t="n"/>
      <c r="B37" s="16" t="n"/>
      <c r="C37" s="16" t="n"/>
      <c r="D37" s="16" t="n"/>
      <c r="E37" s="24" t="n"/>
      <c r="F37" s="28">
        <f>IF(E37="","",TODAY()-E37)</f>
        <v/>
      </c>
      <c r="G37" s="28">
        <f>IF(A37="","",IF(E37="","❓ Unknown",IF(D37="Quarterly",IF(F37&lt;=90,"✅ Compliant",IF(F37&lt;=105,"⚠ Overdue","❌ Non-Compliant")),IF(D37="Semi-Annual",IF(F37&lt;=180,"✅ Compliant",IF(F37&lt;=200,"⚠ Overdue","❌ Non-Compliant")),IF(D37="Annual",IF(F37&lt;=365,"✅ Compliant",IF(F37&lt;=400,"⚠ Overdue","❌ Non-Compliant")),"✅ Compliant")))))</f>
        <v/>
      </c>
      <c r="H37" s="29">
        <f>IF(E37="","",IF(D37="Quarterly",E37+90,IF(D37="Semi-Annual",E37+180,IF(D37="Annual",E37+365,E37))))</f>
        <v/>
      </c>
    </row>
    <row r="38">
      <c r="A38" s="22" t="n"/>
      <c r="B38" s="16" t="n"/>
      <c r="C38" s="16" t="n"/>
      <c r="D38" s="16" t="n"/>
      <c r="E38" s="24" t="n"/>
      <c r="F38" s="28">
        <f>IF(E38="","",TODAY()-E38)</f>
        <v/>
      </c>
      <c r="G38" s="28">
        <f>IF(A38="","",IF(E38="","❓ Unknown",IF(D38="Quarterly",IF(F38&lt;=90,"✅ Compliant",IF(F38&lt;=105,"⚠ Overdue","❌ Non-Compliant")),IF(D38="Semi-Annual",IF(F38&lt;=180,"✅ Compliant",IF(F38&lt;=200,"⚠ Overdue","❌ Non-Compliant")),IF(D38="Annual",IF(F38&lt;=365,"✅ Compliant",IF(F38&lt;=400,"⚠ Overdue","❌ Non-Compliant")),"✅ Compliant")))))</f>
        <v/>
      </c>
      <c r="H38" s="29">
        <f>IF(E38="","",IF(D38="Quarterly",E38+90,IF(D38="Semi-Annual",E38+180,IF(D38="Annual",E38+365,E38))))</f>
        <v/>
      </c>
    </row>
    <row r="39">
      <c r="A39" s="22" t="n"/>
      <c r="B39" s="16" t="n"/>
      <c r="C39" s="16" t="n"/>
      <c r="D39" s="16" t="n"/>
      <c r="E39" s="24" t="n"/>
      <c r="F39" s="28">
        <f>IF(E39="","",TODAY()-E39)</f>
        <v/>
      </c>
      <c r="G39" s="28">
        <f>IF(A39="","",IF(E39="","❓ Unknown",IF(D39="Quarterly",IF(F39&lt;=90,"✅ Compliant",IF(F39&lt;=105,"⚠ Overdue","❌ Non-Compliant")),IF(D39="Semi-Annual",IF(F39&lt;=180,"✅ Compliant",IF(F39&lt;=200,"⚠ Overdue","❌ Non-Compliant")),IF(D39="Annual",IF(F39&lt;=365,"✅ Compliant",IF(F39&lt;=400,"⚠ Overdue","❌ Non-Compliant")),"✅ Compliant")))))</f>
        <v/>
      </c>
      <c r="H39" s="29">
        <f>IF(E39="","",IF(D39="Quarterly",E39+90,IF(D39="Semi-Annual",E39+180,IF(D39="Annual",E39+365,E39))))</f>
        <v/>
      </c>
    </row>
    <row r="40">
      <c r="A40" s="22" t="n"/>
      <c r="B40" s="16" t="n"/>
      <c r="C40" s="16" t="n"/>
      <c r="D40" s="16" t="n"/>
      <c r="E40" s="24" t="n"/>
      <c r="F40" s="28">
        <f>IF(E40="","",TODAY()-E40)</f>
        <v/>
      </c>
      <c r="G40" s="28">
        <f>IF(A40="","",IF(E40="","❓ Unknown",IF(D40="Quarterly",IF(F40&lt;=90,"✅ Compliant",IF(F40&lt;=105,"⚠ Overdue","❌ Non-Compliant")),IF(D40="Semi-Annual",IF(F40&lt;=180,"✅ Compliant",IF(F40&lt;=200,"⚠ Overdue","❌ Non-Compliant")),IF(D40="Annual",IF(F40&lt;=365,"✅ Compliant",IF(F40&lt;=400,"⚠ Overdue","❌ Non-Compliant")),"✅ Compliant")))))</f>
        <v/>
      </c>
      <c r="H40" s="29">
        <f>IF(E40="","",IF(D40="Quarterly",E40+90,IF(D40="Semi-Annual",E40+180,IF(D40="Annual",E40+365,E40))))</f>
        <v/>
      </c>
    </row>
    <row r="41">
      <c r="A41" s="22" t="n"/>
      <c r="B41" s="16" t="n"/>
      <c r="C41" s="16" t="n"/>
      <c r="D41" s="16" t="n"/>
      <c r="E41" s="24" t="n"/>
      <c r="F41" s="28">
        <f>IF(E41="","",TODAY()-E41)</f>
        <v/>
      </c>
      <c r="G41" s="28">
        <f>IF(A41="","",IF(E41="","❓ Unknown",IF(D41="Quarterly",IF(F41&lt;=90,"✅ Compliant",IF(F41&lt;=105,"⚠ Overdue","❌ Non-Compliant")),IF(D41="Semi-Annual",IF(F41&lt;=180,"✅ Compliant",IF(F41&lt;=200,"⚠ Overdue","❌ Non-Compliant")),IF(D41="Annual",IF(F41&lt;=365,"✅ Compliant",IF(F41&lt;=400,"⚠ Overdue","❌ Non-Compliant")),"✅ Compliant")))))</f>
        <v/>
      </c>
      <c r="H41" s="29">
        <f>IF(E41="","",IF(D41="Quarterly",E41+90,IF(D41="Semi-Annual",E41+180,IF(D41="Annual",E41+365,E41))))</f>
        <v/>
      </c>
    </row>
    <row r="42">
      <c r="A42" s="22" t="n"/>
      <c r="B42" s="16" t="n"/>
      <c r="C42" s="16" t="n"/>
      <c r="D42" s="16" t="n"/>
      <c r="E42" s="24" t="n"/>
      <c r="F42" s="28">
        <f>IF(E42="","",TODAY()-E42)</f>
        <v/>
      </c>
      <c r="G42" s="28">
        <f>IF(A42="","",IF(E42="","❓ Unknown",IF(D42="Quarterly",IF(F42&lt;=90,"✅ Compliant",IF(F42&lt;=105,"⚠ Overdue","❌ Non-Compliant")),IF(D42="Semi-Annual",IF(F42&lt;=180,"✅ Compliant",IF(F42&lt;=200,"⚠ Overdue","❌ Non-Compliant")),IF(D42="Annual",IF(F42&lt;=365,"✅ Compliant",IF(F42&lt;=400,"⚠ Overdue","❌ Non-Compliant")),"✅ Compliant")))))</f>
        <v/>
      </c>
      <c r="H42" s="29">
        <f>IF(E42="","",IF(D42="Quarterly",E42+90,IF(D42="Semi-Annual",E42+180,IF(D42="Annual",E42+365,E42))))</f>
        <v/>
      </c>
    </row>
    <row r="43">
      <c r="A43" s="22" t="n"/>
      <c r="B43" s="16" t="n"/>
      <c r="C43" s="16" t="n"/>
      <c r="D43" s="16" t="n"/>
      <c r="E43" s="24" t="n"/>
      <c r="F43" s="28">
        <f>IF(E43="","",TODAY()-E43)</f>
        <v/>
      </c>
      <c r="G43" s="28">
        <f>IF(A43="","",IF(E43="","❓ Unknown",IF(D43="Quarterly",IF(F43&lt;=90,"✅ Compliant",IF(F43&lt;=105,"⚠ Overdue","❌ Non-Compliant")),IF(D43="Semi-Annual",IF(F43&lt;=180,"✅ Compliant",IF(F43&lt;=200,"⚠ Overdue","❌ Non-Compliant")),IF(D43="Annual",IF(F43&lt;=365,"✅ Compliant",IF(F43&lt;=400,"⚠ Overdue","❌ Non-Compliant")),"✅ Compliant")))))</f>
        <v/>
      </c>
      <c r="H43" s="29">
        <f>IF(E43="","",IF(D43="Quarterly",E43+90,IF(D43="Semi-Annual",E43+180,IF(D43="Annual",E43+365,E43))))</f>
        <v/>
      </c>
    </row>
    <row r="44">
      <c r="A44" s="22" t="n"/>
      <c r="B44" s="16" t="n"/>
      <c r="C44" s="16" t="n"/>
      <c r="D44" s="16" t="n"/>
      <c r="E44" s="24" t="n"/>
      <c r="F44" s="28">
        <f>IF(E44="","",TODAY()-E44)</f>
        <v/>
      </c>
      <c r="G44" s="28">
        <f>IF(A44="","",IF(E44="","❓ Unknown",IF(D44="Quarterly",IF(F44&lt;=90,"✅ Compliant",IF(F44&lt;=105,"⚠ Overdue","❌ Non-Compliant")),IF(D44="Semi-Annual",IF(F44&lt;=180,"✅ Compliant",IF(F44&lt;=200,"⚠ Overdue","❌ Non-Compliant")),IF(D44="Annual",IF(F44&lt;=365,"✅ Compliant",IF(F44&lt;=400,"⚠ Overdue","❌ Non-Compliant")),"✅ Compliant")))))</f>
        <v/>
      </c>
      <c r="H44" s="29">
        <f>IF(E44="","",IF(D44="Quarterly",E44+90,IF(D44="Semi-Annual",E44+180,IF(D44="Annual",E44+365,E44))))</f>
        <v/>
      </c>
    </row>
    <row r="45">
      <c r="A45" s="22" t="n"/>
      <c r="B45" s="16" t="n"/>
      <c r="C45" s="16" t="n"/>
      <c r="D45" s="16" t="n"/>
      <c r="E45" s="24" t="n"/>
      <c r="F45" s="28">
        <f>IF(E45="","",TODAY()-E45)</f>
        <v/>
      </c>
      <c r="G45" s="28">
        <f>IF(A45="","",IF(E45="","❓ Unknown",IF(D45="Quarterly",IF(F45&lt;=90,"✅ Compliant",IF(F45&lt;=105,"⚠ Overdue","❌ Non-Compliant")),IF(D45="Semi-Annual",IF(F45&lt;=180,"✅ Compliant",IF(F45&lt;=200,"⚠ Overdue","❌ Non-Compliant")),IF(D45="Annual",IF(F45&lt;=365,"✅ Compliant",IF(F45&lt;=400,"⚠ Overdue","❌ Non-Compliant")),"✅ Compliant")))))</f>
        <v/>
      </c>
      <c r="H45" s="29">
        <f>IF(E45="","",IF(D45="Quarterly",E45+90,IF(D45="Semi-Annual",E45+180,IF(D45="Annual",E45+365,E45))))</f>
        <v/>
      </c>
    </row>
    <row r="46">
      <c r="A46" s="22" t="n"/>
      <c r="B46" s="16" t="n"/>
      <c r="C46" s="16" t="n"/>
      <c r="D46" s="16" t="n"/>
      <c r="E46" s="24" t="n"/>
      <c r="F46" s="28">
        <f>IF(E46="","",TODAY()-E46)</f>
        <v/>
      </c>
      <c r="G46" s="28">
        <f>IF(A46="","",IF(E46="","❓ Unknown",IF(D46="Quarterly",IF(F46&lt;=90,"✅ Compliant",IF(F46&lt;=105,"⚠ Overdue","❌ Non-Compliant")),IF(D46="Semi-Annual",IF(F46&lt;=180,"✅ Compliant",IF(F46&lt;=200,"⚠ Overdue","❌ Non-Compliant")),IF(D46="Annual",IF(F46&lt;=365,"✅ Compliant",IF(F46&lt;=400,"⚠ Overdue","❌ Non-Compliant")),"✅ Compliant")))))</f>
        <v/>
      </c>
      <c r="H46" s="29">
        <f>IF(E46="","",IF(D46="Quarterly",E46+90,IF(D46="Semi-Annual",E46+180,IF(D46="Annual",E46+365,E46))))</f>
        <v/>
      </c>
    </row>
    <row r="47">
      <c r="A47" s="22" t="n"/>
      <c r="B47" s="16" t="n"/>
      <c r="C47" s="16" t="n"/>
      <c r="D47" s="16" t="n"/>
      <c r="E47" s="24" t="n"/>
      <c r="F47" s="28">
        <f>IF(E47="","",TODAY()-E47)</f>
        <v/>
      </c>
      <c r="G47" s="28">
        <f>IF(A47="","",IF(E47="","❓ Unknown",IF(D47="Quarterly",IF(F47&lt;=90,"✅ Compliant",IF(F47&lt;=105,"⚠ Overdue","❌ Non-Compliant")),IF(D47="Semi-Annual",IF(F47&lt;=180,"✅ Compliant",IF(F47&lt;=200,"⚠ Overdue","❌ Non-Compliant")),IF(D47="Annual",IF(F47&lt;=365,"✅ Compliant",IF(F47&lt;=400,"⚠ Overdue","❌ Non-Compliant")),"✅ Compliant")))))</f>
        <v/>
      </c>
      <c r="H47" s="29">
        <f>IF(E47="","",IF(D47="Quarterly",E47+90,IF(D47="Semi-Annual",E47+180,IF(D47="Annual",E47+365,E47))))</f>
        <v/>
      </c>
    </row>
    <row r="48">
      <c r="A48" s="22" t="n"/>
      <c r="B48" s="16" t="n"/>
      <c r="C48" s="16" t="n"/>
      <c r="D48" s="16" t="n"/>
      <c r="E48" s="24" t="n"/>
      <c r="F48" s="28">
        <f>IF(E48="","",TODAY()-E48)</f>
        <v/>
      </c>
      <c r="G48" s="28">
        <f>IF(A48="","",IF(E48="","❓ Unknown",IF(D48="Quarterly",IF(F48&lt;=90,"✅ Compliant",IF(F48&lt;=105,"⚠ Overdue","❌ Non-Compliant")),IF(D48="Semi-Annual",IF(F48&lt;=180,"✅ Compliant",IF(F48&lt;=200,"⚠ Overdue","❌ Non-Compliant")),IF(D48="Annual",IF(F48&lt;=365,"✅ Compliant",IF(F48&lt;=400,"⚠ Overdue","❌ Non-Compliant")),"✅ Compliant")))))</f>
        <v/>
      </c>
      <c r="H48" s="29">
        <f>IF(E48="","",IF(D48="Quarterly",E48+90,IF(D48="Semi-Annual",E48+180,IF(D48="Annual",E48+365,E48))))</f>
        <v/>
      </c>
    </row>
    <row r="49">
      <c r="A49" s="22" t="n"/>
      <c r="B49" s="16" t="n"/>
      <c r="C49" s="16" t="n"/>
      <c r="D49" s="16" t="n"/>
      <c r="E49" s="24" t="n"/>
      <c r="F49" s="28">
        <f>IF(E49="","",TODAY()-E49)</f>
        <v/>
      </c>
      <c r="G49" s="28">
        <f>IF(A49="","",IF(E49="","❓ Unknown",IF(D49="Quarterly",IF(F49&lt;=90,"✅ Compliant",IF(F49&lt;=105,"⚠ Overdue","❌ Non-Compliant")),IF(D49="Semi-Annual",IF(F49&lt;=180,"✅ Compliant",IF(F49&lt;=200,"⚠ Overdue","❌ Non-Compliant")),IF(D49="Annual",IF(F49&lt;=365,"✅ Compliant",IF(F49&lt;=400,"⚠ Overdue","❌ Non-Compliant")),"✅ Compliant")))))</f>
        <v/>
      </c>
      <c r="H49" s="29">
        <f>IF(E49="","",IF(D49="Quarterly",E49+90,IF(D49="Semi-Annual",E49+180,IF(D49="Annual",E49+365,E49))))</f>
        <v/>
      </c>
    </row>
    <row r="50">
      <c r="A50" s="22" t="n"/>
      <c r="B50" s="16" t="n"/>
      <c r="C50" s="16" t="n"/>
      <c r="D50" s="16" t="n"/>
      <c r="E50" s="24" t="n"/>
      <c r="F50" s="28">
        <f>IF(E50="","",TODAY()-E50)</f>
        <v/>
      </c>
      <c r="G50" s="28">
        <f>IF(A50="","",IF(E50="","❓ Unknown",IF(D50="Quarterly",IF(F50&lt;=90,"✅ Compliant",IF(F50&lt;=105,"⚠ Overdue","❌ Non-Compliant")),IF(D50="Semi-Annual",IF(F50&lt;=180,"✅ Compliant",IF(F50&lt;=200,"⚠ Overdue","❌ Non-Compliant")),IF(D50="Annual",IF(F50&lt;=365,"✅ Compliant",IF(F50&lt;=400,"⚠ Overdue","❌ Non-Compliant")),"✅ Compliant")))))</f>
        <v/>
      </c>
      <c r="H50" s="29">
        <f>IF(E50="","",IF(D50="Quarterly",E50+90,IF(D50="Semi-Annual",E50+180,IF(D50="Annual",E50+365,E50))))</f>
        <v/>
      </c>
    </row>
    <row r="51">
      <c r="A51" s="22" t="n"/>
      <c r="B51" s="16" t="n"/>
      <c r="C51" s="16" t="n"/>
      <c r="D51" s="16" t="n"/>
      <c r="E51" s="24" t="n"/>
      <c r="F51" s="28">
        <f>IF(E51="","",TODAY()-E51)</f>
        <v/>
      </c>
      <c r="G51" s="28">
        <f>IF(A51="","",IF(E51="","❓ Unknown",IF(D51="Quarterly",IF(F51&lt;=90,"✅ Compliant",IF(F51&lt;=105,"⚠ Overdue","❌ Non-Compliant")),IF(D51="Semi-Annual",IF(F51&lt;=180,"✅ Compliant",IF(F51&lt;=200,"⚠ Overdue","❌ Non-Compliant")),IF(D51="Annual",IF(F51&lt;=365,"✅ Compliant",IF(F51&lt;=400,"⚠ Overdue","❌ Non-Compliant")),"✅ Compliant")))))</f>
        <v/>
      </c>
      <c r="H51" s="29">
        <f>IF(E51="","",IF(D51="Quarterly",E51+90,IF(D51="Semi-Annual",E51+180,IF(D51="Annual",E51+365,E51))))</f>
        <v/>
      </c>
    </row>
    <row r="52">
      <c r="A52" s="22" t="n"/>
      <c r="B52" s="16" t="n"/>
      <c r="C52" s="16" t="n"/>
      <c r="D52" s="16" t="n"/>
      <c r="E52" s="24" t="n"/>
      <c r="F52" s="28">
        <f>IF(E52="","",TODAY()-E52)</f>
        <v/>
      </c>
      <c r="G52" s="28">
        <f>IF(A52="","",IF(E52="","❓ Unknown",IF(D52="Quarterly",IF(F52&lt;=90,"✅ Compliant",IF(F52&lt;=105,"⚠ Overdue","❌ Non-Compliant")),IF(D52="Semi-Annual",IF(F52&lt;=180,"✅ Compliant",IF(F52&lt;=200,"⚠ Overdue","❌ Non-Compliant")),IF(D52="Annual",IF(F52&lt;=365,"✅ Compliant",IF(F52&lt;=400,"⚠ Overdue","❌ Non-Compliant")),"✅ Compliant")))))</f>
        <v/>
      </c>
      <c r="H52" s="29">
        <f>IF(E52="","",IF(D52="Quarterly",E52+90,IF(D52="Semi-Annual",E52+180,IF(D52="Annual",E52+365,E52))))</f>
        <v/>
      </c>
    </row>
    <row r="53">
      <c r="A53" s="22" t="n"/>
      <c r="B53" s="16" t="n"/>
      <c r="C53" s="16" t="n"/>
      <c r="D53" s="16" t="n"/>
      <c r="E53" s="24" t="n"/>
      <c r="F53" s="28">
        <f>IF(E53="","",TODAY()-E53)</f>
        <v/>
      </c>
      <c r="G53" s="28">
        <f>IF(A53="","",IF(E53="","❓ Unknown",IF(D53="Quarterly",IF(F53&lt;=90,"✅ Compliant",IF(F53&lt;=105,"⚠ Overdue","❌ Non-Compliant")),IF(D53="Semi-Annual",IF(F53&lt;=180,"✅ Compliant",IF(F53&lt;=200,"⚠ Overdue","❌ Non-Compliant")),IF(D53="Annual",IF(F53&lt;=365,"✅ Compliant",IF(F53&lt;=400,"⚠ Overdue","❌ Non-Compliant")),"✅ Compliant")))))</f>
        <v/>
      </c>
      <c r="H53" s="29">
        <f>IF(E53="","",IF(D53="Quarterly",E53+90,IF(D53="Semi-Annual",E53+180,IF(D53="Annual",E53+365,E53))))</f>
        <v/>
      </c>
    </row>
    <row r="54">
      <c r="A54" s="22" t="n"/>
      <c r="B54" s="16" t="n"/>
      <c r="C54" s="16" t="n"/>
      <c r="D54" s="16" t="n"/>
      <c r="E54" s="24" t="n"/>
      <c r="F54" s="28">
        <f>IF(E54="","",TODAY()-E54)</f>
        <v/>
      </c>
      <c r="G54" s="28">
        <f>IF(A54="","",IF(E54="","❓ Unknown",IF(D54="Quarterly",IF(F54&lt;=90,"✅ Compliant",IF(F54&lt;=105,"⚠ Overdue","❌ Non-Compliant")),IF(D54="Semi-Annual",IF(F54&lt;=180,"✅ Compliant",IF(F54&lt;=200,"⚠ Overdue","❌ Non-Compliant")),IF(D54="Annual",IF(F54&lt;=365,"✅ Compliant",IF(F54&lt;=400,"⚠ Overdue","❌ Non-Compliant")),"✅ Compliant")))))</f>
        <v/>
      </c>
      <c r="H54" s="29">
        <f>IF(E54="","",IF(D54="Quarterly",E54+90,IF(D54="Semi-Annual",E54+180,IF(D54="Annual",E54+365,E54))))</f>
        <v/>
      </c>
    </row>
    <row r="55">
      <c r="A55" s="22" t="n"/>
      <c r="B55" s="16" t="n"/>
      <c r="C55" s="16" t="n"/>
      <c r="D55" s="16" t="n"/>
      <c r="E55" s="24" t="n"/>
      <c r="F55" s="28">
        <f>IF(E55="","",TODAY()-E55)</f>
        <v/>
      </c>
      <c r="G55" s="28">
        <f>IF(A55="","",IF(E55="","❓ Unknown",IF(D55="Quarterly",IF(F55&lt;=90,"✅ Compliant",IF(F55&lt;=105,"⚠ Overdue","❌ Non-Compliant")),IF(D55="Semi-Annual",IF(F55&lt;=180,"✅ Compliant",IF(F55&lt;=200,"⚠ Overdue","❌ Non-Compliant")),IF(D55="Annual",IF(F55&lt;=365,"✅ Compliant",IF(F55&lt;=400,"⚠ Overdue","❌ Non-Compliant")),"✅ Compliant")))))</f>
        <v/>
      </c>
      <c r="H55" s="29">
        <f>IF(E55="","",IF(D55="Quarterly",E55+90,IF(D55="Semi-Annual",E55+180,IF(D55="Annual",E55+365,E55))))</f>
        <v/>
      </c>
    </row>
    <row r="56">
      <c r="A56" s="22" t="n"/>
      <c r="B56" s="16" t="n"/>
      <c r="C56" s="16" t="n"/>
      <c r="D56" s="16" t="n"/>
      <c r="E56" s="24" t="n"/>
      <c r="F56" s="28">
        <f>IF(E56="","",TODAY()-E56)</f>
        <v/>
      </c>
      <c r="G56" s="28">
        <f>IF(A56="","",IF(E56="","❓ Unknown",IF(D56="Quarterly",IF(F56&lt;=90,"✅ Compliant",IF(F56&lt;=105,"⚠ Overdue","❌ Non-Compliant")),IF(D56="Semi-Annual",IF(F56&lt;=180,"✅ Compliant",IF(F56&lt;=200,"⚠ Overdue","❌ Non-Compliant")),IF(D56="Annual",IF(F56&lt;=365,"✅ Compliant",IF(F56&lt;=400,"⚠ Overdue","❌ Non-Compliant")),"✅ Compliant")))))</f>
        <v/>
      </c>
      <c r="H56" s="29">
        <f>IF(E56="","",IF(D56="Quarterly",E56+90,IF(D56="Semi-Annual",E56+180,IF(D56="Annual",E56+365,E56))))</f>
        <v/>
      </c>
    </row>
    <row r="57">
      <c r="A57" s="22" t="n"/>
      <c r="B57" s="16" t="n"/>
      <c r="C57" s="16" t="n"/>
      <c r="D57" s="16" t="n"/>
      <c r="E57" s="24" t="n"/>
      <c r="F57" s="28">
        <f>IF(E57="","",TODAY()-E57)</f>
        <v/>
      </c>
      <c r="G57" s="28">
        <f>IF(A57="","",IF(E57="","❓ Unknown",IF(D57="Quarterly",IF(F57&lt;=90,"✅ Compliant",IF(F57&lt;=105,"⚠ Overdue","❌ Non-Compliant")),IF(D57="Semi-Annual",IF(F57&lt;=180,"✅ Compliant",IF(F57&lt;=200,"⚠ Overdue","❌ Non-Compliant")),IF(D57="Annual",IF(F57&lt;=365,"✅ Compliant",IF(F57&lt;=400,"⚠ Overdue","❌ Non-Compliant")),"✅ Compliant")))))</f>
        <v/>
      </c>
      <c r="H57" s="29">
        <f>IF(E57="","",IF(D57="Quarterly",E57+90,IF(D57="Semi-Annual",E57+180,IF(D57="Annual",E57+365,E57))))</f>
        <v/>
      </c>
    </row>
    <row r="58">
      <c r="A58" s="22" t="n"/>
      <c r="B58" s="16" t="n"/>
      <c r="C58" s="16" t="n"/>
      <c r="D58" s="16" t="n"/>
      <c r="E58" s="24" t="n"/>
      <c r="F58" s="28">
        <f>IF(E58="","",TODAY()-E58)</f>
        <v/>
      </c>
      <c r="G58" s="28">
        <f>IF(A58="","",IF(E58="","❓ Unknown",IF(D58="Quarterly",IF(F58&lt;=90,"✅ Compliant",IF(F58&lt;=105,"⚠ Overdue","❌ Non-Compliant")),IF(D58="Semi-Annual",IF(F58&lt;=180,"✅ Compliant",IF(F58&lt;=200,"⚠ Overdue","❌ Non-Compliant")),IF(D58="Annual",IF(F58&lt;=365,"✅ Compliant",IF(F58&lt;=400,"⚠ Overdue","❌ Non-Compliant")),"✅ Compliant")))))</f>
        <v/>
      </c>
      <c r="H58" s="29">
        <f>IF(E58="","",IF(D58="Quarterly",E58+90,IF(D58="Semi-Annual",E58+180,IF(D58="Annual",E58+365,E58))))</f>
        <v/>
      </c>
    </row>
    <row r="59">
      <c r="A59" s="22" t="n"/>
      <c r="B59" s="16" t="n"/>
      <c r="C59" s="16" t="n"/>
      <c r="D59" s="16" t="n"/>
      <c r="E59" s="24" t="n"/>
      <c r="F59" s="28">
        <f>IF(E59="","",TODAY()-E59)</f>
        <v/>
      </c>
      <c r="G59" s="28">
        <f>IF(A59="","",IF(E59="","❓ Unknown",IF(D59="Quarterly",IF(F59&lt;=90,"✅ Compliant",IF(F59&lt;=105,"⚠ Overdue","❌ Non-Compliant")),IF(D59="Semi-Annual",IF(F59&lt;=180,"✅ Compliant",IF(F59&lt;=200,"⚠ Overdue","❌ Non-Compliant")),IF(D59="Annual",IF(F59&lt;=365,"✅ Compliant",IF(F59&lt;=400,"⚠ Overdue","❌ Non-Compliant")),"✅ Compliant")))))</f>
        <v/>
      </c>
      <c r="H59" s="29">
        <f>IF(E59="","",IF(D59="Quarterly",E59+90,IF(D59="Semi-Annual",E59+180,IF(D59="Annual",E59+365,E59))))</f>
        <v/>
      </c>
    </row>
    <row r="60">
      <c r="A60" s="22" t="n"/>
      <c r="B60" s="16" t="n"/>
      <c r="C60" s="16" t="n"/>
      <c r="D60" s="16" t="n"/>
      <c r="E60" s="24" t="n"/>
      <c r="F60" s="28">
        <f>IF(E60="","",TODAY()-E60)</f>
        <v/>
      </c>
      <c r="G60" s="28">
        <f>IF(A60="","",IF(E60="","❓ Unknown",IF(D60="Quarterly",IF(F60&lt;=90,"✅ Compliant",IF(F60&lt;=105,"⚠ Overdue","❌ Non-Compliant")),IF(D60="Semi-Annual",IF(F60&lt;=180,"✅ Compliant",IF(F60&lt;=200,"⚠ Overdue","❌ Non-Compliant")),IF(D60="Annual",IF(F60&lt;=365,"✅ Compliant",IF(F60&lt;=400,"⚠ Overdue","❌ Non-Compliant")),"✅ Compliant")))))</f>
        <v/>
      </c>
      <c r="H60" s="29">
        <f>IF(E60="","",IF(D60="Quarterly",E60+90,IF(D60="Semi-Annual",E60+180,IF(D60="Annual",E60+365,E60))))</f>
        <v/>
      </c>
    </row>
    <row r="61">
      <c r="A61" s="22" t="n"/>
      <c r="B61" s="16" t="n"/>
      <c r="C61" s="16" t="n"/>
      <c r="D61" s="16" t="n"/>
      <c r="E61" s="24" t="n"/>
      <c r="F61" s="28">
        <f>IF(E61="","",TODAY()-E61)</f>
        <v/>
      </c>
      <c r="G61" s="28">
        <f>IF(A61="","",IF(E61="","❓ Unknown",IF(D61="Quarterly",IF(F61&lt;=90,"✅ Compliant",IF(F61&lt;=105,"⚠ Overdue","❌ Non-Compliant")),IF(D61="Semi-Annual",IF(F61&lt;=180,"✅ Compliant",IF(F61&lt;=200,"⚠ Overdue","❌ Non-Compliant")),IF(D61="Annual",IF(F61&lt;=365,"✅ Compliant",IF(F61&lt;=400,"⚠ Overdue","❌ Non-Compliant")),"✅ Compliant")))))</f>
        <v/>
      </c>
      <c r="H61" s="29">
        <f>IF(E61="","",IF(D61="Quarterly",E61+90,IF(D61="Semi-Annual",E61+180,IF(D61="Annual",E61+365,E61))))</f>
        <v/>
      </c>
    </row>
    <row r="62">
      <c r="A62" s="22" t="n"/>
      <c r="B62" s="16" t="n"/>
      <c r="C62" s="16" t="n"/>
      <c r="D62" s="16" t="n"/>
      <c r="E62" s="24" t="n"/>
      <c r="F62" s="28">
        <f>IF(E62="","",TODAY()-E62)</f>
        <v/>
      </c>
      <c r="G62" s="28">
        <f>IF(A62="","",IF(E62="","❓ Unknown",IF(D62="Quarterly",IF(F62&lt;=90,"✅ Compliant",IF(F62&lt;=105,"⚠ Overdue","❌ Non-Compliant")),IF(D62="Semi-Annual",IF(F62&lt;=180,"✅ Compliant",IF(F62&lt;=200,"⚠ Overdue","❌ Non-Compliant")),IF(D62="Annual",IF(F62&lt;=365,"✅ Compliant",IF(F62&lt;=400,"⚠ Overdue","❌ Non-Compliant")),"✅ Compliant")))))</f>
        <v/>
      </c>
      <c r="H62" s="29">
        <f>IF(E62="","",IF(D62="Quarterly",E62+90,IF(D62="Semi-Annual",E62+180,IF(D62="Annual",E62+365,E62))))</f>
        <v/>
      </c>
    </row>
    <row r="63">
      <c r="A63" s="22" t="n"/>
      <c r="B63" s="16" t="n"/>
      <c r="C63" s="16" t="n"/>
      <c r="D63" s="16" t="n"/>
      <c r="E63" s="24" t="n"/>
      <c r="F63" s="28">
        <f>IF(E63="","",TODAY()-E63)</f>
        <v/>
      </c>
      <c r="G63" s="28">
        <f>IF(A63="","",IF(E63="","❓ Unknown",IF(D63="Quarterly",IF(F63&lt;=90,"✅ Compliant",IF(F63&lt;=105,"⚠ Overdue","❌ Non-Compliant")),IF(D63="Semi-Annual",IF(F63&lt;=180,"✅ Compliant",IF(F63&lt;=200,"⚠ Overdue","❌ Non-Compliant")),IF(D63="Annual",IF(F63&lt;=365,"✅ Compliant",IF(F63&lt;=400,"⚠ Overdue","❌ Non-Compliant")),"✅ Compliant")))))</f>
        <v/>
      </c>
      <c r="H63" s="29">
        <f>IF(E63="","",IF(D63="Quarterly",E63+90,IF(D63="Semi-Annual",E63+180,IF(D63="Annual",E63+365,E63))))</f>
        <v/>
      </c>
    </row>
    <row r="64">
      <c r="A64" s="22" t="n"/>
      <c r="B64" s="16" t="n"/>
      <c r="C64" s="16" t="n"/>
      <c r="D64" s="16" t="n"/>
      <c r="E64" s="24" t="n"/>
      <c r="F64" s="28">
        <f>IF(E64="","",TODAY()-E64)</f>
        <v/>
      </c>
      <c r="G64" s="28">
        <f>IF(A64="","",IF(E64="","❓ Unknown",IF(D64="Quarterly",IF(F64&lt;=90,"✅ Compliant",IF(F64&lt;=105,"⚠ Overdue","❌ Non-Compliant")),IF(D64="Semi-Annual",IF(F64&lt;=180,"✅ Compliant",IF(F64&lt;=200,"⚠ Overdue","❌ Non-Compliant")),IF(D64="Annual",IF(F64&lt;=365,"✅ Compliant",IF(F64&lt;=400,"⚠ Overdue","❌ Non-Compliant")),"✅ Compliant")))))</f>
        <v/>
      </c>
      <c r="H64" s="29">
        <f>IF(E64="","",IF(D64="Quarterly",E64+90,IF(D64="Semi-Annual",E64+180,IF(D64="Annual",E64+365,E64))))</f>
        <v/>
      </c>
    </row>
    <row r="65">
      <c r="A65" s="22" t="n"/>
      <c r="B65" s="16" t="n"/>
      <c r="C65" s="16" t="n"/>
      <c r="D65" s="16" t="n"/>
      <c r="E65" s="24" t="n"/>
      <c r="F65" s="28">
        <f>IF(E65="","",TODAY()-E65)</f>
        <v/>
      </c>
      <c r="G65" s="28">
        <f>IF(A65="","",IF(E65="","❓ Unknown",IF(D65="Quarterly",IF(F65&lt;=90,"✅ Compliant",IF(F65&lt;=105,"⚠ Overdue","❌ Non-Compliant")),IF(D65="Semi-Annual",IF(F65&lt;=180,"✅ Compliant",IF(F65&lt;=200,"⚠ Overdue","❌ Non-Compliant")),IF(D65="Annual",IF(F65&lt;=365,"✅ Compliant",IF(F65&lt;=400,"⚠ Overdue","❌ Non-Compliant")),"✅ Compliant")))))</f>
        <v/>
      </c>
      <c r="H65" s="29">
        <f>IF(E65="","",IF(D65="Quarterly",E65+90,IF(D65="Semi-Annual",E65+180,IF(D65="Annual",E65+365,E65))))</f>
        <v/>
      </c>
    </row>
    <row r="68">
      <c r="A68" s="12" t="inlineStr">
        <is>
          <t>TESTING COMPLIANCE SUMMARY</t>
        </is>
      </c>
    </row>
    <row r="69">
      <c r="A69" s="25" t="inlineStr">
        <is>
          <t>Total Systems Tracked:</t>
        </is>
      </c>
      <c r="B69" s="25">
        <f>COUNTA(A6:A65)</f>
        <v/>
      </c>
    </row>
    <row r="70">
      <c r="A70" s="25" t="inlineStr">
        <is>
          <t>✅ Compliant:</t>
        </is>
      </c>
      <c r="B70" s="25">
        <f>COUNTIF(G6:G65,"✅*")</f>
        <v/>
      </c>
    </row>
    <row r="71">
      <c r="A71" s="25" t="inlineStr">
        <is>
          <t>⚠ Overdue:</t>
        </is>
      </c>
      <c r="B71" s="25">
        <f>COUNTIF(G6:G65,"⚠*")</f>
        <v/>
      </c>
    </row>
    <row r="72">
      <c r="A72" s="25" t="inlineStr">
        <is>
          <t>❌ Non-Compliant:</t>
        </is>
      </c>
      <c r="B72" s="25">
        <f>COUNTIF(G6:G65,"❌*")</f>
        <v/>
      </c>
    </row>
    <row r="73">
      <c r="A73" s="25" t="inlineStr">
        <is>
          <t>❓ Unknown (Never Tested):</t>
        </is>
      </c>
      <c r="B73" s="25">
        <f>COUNTIF(G6:G65,"❓*")</f>
        <v/>
      </c>
    </row>
    <row r="75">
      <c r="A75" s="25" t="inlineStr">
        <is>
          <t>Overall Compliance Rate:</t>
        </is>
      </c>
      <c r="B75" s="26">
        <f>IF(B69&gt;0,B70/B69,0)</f>
        <v/>
      </c>
    </row>
    <row r="76">
      <c r="A76" s="25" t="inlineStr">
        <is>
          <t>Tests Overdue/Non-Compliant:</t>
        </is>
      </c>
      <c r="B76" s="25">
        <f>B71+B72</f>
        <v/>
      </c>
    </row>
  </sheetData>
  <mergeCells count="3">
    <mergeCell ref="A68:H68"/>
    <mergeCell ref="A2:H2"/>
    <mergeCell ref="A1:H1"/>
  </mergeCells>
  <dataValidations count="3">
    <dataValidation sqref="B5 B6 B7 B8 B9 B10 B11 B12 B13 B14 B15 B16 B17 B18 B19 B20 B21 B22 B23 B24 B25 B26 B27 B28 B29 B30 B31 B32 B33 B34 B35 B36 B37 B38 B39 B40 B41 B42 B43 B44 B45 B46 B47 B48 B49 B50 B51 B52 B53 B54 B55 B56 B57 B58 B59 B60 B61 B62 B63 B64 B65" showDropDown="0" showInputMessage="0" showErrorMessage="0" allowBlank="0" type="list">
      <formula1>"Backup Restore,Failover Test,Full DR Scenario,Tabletop Exercise,Component Test,Integration Test"</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showDropDown="0" showInputMessage="0" showErrorMessage="0" allowBlank="0" type="list">
      <formula1>"Tier 1 - Critical,Tier 2 - Important,Tier 3 - Standard,Tier 4 - Low"</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showDropDown="0" showInputMessage="0" showErrorMessage="0" allowBlank="0" type="list">
      <formula1>"Quarterly,Semi-Annual,Annual,Ad-Hoc,Not Required"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2" customWidth="1" min="1" max="1"/>
    <col width="18" customWidth="1" min="2" max="2"/>
    <col width="40" customWidth="1" min="3" max="3"/>
    <col width="25" customWidth="1" min="4" max="4"/>
    <col width="35" customWidth="1" min="5" max="5"/>
    <col width="15" customWidth="1" min="6" max="6"/>
    <col width="20" customWidth="1" min="7" max="7"/>
    <col width="20" customWidth="1" min="8" max="8"/>
  </cols>
  <sheetData>
    <row r="1" ht="35" customHeight="1">
      <c r="A1" s="11" t="inlineStr">
        <is>
          <t>EVIDENCE REGISTER</t>
        </is>
      </c>
    </row>
    <row r="2">
      <c r="A2" s="32" t="inlineStr">
        <is>
          <t>Document all evidence supporting this assessment (ISMS-IMP-A.5.30.S4 | MINIMUM 5 items required for audit compliance)</t>
        </is>
      </c>
    </row>
    <row r="4">
      <c r="A4" s="33" t="inlineStr">
        <is>
          <t>Evidence ID</t>
        </is>
      </c>
      <c r="B4" s="33" t="inlineStr">
        <is>
          <t>Evidence Type</t>
        </is>
      </c>
      <c r="C4" s="33" t="inlineStr">
        <is>
          <t>Description</t>
        </is>
      </c>
      <c r="D4" s="33" t="inlineStr">
        <is>
          <t>Related Sheet / Row</t>
        </is>
      </c>
      <c r="E4" s="33" t="inlineStr">
        <is>
          <t>Location / Path</t>
        </is>
      </c>
      <c r="F4" s="33" t="inlineStr">
        <is>
          <t>Date Collected</t>
        </is>
      </c>
      <c r="G4" s="33" t="inlineStr">
        <is>
          <t>Collected By</t>
        </is>
      </c>
      <c r="H4" s="33" t="inlineStr">
        <is>
          <t>Verification Status</t>
        </is>
      </c>
    </row>
    <row r="5">
      <c r="A5" s="34" t="inlineStr">
        <is>
          <t>EV-001</t>
        </is>
      </c>
      <c r="B5" s="34" t="inlineStr">
        <is>
          <t>Test Report</t>
        </is>
      </c>
      <c r="C5" s="34" t="inlineStr">
        <is>
          <t>E-Commerce backup restore test report — Q1</t>
        </is>
      </c>
      <c r="D5" s="34" t="inlineStr">
        <is>
          <t>Test Results Log!A5 (RES-001)</t>
        </is>
      </c>
      <c r="E5" s="34" t="inlineStr">
        <is>
          <t>/evidence/testing/ecommerce_restore_Q1.pdf</t>
        </is>
      </c>
      <c r="F5" s="35" t="inlineStr">
        <is>
          <t>10.03.2026</t>
        </is>
      </c>
      <c r="G5" s="34" t="inlineStr">
        <is>
          <t>Infrastructure Team</t>
        </is>
      </c>
      <c r="H5" s="34" t="inlineStr">
        <is>
          <t>✅ Verified</t>
        </is>
      </c>
    </row>
    <row r="6">
      <c r="A6" s="36" t="n"/>
      <c r="B6" s="36" t="n"/>
      <c r="C6" s="36" t="n"/>
      <c r="D6" s="36" t="n"/>
      <c r="E6" s="36" t="n"/>
      <c r="F6" s="37" t="n"/>
      <c r="G6" s="36" t="n"/>
      <c r="H6" s="36" t="n"/>
    </row>
    <row r="7">
      <c r="A7" s="36" t="n"/>
      <c r="B7" s="36" t="n"/>
      <c r="C7" s="36" t="n"/>
      <c r="D7" s="36" t="n"/>
      <c r="E7" s="36" t="n"/>
      <c r="F7" s="37" t="n"/>
      <c r="G7" s="36" t="n"/>
      <c r="H7" s="36" t="n"/>
    </row>
    <row r="8">
      <c r="A8" s="36" t="n"/>
      <c r="B8" s="36" t="n"/>
      <c r="C8" s="36" t="n"/>
      <c r="D8" s="36" t="n"/>
      <c r="E8" s="36" t="n"/>
      <c r="F8" s="37" t="n"/>
      <c r="G8" s="36" t="n"/>
      <c r="H8" s="36" t="n"/>
    </row>
    <row r="9">
      <c r="A9" s="36" t="n"/>
      <c r="B9" s="36" t="n"/>
      <c r="C9" s="36" t="n"/>
      <c r="D9" s="36" t="n"/>
      <c r="E9" s="36" t="n"/>
      <c r="F9" s="37" t="n"/>
      <c r="G9" s="36" t="n"/>
      <c r="H9" s="36" t="n"/>
    </row>
    <row r="10">
      <c r="A10" s="36" t="n"/>
      <c r="B10" s="36" t="n"/>
      <c r="C10" s="36" t="n"/>
      <c r="D10" s="36" t="n"/>
      <c r="E10" s="36" t="n"/>
      <c r="F10" s="37" t="n"/>
      <c r="G10" s="36" t="n"/>
      <c r="H10" s="36" t="n"/>
    </row>
    <row r="11">
      <c r="A11" s="36" t="n"/>
      <c r="B11" s="36" t="n"/>
      <c r="C11" s="36" t="n"/>
      <c r="D11" s="36" t="n"/>
      <c r="E11" s="36" t="n"/>
      <c r="F11" s="37" t="n"/>
      <c r="G11" s="36" t="n"/>
      <c r="H11" s="36" t="n"/>
    </row>
    <row r="12">
      <c r="A12" s="36" t="n"/>
      <c r="B12" s="36" t="n"/>
      <c r="C12" s="36" t="n"/>
      <c r="D12" s="36" t="n"/>
      <c r="E12" s="36" t="n"/>
      <c r="F12" s="37" t="n"/>
      <c r="G12" s="36" t="n"/>
      <c r="H12" s="36" t="n"/>
    </row>
    <row r="13">
      <c r="A13" s="36" t="n"/>
      <c r="B13" s="36" t="n"/>
      <c r="C13" s="36" t="n"/>
      <c r="D13" s="36" t="n"/>
      <c r="E13" s="36" t="n"/>
      <c r="F13" s="37" t="n"/>
      <c r="G13" s="36" t="n"/>
      <c r="H13" s="36" t="n"/>
    </row>
    <row r="14">
      <c r="A14" s="36" t="n"/>
      <c r="B14" s="36" t="n"/>
      <c r="C14" s="36" t="n"/>
      <c r="D14" s="36" t="n"/>
      <c r="E14" s="36" t="n"/>
      <c r="F14" s="37" t="n"/>
      <c r="G14" s="36" t="n"/>
      <c r="H14" s="36" t="n"/>
    </row>
    <row r="15">
      <c r="A15" s="36" t="n"/>
      <c r="B15" s="36" t="n"/>
      <c r="C15" s="36" t="n"/>
      <c r="D15" s="36" t="n"/>
      <c r="E15" s="36" t="n"/>
      <c r="F15" s="37" t="n"/>
      <c r="G15" s="36" t="n"/>
      <c r="H15" s="36" t="n"/>
    </row>
    <row r="16">
      <c r="A16" s="36" t="n"/>
      <c r="B16" s="36" t="n"/>
      <c r="C16" s="36" t="n"/>
      <c r="D16" s="36" t="n"/>
      <c r="E16" s="36" t="n"/>
      <c r="F16" s="37" t="n"/>
      <c r="G16" s="36" t="n"/>
      <c r="H16" s="36" t="n"/>
    </row>
    <row r="17">
      <c r="A17" s="36" t="n"/>
      <c r="B17" s="36" t="n"/>
      <c r="C17" s="36" t="n"/>
      <c r="D17" s="36" t="n"/>
      <c r="E17" s="36" t="n"/>
      <c r="F17" s="37" t="n"/>
      <c r="G17" s="36" t="n"/>
      <c r="H17" s="36" t="n"/>
    </row>
    <row r="18">
      <c r="A18" s="36" t="n"/>
      <c r="B18" s="36" t="n"/>
      <c r="C18" s="36" t="n"/>
      <c r="D18" s="36" t="n"/>
      <c r="E18" s="36" t="n"/>
      <c r="F18" s="37" t="n"/>
      <c r="G18" s="36" t="n"/>
      <c r="H18" s="36" t="n"/>
    </row>
    <row r="19">
      <c r="A19" s="36" t="n"/>
      <c r="B19" s="36" t="n"/>
      <c r="C19" s="36" t="n"/>
      <c r="D19" s="36" t="n"/>
      <c r="E19" s="36" t="n"/>
      <c r="F19" s="37" t="n"/>
      <c r="G19" s="36" t="n"/>
      <c r="H19" s="36" t="n"/>
    </row>
    <row r="20">
      <c r="A20" s="36" t="n"/>
      <c r="B20" s="36" t="n"/>
      <c r="C20" s="36" t="n"/>
      <c r="D20" s="36" t="n"/>
      <c r="E20" s="36" t="n"/>
      <c r="F20" s="37" t="n"/>
      <c r="G20" s="36" t="n"/>
      <c r="H20" s="36" t="n"/>
    </row>
    <row r="21">
      <c r="A21" s="36" t="n"/>
      <c r="B21" s="36" t="n"/>
      <c r="C21" s="36" t="n"/>
      <c r="D21" s="36" t="n"/>
      <c r="E21" s="36" t="n"/>
      <c r="F21" s="37" t="n"/>
      <c r="G21" s="36" t="n"/>
      <c r="H21" s="36" t="n"/>
    </row>
    <row r="22">
      <c r="A22" s="36" t="n"/>
      <c r="B22" s="36" t="n"/>
      <c r="C22" s="36" t="n"/>
      <c r="D22" s="36" t="n"/>
      <c r="E22" s="36" t="n"/>
      <c r="F22" s="37" t="n"/>
      <c r="G22" s="36" t="n"/>
      <c r="H22" s="36" t="n"/>
    </row>
    <row r="23">
      <c r="A23" s="36" t="n"/>
      <c r="B23" s="36" t="n"/>
      <c r="C23" s="36" t="n"/>
      <c r="D23" s="36" t="n"/>
      <c r="E23" s="36" t="n"/>
      <c r="F23" s="37" t="n"/>
      <c r="G23" s="36" t="n"/>
      <c r="H23" s="36" t="n"/>
    </row>
    <row r="24">
      <c r="A24" s="36" t="n"/>
      <c r="B24" s="36" t="n"/>
      <c r="C24" s="36" t="n"/>
      <c r="D24" s="36" t="n"/>
      <c r="E24" s="36" t="n"/>
      <c r="F24" s="37" t="n"/>
      <c r="G24" s="36" t="n"/>
      <c r="H24" s="36" t="n"/>
    </row>
    <row r="25">
      <c r="A25" s="36" t="n"/>
      <c r="B25" s="36" t="n"/>
      <c r="C25" s="36" t="n"/>
      <c r="D25" s="36" t="n"/>
      <c r="E25" s="36" t="n"/>
      <c r="F25" s="37" t="n"/>
      <c r="G25" s="36" t="n"/>
      <c r="H25" s="36" t="n"/>
    </row>
    <row r="26">
      <c r="A26" s="36" t="n"/>
      <c r="B26" s="36" t="n"/>
      <c r="C26" s="36" t="n"/>
      <c r="D26" s="36" t="n"/>
      <c r="E26" s="36" t="n"/>
      <c r="F26" s="37" t="n"/>
      <c r="G26" s="36" t="n"/>
      <c r="H26" s="36" t="n"/>
    </row>
    <row r="27">
      <c r="A27" s="36" t="n"/>
      <c r="B27" s="36" t="n"/>
      <c r="C27" s="36" t="n"/>
      <c r="D27" s="36" t="n"/>
      <c r="E27" s="36" t="n"/>
      <c r="F27" s="37" t="n"/>
      <c r="G27" s="36" t="n"/>
      <c r="H27" s="36" t="n"/>
    </row>
    <row r="28">
      <c r="A28" s="36" t="n"/>
      <c r="B28" s="36" t="n"/>
      <c r="C28" s="36" t="n"/>
      <c r="D28" s="36" t="n"/>
      <c r="E28" s="36" t="n"/>
      <c r="F28" s="37" t="n"/>
      <c r="G28" s="36" t="n"/>
      <c r="H28" s="36" t="n"/>
    </row>
    <row r="29">
      <c r="A29" s="36" t="n"/>
      <c r="B29" s="36" t="n"/>
      <c r="C29" s="36" t="n"/>
      <c r="D29" s="36" t="n"/>
      <c r="E29" s="36" t="n"/>
      <c r="F29" s="37" t="n"/>
      <c r="G29" s="36" t="n"/>
      <c r="H29" s="36" t="n"/>
    </row>
    <row r="30">
      <c r="A30" s="36" t="n"/>
      <c r="B30" s="36" t="n"/>
      <c r="C30" s="36" t="n"/>
      <c r="D30" s="36" t="n"/>
      <c r="E30" s="36" t="n"/>
      <c r="F30" s="37" t="n"/>
      <c r="G30" s="36" t="n"/>
      <c r="H30" s="36" t="n"/>
    </row>
    <row r="31">
      <c r="A31" s="36" t="n"/>
      <c r="B31" s="36" t="n"/>
      <c r="C31" s="36" t="n"/>
      <c r="D31" s="36" t="n"/>
      <c r="E31" s="36" t="n"/>
      <c r="F31" s="37" t="n"/>
      <c r="G31" s="36" t="n"/>
      <c r="H31" s="36" t="n"/>
    </row>
    <row r="32">
      <c r="A32" s="36" t="n"/>
      <c r="B32" s="36" t="n"/>
      <c r="C32" s="36" t="n"/>
      <c r="D32" s="36" t="n"/>
      <c r="E32" s="36" t="n"/>
      <c r="F32" s="37" t="n"/>
      <c r="G32" s="36" t="n"/>
      <c r="H32" s="36" t="n"/>
    </row>
    <row r="33">
      <c r="A33" s="36" t="n"/>
      <c r="B33" s="36" t="n"/>
      <c r="C33" s="36" t="n"/>
      <c r="D33" s="36" t="n"/>
      <c r="E33" s="36" t="n"/>
      <c r="F33" s="37" t="n"/>
      <c r="G33" s="36" t="n"/>
      <c r="H33" s="36" t="n"/>
    </row>
    <row r="34">
      <c r="A34" s="36" t="n"/>
      <c r="B34" s="36" t="n"/>
      <c r="C34" s="36" t="n"/>
      <c r="D34" s="36" t="n"/>
      <c r="E34" s="36" t="n"/>
      <c r="F34" s="37" t="n"/>
      <c r="G34" s="36" t="n"/>
      <c r="H34" s="36" t="n"/>
    </row>
    <row r="35">
      <c r="A35" s="36" t="n"/>
      <c r="B35" s="36" t="n"/>
      <c r="C35" s="36" t="n"/>
      <c r="D35" s="36" t="n"/>
      <c r="E35" s="36" t="n"/>
      <c r="F35" s="37" t="n"/>
      <c r="G35" s="36" t="n"/>
      <c r="H35" s="36" t="n"/>
    </row>
    <row r="36">
      <c r="A36" s="36" t="n"/>
      <c r="B36" s="36" t="n"/>
      <c r="C36" s="36" t="n"/>
      <c r="D36" s="36" t="n"/>
      <c r="E36" s="36" t="n"/>
      <c r="F36" s="37" t="n"/>
      <c r="G36" s="36" t="n"/>
      <c r="H36" s="36" t="n"/>
    </row>
    <row r="37">
      <c r="A37" s="36" t="n"/>
      <c r="B37" s="36" t="n"/>
      <c r="C37" s="36" t="n"/>
      <c r="D37" s="36" t="n"/>
      <c r="E37" s="36" t="n"/>
      <c r="F37" s="37" t="n"/>
      <c r="G37" s="36" t="n"/>
      <c r="H37" s="36" t="n"/>
    </row>
    <row r="38">
      <c r="A38" s="36" t="n"/>
      <c r="B38" s="36" t="n"/>
      <c r="C38" s="36" t="n"/>
      <c r="D38" s="36" t="n"/>
      <c r="E38" s="36" t="n"/>
      <c r="F38" s="37" t="n"/>
      <c r="G38" s="36" t="n"/>
      <c r="H38" s="36" t="n"/>
    </row>
    <row r="39">
      <c r="A39" s="36" t="n"/>
      <c r="B39" s="36" t="n"/>
      <c r="C39" s="36" t="n"/>
      <c r="D39" s="36" t="n"/>
      <c r="E39" s="36" t="n"/>
      <c r="F39" s="37" t="n"/>
      <c r="G39" s="36" t="n"/>
      <c r="H39" s="36" t="n"/>
    </row>
    <row r="40">
      <c r="A40" s="36" t="n"/>
      <c r="B40" s="36" t="n"/>
      <c r="C40" s="36" t="n"/>
      <c r="D40" s="36" t="n"/>
      <c r="E40" s="36" t="n"/>
      <c r="F40" s="37" t="n"/>
      <c r="G40" s="36" t="n"/>
      <c r="H40" s="36" t="n"/>
    </row>
    <row r="41">
      <c r="A41" s="36" t="n"/>
      <c r="B41" s="36" t="n"/>
      <c r="C41" s="36" t="n"/>
      <c r="D41" s="36" t="n"/>
      <c r="E41" s="36" t="n"/>
      <c r="F41" s="37" t="n"/>
      <c r="G41" s="36" t="n"/>
      <c r="H41" s="36" t="n"/>
    </row>
    <row r="42">
      <c r="A42" s="36" t="n"/>
      <c r="B42" s="36" t="n"/>
      <c r="C42" s="36" t="n"/>
      <c r="D42" s="36" t="n"/>
      <c r="E42" s="36" t="n"/>
      <c r="F42" s="37" t="n"/>
      <c r="G42" s="36" t="n"/>
      <c r="H42" s="36" t="n"/>
    </row>
    <row r="43">
      <c r="A43" s="36" t="n"/>
      <c r="B43" s="36" t="n"/>
      <c r="C43" s="36" t="n"/>
      <c r="D43" s="36" t="n"/>
      <c r="E43" s="36" t="n"/>
      <c r="F43" s="37" t="n"/>
      <c r="G43" s="36" t="n"/>
      <c r="H43" s="36" t="n"/>
    </row>
    <row r="44">
      <c r="A44" s="36" t="n"/>
      <c r="B44" s="36" t="n"/>
      <c r="C44" s="36" t="n"/>
      <c r="D44" s="36" t="n"/>
      <c r="E44" s="36" t="n"/>
      <c r="F44" s="37" t="n"/>
      <c r="G44" s="36" t="n"/>
      <c r="H44" s="36" t="n"/>
    </row>
    <row r="45">
      <c r="A45" s="36" t="n"/>
      <c r="B45" s="36" t="n"/>
      <c r="C45" s="36" t="n"/>
      <c r="D45" s="36" t="n"/>
      <c r="E45" s="36" t="n"/>
      <c r="F45" s="37" t="n"/>
      <c r="G45" s="36" t="n"/>
      <c r="H45" s="36" t="n"/>
    </row>
    <row r="46">
      <c r="A46" s="36" t="n"/>
      <c r="B46" s="36" t="n"/>
      <c r="C46" s="36" t="n"/>
      <c r="D46" s="36" t="n"/>
      <c r="E46" s="36" t="n"/>
      <c r="F46" s="37" t="n"/>
      <c r="G46" s="36" t="n"/>
      <c r="H46" s="36" t="n"/>
    </row>
    <row r="47">
      <c r="A47" s="36" t="n"/>
      <c r="B47" s="36" t="n"/>
      <c r="C47" s="36" t="n"/>
      <c r="D47" s="36" t="n"/>
      <c r="E47" s="36" t="n"/>
      <c r="F47" s="37" t="n"/>
      <c r="G47" s="36" t="n"/>
      <c r="H47" s="36" t="n"/>
    </row>
    <row r="48">
      <c r="A48" s="36" t="n"/>
      <c r="B48" s="36" t="n"/>
      <c r="C48" s="36" t="n"/>
      <c r="D48" s="36" t="n"/>
      <c r="E48" s="36" t="n"/>
      <c r="F48" s="37" t="n"/>
      <c r="G48" s="36" t="n"/>
      <c r="H48" s="36" t="n"/>
    </row>
    <row r="49">
      <c r="A49" s="36" t="n"/>
      <c r="B49" s="36" t="n"/>
      <c r="C49" s="36" t="n"/>
      <c r="D49" s="36" t="n"/>
      <c r="E49" s="36" t="n"/>
      <c r="F49" s="37" t="n"/>
      <c r="G49" s="36" t="n"/>
      <c r="H49" s="36" t="n"/>
    </row>
    <row r="50">
      <c r="A50" s="36" t="n"/>
      <c r="B50" s="36" t="n"/>
      <c r="C50" s="36" t="n"/>
      <c r="D50" s="36" t="n"/>
      <c r="E50" s="36" t="n"/>
      <c r="F50" s="37" t="n"/>
      <c r="G50" s="36" t="n"/>
      <c r="H50" s="36" t="n"/>
    </row>
    <row r="51">
      <c r="A51" s="36" t="n"/>
      <c r="B51" s="36" t="n"/>
      <c r="C51" s="36" t="n"/>
      <c r="D51" s="36" t="n"/>
      <c r="E51" s="36" t="n"/>
      <c r="F51" s="37" t="n"/>
      <c r="G51" s="36" t="n"/>
      <c r="H51" s="36" t="n"/>
    </row>
    <row r="52">
      <c r="A52" s="36" t="n"/>
      <c r="B52" s="36" t="n"/>
      <c r="C52" s="36" t="n"/>
      <c r="D52" s="36" t="n"/>
      <c r="E52" s="36" t="n"/>
      <c r="F52" s="37" t="n"/>
      <c r="G52" s="36" t="n"/>
      <c r="H52" s="36" t="n"/>
    </row>
    <row r="53">
      <c r="A53" s="36" t="n"/>
      <c r="B53" s="36" t="n"/>
      <c r="C53" s="36" t="n"/>
      <c r="D53" s="36" t="n"/>
      <c r="E53" s="36" t="n"/>
      <c r="F53" s="37" t="n"/>
      <c r="G53" s="36" t="n"/>
      <c r="H53" s="36" t="n"/>
    </row>
    <row r="54">
      <c r="A54" s="36" t="n"/>
      <c r="B54" s="36" t="n"/>
      <c r="C54" s="36" t="n"/>
      <c r="D54" s="36" t="n"/>
      <c r="E54" s="36" t="n"/>
      <c r="F54" s="37" t="n"/>
      <c r="G54" s="36" t="n"/>
      <c r="H54" s="36" t="n"/>
    </row>
    <row r="55">
      <c r="A55" s="36" t="n"/>
      <c r="B55" s="36" t="n"/>
      <c r="C55" s="36" t="n"/>
      <c r="D55" s="36" t="n"/>
      <c r="E55" s="36" t="n"/>
      <c r="F55" s="37" t="n"/>
      <c r="G55" s="36" t="n"/>
      <c r="H55" s="36" t="n"/>
    </row>
    <row r="56">
      <c r="A56" s="36" t="n"/>
      <c r="B56" s="36" t="n"/>
      <c r="C56" s="36" t="n"/>
      <c r="D56" s="36" t="n"/>
      <c r="E56" s="36" t="n"/>
      <c r="F56" s="37" t="n"/>
      <c r="G56" s="36" t="n"/>
      <c r="H56" s="36" t="n"/>
    </row>
    <row r="57">
      <c r="A57" s="36" t="n"/>
      <c r="B57" s="36" t="n"/>
      <c r="C57" s="36" t="n"/>
      <c r="D57" s="36" t="n"/>
      <c r="E57" s="36" t="n"/>
      <c r="F57" s="37" t="n"/>
      <c r="G57" s="36" t="n"/>
      <c r="H57" s="36" t="n"/>
    </row>
    <row r="58">
      <c r="A58" s="36" t="n"/>
      <c r="B58" s="36" t="n"/>
      <c r="C58" s="36" t="n"/>
      <c r="D58" s="36" t="n"/>
      <c r="E58" s="36" t="n"/>
      <c r="F58" s="37" t="n"/>
      <c r="G58" s="36" t="n"/>
      <c r="H58" s="36" t="n"/>
    </row>
    <row r="59">
      <c r="A59" s="36" t="n"/>
      <c r="B59" s="36" t="n"/>
      <c r="C59" s="36" t="n"/>
      <c r="D59" s="36" t="n"/>
      <c r="E59" s="36" t="n"/>
      <c r="F59" s="37" t="n"/>
      <c r="G59" s="36" t="n"/>
      <c r="H59" s="36" t="n"/>
    </row>
    <row r="60">
      <c r="A60" s="36" t="n"/>
      <c r="B60" s="36" t="n"/>
      <c r="C60" s="36" t="n"/>
      <c r="D60" s="36" t="n"/>
      <c r="E60" s="36" t="n"/>
      <c r="F60" s="37" t="n"/>
      <c r="G60" s="36" t="n"/>
      <c r="H60" s="36" t="n"/>
    </row>
    <row r="61">
      <c r="A61" s="36" t="n"/>
      <c r="B61" s="36" t="n"/>
      <c r="C61" s="36" t="n"/>
      <c r="D61" s="36" t="n"/>
      <c r="E61" s="36" t="n"/>
      <c r="F61" s="37" t="n"/>
      <c r="G61" s="36" t="n"/>
      <c r="H61" s="36" t="n"/>
    </row>
    <row r="62">
      <c r="A62" s="36" t="n"/>
      <c r="B62" s="36" t="n"/>
      <c r="C62" s="36" t="n"/>
      <c r="D62" s="36" t="n"/>
      <c r="E62" s="36" t="n"/>
      <c r="F62" s="37" t="n"/>
      <c r="G62" s="36" t="n"/>
      <c r="H62" s="36" t="n"/>
    </row>
    <row r="63">
      <c r="A63" s="36" t="n"/>
      <c r="B63" s="36" t="n"/>
      <c r="C63" s="36" t="n"/>
      <c r="D63" s="36" t="n"/>
      <c r="E63" s="36" t="n"/>
      <c r="F63" s="37" t="n"/>
      <c r="G63" s="36" t="n"/>
      <c r="H63" s="36" t="n"/>
    </row>
    <row r="64">
      <c r="A64" s="36" t="n"/>
      <c r="B64" s="36" t="n"/>
      <c r="C64" s="36" t="n"/>
      <c r="D64" s="36" t="n"/>
      <c r="E64" s="36" t="n"/>
      <c r="F64" s="37" t="n"/>
      <c r="G64" s="36" t="n"/>
      <c r="H64" s="36" t="n"/>
    </row>
    <row r="65">
      <c r="A65" s="36" t="n"/>
      <c r="B65" s="36" t="n"/>
      <c r="C65" s="36" t="n"/>
      <c r="D65" s="36" t="n"/>
      <c r="E65" s="36" t="n"/>
      <c r="F65" s="37" t="n"/>
      <c r="G65" s="36" t="n"/>
      <c r="H65" s="36" t="n"/>
    </row>
    <row r="66">
      <c r="A66" s="36" t="n"/>
      <c r="B66" s="36" t="n"/>
      <c r="C66" s="36" t="n"/>
      <c r="D66" s="36" t="n"/>
      <c r="E66" s="36" t="n"/>
      <c r="F66" s="37" t="n"/>
      <c r="G66" s="36" t="n"/>
      <c r="H66" s="36" t="n"/>
    </row>
    <row r="67">
      <c r="A67" s="36" t="n"/>
      <c r="B67" s="36" t="n"/>
      <c r="C67" s="36" t="n"/>
      <c r="D67" s="36" t="n"/>
      <c r="E67" s="36" t="n"/>
      <c r="F67" s="37" t="n"/>
      <c r="G67" s="36" t="n"/>
      <c r="H67" s="36" t="n"/>
    </row>
    <row r="68">
      <c r="A68" s="36" t="n"/>
      <c r="B68" s="36" t="n"/>
      <c r="C68" s="36" t="n"/>
      <c r="D68" s="36" t="n"/>
      <c r="E68" s="36" t="n"/>
      <c r="F68" s="37" t="n"/>
      <c r="G68" s="36" t="n"/>
      <c r="H68" s="36" t="n"/>
    </row>
    <row r="69">
      <c r="A69" s="36" t="n"/>
      <c r="B69" s="36" t="n"/>
      <c r="C69" s="36" t="n"/>
      <c r="D69" s="36" t="n"/>
      <c r="E69" s="36" t="n"/>
      <c r="F69" s="37" t="n"/>
      <c r="G69" s="36" t="n"/>
      <c r="H69" s="36" t="n"/>
    </row>
    <row r="70">
      <c r="A70" s="36" t="n"/>
      <c r="B70" s="36" t="n"/>
      <c r="C70" s="36" t="n"/>
      <c r="D70" s="36" t="n"/>
      <c r="E70" s="36" t="n"/>
      <c r="F70" s="37" t="n"/>
      <c r="G70" s="36" t="n"/>
      <c r="H70" s="36" t="n"/>
    </row>
    <row r="71">
      <c r="A71" s="36" t="n"/>
      <c r="B71" s="36" t="n"/>
      <c r="C71" s="36" t="n"/>
      <c r="D71" s="36" t="n"/>
      <c r="E71" s="36" t="n"/>
      <c r="F71" s="37" t="n"/>
      <c r="G71" s="36" t="n"/>
      <c r="H71" s="36" t="n"/>
    </row>
    <row r="72">
      <c r="A72" s="36" t="n"/>
      <c r="B72" s="36" t="n"/>
      <c r="C72" s="36" t="n"/>
      <c r="D72" s="36" t="n"/>
      <c r="E72" s="36" t="n"/>
      <c r="F72" s="37" t="n"/>
      <c r="G72" s="36" t="n"/>
      <c r="H72" s="36" t="n"/>
    </row>
    <row r="73">
      <c r="A73" s="36" t="n"/>
      <c r="B73" s="36" t="n"/>
      <c r="C73" s="36" t="n"/>
      <c r="D73" s="36" t="n"/>
      <c r="E73" s="36" t="n"/>
      <c r="F73" s="37" t="n"/>
      <c r="G73" s="36" t="n"/>
      <c r="H73" s="36" t="n"/>
    </row>
    <row r="74">
      <c r="A74" s="36" t="n"/>
      <c r="B74" s="36" t="n"/>
      <c r="C74" s="36" t="n"/>
      <c r="D74" s="36" t="n"/>
      <c r="E74" s="36" t="n"/>
      <c r="F74" s="37" t="n"/>
      <c r="G74" s="36" t="n"/>
      <c r="H74" s="36" t="n"/>
    </row>
    <row r="75">
      <c r="A75" s="36" t="n"/>
      <c r="B75" s="36" t="n"/>
      <c r="C75" s="36" t="n"/>
      <c r="D75" s="36" t="n"/>
      <c r="E75" s="36" t="n"/>
      <c r="F75" s="37" t="n"/>
      <c r="G75" s="36" t="n"/>
      <c r="H75" s="36" t="n"/>
    </row>
    <row r="76">
      <c r="A76" s="36" t="n"/>
      <c r="B76" s="36" t="n"/>
      <c r="C76" s="36" t="n"/>
      <c r="D76" s="36" t="n"/>
      <c r="E76" s="36" t="n"/>
      <c r="F76" s="37" t="n"/>
      <c r="G76" s="36" t="n"/>
      <c r="H76" s="36" t="n"/>
    </row>
    <row r="77">
      <c r="A77" s="36" t="n"/>
      <c r="B77" s="36" t="n"/>
      <c r="C77" s="36" t="n"/>
      <c r="D77" s="36" t="n"/>
      <c r="E77" s="36" t="n"/>
      <c r="F77" s="37" t="n"/>
      <c r="G77" s="36" t="n"/>
      <c r="H77" s="36" t="n"/>
    </row>
    <row r="78">
      <c r="A78" s="36" t="n"/>
      <c r="B78" s="36" t="n"/>
      <c r="C78" s="36" t="n"/>
      <c r="D78" s="36" t="n"/>
      <c r="E78" s="36" t="n"/>
      <c r="F78" s="37" t="n"/>
      <c r="G78" s="36" t="n"/>
      <c r="H78" s="36" t="n"/>
    </row>
    <row r="79">
      <c r="A79" s="36" t="n"/>
      <c r="B79" s="36" t="n"/>
      <c r="C79" s="36" t="n"/>
      <c r="D79" s="36" t="n"/>
      <c r="E79" s="36" t="n"/>
      <c r="F79" s="37" t="n"/>
      <c r="G79" s="36" t="n"/>
      <c r="H79" s="36" t="n"/>
    </row>
    <row r="80">
      <c r="A80" s="36" t="n"/>
      <c r="B80" s="36" t="n"/>
      <c r="C80" s="36" t="n"/>
      <c r="D80" s="36" t="n"/>
      <c r="E80" s="36" t="n"/>
      <c r="F80" s="37" t="n"/>
      <c r="G80" s="36" t="n"/>
      <c r="H80" s="36" t="n"/>
    </row>
    <row r="81">
      <c r="A81" s="36" t="n"/>
      <c r="B81" s="36" t="n"/>
      <c r="C81" s="36" t="n"/>
      <c r="D81" s="36" t="n"/>
      <c r="E81" s="36" t="n"/>
      <c r="F81" s="37" t="n"/>
      <c r="G81" s="36" t="n"/>
      <c r="H81" s="36" t="n"/>
    </row>
    <row r="82">
      <c r="A82" s="36" t="n"/>
      <c r="B82" s="36" t="n"/>
      <c r="C82" s="36" t="n"/>
      <c r="D82" s="36" t="n"/>
      <c r="E82" s="36" t="n"/>
      <c r="F82" s="37" t="n"/>
      <c r="G82" s="36" t="n"/>
      <c r="H82" s="36" t="n"/>
    </row>
    <row r="83">
      <c r="A83" s="36" t="n"/>
      <c r="B83" s="36" t="n"/>
      <c r="C83" s="36" t="n"/>
      <c r="D83" s="36" t="n"/>
      <c r="E83" s="36" t="n"/>
      <c r="F83" s="37" t="n"/>
      <c r="G83" s="36" t="n"/>
      <c r="H83" s="36" t="n"/>
    </row>
    <row r="84">
      <c r="A84" s="36" t="n"/>
      <c r="B84" s="36" t="n"/>
      <c r="C84" s="36" t="n"/>
      <c r="D84" s="36" t="n"/>
      <c r="E84" s="36" t="n"/>
      <c r="F84" s="37" t="n"/>
      <c r="G84" s="36" t="n"/>
      <c r="H84" s="36" t="n"/>
    </row>
    <row r="85">
      <c r="A85" s="36" t="n"/>
      <c r="B85" s="36" t="n"/>
      <c r="C85" s="36" t="n"/>
      <c r="D85" s="36" t="n"/>
      <c r="E85" s="36" t="n"/>
      <c r="F85" s="37" t="n"/>
      <c r="G85" s="36" t="n"/>
      <c r="H85" s="36" t="n"/>
    </row>
    <row r="86">
      <c r="A86" s="36" t="n"/>
      <c r="B86" s="36" t="n"/>
      <c r="C86" s="36" t="n"/>
      <c r="D86" s="36" t="n"/>
      <c r="E86" s="36" t="n"/>
      <c r="F86" s="37" t="n"/>
      <c r="G86" s="36" t="n"/>
      <c r="H86" s="36" t="n"/>
    </row>
    <row r="87">
      <c r="A87" s="36" t="n"/>
      <c r="B87" s="36" t="n"/>
      <c r="C87" s="36" t="n"/>
      <c r="D87" s="36" t="n"/>
      <c r="E87" s="36" t="n"/>
      <c r="F87" s="37" t="n"/>
      <c r="G87" s="36" t="n"/>
      <c r="H87" s="36" t="n"/>
    </row>
    <row r="88">
      <c r="A88" s="36" t="n"/>
      <c r="B88" s="36" t="n"/>
      <c r="C88" s="36" t="n"/>
      <c r="D88" s="36" t="n"/>
      <c r="E88" s="36" t="n"/>
      <c r="F88" s="37" t="n"/>
      <c r="G88" s="36" t="n"/>
      <c r="H88" s="36" t="n"/>
    </row>
    <row r="89">
      <c r="A89" s="36" t="n"/>
      <c r="B89" s="36" t="n"/>
      <c r="C89" s="36" t="n"/>
      <c r="D89" s="36" t="n"/>
      <c r="E89" s="36" t="n"/>
      <c r="F89" s="37" t="n"/>
      <c r="G89" s="36" t="n"/>
      <c r="H89" s="36" t="n"/>
    </row>
    <row r="90">
      <c r="A90" s="36" t="n"/>
      <c r="B90" s="36" t="n"/>
      <c r="C90" s="36" t="n"/>
      <c r="D90" s="36" t="n"/>
      <c r="E90" s="36" t="n"/>
      <c r="F90" s="37" t="n"/>
      <c r="G90" s="36" t="n"/>
      <c r="H90" s="36" t="n"/>
    </row>
    <row r="91">
      <c r="A91" s="36" t="n"/>
      <c r="B91" s="36" t="n"/>
      <c r="C91" s="36" t="n"/>
      <c r="D91" s="36" t="n"/>
      <c r="E91" s="36" t="n"/>
      <c r="F91" s="37" t="n"/>
      <c r="G91" s="36" t="n"/>
      <c r="H91" s="36" t="n"/>
    </row>
    <row r="92">
      <c r="A92" s="36" t="n"/>
      <c r="B92" s="36" t="n"/>
      <c r="C92" s="36" t="n"/>
      <c r="D92" s="36" t="n"/>
      <c r="E92" s="36" t="n"/>
      <c r="F92" s="37" t="n"/>
      <c r="G92" s="36" t="n"/>
      <c r="H92" s="36" t="n"/>
    </row>
    <row r="93">
      <c r="A93" s="36" t="n"/>
      <c r="B93" s="36" t="n"/>
      <c r="C93" s="36" t="n"/>
      <c r="D93" s="36" t="n"/>
      <c r="E93" s="36" t="n"/>
      <c r="F93" s="37" t="n"/>
      <c r="G93" s="36" t="n"/>
      <c r="H93" s="36" t="n"/>
    </row>
    <row r="94">
      <c r="A94" s="36" t="n"/>
      <c r="B94" s="36" t="n"/>
      <c r="C94" s="36" t="n"/>
      <c r="D94" s="36" t="n"/>
      <c r="E94" s="36" t="n"/>
      <c r="F94" s="37" t="n"/>
      <c r="G94" s="36" t="n"/>
      <c r="H94" s="36" t="n"/>
    </row>
    <row r="95">
      <c r="A95" s="36" t="n"/>
      <c r="B95" s="36" t="n"/>
      <c r="C95" s="36" t="n"/>
      <c r="D95" s="36" t="n"/>
      <c r="E95" s="36" t="n"/>
      <c r="F95" s="37" t="n"/>
      <c r="G95" s="36" t="n"/>
      <c r="H95" s="36" t="n"/>
    </row>
    <row r="96">
      <c r="A96" s="36" t="n"/>
      <c r="B96" s="36" t="n"/>
      <c r="C96" s="36" t="n"/>
      <c r="D96" s="36" t="n"/>
      <c r="E96" s="36" t="n"/>
      <c r="F96" s="37" t="n"/>
      <c r="G96" s="36" t="n"/>
      <c r="H96" s="36" t="n"/>
    </row>
    <row r="97">
      <c r="A97" s="36" t="n"/>
      <c r="B97" s="36" t="n"/>
      <c r="C97" s="36" t="n"/>
      <c r="D97" s="36" t="n"/>
      <c r="E97" s="36" t="n"/>
      <c r="F97" s="37" t="n"/>
      <c r="G97" s="36" t="n"/>
      <c r="H97" s="36" t="n"/>
    </row>
    <row r="98">
      <c r="A98" s="36" t="n"/>
      <c r="B98" s="36" t="n"/>
      <c r="C98" s="36" t="n"/>
      <c r="D98" s="36" t="n"/>
      <c r="E98" s="36" t="n"/>
      <c r="F98" s="37" t="n"/>
      <c r="G98" s="36" t="n"/>
      <c r="H98" s="36" t="n"/>
    </row>
    <row r="99">
      <c r="A99" s="36" t="n"/>
      <c r="B99" s="36" t="n"/>
      <c r="C99" s="36" t="n"/>
      <c r="D99" s="36" t="n"/>
      <c r="E99" s="36" t="n"/>
      <c r="F99" s="37" t="n"/>
      <c r="G99" s="36" t="n"/>
      <c r="H99" s="36" t="n"/>
    </row>
    <row r="100">
      <c r="A100" s="36" t="n"/>
      <c r="B100" s="36" t="n"/>
      <c r="C100" s="36" t="n"/>
      <c r="D100" s="36" t="n"/>
      <c r="E100" s="36" t="n"/>
      <c r="F100" s="37" t="n"/>
      <c r="G100" s="36" t="n"/>
      <c r="H100" s="36" t="n"/>
    </row>
    <row r="101">
      <c r="A101" s="36" t="n"/>
      <c r="B101" s="36" t="n"/>
      <c r="C101" s="36" t="n"/>
      <c r="D101" s="36" t="n"/>
      <c r="E101" s="36" t="n"/>
      <c r="F101" s="37" t="n"/>
      <c r="G101" s="36" t="n"/>
      <c r="H101" s="36" t="n"/>
    </row>
    <row r="102">
      <c r="A102" s="36" t="n"/>
      <c r="B102" s="36" t="n"/>
      <c r="C102" s="36" t="n"/>
      <c r="D102" s="36" t="n"/>
      <c r="E102" s="36" t="n"/>
      <c r="F102" s="37" t="n"/>
      <c r="G102" s="36" t="n"/>
      <c r="H102" s="36" t="n"/>
    </row>
    <row r="103">
      <c r="A103" s="36" t="n"/>
      <c r="B103" s="36" t="n"/>
      <c r="C103" s="36" t="n"/>
      <c r="D103" s="36" t="n"/>
      <c r="E103" s="36" t="n"/>
      <c r="F103" s="37" t="n"/>
      <c r="G103" s="36" t="n"/>
      <c r="H103" s="36" t="n"/>
    </row>
    <row r="104">
      <c r="A104" s="36" t="n"/>
      <c r="B104" s="36" t="n"/>
      <c r="C104" s="36" t="n"/>
      <c r="D104" s="36" t="n"/>
      <c r="E104" s="36" t="n"/>
      <c r="F104" s="37" t="n"/>
      <c r="G104" s="36" t="n"/>
      <c r="H104" s="36" t="n"/>
    </row>
    <row r="105">
      <c r="A105" s="36" t="n"/>
      <c r="B105" s="36" t="n"/>
      <c r="C105" s="36" t="n"/>
      <c r="D105" s="36" t="n"/>
      <c r="E105" s="36" t="n"/>
      <c r="F105" s="37" t="n"/>
      <c r="G105" s="36" t="n"/>
      <c r="H105" s="36" t="n"/>
    </row>
  </sheetData>
  <mergeCells count="2">
    <mergeCell ref="A2:H2"/>
    <mergeCell ref="A1:H1"/>
  </mergeCells>
  <dataValidations count="2">
    <dataValidation sqref="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showDropDown="0" showInputMessage="0" showErrorMessage="0" allowBlank="0" type="list">
      <formula1>"Test Report,Screenshot,Log File,Video Recording,Configuration File,Runbook,Issue Ticket,Sign-Off,Other"</formula1>
    </dataValidation>
    <dataValidation sqref="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0" type="list">
      <formula1>"✅ Verified,⏳ Pending,❌ Not Verified"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54"/>
  <sheetViews>
    <sheetView showGridLines="0" workbookViewId="0">
      <selection activeCell="A1" sqref="A1"/>
    </sheetView>
  </sheetViews>
  <sheetFormatPr baseColWidth="8" defaultRowHeight="15"/>
  <cols>
    <col width="50" customWidth="1" min="1" max="1"/>
    <col width="25" customWidth="1" min="2" max="2"/>
    <col width="15" customWidth="1" min="3" max="3"/>
    <col width="15" customWidth="1" min="4" max="4"/>
    <col width="15" customWidth="1" min="5" max="5"/>
  </cols>
  <sheetData>
    <row r="1" ht="35" customHeight="1">
      <c r="A1" s="38" t="inlineStr">
        <is>
          <t>TESTING RESULTS — SUMMARY DASHBOARD</t>
        </is>
      </c>
    </row>
    <row r="2">
      <c r="A2" s="39" t="inlineStr">
        <is>
          <t>Assessment ID: ISMS-IMP-A.5.30.S4 | Assessment Date: [enter date]</t>
        </is>
      </c>
    </row>
    <row r="4">
      <c r="A4" s="40" t="inlineStr">
        <is>
          <t>TESTING ACTIVITY SUMMARY</t>
        </is>
      </c>
    </row>
    <row r="5">
      <c r="A5" s="25" t="inlineStr">
        <is>
          <t>Total Tests Scheduled:</t>
        </is>
      </c>
      <c r="B5" s="41">
        <f>COUNTA('Test Schedule'!A16:A65)</f>
        <v/>
      </c>
    </row>
    <row r="6">
      <c r="A6" s="25" t="inlineStr">
        <is>
          <t>Tests Completed:</t>
        </is>
      </c>
      <c r="B6" s="41">
        <f>COUNTIF('Test Results Log'!F16:F65,"✅*")</f>
        <v/>
      </c>
    </row>
    <row r="7">
      <c r="A7" s="25" t="inlineStr">
        <is>
          <t>Tests Partial Success:</t>
        </is>
      </c>
      <c r="B7" s="41">
        <f>COUNTIF('Test Results Log'!F16:F65,"⚠*")</f>
        <v/>
      </c>
    </row>
    <row r="8">
      <c r="A8" s="25" t="inlineStr">
        <is>
          <t>Tests Failed:</t>
        </is>
      </c>
      <c r="B8" s="41">
        <f>COUNTIF('Test Results Log'!F16:F65,"❌*")</f>
        <v/>
      </c>
    </row>
    <row r="9">
      <c r="A9" s="25" t="inlineStr">
        <is>
          <t>Tests In Progress:</t>
        </is>
      </c>
      <c r="B9" s="41">
        <f>COUNTIF('Test Results Log'!F16:F65,"In Progress*")</f>
        <v/>
      </c>
    </row>
    <row r="10">
      <c r="A10" s="25" t="inlineStr">
        <is>
          <t>Tests Not Started:</t>
        </is>
      </c>
      <c r="B10" s="41">
        <f>COUNTIF('Test Results Log'!F16:F65,"Not Started*")</f>
        <v/>
      </c>
    </row>
    <row r="12">
      <c r="A12" s="25" t="inlineStr">
        <is>
          <t>Test Success Rate:</t>
        </is>
      </c>
      <c r="B12" s="42">
        <f>IF(B5&gt;0,(B6+B7*0.5)/B5,0)</f>
        <v/>
      </c>
    </row>
    <row r="14">
      <c r="A14" s="40" t="inlineStr">
        <is>
          <t>TESTING COMPLIANCE BY CRITICALITY</t>
        </is>
      </c>
    </row>
    <row r="15">
      <c r="A15" s="25" t="inlineStr">
        <is>
          <t>Tier 1 - Critical Systems:</t>
        </is>
      </c>
      <c r="B15" s="43">
        <f>COUNTIF('Testing Compliance'!C16:C65,"Tier 1*")</f>
        <v/>
      </c>
    </row>
    <row r="16">
      <c r="A16" s="25" t="inlineStr">
        <is>
          <t>Tier 1 - Compliant:</t>
        </is>
      </c>
      <c r="B16" s="43">
        <f>SUMPRODUCT(('Testing Compliance'!C16:C65="Tier 1 - Critical")*('Testing Compliance'!G16:G65="✅ Compliant"))</f>
        <v/>
      </c>
    </row>
    <row r="17">
      <c r="A17" s="25" t="inlineStr">
        <is>
          <t>Tier 1 - Compliance Rate:</t>
        </is>
      </c>
      <c r="B17" s="44">
        <f>IF(B15&gt;0,B16/B15,0)</f>
        <v/>
      </c>
    </row>
    <row r="19">
      <c r="A19" s="25" t="inlineStr">
        <is>
          <t>Tier 2 - Important Systems:</t>
        </is>
      </c>
      <c r="B19" s="43">
        <f>COUNTIF('Testing Compliance'!C16:C65,"Tier 2*")</f>
        <v/>
      </c>
    </row>
    <row r="20">
      <c r="A20" s="25" t="inlineStr">
        <is>
          <t>Tier 2 - Compliant:</t>
        </is>
      </c>
      <c r="B20" s="43">
        <f>SUMPRODUCT(('Testing Compliance'!C16:C65="Tier 2 - Important")*('Testing Compliance'!G16:G65="✅ Compliant"))</f>
        <v/>
      </c>
    </row>
    <row r="21">
      <c r="A21" s="25" t="inlineStr">
        <is>
          <t>Tier 2 - Compliance Rate:</t>
        </is>
      </c>
      <c r="B21" s="44">
        <f>IF(B19&gt;0,B20/B19,0)</f>
        <v/>
      </c>
    </row>
    <row r="23">
      <c r="A23" s="40" t="inlineStr">
        <is>
          <t>ISSUE SUMMARY</t>
        </is>
      </c>
    </row>
    <row r="24">
      <c r="A24" s="25" t="inlineStr">
        <is>
          <t>Total Issues Identified:</t>
        </is>
      </c>
      <c r="B24" s="43">
        <f>COUNTA('Issue Remediation'!A16:A65)</f>
        <v/>
      </c>
    </row>
    <row r="25">
      <c r="A25" s="25" t="inlineStr">
        <is>
          <t>[!] Critical Issues:</t>
        </is>
      </c>
      <c r="B25" s="43">
        <f>COUNTIF('Issue Remediation'!E16:E65,"[!]*")</f>
        <v/>
      </c>
    </row>
    <row r="26">
      <c r="A26" s="25" t="inlineStr">
        <is>
          <t>[~] High Severity Issues:</t>
        </is>
      </c>
      <c r="B26" s="43">
        <f>COUNTIF('Issue Remediation'!E16:E65,"[~]*")</f>
        <v/>
      </c>
    </row>
    <row r="27">
      <c r="A27" s="25" t="inlineStr">
        <is>
          <t>[.] Medium Severity Issues:</t>
        </is>
      </c>
      <c r="B27" s="43">
        <f>COUNTIF('Issue Remediation'!E16:E65,"[.]*")</f>
        <v/>
      </c>
    </row>
    <row r="28">
      <c r="A28" s="25" t="inlineStr">
        <is>
          <t>[ ] Low Severity Issues:</t>
        </is>
      </c>
      <c r="B28" s="43">
        <f>COUNTIF('Issue Remediation'!E16:E65,"[ ]*")</f>
        <v/>
      </c>
    </row>
    <row r="30">
      <c r="A30" s="25" t="inlineStr">
        <is>
          <t>Open Issues:</t>
        </is>
      </c>
      <c r="B30" s="43">
        <f>COUNTIF('Issue Remediation'!F16:F65,"Open*")</f>
        <v/>
      </c>
    </row>
    <row r="31">
      <c r="A31" s="25" t="inlineStr">
        <is>
          <t>In Progress:</t>
        </is>
      </c>
      <c r="B31" s="43">
        <f>COUNTIF('Issue Remediation'!F16:F65,"In Progress*")</f>
        <v/>
      </c>
    </row>
    <row r="32">
      <c r="A32" s="25" t="inlineStr">
        <is>
          <t>Closed Issues:</t>
        </is>
      </c>
      <c r="B32" s="43">
        <f>COUNTIF('Issue Remediation'!F16:F65,"✅*")</f>
        <v/>
      </c>
    </row>
    <row r="34">
      <c r="A34" s="40" t="inlineStr">
        <is>
          <t>EVIDENCE &amp; APPROVAL STATUS</t>
        </is>
      </c>
    </row>
    <row r="35">
      <c r="A35" s="25" t="inlineStr">
        <is>
          <t>Evidence Items Collected:</t>
        </is>
      </c>
      <c r="B35" s="43">
        <f>COUNTA('Evidence Register'!A6:A105)</f>
        <v/>
      </c>
    </row>
    <row r="36">
      <c r="A36" s="25" t="inlineStr">
        <is>
          <t>Verified Evidence:</t>
        </is>
      </c>
      <c r="B36" s="43">
        <f>COUNTIF('Evidence Register'!H6:H105,"✅*")</f>
        <v/>
      </c>
    </row>
    <row r="37">
      <c r="A37" s="25" t="inlineStr">
        <is>
          <t>Minimum Evidence Required:</t>
        </is>
      </c>
      <c r="B37" s="45" t="inlineStr">
        <is>
          <t>5</t>
        </is>
      </c>
    </row>
    <row r="38">
      <c r="A38" s="25" t="inlineStr">
        <is>
          <t>Evidence Compliance:</t>
        </is>
      </c>
      <c r="B38" s="43">
        <f>IF(B39&gt;=B41,"✅ Sufficient","❌ Insufficient")</f>
        <v/>
      </c>
    </row>
    <row r="40">
      <c r="A40" s="25" t="inlineStr">
        <is>
          <t>Assessment Status:</t>
        </is>
      </c>
      <c r="B40" s="43">
        <f>'Approval Sign-Off'!B7</f>
        <v/>
      </c>
    </row>
    <row r="41">
      <c r="A41" s="25" t="inlineStr">
        <is>
          <t>Level 1 - Assessor Completed:</t>
        </is>
      </c>
      <c r="B41" s="43">
        <f>IF('Approval Sign-Off'!B11&lt;&gt;"","✅ Complete","Pending")</f>
        <v/>
      </c>
    </row>
    <row r="42">
      <c r="A42" s="25" t="inlineStr">
        <is>
          <t>Level 2 - ISO Review:</t>
        </is>
      </c>
      <c r="B42" s="43">
        <f>IF('Approval Sign-Off'!B18&lt;&gt;"","✅ Complete","Pending")</f>
        <v/>
      </c>
    </row>
    <row r="43">
      <c r="A43" s="25" t="inlineStr">
        <is>
          <t>Level 3 - CISO Approval:</t>
        </is>
      </c>
      <c r="B43" s="43">
        <f>IF('Approval Sign-Off'!B25&lt;&gt;"","✅ Complete","Pending")</f>
        <v/>
      </c>
    </row>
    <row r="45">
      <c r="A45" s="40" t="inlineStr">
        <is>
          <t>PRIORITY ACTIONS</t>
        </is>
      </c>
    </row>
    <row r="46">
      <c r="A46" s="46" t="inlineStr">
        <is>
          <t>1. Address all [!] Critical issues discovered during testing</t>
        </is>
      </c>
    </row>
    <row r="47">
      <c r="A47" s="46" t="inlineStr">
        <is>
          <t>2. Complete all overdue tests (Overdue in Testing Compliance)</t>
        </is>
      </c>
    </row>
    <row r="48">
      <c r="A48" s="46" t="inlineStr">
        <is>
          <t>3. Schedule quarterly tests for Tier 1 systems</t>
        </is>
      </c>
    </row>
    <row r="49">
      <c r="A49" s="46" t="inlineStr">
        <is>
          <t>4. Remediate test failures (Failed tests in Test Results Log)</t>
        </is>
      </c>
    </row>
    <row r="50">
      <c r="A50" s="46" t="inlineStr">
        <is>
          <t>5. Document lessons learned from partial successes</t>
        </is>
      </c>
    </row>
    <row r="51">
      <c r="A51" s="46" t="inlineStr">
        <is>
          <t>6. Collect minimum 5 evidence items in the Evidence Register</t>
        </is>
      </c>
    </row>
    <row r="52">
      <c r="A52" s="46" t="inlineStr">
        <is>
          <t>7. Complete all 3 approval levels (Assessor to ISO to CISO)</t>
        </is>
      </c>
    </row>
    <row r="53">
      <c r="A53" s="46" t="inlineStr">
        <is>
          <t>8. Plan next annual full DR scenario test</t>
        </is>
      </c>
    </row>
    <row r="54">
      <c r="A54" s="46" t="inlineStr">
        <is>
          <t>9. Update runbooks based on test findings</t>
        </is>
      </c>
    </row>
  </sheetData>
  <mergeCells count="7">
    <mergeCell ref="A34:E34"/>
    <mergeCell ref="A4:E4"/>
    <mergeCell ref="A2:E2"/>
    <mergeCell ref="A1:E1"/>
    <mergeCell ref="A23:E23"/>
    <mergeCell ref="A45:E45"/>
    <mergeCell ref="A14:E1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0" customWidth="1" min="2" max="2"/>
    <col width="20" customWidth="1" min="3" max="3"/>
    <col width="20" customWidth="1" min="4" max="4"/>
    <col width="20" customWidth="1" min="5" max="5"/>
  </cols>
  <sheetData>
    <row r="1" ht="35" customHeight="1">
      <c r="A1" s="47" t="inlineStr">
        <is>
          <t>ASSESSMENT APPROVAL AND SIGN-OFF</t>
        </is>
      </c>
      <c r="B1" s="6" t="n"/>
      <c r="C1" s="6" t="n"/>
      <c r="D1" s="6" t="n"/>
      <c r="E1" s="6" t="n"/>
    </row>
    <row r="2">
      <c r="A2" s="48" t="inlineStr">
        <is>
          <t>ISMS-IMP-A.5.30.S4 | ISO/IEC 27001:2022 - Control A.5.30 (BC/DR Testing)</t>
        </is>
      </c>
      <c r="B2" s="6" t="n"/>
      <c r="C2" s="6" t="n"/>
      <c r="D2" s="6" t="n"/>
      <c r="E2" s="6" t="n"/>
    </row>
    <row r="3">
      <c r="A3" s="49" t="inlineStr">
        <is>
          <t>ASSESSMENT SUMMARY</t>
        </is>
      </c>
      <c r="B3" s="6" t="n"/>
      <c r="C3" s="6" t="n"/>
      <c r="D3" s="6" t="n"/>
      <c r="E3" s="6" t="n"/>
    </row>
    <row r="4">
      <c r="A4" s="50" t="inlineStr">
        <is>
          <t>Document:</t>
        </is>
      </c>
      <c r="B4" s="6" t="inlineStr">
        <is>
          <t>ISMS-IMP-A.5.30.S4 - BC/DR Testing Results Tracker</t>
        </is>
      </c>
      <c r="C4" s="6" t="n"/>
      <c r="D4" s="6" t="n"/>
      <c r="E4" s="6" t="n"/>
    </row>
    <row r="5">
      <c r="A5" s="50" t="inlineStr">
        <is>
          <t>Assessment Period:</t>
        </is>
      </c>
      <c r="B5" s="36" t="inlineStr"/>
      <c r="C5" s="36" t="n"/>
      <c r="D5" s="36" t="n"/>
      <c r="E5" s="36" t="n"/>
    </row>
    <row r="6">
      <c r="A6" s="50" t="inlineStr">
        <is>
          <t>Overall Test Pass Rate:</t>
        </is>
      </c>
      <c r="B6" s="51">
        <f>'Summary Dashboard'!B13</f>
        <v/>
      </c>
      <c r="C6" s="6" t="n"/>
      <c r="D6" s="6" t="n"/>
      <c r="E6" s="6" t="n"/>
    </row>
    <row r="7">
      <c r="A7" s="50" t="inlineStr">
        <is>
          <t>Assessment Status:</t>
        </is>
      </c>
      <c r="B7" s="36" t="inlineStr"/>
      <c r="C7" s="36" t="n"/>
      <c r="D7" s="36" t="n"/>
      <c r="E7" s="36" t="n"/>
    </row>
    <row r="8">
      <c r="A8" s="50" t="inlineStr">
        <is>
          <t>Assessed By:</t>
        </is>
      </c>
      <c r="B8" s="36" t="inlineStr"/>
      <c r="C8" s="36" t="n"/>
      <c r="D8" s="36" t="n"/>
      <c r="E8" s="36" t="n"/>
    </row>
    <row r="11">
      <c r="A11" s="49" t="inlineStr">
        <is>
          <t>COMPLETED BY (ASSESSOR)</t>
        </is>
      </c>
      <c r="B11" s="6" t="n"/>
      <c r="C11" s="6" t="n"/>
      <c r="D11" s="6" t="n"/>
      <c r="E11" s="6" t="n"/>
    </row>
    <row r="12">
      <c r="A12" s="50" t="inlineStr">
        <is>
          <t>Name:</t>
        </is>
      </c>
      <c r="B12" s="36" t="n"/>
      <c r="C12" s="36" t="n"/>
      <c r="D12" s="36" t="n"/>
      <c r="E12" s="36" t="n"/>
    </row>
    <row r="13">
      <c r="A13" s="50" t="inlineStr">
        <is>
          <t>Title:</t>
        </is>
      </c>
      <c r="B13" s="36" t="n"/>
      <c r="C13" s="36" t="n"/>
      <c r="D13" s="36" t="n"/>
      <c r="E13" s="36" t="n"/>
    </row>
    <row r="14">
      <c r="A14" s="50" t="inlineStr">
        <is>
          <t>Date:</t>
        </is>
      </c>
      <c r="B14" s="36" t="n"/>
      <c r="C14" s="36" t="n"/>
      <c r="D14" s="36" t="n"/>
      <c r="E14" s="36" t="n"/>
    </row>
    <row r="15">
      <c r="A15" s="50" t="inlineStr">
        <is>
          <t>Signature:</t>
        </is>
      </c>
      <c r="B15" s="36" t="n"/>
      <c r="C15" s="36" t="n"/>
      <c r="D15" s="36" t="n"/>
      <c r="E15" s="36" t="n"/>
    </row>
    <row r="16">
      <c r="A16" s="50" t="inlineStr">
        <is>
          <t>Comments:</t>
        </is>
      </c>
      <c r="B16" s="36" t="n"/>
      <c r="C16" s="36" t="n"/>
      <c r="D16" s="36" t="n"/>
      <c r="E16" s="36" t="n"/>
    </row>
    <row r="18">
      <c r="A18" s="49" t="inlineStr">
        <is>
          <t>REVIEWED BY (INFORMATION SECURITY OFFICER)</t>
        </is>
      </c>
      <c r="B18" s="6" t="n"/>
      <c r="C18" s="6" t="n"/>
      <c r="D18" s="6" t="n"/>
      <c r="E18" s="6" t="n"/>
    </row>
    <row r="19">
      <c r="A19" s="50" t="inlineStr">
        <is>
          <t>Name:</t>
        </is>
      </c>
      <c r="B19" s="36" t="n"/>
      <c r="C19" s="36" t="n"/>
      <c r="D19" s="36" t="n"/>
      <c r="E19" s="36" t="n"/>
    </row>
    <row r="20">
      <c r="A20" s="50" t="inlineStr">
        <is>
          <t>Title:</t>
        </is>
      </c>
      <c r="B20" s="36" t="n"/>
      <c r="C20" s="36" t="n"/>
      <c r="D20" s="36" t="n"/>
      <c r="E20" s="36" t="n"/>
    </row>
    <row r="21">
      <c r="A21" s="50" t="inlineStr">
        <is>
          <t>Date:</t>
        </is>
      </c>
      <c r="B21" s="36" t="n"/>
      <c r="C21" s="36" t="n"/>
      <c r="D21" s="36" t="n"/>
      <c r="E21" s="36" t="n"/>
    </row>
    <row r="22">
      <c r="A22" s="50" t="inlineStr">
        <is>
          <t>Signature:</t>
        </is>
      </c>
      <c r="B22" s="36" t="n"/>
      <c r="C22" s="36" t="n"/>
      <c r="D22" s="36" t="n"/>
      <c r="E22" s="36" t="n"/>
    </row>
    <row r="23">
      <c r="A23" s="50" t="inlineStr">
        <is>
          <t>Comments:</t>
        </is>
      </c>
      <c r="B23" s="36" t="n"/>
      <c r="C23" s="36" t="n"/>
      <c r="D23" s="36" t="n"/>
      <c r="E23" s="36" t="n"/>
    </row>
    <row r="25">
      <c r="A25" s="52" t="inlineStr">
        <is>
          <t>APPROVED BY (CISO)</t>
        </is>
      </c>
      <c r="B25" s="6" t="n"/>
      <c r="C25" s="6" t="n"/>
      <c r="D25" s="6" t="n"/>
      <c r="E25" s="6" t="n"/>
    </row>
    <row r="26">
      <c r="A26" s="50" t="inlineStr">
        <is>
          <t>Name:</t>
        </is>
      </c>
      <c r="B26" s="36" t="n"/>
      <c r="C26" s="36" t="n"/>
      <c r="D26" s="36" t="n"/>
      <c r="E26" s="36" t="n"/>
    </row>
    <row r="27">
      <c r="A27" s="50" t="inlineStr">
        <is>
          <t>Title:</t>
        </is>
      </c>
      <c r="B27" s="36" t="n"/>
      <c r="C27" s="36" t="n"/>
      <c r="D27" s="36" t="n"/>
      <c r="E27" s="36" t="n"/>
    </row>
    <row r="28">
      <c r="A28" s="50" t="inlineStr">
        <is>
          <t>Date:</t>
        </is>
      </c>
      <c r="B28" s="36" t="n"/>
      <c r="C28" s="36" t="n"/>
      <c r="D28" s="36" t="n"/>
      <c r="E28" s="36" t="n"/>
    </row>
    <row r="29">
      <c r="A29" s="50" t="inlineStr">
        <is>
          <t>Signature:</t>
        </is>
      </c>
      <c r="B29" s="36" t="n"/>
      <c r="C29" s="36" t="n"/>
      <c r="D29" s="36" t="n"/>
      <c r="E29" s="36" t="n"/>
    </row>
    <row r="30">
      <c r="A30" s="50" t="inlineStr">
        <is>
          <t>Comments:</t>
        </is>
      </c>
      <c r="B30" s="36" t="n"/>
      <c r="C30" s="36" t="n"/>
      <c r="D30" s="36" t="n"/>
      <c r="E30" s="36" t="n"/>
    </row>
    <row r="32">
      <c r="A32" s="53" t="inlineStr">
        <is>
          <t>FINAL DECISION:</t>
        </is>
      </c>
      <c r="B32" s="36" t="n"/>
      <c r="C32" s="36" t="n"/>
      <c r="D32" s="36" t="n"/>
      <c r="E32" s="36" t="n"/>
    </row>
    <row r="35">
      <c r="A35" s="49" t="inlineStr">
        <is>
          <t>NEXT REVIEW DETAILS</t>
        </is>
      </c>
      <c r="B35" s="6" t="n"/>
      <c r="C35" s="6" t="n"/>
      <c r="D35" s="6" t="n"/>
      <c r="E35" s="6" t="n"/>
    </row>
    <row r="36">
      <c r="A36" s="50" t="inlineStr">
        <is>
          <t>Next Review Date:</t>
        </is>
      </c>
      <c r="B36" s="36" t="n"/>
      <c r="C36" s="36" t="n"/>
      <c r="D36" s="36" t="n"/>
      <c r="E36" s="36" t="n"/>
    </row>
    <row r="37">
      <c r="A37" s="50" t="inlineStr">
        <is>
          <t>Review Responsible:</t>
        </is>
      </c>
      <c r="B37" s="36" t="n"/>
      <c r="C37" s="36" t="n"/>
      <c r="D37" s="36" t="n"/>
      <c r="E37" s="36" t="n"/>
    </row>
    <row r="38">
      <c r="A38" s="50" t="inlineStr">
        <is>
          <t>Special Considerations:</t>
        </is>
      </c>
      <c r="B38" s="36" t="n"/>
      <c r="C38" s="36" t="n"/>
      <c r="D38" s="36" t="n"/>
      <c r="E38" s="3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ISMS-IMP-A.5.30.S4 — Testing Results</dc:title>
  <dc:description xmlns:dc="http://purl.org/dc/elements/1.1/">ISMS Implementation Workbook — ISMS-IMP-A.5.30.S4</dc:description>
  <dc:subject xmlns:dc="http://purl.org/dc/elements/1.1/">ISO/IEC 27001:2022 — Control A.5.30: Information Backup</dc:subject>
  <dcterms:created xmlns:dcterms="http://purl.org/dc/terms/" xmlns:xsi="http://www.w3.org/2001/XMLSchema-instance" xsi:type="dcterms:W3CDTF">2026-03-10T18:48:46Z</dcterms:created>
  <dcterms:modified xmlns:dcterms="http://purl.org/dc/terms/" xmlns:xsi="http://www.w3.org/2001/XMLSchema-instance" xsi:type="dcterms:W3CDTF">2026-03-10T18:48:46Z</dcterms:modified>
</cp:coreProperties>
</file>