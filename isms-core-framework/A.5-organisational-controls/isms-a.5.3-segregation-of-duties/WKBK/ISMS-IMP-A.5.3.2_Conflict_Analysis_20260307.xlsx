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nflict Register" sheetId="2" state="visible" r:id="rId2"/>
    <sheet xmlns:r="http://schemas.openxmlformats.org/officeDocument/2006/relationships" name="Impact Assessment" sheetId="3" state="visible" r:id="rId3"/>
    <sheet xmlns:r="http://schemas.openxmlformats.org/officeDocument/2006/relationships" name="Exploitation Scenarios" sheetId="4" state="visible" r:id="rId4"/>
    <sheet xmlns:r="http://schemas.openxmlformats.org/officeDocument/2006/relationships" name="Control Mapping" sheetId="5" state="visible" r:id="rId5"/>
    <sheet xmlns:r="http://schemas.openxmlformats.org/officeDocument/2006/relationships" name="Trend Analysis" sheetId="6" state="visible" r:id="rId6"/>
    <sheet xmlns:r="http://schemas.openxmlformats.org/officeDocument/2006/relationships" name="Prioritisation Matrix"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name val="Calibri"/>
      <color rgb="00FFFFFF"/>
      <sz val="10"/>
    </font>
    <font>
      <b val="1"/>
      <color rgb="00003366"/>
      <sz val="11"/>
    </font>
    <font>
      <name val="Calibri"/>
      <i val="1"/>
      <sz val="10"/>
    </font>
    <font>
      <name val="Calibri"/>
      <b val="1"/>
      <color rgb="00FFFFFF"/>
      <sz val="10"/>
    </font>
    <font>
      <name val="Calibri"/>
      <sz val="10"/>
    </font>
    <font>
      <name val="Calibri"/>
      <i val="1"/>
      <color rgb="00003366"/>
      <sz val="10"/>
    </font>
    <font>
      <name val="Calibri"/>
      <b val="1"/>
      <color rgb="00FFFFFF"/>
      <sz val="11"/>
    </font>
    <font>
      <name val="Calibri"/>
      <b val="1"/>
      <color rgb="00000000"/>
      <sz val="10"/>
    </font>
    <font>
      <name val="Calibri"/>
      <color rgb="00000000"/>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xf>
    <xf numFmtId="0" fontId="6" fillId="9" borderId="0" applyAlignment="1" pivotButton="0" quotePrefix="0" xfId="0">
      <alignment horizontal="center" vertical="center"/>
    </xf>
    <xf numFmtId="0" fontId="7"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0" fillId="11" borderId="1" pivotButton="0" quotePrefix="0" xfId="0"/>
    <xf numFmtId="0" fontId="0" fillId="12" borderId="1" pivotButton="0" quotePrefix="0" xfId="0"/>
    <xf numFmtId="0" fontId="1" fillId="8" borderId="1" applyAlignment="1" pivotButton="0" quotePrefix="0" xfId="0">
      <alignment horizontal="center" vertical="center"/>
    </xf>
    <xf numFmtId="0" fontId="8" fillId="0" borderId="1" applyAlignment="1" pivotButton="0" quotePrefix="0" xfId="0">
      <alignment horizontal="left" vertical="center"/>
    </xf>
    <xf numFmtId="0" fontId="9" fillId="8" borderId="1" applyAlignment="1" pivotButton="0" quotePrefix="0" xfId="0">
      <alignment horizontal="center" vertical="center" wrapText="1"/>
    </xf>
    <xf numFmtId="0" fontId="10" fillId="11" borderId="1" applyAlignment="1" pivotButton="0" quotePrefix="0" xfId="0">
      <alignment horizontal="center" vertical="center" wrapText="1"/>
    </xf>
    <xf numFmtId="0" fontId="10" fillId="11" borderId="1" applyAlignment="1" pivotButton="0" quotePrefix="0" xfId="0">
      <alignment horizontal="left" vertical="center" wrapText="1"/>
    </xf>
    <xf numFmtId="0" fontId="0" fillId="12" borderId="1" applyAlignment="1" pivotButton="0" quotePrefix="0" xfId="0">
      <alignment horizontal="center" vertical="center" wrapText="1"/>
    </xf>
    <xf numFmtId="0" fontId="1" fillId="8" borderId="2" applyAlignment="1" pivotButton="0" quotePrefix="0" xfId="0">
      <alignment horizontal="center" vertical="center" wrapText="1"/>
    </xf>
    <xf numFmtId="0" fontId="0" fillId="0" borderId="2" pivotButton="0" quotePrefix="0" xfId="0"/>
    <xf numFmtId="0" fontId="11" fillId="0" borderId="2" applyAlignment="1" pivotButton="0" quotePrefix="0" xfId="0">
      <alignment horizontal="left" vertical="center"/>
    </xf>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applyAlignment="1" pivotButton="0" quotePrefix="0" xfId="0">
      <alignment horizontal="left" vertical="center" wrapText="1"/>
    </xf>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applyAlignment="1" pivotButton="0" quotePrefix="0" xfId="0">
      <alignment horizontal="left" vertical="center" wrapText="1"/>
    </xf>
    <xf numFmtId="0" fontId="13" fillId="10" borderId="2" applyAlignment="1" pivotButton="0" quotePrefix="0" xfId="0">
      <alignment horizontal="center"/>
    </xf>
    <xf numFmtId="164" fontId="13" fillId="10" borderId="2" applyAlignment="1" pivotButton="0" quotePrefix="0" xfId="0">
      <alignment horizontal="center"/>
    </xf>
    <xf numFmtId="0" fontId="12" fillId="13" borderId="2" applyAlignment="1" pivotButton="0" quotePrefix="0" xfId="0">
      <alignment horizontal="left" vertical="center"/>
    </xf>
    <xf numFmtId="0" fontId="14" fillId="12" borderId="2" applyAlignment="1" pivotButton="0" quotePrefix="0" xfId="0">
      <alignment horizontal="left" vertical="center" wrapText="1"/>
    </xf>
    <xf numFmtId="0" fontId="14" fillId="12" borderId="2" applyAlignment="1" pivotButton="0" quotePrefix="0" xfId="0">
      <alignment horizontal="center"/>
    </xf>
    <xf numFmtId="0" fontId="0" fillId="12" borderId="2" pivotButton="0" quotePrefix="0" xfId="0"/>
    <xf numFmtId="0" fontId="12" fillId="9" borderId="2" pivotButton="0" quotePrefix="0" xfId="0"/>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2" fillId="9"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ISMS-IMP-A.5.3.2  -  Conflict Analysis
ISO/IEC 27001:2022 - Control A.5.3: Segregation of Duties</t>
        </is>
      </c>
    </row>
    <row r="3">
      <c r="A3" s="2" t="inlineStr">
        <is>
          <t>Document Information</t>
        </is>
      </c>
    </row>
    <row r="4">
      <c r="A4" s="3" t="inlineStr">
        <is>
          <t>Document ID</t>
        </is>
      </c>
      <c r="B4" t="inlineStr">
        <is>
          <t>ISMS-IMP-A.5.3.2</t>
        </is>
      </c>
    </row>
    <row r="5">
      <c r="A5" s="3" t="inlineStr">
        <is>
          <t>Workbook Title</t>
        </is>
      </c>
      <c r="B5" t="inlineStr">
        <is>
          <t>Conflict Analysis</t>
        </is>
      </c>
    </row>
    <row r="6">
      <c r="A6" s="3" t="inlineStr">
        <is>
          <t>Control Reference</t>
        </is>
      </c>
      <c r="B6" t="inlineStr">
        <is>
          <t>ISO/IEC 27001:2022 - Control A.5.3: Segregation of Duties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Log all identified duty conflicts in the Conflict Register with severity ratings.</t>
        </is>
      </c>
    </row>
    <row r="14">
      <c r="A14" t="inlineStr">
        <is>
          <t>2. Complete Impact Assessment — assess the business risk of each conflict.</t>
        </is>
      </c>
    </row>
    <row r="15">
      <c r="A15" t="inlineStr">
        <is>
          <t>3. Document Exploitation Scenarios — describe how each conflict could be abused.</t>
        </is>
      </c>
    </row>
    <row r="16">
      <c r="A16" t="inlineStr">
        <is>
          <t>4. Complete Control Mapping — identify existing controls that mitigate each conflict.</t>
        </is>
      </c>
    </row>
    <row r="17">
      <c r="A17" t="inlineStr">
        <is>
          <t>5. Review Trend Analysis — identify patterns in recurring or unresolved conflicts.</t>
        </is>
      </c>
    </row>
    <row r="18">
      <c r="A18" t="inlineStr">
        <is>
          <t>6. Prioritise remediation using the Prioritisation Matrix (severity × likelihood).</t>
        </is>
      </c>
    </row>
    <row r="19">
      <c r="A19" t="inlineStr">
        <is>
          <t>7. Maintain the Evidence Register with audit documentation.</t>
        </is>
      </c>
    </row>
    <row r="20">
      <c r="A20" t="inlineStr">
        <is>
          <t>8. Obtain final approval and sign-off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20" customWidth="1" min="3" max="3"/>
    <col width="25" customWidth="1" min="4" max="4"/>
    <col width="25" customWidth="1" min="5" max="5"/>
    <col width="25" customWidth="1" min="6" max="6"/>
    <col width="12" customWidth="1" min="7" max="7"/>
    <col width="15" customWidth="1" min="8" max="8"/>
    <col width="15" customWidth="1" min="9" max="9"/>
  </cols>
  <sheetData>
    <row r="1" ht="35" customHeight="1">
      <c r="A1" s="11" t="inlineStr">
        <is>
          <t>CONFLICT REGISTER</t>
        </is>
      </c>
    </row>
    <row r="2">
      <c r="A2" s="12" t="inlineStr">
        <is>
          <t>ISO 27001:2022 | A.5.3 | Catalogue of identified SoD conflicts with severity and status</t>
        </is>
      </c>
    </row>
    <row r="3">
      <c r="A3" s="13" t="inlineStr">
        <is>
          <t>Conflict ID</t>
        </is>
      </c>
      <c r="B3" s="13" t="inlineStr">
        <is>
          <t>Gap ID</t>
        </is>
      </c>
      <c r="C3" s="13" t="inlineStr">
        <is>
          <t>Conflict Category</t>
        </is>
      </c>
      <c r="D3" s="13" t="inlineStr">
        <is>
          <t>Role A</t>
        </is>
      </c>
      <c r="E3" s="13" t="inlineStr">
        <is>
          <t>Role B</t>
        </is>
      </c>
      <c r="F3" s="13" t="inlineStr">
        <is>
          <t>Process</t>
        </is>
      </c>
      <c r="G3" s="13" t="inlineStr">
        <is>
          <t>Conflict Type</t>
        </is>
      </c>
      <c r="H3" s="13" t="inlineStr">
        <is>
          <t>Persons Affected</t>
        </is>
      </c>
      <c r="I3" s="13" t="inlineStr">
        <is>
          <t>Analysis Status</t>
        </is>
      </c>
    </row>
    <row r="4">
      <c r="A4" s="14" t="inlineStr">
        <is>
          <t>CON-2026-001</t>
        </is>
      </c>
      <c r="B4" s="14" t="inlineStr">
        <is>
          <t>GAP-2026-001</t>
        </is>
      </c>
      <c r="C4" s="14" t="inlineStr">
        <is>
          <t>Maker-Checker</t>
        </is>
      </c>
      <c r="D4" s="14" t="inlineStr">
        <is>
          <t>AP Clerk</t>
        </is>
      </c>
      <c r="E4" s="14" t="inlineStr">
        <is>
          <t>Treasurer</t>
        </is>
      </c>
      <c r="F4" s="14" t="inlineStr">
        <is>
          <t>Accounts Payable</t>
        </is>
      </c>
      <c r="G4" s="14" t="inlineStr">
        <is>
          <t>X</t>
        </is>
      </c>
      <c r="H4" s="14" t="n">
        <v>2</v>
      </c>
      <c r="I4" s="14" t="inlineStr">
        <is>
          <t>Complete</t>
        </is>
      </c>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3">
    <dataValidation sqref="C4:C200" showDropDown="0" showInputMessage="0" showErrorMessage="0" allowBlank="0" type="list">
      <formula1>"Maker-Checker,Requestor-Approver,Developer-Deployer,Administrator-Auditor,Creator-Reconciler,Custodian-Owner,Other"</formula1>
    </dataValidation>
    <dataValidation sqref="G4:G200" showDropDown="0" showInputMessage="0" showErrorMessage="0" allowBlank="0" type="list">
      <formula1>"X,C,M"</formula1>
    </dataValidation>
    <dataValidation sqref="I4:I200" showDropDown="0" showInputMessage="0" showErrorMessage="0" allowBlank="0" type="list">
      <formula1>"Pending,In Progress,Complete"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8" customWidth="1" min="3" max="3"/>
    <col width="18" customWidth="1" min="4" max="4"/>
    <col width="18" customWidth="1" min="5" max="5"/>
    <col width="15" customWidth="1" min="6" max="6"/>
    <col width="15" customWidth="1" min="7" max="7"/>
    <col width="50" customWidth="1" min="8" max="8"/>
    <col width="20" customWidth="1" min="9" max="9"/>
    <col width="15" customWidth="1" min="10" max="10"/>
  </cols>
  <sheetData>
    <row r="1" ht="35" customHeight="1">
      <c r="A1" s="11" t="inlineStr">
        <is>
          <t>IMPACT ASSESSMENT</t>
        </is>
      </c>
    </row>
    <row r="2">
      <c r="A2" s="12" t="inlineStr">
        <is>
          <t>ISO 27001:2022 | A.5.3 | Detailed impact scoring for identified SoD conflicts</t>
        </is>
      </c>
    </row>
    <row r="3">
      <c r="A3" s="13" t="inlineStr">
        <is>
          <t>Conflict ID</t>
        </is>
      </c>
      <c r="B3" s="13" t="inlineStr">
        <is>
          <t>Financial Impact</t>
        </is>
      </c>
      <c r="C3" s="13" t="inlineStr">
        <is>
          <t>Operational Impact</t>
        </is>
      </c>
      <c r="D3" s="13" t="inlineStr">
        <is>
          <t>Reputational Impact</t>
        </is>
      </c>
      <c r="E3" s="13" t="inlineStr">
        <is>
          <t>Compliance Impact</t>
        </is>
      </c>
      <c r="F3" s="13" t="inlineStr">
        <is>
          <t>Data Impact</t>
        </is>
      </c>
      <c r="G3" s="13" t="inlineStr">
        <is>
          <t>Overall Impact</t>
        </is>
      </c>
      <c r="H3" s="13" t="inlineStr">
        <is>
          <t>Justification</t>
        </is>
      </c>
      <c r="I3" s="13" t="inlineStr">
        <is>
          <t>Assessor</t>
        </is>
      </c>
      <c r="J3" s="13" t="inlineStr">
        <is>
          <t>Assessment Date</t>
        </is>
      </c>
    </row>
    <row r="4">
      <c r="A4" s="16" t="inlineStr">
        <is>
          <t>CON-2026-001</t>
        </is>
      </c>
      <c r="B4" s="16" t="inlineStr">
        <is>
          <t>4</t>
        </is>
      </c>
      <c r="C4" s="16" t="inlineStr">
        <is>
          <t>3</t>
        </is>
      </c>
      <c r="D4" s="16" t="inlineStr">
        <is>
          <t>3</t>
        </is>
      </c>
      <c r="E4" s="16" t="inlineStr">
        <is>
          <t>4</t>
        </is>
      </c>
      <c r="F4" s="16" t="inlineStr">
        <is>
          <t>3</t>
        </is>
      </c>
      <c r="G4" s="16">
        <f>MAX(B4:F4)</f>
        <v/>
      </c>
      <c r="H4" s="16" t="inlineStr">
        <is>
          <t>Fictitious vendor and payment fraud risk</t>
        </is>
      </c>
      <c r="I4" s="16" t="inlineStr">
        <is>
          <t>Risk Officer</t>
        </is>
      </c>
      <c r="J4" s="16" t="inlineStr">
        <is>
          <t>01.01.2026</t>
        </is>
      </c>
    </row>
    <row r="5">
      <c r="A5" s="17" t="n"/>
      <c r="B5" s="17" t="n"/>
      <c r="C5" s="17" t="n"/>
      <c r="D5" s="17" t="n"/>
      <c r="E5" s="17" t="n"/>
      <c r="F5" s="17" t="n"/>
      <c r="G5" s="16">
        <f>MAX(B5:F5)</f>
        <v/>
      </c>
      <c r="H5" s="17" t="n"/>
      <c r="I5" s="17" t="n"/>
      <c r="J5" s="17" t="n"/>
    </row>
    <row r="6">
      <c r="A6" s="17" t="n"/>
      <c r="B6" s="17" t="n"/>
      <c r="C6" s="17" t="n"/>
      <c r="D6" s="17" t="n"/>
      <c r="E6" s="17" t="n"/>
      <c r="F6" s="17" t="n"/>
      <c r="G6" s="16">
        <f>MAX(B6:F6)</f>
        <v/>
      </c>
      <c r="H6" s="17" t="n"/>
      <c r="I6" s="17" t="n"/>
      <c r="J6" s="17" t="n"/>
    </row>
    <row r="7">
      <c r="A7" s="17" t="n"/>
      <c r="B7" s="17" t="n"/>
      <c r="C7" s="17" t="n"/>
      <c r="D7" s="17" t="n"/>
      <c r="E7" s="17" t="n"/>
      <c r="F7" s="17" t="n"/>
      <c r="G7" s="16">
        <f>MAX(B7:F7)</f>
        <v/>
      </c>
      <c r="H7" s="17" t="n"/>
      <c r="I7" s="17" t="n"/>
      <c r="J7" s="17" t="n"/>
    </row>
    <row r="8">
      <c r="A8" s="17" t="n"/>
      <c r="B8" s="17" t="n"/>
      <c r="C8" s="17" t="n"/>
      <c r="D8" s="17" t="n"/>
      <c r="E8" s="17" t="n"/>
      <c r="F8" s="17" t="n"/>
      <c r="G8" s="16">
        <f>MAX(B8:F8)</f>
        <v/>
      </c>
      <c r="H8" s="17" t="n"/>
      <c r="I8" s="17" t="n"/>
      <c r="J8" s="17" t="n"/>
    </row>
    <row r="9">
      <c r="A9" s="17" t="n"/>
      <c r="B9" s="17" t="n"/>
      <c r="C9" s="17" t="n"/>
      <c r="D9" s="17" t="n"/>
      <c r="E9" s="17" t="n"/>
      <c r="F9" s="17" t="n"/>
      <c r="G9" s="16">
        <f>MAX(B9:F9)</f>
        <v/>
      </c>
      <c r="H9" s="17" t="n"/>
      <c r="I9" s="17" t="n"/>
      <c r="J9" s="17" t="n"/>
    </row>
    <row r="10">
      <c r="A10" s="17" t="n"/>
      <c r="B10" s="17" t="n"/>
      <c r="C10" s="17" t="n"/>
      <c r="D10" s="17" t="n"/>
      <c r="E10" s="17" t="n"/>
      <c r="F10" s="17" t="n"/>
      <c r="G10" s="16">
        <f>MAX(B10:F10)</f>
        <v/>
      </c>
      <c r="H10" s="17" t="n"/>
      <c r="I10" s="17" t="n"/>
      <c r="J10" s="17" t="n"/>
    </row>
    <row r="11">
      <c r="A11" s="17" t="n"/>
      <c r="B11" s="17" t="n"/>
      <c r="C11" s="17" t="n"/>
      <c r="D11" s="17" t="n"/>
      <c r="E11" s="17" t="n"/>
      <c r="F11" s="17" t="n"/>
      <c r="G11" s="16">
        <f>MAX(B11:F11)</f>
        <v/>
      </c>
      <c r="H11" s="17" t="n"/>
      <c r="I11" s="17" t="n"/>
      <c r="J11" s="17" t="n"/>
    </row>
    <row r="12">
      <c r="A12" s="17" t="n"/>
      <c r="B12" s="17" t="n"/>
      <c r="C12" s="17" t="n"/>
      <c r="D12" s="17" t="n"/>
      <c r="E12" s="17" t="n"/>
      <c r="F12" s="17" t="n"/>
      <c r="G12" s="16">
        <f>MAX(B12:F12)</f>
        <v/>
      </c>
      <c r="H12" s="17" t="n"/>
      <c r="I12" s="17" t="n"/>
      <c r="J12" s="17" t="n"/>
    </row>
    <row r="13">
      <c r="A13" s="17" t="n"/>
      <c r="B13" s="17" t="n"/>
      <c r="C13" s="17" t="n"/>
      <c r="D13" s="17" t="n"/>
      <c r="E13" s="17" t="n"/>
      <c r="F13" s="17" t="n"/>
      <c r="G13" s="16">
        <f>MAX(B13:F13)</f>
        <v/>
      </c>
      <c r="H13" s="17" t="n"/>
      <c r="I13" s="17" t="n"/>
      <c r="J13" s="17" t="n"/>
    </row>
    <row r="14">
      <c r="A14" s="17" t="n"/>
      <c r="B14" s="17" t="n"/>
      <c r="C14" s="17" t="n"/>
      <c r="D14" s="17" t="n"/>
      <c r="E14" s="17" t="n"/>
      <c r="F14" s="17" t="n"/>
      <c r="G14" s="16">
        <f>MAX(B14:F14)</f>
        <v/>
      </c>
      <c r="H14" s="17" t="n"/>
      <c r="I14" s="17" t="n"/>
      <c r="J14" s="17" t="n"/>
    </row>
    <row r="15">
      <c r="A15" s="17" t="n"/>
      <c r="B15" s="17" t="n"/>
      <c r="C15" s="17" t="n"/>
      <c r="D15" s="17" t="n"/>
      <c r="E15" s="17" t="n"/>
      <c r="F15" s="17" t="n"/>
      <c r="G15" s="16">
        <f>MAX(B15:F15)</f>
        <v/>
      </c>
      <c r="H15" s="17" t="n"/>
      <c r="I15" s="17" t="n"/>
      <c r="J15" s="17" t="n"/>
    </row>
    <row r="16">
      <c r="A16" s="17" t="n"/>
      <c r="B16" s="17" t="n"/>
      <c r="C16" s="17" t="n"/>
      <c r="D16" s="17" t="n"/>
      <c r="E16" s="17" t="n"/>
      <c r="F16" s="17" t="n"/>
      <c r="G16" s="16">
        <f>MAX(B16:F16)</f>
        <v/>
      </c>
      <c r="H16" s="17" t="n"/>
      <c r="I16" s="17" t="n"/>
      <c r="J16" s="17" t="n"/>
    </row>
    <row r="17">
      <c r="A17" s="17" t="n"/>
      <c r="B17" s="17" t="n"/>
      <c r="C17" s="17" t="n"/>
      <c r="D17" s="17" t="n"/>
      <c r="E17" s="17" t="n"/>
      <c r="F17" s="17" t="n"/>
      <c r="G17" s="16">
        <f>MAX(B17:F17)</f>
        <v/>
      </c>
      <c r="H17" s="17" t="n"/>
      <c r="I17" s="17" t="n"/>
      <c r="J17" s="17" t="n"/>
    </row>
    <row r="18">
      <c r="A18" s="17" t="n"/>
      <c r="B18" s="17" t="n"/>
      <c r="C18" s="17" t="n"/>
      <c r="D18" s="17" t="n"/>
      <c r="E18" s="17" t="n"/>
      <c r="F18" s="17" t="n"/>
      <c r="G18" s="16">
        <f>MAX(B18:F18)</f>
        <v/>
      </c>
      <c r="H18" s="17" t="n"/>
      <c r="I18" s="17" t="n"/>
      <c r="J18" s="17" t="n"/>
    </row>
    <row r="19">
      <c r="A19" s="17" t="n"/>
      <c r="B19" s="17" t="n"/>
      <c r="C19" s="17" t="n"/>
      <c r="D19" s="17" t="n"/>
      <c r="E19" s="17" t="n"/>
      <c r="F19" s="17" t="n"/>
      <c r="G19" s="16">
        <f>MAX(B19:F19)</f>
        <v/>
      </c>
      <c r="H19" s="17" t="n"/>
      <c r="I19" s="17" t="n"/>
      <c r="J19" s="17" t="n"/>
    </row>
    <row r="20">
      <c r="A20" s="17" t="n"/>
      <c r="B20" s="17" t="n"/>
      <c r="C20" s="17" t="n"/>
      <c r="D20" s="17" t="n"/>
      <c r="E20" s="17" t="n"/>
      <c r="F20" s="17" t="n"/>
      <c r="G20" s="16">
        <f>MAX(B20:F20)</f>
        <v/>
      </c>
      <c r="H20" s="17" t="n"/>
      <c r="I20" s="17" t="n"/>
      <c r="J20" s="17" t="n"/>
    </row>
    <row r="21">
      <c r="A21" s="17" t="n"/>
      <c r="B21" s="17" t="n"/>
      <c r="C21" s="17" t="n"/>
      <c r="D21" s="17" t="n"/>
      <c r="E21" s="17" t="n"/>
      <c r="F21" s="17" t="n"/>
      <c r="G21" s="16">
        <f>MAX(B21:F21)</f>
        <v/>
      </c>
      <c r="H21" s="17" t="n"/>
      <c r="I21" s="17" t="n"/>
      <c r="J21" s="17" t="n"/>
    </row>
    <row r="22">
      <c r="A22" s="17" t="n"/>
      <c r="B22" s="17" t="n"/>
      <c r="C22" s="17" t="n"/>
      <c r="D22" s="17" t="n"/>
      <c r="E22" s="17" t="n"/>
      <c r="F22" s="17" t="n"/>
      <c r="G22" s="16">
        <f>MAX(B22:F22)</f>
        <v/>
      </c>
      <c r="H22" s="17" t="n"/>
      <c r="I22" s="17" t="n"/>
      <c r="J22" s="17" t="n"/>
    </row>
    <row r="23">
      <c r="A23" s="17" t="n"/>
      <c r="B23" s="17" t="n"/>
      <c r="C23" s="17" t="n"/>
      <c r="D23" s="17" t="n"/>
      <c r="E23" s="17" t="n"/>
      <c r="F23" s="17" t="n"/>
      <c r="G23" s="16">
        <f>MAX(B23:F23)</f>
        <v/>
      </c>
      <c r="H23" s="17" t="n"/>
      <c r="I23" s="17" t="n"/>
      <c r="J23" s="17" t="n"/>
    </row>
    <row r="24">
      <c r="A24" s="17" t="n"/>
      <c r="B24" s="17" t="n"/>
      <c r="C24" s="17" t="n"/>
      <c r="D24" s="17" t="n"/>
      <c r="E24" s="17" t="n"/>
      <c r="F24" s="17" t="n"/>
      <c r="G24" s="16">
        <f>MAX(B24:F24)</f>
        <v/>
      </c>
      <c r="H24" s="17" t="n"/>
      <c r="I24" s="17" t="n"/>
      <c r="J24" s="17" t="n"/>
    </row>
    <row r="25">
      <c r="A25" s="17" t="n"/>
      <c r="B25" s="17" t="n"/>
      <c r="C25" s="17" t="n"/>
      <c r="D25" s="17" t="n"/>
      <c r="E25" s="17" t="n"/>
      <c r="F25" s="17" t="n"/>
      <c r="G25" s="16">
        <f>MAX(B25:F25)</f>
        <v/>
      </c>
      <c r="H25" s="17" t="n"/>
      <c r="I25" s="17" t="n"/>
      <c r="J25" s="17" t="n"/>
    </row>
    <row r="26">
      <c r="A26" s="17" t="n"/>
      <c r="B26" s="17" t="n"/>
      <c r="C26" s="17" t="n"/>
      <c r="D26" s="17" t="n"/>
      <c r="E26" s="17" t="n"/>
      <c r="F26" s="17" t="n"/>
      <c r="G26" s="16">
        <f>MAX(B26:F26)</f>
        <v/>
      </c>
      <c r="H26" s="17" t="n"/>
      <c r="I26" s="17" t="n"/>
      <c r="J26" s="17" t="n"/>
    </row>
    <row r="27">
      <c r="A27" s="17" t="n"/>
      <c r="B27" s="17" t="n"/>
      <c r="C27" s="17" t="n"/>
      <c r="D27" s="17" t="n"/>
      <c r="E27" s="17" t="n"/>
      <c r="F27" s="17" t="n"/>
      <c r="G27" s="16">
        <f>MAX(B27:F27)</f>
        <v/>
      </c>
      <c r="H27" s="17" t="n"/>
      <c r="I27" s="17" t="n"/>
      <c r="J27" s="17" t="n"/>
    </row>
    <row r="28">
      <c r="A28" s="17" t="n"/>
      <c r="B28" s="17" t="n"/>
      <c r="C28" s="17" t="n"/>
      <c r="D28" s="17" t="n"/>
      <c r="E28" s="17" t="n"/>
      <c r="F28" s="17" t="n"/>
      <c r="G28" s="16">
        <f>MAX(B28:F28)</f>
        <v/>
      </c>
      <c r="H28" s="17" t="n"/>
      <c r="I28" s="17" t="n"/>
      <c r="J28" s="17" t="n"/>
    </row>
    <row r="29">
      <c r="A29" s="17" t="n"/>
      <c r="B29" s="17" t="n"/>
      <c r="C29" s="17" t="n"/>
      <c r="D29" s="17" t="n"/>
      <c r="E29" s="17" t="n"/>
      <c r="F29" s="17" t="n"/>
      <c r="G29" s="16">
        <f>MAX(B29:F29)</f>
        <v/>
      </c>
      <c r="H29" s="17" t="n"/>
      <c r="I29" s="17" t="n"/>
      <c r="J29" s="17" t="n"/>
    </row>
    <row r="30">
      <c r="A30" s="17" t="n"/>
      <c r="B30" s="17" t="n"/>
      <c r="C30" s="17" t="n"/>
      <c r="D30" s="17" t="n"/>
      <c r="E30" s="17" t="n"/>
      <c r="F30" s="17" t="n"/>
      <c r="G30" s="16">
        <f>MAX(B30:F30)</f>
        <v/>
      </c>
      <c r="H30" s="17" t="n"/>
      <c r="I30" s="17" t="n"/>
      <c r="J30" s="17" t="n"/>
    </row>
    <row r="31">
      <c r="A31" s="17" t="n"/>
      <c r="B31" s="17" t="n"/>
      <c r="C31" s="17" t="n"/>
      <c r="D31" s="17" t="n"/>
      <c r="E31" s="17" t="n"/>
      <c r="F31" s="17" t="n"/>
      <c r="G31" s="16">
        <f>MAX(B31:F31)</f>
        <v/>
      </c>
      <c r="H31" s="17" t="n"/>
      <c r="I31" s="17" t="n"/>
      <c r="J31" s="17" t="n"/>
    </row>
    <row r="32">
      <c r="A32" s="17" t="n"/>
      <c r="B32" s="17" t="n"/>
      <c r="C32" s="17" t="n"/>
      <c r="D32" s="17" t="n"/>
      <c r="E32" s="17" t="n"/>
      <c r="F32" s="17" t="n"/>
      <c r="G32" s="16">
        <f>MAX(B32:F32)</f>
        <v/>
      </c>
      <c r="H32" s="17" t="n"/>
      <c r="I32" s="17" t="n"/>
      <c r="J32" s="17" t="n"/>
    </row>
    <row r="33">
      <c r="A33" s="17" t="n"/>
      <c r="B33" s="17" t="n"/>
      <c r="C33" s="17" t="n"/>
      <c r="D33" s="17" t="n"/>
      <c r="E33" s="17" t="n"/>
      <c r="F33" s="17" t="n"/>
      <c r="G33" s="16">
        <f>MAX(B33:F33)</f>
        <v/>
      </c>
      <c r="H33" s="17" t="n"/>
      <c r="I33" s="17" t="n"/>
      <c r="J33" s="17" t="n"/>
    </row>
    <row r="34">
      <c r="A34" s="17" t="n"/>
      <c r="B34" s="17" t="n"/>
      <c r="C34" s="17" t="n"/>
      <c r="D34" s="17" t="n"/>
      <c r="E34" s="17" t="n"/>
      <c r="F34" s="17" t="n"/>
      <c r="G34" s="16">
        <f>MAX(B34:F34)</f>
        <v/>
      </c>
      <c r="H34" s="17" t="n"/>
      <c r="I34" s="17" t="n"/>
      <c r="J34" s="17" t="n"/>
    </row>
    <row r="35">
      <c r="A35" s="17" t="n"/>
      <c r="B35" s="17" t="n"/>
      <c r="C35" s="17" t="n"/>
      <c r="D35" s="17" t="n"/>
      <c r="E35" s="17" t="n"/>
      <c r="F35" s="17" t="n"/>
      <c r="G35" s="16">
        <f>MAX(B35:F35)</f>
        <v/>
      </c>
      <c r="H35" s="17" t="n"/>
      <c r="I35" s="17" t="n"/>
      <c r="J35" s="17" t="n"/>
    </row>
    <row r="36">
      <c r="A36" s="17" t="n"/>
      <c r="B36" s="17" t="n"/>
      <c r="C36" s="17" t="n"/>
      <c r="D36" s="17" t="n"/>
      <c r="E36" s="17" t="n"/>
      <c r="F36" s="17" t="n"/>
      <c r="G36" s="16">
        <f>MAX(B36:F36)</f>
        <v/>
      </c>
      <c r="H36" s="17" t="n"/>
      <c r="I36" s="17" t="n"/>
      <c r="J36" s="17" t="n"/>
    </row>
    <row r="37">
      <c r="A37" s="17" t="n"/>
      <c r="B37" s="17" t="n"/>
      <c r="C37" s="17" t="n"/>
      <c r="D37" s="17" t="n"/>
      <c r="E37" s="17" t="n"/>
      <c r="F37" s="17" t="n"/>
      <c r="G37" s="16">
        <f>MAX(B37:F37)</f>
        <v/>
      </c>
      <c r="H37" s="17" t="n"/>
      <c r="I37" s="17" t="n"/>
      <c r="J37" s="17" t="n"/>
    </row>
    <row r="38">
      <c r="A38" s="17" t="n"/>
      <c r="B38" s="17" t="n"/>
      <c r="C38" s="17" t="n"/>
      <c r="D38" s="17" t="n"/>
      <c r="E38" s="17" t="n"/>
      <c r="F38" s="17" t="n"/>
      <c r="G38" s="16">
        <f>MAX(B38:F38)</f>
        <v/>
      </c>
      <c r="H38" s="17" t="n"/>
      <c r="I38" s="17" t="n"/>
      <c r="J38" s="17" t="n"/>
    </row>
    <row r="39">
      <c r="A39" s="17" t="n"/>
      <c r="B39" s="17" t="n"/>
      <c r="C39" s="17" t="n"/>
      <c r="D39" s="17" t="n"/>
      <c r="E39" s="17" t="n"/>
      <c r="F39" s="17" t="n"/>
      <c r="G39" s="16">
        <f>MAX(B39:F39)</f>
        <v/>
      </c>
      <c r="H39" s="17" t="n"/>
      <c r="I39" s="17" t="n"/>
      <c r="J39" s="17" t="n"/>
    </row>
    <row r="40">
      <c r="A40" s="17" t="n"/>
      <c r="B40" s="17" t="n"/>
      <c r="C40" s="17" t="n"/>
      <c r="D40" s="17" t="n"/>
      <c r="E40" s="17" t="n"/>
      <c r="F40" s="17" t="n"/>
      <c r="G40" s="16">
        <f>MAX(B40:F40)</f>
        <v/>
      </c>
      <c r="H40" s="17" t="n"/>
      <c r="I40" s="17" t="n"/>
      <c r="J40" s="17" t="n"/>
    </row>
    <row r="41">
      <c r="A41" s="17" t="n"/>
      <c r="B41" s="17" t="n"/>
      <c r="C41" s="17" t="n"/>
      <c r="D41" s="17" t="n"/>
      <c r="E41" s="17" t="n"/>
      <c r="F41" s="17" t="n"/>
      <c r="G41" s="16">
        <f>MAX(B41:F41)</f>
        <v/>
      </c>
      <c r="H41" s="17" t="n"/>
      <c r="I41" s="17" t="n"/>
      <c r="J41" s="17" t="n"/>
    </row>
    <row r="42">
      <c r="A42" s="17" t="n"/>
      <c r="B42" s="17" t="n"/>
      <c r="C42" s="17" t="n"/>
      <c r="D42" s="17" t="n"/>
      <c r="E42" s="17" t="n"/>
      <c r="F42" s="17" t="n"/>
      <c r="G42" s="16">
        <f>MAX(B42:F42)</f>
        <v/>
      </c>
      <c r="H42" s="17" t="n"/>
      <c r="I42" s="17" t="n"/>
      <c r="J42" s="17" t="n"/>
    </row>
    <row r="43">
      <c r="A43" s="17" t="n"/>
      <c r="B43" s="17" t="n"/>
      <c r="C43" s="17" t="n"/>
      <c r="D43" s="17" t="n"/>
      <c r="E43" s="17" t="n"/>
      <c r="F43" s="17" t="n"/>
      <c r="G43" s="16">
        <f>MAX(B43:F43)</f>
        <v/>
      </c>
      <c r="H43" s="17" t="n"/>
      <c r="I43" s="17" t="n"/>
      <c r="J43" s="17" t="n"/>
    </row>
    <row r="44">
      <c r="A44" s="17" t="n"/>
      <c r="B44" s="17" t="n"/>
      <c r="C44" s="17" t="n"/>
      <c r="D44" s="17" t="n"/>
      <c r="E44" s="17" t="n"/>
      <c r="F44" s="17" t="n"/>
      <c r="G44" s="16">
        <f>MAX(B44:F44)</f>
        <v/>
      </c>
      <c r="H44" s="17" t="n"/>
      <c r="I44" s="17" t="n"/>
      <c r="J44" s="17" t="n"/>
    </row>
    <row r="45">
      <c r="A45" s="17" t="n"/>
      <c r="B45" s="17" t="n"/>
      <c r="C45" s="17" t="n"/>
      <c r="D45" s="17" t="n"/>
      <c r="E45" s="17" t="n"/>
      <c r="F45" s="17" t="n"/>
      <c r="G45" s="16">
        <f>MAX(B45:F45)</f>
        <v/>
      </c>
      <c r="H45" s="17" t="n"/>
      <c r="I45" s="17" t="n"/>
      <c r="J45" s="17" t="n"/>
    </row>
    <row r="46">
      <c r="A46" s="17" t="n"/>
      <c r="B46" s="17" t="n"/>
      <c r="C46" s="17" t="n"/>
      <c r="D46" s="17" t="n"/>
      <c r="E46" s="17" t="n"/>
      <c r="F46" s="17" t="n"/>
      <c r="G46" s="16">
        <f>MAX(B46:F46)</f>
        <v/>
      </c>
      <c r="H46" s="17" t="n"/>
      <c r="I46" s="17" t="n"/>
      <c r="J46" s="17" t="n"/>
    </row>
    <row r="47">
      <c r="A47" s="17" t="n"/>
      <c r="B47" s="17" t="n"/>
      <c r="C47" s="17" t="n"/>
      <c r="D47" s="17" t="n"/>
      <c r="E47" s="17" t="n"/>
      <c r="F47" s="17" t="n"/>
      <c r="G47" s="16">
        <f>MAX(B47:F47)</f>
        <v/>
      </c>
      <c r="H47" s="17" t="n"/>
      <c r="I47" s="17" t="n"/>
      <c r="J47" s="17" t="n"/>
    </row>
    <row r="48">
      <c r="A48" s="17" t="n"/>
      <c r="B48" s="17" t="n"/>
      <c r="C48" s="17" t="n"/>
      <c r="D48" s="17" t="n"/>
      <c r="E48" s="17" t="n"/>
      <c r="F48" s="17" t="n"/>
      <c r="G48" s="16">
        <f>MAX(B48:F48)</f>
        <v/>
      </c>
      <c r="H48" s="17" t="n"/>
      <c r="I48" s="17" t="n"/>
      <c r="J48" s="17" t="n"/>
    </row>
    <row r="49">
      <c r="A49" s="17" t="n"/>
      <c r="B49" s="17" t="n"/>
      <c r="C49" s="17" t="n"/>
      <c r="D49" s="17" t="n"/>
      <c r="E49" s="17" t="n"/>
      <c r="F49" s="17" t="n"/>
      <c r="G49" s="16">
        <f>MAX(B49:F49)</f>
        <v/>
      </c>
      <c r="H49" s="17" t="n"/>
      <c r="I49" s="17" t="n"/>
      <c r="J49" s="17" t="n"/>
    </row>
    <row r="50">
      <c r="A50" s="17" t="n"/>
      <c r="B50" s="17" t="n"/>
      <c r="C50" s="17" t="n"/>
      <c r="D50" s="17" t="n"/>
      <c r="E50" s="17" t="n"/>
      <c r="F50" s="17" t="n"/>
      <c r="G50" s="16">
        <f>MAX(B50:F50)</f>
        <v/>
      </c>
      <c r="H50" s="17" t="n"/>
      <c r="I50" s="17" t="n"/>
      <c r="J50" s="17" t="n"/>
    </row>
    <row r="51">
      <c r="A51" s="17" t="n"/>
      <c r="B51" s="17" t="n"/>
      <c r="C51" s="17" t="n"/>
      <c r="D51" s="17" t="n"/>
      <c r="E51" s="17" t="n"/>
      <c r="F51" s="17" t="n"/>
      <c r="G51" s="16">
        <f>MAX(B51:F51)</f>
        <v/>
      </c>
      <c r="H51" s="17" t="n"/>
      <c r="I51" s="17" t="n"/>
      <c r="J51" s="17" t="n"/>
    </row>
    <row r="52">
      <c r="A52" s="17" t="n"/>
      <c r="B52" s="17" t="n"/>
      <c r="C52" s="17" t="n"/>
      <c r="D52" s="17" t="n"/>
      <c r="E52" s="17" t="n"/>
      <c r="F52" s="17" t="n"/>
      <c r="G52" s="16">
        <f>MAX(B52:F52)</f>
        <v/>
      </c>
      <c r="H52" s="17" t="n"/>
      <c r="I52" s="17" t="n"/>
      <c r="J52" s="17" t="n"/>
    </row>
    <row r="53">
      <c r="A53" s="17" t="n"/>
      <c r="B53" s="17" t="n"/>
      <c r="C53" s="17" t="n"/>
      <c r="D53" s="17" t="n"/>
      <c r="E53" s="17" t="n"/>
      <c r="F53" s="17" t="n"/>
      <c r="G53" s="16">
        <f>MAX(B53:F53)</f>
        <v/>
      </c>
      <c r="H53" s="17" t="n"/>
      <c r="I53" s="17" t="n"/>
      <c r="J53" s="17" t="n"/>
    </row>
    <row r="54">
      <c r="A54" s="17" t="n"/>
      <c r="B54" s="17" t="n"/>
      <c r="C54" s="17" t="n"/>
      <c r="D54" s="17" t="n"/>
      <c r="E54" s="17" t="n"/>
      <c r="F54" s="17" t="n"/>
      <c r="G54" s="16">
        <f>MAX(B54:F54)</f>
        <v/>
      </c>
      <c r="H54" s="17" t="n"/>
      <c r="I54" s="17" t="n"/>
      <c r="J54" s="17" t="n"/>
    </row>
  </sheetData>
  <mergeCells count="2">
    <mergeCell ref="A1:J1"/>
    <mergeCell ref="A2:J2"/>
  </mergeCells>
  <dataValidations count="1">
    <dataValidation sqref="B4:F200" showDropDown="0" showInputMessage="0" showErrorMessage="0" allowBlank="0"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30" customWidth="1" min="3" max="3"/>
    <col width="20" customWidth="1" min="4" max="4"/>
    <col width="25" customWidth="1" min="5" max="5"/>
    <col width="60" customWidth="1" min="6" max="6"/>
    <col width="18" customWidth="1" min="7" max="7"/>
    <col width="15" customWidth="1" min="8" max="8"/>
    <col width="40" customWidth="1" min="9" max="9"/>
  </cols>
  <sheetData>
    <row r="1" ht="35" customHeight="1">
      <c r="A1" s="11" t="inlineStr">
        <is>
          <t>EXPLOITATION SCENARIOS</t>
        </is>
      </c>
    </row>
    <row r="2">
      <c r="A2" s="12" t="inlineStr">
        <is>
          <t>ISO 27001:2022 | A.5.3 | Potential exploitation paths for identified SoD conflicts</t>
        </is>
      </c>
    </row>
    <row r="3">
      <c r="A3" s="13" t="inlineStr">
        <is>
          <t>Scenario ID</t>
        </is>
      </c>
      <c r="B3" s="13" t="inlineStr">
        <is>
          <t>Conflict ID</t>
        </is>
      </c>
      <c r="C3" s="13" t="inlineStr">
        <is>
          <t>Scenario Name</t>
        </is>
      </c>
      <c r="D3" s="13" t="inlineStr">
        <is>
          <t>Threat Actor</t>
        </is>
      </c>
      <c r="E3" s="13" t="inlineStr">
        <is>
          <t>Motivation</t>
        </is>
      </c>
      <c r="F3" s="13" t="inlineStr">
        <is>
          <t>Method</t>
        </is>
      </c>
      <c r="G3" s="13" t="inlineStr">
        <is>
          <t>Detection Difficulty</t>
        </is>
      </c>
      <c r="H3" s="13" t="inlineStr">
        <is>
          <t>Historical Precedent</t>
        </is>
      </c>
      <c r="I3" s="13" t="inlineStr">
        <is>
          <t>Reference</t>
        </is>
      </c>
    </row>
    <row r="4">
      <c r="A4" s="14" t="inlineStr">
        <is>
          <t>SCN-2026-001</t>
        </is>
      </c>
      <c r="B4" s="14" t="inlineStr">
        <is>
          <t>CON-2026-001</t>
        </is>
      </c>
      <c r="C4" s="14" t="inlineStr">
        <is>
          <t>Fictitious Vendor Fraud</t>
        </is>
      </c>
      <c r="D4" s="14" t="inlineStr">
        <is>
          <t>Insider-Malicious</t>
        </is>
      </c>
      <c r="E4" s="14" t="inlineStr">
        <is>
          <t>Financial gain</t>
        </is>
      </c>
      <c r="F4" s="14" t="inlineStr">
        <is>
          <t>Create fake vendor, submit invoices, approve own payments</t>
        </is>
      </c>
      <c r="G4" s="14" t="inlineStr">
        <is>
          <t>High</t>
        </is>
      </c>
      <c r="H4" s="14" t="inlineStr">
        <is>
          <t>Yes</t>
        </is>
      </c>
      <c r="I4" s="14" t="n"/>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3">
    <dataValidation sqref="D4:D200" showDropDown="0" showInputMessage="0" showErrorMessage="0" allowBlank="0" type="list">
      <formula1>"Insider-Malicious,Insider-Negligent,External-Attacker,Colluding-Parties"</formula1>
    </dataValidation>
    <dataValidation sqref="G4:G200" showDropDown="0" showInputMessage="0" showErrorMessage="0" allowBlank="0" type="list">
      <formula1>"Very High,High,Medium,Low,Very Low"</formula1>
    </dataValidation>
    <dataValidation sqref="H4:H200" showDropDown="0" showInputMessage="0" showErrorMessage="0" allowBlank="0" type="list">
      <formula1>"Yes,No,Unknown"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35" customWidth="1" min="4" max="4"/>
    <col width="15" customWidth="1" min="5" max="5"/>
    <col width="12" customWidth="1" min="6" max="6"/>
    <col width="18" customWidth="1" min="7" max="7"/>
    <col width="50" customWidth="1" min="8" max="8"/>
  </cols>
  <sheetData>
    <row r="1" ht="35" customHeight="1">
      <c r="A1" s="11" t="inlineStr">
        <is>
          <t>CONTROL MAPPING</t>
        </is>
      </c>
    </row>
    <row r="2">
      <c r="A2" s="12" t="inlineStr">
        <is>
          <t>ISO 27001:2022 | A.5.3 | Compensating controls mapped to identified conflicts</t>
        </is>
      </c>
    </row>
    <row r="3">
      <c r="A3" s="13" t="inlineStr">
        <is>
          <t>Mapping ID</t>
        </is>
      </c>
      <c r="B3" s="13" t="inlineStr">
        <is>
          <t>Conflict ID</t>
        </is>
      </c>
      <c r="C3" s="13" t="inlineStr">
        <is>
          <t>Control ID</t>
        </is>
      </c>
      <c r="D3" s="13" t="inlineStr">
        <is>
          <t>Control Name</t>
        </is>
      </c>
      <c r="E3" s="13" t="inlineStr">
        <is>
          <t>Control Type</t>
        </is>
      </c>
      <c r="F3" s="13" t="inlineStr">
        <is>
          <t>Effectiveness</t>
        </is>
      </c>
      <c r="G3" s="13" t="inlineStr">
        <is>
          <t>Implementation Status</t>
        </is>
      </c>
      <c r="H3" s="13" t="inlineStr">
        <is>
          <t>Gap Notes</t>
        </is>
      </c>
    </row>
    <row r="4">
      <c r="A4" s="14" t="inlineStr">
        <is>
          <t>CMAP-001</t>
        </is>
      </c>
      <c r="B4" s="14" t="inlineStr">
        <is>
          <t>CON-2026-001</t>
        </is>
      </c>
      <c r="C4" s="14" t="inlineStr">
        <is>
          <t>CTRL-FIN-001</t>
        </is>
      </c>
      <c r="D4" s="14" t="inlineStr">
        <is>
          <t>Dual Authorisation</t>
        </is>
      </c>
      <c r="E4" s="14" t="inlineStr">
        <is>
          <t>Preventive</t>
        </is>
      </c>
      <c r="F4" s="14" t="inlineStr">
        <is>
          <t>High</t>
        </is>
      </c>
      <c r="G4" s="14" t="inlineStr">
        <is>
          <t>Implemented</t>
        </is>
      </c>
      <c r="H4" s="14" t="inlineStr"/>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3">
    <dataValidation sqref="E4:E200" showDropDown="0" showInputMessage="0" showErrorMessage="0" allowBlank="0" type="list">
      <formula1>"Preventive,Detective,Corrective,Compensating"</formula1>
    </dataValidation>
    <dataValidation sqref="F4:F200" showDropDown="0" showInputMessage="0" showErrorMessage="0" allowBlank="0" type="list">
      <formula1>"High,Medium,Low"</formula1>
    </dataValidation>
    <dataValidation sqref="G4:G200" showDropDown="0" showInputMessage="0" showErrorMessage="0" allowBlank="0" type="list">
      <formula1>"Implemented,Partial,Planned,Not Implemented"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18" customWidth="1" min="3" max="3"/>
    <col width="15" customWidth="1" min="4" max="4"/>
    <col width="15" customWidth="1" min="5" max="5"/>
    <col width="15" customWidth="1" min="6" max="6"/>
    <col width="15" customWidth="1" min="7" max="7"/>
    <col width="50" customWidth="1" min="8" max="8"/>
  </cols>
  <sheetData>
    <row r="1" ht="35" customHeight="1">
      <c r="A1" s="11" t="inlineStr">
        <is>
          <t>TREND ANALYSIS</t>
        </is>
      </c>
    </row>
    <row r="2">
      <c r="A2" s="12" t="inlineStr">
        <is>
          <t>ISO 27001:2022 | A.5.3 | Historical conflict trend analysis by period</t>
        </is>
      </c>
    </row>
    <row r="3">
      <c r="A3" s="13" t="inlineStr">
        <is>
          <t>Period</t>
        </is>
      </c>
      <c r="B3" s="13" t="inlineStr">
        <is>
          <t>Total Conflicts</t>
        </is>
      </c>
      <c r="C3" s="13" t="inlineStr">
        <is>
          <t>Critical Conflicts</t>
        </is>
      </c>
      <c r="D3" s="13" t="inlineStr">
        <is>
          <t>High Conflicts</t>
        </is>
      </c>
      <c r="E3" s="13" t="inlineStr">
        <is>
          <t>Resolved Count</t>
        </is>
      </c>
      <c r="F3" s="13" t="inlineStr">
        <is>
          <t>New Conflicts</t>
        </is>
      </c>
      <c r="G3" s="13" t="inlineStr">
        <is>
          <t>Resolution Rate</t>
        </is>
      </c>
      <c r="H3" s="13" t="inlineStr">
        <is>
          <t>Trend Notes</t>
        </is>
      </c>
    </row>
    <row r="4">
      <c r="A4" s="16" t="inlineStr">
        <is>
          <t>2025-Q1</t>
        </is>
      </c>
      <c r="B4" s="16" t="inlineStr">
        <is>
          <t>2</t>
        </is>
      </c>
      <c r="C4" s="16" t="inlineStr">
        <is>
          <t>1</t>
        </is>
      </c>
      <c r="D4" s="16" t="inlineStr">
        <is>
          <t>1</t>
        </is>
      </c>
      <c r="E4" s="16" t="inlineStr">
        <is>
          <t>0</t>
        </is>
      </c>
      <c r="F4" s="16" t="inlineStr">
        <is>
          <t>2</t>
        </is>
      </c>
      <c r="G4" s="16">
        <f>IF(B4&gt;0,E4/B4*100,0)</f>
        <v/>
      </c>
      <c r="H4" s="16" t="inlineStr">
        <is>
          <t>Initial baseline period</t>
        </is>
      </c>
    </row>
    <row r="5">
      <c r="A5" s="17" t="n"/>
      <c r="B5" s="17" t="n"/>
      <c r="C5" s="17" t="n"/>
      <c r="D5" s="17" t="n"/>
      <c r="E5" s="17" t="n"/>
      <c r="F5" s="17" t="n"/>
      <c r="G5" s="16">
        <f>IF(B5&gt;0,E5/B5*100,0)</f>
        <v/>
      </c>
      <c r="H5" s="17" t="n"/>
    </row>
    <row r="6">
      <c r="A6" s="17" t="n"/>
      <c r="B6" s="17" t="n"/>
      <c r="C6" s="17" t="n"/>
      <c r="D6" s="17" t="n"/>
      <c r="E6" s="17" t="n"/>
      <c r="F6" s="17" t="n"/>
      <c r="G6" s="16">
        <f>IF(B6&gt;0,E6/B6*100,0)</f>
        <v/>
      </c>
      <c r="H6" s="17" t="n"/>
    </row>
    <row r="7">
      <c r="A7" s="17" t="n"/>
      <c r="B7" s="17" t="n"/>
      <c r="C7" s="17" t="n"/>
      <c r="D7" s="17" t="n"/>
      <c r="E7" s="17" t="n"/>
      <c r="F7" s="17" t="n"/>
      <c r="G7" s="16">
        <f>IF(B7&gt;0,E7/B7*100,0)</f>
        <v/>
      </c>
      <c r="H7" s="17" t="n"/>
    </row>
    <row r="8">
      <c r="A8" s="17" t="n"/>
      <c r="B8" s="17" t="n"/>
      <c r="C8" s="17" t="n"/>
      <c r="D8" s="17" t="n"/>
      <c r="E8" s="17" t="n"/>
      <c r="F8" s="17" t="n"/>
      <c r="G8" s="16">
        <f>IF(B8&gt;0,E8/B8*100,0)</f>
        <v/>
      </c>
      <c r="H8" s="17" t="n"/>
    </row>
    <row r="9">
      <c r="A9" s="17" t="n"/>
      <c r="B9" s="17" t="n"/>
      <c r="C9" s="17" t="n"/>
      <c r="D9" s="17" t="n"/>
      <c r="E9" s="17" t="n"/>
      <c r="F9" s="17" t="n"/>
      <c r="G9" s="16">
        <f>IF(B9&gt;0,E9/B9*100,0)</f>
        <v/>
      </c>
      <c r="H9" s="17" t="n"/>
    </row>
    <row r="10">
      <c r="A10" s="17" t="n"/>
      <c r="B10" s="17" t="n"/>
      <c r="C10" s="17" t="n"/>
      <c r="D10" s="17" t="n"/>
      <c r="E10" s="17" t="n"/>
      <c r="F10" s="17" t="n"/>
      <c r="G10" s="16">
        <f>IF(B10&gt;0,E10/B10*100,0)</f>
        <v/>
      </c>
      <c r="H10" s="17" t="n"/>
    </row>
    <row r="11">
      <c r="A11" s="17" t="n"/>
      <c r="B11" s="17" t="n"/>
      <c r="C11" s="17" t="n"/>
      <c r="D11" s="17" t="n"/>
      <c r="E11" s="17" t="n"/>
      <c r="F11" s="17" t="n"/>
      <c r="G11" s="16">
        <f>IF(B11&gt;0,E11/B11*100,0)</f>
        <v/>
      </c>
      <c r="H11" s="17" t="n"/>
    </row>
    <row r="12">
      <c r="A12" s="17" t="n"/>
      <c r="B12" s="17" t="n"/>
      <c r="C12" s="17" t="n"/>
      <c r="D12" s="17" t="n"/>
      <c r="E12" s="17" t="n"/>
      <c r="F12" s="17" t="n"/>
      <c r="G12" s="16">
        <f>IF(B12&gt;0,E12/B12*100,0)</f>
        <v/>
      </c>
      <c r="H12" s="17" t="n"/>
    </row>
    <row r="13">
      <c r="A13" s="17" t="n"/>
      <c r="B13" s="17" t="n"/>
      <c r="C13" s="17" t="n"/>
      <c r="D13" s="17" t="n"/>
      <c r="E13" s="17" t="n"/>
      <c r="F13" s="17" t="n"/>
      <c r="G13" s="16">
        <f>IF(B13&gt;0,E13/B13*100,0)</f>
        <v/>
      </c>
      <c r="H13" s="17" t="n"/>
    </row>
    <row r="14">
      <c r="A14" s="17" t="n"/>
      <c r="B14" s="17" t="n"/>
      <c r="C14" s="17" t="n"/>
      <c r="D14" s="17" t="n"/>
      <c r="E14" s="17" t="n"/>
      <c r="F14" s="17" t="n"/>
      <c r="G14" s="16">
        <f>IF(B14&gt;0,E14/B14*100,0)</f>
        <v/>
      </c>
      <c r="H14" s="17" t="n"/>
    </row>
    <row r="15">
      <c r="A15" s="17" t="n"/>
      <c r="B15" s="17" t="n"/>
      <c r="C15" s="17" t="n"/>
      <c r="D15" s="17" t="n"/>
      <c r="E15" s="17" t="n"/>
      <c r="F15" s="17" t="n"/>
      <c r="G15" s="16">
        <f>IF(B15&gt;0,E15/B15*100,0)</f>
        <v/>
      </c>
      <c r="H15" s="17" t="n"/>
    </row>
    <row r="16">
      <c r="A16" s="17" t="n"/>
      <c r="B16" s="17" t="n"/>
      <c r="C16" s="17" t="n"/>
      <c r="D16" s="17" t="n"/>
      <c r="E16" s="17" t="n"/>
      <c r="F16" s="17" t="n"/>
      <c r="G16" s="16">
        <f>IF(B16&gt;0,E16/B16*100,0)</f>
        <v/>
      </c>
      <c r="H16" s="17" t="n"/>
    </row>
    <row r="17">
      <c r="A17" s="17" t="n"/>
      <c r="B17" s="17" t="n"/>
      <c r="C17" s="17" t="n"/>
      <c r="D17" s="17" t="n"/>
      <c r="E17" s="17" t="n"/>
      <c r="F17" s="17" t="n"/>
      <c r="G17" s="16">
        <f>IF(B17&gt;0,E17/B17*100,0)</f>
        <v/>
      </c>
      <c r="H17" s="17" t="n"/>
    </row>
    <row r="18">
      <c r="A18" s="17" t="n"/>
      <c r="B18" s="17" t="n"/>
      <c r="C18" s="17" t="n"/>
      <c r="D18" s="17" t="n"/>
      <c r="E18" s="17" t="n"/>
      <c r="F18" s="17" t="n"/>
      <c r="G18" s="16">
        <f>IF(B18&gt;0,E18/B18*100,0)</f>
        <v/>
      </c>
      <c r="H18" s="17" t="n"/>
    </row>
    <row r="19">
      <c r="A19" s="17" t="n"/>
      <c r="B19" s="17" t="n"/>
      <c r="C19" s="17" t="n"/>
      <c r="D19" s="17" t="n"/>
      <c r="E19" s="17" t="n"/>
      <c r="F19" s="17" t="n"/>
      <c r="G19" s="16">
        <f>IF(B19&gt;0,E19/B19*100,0)</f>
        <v/>
      </c>
      <c r="H19" s="17" t="n"/>
    </row>
    <row r="20">
      <c r="A20" s="17" t="n"/>
      <c r="B20" s="17" t="n"/>
      <c r="C20" s="17" t="n"/>
      <c r="D20" s="17" t="n"/>
      <c r="E20" s="17" t="n"/>
      <c r="F20" s="17" t="n"/>
      <c r="G20" s="16">
        <f>IF(B20&gt;0,E20/B20*100,0)</f>
        <v/>
      </c>
      <c r="H20" s="17" t="n"/>
    </row>
    <row r="21">
      <c r="A21" s="17" t="n"/>
      <c r="B21" s="17" t="n"/>
      <c r="C21" s="17" t="n"/>
      <c r="D21" s="17" t="n"/>
      <c r="E21" s="17" t="n"/>
      <c r="F21" s="17" t="n"/>
      <c r="G21" s="16">
        <f>IF(B21&gt;0,E21/B21*100,0)</f>
        <v/>
      </c>
      <c r="H21" s="17" t="n"/>
    </row>
    <row r="22">
      <c r="A22" s="17" t="n"/>
      <c r="B22" s="17" t="n"/>
      <c r="C22" s="17" t="n"/>
      <c r="D22" s="17" t="n"/>
      <c r="E22" s="17" t="n"/>
      <c r="F22" s="17" t="n"/>
      <c r="G22" s="16">
        <f>IF(B22&gt;0,E22/B22*100,0)</f>
        <v/>
      </c>
      <c r="H22" s="17" t="n"/>
    </row>
    <row r="23">
      <c r="A23" s="17" t="n"/>
      <c r="B23" s="17" t="n"/>
      <c r="C23" s="17" t="n"/>
      <c r="D23" s="17" t="n"/>
      <c r="E23" s="17" t="n"/>
      <c r="F23" s="17" t="n"/>
      <c r="G23" s="16">
        <f>IF(B23&gt;0,E23/B23*100,0)</f>
        <v/>
      </c>
      <c r="H23" s="17" t="n"/>
    </row>
    <row r="24">
      <c r="A24" s="17" t="n"/>
      <c r="B24" s="17" t="n"/>
      <c r="C24" s="17" t="n"/>
      <c r="D24" s="17" t="n"/>
      <c r="E24" s="17" t="n"/>
      <c r="F24" s="17" t="n"/>
      <c r="G24" s="16">
        <f>IF(B24&gt;0,E24/B24*100,0)</f>
        <v/>
      </c>
      <c r="H24" s="17" t="n"/>
    </row>
    <row r="25">
      <c r="A25" s="17" t="n"/>
      <c r="B25" s="17" t="n"/>
      <c r="C25" s="17" t="n"/>
      <c r="D25" s="17" t="n"/>
      <c r="E25" s="17" t="n"/>
      <c r="F25" s="17" t="n"/>
      <c r="G25" s="16">
        <f>IF(B25&gt;0,E25/B25*100,0)</f>
        <v/>
      </c>
      <c r="H25" s="17" t="n"/>
    </row>
    <row r="26">
      <c r="A26" s="17" t="n"/>
      <c r="B26" s="17" t="n"/>
      <c r="C26" s="17" t="n"/>
      <c r="D26" s="17" t="n"/>
      <c r="E26" s="17" t="n"/>
      <c r="F26" s="17" t="n"/>
      <c r="G26" s="16">
        <f>IF(B26&gt;0,E26/B26*100,0)</f>
        <v/>
      </c>
      <c r="H26" s="17" t="n"/>
    </row>
    <row r="27">
      <c r="A27" s="17" t="n"/>
      <c r="B27" s="17" t="n"/>
      <c r="C27" s="17" t="n"/>
      <c r="D27" s="17" t="n"/>
      <c r="E27" s="17" t="n"/>
      <c r="F27" s="17" t="n"/>
      <c r="G27" s="16">
        <f>IF(B27&gt;0,E27/B27*100,0)</f>
        <v/>
      </c>
      <c r="H27" s="17" t="n"/>
    </row>
    <row r="28">
      <c r="A28" s="17" t="n"/>
      <c r="B28" s="17" t="n"/>
      <c r="C28" s="17" t="n"/>
      <c r="D28" s="17" t="n"/>
      <c r="E28" s="17" t="n"/>
      <c r="F28" s="17" t="n"/>
      <c r="G28" s="16">
        <f>IF(B28&gt;0,E28/B28*100,0)</f>
        <v/>
      </c>
      <c r="H28" s="17" t="n"/>
    </row>
    <row r="29">
      <c r="A29" s="17" t="n"/>
      <c r="B29" s="17" t="n"/>
      <c r="C29" s="17" t="n"/>
      <c r="D29" s="17" t="n"/>
      <c r="E29" s="17" t="n"/>
      <c r="F29" s="17" t="n"/>
      <c r="G29" s="16">
        <f>IF(B29&gt;0,E29/B29*100,0)</f>
        <v/>
      </c>
      <c r="H29" s="17" t="n"/>
    </row>
    <row r="30">
      <c r="A30" s="17" t="n"/>
      <c r="B30" s="17" t="n"/>
      <c r="C30" s="17" t="n"/>
      <c r="D30" s="17" t="n"/>
      <c r="E30" s="17" t="n"/>
      <c r="F30" s="17" t="n"/>
      <c r="G30" s="16">
        <f>IF(B30&gt;0,E30/B30*100,0)</f>
        <v/>
      </c>
      <c r="H30" s="17" t="n"/>
    </row>
    <row r="31">
      <c r="A31" s="17" t="n"/>
      <c r="B31" s="17" t="n"/>
      <c r="C31" s="17" t="n"/>
      <c r="D31" s="17" t="n"/>
      <c r="E31" s="17" t="n"/>
      <c r="F31" s="17" t="n"/>
      <c r="G31" s="16">
        <f>IF(B31&gt;0,E31/B31*100,0)</f>
        <v/>
      </c>
      <c r="H31" s="17" t="n"/>
    </row>
    <row r="32">
      <c r="A32" s="17" t="n"/>
      <c r="B32" s="17" t="n"/>
      <c r="C32" s="17" t="n"/>
      <c r="D32" s="17" t="n"/>
      <c r="E32" s="17" t="n"/>
      <c r="F32" s="17" t="n"/>
      <c r="G32" s="16">
        <f>IF(B32&gt;0,E32/B32*100,0)</f>
        <v/>
      </c>
      <c r="H32" s="17" t="n"/>
    </row>
    <row r="33">
      <c r="A33" s="17" t="n"/>
      <c r="B33" s="17" t="n"/>
      <c r="C33" s="17" t="n"/>
      <c r="D33" s="17" t="n"/>
      <c r="E33" s="17" t="n"/>
      <c r="F33" s="17" t="n"/>
      <c r="G33" s="16">
        <f>IF(B33&gt;0,E33/B33*100,0)</f>
        <v/>
      </c>
      <c r="H33" s="17" t="n"/>
    </row>
    <row r="34">
      <c r="A34" s="17" t="n"/>
      <c r="B34" s="17" t="n"/>
      <c r="C34" s="17" t="n"/>
      <c r="D34" s="17" t="n"/>
      <c r="E34" s="17" t="n"/>
      <c r="F34" s="17" t="n"/>
      <c r="G34" s="16">
        <f>IF(B34&gt;0,E34/B34*100,0)</f>
        <v/>
      </c>
      <c r="H34" s="17" t="n"/>
    </row>
    <row r="35">
      <c r="A35" s="17" t="n"/>
      <c r="B35" s="17" t="n"/>
      <c r="C35" s="17" t="n"/>
      <c r="D35" s="17" t="n"/>
      <c r="E35" s="17" t="n"/>
      <c r="F35" s="17" t="n"/>
      <c r="G35" s="16">
        <f>IF(B35&gt;0,E35/B35*100,0)</f>
        <v/>
      </c>
      <c r="H35" s="17" t="n"/>
    </row>
    <row r="36">
      <c r="A36" s="17" t="n"/>
      <c r="B36" s="17" t="n"/>
      <c r="C36" s="17" t="n"/>
      <c r="D36" s="17" t="n"/>
      <c r="E36" s="17" t="n"/>
      <c r="F36" s="17" t="n"/>
      <c r="G36" s="16">
        <f>IF(B36&gt;0,E36/B36*100,0)</f>
        <v/>
      </c>
      <c r="H36" s="17" t="n"/>
    </row>
    <row r="37">
      <c r="A37" s="17" t="n"/>
      <c r="B37" s="17" t="n"/>
      <c r="C37" s="17" t="n"/>
      <c r="D37" s="17" t="n"/>
      <c r="E37" s="17" t="n"/>
      <c r="F37" s="17" t="n"/>
      <c r="G37" s="16">
        <f>IF(B37&gt;0,E37/B37*100,0)</f>
        <v/>
      </c>
      <c r="H37" s="17" t="n"/>
    </row>
    <row r="38">
      <c r="A38" s="17" t="n"/>
      <c r="B38" s="17" t="n"/>
      <c r="C38" s="17" t="n"/>
      <c r="D38" s="17" t="n"/>
      <c r="E38" s="17" t="n"/>
      <c r="F38" s="17" t="n"/>
      <c r="G38" s="16">
        <f>IF(B38&gt;0,E38/B38*100,0)</f>
        <v/>
      </c>
      <c r="H38" s="17" t="n"/>
    </row>
    <row r="39">
      <c r="A39" s="17" t="n"/>
      <c r="B39" s="17" t="n"/>
      <c r="C39" s="17" t="n"/>
      <c r="D39" s="17" t="n"/>
      <c r="E39" s="17" t="n"/>
      <c r="F39" s="17" t="n"/>
      <c r="G39" s="16">
        <f>IF(B39&gt;0,E39/B39*100,0)</f>
        <v/>
      </c>
      <c r="H39" s="17" t="n"/>
    </row>
    <row r="40">
      <c r="A40" s="17" t="n"/>
      <c r="B40" s="17" t="n"/>
      <c r="C40" s="17" t="n"/>
      <c r="D40" s="17" t="n"/>
      <c r="E40" s="17" t="n"/>
      <c r="F40" s="17" t="n"/>
      <c r="G40" s="16">
        <f>IF(B40&gt;0,E40/B40*100,0)</f>
        <v/>
      </c>
      <c r="H40" s="17" t="n"/>
    </row>
    <row r="41">
      <c r="A41" s="17" t="n"/>
      <c r="B41" s="17" t="n"/>
      <c r="C41" s="17" t="n"/>
      <c r="D41" s="17" t="n"/>
      <c r="E41" s="17" t="n"/>
      <c r="F41" s="17" t="n"/>
      <c r="G41" s="16">
        <f>IF(B41&gt;0,E41/B41*100,0)</f>
        <v/>
      </c>
      <c r="H41" s="17" t="n"/>
    </row>
    <row r="42">
      <c r="A42" s="17" t="n"/>
      <c r="B42" s="17" t="n"/>
      <c r="C42" s="17" t="n"/>
      <c r="D42" s="17" t="n"/>
      <c r="E42" s="17" t="n"/>
      <c r="F42" s="17" t="n"/>
      <c r="G42" s="16">
        <f>IF(B42&gt;0,E42/B42*100,0)</f>
        <v/>
      </c>
      <c r="H42" s="17" t="n"/>
    </row>
    <row r="43">
      <c r="A43" s="17" t="n"/>
      <c r="B43" s="17" t="n"/>
      <c r="C43" s="17" t="n"/>
      <c r="D43" s="17" t="n"/>
      <c r="E43" s="17" t="n"/>
      <c r="F43" s="17" t="n"/>
      <c r="G43" s="16">
        <f>IF(B43&gt;0,E43/B43*100,0)</f>
        <v/>
      </c>
      <c r="H43" s="17" t="n"/>
    </row>
    <row r="44">
      <c r="A44" s="17" t="n"/>
      <c r="B44" s="17" t="n"/>
      <c r="C44" s="17" t="n"/>
      <c r="D44" s="17" t="n"/>
      <c r="E44" s="17" t="n"/>
      <c r="F44" s="17" t="n"/>
      <c r="G44" s="16">
        <f>IF(B44&gt;0,E44/B44*100,0)</f>
        <v/>
      </c>
      <c r="H44" s="17" t="n"/>
    </row>
    <row r="45">
      <c r="A45" s="17" t="n"/>
      <c r="B45" s="17" t="n"/>
      <c r="C45" s="17" t="n"/>
      <c r="D45" s="17" t="n"/>
      <c r="E45" s="17" t="n"/>
      <c r="F45" s="17" t="n"/>
      <c r="G45" s="16">
        <f>IF(B45&gt;0,E45/B45*100,0)</f>
        <v/>
      </c>
      <c r="H45" s="17" t="n"/>
    </row>
    <row r="46">
      <c r="A46" s="17" t="n"/>
      <c r="B46" s="17" t="n"/>
      <c r="C46" s="17" t="n"/>
      <c r="D46" s="17" t="n"/>
      <c r="E46" s="17" t="n"/>
      <c r="F46" s="17" t="n"/>
      <c r="G46" s="16">
        <f>IF(B46&gt;0,E46/B46*100,0)</f>
        <v/>
      </c>
      <c r="H46" s="17" t="n"/>
    </row>
    <row r="47">
      <c r="A47" s="17" t="n"/>
      <c r="B47" s="17" t="n"/>
      <c r="C47" s="17" t="n"/>
      <c r="D47" s="17" t="n"/>
      <c r="E47" s="17" t="n"/>
      <c r="F47" s="17" t="n"/>
      <c r="G47" s="16">
        <f>IF(B47&gt;0,E47/B47*100,0)</f>
        <v/>
      </c>
      <c r="H47" s="17" t="n"/>
    </row>
    <row r="48">
      <c r="A48" s="17" t="n"/>
      <c r="B48" s="17" t="n"/>
      <c r="C48" s="17" t="n"/>
      <c r="D48" s="17" t="n"/>
      <c r="E48" s="17" t="n"/>
      <c r="F48" s="17" t="n"/>
      <c r="G48" s="16">
        <f>IF(B48&gt;0,E48/B48*100,0)</f>
        <v/>
      </c>
      <c r="H48" s="17" t="n"/>
    </row>
    <row r="49">
      <c r="A49" s="17" t="n"/>
      <c r="B49" s="17" t="n"/>
      <c r="C49" s="17" t="n"/>
      <c r="D49" s="17" t="n"/>
      <c r="E49" s="17" t="n"/>
      <c r="F49" s="17" t="n"/>
      <c r="G49" s="16">
        <f>IF(B49&gt;0,E49/B49*100,0)</f>
        <v/>
      </c>
      <c r="H49" s="17" t="n"/>
    </row>
    <row r="50">
      <c r="A50" s="17" t="n"/>
      <c r="B50" s="17" t="n"/>
      <c r="C50" s="17" t="n"/>
      <c r="D50" s="17" t="n"/>
      <c r="E50" s="17" t="n"/>
      <c r="F50" s="17" t="n"/>
      <c r="G50" s="16">
        <f>IF(B50&gt;0,E50/B50*100,0)</f>
        <v/>
      </c>
      <c r="H50" s="17" t="n"/>
    </row>
    <row r="51">
      <c r="A51" s="17" t="n"/>
      <c r="B51" s="17" t="n"/>
      <c r="C51" s="17" t="n"/>
      <c r="D51" s="17" t="n"/>
      <c r="E51" s="17" t="n"/>
      <c r="F51" s="17" t="n"/>
      <c r="G51" s="16">
        <f>IF(B51&gt;0,E51/B51*100,0)</f>
        <v/>
      </c>
      <c r="H51" s="17" t="n"/>
    </row>
    <row r="52">
      <c r="A52" s="17" t="n"/>
      <c r="B52" s="17" t="n"/>
      <c r="C52" s="17" t="n"/>
      <c r="D52" s="17" t="n"/>
      <c r="E52" s="17" t="n"/>
      <c r="F52" s="17" t="n"/>
      <c r="G52" s="16">
        <f>IF(B52&gt;0,E52/B52*100,0)</f>
        <v/>
      </c>
      <c r="H52" s="17" t="n"/>
    </row>
    <row r="53">
      <c r="A53" s="17" t="n"/>
      <c r="B53" s="17" t="n"/>
      <c r="C53" s="17" t="n"/>
      <c r="D53" s="17" t="n"/>
      <c r="E53" s="17" t="n"/>
      <c r="F53" s="17" t="n"/>
      <c r="G53" s="16">
        <f>IF(B53&gt;0,E53/B53*100,0)</f>
        <v/>
      </c>
      <c r="H53" s="17" t="n"/>
    </row>
    <row r="54">
      <c r="A54" s="17" t="n"/>
      <c r="B54" s="17" t="n"/>
      <c r="C54" s="17" t="n"/>
      <c r="D54" s="17" t="n"/>
      <c r="E54" s="17" t="n"/>
      <c r="F54" s="17" t="n"/>
      <c r="G54" s="16">
        <f>IF(B54&gt;0,E54/B54*100,0)</f>
        <v/>
      </c>
      <c r="H54" s="17" t="n"/>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workbookViewId="0">
      <pane ySplit="3" topLeftCell="A4" activePane="bottomLeft" state="frozen"/>
      <selection pane="bottomLeft" activeCell="A1" sqref="A1"/>
    </sheetView>
  </sheetViews>
  <sheetFormatPr baseColWidth="8" defaultRowHeight="15"/>
  <cols>
    <col width="15" customWidth="1" min="1" max="1"/>
    <col width="12" customWidth="1" min="2" max="2"/>
    <col width="15" customWidth="1" min="3" max="3"/>
    <col width="20" customWidth="1" min="4" max="4"/>
    <col width="15" customWidth="1" min="5" max="5"/>
    <col width="15" customWidth="1" min="6" max="6"/>
    <col width="25" customWidth="1" min="7" max="7"/>
    <col width="25" customWidth="1" min="8" max="8"/>
  </cols>
  <sheetData>
    <row r="1" ht="35" customHeight="1">
      <c r="A1" s="11" t="inlineStr">
        <is>
          <t>PRIORITISATION MATRIX</t>
        </is>
      </c>
    </row>
    <row r="2">
      <c r="A2" s="12" t="inlineStr">
        <is>
          <t>ISO 27001:2022 | A.5.3 | Risk-based conflict prioritisation for remediation planning</t>
        </is>
      </c>
    </row>
    <row r="3">
      <c r="A3" s="13" t="inlineStr">
        <is>
          <t>Conflict ID</t>
        </is>
      </c>
      <c r="B3" s="13" t="inlineStr">
        <is>
          <t>Impact Score</t>
        </is>
      </c>
      <c r="C3" s="13" t="inlineStr">
        <is>
          <t>Likelihood Score</t>
        </is>
      </c>
      <c r="D3" s="13" t="inlineStr">
        <is>
          <t>Control Effectiveness</t>
        </is>
      </c>
      <c r="E3" s="13" t="inlineStr">
        <is>
          <t>Priority Score</t>
        </is>
      </c>
      <c r="F3" s="13" t="inlineStr">
        <is>
          <t>Priority Level</t>
        </is>
      </c>
      <c r="G3" s="13" t="inlineStr">
        <is>
          <t>Action Timeline</t>
        </is>
      </c>
      <c r="H3" s="13" t="inlineStr">
        <is>
          <t>Assigned To</t>
        </is>
      </c>
    </row>
    <row r="4">
      <c r="A4" s="16" t="inlineStr">
        <is>
          <t>CON-2026-001</t>
        </is>
      </c>
      <c r="B4" s="16" t="inlineStr">
        <is>
          <t>4</t>
        </is>
      </c>
      <c r="C4" s="16" t="inlineStr">
        <is>
          <t>4</t>
        </is>
      </c>
      <c r="D4" s="16" t="inlineStr">
        <is>
          <t>0.3</t>
        </is>
      </c>
      <c r="E4" s="16">
        <f>IF(AND(B4&lt;&gt;"",C4&lt;&gt;""),B4*C4*(1-D4),"")</f>
        <v/>
      </c>
      <c r="F4" s="16">
        <f>IF(E4="","",IF(E4&gt;=15,"Critical",IF(E4&gt;=10,"High",IF(E4&gt;=5,"Medium","Low"))))</f>
        <v/>
      </c>
      <c r="G4" s="16">
        <f>IF(F4="","",IF(F4="Critical","Immediate (&lt;7 days)",IF(F4="High","Short-term (&lt;30 days)",IF(F4="Medium","Medium-term (&lt;90 days)","Long-term (&lt;180 days)"))))</f>
        <v/>
      </c>
      <c r="H4" s="16" t="inlineStr">
        <is>
          <t>Risk Owner</t>
        </is>
      </c>
    </row>
    <row r="5">
      <c r="A5" s="17" t="n"/>
      <c r="B5" s="17" t="n"/>
      <c r="C5" s="17" t="n"/>
      <c r="D5" s="17" t="n"/>
      <c r="E5" s="16">
        <f>IF(AND(B5&lt;&gt;"",C5&lt;&gt;""),B5*C5*(1-D5),"")</f>
        <v/>
      </c>
      <c r="F5" s="16">
        <f>IF(E5="","",IF(E5&gt;=15,"Critical",IF(E5&gt;=10,"High",IF(E5&gt;=5,"Medium","Low"))))</f>
        <v/>
      </c>
      <c r="G5" s="16">
        <f>IF(F5="","",IF(F5="Critical","Immediate (&lt;7 days)",IF(F5="High","Short-term (&lt;30 days)",IF(F5="Medium","Medium-term (&lt;90 days)","Long-term (&lt;180 days)"))))</f>
        <v/>
      </c>
      <c r="H5" s="17" t="n"/>
    </row>
    <row r="6">
      <c r="A6" s="17" t="n"/>
      <c r="B6" s="17" t="n"/>
      <c r="C6" s="17" t="n"/>
      <c r="D6" s="17" t="n"/>
      <c r="E6" s="16">
        <f>IF(AND(B6&lt;&gt;"",C6&lt;&gt;""),B6*C6*(1-D6),"")</f>
        <v/>
      </c>
      <c r="F6" s="16">
        <f>IF(E6="","",IF(E6&gt;=15,"Critical",IF(E6&gt;=10,"High",IF(E6&gt;=5,"Medium","Low"))))</f>
        <v/>
      </c>
      <c r="G6" s="16">
        <f>IF(F6="","",IF(F6="Critical","Immediate (&lt;7 days)",IF(F6="High","Short-term (&lt;30 days)",IF(F6="Medium","Medium-term (&lt;90 days)","Long-term (&lt;180 days)"))))</f>
        <v/>
      </c>
      <c r="H6" s="17" t="n"/>
    </row>
    <row r="7">
      <c r="A7" s="17" t="n"/>
      <c r="B7" s="17" t="n"/>
      <c r="C7" s="17" t="n"/>
      <c r="D7" s="17" t="n"/>
      <c r="E7" s="16">
        <f>IF(AND(B7&lt;&gt;"",C7&lt;&gt;""),B7*C7*(1-D7),"")</f>
        <v/>
      </c>
      <c r="F7" s="16">
        <f>IF(E7="","",IF(E7&gt;=15,"Critical",IF(E7&gt;=10,"High",IF(E7&gt;=5,"Medium","Low"))))</f>
        <v/>
      </c>
      <c r="G7" s="16">
        <f>IF(F7="","",IF(F7="Critical","Immediate (&lt;7 days)",IF(F7="High","Short-term (&lt;30 days)",IF(F7="Medium","Medium-term (&lt;90 days)","Long-term (&lt;180 days)"))))</f>
        <v/>
      </c>
      <c r="H7" s="17" t="n"/>
    </row>
    <row r="8">
      <c r="A8" s="17" t="n"/>
      <c r="B8" s="17" t="n"/>
      <c r="C8" s="17" t="n"/>
      <c r="D8" s="17" t="n"/>
      <c r="E8" s="16">
        <f>IF(AND(B8&lt;&gt;"",C8&lt;&gt;""),B8*C8*(1-D8),"")</f>
        <v/>
      </c>
      <c r="F8" s="16">
        <f>IF(E8="","",IF(E8&gt;=15,"Critical",IF(E8&gt;=10,"High",IF(E8&gt;=5,"Medium","Low"))))</f>
        <v/>
      </c>
      <c r="G8" s="16">
        <f>IF(F8="","",IF(F8="Critical","Immediate (&lt;7 days)",IF(F8="High","Short-term (&lt;30 days)",IF(F8="Medium","Medium-term (&lt;90 days)","Long-term (&lt;180 days)"))))</f>
        <v/>
      </c>
      <c r="H8" s="17" t="n"/>
    </row>
    <row r="9">
      <c r="A9" s="17" t="n"/>
      <c r="B9" s="17" t="n"/>
      <c r="C9" s="17" t="n"/>
      <c r="D9" s="17" t="n"/>
      <c r="E9" s="16">
        <f>IF(AND(B9&lt;&gt;"",C9&lt;&gt;""),B9*C9*(1-D9),"")</f>
        <v/>
      </c>
      <c r="F9" s="16">
        <f>IF(E9="","",IF(E9&gt;=15,"Critical",IF(E9&gt;=10,"High",IF(E9&gt;=5,"Medium","Low"))))</f>
        <v/>
      </c>
      <c r="G9" s="16">
        <f>IF(F9="","",IF(F9="Critical","Immediate (&lt;7 days)",IF(F9="High","Short-term (&lt;30 days)",IF(F9="Medium","Medium-term (&lt;90 days)","Long-term (&lt;180 days)"))))</f>
        <v/>
      </c>
      <c r="H9" s="17" t="n"/>
    </row>
    <row r="10">
      <c r="A10" s="17" t="n"/>
      <c r="B10" s="17" t="n"/>
      <c r="C10" s="17" t="n"/>
      <c r="D10" s="17" t="n"/>
      <c r="E10" s="16">
        <f>IF(AND(B10&lt;&gt;"",C10&lt;&gt;""),B10*C10*(1-D10),"")</f>
        <v/>
      </c>
      <c r="F10" s="16">
        <f>IF(E10="","",IF(E10&gt;=15,"Critical",IF(E10&gt;=10,"High",IF(E10&gt;=5,"Medium","Low"))))</f>
        <v/>
      </c>
      <c r="G10" s="16">
        <f>IF(F10="","",IF(F10="Critical","Immediate (&lt;7 days)",IF(F10="High","Short-term (&lt;30 days)",IF(F10="Medium","Medium-term (&lt;90 days)","Long-term (&lt;180 days)"))))</f>
        <v/>
      </c>
      <c r="H10" s="17" t="n"/>
    </row>
    <row r="11">
      <c r="A11" s="17" t="n"/>
      <c r="B11" s="17" t="n"/>
      <c r="C11" s="17" t="n"/>
      <c r="D11" s="17" t="n"/>
      <c r="E11" s="16">
        <f>IF(AND(B11&lt;&gt;"",C11&lt;&gt;""),B11*C11*(1-D11),"")</f>
        <v/>
      </c>
      <c r="F11" s="16">
        <f>IF(E11="","",IF(E11&gt;=15,"Critical",IF(E11&gt;=10,"High",IF(E11&gt;=5,"Medium","Low"))))</f>
        <v/>
      </c>
      <c r="G11" s="16">
        <f>IF(F11="","",IF(F11="Critical","Immediate (&lt;7 days)",IF(F11="High","Short-term (&lt;30 days)",IF(F11="Medium","Medium-term (&lt;90 days)","Long-term (&lt;180 days)"))))</f>
        <v/>
      </c>
      <c r="H11" s="17" t="n"/>
    </row>
    <row r="12">
      <c r="A12" s="17" t="n"/>
      <c r="B12" s="17" t="n"/>
      <c r="C12" s="17" t="n"/>
      <c r="D12" s="17" t="n"/>
      <c r="E12" s="16">
        <f>IF(AND(B12&lt;&gt;"",C12&lt;&gt;""),B12*C12*(1-D12),"")</f>
        <v/>
      </c>
      <c r="F12" s="16">
        <f>IF(E12="","",IF(E12&gt;=15,"Critical",IF(E12&gt;=10,"High",IF(E12&gt;=5,"Medium","Low"))))</f>
        <v/>
      </c>
      <c r="G12" s="16">
        <f>IF(F12="","",IF(F12="Critical","Immediate (&lt;7 days)",IF(F12="High","Short-term (&lt;30 days)",IF(F12="Medium","Medium-term (&lt;90 days)","Long-term (&lt;180 days)"))))</f>
        <v/>
      </c>
      <c r="H12" s="17" t="n"/>
    </row>
    <row r="13">
      <c r="A13" s="17" t="n"/>
      <c r="B13" s="17" t="n"/>
      <c r="C13" s="17" t="n"/>
      <c r="D13" s="17" t="n"/>
      <c r="E13" s="16">
        <f>IF(AND(B13&lt;&gt;"",C13&lt;&gt;""),B13*C13*(1-D13),"")</f>
        <v/>
      </c>
      <c r="F13" s="16">
        <f>IF(E13="","",IF(E13&gt;=15,"Critical",IF(E13&gt;=10,"High",IF(E13&gt;=5,"Medium","Low"))))</f>
        <v/>
      </c>
      <c r="G13" s="16">
        <f>IF(F13="","",IF(F13="Critical","Immediate (&lt;7 days)",IF(F13="High","Short-term (&lt;30 days)",IF(F13="Medium","Medium-term (&lt;90 days)","Long-term (&lt;180 days)"))))</f>
        <v/>
      </c>
      <c r="H13" s="17" t="n"/>
    </row>
    <row r="14">
      <c r="A14" s="17" t="n"/>
      <c r="B14" s="17" t="n"/>
      <c r="C14" s="17" t="n"/>
      <c r="D14" s="17" t="n"/>
      <c r="E14" s="16">
        <f>IF(AND(B14&lt;&gt;"",C14&lt;&gt;""),B14*C14*(1-D14),"")</f>
        <v/>
      </c>
      <c r="F14" s="16">
        <f>IF(E14="","",IF(E14&gt;=15,"Critical",IF(E14&gt;=10,"High",IF(E14&gt;=5,"Medium","Low"))))</f>
        <v/>
      </c>
      <c r="G14" s="16">
        <f>IF(F14="","",IF(F14="Critical","Immediate (&lt;7 days)",IF(F14="High","Short-term (&lt;30 days)",IF(F14="Medium","Medium-term (&lt;90 days)","Long-term (&lt;180 days)"))))</f>
        <v/>
      </c>
      <c r="H14" s="17" t="n"/>
    </row>
    <row r="15">
      <c r="A15" s="17" t="n"/>
      <c r="B15" s="17" t="n"/>
      <c r="C15" s="17" t="n"/>
      <c r="D15" s="17" t="n"/>
      <c r="E15" s="16">
        <f>IF(AND(B15&lt;&gt;"",C15&lt;&gt;""),B15*C15*(1-D15),"")</f>
        <v/>
      </c>
      <c r="F15" s="16">
        <f>IF(E15="","",IF(E15&gt;=15,"Critical",IF(E15&gt;=10,"High",IF(E15&gt;=5,"Medium","Low"))))</f>
        <v/>
      </c>
      <c r="G15" s="16">
        <f>IF(F15="","",IF(F15="Critical","Immediate (&lt;7 days)",IF(F15="High","Short-term (&lt;30 days)",IF(F15="Medium","Medium-term (&lt;90 days)","Long-term (&lt;180 days)"))))</f>
        <v/>
      </c>
      <c r="H15" s="17" t="n"/>
    </row>
    <row r="16">
      <c r="A16" s="17" t="n"/>
      <c r="B16" s="17" t="n"/>
      <c r="C16" s="17" t="n"/>
      <c r="D16" s="17" t="n"/>
      <c r="E16" s="16">
        <f>IF(AND(B16&lt;&gt;"",C16&lt;&gt;""),B16*C16*(1-D16),"")</f>
        <v/>
      </c>
      <c r="F16" s="16">
        <f>IF(E16="","",IF(E16&gt;=15,"Critical",IF(E16&gt;=10,"High",IF(E16&gt;=5,"Medium","Low"))))</f>
        <v/>
      </c>
      <c r="G16" s="16">
        <f>IF(F16="","",IF(F16="Critical","Immediate (&lt;7 days)",IF(F16="High","Short-term (&lt;30 days)",IF(F16="Medium","Medium-term (&lt;90 days)","Long-term (&lt;180 days)"))))</f>
        <v/>
      </c>
      <c r="H16" s="17" t="n"/>
    </row>
    <row r="17">
      <c r="A17" s="17" t="n"/>
      <c r="B17" s="17" t="n"/>
      <c r="C17" s="17" t="n"/>
      <c r="D17" s="17" t="n"/>
      <c r="E17" s="16">
        <f>IF(AND(B17&lt;&gt;"",C17&lt;&gt;""),B17*C17*(1-D17),"")</f>
        <v/>
      </c>
      <c r="F17" s="16">
        <f>IF(E17="","",IF(E17&gt;=15,"Critical",IF(E17&gt;=10,"High",IF(E17&gt;=5,"Medium","Low"))))</f>
        <v/>
      </c>
      <c r="G17" s="16">
        <f>IF(F17="","",IF(F17="Critical","Immediate (&lt;7 days)",IF(F17="High","Short-term (&lt;30 days)",IF(F17="Medium","Medium-term (&lt;90 days)","Long-term (&lt;180 days)"))))</f>
        <v/>
      </c>
      <c r="H17" s="17" t="n"/>
    </row>
    <row r="18">
      <c r="A18" s="17" t="n"/>
      <c r="B18" s="17" t="n"/>
      <c r="C18" s="17" t="n"/>
      <c r="D18" s="17" t="n"/>
      <c r="E18" s="16">
        <f>IF(AND(B18&lt;&gt;"",C18&lt;&gt;""),B18*C18*(1-D18),"")</f>
        <v/>
      </c>
      <c r="F18" s="16">
        <f>IF(E18="","",IF(E18&gt;=15,"Critical",IF(E18&gt;=10,"High",IF(E18&gt;=5,"Medium","Low"))))</f>
        <v/>
      </c>
      <c r="G18" s="16">
        <f>IF(F18="","",IF(F18="Critical","Immediate (&lt;7 days)",IF(F18="High","Short-term (&lt;30 days)",IF(F18="Medium","Medium-term (&lt;90 days)","Long-term (&lt;180 days)"))))</f>
        <v/>
      </c>
      <c r="H18" s="17" t="n"/>
    </row>
    <row r="19">
      <c r="A19" s="17" t="n"/>
      <c r="B19" s="17" t="n"/>
      <c r="C19" s="17" t="n"/>
      <c r="D19" s="17" t="n"/>
      <c r="E19" s="16">
        <f>IF(AND(B19&lt;&gt;"",C19&lt;&gt;""),B19*C19*(1-D19),"")</f>
        <v/>
      </c>
      <c r="F19" s="16">
        <f>IF(E19="","",IF(E19&gt;=15,"Critical",IF(E19&gt;=10,"High",IF(E19&gt;=5,"Medium","Low"))))</f>
        <v/>
      </c>
      <c r="G19" s="16">
        <f>IF(F19="","",IF(F19="Critical","Immediate (&lt;7 days)",IF(F19="High","Short-term (&lt;30 days)",IF(F19="Medium","Medium-term (&lt;90 days)","Long-term (&lt;180 days)"))))</f>
        <v/>
      </c>
      <c r="H19" s="17" t="n"/>
    </row>
    <row r="20">
      <c r="A20" s="17" t="n"/>
      <c r="B20" s="17" t="n"/>
      <c r="C20" s="17" t="n"/>
      <c r="D20" s="17" t="n"/>
      <c r="E20" s="16">
        <f>IF(AND(B20&lt;&gt;"",C20&lt;&gt;""),B20*C20*(1-D20),"")</f>
        <v/>
      </c>
      <c r="F20" s="16">
        <f>IF(E20="","",IF(E20&gt;=15,"Critical",IF(E20&gt;=10,"High",IF(E20&gt;=5,"Medium","Low"))))</f>
        <v/>
      </c>
      <c r="G20" s="16">
        <f>IF(F20="","",IF(F20="Critical","Immediate (&lt;7 days)",IF(F20="High","Short-term (&lt;30 days)",IF(F20="Medium","Medium-term (&lt;90 days)","Long-term (&lt;180 days)"))))</f>
        <v/>
      </c>
      <c r="H20" s="17" t="n"/>
    </row>
    <row r="21">
      <c r="A21" s="17" t="n"/>
      <c r="B21" s="17" t="n"/>
      <c r="C21" s="17" t="n"/>
      <c r="D21" s="17" t="n"/>
      <c r="E21" s="16">
        <f>IF(AND(B21&lt;&gt;"",C21&lt;&gt;""),B21*C21*(1-D21),"")</f>
        <v/>
      </c>
      <c r="F21" s="16">
        <f>IF(E21="","",IF(E21&gt;=15,"Critical",IF(E21&gt;=10,"High",IF(E21&gt;=5,"Medium","Low"))))</f>
        <v/>
      </c>
      <c r="G21" s="16">
        <f>IF(F21="","",IF(F21="Critical","Immediate (&lt;7 days)",IF(F21="High","Short-term (&lt;30 days)",IF(F21="Medium","Medium-term (&lt;90 days)","Long-term (&lt;180 days)"))))</f>
        <v/>
      </c>
      <c r="H21" s="17" t="n"/>
    </row>
    <row r="22">
      <c r="A22" s="17" t="n"/>
      <c r="B22" s="17" t="n"/>
      <c r="C22" s="17" t="n"/>
      <c r="D22" s="17" t="n"/>
      <c r="E22" s="16">
        <f>IF(AND(B22&lt;&gt;"",C22&lt;&gt;""),B22*C22*(1-D22),"")</f>
        <v/>
      </c>
      <c r="F22" s="16">
        <f>IF(E22="","",IF(E22&gt;=15,"Critical",IF(E22&gt;=10,"High",IF(E22&gt;=5,"Medium","Low"))))</f>
        <v/>
      </c>
      <c r="G22" s="16">
        <f>IF(F22="","",IF(F22="Critical","Immediate (&lt;7 days)",IF(F22="High","Short-term (&lt;30 days)",IF(F22="Medium","Medium-term (&lt;90 days)","Long-term (&lt;180 days)"))))</f>
        <v/>
      </c>
      <c r="H22" s="17" t="n"/>
    </row>
    <row r="23">
      <c r="A23" s="17" t="n"/>
      <c r="B23" s="17" t="n"/>
      <c r="C23" s="17" t="n"/>
      <c r="D23" s="17" t="n"/>
      <c r="E23" s="16">
        <f>IF(AND(B23&lt;&gt;"",C23&lt;&gt;""),B23*C23*(1-D23),"")</f>
        <v/>
      </c>
      <c r="F23" s="16">
        <f>IF(E23="","",IF(E23&gt;=15,"Critical",IF(E23&gt;=10,"High",IF(E23&gt;=5,"Medium","Low"))))</f>
        <v/>
      </c>
      <c r="G23" s="16">
        <f>IF(F23="","",IF(F23="Critical","Immediate (&lt;7 days)",IF(F23="High","Short-term (&lt;30 days)",IF(F23="Medium","Medium-term (&lt;90 days)","Long-term (&lt;180 days)"))))</f>
        <v/>
      </c>
      <c r="H23" s="17" t="n"/>
    </row>
    <row r="24">
      <c r="A24" s="17" t="n"/>
      <c r="B24" s="17" t="n"/>
      <c r="C24" s="17" t="n"/>
      <c r="D24" s="17" t="n"/>
      <c r="E24" s="16">
        <f>IF(AND(B24&lt;&gt;"",C24&lt;&gt;""),B24*C24*(1-D24),"")</f>
        <v/>
      </c>
      <c r="F24" s="16">
        <f>IF(E24="","",IF(E24&gt;=15,"Critical",IF(E24&gt;=10,"High",IF(E24&gt;=5,"Medium","Low"))))</f>
        <v/>
      </c>
      <c r="G24" s="16">
        <f>IF(F24="","",IF(F24="Critical","Immediate (&lt;7 days)",IF(F24="High","Short-term (&lt;30 days)",IF(F24="Medium","Medium-term (&lt;90 days)","Long-term (&lt;180 days)"))))</f>
        <v/>
      </c>
      <c r="H24" s="17" t="n"/>
    </row>
    <row r="25">
      <c r="A25" s="17" t="n"/>
      <c r="B25" s="17" t="n"/>
      <c r="C25" s="17" t="n"/>
      <c r="D25" s="17" t="n"/>
      <c r="E25" s="16">
        <f>IF(AND(B25&lt;&gt;"",C25&lt;&gt;""),B25*C25*(1-D25),"")</f>
        <v/>
      </c>
      <c r="F25" s="16">
        <f>IF(E25="","",IF(E25&gt;=15,"Critical",IF(E25&gt;=10,"High",IF(E25&gt;=5,"Medium","Low"))))</f>
        <v/>
      </c>
      <c r="G25" s="16">
        <f>IF(F25="","",IF(F25="Critical","Immediate (&lt;7 days)",IF(F25="High","Short-term (&lt;30 days)",IF(F25="Medium","Medium-term (&lt;90 days)","Long-term (&lt;180 days)"))))</f>
        <v/>
      </c>
      <c r="H25" s="17" t="n"/>
    </row>
    <row r="26">
      <c r="A26" s="17" t="n"/>
      <c r="B26" s="17" t="n"/>
      <c r="C26" s="17" t="n"/>
      <c r="D26" s="17" t="n"/>
      <c r="E26" s="16">
        <f>IF(AND(B26&lt;&gt;"",C26&lt;&gt;""),B26*C26*(1-D26),"")</f>
        <v/>
      </c>
      <c r="F26" s="16">
        <f>IF(E26="","",IF(E26&gt;=15,"Critical",IF(E26&gt;=10,"High",IF(E26&gt;=5,"Medium","Low"))))</f>
        <v/>
      </c>
      <c r="G26" s="16">
        <f>IF(F26="","",IF(F26="Critical","Immediate (&lt;7 days)",IF(F26="High","Short-term (&lt;30 days)",IF(F26="Medium","Medium-term (&lt;90 days)","Long-term (&lt;180 days)"))))</f>
        <v/>
      </c>
      <c r="H26" s="17" t="n"/>
    </row>
    <row r="27">
      <c r="A27" s="17" t="n"/>
      <c r="B27" s="17" t="n"/>
      <c r="C27" s="17" t="n"/>
      <c r="D27" s="17" t="n"/>
      <c r="E27" s="16">
        <f>IF(AND(B27&lt;&gt;"",C27&lt;&gt;""),B27*C27*(1-D27),"")</f>
        <v/>
      </c>
      <c r="F27" s="16">
        <f>IF(E27="","",IF(E27&gt;=15,"Critical",IF(E27&gt;=10,"High",IF(E27&gt;=5,"Medium","Low"))))</f>
        <v/>
      </c>
      <c r="G27" s="16">
        <f>IF(F27="","",IF(F27="Critical","Immediate (&lt;7 days)",IF(F27="High","Short-term (&lt;30 days)",IF(F27="Medium","Medium-term (&lt;90 days)","Long-term (&lt;180 days)"))))</f>
        <v/>
      </c>
      <c r="H27" s="17" t="n"/>
    </row>
    <row r="28">
      <c r="A28" s="17" t="n"/>
      <c r="B28" s="17" t="n"/>
      <c r="C28" s="17" t="n"/>
      <c r="D28" s="17" t="n"/>
      <c r="E28" s="16">
        <f>IF(AND(B28&lt;&gt;"",C28&lt;&gt;""),B28*C28*(1-D28),"")</f>
        <v/>
      </c>
      <c r="F28" s="16">
        <f>IF(E28="","",IF(E28&gt;=15,"Critical",IF(E28&gt;=10,"High",IF(E28&gt;=5,"Medium","Low"))))</f>
        <v/>
      </c>
      <c r="G28" s="16">
        <f>IF(F28="","",IF(F28="Critical","Immediate (&lt;7 days)",IF(F28="High","Short-term (&lt;30 days)",IF(F28="Medium","Medium-term (&lt;90 days)","Long-term (&lt;180 days)"))))</f>
        <v/>
      </c>
      <c r="H28" s="17" t="n"/>
    </row>
    <row r="29">
      <c r="A29" s="17" t="n"/>
      <c r="B29" s="17" t="n"/>
      <c r="C29" s="17" t="n"/>
      <c r="D29" s="17" t="n"/>
      <c r="E29" s="16">
        <f>IF(AND(B29&lt;&gt;"",C29&lt;&gt;""),B29*C29*(1-D29),"")</f>
        <v/>
      </c>
      <c r="F29" s="16">
        <f>IF(E29="","",IF(E29&gt;=15,"Critical",IF(E29&gt;=10,"High",IF(E29&gt;=5,"Medium","Low"))))</f>
        <v/>
      </c>
      <c r="G29" s="16">
        <f>IF(F29="","",IF(F29="Critical","Immediate (&lt;7 days)",IF(F29="High","Short-term (&lt;30 days)",IF(F29="Medium","Medium-term (&lt;90 days)","Long-term (&lt;180 days)"))))</f>
        <v/>
      </c>
      <c r="H29" s="17" t="n"/>
    </row>
    <row r="30">
      <c r="A30" s="17" t="n"/>
      <c r="B30" s="17" t="n"/>
      <c r="C30" s="17" t="n"/>
      <c r="D30" s="17" t="n"/>
      <c r="E30" s="16">
        <f>IF(AND(B30&lt;&gt;"",C30&lt;&gt;""),B30*C30*(1-D30),"")</f>
        <v/>
      </c>
      <c r="F30" s="16">
        <f>IF(E30="","",IF(E30&gt;=15,"Critical",IF(E30&gt;=10,"High",IF(E30&gt;=5,"Medium","Low"))))</f>
        <v/>
      </c>
      <c r="G30" s="16">
        <f>IF(F30="","",IF(F30="Critical","Immediate (&lt;7 days)",IF(F30="High","Short-term (&lt;30 days)",IF(F30="Medium","Medium-term (&lt;90 days)","Long-term (&lt;180 days)"))))</f>
        <v/>
      </c>
      <c r="H30" s="17" t="n"/>
    </row>
    <row r="31">
      <c r="A31" s="17" t="n"/>
      <c r="B31" s="17" t="n"/>
      <c r="C31" s="17" t="n"/>
      <c r="D31" s="17" t="n"/>
      <c r="E31" s="16">
        <f>IF(AND(B31&lt;&gt;"",C31&lt;&gt;""),B31*C31*(1-D31),"")</f>
        <v/>
      </c>
      <c r="F31" s="16">
        <f>IF(E31="","",IF(E31&gt;=15,"Critical",IF(E31&gt;=10,"High",IF(E31&gt;=5,"Medium","Low"))))</f>
        <v/>
      </c>
      <c r="G31" s="16">
        <f>IF(F31="","",IF(F31="Critical","Immediate (&lt;7 days)",IF(F31="High","Short-term (&lt;30 days)",IF(F31="Medium","Medium-term (&lt;90 days)","Long-term (&lt;180 days)"))))</f>
        <v/>
      </c>
      <c r="H31" s="17" t="n"/>
    </row>
    <row r="32">
      <c r="A32" s="17" t="n"/>
      <c r="B32" s="17" t="n"/>
      <c r="C32" s="17" t="n"/>
      <c r="D32" s="17" t="n"/>
      <c r="E32" s="16">
        <f>IF(AND(B32&lt;&gt;"",C32&lt;&gt;""),B32*C32*(1-D32),"")</f>
        <v/>
      </c>
      <c r="F32" s="16">
        <f>IF(E32="","",IF(E32&gt;=15,"Critical",IF(E32&gt;=10,"High",IF(E32&gt;=5,"Medium","Low"))))</f>
        <v/>
      </c>
      <c r="G32" s="16">
        <f>IF(F32="","",IF(F32="Critical","Immediate (&lt;7 days)",IF(F32="High","Short-term (&lt;30 days)",IF(F32="Medium","Medium-term (&lt;90 days)","Long-term (&lt;180 days)"))))</f>
        <v/>
      </c>
      <c r="H32" s="17" t="n"/>
    </row>
    <row r="33">
      <c r="A33" s="17" t="n"/>
      <c r="B33" s="17" t="n"/>
      <c r="C33" s="17" t="n"/>
      <c r="D33" s="17" t="n"/>
      <c r="E33" s="16">
        <f>IF(AND(B33&lt;&gt;"",C33&lt;&gt;""),B33*C33*(1-D33),"")</f>
        <v/>
      </c>
      <c r="F33" s="16">
        <f>IF(E33="","",IF(E33&gt;=15,"Critical",IF(E33&gt;=10,"High",IF(E33&gt;=5,"Medium","Low"))))</f>
        <v/>
      </c>
      <c r="G33" s="16">
        <f>IF(F33="","",IF(F33="Critical","Immediate (&lt;7 days)",IF(F33="High","Short-term (&lt;30 days)",IF(F33="Medium","Medium-term (&lt;90 days)","Long-term (&lt;180 days)"))))</f>
        <v/>
      </c>
      <c r="H33" s="17" t="n"/>
    </row>
    <row r="34">
      <c r="A34" s="17" t="n"/>
      <c r="B34" s="17" t="n"/>
      <c r="C34" s="17" t="n"/>
      <c r="D34" s="17" t="n"/>
      <c r="E34" s="16">
        <f>IF(AND(B34&lt;&gt;"",C34&lt;&gt;""),B34*C34*(1-D34),"")</f>
        <v/>
      </c>
      <c r="F34" s="16">
        <f>IF(E34="","",IF(E34&gt;=15,"Critical",IF(E34&gt;=10,"High",IF(E34&gt;=5,"Medium","Low"))))</f>
        <v/>
      </c>
      <c r="G34" s="16">
        <f>IF(F34="","",IF(F34="Critical","Immediate (&lt;7 days)",IF(F34="High","Short-term (&lt;30 days)",IF(F34="Medium","Medium-term (&lt;90 days)","Long-term (&lt;180 days)"))))</f>
        <v/>
      </c>
      <c r="H34" s="17" t="n"/>
    </row>
    <row r="35">
      <c r="A35" s="17" t="n"/>
      <c r="B35" s="17" t="n"/>
      <c r="C35" s="17" t="n"/>
      <c r="D35" s="17" t="n"/>
      <c r="E35" s="16">
        <f>IF(AND(B35&lt;&gt;"",C35&lt;&gt;""),B35*C35*(1-D35),"")</f>
        <v/>
      </c>
      <c r="F35" s="16">
        <f>IF(E35="","",IF(E35&gt;=15,"Critical",IF(E35&gt;=10,"High",IF(E35&gt;=5,"Medium","Low"))))</f>
        <v/>
      </c>
      <c r="G35" s="16">
        <f>IF(F35="","",IF(F35="Critical","Immediate (&lt;7 days)",IF(F35="High","Short-term (&lt;30 days)",IF(F35="Medium","Medium-term (&lt;90 days)","Long-term (&lt;180 days)"))))</f>
        <v/>
      </c>
      <c r="H35" s="17" t="n"/>
    </row>
    <row r="36">
      <c r="A36" s="17" t="n"/>
      <c r="B36" s="17" t="n"/>
      <c r="C36" s="17" t="n"/>
      <c r="D36" s="17" t="n"/>
      <c r="E36" s="16">
        <f>IF(AND(B36&lt;&gt;"",C36&lt;&gt;""),B36*C36*(1-D36),"")</f>
        <v/>
      </c>
      <c r="F36" s="16">
        <f>IF(E36="","",IF(E36&gt;=15,"Critical",IF(E36&gt;=10,"High",IF(E36&gt;=5,"Medium","Low"))))</f>
        <v/>
      </c>
      <c r="G36" s="16">
        <f>IF(F36="","",IF(F36="Critical","Immediate (&lt;7 days)",IF(F36="High","Short-term (&lt;30 days)",IF(F36="Medium","Medium-term (&lt;90 days)","Long-term (&lt;180 days)"))))</f>
        <v/>
      </c>
      <c r="H36" s="17" t="n"/>
    </row>
    <row r="37">
      <c r="A37" s="17" t="n"/>
      <c r="B37" s="17" t="n"/>
      <c r="C37" s="17" t="n"/>
      <c r="D37" s="17" t="n"/>
      <c r="E37" s="16">
        <f>IF(AND(B37&lt;&gt;"",C37&lt;&gt;""),B37*C37*(1-D37),"")</f>
        <v/>
      </c>
      <c r="F37" s="16">
        <f>IF(E37="","",IF(E37&gt;=15,"Critical",IF(E37&gt;=10,"High",IF(E37&gt;=5,"Medium","Low"))))</f>
        <v/>
      </c>
      <c r="G37" s="16">
        <f>IF(F37="","",IF(F37="Critical","Immediate (&lt;7 days)",IF(F37="High","Short-term (&lt;30 days)",IF(F37="Medium","Medium-term (&lt;90 days)","Long-term (&lt;180 days)"))))</f>
        <v/>
      </c>
      <c r="H37" s="17" t="n"/>
    </row>
    <row r="38">
      <c r="A38" s="17" t="n"/>
      <c r="B38" s="17" t="n"/>
      <c r="C38" s="17" t="n"/>
      <c r="D38" s="17" t="n"/>
      <c r="E38" s="16">
        <f>IF(AND(B38&lt;&gt;"",C38&lt;&gt;""),B38*C38*(1-D38),"")</f>
        <v/>
      </c>
      <c r="F38" s="16">
        <f>IF(E38="","",IF(E38&gt;=15,"Critical",IF(E38&gt;=10,"High",IF(E38&gt;=5,"Medium","Low"))))</f>
        <v/>
      </c>
      <c r="G38" s="16">
        <f>IF(F38="","",IF(F38="Critical","Immediate (&lt;7 days)",IF(F38="High","Short-term (&lt;30 days)",IF(F38="Medium","Medium-term (&lt;90 days)","Long-term (&lt;180 days)"))))</f>
        <v/>
      </c>
      <c r="H38" s="17" t="n"/>
    </row>
    <row r="39">
      <c r="A39" s="17" t="n"/>
      <c r="B39" s="17" t="n"/>
      <c r="C39" s="17" t="n"/>
      <c r="D39" s="17" t="n"/>
      <c r="E39" s="16">
        <f>IF(AND(B39&lt;&gt;"",C39&lt;&gt;""),B39*C39*(1-D39),"")</f>
        <v/>
      </c>
      <c r="F39" s="16">
        <f>IF(E39="","",IF(E39&gt;=15,"Critical",IF(E39&gt;=10,"High",IF(E39&gt;=5,"Medium","Low"))))</f>
        <v/>
      </c>
      <c r="G39" s="16">
        <f>IF(F39="","",IF(F39="Critical","Immediate (&lt;7 days)",IF(F39="High","Short-term (&lt;30 days)",IF(F39="Medium","Medium-term (&lt;90 days)","Long-term (&lt;180 days)"))))</f>
        <v/>
      </c>
      <c r="H39" s="17" t="n"/>
    </row>
    <row r="40">
      <c r="A40" s="17" t="n"/>
      <c r="B40" s="17" t="n"/>
      <c r="C40" s="17" t="n"/>
      <c r="D40" s="17" t="n"/>
      <c r="E40" s="16">
        <f>IF(AND(B40&lt;&gt;"",C40&lt;&gt;""),B40*C40*(1-D40),"")</f>
        <v/>
      </c>
      <c r="F40" s="16">
        <f>IF(E40="","",IF(E40&gt;=15,"Critical",IF(E40&gt;=10,"High",IF(E40&gt;=5,"Medium","Low"))))</f>
        <v/>
      </c>
      <c r="G40" s="16">
        <f>IF(F40="","",IF(F40="Critical","Immediate (&lt;7 days)",IF(F40="High","Short-term (&lt;30 days)",IF(F40="Medium","Medium-term (&lt;90 days)","Long-term (&lt;180 days)"))))</f>
        <v/>
      </c>
      <c r="H40" s="17" t="n"/>
    </row>
    <row r="41">
      <c r="A41" s="17" t="n"/>
      <c r="B41" s="17" t="n"/>
      <c r="C41" s="17" t="n"/>
      <c r="D41" s="17" t="n"/>
      <c r="E41" s="16">
        <f>IF(AND(B41&lt;&gt;"",C41&lt;&gt;""),B41*C41*(1-D41),"")</f>
        <v/>
      </c>
      <c r="F41" s="16">
        <f>IF(E41="","",IF(E41&gt;=15,"Critical",IF(E41&gt;=10,"High",IF(E41&gt;=5,"Medium","Low"))))</f>
        <v/>
      </c>
      <c r="G41" s="16">
        <f>IF(F41="","",IF(F41="Critical","Immediate (&lt;7 days)",IF(F41="High","Short-term (&lt;30 days)",IF(F41="Medium","Medium-term (&lt;90 days)","Long-term (&lt;180 days)"))))</f>
        <v/>
      </c>
      <c r="H41" s="17" t="n"/>
    </row>
    <row r="42">
      <c r="A42" s="17" t="n"/>
      <c r="B42" s="17" t="n"/>
      <c r="C42" s="17" t="n"/>
      <c r="D42" s="17" t="n"/>
      <c r="E42" s="16">
        <f>IF(AND(B42&lt;&gt;"",C42&lt;&gt;""),B42*C42*(1-D42),"")</f>
        <v/>
      </c>
      <c r="F42" s="16">
        <f>IF(E42="","",IF(E42&gt;=15,"Critical",IF(E42&gt;=10,"High",IF(E42&gt;=5,"Medium","Low"))))</f>
        <v/>
      </c>
      <c r="G42" s="16">
        <f>IF(F42="","",IF(F42="Critical","Immediate (&lt;7 days)",IF(F42="High","Short-term (&lt;30 days)",IF(F42="Medium","Medium-term (&lt;90 days)","Long-term (&lt;180 days)"))))</f>
        <v/>
      </c>
      <c r="H42" s="17" t="n"/>
    </row>
    <row r="43">
      <c r="A43" s="17" t="n"/>
      <c r="B43" s="17" t="n"/>
      <c r="C43" s="17" t="n"/>
      <c r="D43" s="17" t="n"/>
      <c r="E43" s="16">
        <f>IF(AND(B43&lt;&gt;"",C43&lt;&gt;""),B43*C43*(1-D43),"")</f>
        <v/>
      </c>
      <c r="F43" s="16">
        <f>IF(E43="","",IF(E43&gt;=15,"Critical",IF(E43&gt;=10,"High",IF(E43&gt;=5,"Medium","Low"))))</f>
        <v/>
      </c>
      <c r="G43" s="16">
        <f>IF(F43="","",IF(F43="Critical","Immediate (&lt;7 days)",IF(F43="High","Short-term (&lt;30 days)",IF(F43="Medium","Medium-term (&lt;90 days)","Long-term (&lt;180 days)"))))</f>
        <v/>
      </c>
      <c r="H43" s="17" t="n"/>
    </row>
    <row r="44">
      <c r="A44" s="17" t="n"/>
      <c r="B44" s="17" t="n"/>
      <c r="C44" s="17" t="n"/>
      <c r="D44" s="17" t="n"/>
      <c r="E44" s="16">
        <f>IF(AND(B44&lt;&gt;"",C44&lt;&gt;""),B44*C44*(1-D44),"")</f>
        <v/>
      </c>
      <c r="F44" s="16">
        <f>IF(E44="","",IF(E44&gt;=15,"Critical",IF(E44&gt;=10,"High",IF(E44&gt;=5,"Medium","Low"))))</f>
        <v/>
      </c>
      <c r="G44" s="16">
        <f>IF(F44="","",IF(F44="Critical","Immediate (&lt;7 days)",IF(F44="High","Short-term (&lt;30 days)",IF(F44="Medium","Medium-term (&lt;90 days)","Long-term (&lt;180 days)"))))</f>
        <v/>
      </c>
      <c r="H44" s="17" t="n"/>
    </row>
    <row r="45">
      <c r="A45" s="17" t="n"/>
      <c r="B45" s="17" t="n"/>
      <c r="C45" s="17" t="n"/>
      <c r="D45" s="17" t="n"/>
      <c r="E45" s="16">
        <f>IF(AND(B45&lt;&gt;"",C45&lt;&gt;""),B45*C45*(1-D45),"")</f>
        <v/>
      </c>
      <c r="F45" s="16">
        <f>IF(E45="","",IF(E45&gt;=15,"Critical",IF(E45&gt;=10,"High",IF(E45&gt;=5,"Medium","Low"))))</f>
        <v/>
      </c>
      <c r="G45" s="16">
        <f>IF(F45="","",IF(F45="Critical","Immediate (&lt;7 days)",IF(F45="High","Short-term (&lt;30 days)",IF(F45="Medium","Medium-term (&lt;90 days)","Long-term (&lt;180 days)"))))</f>
        <v/>
      </c>
      <c r="H45" s="17" t="n"/>
    </row>
    <row r="46">
      <c r="A46" s="17" t="n"/>
      <c r="B46" s="17" t="n"/>
      <c r="C46" s="17" t="n"/>
      <c r="D46" s="17" t="n"/>
      <c r="E46" s="16">
        <f>IF(AND(B46&lt;&gt;"",C46&lt;&gt;""),B46*C46*(1-D46),"")</f>
        <v/>
      </c>
      <c r="F46" s="16">
        <f>IF(E46="","",IF(E46&gt;=15,"Critical",IF(E46&gt;=10,"High",IF(E46&gt;=5,"Medium","Low"))))</f>
        <v/>
      </c>
      <c r="G46" s="16">
        <f>IF(F46="","",IF(F46="Critical","Immediate (&lt;7 days)",IF(F46="High","Short-term (&lt;30 days)",IF(F46="Medium","Medium-term (&lt;90 days)","Long-term (&lt;180 days)"))))</f>
        <v/>
      </c>
      <c r="H46" s="17" t="n"/>
    </row>
    <row r="47">
      <c r="A47" s="17" t="n"/>
      <c r="B47" s="17" t="n"/>
      <c r="C47" s="17" t="n"/>
      <c r="D47" s="17" t="n"/>
      <c r="E47" s="16">
        <f>IF(AND(B47&lt;&gt;"",C47&lt;&gt;""),B47*C47*(1-D47),"")</f>
        <v/>
      </c>
      <c r="F47" s="16">
        <f>IF(E47="","",IF(E47&gt;=15,"Critical",IF(E47&gt;=10,"High",IF(E47&gt;=5,"Medium","Low"))))</f>
        <v/>
      </c>
      <c r="G47" s="16">
        <f>IF(F47="","",IF(F47="Critical","Immediate (&lt;7 days)",IF(F47="High","Short-term (&lt;30 days)",IF(F47="Medium","Medium-term (&lt;90 days)","Long-term (&lt;180 days)"))))</f>
        <v/>
      </c>
      <c r="H47" s="17" t="n"/>
    </row>
    <row r="48">
      <c r="A48" s="17" t="n"/>
      <c r="B48" s="17" t="n"/>
      <c r="C48" s="17" t="n"/>
      <c r="D48" s="17" t="n"/>
      <c r="E48" s="16">
        <f>IF(AND(B48&lt;&gt;"",C48&lt;&gt;""),B48*C48*(1-D48),"")</f>
        <v/>
      </c>
      <c r="F48" s="16">
        <f>IF(E48="","",IF(E48&gt;=15,"Critical",IF(E48&gt;=10,"High",IF(E48&gt;=5,"Medium","Low"))))</f>
        <v/>
      </c>
      <c r="G48" s="16">
        <f>IF(F48="","",IF(F48="Critical","Immediate (&lt;7 days)",IF(F48="High","Short-term (&lt;30 days)",IF(F48="Medium","Medium-term (&lt;90 days)","Long-term (&lt;180 days)"))))</f>
        <v/>
      </c>
      <c r="H48" s="17" t="n"/>
    </row>
    <row r="49">
      <c r="A49" s="17" t="n"/>
      <c r="B49" s="17" t="n"/>
      <c r="C49" s="17" t="n"/>
      <c r="D49" s="17" t="n"/>
      <c r="E49" s="16">
        <f>IF(AND(B49&lt;&gt;"",C49&lt;&gt;""),B49*C49*(1-D49),"")</f>
        <v/>
      </c>
      <c r="F49" s="16">
        <f>IF(E49="","",IF(E49&gt;=15,"Critical",IF(E49&gt;=10,"High",IF(E49&gt;=5,"Medium","Low"))))</f>
        <v/>
      </c>
      <c r="G49" s="16">
        <f>IF(F49="","",IF(F49="Critical","Immediate (&lt;7 days)",IF(F49="High","Short-term (&lt;30 days)",IF(F49="Medium","Medium-term (&lt;90 days)","Long-term (&lt;180 days)"))))</f>
        <v/>
      </c>
      <c r="H49" s="17" t="n"/>
    </row>
    <row r="50">
      <c r="A50" s="17" t="n"/>
      <c r="B50" s="17" t="n"/>
      <c r="C50" s="17" t="n"/>
      <c r="D50" s="17" t="n"/>
      <c r="E50" s="16">
        <f>IF(AND(B50&lt;&gt;"",C50&lt;&gt;""),B50*C50*(1-D50),"")</f>
        <v/>
      </c>
      <c r="F50" s="16">
        <f>IF(E50="","",IF(E50&gt;=15,"Critical",IF(E50&gt;=10,"High",IF(E50&gt;=5,"Medium","Low"))))</f>
        <v/>
      </c>
      <c r="G50" s="16">
        <f>IF(F50="","",IF(F50="Critical","Immediate (&lt;7 days)",IF(F50="High","Short-term (&lt;30 days)",IF(F50="Medium","Medium-term (&lt;90 days)","Long-term (&lt;180 days)"))))</f>
        <v/>
      </c>
      <c r="H50" s="17" t="n"/>
    </row>
    <row r="51">
      <c r="A51" s="17" t="n"/>
      <c r="B51" s="17" t="n"/>
      <c r="C51" s="17" t="n"/>
      <c r="D51" s="17" t="n"/>
      <c r="E51" s="16">
        <f>IF(AND(B51&lt;&gt;"",C51&lt;&gt;""),B51*C51*(1-D51),"")</f>
        <v/>
      </c>
      <c r="F51" s="16">
        <f>IF(E51="","",IF(E51&gt;=15,"Critical",IF(E51&gt;=10,"High",IF(E51&gt;=5,"Medium","Low"))))</f>
        <v/>
      </c>
      <c r="G51" s="16">
        <f>IF(F51="","",IF(F51="Critical","Immediate (&lt;7 days)",IF(F51="High","Short-term (&lt;30 days)",IF(F51="Medium","Medium-term (&lt;90 days)","Long-term (&lt;180 days)"))))</f>
        <v/>
      </c>
      <c r="H51" s="17" t="n"/>
    </row>
    <row r="52">
      <c r="A52" s="17" t="n"/>
      <c r="B52" s="17" t="n"/>
      <c r="C52" s="17" t="n"/>
      <c r="D52" s="17" t="n"/>
      <c r="E52" s="16">
        <f>IF(AND(B52&lt;&gt;"",C52&lt;&gt;""),B52*C52*(1-D52),"")</f>
        <v/>
      </c>
      <c r="F52" s="16">
        <f>IF(E52="","",IF(E52&gt;=15,"Critical",IF(E52&gt;=10,"High",IF(E52&gt;=5,"Medium","Low"))))</f>
        <v/>
      </c>
      <c r="G52" s="16">
        <f>IF(F52="","",IF(F52="Critical","Immediate (&lt;7 days)",IF(F52="High","Short-term (&lt;30 days)",IF(F52="Medium","Medium-term (&lt;90 days)","Long-term (&lt;180 days)"))))</f>
        <v/>
      </c>
      <c r="H52" s="17" t="n"/>
    </row>
    <row r="53">
      <c r="A53" s="17" t="n"/>
      <c r="B53" s="17" t="n"/>
      <c r="C53" s="17" t="n"/>
      <c r="D53" s="17" t="n"/>
      <c r="E53" s="16">
        <f>IF(AND(B53&lt;&gt;"",C53&lt;&gt;""),B53*C53*(1-D53),"")</f>
        <v/>
      </c>
      <c r="F53" s="16">
        <f>IF(E53="","",IF(E53&gt;=15,"Critical",IF(E53&gt;=10,"High",IF(E53&gt;=5,"Medium","Low"))))</f>
        <v/>
      </c>
      <c r="G53" s="16">
        <f>IF(F53="","",IF(F53="Critical","Immediate (&lt;7 days)",IF(F53="High","Short-term (&lt;30 days)",IF(F53="Medium","Medium-term (&lt;90 days)","Long-term (&lt;180 days)"))))</f>
        <v/>
      </c>
      <c r="H53" s="17" t="n"/>
    </row>
    <row r="54">
      <c r="A54" s="17" t="n"/>
      <c r="B54" s="17" t="n"/>
      <c r="C54" s="17" t="n"/>
      <c r="D54" s="17" t="n"/>
      <c r="E54" s="16">
        <f>IF(AND(B54&lt;&gt;"",C54&lt;&gt;""),B54*C54*(1-D54),"")</f>
        <v/>
      </c>
      <c r="F54" s="16">
        <f>IF(E54="","",IF(E54&gt;=15,"Critical",IF(E54&gt;=10,"High",IF(E54&gt;=5,"Medium","Low"))))</f>
        <v/>
      </c>
      <c r="G54" s="16">
        <f>IF(F54="","",IF(F54="Critical","Immediate (&lt;7 days)",IF(F54="High","Short-term (&lt;30 days)",IF(F54="Medium","Medium-term (&lt;90 days)","Long-term (&lt;180 days)"))))</f>
        <v/>
      </c>
      <c r="H54" s="17" t="n"/>
    </row>
  </sheetData>
  <mergeCells count="2">
    <mergeCell ref="A2:H2"/>
    <mergeCell ref="A1:H1"/>
  </mergeCells>
  <dataValidations count="1">
    <dataValidation sqref="C4:C200" showDropDown="0" showInputMessage="0" showErrorMessage="0" allowBlank="0" type="list">
      <formula1>"1,2,3,4,5"</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Assessment Area</t>
        </is>
      </c>
      <c r="C5" s="22" t="inlineStr">
        <is>
          <t>Policy Document</t>
        </is>
      </c>
      <c r="D5" s="22" t="inlineStr">
        <is>
          <t>Example evidence description</t>
        </is>
      </c>
      <c r="E5" s="22" t="inlineStr">
        <is>
          <t>\\fileserver\policies\document.pdf</t>
        </is>
      </c>
      <c r="F5" s="22" t="inlineStr">
        <is>
          <t>15.01.2026</t>
        </is>
      </c>
      <c r="G5" s="22" t="inlineStr">
        <is>
          <t>Assessor Name</t>
        </is>
      </c>
      <c r="H5" s="22" t="inlineStr">
        <is>
          <t>✅ Verified</t>
        </is>
      </c>
    </row>
    <row r="6">
      <c r="A6" s="23" t="n"/>
      <c r="B6" s="15" t="n"/>
      <c r="C6" s="15" t="n"/>
      <c r="D6" s="15" t="n"/>
      <c r="E6" s="15" t="n"/>
      <c r="F6" s="15" t="n"/>
      <c r="G6" s="15" t="n"/>
      <c r="H6" s="15" t="n"/>
    </row>
    <row r="7">
      <c r="A7" s="23" t="n"/>
      <c r="B7" s="15" t="n"/>
      <c r="C7" s="15" t="n"/>
      <c r="D7" s="15" t="n"/>
      <c r="E7" s="15" t="n"/>
      <c r="F7" s="15" t="n"/>
      <c r="G7" s="15" t="n"/>
      <c r="H7" s="15" t="n"/>
    </row>
    <row r="8">
      <c r="A8" s="23" t="n"/>
      <c r="B8" s="15" t="n"/>
      <c r="C8" s="15" t="n"/>
      <c r="D8" s="15" t="n"/>
      <c r="E8" s="15" t="n"/>
      <c r="F8" s="15" t="n"/>
      <c r="G8" s="15" t="n"/>
      <c r="H8" s="15" t="n"/>
    </row>
    <row r="9">
      <c r="A9" s="23" t="n"/>
      <c r="B9" s="15" t="n"/>
      <c r="C9" s="15" t="n"/>
      <c r="D9" s="15" t="n"/>
      <c r="E9" s="15" t="n"/>
      <c r="F9" s="15" t="n"/>
      <c r="G9" s="15" t="n"/>
      <c r="H9" s="15" t="n"/>
    </row>
    <row r="10">
      <c r="A10" s="23" t="n"/>
      <c r="B10" s="15" t="n"/>
      <c r="C10" s="15" t="n"/>
      <c r="D10" s="15" t="n"/>
      <c r="E10" s="15" t="n"/>
      <c r="F10" s="15" t="n"/>
      <c r="G10" s="15" t="n"/>
      <c r="H10" s="15" t="n"/>
    </row>
    <row r="11">
      <c r="A11" s="23" t="n"/>
      <c r="B11" s="15" t="n"/>
      <c r="C11" s="15" t="n"/>
      <c r="D11" s="15" t="n"/>
      <c r="E11" s="15" t="n"/>
      <c r="F11" s="15" t="n"/>
      <c r="G11" s="15" t="n"/>
      <c r="H11" s="15" t="n"/>
    </row>
    <row r="12">
      <c r="A12" s="23" t="n"/>
      <c r="B12" s="15" t="n"/>
      <c r="C12" s="15" t="n"/>
      <c r="D12" s="15" t="n"/>
      <c r="E12" s="15" t="n"/>
      <c r="F12" s="15" t="n"/>
      <c r="G12" s="15" t="n"/>
      <c r="H12" s="15" t="n"/>
    </row>
    <row r="13">
      <c r="A13" s="23" t="n"/>
      <c r="B13" s="15" t="n"/>
      <c r="C13" s="15" t="n"/>
      <c r="D13" s="15" t="n"/>
      <c r="E13" s="15" t="n"/>
      <c r="F13" s="15" t="n"/>
      <c r="G13" s="15" t="n"/>
      <c r="H13" s="15" t="n"/>
    </row>
    <row r="14">
      <c r="A14" s="23" t="n"/>
      <c r="B14" s="15" t="n"/>
      <c r="C14" s="15" t="n"/>
      <c r="D14" s="15" t="n"/>
      <c r="E14" s="15" t="n"/>
      <c r="F14" s="15" t="n"/>
      <c r="G14" s="15" t="n"/>
      <c r="H14" s="15" t="n"/>
    </row>
    <row r="15">
      <c r="A15" s="23" t="n"/>
      <c r="B15" s="15" t="n"/>
      <c r="C15" s="15" t="n"/>
      <c r="D15" s="15" t="n"/>
      <c r="E15" s="15" t="n"/>
      <c r="F15" s="15" t="n"/>
      <c r="G15" s="15" t="n"/>
      <c r="H15" s="15" t="n"/>
    </row>
    <row r="16">
      <c r="A16" s="23" t="n"/>
      <c r="B16" s="15" t="n"/>
      <c r="C16" s="15" t="n"/>
      <c r="D16" s="15" t="n"/>
      <c r="E16" s="15" t="n"/>
      <c r="F16" s="15" t="n"/>
      <c r="G16" s="15" t="n"/>
      <c r="H16" s="15" t="n"/>
    </row>
    <row r="17">
      <c r="A17" s="23" t="n"/>
      <c r="B17" s="15" t="n"/>
      <c r="C17" s="15" t="n"/>
      <c r="D17" s="15" t="n"/>
      <c r="E17" s="15" t="n"/>
      <c r="F17" s="15" t="n"/>
      <c r="G17" s="15" t="n"/>
      <c r="H17" s="15" t="n"/>
    </row>
    <row r="18">
      <c r="A18" s="23" t="n"/>
      <c r="B18" s="15" t="n"/>
      <c r="C18" s="15" t="n"/>
      <c r="D18" s="15" t="n"/>
      <c r="E18" s="15" t="n"/>
      <c r="F18" s="15" t="n"/>
      <c r="G18" s="15" t="n"/>
      <c r="H18" s="15" t="n"/>
    </row>
    <row r="19">
      <c r="A19" s="23" t="n"/>
      <c r="B19" s="15" t="n"/>
      <c r="C19" s="15" t="n"/>
      <c r="D19" s="15" t="n"/>
      <c r="E19" s="15" t="n"/>
      <c r="F19" s="15" t="n"/>
      <c r="G19" s="15" t="n"/>
      <c r="H19" s="15" t="n"/>
    </row>
    <row r="20">
      <c r="A20" s="23" t="n"/>
      <c r="B20" s="15" t="n"/>
      <c r="C20" s="15" t="n"/>
      <c r="D20" s="15" t="n"/>
      <c r="E20" s="15" t="n"/>
      <c r="F20" s="15" t="n"/>
      <c r="G20" s="15" t="n"/>
      <c r="H20" s="15" t="n"/>
    </row>
    <row r="21">
      <c r="A21" s="23" t="n"/>
      <c r="B21" s="15" t="n"/>
      <c r="C21" s="15" t="n"/>
      <c r="D21" s="15" t="n"/>
      <c r="E21" s="15" t="n"/>
      <c r="F21" s="15" t="n"/>
      <c r="G21" s="15" t="n"/>
      <c r="H21" s="15" t="n"/>
    </row>
    <row r="22">
      <c r="A22" s="23" t="n"/>
      <c r="B22" s="15" t="n"/>
      <c r="C22" s="15" t="n"/>
      <c r="D22" s="15" t="n"/>
      <c r="E22" s="15" t="n"/>
      <c r="F22" s="15" t="n"/>
      <c r="G22" s="15" t="n"/>
      <c r="H22" s="15" t="n"/>
    </row>
    <row r="23">
      <c r="A23" s="23" t="n"/>
      <c r="B23" s="15" t="n"/>
      <c r="C23" s="15" t="n"/>
      <c r="D23" s="15" t="n"/>
      <c r="E23" s="15" t="n"/>
      <c r="F23" s="15" t="n"/>
      <c r="G23" s="15" t="n"/>
      <c r="H23" s="15" t="n"/>
    </row>
    <row r="24">
      <c r="A24" s="23" t="n"/>
      <c r="B24" s="15" t="n"/>
      <c r="C24" s="15" t="n"/>
      <c r="D24" s="15" t="n"/>
      <c r="E24" s="15" t="n"/>
      <c r="F24" s="15" t="n"/>
      <c r="G24" s="15" t="n"/>
      <c r="H24" s="15" t="n"/>
    </row>
    <row r="25">
      <c r="A25" s="23" t="n"/>
      <c r="B25" s="15" t="n"/>
      <c r="C25" s="15" t="n"/>
      <c r="D25" s="15" t="n"/>
      <c r="E25" s="15" t="n"/>
      <c r="F25" s="15" t="n"/>
      <c r="G25" s="15" t="n"/>
      <c r="H25" s="15" t="n"/>
    </row>
    <row r="26">
      <c r="A26" s="23" t="n"/>
      <c r="B26" s="15" t="n"/>
      <c r="C26" s="15" t="n"/>
      <c r="D26" s="15" t="n"/>
      <c r="E26" s="15" t="n"/>
      <c r="F26" s="15" t="n"/>
      <c r="G26" s="15" t="n"/>
      <c r="H26" s="15" t="n"/>
    </row>
    <row r="27">
      <c r="A27" s="23" t="n"/>
      <c r="B27" s="15" t="n"/>
      <c r="C27" s="15" t="n"/>
      <c r="D27" s="15" t="n"/>
      <c r="E27" s="15" t="n"/>
      <c r="F27" s="15" t="n"/>
      <c r="G27" s="15" t="n"/>
      <c r="H27" s="15" t="n"/>
    </row>
    <row r="28">
      <c r="A28" s="23" t="n"/>
      <c r="B28" s="15" t="n"/>
      <c r="C28" s="15" t="n"/>
      <c r="D28" s="15" t="n"/>
      <c r="E28" s="15" t="n"/>
      <c r="F28" s="15" t="n"/>
      <c r="G28" s="15" t="n"/>
      <c r="H28" s="15" t="n"/>
    </row>
    <row r="29">
      <c r="A29" s="23" t="n"/>
      <c r="B29" s="15" t="n"/>
      <c r="C29" s="15" t="n"/>
      <c r="D29" s="15" t="n"/>
      <c r="E29" s="15" t="n"/>
      <c r="F29" s="15" t="n"/>
      <c r="G29" s="15" t="n"/>
      <c r="H29" s="15" t="n"/>
    </row>
    <row r="30">
      <c r="A30" s="23" t="n"/>
      <c r="B30" s="15" t="n"/>
      <c r="C30" s="15" t="n"/>
      <c r="D30" s="15" t="n"/>
      <c r="E30" s="15" t="n"/>
      <c r="F30" s="15" t="n"/>
      <c r="G30" s="15" t="n"/>
      <c r="H30" s="15" t="n"/>
    </row>
    <row r="31">
      <c r="A31" s="23" t="n"/>
      <c r="B31" s="15" t="n"/>
      <c r="C31" s="15" t="n"/>
      <c r="D31" s="15" t="n"/>
      <c r="E31" s="15" t="n"/>
      <c r="F31" s="15" t="n"/>
      <c r="G31" s="15" t="n"/>
      <c r="H31" s="15" t="n"/>
    </row>
    <row r="32">
      <c r="A32" s="23" t="n"/>
      <c r="B32" s="15" t="n"/>
      <c r="C32" s="15" t="n"/>
      <c r="D32" s="15" t="n"/>
      <c r="E32" s="15" t="n"/>
      <c r="F32" s="15" t="n"/>
      <c r="G32" s="15" t="n"/>
      <c r="H32" s="15" t="n"/>
    </row>
    <row r="33">
      <c r="A33" s="23" t="n"/>
      <c r="B33" s="15" t="n"/>
      <c r="C33" s="15" t="n"/>
      <c r="D33" s="15" t="n"/>
      <c r="E33" s="15" t="n"/>
      <c r="F33" s="15" t="n"/>
      <c r="G33" s="15" t="n"/>
      <c r="H33" s="15" t="n"/>
    </row>
    <row r="34">
      <c r="A34" s="23" t="n"/>
      <c r="B34" s="15" t="n"/>
      <c r="C34" s="15" t="n"/>
      <c r="D34" s="15" t="n"/>
      <c r="E34" s="15" t="n"/>
      <c r="F34" s="15" t="n"/>
      <c r="G34" s="15" t="n"/>
      <c r="H34" s="15" t="n"/>
    </row>
    <row r="35">
      <c r="A35" s="23" t="n"/>
      <c r="B35" s="15" t="n"/>
      <c r="C35" s="15" t="n"/>
      <c r="D35" s="15" t="n"/>
      <c r="E35" s="15" t="n"/>
      <c r="F35" s="15" t="n"/>
      <c r="G35" s="15" t="n"/>
      <c r="H35" s="15" t="n"/>
    </row>
    <row r="36">
      <c r="A36" s="23" t="n"/>
      <c r="B36" s="15" t="n"/>
      <c r="C36" s="15" t="n"/>
      <c r="D36" s="15" t="n"/>
      <c r="E36" s="15" t="n"/>
      <c r="F36" s="15" t="n"/>
      <c r="G36" s="15" t="n"/>
      <c r="H36" s="15" t="n"/>
    </row>
    <row r="37">
      <c r="A37" s="23" t="n"/>
      <c r="B37" s="15" t="n"/>
      <c r="C37" s="15" t="n"/>
      <c r="D37" s="15" t="n"/>
      <c r="E37" s="15" t="n"/>
      <c r="F37" s="15" t="n"/>
      <c r="G37" s="15" t="n"/>
      <c r="H37" s="15" t="n"/>
    </row>
    <row r="38">
      <c r="A38" s="23" t="n"/>
      <c r="B38" s="15" t="n"/>
      <c r="C38" s="15" t="n"/>
      <c r="D38" s="15" t="n"/>
      <c r="E38" s="15" t="n"/>
      <c r="F38" s="15" t="n"/>
      <c r="G38" s="15" t="n"/>
      <c r="H38" s="15" t="n"/>
    </row>
    <row r="39">
      <c r="A39" s="23" t="n"/>
      <c r="B39" s="15" t="n"/>
      <c r="C39" s="15" t="n"/>
      <c r="D39" s="15" t="n"/>
      <c r="E39" s="15" t="n"/>
      <c r="F39" s="15" t="n"/>
      <c r="G39" s="15" t="n"/>
      <c r="H39" s="15" t="n"/>
    </row>
    <row r="40">
      <c r="A40" s="23" t="n"/>
      <c r="B40" s="15" t="n"/>
      <c r="C40" s="15" t="n"/>
      <c r="D40" s="15" t="n"/>
      <c r="E40" s="15" t="n"/>
      <c r="F40" s="15" t="n"/>
      <c r="G40" s="15" t="n"/>
      <c r="H40" s="15" t="n"/>
    </row>
    <row r="41">
      <c r="A41" s="23" t="n"/>
      <c r="B41" s="15" t="n"/>
      <c r="C41" s="15" t="n"/>
      <c r="D41" s="15" t="n"/>
      <c r="E41" s="15" t="n"/>
      <c r="F41" s="15" t="n"/>
      <c r="G41" s="15" t="n"/>
      <c r="H41" s="15" t="n"/>
    </row>
    <row r="42">
      <c r="A42" s="23" t="n"/>
      <c r="B42" s="15" t="n"/>
      <c r="C42" s="15" t="n"/>
      <c r="D42" s="15" t="n"/>
      <c r="E42" s="15" t="n"/>
      <c r="F42" s="15" t="n"/>
      <c r="G42" s="15" t="n"/>
      <c r="H42" s="15" t="n"/>
    </row>
    <row r="43">
      <c r="A43" s="23" t="n"/>
      <c r="B43" s="15" t="n"/>
      <c r="C43" s="15" t="n"/>
      <c r="D43" s="15" t="n"/>
      <c r="E43" s="15" t="n"/>
      <c r="F43" s="15" t="n"/>
      <c r="G43" s="15" t="n"/>
      <c r="H43" s="15" t="n"/>
    </row>
    <row r="44">
      <c r="A44" s="23" t="n"/>
      <c r="B44" s="15" t="n"/>
      <c r="C44" s="15" t="n"/>
      <c r="D44" s="15" t="n"/>
      <c r="E44" s="15" t="n"/>
      <c r="F44" s="15" t="n"/>
      <c r="G44" s="15" t="n"/>
      <c r="H44" s="15" t="n"/>
    </row>
    <row r="45">
      <c r="A45" s="23" t="n"/>
      <c r="B45" s="15" t="n"/>
      <c r="C45" s="15" t="n"/>
      <c r="D45" s="15" t="n"/>
      <c r="E45" s="15" t="n"/>
      <c r="F45" s="15" t="n"/>
      <c r="G45" s="15" t="n"/>
      <c r="H45" s="15" t="n"/>
    </row>
    <row r="46">
      <c r="A46" s="23" t="n"/>
      <c r="B46" s="15" t="n"/>
      <c r="C46" s="15" t="n"/>
      <c r="D46" s="15" t="n"/>
      <c r="E46" s="15" t="n"/>
      <c r="F46" s="15" t="n"/>
      <c r="G46" s="15" t="n"/>
      <c r="H46" s="15" t="n"/>
    </row>
    <row r="47">
      <c r="A47" s="23" t="n"/>
      <c r="B47" s="15" t="n"/>
      <c r="C47" s="15" t="n"/>
      <c r="D47" s="15" t="n"/>
      <c r="E47" s="15" t="n"/>
      <c r="F47" s="15" t="n"/>
      <c r="G47" s="15" t="n"/>
      <c r="H47" s="15" t="n"/>
    </row>
    <row r="48">
      <c r="A48" s="23" t="n"/>
      <c r="B48" s="15" t="n"/>
      <c r="C48" s="15" t="n"/>
      <c r="D48" s="15" t="n"/>
      <c r="E48" s="15" t="n"/>
      <c r="F48" s="15" t="n"/>
      <c r="G48" s="15" t="n"/>
      <c r="H48" s="15" t="n"/>
    </row>
    <row r="49">
      <c r="A49" s="23" t="n"/>
      <c r="B49" s="15" t="n"/>
      <c r="C49" s="15" t="n"/>
      <c r="D49" s="15" t="n"/>
      <c r="E49" s="15" t="n"/>
      <c r="F49" s="15" t="n"/>
      <c r="G49" s="15" t="n"/>
      <c r="H49" s="15" t="n"/>
    </row>
    <row r="50">
      <c r="A50" s="23" t="n"/>
      <c r="B50" s="15" t="n"/>
      <c r="C50" s="15" t="n"/>
      <c r="D50" s="15" t="n"/>
      <c r="E50" s="15" t="n"/>
      <c r="F50" s="15" t="n"/>
      <c r="G50" s="15" t="n"/>
      <c r="H50" s="15" t="n"/>
    </row>
    <row r="51">
      <c r="A51" s="23" t="n"/>
      <c r="B51" s="15" t="n"/>
      <c r="C51" s="15" t="n"/>
      <c r="D51" s="15" t="n"/>
      <c r="E51" s="15" t="n"/>
      <c r="F51" s="15" t="n"/>
      <c r="G51" s="15" t="n"/>
      <c r="H51" s="15" t="n"/>
    </row>
    <row r="52">
      <c r="A52" s="23" t="n"/>
      <c r="B52" s="15" t="n"/>
      <c r="C52" s="15" t="n"/>
      <c r="D52" s="15" t="n"/>
      <c r="E52" s="15" t="n"/>
      <c r="F52" s="15" t="n"/>
      <c r="G52" s="15" t="n"/>
      <c r="H52" s="15" t="n"/>
    </row>
    <row r="53">
      <c r="A53" s="23" t="n"/>
      <c r="B53" s="15" t="n"/>
      <c r="C53" s="15" t="n"/>
      <c r="D53" s="15" t="n"/>
      <c r="E53" s="15" t="n"/>
      <c r="F53" s="15" t="n"/>
      <c r="G53" s="15" t="n"/>
      <c r="H53" s="15" t="n"/>
    </row>
    <row r="54">
      <c r="A54" s="23" t="n"/>
      <c r="B54" s="15" t="n"/>
      <c r="C54" s="15" t="n"/>
      <c r="D54" s="15" t="n"/>
      <c r="E54" s="15" t="n"/>
      <c r="F54" s="15" t="n"/>
      <c r="G54" s="15" t="n"/>
      <c r="H54" s="15" t="n"/>
    </row>
    <row r="55">
      <c r="A55" s="23" t="n"/>
      <c r="B55" s="15" t="n"/>
      <c r="C55" s="15" t="n"/>
      <c r="D55" s="15" t="n"/>
      <c r="E55" s="15" t="n"/>
      <c r="F55" s="15" t="n"/>
      <c r="G55" s="15" t="n"/>
      <c r="H55" s="15" t="n"/>
    </row>
    <row r="56">
      <c r="A56" s="23" t="n"/>
      <c r="B56" s="15" t="n"/>
      <c r="C56" s="15" t="n"/>
      <c r="D56" s="15" t="n"/>
      <c r="E56" s="15" t="n"/>
      <c r="F56" s="15" t="n"/>
      <c r="G56" s="15" t="n"/>
      <c r="H56" s="15" t="n"/>
    </row>
    <row r="57">
      <c r="A57" s="23" t="n"/>
      <c r="B57" s="15" t="n"/>
      <c r="C57" s="15" t="n"/>
      <c r="D57" s="15" t="n"/>
      <c r="E57" s="15" t="n"/>
      <c r="F57" s="15" t="n"/>
      <c r="G57" s="15" t="n"/>
      <c r="H57" s="15" t="n"/>
    </row>
    <row r="58">
      <c r="A58" s="23" t="n"/>
      <c r="B58" s="15" t="n"/>
      <c r="C58" s="15" t="n"/>
      <c r="D58" s="15" t="n"/>
      <c r="E58" s="15" t="n"/>
      <c r="F58" s="15" t="n"/>
      <c r="G58" s="15" t="n"/>
      <c r="H58" s="15" t="n"/>
    </row>
    <row r="59">
      <c r="A59" s="23" t="n"/>
      <c r="B59" s="15" t="n"/>
      <c r="C59" s="15" t="n"/>
      <c r="D59" s="15" t="n"/>
      <c r="E59" s="15" t="n"/>
      <c r="F59" s="15" t="n"/>
      <c r="G59" s="15" t="n"/>
      <c r="H59" s="15" t="n"/>
    </row>
    <row r="60">
      <c r="A60" s="23" t="n"/>
      <c r="B60" s="15" t="n"/>
      <c r="C60" s="15" t="n"/>
      <c r="D60" s="15" t="n"/>
      <c r="E60" s="15" t="n"/>
      <c r="F60" s="15" t="n"/>
      <c r="G60" s="15" t="n"/>
      <c r="H60" s="15" t="n"/>
    </row>
    <row r="61">
      <c r="A61" s="23" t="n"/>
      <c r="B61" s="15" t="n"/>
      <c r="C61" s="15" t="n"/>
      <c r="D61" s="15" t="n"/>
      <c r="E61" s="15" t="n"/>
      <c r="F61" s="15" t="n"/>
      <c r="G61" s="15" t="n"/>
      <c r="H61" s="15" t="n"/>
    </row>
    <row r="62">
      <c r="A62" s="23" t="n"/>
      <c r="B62" s="15" t="n"/>
      <c r="C62" s="15" t="n"/>
      <c r="D62" s="15" t="n"/>
      <c r="E62" s="15" t="n"/>
      <c r="F62" s="15" t="n"/>
      <c r="G62" s="15" t="n"/>
      <c r="H62" s="15" t="n"/>
    </row>
    <row r="63">
      <c r="A63" s="23" t="n"/>
      <c r="B63" s="15" t="n"/>
      <c r="C63" s="15" t="n"/>
      <c r="D63" s="15" t="n"/>
      <c r="E63" s="15" t="n"/>
      <c r="F63" s="15" t="n"/>
      <c r="G63" s="15" t="n"/>
      <c r="H63" s="15" t="n"/>
    </row>
    <row r="64">
      <c r="A64" s="23" t="n"/>
      <c r="B64" s="15" t="n"/>
      <c r="C64" s="15" t="n"/>
      <c r="D64" s="15" t="n"/>
      <c r="E64" s="15" t="n"/>
      <c r="F64" s="15" t="n"/>
      <c r="G64" s="15" t="n"/>
      <c r="H64" s="15" t="n"/>
    </row>
    <row r="65">
      <c r="A65" s="23" t="n"/>
      <c r="B65" s="15" t="n"/>
      <c r="C65" s="15" t="n"/>
      <c r="D65" s="15" t="n"/>
      <c r="E65" s="15" t="n"/>
      <c r="F65" s="15" t="n"/>
      <c r="G65" s="15" t="n"/>
      <c r="H65" s="15" t="n"/>
    </row>
    <row r="66">
      <c r="A66" s="23" t="n"/>
      <c r="B66" s="15" t="n"/>
      <c r="C66" s="15" t="n"/>
      <c r="D66" s="15" t="n"/>
      <c r="E66" s="15" t="n"/>
      <c r="F66" s="15" t="n"/>
      <c r="G66" s="15" t="n"/>
      <c r="H66" s="15" t="n"/>
    </row>
    <row r="67">
      <c r="A67" s="23" t="n"/>
      <c r="B67" s="15" t="n"/>
      <c r="C67" s="15" t="n"/>
      <c r="D67" s="15" t="n"/>
      <c r="E67" s="15" t="n"/>
      <c r="F67" s="15" t="n"/>
      <c r="G67" s="15" t="n"/>
      <c r="H67" s="15" t="n"/>
    </row>
    <row r="68">
      <c r="A68" s="23" t="n"/>
      <c r="B68" s="15" t="n"/>
      <c r="C68" s="15" t="n"/>
      <c r="D68" s="15" t="n"/>
      <c r="E68" s="15" t="n"/>
      <c r="F68" s="15" t="n"/>
      <c r="G68" s="15" t="n"/>
      <c r="H68" s="15" t="n"/>
    </row>
    <row r="69">
      <c r="A69" s="23" t="n"/>
      <c r="B69" s="15" t="n"/>
      <c r="C69" s="15" t="n"/>
      <c r="D69" s="15" t="n"/>
      <c r="E69" s="15" t="n"/>
      <c r="F69" s="15" t="n"/>
      <c r="G69" s="15" t="n"/>
      <c r="H69" s="15" t="n"/>
    </row>
    <row r="70">
      <c r="A70" s="23" t="n"/>
      <c r="B70" s="15" t="n"/>
      <c r="C70" s="15" t="n"/>
      <c r="D70" s="15" t="n"/>
      <c r="E70" s="15" t="n"/>
      <c r="F70" s="15" t="n"/>
      <c r="G70" s="15" t="n"/>
      <c r="H70" s="15" t="n"/>
    </row>
    <row r="71">
      <c r="A71" s="23" t="n"/>
      <c r="B71" s="15" t="n"/>
      <c r="C71" s="15" t="n"/>
      <c r="D71" s="15" t="n"/>
      <c r="E71" s="15" t="n"/>
      <c r="F71" s="15" t="n"/>
      <c r="G71" s="15" t="n"/>
      <c r="H71" s="15" t="n"/>
    </row>
    <row r="72">
      <c r="A72" s="23" t="n"/>
      <c r="B72" s="15" t="n"/>
      <c r="C72" s="15" t="n"/>
      <c r="D72" s="15" t="n"/>
      <c r="E72" s="15" t="n"/>
      <c r="F72" s="15" t="n"/>
      <c r="G72" s="15" t="n"/>
      <c r="H72" s="15" t="n"/>
    </row>
    <row r="73">
      <c r="A73" s="23" t="n"/>
      <c r="B73" s="15" t="n"/>
      <c r="C73" s="15" t="n"/>
      <c r="D73" s="15" t="n"/>
      <c r="E73" s="15" t="n"/>
      <c r="F73" s="15" t="n"/>
      <c r="G73" s="15" t="n"/>
      <c r="H73" s="15" t="n"/>
    </row>
    <row r="74">
      <c r="A74" s="23" t="n"/>
      <c r="B74" s="15" t="n"/>
      <c r="C74" s="15" t="n"/>
      <c r="D74" s="15" t="n"/>
      <c r="E74" s="15" t="n"/>
      <c r="F74" s="15" t="n"/>
      <c r="G74" s="15" t="n"/>
      <c r="H74" s="15" t="n"/>
    </row>
    <row r="75">
      <c r="A75" s="23" t="n"/>
      <c r="B75" s="15" t="n"/>
      <c r="C75" s="15" t="n"/>
      <c r="D75" s="15" t="n"/>
      <c r="E75" s="15" t="n"/>
      <c r="F75" s="15" t="n"/>
      <c r="G75" s="15" t="n"/>
      <c r="H75" s="15" t="n"/>
    </row>
    <row r="76">
      <c r="A76" s="23" t="n"/>
      <c r="B76" s="15" t="n"/>
      <c r="C76" s="15" t="n"/>
      <c r="D76" s="15" t="n"/>
      <c r="E76" s="15" t="n"/>
      <c r="F76" s="15" t="n"/>
      <c r="G76" s="15" t="n"/>
      <c r="H76" s="15" t="n"/>
    </row>
    <row r="77">
      <c r="A77" s="23" t="n"/>
      <c r="B77" s="15" t="n"/>
      <c r="C77" s="15" t="n"/>
      <c r="D77" s="15" t="n"/>
      <c r="E77" s="15" t="n"/>
      <c r="F77" s="15" t="n"/>
      <c r="G77" s="15" t="n"/>
      <c r="H77" s="15" t="n"/>
    </row>
    <row r="78">
      <c r="A78" s="23" t="n"/>
      <c r="B78" s="15" t="n"/>
      <c r="C78" s="15" t="n"/>
      <c r="D78" s="15" t="n"/>
      <c r="E78" s="15" t="n"/>
      <c r="F78" s="15" t="n"/>
      <c r="G78" s="15" t="n"/>
      <c r="H78" s="15" t="n"/>
    </row>
    <row r="79">
      <c r="A79" s="23" t="n"/>
      <c r="B79" s="15" t="n"/>
      <c r="C79" s="15" t="n"/>
      <c r="D79" s="15" t="n"/>
      <c r="E79" s="15" t="n"/>
      <c r="F79" s="15" t="n"/>
      <c r="G79" s="15" t="n"/>
      <c r="H79" s="15" t="n"/>
    </row>
    <row r="80">
      <c r="A80" s="23" t="n"/>
      <c r="B80" s="15" t="n"/>
      <c r="C80" s="15" t="n"/>
      <c r="D80" s="15" t="n"/>
      <c r="E80" s="15" t="n"/>
      <c r="F80" s="15" t="n"/>
      <c r="G80" s="15" t="n"/>
      <c r="H80" s="15" t="n"/>
    </row>
    <row r="81">
      <c r="A81" s="23" t="n"/>
      <c r="B81" s="15" t="n"/>
      <c r="C81" s="15" t="n"/>
      <c r="D81" s="15" t="n"/>
      <c r="E81" s="15" t="n"/>
      <c r="F81" s="15" t="n"/>
      <c r="G81" s="15" t="n"/>
      <c r="H81" s="15" t="n"/>
    </row>
    <row r="82">
      <c r="A82" s="23" t="n"/>
      <c r="B82" s="15" t="n"/>
      <c r="C82" s="15" t="n"/>
      <c r="D82" s="15" t="n"/>
      <c r="E82" s="15" t="n"/>
      <c r="F82" s="15" t="n"/>
      <c r="G82" s="15" t="n"/>
      <c r="H82" s="15" t="n"/>
    </row>
    <row r="83">
      <c r="A83" s="23" t="n"/>
      <c r="B83" s="15" t="n"/>
      <c r="C83" s="15" t="n"/>
      <c r="D83" s="15" t="n"/>
      <c r="E83" s="15" t="n"/>
      <c r="F83" s="15" t="n"/>
      <c r="G83" s="15" t="n"/>
      <c r="H83" s="15" t="n"/>
    </row>
    <row r="84">
      <c r="A84" s="23" t="n"/>
      <c r="B84" s="15" t="n"/>
      <c r="C84" s="15" t="n"/>
      <c r="D84" s="15" t="n"/>
      <c r="E84" s="15" t="n"/>
      <c r="F84" s="15" t="n"/>
      <c r="G84" s="15" t="n"/>
      <c r="H84" s="15" t="n"/>
    </row>
    <row r="85">
      <c r="A85" s="23" t="n"/>
      <c r="B85" s="15" t="n"/>
      <c r="C85" s="15" t="n"/>
      <c r="D85" s="15" t="n"/>
      <c r="E85" s="15" t="n"/>
      <c r="F85" s="15" t="n"/>
      <c r="G85" s="15" t="n"/>
      <c r="H85" s="15" t="n"/>
    </row>
    <row r="86">
      <c r="A86" s="23" t="n"/>
      <c r="B86" s="15" t="n"/>
      <c r="C86" s="15" t="n"/>
      <c r="D86" s="15" t="n"/>
      <c r="E86" s="15" t="n"/>
      <c r="F86" s="15" t="n"/>
      <c r="G86" s="15" t="n"/>
      <c r="H86" s="15" t="n"/>
    </row>
    <row r="87">
      <c r="A87" s="23" t="n"/>
      <c r="B87" s="15" t="n"/>
      <c r="C87" s="15" t="n"/>
      <c r="D87" s="15" t="n"/>
      <c r="E87" s="15" t="n"/>
      <c r="F87" s="15" t="n"/>
      <c r="G87" s="15" t="n"/>
      <c r="H87" s="15" t="n"/>
    </row>
    <row r="88">
      <c r="A88" s="23" t="n"/>
      <c r="B88" s="15" t="n"/>
      <c r="C88" s="15" t="n"/>
      <c r="D88" s="15" t="n"/>
      <c r="E88" s="15" t="n"/>
      <c r="F88" s="15" t="n"/>
      <c r="G88" s="15" t="n"/>
      <c r="H88" s="15" t="n"/>
    </row>
    <row r="89">
      <c r="A89" s="23" t="n"/>
      <c r="B89" s="15" t="n"/>
      <c r="C89" s="15" t="n"/>
      <c r="D89" s="15" t="n"/>
      <c r="E89" s="15" t="n"/>
      <c r="F89" s="15" t="n"/>
      <c r="G89" s="15" t="n"/>
      <c r="H89" s="15" t="n"/>
    </row>
    <row r="90">
      <c r="A90" s="23" t="n"/>
      <c r="B90" s="15" t="n"/>
      <c r="C90" s="15" t="n"/>
      <c r="D90" s="15" t="n"/>
      <c r="E90" s="15" t="n"/>
      <c r="F90" s="15" t="n"/>
      <c r="G90" s="15" t="n"/>
      <c r="H90" s="15" t="n"/>
    </row>
    <row r="91">
      <c r="A91" s="23" t="n"/>
      <c r="B91" s="15" t="n"/>
      <c r="C91" s="15" t="n"/>
      <c r="D91" s="15" t="n"/>
      <c r="E91" s="15" t="n"/>
      <c r="F91" s="15" t="n"/>
      <c r="G91" s="15" t="n"/>
      <c r="H91" s="15" t="n"/>
    </row>
    <row r="92">
      <c r="A92" s="23" t="n"/>
      <c r="B92" s="15" t="n"/>
      <c r="C92" s="15" t="n"/>
      <c r="D92" s="15" t="n"/>
      <c r="E92" s="15" t="n"/>
      <c r="F92" s="15" t="n"/>
      <c r="G92" s="15" t="n"/>
      <c r="H92" s="15" t="n"/>
    </row>
    <row r="93">
      <c r="A93" s="23" t="n"/>
      <c r="B93" s="15" t="n"/>
      <c r="C93" s="15" t="n"/>
      <c r="D93" s="15" t="n"/>
      <c r="E93" s="15" t="n"/>
      <c r="F93" s="15" t="n"/>
      <c r="G93" s="15" t="n"/>
      <c r="H93" s="15" t="n"/>
    </row>
    <row r="94">
      <c r="A94" s="23" t="n"/>
      <c r="B94" s="15" t="n"/>
      <c r="C94" s="15" t="n"/>
      <c r="D94" s="15" t="n"/>
      <c r="E94" s="15" t="n"/>
      <c r="F94" s="15" t="n"/>
      <c r="G94" s="15" t="n"/>
      <c r="H94" s="15" t="n"/>
    </row>
    <row r="95">
      <c r="A95" s="23" t="n"/>
      <c r="B95" s="15" t="n"/>
      <c r="C95" s="15" t="n"/>
      <c r="D95" s="15" t="n"/>
      <c r="E95" s="15" t="n"/>
      <c r="F95" s="15" t="n"/>
      <c r="G95" s="15" t="n"/>
      <c r="H95" s="15" t="n"/>
    </row>
    <row r="96">
      <c r="A96" s="23" t="n"/>
      <c r="B96" s="15" t="n"/>
      <c r="C96" s="15" t="n"/>
      <c r="D96" s="15" t="n"/>
      <c r="E96" s="15" t="n"/>
      <c r="F96" s="15" t="n"/>
      <c r="G96" s="15" t="n"/>
      <c r="H96" s="15" t="n"/>
    </row>
    <row r="97">
      <c r="A97" s="23" t="n"/>
      <c r="B97" s="15" t="n"/>
      <c r="C97" s="15" t="n"/>
      <c r="D97" s="15" t="n"/>
      <c r="E97" s="15" t="n"/>
      <c r="F97" s="15" t="n"/>
      <c r="G97" s="15" t="n"/>
      <c r="H97" s="15" t="n"/>
    </row>
    <row r="98">
      <c r="A98" s="23" t="n"/>
      <c r="B98" s="15" t="n"/>
      <c r="C98" s="15" t="n"/>
      <c r="D98" s="15" t="n"/>
      <c r="E98" s="15" t="n"/>
      <c r="F98" s="15" t="n"/>
      <c r="G98" s="15" t="n"/>
      <c r="H98" s="15" t="n"/>
    </row>
    <row r="99">
      <c r="A99" s="23" t="n"/>
      <c r="B99" s="15" t="n"/>
      <c r="C99" s="15" t="n"/>
      <c r="D99" s="15" t="n"/>
      <c r="E99" s="15" t="n"/>
      <c r="F99" s="15" t="n"/>
      <c r="G99" s="15" t="n"/>
      <c r="H99" s="15" t="n"/>
    </row>
    <row r="100">
      <c r="A100" s="23" t="n"/>
      <c r="B100" s="15" t="n"/>
      <c r="C100" s="15" t="n"/>
      <c r="D100" s="15" t="n"/>
      <c r="E100" s="15" t="n"/>
      <c r="F100" s="15" t="n"/>
      <c r="G100" s="15" t="n"/>
      <c r="H100" s="15" t="n"/>
    </row>
    <row r="101">
      <c r="A101" s="23" t="n"/>
      <c r="B101" s="15" t="n"/>
      <c r="C101" s="15" t="n"/>
      <c r="D101" s="15" t="n"/>
      <c r="E101" s="15" t="n"/>
      <c r="F101" s="15" t="n"/>
      <c r="G101" s="15" t="n"/>
      <c r="H101" s="15" t="n"/>
    </row>
    <row r="102">
      <c r="A102" s="23" t="n"/>
      <c r="B102" s="15" t="n"/>
      <c r="C102" s="15" t="n"/>
      <c r="D102" s="15" t="n"/>
      <c r="E102" s="15" t="n"/>
      <c r="F102" s="15" t="n"/>
      <c r="G102" s="15" t="n"/>
      <c r="H102" s="15" t="n"/>
    </row>
    <row r="103">
      <c r="A103" s="23" t="n"/>
      <c r="B103" s="15" t="n"/>
      <c r="C103" s="15" t="n"/>
      <c r="D103" s="15" t="n"/>
      <c r="E103" s="15" t="n"/>
      <c r="F103" s="15" t="n"/>
      <c r="G103" s="15" t="n"/>
      <c r="H103" s="15" t="n"/>
    </row>
    <row r="104">
      <c r="A104" s="23" t="n"/>
      <c r="B104" s="15" t="n"/>
      <c r="C104" s="15" t="n"/>
      <c r="D104" s="15" t="n"/>
      <c r="E104" s="15" t="n"/>
      <c r="F104" s="15" t="n"/>
      <c r="G104" s="15" t="n"/>
      <c r="H104" s="15" t="n"/>
    </row>
    <row r="105">
      <c r="A105" s="23"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workbookViewId="0">
      <pane ySplit="3" topLeftCell="A4" activePane="bottomLeft" state="frozen"/>
      <selection pane="bottomLeft" activeCell="A1" sqref="A1"/>
    </sheetView>
  </sheetViews>
  <sheetFormatPr baseColWidth="8" defaultRowHeight="15"/>
  <cols>
    <col width="50" customWidth="1" min="1" max="1"/>
    <col width="12" customWidth="1" min="2" max="2"/>
    <col width="18" customWidth="1" min="3" max="3"/>
    <col width="15" customWidth="1" min="4" max="4"/>
    <col width="18" customWidth="1" min="5" max="5"/>
    <col width="12" customWidth="1" min="6" max="6"/>
    <col width="15" customWidth="1" min="7" max="7"/>
  </cols>
  <sheetData>
    <row r="1" ht="35" customHeight="1">
      <c r="A1" s="24" t="inlineStr">
        <is>
          <t>CONFLICT ANALYSIS — SUMMARY DASHBOARD</t>
        </is>
      </c>
      <c r="B1" s="25" t="n"/>
      <c r="C1" s="25" t="n"/>
      <c r="D1" s="25" t="n"/>
      <c r="E1" s="25" t="n"/>
      <c r="F1" s="25" t="n"/>
      <c r="G1" s="25" t="n"/>
    </row>
    <row r="2">
      <c r="A2" s="26" t="inlineStr">
        <is>
          <t>ISO/IEC 27001:2022 — Control A.5.3: Segregation of Duties | Conflict Analysis</t>
        </is>
      </c>
      <c r="B2" s="25" t="n"/>
      <c r="C2" s="25" t="n"/>
      <c r="D2" s="25" t="n"/>
      <c r="E2" s="25" t="n"/>
      <c r="F2" s="25" t="n"/>
      <c r="G2" s="25" t="n"/>
    </row>
    <row r="4">
      <c r="A4" s="27" t="inlineStr">
        <is>
          <t>TABLE 1: ASSESSMENT AREA COMPLIANCE OVERVIEW</t>
        </is>
      </c>
      <c r="B4" s="25" t="n"/>
      <c r="C4" s="25" t="n"/>
      <c r="D4" s="25" t="n"/>
      <c r="E4" s="25" t="n"/>
      <c r="F4" s="25" t="n"/>
      <c r="G4" s="25" t="n"/>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Conflict Analysis Status</t>
        </is>
      </c>
      <c r="B6" s="30">
        <f>COUNTA('Conflict Register'!A5:A54)</f>
        <v/>
      </c>
      <c r="C6" s="30">
        <f>COUNTIF('Conflict Register'!I5:I54,"Complete")</f>
        <v/>
      </c>
      <c r="D6" s="30">
        <f>COUNTIF('Conflict Register'!I5:I54,"In Progress")</f>
        <v/>
      </c>
      <c r="E6" s="30">
        <f>COUNTIF('Conflict Register'!I5:I54,"Pending")</f>
        <v/>
      </c>
      <c r="F6" s="30" t="n">
        <v>0</v>
      </c>
      <c r="G6" s="31">
        <f>IF((B6-F6)=0,0,C6/(B6-F6))</f>
        <v/>
      </c>
    </row>
    <row r="7">
      <c r="A7" s="29" t="inlineStr">
        <is>
          <t>Compensating Controls</t>
        </is>
      </c>
      <c r="B7" s="30">
        <f>COUNTA('Control Mapping'!A5:A54)</f>
        <v/>
      </c>
      <c r="C7" s="30">
        <f>COUNTIF('Control Mapping'!G5:G54,"Implemented")</f>
        <v/>
      </c>
      <c r="D7" s="30">
        <f>COUNTIF('Control Mapping'!G5:G54,"Partial")+COUNTIF('Control Mapping'!G5:G54,"Planned")</f>
        <v/>
      </c>
      <c r="E7" s="30">
        <f>COUNTIF('Control Mapping'!G5:G54,"Not Implemented")</f>
        <v/>
      </c>
      <c r="F7" s="30" t="n">
        <v>0</v>
      </c>
      <c r="G7" s="31">
        <f>IF((B7-F7)=0,0,C7/(B7-F7))</f>
        <v/>
      </c>
    </row>
    <row r="8">
      <c r="A8" s="32" t="inlineStr">
        <is>
          <t>TOTAL</t>
        </is>
      </c>
      <c r="B8" s="33">
        <f>SUM(B6:B7)</f>
        <v/>
      </c>
      <c r="C8" s="33">
        <f>SUM(C6:C7)</f>
        <v/>
      </c>
      <c r="D8" s="33">
        <f>SUM(D6:D7)</f>
        <v/>
      </c>
      <c r="E8" s="33">
        <f>SUM(E6:E7)</f>
        <v/>
      </c>
      <c r="F8" s="33">
        <f>SUM(F6:F7)</f>
        <v/>
      </c>
      <c r="G8" s="34">
        <f>IF((B8-F8)=0,0,C8/(B8-F8))</f>
        <v/>
      </c>
    </row>
    <row r="10">
      <c r="A10" s="27" t="inlineStr">
        <is>
          <t>TABLE 2: KEY METRICS</t>
        </is>
      </c>
      <c r="B10" s="25" t="n"/>
      <c r="C10" s="25" t="n"/>
      <c r="D10" s="25" t="n"/>
      <c r="E10" s="25" t="n"/>
      <c r="F10" s="25" t="n"/>
      <c r="G10" s="25" t="n"/>
    </row>
    <row r="11">
      <c r="A11" s="28" t="inlineStr">
        <is>
          <t>Metric</t>
        </is>
      </c>
      <c r="B11" s="28" t="inlineStr">
        <is>
          <t>Value</t>
        </is>
      </c>
      <c r="C11" s="28" t="n"/>
      <c r="D11" s="28" t="n"/>
      <c r="E11" s="28" t="n"/>
      <c r="F11" s="28" t="n"/>
      <c r="G11" s="28" t="n"/>
    </row>
    <row r="12">
      <c r="A12" s="29" t="inlineStr">
        <is>
          <t>Insider-Malicious exploitation scenarios</t>
        </is>
      </c>
      <c r="B12" s="30">
        <f>COUNTIF('Exploitation Scenarios'!D5:D54,"Insider-Malicious")</f>
        <v/>
      </c>
      <c r="C12" s="25" t="n"/>
      <c r="D12" s="25" t="n"/>
      <c r="E12" s="25" t="n"/>
      <c r="F12" s="25" t="n"/>
      <c r="G12" s="25" t="n"/>
    </row>
    <row r="13">
      <c r="A13" s="29" t="inlineStr">
        <is>
          <t>Scenarios with historical precedent (Yes)</t>
        </is>
      </c>
      <c r="B13" s="30">
        <f>COUNTIF('Exploitation Scenarios'!H5:H54,"Yes")</f>
        <v/>
      </c>
      <c r="C13" s="25" t="n"/>
      <c r="D13" s="25" t="n"/>
      <c r="E13" s="25" t="n"/>
      <c r="F13" s="25" t="n"/>
      <c r="G13" s="25" t="n"/>
    </row>
    <row r="14">
      <c r="A14" s="29" t="inlineStr">
        <is>
          <t>High / Very High detection difficulty scenarios</t>
        </is>
      </c>
      <c r="B14" s="30">
        <f>COUNTIF('Exploitation Scenarios'!G5:G54,"High")+COUNTIF('Exploitation Scenarios'!G5:G54,"Very High")</f>
        <v/>
      </c>
      <c r="C14" s="25" t="n"/>
      <c r="D14" s="25" t="n"/>
      <c r="E14" s="25" t="n"/>
      <c r="F14" s="25" t="n"/>
      <c r="G14" s="25" t="n"/>
    </row>
    <row r="15">
      <c r="A15" s="29" t="inlineStr">
        <is>
          <t>Controls with Low effectiveness</t>
        </is>
      </c>
      <c r="B15" s="30">
        <f>COUNTIF('Control Mapping'!F5:F54,"Low")</f>
        <v/>
      </c>
      <c r="C15" s="25" t="n"/>
      <c r="D15" s="25" t="n"/>
      <c r="E15" s="25" t="n"/>
      <c r="F15" s="25" t="n"/>
      <c r="G15" s="25" t="n"/>
    </row>
    <row r="16">
      <c r="A16" s="29" t="inlineStr">
        <is>
          <t>Controls not yet implemented</t>
        </is>
      </c>
      <c r="B16" s="30">
        <f>COUNTIF('Control Mapping'!G5:G54,"Not Implemented")</f>
        <v/>
      </c>
      <c r="C16" s="25" t="n"/>
      <c r="D16" s="25" t="n"/>
      <c r="E16" s="25" t="n"/>
      <c r="F16" s="25" t="n"/>
      <c r="G16" s="25" t="n"/>
    </row>
    <row r="17">
      <c r="A17" s="29" t="inlineStr">
        <is>
          <t>Preventive controls mapped</t>
        </is>
      </c>
      <c r="B17" s="30">
        <f>COUNTIF('Control Mapping'!E5:E54,"Preventive")</f>
        <v/>
      </c>
      <c r="C17" s="25" t="n"/>
      <c r="D17" s="25" t="n"/>
      <c r="E17" s="25" t="n"/>
      <c r="F17" s="25" t="n"/>
      <c r="G17" s="25" t="n"/>
    </row>
    <row r="18">
      <c r="A18" s="29" t="inlineStr">
        <is>
          <t>Maker-Checker conflict patterns</t>
        </is>
      </c>
      <c r="B18" s="30">
        <f>COUNTIF('Conflict Register'!C5:C54,"Maker-Checker")</f>
        <v/>
      </c>
      <c r="C18" s="25" t="n"/>
      <c r="D18" s="25" t="n"/>
      <c r="E18" s="25" t="n"/>
      <c r="F18" s="25" t="n"/>
      <c r="G18" s="25" t="n"/>
    </row>
    <row r="19">
      <c r="A19" s="29" t="inlineStr">
        <is>
          <t>Developer-Deployer conflict patterns</t>
        </is>
      </c>
      <c r="B19" s="30">
        <f>COUNTIF('Conflict Register'!C5:C54,"Developer-Deployer")</f>
        <v/>
      </c>
      <c r="C19" s="25" t="n"/>
      <c r="D19" s="25" t="n"/>
      <c r="E19" s="25" t="n"/>
      <c r="F19" s="25" t="n"/>
      <c r="G19" s="25" t="n"/>
    </row>
    <row r="20">
      <c r="A20" s="29" t="inlineStr">
        <is>
          <t>Critical impact conflicts (overall score = 5)</t>
        </is>
      </c>
      <c r="B20" s="30">
        <f>COUNTIF('Impact Assessment'!G5:G54,5)</f>
        <v/>
      </c>
      <c r="C20" s="25" t="n"/>
      <c r="D20" s="25" t="n"/>
      <c r="E20" s="25" t="n"/>
      <c r="F20" s="25" t="n"/>
      <c r="G20" s="25" t="n"/>
    </row>
    <row r="21">
      <c r="A21" s="29" t="inlineStr">
        <is>
          <t>Total exploitation scenarios documented</t>
        </is>
      </c>
      <c r="B21" s="30">
        <f>COUNTA('Exploitation Scenarios'!A5:A54)</f>
        <v/>
      </c>
      <c r="C21" s="25" t="n"/>
      <c r="D21" s="25" t="n"/>
      <c r="E21" s="25" t="n"/>
      <c r="F21" s="25" t="n"/>
      <c r="G21" s="25" t="n"/>
    </row>
    <row r="23">
      <c r="A23" s="35" t="inlineStr">
        <is>
          <t>TABLE 3: CRITICAL FINDINGS REQUIRING IMMEDIATE ATTENTION</t>
        </is>
      </c>
      <c r="B23" s="25" t="n"/>
      <c r="C23" s="25" t="n"/>
      <c r="D23" s="25" t="n"/>
      <c r="E23" s="25" t="n"/>
      <c r="F23" s="25" t="n"/>
      <c r="G23" s="25" t="n"/>
    </row>
    <row r="24">
      <c r="A24" s="28" t="inlineStr">
        <is>
          <t>Finding</t>
        </is>
      </c>
      <c r="B24" s="28" t="inlineStr">
        <is>
          <t>Count</t>
        </is>
      </c>
      <c r="C24" s="28" t="inlineStr">
        <is>
          <t>Action Required</t>
        </is>
      </c>
      <c r="D24" s="25" t="n"/>
      <c r="E24" s="25" t="n"/>
      <c r="F24" s="25" t="n"/>
      <c r="G24" s="25" t="n"/>
    </row>
    <row r="25">
      <c r="A25" s="36" t="inlineStr">
        <is>
          <t>Controls not implemented for SoD conflicts</t>
        </is>
      </c>
      <c r="B25" s="37">
        <f>COUNTIF('Control Mapping'!G5:G54,"Not Implemented")</f>
        <v/>
      </c>
      <c r="C25" s="36" t="inlineStr">
        <is>
          <t>Compensating controls required — view 'Control Mapping' (filter: Implementation_Status=Not Implemented)</t>
        </is>
      </c>
      <c r="D25" s="25" t="n"/>
      <c r="E25" s="25" t="n"/>
      <c r="F25" s="25" t="n"/>
      <c r="G25" s="25" t="n"/>
    </row>
    <row r="26">
      <c r="A26" s="36" t="inlineStr">
        <is>
          <t>Insider-Malicious exploitation scenarios</t>
        </is>
      </c>
      <c r="B26" s="37">
        <f>COUNTIF('Exploitation Scenarios'!D5:D54,"Insider-Malicious")</f>
        <v/>
      </c>
      <c r="C26" s="36" t="inlineStr">
        <is>
          <t>Prioritise detective controls — view 'Exploitation Scenarios' (filter: Threat_Actor=Insider-Malicious)</t>
        </is>
      </c>
      <c r="D26" s="25" t="n"/>
      <c r="E26" s="25" t="n"/>
      <c r="F26" s="25" t="n"/>
      <c r="G26" s="25" t="n"/>
    </row>
    <row r="27">
      <c r="A27" s="36" t="inlineStr">
        <is>
          <t>Controls with Low effectiveness</t>
        </is>
      </c>
      <c r="B27" s="37">
        <f>COUNTIF('Control Mapping'!F5:F54,"Low")</f>
        <v/>
      </c>
      <c r="C27" s="36" t="inlineStr">
        <is>
          <t>Strengthen controls — view 'Control Mapping' (filter: Effectiveness=Low)</t>
        </is>
      </c>
      <c r="D27" s="25" t="n"/>
      <c r="E27" s="25" t="n"/>
      <c r="F27" s="25" t="n"/>
      <c r="G27" s="25" t="n"/>
    </row>
    <row r="29">
      <c r="A29" s="3" t="inlineStr">
        <is>
          <t>FINAL DECISION:</t>
        </is>
      </c>
      <c r="B29" s="38" t="n"/>
      <c r="C29" s="25" t="n"/>
      <c r="D29" s="25" t="n"/>
      <c r="E29" s="25" t="n"/>
      <c r="F29" s="25" t="n"/>
      <c r="G29" s="25" t="n"/>
    </row>
    <row r="32">
      <c r="A32" s="39" t="inlineStr">
        <is>
          <t>NEXT REVIEW DETAILS</t>
        </is>
      </c>
      <c r="B32" s="25" t="n"/>
      <c r="C32" s="25" t="n"/>
      <c r="D32" s="25" t="n"/>
      <c r="E32" s="25" t="n"/>
      <c r="F32" s="25" t="n"/>
      <c r="G32" s="25" t="n"/>
    </row>
    <row r="33">
      <c r="A33" s="3" t="inlineStr">
        <is>
          <t>Next Review Date:</t>
        </is>
      </c>
      <c r="B33" s="38" t="n"/>
      <c r="C33" s="25" t="n"/>
      <c r="D33" s="25" t="n"/>
      <c r="E33" s="25" t="n"/>
      <c r="F33" s="25" t="n"/>
      <c r="G33" s="25" t="n"/>
    </row>
    <row r="34">
      <c r="A34" s="3" t="inlineStr">
        <is>
          <t>Review Responsible:</t>
        </is>
      </c>
      <c r="B34" s="38" t="n"/>
      <c r="C34" s="25" t="n"/>
      <c r="D34" s="25" t="n"/>
      <c r="E34" s="25" t="n"/>
      <c r="F34" s="25" t="n"/>
      <c r="G34" s="25" t="n"/>
    </row>
    <row r="35">
      <c r="A35" s="3" t="inlineStr">
        <is>
          <t>Special Considerations:</t>
        </is>
      </c>
      <c r="B35" s="38" t="n"/>
      <c r="C35" s="25" t="n"/>
      <c r="D35" s="25" t="n"/>
      <c r="E35" s="25" t="n"/>
      <c r="F35" s="25" t="n"/>
      <c r="G35" s="25" t="n"/>
    </row>
  </sheetData>
  <mergeCells count="14">
    <mergeCell ref="A32:G32"/>
    <mergeCell ref="B34:G34"/>
    <mergeCell ref="A1:G1"/>
    <mergeCell ref="B33:G33"/>
    <mergeCell ref="C24:G24"/>
    <mergeCell ref="A4:G4"/>
    <mergeCell ref="C25:G25"/>
    <mergeCell ref="C27:G27"/>
    <mergeCell ref="B35:G35"/>
    <mergeCell ref="A2:G2"/>
    <mergeCell ref="B29:G29"/>
    <mergeCell ref="A10:G10"/>
    <mergeCell ref="C26:G26"/>
    <mergeCell ref="A23:G23"/>
  </mergeCells>
  <dataValidations count="1">
    <dataValidation sqref="B29" showDropDown="0" showInputMessage="0" showErrorMessage="0" allowBlank="1" type="list">
      <formula1>"Approved,Approved with Conditions,Rejected,Deferred"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A.5.3: Segregation of Duties</t>
        </is>
      </c>
      <c r="B2" s="6" t="n"/>
      <c r="C2" s="6" t="n"/>
      <c r="D2" s="6" t="n"/>
      <c r="E2" s="6" t="n"/>
    </row>
    <row r="3">
      <c r="A3" s="42" t="inlineStr">
        <is>
          <t>ASSESSMENT SUMMARY</t>
        </is>
      </c>
      <c r="B3" s="6" t="n"/>
      <c r="C3" s="6" t="n"/>
      <c r="D3" s="6" t="n"/>
      <c r="E3" s="6" t="n"/>
    </row>
    <row r="4">
      <c r="A4" s="3" t="inlineStr">
        <is>
          <t>Document:</t>
        </is>
      </c>
      <c r="B4" s="6" t="inlineStr">
        <is>
          <t>ISMS-IMP-A.5.3.2 - Conflict Analysis</t>
        </is>
      </c>
      <c r="C4" s="6" t="n"/>
      <c r="D4" s="6" t="n"/>
      <c r="E4" s="6" t="n"/>
    </row>
    <row r="5">
      <c r="A5" s="3" t="inlineStr">
        <is>
          <t>Assessment Period:</t>
        </is>
      </c>
      <c r="B5" s="17" t="inlineStr"/>
      <c r="C5" s="6" t="n"/>
      <c r="D5" s="6" t="n"/>
      <c r="E5" s="6" t="n"/>
    </row>
    <row r="6">
      <c r="A6" s="3" t="inlineStr">
        <is>
          <t>Overall Compliance Rating:</t>
        </is>
      </c>
      <c r="B6" s="43">
        <f>IFERROR(AVERAGE('Summary Dashboard'!G6:G7),"")</f>
        <v/>
      </c>
      <c r="C6" s="6" t="n"/>
      <c r="D6" s="6" t="n"/>
      <c r="E6" s="6" t="n"/>
    </row>
    <row r="7">
      <c r="A7" s="3" t="inlineStr">
        <is>
          <t>Assessment Status:</t>
        </is>
      </c>
      <c r="B7" s="17" t="inlineStr"/>
      <c r="C7" s="6" t="n"/>
      <c r="D7" s="6" t="n"/>
      <c r="E7" s="6" t="n"/>
    </row>
    <row r="8">
      <c r="A8" s="3" t="inlineStr">
        <is>
          <t>Assessed By:</t>
        </is>
      </c>
      <c r="B8" s="17" t="inlineStr"/>
      <c r="C8" s="6" t="n"/>
      <c r="D8" s="6" t="n"/>
      <c r="E8" s="6" t="n"/>
    </row>
    <row r="11">
      <c r="A11" s="42" t="inlineStr">
        <is>
          <t>COMPLETED BY (ASSESSOR)</t>
        </is>
      </c>
      <c r="B11" s="6" t="n"/>
      <c r="C11" s="6" t="n"/>
      <c r="D11" s="6" t="n"/>
      <c r="E11" s="6" t="n"/>
    </row>
    <row r="12">
      <c r="A12" s="3" t="inlineStr">
        <is>
          <t>Name:</t>
        </is>
      </c>
      <c r="B12" s="17" t="n"/>
      <c r="C12" s="6" t="n"/>
      <c r="D12" s="6" t="n"/>
      <c r="E12" s="6" t="n"/>
    </row>
    <row r="13">
      <c r="A13" s="3" t="inlineStr">
        <is>
          <t>Title:</t>
        </is>
      </c>
      <c r="B13" s="17" t="n"/>
      <c r="C13" s="6" t="n"/>
      <c r="D13" s="6" t="n"/>
      <c r="E13" s="6" t="n"/>
    </row>
    <row r="14">
      <c r="A14" s="3" t="inlineStr">
        <is>
          <t>Date:</t>
        </is>
      </c>
      <c r="B14" s="17" t="n"/>
      <c r="C14" s="6" t="n"/>
      <c r="D14" s="6" t="n"/>
      <c r="E14" s="6" t="n"/>
    </row>
    <row r="15">
      <c r="A15" s="3" t="inlineStr">
        <is>
          <t>Signature:</t>
        </is>
      </c>
      <c r="B15" s="17" t="n"/>
      <c r="C15" s="6" t="n"/>
      <c r="D15" s="6" t="n"/>
      <c r="E15" s="6" t="n"/>
    </row>
    <row r="16">
      <c r="A16" s="3" t="inlineStr">
        <is>
          <t>Comments:</t>
        </is>
      </c>
      <c r="B16" s="17" t="n"/>
      <c r="C16" s="6" t="n"/>
      <c r="D16" s="6" t="n"/>
      <c r="E16" s="6" t="n"/>
    </row>
    <row r="18">
      <c r="A18" s="42" t="inlineStr">
        <is>
          <t>REVIEWED BY (INFORMATION SECURITY OFFICER)</t>
        </is>
      </c>
      <c r="B18" s="6" t="n"/>
      <c r="C18" s="6" t="n"/>
      <c r="D18" s="6" t="n"/>
      <c r="E18" s="6" t="n"/>
    </row>
    <row r="19">
      <c r="A19" s="3" t="inlineStr">
        <is>
          <t>Name:</t>
        </is>
      </c>
      <c r="B19" s="17" t="n"/>
      <c r="C19" s="6" t="n"/>
      <c r="D19" s="6" t="n"/>
      <c r="E19" s="6" t="n"/>
    </row>
    <row r="20">
      <c r="A20" s="3" t="inlineStr">
        <is>
          <t>Title:</t>
        </is>
      </c>
      <c r="B20" s="17" t="n"/>
      <c r="C20" s="6" t="n"/>
      <c r="D20" s="6" t="n"/>
      <c r="E20" s="6" t="n"/>
    </row>
    <row r="21">
      <c r="A21" s="3" t="inlineStr">
        <is>
          <t>Date:</t>
        </is>
      </c>
      <c r="B21" s="17" t="n"/>
      <c r="C21" s="6" t="n"/>
      <c r="D21" s="6" t="n"/>
      <c r="E21" s="6" t="n"/>
    </row>
    <row r="22">
      <c r="A22" s="3" t="inlineStr">
        <is>
          <t>Signature:</t>
        </is>
      </c>
      <c r="B22" s="17" t="n"/>
      <c r="C22" s="6" t="n"/>
      <c r="D22" s="6" t="n"/>
      <c r="E22" s="6" t="n"/>
    </row>
    <row r="23">
      <c r="A23" s="3" t="inlineStr">
        <is>
          <t>Comments:</t>
        </is>
      </c>
      <c r="B23" s="17" t="n"/>
      <c r="C23" s="6" t="n"/>
      <c r="D23" s="6" t="n"/>
      <c r="E23" s="6" t="n"/>
    </row>
    <row r="25">
      <c r="A25" s="44" t="inlineStr">
        <is>
          <t>APPROVED BY (CISO)</t>
        </is>
      </c>
      <c r="B25" s="6" t="n"/>
      <c r="C25" s="6" t="n"/>
      <c r="D25" s="6" t="n"/>
      <c r="E25" s="6" t="n"/>
    </row>
    <row r="26">
      <c r="A26" s="3" t="inlineStr">
        <is>
          <t>Name:</t>
        </is>
      </c>
      <c r="B26" s="17" t="n"/>
      <c r="C26" s="6" t="n"/>
      <c r="D26" s="6" t="n"/>
      <c r="E26" s="6" t="n"/>
    </row>
    <row r="27">
      <c r="A27" s="3" t="inlineStr">
        <is>
          <t>Title:</t>
        </is>
      </c>
      <c r="B27" s="17" t="n"/>
      <c r="C27" s="6" t="n"/>
      <c r="D27" s="6" t="n"/>
      <c r="E27" s="6" t="n"/>
    </row>
    <row r="28">
      <c r="A28" s="3" t="inlineStr">
        <is>
          <t>Date:</t>
        </is>
      </c>
      <c r="B28" s="17" t="n"/>
      <c r="C28" s="6" t="n"/>
      <c r="D28" s="6" t="n"/>
      <c r="E28" s="6" t="n"/>
    </row>
    <row r="29">
      <c r="A29" s="3" t="inlineStr">
        <is>
          <t>Signature:</t>
        </is>
      </c>
      <c r="B29" s="17" t="n"/>
      <c r="C29" s="6" t="n"/>
      <c r="D29" s="6" t="n"/>
      <c r="E29" s="6" t="n"/>
    </row>
    <row r="30">
      <c r="A30" s="3" t="inlineStr">
        <is>
          <t>Comments:</t>
        </is>
      </c>
      <c r="B30" s="17" t="n"/>
      <c r="C30" s="6" t="n"/>
      <c r="D30" s="6" t="n"/>
      <c r="E30" s="6" t="n"/>
    </row>
    <row r="32">
      <c r="A32" s="3" t="inlineStr">
        <is>
          <t>FINAL DECISION:</t>
        </is>
      </c>
      <c r="B32" s="17" t="n"/>
      <c r="C32" s="6" t="n"/>
      <c r="D32" s="6" t="n"/>
      <c r="E32" s="6" t="n"/>
    </row>
    <row r="35">
      <c r="A35" s="42" t="inlineStr">
        <is>
          <t>NEXT REVIEW DETAILS</t>
        </is>
      </c>
      <c r="B35" s="6" t="n"/>
      <c r="C35" s="6" t="n"/>
      <c r="D35" s="6" t="n"/>
      <c r="E35" s="6" t="n"/>
    </row>
    <row r="36">
      <c r="A36" s="3" t="inlineStr">
        <is>
          <t>Next Review Date:</t>
        </is>
      </c>
      <c r="B36" s="17" t="n"/>
      <c r="C36" s="6" t="n"/>
      <c r="D36" s="6" t="n"/>
      <c r="E36" s="6" t="n"/>
    </row>
    <row r="37">
      <c r="A37" s="3" t="inlineStr">
        <is>
          <t>Review Responsible:</t>
        </is>
      </c>
      <c r="B37" s="17" t="n"/>
      <c r="C37" s="6" t="n"/>
      <c r="D37" s="6" t="n"/>
      <c r="E37" s="6" t="n"/>
    </row>
    <row r="38">
      <c r="A38" s="3" t="inlineStr">
        <is>
          <t>Special Considerations:</t>
        </is>
      </c>
      <c r="B38" s="1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ISMS-IMP-A.5.3.2 — Conflict Analysis</dc:title>
  <dc:description xmlns:dc="http://purl.org/dc/elements/1.1/">ISMS Implementation Workbook — ISMS-IMP-A.5.3.2</dc:description>
  <dc:subject xmlns:dc="http://purl.org/dc/elements/1.1/">ISO/IEC 27001:2022 — Control A.5.3: Segregation of Duties</dc:subject>
  <dcterms:created xmlns:dcterms="http://purl.org/dc/terms/" xmlns:xsi="http://www.w3.org/2001/XMLSchema-instance" xsi:type="dcterms:W3CDTF">2026-03-07T11:27:30Z</dcterms:created>
  <dcterms:modified xmlns:dcterms="http://purl.org/dc/terms/" xmlns:xsi="http://www.w3.org/2001/XMLSchema-instance" xsi:type="dcterms:W3CDTF">2026-03-07T11:27:31Z</dcterms:modified>
</cp:coreProperties>
</file>