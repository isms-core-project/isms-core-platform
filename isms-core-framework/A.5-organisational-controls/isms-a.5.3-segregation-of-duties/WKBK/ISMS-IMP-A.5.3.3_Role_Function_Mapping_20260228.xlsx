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Business Roles" sheetId="2" state="visible" r:id="rId2"/>
    <sheet xmlns:r="http://schemas.openxmlformats.org/officeDocument/2006/relationships" name="Application Roles" sheetId="3" state="visible" r:id="rId3"/>
    <sheet xmlns:r="http://schemas.openxmlformats.org/officeDocument/2006/relationships" name="Functions" sheetId="4" state="visible" r:id="rId4"/>
    <sheet xmlns:r="http://schemas.openxmlformats.org/officeDocument/2006/relationships" name="Permissions" sheetId="5" state="visible" r:id="rId5"/>
    <sheet xmlns:r="http://schemas.openxmlformats.org/officeDocument/2006/relationships" name="Role Function Map" sheetId="6" state="visible" r:id="rId6"/>
    <sheet xmlns:r="http://schemas.openxmlformats.org/officeDocument/2006/relationships" name="Function Conflicts" sheetId="7" state="visible" r:id="rId7"/>
    <sheet xmlns:r="http://schemas.openxmlformats.org/officeDocument/2006/relationships" name="Validation Status" sheetId="8" state="visible" r:id="rId8"/>
    <sheet xmlns:r="http://schemas.openxmlformats.org/officeDocument/2006/relationships" name="Change Log" sheetId="9" state="visible" r:id="rId9"/>
    <sheet xmlns:r="http://schemas.openxmlformats.org/officeDocument/2006/relationships" name="Summary Dashboard" sheetId="10" state="visible" r:id="rId10"/>
    <sheet xmlns:r="http://schemas.openxmlformats.org/officeDocument/2006/relationships" name="Approval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name val="Calibri"/>
      <color rgb="00FFFFFF"/>
      <sz val="10"/>
    </font>
    <font>
      <b val="1"/>
      <color rgb="00003366"/>
      <sz val="11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0" fillId="12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0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left" vertical="center"/>
    </xf>
    <xf numFmtId="0" fontId="10" fillId="1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center"/>
    </xf>
    <xf numFmtId="164" fontId="11" fillId="0" borderId="2" applyAlignment="1" pivotButton="0" quotePrefix="0" xfId="0">
      <alignment horizontal="center"/>
    </xf>
    <xf numFmtId="0" fontId="10" fillId="10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/>
    </xf>
    <xf numFmtId="164" fontId="10" fillId="10" borderId="2" applyAlignment="1" pivotButton="0" quotePrefix="0" xfId="0">
      <alignment horizontal="center"/>
    </xf>
    <xf numFmtId="0" fontId="9" fillId="13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center"/>
    </xf>
    <xf numFmtId="0" fontId="0" fillId="12" borderId="2" pivotButton="0" quotePrefix="0" xfId="0"/>
    <xf numFmtId="0" fontId="9" fillId="9" borderId="2" pivotButton="0" quotePrefix="0" xfId="0"/>
    <xf numFmtId="0" fontId="1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9" borderId="1" pivotButton="0" quotePrefix="0" xfId="0"/>
    <xf numFmtId="164" fontId="0" fillId="0" borderId="1" pivotButton="0" quotePrefix="0" xfId="0"/>
    <xf numFmtId="0" fontId="9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ISMS-IMP-A.5.3.3  -  Role Function Mapping
ISO/IEC 27001:2022 - Control A.5.3: Segregation of Duties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ISMS-IMP-A.5.3.3</t>
        </is>
      </c>
    </row>
    <row r="5">
      <c r="A5" s="3" t="inlineStr">
        <is>
          <t>Workbook Title</t>
        </is>
      </c>
      <c r="B5" t="inlineStr">
        <is>
          <t>Role Function Mapping</t>
        </is>
      </c>
    </row>
    <row r="6">
      <c r="A6" s="3" t="inlineStr">
        <is>
          <t>Control Reference</t>
        </is>
      </c>
      <c r="B6" t="inlineStr">
        <is>
          <t>ISO/IEC 27001:2022 - Control A.5.3: Segregation of Duties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Review this Instructions &amp; Legend sheet before starting the assessment.</t>
        </is>
      </c>
    </row>
    <row r="14">
      <c r="A14" t="inlineStr">
        <is>
          <t>2. Complete all yellow (FFFFCC) input cells with your assessment data.</t>
        </is>
      </c>
    </row>
    <row r="15">
      <c r="A15" t="inlineStr">
        <is>
          <t>3. Grey (F2F2F2) rows are sample rows — do not edit them.</t>
        </is>
      </c>
    </row>
    <row r="16">
      <c r="A16" t="inlineStr">
        <is>
          <t>4. Complete the Evidence Register with supporting documentation references.</t>
        </is>
      </c>
    </row>
    <row r="17">
      <c r="A17" t="inlineStr">
        <is>
          <t>5. Obtain sign-off in the Approval Sign-Off sheet when the assessment is complete.</t>
        </is>
      </c>
    </row>
    <row r="19">
      <c r="A19" s="2" t="inlineStr">
        <is>
          <t>Status Legend</t>
        </is>
      </c>
    </row>
    <row r="20">
      <c r="A20" s="5" t="inlineStr">
        <is>
          <t>Symbol</t>
        </is>
      </c>
      <c r="B20" s="5" t="inlineStr">
        <is>
          <t>Status</t>
        </is>
      </c>
      <c r="C20" s="5" t="inlineStr">
        <is>
          <t>Description</t>
        </is>
      </c>
    </row>
    <row r="21">
      <c r="A21" s="6" t="inlineStr">
        <is>
          <t>✓</t>
        </is>
      </c>
      <c r="B21" s="7" t="inlineStr">
        <is>
          <t>Compliant / Complete</t>
        </is>
      </c>
      <c r="C21" s="8" t="inlineStr">
        <is>
          <t>Requirement fully met</t>
        </is>
      </c>
    </row>
    <row r="22">
      <c r="A22" s="6" t="inlineStr">
        <is>
          <t>⚠</t>
        </is>
      </c>
      <c r="B22" s="9" t="inlineStr">
        <is>
          <t>Partial / In Progress</t>
        </is>
      </c>
      <c r="C22" s="8" t="inlineStr">
        <is>
          <t>Partially met or in progress</t>
        </is>
      </c>
    </row>
    <row r="23">
      <c r="A23" s="6" t="inlineStr">
        <is>
          <t>✗</t>
        </is>
      </c>
      <c r="B23" s="10" t="inlineStr">
        <is>
          <t>Non-Compliant / Not Started</t>
        </is>
      </c>
      <c r="C23" s="8" t="inlineStr">
        <is>
          <t>Requirement not met</t>
        </is>
      </c>
    </row>
    <row r="24">
      <c r="A24" s="6" t="inlineStr">
        <is>
          <t>—</t>
        </is>
      </c>
      <c r="B24" s="8" t="inlineStr">
        <is>
          <t>Not Applicable</t>
        </is>
      </c>
      <c r="C24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  <col width="25" customWidth="1" min="5" max="5"/>
    <col width="50" customWidth="1" min="6" max="6"/>
    <col width="12" customWidth="1" min="7" max="7"/>
    <col width="15" customWidth="1" min="8" max="8"/>
  </cols>
  <sheetData>
    <row r="1" ht="35" customHeight="1">
      <c r="A1" s="11" t="inlineStr">
        <is>
          <t>BUSINESS ROLES</t>
        </is>
      </c>
    </row>
    <row r="2">
      <c r="A2" s="12" t="inlineStr">
        <is>
          <t>ISO 27001:2022 | A.5.3 | Business role definitions with SoD sensitivity classification</t>
        </is>
      </c>
    </row>
    <row r="3">
      <c r="A3" s="13" t="inlineStr">
        <is>
          <t>Business Role ID</t>
        </is>
      </c>
      <c r="B3" s="13" t="inlineStr">
        <is>
          <t>Role Name</t>
        </is>
      </c>
      <c r="C3" s="13" t="inlineStr">
        <is>
          <t>Department</t>
        </is>
      </c>
      <c r="D3" s="13" t="inlineStr">
        <is>
          <t>Process Domain</t>
        </is>
      </c>
      <c r="E3" s="13" t="inlineStr">
        <is>
          <t>Role Owner</t>
        </is>
      </c>
      <c r="F3" s="13" t="inlineStr">
        <is>
          <t>Description</t>
        </is>
      </c>
      <c r="G3" s="13" t="inlineStr">
        <is>
          <t>Risk Level</t>
        </is>
      </c>
      <c r="H3" s="13" t="inlineStr">
        <is>
          <t>Last Reviewed</t>
        </is>
      </c>
    </row>
    <row r="4">
      <c r="A4" s="14" t="inlineStr">
        <is>
          <t>BROLE-FIN-001</t>
        </is>
      </c>
      <c r="B4" s="14" t="inlineStr">
        <is>
          <t>Accounts Payable Manager</t>
        </is>
      </c>
      <c r="C4" s="14" t="inlineStr">
        <is>
          <t>Finance</t>
        </is>
      </c>
      <c r="D4" s="14" t="inlineStr">
        <is>
          <t>Financial</t>
        </is>
      </c>
      <c r="E4" s="14" t="inlineStr">
        <is>
          <t>CFO</t>
        </is>
      </c>
      <c r="F4" s="14" t="inlineStr">
        <is>
          <t>Manages AP team and payment approvals</t>
        </is>
      </c>
      <c r="G4" s="14" t="inlineStr">
        <is>
          <t>High</t>
        </is>
      </c>
      <c r="H4" s="14" t="inlineStr">
        <is>
          <t>01.01.2026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3">
    <dataValidation sqref="C4:C200" showDropDown="0" showInputMessage="0" showErrorMessage="0" allowBlank="0" type="list">
      <formula1>"Executive,Finance,IT,Operations,HR,Legal,Sales,Marketing,Engineering,Support,Procurement,Security"</formula1>
    </dataValidation>
    <dataValidation sqref="D4:D200" showDropDown="0" showInputMessage="0" showErrorMessage="0" allowBlank="0" type="list">
      <formula1>"Financial,IT Operations,HR,Procurement,Security,Change Management,Other"</formula1>
    </dataValidation>
    <dataValidation sqref="G4:G20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15" customWidth="1" min="4" max="4"/>
    <col width="40" customWidth="1" min="5" max="5"/>
    <col width="35" customWidth="1" min="6" max="6"/>
    <col width="12" customWidth="1" min="7" max="7"/>
    <col width="15" customWidth="1" min="8" max="8"/>
  </cols>
  <sheetData>
    <row r="1" ht="35" customHeight="1">
      <c r="A1" s="11" t="inlineStr">
        <is>
          <t>APPLICATION ROLES</t>
        </is>
      </c>
    </row>
    <row r="2">
      <c r="A2" s="12" t="inlineStr">
        <is>
          <t>ISO 27001:2022 | A.5.3 | Application role assignments mapped to business roles</t>
        </is>
      </c>
    </row>
    <row r="3">
      <c r="A3" s="13" t="inlineStr">
        <is>
          <t>App Role ID</t>
        </is>
      </c>
      <c r="B3" s="13" t="inlineStr">
        <is>
          <t>Application</t>
        </is>
      </c>
      <c r="C3" s="13" t="inlineStr">
        <is>
          <t>Role Name</t>
        </is>
      </c>
      <c r="D3" s="13" t="inlineStr">
        <is>
          <t>Role Type</t>
        </is>
      </c>
      <c r="E3" s="13" t="inlineStr">
        <is>
          <t>Description</t>
        </is>
      </c>
      <c r="F3" s="13" t="inlineStr">
        <is>
          <t>Business Roles</t>
        </is>
      </c>
      <c r="G3" s="13" t="inlineStr">
        <is>
          <t>Criticality</t>
        </is>
      </c>
      <c r="H3" s="13" t="inlineStr">
        <is>
          <t>Review Frequency</t>
        </is>
      </c>
    </row>
    <row r="4">
      <c r="A4" s="14" t="inlineStr">
        <is>
          <t>AROLE-SAP-FI-001</t>
        </is>
      </c>
      <c r="B4" s="14" t="inlineStr">
        <is>
          <t>SAP ERP</t>
        </is>
      </c>
      <c r="C4" s="14" t="inlineStr">
        <is>
          <t>FI-AP-Manager</t>
        </is>
      </c>
      <c r="D4" s="14" t="inlineStr">
        <is>
          <t>Composite</t>
        </is>
      </c>
      <c r="E4" s="14" t="inlineStr">
        <is>
          <t>Full AP processing and approval</t>
        </is>
      </c>
      <c r="F4" s="14" t="inlineStr">
        <is>
          <t>BROLE-FIN-001</t>
        </is>
      </c>
      <c r="G4" s="14" t="inlineStr">
        <is>
          <t>High</t>
        </is>
      </c>
      <c r="H4" s="14" t="inlineStr">
        <is>
          <t>Quarterly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3">
    <dataValidation sqref="D4:D200" showDropDown="0" showInputMessage="0" showErrorMessage="0" allowBlank="0" type="list">
      <formula1>"Composite,Single"</formula1>
    </dataValidation>
    <dataValidation sqref="G4:G200" showDropDown="0" showInputMessage="0" showErrorMessage="0" allowBlank="0" type="list">
      <formula1>"Critical,High,Medium,Low"</formula1>
    </dataValidation>
    <dataValidation sqref="H4:H200" showDropDown="0" showInputMessage="0" showErrorMessage="0" allowBlank="0" type="list">
      <formula1>"Monthly,Quarterly,Semi-Annual,Annual"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20" customWidth="1" min="4" max="4"/>
    <col width="25" customWidth="1" min="5" max="5"/>
    <col width="45" customWidth="1" min="6" max="6"/>
    <col width="12" customWidth="1" min="7" max="7"/>
    <col width="12" customWidth="1" min="8" max="8"/>
  </cols>
  <sheetData>
    <row r="1" ht="35" customHeight="1">
      <c r="A1" s="11" t="inlineStr">
        <is>
          <t>FUNCTIONS</t>
        </is>
      </c>
    </row>
    <row r="2">
      <c r="A2" s="12" t="inlineStr">
        <is>
          <t>ISO 27001:2022 | A.5.3 | Sensitive function catalogue with SoD sensitivity indicators</t>
        </is>
      </c>
    </row>
    <row r="3">
      <c r="A3" s="13" t="inlineStr">
        <is>
          <t>Function ID</t>
        </is>
      </c>
      <c r="B3" s="13" t="inlineStr">
        <is>
          <t>Function Name</t>
        </is>
      </c>
      <c r="C3" s="13" t="inlineStr">
        <is>
          <t>Category</t>
        </is>
      </c>
      <c r="D3" s="13" t="inlineStr">
        <is>
          <t>Application</t>
        </is>
      </c>
      <c r="E3" s="13" t="inlineStr">
        <is>
          <t>Process</t>
        </is>
      </c>
      <c r="F3" s="13" t="inlineStr">
        <is>
          <t>Description</t>
        </is>
      </c>
      <c r="G3" s="13" t="inlineStr">
        <is>
          <t>Risk Level</t>
        </is>
      </c>
      <c r="H3" s="13" t="inlineStr">
        <is>
          <t>SoD Sensitive</t>
        </is>
      </c>
    </row>
    <row r="4">
      <c r="A4" s="14" t="inlineStr">
        <is>
          <t>FUNC-FIN-001</t>
        </is>
      </c>
      <c r="B4" s="14" t="inlineStr">
        <is>
          <t>Create Vendor</t>
        </is>
      </c>
      <c r="C4" s="14" t="inlineStr">
        <is>
          <t>Create</t>
        </is>
      </c>
      <c r="D4" s="14" t="inlineStr">
        <is>
          <t>SAP ERP</t>
        </is>
      </c>
      <c r="E4" s="14" t="inlineStr">
        <is>
          <t>Accounts Payable</t>
        </is>
      </c>
      <c r="F4" s="14" t="inlineStr">
        <is>
          <t>Create new vendor master record</t>
        </is>
      </c>
      <c r="G4" s="14" t="inlineStr">
        <is>
          <t>High</t>
        </is>
      </c>
      <c r="H4" s="14" t="inlineStr">
        <is>
          <t>Yes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3">
    <dataValidation sqref="C4:C200" showDropDown="0" showInputMessage="0" showErrorMessage="0" allowBlank="0" type="list">
      <formula1>"Create,Read,Update,Delete,Approve,Execute,Admin"</formula1>
    </dataValidation>
    <dataValidation sqref="G4:G200" showDropDown="0" showInputMessage="0" showErrorMessage="0" allowBlank="0" type="list">
      <formula1>"Critical,High,Medium,Low"</formula1>
    </dataValidation>
    <dataValidation sqref="H4:H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5" customWidth="1" min="4" max="4"/>
    <col width="15" customWidth="1" min="5" max="5"/>
    <col width="40" customWidth="1" min="6" max="6"/>
    <col width="25" customWidth="1" min="7" max="7"/>
    <col width="35" customWidth="1" min="8" max="8"/>
  </cols>
  <sheetData>
    <row r="1" ht="35" customHeight="1">
      <c r="A1" s="11" t="inlineStr">
        <is>
          <t>PERMISSIONS</t>
        </is>
      </c>
    </row>
    <row r="2">
      <c r="A2" s="12" t="inlineStr">
        <is>
          <t>ISO 27001:2022 | A.5.3 | Technical permission details mapped to sensitive functions</t>
        </is>
      </c>
    </row>
    <row r="3">
      <c r="A3" s="13" t="inlineStr">
        <is>
          <t>Permission ID</t>
        </is>
      </c>
      <c r="B3" s="13" t="inlineStr">
        <is>
          <t>Function ID</t>
        </is>
      </c>
      <c r="C3" s="13" t="inlineStr">
        <is>
          <t>Application</t>
        </is>
      </c>
      <c r="D3" s="13" t="inlineStr">
        <is>
          <t>Permission Name</t>
        </is>
      </c>
      <c r="E3" s="13" t="inlineStr">
        <is>
          <t>Permission Type</t>
        </is>
      </c>
      <c r="F3" s="13" t="inlineStr">
        <is>
          <t>Description</t>
        </is>
      </c>
      <c r="G3" s="13" t="inlineStr">
        <is>
          <t>Data Scope</t>
        </is>
      </c>
      <c r="H3" s="13" t="inlineStr">
        <is>
          <t>Special Conditions</t>
        </is>
      </c>
    </row>
    <row r="4">
      <c r="A4" s="14" t="inlineStr">
        <is>
          <t>PERM-SAP-001</t>
        </is>
      </c>
      <c r="B4" s="14" t="inlineStr">
        <is>
          <t>FUNC-FIN-001</t>
        </is>
      </c>
      <c r="C4" s="14" t="inlineStr">
        <is>
          <t>SAP ERP</t>
        </is>
      </c>
      <c r="D4" s="14" t="inlineStr">
        <is>
          <t>T-Code FK01</t>
        </is>
      </c>
      <c r="E4" s="14" t="inlineStr">
        <is>
          <t>Transaction</t>
        </is>
      </c>
      <c r="F4" s="14" t="inlineStr">
        <is>
          <t>Create vendor master</t>
        </is>
      </c>
      <c r="G4" s="14" t="inlineStr">
        <is>
          <t>Company Code 1000</t>
        </is>
      </c>
      <c r="H4" s="14" t="inlineStr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E4:E200" showDropDown="0" showInputMessage="0" showErrorMessage="0" allowBlank="0" type="list">
      <formula1>"Transaction,Report,API,Config,Data"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2" customWidth="1" min="5" max="5"/>
    <col width="40" customWidth="1" min="6" max="6"/>
    <col width="15" customWidth="1" min="7" max="7"/>
    <col width="15" customWidth="1" min="8" max="8"/>
  </cols>
  <sheetData>
    <row r="1" ht="35" customHeight="1">
      <c r="A1" s="11" t="inlineStr">
        <is>
          <t>ROLE FUNCTION MAP</t>
        </is>
      </c>
    </row>
    <row r="2">
      <c r="A2" s="12" t="inlineStr">
        <is>
          <t>ISO 27001:2022 | A.5.3 | Role-to-function relationships for SoD conflict detection</t>
        </is>
      </c>
    </row>
    <row r="3">
      <c r="A3" s="13" t="inlineStr">
        <is>
          <t>Mapping ID</t>
        </is>
      </c>
      <c r="B3" s="13" t="inlineStr">
        <is>
          <t>Business Role ID</t>
        </is>
      </c>
      <c r="C3" s="13" t="inlineStr">
        <is>
          <t>App Role ID</t>
        </is>
      </c>
      <c r="D3" s="13" t="inlineStr">
        <is>
          <t>Function ID</t>
        </is>
      </c>
      <c r="E3" s="13" t="inlineStr">
        <is>
          <t>Grant Type</t>
        </is>
      </c>
      <c r="F3" s="13" t="inlineStr">
        <is>
          <t>Justification</t>
        </is>
      </c>
      <c r="G3" s="13" t="inlineStr">
        <is>
          <t>Effective Date</t>
        </is>
      </c>
      <c r="H3" s="13" t="inlineStr">
        <is>
          <t>Expiry Date</t>
        </is>
      </c>
    </row>
    <row r="4">
      <c r="A4" s="14" t="inlineStr">
        <is>
          <t>MAP-001</t>
        </is>
      </c>
      <c r="B4" s="14" t="inlineStr">
        <is>
          <t>BROLE-FIN-001</t>
        </is>
      </c>
      <c r="C4" s="14" t="inlineStr">
        <is>
          <t>AROLE-SAP-FI-001</t>
        </is>
      </c>
      <c r="D4" s="14" t="inlineStr">
        <is>
          <t>FUNC-FIN-001</t>
        </is>
      </c>
      <c r="E4" s="14" t="inlineStr">
        <is>
          <t>Direct</t>
        </is>
      </c>
      <c r="F4" s="14" t="inlineStr">
        <is>
          <t>Core AP manager duty</t>
        </is>
      </c>
      <c r="G4" s="14" t="inlineStr">
        <is>
          <t>01.01.2026</t>
        </is>
      </c>
      <c r="H4" s="14" t="inlineStr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E4:E200" showDropDown="0" showInputMessage="0" showErrorMessage="0" allowBlank="0" type="list">
      <formula1>"Direct,Inherited,Delegated,Emergency"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2" customWidth="1" min="4" max="4"/>
    <col width="12" customWidth="1" min="5" max="5"/>
    <col width="50" customWidth="1" min="6" max="6"/>
    <col width="40" customWidth="1" min="7" max="7"/>
  </cols>
  <sheetData>
    <row r="1" ht="35" customHeight="1">
      <c r="A1" s="11" t="inlineStr">
        <is>
          <t>FUNCTION CONFLICTS</t>
        </is>
      </c>
    </row>
    <row r="2">
      <c r="A2" s="12" t="inlineStr">
        <is>
          <t>ISO 27001:2022 | A.5.3 | Function-level conflict definitions for RBAC analysis</t>
        </is>
      </c>
    </row>
    <row r="3">
      <c r="A3" s="13" t="inlineStr">
        <is>
          <t>Conflict ID</t>
        </is>
      </c>
      <c r="B3" s="13" t="inlineStr">
        <is>
          <t>Function A</t>
        </is>
      </c>
      <c r="C3" s="13" t="inlineStr">
        <is>
          <t>Function B</t>
        </is>
      </c>
      <c r="D3" s="13" t="inlineStr">
        <is>
          <t>Conflict Type</t>
        </is>
      </c>
      <c r="E3" s="13" t="inlineStr">
        <is>
          <t>Risk Level</t>
        </is>
      </c>
      <c r="F3" s="13" t="inlineStr">
        <is>
          <t>Justification</t>
        </is>
      </c>
      <c r="G3" s="13" t="inlineStr">
        <is>
          <t>Mitigation</t>
        </is>
      </c>
    </row>
    <row r="4">
      <c r="A4" s="14" t="inlineStr">
        <is>
          <t>FCON-001</t>
        </is>
      </c>
      <c r="B4" s="14" t="inlineStr">
        <is>
          <t>FUNC-FIN-001</t>
        </is>
      </c>
      <c r="C4" s="14" t="inlineStr">
        <is>
          <t>FUNC-FIN-002</t>
        </is>
      </c>
      <c r="D4" s="14" t="inlineStr">
        <is>
          <t>X</t>
        </is>
      </c>
      <c r="E4" s="14" t="inlineStr">
        <is>
          <t>Critical</t>
        </is>
      </c>
      <c r="F4" s="14" t="inlineStr">
        <is>
          <t>Create vendor + approve payment = fictitious vendor fraud</t>
        </is>
      </c>
      <c r="G4" s="14" t="inlineStr">
        <is>
          <t>Must be separate individuals</t>
        </is>
      </c>
    </row>
    <row r="5">
      <c r="A5" s="15" t="n"/>
      <c r="B5" s="15" t="n"/>
      <c r="C5" s="15" t="n"/>
      <c r="D5" s="15" t="n"/>
      <c r="E5" s="15" t="n"/>
      <c r="F5" s="15" t="n"/>
      <c r="G5" s="15" t="n"/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</sheetData>
  <mergeCells count="2">
    <mergeCell ref="A2:G2"/>
    <mergeCell ref="A1:G1"/>
  </mergeCells>
  <dataValidations count="2">
    <dataValidation sqref="D4:D200" showDropDown="0" showInputMessage="0" showErrorMessage="0" allowBlank="0" type="list">
      <formula1>"X,C,M"</formula1>
    </dataValidation>
    <dataValidation sqref="E4:E20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25" customWidth="1" min="4" max="4"/>
    <col width="20" customWidth="1" min="5" max="5"/>
    <col width="18" customWidth="1" min="6" max="6"/>
    <col width="15" customWidth="1" min="7" max="7"/>
    <col width="20" customWidth="1" min="8" max="8"/>
    <col width="40" customWidth="1" min="9" max="9"/>
  </cols>
  <sheetData>
    <row r="1" ht="35" customHeight="1">
      <c r="A1" s="11" t="inlineStr">
        <is>
          <t>VALIDATION STATUS</t>
        </is>
      </c>
    </row>
    <row r="2">
      <c r="A2" s="12" t="inlineStr">
        <is>
          <t>ISO 27001:2022 | A.5.3 | RBAC validation tracking and discrepancy resolution</t>
        </is>
      </c>
    </row>
    <row r="3">
      <c r="A3" s="13" t="inlineStr">
        <is>
          <t>Validation ID</t>
        </is>
      </c>
      <c r="B3" s="13" t="inlineStr">
        <is>
          <t>Role ID</t>
        </is>
      </c>
      <c r="C3" s="13" t="inlineStr">
        <is>
          <t>Validation Date</t>
        </is>
      </c>
      <c r="D3" s="13" t="inlineStr">
        <is>
          <t>Validator</t>
        </is>
      </c>
      <c r="E3" s="13" t="inlineStr">
        <is>
          <t>Documented Functions</t>
        </is>
      </c>
      <c r="F3" s="13" t="inlineStr">
        <is>
          <t>Actual Functions</t>
        </is>
      </c>
      <c r="G3" s="13" t="inlineStr">
        <is>
          <t>Discrepancies</t>
        </is>
      </c>
      <c r="H3" s="13" t="inlineStr">
        <is>
          <t>Status</t>
        </is>
      </c>
      <c r="I3" s="13" t="inlineStr">
        <is>
          <t>Resolution</t>
        </is>
      </c>
    </row>
    <row r="4">
      <c r="A4" s="16" t="inlineStr">
        <is>
          <t>VAL-001</t>
        </is>
      </c>
      <c r="B4" s="16" t="inlineStr">
        <is>
          <t>AROLE-SAP-FI-001</t>
        </is>
      </c>
      <c r="C4" s="16" t="inlineStr">
        <is>
          <t>01.01.2026</t>
        </is>
      </c>
      <c r="D4" s="16" t="inlineStr">
        <is>
          <t>Risk Officer</t>
        </is>
      </c>
      <c r="E4" s="16" t="inlineStr">
        <is>
          <t>5</t>
        </is>
      </c>
      <c r="F4" s="16" t="inlineStr">
        <is>
          <t>5</t>
        </is>
      </c>
      <c r="G4" s="16">
        <f>ABS(E4-F4)</f>
        <v/>
      </c>
      <c r="H4" s="16" t="inlineStr">
        <is>
          <t>Validated</t>
        </is>
      </c>
      <c r="I4" s="16" t="inlineStr">
        <is>
          <t>No discrepancies found</t>
        </is>
      </c>
    </row>
    <row r="5">
      <c r="A5" s="17" t="n"/>
      <c r="B5" s="17" t="n"/>
      <c r="C5" s="17" t="n"/>
      <c r="D5" s="17" t="n"/>
      <c r="E5" s="17" t="n"/>
      <c r="F5" s="17" t="n"/>
      <c r="G5" s="16">
        <f>ABS(E5-F5)</f>
        <v/>
      </c>
      <c r="H5" s="17" t="n"/>
      <c r="I5" s="17" t="n"/>
    </row>
    <row r="6">
      <c r="A6" s="17" t="n"/>
      <c r="B6" s="17" t="n"/>
      <c r="C6" s="17" t="n"/>
      <c r="D6" s="17" t="n"/>
      <c r="E6" s="17" t="n"/>
      <c r="F6" s="17" t="n"/>
      <c r="G6" s="16">
        <f>ABS(E6-F6)</f>
        <v/>
      </c>
      <c r="H6" s="17" t="n"/>
      <c r="I6" s="17" t="n"/>
    </row>
    <row r="7">
      <c r="A7" s="17" t="n"/>
      <c r="B7" s="17" t="n"/>
      <c r="C7" s="17" t="n"/>
      <c r="D7" s="17" t="n"/>
      <c r="E7" s="17" t="n"/>
      <c r="F7" s="17" t="n"/>
      <c r="G7" s="16">
        <f>ABS(E7-F7)</f>
        <v/>
      </c>
      <c r="H7" s="17" t="n"/>
      <c r="I7" s="17" t="n"/>
    </row>
    <row r="8">
      <c r="A8" s="17" t="n"/>
      <c r="B8" s="17" t="n"/>
      <c r="C8" s="17" t="n"/>
      <c r="D8" s="17" t="n"/>
      <c r="E8" s="17" t="n"/>
      <c r="F8" s="17" t="n"/>
      <c r="G8" s="16">
        <f>ABS(E8-F8)</f>
        <v/>
      </c>
      <c r="H8" s="17" t="n"/>
      <c r="I8" s="17" t="n"/>
    </row>
    <row r="9">
      <c r="A9" s="17" t="n"/>
      <c r="B9" s="17" t="n"/>
      <c r="C9" s="17" t="n"/>
      <c r="D9" s="17" t="n"/>
      <c r="E9" s="17" t="n"/>
      <c r="F9" s="17" t="n"/>
      <c r="G9" s="16">
        <f>ABS(E9-F9)</f>
        <v/>
      </c>
      <c r="H9" s="17" t="n"/>
      <c r="I9" s="17" t="n"/>
    </row>
    <row r="10">
      <c r="A10" s="17" t="n"/>
      <c r="B10" s="17" t="n"/>
      <c r="C10" s="17" t="n"/>
      <c r="D10" s="17" t="n"/>
      <c r="E10" s="17" t="n"/>
      <c r="F10" s="17" t="n"/>
      <c r="G10" s="16">
        <f>ABS(E10-F10)</f>
        <v/>
      </c>
      <c r="H10" s="17" t="n"/>
      <c r="I10" s="17" t="n"/>
    </row>
    <row r="11">
      <c r="A11" s="17" t="n"/>
      <c r="B11" s="17" t="n"/>
      <c r="C11" s="17" t="n"/>
      <c r="D11" s="17" t="n"/>
      <c r="E11" s="17" t="n"/>
      <c r="F11" s="17" t="n"/>
      <c r="G11" s="16">
        <f>ABS(E11-F11)</f>
        <v/>
      </c>
      <c r="H11" s="17" t="n"/>
      <c r="I11" s="17" t="n"/>
    </row>
    <row r="12">
      <c r="A12" s="17" t="n"/>
      <c r="B12" s="17" t="n"/>
      <c r="C12" s="17" t="n"/>
      <c r="D12" s="17" t="n"/>
      <c r="E12" s="17" t="n"/>
      <c r="F12" s="17" t="n"/>
      <c r="G12" s="16">
        <f>ABS(E12-F12)</f>
        <v/>
      </c>
      <c r="H12" s="17" t="n"/>
      <c r="I12" s="17" t="n"/>
    </row>
    <row r="13">
      <c r="A13" s="17" t="n"/>
      <c r="B13" s="17" t="n"/>
      <c r="C13" s="17" t="n"/>
      <c r="D13" s="17" t="n"/>
      <c r="E13" s="17" t="n"/>
      <c r="F13" s="17" t="n"/>
      <c r="G13" s="16">
        <f>ABS(E13-F13)</f>
        <v/>
      </c>
      <c r="H13" s="17" t="n"/>
      <c r="I13" s="17" t="n"/>
    </row>
    <row r="14">
      <c r="A14" s="17" t="n"/>
      <c r="B14" s="17" t="n"/>
      <c r="C14" s="17" t="n"/>
      <c r="D14" s="17" t="n"/>
      <c r="E14" s="17" t="n"/>
      <c r="F14" s="17" t="n"/>
      <c r="G14" s="16">
        <f>ABS(E14-F14)</f>
        <v/>
      </c>
      <c r="H14" s="17" t="n"/>
      <c r="I14" s="17" t="n"/>
    </row>
    <row r="15">
      <c r="A15" s="17" t="n"/>
      <c r="B15" s="17" t="n"/>
      <c r="C15" s="17" t="n"/>
      <c r="D15" s="17" t="n"/>
      <c r="E15" s="17" t="n"/>
      <c r="F15" s="17" t="n"/>
      <c r="G15" s="16">
        <f>ABS(E15-F15)</f>
        <v/>
      </c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6">
        <f>ABS(E16-F16)</f>
        <v/>
      </c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6">
        <f>ABS(E17-F17)</f>
        <v/>
      </c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6">
        <f>ABS(E18-F18)</f>
        <v/>
      </c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6">
        <f>ABS(E19-F19)</f>
        <v/>
      </c>
      <c r="H19" s="17" t="n"/>
      <c r="I19" s="17" t="n"/>
    </row>
    <row r="20">
      <c r="A20" s="17" t="n"/>
      <c r="B20" s="17" t="n"/>
      <c r="C20" s="17" t="n"/>
      <c r="D20" s="17" t="n"/>
      <c r="E20" s="17" t="n"/>
      <c r="F20" s="17" t="n"/>
      <c r="G20" s="16">
        <f>ABS(E20-F20)</f>
        <v/>
      </c>
      <c r="H20" s="17" t="n"/>
      <c r="I20" s="17" t="n"/>
    </row>
    <row r="21">
      <c r="A21" s="17" t="n"/>
      <c r="B21" s="17" t="n"/>
      <c r="C21" s="17" t="n"/>
      <c r="D21" s="17" t="n"/>
      <c r="E21" s="17" t="n"/>
      <c r="F21" s="17" t="n"/>
      <c r="G21" s="16">
        <f>ABS(E21-F21)</f>
        <v/>
      </c>
      <c r="H21" s="17" t="n"/>
      <c r="I21" s="17" t="n"/>
    </row>
    <row r="22">
      <c r="A22" s="17" t="n"/>
      <c r="B22" s="17" t="n"/>
      <c r="C22" s="17" t="n"/>
      <c r="D22" s="17" t="n"/>
      <c r="E22" s="17" t="n"/>
      <c r="F22" s="17" t="n"/>
      <c r="G22" s="16">
        <f>ABS(E22-F22)</f>
        <v/>
      </c>
      <c r="H22" s="17" t="n"/>
      <c r="I22" s="17" t="n"/>
    </row>
    <row r="23">
      <c r="A23" s="17" t="n"/>
      <c r="B23" s="17" t="n"/>
      <c r="C23" s="17" t="n"/>
      <c r="D23" s="17" t="n"/>
      <c r="E23" s="17" t="n"/>
      <c r="F23" s="17" t="n"/>
      <c r="G23" s="16">
        <f>ABS(E23-F23)</f>
        <v/>
      </c>
      <c r="H23" s="17" t="n"/>
      <c r="I23" s="17" t="n"/>
    </row>
    <row r="24">
      <c r="A24" s="17" t="n"/>
      <c r="B24" s="17" t="n"/>
      <c r="C24" s="17" t="n"/>
      <c r="D24" s="17" t="n"/>
      <c r="E24" s="17" t="n"/>
      <c r="F24" s="17" t="n"/>
      <c r="G24" s="16">
        <f>ABS(E24-F24)</f>
        <v/>
      </c>
      <c r="H24" s="17" t="n"/>
      <c r="I24" s="17" t="n"/>
    </row>
    <row r="25">
      <c r="A25" s="17" t="n"/>
      <c r="B25" s="17" t="n"/>
      <c r="C25" s="17" t="n"/>
      <c r="D25" s="17" t="n"/>
      <c r="E25" s="17" t="n"/>
      <c r="F25" s="17" t="n"/>
      <c r="G25" s="16">
        <f>ABS(E25-F25)</f>
        <v/>
      </c>
      <c r="H25" s="17" t="n"/>
      <c r="I25" s="17" t="n"/>
    </row>
    <row r="26">
      <c r="A26" s="17" t="n"/>
      <c r="B26" s="17" t="n"/>
      <c r="C26" s="17" t="n"/>
      <c r="D26" s="17" t="n"/>
      <c r="E26" s="17" t="n"/>
      <c r="F26" s="17" t="n"/>
      <c r="G26" s="16">
        <f>ABS(E26-F26)</f>
        <v/>
      </c>
      <c r="H26" s="17" t="n"/>
      <c r="I26" s="17" t="n"/>
    </row>
    <row r="27">
      <c r="A27" s="17" t="n"/>
      <c r="B27" s="17" t="n"/>
      <c r="C27" s="17" t="n"/>
      <c r="D27" s="17" t="n"/>
      <c r="E27" s="17" t="n"/>
      <c r="F27" s="17" t="n"/>
      <c r="G27" s="16">
        <f>ABS(E27-F27)</f>
        <v/>
      </c>
      <c r="H27" s="17" t="n"/>
      <c r="I27" s="17" t="n"/>
    </row>
    <row r="28">
      <c r="A28" s="17" t="n"/>
      <c r="B28" s="17" t="n"/>
      <c r="C28" s="17" t="n"/>
      <c r="D28" s="17" t="n"/>
      <c r="E28" s="17" t="n"/>
      <c r="F28" s="17" t="n"/>
      <c r="G28" s="16">
        <f>ABS(E28-F28)</f>
        <v/>
      </c>
      <c r="H28" s="17" t="n"/>
      <c r="I28" s="17" t="n"/>
    </row>
    <row r="29">
      <c r="A29" s="17" t="n"/>
      <c r="B29" s="17" t="n"/>
      <c r="C29" s="17" t="n"/>
      <c r="D29" s="17" t="n"/>
      <c r="E29" s="17" t="n"/>
      <c r="F29" s="17" t="n"/>
      <c r="G29" s="16">
        <f>ABS(E29-F29)</f>
        <v/>
      </c>
      <c r="H29" s="17" t="n"/>
      <c r="I29" s="17" t="n"/>
    </row>
    <row r="30">
      <c r="A30" s="17" t="n"/>
      <c r="B30" s="17" t="n"/>
      <c r="C30" s="17" t="n"/>
      <c r="D30" s="17" t="n"/>
      <c r="E30" s="17" t="n"/>
      <c r="F30" s="17" t="n"/>
      <c r="G30" s="16">
        <f>ABS(E30-F30)</f>
        <v/>
      </c>
      <c r="H30" s="17" t="n"/>
      <c r="I30" s="17" t="n"/>
    </row>
    <row r="31">
      <c r="A31" s="17" t="n"/>
      <c r="B31" s="17" t="n"/>
      <c r="C31" s="17" t="n"/>
      <c r="D31" s="17" t="n"/>
      <c r="E31" s="17" t="n"/>
      <c r="F31" s="17" t="n"/>
      <c r="G31" s="16">
        <f>ABS(E31-F31)</f>
        <v/>
      </c>
      <c r="H31" s="17" t="n"/>
      <c r="I31" s="17" t="n"/>
    </row>
    <row r="32">
      <c r="A32" s="17" t="n"/>
      <c r="B32" s="17" t="n"/>
      <c r="C32" s="17" t="n"/>
      <c r="D32" s="17" t="n"/>
      <c r="E32" s="17" t="n"/>
      <c r="F32" s="17" t="n"/>
      <c r="G32" s="16">
        <f>ABS(E32-F32)</f>
        <v/>
      </c>
      <c r="H32" s="17" t="n"/>
      <c r="I32" s="17" t="n"/>
    </row>
    <row r="33">
      <c r="A33" s="17" t="n"/>
      <c r="B33" s="17" t="n"/>
      <c r="C33" s="17" t="n"/>
      <c r="D33" s="17" t="n"/>
      <c r="E33" s="17" t="n"/>
      <c r="F33" s="17" t="n"/>
      <c r="G33" s="16">
        <f>ABS(E33-F33)</f>
        <v/>
      </c>
      <c r="H33" s="17" t="n"/>
      <c r="I33" s="17" t="n"/>
    </row>
    <row r="34">
      <c r="A34" s="17" t="n"/>
      <c r="B34" s="17" t="n"/>
      <c r="C34" s="17" t="n"/>
      <c r="D34" s="17" t="n"/>
      <c r="E34" s="17" t="n"/>
      <c r="F34" s="17" t="n"/>
      <c r="G34" s="16">
        <f>ABS(E34-F34)</f>
        <v/>
      </c>
      <c r="H34" s="17" t="n"/>
      <c r="I34" s="17" t="n"/>
    </row>
    <row r="35">
      <c r="A35" s="17" t="n"/>
      <c r="B35" s="17" t="n"/>
      <c r="C35" s="17" t="n"/>
      <c r="D35" s="17" t="n"/>
      <c r="E35" s="17" t="n"/>
      <c r="F35" s="17" t="n"/>
      <c r="G35" s="16">
        <f>ABS(E35-F35)</f>
        <v/>
      </c>
      <c r="H35" s="17" t="n"/>
      <c r="I35" s="17" t="n"/>
    </row>
    <row r="36">
      <c r="A36" s="17" t="n"/>
      <c r="B36" s="17" t="n"/>
      <c r="C36" s="17" t="n"/>
      <c r="D36" s="17" t="n"/>
      <c r="E36" s="17" t="n"/>
      <c r="F36" s="17" t="n"/>
      <c r="G36" s="16">
        <f>ABS(E36-F36)</f>
        <v/>
      </c>
      <c r="H36" s="17" t="n"/>
      <c r="I36" s="17" t="n"/>
    </row>
    <row r="37">
      <c r="A37" s="17" t="n"/>
      <c r="B37" s="17" t="n"/>
      <c r="C37" s="17" t="n"/>
      <c r="D37" s="17" t="n"/>
      <c r="E37" s="17" t="n"/>
      <c r="F37" s="17" t="n"/>
      <c r="G37" s="16">
        <f>ABS(E37-F37)</f>
        <v/>
      </c>
      <c r="H37" s="17" t="n"/>
      <c r="I37" s="17" t="n"/>
    </row>
    <row r="38">
      <c r="A38" s="17" t="n"/>
      <c r="B38" s="17" t="n"/>
      <c r="C38" s="17" t="n"/>
      <c r="D38" s="17" t="n"/>
      <c r="E38" s="17" t="n"/>
      <c r="F38" s="17" t="n"/>
      <c r="G38" s="16">
        <f>ABS(E38-F38)</f>
        <v/>
      </c>
      <c r="H38" s="17" t="n"/>
      <c r="I38" s="17" t="n"/>
    </row>
    <row r="39">
      <c r="A39" s="17" t="n"/>
      <c r="B39" s="17" t="n"/>
      <c r="C39" s="17" t="n"/>
      <c r="D39" s="17" t="n"/>
      <c r="E39" s="17" t="n"/>
      <c r="F39" s="17" t="n"/>
      <c r="G39" s="16">
        <f>ABS(E39-F39)</f>
        <v/>
      </c>
      <c r="H39" s="17" t="n"/>
      <c r="I39" s="17" t="n"/>
    </row>
    <row r="40">
      <c r="A40" s="17" t="n"/>
      <c r="B40" s="17" t="n"/>
      <c r="C40" s="17" t="n"/>
      <c r="D40" s="17" t="n"/>
      <c r="E40" s="17" t="n"/>
      <c r="F40" s="17" t="n"/>
      <c r="G40" s="16">
        <f>ABS(E40-F40)</f>
        <v/>
      </c>
      <c r="H40" s="17" t="n"/>
      <c r="I40" s="17" t="n"/>
    </row>
    <row r="41">
      <c r="A41" s="17" t="n"/>
      <c r="B41" s="17" t="n"/>
      <c r="C41" s="17" t="n"/>
      <c r="D41" s="17" t="n"/>
      <c r="E41" s="17" t="n"/>
      <c r="F41" s="17" t="n"/>
      <c r="G41" s="16">
        <f>ABS(E41-F41)</f>
        <v/>
      </c>
      <c r="H41" s="17" t="n"/>
      <c r="I41" s="17" t="n"/>
    </row>
    <row r="42">
      <c r="A42" s="17" t="n"/>
      <c r="B42" s="17" t="n"/>
      <c r="C42" s="17" t="n"/>
      <c r="D42" s="17" t="n"/>
      <c r="E42" s="17" t="n"/>
      <c r="F42" s="17" t="n"/>
      <c r="G42" s="16">
        <f>ABS(E42-F42)</f>
        <v/>
      </c>
      <c r="H42" s="17" t="n"/>
      <c r="I42" s="17" t="n"/>
    </row>
    <row r="43">
      <c r="A43" s="17" t="n"/>
      <c r="B43" s="17" t="n"/>
      <c r="C43" s="17" t="n"/>
      <c r="D43" s="17" t="n"/>
      <c r="E43" s="17" t="n"/>
      <c r="F43" s="17" t="n"/>
      <c r="G43" s="16">
        <f>ABS(E43-F43)</f>
        <v/>
      </c>
      <c r="H43" s="17" t="n"/>
      <c r="I43" s="17" t="n"/>
    </row>
    <row r="44">
      <c r="A44" s="17" t="n"/>
      <c r="B44" s="17" t="n"/>
      <c r="C44" s="17" t="n"/>
      <c r="D44" s="17" t="n"/>
      <c r="E44" s="17" t="n"/>
      <c r="F44" s="17" t="n"/>
      <c r="G44" s="16">
        <f>ABS(E44-F44)</f>
        <v/>
      </c>
      <c r="H44" s="17" t="n"/>
      <c r="I44" s="17" t="n"/>
    </row>
    <row r="45">
      <c r="A45" s="17" t="n"/>
      <c r="B45" s="17" t="n"/>
      <c r="C45" s="17" t="n"/>
      <c r="D45" s="17" t="n"/>
      <c r="E45" s="17" t="n"/>
      <c r="F45" s="17" t="n"/>
      <c r="G45" s="16">
        <f>ABS(E45-F45)</f>
        <v/>
      </c>
      <c r="H45" s="17" t="n"/>
      <c r="I45" s="17" t="n"/>
    </row>
    <row r="46">
      <c r="A46" s="17" t="n"/>
      <c r="B46" s="17" t="n"/>
      <c r="C46" s="17" t="n"/>
      <c r="D46" s="17" t="n"/>
      <c r="E46" s="17" t="n"/>
      <c r="F46" s="17" t="n"/>
      <c r="G46" s="16">
        <f>ABS(E46-F46)</f>
        <v/>
      </c>
      <c r="H46" s="17" t="n"/>
      <c r="I46" s="17" t="n"/>
    </row>
    <row r="47">
      <c r="A47" s="17" t="n"/>
      <c r="B47" s="17" t="n"/>
      <c r="C47" s="17" t="n"/>
      <c r="D47" s="17" t="n"/>
      <c r="E47" s="17" t="n"/>
      <c r="F47" s="17" t="n"/>
      <c r="G47" s="16">
        <f>ABS(E47-F47)</f>
        <v/>
      </c>
      <c r="H47" s="17" t="n"/>
      <c r="I47" s="17" t="n"/>
    </row>
    <row r="48">
      <c r="A48" s="17" t="n"/>
      <c r="B48" s="17" t="n"/>
      <c r="C48" s="17" t="n"/>
      <c r="D48" s="17" t="n"/>
      <c r="E48" s="17" t="n"/>
      <c r="F48" s="17" t="n"/>
      <c r="G48" s="16">
        <f>ABS(E48-F48)</f>
        <v/>
      </c>
      <c r="H48" s="17" t="n"/>
      <c r="I48" s="17" t="n"/>
    </row>
    <row r="49">
      <c r="A49" s="17" t="n"/>
      <c r="B49" s="17" t="n"/>
      <c r="C49" s="17" t="n"/>
      <c r="D49" s="17" t="n"/>
      <c r="E49" s="17" t="n"/>
      <c r="F49" s="17" t="n"/>
      <c r="G49" s="16">
        <f>ABS(E49-F49)</f>
        <v/>
      </c>
      <c r="H49" s="17" t="n"/>
      <c r="I49" s="17" t="n"/>
    </row>
    <row r="50">
      <c r="A50" s="17" t="n"/>
      <c r="B50" s="17" t="n"/>
      <c r="C50" s="17" t="n"/>
      <c r="D50" s="17" t="n"/>
      <c r="E50" s="17" t="n"/>
      <c r="F50" s="17" t="n"/>
      <c r="G50" s="16">
        <f>ABS(E50-F50)</f>
        <v/>
      </c>
      <c r="H50" s="17" t="n"/>
      <c r="I50" s="17" t="n"/>
    </row>
    <row r="51">
      <c r="A51" s="17" t="n"/>
      <c r="B51" s="17" t="n"/>
      <c r="C51" s="17" t="n"/>
      <c r="D51" s="17" t="n"/>
      <c r="E51" s="17" t="n"/>
      <c r="F51" s="17" t="n"/>
      <c r="G51" s="16">
        <f>ABS(E51-F51)</f>
        <v/>
      </c>
      <c r="H51" s="17" t="n"/>
      <c r="I51" s="17" t="n"/>
    </row>
    <row r="52">
      <c r="A52" s="17" t="n"/>
      <c r="B52" s="17" t="n"/>
      <c r="C52" s="17" t="n"/>
      <c r="D52" s="17" t="n"/>
      <c r="E52" s="17" t="n"/>
      <c r="F52" s="17" t="n"/>
      <c r="G52" s="16">
        <f>ABS(E52-F52)</f>
        <v/>
      </c>
      <c r="H52" s="17" t="n"/>
      <c r="I52" s="17" t="n"/>
    </row>
    <row r="53">
      <c r="A53" s="17" t="n"/>
      <c r="B53" s="17" t="n"/>
      <c r="C53" s="17" t="n"/>
      <c r="D53" s="17" t="n"/>
      <c r="E53" s="17" t="n"/>
      <c r="F53" s="17" t="n"/>
      <c r="G53" s="16">
        <f>ABS(E53-F53)</f>
        <v/>
      </c>
      <c r="H53" s="17" t="n"/>
      <c r="I53" s="17" t="n"/>
    </row>
    <row r="54">
      <c r="A54" s="17" t="n"/>
      <c r="B54" s="17" t="n"/>
      <c r="C54" s="17" t="n"/>
      <c r="D54" s="17" t="n"/>
      <c r="E54" s="17" t="n"/>
      <c r="F54" s="17" t="n"/>
      <c r="G54" s="16">
        <f>ABS(E54-F54)</f>
        <v/>
      </c>
      <c r="H54" s="17" t="n"/>
      <c r="I54" s="17" t="n"/>
    </row>
  </sheetData>
  <mergeCells count="2">
    <mergeCell ref="A1:I1"/>
    <mergeCell ref="A2:I2"/>
  </mergeCells>
  <dataValidations count="1">
    <dataValidation sqref="H4:H200" showDropDown="0" showInputMessage="0" showErrorMessage="0" allowBlank="0" type="list">
      <formula1>"Validated,Requires Investigation,Remediated,Deferred"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50" customWidth="1" min="5" max="5"/>
    <col width="25" customWidth="1" min="6" max="6"/>
    <col width="25" customWidth="1" min="7" max="7"/>
    <col width="20" customWidth="1" min="8" max="8"/>
  </cols>
  <sheetData>
    <row r="1" ht="35" customHeight="1">
      <c r="A1" s="11" t="inlineStr">
        <is>
          <t>CHANGE LOG</t>
        </is>
      </c>
    </row>
    <row r="2">
      <c r="A2" s="12" t="inlineStr">
        <is>
          <t>ISO 27001:2022 | A.5.3 | Permission change history for SoD audit trail</t>
        </is>
      </c>
    </row>
    <row r="3">
      <c r="A3" s="13" t="inlineStr">
        <is>
          <t>Change ID</t>
        </is>
      </c>
      <c r="B3" s="13" t="inlineStr">
        <is>
          <t>Change Date</t>
        </is>
      </c>
      <c r="C3" s="13" t="inlineStr">
        <is>
          <t>Role ID</t>
        </is>
      </c>
      <c r="D3" s="13" t="inlineStr">
        <is>
          <t>Change Type</t>
        </is>
      </c>
      <c r="E3" s="13" t="inlineStr">
        <is>
          <t>Description</t>
        </is>
      </c>
      <c r="F3" s="13" t="inlineStr">
        <is>
          <t>Requested By</t>
        </is>
      </c>
      <c r="G3" s="13" t="inlineStr">
        <is>
          <t>Approved By</t>
        </is>
      </c>
      <c r="H3" s="13" t="inlineStr">
        <is>
          <t>Ticket Reference</t>
        </is>
      </c>
    </row>
    <row r="4">
      <c r="A4" s="14" t="inlineStr">
        <is>
          <t>CHG-001</t>
        </is>
      </c>
      <c r="B4" s="14" t="inlineStr">
        <is>
          <t>01.01.2026</t>
        </is>
      </c>
      <c r="C4" s="14" t="inlineStr">
        <is>
          <t>BROLE-FIN-001</t>
        </is>
      </c>
      <c r="D4" s="14" t="inlineStr">
        <is>
          <t>Permission Added</t>
        </is>
      </c>
      <c r="E4" s="14" t="inlineStr">
        <is>
          <t>Added AP approval access for finance team</t>
        </is>
      </c>
      <c r="F4" s="14" t="inlineStr">
        <is>
          <t>Finance Director</t>
        </is>
      </c>
      <c r="G4" s="14" t="inlineStr">
        <is>
          <t>CISO</t>
        </is>
      </c>
      <c r="H4" s="14" t="inlineStr">
        <is>
          <t>JIRA-2026-001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D4:D200" showDropDown="0" showInputMessage="0" showErrorMessage="0" allowBlank="0" type="list">
      <formula1>"Permission Added,Permission Removed,Function Modified,Role Created,Role Deleted"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8" t="inlineStr">
        <is>
          <t>ROLE-FUNCTION MAPPING — SUMMARY DASHBOARD</t>
        </is>
      </c>
      <c r="B1" s="19" t="n"/>
      <c r="C1" s="19" t="n"/>
      <c r="D1" s="19" t="n"/>
      <c r="E1" s="19" t="n"/>
      <c r="F1" s="19" t="n"/>
      <c r="G1" s="19" t="n"/>
    </row>
    <row r="2">
      <c r="A2" s="20" t="inlineStr">
        <is>
          <t>ISO/IEC 27001:2022 — Control A.5.3: Segregation of Duties | Role-Function Mapping</t>
        </is>
      </c>
      <c r="B2" s="19" t="n"/>
      <c r="C2" s="19" t="n"/>
      <c r="D2" s="19" t="n"/>
      <c r="E2" s="19" t="n"/>
      <c r="F2" s="19" t="n"/>
      <c r="G2" s="19" t="n"/>
    </row>
    <row r="4">
      <c r="A4" s="21" t="inlineStr">
        <is>
          <t>TABLE 1: ASSESSMENT AREA COMPLIANCE OVERVIEW</t>
        </is>
      </c>
      <c r="B4" s="19" t="n"/>
      <c r="C4" s="19" t="n"/>
      <c r="D4" s="19" t="n"/>
      <c r="E4" s="19" t="n"/>
      <c r="F4" s="19" t="n"/>
      <c r="G4" s="19" t="n"/>
    </row>
    <row r="5">
      <c r="A5" s="22" t="inlineStr">
        <is>
          <t>Assessment Area</t>
        </is>
      </c>
      <c r="B5" s="22" t="inlineStr">
        <is>
          <t>Total Items</t>
        </is>
      </c>
      <c r="C5" s="22" t="inlineStr">
        <is>
          <t>Compliant</t>
        </is>
      </c>
      <c r="D5" s="22" t="inlineStr">
        <is>
          <t>Partial</t>
        </is>
      </c>
      <c r="E5" s="22" t="inlineStr">
        <is>
          <t>Non-Compliant</t>
        </is>
      </c>
      <c r="F5" s="22" t="inlineStr">
        <is>
          <t>N/A</t>
        </is>
      </c>
      <c r="G5" s="22" t="inlineStr">
        <is>
          <t>Compliance %</t>
        </is>
      </c>
    </row>
    <row r="6">
      <c r="A6" s="23" t="inlineStr">
        <is>
          <t>Role-Function Validations</t>
        </is>
      </c>
      <c r="B6" s="24">
        <f>COUNTA('Validation Status'!A5:A54)</f>
        <v/>
      </c>
      <c r="C6" s="24">
        <f>COUNTIF('Validation Status'!H5:H54,"Validated")+COUNTIF('Validation Status'!H5:H54,"Remediated")</f>
        <v/>
      </c>
      <c r="D6" s="24">
        <f>COUNTIF('Validation Status'!H5:H54,"Deferred")</f>
        <v/>
      </c>
      <c r="E6" s="24">
        <f>COUNTIF('Validation Status'!H5:H54,"Requires Investigation")</f>
        <v/>
      </c>
      <c r="F6" s="24" t="n">
        <v>0</v>
      </c>
      <c r="G6" s="25">
        <f>IF((B6-F6)=0,0,C6/(B6-F6))</f>
        <v/>
      </c>
    </row>
    <row r="7">
      <c r="A7" s="23" t="inlineStr">
        <is>
          <t>Function Conflicts by Type</t>
        </is>
      </c>
      <c r="B7" s="24">
        <f>COUNTA('Function Conflicts'!A5:A54)</f>
        <v/>
      </c>
      <c r="C7" s="24">
        <f>COUNTIF('Function Conflicts'!D5:D54,"M")</f>
        <v/>
      </c>
      <c r="D7" s="24">
        <f>COUNTIF('Function Conflicts'!D5:D54,"C")</f>
        <v/>
      </c>
      <c r="E7" s="24">
        <f>COUNTIF('Function Conflicts'!D5:D54,"X")</f>
        <v/>
      </c>
      <c r="F7" s="24" t="n">
        <v>0</v>
      </c>
      <c r="G7" s="25">
        <f>IF((B7-F7)=0,0,C7/(B7-F7))</f>
        <v/>
      </c>
    </row>
    <row r="8">
      <c r="A8" s="26" t="inlineStr">
        <is>
          <t>TOTAL</t>
        </is>
      </c>
      <c r="B8" s="27">
        <f>SUM(B6:B7)</f>
        <v/>
      </c>
      <c r="C8" s="27">
        <f>SUM(C6:C7)</f>
        <v/>
      </c>
      <c r="D8" s="27">
        <f>SUM(D6:D7)</f>
        <v/>
      </c>
      <c r="E8" s="27">
        <f>SUM(E6:E7)</f>
        <v/>
      </c>
      <c r="F8" s="27">
        <f>SUM(F6:F7)</f>
        <v/>
      </c>
      <c r="G8" s="28">
        <f>IF((B8-F8)=0,0,C8/(B8-F8))</f>
        <v/>
      </c>
    </row>
    <row r="10">
      <c r="A10" s="21" t="inlineStr">
        <is>
          <t>TABLE 2: KEY METRICS</t>
        </is>
      </c>
      <c r="B10" s="19" t="n"/>
      <c r="C10" s="19" t="n"/>
      <c r="D10" s="19" t="n"/>
      <c r="E10" s="19" t="n"/>
      <c r="F10" s="19" t="n"/>
      <c r="G10" s="19" t="n"/>
    </row>
    <row r="11">
      <c r="A11" s="22" t="inlineStr">
        <is>
          <t>Metric</t>
        </is>
      </c>
      <c r="B11" s="22" t="inlineStr">
        <is>
          <t>Value</t>
        </is>
      </c>
      <c r="C11" s="22" t="n"/>
      <c r="D11" s="22" t="n"/>
      <c r="E11" s="22" t="n"/>
      <c r="F11" s="22" t="n"/>
      <c r="G11" s="22" t="n"/>
    </row>
    <row r="12">
      <c r="A12" s="23" t="inlineStr">
        <is>
          <t>SoD-sensitive functions catalogued</t>
        </is>
      </c>
      <c r="B12" s="24">
        <f>COUNTIF('Functions'!H5:H54,"Yes")</f>
        <v/>
      </c>
      <c r="C12" s="19" t="n"/>
      <c r="D12" s="19" t="n"/>
      <c r="E12" s="19" t="n"/>
      <c r="F12" s="19" t="n"/>
      <c r="G12" s="19" t="n"/>
    </row>
    <row r="13">
      <c r="A13" s="23" t="inlineStr">
        <is>
          <t>Critical risk functions</t>
        </is>
      </c>
      <c r="B13" s="24">
        <f>COUNTIF('Functions'!G5:G54,"Critical")</f>
        <v/>
      </c>
      <c r="C13" s="19" t="n"/>
      <c r="D13" s="19" t="n"/>
      <c r="E13" s="19" t="n"/>
      <c r="F13" s="19" t="n"/>
      <c r="G13" s="19" t="n"/>
    </row>
    <row r="14">
      <c r="A14" s="23" t="inlineStr">
        <is>
          <t>Hard function conflicts (X-type)</t>
        </is>
      </c>
      <c r="B14" s="24">
        <f>COUNTIF('Function Conflicts'!D5:D54,"X")</f>
        <v/>
      </c>
      <c r="C14" s="19" t="n"/>
      <c r="D14" s="19" t="n"/>
      <c r="E14" s="19" t="n"/>
      <c r="F14" s="19" t="n"/>
      <c r="G14" s="19" t="n"/>
    </row>
    <row r="15">
      <c r="A15" s="23" t="inlineStr">
        <is>
          <t>Critical hard function conflicts (X-type + Critical)</t>
        </is>
      </c>
      <c r="B15" s="24">
        <f>COUNTIFS('Function Conflicts'!D5:D54,"X",'Function Conflicts'!E5:E54,"Critical")</f>
        <v/>
      </c>
      <c r="C15" s="19" t="n"/>
      <c r="D15" s="19" t="n"/>
      <c r="E15" s="19" t="n"/>
      <c r="F15" s="19" t="n"/>
      <c r="G15" s="19" t="n"/>
    </row>
    <row r="16">
      <c r="A16" s="23" t="inlineStr">
        <is>
          <t>Emergency grant type assignments</t>
        </is>
      </c>
      <c r="B16" s="24">
        <f>COUNTIF('Role Function Map'!E5:E54,"Emergency")</f>
        <v/>
      </c>
      <c r="C16" s="19" t="n"/>
      <c r="D16" s="19" t="n"/>
      <c r="E16" s="19" t="n"/>
      <c r="F16" s="19" t="n"/>
      <c r="G16" s="19" t="n"/>
    </row>
    <row r="17">
      <c r="A17" s="23" t="inlineStr">
        <is>
          <t>Roles requiring investigation</t>
        </is>
      </c>
      <c r="B17" s="24">
        <f>COUNTIF('Validation Status'!H5:H54,"Requires Investigation")</f>
        <v/>
      </c>
      <c r="C17" s="19" t="n"/>
      <c r="D17" s="19" t="n"/>
      <c r="E17" s="19" t="n"/>
      <c r="F17" s="19" t="n"/>
      <c r="G17" s="19" t="n"/>
    </row>
    <row r="18">
      <c r="A18" s="23" t="inlineStr">
        <is>
          <t>Composite application roles (higher SoD risk)</t>
        </is>
      </c>
      <c r="B18" s="24">
        <f>COUNTIF('Application Roles'!D5:D54,"Composite")</f>
        <v/>
      </c>
      <c r="C18" s="19" t="n"/>
      <c r="D18" s="19" t="n"/>
      <c r="E18" s="19" t="n"/>
      <c r="F18" s="19" t="n"/>
      <c r="G18" s="19" t="n"/>
    </row>
    <row r="19">
      <c r="A19" s="23" t="inlineStr">
        <is>
          <t>Permission changes in audit log</t>
        </is>
      </c>
      <c r="B19" s="24">
        <f>COUNTA('Change Log'!A5:A54)</f>
        <v/>
      </c>
      <c r="C19" s="19" t="n"/>
      <c r="D19" s="19" t="n"/>
      <c r="E19" s="19" t="n"/>
      <c r="F19" s="19" t="n"/>
      <c r="G19" s="19" t="n"/>
    </row>
    <row r="20">
      <c r="A20" s="23" t="inlineStr">
        <is>
          <t>Permission additions in audit log</t>
        </is>
      </c>
      <c r="B20" s="24">
        <f>COUNTIF('Change Log'!D5:D54,"Permission Added")</f>
        <v/>
      </c>
      <c r="C20" s="19" t="n"/>
      <c r="D20" s="19" t="n"/>
      <c r="E20" s="19" t="n"/>
      <c r="F20" s="19" t="n"/>
      <c r="G20" s="19" t="n"/>
    </row>
    <row r="22">
      <c r="A22" s="29" t="inlineStr">
        <is>
          <t>TABLE 3: CRITICAL FINDINGS REQUIRING IMMEDIATE ATTENTION</t>
        </is>
      </c>
      <c r="B22" s="19" t="n"/>
      <c r="C22" s="19" t="n"/>
      <c r="D22" s="19" t="n"/>
      <c r="E22" s="19" t="n"/>
      <c r="F22" s="19" t="n"/>
      <c r="G22" s="19" t="n"/>
    </row>
    <row r="23">
      <c r="A23" s="22" t="inlineStr">
        <is>
          <t>Finding</t>
        </is>
      </c>
      <c r="B23" s="22" t="inlineStr">
        <is>
          <t>Count</t>
        </is>
      </c>
      <c r="C23" s="22" t="inlineStr">
        <is>
          <t>Action Required</t>
        </is>
      </c>
      <c r="D23" s="19" t="n"/>
      <c r="E23" s="19" t="n"/>
      <c r="F23" s="19" t="n"/>
      <c r="G23" s="19" t="n"/>
    </row>
    <row r="24">
      <c r="A24" s="30" t="inlineStr">
        <is>
          <t>Critical hard function conflicts (X-type, Critical risk)</t>
        </is>
      </c>
      <c r="B24" s="31">
        <f>COUNTIFS('Function Conflicts'!D5:D54,"X",'Function Conflicts'!E5:E54,"Critical")</f>
        <v/>
      </c>
      <c r="C24" s="30" t="inlineStr">
        <is>
          <t>Highest priority — view 'Function Conflicts' (filter: Conflict_Type=X, Risk_Level=Critical)</t>
        </is>
      </c>
      <c r="D24" s="19" t="n"/>
      <c r="E24" s="19" t="n"/>
      <c r="F24" s="19" t="n"/>
      <c r="G24" s="19" t="n"/>
    </row>
    <row r="25">
      <c r="A25" s="30" t="inlineStr">
        <is>
          <t>Roles requiring investigation (RBAC discrepancies)</t>
        </is>
      </c>
      <c r="B25" s="31">
        <f>COUNTIF('Validation Status'!H5:H54,"Requires Investigation")</f>
        <v/>
      </c>
      <c r="C25" s="30" t="inlineStr">
        <is>
          <t>Investigate discrepancies — view 'Validation Status' (filter: Status=Requires Investigation)</t>
        </is>
      </c>
      <c r="D25" s="19" t="n"/>
      <c r="E25" s="19" t="n"/>
      <c r="F25" s="19" t="n"/>
      <c r="G25" s="19" t="n"/>
    </row>
    <row r="26">
      <c r="A26" s="30" t="inlineStr">
        <is>
          <t>Emergency grant type assignments</t>
        </is>
      </c>
      <c r="B26" s="31">
        <f>COUNTIF('Role Function Map'!E5:E54,"Emergency")</f>
        <v/>
      </c>
      <c r="C26" s="30" t="inlineStr">
        <is>
          <t>Review emergency access — view 'Role Function Map' (filter: Grant_Type=Emergency)</t>
        </is>
      </c>
      <c r="D26" s="19" t="n"/>
      <c r="E26" s="19" t="n"/>
      <c r="F26" s="19" t="n"/>
      <c r="G26" s="19" t="n"/>
    </row>
    <row r="28">
      <c r="A28" s="3" t="inlineStr">
        <is>
          <t>FINAL DECISION:</t>
        </is>
      </c>
      <c r="B28" s="32" t="n"/>
      <c r="C28" s="19" t="n"/>
      <c r="D28" s="19" t="n"/>
      <c r="E28" s="19" t="n"/>
      <c r="F28" s="19" t="n"/>
      <c r="G28" s="19" t="n"/>
    </row>
    <row r="31">
      <c r="A31" s="33" t="inlineStr">
        <is>
          <t>NEXT REVIEW DETAILS</t>
        </is>
      </c>
      <c r="B31" s="19" t="n"/>
      <c r="C31" s="19" t="n"/>
      <c r="D31" s="19" t="n"/>
      <c r="E31" s="19" t="n"/>
      <c r="F31" s="19" t="n"/>
      <c r="G31" s="19" t="n"/>
    </row>
    <row r="32">
      <c r="A32" s="3" t="inlineStr">
        <is>
          <t>Next Review Date:</t>
        </is>
      </c>
      <c r="B32" s="32" t="n"/>
      <c r="C32" s="19" t="n"/>
      <c r="D32" s="19" t="n"/>
      <c r="E32" s="19" t="n"/>
      <c r="F32" s="19" t="n"/>
      <c r="G32" s="19" t="n"/>
    </row>
    <row r="33">
      <c r="A33" s="3" t="inlineStr">
        <is>
          <t>Review Responsible:</t>
        </is>
      </c>
      <c r="B33" s="32" t="n"/>
      <c r="C33" s="19" t="n"/>
      <c r="D33" s="19" t="n"/>
      <c r="E33" s="19" t="n"/>
      <c r="F33" s="19" t="n"/>
      <c r="G33" s="19" t="n"/>
    </row>
    <row r="34">
      <c r="A34" s="3" t="inlineStr">
        <is>
          <t>Special Considerations:</t>
        </is>
      </c>
      <c r="B34" s="32" t="n"/>
      <c r="C34" s="19" t="n"/>
      <c r="D34" s="19" t="n"/>
      <c r="E34" s="19" t="n"/>
      <c r="F34" s="19" t="n"/>
      <c r="G34" s="19" t="n"/>
    </row>
  </sheetData>
  <mergeCells count="14">
    <mergeCell ref="B34:G34"/>
    <mergeCell ref="A1:G1"/>
    <mergeCell ref="B28:G28"/>
    <mergeCell ref="B33:G33"/>
    <mergeCell ref="A31:G31"/>
    <mergeCell ref="C24:G24"/>
    <mergeCell ref="A22:G22"/>
    <mergeCell ref="A4:G4"/>
    <mergeCell ref="C25:G25"/>
    <mergeCell ref="B32:G32"/>
    <mergeCell ref="A2:G2"/>
    <mergeCell ref="C23:G23"/>
    <mergeCell ref="A10:G10"/>
    <mergeCell ref="C26:G26"/>
  </mergeCells>
  <dataValidations count="1">
    <dataValidation sqref="B28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4" t="inlineStr">
        <is>
          <t>ASSESSMENT APPROVAL AND SIGN-OFF</t>
        </is>
      </c>
      <c r="B1" s="6" t="n"/>
      <c r="C1" s="6" t="n"/>
      <c r="D1" s="6" t="n"/>
      <c r="E1" s="6" t="n"/>
    </row>
    <row r="2">
      <c r="A2" s="35" t="inlineStr">
        <is>
          <t>ISO/IEC 27001:2022 - Control A.5.3: Segregation of Duties</t>
        </is>
      </c>
      <c r="B2" s="6" t="n"/>
      <c r="C2" s="6" t="n"/>
      <c r="D2" s="6" t="n"/>
      <c r="E2" s="6" t="n"/>
    </row>
    <row r="3">
      <c r="A3" s="36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ISMS-IMP-A.5.3.3 - Role Function Mapping</t>
        </is>
      </c>
      <c r="C4" s="6" t="n"/>
      <c r="D4" s="6" t="n"/>
      <c r="E4" s="6" t="n"/>
    </row>
    <row r="5">
      <c r="A5" s="3" t="inlineStr">
        <is>
          <t>Assessment Period:</t>
        </is>
      </c>
      <c r="B5" s="17" t="inlineStr"/>
      <c r="C5" s="6" t="n"/>
      <c r="D5" s="6" t="n"/>
      <c r="E5" s="6" t="n"/>
    </row>
    <row r="6">
      <c r="A6" s="3" t="inlineStr">
        <is>
          <t>Overall Compliance Rating:</t>
        </is>
      </c>
      <c r="B6" s="37">
        <f>IFERROR(AVERAGE('Summary Dashboard'!G6:G7),"")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7" t="inlineStr"/>
      <c r="C7" s="6" t="n"/>
      <c r="D7" s="6" t="n"/>
      <c r="E7" s="6" t="n"/>
    </row>
    <row r="8">
      <c r="A8" s="3" t="inlineStr">
        <is>
          <t>Assessed By:</t>
        </is>
      </c>
      <c r="B8" s="17" t="inlineStr"/>
      <c r="C8" s="6" t="n"/>
      <c r="D8" s="6" t="n"/>
      <c r="E8" s="6" t="n"/>
    </row>
    <row r="11">
      <c r="A11" s="36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7" t="n"/>
      <c r="C12" s="6" t="n"/>
      <c r="D12" s="6" t="n"/>
      <c r="E12" s="6" t="n"/>
    </row>
    <row r="13">
      <c r="A13" s="3" t="inlineStr">
        <is>
          <t>Title:</t>
        </is>
      </c>
      <c r="B13" s="17" t="n"/>
      <c r="C13" s="6" t="n"/>
      <c r="D13" s="6" t="n"/>
      <c r="E13" s="6" t="n"/>
    </row>
    <row r="14">
      <c r="A14" s="3" t="inlineStr">
        <is>
          <t>Date:</t>
        </is>
      </c>
      <c r="B14" s="17" t="n"/>
      <c r="C14" s="6" t="n"/>
      <c r="D14" s="6" t="n"/>
      <c r="E14" s="6" t="n"/>
    </row>
    <row r="15">
      <c r="A15" s="3" t="inlineStr">
        <is>
          <t>Signature:</t>
        </is>
      </c>
      <c r="B15" s="17" t="n"/>
      <c r="C15" s="6" t="n"/>
      <c r="D15" s="6" t="n"/>
      <c r="E15" s="6" t="n"/>
    </row>
    <row r="16">
      <c r="A16" s="3" t="inlineStr">
        <is>
          <t>Comments:</t>
        </is>
      </c>
      <c r="B16" s="17" t="n"/>
      <c r="C16" s="6" t="n"/>
      <c r="D16" s="6" t="n"/>
      <c r="E16" s="6" t="n"/>
    </row>
    <row r="18">
      <c r="A18" s="36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7" t="n"/>
      <c r="C19" s="6" t="n"/>
      <c r="D19" s="6" t="n"/>
      <c r="E19" s="6" t="n"/>
    </row>
    <row r="20">
      <c r="A20" s="3" t="inlineStr">
        <is>
          <t>Title:</t>
        </is>
      </c>
      <c r="B20" s="17" t="n"/>
      <c r="C20" s="6" t="n"/>
      <c r="D20" s="6" t="n"/>
      <c r="E20" s="6" t="n"/>
    </row>
    <row r="21">
      <c r="A21" s="3" t="inlineStr">
        <is>
          <t>Date:</t>
        </is>
      </c>
      <c r="B21" s="17" t="n"/>
      <c r="C21" s="6" t="n"/>
      <c r="D21" s="6" t="n"/>
      <c r="E21" s="6" t="n"/>
    </row>
    <row r="22">
      <c r="A22" s="3" t="inlineStr">
        <is>
          <t>Signature:</t>
        </is>
      </c>
      <c r="B22" s="17" t="n"/>
      <c r="C22" s="6" t="n"/>
      <c r="D22" s="6" t="n"/>
      <c r="E22" s="6" t="n"/>
    </row>
    <row r="23">
      <c r="A23" s="3" t="inlineStr">
        <is>
          <t>Comments:</t>
        </is>
      </c>
      <c r="B23" s="17" t="n"/>
      <c r="C23" s="6" t="n"/>
      <c r="D23" s="6" t="n"/>
      <c r="E23" s="6" t="n"/>
    </row>
    <row r="25">
      <c r="A25" s="38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7" t="n"/>
      <c r="C26" s="6" t="n"/>
      <c r="D26" s="6" t="n"/>
      <c r="E26" s="6" t="n"/>
    </row>
    <row r="27">
      <c r="A27" s="3" t="inlineStr">
        <is>
          <t>Title:</t>
        </is>
      </c>
      <c r="B27" s="17" t="n"/>
      <c r="C27" s="6" t="n"/>
      <c r="D27" s="6" t="n"/>
      <c r="E27" s="6" t="n"/>
    </row>
    <row r="28">
      <c r="A28" s="3" t="inlineStr">
        <is>
          <t>Date:</t>
        </is>
      </c>
      <c r="B28" s="17" t="n"/>
      <c r="C28" s="6" t="n"/>
      <c r="D28" s="6" t="n"/>
      <c r="E28" s="6" t="n"/>
    </row>
    <row r="29">
      <c r="A29" s="3" t="inlineStr">
        <is>
          <t>Signature:</t>
        </is>
      </c>
      <c r="B29" s="17" t="n"/>
      <c r="C29" s="6" t="n"/>
      <c r="D29" s="6" t="n"/>
      <c r="E29" s="6" t="n"/>
    </row>
    <row r="30">
      <c r="A30" s="3" t="inlineStr">
        <is>
          <t>Comments:</t>
        </is>
      </c>
      <c r="B30" s="17" t="n"/>
      <c r="C30" s="6" t="n"/>
      <c r="D30" s="6" t="n"/>
      <c r="E30" s="6" t="n"/>
    </row>
    <row r="32">
      <c r="A32" s="3" t="inlineStr">
        <is>
          <t>FINAL DECISION:</t>
        </is>
      </c>
      <c r="B32" s="17" t="n"/>
      <c r="C32" s="6" t="n"/>
      <c r="D32" s="6" t="n"/>
      <c r="E32" s="6" t="n"/>
    </row>
    <row r="35">
      <c r="A35" s="36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7" t="n"/>
      <c r="C36" s="6" t="n"/>
      <c r="D36" s="6" t="n"/>
      <c r="E36" s="6" t="n"/>
    </row>
    <row r="37">
      <c r="A37" s="3" t="inlineStr">
        <is>
          <t>Review Responsible:</t>
        </is>
      </c>
      <c r="B37" s="17" t="n"/>
      <c r="C37" s="6" t="n"/>
      <c r="D37" s="6" t="n"/>
      <c r="E37" s="6" t="n"/>
    </row>
    <row r="38">
      <c r="A38" s="3" t="inlineStr">
        <is>
          <t>Special Considerations:</t>
        </is>
      </c>
      <c r="B38" s="17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ISMS-IMP-A.5.3.3 — Role Function Mapping</dc:title>
  <dc:description xmlns:dc="http://purl.org/dc/elements/1.1/">ISMS Implementation Workbook — ISMS-IMP-A.5.3.3</dc:description>
  <dc:subject xmlns:dc="http://purl.org/dc/elements/1.1/">ISO/IEC 27001:2022 — Control A.5.3: Segregation of Duties</dc:subject>
  <dcterms:created xmlns:dcterms="http://purl.org/dc/terms/" xmlns:xsi="http://www.w3.org/2001/XMLSchema-instance" xsi:type="dcterms:W3CDTF">2026-02-28T21:07:55Z</dcterms:created>
  <dcterms:modified xmlns:dcterms="http://purl.org/dc/terms/" xmlns:xsi="http://www.w3.org/2001/XMLSchema-instance" xsi:type="dcterms:W3CDTF">2026-02-28T21:07:56Z</dcterms:modified>
</cp:coreProperties>
</file>