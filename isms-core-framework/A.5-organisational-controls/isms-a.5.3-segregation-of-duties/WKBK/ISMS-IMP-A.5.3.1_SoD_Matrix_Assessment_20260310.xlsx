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ole Inventory" sheetId="2" state="visible" r:id="rId2"/>
    <sheet xmlns:r="http://schemas.openxmlformats.org/officeDocument/2006/relationships" name="Conflict Matrix" sheetId="3" state="visible" r:id="rId3"/>
    <sheet xmlns:r="http://schemas.openxmlformats.org/officeDocument/2006/relationships" name="Current Assignments" sheetId="4" state="visible" r:id="rId4"/>
    <sheet xmlns:r="http://schemas.openxmlformats.org/officeDocument/2006/relationships" name="Gap Analysis" sheetId="5" state="visible" r:id="rId5"/>
    <sheet xmlns:r="http://schemas.openxmlformats.org/officeDocument/2006/relationships" name="Remediation Tracker" sheetId="6" state="visible" r:id="rId6"/>
    <sheet xmlns:r="http://schemas.openxmlformats.org/officeDocument/2006/relationships" name="Exception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color rgb="00FFFFFF"/>
      <sz val="10"/>
    </font>
    <font>
      <b val="1"/>
      <color rgb="00003366"/>
      <sz val="11"/>
    </font>
    <font>
      <b val="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8" fillId="13" borderId="1" applyAlignment="1" pivotButton="0" quotePrefix="0" xfId="0">
      <alignment horizontal="center"/>
    </xf>
    <xf numFmtId="0" fontId="8" fillId="0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/>
    </xf>
    <xf numFmtId="164" fontId="12" fillId="0" borderId="2" applyAlignment="1" pivotButton="0" quotePrefix="0" xfId="0">
      <alignment horizontal="center"/>
    </xf>
    <xf numFmtId="0" fontId="11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/>
    </xf>
    <xf numFmtId="164" fontId="11" fillId="10" borderId="2" applyAlignment="1" pivotButton="0" quotePrefix="0" xfId="0">
      <alignment horizontal="center"/>
    </xf>
    <xf numFmtId="0" fontId="10" fillId="16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center"/>
    </xf>
    <xf numFmtId="0" fontId="0" fillId="12" borderId="2" pivotButton="0" quotePrefix="0" xfId="0"/>
    <xf numFmtId="0" fontId="10" fillId="9" borderId="2" pivotButton="0" quotePrefix="0" xfId="0"/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9" borderId="1" pivotButton="0" quotePrefix="0" xfId="0"/>
    <xf numFmtId="0" fontId="0" fillId="12" borderId="1" pivotButton="0" quotePrefix="0" xfId="0"/>
    <xf numFmtId="164" fontId="0" fillId="0" borderId="1" pivotButton="0" quotePrefix="0" xfId="0"/>
    <xf numFmtId="0" fontId="1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ISMS-IMP-A.5.3.1  -  SoD Matrix Assessment
ISO/IEC 27001:2022 - Control A.5.3: Segregation of Duties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ISMS-IMP-A.5.3.1</t>
        </is>
      </c>
    </row>
    <row r="5">
      <c r="A5" s="3" t="inlineStr">
        <is>
          <t>Workbook Title</t>
        </is>
      </c>
      <c r="B5" t="inlineStr">
        <is>
          <t>SoD Matrix Assessment</t>
        </is>
      </c>
    </row>
    <row r="6">
      <c r="A6" s="3" t="inlineStr">
        <is>
          <t>Control Reference</t>
        </is>
      </c>
      <c r="B6" t="inlineStr">
        <is>
          <t>ISO/IEC 27001:2022 - Control A.5.3: Segregation of Duties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Role Inventory — list all roles that handle sensitive functions or assets.</t>
        </is>
      </c>
    </row>
    <row r="14">
      <c r="A14" t="inlineStr">
        <is>
          <t>2. Build the Conflict Matrix — identify pairs of roles with conflicting duties.</t>
        </is>
      </c>
    </row>
    <row r="15">
      <c r="A15" t="inlineStr">
        <is>
          <t>3. Complete Current Assignments — map actual personnel to conflicting role pairs.</t>
        </is>
      </c>
    </row>
    <row r="16">
      <c r="A16" t="inlineStr">
        <is>
          <t>4. Review Gap Analysis — identify assignments that violate segregation requirements.</t>
        </is>
      </c>
    </row>
    <row r="17">
      <c r="A17" t="inlineStr">
        <is>
          <t>5. Document exceptions in Exception Register with compensating control justification.</t>
        </is>
      </c>
    </row>
    <row r="18">
      <c r="A18" t="inlineStr">
        <is>
          <t>6. Track remediation in Remediation Tracker with owners and target dates.</t>
        </is>
      </c>
    </row>
    <row r="19">
      <c r="A19" t="inlineStr">
        <is>
          <t>7. Maintain the Evidence Register with supporting documentation for all findings.</t>
        </is>
      </c>
    </row>
    <row r="20">
      <c r="A20" t="inlineStr">
        <is>
          <t>8. Obtain final approval and sign-off in the Approval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2" customWidth="1" min="5" max="5"/>
    <col width="40" customWidth="1" min="6" max="6"/>
    <col width="40" customWidth="1" min="7" max="7"/>
    <col width="30" customWidth="1" min="8" max="8"/>
    <col width="10" customWidth="1" min="9" max="9"/>
  </cols>
  <sheetData>
    <row r="1" ht="35" customHeight="1">
      <c r="A1" s="11" t="inlineStr">
        <is>
          <t>ROLE INVENTORY</t>
        </is>
      </c>
    </row>
    <row r="2">
      <c r="A2" s="12" t="inlineStr">
        <is>
          <t>ISO 27001:2022 | A.5.3 | Inventory of all roles subject to segregation of duties controls</t>
        </is>
      </c>
    </row>
    <row r="3">
      <c r="A3" s="13" t="inlineStr">
        <is>
          <t>Role ID</t>
        </is>
      </c>
      <c r="B3" s="13" t="inlineStr">
        <is>
          <t>Role Name</t>
        </is>
      </c>
      <c r="C3" s="13" t="inlineStr">
        <is>
          <t>Department</t>
        </is>
      </c>
      <c r="D3" s="13" t="inlineStr">
        <is>
          <t>Process Domain</t>
        </is>
      </c>
      <c r="E3" s="13" t="inlineStr">
        <is>
          <t>Risk Level</t>
        </is>
      </c>
      <c r="F3" s="13" t="inlineStr">
        <is>
          <t>Description</t>
        </is>
      </c>
      <c r="G3" s="13" t="inlineStr">
        <is>
          <t>Key Duties</t>
        </is>
      </c>
      <c r="H3" s="13" t="inlineStr">
        <is>
          <t>System Access</t>
        </is>
      </c>
      <c r="I3" s="13" t="inlineStr">
        <is>
          <t>Active</t>
        </is>
      </c>
    </row>
    <row r="4">
      <c r="A4" s="14" t="inlineStr">
        <is>
          <t>ROLE-FIN-001</t>
        </is>
      </c>
      <c r="B4" s="14" t="inlineStr">
        <is>
          <t>AP Clerk</t>
        </is>
      </c>
      <c r="C4" s="14" t="inlineStr">
        <is>
          <t>Finance</t>
        </is>
      </c>
      <c r="D4" s="14" t="inlineStr">
        <is>
          <t>Financial</t>
        </is>
      </c>
      <c r="E4" s="14" t="inlineStr">
        <is>
          <t>Medium</t>
        </is>
      </c>
      <c r="F4" s="14" t="inlineStr">
        <is>
          <t>Processes vendor invoices</t>
        </is>
      </c>
      <c r="G4" s="14" t="inlineStr">
        <is>
          <t>Invoice entry, payment prep</t>
        </is>
      </c>
      <c r="H4" s="14" t="inlineStr">
        <is>
          <t>SAP, Treasury</t>
        </is>
      </c>
      <c r="I4" s="14" t="inlineStr">
        <is>
          <t>Yes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4">
    <dataValidation sqref="C4:C200" showDropDown="0" showInputMessage="0" showErrorMessage="0" allowBlank="0" type="list">
      <formula1>"Executive,Finance,IT,Operations,HR,Legal,Sales,Marketing,Engineering,Support,Procurement,Security"</formula1>
    </dataValidation>
    <dataValidation sqref="D4:D200" showDropDown="0" showInputMessage="0" showErrorMessage="0" allowBlank="0" type="list">
      <formula1>"Financial,IT Operations,HR,Procurement,Security,Change Management,Other"</formula1>
    </dataValidation>
    <dataValidation sqref="E4:E200" showDropDown="0" showInputMessage="0" showErrorMessage="0" allowBlank="0" type="list">
      <formula1>"Critical,High,Medium,Low"</formula1>
    </dataValidation>
    <dataValidation sqref="I4:I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 ht="35" customHeight="1">
      <c r="A1" s="11" t="inlineStr">
        <is>
          <t>CONFLICT MATRIX</t>
        </is>
      </c>
    </row>
    <row r="2">
      <c r="A2" s="13" t="inlineStr">
        <is>
          <t>Role \ Role</t>
        </is>
      </c>
      <c r="B2" s="13" t="inlineStr">
        <is>
          <t>ROLE-FIN-001</t>
        </is>
      </c>
      <c r="C2" s="13" t="inlineStr">
        <is>
          <t>ROLE-FIN-002</t>
        </is>
      </c>
      <c r="D2" s="13" t="inlineStr">
        <is>
          <t>ROLE-FIN-003</t>
        </is>
      </c>
      <c r="E2" s="13" t="inlineStr">
        <is>
          <t>ROLE-IT-001</t>
        </is>
      </c>
      <c r="F2" s="13" t="inlineStr">
        <is>
          <t>ROLE-IT-002</t>
        </is>
      </c>
    </row>
    <row r="3">
      <c r="A3" s="13" t="inlineStr">
        <is>
          <t>ROLE-FIN-001</t>
        </is>
      </c>
      <c r="B3" s="16" t="inlineStr">
        <is>
          <t>-</t>
        </is>
      </c>
      <c r="C3" s="16" t="inlineStr">
        <is>
          <t>-</t>
        </is>
      </c>
      <c r="D3" s="17" t="inlineStr">
        <is>
          <t>X</t>
        </is>
      </c>
      <c r="E3" s="16" t="inlineStr">
        <is>
          <t>-</t>
        </is>
      </c>
      <c r="F3" s="16" t="inlineStr">
        <is>
          <t>-</t>
        </is>
      </c>
    </row>
    <row r="4">
      <c r="A4" s="13" t="inlineStr">
        <is>
          <t>ROLE-FIN-002</t>
        </is>
      </c>
      <c r="B4" s="16" t="inlineStr">
        <is>
          <t>-</t>
        </is>
      </c>
      <c r="C4" s="16" t="inlineStr">
        <is>
          <t>-</t>
        </is>
      </c>
      <c r="D4" s="17" t="inlineStr">
        <is>
          <t>X</t>
        </is>
      </c>
      <c r="E4" s="16" t="inlineStr">
        <is>
          <t>-</t>
        </is>
      </c>
      <c r="F4" s="16" t="inlineStr">
        <is>
          <t>-</t>
        </is>
      </c>
    </row>
    <row r="5">
      <c r="A5" s="13" t="inlineStr">
        <is>
          <t>ROLE-FIN-003</t>
        </is>
      </c>
      <c r="B5" s="17" t="inlineStr">
        <is>
          <t>X</t>
        </is>
      </c>
      <c r="C5" s="17" t="inlineStr">
        <is>
          <t>X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</row>
    <row r="6">
      <c r="A6" s="13" t="inlineStr">
        <is>
          <t>ROLE-IT-001</t>
        </is>
      </c>
      <c r="B6" s="16" t="inlineStr">
        <is>
          <t>-</t>
        </is>
      </c>
      <c r="C6" s="16" t="inlineStr">
        <is>
          <t>-</t>
        </is>
      </c>
      <c r="D6" s="16" t="inlineStr">
        <is>
          <t>-</t>
        </is>
      </c>
      <c r="E6" s="16" t="inlineStr">
        <is>
          <t>-</t>
        </is>
      </c>
      <c r="F6" s="17" t="inlineStr">
        <is>
          <t>X</t>
        </is>
      </c>
    </row>
    <row r="7">
      <c r="A7" s="13" t="inlineStr">
        <is>
          <t>ROLE-IT-002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7" t="inlineStr">
        <is>
          <t>X</t>
        </is>
      </c>
      <c r="F7" s="16" t="inlineStr">
        <is>
          <t>-</t>
        </is>
      </c>
    </row>
    <row r="11">
      <c r="A11" s="18" t="inlineStr">
        <is>
          <t>LEGEND:</t>
        </is>
      </c>
    </row>
    <row r="12">
      <c r="A12" s="19" t="inlineStr">
        <is>
          <t>X = Hard Conflict (never combine)</t>
        </is>
      </c>
    </row>
    <row r="13">
      <c r="A13" s="20" t="inlineStr">
        <is>
          <t>C = Conditional (compensating controls)</t>
        </is>
      </c>
    </row>
    <row r="14">
      <c r="A14" s="21" t="inlineStr">
        <is>
          <t>M = Monitoring Required</t>
        </is>
      </c>
    </row>
    <row r="15">
      <c r="A15" t="inlineStr">
        <is>
          <t>- = No Conflict</t>
        </is>
      </c>
    </row>
  </sheetData>
  <mergeCells count="1">
    <mergeCell ref="A1:F1"/>
  </mergeCells>
  <dataValidations count="1">
    <dataValidation sqref="B3:Z200" showDropDown="0" showInputMessage="0" showErrorMessage="0" allowBlank="0" type="list">
      <formula1>"X,C,M,-"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0" customWidth="1" min="4" max="4"/>
    <col width="50" customWidth="1" min="5" max="5"/>
    <col width="15" customWidth="1" min="6" max="6"/>
    <col width="15" customWidth="1" min="7" max="7"/>
    <col width="25" customWidth="1" min="8" max="8"/>
    <col width="30" customWidth="1" min="9" max="9"/>
  </cols>
  <sheetData>
    <row r="1" ht="35" customHeight="1">
      <c r="A1" s="11" t="inlineStr">
        <is>
          <t>CURRENT ASSIGNMENTS</t>
        </is>
      </c>
    </row>
    <row r="2">
      <c r="A2" s="12" t="inlineStr">
        <is>
          <t>ISO 27001:2022 | A.5.3 | Current role assignments by personnel for SoD conflict analysis</t>
        </is>
      </c>
    </row>
    <row r="3">
      <c r="A3" s="13" t="inlineStr">
        <is>
          <t>Person ID</t>
        </is>
      </c>
      <c r="B3" s="13" t="inlineStr">
        <is>
          <t>Name</t>
        </is>
      </c>
      <c r="C3" s="13" t="inlineStr">
        <is>
          <t>Department</t>
        </is>
      </c>
      <c r="D3" s="13" t="inlineStr">
        <is>
          <t>Primary Role</t>
        </is>
      </c>
      <c r="E3" s="13" t="inlineStr">
        <is>
          <t>Additional Roles</t>
        </is>
      </c>
      <c r="F3" s="13" t="inlineStr">
        <is>
          <t>Assignment Date</t>
        </is>
      </c>
      <c r="G3" s="13" t="inlineStr">
        <is>
          <t>Last Review</t>
        </is>
      </c>
      <c r="H3" s="13" t="inlineStr">
        <is>
          <t>Manager</t>
        </is>
      </c>
      <c r="I3" s="13" t="inlineStr">
        <is>
          <t>Notes</t>
        </is>
      </c>
    </row>
    <row r="4">
      <c r="A4" s="14" t="inlineStr">
        <is>
          <t>PERSON-001</t>
        </is>
      </c>
      <c r="B4" s="14" t="inlineStr">
        <is>
          <t>Jane Smith</t>
        </is>
      </c>
      <c r="C4" s="14" t="inlineStr">
        <is>
          <t>Finance</t>
        </is>
      </c>
      <c r="D4" s="14" t="inlineStr">
        <is>
          <t>AP Clerk</t>
        </is>
      </c>
      <c r="E4" s="14" t="inlineStr">
        <is>
          <t>ROLE-FIN-002</t>
        </is>
      </c>
      <c r="F4" s="14" t="inlineStr">
        <is>
          <t>01.01.2026</t>
        </is>
      </c>
      <c r="G4" s="14" t="inlineStr">
        <is>
          <t>01.01.2026</t>
        </is>
      </c>
      <c r="H4" s="14" t="inlineStr">
        <is>
          <t>J. Manager</t>
        </is>
      </c>
      <c r="I4" s="14" t="inlineStr">
        <is>
          <t>Primary AP role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1">
    <dataValidation sqref="C4:C200" showDropDown="0" showInputMessage="0" showErrorMessage="0" allowBlank="0" type="list">
      <formula1>"Executive,Finance,IT,Operations,HR,Legal,Sales,Marketing,Engineering,Support,Procurement,Security"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50" customWidth="1" min="4" max="4"/>
    <col width="12" customWidth="1" min="5" max="5"/>
    <col width="12" customWidth="1" min="6" max="6"/>
    <col width="15" customWidth="1" min="7" max="7"/>
    <col width="15" customWidth="1" min="8" max="8"/>
    <col width="40" customWidth="1" min="9" max="9"/>
  </cols>
  <sheetData>
    <row r="1" ht="35" customHeight="1">
      <c r="A1" s="11" t="inlineStr">
        <is>
          <t>GAP ANALYSIS</t>
        </is>
      </c>
    </row>
    <row r="2">
      <c r="A2" s="12" t="inlineStr">
        <is>
          <t>ISO 27001:2022 | A.5.3 | Identified SoD conflicts requiring remediation or formal exception</t>
        </is>
      </c>
    </row>
    <row r="3">
      <c r="A3" s="13" t="inlineStr">
        <is>
          <t>Gap ID</t>
        </is>
      </c>
      <c r="B3" s="13" t="inlineStr">
        <is>
          <t>Person ID</t>
        </is>
      </c>
      <c r="C3" s="13" t="inlineStr">
        <is>
          <t>Name</t>
        </is>
      </c>
      <c r="D3" s="13" t="inlineStr">
        <is>
          <t>Conflicting Roles</t>
        </is>
      </c>
      <c r="E3" s="13" t="inlineStr">
        <is>
          <t>Conflict Type</t>
        </is>
      </c>
      <c r="F3" s="13" t="inlineStr">
        <is>
          <t>Risk Level</t>
        </is>
      </c>
      <c r="G3" s="13" t="inlineStr">
        <is>
          <t>Identified Date</t>
        </is>
      </c>
      <c r="H3" s="13" t="inlineStr">
        <is>
          <t>Status</t>
        </is>
      </c>
      <c r="I3" s="13" t="inlineStr">
        <is>
          <t>Notes</t>
        </is>
      </c>
    </row>
    <row r="4">
      <c r="A4" s="14" t="inlineStr">
        <is>
          <t>GAP-001</t>
        </is>
      </c>
      <c r="B4" s="14" t="inlineStr">
        <is>
          <t>PERSON-001</t>
        </is>
      </c>
      <c r="C4" s="14" t="inlineStr">
        <is>
          <t>Jane Smith</t>
        </is>
      </c>
      <c r="D4" s="14" t="inlineStr">
        <is>
          <t>ROLE-FIN-001, ROLE-FIN-003</t>
        </is>
      </c>
      <c r="E4" s="14" t="inlineStr">
        <is>
          <t>X</t>
        </is>
      </c>
      <c r="F4" s="14" t="inlineStr">
        <is>
          <t>High</t>
        </is>
      </c>
      <c r="G4" s="14" t="inlineStr">
        <is>
          <t>01.01.2026</t>
        </is>
      </c>
      <c r="H4" s="14" t="inlineStr">
        <is>
          <t>Open</t>
        </is>
      </c>
      <c r="I4" s="14" t="inlineStr">
        <is>
          <t>Conflicts with treasury access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3">
    <dataValidation sqref="E4:E200" showDropDown="0" showInputMessage="0" showErrorMessage="0" allowBlank="0" type="list">
      <formula1>"X,C,M"</formula1>
    </dataValidation>
    <dataValidation sqref="F4:F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"Open,Mitigated,Resolved,Accepted"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50" customWidth="1" min="4" max="4"/>
    <col width="25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 ht="35" customHeight="1">
      <c r="A1" s="11" t="inlineStr">
        <is>
          <t>REMEDIATION TRACKER</t>
        </is>
      </c>
    </row>
    <row r="2">
      <c r="A2" s="12" t="inlineStr">
        <is>
          <t>ISO 27001:2022 | A.5.3 | Progress tracking for SoD conflict remediation actions</t>
        </is>
      </c>
    </row>
    <row r="3">
      <c r="A3" s="13" t="inlineStr">
        <is>
          <t>Remediation ID</t>
        </is>
      </c>
      <c r="B3" s="13" t="inlineStr">
        <is>
          <t>Gap ID</t>
        </is>
      </c>
      <c r="C3" s="13" t="inlineStr">
        <is>
          <t>Action Type</t>
        </is>
      </c>
      <c r="D3" s="13" t="inlineStr">
        <is>
          <t>Description</t>
        </is>
      </c>
      <c r="E3" s="13" t="inlineStr">
        <is>
          <t>Owner</t>
        </is>
      </c>
      <c r="F3" s="13" t="inlineStr">
        <is>
          <t>Target Date</t>
        </is>
      </c>
      <c r="G3" s="13" t="inlineStr">
        <is>
          <t>Status</t>
        </is>
      </c>
      <c r="H3" s="13" t="inlineStr">
        <is>
          <t>Completion Date</t>
        </is>
      </c>
      <c r="I3" s="13" t="inlineStr">
        <is>
          <t>Evidence Ref</t>
        </is>
      </c>
    </row>
    <row r="4">
      <c r="A4" s="14" t="inlineStr">
        <is>
          <t>REM-001</t>
        </is>
      </c>
      <c r="B4" s="14" t="inlineStr">
        <is>
          <t>GAP-001</t>
        </is>
      </c>
      <c r="C4" s="14" t="inlineStr">
        <is>
          <t>Role Removal</t>
        </is>
      </c>
      <c r="D4" s="14" t="inlineStr">
        <is>
          <t>Remove treasury role from Jane Smith</t>
        </is>
      </c>
      <c r="E4" s="14" t="inlineStr">
        <is>
          <t>IT Manager</t>
        </is>
      </c>
      <c r="F4" s="14" t="inlineStr">
        <is>
          <t>28.02.2026</t>
        </is>
      </c>
      <c r="G4" s="14" t="inlineStr">
        <is>
          <t>In Progress</t>
        </is>
      </c>
      <c r="H4" s="14" t="inlineStr"/>
      <c r="I4" s="14" t="inlineStr">
        <is>
          <t>JIRA-001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C4:C200" showDropDown="0" showInputMessage="0" showErrorMessage="0" allowBlank="0" type="list">
      <formula1>"Role Removal,Role Reassignment,Process Redesign,Compensating Control"</formula1>
    </dataValidation>
    <dataValidation sqref="G4:G200" showDropDown="0" showInputMessage="0" showErrorMessage="0" allowBlank="0" type="list">
      <formula1>"Not Started,In Progress,Completed,Cancelled"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6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35" customHeight="1">
      <c r="A1" s="11" t="inlineStr">
        <is>
          <t>EXCEPTION REGISTER</t>
        </is>
      </c>
    </row>
    <row r="2">
      <c r="A2" s="12" t="inlineStr">
        <is>
          <t>ISO 27001:2022 | A.5.3 | Approved exceptions to segregation of duties requirements</t>
        </is>
      </c>
    </row>
    <row r="3">
      <c r="A3" s="13" t="inlineStr">
        <is>
          <t>Exception ID</t>
        </is>
      </c>
      <c r="B3" s="13" t="inlineStr">
        <is>
          <t>Gap ID</t>
        </is>
      </c>
      <c r="C3" s="13" t="inlineStr">
        <is>
          <t>Justification</t>
        </is>
      </c>
      <c r="D3" s="13" t="inlineStr">
        <is>
          <t>Compensating Controls</t>
        </is>
      </c>
      <c r="E3" s="13" t="inlineStr">
        <is>
          <t>Risk Acceptance</t>
        </is>
      </c>
      <c r="F3" s="13" t="inlineStr">
        <is>
          <t>Approval Date</t>
        </is>
      </c>
      <c r="G3" s="13" t="inlineStr">
        <is>
          <t>Expiry Date</t>
        </is>
      </c>
      <c r="H3" s="13" t="inlineStr">
        <is>
          <t>Review Frequency</t>
        </is>
      </c>
      <c r="I3" s="13" t="inlineStr">
        <is>
          <t>Last Review</t>
        </is>
      </c>
      <c r="J3" s="13" t="inlineStr">
        <is>
          <t>Status</t>
        </is>
      </c>
    </row>
    <row r="4">
      <c r="A4" s="14" t="inlineStr">
        <is>
          <t>EXC-001</t>
        </is>
      </c>
      <c r="B4" s="14" t="inlineStr">
        <is>
          <t>GAP-001</t>
        </is>
      </c>
      <c r="C4" s="14" t="inlineStr">
        <is>
          <t>Business critical — single qualified staff</t>
        </is>
      </c>
      <c r="D4" s="14" t="inlineStr">
        <is>
          <t>Monthly reconciliation by Internal Audit</t>
        </is>
      </c>
      <c r="E4" s="14" t="inlineStr">
        <is>
          <t>Low — mitigated by audit controls</t>
        </is>
      </c>
      <c r="F4" s="14" t="inlineStr">
        <is>
          <t>01.01.2026</t>
        </is>
      </c>
      <c r="G4" s="14" t="inlineStr">
        <is>
          <t>31.12.2026</t>
        </is>
      </c>
      <c r="H4" s="14" t="inlineStr">
        <is>
          <t>Quarterly</t>
        </is>
      </c>
      <c r="I4" s="14" t="inlineStr">
        <is>
          <t>01.01.2026</t>
        </is>
      </c>
      <c r="J4" s="14" t="inlineStr">
        <is>
          <t>Active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2">
    <dataValidation sqref="H4:H200" showDropDown="0" showInputMessage="0" showErrorMessage="0" allowBlank="0" type="list">
      <formula1>"Monthly,Quarterly,Semi-Annual,Annual"</formula1>
    </dataValidation>
    <dataValidation sqref="J4:J200" showDropDown="0" showInputMessage="0" showErrorMessage="0" allowBlank="0" type="list">
      <formula1>"Active,Expired,Revoked"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2" t="inlineStr">
        <is>
          <t>SOD MATRIX ASSESSMENT — SUMMARY DASHBOARD</t>
        </is>
      </c>
      <c r="B1" s="23" t="n"/>
      <c r="C1" s="23" t="n"/>
      <c r="D1" s="23" t="n"/>
      <c r="E1" s="23" t="n"/>
      <c r="F1" s="23" t="n"/>
      <c r="G1" s="23" t="n"/>
    </row>
    <row r="2">
      <c r="A2" s="24" t="inlineStr">
        <is>
          <t>ISO/IEC 27001:2022 — Control A.5.3: Segregation of Duties | SoD Matrix Assessment</t>
        </is>
      </c>
      <c r="B2" s="23" t="n"/>
      <c r="C2" s="23" t="n"/>
      <c r="D2" s="23" t="n"/>
      <c r="E2" s="23" t="n"/>
      <c r="F2" s="23" t="n"/>
      <c r="G2" s="23" t="n"/>
    </row>
    <row r="4">
      <c r="A4" s="25" t="inlineStr">
        <is>
          <t>TABLE 1: ASSESSMENT AREA COMPLIANCE OVERVIEW</t>
        </is>
      </c>
      <c r="B4" s="23" t="n"/>
      <c r="C4" s="23" t="n"/>
      <c r="D4" s="23" t="n"/>
      <c r="E4" s="23" t="n"/>
      <c r="F4" s="23" t="n"/>
      <c r="G4" s="23" t="n"/>
    </row>
    <row r="5">
      <c r="A5" s="26" t="inlineStr">
        <is>
          <t>Assessment Area</t>
        </is>
      </c>
      <c r="B5" s="26" t="inlineStr">
        <is>
          <t>Total Items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N/A</t>
        </is>
      </c>
      <c r="G5" s="26" t="inlineStr">
        <is>
          <t>Compliance %</t>
        </is>
      </c>
    </row>
    <row r="6">
      <c r="A6" s="27" t="inlineStr">
        <is>
          <t>SoD Gaps</t>
        </is>
      </c>
      <c r="B6" s="28">
        <f>COUNTA('Gap Analysis'!A5:A54)</f>
        <v/>
      </c>
      <c r="C6" s="28">
        <f>COUNTIF('Gap Analysis'!H5:H54,"Resolved")+COUNTIF('Gap Analysis'!H5:H54,"Accepted")</f>
        <v/>
      </c>
      <c r="D6" s="28">
        <f>COUNTIF('Gap Analysis'!H5:H54,"Mitigated")</f>
        <v/>
      </c>
      <c r="E6" s="28">
        <f>COUNTIF('Gap Analysis'!H5:H54,"Open")</f>
        <v/>
      </c>
      <c r="F6" s="28" t="n">
        <v>0</v>
      </c>
      <c r="G6" s="29">
        <f>IF((B6-F6)=0,0,C6/(B6-F6))</f>
        <v/>
      </c>
    </row>
    <row r="7">
      <c r="A7" s="27" t="inlineStr">
        <is>
          <t>Remediation Actions</t>
        </is>
      </c>
      <c r="B7" s="28">
        <f>COUNTA('Remediation Tracker'!A5:A54)</f>
        <v/>
      </c>
      <c r="C7" s="28">
        <f>COUNTIF('Remediation Tracker'!G5:G54,"Completed")</f>
        <v/>
      </c>
      <c r="D7" s="28">
        <f>COUNTIF('Remediation Tracker'!G5:G54,"In Progress")</f>
        <v/>
      </c>
      <c r="E7" s="28">
        <f>COUNTIF('Remediation Tracker'!G5:G54,"Not Started")+COUNTIF('Remediation Tracker'!G5:G54,"Cancelled")</f>
        <v/>
      </c>
      <c r="F7" s="28" t="n">
        <v>0</v>
      </c>
      <c r="G7" s="29">
        <f>IF((B7-F7)=0,0,C7/(B7-F7))</f>
        <v/>
      </c>
    </row>
    <row r="8">
      <c r="A8" s="27" t="inlineStr">
        <is>
          <t>Exceptions</t>
        </is>
      </c>
      <c r="B8" s="28">
        <f>COUNTA('Exception Register'!A5:A54)</f>
        <v/>
      </c>
      <c r="C8" s="28">
        <f>COUNTIF('Exception Register'!J5:J54,"Active")</f>
        <v/>
      </c>
      <c r="D8" s="28">
        <f>COUNTIF('Exception Register'!J5:J54,"Revoked")</f>
        <v/>
      </c>
      <c r="E8" s="28">
        <f>COUNTIF('Exception Register'!J5:J54,"Expired")</f>
        <v/>
      </c>
      <c r="F8" s="28" t="n">
        <v>0</v>
      </c>
      <c r="G8" s="29">
        <f>IF((B8-F8)=0,0,C8/(B8-F8))</f>
        <v/>
      </c>
    </row>
    <row r="9">
      <c r="A9" s="30" t="inlineStr">
        <is>
          <t>TOTAL</t>
        </is>
      </c>
      <c r="B9" s="31">
        <f>SUM(B6:B8)</f>
        <v/>
      </c>
      <c r="C9" s="31">
        <f>SUM(C6:C8)</f>
        <v/>
      </c>
      <c r="D9" s="31">
        <f>SUM(D6:D8)</f>
        <v/>
      </c>
      <c r="E9" s="31">
        <f>SUM(E6:E8)</f>
        <v/>
      </c>
      <c r="F9" s="31">
        <f>SUM(F6:F8)</f>
        <v/>
      </c>
      <c r="G9" s="32">
        <f>IF((B9-F9)=0,0,C9/(B9-F9))</f>
        <v/>
      </c>
    </row>
    <row r="11">
      <c r="A11" s="25" t="inlineStr">
        <is>
          <t>TABLE 2: KEY METRICS</t>
        </is>
      </c>
      <c r="B11" s="23" t="n"/>
      <c r="C11" s="23" t="n"/>
      <c r="D11" s="23" t="n"/>
      <c r="E11" s="23" t="n"/>
      <c r="F11" s="23" t="n"/>
      <c r="G11" s="23" t="n"/>
    </row>
    <row r="12">
      <c r="A12" s="26" t="inlineStr">
        <is>
          <t>Metric</t>
        </is>
      </c>
      <c r="B12" s="26" t="inlineStr">
        <is>
          <t>Value</t>
        </is>
      </c>
      <c r="C12" s="26" t="n"/>
      <c r="D12" s="26" t="n"/>
      <c r="E12" s="26" t="n"/>
      <c r="F12" s="26" t="n"/>
      <c r="G12" s="26" t="n"/>
    </row>
    <row r="13">
      <c r="A13" s="27" t="inlineStr">
        <is>
          <t>Hard conflicts (X-type) identified</t>
        </is>
      </c>
      <c r="B13" s="28">
        <f>COUNTIF('Gap Analysis'!E5:E54,"X")</f>
        <v/>
      </c>
      <c r="C13" s="23" t="n"/>
      <c r="D13" s="23" t="n"/>
      <c r="E13" s="23" t="n"/>
      <c r="F13" s="23" t="n"/>
      <c r="G13" s="23" t="n"/>
    </row>
    <row r="14">
      <c r="A14" s="27" t="inlineStr">
        <is>
          <t>Open hard conflicts requiring action</t>
        </is>
      </c>
      <c r="B14" s="28">
        <f>COUNTIFS('Gap Analysis'!E5:E54,"X",'Gap Analysis'!H5:H54,"Open")</f>
        <v/>
      </c>
      <c r="C14" s="23" t="n"/>
      <c r="D14" s="23" t="n"/>
      <c r="E14" s="23" t="n"/>
      <c r="F14" s="23" t="n"/>
      <c r="G14" s="23" t="n"/>
    </row>
    <row r="15">
      <c r="A15" s="27" t="inlineStr">
        <is>
          <t>Critical risk gaps</t>
        </is>
      </c>
      <c r="B15" s="28">
        <f>COUNTIF('Gap Analysis'!F5:F54,"Critical")</f>
        <v/>
      </c>
      <c r="C15" s="23" t="n"/>
      <c r="D15" s="23" t="n"/>
      <c r="E15" s="23" t="n"/>
      <c r="F15" s="23" t="n"/>
      <c r="G15" s="23" t="n"/>
    </row>
    <row r="16">
      <c r="A16" s="27" t="inlineStr">
        <is>
          <t>High risk gaps</t>
        </is>
      </c>
      <c r="B16" s="28">
        <f>COUNTIF('Gap Analysis'!F5:F54,"High")</f>
        <v/>
      </c>
      <c r="C16" s="23" t="n"/>
      <c r="D16" s="23" t="n"/>
      <c r="E16" s="23" t="n"/>
      <c r="F16" s="23" t="n"/>
      <c r="G16" s="23" t="n"/>
    </row>
    <row r="17">
      <c r="A17" s="27" t="inlineStr">
        <is>
          <t>Conditional conflicts (C-type) requiring controls</t>
        </is>
      </c>
      <c r="B17" s="28">
        <f>COUNTIF('Gap Analysis'!E5:E54,"C")</f>
        <v/>
      </c>
      <c r="C17" s="23" t="n"/>
      <c r="D17" s="23" t="n"/>
      <c r="E17" s="23" t="n"/>
      <c r="F17" s="23" t="n"/>
      <c r="G17" s="23" t="n"/>
    </row>
    <row r="18">
      <c r="A18" s="27" t="inlineStr">
        <is>
          <t>Remediations not yet started</t>
        </is>
      </c>
      <c r="B18" s="28">
        <f>COUNTIF('Remediation Tracker'!G5:G54,"Not Started")</f>
        <v/>
      </c>
      <c r="C18" s="23" t="n"/>
      <c r="D18" s="23" t="n"/>
      <c r="E18" s="23" t="n"/>
      <c r="F18" s="23" t="n"/>
      <c r="G18" s="23" t="n"/>
    </row>
    <row r="19">
      <c r="A19" s="27" t="inlineStr">
        <is>
          <t>Remediations in progress</t>
        </is>
      </c>
      <c r="B19" s="28">
        <f>COUNTIF('Remediation Tracker'!G5:G54,"In Progress")</f>
        <v/>
      </c>
      <c r="C19" s="23" t="n"/>
      <c r="D19" s="23" t="n"/>
      <c r="E19" s="23" t="n"/>
      <c r="F19" s="23" t="n"/>
      <c r="G19" s="23" t="n"/>
    </row>
    <row r="20">
      <c r="A20" s="27" t="inlineStr">
        <is>
          <t>Expired exceptions requiring renewal</t>
        </is>
      </c>
      <c r="B20" s="28">
        <f>COUNTIF('Exception Register'!J5:J54,"Expired")</f>
        <v/>
      </c>
      <c r="C20" s="23" t="n"/>
      <c r="D20" s="23" t="n"/>
      <c r="E20" s="23" t="n"/>
      <c r="F20" s="23" t="n"/>
      <c r="G20" s="23" t="n"/>
    </row>
    <row r="21">
      <c r="A21" s="27" t="inlineStr">
        <is>
          <t>Critical risk roles in inventory</t>
        </is>
      </c>
      <c r="B21" s="28">
        <f>COUNTIF('Role Inventory'!E5:E54,"Critical")</f>
        <v/>
      </c>
      <c r="C21" s="23" t="n"/>
      <c r="D21" s="23" t="n"/>
      <c r="E21" s="23" t="n"/>
      <c r="F21" s="23" t="n"/>
      <c r="G21" s="23" t="n"/>
    </row>
    <row r="22">
      <c r="A22" s="27" t="inlineStr">
        <is>
          <t>Total roles in scope</t>
        </is>
      </c>
      <c r="B22" s="28">
        <f>COUNTA('Role Inventory'!A5:A54)</f>
        <v/>
      </c>
      <c r="C22" s="23" t="n"/>
      <c r="D22" s="23" t="n"/>
      <c r="E22" s="23" t="n"/>
      <c r="F22" s="23" t="n"/>
      <c r="G22" s="23" t="n"/>
    </row>
    <row r="23">
      <c r="A23" s="27" t="inlineStr">
        <is>
          <t>Total persons reviewed</t>
        </is>
      </c>
      <c r="B23" s="28">
        <f>COUNTA('Current Assignments'!A5:A54)</f>
        <v/>
      </c>
      <c r="C23" s="23" t="n"/>
      <c r="D23" s="23" t="n"/>
      <c r="E23" s="23" t="n"/>
      <c r="F23" s="23" t="n"/>
      <c r="G23" s="23" t="n"/>
    </row>
    <row r="25">
      <c r="A25" s="33" t="inlineStr">
        <is>
          <t>TABLE 3: CRITICAL FINDINGS REQUIRING IMMEDIATE ATTENTION</t>
        </is>
      </c>
      <c r="B25" s="23" t="n"/>
      <c r="C25" s="23" t="n"/>
      <c r="D25" s="23" t="n"/>
      <c r="E25" s="23" t="n"/>
      <c r="F25" s="23" t="n"/>
      <c r="G25" s="23" t="n"/>
    </row>
    <row r="26">
      <c r="A26" s="26" t="inlineStr">
        <is>
          <t>Finding</t>
        </is>
      </c>
      <c r="B26" s="26" t="inlineStr">
        <is>
          <t>Count</t>
        </is>
      </c>
      <c r="C26" s="26" t="inlineStr">
        <is>
          <t>Action Required</t>
        </is>
      </c>
      <c r="D26" s="23" t="n"/>
      <c r="E26" s="23" t="n"/>
      <c r="F26" s="23" t="n"/>
      <c r="G26" s="23" t="n"/>
    </row>
    <row r="27">
      <c r="A27" s="34" t="inlineStr">
        <is>
          <t>Open hard conflicts (X-type, Status=Open)</t>
        </is>
      </c>
      <c r="B27" s="35">
        <f>COUNTIFS('Gap Analysis'!E5:E54,"X",'Gap Analysis'!H5:H54,"Open")</f>
        <v/>
      </c>
      <c r="C27" s="34" t="inlineStr">
        <is>
          <t>Immediate escalation required — view 'Gap Analysis' (filter: Conflict_Type=X, Status=Open)</t>
        </is>
      </c>
      <c r="D27" s="23" t="n"/>
      <c r="E27" s="23" t="n"/>
      <c r="F27" s="23" t="n"/>
      <c r="G27" s="23" t="n"/>
    </row>
    <row r="28">
      <c r="A28" s="34" t="inlineStr">
        <is>
          <t>Expired exceptions with no renewal</t>
        </is>
      </c>
      <c r="B28" s="35">
        <f>COUNTIF('Exception Register'!J5:J54,"Expired")</f>
        <v/>
      </c>
      <c r="C28" s="34" t="inlineStr">
        <is>
          <t>Renew or remove — view 'Exception Register' (filter: Status=Expired)</t>
        </is>
      </c>
      <c r="D28" s="23" t="n"/>
      <c r="E28" s="23" t="n"/>
      <c r="F28" s="23" t="n"/>
      <c r="G28" s="23" t="n"/>
    </row>
    <row r="29">
      <c r="A29" s="34" t="inlineStr">
        <is>
          <t>Critical risk gaps still open</t>
        </is>
      </c>
      <c r="B29" s="35">
        <f>COUNTIFS('Gap Analysis'!F5:F54,"Critical",'Gap Analysis'!H5:H54,"Open")</f>
        <v/>
      </c>
      <c r="C29" s="34" t="inlineStr">
        <is>
          <t>Risk acceptance required — view 'Gap Analysis' (filter: Risk_Level=Critical, Status=Open)</t>
        </is>
      </c>
      <c r="D29" s="23" t="n"/>
      <c r="E29" s="23" t="n"/>
      <c r="F29" s="23" t="n"/>
      <c r="G29" s="23" t="n"/>
    </row>
    <row r="31">
      <c r="A31" s="3" t="inlineStr">
        <is>
          <t>FINAL DECISION:</t>
        </is>
      </c>
      <c r="B31" s="36" t="n"/>
      <c r="C31" s="23" t="n"/>
      <c r="D31" s="23" t="n"/>
      <c r="E31" s="23" t="n"/>
      <c r="F31" s="23" t="n"/>
      <c r="G31" s="23" t="n"/>
    </row>
    <row r="34">
      <c r="A34" s="37" t="inlineStr">
        <is>
          <t>NEXT REVIEW DETAILS</t>
        </is>
      </c>
      <c r="B34" s="23" t="n"/>
      <c r="C34" s="23" t="n"/>
      <c r="D34" s="23" t="n"/>
      <c r="E34" s="23" t="n"/>
      <c r="F34" s="23" t="n"/>
      <c r="G34" s="23" t="n"/>
    </row>
    <row r="35">
      <c r="A35" s="3" t="inlineStr">
        <is>
          <t>Next Review Date:</t>
        </is>
      </c>
      <c r="B35" s="36" t="n"/>
      <c r="C35" s="23" t="n"/>
      <c r="D35" s="23" t="n"/>
      <c r="E35" s="23" t="n"/>
      <c r="F35" s="23" t="n"/>
      <c r="G35" s="23" t="n"/>
    </row>
    <row r="36">
      <c r="A36" s="3" t="inlineStr">
        <is>
          <t>Review Responsible:</t>
        </is>
      </c>
      <c r="B36" s="36" t="n"/>
      <c r="C36" s="23" t="n"/>
      <c r="D36" s="23" t="n"/>
      <c r="E36" s="23" t="n"/>
      <c r="F36" s="23" t="n"/>
      <c r="G36" s="23" t="n"/>
    </row>
    <row r="37">
      <c r="A37" s="3" t="inlineStr">
        <is>
          <t>Special Considerations:</t>
        </is>
      </c>
      <c r="B37" s="36" t="n"/>
      <c r="C37" s="23" t="n"/>
      <c r="D37" s="23" t="n"/>
      <c r="E37" s="23" t="n"/>
      <c r="F37" s="23" t="n"/>
      <c r="G37" s="23" t="n"/>
    </row>
  </sheetData>
  <mergeCells count="14">
    <mergeCell ref="C29:G29"/>
    <mergeCell ref="A1:G1"/>
    <mergeCell ref="B36:G36"/>
    <mergeCell ref="B37:G37"/>
    <mergeCell ref="B31:G31"/>
    <mergeCell ref="A34:G34"/>
    <mergeCell ref="A4:G4"/>
    <mergeCell ref="C28:G28"/>
    <mergeCell ref="C27:G27"/>
    <mergeCell ref="B35:G35"/>
    <mergeCell ref="A2:G2"/>
    <mergeCell ref="A25:G25"/>
    <mergeCell ref="A11:G11"/>
    <mergeCell ref="C26:G26"/>
  </mergeCells>
  <dataValidations count="1"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8" t="inlineStr">
        <is>
          <t>ASSESSMENT APPROVAL AND SIGN-OFF</t>
        </is>
      </c>
      <c r="B1" s="6" t="n"/>
      <c r="C1" s="6" t="n"/>
      <c r="D1" s="6" t="n"/>
      <c r="E1" s="6" t="n"/>
    </row>
    <row r="2">
      <c r="A2" s="39" t="inlineStr">
        <is>
          <t>ISO/IEC 27001:2022 - Control A.5.3: Segregation of Duties</t>
        </is>
      </c>
      <c r="B2" s="6" t="n"/>
      <c r="C2" s="6" t="n"/>
      <c r="D2" s="6" t="n"/>
      <c r="E2" s="6" t="n"/>
    </row>
    <row r="3">
      <c r="A3" s="4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ISMS-IMP-A.5.3.1 - SoD Matrix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41" t="inlineStr"/>
      <c r="C5" s="6" t="n"/>
      <c r="D5" s="6" t="n"/>
      <c r="E5" s="6" t="n"/>
    </row>
    <row r="6">
      <c r="A6" s="3" t="inlineStr">
        <is>
          <t>Overall Compliance Rating:</t>
        </is>
      </c>
      <c r="B6" s="42">
        <f>IFERROR(AVERAGE('Summary Dashboard'!G6:G8),"")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41" t="inlineStr"/>
      <c r="C7" s="6" t="n"/>
      <c r="D7" s="6" t="n"/>
      <c r="E7" s="6" t="n"/>
    </row>
    <row r="8">
      <c r="A8" s="3" t="inlineStr">
        <is>
          <t>Assessed By:</t>
        </is>
      </c>
      <c r="B8" s="41" t="inlineStr"/>
      <c r="C8" s="6" t="n"/>
      <c r="D8" s="6" t="n"/>
      <c r="E8" s="6" t="n"/>
    </row>
    <row r="11">
      <c r="A11" s="4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41" t="n"/>
      <c r="C12" s="6" t="n"/>
      <c r="D12" s="6" t="n"/>
      <c r="E12" s="6" t="n"/>
    </row>
    <row r="13">
      <c r="A13" s="3" t="inlineStr">
        <is>
          <t>Title:</t>
        </is>
      </c>
      <c r="B13" s="41" t="n"/>
      <c r="C13" s="6" t="n"/>
      <c r="D13" s="6" t="n"/>
      <c r="E13" s="6" t="n"/>
    </row>
    <row r="14">
      <c r="A14" s="3" t="inlineStr">
        <is>
          <t>Date:</t>
        </is>
      </c>
      <c r="B14" s="41" t="n"/>
      <c r="C14" s="6" t="n"/>
      <c r="D14" s="6" t="n"/>
      <c r="E14" s="6" t="n"/>
    </row>
    <row r="15">
      <c r="A15" s="3" t="inlineStr">
        <is>
          <t>Signature:</t>
        </is>
      </c>
      <c r="B15" s="41" t="n"/>
      <c r="C15" s="6" t="n"/>
      <c r="D15" s="6" t="n"/>
      <c r="E15" s="6" t="n"/>
    </row>
    <row r="16">
      <c r="A16" s="3" t="inlineStr">
        <is>
          <t>Comments:</t>
        </is>
      </c>
      <c r="B16" s="41" t="n"/>
      <c r="C16" s="6" t="n"/>
      <c r="D16" s="6" t="n"/>
      <c r="E16" s="6" t="n"/>
    </row>
    <row r="18">
      <c r="A18" s="4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41" t="n"/>
      <c r="C19" s="6" t="n"/>
      <c r="D19" s="6" t="n"/>
      <c r="E19" s="6" t="n"/>
    </row>
    <row r="20">
      <c r="A20" s="3" t="inlineStr">
        <is>
          <t>Title:</t>
        </is>
      </c>
      <c r="B20" s="41" t="n"/>
      <c r="C20" s="6" t="n"/>
      <c r="D20" s="6" t="n"/>
      <c r="E20" s="6" t="n"/>
    </row>
    <row r="21">
      <c r="A21" s="3" t="inlineStr">
        <is>
          <t>Date:</t>
        </is>
      </c>
      <c r="B21" s="41" t="n"/>
      <c r="C21" s="6" t="n"/>
      <c r="D21" s="6" t="n"/>
      <c r="E21" s="6" t="n"/>
    </row>
    <row r="22">
      <c r="A22" s="3" t="inlineStr">
        <is>
          <t>Signature:</t>
        </is>
      </c>
      <c r="B22" s="41" t="n"/>
      <c r="C22" s="6" t="n"/>
      <c r="D22" s="6" t="n"/>
      <c r="E22" s="6" t="n"/>
    </row>
    <row r="23">
      <c r="A23" s="3" t="inlineStr">
        <is>
          <t>Comments:</t>
        </is>
      </c>
      <c r="B23" s="41" t="n"/>
      <c r="C23" s="6" t="n"/>
      <c r="D23" s="6" t="n"/>
      <c r="E23" s="6" t="n"/>
    </row>
    <row r="25">
      <c r="A25" s="4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41" t="n"/>
      <c r="C26" s="6" t="n"/>
      <c r="D26" s="6" t="n"/>
      <c r="E26" s="6" t="n"/>
    </row>
    <row r="27">
      <c r="A27" s="3" t="inlineStr">
        <is>
          <t>Title:</t>
        </is>
      </c>
      <c r="B27" s="41" t="n"/>
      <c r="C27" s="6" t="n"/>
      <c r="D27" s="6" t="n"/>
      <c r="E27" s="6" t="n"/>
    </row>
    <row r="28">
      <c r="A28" s="3" t="inlineStr">
        <is>
          <t>Date:</t>
        </is>
      </c>
      <c r="B28" s="41" t="n"/>
      <c r="C28" s="6" t="n"/>
      <c r="D28" s="6" t="n"/>
      <c r="E28" s="6" t="n"/>
    </row>
    <row r="29">
      <c r="A29" s="3" t="inlineStr">
        <is>
          <t>Signature:</t>
        </is>
      </c>
      <c r="B29" s="41" t="n"/>
      <c r="C29" s="6" t="n"/>
      <c r="D29" s="6" t="n"/>
      <c r="E29" s="6" t="n"/>
    </row>
    <row r="30">
      <c r="A30" s="3" t="inlineStr">
        <is>
          <t>Comments:</t>
        </is>
      </c>
      <c r="B30" s="41" t="n"/>
      <c r="C30" s="6" t="n"/>
      <c r="D30" s="6" t="n"/>
      <c r="E30" s="6" t="n"/>
    </row>
    <row r="32">
      <c r="A32" s="3" t="inlineStr">
        <is>
          <t>FINAL DECISION:</t>
        </is>
      </c>
      <c r="B32" s="41" t="n"/>
      <c r="C32" s="6" t="n"/>
      <c r="D32" s="6" t="n"/>
      <c r="E32" s="6" t="n"/>
    </row>
    <row r="35">
      <c r="A35" s="4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41" t="n"/>
      <c r="C36" s="6" t="n"/>
      <c r="D36" s="6" t="n"/>
      <c r="E36" s="6" t="n"/>
    </row>
    <row r="37">
      <c r="A37" s="3" t="inlineStr">
        <is>
          <t>Review Responsible:</t>
        </is>
      </c>
      <c r="B37" s="41" t="n"/>
      <c r="C37" s="6" t="n"/>
      <c r="D37" s="6" t="n"/>
      <c r="E37" s="6" t="n"/>
    </row>
    <row r="38">
      <c r="A38" s="3" t="inlineStr">
        <is>
          <t>Special Considerations:</t>
        </is>
      </c>
      <c r="B38" s="41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ISMS-IMP-A.5.3.1 — SoD Matrix Assessment</dc:title>
  <dc:description xmlns:dc="http://purl.org/dc/elements/1.1/">ISMS Implementation Workbook — ISMS-IMP-A.5.3.1</dc:description>
  <dc:subject xmlns:dc="http://purl.org/dc/elements/1.1/">ISO/IEC 27001:2022 — Control A.5.3: Segregation of Duties</dc:subject>
  <dcterms:created xmlns:dcterms="http://purl.org/dc/terms/" xmlns:xsi="http://www.w3.org/2001/XMLSchema-instance" xsi:type="dcterms:W3CDTF">2026-03-10T18:48:44Z</dcterms:created>
  <dcterms:modified xmlns:dcterms="http://purl.org/dc/terms/" xmlns:xsi="http://www.w3.org/2001/XMLSchema-instance" xsi:type="dcterms:W3CDTF">2026-03-10T18:48:44Z</dcterms:modified>
</cp:coreProperties>
</file>