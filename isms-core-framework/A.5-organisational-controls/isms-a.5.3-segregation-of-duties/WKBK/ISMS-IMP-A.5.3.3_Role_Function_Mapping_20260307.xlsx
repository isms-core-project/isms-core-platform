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Business Roles" sheetId="2" state="visible" r:id="rId2"/>
    <sheet xmlns:r="http://schemas.openxmlformats.org/officeDocument/2006/relationships" name="Application Rol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 Function Map" sheetId="6" state="visible" r:id="rId6"/>
    <sheet xmlns:r="http://schemas.openxmlformats.org/officeDocument/2006/relationships" name="Function Conflicts" sheetId="7" state="visible" r:id="rId7"/>
    <sheet xmlns:r="http://schemas.openxmlformats.org/officeDocument/2006/relationships" name="Validation Status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/>
    </xf>
    <xf numFmtId="164" fontId="10" fillId="10" borderId="2" applyAlignment="1" pivotButton="0" quotePrefix="0" xfId="0">
      <alignment horizontal="center"/>
    </xf>
    <xf numFmtId="0" fontId="9" fillId="13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/>
    </xf>
    <xf numFmtId="0" fontId="0" fillId="12" borderId="2" pivotButton="0" quotePrefix="0" xfId="0"/>
    <xf numFmtId="0" fontId="9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9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ISMS-IMP-A.5.3.3  -  Role Function Mapping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ISMS-IMP-A.5.3.3</t>
        </is>
      </c>
    </row>
    <row r="5">
      <c r="A5" s="3" t="inlineStr">
        <is>
          <t>Workbook Title</t>
        </is>
      </c>
      <c r="B5" t="inlineStr">
        <is>
          <t>Role Function Mapping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Business Roles — document all business roles with function descriptions.</t>
        </is>
      </c>
    </row>
    <row r="14">
      <c r="A14" t="inlineStr">
        <is>
          <t>2. Complete Application Roles — map technical access roles to business roles.</t>
        </is>
      </c>
    </row>
    <row r="15">
      <c r="A15" t="inlineStr">
        <is>
          <t>3. Document Functions — list all sensitive functions requiring segregation.</t>
        </is>
      </c>
    </row>
    <row r="16">
      <c r="A16" t="inlineStr">
        <is>
          <t>4. Complete Permissions — map roles to specific system permissions.</t>
        </is>
      </c>
    </row>
    <row r="17">
      <c r="A17" t="inlineStr">
        <is>
          <t>5. Build Role Function Map — cross-reference roles against all sensitive functions.</t>
        </is>
      </c>
    </row>
    <row r="18">
      <c r="A18" t="inlineStr">
        <is>
          <t>6. Review Function Conflicts — identify functions that must not coexist in one role.</t>
        </is>
      </c>
    </row>
    <row r="19">
      <c r="A19" t="inlineStr">
        <is>
          <t>7. Track Validation Status — confirm all mappings are reviewed and approved.</t>
        </is>
      </c>
    </row>
    <row r="20">
      <c r="A20" t="inlineStr">
        <is>
          <t>8. Log changes in Change Log with date, reason, and approver.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5" customWidth="1" min="5" max="5"/>
    <col width="50" customWidth="1" min="6" max="6"/>
    <col width="12" customWidth="1" min="7" max="7"/>
    <col width="15" customWidth="1" min="8" max="8"/>
  </cols>
  <sheetData>
    <row r="1" ht="35" customHeight="1">
      <c r="A1" s="11" t="inlineStr">
        <is>
          <t>BUSINESS ROLES</t>
        </is>
      </c>
    </row>
    <row r="2">
      <c r="A2" s="12" t="inlineStr">
        <is>
          <t>ISO 27001:2022 | A.5.3 | Business role definitions with SoD sensitivity classification</t>
        </is>
      </c>
    </row>
    <row r="3">
      <c r="A3" s="13" t="inlineStr">
        <is>
          <t>Business 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Role Owner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Last Reviewed</t>
        </is>
      </c>
    </row>
    <row r="4">
      <c r="A4" s="14" t="inlineStr">
        <is>
          <t>BROLE-FIN-001</t>
        </is>
      </c>
      <c r="B4" s="14" t="inlineStr">
        <is>
          <t>Accounts Payable Manager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CFO</t>
        </is>
      </c>
      <c r="F4" s="14" t="inlineStr">
        <is>
          <t>Manages AP team and payment approvals</t>
        </is>
      </c>
      <c r="G4" s="14" t="inlineStr">
        <is>
          <t>High</t>
        </is>
      </c>
      <c r="H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G4:G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40" customWidth="1" min="5" max="5"/>
    <col width="35" customWidth="1" min="6" max="6"/>
    <col width="12" customWidth="1" min="7" max="7"/>
    <col width="15" customWidth="1" min="8" max="8"/>
  </cols>
  <sheetData>
    <row r="1" ht="35" customHeight="1">
      <c r="A1" s="11" t="inlineStr">
        <is>
          <t>APPLICATION ROLES</t>
        </is>
      </c>
    </row>
    <row r="2">
      <c r="A2" s="12" t="inlineStr">
        <is>
          <t>ISO 27001:2022 | A.5.3 | Application role assignments mapped to business roles</t>
        </is>
      </c>
    </row>
    <row r="3">
      <c r="A3" s="13" t="inlineStr">
        <is>
          <t>App Role ID</t>
        </is>
      </c>
      <c r="B3" s="13" t="inlineStr">
        <is>
          <t>Application</t>
        </is>
      </c>
      <c r="C3" s="13" t="inlineStr">
        <is>
          <t>Role Name</t>
        </is>
      </c>
      <c r="D3" s="13" t="inlineStr">
        <is>
          <t>Role Type</t>
        </is>
      </c>
      <c r="E3" s="13" t="inlineStr">
        <is>
          <t>Description</t>
        </is>
      </c>
      <c r="F3" s="13" t="inlineStr">
        <is>
          <t>Business Roles</t>
        </is>
      </c>
      <c r="G3" s="13" t="inlineStr">
        <is>
          <t>Criticality</t>
        </is>
      </c>
      <c r="H3" s="13" t="inlineStr">
        <is>
          <t>Review Frequency</t>
        </is>
      </c>
    </row>
    <row r="4">
      <c r="A4" s="14" t="inlineStr">
        <is>
          <t>AROLE-SAP-FI-001</t>
        </is>
      </c>
      <c r="B4" s="14" t="inlineStr">
        <is>
          <t>SAP ERP</t>
        </is>
      </c>
      <c r="C4" s="14" t="inlineStr">
        <is>
          <t>FI-AP-Manager</t>
        </is>
      </c>
      <c r="D4" s="14" t="inlineStr">
        <is>
          <t>Composite</t>
        </is>
      </c>
      <c r="E4" s="14" t="inlineStr">
        <is>
          <t>Full AP processing and approval</t>
        </is>
      </c>
      <c r="F4" s="14" t="inlineStr">
        <is>
          <t>BROLE-FIN-001</t>
        </is>
      </c>
      <c r="G4" s="14" t="inlineStr">
        <is>
          <t>High</t>
        </is>
      </c>
      <c r="H4" s="14" t="inlineStr">
        <is>
          <t>Quarterly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D4:D200" showDropDown="0" showInputMessage="0" showErrorMessage="0" allowBlank="0" type="list">
      <formula1>"Composite,Single"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5" customWidth="1" min="5" max="5"/>
    <col width="45" customWidth="1" min="6" max="6"/>
    <col width="12" customWidth="1" min="7" max="7"/>
    <col width="12" customWidth="1" min="8" max="8"/>
  </cols>
  <sheetData>
    <row r="1" ht="35" customHeight="1">
      <c r="A1" s="11" t="inlineStr">
        <is>
          <t>FUNCTIONS</t>
        </is>
      </c>
    </row>
    <row r="2">
      <c r="A2" s="12" t="inlineStr">
        <is>
          <t>ISO 27001:2022 | A.5.3 | Sensitive function catalogue with SoD sensitivity indicators</t>
        </is>
      </c>
    </row>
    <row r="3">
      <c r="A3" s="13" t="inlineStr">
        <is>
          <t>Function ID</t>
        </is>
      </c>
      <c r="B3" s="13" t="inlineStr">
        <is>
          <t>Function Name</t>
        </is>
      </c>
      <c r="C3" s="13" t="inlineStr">
        <is>
          <t>Category</t>
        </is>
      </c>
      <c r="D3" s="13" t="inlineStr">
        <is>
          <t>Application</t>
        </is>
      </c>
      <c r="E3" s="13" t="inlineStr">
        <is>
          <t>Process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SoD Sensitive</t>
        </is>
      </c>
    </row>
    <row r="4">
      <c r="A4" s="14" t="inlineStr">
        <is>
          <t>FUNC-FIN-001</t>
        </is>
      </c>
      <c r="B4" s="14" t="inlineStr">
        <is>
          <t>Create Vendor</t>
        </is>
      </c>
      <c r="C4" s="14" t="inlineStr">
        <is>
          <t>Create</t>
        </is>
      </c>
      <c r="D4" s="14" t="inlineStr">
        <is>
          <t>SAP ERP</t>
        </is>
      </c>
      <c r="E4" s="14" t="inlineStr">
        <is>
          <t>Accounts Payable</t>
        </is>
      </c>
      <c r="F4" s="14" t="inlineStr">
        <is>
          <t>Create new vendor master record</t>
        </is>
      </c>
      <c r="G4" s="14" t="inlineStr">
        <is>
          <t>High</t>
        </is>
      </c>
      <c r="H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"Create,Read,Update,Delete,Approve,Execute,Admin"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5" customWidth="1" min="4" max="4"/>
    <col width="15" customWidth="1" min="5" max="5"/>
    <col width="40" customWidth="1" min="6" max="6"/>
    <col width="25" customWidth="1" min="7" max="7"/>
    <col width="35" customWidth="1" min="8" max="8"/>
  </cols>
  <sheetData>
    <row r="1" ht="35" customHeight="1">
      <c r="A1" s="11" t="inlineStr">
        <is>
          <t>PERMISSIONS</t>
        </is>
      </c>
    </row>
    <row r="2">
      <c r="A2" s="12" t="inlineStr">
        <is>
          <t>ISO 27001:2022 | A.5.3 | Technical permission details mapped to sensitive functions</t>
        </is>
      </c>
    </row>
    <row r="3">
      <c r="A3" s="13" t="inlineStr">
        <is>
          <t>Permission ID</t>
        </is>
      </c>
      <c r="B3" s="13" t="inlineStr">
        <is>
          <t>Function ID</t>
        </is>
      </c>
      <c r="C3" s="13" t="inlineStr">
        <is>
          <t>Application</t>
        </is>
      </c>
      <c r="D3" s="13" t="inlineStr">
        <is>
          <t>Permission Name</t>
        </is>
      </c>
      <c r="E3" s="13" t="inlineStr">
        <is>
          <t>Permission Type</t>
        </is>
      </c>
      <c r="F3" s="13" t="inlineStr">
        <is>
          <t>Description</t>
        </is>
      </c>
      <c r="G3" s="13" t="inlineStr">
        <is>
          <t>Data Scope</t>
        </is>
      </c>
      <c r="H3" s="13" t="inlineStr">
        <is>
          <t>Special Conditions</t>
        </is>
      </c>
    </row>
    <row r="4">
      <c r="A4" s="14" t="inlineStr">
        <is>
          <t>PERM-SAP-001</t>
        </is>
      </c>
      <c r="B4" s="14" t="inlineStr">
        <is>
          <t>FUNC-FIN-001</t>
        </is>
      </c>
      <c r="C4" s="14" t="inlineStr">
        <is>
          <t>SAP ERP</t>
        </is>
      </c>
      <c r="D4" s="14" t="inlineStr">
        <is>
          <t>T-Code FK01</t>
        </is>
      </c>
      <c r="E4" s="14" t="inlineStr">
        <is>
          <t>Transaction</t>
        </is>
      </c>
      <c r="F4" s="14" t="inlineStr">
        <is>
          <t>Create vendor master</t>
        </is>
      </c>
      <c r="G4" s="14" t="inlineStr">
        <is>
          <t>Company Code 1000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"Transaction,Report,API,Config,Data"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  <col width="40" customWidth="1" min="6" max="6"/>
    <col width="15" customWidth="1" min="7" max="7"/>
    <col width="15" customWidth="1" min="8" max="8"/>
  </cols>
  <sheetData>
    <row r="1" ht="35" customHeight="1">
      <c r="A1" s="11" t="inlineStr">
        <is>
          <t>ROLE FUNCTION MAP</t>
        </is>
      </c>
    </row>
    <row r="2">
      <c r="A2" s="12" t="inlineStr">
        <is>
          <t>ISO 27001:2022 | A.5.3 | Role-to-function relationships for SoD conflict detection</t>
        </is>
      </c>
    </row>
    <row r="3">
      <c r="A3" s="13" t="inlineStr">
        <is>
          <t>Mapping ID</t>
        </is>
      </c>
      <c r="B3" s="13" t="inlineStr">
        <is>
          <t>Business Role ID</t>
        </is>
      </c>
      <c r="C3" s="13" t="inlineStr">
        <is>
          <t>App Role ID</t>
        </is>
      </c>
      <c r="D3" s="13" t="inlineStr">
        <is>
          <t>Function ID</t>
        </is>
      </c>
      <c r="E3" s="13" t="inlineStr">
        <is>
          <t>Grant Type</t>
        </is>
      </c>
      <c r="F3" s="13" t="inlineStr">
        <is>
          <t>Justification</t>
        </is>
      </c>
      <c r="G3" s="13" t="inlineStr">
        <is>
          <t>Effective Date</t>
        </is>
      </c>
      <c r="H3" s="13" t="inlineStr">
        <is>
          <t>Expiry Date</t>
        </is>
      </c>
    </row>
    <row r="4">
      <c r="A4" s="14" t="inlineStr">
        <is>
          <t>MAP-001</t>
        </is>
      </c>
      <c r="B4" s="14" t="inlineStr">
        <is>
          <t>BROLE-FIN-001</t>
        </is>
      </c>
      <c r="C4" s="14" t="inlineStr">
        <is>
          <t>AROLE-SAP-FI-001</t>
        </is>
      </c>
      <c r="D4" s="14" t="inlineStr">
        <is>
          <t>FUNC-FIN-001</t>
        </is>
      </c>
      <c r="E4" s="14" t="inlineStr">
        <is>
          <t>Direct</t>
        </is>
      </c>
      <c r="F4" s="14" t="inlineStr">
        <is>
          <t>Core AP manager duty</t>
        </is>
      </c>
      <c r="G4" s="14" t="inlineStr">
        <is>
          <t>01.01.2026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"Direct,Inherited,Delegated,Emergency"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</cols>
  <sheetData>
    <row r="1" ht="35" customHeight="1">
      <c r="A1" s="11" t="inlineStr">
        <is>
          <t>FUNCTION CONFLICTS</t>
        </is>
      </c>
    </row>
    <row r="2">
      <c r="A2" s="12" t="inlineStr">
        <is>
          <t>ISO 27001:2022 | A.5.3 | Function-level conflict definitions for RBAC analysis</t>
        </is>
      </c>
    </row>
    <row r="3">
      <c r="A3" s="13" t="inlineStr">
        <is>
          <t>Conflict ID</t>
        </is>
      </c>
      <c r="B3" s="13" t="inlineStr">
        <is>
          <t>Function A</t>
        </is>
      </c>
      <c r="C3" s="13" t="inlineStr">
        <is>
          <t>Function B</t>
        </is>
      </c>
      <c r="D3" s="13" t="inlineStr">
        <is>
          <t>Conflict Type</t>
        </is>
      </c>
      <c r="E3" s="13" t="inlineStr">
        <is>
          <t>Risk Level</t>
        </is>
      </c>
      <c r="F3" s="13" t="inlineStr">
        <is>
          <t>Justification</t>
        </is>
      </c>
      <c r="G3" s="13" t="inlineStr">
        <is>
          <t>Mitigation</t>
        </is>
      </c>
    </row>
    <row r="4">
      <c r="A4" s="14" t="inlineStr">
        <is>
          <t>FCON-001</t>
        </is>
      </c>
      <c r="B4" s="14" t="inlineStr">
        <is>
          <t>FUNC-FIN-001</t>
        </is>
      </c>
      <c r="C4" s="14" t="inlineStr">
        <is>
          <t>FUNC-FIN-002</t>
        </is>
      </c>
      <c r="D4" s="14" t="inlineStr">
        <is>
          <t>X</t>
        </is>
      </c>
      <c r="E4" s="14" t="inlineStr">
        <is>
          <t>Critical</t>
        </is>
      </c>
      <c r="F4" s="14" t="inlineStr">
        <is>
          <t>Create vendor + approve payment = fictitious vendor fraud</t>
        </is>
      </c>
      <c r="G4" s="14" t="inlineStr">
        <is>
          <t>Must be separate individuals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2">
    <dataValidation sqref="D4:D200" showDropDown="0" showInputMessage="0" showErrorMessage="0" allowBlank="0" type="list">
      <formula1>"X,C,M"</formula1>
    </dataValidation>
    <dataValidation sqref="E4:E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20" customWidth="1" min="8" max="8"/>
    <col width="40" customWidth="1" min="9" max="9"/>
  </cols>
  <sheetData>
    <row r="1" ht="35" customHeight="1">
      <c r="A1" s="11" t="inlineStr">
        <is>
          <t>VALIDATION STATUS</t>
        </is>
      </c>
    </row>
    <row r="2">
      <c r="A2" s="12" t="inlineStr">
        <is>
          <t>ISO 27001:2022 | A.5.3 | RBAC validation tracking and discrepancy resolution</t>
        </is>
      </c>
    </row>
    <row r="3">
      <c r="A3" s="13" t="inlineStr">
        <is>
          <t>Validation ID</t>
        </is>
      </c>
      <c r="B3" s="13" t="inlineStr">
        <is>
          <t>Role ID</t>
        </is>
      </c>
      <c r="C3" s="13" t="inlineStr">
        <is>
          <t>Validation Date</t>
        </is>
      </c>
      <c r="D3" s="13" t="inlineStr">
        <is>
          <t>Validator</t>
        </is>
      </c>
      <c r="E3" s="13" t="inlineStr">
        <is>
          <t>Documented Functions</t>
        </is>
      </c>
      <c r="F3" s="13" t="inlineStr">
        <is>
          <t>Actual Functions</t>
        </is>
      </c>
      <c r="G3" s="13" t="inlineStr">
        <is>
          <t>Discrepancies</t>
        </is>
      </c>
      <c r="H3" s="13" t="inlineStr">
        <is>
          <t>Status</t>
        </is>
      </c>
      <c r="I3" s="13" t="inlineStr">
        <is>
          <t>Resolution</t>
        </is>
      </c>
    </row>
    <row r="4">
      <c r="A4" s="16" t="inlineStr">
        <is>
          <t>VAL-001</t>
        </is>
      </c>
      <c r="B4" s="16" t="inlineStr">
        <is>
          <t>AROLE-SAP-FI-001</t>
        </is>
      </c>
      <c r="C4" s="16" t="inlineStr">
        <is>
          <t>01.01.2026</t>
        </is>
      </c>
      <c r="D4" s="16" t="inlineStr">
        <is>
          <t>Risk Officer</t>
        </is>
      </c>
      <c r="E4" s="16" t="inlineStr">
        <is>
          <t>5</t>
        </is>
      </c>
      <c r="F4" s="16" t="inlineStr">
        <is>
          <t>5</t>
        </is>
      </c>
      <c r="G4" s="16">
        <f>ABS(E4-F4)</f>
        <v/>
      </c>
      <c r="H4" s="16" t="inlineStr">
        <is>
          <t>Validated</t>
        </is>
      </c>
      <c r="I4" s="16" t="inlineStr">
        <is>
          <t>No discrepancies found</t>
        </is>
      </c>
    </row>
    <row r="5">
      <c r="A5" s="17" t="n"/>
      <c r="B5" s="17" t="n"/>
      <c r="C5" s="17" t="n"/>
      <c r="D5" s="17" t="n"/>
      <c r="E5" s="17" t="n"/>
      <c r="F5" s="17" t="n"/>
      <c r="G5" s="16">
        <f>ABS(E5-F5)</f>
        <v/>
      </c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6">
        <f>ABS(E6-F6)</f>
        <v/>
      </c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6">
        <f>ABS(E7-F7)</f>
        <v/>
      </c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6">
        <f>ABS(E8-F8)</f>
        <v/>
      </c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6">
        <f>ABS(E9-F9)</f>
        <v/>
      </c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6">
        <f>ABS(E10-F10)</f>
        <v/>
      </c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6">
        <f>ABS(E11-F11)</f>
        <v/>
      </c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6">
        <f>ABS(E12-F12)</f>
        <v/>
      </c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6">
        <f>ABS(E13-F13)</f>
        <v/>
      </c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6">
        <f>ABS(E14-F14)</f>
        <v/>
      </c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6">
        <f>ABS(E15-F15)</f>
        <v/>
      </c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6">
        <f>ABS(E16-F16)</f>
        <v/>
      </c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6">
        <f>ABS(E17-F17)</f>
        <v/>
      </c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6">
        <f>ABS(E18-F18)</f>
        <v/>
      </c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6">
        <f>ABS(E19-F19)</f>
        <v/>
      </c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6">
        <f>ABS(E20-F20)</f>
        <v/>
      </c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6">
        <f>ABS(E21-F21)</f>
        <v/>
      </c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6">
        <f>ABS(E22-F22)</f>
        <v/>
      </c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6">
        <f>ABS(E23-F23)</f>
        <v/>
      </c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6">
        <f>ABS(E24-F24)</f>
        <v/>
      </c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6">
        <f>ABS(E25-F25)</f>
        <v/>
      </c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6">
        <f>ABS(E26-F26)</f>
        <v/>
      </c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6">
        <f>ABS(E27-F27)</f>
        <v/>
      </c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6">
        <f>ABS(E28-F28)</f>
        <v/>
      </c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6">
        <f>ABS(E29-F29)</f>
        <v/>
      </c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6">
        <f>ABS(E30-F30)</f>
        <v/>
      </c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6">
        <f>ABS(E31-F31)</f>
        <v/>
      </c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6">
        <f>ABS(E32-F32)</f>
        <v/>
      </c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6">
        <f>ABS(E33-F33)</f>
        <v/>
      </c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6">
        <f>ABS(E34-F34)</f>
        <v/>
      </c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6">
        <f>ABS(E35-F35)</f>
        <v/>
      </c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6">
        <f>ABS(E36-F36)</f>
        <v/>
      </c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6">
        <f>ABS(E37-F37)</f>
        <v/>
      </c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6">
        <f>ABS(E38-F38)</f>
        <v/>
      </c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6">
        <f>ABS(E39-F39)</f>
        <v/>
      </c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6">
        <f>ABS(E40-F40)</f>
        <v/>
      </c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6">
        <f>ABS(E41-F41)</f>
        <v/>
      </c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6">
        <f>ABS(E42-F42)</f>
        <v/>
      </c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6">
        <f>ABS(E43-F43)</f>
        <v/>
      </c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6">
        <f>ABS(E44-F44)</f>
        <v/>
      </c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6">
        <f>ABS(E45-F45)</f>
        <v/>
      </c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6">
        <f>ABS(E46-F46)</f>
        <v/>
      </c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6">
        <f>ABS(E47-F47)</f>
        <v/>
      </c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6">
        <f>ABS(E48-F48)</f>
        <v/>
      </c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6">
        <f>ABS(E49-F49)</f>
        <v/>
      </c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6">
        <f>ABS(E50-F50)</f>
        <v/>
      </c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6">
        <f>ABS(E51-F51)</f>
        <v/>
      </c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6">
        <f>ABS(E52-F52)</f>
        <v/>
      </c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6">
        <f>ABS(E53-F53)</f>
        <v/>
      </c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6">
        <f>ABS(E54-F54)</f>
        <v/>
      </c>
      <c r="H54" s="17" t="n"/>
      <c r="I54" s="17" t="n"/>
    </row>
  </sheetData>
  <mergeCells count="2">
    <mergeCell ref="A1:I1"/>
    <mergeCell ref="A2:I2"/>
  </mergeCells>
  <dataValidations count="1">
    <dataValidation sqref="H4:H200" showDropDown="0" showInputMessage="0" showErrorMessage="0" allowBlank="0" type="list">
      <formula1>"Validated,Requires Investigation,Remediated,Deferred"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50" customWidth="1" min="5" max="5"/>
    <col width="25" customWidth="1" min="6" max="6"/>
    <col width="25" customWidth="1" min="7" max="7"/>
    <col width="20" customWidth="1" min="8" max="8"/>
  </cols>
  <sheetData>
    <row r="1" ht="35" customHeight="1">
      <c r="A1" s="11" t="inlineStr">
        <is>
          <t>CHANGE LOG</t>
        </is>
      </c>
    </row>
    <row r="2">
      <c r="A2" s="12" t="inlineStr">
        <is>
          <t>ISO 27001:2022 | A.5.3 | Permission change history for SoD audit trail</t>
        </is>
      </c>
    </row>
    <row r="3">
      <c r="A3" s="13" t="inlineStr">
        <is>
          <t>Change ID</t>
        </is>
      </c>
      <c r="B3" s="13" t="inlineStr">
        <is>
          <t>Change Date</t>
        </is>
      </c>
      <c r="C3" s="13" t="inlineStr">
        <is>
          <t>Role ID</t>
        </is>
      </c>
      <c r="D3" s="13" t="inlineStr">
        <is>
          <t>Change Type</t>
        </is>
      </c>
      <c r="E3" s="13" t="inlineStr">
        <is>
          <t>Description</t>
        </is>
      </c>
      <c r="F3" s="13" t="inlineStr">
        <is>
          <t>Requested By</t>
        </is>
      </c>
      <c r="G3" s="13" t="inlineStr">
        <is>
          <t>Approved By</t>
        </is>
      </c>
      <c r="H3" s="13" t="inlineStr">
        <is>
          <t>Ticket Reference</t>
        </is>
      </c>
    </row>
    <row r="4">
      <c r="A4" s="14" t="inlineStr">
        <is>
          <t>CHG-001</t>
        </is>
      </c>
      <c r="B4" s="14" t="inlineStr">
        <is>
          <t>01.01.2026</t>
        </is>
      </c>
      <c r="C4" s="14" t="inlineStr">
        <is>
          <t>BROLE-FIN-001</t>
        </is>
      </c>
      <c r="D4" s="14" t="inlineStr">
        <is>
          <t>Permission Added</t>
        </is>
      </c>
      <c r="E4" s="14" t="inlineStr">
        <is>
          <t>Added AP approval access for finance team</t>
        </is>
      </c>
      <c r="F4" s="14" t="inlineStr">
        <is>
          <t>Finance Director</t>
        </is>
      </c>
      <c r="G4" s="14" t="inlineStr">
        <is>
          <t>CISO</t>
        </is>
      </c>
      <c r="H4" s="14" t="inlineStr">
        <is>
          <t>JIRA-2026-001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200" showDropDown="0" showInputMessage="0" showErrorMessage="0" allowBlank="0" type="list">
      <formula1>"Permission Added,Permission Removed,Function Modified,Role Created,Role Deleted"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ROLE-FUNCTION MAPPING — SUMMARY DASHBOARD</t>
        </is>
      </c>
      <c r="B1" s="19" t="n"/>
      <c r="C1" s="19" t="n"/>
      <c r="D1" s="19" t="n"/>
      <c r="E1" s="19" t="n"/>
      <c r="F1" s="19" t="n"/>
      <c r="G1" s="19" t="n"/>
    </row>
    <row r="2">
      <c r="A2" s="20" t="inlineStr">
        <is>
          <t>ISO/IEC 27001:2022 — Control A.5.3: Segregation of Duties | Role-Function Mapping</t>
        </is>
      </c>
      <c r="B2" s="19" t="n"/>
      <c r="C2" s="19" t="n"/>
      <c r="D2" s="19" t="n"/>
      <c r="E2" s="19" t="n"/>
      <c r="F2" s="19" t="n"/>
      <c r="G2" s="19" t="n"/>
    </row>
    <row r="4">
      <c r="A4" s="21" t="inlineStr">
        <is>
          <t>TABLE 1: ASSESSMENT AREA COMPLIANCE OVERVIEW</t>
        </is>
      </c>
      <c r="B4" s="19" t="n"/>
      <c r="C4" s="19" t="n"/>
      <c r="D4" s="19" t="n"/>
      <c r="E4" s="19" t="n"/>
      <c r="F4" s="19" t="n"/>
      <c r="G4" s="19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Role-Function Validations</t>
        </is>
      </c>
      <c r="B6" s="24">
        <f>COUNTA('Validation Status'!A5:A54)</f>
        <v/>
      </c>
      <c r="C6" s="24">
        <f>COUNTIF('Validation Status'!H5:H54,"Validated")+COUNTIF('Validation Status'!H5:H54,"Remediated")</f>
        <v/>
      </c>
      <c r="D6" s="24">
        <f>COUNTIF('Validation Status'!H5:H54,"Deferred")</f>
        <v/>
      </c>
      <c r="E6" s="24">
        <f>COUNTIF('Validation Status'!H5:H54,"Requires Investigation")</f>
        <v/>
      </c>
      <c r="F6" s="24" t="n">
        <v>0</v>
      </c>
      <c r="G6" s="25">
        <f>IF((B6-F6)=0,0,C6/(B6-F6))</f>
        <v/>
      </c>
    </row>
    <row r="7">
      <c r="A7" s="23" t="inlineStr">
        <is>
          <t>Function Conflicts by Type</t>
        </is>
      </c>
      <c r="B7" s="24">
        <f>COUNTA('Function Conflicts'!A5:A54)</f>
        <v/>
      </c>
      <c r="C7" s="24">
        <f>COUNTIF('Function Conflicts'!D5:D54,"M")</f>
        <v/>
      </c>
      <c r="D7" s="24">
        <f>COUNTIF('Function Conflicts'!D5:D54,"C")</f>
        <v/>
      </c>
      <c r="E7" s="24">
        <f>COUNTIF('Function Conflicts'!D5:D54,"X")</f>
        <v/>
      </c>
      <c r="F7" s="24" t="n">
        <v>0</v>
      </c>
      <c r="G7" s="25">
        <f>IF((B7-F7)=0,0,C7/(B7-F7))</f>
        <v/>
      </c>
    </row>
    <row r="8">
      <c r="A8" s="26" t="inlineStr">
        <is>
          <t>TOTAL</t>
        </is>
      </c>
      <c r="B8" s="27">
        <f>SUM(B6:B7)</f>
        <v/>
      </c>
      <c r="C8" s="27">
        <f>SUM(C6:C7)</f>
        <v/>
      </c>
      <c r="D8" s="27">
        <f>SUM(D6:D7)</f>
        <v/>
      </c>
      <c r="E8" s="27">
        <f>SUM(E6:E7)</f>
        <v/>
      </c>
      <c r="F8" s="27">
        <f>SUM(F6:F7)</f>
        <v/>
      </c>
      <c r="G8" s="28">
        <f>IF((B8-F8)=0,0,C8/(B8-F8))</f>
        <v/>
      </c>
    </row>
    <row r="10">
      <c r="A10" s="21" t="inlineStr">
        <is>
          <t>TABLE 2: KEY METRICS</t>
        </is>
      </c>
      <c r="B10" s="19" t="n"/>
      <c r="C10" s="19" t="n"/>
      <c r="D10" s="19" t="n"/>
      <c r="E10" s="19" t="n"/>
      <c r="F10" s="19" t="n"/>
      <c r="G10" s="19" t="n"/>
    </row>
    <row r="11">
      <c r="A11" s="22" t="inlineStr">
        <is>
          <t>Metric</t>
        </is>
      </c>
      <c r="B11" s="22" t="inlineStr">
        <is>
          <t>Value</t>
        </is>
      </c>
      <c r="C11" s="22" t="n"/>
      <c r="D11" s="22" t="n"/>
      <c r="E11" s="22" t="n"/>
      <c r="F11" s="22" t="n"/>
      <c r="G11" s="22" t="n"/>
    </row>
    <row r="12">
      <c r="A12" s="23" t="inlineStr">
        <is>
          <t>SoD-sensitive functions catalogued</t>
        </is>
      </c>
      <c r="B12" s="24">
        <f>COUNTIF('Functions'!H5:H54,"Yes")</f>
        <v/>
      </c>
      <c r="C12" s="19" t="n"/>
      <c r="D12" s="19" t="n"/>
      <c r="E12" s="19" t="n"/>
      <c r="F12" s="19" t="n"/>
      <c r="G12" s="19" t="n"/>
    </row>
    <row r="13">
      <c r="A13" s="23" t="inlineStr">
        <is>
          <t>Critical risk functions</t>
        </is>
      </c>
      <c r="B13" s="24">
        <f>COUNTIF('Functions'!G5:G54,"Critical")</f>
        <v/>
      </c>
      <c r="C13" s="19" t="n"/>
      <c r="D13" s="19" t="n"/>
      <c r="E13" s="19" t="n"/>
      <c r="F13" s="19" t="n"/>
      <c r="G13" s="19" t="n"/>
    </row>
    <row r="14">
      <c r="A14" s="23" t="inlineStr">
        <is>
          <t>Hard function conflicts (X-type)</t>
        </is>
      </c>
      <c r="B14" s="24">
        <f>COUNTIF('Function Conflicts'!D5:D54,"X")</f>
        <v/>
      </c>
      <c r="C14" s="19" t="n"/>
      <c r="D14" s="19" t="n"/>
      <c r="E14" s="19" t="n"/>
      <c r="F14" s="19" t="n"/>
      <c r="G14" s="19" t="n"/>
    </row>
    <row r="15">
      <c r="A15" s="23" t="inlineStr">
        <is>
          <t>Critical hard function conflicts (X-type + Critical)</t>
        </is>
      </c>
      <c r="B15" s="24">
        <f>COUNTIFS('Function Conflicts'!D5:D54,"X",'Function Conflicts'!E5:E54,"Critical")</f>
        <v/>
      </c>
      <c r="C15" s="19" t="n"/>
      <c r="D15" s="19" t="n"/>
      <c r="E15" s="19" t="n"/>
      <c r="F15" s="19" t="n"/>
      <c r="G15" s="19" t="n"/>
    </row>
    <row r="16">
      <c r="A16" s="23" t="inlineStr">
        <is>
          <t>Emergency grant type assignments</t>
        </is>
      </c>
      <c r="B16" s="24">
        <f>COUNTIF('Role Function Map'!E5:E54,"Emergency")</f>
        <v/>
      </c>
      <c r="C16" s="19" t="n"/>
      <c r="D16" s="19" t="n"/>
      <c r="E16" s="19" t="n"/>
      <c r="F16" s="19" t="n"/>
      <c r="G16" s="19" t="n"/>
    </row>
    <row r="17">
      <c r="A17" s="23" t="inlineStr">
        <is>
          <t>Roles requiring investigation</t>
        </is>
      </c>
      <c r="B17" s="24">
        <f>COUNTIF('Validation Status'!H5:H54,"Requires Investigation")</f>
        <v/>
      </c>
      <c r="C17" s="19" t="n"/>
      <c r="D17" s="19" t="n"/>
      <c r="E17" s="19" t="n"/>
      <c r="F17" s="19" t="n"/>
      <c r="G17" s="19" t="n"/>
    </row>
    <row r="18">
      <c r="A18" s="23" t="inlineStr">
        <is>
          <t>Composite application roles (higher SoD risk)</t>
        </is>
      </c>
      <c r="B18" s="24">
        <f>COUNTIF('Application Roles'!D5:D54,"Composite")</f>
        <v/>
      </c>
      <c r="C18" s="19" t="n"/>
      <c r="D18" s="19" t="n"/>
      <c r="E18" s="19" t="n"/>
      <c r="F18" s="19" t="n"/>
      <c r="G18" s="19" t="n"/>
    </row>
    <row r="19">
      <c r="A19" s="23" t="inlineStr">
        <is>
          <t>Permission changes in audit log</t>
        </is>
      </c>
      <c r="B19" s="24">
        <f>COUNTA('Change Log'!A5:A54)</f>
        <v/>
      </c>
      <c r="C19" s="19" t="n"/>
      <c r="D19" s="19" t="n"/>
      <c r="E19" s="19" t="n"/>
      <c r="F19" s="19" t="n"/>
      <c r="G19" s="19" t="n"/>
    </row>
    <row r="20">
      <c r="A20" s="23" t="inlineStr">
        <is>
          <t>Permission additions in audit log</t>
        </is>
      </c>
      <c r="B20" s="24">
        <f>COUNTIF('Change Log'!D5:D54,"Permission Added")</f>
        <v/>
      </c>
      <c r="C20" s="19" t="n"/>
      <c r="D20" s="19" t="n"/>
      <c r="E20" s="19" t="n"/>
      <c r="F20" s="19" t="n"/>
      <c r="G20" s="19" t="n"/>
    </row>
    <row r="22">
      <c r="A22" s="29" t="inlineStr">
        <is>
          <t>TABLE 3: CRITICAL FINDINGS REQUIRING IMMEDIATE ATTENTION</t>
        </is>
      </c>
      <c r="B22" s="19" t="n"/>
      <c r="C22" s="19" t="n"/>
      <c r="D22" s="19" t="n"/>
      <c r="E22" s="19" t="n"/>
      <c r="F22" s="19" t="n"/>
      <c r="G22" s="19" t="n"/>
    </row>
    <row r="23">
      <c r="A23" s="22" t="inlineStr">
        <is>
          <t>Finding</t>
        </is>
      </c>
      <c r="B23" s="22" t="inlineStr">
        <is>
          <t>Count</t>
        </is>
      </c>
      <c r="C23" s="22" t="inlineStr">
        <is>
          <t>Action Required</t>
        </is>
      </c>
      <c r="D23" s="19" t="n"/>
      <c r="E23" s="19" t="n"/>
      <c r="F23" s="19" t="n"/>
      <c r="G23" s="19" t="n"/>
    </row>
    <row r="24">
      <c r="A24" s="30" t="inlineStr">
        <is>
          <t>Critical hard function conflicts (X-type, Critical risk)</t>
        </is>
      </c>
      <c r="B24" s="31">
        <f>COUNTIFS('Function Conflicts'!D5:D54,"X",'Function Conflicts'!E5:E54,"Critical")</f>
        <v/>
      </c>
      <c r="C24" s="30" t="inlineStr">
        <is>
          <t>Highest priority — view 'Function Conflicts' (filter: Conflict_Type=X, Risk_Level=Critical)</t>
        </is>
      </c>
      <c r="D24" s="19" t="n"/>
      <c r="E24" s="19" t="n"/>
      <c r="F24" s="19" t="n"/>
      <c r="G24" s="19" t="n"/>
    </row>
    <row r="25">
      <c r="A25" s="30" t="inlineStr">
        <is>
          <t>Roles requiring investigation (RBAC discrepancies)</t>
        </is>
      </c>
      <c r="B25" s="31">
        <f>COUNTIF('Validation Status'!H5:H54,"Requires Investigation")</f>
        <v/>
      </c>
      <c r="C25" s="30" t="inlineStr">
        <is>
          <t>Investigate discrepancies — view 'Validation Status' (filter: Status=Requires Investigation)</t>
        </is>
      </c>
      <c r="D25" s="19" t="n"/>
      <c r="E25" s="19" t="n"/>
      <c r="F25" s="19" t="n"/>
      <c r="G25" s="19" t="n"/>
    </row>
    <row r="26">
      <c r="A26" s="30" t="inlineStr">
        <is>
          <t>Emergency grant type assignments</t>
        </is>
      </c>
      <c r="B26" s="31">
        <f>COUNTIF('Role Function Map'!E5:E54,"Emergency")</f>
        <v/>
      </c>
      <c r="C26" s="30" t="inlineStr">
        <is>
          <t>Review emergency access — view 'Role Function Map' (filter: Grant_Type=Emergency)</t>
        </is>
      </c>
      <c r="D26" s="19" t="n"/>
      <c r="E26" s="19" t="n"/>
      <c r="F26" s="19" t="n"/>
      <c r="G26" s="19" t="n"/>
    </row>
    <row r="28">
      <c r="A28" s="3" t="inlineStr">
        <is>
          <t>FINAL DECISION:</t>
        </is>
      </c>
      <c r="B28" s="32" t="n"/>
      <c r="C28" s="19" t="n"/>
      <c r="D28" s="19" t="n"/>
      <c r="E28" s="19" t="n"/>
      <c r="F28" s="19" t="n"/>
      <c r="G28" s="19" t="n"/>
    </row>
    <row r="31">
      <c r="A31" s="33" t="inlineStr">
        <is>
          <t>NEXT REVIEW DETAILS</t>
        </is>
      </c>
      <c r="B31" s="19" t="n"/>
      <c r="C31" s="19" t="n"/>
      <c r="D31" s="19" t="n"/>
      <c r="E31" s="19" t="n"/>
      <c r="F31" s="19" t="n"/>
      <c r="G31" s="19" t="n"/>
    </row>
    <row r="32">
      <c r="A32" s="3" t="inlineStr">
        <is>
          <t>Next Review Date:</t>
        </is>
      </c>
      <c r="B32" s="32" t="n"/>
      <c r="C32" s="19" t="n"/>
      <c r="D32" s="19" t="n"/>
      <c r="E32" s="19" t="n"/>
      <c r="F32" s="19" t="n"/>
      <c r="G32" s="19" t="n"/>
    </row>
    <row r="33">
      <c r="A33" s="3" t="inlineStr">
        <is>
          <t>Review Responsible:</t>
        </is>
      </c>
      <c r="B33" s="32" t="n"/>
      <c r="C33" s="19" t="n"/>
      <c r="D33" s="19" t="n"/>
      <c r="E33" s="19" t="n"/>
      <c r="F33" s="19" t="n"/>
      <c r="G33" s="19" t="n"/>
    </row>
    <row r="34">
      <c r="A34" s="3" t="inlineStr">
        <is>
          <t>Special Considerations:</t>
        </is>
      </c>
      <c r="B34" s="32" t="n"/>
      <c r="C34" s="19" t="n"/>
      <c r="D34" s="19" t="n"/>
      <c r="E34" s="19" t="n"/>
      <c r="F34" s="19" t="n"/>
      <c r="G34" s="19" t="n"/>
    </row>
  </sheetData>
  <mergeCells count="14">
    <mergeCell ref="B34:G34"/>
    <mergeCell ref="A1:G1"/>
    <mergeCell ref="B28:G28"/>
    <mergeCell ref="B33:G33"/>
    <mergeCell ref="A31:G31"/>
    <mergeCell ref="C24:G24"/>
    <mergeCell ref="A22:G22"/>
    <mergeCell ref="A4:G4"/>
    <mergeCell ref="C25:G25"/>
    <mergeCell ref="B32:G32"/>
    <mergeCell ref="A2:G2"/>
    <mergeCell ref="C23:G23"/>
    <mergeCell ref="A10:G10"/>
    <mergeCell ref="C26:G26"/>
  </mergeCells>
  <dataValidations count="1">
    <dataValidation sqref="B28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ISMS-IMP-A.5.3.3 - Role Function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Dashboard'!G6:G7),"")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ISMS-IMP-A.5.3.3 — Role Function Mapping</dc:title>
  <dc:description xmlns:dc="http://purl.org/dc/elements/1.1/">ISMS Implementation Workbook — ISMS-IMP-A.5.3.3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2026-03-07T11:27:31Z</dcterms:created>
  <dcterms:modified xmlns:dcterms="http://purl.org/dc/terms/" xmlns:xsi="http://www.w3.org/2001/XMLSchema-instance" xsi:type="dcterms:W3CDTF">2026-03-07T11:27:31Z</dcterms:modified>
</cp:coreProperties>
</file>