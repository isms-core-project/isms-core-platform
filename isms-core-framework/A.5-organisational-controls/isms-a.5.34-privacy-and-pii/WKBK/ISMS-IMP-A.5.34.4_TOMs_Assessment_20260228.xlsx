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sational Measures Det.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b val="1"/>
      <color rgb="00FFFFFF"/>
    </font>
    <font>
      <b val="1"/>
      <color rgb="00003366"/>
      <sz val="11"/>
    </font>
    <font>
      <name val="Calibri"/>
      <i val="1"/>
      <color rgb="00003366"/>
      <sz val="11"/>
    </font>
    <font>
      <b val="1"/>
      <color rgb="00FFFFFF"/>
      <sz val="11"/>
    </font>
    <font>
      <b val="1"/>
      <color rgb="0000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2" pivotButton="0" quotePrefix="0" xfId="0"/>
    <xf numFmtId="0" fontId="9" fillId="4" borderId="2" applyAlignment="1" pivotButton="0" quotePrefix="0" xfId="0">
      <alignment horizontal="center" vertical="center" wrapText="1"/>
    </xf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164" fontId="9" fillId="4" borderId="2" applyAlignment="1" pivotButton="0" quotePrefix="0" xfId="0">
      <alignment horizontal="center"/>
    </xf>
    <xf numFmtId="0" fontId="8" fillId="8" borderId="2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D966"/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ISMS-IMP-A.5.34.4  -  Technical and Organisational Measures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ISMS-IMP-A.5.34.4</t>
        </is>
      </c>
    </row>
    <row r="5">
      <c r="A5" s="3" t="inlineStr">
        <is>
          <t>Assessment Area</t>
        </is>
      </c>
      <c r="B5" t="inlineStr">
        <is>
          <t>Technical and Organisational Measures (GDPR Art. 32)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Review Sheet 2 (TOM Control Inventory) — assess all 20 technical and organisational measures</t>
        </is>
      </c>
    </row>
    <row r="15">
      <c r="A15" t="inlineStr">
        <is>
          <t>2. Complete Sheet 3 (Technical Measures Detail) — document T1-T10 technical controls</t>
        </is>
      </c>
    </row>
    <row r="16">
      <c r="A16" t="inlineStr">
        <is>
          <t>3. Complete Sheet 4 (Organisational Measures Detail) — document O1-O10 organisational controls</t>
        </is>
      </c>
    </row>
    <row r="17">
      <c r="A17" t="inlineStr">
        <is>
          <t>4. Complete Sheet 5 (Evidence Repository) — link supporting evidence</t>
        </is>
      </c>
    </row>
    <row r="18">
      <c r="A18" t="inlineStr">
        <is>
          <t>5. Complete Sheet 6 (Gap Analysis &amp; Risk) — identify and score gaps</t>
        </is>
      </c>
    </row>
    <row r="19">
      <c r="A19" t="inlineStr">
        <is>
          <t>6. Complete Sheet 7 (Remediation Action Plan) — plan gap closure</t>
        </is>
      </c>
    </row>
    <row r="20">
      <c r="A20" t="inlineStr">
        <is>
          <t>7. Review Sheet 8 (Compliance Dashboard) — validate GDPR Art. 32 compliance score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Implemented</t>
        </is>
      </c>
      <c r="C24" s="6" t="inlineStr">
        <is>
          <t>Control fully implemented and tested</t>
        </is>
      </c>
    </row>
    <row r="25">
      <c r="A25" s="6" t="inlineStr">
        <is>
          <t>⚠</t>
        </is>
      </c>
      <c r="B25" s="8" t="inlineStr">
        <is>
          <t>Partially Implemented</t>
        </is>
      </c>
      <c r="C25" s="6" t="inlineStr">
        <is>
          <t>Control partially in place — gaps remain</t>
        </is>
      </c>
    </row>
    <row r="26">
      <c r="A26" s="6" t="inlineStr">
        <is>
          <t>❌</t>
        </is>
      </c>
      <c r="B26" s="9" t="inlineStr">
        <is>
          <t>Not Implemented</t>
        </is>
      </c>
      <c r="C26" s="6" t="inlineStr">
        <is>
          <t>Control missing — immediate remediation required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6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 ht="30" customHeight="1">
      <c r="A1" s="10" t="inlineStr">
        <is>
          <t>TOM CONTROL INVENTORY</t>
        </is>
      </c>
    </row>
    <row r="2">
      <c r="A2" s="11" t="inlineStr">
        <is>
          <t>TOM ID</t>
        </is>
      </c>
      <c r="B2" s="11" t="inlineStr">
        <is>
          <t>TOM Category</t>
        </is>
      </c>
      <c r="C2" s="11" t="inlineStr">
        <is>
          <t>TOM Type</t>
        </is>
      </c>
      <c r="D2" s="11" t="inlineStr">
        <is>
          <t>Implementation Status</t>
        </is>
      </c>
      <c r="E2" s="11" t="inlineStr">
        <is>
          <t>Implementation Date</t>
        </is>
      </c>
      <c r="F2" s="11" t="inlineStr">
        <is>
          <t>Description of Implementation</t>
        </is>
      </c>
      <c r="G2" s="11" t="inlineStr">
        <is>
          <t>Evidence Reference</t>
        </is>
      </c>
      <c r="H2" s="11" t="inlineStr">
        <is>
          <t>Effectiveness Rating</t>
        </is>
      </c>
      <c r="I2" s="11" t="inlineStr">
        <is>
          <t>Last Test Date</t>
        </is>
      </c>
      <c r="J2" s="11" t="inlineStr">
        <is>
          <t>Gaps Identified</t>
        </is>
      </c>
      <c r="K2" s="11" t="inlineStr">
        <is>
          <t>Risk Level</t>
        </is>
      </c>
      <c r="L2" s="11" t="inlineStr">
        <is>
          <t>Remediation Plan</t>
        </is>
      </c>
      <c r="M2" s="11" t="inlineStr">
        <is>
          <t>Remediation Owner</t>
        </is>
      </c>
      <c r="N2" s="11" t="inlineStr">
        <is>
          <t>Target Completion Date</t>
        </is>
      </c>
    </row>
    <row r="3">
      <c r="A3" t="inlineStr">
        <is>
          <t>T1</t>
        </is>
      </c>
      <c r="B3" t="inlineStr">
        <is>
          <t>Encryption</t>
        </is>
      </c>
      <c r="C3" t="inlineStr">
        <is>
          <t>Technical</t>
        </is>
      </c>
    </row>
    <row r="4">
      <c r="A4" t="inlineStr">
        <is>
          <t>T2</t>
        </is>
      </c>
      <c r="B4" t="inlineStr">
        <is>
          <t>Access Control</t>
        </is>
      </c>
      <c r="C4" t="inlineStr">
        <is>
          <t>Technical</t>
        </is>
      </c>
    </row>
    <row r="5">
      <c r="A5" t="inlineStr">
        <is>
          <t>T3</t>
        </is>
      </c>
      <c r="B5" t="inlineStr">
        <is>
          <t>Pseudonymization/Anonymization</t>
        </is>
      </c>
      <c r="C5" t="inlineStr">
        <is>
          <t>Technical</t>
        </is>
      </c>
    </row>
    <row r="6">
      <c r="A6" t="inlineStr">
        <is>
          <t>T4</t>
        </is>
      </c>
      <c r="B6" t="inlineStr">
        <is>
          <t>Data Minimization</t>
        </is>
      </c>
      <c r="C6" t="inlineStr">
        <is>
          <t>Technical</t>
        </is>
      </c>
    </row>
    <row r="7">
      <c r="A7" t="inlineStr">
        <is>
          <t>T5</t>
        </is>
      </c>
      <c r="B7" t="inlineStr">
        <is>
          <t>Security Monitoring &amp; Logging</t>
        </is>
      </c>
      <c r="C7" t="inlineStr">
        <is>
          <t>Technical</t>
        </is>
      </c>
    </row>
    <row r="8">
      <c r="A8" t="inlineStr">
        <is>
          <t>T6</t>
        </is>
      </c>
      <c r="B8" t="inlineStr">
        <is>
          <t>Network Security</t>
        </is>
      </c>
      <c r="C8" t="inlineStr">
        <is>
          <t>Technical</t>
        </is>
      </c>
    </row>
    <row r="9">
      <c r="A9" t="inlineStr">
        <is>
          <t>T7</t>
        </is>
      </c>
      <c r="B9" t="inlineStr">
        <is>
          <t>Application Security</t>
        </is>
      </c>
      <c r="C9" t="inlineStr">
        <is>
          <t>Technical</t>
        </is>
      </c>
    </row>
    <row r="10">
      <c r="A10" t="inlineStr">
        <is>
          <t>T8</t>
        </is>
      </c>
      <c r="B10" t="inlineStr">
        <is>
          <t>Endpoint Security</t>
        </is>
      </c>
      <c r="C10" t="inlineStr">
        <is>
          <t>Technical</t>
        </is>
      </c>
    </row>
    <row r="11">
      <c r="A11" t="inlineStr">
        <is>
          <t>T9</t>
        </is>
      </c>
      <c r="B11" t="inlineStr">
        <is>
          <t>Backup &amp; Recovery</t>
        </is>
      </c>
      <c r="C11" t="inlineStr">
        <is>
          <t>Technical</t>
        </is>
      </c>
    </row>
    <row r="12">
      <c r="A12" t="inlineStr">
        <is>
          <t>T10</t>
        </is>
      </c>
      <c r="B12" t="inlineStr">
        <is>
          <t>Physical Security</t>
        </is>
      </c>
      <c r="C12" t="inlineStr">
        <is>
          <t>Technical</t>
        </is>
      </c>
    </row>
    <row r="13">
      <c r="A13" t="inlineStr">
        <is>
          <t>O1</t>
        </is>
      </c>
      <c r="B13" t="inlineStr">
        <is>
          <t>Policies &amp; Procedures</t>
        </is>
      </c>
      <c r="C13" t="inlineStr">
        <is>
          <t>Organisational</t>
        </is>
      </c>
    </row>
    <row r="14">
      <c r="A14" t="inlineStr">
        <is>
          <t>O2</t>
        </is>
      </c>
      <c r="B14" t="inlineStr">
        <is>
          <t>Staff Training &amp; Awareness</t>
        </is>
      </c>
      <c r="C14" t="inlineStr">
        <is>
          <t>Organisational</t>
        </is>
      </c>
    </row>
    <row r="15">
      <c r="A15" t="inlineStr">
        <is>
          <t>O3</t>
        </is>
      </c>
      <c r="B15" t="inlineStr">
        <is>
          <t>Incident Response &amp; Breach Notification</t>
        </is>
      </c>
      <c r="C15" t="inlineStr">
        <is>
          <t>Organisational</t>
        </is>
      </c>
    </row>
    <row r="16">
      <c r="A16" t="inlineStr">
        <is>
          <t>O4</t>
        </is>
      </c>
      <c r="B16" t="inlineStr">
        <is>
          <t>Vendor Management</t>
        </is>
      </c>
      <c r="C16" t="inlineStr">
        <is>
          <t>Organisational</t>
        </is>
      </c>
    </row>
    <row r="17">
      <c r="A17" t="inlineStr">
        <is>
          <t>O5</t>
        </is>
      </c>
      <c r="B17" t="inlineStr">
        <is>
          <t>Data Protection by Design/Default</t>
        </is>
      </c>
      <c r="C17" t="inlineStr">
        <is>
          <t>Organisational</t>
        </is>
      </c>
    </row>
    <row r="18">
      <c r="A18" t="inlineStr">
        <is>
          <t>O6</t>
        </is>
      </c>
      <c r="B18" t="inlineStr">
        <is>
          <t>Accountability &amp; Governance</t>
        </is>
      </c>
      <c r="C18" t="inlineStr">
        <is>
          <t>Organisational</t>
        </is>
      </c>
    </row>
    <row r="19">
      <c r="A19" t="inlineStr">
        <is>
          <t>O7</t>
        </is>
      </c>
      <c r="B19" t="inlineStr">
        <is>
          <t>Risk Management</t>
        </is>
      </c>
      <c r="C19" t="inlineStr">
        <is>
          <t>Organisational</t>
        </is>
      </c>
    </row>
    <row r="20">
      <c r="A20" t="inlineStr">
        <is>
          <t>O8</t>
        </is>
      </c>
      <c r="B20" t="inlineStr">
        <is>
          <t>Compliance Monitoring &amp; Audit</t>
        </is>
      </c>
      <c r="C20" t="inlineStr">
        <is>
          <t>Organisational</t>
        </is>
      </c>
    </row>
    <row r="21">
      <c r="A21" t="inlineStr">
        <is>
          <t>O9</t>
        </is>
      </c>
      <c r="B21" t="inlineStr">
        <is>
          <t>Documentation &amp; Records</t>
        </is>
      </c>
      <c r="C21" t="inlineStr">
        <is>
          <t>Organisational</t>
        </is>
      </c>
    </row>
    <row r="22">
      <c r="A22" t="inlineStr">
        <is>
          <t>O10</t>
        </is>
      </c>
      <c r="B22" t="inlineStr">
        <is>
          <t>Business Continuity</t>
        </is>
      </c>
      <c r="C22" t="inlineStr">
        <is>
          <t>Organisational</t>
        </is>
      </c>
    </row>
  </sheetData>
  <mergeCells count="1">
    <mergeCell ref="A1:N1"/>
  </mergeCells>
  <conditionalFormatting sqref="D3:D22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3:K22">
    <cfRule type="cellIs" priority="4" operator="equal" dxfId="3">
      <formula>"Critical"</formula>
    </cfRule>
    <cfRule type="cellIs" priority="5" operator="equal" dxfId="4">
      <formula>"High"</formula>
    </cfRule>
  </conditionalFormatting>
  <dataValidations count="3">
    <dataValidation sqref="D3:D22" showDropDown="0" showInputMessage="0" showErrorMessage="0" allowBlank="1" type="list">
      <formula1>"Implemented,Partially Implemented,Planned,Not Implemented"</formula1>
    </dataValidation>
    <dataValidation sqref="H3:H22" showDropDown="0" showInputMessage="0" showErrorMessage="0" allowBlank="1" type="list">
      <formula1>"Effective,Partially Effective,Ineffective,Not Tested"</formula1>
    </dataValidation>
    <dataValidation sqref="K3:K22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10" t="inlineStr">
        <is>
          <t>TECHNICAL MEASURES DEEP-DIVE (T1-T10)</t>
        </is>
      </c>
    </row>
    <row r="3">
      <c r="A3" s="12" t="inlineStr">
        <is>
          <t>T1 - ENCRYPTION</t>
        </is>
      </c>
    </row>
    <row r="4">
      <c r="A4" s="3" t="inlineStr">
        <is>
          <t>Technologies Deployed:</t>
        </is>
      </c>
    </row>
    <row r="5">
      <c r="A5" s="3" t="inlineStr">
        <is>
          <t>Configuration Details:</t>
        </is>
      </c>
    </row>
    <row r="6">
      <c r="A6" s="3" t="inlineStr">
        <is>
          <t>Coverage (%):</t>
        </is>
      </c>
    </row>
    <row r="7">
      <c r="A7" s="3" t="inlineStr">
        <is>
          <t>Exceptions:</t>
        </is>
      </c>
    </row>
    <row r="8">
      <c r="A8" s="3" t="inlineStr">
        <is>
          <t>Integration Notes:</t>
        </is>
      </c>
    </row>
    <row r="10">
      <c r="A10" s="12" t="inlineStr">
        <is>
          <t>T2 - ACCESS CONTROL</t>
        </is>
      </c>
    </row>
    <row r="11">
      <c r="A11" s="3" t="inlineStr">
        <is>
          <t>Technologies Deployed:</t>
        </is>
      </c>
    </row>
    <row r="12">
      <c r="A12" s="3" t="inlineStr">
        <is>
          <t>Configuration Details:</t>
        </is>
      </c>
    </row>
    <row r="13">
      <c r="A13" s="3" t="inlineStr">
        <is>
          <t>Coverage (%):</t>
        </is>
      </c>
    </row>
    <row r="14">
      <c r="A14" s="3" t="inlineStr">
        <is>
          <t>Exceptions:</t>
        </is>
      </c>
    </row>
    <row r="15">
      <c r="A15" s="3" t="inlineStr">
        <is>
          <t>Integration Notes:</t>
        </is>
      </c>
    </row>
    <row r="17">
      <c r="A17" s="12" t="inlineStr">
        <is>
          <t>T3 - PSEUDONYMIZATION/ANONYMIZATION</t>
        </is>
      </c>
    </row>
    <row r="18">
      <c r="A18" s="3" t="inlineStr">
        <is>
          <t>Technologies Deployed:</t>
        </is>
      </c>
    </row>
    <row r="19">
      <c r="A19" s="3" t="inlineStr">
        <is>
          <t>Configuration Details:</t>
        </is>
      </c>
    </row>
    <row r="20">
      <c r="A20" s="3" t="inlineStr">
        <is>
          <t>Coverage (%):</t>
        </is>
      </c>
    </row>
    <row r="21">
      <c r="A21" s="3" t="inlineStr">
        <is>
          <t>Exceptions:</t>
        </is>
      </c>
    </row>
    <row r="22">
      <c r="A22" s="3" t="inlineStr">
        <is>
          <t>Integration Notes:</t>
        </is>
      </c>
    </row>
    <row r="24">
      <c r="A24" s="12" t="inlineStr">
        <is>
          <t>T4 - DATA MINIMIZATION</t>
        </is>
      </c>
    </row>
    <row r="25">
      <c r="A25" s="3" t="inlineStr">
        <is>
          <t>Technologies Deployed:</t>
        </is>
      </c>
    </row>
    <row r="26">
      <c r="A26" s="3" t="inlineStr">
        <is>
          <t>Configuration Details:</t>
        </is>
      </c>
    </row>
    <row r="27">
      <c r="A27" s="3" t="inlineStr">
        <is>
          <t>Coverage (%):</t>
        </is>
      </c>
    </row>
    <row r="28">
      <c r="A28" s="3" t="inlineStr">
        <is>
          <t>Exceptions:</t>
        </is>
      </c>
    </row>
    <row r="29">
      <c r="A29" s="3" t="inlineStr">
        <is>
          <t>Integration Notes:</t>
        </is>
      </c>
    </row>
    <row r="31">
      <c r="A31" s="12" t="inlineStr">
        <is>
          <t>T5 - SECURITY MONITORING &amp; LOGGING</t>
        </is>
      </c>
    </row>
    <row r="32">
      <c r="A32" s="3" t="inlineStr">
        <is>
          <t>Technologies Deployed:</t>
        </is>
      </c>
    </row>
    <row r="33">
      <c r="A33" s="3" t="inlineStr">
        <is>
          <t>Configuration Details:</t>
        </is>
      </c>
    </row>
    <row r="34">
      <c r="A34" s="3" t="inlineStr">
        <is>
          <t>Coverage (%):</t>
        </is>
      </c>
    </row>
    <row r="35">
      <c r="A35" s="3" t="inlineStr">
        <is>
          <t>Exceptions:</t>
        </is>
      </c>
    </row>
    <row r="36">
      <c r="A36" s="3" t="inlineStr">
        <is>
          <t>Integration Notes:</t>
        </is>
      </c>
    </row>
    <row r="38">
      <c r="A38" s="12" t="inlineStr">
        <is>
          <t>T6 - NETWORK SECURITY</t>
        </is>
      </c>
    </row>
    <row r="39">
      <c r="A39" s="3" t="inlineStr">
        <is>
          <t>Technologies Deployed:</t>
        </is>
      </c>
    </row>
    <row r="40">
      <c r="A40" s="3" t="inlineStr">
        <is>
          <t>Configuration Details:</t>
        </is>
      </c>
    </row>
    <row r="41">
      <c r="A41" s="3" t="inlineStr">
        <is>
          <t>Coverage (%):</t>
        </is>
      </c>
    </row>
    <row r="42">
      <c r="A42" s="3" t="inlineStr">
        <is>
          <t>Exceptions:</t>
        </is>
      </c>
    </row>
    <row r="43">
      <c r="A43" s="3" t="inlineStr">
        <is>
          <t>Integration Notes:</t>
        </is>
      </c>
    </row>
    <row r="45">
      <c r="A45" s="12" t="inlineStr">
        <is>
          <t>T7 - APPLICATION SECURITY</t>
        </is>
      </c>
    </row>
    <row r="46">
      <c r="A46" s="3" t="inlineStr">
        <is>
          <t>Technologies Deployed:</t>
        </is>
      </c>
    </row>
    <row r="47">
      <c r="A47" s="3" t="inlineStr">
        <is>
          <t>Configuration Details:</t>
        </is>
      </c>
    </row>
    <row r="48">
      <c r="A48" s="3" t="inlineStr">
        <is>
          <t>Coverage (%):</t>
        </is>
      </c>
    </row>
    <row r="49">
      <c r="A49" s="3" t="inlineStr">
        <is>
          <t>Exceptions:</t>
        </is>
      </c>
    </row>
    <row r="50">
      <c r="A50" s="3" t="inlineStr">
        <is>
          <t>Integration Notes:</t>
        </is>
      </c>
    </row>
    <row r="52">
      <c r="A52" s="12" t="inlineStr">
        <is>
          <t>T8 - ENDPOINT SECURITY</t>
        </is>
      </c>
    </row>
    <row r="53">
      <c r="A53" s="3" t="inlineStr">
        <is>
          <t>Technologies Deployed:</t>
        </is>
      </c>
    </row>
    <row r="54">
      <c r="A54" s="3" t="inlineStr">
        <is>
          <t>Configuration Details:</t>
        </is>
      </c>
    </row>
    <row r="55">
      <c r="A55" s="3" t="inlineStr">
        <is>
          <t>Coverage (%):</t>
        </is>
      </c>
    </row>
    <row r="56">
      <c r="A56" s="3" t="inlineStr">
        <is>
          <t>Exceptions:</t>
        </is>
      </c>
    </row>
    <row r="57">
      <c r="A57" s="3" t="inlineStr">
        <is>
          <t>Integration Notes:</t>
        </is>
      </c>
    </row>
    <row r="59">
      <c r="A59" s="12" t="inlineStr">
        <is>
          <t>T9 - BACKUP &amp; RECOVERY</t>
        </is>
      </c>
    </row>
    <row r="60">
      <c r="A60" s="3" t="inlineStr">
        <is>
          <t>Technologies Deployed:</t>
        </is>
      </c>
    </row>
    <row r="61">
      <c r="A61" s="3" t="inlineStr">
        <is>
          <t>Configuration Details:</t>
        </is>
      </c>
    </row>
    <row r="62">
      <c r="A62" s="3" t="inlineStr">
        <is>
          <t>Coverage (%):</t>
        </is>
      </c>
    </row>
    <row r="63">
      <c r="A63" s="3" t="inlineStr">
        <is>
          <t>Exceptions:</t>
        </is>
      </c>
    </row>
    <row r="64">
      <c r="A64" s="3" t="inlineStr">
        <is>
          <t>Integration Notes:</t>
        </is>
      </c>
    </row>
    <row r="66">
      <c r="A66" s="12" t="inlineStr">
        <is>
          <t>T10 - PHYSICAL SECURITY</t>
        </is>
      </c>
    </row>
    <row r="67">
      <c r="A67" s="3" t="inlineStr">
        <is>
          <t>Technologies Deployed:</t>
        </is>
      </c>
    </row>
    <row r="68">
      <c r="A68" s="3" t="inlineStr">
        <is>
          <t>Configuration Details:</t>
        </is>
      </c>
    </row>
    <row r="69">
      <c r="A69" s="3" t="inlineStr">
        <is>
          <t>Coverage (%):</t>
        </is>
      </c>
    </row>
    <row r="70">
      <c r="A70" s="3" t="inlineStr">
        <is>
          <t>Exceptions:</t>
        </is>
      </c>
    </row>
    <row r="71">
      <c r="A71" s="3" t="inlineStr">
        <is>
          <t>Integration Notes: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0" t="inlineStr">
        <is>
          <t>ORGANISATIONAL MEASURES DEEP-DIVE (O1-O10)</t>
        </is>
      </c>
    </row>
    <row r="3">
      <c r="A3" s="12" t="inlineStr">
        <is>
          <t>O1 - POLICIES &amp; PROCEDURES</t>
        </is>
      </c>
    </row>
    <row r="4">
      <c r="A4" s="3" t="inlineStr">
        <is>
          <t>Policies/Procedures:</t>
        </is>
      </c>
    </row>
    <row r="5">
      <c r="A5" s="3" t="inlineStr">
        <is>
          <t>Training/Communication:</t>
        </is>
      </c>
    </row>
    <row r="6">
      <c r="A6" s="3" t="inlineStr">
        <is>
          <t>Governance Structure:</t>
        </is>
      </c>
    </row>
    <row r="7">
      <c r="A7" s="3" t="inlineStr">
        <is>
          <t>Monitoring Method:</t>
        </is>
      </c>
    </row>
    <row r="8">
      <c r="A8" s="3" t="inlineStr">
        <is>
          <t>Improvement Process:</t>
        </is>
      </c>
    </row>
    <row r="10">
      <c r="A10" s="12" t="inlineStr">
        <is>
          <t>O2 - STAFF TRAINING &amp; AWARENESS</t>
        </is>
      </c>
    </row>
    <row r="11">
      <c r="A11" s="3" t="inlineStr">
        <is>
          <t>Policies/Procedures:</t>
        </is>
      </c>
    </row>
    <row r="12">
      <c r="A12" s="3" t="inlineStr">
        <is>
          <t>Training/Communication:</t>
        </is>
      </c>
    </row>
    <row r="13">
      <c r="A13" s="3" t="inlineStr">
        <is>
          <t>Governance Structure:</t>
        </is>
      </c>
    </row>
    <row r="14">
      <c r="A14" s="3" t="inlineStr">
        <is>
          <t>Monitoring Method:</t>
        </is>
      </c>
    </row>
    <row r="15">
      <c r="A15" s="3" t="inlineStr">
        <is>
          <t>Improvement Process:</t>
        </is>
      </c>
    </row>
    <row r="17">
      <c r="A17" s="12" t="inlineStr">
        <is>
          <t>O3 - INCIDENT RESPONSE &amp; BREACH NOTIFICATION</t>
        </is>
      </c>
    </row>
    <row r="18">
      <c r="A18" s="3" t="inlineStr">
        <is>
          <t>Policies/Procedures:</t>
        </is>
      </c>
    </row>
    <row r="19">
      <c r="A19" s="3" t="inlineStr">
        <is>
          <t>Training/Communication:</t>
        </is>
      </c>
    </row>
    <row r="20">
      <c r="A20" s="3" t="inlineStr">
        <is>
          <t>Governance Structure:</t>
        </is>
      </c>
    </row>
    <row r="21">
      <c r="A21" s="3" t="inlineStr">
        <is>
          <t>Monitoring Method:</t>
        </is>
      </c>
    </row>
    <row r="22">
      <c r="A22" s="3" t="inlineStr">
        <is>
          <t>Improvement Process:</t>
        </is>
      </c>
    </row>
    <row r="24">
      <c r="A24" s="12" t="inlineStr">
        <is>
          <t>O4 - VENDOR MANAGEMENT</t>
        </is>
      </c>
    </row>
    <row r="25">
      <c r="A25" s="3" t="inlineStr">
        <is>
          <t>Policies/Procedures:</t>
        </is>
      </c>
    </row>
    <row r="26">
      <c r="A26" s="3" t="inlineStr">
        <is>
          <t>Training/Communication:</t>
        </is>
      </c>
    </row>
    <row r="27">
      <c r="A27" s="3" t="inlineStr">
        <is>
          <t>Governance Structure:</t>
        </is>
      </c>
    </row>
    <row r="28">
      <c r="A28" s="3" t="inlineStr">
        <is>
          <t>Monitoring Method:</t>
        </is>
      </c>
    </row>
    <row r="29">
      <c r="A29" s="3" t="inlineStr">
        <is>
          <t>Improvement Process:</t>
        </is>
      </c>
    </row>
    <row r="31">
      <c r="A31" s="12" t="inlineStr">
        <is>
          <t>O5 - DATA PROTECTION BY DESIGN/DEFAULT</t>
        </is>
      </c>
    </row>
    <row r="32">
      <c r="A32" s="3" t="inlineStr">
        <is>
          <t>Policies/Procedures:</t>
        </is>
      </c>
    </row>
    <row r="33">
      <c r="A33" s="3" t="inlineStr">
        <is>
          <t>Training/Communication:</t>
        </is>
      </c>
    </row>
    <row r="34">
      <c r="A34" s="3" t="inlineStr">
        <is>
          <t>Governance Structure:</t>
        </is>
      </c>
    </row>
    <row r="35">
      <c r="A35" s="3" t="inlineStr">
        <is>
          <t>Monitoring Method:</t>
        </is>
      </c>
    </row>
    <row r="36">
      <c r="A36" s="3" t="inlineStr">
        <is>
          <t>Improvement Process:</t>
        </is>
      </c>
    </row>
    <row r="38">
      <c r="A38" s="12" t="inlineStr">
        <is>
          <t>O6 - ACCOUNTABILITY &amp; GOVERNANCE</t>
        </is>
      </c>
    </row>
    <row r="39">
      <c r="A39" s="3" t="inlineStr">
        <is>
          <t>Policies/Procedures:</t>
        </is>
      </c>
    </row>
    <row r="40">
      <c r="A40" s="3" t="inlineStr">
        <is>
          <t>Training/Communication:</t>
        </is>
      </c>
    </row>
    <row r="41">
      <c r="A41" s="3" t="inlineStr">
        <is>
          <t>Governance Structure:</t>
        </is>
      </c>
    </row>
    <row r="42">
      <c r="A42" s="3" t="inlineStr">
        <is>
          <t>Monitoring Method:</t>
        </is>
      </c>
    </row>
    <row r="43">
      <c r="A43" s="3" t="inlineStr">
        <is>
          <t>Improvement Process:</t>
        </is>
      </c>
    </row>
    <row r="45">
      <c r="A45" s="12" t="inlineStr">
        <is>
          <t>O7 - RISK MANAGEMENT</t>
        </is>
      </c>
    </row>
    <row r="46">
      <c r="A46" s="3" t="inlineStr">
        <is>
          <t>Policies/Procedures:</t>
        </is>
      </c>
    </row>
    <row r="47">
      <c r="A47" s="3" t="inlineStr">
        <is>
          <t>Training/Communication:</t>
        </is>
      </c>
    </row>
    <row r="48">
      <c r="A48" s="3" t="inlineStr">
        <is>
          <t>Governance Structure:</t>
        </is>
      </c>
    </row>
    <row r="49">
      <c r="A49" s="3" t="inlineStr">
        <is>
          <t>Monitoring Method:</t>
        </is>
      </c>
    </row>
    <row r="50">
      <c r="A50" s="3" t="inlineStr">
        <is>
          <t>Improvement Process:</t>
        </is>
      </c>
    </row>
    <row r="52">
      <c r="A52" s="12" t="inlineStr">
        <is>
          <t>O8 - COMPLIANCE MONITORING &amp; AUDIT</t>
        </is>
      </c>
    </row>
    <row r="53">
      <c r="A53" s="3" t="inlineStr">
        <is>
          <t>Policies/Procedures:</t>
        </is>
      </c>
    </row>
    <row r="54">
      <c r="A54" s="3" t="inlineStr">
        <is>
          <t>Training/Communication:</t>
        </is>
      </c>
    </row>
    <row r="55">
      <c r="A55" s="3" t="inlineStr">
        <is>
          <t>Governance Structure:</t>
        </is>
      </c>
    </row>
    <row r="56">
      <c r="A56" s="3" t="inlineStr">
        <is>
          <t>Monitoring Method:</t>
        </is>
      </c>
    </row>
    <row r="57">
      <c r="A57" s="3" t="inlineStr">
        <is>
          <t>Improvement Process:</t>
        </is>
      </c>
    </row>
    <row r="59">
      <c r="A59" s="12" t="inlineStr">
        <is>
          <t>O9 - DOCUMENTATION &amp; RECORDS</t>
        </is>
      </c>
    </row>
    <row r="60">
      <c r="A60" s="3" t="inlineStr">
        <is>
          <t>Policies/Procedures:</t>
        </is>
      </c>
    </row>
    <row r="61">
      <c r="A61" s="3" t="inlineStr">
        <is>
          <t>Training/Communication:</t>
        </is>
      </c>
    </row>
    <row r="62">
      <c r="A62" s="3" t="inlineStr">
        <is>
          <t>Governance Structure:</t>
        </is>
      </c>
    </row>
    <row r="63">
      <c r="A63" s="3" t="inlineStr">
        <is>
          <t>Monitoring Method:</t>
        </is>
      </c>
    </row>
    <row r="64">
      <c r="A64" s="3" t="inlineStr">
        <is>
          <t>Improvement Process:</t>
        </is>
      </c>
    </row>
    <row r="66">
      <c r="A66" s="12" t="inlineStr">
        <is>
          <t>O10 - BUSINESS CONTINUITY</t>
        </is>
      </c>
    </row>
    <row r="67">
      <c r="A67" s="3" t="inlineStr">
        <is>
          <t>Policies/Procedures:</t>
        </is>
      </c>
    </row>
    <row r="68">
      <c r="A68" s="3" t="inlineStr">
        <is>
          <t>Training/Communication:</t>
        </is>
      </c>
    </row>
    <row r="69">
      <c r="A69" s="3" t="inlineStr">
        <is>
          <t>Governance Structure:</t>
        </is>
      </c>
    </row>
    <row r="70">
      <c r="A70" s="3" t="inlineStr">
        <is>
          <t>Monitoring Method:</t>
        </is>
      </c>
    </row>
    <row r="71">
      <c r="A71" s="3" t="inlineStr">
        <is>
          <t>Improvement Process: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 ht="30" customHeight="1">
      <c r="A1" s="10" t="inlineStr">
        <is>
          <t>EVIDENCE REPOSITORY</t>
        </is>
      </c>
    </row>
    <row r="2">
      <c r="A2" s="11" t="inlineStr">
        <is>
          <t>Evidence ID</t>
        </is>
      </c>
      <c r="B2" s="11" t="inlineStr">
        <is>
          <t>TOM ID</t>
        </is>
      </c>
      <c r="C2" s="11" t="inlineStr">
        <is>
          <t>Evidence Type</t>
        </is>
      </c>
      <c r="D2" s="11" t="inlineStr">
        <is>
          <t>Description</t>
        </is>
      </c>
      <c r="E2" s="11" t="inlineStr">
        <is>
          <t>File Location</t>
        </is>
      </c>
      <c r="F2" s="11" t="inlineStr">
        <is>
          <t>Evidence Date</t>
        </is>
      </c>
      <c r="G2" s="11" t="inlineStr">
        <is>
          <t>Verification Status</t>
        </is>
      </c>
      <c r="H2" s="11" t="inlineStr">
        <is>
          <t>Verified By</t>
        </is>
      </c>
      <c r="I2" s="11" t="inlineStr">
        <is>
          <t>Notes</t>
        </is>
      </c>
    </row>
  </sheetData>
  <mergeCells count="1">
    <mergeCell ref="A1:I1"/>
  </mergeCells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11" t="inlineStr">
        <is>
          <t>Gap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Likelihood</t>
        </is>
      </c>
      <c r="E1" s="11" t="inlineStr">
        <is>
          <t>Impact</t>
        </is>
      </c>
      <c r="F1" s="11" t="inlineStr">
        <is>
          <t>Overall Risk</t>
        </is>
      </c>
      <c r="G1" s="11" t="inlineStr">
        <is>
          <t>Risk Score</t>
        </is>
      </c>
      <c r="H1" s="11" t="inlineStr">
        <is>
          <t>Remediation Priority</t>
        </is>
      </c>
      <c r="I1" s="11" t="inlineStr">
        <is>
          <t>Residual Risk</t>
        </is>
      </c>
      <c r="J1" s="11" t="inlineStr">
        <is>
          <t>Acceptance Justification</t>
        </is>
      </c>
    </row>
    <row r="2"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</row>
    <row r="3"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</row>
    <row r="4"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</row>
    <row r="5"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</row>
    <row r="6"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</row>
    <row r="7"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</row>
    <row r="8"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</row>
    <row r="9"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</row>
    <row r="10"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</row>
    <row r="11"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</row>
    <row r="12"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</row>
    <row r="13"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</row>
    <row r="14"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</row>
    <row r="15"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</row>
    <row r="16"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</row>
    <row r="17"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</row>
    <row r="18"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</row>
    <row r="19"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</row>
    <row r="20"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</row>
    <row r="21"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</row>
    <row r="22"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</row>
    <row r="23"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</row>
    <row r="24"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</row>
    <row r="25"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</row>
    <row r="26"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</row>
    <row r="27"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</row>
    <row r="28"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</row>
    <row r="29"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</row>
    <row r="30"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</row>
    <row r="31"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</row>
    <row r="32"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</row>
    <row r="33"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</row>
    <row r="34"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</row>
    <row r="35"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</row>
    <row r="36"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</row>
    <row r="37"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</row>
    <row r="38"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</row>
    <row r="39"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</row>
    <row r="40"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</row>
    <row r="41"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</row>
    <row r="42"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</row>
    <row r="43"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</row>
    <row r="44"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</row>
    <row r="45"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</row>
    <row r="46"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</row>
    <row r="47"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</row>
    <row r="48"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</row>
    <row r="49"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</row>
    <row r="50"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</row>
    <row r="51"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</row>
    <row r="52"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</row>
    <row r="53"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</row>
    <row r="54"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</row>
    <row r="55"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</row>
    <row r="56"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</row>
    <row r="57"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</row>
    <row r="58"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</row>
    <row r="59"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</row>
    <row r="60"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</row>
    <row r="61"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</row>
    <row r="62"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</row>
    <row r="63"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</row>
    <row r="64"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</row>
    <row r="65"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</row>
    <row r="66"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</row>
    <row r="67"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</row>
    <row r="68"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</row>
    <row r="69"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</row>
    <row r="70"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</row>
    <row r="71"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</row>
    <row r="72"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</row>
    <row r="73"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</row>
    <row r="74"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</row>
    <row r="75"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</row>
    <row r="76"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</row>
    <row r="77"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</row>
    <row r="78"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</row>
    <row r="79"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</row>
    <row r="80"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</row>
    <row r="81"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</row>
    <row r="82"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</row>
    <row r="83"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</row>
    <row r="84"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</row>
    <row r="85"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</row>
    <row r="86"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</row>
    <row r="87"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</row>
    <row r="88"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</row>
    <row r="89"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</row>
    <row r="90"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</row>
    <row r="91"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</row>
    <row r="92"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</row>
    <row r="93"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</row>
    <row r="94"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</row>
    <row r="95"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</row>
    <row r="96"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</row>
    <row r="97"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</row>
    <row r="98"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</row>
    <row r="99"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</row>
    <row r="100"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</row>
    <row r="101"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</row>
    <row r="102"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</row>
    <row r="103"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</row>
    <row r="104"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</row>
    <row r="105"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</row>
    <row r="106"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</row>
    <row r="107"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</row>
    <row r="108"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</row>
    <row r="109"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</row>
    <row r="110"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</row>
    <row r="111"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</row>
    <row r="112"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</row>
    <row r="113"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</row>
    <row r="114"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</row>
    <row r="115"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</row>
    <row r="116"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</row>
    <row r="117"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</row>
    <row r="118"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</row>
    <row r="119"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</row>
    <row r="120"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</row>
    <row r="121"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</row>
    <row r="122"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</row>
    <row r="123"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</row>
    <row r="124"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</row>
    <row r="125"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</row>
    <row r="126"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</row>
    <row r="127"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</row>
    <row r="128"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</row>
    <row r="129"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</row>
    <row r="130"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</row>
    <row r="131"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</row>
    <row r="132"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</row>
    <row r="133"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</row>
    <row r="134"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</row>
    <row r="135"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</row>
    <row r="136"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</row>
    <row r="137"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</row>
    <row r="138"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</row>
    <row r="139"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</row>
    <row r="140"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</row>
    <row r="141"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</row>
    <row r="142"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</row>
    <row r="143"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</row>
    <row r="144"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</row>
    <row r="145"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</row>
    <row r="146"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</row>
    <row r="147"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</row>
    <row r="148"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</row>
    <row r="149"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</row>
    <row r="150"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</row>
    <row r="151"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</row>
    <row r="152"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</row>
    <row r="153"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</row>
    <row r="154"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</row>
    <row r="155"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</row>
    <row r="156"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</row>
    <row r="157"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</row>
    <row r="158"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</row>
    <row r="159"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</row>
    <row r="160"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</row>
    <row r="161"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</row>
    <row r="162"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</row>
    <row r="163"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</row>
    <row r="164"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</row>
    <row r="165"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</row>
    <row r="166"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</row>
    <row r="167"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</row>
    <row r="168"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</row>
    <row r="169"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</row>
    <row r="170"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</row>
    <row r="171"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</row>
    <row r="172"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</row>
    <row r="173"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</row>
    <row r="174"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</row>
    <row r="175"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</row>
    <row r="176"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</row>
    <row r="177"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</row>
    <row r="178"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</row>
    <row r="179"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</row>
    <row r="180"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</row>
    <row r="181"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</row>
    <row r="182"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</row>
    <row r="183"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</row>
    <row r="184"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</row>
    <row r="185"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</row>
    <row r="186"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</row>
    <row r="187"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</row>
    <row r="188"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</row>
    <row r="189"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</row>
    <row r="190"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</row>
    <row r="191"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</row>
    <row r="192"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</row>
    <row r="193"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</row>
    <row r="194"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</row>
    <row r="195"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</row>
    <row r="196"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</row>
    <row r="197"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</row>
    <row r="198"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</row>
    <row r="199"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</row>
    <row r="200"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</row>
  </sheetData>
  <conditionalFormatting sqref="F2:F200">
    <cfRule type="cellIs" priority="1" operator="equal" dxfId="3">
      <formula>"Critical"</formula>
    </cfRule>
    <cfRule type="cellIs" priority="2" operator="equal" dxfId="4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11" t="inlineStr">
        <is>
          <t>Action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Proposed Solution</t>
        </is>
      </c>
      <c r="E1" s="11" t="inlineStr">
        <is>
          <t>Owner</t>
        </is>
      </c>
      <c r="F1" s="11" t="inlineStr">
        <is>
          <t>Start Date</t>
        </is>
      </c>
      <c r="G1" s="11" t="inlineStr">
        <is>
          <t>Target Date</t>
        </is>
      </c>
      <c r="H1" s="11" t="inlineStr">
        <is>
          <t>Status</t>
        </is>
      </c>
      <c r="I1" s="11" t="inlineStr">
        <is>
          <t>% Complete</t>
        </is>
      </c>
      <c r="J1" s="11" t="inlineStr">
        <is>
          <t>Completion Date</t>
        </is>
      </c>
    </row>
  </sheetData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4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3" t="inlineStr">
        <is>
          <t>TECHNICAL AND ORGANISATIONAL MEASURES — SUMMARY DASHBOARD</t>
        </is>
      </c>
      <c r="B1" s="14" t="n"/>
      <c r="C1" s="14" t="n"/>
      <c r="D1" s="14" t="n"/>
      <c r="E1" s="14" t="n"/>
      <c r="F1" s="14" t="n"/>
      <c r="G1" s="14" t="n"/>
    </row>
    <row r="2">
      <c r="A2" s="15" t="inlineStr">
        <is>
          <t>ISO/IEC 27001:2022 — Control A.5.34: Privacy and Protection of Personally Identifiable Information (PII)</t>
        </is>
      </c>
    </row>
    <row r="4">
      <c r="A4" s="16" t="inlineStr">
        <is>
          <t>TABLE 1: ASSESSMENT AREA COMPLIANCE OVERVIEW</t>
        </is>
      </c>
      <c r="B4" s="14" t="n"/>
      <c r="C4" s="14" t="n"/>
      <c r="D4" s="14" t="n"/>
      <c r="E4" s="14" t="n"/>
      <c r="F4" s="14" t="n"/>
      <c r="G4" s="14" t="n"/>
    </row>
    <row r="5">
      <c r="A5" s="17" t="inlineStr">
        <is>
          <t>Assessment Area</t>
        </is>
      </c>
      <c r="B5" s="17" t="inlineStr">
        <is>
          <t>Total Items</t>
        </is>
      </c>
      <c r="C5" s="17" t="inlineStr">
        <is>
          <t>Compliant</t>
        </is>
      </c>
      <c r="D5" s="17" t="inlineStr">
        <is>
          <t>Partial</t>
        </is>
      </c>
      <c r="E5" s="17" t="inlineStr">
        <is>
          <t>Non-Compliant</t>
        </is>
      </c>
      <c r="F5" s="17" t="inlineStr">
        <is>
          <t>N/A</t>
        </is>
      </c>
      <c r="G5" s="17" t="inlineStr">
        <is>
          <t>Compliance %</t>
        </is>
      </c>
    </row>
    <row r="6">
      <c r="A6" s="18" t="inlineStr">
        <is>
          <t>TOM Control Inventory</t>
        </is>
      </c>
      <c r="B6" s="19">
        <f>COUNTA('2. TOM Control Inventory'!D3:D22)</f>
        <v/>
      </c>
      <c r="C6" s="19">
        <f>COUNTIF('2. TOM Control Inventory'!D3:D22,"Implemented")</f>
        <v/>
      </c>
      <c r="D6" s="19">
        <f>COUNTIF('2. TOM Control Inventory'!D3:D22,"Partially Implemented")</f>
        <v/>
      </c>
      <c r="E6" s="19">
        <f>COUNTIF('2. TOM Control Inventory'!D3:D22,"Not Implemented")</f>
        <v/>
      </c>
      <c r="F6" s="19">
        <f>COUNTIF('2. TOM Control Inventory'!D3:D22,"Planned")</f>
        <v/>
      </c>
      <c r="G6" s="20">
        <f>IF((B6-F6)=0,0,C6/(B6-F6))</f>
        <v/>
      </c>
    </row>
    <row r="7">
      <c r="A7" s="18" t="inlineStr">
        <is>
          <t>Control Effectiveness</t>
        </is>
      </c>
      <c r="B7" s="19">
        <f>COUNTA('2. TOM Control Inventory'!H3:H22)</f>
        <v/>
      </c>
      <c r="C7" s="19">
        <f>COUNTIF('2. TOM Control Inventory'!H3:H22,"Effective")</f>
        <v/>
      </c>
      <c r="D7" s="19">
        <f>COUNTIF('2. TOM Control Inventory'!H3:H22,"Partially Effective")</f>
        <v/>
      </c>
      <c r="E7" s="19">
        <f>COUNTIF('2. TOM Control Inventory'!H3:H22,"Ineffective")</f>
        <v/>
      </c>
      <c r="F7" s="19">
        <f>COUNTIF('2. TOM Control Inventory'!H3:H22,"Not Tested")</f>
        <v/>
      </c>
      <c r="G7" s="20">
        <f>IF((B7-F7)=0,0,C7/(B7-F7))</f>
        <v/>
      </c>
    </row>
    <row r="8">
      <c r="A8" s="18" t="inlineStr">
        <is>
          <t>Gap Analysis &amp; Risk</t>
        </is>
      </c>
      <c r="B8" s="19">
        <f>COUNTA('6. Gap Analysis &amp; Risk'!C2:C201)</f>
        <v/>
      </c>
      <c r="C8" s="19">
        <f>COUNTIF('6. Gap Analysis &amp; Risk'!F2:F201,"Low")</f>
        <v/>
      </c>
      <c r="D8" s="19">
        <f>COUNTIF('6. Gap Analysis &amp; Risk'!F2:F201,"Medium")</f>
        <v/>
      </c>
      <c r="E8" s="19">
        <f>COUNTIF('6. Gap Analysis &amp; Risk'!F2:F201,"High")+COUNTIF('6. Gap Analysis &amp; Risk'!F2:F201,"Critical")</f>
        <v/>
      </c>
      <c r="F8" s="19">
        <f>""</f>
        <v/>
      </c>
      <c r="G8" s="20">
        <f>IF((B8-F8)=0,0,C8/(B8-F8))</f>
        <v/>
      </c>
    </row>
    <row r="9">
      <c r="A9" s="18" t="inlineStr">
        <is>
          <t>Remediation Action Plan</t>
        </is>
      </c>
      <c r="B9" s="19">
        <f>COUNTA('7. Remediation Action Plan'!C2:C201)</f>
        <v/>
      </c>
      <c r="C9" s="19">
        <f>COUNTIF('7. Remediation Action Plan'!H2:H201,"Complete")</f>
        <v/>
      </c>
      <c r="D9" s="19">
        <f>COUNTIF('7. Remediation Action Plan'!H2:H201,"In Progress")</f>
        <v/>
      </c>
      <c r="E9" s="19">
        <f>COUNTIF('7. Remediation Action Plan'!H2:H201,"Not Started")</f>
        <v/>
      </c>
      <c r="F9" s="19">
        <f>COUNTIF('7. Remediation Action Plan'!H2:H201,"Cancelled")</f>
        <v/>
      </c>
      <c r="G9" s="20">
        <f>IF((B9-F9)=0,0,C9/(B9-F9))</f>
        <v/>
      </c>
    </row>
    <row r="10">
      <c r="A10" s="21" t="inlineStr">
        <is>
          <t>TOTAL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3">
        <f>IF((B10-F10)=0,0,C10/(B10-F10))</f>
        <v/>
      </c>
    </row>
    <row r="12">
      <c r="A12" s="16" t="inlineStr">
        <is>
          <t>TABLE 2: KEY METRICS</t>
        </is>
      </c>
      <c r="B12" s="14" t="n"/>
      <c r="C12" s="14" t="n"/>
      <c r="D12" s="14" t="n"/>
      <c r="E12" s="14" t="n"/>
      <c r="F12" s="14" t="n"/>
      <c r="G12" s="14" t="n"/>
    </row>
    <row r="13">
      <c r="A13" s="22" t="inlineStr">
        <is>
          <t>Metric</t>
        </is>
      </c>
      <c r="B13" s="22" t="inlineStr">
        <is>
          <t>Value</t>
        </is>
      </c>
      <c r="C13" s="22" t="n"/>
      <c r="D13" s="22" t="n"/>
      <c r="E13" s="22" t="n"/>
      <c r="F13" s="22" t="n"/>
      <c r="G13" s="22" t="n"/>
    </row>
    <row r="14">
      <c r="A14" s="18" t="inlineStr">
        <is>
          <t>Total TOMs in Inventory (GDPR Art. 32)</t>
        </is>
      </c>
      <c r="B14" s="19">
        <f>COUNTA('2. TOM Control Inventory'!D3:D22)</f>
        <v/>
      </c>
      <c r="C14" s="14" t="n"/>
      <c r="D14" s="14" t="n"/>
      <c r="E14" s="14" t="n"/>
      <c r="F14" s="14" t="n"/>
      <c r="G14" s="14" t="n"/>
    </row>
    <row r="15">
      <c r="A15" s="18" t="inlineStr">
        <is>
          <t>TOMs Fully Implemented</t>
        </is>
      </c>
      <c r="B15" s="19">
        <f>COUNTIF('2. TOM Control Inventory'!D3:D22,"Implemented")</f>
        <v/>
      </c>
      <c r="C15" s="14" t="n"/>
      <c r="D15" s="14" t="n"/>
      <c r="E15" s="14" t="n"/>
      <c r="F15" s="14" t="n"/>
      <c r="G15" s="14" t="n"/>
    </row>
    <row r="16">
      <c r="A16" s="18" t="inlineStr">
        <is>
          <t>TOMs Partially Implemented</t>
        </is>
      </c>
      <c r="B16" s="19">
        <f>COUNTIF('2. TOM Control Inventory'!D3:D22,"Partially Implemented")</f>
        <v/>
      </c>
      <c r="C16" s="14" t="n"/>
      <c r="D16" s="14" t="n"/>
      <c r="E16" s="14" t="n"/>
      <c r="F16" s="14" t="n"/>
      <c r="G16" s="14" t="n"/>
    </row>
    <row r="17">
      <c r="A17" s="18" t="inlineStr">
        <is>
          <t>TOMs Planned (Not Yet Implemented)</t>
        </is>
      </c>
      <c r="B17" s="19">
        <f>COUNTIF('2. TOM Control Inventory'!D3:D22,"Planned")</f>
        <v/>
      </c>
      <c r="C17" s="14" t="n"/>
      <c r="D17" s="14" t="n"/>
      <c r="E17" s="14" t="n"/>
      <c r="F17" s="14" t="n"/>
      <c r="G17" s="14" t="n"/>
    </row>
    <row r="18">
      <c r="A18" s="18" t="inlineStr">
        <is>
          <t>TOMs Not Implemented</t>
        </is>
      </c>
      <c r="B18" s="19">
        <f>COUNTIF('2. TOM Control Inventory'!D3:D22,"Not Implemented")</f>
        <v/>
      </c>
      <c r="C18" s="14" t="n"/>
      <c r="D18" s="14" t="n"/>
      <c r="E18" s="14" t="n"/>
      <c r="F18" s="14" t="n"/>
      <c r="G18" s="14" t="n"/>
    </row>
    <row r="19">
      <c r="A19" s="18" t="inlineStr">
        <is>
          <t>TOMs Fully Effective</t>
        </is>
      </c>
      <c r="B19" s="19">
        <f>COUNTIF('2. TOM Control Inventory'!H3:H22,"Effective")</f>
        <v/>
      </c>
      <c r="C19" s="14" t="n"/>
      <c r="D19" s="14" t="n"/>
      <c r="E19" s="14" t="n"/>
      <c r="F19" s="14" t="n"/>
      <c r="G19" s="14" t="n"/>
    </row>
    <row r="20">
      <c r="A20" s="18" t="inlineStr">
        <is>
          <t>TOMs Partially Effective</t>
        </is>
      </c>
      <c r="B20" s="19">
        <f>COUNTIF('2. TOM Control Inventory'!H3:H22,"Partially Effective")</f>
        <v/>
      </c>
      <c r="C20" s="14" t="n"/>
      <c r="D20" s="14" t="n"/>
      <c r="E20" s="14" t="n"/>
      <c r="F20" s="14" t="n"/>
      <c r="G20" s="14" t="n"/>
    </row>
    <row r="21">
      <c r="A21" s="18" t="inlineStr">
        <is>
          <t>TOMs Ineffective</t>
        </is>
      </c>
      <c r="B21" s="19">
        <f>COUNTIF('2. TOM Control Inventory'!H3:H22,"Ineffective")</f>
        <v/>
      </c>
      <c r="C21" s="14" t="n"/>
      <c r="D21" s="14" t="n"/>
      <c r="E21" s="14" t="n"/>
      <c r="F21" s="14" t="n"/>
      <c r="G21" s="14" t="n"/>
    </row>
    <row r="22">
      <c r="A22" s="18" t="inlineStr">
        <is>
          <t>TOMs Not Tested (No Effectiveness Data)</t>
        </is>
      </c>
      <c r="B22" s="19">
        <f>COUNTIF('2. TOM Control Inventory'!H3:H22,"Not Tested")</f>
        <v/>
      </c>
      <c r="C22" s="14" t="n"/>
      <c r="D22" s="14" t="n"/>
      <c r="E22" s="14" t="n"/>
      <c r="F22" s="14" t="n"/>
      <c r="G22" s="14" t="n"/>
    </row>
    <row r="23">
      <c r="A23" s="18" t="inlineStr">
        <is>
          <t>Critical Risk TOMs</t>
        </is>
      </c>
      <c r="B23" s="19">
        <f>COUNTIF('2. TOM Control Inventory'!K3:K22,"Critical")</f>
        <v/>
      </c>
      <c r="C23" s="14" t="n"/>
      <c r="D23" s="14" t="n"/>
      <c r="E23" s="14" t="n"/>
      <c r="F23" s="14" t="n"/>
      <c r="G23" s="14" t="n"/>
    </row>
    <row r="24">
      <c r="A24" s="18" t="inlineStr">
        <is>
          <t>High Risk TOMs</t>
        </is>
      </c>
      <c r="B24" s="19">
        <f>COUNTIF('2. TOM Control Inventory'!K3:K22,"High")</f>
        <v/>
      </c>
      <c r="C24" s="14" t="n"/>
      <c r="D24" s="14" t="n"/>
      <c r="E24" s="14" t="n"/>
      <c r="F24" s="14" t="n"/>
      <c r="G24" s="14" t="n"/>
    </row>
    <row r="25">
      <c r="A25" s="18" t="inlineStr">
        <is>
          <t>Total Gaps Identified</t>
        </is>
      </c>
      <c r="B25" s="19">
        <f>COUNTA('6. Gap Analysis &amp; Risk'!C2:C201)</f>
        <v/>
      </c>
      <c r="C25" s="14" t="n"/>
      <c r="D25" s="14" t="n"/>
      <c r="E25" s="14" t="n"/>
      <c r="F25" s="14" t="n"/>
      <c r="G25" s="14" t="n"/>
    </row>
    <row r="26">
      <c r="A26" s="18" t="inlineStr">
        <is>
          <t>Total Remediation Actions</t>
        </is>
      </c>
      <c r="B26" s="19">
        <f>COUNTA('7. Remediation Action Plan'!C2:C201)</f>
        <v/>
      </c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30">
      <c r="A30" s="24" t="inlineStr">
        <is>
          <t>TABLE 3: CRITICAL FINDINGS REQUIRING IMMEDIATE ATTENTION</t>
        </is>
      </c>
      <c r="B30" s="14" t="n"/>
      <c r="C30" s="14" t="n"/>
      <c r="D30" s="14" t="n"/>
      <c r="E30" s="14" t="n"/>
      <c r="F30" s="14" t="n"/>
      <c r="G30" s="14" t="n"/>
    </row>
    <row r="31">
      <c r="A31" s="22" t="inlineStr">
        <is>
          <t>Category</t>
        </is>
      </c>
      <c r="B31" s="22" t="inlineStr">
        <is>
          <t>Finding</t>
        </is>
      </c>
      <c r="C31" s="22" t="inlineStr">
        <is>
          <t>Count</t>
        </is>
      </c>
      <c r="D31" s="22" t="inlineStr">
        <is>
          <t>Severity</t>
        </is>
      </c>
      <c r="E31" s="22" t="inlineStr">
        <is>
          <t>Action Required</t>
        </is>
      </c>
      <c r="F31" s="22" t="n"/>
      <c r="G31" s="22" t="n"/>
    </row>
    <row r="32">
      <c r="A32" s="25" t="inlineStr">
        <is>
          <t>TOM Inventory</t>
        </is>
      </c>
      <c r="B32" s="25" t="inlineStr">
        <is>
          <t>Critical TOMs not implemented (GDPR Art. 32 violation)</t>
        </is>
      </c>
      <c r="C32" s="26">
        <f>COUNTIFS('2. TOM Control Inventory'!D3:D22,"Not Implemented",'2. TOM Control Inventory'!K3:K22,"Critical")</f>
        <v/>
      </c>
      <c r="D32" s="25" t="inlineStr">
        <is>
          <t>Critical</t>
        </is>
      </c>
      <c r="E32" s="25" t="inlineStr">
        <is>
          <t>Immediate</t>
        </is>
      </c>
      <c r="F32" s="25" t="n"/>
      <c r="G32" s="25" t="n"/>
    </row>
    <row r="33">
      <c r="A33" s="25" t="inlineStr">
        <is>
          <t>TOM Inventory</t>
        </is>
      </c>
      <c r="B33" s="25" t="inlineStr">
        <is>
          <t>Total TOMs not yet implemented</t>
        </is>
      </c>
      <c r="C33" s="26">
        <f>COUNTIF('2. TOM Control Inventory'!D3:D22,"Not Implemented")</f>
        <v/>
      </c>
      <c r="D33" s="25" t="inlineStr">
        <is>
          <t>Critical</t>
        </is>
      </c>
      <c r="E33" s="25" t="inlineStr">
        <is>
          <t>Immediate</t>
        </is>
      </c>
      <c r="F33" s="25" t="n"/>
      <c r="G33" s="25" t="n"/>
    </row>
    <row r="34">
      <c r="A34" s="25" t="inlineStr">
        <is>
          <t>TOM Inventory</t>
        </is>
      </c>
      <c r="B34" s="25" t="inlineStr">
        <is>
          <t>TOMs with ineffective controls</t>
        </is>
      </c>
      <c r="C34" s="26">
        <f>COUNTIF('2. TOM Control Inventory'!H3:H22,"Ineffective")</f>
        <v/>
      </c>
      <c r="D34" s="25" t="inlineStr">
        <is>
          <t>High</t>
        </is>
      </c>
      <c r="E34" s="25" t="inlineStr">
        <is>
          <t>Urgent</t>
        </is>
      </c>
      <c r="F34" s="25" t="n"/>
      <c r="G34" s="25" t="n"/>
    </row>
    <row r="35">
      <c r="A35" s="25" t="inlineStr">
        <is>
          <t>TOM Inventory</t>
        </is>
      </c>
      <c r="B35" s="25" t="inlineStr">
        <is>
          <t>TOMs not tested (no effectiveness data)</t>
        </is>
      </c>
      <c r="C35" s="26">
        <f>COUNTIF('2. TOM Control Inventory'!H3:H22,"Not Tested")</f>
        <v/>
      </c>
      <c r="D35" s="25" t="inlineStr">
        <is>
          <t>Medium</t>
        </is>
      </c>
      <c r="E35" s="25" t="inlineStr">
        <is>
          <t>Plan</t>
        </is>
      </c>
      <c r="F35" s="25" t="n"/>
      <c r="G35" s="25" t="n"/>
    </row>
    <row r="36">
      <c r="A36" s="25" t="inlineStr">
        <is>
          <t>Gap Analysis</t>
        </is>
      </c>
      <c r="B36" s="25" t="inlineStr">
        <is>
          <t>Critical risk gaps identified</t>
        </is>
      </c>
      <c r="C36" s="26">
        <f>COUNTIF('6. Gap Analysis &amp; Risk'!F2:F201,"Critical")</f>
        <v/>
      </c>
      <c r="D36" s="25" t="inlineStr">
        <is>
          <t>Critical</t>
        </is>
      </c>
      <c r="E36" s="25" t="inlineStr">
        <is>
          <t>Immediate</t>
        </is>
      </c>
      <c r="F36" s="25" t="n"/>
      <c r="G36" s="25" t="n"/>
    </row>
    <row r="37">
      <c r="A37" s="25" t="inlineStr">
        <is>
          <t>Gap Analysis</t>
        </is>
      </c>
      <c r="B37" s="25" t="inlineStr">
        <is>
          <t>High risk gaps identified</t>
        </is>
      </c>
      <c r="C37" s="26">
        <f>COUNTIF('6. Gap Analysis &amp; Risk'!F2:F201,"High")</f>
        <v/>
      </c>
      <c r="D37" s="25" t="inlineStr">
        <is>
          <t>High</t>
        </is>
      </c>
      <c r="E37" s="25" t="inlineStr">
        <is>
          <t>Urgent</t>
        </is>
      </c>
      <c r="F37" s="25" t="n"/>
      <c r="G37" s="25" t="n"/>
    </row>
    <row r="38">
      <c r="A38" s="27" t="n"/>
      <c r="B38" s="27" t="n"/>
      <c r="C38" s="27" t="n"/>
      <c r="D38" s="27" t="n"/>
      <c r="E38" s="27" t="n"/>
      <c r="F38" s="27" t="n"/>
      <c r="G38" s="27" t="n"/>
    </row>
    <row r="39">
      <c r="A39" s="27" t="n"/>
      <c r="B39" s="27" t="n"/>
      <c r="C39" s="27" t="n"/>
      <c r="D39" s="27" t="n"/>
      <c r="E39" s="27" t="n"/>
      <c r="F39" s="27" t="n"/>
      <c r="G39" s="27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2026-02-28T08:32:49Z</dcterms:created>
  <dcterms:modified xmlns:dcterms="http://purl.org/dc/terms/" xmlns:xsi="http://www.w3.org/2001/XMLSchema-instance" xsi:type="dcterms:W3CDTF">2026-02-28T08:32:49Z</dcterms:modified>
</cp:coreProperties>
</file>