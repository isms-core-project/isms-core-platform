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DSR Request Inventory" sheetId="2" state="visible" r:id="rId2"/>
    <sheet xmlns:r="http://schemas.openxmlformats.org/officeDocument/2006/relationships" name="3. Request Process. Procedures" sheetId="3" state="visible" r:id="rId3"/>
    <sheet xmlns:r="http://schemas.openxmlformats.org/officeDocument/2006/relationships" name="4. SLA Compliance Tracking" sheetId="4" state="visible" r:id="rId4"/>
    <sheet xmlns:r="http://schemas.openxmlformats.org/officeDocument/2006/relationships" name="5. Exception &amp; Reject. Tracking" sheetId="5" state="visible" r:id="rId5"/>
    <sheet xmlns:r="http://schemas.openxmlformats.org/officeDocument/2006/relationships" name="6. Rights-Specific Analysis" sheetId="6" state="visible" r:id="rId6"/>
    <sheet xmlns:r="http://schemas.openxmlformats.org/officeDocument/2006/relationships" name="7. Evidence Repository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name val="Calibri"/>
      <b val="1"/>
      <color rgb="00FFFFFF"/>
      <sz val="11"/>
    </font>
    <font>
      <b val="1"/>
      <color rgb="00FFFFFF"/>
      <sz val="14"/>
    </font>
    <font>
      <b val="1"/>
      <color rgb="00FFFFFF"/>
    </font>
    <font>
      <b val="1"/>
      <color rgb="00003366"/>
      <sz val="12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  <font>
      <name val="Calibri"/>
      <b val="1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2" borderId="2" applyAlignment="1" pivotButton="0" quotePrefix="0" xfId="0">
      <alignment horizontal="center" vertical="center" wrapText="1"/>
    </xf>
    <xf numFmtId="164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2" fillId="4" borderId="0" pivotButton="0" quotePrefix="0" xfId="0"/>
    <xf numFmtId="165" fontId="0" fillId="0" borderId="0" pivotButton="0" quotePrefix="0" xfId="0"/>
    <xf numFmtId="0" fontId="6" fillId="2" borderId="0" pivotButton="0" quotePrefix="0" xfId="0"/>
    <xf numFmtId="0" fontId="7" fillId="4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2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11" fillId="0" borderId="1" applyAlignment="1" pivotButton="0" quotePrefix="0" xfId="0">
      <alignment horizontal="center"/>
    </xf>
    <xf numFmtId="165" fontId="11" fillId="0" borderId="1" applyAlignment="1" pivotButton="0" quotePrefix="0" xfId="0">
      <alignment horizontal="center"/>
    </xf>
    <xf numFmtId="0" fontId="10" fillId="4" borderId="1" applyAlignment="1" pivotButton="0" quotePrefix="0" xfId="0">
      <alignment horizontal="left"/>
    </xf>
    <xf numFmtId="0" fontId="10" fillId="4" borderId="1" applyAlignment="1" pivotButton="0" quotePrefix="0" xfId="0">
      <alignment horizontal="center"/>
    </xf>
    <xf numFmtId="165" fontId="10" fillId="4" borderId="1" applyAlignment="1" pivotButton="0" quotePrefix="0" xfId="0">
      <alignment horizontal="center"/>
    </xf>
    <xf numFmtId="0" fontId="9" fillId="8" borderId="1" pivotButton="0" quotePrefix="0" xfId="0"/>
    <xf numFmtId="0" fontId="11" fillId="3" borderId="1" pivotButton="0" quotePrefix="0" xfId="0"/>
    <xf numFmtId="0" fontId="11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4" fillId="9" borderId="1" pivotButton="0" quotePrefix="0" xfId="0"/>
    <xf numFmtId="0" fontId="12" fillId="0" borderId="0" pivotButton="0" quotePrefix="0" xfId="0"/>
    <xf numFmtId="165" fontId="0" fillId="0" borderId="1" pivotButton="0" quotePrefix="0" xfId="0"/>
    <xf numFmtId="0" fontId="4" fillId="2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ont>
        <b val="1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ISMS-IMP-A.5.34.3  -  Data Subject Rights Management Assessment
ISO/IEC 27001:2022 - Annex A Control A.5.34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ISMS-IMP-A.5.34.3</t>
        </is>
      </c>
    </row>
    <row r="5">
      <c r="A5" s="3" t="inlineStr">
        <is>
          <t>Assessment Area</t>
        </is>
      </c>
      <c r="B5" t="inlineStr">
        <is>
          <t>Data Subject Rights Management and SLA Compliance</t>
        </is>
      </c>
    </row>
    <row r="6">
      <c r="A6" s="3" t="inlineStr">
        <is>
          <t>Control Reference</t>
        </is>
      </c>
      <c r="B6" t="inlineStr">
        <is>
          <t>ISO/IEC 27001:2022 Annex A Control A.5.34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1">
      <c r="A11" s="3" t="inlineStr">
        <is>
          <t>Review Cycle</t>
        </is>
      </c>
      <c r="B11" t="inlineStr">
        <is>
          <t>Annual</t>
        </is>
      </c>
    </row>
    <row r="13">
      <c r="A13" s="2" t="inlineStr">
        <is>
          <t>Instructions</t>
        </is>
      </c>
    </row>
    <row r="14">
      <c r="A14" t="inlineStr">
        <is>
          <t>1. Complete Sheet 2 (DSR Request Inventory) — log all data subject rights requests</t>
        </is>
      </c>
    </row>
    <row r="15">
      <c r="A15" t="inlineStr">
        <is>
          <t>2. Review Sheet 3 (Request Processing Procedures) — follow procedures for each right type</t>
        </is>
      </c>
    </row>
    <row r="16">
      <c r="A16" t="inlineStr">
        <is>
          <t>3. Monitor Sheet 4 (SLA Compliance Tracking) — track 30-day GDPR deadlines</t>
        </is>
      </c>
    </row>
    <row r="17">
      <c r="A17" t="inlineStr">
        <is>
          <t>4. Log exceptions in Sheet 5 (Exception &amp; Rejection Tracking)</t>
        </is>
      </c>
    </row>
    <row r="18">
      <c r="A18" t="inlineStr">
        <is>
          <t>5. Analyse Sheet 6 (Rights-Specific Analysis) — review by right type</t>
        </is>
      </c>
    </row>
    <row r="19">
      <c r="A19" t="inlineStr">
        <is>
          <t>6. Complete Sheet 7 (Evidence Repository) — link supporting evidence</t>
        </is>
      </c>
    </row>
    <row r="20">
      <c r="A20" t="inlineStr">
        <is>
          <t>7. Review Sheet 8 (Dashboard) — validate compliance metrics</t>
        </is>
      </c>
    </row>
    <row r="21">
      <c r="A21" t="inlineStr">
        <is>
          <t>8. Obtain approvals in Sheet 9 (Approval &amp; Sign-Off)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✅</t>
        </is>
      </c>
      <c r="B25" s="7" t="inlineStr">
        <is>
          <t>Met</t>
        </is>
      </c>
      <c r="C25" s="6" t="inlineStr">
        <is>
          <t>SLA deadline met — response delivered on time</t>
        </is>
      </c>
    </row>
    <row r="26">
      <c r="A26" s="6" t="inlineStr">
        <is>
          <t>⚠</t>
        </is>
      </c>
      <c r="B26" s="8" t="inlineStr">
        <is>
          <t>Pending</t>
        </is>
      </c>
      <c r="C26" s="6" t="inlineStr">
        <is>
          <t>Request in progress — deadline not yet reached</t>
        </is>
      </c>
    </row>
    <row r="27">
      <c r="A27" s="6" t="inlineStr">
        <is>
          <t>❌</t>
        </is>
      </c>
      <c r="B27" s="9" t="inlineStr">
        <is>
          <t>Breached</t>
        </is>
      </c>
      <c r="C27" s="6" t="inlineStr">
        <is>
          <t>SLA breach — response overdue</t>
        </is>
      </c>
    </row>
    <row r="28">
      <c r="A28" s="6" t="inlineStr">
        <is>
          <t>—</t>
        </is>
      </c>
      <c r="B28" s="6" t="inlineStr">
        <is>
          <t>N/A</t>
        </is>
      </c>
      <c r="C28" s="6" t="inlineStr">
        <is>
          <t>Not applicable to this assessment</t>
        </is>
      </c>
    </row>
  </sheetData>
  <mergeCells count="9">
    <mergeCell ref="B10:G10"/>
    <mergeCell ref="A1:G1"/>
    <mergeCell ref="B5:G5"/>
    <mergeCell ref="B9:G9"/>
    <mergeCell ref="B8:G8"/>
    <mergeCell ref="B4:G4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00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0" customWidth="1" min="4" max="4"/>
    <col width="25" customWidth="1" min="5" max="5"/>
    <col width="30" customWidth="1" min="6" max="6"/>
    <col width="50" customWidth="1" min="7" max="7"/>
    <col width="40" customWidth="1" min="8" max="8"/>
    <col width="20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8" customWidth="1" min="16" max="16"/>
    <col width="50" customWidth="1" min="17" max="17"/>
    <col width="20" customWidth="1" min="18" max="18"/>
    <col width="40" customWidth="1" min="19" max="19"/>
    <col width="50" customWidth="1" min="20" max="20"/>
    <col width="15" customWidth="1" min="21" max="21"/>
    <col width="15" customWidth="1" min="22" max="22"/>
    <col width="10" customWidth="1" min="23" max="23"/>
    <col width="25" customWidth="1" min="24" max="24"/>
    <col width="15" customWidth="1" min="25" max="25"/>
  </cols>
  <sheetData>
    <row r="1">
      <c r="A1" s="10" t="inlineStr">
        <is>
          <t>Request ID</t>
        </is>
      </c>
      <c r="B1" s="10" t="inlineStr">
        <is>
          <t>Receipt Date</t>
        </is>
      </c>
      <c r="C1" s="10" t="inlineStr">
        <is>
          <t>Request Channel</t>
        </is>
      </c>
      <c r="D1" s="10" t="inlineStr">
        <is>
          <t>Right Type</t>
        </is>
      </c>
      <c r="E1" s="10" t="inlineStr">
        <is>
          <t>Requester Name</t>
        </is>
      </c>
      <c r="F1" s="10" t="inlineStr">
        <is>
          <t>Requester Contact</t>
        </is>
      </c>
      <c r="G1" s="10" t="inlineStr">
        <is>
          <t>Request Description</t>
        </is>
      </c>
      <c r="H1" s="10" t="inlineStr">
        <is>
          <t>Request Scope</t>
        </is>
      </c>
      <c r="I1" s="10" t="inlineStr">
        <is>
          <t>Identity Verification Method</t>
        </is>
      </c>
      <c r="J1" s="10" t="inlineStr">
        <is>
          <t>Verification Status</t>
        </is>
      </c>
      <c r="K1" s="10" t="inlineStr">
        <is>
          <t>Verification Date</t>
        </is>
      </c>
      <c r="L1" s="10" t="inlineStr">
        <is>
          <t>Response Date</t>
        </is>
      </c>
      <c r="M1" s="10" t="inlineStr">
        <is>
          <t>Response Deadline</t>
        </is>
      </c>
      <c r="N1" s="10" t="inlineStr">
        <is>
          <t>Days to Respond</t>
        </is>
      </c>
      <c r="O1" s="10" t="inlineStr">
        <is>
          <t>SLA Status</t>
        </is>
      </c>
      <c r="P1" s="10" t="inlineStr">
        <is>
          <t>Response Method</t>
        </is>
      </c>
      <c r="Q1" s="10" t="inlineStr">
        <is>
          <t>Response Description</t>
        </is>
      </c>
      <c r="R1" s="10" t="inlineStr">
        <is>
          <t>Request Outcome</t>
        </is>
      </c>
      <c r="S1" s="10" t="inlineStr">
        <is>
          <t>Rejection Reason</t>
        </is>
      </c>
      <c r="T1" s="10" t="inlineStr">
        <is>
          <t>Extension Justification</t>
        </is>
      </c>
      <c r="U1" s="10" t="inlineStr">
        <is>
          <t>Requester Satisfaction</t>
        </is>
      </c>
      <c r="V1" s="10" t="inlineStr">
        <is>
          <t>Request Complexity</t>
        </is>
      </c>
      <c r="W1" s="10" t="inlineStr">
        <is>
          <t>Effort (Hours)</t>
        </is>
      </c>
      <c r="X1" s="10" t="inlineStr">
        <is>
          <t>Assigned To</t>
        </is>
      </c>
      <c r="Y1" s="10" t="inlineStr">
        <is>
          <t>Evidence Reference</t>
        </is>
      </c>
    </row>
    <row r="2">
      <c r="M2" s="11">
        <f>B2+30</f>
        <v/>
      </c>
      <c r="N2">
        <f>IF(L2="", "", L2-B2)</f>
        <v/>
      </c>
      <c r="O2">
        <f>IF(L2="", "Pending", IF(N2&lt;=30, "Met", "Breached"))</f>
        <v/>
      </c>
    </row>
    <row r="3">
      <c r="M3" s="11">
        <f>B3+30</f>
        <v/>
      </c>
      <c r="N3">
        <f>IF(L3="", "", L3-B3)</f>
        <v/>
      </c>
      <c r="O3">
        <f>IF(L3="", "Pending", IF(N3&lt;=30, "Met", "Breached"))</f>
        <v/>
      </c>
    </row>
    <row r="4">
      <c r="M4" s="11">
        <f>B4+30</f>
        <v/>
      </c>
      <c r="N4">
        <f>IF(L4="", "", L4-B4)</f>
        <v/>
      </c>
      <c r="O4">
        <f>IF(L4="", "Pending", IF(N4&lt;=30, "Met", "Breached"))</f>
        <v/>
      </c>
    </row>
    <row r="5">
      <c r="M5" s="11">
        <f>B5+30</f>
        <v/>
      </c>
      <c r="N5">
        <f>IF(L5="", "", L5-B5)</f>
        <v/>
      </c>
      <c r="O5">
        <f>IF(L5="", "Pending", IF(N5&lt;=30, "Met", "Breached"))</f>
        <v/>
      </c>
    </row>
    <row r="6">
      <c r="M6" s="11">
        <f>B6+30</f>
        <v/>
      </c>
      <c r="N6">
        <f>IF(L6="", "", L6-B6)</f>
        <v/>
      </c>
      <c r="O6">
        <f>IF(L6="", "Pending", IF(N6&lt;=30, "Met", "Breached"))</f>
        <v/>
      </c>
    </row>
    <row r="7">
      <c r="M7" s="11">
        <f>B7+30</f>
        <v/>
      </c>
      <c r="N7">
        <f>IF(L7="", "", L7-B7)</f>
        <v/>
      </c>
      <c r="O7">
        <f>IF(L7="", "Pending", IF(N7&lt;=30, "Met", "Breached"))</f>
        <v/>
      </c>
    </row>
    <row r="8">
      <c r="M8" s="11">
        <f>B8+30</f>
        <v/>
      </c>
      <c r="N8">
        <f>IF(L8="", "", L8-B8)</f>
        <v/>
      </c>
      <c r="O8">
        <f>IF(L8="", "Pending", IF(N8&lt;=30, "Met", "Breached"))</f>
        <v/>
      </c>
    </row>
    <row r="9">
      <c r="M9" s="11">
        <f>B9+30</f>
        <v/>
      </c>
      <c r="N9">
        <f>IF(L9="", "", L9-B9)</f>
        <v/>
      </c>
      <c r="O9">
        <f>IF(L9="", "Pending", IF(N9&lt;=30, "Met", "Breached"))</f>
        <v/>
      </c>
    </row>
    <row r="10">
      <c r="M10" s="11">
        <f>B10+30</f>
        <v/>
      </c>
      <c r="N10">
        <f>IF(L10="", "", L10-B10)</f>
        <v/>
      </c>
      <c r="O10">
        <f>IF(L10="", "Pending", IF(N10&lt;=30, "Met", "Breached"))</f>
        <v/>
      </c>
    </row>
    <row r="11">
      <c r="M11" s="11">
        <f>B11+30</f>
        <v/>
      </c>
      <c r="N11">
        <f>IF(L11="", "", L11-B11)</f>
        <v/>
      </c>
      <c r="O11">
        <f>IF(L11="", "Pending", IF(N11&lt;=30, "Met", "Breached"))</f>
        <v/>
      </c>
    </row>
    <row r="12">
      <c r="M12" s="11">
        <f>B12+30</f>
        <v/>
      </c>
      <c r="N12">
        <f>IF(L12="", "", L12-B12)</f>
        <v/>
      </c>
      <c r="O12">
        <f>IF(L12="", "Pending", IF(N12&lt;=30, "Met", "Breached"))</f>
        <v/>
      </c>
    </row>
    <row r="13">
      <c r="M13" s="11">
        <f>B13+30</f>
        <v/>
      </c>
      <c r="N13">
        <f>IF(L13="", "", L13-B13)</f>
        <v/>
      </c>
      <c r="O13">
        <f>IF(L13="", "Pending", IF(N13&lt;=30, "Met", "Breached"))</f>
        <v/>
      </c>
    </row>
    <row r="14">
      <c r="M14" s="11">
        <f>B14+30</f>
        <v/>
      </c>
      <c r="N14">
        <f>IF(L14="", "", L14-B14)</f>
        <v/>
      </c>
      <c r="O14">
        <f>IF(L14="", "Pending", IF(N14&lt;=30, "Met", "Breached"))</f>
        <v/>
      </c>
    </row>
    <row r="15">
      <c r="M15" s="11">
        <f>B15+30</f>
        <v/>
      </c>
      <c r="N15">
        <f>IF(L15="", "", L15-B15)</f>
        <v/>
      </c>
      <c r="O15">
        <f>IF(L15="", "Pending", IF(N15&lt;=30, "Met", "Breached"))</f>
        <v/>
      </c>
    </row>
    <row r="16">
      <c r="M16" s="11">
        <f>B16+30</f>
        <v/>
      </c>
      <c r="N16">
        <f>IF(L16="", "", L16-B16)</f>
        <v/>
      </c>
      <c r="O16">
        <f>IF(L16="", "Pending", IF(N16&lt;=30, "Met", "Breached"))</f>
        <v/>
      </c>
    </row>
    <row r="17">
      <c r="M17" s="11">
        <f>B17+30</f>
        <v/>
      </c>
      <c r="N17">
        <f>IF(L17="", "", L17-B17)</f>
        <v/>
      </c>
      <c r="O17">
        <f>IF(L17="", "Pending", IF(N17&lt;=30, "Met", "Breached"))</f>
        <v/>
      </c>
    </row>
    <row r="18">
      <c r="M18" s="11">
        <f>B18+30</f>
        <v/>
      </c>
      <c r="N18">
        <f>IF(L18="", "", L18-B18)</f>
        <v/>
      </c>
      <c r="O18">
        <f>IF(L18="", "Pending", IF(N18&lt;=30, "Met", "Breached"))</f>
        <v/>
      </c>
    </row>
    <row r="19">
      <c r="M19" s="11">
        <f>B19+30</f>
        <v/>
      </c>
      <c r="N19">
        <f>IF(L19="", "", L19-B19)</f>
        <v/>
      </c>
      <c r="O19">
        <f>IF(L19="", "Pending", IF(N19&lt;=30, "Met", "Breached"))</f>
        <v/>
      </c>
    </row>
    <row r="20">
      <c r="M20" s="11">
        <f>B20+30</f>
        <v/>
      </c>
      <c r="N20">
        <f>IF(L20="", "", L20-B20)</f>
        <v/>
      </c>
      <c r="O20">
        <f>IF(L20="", "Pending", IF(N20&lt;=30, "Met", "Breached"))</f>
        <v/>
      </c>
    </row>
    <row r="21">
      <c r="M21" s="11">
        <f>B21+30</f>
        <v/>
      </c>
      <c r="N21">
        <f>IF(L21="", "", L21-B21)</f>
        <v/>
      </c>
      <c r="O21">
        <f>IF(L21="", "Pending", IF(N21&lt;=30, "Met", "Breached"))</f>
        <v/>
      </c>
    </row>
    <row r="22">
      <c r="M22" s="11">
        <f>B22+30</f>
        <v/>
      </c>
      <c r="N22">
        <f>IF(L22="", "", L22-B22)</f>
        <v/>
      </c>
      <c r="O22">
        <f>IF(L22="", "Pending", IF(N22&lt;=30, "Met", "Breached"))</f>
        <v/>
      </c>
    </row>
    <row r="23">
      <c r="M23" s="11">
        <f>B23+30</f>
        <v/>
      </c>
      <c r="N23">
        <f>IF(L23="", "", L23-B23)</f>
        <v/>
      </c>
      <c r="O23">
        <f>IF(L23="", "Pending", IF(N23&lt;=30, "Met", "Breached"))</f>
        <v/>
      </c>
    </row>
    <row r="24">
      <c r="M24" s="11">
        <f>B24+30</f>
        <v/>
      </c>
      <c r="N24">
        <f>IF(L24="", "", L24-B24)</f>
        <v/>
      </c>
      <c r="O24">
        <f>IF(L24="", "Pending", IF(N24&lt;=30, "Met", "Breached"))</f>
        <v/>
      </c>
    </row>
    <row r="25">
      <c r="M25" s="11">
        <f>B25+30</f>
        <v/>
      </c>
      <c r="N25">
        <f>IF(L25="", "", L25-B25)</f>
        <v/>
      </c>
      <c r="O25">
        <f>IF(L25="", "Pending", IF(N25&lt;=30, "Met", "Breached"))</f>
        <v/>
      </c>
    </row>
    <row r="26">
      <c r="M26" s="11">
        <f>B26+30</f>
        <v/>
      </c>
      <c r="N26">
        <f>IF(L26="", "", L26-B26)</f>
        <v/>
      </c>
      <c r="O26">
        <f>IF(L26="", "Pending", IF(N26&lt;=30, "Met", "Breached"))</f>
        <v/>
      </c>
    </row>
    <row r="27">
      <c r="M27" s="11">
        <f>B27+30</f>
        <v/>
      </c>
      <c r="N27">
        <f>IF(L27="", "", L27-B27)</f>
        <v/>
      </c>
      <c r="O27">
        <f>IF(L27="", "Pending", IF(N27&lt;=30, "Met", "Breached"))</f>
        <v/>
      </c>
    </row>
    <row r="28">
      <c r="M28" s="11">
        <f>B28+30</f>
        <v/>
      </c>
      <c r="N28">
        <f>IF(L28="", "", L28-B28)</f>
        <v/>
      </c>
      <c r="O28">
        <f>IF(L28="", "Pending", IF(N28&lt;=30, "Met", "Breached"))</f>
        <v/>
      </c>
    </row>
    <row r="29">
      <c r="M29" s="11">
        <f>B29+30</f>
        <v/>
      </c>
      <c r="N29">
        <f>IF(L29="", "", L29-B29)</f>
        <v/>
      </c>
      <c r="O29">
        <f>IF(L29="", "Pending", IF(N29&lt;=30, "Met", "Breached"))</f>
        <v/>
      </c>
    </row>
    <row r="30">
      <c r="M30" s="11">
        <f>B30+30</f>
        <v/>
      </c>
      <c r="N30">
        <f>IF(L30="", "", L30-B30)</f>
        <v/>
      </c>
      <c r="O30">
        <f>IF(L30="", "Pending", IF(N30&lt;=30, "Met", "Breached"))</f>
        <v/>
      </c>
    </row>
    <row r="31">
      <c r="M31" s="11">
        <f>B31+30</f>
        <v/>
      </c>
      <c r="N31">
        <f>IF(L31="", "", L31-B31)</f>
        <v/>
      </c>
      <c r="O31">
        <f>IF(L31="", "Pending", IF(N31&lt;=30, "Met", "Breached"))</f>
        <v/>
      </c>
    </row>
    <row r="32">
      <c r="M32" s="11">
        <f>B32+30</f>
        <v/>
      </c>
      <c r="N32">
        <f>IF(L32="", "", L32-B32)</f>
        <v/>
      </c>
      <c r="O32">
        <f>IF(L32="", "Pending", IF(N32&lt;=30, "Met", "Breached"))</f>
        <v/>
      </c>
    </row>
    <row r="33">
      <c r="M33" s="11">
        <f>B33+30</f>
        <v/>
      </c>
      <c r="N33">
        <f>IF(L33="", "", L33-B33)</f>
        <v/>
      </c>
      <c r="O33">
        <f>IF(L33="", "Pending", IF(N33&lt;=30, "Met", "Breached"))</f>
        <v/>
      </c>
    </row>
    <row r="34">
      <c r="M34" s="11">
        <f>B34+30</f>
        <v/>
      </c>
      <c r="N34">
        <f>IF(L34="", "", L34-B34)</f>
        <v/>
      </c>
      <c r="O34">
        <f>IF(L34="", "Pending", IF(N34&lt;=30, "Met", "Breached"))</f>
        <v/>
      </c>
    </row>
    <row r="35">
      <c r="M35" s="11">
        <f>B35+30</f>
        <v/>
      </c>
      <c r="N35">
        <f>IF(L35="", "", L35-B35)</f>
        <v/>
      </c>
      <c r="O35">
        <f>IF(L35="", "Pending", IF(N35&lt;=30, "Met", "Breached"))</f>
        <v/>
      </c>
    </row>
    <row r="36">
      <c r="M36" s="11">
        <f>B36+30</f>
        <v/>
      </c>
      <c r="N36">
        <f>IF(L36="", "", L36-B36)</f>
        <v/>
      </c>
      <c r="O36">
        <f>IF(L36="", "Pending", IF(N36&lt;=30, "Met", "Breached"))</f>
        <v/>
      </c>
    </row>
    <row r="37">
      <c r="M37" s="11">
        <f>B37+30</f>
        <v/>
      </c>
      <c r="N37">
        <f>IF(L37="", "", L37-B37)</f>
        <v/>
      </c>
      <c r="O37">
        <f>IF(L37="", "Pending", IF(N37&lt;=30, "Met", "Breached"))</f>
        <v/>
      </c>
    </row>
    <row r="38">
      <c r="M38" s="11">
        <f>B38+30</f>
        <v/>
      </c>
      <c r="N38">
        <f>IF(L38="", "", L38-B38)</f>
        <v/>
      </c>
      <c r="O38">
        <f>IF(L38="", "Pending", IF(N38&lt;=30, "Met", "Breached"))</f>
        <v/>
      </c>
    </row>
    <row r="39">
      <c r="M39" s="11">
        <f>B39+30</f>
        <v/>
      </c>
      <c r="N39">
        <f>IF(L39="", "", L39-B39)</f>
        <v/>
      </c>
      <c r="O39">
        <f>IF(L39="", "Pending", IF(N39&lt;=30, "Met", "Breached"))</f>
        <v/>
      </c>
    </row>
    <row r="40">
      <c r="M40" s="11">
        <f>B40+30</f>
        <v/>
      </c>
      <c r="N40">
        <f>IF(L40="", "", L40-B40)</f>
        <v/>
      </c>
      <c r="O40">
        <f>IF(L40="", "Pending", IF(N40&lt;=30, "Met", "Breached"))</f>
        <v/>
      </c>
    </row>
    <row r="41">
      <c r="M41" s="11">
        <f>B41+30</f>
        <v/>
      </c>
      <c r="N41">
        <f>IF(L41="", "", L41-B41)</f>
        <v/>
      </c>
      <c r="O41">
        <f>IF(L41="", "Pending", IF(N41&lt;=30, "Met", "Breached"))</f>
        <v/>
      </c>
    </row>
    <row r="42">
      <c r="M42" s="11">
        <f>B42+30</f>
        <v/>
      </c>
      <c r="N42">
        <f>IF(L42="", "", L42-B42)</f>
        <v/>
      </c>
      <c r="O42">
        <f>IF(L42="", "Pending", IF(N42&lt;=30, "Met", "Breached"))</f>
        <v/>
      </c>
    </row>
    <row r="43">
      <c r="M43" s="11">
        <f>B43+30</f>
        <v/>
      </c>
      <c r="N43">
        <f>IF(L43="", "", L43-B43)</f>
        <v/>
      </c>
      <c r="O43">
        <f>IF(L43="", "Pending", IF(N43&lt;=30, "Met", "Breached"))</f>
        <v/>
      </c>
    </row>
    <row r="44">
      <c r="M44" s="11">
        <f>B44+30</f>
        <v/>
      </c>
      <c r="N44">
        <f>IF(L44="", "", L44-B44)</f>
        <v/>
      </c>
      <c r="O44">
        <f>IF(L44="", "Pending", IF(N44&lt;=30, "Met", "Breached"))</f>
        <v/>
      </c>
    </row>
    <row r="45">
      <c r="M45" s="11">
        <f>B45+30</f>
        <v/>
      </c>
      <c r="N45">
        <f>IF(L45="", "", L45-B45)</f>
        <v/>
      </c>
      <c r="O45">
        <f>IF(L45="", "Pending", IF(N45&lt;=30, "Met", "Breached"))</f>
        <v/>
      </c>
    </row>
    <row r="46">
      <c r="M46" s="11">
        <f>B46+30</f>
        <v/>
      </c>
      <c r="N46">
        <f>IF(L46="", "", L46-B46)</f>
        <v/>
      </c>
      <c r="O46">
        <f>IF(L46="", "Pending", IF(N46&lt;=30, "Met", "Breached"))</f>
        <v/>
      </c>
    </row>
    <row r="47">
      <c r="M47" s="11">
        <f>B47+30</f>
        <v/>
      </c>
      <c r="N47">
        <f>IF(L47="", "", L47-B47)</f>
        <v/>
      </c>
      <c r="O47">
        <f>IF(L47="", "Pending", IF(N47&lt;=30, "Met", "Breached"))</f>
        <v/>
      </c>
    </row>
    <row r="48">
      <c r="M48" s="11">
        <f>B48+30</f>
        <v/>
      </c>
      <c r="N48">
        <f>IF(L48="", "", L48-B48)</f>
        <v/>
      </c>
      <c r="O48">
        <f>IF(L48="", "Pending", IF(N48&lt;=30, "Met", "Breached"))</f>
        <v/>
      </c>
    </row>
    <row r="49">
      <c r="M49" s="11">
        <f>B49+30</f>
        <v/>
      </c>
      <c r="N49">
        <f>IF(L49="", "", L49-B49)</f>
        <v/>
      </c>
      <c r="O49">
        <f>IF(L49="", "Pending", IF(N49&lt;=30, "Met", "Breached"))</f>
        <v/>
      </c>
    </row>
    <row r="50">
      <c r="M50" s="11">
        <f>B50+30</f>
        <v/>
      </c>
      <c r="N50">
        <f>IF(L50="", "", L50-B50)</f>
        <v/>
      </c>
      <c r="O50">
        <f>IF(L50="", "Pending", IF(N50&lt;=30, "Met", "Breached"))</f>
        <v/>
      </c>
    </row>
    <row r="51">
      <c r="M51" s="11">
        <f>B51+30</f>
        <v/>
      </c>
      <c r="N51">
        <f>IF(L51="", "", L51-B51)</f>
        <v/>
      </c>
      <c r="O51">
        <f>IF(L51="", "Pending", IF(N51&lt;=30, "Met", "Breached"))</f>
        <v/>
      </c>
    </row>
    <row r="52">
      <c r="M52" s="11">
        <f>B52+30</f>
        <v/>
      </c>
      <c r="N52">
        <f>IF(L52="", "", L52-B52)</f>
        <v/>
      </c>
      <c r="O52">
        <f>IF(L52="", "Pending", IF(N52&lt;=30, "Met", "Breached"))</f>
        <v/>
      </c>
    </row>
    <row r="53">
      <c r="M53" s="11">
        <f>B53+30</f>
        <v/>
      </c>
      <c r="N53">
        <f>IF(L53="", "", L53-B53)</f>
        <v/>
      </c>
      <c r="O53">
        <f>IF(L53="", "Pending", IF(N53&lt;=30, "Met", "Breached"))</f>
        <v/>
      </c>
    </row>
    <row r="54">
      <c r="M54" s="11">
        <f>B54+30</f>
        <v/>
      </c>
      <c r="N54">
        <f>IF(L54="", "", L54-B54)</f>
        <v/>
      </c>
      <c r="O54">
        <f>IF(L54="", "Pending", IF(N54&lt;=30, "Met", "Breached"))</f>
        <v/>
      </c>
    </row>
    <row r="55">
      <c r="M55" s="11">
        <f>B55+30</f>
        <v/>
      </c>
      <c r="N55">
        <f>IF(L55="", "", L55-B55)</f>
        <v/>
      </c>
      <c r="O55">
        <f>IF(L55="", "Pending", IF(N55&lt;=30, "Met", "Breached"))</f>
        <v/>
      </c>
    </row>
    <row r="56">
      <c r="M56" s="11">
        <f>B56+30</f>
        <v/>
      </c>
      <c r="N56">
        <f>IF(L56="", "", L56-B56)</f>
        <v/>
      </c>
      <c r="O56">
        <f>IF(L56="", "Pending", IF(N56&lt;=30, "Met", "Breached"))</f>
        <v/>
      </c>
    </row>
    <row r="57">
      <c r="M57" s="11">
        <f>B57+30</f>
        <v/>
      </c>
      <c r="N57">
        <f>IF(L57="", "", L57-B57)</f>
        <v/>
      </c>
      <c r="O57">
        <f>IF(L57="", "Pending", IF(N57&lt;=30, "Met", "Breached"))</f>
        <v/>
      </c>
    </row>
    <row r="58">
      <c r="M58" s="11">
        <f>B58+30</f>
        <v/>
      </c>
      <c r="N58">
        <f>IF(L58="", "", L58-B58)</f>
        <v/>
      </c>
      <c r="O58">
        <f>IF(L58="", "Pending", IF(N58&lt;=30, "Met", "Breached"))</f>
        <v/>
      </c>
    </row>
    <row r="59">
      <c r="M59" s="11">
        <f>B59+30</f>
        <v/>
      </c>
      <c r="N59">
        <f>IF(L59="", "", L59-B59)</f>
        <v/>
      </c>
      <c r="O59">
        <f>IF(L59="", "Pending", IF(N59&lt;=30, "Met", "Breached"))</f>
        <v/>
      </c>
    </row>
    <row r="60">
      <c r="M60" s="11">
        <f>B60+30</f>
        <v/>
      </c>
      <c r="N60">
        <f>IF(L60="", "", L60-B60)</f>
        <v/>
      </c>
      <c r="O60">
        <f>IF(L60="", "Pending", IF(N60&lt;=30, "Met", "Breached"))</f>
        <v/>
      </c>
    </row>
    <row r="61">
      <c r="M61" s="11">
        <f>B61+30</f>
        <v/>
      </c>
      <c r="N61">
        <f>IF(L61="", "", L61-B61)</f>
        <v/>
      </c>
      <c r="O61">
        <f>IF(L61="", "Pending", IF(N61&lt;=30, "Met", "Breached"))</f>
        <v/>
      </c>
    </row>
    <row r="62">
      <c r="M62" s="11">
        <f>B62+30</f>
        <v/>
      </c>
      <c r="N62">
        <f>IF(L62="", "", L62-B62)</f>
        <v/>
      </c>
      <c r="O62">
        <f>IF(L62="", "Pending", IF(N62&lt;=30, "Met", "Breached"))</f>
        <v/>
      </c>
    </row>
    <row r="63">
      <c r="M63" s="11">
        <f>B63+30</f>
        <v/>
      </c>
      <c r="N63">
        <f>IF(L63="", "", L63-B63)</f>
        <v/>
      </c>
      <c r="O63">
        <f>IF(L63="", "Pending", IF(N63&lt;=30, "Met", "Breached"))</f>
        <v/>
      </c>
    </row>
    <row r="64">
      <c r="M64" s="11">
        <f>B64+30</f>
        <v/>
      </c>
      <c r="N64">
        <f>IF(L64="", "", L64-B64)</f>
        <v/>
      </c>
      <c r="O64">
        <f>IF(L64="", "Pending", IF(N64&lt;=30, "Met", "Breached"))</f>
        <v/>
      </c>
    </row>
    <row r="65">
      <c r="M65" s="11">
        <f>B65+30</f>
        <v/>
      </c>
      <c r="N65">
        <f>IF(L65="", "", L65-B65)</f>
        <v/>
      </c>
      <c r="O65">
        <f>IF(L65="", "Pending", IF(N65&lt;=30, "Met", "Breached"))</f>
        <v/>
      </c>
    </row>
    <row r="66">
      <c r="M66" s="11">
        <f>B66+30</f>
        <v/>
      </c>
      <c r="N66">
        <f>IF(L66="", "", L66-B66)</f>
        <v/>
      </c>
      <c r="O66">
        <f>IF(L66="", "Pending", IF(N66&lt;=30, "Met", "Breached"))</f>
        <v/>
      </c>
    </row>
    <row r="67">
      <c r="M67" s="11">
        <f>B67+30</f>
        <v/>
      </c>
      <c r="N67">
        <f>IF(L67="", "", L67-B67)</f>
        <v/>
      </c>
      <c r="O67">
        <f>IF(L67="", "Pending", IF(N67&lt;=30, "Met", "Breached"))</f>
        <v/>
      </c>
    </row>
    <row r="68">
      <c r="M68" s="11">
        <f>B68+30</f>
        <v/>
      </c>
      <c r="N68">
        <f>IF(L68="", "", L68-B68)</f>
        <v/>
      </c>
      <c r="O68">
        <f>IF(L68="", "Pending", IF(N68&lt;=30, "Met", "Breached"))</f>
        <v/>
      </c>
    </row>
    <row r="69">
      <c r="M69" s="11">
        <f>B69+30</f>
        <v/>
      </c>
      <c r="N69">
        <f>IF(L69="", "", L69-B69)</f>
        <v/>
      </c>
      <c r="O69">
        <f>IF(L69="", "Pending", IF(N69&lt;=30, "Met", "Breached"))</f>
        <v/>
      </c>
    </row>
    <row r="70">
      <c r="M70" s="11">
        <f>B70+30</f>
        <v/>
      </c>
      <c r="N70">
        <f>IF(L70="", "", L70-B70)</f>
        <v/>
      </c>
      <c r="O70">
        <f>IF(L70="", "Pending", IF(N70&lt;=30, "Met", "Breached"))</f>
        <v/>
      </c>
    </row>
    <row r="71">
      <c r="M71" s="11">
        <f>B71+30</f>
        <v/>
      </c>
      <c r="N71">
        <f>IF(L71="", "", L71-B71)</f>
        <v/>
      </c>
      <c r="O71">
        <f>IF(L71="", "Pending", IF(N71&lt;=30, "Met", "Breached"))</f>
        <v/>
      </c>
    </row>
    <row r="72">
      <c r="M72" s="11">
        <f>B72+30</f>
        <v/>
      </c>
      <c r="N72">
        <f>IF(L72="", "", L72-B72)</f>
        <v/>
      </c>
      <c r="O72">
        <f>IF(L72="", "Pending", IF(N72&lt;=30, "Met", "Breached"))</f>
        <v/>
      </c>
    </row>
    <row r="73">
      <c r="M73" s="11">
        <f>B73+30</f>
        <v/>
      </c>
      <c r="N73">
        <f>IF(L73="", "", L73-B73)</f>
        <v/>
      </c>
      <c r="O73">
        <f>IF(L73="", "Pending", IF(N73&lt;=30, "Met", "Breached"))</f>
        <v/>
      </c>
    </row>
    <row r="74">
      <c r="M74" s="11">
        <f>B74+30</f>
        <v/>
      </c>
      <c r="N74">
        <f>IF(L74="", "", L74-B74)</f>
        <v/>
      </c>
      <c r="O74">
        <f>IF(L74="", "Pending", IF(N74&lt;=30, "Met", "Breached"))</f>
        <v/>
      </c>
    </row>
    <row r="75">
      <c r="M75" s="11">
        <f>B75+30</f>
        <v/>
      </c>
      <c r="N75">
        <f>IF(L75="", "", L75-B75)</f>
        <v/>
      </c>
      <c r="O75">
        <f>IF(L75="", "Pending", IF(N75&lt;=30, "Met", "Breached"))</f>
        <v/>
      </c>
    </row>
    <row r="76">
      <c r="M76" s="11">
        <f>B76+30</f>
        <v/>
      </c>
      <c r="N76">
        <f>IF(L76="", "", L76-B76)</f>
        <v/>
      </c>
      <c r="O76">
        <f>IF(L76="", "Pending", IF(N76&lt;=30, "Met", "Breached"))</f>
        <v/>
      </c>
    </row>
    <row r="77">
      <c r="M77" s="11">
        <f>B77+30</f>
        <v/>
      </c>
      <c r="N77">
        <f>IF(L77="", "", L77-B77)</f>
        <v/>
      </c>
      <c r="O77">
        <f>IF(L77="", "Pending", IF(N77&lt;=30, "Met", "Breached"))</f>
        <v/>
      </c>
    </row>
    <row r="78">
      <c r="M78" s="11">
        <f>B78+30</f>
        <v/>
      </c>
      <c r="N78">
        <f>IF(L78="", "", L78-B78)</f>
        <v/>
      </c>
      <c r="O78">
        <f>IF(L78="", "Pending", IF(N78&lt;=30, "Met", "Breached"))</f>
        <v/>
      </c>
    </row>
    <row r="79">
      <c r="M79" s="11">
        <f>B79+30</f>
        <v/>
      </c>
      <c r="N79">
        <f>IF(L79="", "", L79-B79)</f>
        <v/>
      </c>
      <c r="O79">
        <f>IF(L79="", "Pending", IF(N79&lt;=30, "Met", "Breached"))</f>
        <v/>
      </c>
    </row>
    <row r="80">
      <c r="M80" s="11">
        <f>B80+30</f>
        <v/>
      </c>
      <c r="N80">
        <f>IF(L80="", "", L80-B80)</f>
        <v/>
      </c>
      <c r="O80">
        <f>IF(L80="", "Pending", IF(N80&lt;=30, "Met", "Breached"))</f>
        <v/>
      </c>
    </row>
    <row r="81">
      <c r="M81" s="11">
        <f>B81+30</f>
        <v/>
      </c>
      <c r="N81">
        <f>IF(L81="", "", L81-B81)</f>
        <v/>
      </c>
      <c r="O81">
        <f>IF(L81="", "Pending", IF(N81&lt;=30, "Met", "Breached"))</f>
        <v/>
      </c>
    </row>
    <row r="82">
      <c r="M82" s="11">
        <f>B82+30</f>
        <v/>
      </c>
      <c r="N82">
        <f>IF(L82="", "", L82-B82)</f>
        <v/>
      </c>
      <c r="O82">
        <f>IF(L82="", "Pending", IF(N82&lt;=30, "Met", "Breached"))</f>
        <v/>
      </c>
    </row>
    <row r="83">
      <c r="M83" s="11">
        <f>B83+30</f>
        <v/>
      </c>
      <c r="N83">
        <f>IF(L83="", "", L83-B83)</f>
        <v/>
      </c>
      <c r="O83">
        <f>IF(L83="", "Pending", IF(N83&lt;=30, "Met", "Breached"))</f>
        <v/>
      </c>
    </row>
    <row r="84">
      <c r="M84" s="11">
        <f>B84+30</f>
        <v/>
      </c>
      <c r="N84">
        <f>IF(L84="", "", L84-B84)</f>
        <v/>
      </c>
      <c r="O84">
        <f>IF(L84="", "Pending", IF(N84&lt;=30, "Met", "Breached"))</f>
        <v/>
      </c>
    </row>
    <row r="85">
      <c r="M85" s="11">
        <f>B85+30</f>
        <v/>
      </c>
      <c r="N85">
        <f>IF(L85="", "", L85-B85)</f>
        <v/>
      </c>
      <c r="O85">
        <f>IF(L85="", "Pending", IF(N85&lt;=30, "Met", "Breached"))</f>
        <v/>
      </c>
    </row>
    <row r="86">
      <c r="M86" s="11">
        <f>B86+30</f>
        <v/>
      </c>
      <c r="N86">
        <f>IF(L86="", "", L86-B86)</f>
        <v/>
      </c>
      <c r="O86">
        <f>IF(L86="", "Pending", IF(N86&lt;=30, "Met", "Breached"))</f>
        <v/>
      </c>
    </row>
    <row r="87">
      <c r="M87" s="11">
        <f>B87+30</f>
        <v/>
      </c>
      <c r="N87">
        <f>IF(L87="", "", L87-B87)</f>
        <v/>
      </c>
      <c r="O87">
        <f>IF(L87="", "Pending", IF(N87&lt;=30, "Met", "Breached"))</f>
        <v/>
      </c>
    </row>
    <row r="88">
      <c r="M88" s="11">
        <f>B88+30</f>
        <v/>
      </c>
      <c r="N88">
        <f>IF(L88="", "", L88-B88)</f>
        <v/>
      </c>
      <c r="O88">
        <f>IF(L88="", "Pending", IF(N88&lt;=30, "Met", "Breached"))</f>
        <v/>
      </c>
    </row>
    <row r="89">
      <c r="M89" s="11">
        <f>B89+30</f>
        <v/>
      </c>
      <c r="N89">
        <f>IF(L89="", "", L89-B89)</f>
        <v/>
      </c>
      <c r="O89">
        <f>IF(L89="", "Pending", IF(N89&lt;=30, "Met", "Breached"))</f>
        <v/>
      </c>
    </row>
    <row r="90">
      <c r="M90" s="11">
        <f>B90+30</f>
        <v/>
      </c>
      <c r="N90">
        <f>IF(L90="", "", L90-B90)</f>
        <v/>
      </c>
      <c r="O90">
        <f>IF(L90="", "Pending", IF(N90&lt;=30, "Met", "Breached"))</f>
        <v/>
      </c>
    </row>
    <row r="91">
      <c r="M91" s="11">
        <f>B91+30</f>
        <v/>
      </c>
      <c r="N91">
        <f>IF(L91="", "", L91-B91)</f>
        <v/>
      </c>
      <c r="O91">
        <f>IF(L91="", "Pending", IF(N91&lt;=30, "Met", "Breached"))</f>
        <v/>
      </c>
    </row>
    <row r="92">
      <c r="M92" s="11">
        <f>B92+30</f>
        <v/>
      </c>
      <c r="N92">
        <f>IF(L92="", "", L92-B92)</f>
        <v/>
      </c>
      <c r="O92">
        <f>IF(L92="", "Pending", IF(N92&lt;=30, "Met", "Breached"))</f>
        <v/>
      </c>
    </row>
    <row r="93">
      <c r="M93" s="11">
        <f>B93+30</f>
        <v/>
      </c>
      <c r="N93">
        <f>IF(L93="", "", L93-B93)</f>
        <v/>
      </c>
      <c r="O93">
        <f>IF(L93="", "Pending", IF(N93&lt;=30, "Met", "Breached"))</f>
        <v/>
      </c>
    </row>
    <row r="94">
      <c r="M94" s="11">
        <f>B94+30</f>
        <v/>
      </c>
      <c r="N94">
        <f>IF(L94="", "", L94-B94)</f>
        <v/>
      </c>
      <c r="O94">
        <f>IF(L94="", "Pending", IF(N94&lt;=30, "Met", "Breached"))</f>
        <v/>
      </c>
    </row>
    <row r="95">
      <c r="M95" s="11">
        <f>B95+30</f>
        <v/>
      </c>
      <c r="N95">
        <f>IF(L95="", "", L95-B95)</f>
        <v/>
      </c>
      <c r="O95">
        <f>IF(L95="", "Pending", IF(N95&lt;=30, "Met", "Breached"))</f>
        <v/>
      </c>
    </row>
    <row r="96">
      <c r="M96" s="11">
        <f>B96+30</f>
        <v/>
      </c>
      <c r="N96">
        <f>IF(L96="", "", L96-B96)</f>
        <v/>
      </c>
      <c r="O96">
        <f>IF(L96="", "Pending", IF(N96&lt;=30, "Met", "Breached"))</f>
        <v/>
      </c>
    </row>
    <row r="97">
      <c r="M97" s="11">
        <f>B97+30</f>
        <v/>
      </c>
      <c r="N97">
        <f>IF(L97="", "", L97-B97)</f>
        <v/>
      </c>
      <c r="O97">
        <f>IF(L97="", "Pending", IF(N97&lt;=30, "Met", "Breached"))</f>
        <v/>
      </c>
    </row>
    <row r="98">
      <c r="M98" s="11">
        <f>B98+30</f>
        <v/>
      </c>
      <c r="N98">
        <f>IF(L98="", "", L98-B98)</f>
        <v/>
      </c>
      <c r="O98">
        <f>IF(L98="", "Pending", IF(N98&lt;=30, "Met", "Breached"))</f>
        <v/>
      </c>
    </row>
    <row r="99">
      <c r="M99" s="11">
        <f>B99+30</f>
        <v/>
      </c>
      <c r="N99">
        <f>IF(L99="", "", L99-B99)</f>
        <v/>
      </c>
      <c r="O99">
        <f>IF(L99="", "Pending", IF(N99&lt;=30, "Met", "Breached"))</f>
        <v/>
      </c>
    </row>
    <row r="100">
      <c r="M100" s="11">
        <f>B100+30</f>
        <v/>
      </c>
      <c r="N100">
        <f>IF(L100="", "", L100-B100)</f>
        <v/>
      </c>
      <c r="O100">
        <f>IF(L100="", "Pending", IF(N100&lt;=30, "Met", "Breached"))</f>
        <v/>
      </c>
    </row>
    <row r="101">
      <c r="M101" s="11">
        <f>B101+30</f>
        <v/>
      </c>
      <c r="N101">
        <f>IF(L101="", "", L101-B101)</f>
        <v/>
      </c>
      <c r="O101">
        <f>IF(L101="", "Pending", IF(N101&lt;=30, "Met", "Breached"))</f>
        <v/>
      </c>
    </row>
    <row r="102">
      <c r="M102" s="11">
        <f>B102+30</f>
        <v/>
      </c>
      <c r="N102">
        <f>IF(L102="", "", L102-B102)</f>
        <v/>
      </c>
      <c r="O102">
        <f>IF(L102="", "Pending", IF(N102&lt;=30, "Met", "Breached"))</f>
        <v/>
      </c>
    </row>
    <row r="103">
      <c r="M103" s="11">
        <f>B103+30</f>
        <v/>
      </c>
      <c r="N103">
        <f>IF(L103="", "", L103-B103)</f>
        <v/>
      </c>
      <c r="O103">
        <f>IF(L103="", "Pending", IF(N103&lt;=30, "Met", "Breached"))</f>
        <v/>
      </c>
    </row>
    <row r="104">
      <c r="M104" s="11">
        <f>B104+30</f>
        <v/>
      </c>
      <c r="N104">
        <f>IF(L104="", "", L104-B104)</f>
        <v/>
      </c>
      <c r="O104">
        <f>IF(L104="", "Pending", IF(N104&lt;=30, "Met", "Breached"))</f>
        <v/>
      </c>
    </row>
    <row r="105">
      <c r="M105" s="11">
        <f>B105+30</f>
        <v/>
      </c>
      <c r="N105">
        <f>IF(L105="", "", L105-B105)</f>
        <v/>
      </c>
      <c r="O105">
        <f>IF(L105="", "Pending", IF(N105&lt;=30, "Met", "Breached"))</f>
        <v/>
      </c>
    </row>
    <row r="106">
      <c r="M106" s="11">
        <f>B106+30</f>
        <v/>
      </c>
      <c r="N106">
        <f>IF(L106="", "", L106-B106)</f>
        <v/>
      </c>
      <c r="O106">
        <f>IF(L106="", "Pending", IF(N106&lt;=30, "Met", "Breached"))</f>
        <v/>
      </c>
    </row>
    <row r="107">
      <c r="M107" s="11">
        <f>B107+30</f>
        <v/>
      </c>
      <c r="N107">
        <f>IF(L107="", "", L107-B107)</f>
        <v/>
      </c>
      <c r="O107">
        <f>IF(L107="", "Pending", IF(N107&lt;=30, "Met", "Breached"))</f>
        <v/>
      </c>
    </row>
    <row r="108">
      <c r="M108" s="11">
        <f>B108+30</f>
        <v/>
      </c>
      <c r="N108">
        <f>IF(L108="", "", L108-B108)</f>
        <v/>
      </c>
      <c r="O108">
        <f>IF(L108="", "Pending", IF(N108&lt;=30, "Met", "Breached"))</f>
        <v/>
      </c>
    </row>
    <row r="109">
      <c r="M109" s="11">
        <f>B109+30</f>
        <v/>
      </c>
      <c r="N109">
        <f>IF(L109="", "", L109-B109)</f>
        <v/>
      </c>
      <c r="O109">
        <f>IF(L109="", "Pending", IF(N109&lt;=30, "Met", "Breached"))</f>
        <v/>
      </c>
    </row>
    <row r="110">
      <c r="M110" s="11">
        <f>B110+30</f>
        <v/>
      </c>
      <c r="N110">
        <f>IF(L110="", "", L110-B110)</f>
        <v/>
      </c>
      <c r="O110">
        <f>IF(L110="", "Pending", IF(N110&lt;=30, "Met", "Breached"))</f>
        <v/>
      </c>
    </row>
    <row r="111">
      <c r="M111" s="11">
        <f>B111+30</f>
        <v/>
      </c>
      <c r="N111">
        <f>IF(L111="", "", L111-B111)</f>
        <v/>
      </c>
      <c r="O111">
        <f>IF(L111="", "Pending", IF(N111&lt;=30, "Met", "Breached"))</f>
        <v/>
      </c>
    </row>
    <row r="112">
      <c r="M112" s="11">
        <f>B112+30</f>
        <v/>
      </c>
      <c r="N112">
        <f>IF(L112="", "", L112-B112)</f>
        <v/>
      </c>
      <c r="O112">
        <f>IF(L112="", "Pending", IF(N112&lt;=30, "Met", "Breached"))</f>
        <v/>
      </c>
    </row>
    <row r="113">
      <c r="M113" s="11">
        <f>B113+30</f>
        <v/>
      </c>
      <c r="N113">
        <f>IF(L113="", "", L113-B113)</f>
        <v/>
      </c>
      <c r="O113">
        <f>IF(L113="", "Pending", IF(N113&lt;=30, "Met", "Breached"))</f>
        <v/>
      </c>
    </row>
    <row r="114">
      <c r="M114" s="11">
        <f>B114+30</f>
        <v/>
      </c>
      <c r="N114">
        <f>IF(L114="", "", L114-B114)</f>
        <v/>
      </c>
      <c r="O114">
        <f>IF(L114="", "Pending", IF(N114&lt;=30, "Met", "Breached"))</f>
        <v/>
      </c>
    </row>
    <row r="115">
      <c r="M115" s="11">
        <f>B115+30</f>
        <v/>
      </c>
      <c r="N115">
        <f>IF(L115="", "", L115-B115)</f>
        <v/>
      </c>
      <c r="O115">
        <f>IF(L115="", "Pending", IF(N115&lt;=30, "Met", "Breached"))</f>
        <v/>
      </c>
    </row>
    <row r="116">
      <c r="M116" s="11">
        <f>B116+30</f>
        <v/>
      </c>
      <c r="N116">
        <f>IF(L116="", "", L116-B116)</f>
        <v/>
      </c>
      <c r="O116">
        <f>IF(L116="", "Pending", IF(N116&lt;=30, "Met", "Breached"))</f>
        <v/>
      </c>
    </row>
    <row r="117">
      <c r="M117" s="11">
        <f>B117+30</f>
        <v/>
      </c>
      <c r="N117">
        <f>IF(L117="", "", L117-B117)</f>
        <v/>
      </c>
      <c r="O117">
        <f>IF(L117="", "Pending", IF(N117&lt;=30, "Met", "Breached"))</f>
        <v/>
      </c>
    </row>
    <row r="118">
      <c r="M118" s="11">
        <f>B118+30</f>
        <v/>
      </c>
      <c r="N118">
        <f>IF(L118="", "", L118-B118)</f>
        <v/>
      </c>
      <c r="O118">
        <f>IF(L118="", "Pending", IF(N118&lt;=30, "Met", "Breached"))</f>
        <v/>
      </c>
    </row>
    <row r="119">
      <c r="M119" s="11">
        <f>B119+30</f>
        <v/>
      </c>
      <c r="N119">
        <f>IF(L119="", "", L119-B119)</f>
        <v/>
      </c>
      <c r="O119">
        <f>IF(L119="", "Pending", IF(N119&lt;=30, "Met", "Breached"))</f>
        <v/>
      </c>
    </row>
    <row r="120">
      <c r="M120" s="11">
        <f>B120+30</f>
        <v/>
      </c>
      <c r="N120">
        <f>IF(L120="", "", L120-B120)</f>
        <v/>
      </c>
      <c r="O120">
        <f>IF(L120="", "Pending", IF(N120&lt;=30, "Met", "Breached"))</f>
        <v/>
      </c>
    </row>
    <row r="121">
      <c r="M121" s="11">
        <f>B121+30</f>
        <v/>
      </c>
      <c r="N121">
        <f>IF(L121="", "", L121-B121)</f>
        <v/>
      </c>
      <c r="O121">
        <f>IF(L121="", "Pending", IF(N121&lt;=30, "Met", "Breached"))</f>
        <v/>
      </c>
    </row>
    <row r="122">
      <c r="M122" s="11">
        <f>B122+30</f>
        <v/>
      </c>
      <c r="N122">
        <f>IF(L122="", "", L122-B122)</f>
        <v/>
      </c>
      <c r="O122">
        <f>IF(L122="", "Pending", IF(N122&lt;=30, "Met", "Breached"))</f>
        <v/>
      </c>
    </row>
    <row r="123">
      <c r="M123" s="11">
        <f>B123+30</f>
        <v/>
      </c>
      <c r="N123">
        <f>IF(L123="", "", L123-B123)</f>
        <v/>
      </c>
      <c r="O123">
        <f>IF(L123="", "Pending", IF(N123&lt;=30, "Met", "Breached"))</f>
        <v/>
      </c>
    </row>
    <row r="124">
      <c r="M124" s="11">
        <f>B124+30</f>
        <v/>
      </c>
      <c r="N124">
        <f>IF(L124="", "", L124-B124)</f>
        <v/>
      </c>
      <c r="O124">
        <f>IF(L124="", "Pending", IF(N124&lt;=30, "Met", "Breached"))</f>
        <v/>
      </c>
    </row>
    <row r="125">
      <c r="M125" s="11">
        <f>B125+30</f>
        <v/>
      </c>
      <c r="N125">
        <f>IF(L125="", "", L125-B125)</f>
        <v/>
      </c>
      <c r="O125">
        <f>IF(L125="", "Pending", IF(N125&lt;=30, "Met", "Breached"))</f>
        <v/>
      </c>
    </row>
    <row r="126">
      <c r="M126" s="11">
        <f>B126+30</f>
        <v/>
      </c>
      <c r="N126">
        <f>IF(L126="", "", L126-B126)</f>
        <v/>
      </c>
      <c r="O126">
        <f>IF(L126="", "Pending", IF(N126&lt;=30, "Met", "Breached"))</f>
        <v/>
      </c>
    </row>
    <row r="127">
      <c r="M127" s="11">
        <f>B127+30</f>
        <v/>
      </c>
      <c r="N127">
        <f>IF(L127="", "", L127-B127)</f>
        <v/>
      </c>
      <c r="O127">
        <f>IF(L127="", "Pending", IF(N127&lt;=30, "Met", "Breached"))</f>
        <v/>
      </c>
    </row>
    <row r="128">
      <c r="M128" s="11">
        <f>B128+30</f>
        <v/>
      </c>
      <c r="N128">
        <f>IF(L128="", "", L128-B128)</f>
        <v/>
      </c>
      <c r="O128">
        <f>IF(L128="", "Pending", IF(N128&lt;=30, "Met", "Breached"))</f>
        <v/>
      </c>
    </row>
    <row r="129">
      <c r="M129" s="11">
        <f>B129+30</f>
        <v/>
      </c>
      <c r="N129">
        <f>IF(L129="", "", L129-B129)</f>
        <v/>
      </c>
      <c r="O129">
        <f>IF(L129="", "Pending", IF(N129&lt;=30, "Met", "Breached"))</f>
        <v/>
      </c>
    </row>
    <row r="130">
      <c r="M130" s="11">
        <f>B130+30</f>
        <v/>
      </c>
      <c r="N130">
        <f>IF(L130="", "", L130-B130)</f>
        <v/>
      </c>
      <c r="O130">
        <f>IF(L130="", "Pending", IF(N130&lt;=30, "Met", "Breached"))</f>
        <v/>
      </c>
    </row>
    <row r="131">
      <c r="M131" s="11">
        <f>B131+30</f>
        <v/>
      </c>
      <c r="N131">
        <f>IF(L131="", "", L131-B131)</f>
        <v/>
      </c>
      <c r="O131">
        <f>IF(L131="", "Pending", IF(N131&lt;=30, "Met", "Breached"))</f>
        <v/>
      </c>
    </row>
    <row r="132">
      <c r="M132" s="11">
        <f>B132+30</f>
        <v/>
      </c>
      <c r="N132">
        <f>IF(L132="", "", L132-B132)</f>
        <v/>
      </c>
      <c r="O132">
        <f>IF(L132="", "Pending", IF(N132&lt;=30, "Met", "Breached"))</f>
        <v/>
      </c>
    </row>
    <row r="133">
      <c r="M133" s="11">
        <f>B133+30</f>
        <v/>
      </c>
      <c r="N133">
        <f>IF(L133="", "", L133-B133)</f>
        <v/>
      </c>
      <c r="O133">
        <f>IF(L133="", "Pending", IF(N133&lt;=30, "Met", "Breached"))</f>
        <v/>
      </c>
    </row>
    <row r="134">
      <c r="M134" s="11">
        <f>B134+30</f>
        <v/>
      </c>
      <c r="N134">
        <f>IF(L134="", "", L134-B134)</f>
        <v/>
      </c>
      <c r="O134">
        <f>IF(L134="", "Pending", IF(N134&lt;=30, "Met", "Breached"))</f>
        <v/>
      </c>
    </row>
    <row r="135">
      <c r="M135" s="11">
        <f>B135+30</f>
        <v/>
      </c>
      <c r="N135">
        <f>IF(L135="", "", L135-B135)</f>
        <v/>
      </c>
      <c r="O135">
        <f>IF(L135="", "Pending", IF(N135&lt;=30, "Met", "Breached"))</f>
        <v/>
      </c>
    </row>
    <row r="136">
      <c r="M136" s="11">
        <f>B136+30</f>
        <v/>
      </c>
      <c r="N136">
        <f>IF(L136="", "", L136-B136)</f>
        <v/>
      </c>
      <c r="O136">
        <f>IF(L136="", "Pending", IF(N136&lt;=30, "Met", "Breached"))</f>
        <v/>
      </c>
    </row>
    <row r="137">
      <c r="M137" s="11">
        <f>B137+30</f>
        <v/>
      </c>
      <c r="N137">
        <f>IF(L137="", "", L137-B137)</f>
        <v/>
      </c>
      <c r="O137">
        <f>IF(L137="", "Pending", IF(N137&lt;=30, "Met", "Breached"))</f>
        <v/>
      </c>
    </row>
    <row r="138">
      <c r="M138" s="11">
        <f>B138+30</f>
        <v/>
      </c>
      <c r="N138">
        <f>IF(L138="", "", L138-B138)</f>
        <v/>
      </c>
      <c r="O138">
        <f>IF(L138="", "Pending", IF(N138&lt;=30, "Met", "Breached"))</f>
        <v/>
      </c>
    </row>
    <row r="139">
      <c r="M139" s="11">
        <f>B139+30</f>
        <v/>
      </c>
      <c r="N139">
        <f>IF(L139="", "", L139-B139)</f>
        <v/>
      </c>
      <c r="O139">
        <f>IF(L139="", "Pending", IF(N139&lt;=30, "Met", "Breached"))</f>
        <v/>
      </c>
    </row>
    <row r="140">
      <c r="M140" s="11">
        <f>B140+30</f>
        <v/>
      </c>
      <c r="N140">
        <f>IF(L140="", "", L140-B140)</f>
        <v/>
      </c>
      <c r="O140">
        <f>IF(L140="", "Pending", IF(N140&lt;=30, "Met", "Breached"))</f>
        <v/>
      </c>
    </row>
    <row r="141">
      <c r="M141" s="11">
        <f>B141+30</f>
        <v/>
      </c>
      <c r="N141">
        <f>IF(L141="", "", L141-B141)</f>
        <v/>
      </c>
      <c r="O141">
        <f>IF(L141="", "Pending", IF(N141&lt;=30, "Met", "Breached"))</f>
        <v/>
      </c>
    </row>
    <row r="142">
      <c r="M142" s="11">
        <f>B142+30</f>
        <v/>
      </c>
      <c r="N142">
        <f>IF(L142="", "", L142-B142)</f>
        <v/>
      </c>
      <c r="O142">
        <f>IF(L142="", "Pending", IF(N142&lt;=30, "Met", "Breached"))</f>
        <v/>
      </c>
    </row>
    <row r="143">
      <c r="M143" s="11">
        <f>B143+30</f>
        <v/>
      </c>
      <c r="N143">
        <f>IF(L143="", "", L143-B143)</f>
        <v/>
      </c>
      <c r="O143">
        <f>IF(L143="", "Pending", IF(N143&lt;=30, "Met", "Breached"))</f>
        <v/>
      </c>
    </row>
    <row r="144">
      <c r="M144" s="11">
        <f>B144+30</f>
        <v/>
      </c>
      <c r="N144">
        <f>IF(L144="", "", L144-B144)</f>
        <v/>
      </c>
      <c r="O144">
        <f>IF(L144="", "Pending", IF(N144&lt;=30, "Met", "Breached"))</f>
        <v/>
      </c>
    </row>
    <row r="145">
      <c r="M145" s="11">
        <f>B145+30</f>
        <v/>
      </c>
      <c r="N145">
        <f>IF(L145="", "", L145-B145)</f>
        <v/>
      </c>
      <c r="O145">
        <f>IF(L145="", "Pending", IF(N145&lt;=30, "Met", "Breached"))</f>
        <v/>
      </c>
    </row>
    <row r="146">
      <c r="M146" s="11">
        <f>B146+30</f>
        <v/>
      </c>
      <c r="N146">
        <f>IF(L146="", "", L146-B146)</f>
        <v/>
      </c>
      <c r="O146">
        <f>IF(L146="", "Pending", IF(N146&lt;=30, "Met", "Breached"))</f>
        <v/>
      </c>
    </row>
    <row r="147">
      <c r="M147" s="11">
        <f>B147+30</f>
        <v/>
      </c>
      <c r="N147">
        <f>IF(L147="", "", L147-B147)</f>
        <v/>
      </c>
      <c r="O147">
        <f>IF(L147="", "Pending", IF(N147&lt;=30, "Met", "Breached"))</f>
        <v/>
      </c>
    </row>
    <row r="148">
      <c r="M148" s="11">
        <f>B148+30</f>
        <v/>
      </c>
      <c r="N148">
        <f>IF(L148="", "", L148-B148)</f>
        <v/>
      </c>
      <c r="O148">
        <f>IF(L148="", "Pending", IF(N148&lt;=30, "Met", "Breached"))</f>
        <v/>
      </c>
    </row>
    <row r="149">
      <c r="M149" s="11">
        <f>B149+30</f>
        <v/>
      </c>
      <c r="N149">
        <f>IF(L149="", "", L149-B149)</f>
        <v/>
      </c>
      <c r="O149">
        <f>IF(L149="", "Pending", IF(N149&lt;=30, "Met", "Breached"))</f>
        <v/>
      </c>
    </row>
    <row r="150">
      <c r="M150" s="11">
        <f>B150+30</f>
        <v/>
      </c>
      <c r="N150">
        <f>IF(L150="", "", L150-B150)</f>
        <v/>
      </c>
      <c r="O150">
        <f>IF(L150="", "Pending", IF(N150&lt;=30, "Met", "Breached"))</f>
        <v/>
      </c>
    </row>
    <row r="151">
      <c r="M151" s="11">
        <f>B151+30</f>
        <v/>
      </c>
      <c r="N151">
        <f>IF(L151="", "", L151-B151)</f>
        <v/>
      </c>
      <c r="O151">
        <f>IF(L151="", "Pending", IF(N151&lt;=30, "Met", "Breached"))</f>
        <v/>
      </c>
    </row>
    <row r="152">
      <c r="M152" s="11">
        <f>B152+30</f>
        <v/>
      </c>
      <c r="N152">
        <f>IF(L152="", "", L152-B152)</f>
        <v/>
      </c>
      <c r="O152">
        <f>IF(L152="", "Pending", IF(N152&lt;=30, "Met", "Breached"))</f>
        <v/>
      </c>
    </row>
    <row r="153">
      <c r="M153" s="11">
        <f>B153+30</f>
        <v/>
      </c>
      <c r="N153">
        <f>IF(L153="", "", L153-B153)</f>
        <v/>
      </c>
      <c r="O153">
        <f>IF(L153="", "Pending", IF(N153&lt;=30, "Met", "Breached"))</f>
        <v/>
      </c>
    </row>
    <row r="154">
      <c r="M154" s="11">
        <f>B154+30</f>
        <v/>
      </c>
      <c r="N154">
        <f>IF(L154="", "", L154-B154)</f>
        <v/>
      </c>
      <c r="O154">
        <f>IF(L154="", "Pending", IF(N154&lt;=30, "Met", "Breached"))</f>
        <v/>
      </c>
    </row>
    <row r="155">
      <c r="M155" s="11">
        <f>B155+30</f>
        <v/>
      </c>
      <c r="N155">
        <f>IF(L155="", "", L155-B155)</f>
        <v/>
      </c>
      <c r="O155">
        <f>IF(L155="", "Pending", IF(N155&lt;=30, "Met", "Breached"))</f>
        <v/>
      </c>
    </row>
    <row r="156">
      <c r="M156" s="11">
        <f>B156+30</f>
        <v/>
      </c>
      <c r="N156">
        <f>IF(L156="", "", L156-B156)</f>
        <v/>
      </c>
      <c r="O156">
        <f>IF(L156="", "Pending", IF(N156&lt;=30, "Met", "Breached"))</f>
        <v/>
      </c>
    </row>
    <row r="157">
      <c r="M157" s="11">
        <f>B157+30</f>
        <v/>
      </c>
      <c r="N157">
        <f>IF(L157="", "", L157-B157)</f>
        <v/>
      </c>
      <c r="O157">
        <f>IF(L157="", "Pending", IF(N157&lt;=30, "Met", "Breached"))</f>
        <v/>
      </c>
    </row>
    <row r="158">
      <c r="M158" s="11">
        <f>B158+30</f>
        <v/>
      </c>
      <c r="N158">
        <f>IF(L158="", "", L158-B158)</f>
        <v/>
      </c>
      <c r="O158">
        <f>IF(L158="", "Pending", IF(N158&lt;=30, "Met", "Breached"))</f>
        <v/>
      </c>
    </row>
    <row r="159">
      <c r="M159" s="11">
        <f>B159+30</f>
        <v/>
      </c>
      <c r="N159">
        <f>IF(L159="", "", L159-B159)</f>
        <v/>
      </c>
      <c r="O159">
        <f>IF(L159="", "Pending", IF(N159&lt;=30, "Met", "Breached"))</f>
        <v/>
      </c>
    </row>
    <row r="160">
      <c r="M160" s="11">
        <f>B160+30</f>
        <v/>
      </c>
      <c r="N160">
        <f>IF(L160="", "", L160-B160)</f>
        <v/>
      </c>
      <c r="O160">
        <f>IF(L160="", "Pending", IF(N160&lt;=30, "Met", "Breached"))</f>
        <v/>
      </c>
    </row>
    <row r="161">
      <c r="M161" s="11">
        <f>B161+30</f>
        <v/>
      </c>
      <c r="N161">
        <f>IF(L161="", "", L161-B161)</f>
        <v/>
      </c>
      <c r="O161">
        <f>IF(L161="", "Pending", IF(N161&lt;=30, "Met", "Breached"))</f>
        <v/>
      </c>
    </row>
    <row r="162">
      <c r="M162" s="11">
        <f>B162+30</f>
        <v/>
      </c>
      <c r="N162">
        <f>IF(L162="", "", L162-B162)</f>
        <v/>
      </c>
      <c r="O162">
        <f>IF(L162="", "Pending", IF(N162&lt;=30, "Met", "Breached"))</f>
        <v/>
      </c>
    </row>
    <row r="163">
      <c r="M163" s="11">
        <f>B163+30</f>
        <v/>
      </c>
      <c r="N163">
        <f>IF(L163="", "", L163-B163)</f>
        <v/>
      </c>
      <c r="O163">
        <f>IF(L163="", "Pending", IF(N163&lt;=30, "Met", "Breached"))</f>
        <v/>
      </c>
    </row>
    <row r="164">
      <c r="M164" s="11">
        <f>B164+30</f>
        <v/>
      </c>
      <c r="N164">
        <f>IF(L164="", "", L164-B164)</f>
        <v/>
      </c>
      <c r="O164">
        <f>IF(L164="", "Pending", IF(N164&lt;=30, "Met", "Breached"))</f>
        <v/>
      </c>
    </row>
    <row r="165">
      <c r="M165" s="11">
        <f>B165+30</f>
        <v/>
      </c>
      <c r="N165">
        <f>IF(L165="", "", L165-B165)</f>
        <v/>
      </c>
      <c r="O165">
        <f>IF(L165="", "Pending", IF(N165&lt;=30, "Met", "Breached"))</f>
        <v/>
      </c>
    </row>
    <row r="166">
      <c r="M166" s="11">
        <f>B166+30</f>
        <v/>
      </c>
      <c r="N166">
        <f>IF(L166="", "", L166-B166)</f>
        <v/>
      </c>
      <c r="O166">
        <f>IF(L166="", "Pending", IF(N166&lt;=30, "Met", "Breached"))</f>
        <v/>
      </c>
    </row>
    <row r="167">
      <c r="M167" s="11">
        <f>B167+30</f>
        <v/>
      </c>
      <c r="N167">
        <f>IF(L167="", "", L167-B167)</f>
        <v/>
      </c>
      <c r="O167">
        <f>IF(L167="", "Pending", IF(N167&lt;=30, "Met", "Breached"))</f>
        <v/>
      </c>
    </row>
    <row r="168">
      <c r="M168" s="11">
        <f>B168+30</f>
        <v/>
      </c>
      <c r="N168">
        <f>IF(L168="", "", L168-B168)</f>
        <v/>
      </c>
      <c r="O168">
        <f>IF(L168="", "Pending", IF(N168&lt;=30, "Met", "Breached"))</f>
        <v/>
      </c>
    </row>
    <row r="169">
      <c r="M169" s="11">
        <f>B169+30</f>
        <v/>
      </c>
      <c r="N169">
        <f>IF(L169="", "", L169-B169)</f>
        <v/>
      </c>
      <c r="O169">
        <f>IF(L169="", "Pending", IF(N169&lt;=30, "Met", "Breached"))</f>
        <v/>
      </c>
    </row>
    <row r="170">
      <c r="M170" s="11">
        <f>B170+30</f>
        <v/>
      </c>
      <c r="N170">
        <f>IF(L170="", "", L170-B170)</f>
        <v/>
      </c>
      <c r="O170">
        <f>IF(L170="", "Pending", IF(N170&lt;=30, "Met", "Breached"))</f>
        <v/>
      </c>
    </row>
    <row r="171">
      <c r="M171" s="11">
        <f>B171+30</f>
        <v/>
      </c>
      <c r="N171">
        <f>IF(L171="", "", L171-B171)</f>
        <v/>
      </c>
      <c r="O171">
        <f>IF(L171="", "Pending", IF(N171&lt;=30, "Met", "Breached"))</f>
        <v/>
      </c>
    </row>
    <row r="172">
      <c r="M172" s="11">
        <f>B172+30</f>
        <v/>
      </c>
      <c r="N172">
        <f>IF(L172="", "", L172-B172)</f>
        <v/>
      </c>
      <c r="O172">
        <f>IF(L172="", "Pending", IF(N172&lt;=30, "Met", "Breached"))</f>
        <v/>
      </c>
    </row>
    <row r="173">
      <c r="M173" s="11">
        <f>B173+30</f>
        <v/>
      </c>
      <c r="N173">
        <f>IF(L173="", "", L173-B173)</f>
        <v/>
      </c>
      <c r="O173">
        <f>IF(L173="", "Pending", IF(N173&lt;=30, "Met", "Breached"))</f>
        <v/>
      </c>
    </row>
    <row r="174">
      <c r="M174" s="11">
        <f>B174+30</f>
        <v/>
      </c>
      <c r="N174">
        <f>IF(L174="", "", L174-B174)</f>
        <v/>
      </c>
      <c r="O174">
        <f>IF(L174="", "Pending", IF(N174&lt;=30, "Met", "Breached"))</f>
        <v/>
      </c>
    </row>
    <row r="175">
      <c r="M175" s="11">
        <f>B175+30</f>
        <v/>
      </c>
      <c r="N175">
        <f>IF(L175="", "", L175-B175)</f>
        <v/>
      </c>
      <c r="O175">
        <f>IF(L175="", "Pending", IF(N175&lt;=30, "Met", "Breached"))</f>
        <v/>
      </c>
    </row>
    <row r="176">
      <c r="M176" s="11">
        <f>B176+30</f>
        <v/>
      </c>
      <c r="N176">
        <f>IF(L176="", "", L176-B176)</f>
        <v/>
      </c>
      <c r="O176">
        <f>IF(L176="", "Pending", IF(N176&lt;=30, "Met", "Breached"))</f>
        <v/>
      </c>
    </row>
    <row r="177">
      <c r="M177" s="11">
        <f>B177+30</f>
        <v/>
      </c>
      <c r="N177">
        <f>IF(L177="", "", L177-B177)</f>
        <v/>
      </c>
      <c r="O177">
        <f>IF(L177="", "Pending", IF(N177&lt;=30, "Met", "Breached"))</f>
        <v/>
      </c>
    </row>
    <row r="178">
      <c r="M178" s="11">
        <f>B178+30</f>
        <v/>
      </c>
      <c r="N178">
        <f>IF(L178="", "", L178-B178)</f>
        <v/>
      </c>
      <c r="O178">
        <f>IF(L178="", "Pending", IF(N178&lt;=30, "Met", "Breached"))</f>
        <v/>
      </c>
    </row>
    <row r="179">
      <c r="M179" s="11">
        <f>B179+30</f>
        <v/>
      </c>
      <c r="N179">
        <f>IF(L179="", "", L179-B179)</f>
        <v/>
      </c>
      <c r="O179">
        <f>IF(L179="", "Pending", IF(N179&lt;=30, "Met", "Breached"))</f>
        <v/>
      </c>
    </row>
    <row r="180">
      <c r="M180" s="11">
        <f>B180+30</f>
        <v/>
      </c>
      <c r="N180">
        <f>IF(L180="", "", L180-B180)</f>
        <v/>
      </c>
      <c r="O180">
        <f>IF(L180="", "Pending", IF(N180&lt;=30, "Met", "Breached"))</f>
        <v/>
      </c>
    </row>
    <row r="181">
      <c r="M181" s="11">
        <f>B181+30</f>
        <v/>
      </c>
      <c r="N181">
        <f>IF(L181="", "", L181-B181)</f>
        <v/>
      </c>
      <c r="O181">
        <f>IF(L181="", "Pending", IF(N181&lt;=30, "Met", "Breached"))</f>
        <v/>
      </c>
    </row>
    <row r="182">
      <c r="M182" s="11">
        <f>B182+30</f>
        <v/>
      </c>
      <c r="N182">
        <f>IF(L182="", "", L182-B182)</f>
        <v/>
      </c>
      <c r="O182">
        <f>IF(L182="", "Pending", IF(N182&lt;=30, "Met", "Breached"))</f>
        <v/>
      </c>
    </row>
    <row r="183">
      <c r="M183" s="11">
        <f>B183+30</f>
        <v/>
      </c>
      <c r="N183">
        <f>IF(L183="", "", L183-B183)</f>
        <v/>
      </c>
      <c r="O183">
        <f>IF(L183="", "Pending", IF(N183&lt;=30, "Met", "Breached"))</f>
        <v/>
      </c>
    </row>
    <row r="184">
      <c r="M184" s="11">
        <f>B184+30</f>
        <v/>
      </c>
      <c r="N184">
        <f>IF(L184="", "", L184-B184)</f>
        <v/>
      </c>
      <c r="O184">
        <f>IF(L184="", "Pending", IF(N184&lt;=30, "Met", "Breached"))</f>
        <v/>
      </c>
    </row>
    <row r="185">
      <c r="M185" s="11">
        <f>B185+30</f>
        <v/>
      </c>
      <c r="N185">
        <f>IF(L185="", "", L185-B185)</f>
        <v/>
      </c>
      <c r="O185">
        <f>IF(L185="", "Pending", IF(N185&lt;=30, "Met", "Breached"))</f>
        <v/>
      </c>
    </row>
    <row r="186">
      <c r="M186" s="11">
        <f>B186+30</f>
        <v/>
      </c>
      <c r="N186">
        <f>IF(L186="", "", L186-B186)</f>
        <v/>
      </c>
      <c r="O186">
        <f>IF(L186="", "Pending", IF(N186&lt;=30, "Met", "Breached"))</f>
        <v/>
      </c>
    </row>
    <row r="187">
      <c r="M187" s="11">
        <f>B187+30</f>
        <v/>
      </c>
      <c r="N187">
        <f>IF(L187="", "", L187-B187)</f>
        <v/>
      </c>
      <c r="O187">
        <f>IF(L187="", "Pending", IF(N187&lt;=30, "Met", "Breached"))</f>
        <v/>
      </c>
    </row>
    <row r="188">
      <c r="M188" s="11">
        <f>B188+30</f>
        <v/>
      </c>
      <c r="N188">
        <f>IF(L188="", "", L188-B188)</f>
        <v/>
      </c>
      <c r="O188">
        <f>IF(L188="", "Pending", IF(N188&lt;=30, "Met", "Breached"))</f>
        <v/>
      </c>
    </row>
    <row r="189">
      <c r="M189" s="11">
        <f>B189+30</f>
        <v/>
      </c>
      <c r="N189">
        <f>IF(L189="", "", L189-B189)</f>
        <v/>
      </c>
      <c r="O189">
        <f>IF(L189="", "Pending", IF(N189&lt;=30, "Met", "Breached"))</f>
        <v/>
      </c>
    </row>
    <row r="190">
      <c r="M190" s="11">
        <f>B190+30</f>
        <v/>
      </c>
      <c r="N190">
        <f>IF(L190="", "", L190-B190)</f>
        <v/>
      </c>
      <c r="O190">
        <f>IF(L190="", "Pending", IF(N190&lt;=30, "Met", "Breached"))</f>
        <v/>
      </c>
    </row>
    <row r="191">
      <c r="M191" s="11">
        <f>B191+30</f>
        <v/>
      </c>
      <c r="N191">
        <f>IF(L191="", "", L191-B191)</f>
        <v/>
      </c>
      <c r="O191">
        <f>IF(L191="", "Pending", IF(N191&lt;=30, "Met", "Breached"))</f>
        <v/>
      </c>
    </row>
    <row r="192">
      <c r="M192" s="11">
        <f>B192+30</f>
        <v/>
      </c>
      <c r="N192">
        <f>IF(L192="", "", L192-B192)</f>
        <v/>
      </c>
      <c r="O192">
        <f>IF(L192="", "Pending", IF(N192&lt;=30, "Met", "Breached"))</f>
        <v/>
      </c>
    </row>
    <row r="193">
      <c r="M193" s="11">
        <f>B193+30</f>
        <v/>
      </c>
      <c r="N193">
        <f>IF(L193="", "", L193-B193)</f>
        <v/>
      </c>
      <c r="O193">
        <f>IF(L193="", "Pending", IF(N193&lt;=30, "Met", "Breached"))</f>
        <v/>
      </c>
    </row>
    <row r="194">
      <c r="M194" s="11">
        <f>B194+30</f>
        <v/>
      </c>
      <c r="N194">
        <f>IF(L194="", "", L194-B194)</f>
        <v/>
      </c>
      <c r="O194">
        <f>IF(L194="", "Pending", IF(N194&lt;=30, "Met", "Breached"))</f>
        <v/>
      </c>
    </row>
    <row r="195">
      <c r="M195" s="11">
        <f>B195+30</f>
        <v/>
      </c>
      <c r="N195">
        <f>IF(L195="", "", L195-B195)</f>
        <v/>
      </c>
      <c r="O195">
        <f>IF(L195="", "Pending", IF(N195&lt;=30, "Met", "Breached"))</f>
        <v/>
      </c>
    </row>
    <row r="196">
      <c r="M196" s="11">
        <f>B196+30</f>
        <v/>
      </c>
      <c r="N196">
        <f>IF(L196="", "", L196-B196)</f>
        <v/>
      </c>
      <c r="O196">
        <f>IF(L196="", "Pending", IF(N196&lt;=30, "Met", "Breached"))</f>
        <v/>
      </c>
    </row>
    <row r="197">
      <c r="M197" s="11">
        <f>B197+30</f>
        <v/>
      </c>
      <c r="N197">
        <f>IF(L197="", "", L197-B197)</f>
        <v/>
      </c>
      <c r="O197">
        <f>IF(L197="", "Pending", IF(N197&lt;=30, "Met", "Breached"))</f>
        <v/>
      </c>
    </row>
    <row r="198">
      <c r="M198" s="11">
        <f>B198+30</f>
        <v/>
      </c>
      <c r="N198">
        <f>IF(L198="", "", L198-B198)</f>
        <v/>
      </c>
      <c r="O198">
        <f>IF(L198="", "Pending", IF(N198&lt;=30, "Met", "Breached"))</f>
        <v/>
      </c>
    </row>
    <row r="199">
      <c r="M199" s="11">
        <f>B199+30</f>
        <v/>
      </c>
      <c r="N199">
        <f>IF(L199="", "", L199-B199)</f>
        <v/>
      </c>
      <c r="O199">
        <f>IF(L199="", "Pending", IF(N199&lt;=30, "Met", "Breached"))</f>
        <v/>
      </c>
    </row>
    <row r="200">
      <c r="M200" s="11">
        <f>B200+30</f>
        <v/>
      </c>
      <c r="N200">
        <f>IF(L200="", "", L200-B200)</f>
        <v/>
      </c>
      <c r="O200">
        <f>IF(L200="", "Pending", IF(N200&lt;=30, "Met", "Breached"))</f>
        <v/>
      </c>
    </row>
    <row r="201">
      <c r="M201" s="11">
        <f>B201+30</f>
        <v/>
      </c>
      <c r="N201">
        <f>IF(L201="", "", L201-B201)</f>
        <v/>
      </c>
      <c r="O201">
        <f>IF(L201="", "Pending", IF(N201&lt;=30, "Met", "Breached"))</f>
        <v/>
      </c>
    </row>
    <row r="202">
      <c r="M202" s="11">
        <f>B202+30</f>
        <v/>
      </c>
      <c r="N202">
        <f>IF(L202="", "", L202-B202)</f>
        <v/>
      </c>
      <c r="O202">
        <f>IF(L202="", "Pending", IF(N202&lt;=30, "Met", "Breached"))</f>
        <v/>
      </c>
    </row>
    <row r="203">
      <c r="M203" s="11">
        <f>B203+30</f>
        <v/>
      </c>
      <c r="N203">
        <f>IF(L203="", "", L203-B203)</f>
        <v/>
      </c>
      <c r="O203">
        <f>IF(L203="", "Pending", IF(N203&lt;=30, "Met", "Breached"))</f>
        <v/>
      </c>
    </row>
    <row r="204">
      <c r="M204" s="11">
        <f>B204+30</f>
        <v/>
      </c>
      <c r="N204">
        <f>IF(L204="", "", L204-B204)</f>
        <v/>
      </c>
      <c r="O204">
        <f>IF(L204="", "Pending", IF(N204&lt;=30, "Met", "Breached"))</f>
        <v/>
      </c>
    </row>
    <row r="205">
      <c r="M205" s="11">
        <f>B205+30</f>
        <v/>
      </c>
      <c r="N205">
        <f>IF(L205="", "", L205-B205)</f>
        <v/>
      </c>
      <c r="O205">
        <f>IF(L205="", "Pending", IF(N205&lt;=30, "Met", "Breached"))</f>
        <v/>
      </c>
    </row>
    <row r="206">
      <c r="M206" s="11">
        <f>B206+30</f>
        <v/>
      </c>
      <c r="N206">
        <f>IF(L206="", "", L206-B206)</f>
        <v/>
      </c>
      <c r="O206">
        <f>IF(L206="", "Pending", IF(N206&lt;=30, "Met", "Breached"))</f>
        <v/>
      </c>
    </row>
    <row r="207">
      <c r="M207" s="11">
        <f>B207+30</f>
        <v/>
      </c>
      <c r="N207">
        <f>IF(L207="", "", L207-B207)</f>
        <v/>
      </c>
      <c r="O207">
        <f>IF(L207="", "Pending", IF(N207&lt;=30, "Met", "Breached"))</f>
        <v/>
      </c>
    </row>
    <row r="208">
      <c r="M208" s="11">
        <f>B208+30</f>
        <v/>
      </c>
      <c r="N208">
        <f>IF(L208="", "", L208-B208)</f>
        <v/>
      </c>
      <c r="O208">
        <f>IF(L208="", "Pending", IF(N208&lt;=30, "Met", "Breached"))</f>
        <v/>
      </c>
    </row>
    <row r="209">
      <c r="M209" s="11">
        <f>B209+30</f>
        <v/>
      </c>
      <c r="N209">
        <f>IF(L209="", "", L209-B209)</f>
        <v/>
      </c>
      <c r="O209">
        <f>IF(L209="", "Pending", IF(N209&lt;=30, "Met", "Breached"))</f>
        <v/>
      </c>
    </row>
    <row r="210">
      <c r="M210" s="11">
        <f>B210+30</f>
        <v/>
      </c>
      <c r="N210">
        <f>IF(L210="", "", L210-B210)</f>
        <v/>
      </c>
      <c r="O210">
        <f>IF(L210="", "Pending", IF(N210&lt;=30, "Met", "Breached"))</f>
        <v/>
      </c>
    </row>
    <row r="211">
      <c r="M211" s="11">
        <f>B211+30</f>
        <v/>
      </c>
      <c r="N211">
        <f>IF(L211="", "", L211-B211)</f>
        <v/>
      </c>
      <c r="O211">
        <f>IF(L211="", "Pending", IF(N211&lt;=30, "Met", "Breached"))</f>
        <v/>
      </c>
    </row>
    <row r="212">
      <c r="M212" s="11">
        <f>B212+30</f>
        <v/>
      </c>
      <c r="N212">
        <f>IF(L212="", "", L212-B212)</f>
        <v/>
      </c>
      <c r="O212">
        <f>IF(L212="", "Pending", IF(N212&lt;=30, "Met", "Breached"))</f>
        <v/>
      </c>
    </row>
    <row r="213">
      <c r="M213" s="11">
        <f>B213+30</f>
        <v/>
      </c>
      <c r="N213">
        <f>IF(L213="", "", L213-B213)</f>
        <v/>
      </c>
      <c r="O213">
        <f>IF(L213="", "Pending", IF(N213&lt;=30, "Met", "Breached"))</f>
        <v/>
      </c>
    </row>
    <row r="214">
      <c r="M214" s="11">
        <f>B214+30</f>
        <v/>
      </c>
      <c r="N214">
        <f>IF(L214="", "", L214-B214)</f>
        <v/>
      </c>
      <c r="O214">
        <f>IF(L214="", "Pending", IF(N214&lt;=30, "Met", "Breached"))</f>
        <v/>
      </c>
    </row>
    <row r="215">
      <c r="M215" s="11">
        <f>B215+30</f>
        <v/>
      </c>
      <c r="N215">
        <f>IF(L215="", "", L215-B215)</f>
        <v/>
      </c>
      <c r="O215">
        <f>IF(L215="", "Pending", IF(N215&lt;=30, "Met", "Breached"))</f>
        <v/>
      </c>
    </row>
    <row r="216">
      <c r="M216" s="11">
        <f>B216+30</f>
        <v/>
      </c>
      <c r="N216">
        <f>IF(L216="", "", L216-B216)</f>
        <v/>
      </c>
      <c r="O216">
        <f>IF(L216="", "Pending", IF(N216&lt;=30, "Met", "Breached"))</f>
        <v/>
      </c>
    </row>
    <row r="217">
      <c r="M217" s="11">
        <f>B217+30</f>
        <v/>
      </c>
      <c r="N217">
        <f>IF(L217="", "", L217-B217)</f>
        <v/>
      </c>
      <c r="O217">
        <f>IF(L217="", "Pending", IF(N217&lt;=30, "Met", "Breached"))</f>
        <v/>
      </c>
    </row>
    <row r="218">
      <c r="M218" s="11">
        <f>B218+30</f>
        <v/>
      </c>
      <c r="N218">
        <f>IF(L218="", "", L218-B218)</f>
        <v/>
      </c>
      <c r="O218">
        <f>IF(L218="", "Pending", IF(N218&lt;=30, "Met", "Breached"))</f>
        <v/>
      </c>
    </row>
    <row r="219">
      <c r="M219" s="11">
        <f>B219+30</f>
        <v/>
      </c>
      <c r="N219">
        <f>IF(L219="", "", L219-B219)</f>
        <v/>
      </c>
      <c r="O219">
        <f>IF(L219="", "Pending", IF(N219&lt;=30, "Met", "Breached"))</f>
        <v/>
      </c>
    </row>
    <row r="220">
      <c r="M220" s="11">
        <f>B220+30</f>
        <v/>
      </c>
      <c r="N220">
        <f>IF(L220="", "", L220-B220)</f>
        <v/>
      </c>
      <c r="O220">
        <f>IF(L220="", "Pending", IF(N220&lt;=30, "Met", "Breached"))</f>
        <v/>
      </c>
    </row>
    <row r="221">
      <c r="M221" s="11">
        <f>B221+30</f>
        <v/>
      </c>
      <c r="N221">
        <f>IF(L221="", "", L221-B221)</f>
        <v/>
      </c>
      <c r="O221">
        <f>IF(L221="", "Pending", IF(N221&lt;=30, "Met", "Breached"))</f>
        <v/>
      </c>
    </row>
    <row r="222">
      <c r="M222" s="11">
        <f>B222+30</f>
        <v/>
      </c>
      <c r="N222">
        <f>IF(L222="", "", L222-B222)</f>
        <v/>
      </c>
      <c r="O222">
        <f>IF(L222="", "Pending", IF(N222&lt;=30, "Met", "Breached"))</f>
        <v/>
      </c>
    </row>
    <row r="223">
      <c r="M223" s="11">
        <f>B223+30</f>
        <v/>
      </c>
      <c r="N223">
        <f>IF(L223="", "", L223-B223)</f>
        <v/>
      </c>
      <c r="O223">
        <f>IF(L223="", "Pending", IF(N223&lt;=30, "Met", "Breached"))</f>
        <v/>
      </c>
    </row>
    <row r="224">
      <c r="M224" s="11">
        <f>B224+30</f>
        <v/>
      </c>
      <c r="N224">
        <f>IF(L224="", "", L224-B224)</f>
        <v/>
      </c>
      <c r="O224">
        <f>IF(L224="", "Pending", IF(N224&lt;=30, "Met", "Breached"))</f>
        <v/>
      </c>
    </row>
    <row r="225">
      <c r="M225" s="11">
        <f>B225+30</f>
        <v/>
      </c>
      <c r="N225">
        <f>IF(L225="", "", L225-B225)</f>
        <v/>
      </c>
      <c r="O225">
        <f>IF(L225="", "Pending", IF(N225&lt;=30, "Met", "Breached"))</f>
        <v/>
      </c>
    </row>
    <row r="226">
      <c r="M226" s="11">
        <f>B226+30</f>
        <v/>
      </c>
      <c r="N226">
        <f>IF(L226="", "", L226-B226)</f>
        <v/>
      </c>
      <c r="O226">
        <f>IF(L226="", "Pending", IF(N226&lt;=30, "Met", "Breached"))</f>
        <v/>
      </c>
    </row>
    <row r="227">
      <c r="M227" s="11">
        <f>B227+30</f>
        <v/>
      </c>
      <c r="N227">
        <f>IF(L227="", "", L227-B227)</f>
        <v/>
      </c>
      <c r="O227">
        <f>IF(L227="", "Pending", IF(N227&lt;=30, "Met", "Breached"))</f>
        <v/>
      </c>
    </row>
    <row r="228">
      <c r="M228" s="11">
        <f>B228+30</f>
        <v/>
      </c>
      <c r="N228">
        <f>IF(L228="", "", L228-B228)</f>
        <v/>
      </c>
      <c r="O228">
        <f>IF(L228="", "Pending", IF(N228&lt;=30, "Met", "Breached"))</f>
        <v/>
      </c>
    </row>
    <row r="229">
      <c r="M229" s="11">
        <f>B229+30</f>
        <v/>
      </c>
      <c r="N229">
        <f>IF(L229="", "", L229-B229)</f>
        <v/>
      </c>
      <c r="O229">
        <f>IF(L229="", "Pending", IF(N229&lt;=30, "Met", "Breached"))</f>
        <v/>
      </c>
    </row>
    <row r="230">
      <c r="M230" s="11">
        <f>B230+30</f>
        <v/>
      </c>
      <c r="N230">
        <f>IF(L230="", "", L230-B230)</f>
        <v/>
      </c>
      <c r="O230">
        <f>IF(L230="", "Pending", IF(N230&lt;=30, "Met", "Breached"))</f>
        <v/>
      </c>
    </row>
    <row r="231">
      <c r="M231" s="11">
        <f>B231+30</f>
        <v/>
      </c>
      <c r="N231">
        <f>IF(L231="", "", L231-B231)</f>
        <v/>
      </c>
      <c r="O231">
        <f>IF(L231="", "Pending", IF(N231&lt;=30, "Met", "Breached"))</f>
        <v/>
      </c>
    </row>
    <row r="232">
      <c r="M232" s="11">
        <f>B232+30</f>
        <v/>
      </c>
      <c r="N232">
        <f>IF(L232="", "", L232-B232)</f>
        <v/>
      </c>
      <c r="O232">
        <f>IF(L232="", "Pending", IF(N232&lt;=30, "Met", "Breached"))</f>
        <v/>
      </c>
    </row>
    <row r="233">
      <c r="M233" s="11">
        <f>B233+30</f>
        <v/>
      </c>
      <c r="N233">
        <f>IF(L233="", "", L233-B233)</f>
        <v/>
      </c>
      <c r="O233">
        <f>IF(L233="", "Pending", IF(N233&lt;=30, "Met", "Breached"))</f>
        <v/>
      </c>
    </row>
    <row r="234">
      <c r="M234" s="11">
        <f>B234+30</f>
        <v/>
      </c>
      <c r="N234">
        <f>IF(L234="", "", L234-B234)</f>
        <v/>
      </c>
      <c r="O234">
        <f>IF(L234="", "Pending", IF(N234&lt;=30, "Met", "Breached"))</f>
        <v/>
      </c>
    </row>
    <row r="235">
      <c r="M235" s="11">
        <f>B235+30</f>
        <v/>
      </c>
      <c r="N235">
        <f>IF(L235="", "", L235-B235)</f>
        <v/>
      </c>
      <c r="O235">
        <f>IF(L235="", "Pending", IF(N235&lt;=30, "Met", "Breached"))</f>
        <v/>
      </c>
    </row>
    <row r="236">
      <c r="M236" s="11">
        <f>B236+30</f>
        <v/>
      </c>
      <c r="N236">
        <f>IF(L236="", "", L236-B236)</f>
        <v/>
      </c>
      <c r="O236">
        <f>IF(L236="", "Pending", IF(N236&lt;=30, "Met", "Breached"))</f>
        <v/>
      </c>
    </row>
    <row r="237">
      <c r="M237" s="11">
        <f>B237+30</f>
        <v/>
      </c>
      <c r="N237">
        <f>IF(L237="", "", L237-B237)</f>
        <v/>
      </c>
      <c r="O237">
        <f>IF(L237="", "Pending", IF(N237&lt;=30, "Met", "Breached"))</f>
        <v/>
      </c>
    </row>
    <row r="238">
      <c r="M238" s="11">
        <f>B238+30</f>
        <v/>
      </c>
      <c r="N238">
        <f>IF(L238="", "", L238-B238)</f>
        <v/>
      </c>
      <c r="O238">
        <f>IF(L238="", "Pending", IF(N238&lt;=30, "Met", "Breached"))</f>
        <v/>
      </c>
    </row>
    <row r="239">
      <c r="M239" s="11">
        <f>B239+30</f>
        <v/>
      </c>
      <c r="N239">
        <f>IF(L239="", "", L239-B239)</f>
        <v/>
      </c>
      <c r="O239">
        <f>IF(L239="", "Pending", IF(N239&lt;=30, "Met", "Breached"))</f>
        <v/>
      </c>
    </row>
    <row r="240">
      <c r="M240" s="11">
        <f>B240+30</f>
        <v/>
      </c>
      <c r="N240">
        <f>IF(L240="", "", L240-B240)</f>
        <v/>
      </c>
      <c r="O240">
        <f>IF(L240="", "Pending", IF(N240&lt;=30, "Met", "Breached"))</f>
        <v/>
      </c>
    </row>
    <row r="241">
      <c r="M241" s="11">
        <f>B241+30</f>
        <v/>
      </c>
      <c r="N241">
        <f>IF(L241="", "", L241-B241)</f>
        <v/>
      </c>
      <c r="O241">
        <f>IF(L241="", "Pending", IF(N241&lt;=30, "Met", "Breached"))</f>
        <v/>
      </c>
    </row>
    <row r="242">
      <c r="M242" s="11">
        <f>B242+30</f>
        <v/>
      </c>
      <c r="N242">
        <f>IF(L242="", "", L242-B242)</f>
        <v/>
      </c>
      <c r="O242">
        <f>IF(L242="", "Pending", IF(N242&lt;=30, "Met", "Breached"))</f>
        <v/>
      </c>
    </row>
    <row r="243">
      <c r="M243" s="11">
        <f>B243+30</f>
        <v/>
      </c>
      <c r="N243">
        <f>IF(L243="", "", L243-B243)</f>
        <v/>
      </c>
      <c r="O243">
        <f>IF(L243="", "Pending", IF(N243&lt;=30, "Met", "Breached"))</f>
        <v/>
      </c>
    </row>
    <row r="244">
      <c r="M244" s="11">
        <f>B244+30</f>
        <v/>
      </c>
      <c r="N244">
        <f>IF(L244="", "", L244-B244)</f>
        <v/>
      </c>
      <c r="O244">
        <f>IF(L244="", "Pending", IF(N244&lt;=30, "Met", "Breached"))</f>
        <v/>
      </c>
    </row>
    <row r="245">
      <c r="M245" s="11">
        <f>B245+30</f>
        <v/>
      </c>
      <c r="N245">
        <f>IF(L245="", "", L245-B245)</f>
        <v/>
      </c>
      <c r="O245">
        <f>IF(L245="", "Pending", IF(N245&lt;=30, "Met", "Breached"))</f>
        <v/>
      </c>
    </row>
    <row r="246">
      <c r="M246" s="11">
        <f>B246+30</f>
        <v/>
      </c>
      <c r="N246">
        <f>IF(L246="", "", L246-B246)</f>
        <v/>
      </c>
      <c r="O246">
        <f>IF(L246="", "Pending", IF(N246&lt;=30, "Met", "Breached"))</f>
        <v/>
      </c>
    </row>
    <row r="247">
      <c r="M247" s="11">
        <f>B247+30</f>
        <v/>
      </c>
      <c r="N247">
        <f>IF(L247="", "", L247-B247)</f>
        <v/>
      </c>
      <c r="O247">
        <f>IF(L247="", "Pending", IF(N247&lt;=30, "Met", "Breached"))</f>
        <v/>
      </c>
    </row>
    <row r="248">
      <c r="M248" s="11">
        <f>B248+30</f>
        <v/>
      </c>
      <c r="N248">
        <f>IF(L248="", "", L248-B248)</f>
        <v/>
      </c>
      <c r="O248">
        <f>IF(L248="", "Pending", IF(N248&lt;=30, "Met", "Breached"))</f>
        <v/>
      </c>
    </row>
    <row r="249">
      <c r="M249" s="11">
        <f>B249+30</f>
        <v/>
      </c>
      <c r="N249">
        <f>IF(L249="", "", L249-B249)</f>
        <v/>
      </c>
      <c r="O249">
        <f>IF(L249="", "Pending", IF(N249&lt;=30, "Met", "Breached"))</f>
        <v/>
      </c>
    </row>
    <row r="250">
      <c r="M250" s="11">
        <f>B250+30</f>
        <v/>
      </c>
      <c r="N250">
        <f>IF(L250="", "", L250-B250)</f>
        <v/>
      </c>
      <c r="O250">
        <f>IF(L250="", "Pending", IF(N250&lt;=30, "Met", "Breached"))</f>
        <v/>
      </c>
    </row>
    <row r="251">
      <c r="M251" s="11">
        <f>B251+30</f>
        <v/>
      </c>
      <c r="N251">
        <f>IF(L251="", "", L251-B251)</f>
        <v/>
      </c>
      <c r="O251">
        <f>IF(L251="", "Pending", IF(N251&lt;=30, "Met", "Breached"))</f>
        <v/>
      </c>
    </row>
    <row r="252">
      <c r="M252" s="11">
        <f>B252+30</f>
        <v/>
      </c>
      <c r="N252">
        <f>IF(L252="", "", L252-B252)</f>
        <v/>
      </c>
      <c r="O252">
        <f>IF(L252="", "Pending", IF(N252&lt;=30, "Met", "Breached"))</f>
        <v/>
      </c>
    </row>
    <row r="253">
      <c r="M253" s="11">
        <f>B253+30</f>
        <v/>
      </c>
      <c r="N253">
        <f>IF(L253="", "", L253-B253)</f>
        <v/>
      </c>
      <c r="O253">
        <f>IF(L253="", "Pending", IF(N253&lt;=30, "Met", "Breached"))</f>
        <v/>
      </c>
    </row>
    <row r="254">
      <c r="M254" s="11">
        <f>B254+30</f>
        <v/>
      </c>
      <c r="N254">
        <f>IF(L254="", "", L254-B254)</f>
        <v/>
      </c>
      <c r="O254">
        <f>IF(L254="", "Pending", IF(N254&lt;=30, "Met", "Breached"))</f>
        <v/>
      </c>
    </row>
    <row r="255">
      <c r="M255" s="11">
        <f>B255+30</f>
        <v/>
      </c>
      <c r="N255">
        <f>IF(L255="", "", L255-B255)</f>
        <v/>
      </c>
      <c r="O255">
        <f>IF(L255="", "Pending", IF(N255&lt;=30, "Met", "Breached"))</f>
        <v/>
      </c>
    </row>
    <row r="256">
      <c r="M256" s="11">
        <f>B256+30</f>
        <v/>
      </c>
      <c r="N256">
        <f>IF(L256="", "", L256-B256)</f>
        <v/>
      </c>
      <c r="O256">
        <f>IF(L256="", "Pending", IF(N256&lt;=30, "Met", "Breached"))</f>
        <v/>
      </c>
    </row>
    <row r="257">
      <c r="M257" s="11">
        <f>B257+30</f>
        <v/>
      </c>
      <c r="N257">
        <f>IF(L257="", "", L257-B257)</f>
        <v/>
      </c>
      <c r="O257">
        <f>IF(L257="", "Pending", IF(N257&lt;=30, "Met", "Breached"))</f>
        <v/>
      </c>
    </row>
    <row r="258">
      <c r="M258" s="11">
        <f>B258+30</f>
        <v/>
      </c>
      <c r="N258">
        <f>IF(L258="", "", L258-B258)</f>
        <v/>
      </c>
      <c r="O258">
        <f>IF(L258="", "Pending", IF(N258&lt;=30, "Met", "Breached"))</f>
        <v/>
      </c>
    </row>
    <row r="259">
      <c r="M259" s="11">
        <f>B259+30</f>
        <v/>
      </c>
      <c r="N259">
        <f>IF(L259="", "", L259-B259)</f>
        <v/>
      </c>
      <c r="O259">
        <f>IF(L259="", "Pending", IF(N259&lt;=30, "Met", "Breached"))</f>
        <v/>
      </c>
    </row>
    <row r="260">
      <c r="M260" s="11">
        <f>B260+30</f>
        <v/>
      </c>
      <c r="N260">
        <f>IF(L260="", "", L260-B260)</f>
        <v/>
      </c>
      <c r="O260">
        <f>IF(L260="", "Pending", IF(N260&lt;=30, "Met", "Breached"))</f>
        <v/>
      </c>
    </row>
    <row r="261">
      <c r="M261" s="11">
        <f>B261+30</f>
        <v/>
      </c>
      <c r="N261">
        <f>IF(L261="", "", L261-B261)</f>
        <v/>
      </c>
      <c r="O261">
        <f>IF(L261="", "Pending", IF(N261&lt;=30, "Met", "Breached"))</f>
        <v/>
      </c>
    </row>
    <row r="262">
      <c r="M262" s="11">
        <f>B262+30</f>
        <v/>
      </c>
      <c r="N262">
        <f>IF(L262="", "", L262-B262)</f>
        <v/>
      </c>
      <c r="O262">
        <f>IF(L262="", "Pending", IF(N262&lt;=30, "Met", "Breached"))</f>
        <v/>
      </c>
    </row>
    <row r="263">
      <c r="M263" s="11">
        <f>B263+30</f>
        <v/>
      </c>
      <c r="N263">
        <f>IF(L263="", "", L263-B263)</f>
        <v/>
      </c>
      <c r="O263">
        <f>IF(L263="", "Pending", IF(N263&lt;=30, "Met", "Breached"))</f>
        <v/>
      </c>
    </row>
    <row r="264">
      <c r="M264" s="11">
        <f>B264+30</f>
        <v/>
      </c>
      <c r="N264">
        <f>IF(L264="", "", L264-B264)</f>
        <v/>
      </c>
      <c r="O264">
        <f>IF(L264="", "Pending", IF(N264&lt;=30, "Met", "Breached"))</f>
        <v/>
      </c>
    </row>
    <row r="265">
      <c r="M265" s="11">
        <f>B265+30</f>
        <v/>
      </c>
      <c r="N265">
        <f>IF(L265="", "", L265-B265)</f>
        <v/>
      </c>
      <c r="O265">
        <f>IF(L265="", "Pending", IF(N265&lt;=30, "Met", "Breached"))</f>
        <v/>
      </c>
    </row>
    <row r="266">
      <c r="M266" s="11">
        <f>B266+30</f>
        <v/>
      </c>
      <c r="N266">
        <f>IF(L266="", "", L266-B266)</f>
        <v/>
      </c>
      <c r="O266">
        <f>IF(L266="", "Pending", IF(N266&lt;=30, "Met", "Breached"))</f>
        <v/>
      </c>
    </row>
    <row r="267">
      <c r="M267" s="11">
        <f>B267+30</f>
        <v/>
      </c>
      <c r="N267">
        <f>IF(L267="", "", L267-B267)</f>
        <v/>
      </c>
      <c r="O267">
        <f>IF(L267="", "Pending", IF(N267&lt;=30, "Met", "Breached"))</f>
        <v/>
      </c>
    </row>
    <row r="268">
      <c r="M268" s="11">
        <f>B268+30</f>
        <v/>
      </c>
      <c r="N268">
        <f>IF(L268="", "", L268-B268)</f>
        <v/>
      </c>
      <c r="O268">
        <f>IF(L268="", "Pending", IF(N268&lt;=30, "Met", "Breached"))</f>
        <v/>
      </c>
    </row>
    <row r="269">
      <c r="M269" s="11">
        <f>B269+30</f>
        <v/>
      </c>
      <c r="N269">
        <f>IF(L269="", "", L269-B269)</f>
        <v/>
      </c>
      <c r="O269">
        <f>IF(L269="", "Pending", IF(N269&lt;=30, "Met", "Breached"))</f>
        <v/>
      </c>
    </row>
    <row r="270">
      <c r="M270" s="11">
        <f>B270+30</f>
        <v/>
      </c>
      <c r="N270">
        <f>IF(L270="", "", L270-B270)</f>
        <v/>
      </c>
      <c r="O270">
        <f>IF(L270="", "Pending", IF(N270&lt;=30, "Met", "Breached"))</f>
        <v/>
      </c>
    </row>
    <row r="271">
      <c r="M271" s="11">
        <f>B271+30</f>
        <v/>
      </c>
      <c r="N271">
        <f>IF(L271="", "", L271-B271)</f>
        <v/>
      </c>
      <c r="O271">
        <f>IF(L271="", "Pending", IF(N271&lt;=30, "Met", "Breached"))</f>
        <v/>
      </c>
    </row>
    <row r="272">
      <c r="M272" s="11">
        <f>B272+30</f>
        <v/>
      </c>
      <c r="N272">
        <f>IF(L272="", "", L272-B272)</f>
        <v/>
      </c>
      <c r="O272">
        <f>IF(L272="", "Pending", IF(N272&lt;=30, "Met", "Breached"))</f>
        <v/>
      </c>
    </row>
    <row r="273">
      <c r="M273" s="11">
        <f>B273+30</f>
        <v/>
      </c>
      <c r="N273">
        <f>IF(L273="", "", L273-B273)</f>
        <v/>
      </c>
      <c r="O273">
        <f>IF(L273="", "Pending", IF(N273&lt;=30, "Met", "Breached"))</f>
        <v/>
      </c>
    </row>
    <row r="274">
      <c r="M274" s="11">
        <f>B274+30</f>
        <v/>
      </c>
      <c r="N274">
        <f>IF(L274="", "", L274-B274)</f>
        <v/>
      </c>
      <c r="O274">
        <f>IF(L274="", "Pending", IF(N274&lt;=30, "Met", "Breached"))</f>
        <v/>
      </c>
    </row>
    <row r="275">
      <c r="M275" s="11">
        <f>B275+30</f>
        <v/>
      </c>
      <c r="N275">
        <f>IF(L275="", "", L275-B275)</f>
        <v/>
      </c>
      <c r="O275">
        <f>IF(L275="", "Pending", IF(N275&lt;=30, "Met", "Breached"))</f>
        <v/>
      </c>
    </row>
    <row r="276">
      <c r="M276" s="11">
        <f>B276+30</f>
        <v/>
      </c>
      <c r="N276">
        <f>IF(L276="", "", L276-B276)</f>
        <v/>
      </c>
      <c r="O276">
        <f>IF(L276="", "Pending", IF(N276&lt;=30, "Met", "Breached"))</f>
        <v/>
      </c>
    </row>
    <row r="277">
      <c r="M277" s="11">
        <f>B277+30</f>
        <v/>
      </c>
      <c r="N277">
        <f>IF(L277="", "", L277-B277)</f>
        <v/>
      </c>
      <c r="O277">
        <f>IF(L277="", "Pending", IF(N277&lt;=30, "Met", "Breached"))</f>
        <v/>
      </c>
    </row>
    <row r="278">
      <c r="M278" s="11">
        <f>B278+30</f>
        <v/>
      </c>
      <c r="N278">
        <f>IF(L278="", "", L278-B278)</f>
        <v/>
      </c>
      <c r="O278">
        <f>IF(L278="", "Pending", IF(N278&lt;=30, "Met", "Breached"))</f>
        <v/>
      </c>
    </row>
    <row r="279">
      <c r="M279" s="11">
        <f>B279+30</f>
        <v/>
      </c>
      <c r="N279">
        <f>IF(L279="", "", L279-B279)</f>
        <v/>
      </c>
      <c r="O279">
        <f>IF(L279="", "Pending", IF(N279&lt;=30, "Met", "Breached"))</f>
        <v/>
      </c>
    </row>
    <row r="280">
      <c r="M280" s="11">
        <f>B280+30</f>
        <v/>
      </c>
      <c r="N280">
        <f>IF(L280="", "", L280-B280)</f>
        <v/>
      </c>
      <c r="O280">
        <f>IF(L280="", "Pending", IF(N280&lt;=30, "Met", "Breached"))</f>
        <v/>
      </c>
    </row>
    <row r="281">
      <c r="M281" s="11">
        <f>B281+30</f>
        <v/>
      </c>
      <c r="N281">
        <f>IF(L281="", "", L281-B281)</f>
        <v/>
      </c>
      <c r="O281">
        <f>IF(L281="", "Pending", IF(N281&lt;=30, "Met", "Breached"))</f>
        <v/>
      </c>
    </row>
    <row r="282">
      <c r="M282" s="11">
        <f>B282+30</f>
        <v/>
      </c>
      <c r="N282">
        <f>IF(L282="", "", L282-B282)</f>
        <v/>
      </c>
      <c r="O282">
        <f>IF(L282="", "Pending", IF(N282&lt;=30, "Met", "Breached"))</f>
        <v/>
      </c>
    </row>
    <row r="283">
      <c r="M283" s="11">
        <f>B283+30</f>
        <v/>
      </c>
      <c r="N283">
        <f>IF(L283="", "", L283-B283)</f>
        <v/>
      </c>
      <c r="O283">
        <f>IF(L283="", "Pending", IF(N283&lt;=30, "Met", "Breached"))</f>
        <v/>
      </c>
    </row>
    <row r="284">
      <c r="M284" s="11">
        <f>B284+30</f>
        <v/>
      </c>
      <c r="N284">
        <f>IF(L284="", "", L284-B284)</f>
        <v/>
      </c>
      <c r="O284">
        <f>IF(L284="", "Pending", IF(N284&lt;=30, "Met", "Breached"))</f>
        <v/>
      </c>
    </row>
    <row r="285">
      <c r="M285" s="11">
        <f>B285+30</f>
        <v/>
      </c>
      <c r="N285">
        <f>IF(L285="", "", L285-B285)</f>
        <v/>
      </c>
      <c r="O285">
        <f>IF(L285="", "Pending", IF(N285&lt;=30, "Met", "Breached"))</f>
        <v/>
      </c>
    </row>
    <row r="286">
      <c r="M286" s="11">
        <f>B286+30</f>
        <v/>
      </c>
      <c r="N286">
        <f>IF(L286="", "", L286-B286)</f>
        <v/>
      </c>
      <c r="O286">
        <f>IF(L286="", "Pending", IF(N286&lt;=30, "Met", "Breached"))</f>
        <v/>
      </c>
    </row>
    <row r="287">
      <c r="M287" s="11">
        <f>B287+30</f>
        <v/>
      </c>
      <c r="N287">
        <f>IF(L287="", "", L287-B287)</f>
        <v/>
      </c>
      <c r="O287">
        <f>IF(L287="", "Pending", IF(N287&lt;=30, "Met", "Breached"))</f>
        <v/>
      </c>
    </row>
    <row r="288">
      <c r="M288" s="11">
        <f>B288+30</f>
        <v/>
      </c>
      <c r="N288">
        <f>IF(L288="", "", L288-B288)</f>
        <v/>
      </c>
      <c r="O288">
        <f>IF(L288="", "Pending", IF(N288&lt;=30, "Met", "Breached"))</f>
        <v/>
      </c>
    </row>
    <row r="289">
      <c r="M289" s="11">
        <f>B289+30</f>
        <v/>
      </c>
      <c r="N289">
        <f>IF(L289="", "", L289-B289)</f>
        <v/>
      </c>
      <c r="O289">
        <f>IF(L289="", "Pending", IF(N289&lt;=30, "Met", "Breached"))</f>
        <v/>
      </c>
    </row>
    <row r="290">
      <c r="M290" s="11">
        <f>B290+30</f>
        <v/>
      </c>
      <c r="N290">
        <f>IF(L290="", "", L290-B290)</f>
        <v/>
      </c>
      <c r="O290">
        <f>IF(L290="", "Pending", IF(N290&lt;=30, "Met", "Breached"))</f>
        <v/>
      </c>
    </row>
    <row r="291">
      <c r="M291" s="11">
        <f>B291+30</f>
        <v/>
      </c>
      <c r="N291">
        <f>IF(L291="", "", L291-B291)</f>
        <v/>
      </c>
      <c r="O291">
        <f>IF(L291="", "Pending", IF(N291&lt;=30, "Met", "Breached"))</f>
        <v/>
      </c>
    </row>
    <row r="292">
      <c r="M292" s="11">
        <f>B292+30</f>
        <v/>
      </c>
      <c r="N292">
        <f>IF(L292="", "", L292-B292)</f>
        <v/>
      </c>
      <c r="O292">
        <f>IF(L292="", "Pending", IF(N292&lt;=30, "Met", "Breached"))</f>
        <v/>
      </c>
    </row>
    <row r="293">
      <c r="M293" s="11">
        <f>B293+30</f>
        <v/>
      </c>
      <c r="N293">
        <f>IF(L293="", "", L293-B293)</f>
        <v/>
      </c>
      <c r="O293">
        <f>IF(L293="", "Pending", IF(N293&lt;=30, "Met", "Breached"))</f>
        <v/>
      </c>
    </row>
    <row r="294">
      <c r="M294" s="11">
        <f>B294+30</f>
        <v/>
      </c>
      <c r="N294">
        <f>IF(L294="", "", L294-B294)</f>
        <v/>
      </c>
      <c r="O294">
        <f>IF(L294="", "Pending", IF(N294&lt;=30, "Met", "Breached"))</f>
        <v/>
      </c>
    </row>
    <row r="295">
      <c r="M295" s="11">
        <f>B295+30</f>
        <v/>
      </c>
      <c r="N295">
        <f>IF(L295="", "", L295-B295)</f>
        <v/>
      </c>
      <c r="O295">
        <f>IF(L295="", "Pending", IF(N295&lt;=30, "Met", "Breached"))</f>
        <v/>
      </c>
    </row>
    <row r="296">
      <c r="M296" s="11">
        <f>B296+30</f>
        <v/>
      </c>
      <c r="N296">
        <f>IF(L296="", "", L296-B296)</f>
        <v/>
      </c>
      <c r="O296">
        <f>IF(L296="", "Pending", IF(N296&lt;=30, "Met", "Breached"))</f>
        <v/>
      </c>
    </row>
    <row r="297">
      <c r="M297" s="11">
        <f>B297+30</f>
        <v/>
      </c>
      <c r="N297">
        <f>IF(L297="", "", L297-B297)</f>
        <v/>
      </c>
      <c r="O297">
        <f>IF(L297="", "Pending", IF(N297&lt;=30, "Met", "Breached"))</f>
        <v/>
      </c>
    </row>
    <row r="298">
      <c r="M298" s="11">
        <f>B298+30</f>
        <v/>
      </c>
      <c r="N298">
        <f>IF(L298="", "", L298-B298)</f>
        <v/>
      </c>
      <c r="O298">
        <f>IF(L298="", "Pending", IF(N298&lt;=30, "Met", "Breached"))</f>
        <v/>
      </c>
    </row>
    <row r="299">
      <c r="M299" s="11">
        <f>B299+30</f>
        <v/>
      </c>
      <c r="N299">
        <f>IF(L299="", "", L299-B299)</f>
        <v/>
      </c>
      <c r="O299">
        <f>IF(L299="", "Pending", IF(N299&lt;=30, "Met", "Breached"))</f>
        <v/>
      </c>
    </row>
    <row r="300">
      <c r="M300" s="11">
        <f>B300+30</f>
        <v/>
      </c>
      <c r="N300">
        <f>IF(L300="", "", L300-B300)</f>
        <v/>
      </c>
      <c r="O300">
        <f>IF(L300="", "Pending", IF(N300&lt;=30, "Met", "Breached"))</f>
        <v/>
      </c>
    </row>
    <row r="301">
      <c r="M301" s="11">
        <f>B301+30</f>
        <v/>
      </c>
      <c r="N301">
        <f>IF(L301="", "", L301-B301)</f>
        <v/>
      </c>
      <c r="O301">
        <f>IF(L301="", "Pending", IF(N301&lt;=30, "Met", "Breached"))</f>
        <v/>
      </c>
    </row>
    <row r="302">
      <c r="M302" s="11">
        <f>B302+30</f>
        <v/>
      </c>
      <c r="N302">
        <f>IF(L302="", "", L302-B302)</f>
        <v/>
      </c>
      <c r="O302">
        <f>IF(L302="", "Pending", IF(N302&lt;=30, "Met", "Breached"))</f>
        <v/>
      </c>
    </row>
    <row r="303">
      <c r="M303" s="11">
        <f>B303+30</f>
        <v/>
      </c>
      <c r="N303">
        <f>IF(L303="", "", L303-B303)</f>
        <v/>
      </c>
      <c r="O303">
        <f>IF(L303="", "Pending", IF(N303&lt;=30, "Met", "Breached"))</f>
        <v/>
      </c>
    </row>
    <row r="304">
      <c r="M304" s="11">
        <f>B304+30</f>
        <v/>
      </c>
      <c r="N304">
        <f>IF(L304="", "", L304-B304)</f>
        <v/>
      </c>
      <c r="O304">
        <f>IF(L304="", "Pending", IF(N304&lt;=30, "Met", "Breached"))</f>
        <v/>
      </c>
    </row>
    <row r="305">
      <c r="M305" s="11">
        <f>B305+30</f>
        <v/>
      </c>
      <c r="N305">
        <f>IF(L305="", "", L305-B305)</f>
        <v/>
      </c>
      <c r="O305">
        <f>IF(L305="", "Pending", IF(N305&lt;=30, "Met", "Breached"))</f>
        <v/>
      </c>
    </row>
    <row r="306">
      <c r="M306" s="11">
        <f>B306+30</f>
        <v/>
      </c>
      <c r="N306">
        <f>IF(L306="", "", L306-B306)</f>
        <v/>
      </c>
      <c r="O306">
        <f>IF(L306="", "Pending", IF(N306&lt;=30, "Met", "Breached"))</f>
        <v/>
      </c>
    </row>
    <row r="307">
      <c r="M307" s="11">
        <f>B307+30</f>
        <v/>
      </c>
      <c r="N307">
        <f>IF(L307="", "", L307-B307)</f>
        <v/>
      </c>
      <c r="O307">
        <f>IF(L307="", "Pending", IF(N307&lt;=30, "Met", "Breached"))</f>
        <v/>
      </c>
    </row>
    <row r="308">
      <c r="M308" s="11">
        <f>B308+30</f>
        <v/>
      </c>
      <c r="N308">
        <f>IF(L308="", "", L308-B308)</f>
        <v/>
      </c>
      <c r="O308">
        <f>IF(L308="", "Pending", IF(N308&lt;=30, "Met", "Breached"))</f>
        <v/>
      </c>
    </row>
    <row r="309">
      <c r="M309" s="11">
        <f>B309+30</f>
        <v/>
      </c>
      <c r="N309">
        <f>IF(L309="", "", L309-B309)</f>
        <v/>
      </c>
      <c r="O309">
        <f>IF(L309="", "Pending", IF(N309&lt;=30, "Met", "Breached"))</f>
        <v/>
      </c>
    </row>
    <row r="310">
      <c r="M310" s="11">
        <f>B310+30</f>
        <v/>
      </c>
      <c r="N310">
        <f>IF(L310="", "", L310-B310)</f>
        <v/>
      </c>
      <c r="O310">
        <f>IF(L310="", "Pending", IF(N310&lt;=30, "Met", "Breached"))</f>
        <v/>
      </c>
    </row>
    <row r="311">
      <c r="M311" s="11">
        <f>B311+30</f>
        <v/>
      </c>
      <c r="N311">
        <f>IF(L311="", "", L311-B311)</f>
        <v/>
      </c>
      <c r="O311">
        <f>IF(L311="", "Pending", IF(N311&lt;=30, "Met", "Breached"))</f>
        <v/>
      </c>
    </row>
    <row r="312">
      <c r="M312" s="11">
        <f>B312+30</f>
        <v/>
      </c>
      <c r="N312">
        <f>IF(L312="", "", L312-B312)</f>
        <v/>
      </c>
      <c r="O312">
        <f>IF(L312="", "Pending", IF(N312&lt;=30, "Met", "Breached"))</f>
        <v/>
      </c>
    </row>
    <row r="313">
      <c r="M313" s="11">
        <f>B313+30</f>
        <v/>
      </c>
      <c r="N313">
        <f>IF(L313="", "", L313-B313)</f>
        <v/>
      </c>
      <c r="O313">
        <f>IF(L313="", "Pending", IF(N313&lt;=30, "Met", "Breached"))</f>
        <v/>
      </c>
    </row>
    <row r="314">
      <c r="M314" s="11">
        <f>B314+30</f>
        <v/>
      </c>
      <c r="N314">
        <f>IF(L314="", "", L314-B314)</f>
        <v/>
      </c>
      <c r="O314">
        <f>IF(L314="", "Pending", IF(N314&lt;=30, "Met", "Breached"))</f>
        <v/>
      </c>
    </row>
    <row r="315">
      <c r="M315" s="11">
        <f>B315+30</f>
        <v/>
      </c>
      <c r="N315">
        <f>IF(L315="", "", L315-B315)</f>
        <v/>
      </c>
      <c r="O315">
        <f>IF(L315="", "Pending", IF(N315&lt;=30, "Met", "Breached"))</f>
        <v/>
      </c>
    </row>
    <row r="316">
      <c r="M316" s="11">
        <f>B316+30</f>
        <v/>
      </c>
      <c r="N316">
        <f>IF(L316="", "", L316-B316)</f>
        <v/>
      </c>
      <c r="O316">
        <f>IF(L316="", "Pending", IF(N316&lt;=30, "Met", "Breached"))</f>
        <v/>
      </c>
    </row>
    <row r="317">
      <c r="M317" s="11">
        <f>B317+30</f>
        <v/>
      </c>
      <c r="N317">
        <f>IF(L317="", "", L317-B317)</f>
        <v/>
      </c>
      <c r="O317">
        <f>IF(L317="", "Pending", IF(N317&lt;=30, "Met", "Breached"))</f>
        <v/>
      </c>
    </row>
    <row r="318">
      <c r="M318" s="11">
        <f>B318+30</f>
        <v/>
      </c>
      <c r="N318">
        <f>IF(L318="", "", L318-B318)</f>
        <v/>
      </c>
      <c r="O318">
        <f>IF(L318="", "Pending", IF(N318&lt;=30, "Met", "Breached"))</f>
        <v/>
      </c>
    </row>
    <row r="319">
      <c r="M319" s="11">
        <f>B319+30</f>
        <v/>
      </c>
      <c r="N319">
        <f>IF(L319="", "", L319-B319)</f>
        <v/>
      </c>
      <c r="O319">
        <f>IF(L319="", "Pending", IF(N319&lt;=30, "Met", "Breached"))</f>
        <v/>
      </c>
    </row>
    <row r="320">
      <c r="M320" s="11">
        <f>B320+30</f>
        <v/>
      </c>
      <c r="N320">
        <f>IF(L320="", "", L320-B320)</f>
        <v/>
      </c>
      <c r="O320">
        <f>IF(L320="", "Pending", IF(N320&lt;=30, "Met", "Breached"))</f>
        <v/>
      </c>
    </row>
    <row r="321">
      <c r="M321" s="11">
        <f>B321+30</f>
        <v/>
      </c>
      <c r="N321">
        <f>IF(L321="", "", L321-B321)</f>
        <v/>
      </c>
      <c r="O321">
        <f>IF(L321="", "Pending", IF(N321&lt;=30, "Met", "Breached"))</f>
        <v/>
      </c>
    </row>
    <row r="322">
      <c r="M322" s="11">
        <f>B322+30</f>
        <v/>
      </c>
      <c r="N322">
        <f>IF(L322="", "", L322-B322)</f>
        <v/>
      </c>
      <c r="O322">
        <f>IF(L322="", "Pending", IF(N322&lt;=30, "Met", "Breached"))</f>
        <v/>
      </c>
    </row>
    <row r="323">
      <c r="M323" s="11">
        <f>B323+30</f>
        <v/>
      </c>
      <c r="N323">
        <f>IF(L323="", "", L323-B323)</f>
        <v/>
      </c>
      <c r="O323">
        <f>IF(L323="", "Pending", IF(N323&lt;=30, "Met", "Breached"))</f>
        <v/>
      </c>
    </row>
    <row r="324">
      <c r="M324" s="11">
        <f>B324+30</f>
        <v/>
      </c>
      <c r="N324">
        <f>IF(L324="", "", L324-B324)</f>
        <v/>
      </c>
      <c r="O324">
        <f>IF(L324="", "Pending", IF(N324&lt;=30, "Met", "Breached"))</f>
        <v/>
      </c>
    </row>
    <row r="325">
      <c r="M325" s="11">
        <f>B325+30</f>
        <v/>
      </c>
      <c r="N325">
        <f>IF(L325="", "", L325-B325)</f>
        <v/>
      </c>
      <c r="O325">
        <f>IF(L325="", "Pending", IF(N325&lt;=30, "Met", "Breached"))</f>
        <v/>
      </c>
    </row>
    <row r="326">
      <c r="M326" s="11">
        <f>B326+30</f>
        <v/>
      </c>
      <c r="N326">
        <f>IF(L326="", "", L326-B326)</f>
        <v/>
      </c>
      <c r="O326">
        <f>IF(L326="", "Pending", IF(N326&lt;=30, "Met", "Breached"))</f>
        <v/>
      </c>
    </row>
    <row r="327">
      <c r="M327" s="11">
        <f>B327+30</f>
        <v/>
      </c>
      <c r="N327">
        <f>IF(L327="", "", L327-B327)</f>
        <v/>
      </c>
      <c r="O327">
        <f>IF(L327="", "Pending", IF(N327&lt;=30, "Met", "Breached"))</f>
        <v/>
      </c>
    </row>
    <row r="328">
      <c r="M328" s="11">
        <f>B328+30</f>
        <v/>
      </c>
      <c r="N328">
        <f>IF(L328="", "", L328-B328)</f>
        <v/>
      </c>
      <c r="O328">
        <f>IF(L328="", "Pending", IF(N328&lt;=30, "Met", "Breached"))</f>
        <v/>
      </c>
    </row>
    <row r="329">
      <c r="M329" s="11">
        <f>B329+30</f>
        <v/>
      </c>
      <c r="N329">
        <f>IF(L329="", "", L329-B329)</f>
        <v/>
      </c>
      <c r="O329">
        <f>IF(L329="", "Pending", IF(N329&lt;=30, "Met", "Breached"))</f>
        <v/>
      </c>
    </row>
    <row r="330">
      <c r="M330" s="11">
        <f>B330+30</f>
        <v/>
      </c>
      <c r="N330">
        <f>IF(L330="", "", L330-B330)</f>
        <v/>
      </c>
      <c r="O330">
        <f>IF(L330="", "Pending", IF(N330&lt;=30, "Met", "Breached"))</f>
        <v/>
      </c>
    </row>
    <row r="331">
      <c r="M331" s="11">
        <f>B331+30</f>
        <v/>
      </c>
      <c r="N331">
        <f>IF(L331="", "", L331-B331)</f>
        <v/>
      </c>
      <c r="O331">
        <f>IF(L331="", "Pending", IF(N331&lt;=30, "Met", "Breached"))</f>
        <v/>
      </c>
    </row>
    <row r="332">
      <c r="M332" s="11">
        <f>B332+30</f>
        <v/>
      </c>
      <c r="N332">
        <f>IF(L332="", "", L332-B332)</f>
        <v/>
      </c>
      <c r="O332">
        <f>IF(L332="", "Pending", IF(N332&lt;=30, "Met", "Breached"))</f>
        <v/>
      </c>
    </row>
    <row r="333">
      <c r="M333" s="11">
        <f>B333+30</f>
        <v/>
      </c>
      <c r="N333">
        <f>IF(L333="", "", L333-B333)</f>
        <v/>
      </c>
      <c r="O333">
        <f>IF(L333="", "Pending", IF(N333&lt;=30, "Met", "Breached"))</f>
        <v/>
      </c>
    </row>
    <row r="334">
      <c r="M334" s="11">
        <f>B334+30</f>
        <v/>
      </c>
      <c r="N334">
        <f>IF(L334="", "", L334-B334)</f>
        <v/>
      </c>
      <c r="O334">
        <f>IF(L334="", "Pending", IF(N334&lt;=30, "Met", "Breached"))</f>
        <v/>
      </c>
    </row>
    <row r="335">
      <c r="M335" s="11">
        <f>B335+30</f>
        <v/>
      </c>
      <c r="N335">
        <f>IF(L335="", "", L335-B335)</f>
        <v/>
      </c>
      <c r="O335">
        <f>IF(L335="", "Pending", IF(N335&lt;=30, "Met", "Breached"))</f>
        <v/>
      </c>
    </row>
    <row r="336">
      <c r="M336" s="11">
        <f>B336+30</f>
        <v/>
      </c>
      <c r="N336">
        <f>IF(L336="", "", L336-B336)</f>
        <v/>
      </c>
      <c r="O336">
        <f>IF(L336="", "Pending", IF(N336&lt;=30, "Met", "Breached"))</f>
        <v/>
      </c>
    </row>
    <row r="337">
      <c r="M337" s="11">
        <f>B337+30</f>
        <v/>
      </c>
      <c r="N337">
        <f>IF(L337="", "", L337-B337)</f>
        <v/>
      </c>
      <c r="O337">
        <f>IF(L337="", "Pending", IF(N337&lt;=30, "Met", "Breached"))</f>
        <v/>
      </c>
    </row>
    <row r="338">
      <c r="M338" s="11">
        <f>B338+30</f>
        <v/>
      </c>
      <c r="N338">
        <f>IF(L338="", "", L338-B338)</f>
        <v/>
      </c>
      <c r="O338">
        <f>IF(L338="", "Pending", IF(N338&lt;=30, "Met", "Breached"))</f>
        <v/>
      </c>
    </row>
    <row r="339">
      <c r="M339" s="11">
        <f>B339+30</f>
        <v/>
      </c>
      <c r="N339">
        <f>IF(L339="", "", L339-B339)</f>
        <v/>
      </c>
      <c r="O339">
        <f>IF(L339="", "Pending", IF(N339&lt;=30, "Met", "Breached"))</f>
        <v/>
      </c>
    </row>
    <row r="340">
      <c r="M340" s="11">
        <f>B340+30</f>
        <v/>
      </c>
      <c r="N340">
        <f>IF(L340="", "", L340-B340)</f>
        <v/>
      </c>
      <c r="O340">
        <f>IF(L340="", "Pending", IF(N340&lt;=30, "Met", "Breached"))</f>
        <v/>
      </c>
    </row>
    <row r="341">
      <c r="M341" s="11">
        <f>B341+30</f>
        <v/>
      </c>
      <c r="N341">
        <f>IF(L341="", "", L341-B341)</f>
        <v/>
      </c>
      <c r="O341">
        <f>IF(L341="", "Pending", IF(N341&lt;=30, "Met", "Breached"))</f>
        <v/>
      </c>
    </row>
    <row r="342">
      <c r="M342" s="11">
        <f>B342+30</f>
        <v/>
      </c>
      <c r="N342">
        <f>IF(L342="", "", L342-B342)</f>
        <v/>
      </c>
      <c r="O342">
        <f>IF(L342="", "Pending", IF(N342&lt;=30, "Met", "Breached"))</f>
        <v/>
      </c>
    </row>
    <row r="343">
      <c r="M343" s="11">
        <f>B343+30</f>
        <v/>
      </c>
      <c r="N343">
        <f>IF(L343="", "", L343-B343)</f>
        <v/>
      </c>
      <c r="O343">
        <f>IF(L343="", "Pending", IF(N343&lt;=30, "Met", "Breached"))</f>
        <v/>
      </c>
    </row>
    <row r="344">
      <c r="M344" s="11">
        <f>B344+30</f>
        <v/>
      </c>
      <c r="N344">
        <f>IF(L344="", "", L344-B344)</f>
        <v/>
      </c>
      <c r="O344">
        <f>IF(L344="", "Pending", IF(N344&lt;=30, "Met", "Breached"))</f>
        <v/>
      </c>
    </row>
    <row r="345">
      <c r="M345" s="11">
        <f>B345+30</f>
        <v/>
      </c>
      <c r="N345">
        <f>IF(L345="", "", L345-B345)</f>
        <v/>
      </c>
      <c r="O345">
        <f>IF(L345="", "Pending", IF(N345&lt;=30, "Met", "Breached"))</f>
        <v/>
      </c>
    </row>
    <row r="346">
      <c r="M346" s="11">
        <f>B346+30</f>
        <v/>
      </c>
      <c r="N346">
        <f>IF(L346="", "", L346-B346)</f>
        <v/>
      </c>
      <c r="O346">
        <f>IF(L346="", "Pending", IF(N346&lt;=30, "Met", "Breached"))</f>
        <v/>
      </c>
    </row>
    <row r="347">
      <c r="M347" s="11">
        <f>B347+30</f>
        <v/>
      </c>
      <c r="N347">
        <f>IF(L347="", "", L347-B347)</f>
        <v/>
      </c>
      <c r="O347">
        <f>IF(L347="", "Pending", IF(N347&lt;=30, "Met", "Breached"))</f>
        <v/>
      </c>
    </row>
    <row r="348">
      <c r="M348" s="11">
        <f>B348+30</f>
        <v/>
      </c>
      <c r="N348">
        <f>IF(L348="", "", L348-B348)</f>
        <v/>
      </c>
      <c r="O348">
        <f>IF(L348="", "Pending", IF(N348&lt;=30, "Met", "Breached"))</f>
        <v/>
      </c>
    </row>
    <row r="349">
      <c r="M349" s="11">
        <f>B349+30</f>
        <v/>
      </c>
      <c r="N349">
        <f>IF(L349="", "", L349-B349)</f>
        <v/>
      </c>
      <c r="O349">
        <f>IF(L349="", "Pending", IF(N349&lt;=30, "Met", "Breached"))</f>
        <v/>
      </c>
    </row>
    <row r="350">
      <c r="M350" s="11">
        <f>B350+30</f>
        <v/>
      </c>
      <c r="N350">
        <f>IF(L350="", "", L350-B350)</f>
        <v/>
      </c>
      <c r="O350">
        <f>IF(L350="", "Pending", IF(N350&lt;=30, "Met", "Breached"))</f>
        <v/>
      </c>
    </row>
    <row r="351">
      <c r="M351" s="11">
        <f>B351+30</f>
        <v/>
      </c>
      <c r="N351">
        <f>IF(L351="", "", L351-B351)</f>
        <v/>
      </c>
      <c r="O351">
        <f>IF(L351="", "Pending", IF(N351&lt;=30, "Met", "Breached"))</f>
        <v/>
      </c>
    </row>
    <row r="352">
      <c r="M352" s="11">
        <f>B352+30</f>
        <v/>
      </c>
      <c r="N352">
        <f>IF(L352="", "", L352-B352)</f>
        <v/>
      </c>
      <c r="O352">
        <f>IF(L352="", "Pending", IF(N352&lt;=30, "Met", "Breached"))</f>
        <v/>
      </c>
    </row>
    <row r="353">
      <c r="M353" s="11">
        <f>B353+30</f>
        <v/>
      </c>
      <c r="N353">
        <f>IF(L353="", "", L353-B353)</f>
        <v/>
      </c>
      <c r="O353">
        <f>IF(L353="", "Pending", IF(N353&lt;=30, "Met", "Breached"))</f>
        <v/>
      </c>
    </row>
    <row r="354">
      <c r="M354" s="11">
        <f>B354+30</f>
        <v/>
      </c>
      <c r="N354">
        <f>IF(L354="", "", L354-B354)</f>
        <v/>
      </c>
      <c r="O354">
        <f>IF(L354="", "Pending", IF(N354&lt;=30, "Met", "Breached"))</f>
        <v/>
      </c>
    </row>
    <row r="355">
      <c r="M355" s="11">
        <f>B355+30</f>
        <v/>
      </c>
      <c r="N355">
        <f>IF(L355="", "", L355-B355)</f>
        <v/>
      </c>
      <c r="O355">
        <f>IF(L355="", "Pending", IF(N355&lt;=30, "Met", "Breached"))</f>
        <v/>
      </c>
    </row>
    <row r="356">
      <c r="M356" s="11">
        <f>B356+30</f>
        <v/>
      </c>
      <c r="N356">
        <f>IF(L356="", "", L356-B356)</f>
        <v/>
      </c>
      <c r="O356">
        <f>IF(L356="", "Pending", IF(N356&lt;=30, "Met", "Breached"))</f>
        <v/>
      </c>
    </row>
    <row r="357">
      <c r="M357" s="11">
        <f>B357+30</f>
        <v/>
      </c>
      <c r="N357">
        <f>IF(L357="", "", L357-B357)</f>
        <v/>
      </c>
      <c r="O357">
        <f>IF(L357="", "Pending", IF(N357&lt;=30, "Met", "Breached"))</f>
        <v/>
      </c>
    </row>
    <row r="358">
      <c r="M358" s="11">
        <f>B358+30</f>
        <v/>
      </c>
      <c r="N358">
        <f>IF(L358="", "", L358-B358)</f>
        <v/>
      </c>
      <c r="O358">
        <f>IF(L358="", "Pending", IF(N358&lt;=30, "Met", "Breached"))</f>
        <v/>
      </c>
    </row>
    <row r="359">
      <c r="M359" s="11">
        <f>B359+30</f>
        <v/>
      </c>
      <c r="N359">
        <f>IF(L359="", "", L359-B359)</f>
        <v/>
      </c>
      <c r="O359">
        <f>IF(L359="", "Pending", IF(N359&lt;=30, "Met", "Breached"))</f>
        <v/>
      </c>
    </row>
    <row r="360">
      <c r="M360" s="11">
        <f>B360+30</f>
        <v/>
      </c>
      <c r="N360">
        <f>IF(L360="", "", L360-B360)</f>
        <v/>
      </c>
      <c r="O360">
        <f>IF(L360="", "Pending", IF(N360&lt;=30, "Met", "Breached"))</f>
        <v/>
      </c>
    </row>
    <row r="361">
      <c r="M361" s="11">
        <f>B361+30</f>
        <v/>
      </c>
      <c r="N361">
        <f>IF(L361="", "", L361-B361)</f>
        <v/>
      </c>
      <c r="O361">
        <f>IF(L361="", "Pending", IF(N361&lt;=30, "Met", "Breached"))</f>
        <v/>
      </c>
    </row>
    <row r="362">
      <c r="M362" s="11">
        <f>B362+30</f>
        <v/>
      </c>
      <c r="N362">
        <f>IF(L362="", "", L362-B362)</f>
        <v/>
      </c>
      <c r="O362">
        <f>IF(L362="", "Pending", IF(N362&lt;=30, "Met", "Breached"))</f>
        <v/>
      </c>
    </row>
    <row r="363">
      <c r="M363" s="11">
        <f>B363+30</f>
        <v/>
      </c>
      <c r="N363">
        <f>IF(L363="", "", L363-B363)</f>
        <v/>
      </c>
      <c r="O363">
        <f>IF(L363="", "Pending", IF(N363&lt;=30, "Met", "Breached"))</f>
        <v/>
      </c>
    </row>
    <row r="364">
      <c r="M364" s="11">
        <f>B364+30</f>
        <v/>
      </c>
      <c r="N364">
        <f>IF(L364="", "", L364-B364)</f>
        <v/>
      </c>
      <c r="O364">
        <f>IF(L364="", "Pending", IF(N364&lt;=30, "Met", "Breached"))</f>
        <v/>
      </c>
    </row>
    <row r="365">
      <c r="M365" s="11">
        <f>B365+30</f>
        <v/>
      </c>
      <c r="N365">
        <f>IF(L365="", "", L365-B365)</f>
        <v/>
      </c>
      <c r="O365">
        <f>IF(L365="", "Pending", IF(N365&lt;=30, "Met", "Breached"))</f>
        <v/>
      </c>
    </row>
    <row r="366">
      <c r="M366" s="11">
        <f>B366+30</f>
        <v/>
      </c>
      <c r="N366">
        <f>IF(L366="", "", L366-B366)</f>
        <v/>
      </c>
      <c r="O366">
        <f>IF(L366="", "Pending", IF(N366&lt;=30, "Met", "Breached"))</f>
        <v/>
      </c>
    </row>
    <row r="367">
      <c r="M367" s="11">
        <f>B367+30</f>
        <v/>
      </c>
      <c r="N367">
        <f>IF(L367="", "", L367-B367)</f>
        <v/>
      </c>
      <c r="O367">
        <f>IF(L367="", "Pending", IF(N367&lt;=30, "Met", "Breached"))</f>
        <v/>
      </c>
    </row>
    <row r="368">
      <c r="M368" s="11">
        <f>B368+30</f>
        <v/>
      </c>
      <c r="N368">
        <f>IF(L368="", "", L368-B368)</f>
        <v/>
      </c>
      <c r="O368">
        <f>IF(L368="", "Pending", IF(N368&lt;=30, "Met", "Breached"))</f>
        <v/>
      </c>
    </row>
    <row r="369">
      <c r="M369" s="11">
        <f>B369+30</f>
        <v/>
      </c>
      <c r="N369">
        <f>IF(L369="", "", L369-B369)</f>
        <v/>
      </c>
      <c r="O369">
        <f>IF(L369="", "Pending", IF(N369&lt;=30, "Met", "Breached"))</f>
        <v/>
      </c>
    </row>
    <row r="370">
      <c r="M370" s="11">
        <f>B370+30</f>
        <v/>
      </c>
      <c r="N370">
        <f>IF(L370="", "", L370-B370)</f>
        <v/>
      </c>
      <c r="O370">
        <f>IF(L370="", "Pending", IF(N370&lt;=30, "Met", "Breached"))</f>
        <v/>
      </c>
    </row>
    <row r="371">
      <c r="M371" s="11">
        <f>B371+30</f>
        <v/>
      </c>
      <c r="N371">
        <f>IF(L371="", "", L371-B371)</f>
        <v/>
      </c>
      <c r="O371">
        <f>IF(L371="", "Pending", IF(N371&lt;=30, "Met", "Breached"))</f>
        <v/>
      </c>
    </row>
    <row r="372">
      <c r="M372" s="11">
        <f>B372+30</f>
        <v/>
      </c>
      <c r="N372">
        <f>IF(L372="", "", L372-B372)</f>
        <v/>
      </c>
      <c r="O372">
        <f>IF(L372="", "Pending", IF(N372&lt;=30, "Met", "Breached"))</f>
        <v/>
      </c>
    </row>
    <row r="373">
      <c r="M373" s="11">
        <f>B373+30</f>
        <v/>
      </c>
      <c r="N373">
        <f>IF(L373="", "", L373-B373)</f>
        <v/>
      </c>
      <c r="O373">
        <f>IF(L373="", "Pending", IF(N373&lt;=30, "Met", "Breached"))</f>
        <v/>
      </c>
    </row>
    <row r="374">
      <c r="M374" s="11">
        <f>B374+30</f>
        <v/>
      </c>
      <c r="N374">
        <f>IF(L374="", "", L374-B374)</f>
        <v/>
      </c>
      <c r="O374">
        <f>IF(L374="", "Pending", IF(N374&lt;=30, "Met", "Breached"))</f>
        <v/>
      </c>
    </row>
    <row r="375">
      <c r="M375" s="11">
        <f>B375+30</f>
        <v/>
      </c>
      <c r="N375">
        <f>IF(L375="", "", L375-B375)</f>
        <v/>
      </c>
      <c r="O375">
        <f>IF(L375="", "Pending", IF(N375&lt;=30, "Met", "Breached"))</f>
        <v/>
      </c>
    </row>
    <row r="376">
      <c r="M376" s="11">
        <f>B376+30</f>
        <v/>
      </c>
      <c r="N376">
        <f>IF(L376="", "", L376-B376)</f>
        <v/>
      </c>
      <c r="O376">
        <f>IF(L376="", "Pending", IF(N376&lt;=30, "Met", "Breached"))</f>
        <v/>
      </c>
    </row>
    <row r="377">
      <c r="M377" s="11">
        <f>B377+30</f>
        <v/>
      </c>
      <c r="N377">
        <f>IF(L377="", "", L377-B377)</f>
        <v/>
      </c>
      <c r="O377">
        <f>IF(L377="", "Pending", IF(N377&lt;=30, "Met", "Breached"))</f>
        <v/>
      </c>
    </row>
    <row r="378">
      <c r="M378" s="11">
        <f>B378+30</f>
        <v/>
      </c>
      <c r="N378">
        <f>IF(L378="", "", L378-B378)</f>
        <v/>
      </c>
      <c r="O378">
        <f>IF(L378="", "Pending", IF(N378&lt;=30, "Met", "Breached"))</f>
        <v/>
      </c>
    </row>
    <row r="379">
      <c r="M379" s="11">
        <f>B379+30</f>
        <v/>
      </c>
      <c r="N379">
        <f>IF(L379="", "", L379-B379)</f>
        <v/>
      </c>
      <c r="O379">
        <f>IF(L379="", "Pending", IF(N379&lt;=30, "Met", "Breached"))</f>
        <v/>
      </c>
    </row>
    <row r="380">
      <c r="M380" s="11">
        <f>B380+30</f>
        <v/>
      </c>
      <c r="N380">
        <f>IF(L380="", "", L380-B380)</f>
        <v/>
      </c>
      <c r="O380">
        <f>IF(L380="", "Pending", IF(N380&lt;=30, "Met", "Breached"))</f>
        <v/>
      </c>
    </row>
    <row r="381">
      <c r="M381" s="11">
        <f>B381+30</f>
        <v/>
      </c>
      <c r="N381">
        <f>IF(L381="", "", L381-B381)</f>
        <v/>
      </c>
      <c r="O381">
        <f>IF(L381="", "Pending", IF(N381&lt;=30, "Met", "Breached"))</f>
        <v/>
      </c>
    </row>
    <row r="382">
      <c r="M382" s="11">
        <f>B382+30</f>
        <v/>
      </c>
      <c r="N382">
        <f>IF(L382="", "", L382-B382)</f>
        <v/>
      </c>
      <c r="O382">
        <f>IF(L382="", "Pending", IF(N382&lt;=30, "Met", "Breached"))</f>
        <v/>
      </c>
    </row>
    <row r="383">
      <c r="M383" s="11">
        <f>B383+30</f>
        <v/>
      </c>
      <c r="N383">
        <f>IF(L383="", "", L383-B383)</f>
        <v/>
      </c>
      <c r="O383">
        <f>IF(L383="", "Pending", IF(N383&lt;=30, "Met", "Breached"))</f>
        <v/>
      </c>
    </row>
    <row r="384">
      <c r="M384" s="11">
        <f>B384+30</f>
        <v/>
      </c>
      <c r="N384">
        <f>IF(L384="", "", L384-B384)</f>
        <v/>
      </c>
      <c r="O384">
        <f>IF(L384="", "Pending", IF(N384&lt;=30, "Met", "Breached"))</f>
        <v/>
      </c>
    </row>
    <row r="385">
      <c r="M385" s="11">
        <f>B385+30</f>
        <v/>
      </c>
      <c r="N385">
        <f>IF(L385="", "", L385-B385)</f>
        <v/>
      </c>
      <c r="O385">
        <f>IF(L385="", "Pending", IF(N385&lt;=30, "Met", "Breached"))</f>
        <v/>
      </c>
    </row>
    <row r="386">
      <c r="M386" s="11">
        <f>B386+30</f>
        <v/>
      </c>
      <c r="N386">
        <f>IF(L386="", "", L386-B386)</f>
        <v/>
      </c>
      <c r="O386">
        <f>IF(L386="", "Pending", IF(N386&lt;=30, "Met", "Breached"))</f>
        <v/>
      </c>
    </row>
    <row r="387">
      <c r="M387" s="11">
        <f>B387+30</f>
        <v/>
      </c>
      <c r="N387">
        <f>IF(L387="", "", L387-B387)</f>
        <v/>
      </c>
      <c r="O387">
        <f>IF(L387="", "Pending", IF(N387&lt;=30, "Met", "Breached"))</f>
        <v/>
      </c>
    </row>
    <row r="388">
      <c r="M388" s="11">
        <f>B388+30</f>
        <v/>
      </c>
      <c r="N388">
        <f>IF(L388="", "", L388-B388)</f>
        <v/>
      </c>
      <c r="O388">
        <f>IF(L388="", "Pending", IF(N388&lt;=30, "Met", "Breached"))</f>
        <v/>
      </c>
    </row>
    <row r="389">
      <c r="M389" s="11">
        <f>B389+30</f>
        <v/>
      </c>
      <c r="N389">
        <f>IF(L389="", "", L389-B389)</f>
        <v/>
      </c>
      <c r="O389">
        <f>IF(L389="", "Pending", IF(N389&lt;=30, "Met", "Breached"))</f>
        <v/>
      </c>
    </row>
    <row r="390">
      <c r="M390" s="11">
        <f>B390+30</f>
        <v/>
      </c>
      <c r="N390">
        <f>IF(L390="", "", L390-B390)</f>
        <v/>
      </c>
      <c r="O390">
        <f>IF(L390="", "Pending", IF(N390&lt;=30, "Met", "Breached"))</f>
        <v/>
      </c>
    </row>
    <row r="391">
      <c r="M391" s="11">
        <f>B391+30</f>
        <v/>
      </c>
      <c r="N391">
        <f>IF(L391="", "", L391-B391)</f>
        <v/>
      </c>
      <c r="O391">
        <f>IF(L391="", "Pending", IF(N391&lt;=30, "Met", "Breached"))</f>
        <v/>
      </c>
    </row>
    <row r="392">
      <c r="M392" s="11">
        <f>B392+30</f>
        <v/>
      </c>
      <c r="N392">
        <f>IF(L392="", "", L392-B392)</f>
        <v/>
      </c>
      <c r="O392">
        <f>IF(L392="", "Pending", IF(N392&lt;=30, "Met", "Breached"))</f>
        <v/>
      </c>
    </row>
    <row r="393">
      <c r="M393" s="11">
        <f>B393+30</f>
        <v/>
      </c>
      <c r="N393">
        <f>IF(L393="", "", L393-B393)</f>
        <v/>
      </c>
      <c r="O393">
        <f>IF(L393="", "Pending", IF(N393&lt;=30, "Met", "Breached"))</f>
        <v/>
      </c>
    </row>
    <row r="394">
      <c r="M394" s="11">
        <f>B394+30</f>
        <v/>
      </c>
      <c r="N394">
        <f>IF(L394="", "", L394-B394)</f>
        <v/>
      </c>
      <c r="O394">
        <f>IF(L394="", "Pending", IF(N394&lt;=30, "Met", "Breached"))</f>
        <v/>
      </c>
    </row>
    <row r="395">
      <c r="M395" s="11">
        <f>B395+30</f>
        <v/>
      </c>
      <c r="N395">
        <f>IF(L395="", "", L395-B395)</f>
        <v/>
      </c>
      <c r="O395">
        <f>IF(L395="", "Pending", IF(N395&lt;=30, "Met", "Breached"))</f>
        <v/>
      </c>
    </row>
    <row r="396">
      <c r="M396" s="11">
        <f>B396+30</f>
        <v/>
      </c>
      <c r="N396">
        <f>IF(L396="", "", L396-B396)</f>
        <v/>
      </c>
      <c r="O396">
        <f>IF(L396="", "Pending", IF(N396&lt;=30, "Met", "Breached"))</f>
        <v/>
      </c>
    </row>
    <row r="397">
      <c r="M397" s="11">
        <f>B397+30</f>
        <v/>
      </c>
      <c r="N397">
        <f>IF(L397="", "", L397-B397)</f>
        <v/>
      </c>
      <c r="O397">
        <f>IF(L397="", "Pending", IF(N397&lt;=30, "Met", "Breached"))</f>
        <v/>
      </c>
    </row>
    <row r="398">
      <c r="M398" s="11">
        <f>B398+30</f>
        <v/>
      </c>
      <c r="N398">
        <f>IF(L398="", "", L398-B398)</f>
        <v/>
      </c>
      <c r="O398">
        <f>IF(L398="", "Pending", IF(N398&lt;=30, "Met", "Breached"))</f>
        <v/>
      </c>
    </row>
    <row r="399">
      <c r="M399" s="11">
        <f>B399+30</f>
        <v/>
      </c>
      <c r="N399">
        <f>IF(L399="", "", L399-B399)</f>
        <v/>
      </c>
      <c r="O399">
        <f>IF(L399="", "Pending", IF(N399&lt;=30, "Met", "Breached"))</f>
        <v/>
      </c>
    </row>
    <row r="400">
      <c r="M400" s="11">
        <f>B400+30</f>
        <v/>
      </c>
      <c r="N400">
        <f>IF(L400="", "", L400-B400)</f>
        <v/>
      </c>
      <c r="O400">
        <f>IF(L400="", "Pending", IF(N400&lt;=30, "Met", "Breached"))</f>
        <v/>
      </c>
    </row>
    <row r="401">
      <c r="M401" s="11">
        <f>B401+30</f>
        <v/>
      </c>
      <c r="N401">
        <f>IF(L401="", "", L401-B401)</f>
        <v/>
      </c>
      <c r="O401">
        <f>IF(L401="", "Pending", IF(N401&lt;=30, "Met", "Breached"))</f>
        <v/>
      </c>
    </row>
    <row r="402">
      <c r="M402" s="11">
        <f>B402+30</f>
        <v/>
      </c>
      <c r="N402">
        <f>IF(L402="", "", L402-B402)</f>
        <v/>
      </c>
      <c r="O402">
        <f>IF(L402="", "Pending", IF(N402&lt;=30, "Met", "Breached"))</f>
        <v/>
      </c>
    </row>
    <row r="403">
      <c r="M403" s="11">
        <f>B403+30</f>
        <v/>
      </c>
      <c r="N403">
        <f>IF(L403="", "", L403-B403)</f>
        <v/>
      </c>
      <c r="O403">
        <f>IF(L403="", "Pending", IF(N403&lt;=30, "Met", "Breached"))</f>
        <v/>
      </c>
    </row>
    <row r="404">
      <c r="M404" s="11">
        <f>B404+30</f>
        <v/>
      </c>
      <c r="N404">
        <f>IF(L404="", "", L404-B404)</f>
        <v/>
      </c>
      <c r="O404">
        <f>IF(L404="", "Pending", IF(N404&lt;=30, "Met", "Breached"))</f>
        <v/>
      </c>
    </row>
    <row r="405">
      <c r="M405" s="11">
        <f>B405+30</f>
        <v/>
      </c>
      <c r="N405">
        <f>IF(L405="", "", L405-B405)</f>
        <v/>
      </c>
      <c r="O405">
        <f>IF(L405="", "Pending", IF(N405&lt;=30, "Met", "Breached"))</f>
        <v/>
      </c>
    </row>
    <row r="406">
      <c r="M406" s="11">
        <f>B406+30</f>
        <v/>
      </c>
      <c r="N406">
        <f>IF(L406="", "", L406-B406)</f>
        <v/>
      </c>
      <c r="O406">
        <f>IF(L406="", "Pending", IF(N406&lt;=30, "Met", "Breached"))</f>
        <v/>
      </c>
    </row>
    <row r="407">
      <c r="M407" s="11">
        <f>B407+30</f>
        <v/>
      </c>
      <c r="N407">
        <f>IF(L407="", "", L407-B407)</f>
        <v/>
      </c>
      <c r="O407">
        <f>IF(L407="", "Pending", IF(N407&lt;=30, "Met", "Breached"))</f>
        <v/>
      </c>
    </row>
    <row r="408">
      <c r="M408" s="11">
        <f>B408+30</f>
        <v/>
      </c>
      <c r="N408">
        <f>IF(L408="", "", L408-B408)</f>
        <v/>
      </c>
      <c r="O408">
        <f>IF(L408="", "Pending", IF(N408&lt;=30, "Met", "Breached"))</f>
        <v/>
      </c>
    </row>
    <row r="409">
      <c r="M409" s="11">
        <f>B409+30</f>
        <v/>
      </c>
      <c r="N409">
        <f>IF(L409="", "", L409-B409)</f>
        <v/>
      </c>
      <c r="O409">
        <f>IF(L409="", "Pending", IF(N409&lt;=30, "Met", "Breached"))</f>
        <v/>
      </c>
    </row>
    <row r="410">
      <c r="M410" s="11">
        <f>B410+30</f>
        <v/>
      </c>
      <c r="N410">
        <f>IF(L410="", "", L410-B410)</f>
        <v/>
      </c>
      <c r="O410">
        <f>IF(L410="", "Pending", IF(N410&lt;=30, "Met", "Breached"))</f>
        <v/>
      </c>
    </row>
    <row r="411">
      <c r="M411" s="11">
        <f>B411+30</f>
        <v/>
      </c>
      <c r="N411">
        <f>IF(L411="", "", L411-B411)</f>
        <v/>
      </c>
      <c r="O411">
        <f>IF(L411="", "Pending", IF(N411&lt;=30, "Met", "Breached"))</f>
        <v/>
      </c>
    </row>
    <row r="412">
      <c r="M412" s="11">
        <f>B412+30</f>
        <v/>
      </c>
      <c r="N412">
        <f>IF(L412="", "", L412-B412)</f>
        <v/>
      </c>
      <c r="O412">
        <f>IF(L412="", "Pending", IF(N412&lt;=30, "Met", "Breached"))</f>
        <v/>
      </c>
    </row>
    <row r="413">
      <c r="M413" s="11">
        <f>B413+30</f>
        <v/>
      </c>
      <c r="N413">
        <f>IF(L413="", "", L413-B413)</f>
        <v/>
      </c>
      <c r="O413">
        <f>IF(L413="", "Pending", IF(N413&lt;=30, "Met", "Breached"))</f>
        <v/>
      </c>
    </row>
    <row r="414">
      <c r="M414" s="11">
        <f>B414+30</f>
        <v/>
      </c>
      <c r="N414">
        <f>IF(L414="", "", L414-B414)</f>
        <v/>
      </c>
      <c r="O414">
        <f>IF(L414="", "Pending", IF(N414&lt;=30, "Met", "Breached"))</f>
        <v/>
      </c>
    </row>
    <row r="415">
      <c r="M415" s="11">
        <f>B415+30</f>
        <v/>
      </c>
      <c r="N415">
        <f>IF(L415="", "", L415-B415)</f>
        <v/>
      </c>
      <c r="O415">
        <f>IF(L415="", "Pending", IF(N415&lt;=30, "Met", "Breached"))</f>
        <v/>
      </c>
    </row>
    <row r="416">
      <c r="M416" s="11">
        <f>B416+30</f>
        <v/>
      </c>
      <c r="N416">
        <f>IF(L416="", "", L416-B416)</f>
        <v/>
      </c>
      <c r="O416">
        <f>IF(L416="", "Pending", IF(N416&lt;=30, "Met", "Breached"))</f>
        <v/>
      </c>
    </row>
    <row r="417">
      <c r="M417" s="11">
        <f>B417+30</f>
        <v/>
      </c>
      <c r="N417">
        <f>IF(L417="", "", L417-B417)</f>
        <v/>
      </c>
      <c r="O417">
        <f>IF(L417="", "Pending", IF(N417&lt;=30, "Met", "Breached"))</f>
        <v/>
      </c>
    </row>
    <row r="418">
      <c r="M418" s="11">
        <f>B418+30</f>
        <v/>
      </c>
      <c r="N418">
        <f>IF(L418="", "", L418-B418)</f>
        <v/>
      </c>
      <c r="O418">
        <f>IF(L418="", "Pending", IF(N418&lt;=30, "Met", "Breached"))</f>
        <v/>
      </c>
    </row>
    <row r="419">
      <c r="M419" s="11">
        <f>B419+30</f>
        <v/>
      </c>
      <c r="N419">
        <f>IF(L419="", "", L419-B419)</f>
        <v/>
      </c>
      <c r="O419">
        <f>IF(L419="", "Pending", IF(N419&lt;=30, "Met", "Breached"))</f>
        <v/>
      </c>
    </row>
    <row r="420">
      <c r="M420" s="11">
        <f>B420+30</f>
        <v/>
      </c>
      <c r="N420">
        <f>IF(L420="", "", L420-B420)</f>
        <v/>
      </c>
      <c r="O420">
        <f>IF(L420="", "Pending", IF(N420&lt;=30, "Met", "Breached"))</f>
        <v/>
      </c>
    </row>
    <row r="421">
      <c r="M421" s="11">
        <f>B421+30</f>
        <v/>
      </c>
      <c r="N421">
        <f>IF(L421="", "", L421-B421)</f>
        <v/>
      </c>
      <c r="O421">
        <f>IF(L421="", "Pending", IF(N421&lt;=30, "Met", "Breached"))</f>
        <v/>
      </c>
    </row>
    <row r="422">
      <c r="M422" s="11">
        <f>B422+30</f>
        <v/>
      </c>
      <c r="N422">
        <f>IF(L422="", "", L422-B422)</f>
        <v/>
      </c>
      <c r="O422">
        <f>IF(L422="", "Pending", IF(N422&lt;=30, "Met", "Breached"))</f>
        <v/>
      </c>
    </row>
    <row r="423">
      <c r="M423" s="11">
        <f>B423+30</f>
        <v/>
      </c>
      <c r="N423">
        <f>IF(L423="", "", L423-B423)</f>
        <v/>
      </c>
      <c r="O423">
        <f>IF(L423="", "Pending", IF(N423&lt;=30, "Met", "Breached"))</f>
        <v/>
      </c>
    </row>
    <row r="424">
      <c r="M424" s="11">
        <f>B424+30</f>
        <v/>
      </c>
      <c r="N424">
        <f>IF(L424="", "", L424-B424)</f>
        <v/>
      </c>
      <c r="O424">
        <f>IF(L424="", "Pending", IF(N424&lt;=30, "Met", "Breached"))</f>
        <v/>
      </c>
    </row>
    <row r="425">
      <c r="M425" s="11">
        <f>B425+30</f>
        <v/>
      </c>
      <c r="N425">
        <f>IF(L425="", "", L425-B425)</f>
        <v/>
      </c>
      <c r="O425">
        <f>IF(L425="", "Pending", IF(N425&lt;=30, "Met", "Breached"))</f>
        <v/>
      </c>
    </row>
    <row r="426">
      <c r="M426" s="11">
        <f>B426+30</f>
        <v/>
      </c>
      <c r="N426">
        <f>IF(L426="", "", L426-B426)</f>
        <v/>
      </c>
      <c r="O426">
        <f>IF(L426="", "Pending", IF(N426&lt;=30, "Met", "Breached"))</f>
        <v/>
      </c>
    </row>
    <row r="427">
      <c r="M427" s="11">
        <f>B427+30</f>
        <v/>
      </c>
      <c r="N427">
        <f>IF(L427="", "", L427-B427)</f>
        <v/>
      </c>
      <c r="O427">
        <f>IF(L427="", "Pending", IF(N427&lt;=30, "Met", "Breached"))</f>
        <v/>
      </c>
    </row>
    <row r="428">
      <c r="M428" s="11">
        <f>B428+30</f>
        <v/>
      </c>
      <c r="N428">
        <f>IF(L428="", "", L428-B428)</f>
        <v/>
      </c>
      <c r="O428">
        <f>IF(L428="", "Pending", IF(N428&lt;=30, "Met", "Breached"))</f>
        <v/>
      </c>
    </row>
    <row r="429">
      <c r="M429" s="11">
        <f>B429+30</f>
        <v/>
      </c>
      <c r="N429">
        <f>IF(L429="", "", L429-B429)</f>
        <v/>
      </c>
      <c r="O429">
        <f>IF(L429="", "Pending", IF(N429&lt;=30, "Met", "Breached"))</f>
        <v/>
      </c>
    </row>
    <row r="430">
      <c r="M430" s="11">
        <f>B430+30</f>
        <v/>
      </c>
      <c r="N430">
        <f>IF(L430="", "", L430-B430)</f>
        <v/>
      </c>
      <c r="O430">
        <f>IF(L430="", "Pending", IF(N430&lt;=30, "Met", "Breached"))</f>
        <v/>
      </c>
    </row>
    <row r="431">
      <c r="M431" s="11">
        <f>B431+30</f>
        <v/>
      </c>
      <c r="N431">
        <f>IF(L431="", "", L431-B431)</f>
        <v/>
      </c>
      <c r="O431">
        <f>IF(L431="", "Pending", IF(N431&lt;=30, "Met", "Breached"))</f>
        <v/>
      </c>
    </row>
    <row r="432">
      <c r="M432" s="11">
        <f>B432+30</f>
        <v/>
      </c>
      <c r="N432">
        <f>IF(L432="", "", L432-B432)</f>
        <v/>
      </c>
      <c r="O432">
        <f>IF(L432="", "Pending", IF(N432&lt;=30, "Met", "Breached"))</f>
        <v/>
      </c>
    </row>
    <row r="433">
      <c r="M433" s="11">
        <f>B433+30</f>
        <v/>
      </c>
      <c r="N433">
        <f>IF(L433="", "", L433-B433)</f>
        <v/>
      </c>
      <c r="O433">
        <f>IF(L433="", "Pending", IF(N433&lt;=30, "Met", "Breached"))</f>
        <v/>
      </c>
    </row>
    <row r="434">
      <c r="M434" s="11">
        <f>B434+30</f>
        <v/>
      </c>
      <c r="N434">
        <f>IF(L434="", "", L434-B434)</f>
        <v/>
      </c>
      <c r="O434">
        <f>IF(L434="", "Pending", IF(N434&lt;=30, "Met", "Breached"))</f>
        <v/>
      </c>
    </row>
    <row r="435">
      <c r="M435" s="11">
        <f>B435+30</f>
        <v/>
      </c>
      <c r="N435">
        <f>IF(L435="", "", L435-B435)</f>
        <v/>
      </c>
      <c r="O435">
        <f>IF(L435="", "Pending", IF(N435&lt;=30, "Met", "Breached"))</f>
        <v/>
      </c>
    </row>
    <row r="436">
      <c r="M436" s="11">
        <f>B436+30</f>
        <v/>
      </c>
      <c r="N436">
        <f>IF(L436="", "", L436-B436)</f>
        <v/>
      </c>
      <c r="O436">
        <f>IF(L436="", "Pending", IF(N436&lt;=30, "Met", "Breached"))</f>
        <v/>
      </c>
    </row>
    <row r="437">
      <c r="M437" s="11">
        <f>B437+30</f>
        <v/>
      </c>
      <c r="N437">
        <f>IF(L437="", "", L437-B437)</f>
        <v/>
      </c>
      <c r="O437">
        <f>IF(L437="", "Pending", IF(N437&lt;=30, "Met", "Breached"))</f>
        <v/>
      </c>
    </row>
    <row r="438">
      <c r="M438" s="11">
        <f>B438+30</f>
        <v/>
      </c>
      <c r="N438">
        <f>IF(L438="", "", L438-B438)</f>
        <v/>
      </c>
      <c r="O438">
        <f>IF(L438="", "Pending", IF(N438&lt;=30, "Met", "Breached"))</f>
        <v/>
      </c>
    </row>
    <row r="439">
      <c r="M439" s="11">
        <f>B439+30</f>
        <v/>
      </c>
      <c r="N439">
        <f>IF(L439="", "", L439-B439)</f>
        <v/>
      </c>
      <c r="O439">
        <f>IF(L439="", "Pending", IF(N439&lt;=30, "Met", "Breached"))</f>
        <v/>
      </c>
    </row>
    <row r="440">
      <c r="M440" s="11">
        <f>B440+30</f>
        <v/>
      </c>
      <c r="N440">
        <f>IF(L440="", "", L440-B440)</f>
        <v/>
      </c>
      <c r="O440">
        <f>IF(L440="", "Pending", IF(N440&lt;=30, "Met", "Breached"))</f>
        <v/>
      </c>
    </row>
    <row r="441">
      <c r="M441" s="11">
        <f>B441+30</f>
        <v/>
      </c>
      <c r="N441">
        <f>IF(L441="", "", L441-B441)</f>
        <v/>
      </c>
      <c r="O441">
        <f>IF(L441="", "Pending", IF(N441&lt;=30, "Met", "Breached"))</f>
        <v/>
      </c>
    </row>
    <row r="442">
      <c r="M442" s="11">
        <f>B442+30</f>
        <v/>
      </c>
      <c r="N442">
        <f>IF(L442="", "", L442-B442)</f>
        <v/>
      </c>
      <c r="O442">
        <f>IF(L442="", "Pending", IF(N442&lt;=30, "Met", "Breached"))</f>
        <v/>
      </c>
    </row>
    <row r="443">
      <c r="M443" s="11">
        <f>B443+30</f>
        <v/>
      </c>
      <c r="N443">
        <f>IF(L443="", "", L443-B443)</f>
        <v/>
      </c>
      <c r="O443">
        <f>IF(L443="", "Pending", IF(N443&lt;=30, "Met", "Breached"))</f>
        <v/>
      </c>
    </row>
    <row r="444">
      <c r="M444" s="11">
        <f>B444+30</f>
        <v/>
      </c>
      <c r="N444">
        <f>IF(L444="", "", L444-B444)</f>
        <v/>
      </c>
      <c r="O444">
        <f>IF(L444="", "Pending", IF(N444&lt;=30, "Met", "Breached"))</f>
        <v/>
      </c>
    </row>
    <row r="445">
      <c r="M445" s="11">
        <f>B445+30</f>
        <v/>
      </c>
      <c r="N445">
        <f>IF(L445="", "", L445-B445)</f>
        <v/>
      </c>
      <c r="O445">
        <f>IF(L445="", "Pending", IF(N445&lt;=30, "Met", "Breached"))</f>
        <v/>
      </c>
    </row>
    <row r="446">
      <c r="M446" s="11">
        <f>B446+30</f>
        <v/>
      </c>
      <c r="N446">
        <f>IF(L446="", "", L446-B446)</f>
        <v/>
      </c>
      <c r="O446">
        <f>IF(L446="", "Pending", IF(N446&lt;=30, "Met", "Breached"))</f>
        <v/>
      </c>
    </row>
    <row r="447">
      <c r="M447" s="11">
        <f>B447+30</f>
        <v/>
      </c>
      <c r="N447">
        <f>IF(L447="", "", L447-B447)</f>
        <v/>
      </c>
      <c r="O447">
        <f>IF(L447="", "Pending", IF(N447&lt;=30, "Met", "Breached"))</f>
        <v/>
      </c>
    </row>
    <row r="448">
      <c r="M448" s="11">
        <f>B448+30</f>
        <v/>
      </c>
      <c r="N448">
        <f>IF(L448="", "", L448-B448)</f>
        <v/>
      </c>
      <c r="O448">
        <f>IF(L448="", "Pending", IF(N448&lt;=30, "Met", "Breached"))</f>
        <v/>
      </c>
    </row>
    <row r="449">
      <c r="M449" s="11">
        <f>B449+30</f>
        <v/>
      </c>
      <c r="N449">
        <f>IF(L449="", "", L449-B449)</f>
        <v/>
      </c>
      <c r="O449">
        <f>IF(L449="", "Pending", IF(N449&lt;=30, "Met", "Breached"))</f>
        <v/>
      </c>
    </row>
    <row r="450">
      <c r="M450" s="11">
        <f>B450+30</f>
        <v/>
      </c>
      <c r="N450">
        <f>IF(L450="", "", L450-B450)</f>
        <v/>
      </c>
      <c r="O450">
        <f>IF(L450="", "Pending", IF(N450&lt;=30, "Met", "Breached"))</f>
        <v/>
      </c>
    </row>
    <row r="451">
      <c r="M451" s="11">
        <f>B451+30</f>
        <v/>
      </c>
      <c r="N451">
        <f>IF(L451="", "", L451-B451)</f>
        <v/>
      </c>
      <c r="O451">
        <f>IF(L451="", "Pending", IF(N451&lt;=30, "Met", "Breached"))</f>
        <v/>
      </c>
    </row>
    <row r="452">
      <c r="M452" s="11">
        <f>B452+30</f>
        <v/>
      </c>
      <c r="N452">
        <f>IF(L452="", "", L452-B452)</f>
        <v/>
      </c>
      <c r="O452">
        <f>IF(L452="", "Pending", IF(N452&lt;=30, "Met", "Breached"))</f>
        <v/>
      </c>
    </row>
    <row r="453">
      <c r="M453" s="11">
        <f>B453+30</f>
        <v/>
      </c>
      <c r="N453">
        <f>IF(L453="", "", L453-B453)</f>
        <v/>
      </c>
      <c r="O453">
        <f>IF(L453="", "Pending", IF(N453&lt;=30, "Met", "Breached"))</f>
        <v/>
      </c>
    </row>
    <row r="454">
      <c r="M454" s="11">
        <f>B454+30</f>
        <v/>
      </c>
      <c r="N454">
        <f>IF(L454="", "", L454-B454)</f>
        <v/>
      </c>
      <c r="O454">
        <f>IF(L454="", "Pending", IF(N454&lt;=30, "Met", "Breached"))</f>
        <v/>
      </c>
    </row>
    <row r="455">
      <c r="M455" s="11">
        <f>B455+30</f>
        <v/>
      </c>
      <c r="N455">
        <f>IF(L455="", "", L455-B455)</f>
        <v/>
      </c>
      <c r="O455">
        <f>IF(L455="", "Pending", IF(N455&lt;=30, "Met", "Breached"))</f>
        <v/>
      </c>
    </row>
    <row r="456">
      <c r="M456" s="11">
        <f>B456+30</f>
        <v/>
      </c>
      <c r="N456">
        <f>IF(L456="", "", L456-B456)</f>
        <v/>
      </c>
      <c r="O456">
        <f>IF(L456="", "Pending", IF(N456&lt;=30, "Met", "Breached"))</f>
        <v/>
      </c>
    </row>
    <row r="457">
      <c r="M457" s="11">
        <f>B457+30</f>
        <v/>
      </c>
      <c r="N457">
        <f>IF(L457="", "", L457-B457)</f>
        <v/>
      </c>
      <c r="O457">
        <f>IF(L457="", "Pending", IF(N457&lt;=30, "Met", "Breached"))</f>
        <v/>
      </c>
    </row>
    <row r="458">
      <c r="M458" s="11">
        <f>B458+30</f>
        <v/>
      </c>
      <c r="N458">
        <f>IF(L458="", "", L458-B458)</f>
        <v/>
      </c>
      <c r="O458">
        <f>IF(L458="", "Pending", IF(N458&lt;=30, "Met", "Breached"))</f>
        <v/>
      </c>
    </row>
    <row r="459">
      <c r="M459" s="11">
        <f>B459+30</f>
        <v/>
      </c>
      <c r="N459">
        <f>IF(L459="", "", L459-B459)</f>
        <v/>
      </c>
      <c r="O459">
        <f>IF(L459="", "Pending", IF(N459&lt;=30, "Met", "Breached"))</f>
        <v/>
      </c>
    </row>
    <row r="460">
      <c r="M460" s="11">
        <f>B460+30</f>
        <v/>
      </c>
      <c r="N460">
        <f>IF(L460="", "", L460-B460)</f>
        <v/>
      </c>
      <c r="O460">
        <f>IF(L460="", "Pending", IF(N460&lt;=30, "Met", "Breached"))</f>
        <v/>
      </c>
    </row>
    <row r="461">
      <c r="M461" s="11">
        <f>B461+30</f>
        <v/>
      </c>
      <c r="N461">
        <f>IF(L461="", "", L461-B461)</f>
        <v/>
      </c>
      <c r="O461">
        <f>IF(L461="", "Pending", IF(N461&lt;=30, "Met", "Breached"))</f>
        <v/>
      </c>
    </row>
    <row r="462">
      <c r="M462" s="11">
        <f>B462+30</f>
        <v/>
      </c>
      <c r="N462">
        <f>IF(L462="", "", L462-B462)</f>
        <v/>
      </c>
      <c r="O462">
        <f>IF(L462="", "Pending", IF(N462&lt;=30, "Met", "Breached"))</f>
        <v/>
      </c>
    </row>
    <row r="463">
      <c r="M463" s="11">
        <f>B463+30</f>
        <v/>
      </c>
      <c r="N463">
        <f>IF(L463="", "", L463-B463)</f>
        <v/>
      </c>
      <c r="O463">
        <f>IF(L463="", "Pending", IF(N463&lt;=30, "Met", "Breached"))</f>
        <v/>
      </c>
    </row>
    <row r="464">
      <c r="M464" s="11">
        <f>B464+30</f>
        <v/>
      </c>
      <c r="N464">
        <f>IF(L464="", "", L464-B464)</f>
        <v/>
      </c>
      <c r="O464">
        <f>IF(L464="", "Pending", IF(N464&lt;=30, "Met", "Breached"))</f>
        <v/>
      </c>
    </row>
    <row r="465">
      <c r="M465" s="11">
        <f>B465+30</f>
        <v/>
      </c>
      <c r="N465">
        <f>IF(L465="", "", L465-B465)</f>
        <v/>
      </c>
      <c r="O465">
        <f>IF(L465="", "Pending", IF(N465&lt;=30, "Met", "Breached"))</f>
        <v/>
      </c>
    </row>
    <row r="466">
      <c r="M466" s="11">
        <f>B466+30</f>
        <v/>
      </c>
      <c r="N466">
        <f>IF(L466="", "", L466-B466)</f>
        <v/>
      </c>
      <c r="O466">
        <f>IF(L466="", "Pending", IF(N466&lt;=30, "Met", "Breached"))</f>
        <v/>
      </c>
    </row>
    <row r="467">
      <c r="M467" s="11">
        <f>B467+30</f>
        <v/>
      </c>
      <c r="N467">
        <f>IF(L467="", "", L467-B467)</f>
        <v/>
      </c>
      <c r="O467">
        <f>IF(L467="", "Pending", IF(N467&lt;=30, "Met", "Breached"))</f>
        <v/>
      </c>
    </row>
    <row r="468">
      <c r="M468" s="11">
        <f>B468+30</f>
        <v/>
      </c>
      <c r="N468">
        <f>IF(L468="", "", L468-B468)</f>
        <v/>
      </c>
      <c r="O468">
        <f>IF(L468="", "Pending", IF(N468&lt;=30, "Met", "Breached"))</f>
        <v/>
      </c>
    </row>
    <row r="469">
      <c r="M469" s="11">
        <f>B469+30</f>
        <v/>
      </c>
      <c r="N469">
        <f>IF(L469="", "", L469-B469)</f>
        <v/>
      </c>
      <c r="O469">
        <f>IF(L469="", "Pending", IF(N469&lt;=30, "Met", "Breached"))</f>
        <v/>
      </c>
    </row>
    <row r="470">
      <c r="M470" s="11">
        <f>B470+30</f>
        <v/>
      </c>
      <c r="N470">
        <f>IF(L470="", "", L470-B470)</f>
        <v/>
      </c>
      <c r="O470">
        <f>IF(L470="", "Pending", IF(N470&lt;=30, "Met", "Breached"))</f>
        <v/>
      </c>
    </row>
    <row r="471">
      <c r="M471" s="11">
        <f>B471+30</f>
        <v/>
      </c>
      <c r="N471">
        <f>IF(L471="", "", L471-B471)</f>
        <v/>
      </c>
      <c r="O471">
        <f>IF(L471="", "Pending", IF(N471&lt;=30, "Met", "Breached"))</f>
        <v/>
      </c>
    </row>
    <row r="472">
      <c r="M472" s="11">
        <f>B472+30</f>
        <v/>
      </c>
      <c r="N472">
        <f>IF(L472="", "", L472-B472)</f>
        <v/>
      </c>
      <c r="O472">
        <f>IF(L472="", "Pending", IF(N472&lt;=30, "Met", "Breached"))</f>
        <v/>
      </c>
    </row>
    <row r="473">
      <c r="M473" s="11">
        <f>B473+30</f>
        <v/>
      </c>
      <c r="N473">
        <f>IF(L473="", "", L473-B473)</f>
        <v/>
      </c>
      <c r="O473">
        <f>IF(L473="", "Pending", IF(N473&lt;=30, "Met", "Breached"))</f>
        <v/>
      </c>
    </row>
    <row r="474">
      <c r="M474" s="11">
        <f>B474+30</f>
        <v/>
      </c>
      <c r="N474">
        <f>IF(L474="", "", L474-B474)</f>
        <v/>
      </c>
      <c r="O474">
        <f>IF(L474="", "Pending", IF(N474&lt;=30, "Met", "Breached"))</f>
        <v/>
      </c>
    </row>
    <row r="475">
      <c r="M475" s="11">
        <f>B475+30</f>
        <v/>
      </c>
      <c r="N475">
        <f>IF(L475="", "", L475-B475)</f>
        <v/>
      </c>
      <c r="O475">
        <f>IF(L475="", "Pending", IF(N475&lt;=30, "Met", "Breached"))</f>
        <v/>
      </c>
    </row>
    <row r="476">
      <c r="M476" s="11">
        <f>B476+30</f>
        <v/>
      </c>
      <c r="N476">
        <f>IF(L476="", "", L476-B476)</f>
        <v/>
      </c>
      <c r="O476">
        <f>IF(L476="", "Pending", IF(N476&lt;=30, "Met", "Breached"))</f>
        <v/>
      </c>
    </row>
    <row r="477">
      <c r="M477" s="11">
        <f>B477+30</f>
        <v/>
      </c>
      <c r="N477">
        <f>IF(L477="", "", L477-B477)</f>
        <v/>
      </c>
      <c r="O477">
        <f>IF(L477="", "Pending", IF(N477&lt;=30, "Met", "Breached"))</f>
        <v/>
      </c>
    </row>
    <row r="478">
      <c r="M478" s="11">
        <f>B478+30</f>
        <v/>
      </c>
      <c r="N478">
        <f>IF(L478="", "", L478-B478)</f>
        <v/>
      </c>
      <c r="O478">
        <f>IF(L478="", "Pending", IF(N478&lt;=30, "Met", "Breached"))</f>
        <v/>
      </c>
    </row>
    <row r="479">
      <c r="M479" s="11">
        <f>B479+30</f>
        <v/>
      </c>
      <c r="N479">
        <f>IF(L479="", "", L479-B479)</f>
        <v/>
      </c>
      <c r="O479">
        <f>IF(L479="", "Pending", IF(N479&lt;=30, "Met", "Breached"))</f>
        <v/>
      </c>
    </row>
    <row r="480">
      <c r="M480" s="11">
        <f>B480+30</f>
        <v/>
      </c>
      <c r="N480">
        <f>IF(L480="", "", L480-B480)</f>
        <v/>
      </c>
      <c r="O480">
        <f>IF(L480="", "Pending", IF(N480&lt;=30, "Met", "Breached"))</f>
        <v/>
      </c>
    </row>
    <row r="481">
      <c r="M481" s="11">
        <f>B481+30</f>
        <v/>
      </c>
      <c r="N481">
        <f>IF(L481="", "", L481-B481)</f>
        <v/>
      </c>
      <c r="O481">
        <f>IF(L481="", "Pending", IF(N481&lt;=30, "Met", "Breached"))</f>
        <v/>
      </c>
    </row>
    <row r="482">
      <c r="M482" s="11">
        <f>B482+30</f>
        <v/>
      </c>
      <c r="N482">
        <f>IF(L482="", "", L482-B482)</f>
        <v/>
      </c>
      <c r="O482">
        <f>IF(L482="", "Pending", IF(N482&lt;=30, "Met", "Breached"))</f>
        <v/>
      </c>
    </row>
    <row r="483">
      <c r="M483" s="11">
        <f>B483+30</f>
        <v/>
      </c>
      <c r="N483">
        <f>IF(L483="", "", L483-B483)</f>
        <v/>
      </c>
      <c r="O483">
        <f>IF(L483="", "Pending", IF(N483&lt;=30, "Met", "Breached"))</f>
        <v/>
      </c>
    </row>
    <row r="484">
      <c r="M484" s="11">
        <f>B484+30</f>
        <v/>
      </c>
      <c r="N484">
        <f>IF(L484="", "", L484-B484)</f>
        <v/>
      </c>
      <c r="O484">
        <f>IF(L484="", "Pending", IF(N484&lt;=30, "Met", "Breached"))</f>
        <v/>
      </c>
    </row>
    <row r="485">
      <c r="M485" s="11">
        <f>B485+30</f>
        <v/>
      </c>
      <c r="N485">
        <f>IF(L485="", "", L485-B485)</f>
        <v/>
      </c>
      <c r="O485">
        <f>IF(L485="", "Pending", IF(N485&lt;=30, "Met", "Breached"))</f>
        <v/>
      </c>
    </row>
    <row r="486">
      <c r="M486" s="11">
        <f>B486+30</f>
        <v/>
      </c>
      <c r="N486">
        <f>IF(L486="", "", L486-B486)</f>
        <v/>
      </c>
      <c r="O486">
        <f>IF(L486="", "Pending", IF(N486&lt;=30, "Met", "Breached"))</f>
        <v/>
      </c>
    </row>
    <row r="487">
      <c r="M487" s="11">
        <f>B487+30</f>
        <v/>
      </c>
      <c r="N487">
        <f>IF(L487="", "", L487-B487)</f>
        <v/>
      </c>
      <c r="O487">
        <f>IF(L487="", "Pending", IF(N487&lt;=30, "Met", "Breached"))</f>
        <v/>
      </c>
    </row>
    <row r="488">
      <c r="M488" s="11">
        <f>B488+30</f>
        <v/>
      </c>
      <c r="N488">
        <f>IF(L488="", "", L488-B488)</f>
        <v/>
      </c>
      <c r="O488">
        <f>IF(L488="", "Pending", IF(N488&lt;=30, "Met", "Breached"))</f>
        <v/>
      </c>
    </row>
    <row r="489">
      <c r="M489" s="11">
        <f>B489+30</f>
        <v/>
      </c>
      <c r="N489">
        <f>IF(L489="", "", L489-B489)</f>
        <v/>
      </c>
      <c r="O489">
        <f>IF(L489="", "Pending", IF(N489&lt;=30, "Met", "Breached"))</f>
        <v/>
      </c>
    </row>
    <row r="490">
      <c r="M490" s="11">
        <f>B490+30</f>
        <v/>
      </c>
      <c r="N490">
        <f>IF(L490="", "", L490-B490)</f>
        <v/>
      </c>
      <c r="O490">
        <f>IF(L490="", "Pending", IF(N490&lt;=30, "Met", "Breached"))</f>
        <v/>
      </c>
    </row>
    <row r="491">
      <c r="M491" s="11">
        <f>B491+30</f>
        <v/>
      </c>
      <c r="N491">
        <f>IF(L491="", "", L491-B491)</f>
        <v/>
      </c>
      <c r="O491">
        <f>IF(L491="", "Pending", IF(N491&lt;=30, "Met", "Breached"))</f>
        <v/>
      </c>
    </row>
    <row r="492">
      <c r="M492" s="11">
        <f>B492+30</f>
        <v/>
      </c>
      <c r="N492">
        <f>IF(L492="", "", L492-B492)</f>
        <v/>
      </c>
      <c r="O492">
        <f>IF(L492="", "Pending", IF(N492&lt;=30, "Met", "Breached"))</f>
        <v/>
      </c>
    </row>
    <row r="493">
      <c r="M493" s="11">
        <f>B493+30</f>
        <v/>
      </c>
      <c r="N493">
        <f>IF(L493="", "", L493-B493)</f>
        <v/>
      </c>
      <c r="O493">
        <f>IF(L493="", "Pending", IF(N493&lt;=30, "Met", "Breached"))</f>
        <v/>
      </c>
    </row>
    <row r="494">
      <c r="M494" s="11">
        <f>B494+30</f>
        <v/>
      </c>
      <c r="N494">
        <f>IF(L494="", "", L494-B494)</f>
        <v/>
      </c>
      <c r="O494">
        <f>IF(L494="", "Pending", IF(N494&lt;=30, "Met", "Breached"))</f>
        <v/>
      </c>
    </row>
    <row r="495">
      <c r="M495" s="11">
        <f>B495+30</f>
        <v/>
      </c>
      <c r="N495">
        <f>IF(L495="", "", L495-B495)</f>
        <v/>
      </c>
      <c r="O495">
        <f>IF(L495="", "Pending", IF(N495&lt;=30, "Met", "Breached"))</f>
        <v/>
      </c>
    </row>
    <row r="496">
      <c r="M496" s="11">
        <f>B496+30</f>
        <v/>
      </c>
      <c r="N496">
        <f>IF(L496="", "", L496-B496)</f>
        <v/>
      </c>
      <c r="O496">
        <f>IF(L496="", "Pending", IF(N496&lt;=30, "Met", "Breached"))</f>
        <v/>
      </c>
    </row>
    <row r="497">
      <c r="M497" s="11">
        <f>B497+30</f>
        <v/>
      </c>
      <c r="N497">
        <f>IF(L497="", "", L497-B497)</f>
        <v/>
      </c>
      <c r="O497">
        <f>IF(L497="", "Pending", IF(N497&lt;=30, "Met", "Breached"))</f>
        <v/>
      </c>
    </row>
    <row r="498">
      <c r="M498" s="11">
        <f>B498+30</f>
        <v/>
      </c>
      <c r="N498">
        <f>IF(L498="", "", L498-B498)</f>
        <v/>
      </c>
      <c r="O498">
        <f>IF(L498="", "Pending", IF(N498&lt;=30, "Met", "Breached"))</f>
        <v/>
      </c>
    </row>
    <row r="499">
      <c r="M499" s="11">
        <f>B499+30</f>
        <v/>
      </c>
      <c r="N499">
        <f>IF(L499="", "", L499-B499)</f>
        <v/>
      </c>
      <c r="O499">
        <f>IF(L499="", "Pending", IF(N499&lt;=30, "Met", "Breached"))</f>
        <v/>
      </c>
    </row>
    <row r="500">
      <c r="M500" s="11">
        <f>B500+30</f>
        <v/>
      </c>
      <c r="N500">
        <f>IF(L500="", "", L500-B500)</f>
        <v/>
      </c>
      <c r="O500">
        <f>IF(L500="", "Pending", IF(N500&lt;=30, "Met", "Breached"))</f>
        <v/>
      </c>
    </row>
    <row r="501">
      <c r="M501" s="11">
        <f>B501+30</f>
        <v/>
      </c>
      <c r="N501">
        <f>IF(L501="", "", L501-B501)</f>
        <v/>
      </c>
      <c r="O501">
        <f>IF(L501="", "Pending", IF(N501&lt;=30, "Met", "Breached"))</f>
        <v/>
      </c>
    </row>
    <row r="502">
      <c r="M502" s="11">
        <f>B502+30</f>
        <v/>
      </c>
      <c r="N502">
        <f>IF(L502="", "", L502-B502)</f>
        <v/>
      </c>
      <c r="O502">
        <f>IF(L502="", "Pending", IF(N502&lt;=30, "Met", "Breached"))</f>
        <v/>
      </c>
    </row>
    <row r="503">
      <c r="M503" s="11">
        <f>B503+30</f>
        <v/>
      </c>
      <c r="N503">
        <f>IF(L503="", "", L503-B503)</f>
        <v/>
      </c>
      <c r="O503">
        <f>IF(L503="", "Pending", IF(N503&lt;=30, "Met", "Breached"))</f>
        <v/>
      </c>
    </row>
    <row r="504">
      <c r="M504" s="11">
        <f>B504+30</f>
        <v/>
      </c>
      <c r="N504">
        <f>IF(L504="", "", L504-B504)</f>
        <v/>
      </c>
      <c r="O504">
        <f>IF(L504="", "Pending", IF(N504&lt;=30, "Met", "Breached"))</f>
        <v/>
      </c>
    </row>
    <row r="505">
      <c r="M505" s="11">
        <f>B505+30</f>
        <v/>
      </c>
      <c r="N505">
        <f>IF(L505="", "", L505-B505)</f>
        <v/>
      </c>
      <c r="O505">
        <f>IF(L505="", "Pending", IF(N505&lt;=30, "Met", "Breached"))</f>
        <v/>
      </c>
    </row>
    <row r="506">
      <c r="M506" s="11">
        <f>B506+30</f>
        <v/>
      </c>
      <c r="N506">
        <f>IF(L506="", "", L506-B506)</f>
        <v/>
      </c>
      <c r="O506">
        <f>IF(L506="", "Pending", IF(N506&lt;=30, "Met", "Breached"))</f>
        <v/>
      </c>
    </row>
    <row r="507">
      <c r="M507" s="11">
        <f>B507+30</f>
        <v/>
      </c>
      <c r="N507">
        <f>IF(L507="", "", L507-B507)</f>
        <v/>
      </c>
      <c r="O507">
        <f>IF(L507="", "Pending", IF(N507&lt;=30, "Met", "Breached"))</f>
        <v/>
      </c>
    </row>
    <row r="508">
      <c r="M508" s="11">
        <f>B508+30</f>
        <v/>
      </c>
      <c r="N508">
        <f>IF(L508="", "", L508-B508)</f>
        <v/>
      </c>
      <c r="O508">
        <f>IF(L508="", "Pending", IF(N508&lt;=30, "Met", "Breached"))</f>
        <v/>
      </c>
    </row>
    <row r="509">
      <c r="M509" s="11">
        <f>B509+30</f>
        <v/>
      </c>
      <c r="N509">
        <f>IF(L509="", "", L509-B509)</f>
        <v/>
      </c>
      <c r="O509">
        <f>IF(L509="", "Pending", IF(N509&lt;=30, "Met", "Breached"))</f>
        <v/>
      </c>
    </row>
    <row r="510">
      <c r="M510" s="11">
        <f>B510+30</f>
        <v/>
      </c>
      <c r="N510">
        <f>IF(L510="", "", L510-B510)</f>
        <v/>
      </c>
      <c r="O510">
        <f>IF(L510="", "Pending", IF(N510&lt;=30, "Met", "Breached"))</f>
        <v/>
      </c>
    </row>
    <row r="511">
      <c r="M511" s="11">
        <f>B511+30</f>
        <v/>
      </c>
      <c r="N511">
        <f>IF(L511="", "", L511-B511)</f>
        <v/>
      </c>
      <c r="O511">
        <f>IF(L511="", "Pending", IF(N511&lt;=30, "Met", "Breached"))</f>
        <v/>
      </c>
    </row>
    <row r="512">
      <c r="M512" s="11">
        <f>B512+30</f>
        <v/>
      </c>
      <c r="N512">
        <f>IF(L512="", "", L512-B512)</f>
        <v/>
      </c>
      <c r="O512">
        <f>IF(L512="", "Pending", IF(N512&lt;=30, "Met", "Breached"))</f>
        <v/>
      </c>
    </row>
    <row r="513">
      <c r="M513" s="11">
        <f>B513+30</f>
        <v/>
      </c>
      <c r="N513">
        <f>IF(L513="", "", L513-B513)</f>
        <v/>
      </c>
      <c r="O513">
        <f>IF(L513="", "Pending", IF(N513&lt;=30, "Met", "Breached"))</f>
        <v/>
      </c>
    </row>
    <row r="514">
      <c r="M514" s="11">
        <f>B514+30</f>
        <v/>
      </c>
      <c r="N514">
        <f>IF(L514="", "", L514-B514)</f>
        <v/>
      </c>
      <c r="O514">
        <f>IF(L514="", "Pending", IF(N514&lt;=30, "Met", "Breached"))</f>
        <v/>
      </c>
    </row>
    <row r="515">
      <c r="M515" s="11">
        <f>B515+30</f>
        <v/>
      </c>
      <c r="N515">
        <f>IF(L515="", "", L515-B515)</f>
        <v/>
      </c>
      <c r="O515">
        <f>IF(L515="", "Pending", IF(N515&lt;=30, "Met", "Breached"))</f>
        <v/>
      </c>
    </row>
    <row r="516">
      <c r="M516" s="11">
        <f>B516+30</f>
        <v/>
      </c>
      <c r="N516">
        <f>IF(L516="", "", L516-B516)</f>
        <v/>
      </c>
      <c r="O516">
        <f>IF(L516="", "Pending", IF(N516&lt;=30, "Met", "Breached"))</f>
        <v/>
      </c>
    </row>
    <row r="517">
      <c r="M517" s="11">
        <f>B517+30</f>
        <v/>
      </c>
      <c r="N517">
        <f>IF(L517="", "", L517-B517)</f>
        <v/>
      </c>
      <c r="O517">
        <f>IF(L517="", "Pending", IF(N517&lt;=30, "Met", "Breached"))</f>
        <v/>
      </c>
    </row>
    <row r="518">
      <c r="M518" s="11">
        <f>B518+30</f>
        <v/>
      </c>
      <c r="N518">
        <f>IF(L518="", "", L518-B518)</f>
        <v/>
      </c>
      <c r="O518">
        <f>IF(L518="", "Pending", IF(N518&lt;=30, "Met", "Breached"))</f>
        <v/>
      </c>
    </row>
    <row r="519">
      <c r="M519" s="11">
        <f>B519+30</f>
        <v/>
      </c>
      <c r="N519">
        <f>IF(L519="", "", L519-B519)</f>
        <v/>
      </c>
      <c r="O519">
        <f>IF(L519="", "Pending", IF(N519&lt;=30, "Met", "Breached"))</f>
        <v/>
      </c>
    </row>
    <row r="520">
      <c r="M520" s="11">
        <f>B520+30</f>
        <v/>
      </c>
      <c r="N520">
        <f>IF(L520="", "", L520-B520)</f>
        <v/>
      </c>
      <c r="O520">
        <f>IF(L520="", "Pending", IF(N520&lt;=30, "Met", "Breached"))</f>
        <v/>
      </c>
    </row>
    <row r="521">
      <c r="M521" s="11">
        <f>B521+30</f>
        <v/>
      </c>
      <c r="N521">
        <f>IF(L521="", "", L521-B521)</f>
        <v/>
      </c>
      <c r="O521">
        <f>IF(L521="", "Pending", IF(N521&lt;=30, "Met", "Breached"))</f>
        <v/>
      </c>
    </row>
    <row r="522">
      <c r="M522" s="11">
        <f>B522+30</f>
        <v/>
      </c>
      <c r="N522">
        <f>IF(L522="", "", L522-B522)</f>
        <v/>
      </c>
      <c r="O522">
        <f>IF(L522="", "Pending", IF(N522&lt;=30, "Met", "Breached"))</f>
        <v/>
      </c>
    </row>
    <row r="523">
      <c r="M523" s="11">
        <f>B523+30</f>
        <v/>
      </c>
      <c r="N523">
        <f>IF(L523="", "", L523-B523)</f>
        <v/>
      </c>
      <c r="O523">
        <f>IF(L523="", "Pending", IF(N523&lt;=30, "Met", "Breached"))</f>
        <v/>
      </c>
    </row>
    <row r="524">
      <c r="M524" s="11">
        <f>B524+30</f>
        <v/>
      </c>
      <c r="N524">
        <f>IF(L524="", "", L524-B524)</f>
        <v/>
      </c>
      <c r="O524">
        <f>IF(L524="", "Pending", IF(N524&lt;=30, "Met", "Breached"))</f>
        <v/>
      </c>
    </row>
    <row r="525">
      <c r="M525" s="11">
        <f>B525+30</f>
        <v/>
      </c>
      <c r="N525">
        <f>IF(L525="", "", L525-B525)</f>
        <v/>
      </c>
      <c r="O525">
        <f>IF(L525="", "Pending", IF(N525&lt;=30, "Met", "Breached"))</f>
        <v/>
      </c>
    </row>
    <row r="526">
      <c r="M526" s="11">
        <f>B526+30</f>
        <v/>
      </c>
      <c r="N526">
        <f>IF(L526="", "", L526-B526)</f>
        <v/>
      </c>
      <c r="O526">
        <f>IF(L526="", "Pending", IF(N526&lt;=30, "Met", "Breached"))</f>
        <v/>
      </c>
    </row>
    <row r="527">
      <c r="M527" s="11">
        <f>B527+30</f>
        <v/>
      </c>
      <c r="N527">
        <f>IF(L527="", "", L527-B527)</f>
        <v/>
      </c>
      <c r="O527">
        <f>IF(L527="", "Pending", IF(N527&lt;=30, "Met", "Breached"))</f>
        <v/>
      </c>
    </row>
    <row r="528">
      <c r="M528" s="11">
        <f>B528+30</f>
        <v/>
      </c>
      <c r="N528">
        <f>IF(L528="", "", L528-B528)</f>
        <v/>
      </c>
      <c r="O528">
        <f>IF(L528="", "Pending", IF(N528&lt;=30, "Met", "Breached"))</f>
        <v/>
      </c>
    </row>
    <row r="529">
      <c r="M529" s="11">
        <f>B529+30</f>
        <v/>
      </c>
      <c r="N529">
        <f>IF(L529="", "", L529-B529)</f>
        <v/>
      </c>
      <c r="O529">
        <f>IF(L529="", "Pending", IF(N529&lt;=30, "Met", "Breached"))</f>
        <v/>
      </c>
    </row>
    <row r="530">
      <c r="M530" s="11">
        <f>B530+30</f>
        <v/>
      </c>
      <c r="N530">
        <f>IF(L530="", "", L530-B530)</f>
        <v/>
      </c>
      <c r="O530">
        <f>IF(L530="", "Pending", IF(N530&lt;=30, "Met", "Breached"))</f>
        <v/>
      </c>
    </row>
    <row r="531">
      <c r="M531" s="11">
        <f>B531+30</f>
        <v/>
      </c>
      <c r="N531">
        <f>IF(L531="", "", L531-B531)</f>
        <v/>
      </c>
      <c r="O531">
        <f>IF(L531="", "Pending", IF(N531&lt;=30, "Met", "Breached"))</f>
        <v/>
      </c>
    </row>
    <row r="532">
      <c r="M532" s="11">
        <f>B532+30</f>
        <v/>
      </c>
      <c r="N532">
        <f>IF(L532="", "", L532-B532)</f>
        <v/>
      </c>
      <c r="O532">
        <f>IF(L532="", "Pending", IF(N532&lt;=30, "Met", "Breached"))</f>
        <v/>
      </c>
    </row>
    <row r="533">
      <c r="M533" s="11">
        <f>B533+30</f>
        <v/>
      </c>
      <c r="N533">
        <f>IF(L533="", "", L533-B533)</f>
        <v/>
      </c>
      <c r="O533">
        <f>IF(L533="", "Pending", IF(N533&lt;=30, "Met", "Breached"))</f>
        <v/>
      </c>
    </row>
    <row r="534">
      <c r="M534" s="11">
        <f>B534+30</f>
        <v/>
      </c>
      <c r="N534">
        <f>IF(L534="", "", L534-B534)</f>
        <v/>
      </c>
      <c r="O534">
        <f>IF(L534="", "Pending", IF(N534&lt;=30, "Met", "Breached"))</f>
        <v/>
      </c>
    </row>
    <row r="535">
      <c r="M535" s="11">
        <f>B535+30</f>
        <v/>
      </c>
      <c r="N535">
        <f>IF(L535="", "", L535-B535)</f>
        <v/>
      </c>
      <c r="O535">
        <f>IF(L535="", "Pending", IF(N535&lt;=30, "Met", "Breached"))</f>
        <v/>
      </c>
    </row>
    <row r="536">
      <c r="M536" s="11">
        <f>B536+30</f>
        <v/>
      </c>
      <c r="N536">
        <f>IF(L536="", "", L536-B536)</f>
        <v/>
      </c>
      <c r="O536">
        <f>IF(L536="", "Pending", IF(N536&lt;=30, "Met", "Breached"))</f>
        <v/>
      </c>
    </row>
    <row r="537">
      <c r="M537" s="11">
        <f>B537+30</f>
        <v/>
      </c>
      <c r="N537">
        <f>IF(L537="", "", L537-B537)</f>
        <v/>
      </c>
      <c r="O537">
        <f>IF(L537="", "Pending", IF(N537&lt;=30, "Met", "Breached"))</f>
        <v/>
      </c>
    </row>
    <row r="538">
      <c r="M538" s="11">
        <f>B538+30</f>
        <v/>
      </c>
      <c r="N538">
        <f>IF(L538="", "", L538-B538)</f>
        <v/>
      </c>
      <c r="O538">
        <f>IF(L538="", "Pending", IF(N538&lt;=30, "Met", "Breached"))</f>
        <v/>
      </c>
    </row>
    <row r="539">
      <c r="M539" s="11">
        <f>B539+30</f>
        <v/>
      </c>
      <c r="N539">
        <f>IF(L539="", "", L539-B539)</f>
        <v/>
      </c>
      <c r="O539">
        <f>IF(L539="", "Pending", IF(N539&lt;=30, "Met", "Breached"))</f>
        <v/>
      </c>
    </row>
    <row r="540">
      <c r="M540" s="11">
        <f>B540+30</f>
        <v/>
      </c>
      <c r="N540">
        <f>IF(L540="", "", L540-B540)</f>
        <v/>
      </c>
      <c r="O540">
        <f>IF(L540="", "Pending", IF(N540&lt;=30, "Met", "Breached"))</f>
        <v/>
      </c>
    </row>
    <row r="541">
      <c r="M541" s="11">
        <f>B541+30</f>
        <v/>
      </c>
      <c r="N541">
        <f>IF(L541="", "", L541-B541)</f>
        <v/>
      </c>
      <c r="O541">
        <f>IF(L541="", "Pending", IF(N541&lt;=30, "Met", "Breached"))</f>
        <v/>
      </c>
    </row>
    <row r="542">
      <c r="M542" s="11">
        <f>B542+30</f>
        <v/>
      </c>
      <c r="N542">
        <f>IF(L542="", "", L542-B542)</f>
        <v/>
      </c>
      <c r="O542">
        <f>IF(L542="", "Pending", IF(N542&lt;=30, "Met", "Breached"))</f>
        <v/>
      </c>
    </row>
    <row r="543">
      <c r="M543" s="11">
        <f>B543+30</f>
        <v/>
      </c>
      <c r="N543">
        <f>IF(L543="", "", L543-B543)</f>
        <v/>
      </c>
      <c r="O543">
        <f>IF(L543="", "Pending", IF(N543&lt;=30, "Met", "Breached"))</f>
        <v/>
      </c>
    </row>
    <row r="544">
      <c r="M544" s="11">
        <f>B544+30</f>
        <v/>
      </c>
      <c r="N544">
        <f>IF(L544="", "", L544-B544)</f>
        <v/>
      </c>
      <c r="O544">
        <f>IF(L544="", "Pending", IF(N544&lt;=30, "Met", "Breached"))</f>
        <v/>
      </c>
    </row>
    <row r="545">
      <c r="M545" s="11">
        <f>B545+30</f>
        <v/>
      </c>
      <c r="N545">
        <f>IF(L545="", "", L545-B545)</f>
        <v/>
      </c>
      <c r="O545">
        <f>IF(L545="", "Pending", IF(N545&lt;=30, "Met", "Breached"))</f>
        <v/>
      </c>
    </row>
    <row r="546">
      <c r="M546" s="11">
        <f>B546+30</f>
        <v/>
      </c>
      <c r="N546">
        <f>IF(L546="", "", L546-B546)</f>
        <v/>
      </c>
      <c r="O546">
        <f>IF(L546="", "Pending", IF(N546&lt;=30, "Met", "Breached"))</f>
        <v/>
      </c>
    </row>
    <row r="547">
      <c r="M547" s="11">
        <f>B547+30</f>
        <v/>
      </c>
      <c r="N547">
        <f>IF(L547="", "", L547-B547)</f>
        <v/>
      </c>
      <c r="O547">
        <f>IF(L547="", "Pending", IF(N547&lt;=30, "Met", "Breached"))</f>
        <v/>
      </c>
    </row>
    <row r="548">
      <c r="M548" s="11">
        <f>B548+30</f>
        <v/>
      </c>
      <c r="N548">
        <f>IF(L548="", "", L548-B548)</f>
        <v/>
      </c>
      <c r="O548">
        <f>IF(L548="", "Pending", IF(N548&lt;=30, "Met", "Breached"))</f>
        <v/>
      </c>
    </row>
    <row r="549">
      <c r="M549" s="11">
        <f>B549+30</f>
        <v/>
      </c>
      <c r="N549">
        <f>IF(L549="", "", L549-B549)</f>
        <v/>
      </c>
      <c r="O549">
        <f>IF(L549="", "Pending", IF(N549&lt;=30, "Met", "Breached"))</f>
        <v/>
      </c>
    </row>
    <row r="550">
      <c r="M550" s="11">
        <f>B550+30</f>
        <v/>
      </c>
      <c r="N550">
        <f>IF(L550="", "", L550-B550)</f>
        <v/>
      </c>
      <c r="O550">
        <f>IF(L550="", "Pending", IF(N550&lt;=30, "Met", "Breached"))</f>
        <v/>
      </c>
    </row>
    <row r="551">
      <c r="M551" s="11">
        <f>B551+30</f>
        <v/>
      </c>
      <c r="N551">
        <f>IF(L551="", "", L551-B551)</f>
        <v/>
      </c>
      <c r="O551">
        <f>IF(L551="", "Pending", IF(N551&lt;=30, "Met", "Breached"))</f>
        <v/>
      </c>
    </row>
    <row r="552">
      <c r="M552" s="11">
        <f>B552+30</f>
        <v/>
      </c>
      <c r="N552">
        <f>IF(L552="", "", L552-B552)</f>
        <v/>
      </c>
      <c r="O552">
        <f>IF(L552="", "Pending", IF(N552&lt;=30, "Met", "Breached"))</f>
        <v/>
      </c>
    </row>
    <row r="553">
      <c r="M553" s="11">
        <f>B553+30</f>
        <v/>
      </c>
      <c r="N553">
        <f>IF(L553="", "", L553-B553)</f>
        <v/>
      </c>
      <c r="O553">
        <f>IF(L553="", "Pending", IF(N553&lt;=30, "Met", "Breached"))</f>
        <v/>
      </c>
    </row>
    <row r="554">
      <c r="M554" s="11">
        <f>B554+30</f>
        <v/>
      </c>
      <c r="N554">
        <f>IF(L554="", "", L554-B554)</f>
        <v/>
      </c>
      <c r="O554">
        <f>IF(L554="", "Pending", IF(N554&lt;=30, "Met", "Breached"))</f>
        <v/>
      </c>
    </row>
    <row r="555">
      <c r="M555" s="11">
        <f>B555+30</f>
        <v/>
      </c>
      <c r="N555">
        <f>IF(L555="", "", L555-B555)</f>
        <v/>
      </c>
      <c r="O555">
        <f>IF(L555="", "Pending", IF(N555&lt;=30, "Met", "Breached"))</f>
        <v/>
      </c>
    </row>
    <row r="556">
      <c r="M556" s="11">
        <f>B556+30</f>
        <v/>
      </c>
      <c r="N556">
        <f>IF(L556="", "", L556-B556)</f>
        <v/>
      </c>
      <c r="O556">
        <f>IF(L556="", "Pending", IF(N556&lt;=30, "Met", "Breached"))</f>
        <v/>
      </c>
    </row>
    <row r="557">
      <c r="M557" s="11">
        <f>B557+30</f>
        <v/>
      </c>
      <c r="N557">
        <f>IF(L557="", "", L557-B557)</f>
        <v/>
      </c>
      <c r="O557">
        <f>IF(L557="", "Pending", IF(N557&lt;=30, "Met", "Breached"))</f>
        <v/>
      </c>
    </row>
    <row r="558">
      <c r="M558" s="11">
        <f>B558+30</f>
        <v/>
      </c>
      <c r="N558">
        <f>IF(L558="", "", L558-B558)</f>
        <v/>
      </c>
      <c r="O558">
        <f>IF(L558="", "Pending", IF(N558&lt;=30, "Met", "Breached"))</f>
        <v/>
      </c>
    </row>
    <row r="559">
      <c r="M559" s="11">
        <f>B559+30</f>
        <v/>
      </c>
      <c r="N559">
        <f>IF(L559="", "", L559-B559)</f>
        <v/>
      </c>
      <c r="O559">
        <f>IF(L559="", "Pending", IF(N559&lt;=30, "Met", "Breached"))</f>
        <v/>
      </c>
    </row>
    <row r="560">
      <c r="M560" s="11">
        <f>B560+30</f>
        <v/>
      </c>
      <c r="N560">
        <f>IF(L560="", "", L560-B560)</f>
        <v/>
      </c>
      <c r="O560">
        <f>IF(L560="", "Pending", IF(N560&lt;=30, "Met", "Breached"))</f>
        <v/>
      </c>
    </row>
    <row r="561">
      <c r="M561" s="11">
        <f>B561+30</f>
        <v/>
      </c>
      <c r="N561">
        <f>IF(L561="", "", L561-B561)</f>
        <v/>
      </c>
      <c r="O561">
        <f>IF(L561="", "Pending", IF(N561&lt;=30, "Met", "Breached"))</f>
        <v/>
      </c>
    </row>
    <row r="562">
      <c r="M562" s="11">
        <f>B562+30</f>
        <v/>
      </c>
      <c r="N562">
        <f>IF(L562="", "", L562-B562)</f>
        <v/>
      </c>
      <c r="O562">
        <f>IF(L562="", "Pending", IF(N562&lt;=30, "Met", "Breached"))</f>
        <v/>
      </c>
    </row>
    <row r="563">
      <c r="M563" s="11">
        <f>B563+30</f>
        <v/>
      </c>
      <c r="N563">
        <f>IF(L563="", "", L563-B563)</f>
        <v/>
      </c>
      <c r="O563">
        <f>IF(L563="", "Pending", IF(N563&lt;=30, "Met", "Breached"))</f>
        <v/>
      </c>
    </row>
    <row r="564">
      <c r="M564" s="11">
        <f>B564+30</f>
        <v/>
      </c>
      <c r="N564">
        <f>IF(L564="", "", L564-B564)</f>
        <v/>
      </c>
      <c r="O564">
        <f>IF(L564="", "Pending", IF(N564&lt;=30, "Met", "Breached"))</f>
        <v/>
      </c>
    </row>
    <row r="565">
      <c r="M565" s="11">
        <f>B565+30</f>
        <v/>
      </c>
      <c r="N565">
        <f>IF(L565="", "", L565-B565)</f>
        <v/>
      </c>
      <c r="O565">
        <f>IF(L565="", "Pending", IF(N565&lt;=30, "Met", "Breached"))</f>
        <v/>
      </c>
    </row>
    <row r="566">
      <c r="M566" s="11">
        <f>B566+30</f>
        <v/>
      </c>
      <c r="N566">
        <f>IF(L566="", "", L566-B566)</f>
        <v/>
      </c>
      <c r="O566">
        <f>IF(L566="", "Pending", IF(N566&lt;=30, "Met", "Breached"))</f>
        <v/>
      </c>
    </row>
    <row r="567">
      <c r="M567" s="11">
        <f>B567+30</f>
        <v/>
      </c>
      <c r="N567">
        <f>IF(L567="", "", L567-B567)</f>
        <v/>
      </c>
      <c r="O567">
        <f>IF(L567="", "Pending", IF(N567&lt;=30, "Met", "Breached"))</f>
        <v/>
      </c>
    </row>
    <row r="568">
      <c r="M568" s="11">
        <f>B568+30</f>
        <v/>
      </c>
      <c r="N568">
        <f>IF(L568="", "", L568-B568)</f>
        <v/>
      </c>
      <c r="O568">
        <f>IF(L568="", "Pending", IF(N568&lt;=30, "Met", "Breached"))</f>
        <v/>
      </c>
    </row>
    <row r="569">
      <c r="M569" s="11">
        <f>B569+30</f>
        <v/>
      </c>
      <c r="N569">
        <f>IF(L569="", "", L569-B569)</f>
        <v/>
      </c>
      <c r="O569">
        <f>IF(L569="", "Pending", IF(N569&lt;=30, "Met", "Breached"))</f>
        <v/>
      </c>
    </row>
    <row r="570">
      <c r="M570" s="11">
        <f>B570+30</f>
        <v/>
      </c>
      <c r="N570">
        <f>IF(L570="", "", L570-B570)</f>
        <v/>
      </c>
      <c r="O570">
        <f>IF(L570="", "Pending", IF(N570&lt;=30, "Met", "Breached"))</f>
        <v/>
      </c>
    </row>
    <row r="571">
      <c r="M571" s="11">
        <f>B571+30</f>
        <v/>
      </c>
      <c r="N571">
        <f>IF(L571="", "", L571-B571)</f>
        <v/>
      </c>
      <c r="O571">
        <f>IF(L571="", "Pending", IF(N571&lt;=30, "Met", "Breached"))</f>
        <v/>
      </c>
    </row>
    <row r="572">
      <c r="M572" s="11">
        <f>B572+30</f>
        <v/>
      </c>
      <c r="N572">
        <f>IF(L572="", "", L572-B572)</f>
        <v/>
      </c>
      <c r="O572">
        <f>IF(L572="", "Pending", IF(N572&lt;=30, "Met", "Breached"))</f>
        <v/>
      </c>
    </row>
    <row r="573">
      <c r="M573" s="11">
        <f>B573+30</f>
        <v/>
      </c>
      <c r="N573">
        <f>IF(L573="", "", L573-B573)</f>
        <v/>
      </c>
      <c r="O573">
        <f>IF(L573="", "Pending", IF(N573&lt;=30, "Met", "Breached"))</f>
        <v/>
      </c>
    </row>
    <row r="574">
      <c r="M574" s="11">
        <f>B574+30</f>
        <v/>
      </c>
      <c r="N574">
        <f>IF(L574="", "", L574-B574)</f>
        <v/>
      </c>
      <c r="O574">
        <f>IF(L574="", "Pending", IF(N574&lt;=30, "Met", "Breached"))</f>
        <v/>
      </c>
    </row>
    <row r="575">
      <c r="M575" s="11">
        <f>B575+30</f>
        <v/>
      </c>
      <c r="N575">
        <f>IF(L575="", "", L575-B575)</f>
        <v/>
      </c>
      <c r="O575">
        <f>IF(L575="", "Pending", IF(N575&lt;=30, "Met", "Breached"))</f>
        <v/>
      </c>
    </row>
    <row r="576">
      <c r="M576" s="11">
        <f>B576+30</f>
        <v/>
      </c>
      <c r="N576">
        <f>IF(L576="", "", L576-B576)</f>
        <v/>
      </c>
      <c r="O576">
        <f>IF(L576="", "Pending", IF(N576&lt;=30, "Met", "Breached"))</f>
        <v/>
      </c>
    </row>
    <row r="577">
      <c r="M577" s="11">
        <f>B577+30</f>
        <v/>
      </c>
      <c r="N577">
        <f>IF(L577="", "", L577-B577)</f>
        <v/>
      </c>
      <c r="O577">
        <f>IF(L577="", "Pending", IF(N577&lt;=30, "Met", "Breached"))</f>
        <v/>
      </c>
    </row>
    <row r="578">
      <c r="M578" s="11">
        <f>B578+30</f>
        <v/>
      </c>
      <c r="N578">
        <f>IF(L578="", "", L578-B578)</f>
        <v/>
      </c>
      <c r="O578">
        <f>IF(L578="", "Pending", IF(N578&lt;=30, "Met", "Breached"))</f>
        <v/>
      </c>
    </row>
    <row r="579">
      <c r="M579" s="11">
        <f>B579+30</f>
        <v/>
      </c>
      <c r="N579">
        <f>IF(L579="", "", L579-B579)</f>
        <v/>
      </c>
      <c r="O579">
        <f>IF(L579="", "Pending", IF(N579&lt;=30, "Met", "Breached"))</f>
        <v/>
      </c>
    </row>
    <row r="580">
      <c r="M580" s="11">
        <f>B580+30</f>
        <v/>
      </c>
      <c r="N580">
        <f>IF(L580="", "", L580-B580)</f>
        <v/>
      </c>
      <c r="O580">
        <f>IF(L580="", "Pending", IF(N580&lt;=30, "Met", "Breached"))</f>
        <v/>
      </c>
    </row>
    <row r="581">
      <c r="M581" s="11">
        <f>B581+30</f>
        <v/>
      </c>
      <c r="N581">
        <f>IF(L581="", "", L581-B581)</f>
        <v/>
      </c>
      <c r="O581">
        <f>IF(L581="", "Pending", IF(N581&lt;=30, "Met", "Breached"))</f>
        <v/>
      </c>
    </row>
    <row r="582">
      <c r="M582" s="11">
        <f>B582+30</f>
        <v/>
      </c>
      <c r="N582">
        <f>IF(L582="", "", L582-B582)</f>
        <v/>
      </c>
      <c r="O582">
        <f>IF(L582="", "Pending", IF(N582&lt;=30, "Met", "Breached"))</f>
        <v/>
      </c>
    </row>
    <row r="583">
      <c r="M583" s="11">
        <f>B583+30</f>
        <v/>
      </c>
      <c r="N583">
        <f>IF(L583="", "", L583-B583)</f>
        <v/>
      </c>
      <c r="O583">
        <f>IF(L583="", "Pending", IF(N583&lt;=30, "Met", "Breached"))</f>
        <v/>
      </c>
    </row>
    <row r="584">
      <c r="M584" s="11">
        <f>B584+30</f>
        <v/>
      </c>
      <c r="N584">
        <f>IF(L584="", "", L584-B584)</f>
        <v/>
      </c>
      <c r="O584">
        <f>IF(L584="", "Pending", IF(N584&lt;=30, "Met", "Breached"))</f>
        <v/>
      </c>
    </row>
    <row r="585">
      <c r="M585" s="11">
        <f>B585+30</f>
        <v/>
      </c>
      <c r="N585">
        <f>IF(L585="", "", L585-B585)</f>
        <v/>
      </c>
      <c r="O585">
        <f>IF(L585="", "Pending", IF(N585&lt;=30, "Met", "Breached"))</f>
        <v/>
      </c>
    </row>
    <row r="586">
      <c r="M586" s="11">
        <f>B586+30</f>
        <v/>
      </c>
      <c r="N586">
        <f>IF(L586="", "", L586-B586)</f>
        <v/>
      </c>
      <c r="O586">
        <f>IF(L586="", "Pending", IF(N586&lt;=30, "Met", "Breached"))</f>
        <v/>
      </c>
    </row>
    <row r="587">
      <c r="M587" s="11">
        <f>B587+30</f>
        <v/>
      </c>
      <c r="N587">
        <f>IF(L587="", "", L587-B587)</f>
        <v/>
      </c>
      <c r="O587">
        <f>IF(L587="", "Pending", IF(N587&lt;=30, "Met", "Breached"))</f>
        <v/>
      </c>
    </row>
    <row r="588">
      <c r="M588" s="11">
        <f>B588+30</f>
        <v/>
      </c>
      <c r="N588">
        <f>IF(L588="", "", L588-B588)</f>
        <v/>
      </c>
      <c r="O588">
        <f>IF(L588="", "Pending", IF(N588&lt;=30, "Met", "Breached"))</f>
        <v/>
      </c>
    </row>
    <row r="589">
      <c r="M589" s="11">
        <f>B589+30</f>
        <v/>
      </c>
      <c r="N589">
        <f>IF(L589="", "", L589-B589)</f>
        <v/>
      </c>
      <c r="O589">
        <f>IF(L589="", "Pending", IF(N589&lt;=30, "Met", "Breached"))</f>
        <v/>
      </c>
    </row>
    <row r="590">
      <c r="M590" s="11">
        <f>B590+30</f>
        <v/>
      </c>
      <c r="N590">
        <f>IF(L590="", "", L590-B590)</f>
        <v/>
      </c>
      <c r="O590">
        <f>IF(L590="", "Pending", IF(N590&lt;=30, "Met", "Breached"))</f>
        <v/>
      </c>
    </row>
    <row r="591">
      <c r="M591" s="11">
        <f>B591+30</f>
        <v/>
      </c>
      <c r="N591">
        <f>IF(L591="", "", L591-B591)</f>
        <v/>
      </c>
      <c r="O591">
        <f>IF(L591="", "Pending", IF(N591&lt;=30, "Met", "Breached"))</f>
        <v/>
      </c>
    </row>
    <row r="592">
      <c r="M592" s="11">
        <f>B592+30</f>
        <v/>
      </c>
      <c r="N592">
        <f>IF(L592="", "", L592-B592)</f>
        <v/>
      </c>
      <c r="O592">
        <f>IF(L592="", "Pending", IF(N592&lt;=30, "Met", "Breached"))</f>
        <v/>
      </c>
    </row>
    <row r="593">
      <c r="M593" s="11">
        <f>B593+30</f>
        <v/>
      </c>
      <c r="N593">
        <f>IF(L593="", "", L593-B593)</f>
        <v/>
      </c>
      <c r="O593">
        <f>IF(L593="", "Pending", IF(N593&lt;=30, "Met", "Breached"))</f>
        <v/>
      </c>
    </row>
    <row r="594">
      <c r="M594" s="11">
        <f>B594+30</f>
        <v/>
      </c>
      <c r="N594">
        <f>IF(L594="", "", L594-B594)</f>
        <v/>
      </c>
      <c r="O594">
        <f>IF(L594="", "Pending", IF(N594&lt;=30, "Met", "Breached"))</f>
        <v/>
      </c>
    </row>
    <row r="595">
      <c r="M595" s="11">
        <f>B595+30</f>
        <v/>
      </c>
      <c r="N595">
        <f>IF(L595="", "", L595-B595)</f>
        <v/>
      </c>
      <c r="O595">
        <f>IF(L595="", "Pending", IF(N595&lt;=30, "Met", "Breached"))</f>
        <v/>
      </c>
    </row>
    <row r="596">
      <c r="M596" s="11">
        <f>B596+30</f>
        <v/>
      </c>
      <c r="N596">
        <f>IF(L596="", "", L596-B596)</f>
        <v/>
      </c>
      <c r="O596">
        <f>IF(L596="", "Pending", IF(N596&lt;=30, "Met", "Breached"))</f>
        <v/>
      </c>
    </row>
    <row r="597">
      <c r="M597" s="11">
        <f>B597+30</f>
        <v/>
      </c>
      <c r="N597">
        <f>IF(L597="", "", L597-B597)</f>
        <v/>
      </c>
      <c r="O597">
        <f>IF(L597="", "Pending", IF(N597&lt;=30, "Met", "Breached"))</f>
        <v/>
      </c>
    </row>
    <row r="598">
      <c r="M598" s="11">
        <f>B598+30</f>
        <v/>
      </c>
      <c r="N598">
        <f>IF(L598="", "", L598-B598)</f>
        <v/>
      </c>
      <c r="O598">
        <f>IF(L598="", "Pending", IF(N598&lt;=30, "Met", "Breached"))</f>
        <v/>
      </c>
    </row>
    <row r="599">
      <c r="M599" s="11">
        <f>B599+30</f>
        <v/>
      </c>
      <c r="N599">
        <f>IF(L599="", "", L599-B599)</f>
        <v/>
      </c>
      <c r="O599">
        <f>IF(L599="", "Pending", IF(N599&lt;=30, "Met", "Breached"))</f>
        <v/>
      </c>
    </row>
    <row r="600">
      <c r="M600" s="11">
        <f>B600+30</f>
        <v/>
      </c>
      <c r="N600">
        <f>IF(L600="", "", L600-B600)</f>
        <v/>
      </c>
      <c r="O600">
        <f>IF(L600="", "Pending", IF(N600&lt;=30, "Met", "Breached"))</f>
        <v/>
      </c>
    </row>
    <row r="601">
      <c r="M601" s="11">
        <f>B601+30</f>
        <v/>
      </c>
      <c r="N601">
        <f>IF(L601="", "", L601-B601)</f>
        <v/>
      </c>
      <c r="O601">
        <f>IF(L601="", "Pending", IF(N601&lt;=30, "Met", "Breached"))</f>
        <v/>
      </c>
    </row>
    <row r="602">
      <c r="M602" s="11">
        <f>B602+30</f>
        <v/>
      </c>
      <c r="N602">
        <f>IF(L602="", "", L602-B602)</f>
        <v/>
      </c>
      <c r="O602">
        <f>IF(L602="", "Pending", IF(N602&lt;=30, "Met", "Breached"))</f>
        <v/>
      </c>
    </row>
    <row r="603">
      <c r="M603" s="11">
        <f>B603+30</f>
        <v/>
      </c>
      <c r="N603">
        <f>IF(L603="", "", L603-B603)</f>
        <v/>
      </c>
      <c r="O603">
        <f>IF(L603="", "Pending", IF(N603&lt;=30, "Met", "Breached"))</f>
        <v/>
      </c>
    </row>
    <row r="604">
      <c r="M604" s="11">
        <f>B604+30</f>
        <v/>
      </c>
      <c r="N604">
        <f>IF(L604="", "", L604-B604)</f>
        <v/>
      </c>
      <c r="O604">
        <f>IF(L604="", "Pending", IF(N604&lt;=30, "Met", "Breached"))</f>
        <v/>
      </c>
    </row>
    <row r="605">
      <c r="M605" s="11">
        <f>B605+30</f>
        <v/>
      </c>
      <c r="N605">
        <f>IF(L605="", "", L605-B605)</f>
        <v/>
      </c>
      <c r="O605">
        <f>IF(L605="", "Pending", IF(N605&lt;=30, "Met", "Breached"))</f>
        <v/>
      </c>
    </row>
    <row r="606">
      <c r="M606" s="11">
        <f>B606+30</f>
        <v/>
      </c>
      <c r="N606">
        <f>IF(L606="", "", L606-B606)</f>
        <v/>
      </c>
      <c r="O606">
        <f>IF(L606="", "Pending", IF(N606&lt;=30, "Met", "Breached"))</f>
        <v/>
      </c>
    </row>
    <row r="607">
      <c r="M607" s="11">
        <f>B607+30</f>
        <v/>
      </c>
      <c r="N607">
        <f>IF(L607="", "", L607-B607)</f>
        <v/>
      </c>
      <c r="O607">
        <f>IF(L607="", "Pending", IF(N607&lt;=30, "Met", "Breached"))</f>
        <v/>
      </c>
    </row>
    <row r="608">
      <c r="M608" s="11">
        <f>B608+30</f>
        <v/>
      </c>
      <c r="N608">
        <f>IF(L608="", "", L608-B608)</f>
        <v/>
      </c>
      <c r="O608">
        <f>IF(L608="", "Pending", IF(N608&lt;=30, "Met", "Breached"))</f>
        <v/>
      </c>
    </row>
    <row r="609">
      <c r="M609" s="11">
        <f>B609+30</f>
        <v/>
      </c>
      <c r="N609">
        <f>IF(L609="", "", L609-B609)</f>
        <v/>
      </c>
      <c r="O609">
        <f>IF(L609="", "Pending", IF(N609&lt;=30, "Met", "Breached"))</f>
        <v/>
      </c>
    </row>
    <row r="610">
      <c r="M610" s="11">
        <f>B610+30</f>
        <v/>
      </c>
      <c r="N610">
        <f>IF(L610="", "", L610-B610)</f>
        <v/>
      </c>
      <c r="O610">
        <f>IF(L610="", "Pending", IF(N610&lt;=30, "Met", "Breached"))</f>
        <v/>
      </c>
    </row>
    <row r="611">
      <c r="M611" s="11">
        <f>B611+30</f>
        <v/>
      </c>
      <c r="N611">
        <f>IF(L611="", "", L611-B611)</f>
        <v/>
      </c>
      <c r="O611">
        <f>IF(L611="", "Pending", IF(N611&lt;=30, "Met", "Breached"))</f>
        <v/>
      </c>
    </row>
    <row r="612">
      <c r="M612" s="11">
        <f>B612+30</f>
        <v/>
      </c>
      <c r="N612">
        <f>IF(L612="", "", L612-B612)</f>
        <v/>
      </c>
      <c r="O612">
        <f>IF(L612="", "Pending", IF(N612&lt;=30, "Met", "Breached"))</f>
        <v/>
      </c>
    </row>
    <row r="613">
      <c r="M613" s="11">
        <f>B613+30</f>
        <v/>
      </c>
      <c r="N613">
        <f>IF(L613="", "", L613-B613)</f>
        <v/>
      </c>
      <c r="O613">
        <f>IF(L613="", "Pending", IF(N613&lt;=30, "Met", "Breached"))</f>
        <v/>
      </c>
    </row>
    <row r="614">
      <c r="M614" s="11">
        <f>B614+30</f>
        <v/>
      </c>
      <c r="N614">
        <f>IF(L614="", "", L614-B614)</f>
        <v/>
      </c>
      <c r="O614">
        <f>IF(L614="", "Pending", IF(N614&lt;=30, "Met", "Breached"))</f>
        <v/>
      </c>
    </row>
    <row r="615">
      <c r="M615" s="11">
        <f>B615+30</f>
        <v/>
      </c>
      <c r="N615">
        <f>IF(L615="", "", L615-B615)</f>
        <v/>
      </c>
      <c r="O615">
        <f>IF(L615="", "Pending", IF(N615&lt;=30, "Met", "Breached"))</f>
        <v/>
      </c>
    </row>
    <row r="616">
      <c r="M616" s="11">
        <f>B616+30</f>
        <v/>
      </c>
      <c r="N616">
        <f>IF(L616="", "", L616-B616)</f>
        <v/>
      </c>
      <c r="O616">
        <f>IF(L616="", "Pending", IF(N616&lt;=30, "Met", "Breached"))</f>
        <v/>
      </c>
    </row>
    <row r="617">
      <c r="M617" s="11">
        <f>B617+30</f>
        <v/>
      </c>
      <c r="N617">
        <f>IF(L617="", "", L617-B617)</f>
        <v/>
      </c>
      <c r="O617">
        <f>IF(L617="", "Pending", IF(N617&lt;=30, "Met", "Breached"))</f>
        <v/>
      </c>
    </row>
    <row r="618">
      <c r="M618" s="11">
        <f>B618+30</f>
        <v/>
      </c>
      <c r="N618">
        <f>IF(L618="", "", L618-B618)</f>
        <v/>
      </c>
      <c r="O618">
        <f>IF(L618="", "Pending", IF(N618&lt;=30, "Met", "Breached"))</f>
        <v/>
      </c>
    </row>
    <row r="619">
      <c r="M619" s="11">
        <f>B619+30</f>
        <v/>
      </c>
      <c r="N619">
        <f>IF(L619="", "", L619-B619)</f>
        <v/>
      </c>
      <c r="O619">
        <f>IF(L619="", "Pending", IF(N619&lt;=30, "Met", "Breached"))</f>
        <v/>
      </c>
    </row>
    <row r="620">
      <c r="M620" s="11">
        <f>B620+30</f>
        <v/>
      </c>
      <c r="N620">
        <f>IF(L620="", "", L620-B620)</f>
        <v/>
      </c>
      <c r="O620">
        <f>IF(L620="", "Pending", IF(N620&lt;=30, "Met", "Breached"))</f>
        <v/>
      </c>
    </row>
    <row r="621">
      <c r="M621" s="11">
        <f>B621+30</f>
        <v/>
      </c>
      <c r="N621">
        <f>IF(L621="", "", L621-B621)</f>
        <v/>
      </c>
      <c r="O621">
        <f>IF(L621="", "Pending", IF(N621&lt;=30, "Met", "Breached"))</f>
        <v/>
      </c>
    </row>
    <row r="622">
      <c r="M622" s="11">
        <f>B622+30</f>
        <v/>
      </c>
      <c r="N622">
        <f>IF(L622="", "", L622-B622)</f>
        <v/>
      </c>
      <c r="O622">
        <f>IF(L622="", "Pending", IF(N622&lt;=30, "Met", "Breached"))</f>
        <v/>
      </c>
    </row>
    <row r="623">
      <c r="M623" s="11">
        <f>B623+30</f>
        <v/>
      </c>
      <c r="N623">
        <f>IF(L623="", "", L623-B623)</f>
        <v/>
      </c>
      <c r="O623">
        <f>IF(L623="", "Pending", IF(N623&lt;=30, "Met", "Breached"))</f>
        <v/>
      </c>
    </row>
    <row r="624">
      <c r="M624" s="11">
        <f>B624+30</f>
        <v/>
      </c>
      <c r="N624">
        <f>IF(L624="", "", L624-B624)</f>
        <v/>
      </c>
      <c r="O624">
        <f>IF(L624="", "Pending", IF(N624&lt;=30, "Met", "Breached"))</f>
        <v/>
      </c>
    </row>
    <row r="625">
      <c r="M625" s="11">
        <f>B625+30</f>
        <v/>
      </c>
      <c r="N625">
        <f>IF(L625="", "", L625-B625)</f>
        <v/>
      </c>
      <c r="O625">
        <f>IF(L625="", "Pending", IF(N625&lt;=30, "Met", "Breached"))</f>
        <v/>
      </c>
    </row>
    <row r="626">
      <c r="M626" s="11">
        <f>B626+30</f>
        <v/>
      </c>
      <c r="N626">
        <f>IF(L626="", "", L626-B626)</f>
        <v/>
      </c>
      <c r="O626">
        <f>IF(L626="", "Pending", IF(N626&lt;=30, "Met", "Breached"))</f>
        <v/>
      </c>
    </row>
    <row r="627">
      <c r="M627" s="11">
        <f>B627+30</f>
        <v/>
      </c>
      <c r="N627">
        <f>IF(L627="", "", L627-B627)</f>
        <v/>
      </c>
      <c r="O627">
        <f>IF(L627="", "Pending", IF(N627&lt;=30, "Met", "Breached"))</f>
        <v/>
      </c>
    </row>
    <row r="628">
      <c r="M628" s="11">
        <f>B628+30</f>
        <v/>
      </c>
      <c r="N628">
        <f>IF(L628="", "", L628-B628)</f>
        <v/>
      </c>
      <c r="O628">
        <f>IF(L628="", "Pending", IF(N628&lt;=30, "Met", "Breached"))</f>
        <v/>
      </c>
    </row>
    <row r="629">
      <c r="M629" s="11">
        <f>B629+30</f>
        <v/>
      </c>
      <c r="N629">
        <f>IF(L629="", "", L629-B629)</f>
        <v/>
      </c>
      <c r="O629">
        <f>IF(L629="", "Pending", IF(N629&lt;=30, "Met", "Breached"))</f>
        <v/>
      </c>
    </row>
    <row r="630">
      <c r="M630" s="11">
        <f>B630+30</f>
        <v/>
      </c>
      <c r="N630">
        <f>IF(L630="", "", L630-B630)</f>
        <v/>
      </c>
      <c r="O630">
        <f>IF(L630="", "Pending", IF(N630&lt;=30, "Met", "Breached"))</f>
        <v/>
      </c>
    </row>
    <row r="631">
      <c r="M631" s="11">
        <f>B631+30</f>
        <v/>
      </c>
      <c r="N631">
        <f>IF(L631="", "", L631-B631)</f>
        <v/>
      </c>
      <c r="O631">
        <f>IF(L631="", "Pending", IF(N631&lt;=30, "Met", "Breached"))</f>
        <v/>
      </c>
    </row>
    <row r="632">
      <c r="M632" s="11">
        <f>B632+30</f>
        <v/>
      </c>
      <c r="N632">
        <f>IF(L632="", "", L632-B632)</f>
        <v/>
      </c>
      <c r="O632">
        <f>IF(L632="", "Pending", IF(N632&lt;=30, "Met", "Breached"))</f>
        <v/>
      </c>
    </row>
    <row r="633">
      <c r="M633" s="11">
        <f>B633+30</f>
        <v/>
      </c>
      <c r="N633">
        <f>IF(L633="", "", L633-B633)</f>
        <v/>
      </c>
      <c r="O633">
        <f>IF(L633="", "Pending", IF(N633&lt;=30, "Met", "Breached"))</f>
        <v/>
      </c>
    </row>
    <row r="634">
      <c r="M634" s="11">
        <f>B634+30</f>
        <v/>
      </c>
      <c r="N634">
        <f>IF(L634="", "", L634-B634)</f>
        <v/>
      </c>
      <c r="O634">
        <f>IF(L634="", "Pending", IF(N634&lt;=30, "Met", "Breached"))</f>
        <v/>
      </c>
    </row>
    <row r="635">
      <c r="M635" s="11">
        <f>B635+30</f>
        <v/>
      </c>
      <c r="N635">
        <f>IF(L635="", "", L635-B635)</f>
        <v/>
      </c>
      <c r="O635">
        <f>IF(L635="", "Pending", IF(N635&lt;=30, "Met", "Breached"))</f>
        <v/>
      </c>
    </row>
    <row r="636">
      <c r="M636" s="11">
        <f>B636+30</f>
        <v/>
      </c>
      <c r="N636">
        <f>IF(L636="", "", L636-B636)</f>
        <v/>
      </c>
      <c r="O636">
        <f>IF(L636="", "Pending", IF(N636&lt;=30, "Met", "Breached"))</f>
        <v/>
      </c>
    </row>
    <row r="637">
      <c r="M637" s="11">
        <f>B637+30</f>
        <v/>
      </c>
      <c r="N637">
        <f>IF(L637="", "", L637-B637)</f>
        <v/>
      </c>
      <c r="O637">
        <f>IF(L637="", "Pending", IF(N637&lt;=30, "Met", "Breached"))</f>
        <v/>
      </c>
    </row>
    <row r="638">
      <c r="M638" s="11">
        <f>B638+30</f>
        <v/>
      </c>
      <c r="N638">
        <f>IF(L638="", "", L638-B638)</f>
        <v/>
      </c>
      <c r="O638">
        <f>IF(L638="", "Pending", IF(N638&lt;=30, "Met", "Breached"))</f>
        <v/>
      </c>
    </row>
    <row r="639">
      <c r="M639" s="11">
        <f>B639+30</f>
        <v/>
      </c>
      <c r="N639">
        <f>IF(L639="", "", L639-B639)</f>
        <v/>
      </c>
      <c r="O639">
        <f>IF(L639="", "Pending", IF(N639&lt;=30, "Met", "Breached"))</f>
        <v/>
      </c>
    </row>
    <row r="640">
      <c r="M640" s="11">
        <f>B640+30</f>
        <v/>
      </c>
      <c r="N640">
        <f>IF(L640="", "", L640-B640)</f>
        <v/>
      </c>
      <c r="O640">
        <f>IF(L640="", "Pending", IF(N640&lt;=30, "Met", "Breached"))</f>
        <v/>
      </c>
    </row>
    <row r="641">
      <c r="M641" s="11">
        <f>B641+30</f>
        <v/>
      </c>
      <c r="N641">
        <f>IF(L641="", "", L641-B641)</f>
        <v/>
      </c>
      <c r="O641">
        <f>IF(L641="", "Pending", IF(N641&lt;=30, "Met", "Breached"))</f>
        <v/>
      </c>
    </row>
    <row r="642">
      <c r="M642" s="11">
        <f>B642+30</f>
        <v/>
      </c>
      <c r="N642">
        <f>IF(L642="", "", L642-B642)</f>
        <v/>
      </c>
      <c r="O642">
        <f>IF(L642="", "Pending", IF(N642&lt;=30, "Met", "Breached"))</f>
        <v/>
      </c>
    </row>
    <row r="643">
      <c r="M643" s="11">
        <f>B643+30</f>
        <v/>
      </c>
      <c r="N643">
        <f>IF(L643="", "", L643-B643)</f>
        <v/>
      </c>
      <c r="O643">
        <f>IF(L643="", "Pending", IF(N643&lt;=30, "Met", "Breached"))</f>
        <v/>
      </c>
    </row>
    <row r="644">
      <c r="M644" s="11">
        <f>B644+30</f>
        <v/>
      </c>
      <c r="N644">
        <f>IF(L644="", "", L644-B644)</f>
        <v/>
      </c>
      <c r="O644">
        <f>IF(L644="", "Pending", IF(N644&lt;=30, "Met", "Breached"))</f>
        <v/>
      </c>
    </row>
    <row r="645">
      <c r="M645" s="11">
        <f>B645+30</f>
        <v/>
      </c>
      <c r="N645">
        <f>IF(L645="", "", L645-B645)</f>
        <v/>
      </c>
      <c r="O645">
        <f>IF(L645="", "Pending", IF(N645&lt;=30, "Met", "Breached"))</f>
        <v/>
      </c>
    </row>
    <row r="646">
      <c r="M646" s="11">
        <f>B646+30</f>
        <v/>
      </c>
      <c r="N646">
        <f>IF(L646="", "", L646-B646)</f>
        <v/>
      </c>
      <c r="O646">
        <f>IF(L646="", "Pending", IF(N646&lt;=30, "Met", "Breached"))</f>
        <v/>
      </c>
    </row>
    <row r="647">
      <c r="M647" s="11">
        <f>B647+30</f>
        <v/>
      </c>
      <c r="N647">
        <f>IF(L647="", "", L647-B647)</f>
        <v/>
      </c>
      <c r="O647">
        <f>IF(L647="", "Pending", IF(N647&lt;=30, "Met", "Breached"))</f>
        <v/>
      </c>
    </row>
    <row r="648">
      <c r="M648" s="11">
        <f>B648+30</f>
        <v/>
      </c>
      <c r="N648">
        <f>IF(L648="", "", L648-B648)</f>
        <v/>
      </c>
      <c r="O648">
        <f>IF(L648="", "Pending", IF(N648&lt;=30, "Met", "Breached"))</f>
        <v/>
      </c>
    </row>
    <row r="649">
      <c r="M649" s="11">
        <f>B649+30</f>
        <v/>
      </c>
      <c r="N649">
        <f>IF(L649="", "", L649-B649)</f>
        <v/>
      </c>
      <c r="O649">
        <f>IF(L649="", "Pending", IF(N649&lt;=30, "Met", "Breached"))</f>
        <v/>
      </c>
    </row>
    <row r="650">
      <c r="M650" s="11">
        <f>B650+30</f>
        <v/>
      </c>
      <c r="N650">
        <f>IF(L650="", "", L650-B650)</f>
        <v/>
      </c>
      <c r="O650">
        <f>IF(L650="", "Pending", IF(N650&lt;=30, "Met", "Breached"))</f>
        <v/>
      </c>
    </row>
    <row r="651">
      <c r="M651" s="11">
        <f>B651+30</f>
        <v/>
      </c>
      <c r="N651">
        <f>IF(L651="", "", L651-B651)</f>
        <v/>
      </c>
      <c r="O651">
        <f>IF(L651="", "Pending", IF(N651&lt;=30, "Met", "Breached"))</f>
        <v/>
      </c>
    </row>
    <row r="652">
      <c r="M652" s="11">
        <f>B652+30</f>
        <v/>
      </c>
      <c r="N652">
        <f>IF(L652="", "", L652-B652)</f>
        <v/>
      </c>
      <c r="O652">
        <f>IF(L652="", "Pending", IF(N652&lt;=30, "Met", "Breached"))</f>
        <v/>
      </c>
    </row>
    <row r="653">
      <c r="M653" s="11">
        <f>B653+30</f>
        <v/>
      </c>
      <c r="N653">
        <f>IF(L653="", "", L653-B653)</f>
        <v/>
      </c>
      <c r="O653">
        <f>IF(L653="", "Pending", IF(N653&lt;=30, "Met", "Breached"))</f>
        <v/>
      </c>
    </row>
    <row r="654">
      <c r="M654" s="11">
        <f>B654+30</f>
        <v/>
      </c>
      <c r="N654">
        <f>IF(L654="", "", L654-B654)</f>
        <v/>
      </c>
      <c r="O654">
        <f>IF(L654="", "Pending", IF(N654&lt;=30, "Met", "Breached"))</f>
        <v/>
      </c>
    </row>
    <row r="655">
      <c r="M655" s="11">
        <f>B655+30</f>
        <v/>
      </c>
      <c r="N655">
        <f>IF(L655="", "", L655-B655)</f>
        <v/>
      </c>
      <c r="O655">
        <f>IF(L655="", "Pending", IF(N655&lt;=30, "Met", "Breached"))</f>
        <v/>
      </c>
    </row>
    <row r="656">
      <c r="M656" s="11">
        <f>B656+30</f>
        <v/>
      </c>
      <c r="N656">
        <f>IF(L656="", "", L656-B656)</f>
        <v/>
      </c>
      <c r="O656">
        <f>IF(L656="", "Pending", IF(N656&lt;=30, "Met", "Breached"))</f>
        <v/>
      </c>
    </row>
    <row r="657">
      <c r="M657" s="11">
        <f>B657+30</f>
        <v/>
      </c>
      <c r="N657">
        <f>IF(L657="", "", L657-B657)</f>
        <v/>
      </c>
      <c r="O657">
        <f>IF(L657="", "Pending", IF(N657&lt;=30, "Met", "Breached"))</f>
        <v/>
      </c>
    </row>
    <row r="658">
      <c r="M658" s="11">
        <f>B658+30</f>
        <v/>
      </c>
      <c r="N658">
        <f>IF(L658="", "", L658-B658)</f>
        <v/>
      </c>
      <c r="O658">
        <f>IF(L658="", "Pending", IF(N658&lt;=30, "Met", "Breached"))</f>
        <v/>
      </c>
    </row>
    <row r="659">
      <c r="M659" s="11">
        <f>B659+30</f>
        <v/>
      </c>
      <c r="N659">
        <f>IF(L659="", "", L659-B659)</f>
        <v/>
      </c>
      <c r="O659">
        <f>IF(L659="", "Pending", IF(N659&lt;=30, "Met", "Breached"))</f>
        <v/>
      </c>
    </row>
    <row r="660">
      <c r="M660" s="11">
        <f>B660+30</f>
        <v/>
      </c>
      <c r="N660">
        <f>IF(L660="", "", L660-B660)</f>
        <v/>
      </c>
      <c r="O660">
        <f>IF(L660="", "Pending", IF(N660&lt;=30, "Met", "Breached"))</f>
        <v/>
      </c>
    </row>
    <row r="661">
      <c r="M661" s="11">
        <f>B661+30</f>
        <v/>
      </c>
      <c r="N661">
        <f>IF(L661="", "", L661-B661)</f>
        <v/>
      </c>
      <c r="O661">
        <f>IF(L661="", "Pending", IF(N661&lt;=30, "Met", "Breached"))</f>
        <v/>
      </c>
    </row>
    <row r="662">
      <c r="M662" s="11">
        <f>B662+30</f>
        <v/>
      </c>
      <c r="N662">
        <f>IF(L662="", "", L662-B662)</f>
        <v/>
      </c>
      <c r="O662">
        <f>IF(L662="", "Pending", IF(N662&lt;=30, "Met", "Breached"))</f>
        <v/>
      </c>
    </row>
    <row r="663">
      <c r="M663" s="11">
        <f>B663+30</f>
        <v/>
      </c>
      <c r="N663">
        <f>IF(L663="", "", L663-B663)</f>
        <v/>
      </c>
      <c r="O663">
        <f>IF(L663="", "Pending", IF(N663&lt;=30, "Met", "Breached"))</f>
        <v/>
      </c>
    </row>
    <row r="664">
      <c r="M664" s="11">
        <f>B664+30</f>
        <v/>
      </c>
      <c r="N664">
        <f>IF(L664="", "", L664-B664)</f>
        <v/>
      </c>
      <c r="O664">
        <f>IF(L664="", "Pending", IF(N664&lt;=30, "Met", "Breached"))</f>
        <v/>
      </c>
    </row>
    <row r="665">
      <c r="M665" s="11">
        <f>B665+30</f>
        <v/>
      </c>
      <c r="N665">
        <f>IF(L665="", "", L665-B665)</f>
        <v/>
      </c>
      <c r="O665">
        <f>IF(L665="", "Pending", IF(N665&lt;=30, "Met", "Breached"))</f>
        <v/>
      </c>
    </row>
    <row r="666">
      <c r="M666" s="11">
        <f>B666+30</f>
        <v/>
      </c>
      <c r="N666">
        <f>IF(L666="", "", L666-B666)</f>
        <v/>
      </c>
      <c r="O666">
        <f>IF(L666="", "Pending", IF(N666&lt;=30, "Met", "Breached"))</f>
        <v/>
      </c>
    </row>
    <row r="667">
      <c r="M667" s="11">
        <f>B667+30</f>
        <v/>
      </c>
      <c r="N667">
        <f>IF(L667="", "", L667-B667)</f>
        <v/>
      </c>
      <c r="O667">
        <f>IF(L667="", "Pending", IF(N667&lt;=30, "Met", "Breached"))</f>
        <v/>
      </c>
    </row>
    <row r="668">
      <c r="M668" s="11">
        <f>B668+30</f>
        <v/>
      </c>
      <c r="N668">
        <f>IF(L668="", "", L668-B668)</f>
        <v/>
      </c>
      <c r="O668">
        <f>IF(L668="", "Pending", IF(N668&lt;=30, "Met", "Breached"))</f>
        <v/>
      </c>
    </row>
    <row r="669">
      <c r="M669" s="11">
        <f>B669+30</f>
        <v/>
      </c>
      <c r="N669">
        <f>IF(L669="", "", L669-B669)</f>
        <v/>
      </c>
      <c r="O669">
        <f>IF(L669="", "Pending", IF(N669&lt;=30, "Met", "Breached"))</f>
        <v/>
      </c>
    </row>
    <row r="670">
      <c r="M670" s="11">
        <f>B670+30</f>
        <v/>
      </c>
      <c r="N670">
        <f>IF(L670="", "", L670-B670)</f>
        <v/>
      </c>
      <c r="O670">
        <f>IF(L670="", "Pending", IF(N670&lt;=30, "Met", "Breached"))</f>
        <v/>
      </c>
    </row>
    <row r="671">
      <c r="M671" s="11">
        <f>B671+30</f>
        <v/>
      </c>
      <c r="N671">
        <f>IF(L671="", "", L671-B671)</f>
        <v/>
      </c>
      <c r="O671">
        <f>IF(L671="", "Pending", IF(N671&lt;=30, "Met", "Breached"))</f>
        <v/>
      </c>
    </row>
    <row r="672">
      <c r="M672" s="11">
        <f>B672+30</f>
        <v/>
      </c>
      <c r="N672">
        <f>IF(L672="", "", L672-B672)</f>
        <v/>
      </c>
      <c r="O672">
        <f>IF(L672="", "Pending", IF(N672&lt;=30, "Met", "Breached"))</f>
        <v/>
      </c>
    </row>
    <row r="673">
      <c r="M673" s="11">
        <f>B673+30</f>
        <v/>
      </c>
      <c r="N673">
        <f>IF(L673="", "", L673-B673)</f>
        <v/>
      </c>
      <c r="O673">
        <f>IF(L673="", "Pending", IF(N673&lt;=30, "Met", "Breached"))</f>
        <v/>
      </c>
    </row>
    <row r="674">
      <c r="M674" s="11">
        <f>B674+30</f>
        <v/>
      </c>
      <c r="N674">
        <f>IF(L674="", "", L674-B674)</f>
        <v/>
      </c>
      <c r="O674">
        <f>IF(L674="", "Pending", IF(N674&lt;=30, "Met", "Breached"))</f>
        <v/>
      </c>
    </row>
    <row r="675">
      <c r="M675" s="11">
        <f>B675+30</f>
        <v/>
      </c>
      <c r="N675">
        <f>IF(L675="", "", L675-B675)</f>
        <v/>
      </c>
      <c r="O675">
        <f>IF(L675="", "Pending", IF(N675&lt;=30, "Met", "Breached"))</f>
        <v/>
      </c>
    </row>
    <row r="676">
      <c r="M676" s="11">
        <f>B676+30</f>
        <v/>
      </c>
      <c r="N676">
        <f>IF(L676="", "", L676-B676)</f>
        <v/>
      </c>
      <c r="O676">
        <f>IF(L676="", "Pending", IF(N676&lt;=30, "Met", "Breached"))</f>
        <v/>
      </c>
    </row>
    <row r="677">
      <c r="M677" s="11">
        <f>B677+30</f>
        <v/>
      </c>
      <c r="N677">
        <f>IF(L677="", "", L677-B677)</f>
        <v/>
      </c>
      <c r="O677">
        <f>IF(L677="", "Pending", IF(N677&lt;=30, "Met", "Breached"))</f>
        <v/>
      </c>
    </row>
    <row r="678">
      <c r="M678" s="11">
        <f>B678+30</f>
        <v/>
      </c>
      <c r="N678">
        <f>IF(L678="", "", L678-B678)</f>
        <v/>
      </c>
      <c r="O678">
        <f>IF(L678="", "Pending", IF(N678&lt;=30, "Met", "Breached"))</f>
        <v/>
      </c>
    </row>
    <row r="679">
      <c r="M679" s="11">
        <f>B679+30</f>
        <v/>
      </c>
      <c r="N679">
        <f>IF(L679="", "", L679-B679)</f>
        <v/>
      </c>
      <c r="O679">
        <f>IF(L679="", "Pending", IF(N679&lt;=30, "Met", "Breached"))</f>
        <v/>
      </c>
    </row>
    <row r="680">
      <c r="M680" s="11">
        <f>B680+30</f>
        <v/>
      </c>
      <c r="N680">
        <f>IF(L680="", "", L680-B680)</f>
        <v/>
      </c>
      <c r="O680">
        <f>IF(L680="", "Pending", IF(N680&lt;=30, "Met", "Breached"))</f>
        <v/>
      </c>
    </row>
    <row r="681">
      <c r="M681" s="11">
        <f>B681+30</f>
        <v/>
      </c>
      <c r="N681">
        <f>IF(L681="", "", L681-B681)</f>
        <v/>
      </c>
      <c r="O681">
        <f>IF(L681="", "Pending", IF(N681&lt;=30, "Met", "Breached"))</f>
        <v/>
      </c>
    </row>
    <row r="682">
      <c r="M682" s="11">
        <f>B682+30</f>
        <v/>
      </c>
      <c r="N682">
        <f>IF(L682="", "", L682-B682)</f>
        <v/>
      </c>
      <c r="O682">
        <f>IF(L682="", "Pending", IF(N682&lt;=30, "Met", "Breached"))</f>
        <v/>
      </c>
    </row>
    <row r="683">
      <c r="M683" s="11">
        <f>B683+30</f>
        <v/>
      </c>
      <c r="N683">
        <f>IF(L683="", "", L683-B683)</f>
        <v/>
      </c>
      <c r="O683">
        <f>IF(L683="", "Pending", IF(N683&lt;=30, "Met", "Breached"))</f>
        <v/>
      </c>
    </row>
    <row r="684">
      <c r="M684" s="11">
        <f>B684+30</f>
        <v/>
      </c>
      <c r="N684">
        <f>IF(L684="", "", L684-B684)</f>
        <v/>
      </c>
      <c r="O684">
        <f>IF(L684="", "Pending", IF(N684&lt;=30, "Met", "Breached"))</f>
        <v/>
      </c>
    </row>
    <row r="685">
      <c r="M685" s="11">
        <f>B685+30</f>
        <v/>
      </c>
      <c r="N685">
        <f>IF(L685="", "", L685-B685)</f>
        <v/>
      </c>
      <c r="O685">
        <f>IF(L685="", "Pending", IF(N685&lt;=30, "Met", "Breached"))</f>
        <v/>
      </c>
    </row>
    <row r="686">
      <c r="M686" s="11">
        <f>B686+30</f>
        <v/>
      </c>
      <c r="N686">
        <f>IF(L686="", "", L686-B686)</f>
        <v/>
      </c>
      <c r="O686">
        <f>IF(L686="", "Pending", IF(N686&lt;=30, "Met", "Breached"))</f>
        <v/>
      </c>
    </row>
    <row r="687">
      <c r="M687" s="11">
        <f>B687+30</f>
        <v/>
      </c>
      <c r="N687">
        <f>IF(L687="", "", L687-B687)</f>
        <v/>
      </c>
      <c r="O687">
        <f>IF(L687="", "Pending", IF(N687&lt;=30, "Met", "Breached"))</f>
        <v/>
      </c>
    </row>
    <row r="688">
      <c r="M688" s="11">
        <f>B688+30</f>
        <v/>
      </c>
      <c r="N688">
        <f>IF(L688="", "", L688-B688)</f>
        <v/>
      </c>
      <c r="O688">
        <f>IF(L688="", "Pending", IF(N688&lt;=30, "Met", "Breached"))</f>
        <v/>
      </c>
    </row>
    <row r="689">
      <c r="M689" s="11">
        <f>B689+30</f>
        <v/>
      </c>
      <c r="N689">
        <f>IF(L689="", "", L689-B689)</f>
        <v/>
      </c>
      <c r="O689">
        <f>IF(L689="", "Pending", IF(N689&lt;=30, "Met", "Breached"))</f>
        <v/>
      </c>
    </row>
    <row r="690">
      <c r="M690" s="11">
        <f>B690+30</f>
        <v/>
      </c>
      <c r="N690">
        <f>IF(L690="", "", L690-B690)</f>
        <v/>
      </c>
      <c r="O690">
        <f>IF(L690="", "Pending", IF(N690&lt;=30, "Met", "Breached"))</f>
        <v/>
      </c>
    </row>
    <row r="691">
      <c r="M691" s="11">
        <f>B691+30</f>
        <v/>
      </c>
      <c r="N691">
        <f>IF(L691="", "", L691-B691)</f>
        <v/>
      </c>
      <c r="O691">
        <f>IF(L691="", "Pending", IF(N691&lt;=30, "Met", "Breached"))</f>
        <v/>
      </c>
    </row>
    <row r="692">
      <c r="M692" s="11">
        <f>B692+30</f>
        <v/>
      </c>
      <c r="N692">
        <f>IF(L692="", "", L692-B692)</f>
        <v/>
      </c>
      <c r="O692">
        <f>IF(L692="", "Pending", IF(N692&lt;=30, "Met", "Breached"))</f>
        <v/>
      </c>
    </row>
    <row r="693">
      <c r="M693" s="11">
        <f>B693+30</f>
        <v/>
      </c>
      <c r="N693">
        <f>IF(L693="", "", L693-B693)</f>
        <v/>
      </c>
      <c r="O693">
        <f>IF(L693="", "Pending", IF(N693&lt;=30, "Met", "Breached"))</f>
        <v/>
      </c>
    </row>
    <row r="694">
      <c r="M694" s="11">
        <f>B694+30</f>
        <v/>
      </c>
      <c r="N694">
        <f>IF(L694="", "", L694-B694)</f>
        <v/>
      </c>
      <c r="O694">
        <f>IF(L694="", "Pending", IF(N694&lt;=30, "Met", "Breached"))</f>
        <v/>
      </c>
    </row>
    <row r="695">
      <c r="M695" s="11">
        <f>B695+30</f>
        <v/>
      </c>
      <c r="N695">
        <f>IF(L695="", "", L695-B695)</f>
        <v/>
      </c>
      <c r="O695">
        <f>IF(L695="", "Pending", IF(N695&lt;=30, "Met", "Breached"))</f>
        <v/>
      </c>
    </row>
    <row r="696">
      <c r="M696" s="11">
        <f>B696+30</f>
        <v/>
      </c>
      <c r="N696">
        <f>IF(L696="", "", L696-B696)</f>
        <v/>
      </c>
      <c r="O696">
        <f>IF(L696="", "Pending", IF(N696&lt;=30, "Met", "Breached"))</f>
        <v/>
      </c>
    </row>
    <row r="697">
      <c r="M697" s="11">
        <f>B697+30</f>
        <v/>
      </c>
      <c r="N697">
        <f>IF(L697="", "", L697-B697)</f>
        <v/>
      </c>
      <c r="O697">
        <f>IF(L697="", "Pending", IF(N697&lt;=30, "Met", "Breached"))</f>
        <v/>
      </c>
    </row>
    <row r="698">
      <c r="M698" s="11">
        <f>B698+30</f>
        <v/>
      </c>
      <c r="N698">
        <f>IF(L698="", "", L698-B698)</f>
        <v/>
      </c>
      <c r="O698">
        <f>IF(L698="", "Pending", IF(N698&lt;=30, "Met", "Breached"))</f>
        <v/>
      </c>
    </row>
    <row r="699">
      <c r="M699" s="11">
        <f>B699+30</f>
        <v/>
      </c>
      <c r="N699">
        <f>IF(L699="", "", L699-B699)</f>
        <v/>
      </c>
      <c r="O699">
        <f>IF(L699="", "Pending", IF(N699&lt;=30, "Met", "Breached"))</f>
        <v/>
      </c>
    </row>
    <row r="700">
      <c r="M700" s="11">
        <f>B700+30</f>
        <v/>
      </c>
      <c r="N700">
        <f>IF(L700="", "", L700-B700)</f>
        <v/>
      </c>
      <c r="O700">
        <f>IF(L700="", "Pending", IF(N700&lt;=30, "Met", "Breached"))</f>
        <v/>
      </c>
    </row>
    <row r="701">
      <c r="M701" s="11">
        <f>B701+30</f>
        <v/>
      </c>
      <c r="N701">
        <f>IF(L701="", "", L701-B701)</f>
        <v/>
      </c>
      <c r="O701">
        <f>IF(L701="", "Pending", IF(N701&lt;=30, "Met", "Breached"))</f>
        <v/>
      </c>
    </row>
    <row r="702">
      <c r="M702" s="11">
        <f>B702+30</f>
        <v/>
      </c>
      <c r="N702">
        <f>IF(L702="", "", L702-B702)</f>
        <v/>
      </c>
      <c r="O702">
        <f>IF(L702="", "Pending", IF(N702&lt;=30, "Met", "Breached"))</f>
        <v/>
      </c>
    </row>
    <row r="703">
      <c r="M703" s="11">
        <f>B703+30</f>
        <v/>
      </c>
      <c r="N703">
        <f>IF(L703="", "", L703-B703)</f>
        <v/>
      </c>
      <c r="O703">
        <f>IF(L703="", "Pending", IF(N703&lt;=30, "Met", "Breached"))</f>
        <v/>
      </c>
    </row>
    <row r="704">
      <c r="M704" s="11">
        <f>B704+30</f>
        <v/>
      </c>
      <c r="N704">
        <f>IF(L704="", "", L704-B704)</f>
        <v/>
      </c>
      <c r="O704">
        <f>IF(L704="", "Pending", IF(N704&lt;=30, "Met", "Breached"))</f>
        <v/>
      </c>
    </row>
    <row r="705">
      <c r="M705" s="11">
        <f>B705+30</f>
        <v/>
      </c>
      <c r="N705">
        <f>IF(L705="", "", L705-B705)</f>
        <v/>
      </c>
      <c r="O705">
        <f>IF(L705="", "Pending", IF(N705&lt;=30, "Met", "Breached"))</f>
        <v/>
      </c>
    </row>
    <row r="706">
      <c r="M706" s="11">
        <f>B706+30</f>
        <v/>
      </c>
      <c r="N706">
        <f>IF(L706="", "", L706-B706)</f>
        <v/>
      </c>
      <c r="O706">
        <f>IF(L706="", "Pending", IF(N706&lt;=30, "Met", "Breached"))</f>
        <v/>
      </c>
    </row>
    <row r="707">
      <c r="M707" s="11">
        <f>B707+30</f>
        <v/>
      </c>
      <c r="N707">
        <f>IF(L707="", "", L707-B707)</f>
        <v/>
      </c>
      <c r="O707">
        <f>IF(L707="", "Pending", IF(N707&lt;=30, "Met", "Breached"))</f>
        <v/>
      </c>
    </row>
    <row r="708">
      <c r="M708" s="11">
        <f>B708+30</f>
        <v/>
      </c>
      <c r="N708">
        <f>IF(L708="", "", L708-B708)</f>
        <v/>
      </c>
      <c r="O708">
        <f>IF(L708="", "Pending", IF(N708&lt;=30, "Met", "Breached"))</f>
        <v/>
      </c>
    </row>
    <row r="709">
      <c r="M709" s="11">
        <f>B709+30</f>
        <v/>
      </c>
      <c r="N709">
        <f>IF(L709="", "", L709-B709)</f>
        <v/>
      </c>
      <c r="O709">
        <f>IF(L709="", "Pending", IF(N709&lt;=30, "Met", "Breached"))</f>
        <v/>
      </c>
    </row>
    <row r="710">
      <c r="M710" s="11">
        <f>B710+30</f>
        <v/>
      </c>
      <c r="N710">
        <f>IF(L710="", "", L710-B710)</f>
        <v/>
      </c>
      <c r="O710">
        <f>IF(L710="", "Pending", IF(N710&lt;=30, "Met", "Breached"))</f>
        <v/>
      </c>
    </row>
    <row r="711">
      <c r="M711" s="11">
        <f>B711+30</f>
        <v/>
      </c>
      <c r="N711">
        <f>IF(L711="", "", L711-B711)</f>
        <v/>
      </c>
      <c r="O711">
        <f>IF(L711="", "Pending", IF(N711&lt;=30, "Met", "Breached"))</f>
        <v/>
      </c>
    </row>
    <row r="712">
      <c r="M712" s="11">
        <f>B712+30</f>
        <v/>
      </c>
      <c r="N712">
        <f>IF(L712="", "", L712-B712)</f>
        <v/>
      </c>
      <c r="O712">
        <f>IF(L712="", "Pending", IF(N712&lt;=30, "Met", "Breached"))</f>
        <v/>
      </c>
    </row>
    <row r="713">
      <c r="M713" s="11">
        <f>B713+30</f>
        <v/>
      </c>
      <c r="N713">
        <f>IF(L713="", "", L713-B713)</f>
        <v/>
      </c>
      <c r="O713">
        <f>IF(L713="", "Pending", IF(N713&lt;=30, "Met", "Breached"))</f>
        <v/>
      </c>
    </row>
    <row r="714">
      <c r="M714" s="11">
        <f>B714+30</f>
        <v/>
      </c>
      <c r="N714">
        <f>IF(L714="", "", L714-B714)</f>
        <v/>
      </c>
      <c r="O714">
        <f>IF(L714="", "Pending", IF(N714&lt;=30, "Met", "Breached"))</f>
        <v/>
      </c>
    </row>
    <row r="715">
      <c r="M715" s="11">
        <f>B715+30</f>
        <v/>
      </c>
      <c r="N715">
        <f>IF(L715="", "", L715-B715)</f>
        <v/>
      </c>
      <c r="O715">
        <f>IF(L715="", "Pending", IF(N715&lt;=30, "Met", "Breached"))</f>
        <v/>
      </c>
    </row>
    <row r="716">
      <c r="M716" s="11">
        <f>B716+30</f>
        <v/>
      </c>
      <c r="N716">
        <f>IF(L716="", "", L716-B716)</f>
        <v/>
      </c>
      <c r="O716">
        <f>IF(L716="", "Pending", IF(N716&lt;=30, "Met", "Breached"))</f>
        <v/>
      </c>
    </row>
    <row r="717">
      <c r="M717" s="11">
        <f>B717+30</f>
        <v/>
      </c>
      <c r="N717">
        <f>IF(L717="", "", L717-B717)</f>
        <v/>
      </c>
      <c r="O717">
        <f>IF(L717="", "Pending", IF(N717&lt;=30, "Met", "Breached"))</f>
        <v/>
      </c>
    </row>
    <row r="718">
      <c r="M718" s="11">
        <f>B718+30</f>
        <v/>
      </c>
      <c r="N718">
        <f>IF(L718="", "", L718-B718)</f>
        <v/>
      </c>
      <c r="O718">
        <f>IF(L718="", "Pending", IF(N718&lt;=30, "Met", "Breached"))</f>
        <v/>
      </c>
    </row>
    <row r="719">
      <c r="M719" s="11">
        <f>B719+30</f>
        <v/>
      </c>
      <c r="N719">
        <f>IF(L719="", "", L719-B719)</f>
        <v/>
      </c>
      <c r="O719">
        <f>IF(L719="", "Pending", IF(N719&lt;=30, "Met", "Breached"))</f>
        <v/>
      </c>
    </row>
    <row r="720">
      <c r="M720" s="11">
        <f>B720+30</f>
        <v/>
      </c>
      <c r="N720">
        <f>IF(L720="", "", L720-B720)</f>
        <v/>
      </c>
      <c r="O720">
        <f>IF(L720="", "Pending", IF(N720&lt;=30, "Met", "Breached"))</f>
        <v/>
      </c>
    </row>
    <row r="721">
      <c r="M721" s="11">
        <f>B721+30</f>
        <v/>
      </c>
      <c r="N721">
        <f>IF(L721="", "", L721-B721)</f>
        <v/>
      </c>
      <c r="O721">
        <f>IF(L721="", "Pending", IF(N721&lt;=30, "Met", "Breached"))</f>
        <v/>
      </c>
    </row>
    <row r="722">
      <c r="M722" s="11">
        <f>B722+30</f>
        <v/>
      </c>
      <c r="N722">
        <f>IF(L722="", "", L722-B722)</f>
        <v/>
      </c>
      <c r="O722">
        <f>IF(L722="", "Pending", IF(N722&lt;=30, "Met", "Breached"))</f>
        <v/>
      </c>
    </row>
    <row r="723">
      <c r="M723" s="11">
        <f>B723+30</f>
        <v/>
      </c>
      <c r="N723">
        <f>IF(L723="", "", L723-B723)</f>
        <v/>
      </c>
      <c r="O723">
        <f>IF(L723="", "Pending", IF(N723&lt;=30, "Met", "Breached"))</f>
        <v/>
      </c>
    </row>
    <row r="724">
      <c r="M724" s="11">
        <f>B724+30</f>
        <v/>
      </c>
      <c r="N724">
        <f>IF(L724="", "", L724-B724)</f>
        <v/>
      </c>
      <c r="O724">
        <f>IF(L724="", "Pending", IF(N724&lt;=30, "Met", "Breached"))</f>
        <v/>
      </c>
    </row>
    <row r="725">
      <c r="M725" s="11">
        <f>B725+30</f>
        <v/>
      </c>
      <c r="N725">
        <f>IF(L725="", "", L725-B725)</f>
        <v/>
      </c>
      <c r="O725">
        <f>IF(L725="", "Pending", IF(N725&lt;=30, "Met", "Breached"))</f>
        <v/>
      </c>
    </row>
    <row r="726">
      <c r="M726" s="11">
        <f>B726+30</f>
        <v/>
      </c>
      <c r="N726">
        <f>IF(L726="", "", L726-B726)</f>
        <v/>
      </c>
      <c r="O726">
        <f>IF(L726="", "Pending", IF(N726&lt;=30, "Met", "Breached"))</f>
        <v/>
      </c>
    </row>
    <row r="727">
      <c r="M727" s="11">
        <f>B727+30</f>
        <v/>
      </c>
      <c r="N727">
        <f>IF(L727="", "", L727-B727)</f>
        <v/>
      </c>
      <c r="O727">
        <f>IF(L727="", "Pending", IF(N727&lt;=30, "Met", "Breached"))</f>
        <v/>
      </c>
    </row>
    <row r="728">
      <c r="M728" s="11">
        <f>B728+30</f>
        <v/>
      </c>
      <c r="N728">
        <f>IF(L728="", "", L728-B728)</f>
        <v/>
      </c>
      <c r="O728">
        <f>IF(L728="", "Pending", IF(N728&lt;=30, "Met", "Breached"))</f>
        <v/>
      </c>
    </row>
    <row r="729">
      <c r="M729" s="11">
        <f>B729+30</f>
        <v/>
      </c>
      <c r="N729">
        <f>IF(L729="", "", L729-B729)</f>
        <v/>
      </c>
      <c r="O729">
        <f>IF(L729="", "Pending", IF(N729&lt;=30, "Met", "Breached"))</f>
        <v/>
      </c>
    </row>
    <row r="730">
      <c r="M730" s="11">
        <f>B730+30</f>
        <v/>
      </c>
      <c r="N730">
        <f>IF(L730="", "", L730-B730)</f>
        <v/>
      </c>
      <c r="O730">
        <f>IF(L730="", "Pending", IF(N730&lt;=30, "Met", "Breached"))</f>
        <v/>
      </c>
    </row>
    <row r="731">
      <c r="M731" s="11">
        <f>B731+30</f>
        <v/>
      </c>
      <c r="N731">
        <f>IF(L731="", "", L731-B731)</f>
        <v/>
      </c>
      <c r="O731">
        <f>IF(L731="", "Pending", IF(N731&lt;=30, "Met", "Breached"))</f>
        <v/>
      </c>
    </row>
    <row r="732">
      <c r="M732" s="11">
        <f>B732+30</f>
        <v/>
      </c>
      <c r="N732">
        <f>IF(L732="", "", L732-B732)</f>
        <v/>
      </c>
      <c r="O732">
        <f>IF(L732="", "Pending", IF(N732&lt;=30, "Met", "Breached"))</f>
        <v/>
      </c>
    </row>
    <row r="733">
      <c r="M733" s="11">
        <f>B733+30</f>
        <v/>
      </c>
      <c r="N733">
        <f>IF(L733="", "", L733-B733)</f>
        <v/>
      </c>
      <c r="O733">
        <f>IF(L733="", "Pending", IF(N733&lt;=30, "Met", "Breached"))</f>
        <v/>
      </c>
    </row>
    <row r="734">
      <c r="M734" s="11">
        <f>B734+30</f>
        <v/>
      </c>
      <c r="N734">
        <f>IF(L734="", "", L734-B734)</f>
        <v/>
      </c>
      <c r="O734">
        <f>IF(L734="", "Pending", IF(N734&lt;=30, "Met", "Breached"))</f>
        <v/>
      </c>
    </row>
    <row r="735">
      <c r="M735" s="11">
        <f>B735+30</f>
        <v/>
      </c>
      <c r="N735">
        <f>IF(L735="", "", L735-B735)</f>
        <v/>
      </c>
      <c r="O735">
        <f>IF(L735="", "Pending", IF(N735&lt;=30, "Met", "Breached"))</f>
        <v/>
      </c>
    </row>
    <row r="736">
      <c r="M736" s="11">
        <f>B736+30</f>
        <v/>
      </c>
      <c r="N736">
        <f>IF(L736="", "", L736-B736)</f>
        <v/>
      </c>
      <c r="O736">
        <f>IF(L736="", "Pending", IF(N736&lt;=30, "Met", "Breached"))</f>
        <v/>
      </c>
    </row>
    <row r="737">
      <c r="M737" s="11">
        <f>B737+30</f>
        <v/>
      </c>
      <c r="N737">
        <f>IF(L737="", "", L737-B737)</f>
        <v/>
      </c>
      <c r="O737">
        <f>IF(L737="", "Pending", IF(N737&lt;=30, "Met", "Breached"))</f>
        <v/>
      </c>
    </row>
    <row r="738">
      <c r="M738" s="11">
        <f>B738+30</f>
        <v/>
      </c>
      <c r="N738">
        <f>IF(L738="", "", L738-B738)</f>
        <v/>
      </c>
      <c r="O738">
        <f>IF(L738="", "Pending", IF(N738&lt;=30, "Met", "Breached"))</f>
        <v/>
      </c>
    </row>
    <row r="739">
      <c r="M739" s="11">
        <f>B739+30</f>
        <v/>
      </c>
      <c r="N739">
        <f>IF(L739="", "", L739-B739)</f>
        <v/>
      </c>
      <c r="O739">
        <f>IF(L739="", "Pending", IF(N739&lt;=30, "Met", "Breached"))</f>
        <v/>
      </c>
    </row>
    <row r="740">
      <c r="M740" s="11">
        <f>B740+30</f>
        <v/>
      </c>
      <c r="N740">
        <f>IF(L740="", "", L740-B740)</f>
        <v/>
      </c>
      <c r="O740">
        <f>IF(L740="", "Pending", IF(N740&lt;=30, "Met", "Breached"))</f>
        <v/>
      </c>
    </row>
    <row r="741">
      <c r="M741" s="11">
        <f>B741+30</f>
        <v/>
      </c>
      <c r="N741">
        <f>IF(L741="", "", L741-B741)</f>
        <v/>
      </c>
      <c r="O741">
        <f>IF(L741="", "Pending", IF(N741&lt;=30, "Met", "Breached"))</f>
        <v/>
      </c>
    </row>
    <row r="742">
      <c r="M742" s="11">
        <f>B742+30</f>
        <v/>
      </c>
      <c r="N742">
        <f>IF(L742="", "", L742-B742)</f>
        <v/>
      </c>
      <c r="O742">
        <f>IF(L742="", "Pending", IF(N742&lt;=30, "Met", "Breached"))</f>
        <v/>
      </c>
    </row>
    <row r="743">
      <c r="M743" s="11">
        <f>B743+30</f>
        <v/>
      </c>
      <c r="N743">
        <f>IF(L743="", "", L743-B743)</f>
        <v/>
      </c>
      <c r="O743">
        <f>IF(L743="", "Pending", IF(N743&lt;=30, "Met", "Breached"))</f>
        <v/>
      </c>
    </row>
    <row r="744">
      <c r="M744" s="11">
        <f>B744+30</f>
        <v/>
      </c>
      <c r="N744">
        <f>IF(L744="", "", L744-B744)</f>
        <v/>
      </c>
      <c r="O744">
        <f>IF(L744="", "Pending", IF(N744&lt;=30, "Met", "Breached"))</f>
        <v/>
      </c>
    </row>
    <row r="745">
      <c r="M745" s="11">
        <f>B745+30</f>
        <v/>
      </c>
      <c r="N745">
        <f>IF(L745="", "", L745-B745)</f>
        <v/>
      </c>
      <c r="O745">
        <f>IF(L745="", "Pending", IF(N745&lt;=30, "Met", "Breached"))</f>
        <v/>
      </c>
    </row>
    <row r="746">
      <c r="M746" s="11">
        <f>B746+30</f>
        <v/>
      </c>
      <c r="N746">
        <f>IF(L746="", "", L746-B746)</f>
        <v/>
      </c>
      <c r="O746">
        <f>IF(L746="", "Pending", IF(N746&lt;=30, "Met", "Breached"))</f>
        <v/>
      </c>
    </row>
    <row r="747">
      <c r="M747" s="11">
        <f>B747+30</f>
        <v/>
      </c>
      <c r="N747">
        <f>IF(L747="", "", L747-B747)</f>
        <v/>
      </c>
      <c r="O747">
        <f>IF(L747="", "Pending", IF(N747&lt;=30, "Met", "Breached"))</f>
        <v/>
      </c>
    </row>
    <row r="748">
      <c r="M748" s="11">
        <f>B748+30</f>
        <v/>
      </c>
      <c r="N748">
        <f>IF(L748="", "", L748-B748)</f>
        <v/>
      </c>
      <c r="O748">
        <f>IF(L748="", "Pending", IF(N748&lt;=30, "Met", "Breached"))</f>
        <v/>
      </c>
    </row>
    <row r="749">
      <c r="M749" s="11">
        <f>B749+30</f>
        <v/>
      </c>
      <c r="N749">
        <f>IF(L749="", "", L749-B749)</f>
        <v/>
      </c>
      <c r="O749">
        <f>IF(L749="", "Pending", IF(N749&lt;=30, "Met", "Breached"))</f>
        <v/>
      </c>
    </row>
    <row r="750">
      <c r="M750" s="11">
        <f>B750+30</f>
        <v/>
      </c>
      <c r="N750">
        <f>IF(L750="", "", L750-B750)</f>
        <v/>
      </c>
      <c r="O750">
        <f>IF(L750="", "Pending", IF(N750&lt;=30, "Met", "Breached"))</f>
        <v/>
      </c>
    </row>
    <row r="751">
      <c r="M751" s="11">
        <f>B751+30</f>
        <v/>
      </c>
      <c r="N751">
        <f>IF(L751="", "", L751-B751)</f>
        <v/>
      </c>
      <c r="O751">
        <f>IF(L751="", "Pending", IF(N751&lt;=30, "Met", "Breached"))</f>
        <v/>
      </c>
    </row>
    <row r="752">
      <c r="M752" s="11">
        <f>B752+30</f>
        <v/>
      </c>
      <c r="N752">
        <f>IF(L752="", "", L752-B752)</f>
        <v/>
      </c>
      <c r="O752">
        <f>IF(L752="", "Pending", IF(N752&lt;=30, "Met", "Breached"))</f>
        <v/>
      </c>
    </row>
    <row r="753">
      <c r="M753" s="11">
        <f>B753+30</f>
        <v/>
      </c>
      <c r="N753">
        <f>IF(L753="", "", L753-B753)</f>
        <v/>
      </c>
      <c r="O753">
        <f>IF(L753="", "Pending", IF(N753&lt;=30, "Met", "Breached"))</f>
        <v/>
      </c>
    </row>
    <row r="754">
      <c r="M754" s="11">
        <f>B754+30</f>
        <v/>
      </c>
      <c r="N754">
        <f>IF(L754="", "", L754-B754)</f>
        <v/>
      </c>
      <c r="O754">
        <f>IF(L754="", "Pending", IF(N754&lt;=30, "Met", "Breached"))</f>
        <v/>
      </c>
    </row>
    <row r="755">
      <c r="M755" s="11">
        <f>B755+30</f>
        <v/>
      </c>
      <c r="N755">
        <f>IF(L755="", "", L755-B755)</f>
        <v/>
      </c>
      <c r="O755">
        <f>IF(L755="", "Pending", IF(N755&lt;=30, "Met", "Breached"))</f>
        <v/>
      </c>
    </row>
    <row r="756">
      <c r="M756" s="11">
        <f>B756+30</f>
        <v/>
      </c>
      <c r="N756">
        <f>IF(L756="", "", L756-B756)</f>
        <v/>
      </c>
      <c r="O756">
        <f>IF(L756="", "Pending", IF(N756&lt;=30, "Met", "Breached"))</f>
        <v/>
      </c>
    </row>
    <row r="757">
      <c r="M757" s="11">
        <f>B757+30</f>
        <v/>
      </c>
      <c r="N757">
        <f>IF(L757="", "", L757-B757)</f>
        <v/>
      </c>
      <c r="O757">
        <f>IF(L757="", "Pending", IF(N757&lt;=30, "Met", "Breached"))</f>
        <v/>
      </c>
    </row>
    <row r="758">
      <c r="M758" s="11">
        <f>B758+30</f>
        <v/>
      </c>
      <c r="N758">
        <f>IF(L758="", "", L758-B758)</f>
        <v/>
      </c>
      <c r="O758">
        <f>IF(L758="", "Pending", IF(N758&lt;=30, "Met", "Breached"))</f>
        <v/>
      </c>
    </row>
    <row r="759">
      <c r="M759" s="11">
        <f>B759+30</f>
        <v/>
      </c>
      <c r="N759">
        <f>IF(L759="", "", L759-B759)</f>
        <v/>
      </c>
      <c r="O759">
        <f>IF(L759="", "Pending", IF(N759&lt;=30, "Met", "Breached"))</f>
        <v/>
      </c>
    </row>
    <row r="760">
      <c r="M760" s="11">
        <f>B760+30</f>
        <v/>
      </c>
      <c r="N760">
        <f>IF(L760="", "", L760-B760)</f>
        <v/>
      </c>
      <c r="O760">
        <f>IF(L760="", "Pending", IF(N760&lt;=30, "Met", "Breached"))</f>
        <v/>
      </c>
    </row>
    <row r="761">
      <c r="M761" s="11">
        <f>B761+30</f>
        <v/>
      </c>
      <c r="N761">
        <f>IF(L761="", "", L761-B761)</f>
        <v/>
      </c>
      <c r="O761">
        <f>IF(L761="", "Pending", IF(N761&lt;=30, "Met", "Breached"))</f>
        <v/>
      </c>
    </row>
    <row r="762">
      <c r="M762" s="11">
        <f>B762+30</f>
        <v/>
      </c>
      <c r="N762">
        <f>IF(L762="", "", L762-B762)</f>
        <v/>
      </c>
      <c r="O762">
        <f>IF(L762="", "Pending", IF(N762&lt;=30, "Met", "Breached"))</f>
        <v/>
      </c>
    </row>
    <row r="763">
      <c r="M763" s="11">
        <f>B763+30</f>
        <v/>
      </c>
      <c r="N763">
        <f>IF(L763="", "", L763-B763)</f>
        <v/>
      </c>
      <c r="O763">
        <f>IF(L763="", "Pending", IF(N763&lt;=30, "Met", "Breached"))</f>
        <v/>
      </c>
    </row>
    <row r="764">
      <c r="M764" s="11">
        <f>B764+30</f>
        <v/>
      </c>
      <c r="N764">
        <f>IF(L764="", "", L764-B764)</f>
        <v/>
      </c>
      <c r="O764">
        <f>IF(L764="", "Pending", IF(N764&lt;=30, "Met", "Breached"))</f>
        <v/>
      </c>
    </row>
    <row r="765">
      <c r="M765" s="11">
        <f>B765+30</f>
        <v/>
      </c>
      <c r="N765">
        <f>IF(L765="", "", L765-B765)</f>
        <v/>
      </c>
      <c r="O765">
        <f>IF(L765="", "Pending", IF(N765&lt;=30, "Met", "Breached"))</f>
        <v/>
      </c>
    </row>
    <row r="766">
      <c r="M766" s="11">
        <f>B766+30</f>
        <v/>
      </c>
      <c r="N766">
        <f>IF(L766="", "", L766-B766)</f>
        <v/>
      </c>
      <c r="O766">
        <f>IF(L766="", "Pending", IF(N766&lt;=30, "Met", "Breached"))</f>
        <v/>
      </c>
    </row>
    <row r="767">
      <c r="M767" s="11">
        <f>B767+30</f>
        <v/>
      </c>
      <c r="N767">
        <f>IF(L767="", "", L767-B767)</f>
        <v/>
      </c>
      <c r="O767">
        <f>IF(L767="", "Pending", IF(N767&lt;=30, "Met", "Breached"))</f>
        <v/>
      </c>
    </row>
    <row r="768">
      <c r="M768" s="11">
        <f>B768+30</f>
        <v/>
      </c>
      <c r="N768">
        <f>IF(L768="", "", L768-B768)</f>
        <v/>
      </c>
      <c r="O768">
        <f>IF(L768="", "Pending", IF(N768&lt;=30, "Met", "Breached"))</f>
        <v/>
      </c>
    </row>
    <row r="769">
      <c r="M769" s="11">
        <f>B769+30</f>
        <v/>
      </c>
      <c r="N769">
        <f>IF(L769="", "", L769-B769)</f>
        <v/>
      </c>
      <c r="O769">
        <f>IF(L769="", "Pending", IF(N769&lt;=30, "Met", "Breached"))</f>
        <v/>
      </c>
    </row>
    <row r="770">
      <c r="M770" s="11">
        <f>B770+30</f>
        <v/>
      </c>
      <c r="N770">
        <f>IF(L770="", "", L770-B770)</f>
        <v/>
      </c>
      <c r="O770">
        <f>IF(L770="", "Pending", IF(N770&lt;=30, "Met", "Breached"))</f>
        <v/>
      </c>
    </row>
    <row r="771">
      <c r="M771" s="11">
        <f>B771+30</f>
        <v/>
      </c>
      <c r="N771">
        <f>IF(L771="", "", L771-B771)</f>
        <v/>
      </c>
      <c r="O771">
        <f>IF(L771="", "Pending", IF(N771&lt;=30, "Met", "Breached"))</f>
        <v/>
      </c>
    </row>
    <row r="772">
      <c r="M772" s="11">
        <f>B772+30</f>
        <v/>
      </c>
      <c r="N772">
        <f>IF(L772="", "", L772-B772)</f>
        <v/>
      </c>
      <c r="O772">
        <f>IF(L772="", "Pending", IF(N772&lt;=30, "Met", "Breached"))</f>
        <v/>
      </c>
    </row>
    <row r="773">
      <c r="M773" s="11">
        <f>B773+30</f>
        <v/>
      </c>
      <c r="N773">
        <f>IF(L773="", "", L773-B773)</f>
        <v/>
      </c>
      <c r="O773">
        <f>IF(L773="", "Pending", IF(N773&lt;=30, "Met", "Breached"))</f>
        <v/>
      </c>
    </row>
    <row r="774">
      <c r="M774" s="11">
        <f>B774+30</f>
        <v/>
      </c>
      <c r="N774">
        <f>IF(L774="", "", L774-B774)</f>
        <v/>
      </c>
      <c r="O774">
        <f>IF(L774="", "Pending", IF(N774&lt;=30, "Met", "Breached"))</f>
        <v/>
      </c>
    </row>
    <row r="775">
      <c r="M775" s="11">
        <f>B775+30</f>
        <v/>
      </c>
      <c r="N775">
        <f>IF(L775="", "", L775-B775)</f>
        <v/>
      </c>
      <c r="O775">
        <f>IF(L775="", "Pending", IF(N775&lt;=30, "Met", "Breached"))</f>
        <v/>
      </c>
    </row>
    <row r="776">
      <c r="M776" s="11">
        <f>B776+30</f>
        <v/>
      </c>
      <c r="N776">
        <f>IF(L776="", "", L776-B776)</f>
        <v/>
      </c>
      <c r="O776">
        <f>IF(L776="", "Pending", IF(N776&lt;=30, "Met", "Breached"))</f>
        <v/>
      </c>
    </row>
    <row r="777">
      <c r="M777" s="11">
        <f>B777+30</f>
        <v/>
      </c>
      <c r="N777">
        <f>IF(L777="", "", L777-B777)</f>
        <v/>
      </c>
      <c r="O777">
        <f>IF(L777="", "Pending", IF(N777&lt;=30, "Met", "Breached"))</f>
        <v/>
      </c>
    </row>
    <row r="778">
      <c r="M778" s="11">
        <f>B778+30</f>
        <v/>
      </c>
      <c r="N778">
        <f>IF(L778="", "", L778-B778)</f>
        <v/>
      </c>
      <c r="O778">
        <f>IF(L778="", "Pending", IF(N778&lt;=30, "Met", "Breached"))</f>
        <v/>
      </c>
    </row>
    <row r="779">
      <c r="M779" s="11">
        <f>B779+30</f>
        <v/>
      </c>
      <c r="N779">
        <f>IF(L779="", "", L779-B779)</f>
        <v/>
      </c>
      <c r="O779">
        <f>IF(L779="", "Pending", IF(N779&lt;=30, "Met", "Breached"))</f>
        <v/>
      </c>
    </row>
    <row r="780">
      <c r="M780" s="11">
        <f>B780+30</f>
        <v/>
      </c>
      <c r="N780">
        <f>IF(L780="", "", L780-B780)</f>
        <v/>
      </c>
      <c r="O780">
        <f>IF(L780="", "Pending", IF(N780&lt;=30, "Met", "Breached"))</f>
        <v/>
      </c>
    </row>
    <row r="781">
      <c r="M781" s="11">
        <f>B781+30</f>
        <v/>
      </c>
      <c r="N781">
        <f>IF(L781="", "", L781-B781)</f>
        <v/>
      </c>
      <c r="O781">
        <f>IF(L781="", "Pending", IF(N781&lt;=30, "Met", "Breached"))</f>
        <v/>
      </c>
    </row>
    <row r="782">
      <c r="M782" s="11">
        <f>B782+30</f>
        <v/>
      </c>
      <c r="N782">
        <f>IF(L782="", "", L782-B782)</f>
        <v/>
      </c>
      <c r="O782">
        <f>IF(L782="", "Pending", IF(N782&lt;=30, "Met", "Breached"))</f>
        <v/>
      </c>
    </row>
    <row r="783">
      <c r="M783" s="11">
        <f>B783+30</f>
        <v/>
      </c>
      <c r="N783">
        <f>IF(L783="", "", L783-B783)</f>
        <v/>
      </c>
      <c r="O783">
        <f>IF(L783="", "Pending", IF(N783&lt;=30, "Met", "Breached"))</f>
        <v/>
      </c>
    </row>
    <row r="784">
      <c r="M784" s="11">
        <f>B784+30</f>
        <v/>
      </c>
      <c r="N784">
        <f>IF(L784="", "", L784-B784)</f>
        <v/>
      </c>
      <c r="O784">
        <f>IF(L784="", "Pending", IF(N784&lt;=30, "Met", "Breached"))</f>
        <v/>
      </c>
    </row>
    <row r="785">
      <c r="M785" s="11">
        <f>B785+30</f>
        <v/>
      </c>
      <c r="N785">
        <f>IF(L785="", "", L785-B785)</f>
        <v/>
      </c>
      <c r="O785">
        <f>IF(L785="", "Pending", IF(N785&lt;=30, "Met", "Breached"))</f>
        <v/>
      </c>
    </row>
    <row r="786">
      <c r="M786" s="11">
        <f>B786+30</f>
        <v/>
      </c>
      <c r="N786">
        <f>IF(L786="", "", L786-B786)</f>
        <v/>
      </c>
      <c r="O786">
        <f>IF(L786="", "Pending", IF(N786&lt;=30, "Met", "Breached"))</f>
        <v/>
      </c>
    </row>
    <row r="787">
      <c r="M787" s="11">
        <f>B787+30</f>
        <v/>
      </c>
      <c r="N787">
        <f>IF(L787="", "", L787-B787)</f>
        <v/>
      </c>
      <c r="O787">
        <f>IF(L787="", "Pending", IF(N787&lt;=30, "Met", "Breached"))</f>
        <v/>
      </c>
    </row>
    <row r="788">
      <c r="M788" s="11">
        <f>B788+30</f>
        <v/>
      </c>
      <c r="N788">
        <f>IF(L788="", "", L788-B788)</f>
        <v/>
      </c>
      <c r="O788">
        <f>IF(L788="", "Pending", IF(N788&lt;=30, "Met", "Breached"))</f>
        <v/>
      </c>
    </row>
    <row r="789">
      <c r="M789" s="11">
        <f>B789+30</f>
        <v/>
      </c>
      <c r="N789">
        <f>IF(L789="", "", L789-B789)</f>
        <v/>
      </c>
      <c r="O789">
        <f>IF(L789="", "Pending", IF(N789&lt;=30, "Met", "Breached"))</f>
        <v/>
      </c>
    </row>
    <row r="790">
      <c r="M790" s="11">
        <f>B790+30</f>
        <v/>
      </c>
      <c r="N790">
        <f>IF(L790="", "", L790-B790)</f>
        <v/>
      </c>
      <c r="O790">
        <f>IF(L790="", "Pending", IF(N790&lt;=30, "Met", "Breached"))</f>
        <v/>
      </c>
    </row>
    <row r="791">
      <c r="M791" s="11">
        <f>B791+30</f>
        <v/>
      </c>
      <c r="N791">
        <f>IF(L791="", "", L791-B791)</f>
        <v/>
      </c>
      <c r="O791">
        <f>IF(L791="", "Pending", IF(N791&lt;=30, "Met", "Breached"))</f>
        <v/>
      </c>
    </row>
    <row r="792">
      <c r="M792" s="11">
        <f>B792+30</f>
        <v/>
      </c>
      <c r="N792">
        <f>IF(L792="", "", L792-B792)</f>
        <v/>
      </c>
      <c r="O792">
        <f>IF(L792="", "Pending", IF(N792&lt;=30, "Met", "Breached"))</f>
        <v/>
      </c>
    </row>
    <row r="793">
      <c r="M793" s="11">
        <f>B793+30</f>
        <v/>
      </c>
      <c r="N793">
        <f>IF(L793="", "", L793-B793)</f>
        <v/>
      </c>
      <c r="O793">
        <f>IF(L793="", "Pending", IF(N793&lt;=30, "Met", "Breached"))</f>
        <v/>
      </c>
    </row>
    <row r="794">
      <c r="M794" s="11">
        <f>B794+30</f>
        <v/>
      </c>
      <c r="N794">
        <f>IF(L794="", "", L794-B794)</f>
        <v/>
      </c>
      <c r="O794">
        <f>IF(L794="", "Pending", IF(N794&lt;=30, "Met", "Breached"))</f>
        <v/>
      </c>
    </row>
    <row r="795">
      <c r="M795" s="11">
        <f>B795+30</f>
        <v/>
      </c>
      <c r="N795">
        <f>IF(L795="", "", L795-B795)</f>
        <v/>
      </c>
      <c r="O795">
        <f>IF(L795="", "Pending", IF(N795&lt;=30, "Met", "Breached"))</f>
        <v/>
      </c>
    </row>
    <row r="796">
      <c r="M796" s="11">
        <f>B796+30</f>
        <v/>
      </c>
      <c r="N796">
        <f>IF(L796="", "", L796-B796)</f>
        <v/>
      </c>
      <c r="O796">
        <f>IF(L796="", "Pending", IF(N796&lt;=30, "Met", "Breached"))</f>
        <v/>
      </c>
    </row>
    <row r="797">
      <c r="M797" s="11">
        <f>B797+30</f>
        <v/>
      </c>
      <c r="N797">
        <f>IF(L797="", "", L797-B797)</f>
        <v/>
      </c>
      <c r="O797">
        <f>IF(L797="", "Pending", IF(N797&lt;=30, "Met", "Breached"))</f>
        <v/>
      </c>
    </row>
    <row r="798">
      <c r="M798" s="11">
        <f>B798+30</f>
        <v/>
      </c>
      <c r="N798">
        <f>IF(L798="", "", L798-B798)</f>
        <v/>
      </c>
      <c r="O798">
        <f>IF(L798="", "Pending", IF(N798&lt;=30, "Met", "Breached"))</f>
        <v/>
      </c>
    </row>
    <row r="799">
      <c r="M799" s="11">
        <f>B799+30</f>
        <v/>
      </c>
      <c r="N799">
        <f>IF(L799="", "", L799-B799)</f>
        <v/>
      </c>
      <c r="O799">
        <f>IF(L799="", "Pending", IF(N799&lt;=30, "Met", "Breached"))</f>
        <v/>
      </c>
    </row>
    <row r="800">
      <c r="M800" s="11">
        <f>B800+30</f>
        <v/>
      </c>
      <c r="N800">
        <f>IF(L800="", "", L800-B800)</f>
        <v/>
      </c>
      <c r="O800">
        <f>IF(L800="", "Pending", IF(N800&lt;=30, "Met", "Breached"))</f>
        <v/>
      </c>
    </row>
    <row r="801">
      <c r="M801" s="11">
        <f>B801+30</f>
        <v/>
      </c>
      <c r="N801">
        <f>IF(L801="", "", L801-B801)</f>
        <v/>
      </c>
      <c r="O801">
        <f>IF(L801="", "Pending", IF(N801&lt;=30, "Met", "Breached"))</f>
        <v/>
      </c>
    </row>
    <row r="802">
      <c r="M802" s="11">
        <f>B802+30</f>
        <v/>
      </c>
      <c r="N802">
        <f>IF(L802="", "", L802-B802)</f>
        <v/>
      </c>
      <c r="O802">
        <f>IF(L802="", "Pending", IF(N802&lt;=30, "Met", "Breached"))</f>
        <v/>
      </c>
    </row>
    <row r="803">
      <c r="M803" s="11">
        <f>B803+30</f>
        <v/>
      </c>
      <c r="N803">
        <f>IF(L803="", "", L803-B803)</f>
        <v/>
      </c>
      <c r="O803">
        <f>IF(L803="", "Pending", IF(N803&lt;=30, "Met", "Breached"))</f>
        <v/>
      </c>
    </row>
    <row r="804">
      <c r="M804" s="11">
        <f>B804+30</f>
        <v/>
      </c>
      <c r="N804">
        <f>IF(L804="", "", L804-B804)</f>
        <v/>
      </c>
      <c r="O804">
        <f>IF(L804="", "Pending", IF(N804&lt;=30, "Met", "Breached"))</f>
        <v/>
      </c>
    </row>
    <row r="805">
      <c r="M805" s="11">
        <f>B805+30</f>
        <v/>
      </c>
      <c r="N805">
        <f>IF(L805="", "", L805-B805)</f>
        <v/>
      </c>
      <c r="O805">
        <f>IF(L805="", "Pending", IF(N805&lt;=30, "Met", "Breached"))</f>
        <v/>
      </c>
    </row>
    <row r="806">
      <c r="M806" s="11">
        <f>B806+30</f>
        <v/>
      </c>
      <c r="N806">
        <f>IF(L806="", "", L806-B806)</f>
        <v/>
      </c>
      <c r="O806">
        <f>IF(L806="", "Pending", IF(N806&lt;=30, "Met", "Breached"))</f>
        <v/>
      </c>
    </row>
    <row r="807">
      <c r="M807" s="11">
        <f>B807+30</f>
        <v/>
      </c>
      <c r="N807">
        <f>IF(L807="", "", L807-B807)</f>
        <v/>
      </c>
      <c r="O807">
        <f>IF(L807="", "Pending", IF(N807&lt;=30, "Met", "Breached"))</f>
        <v/>
      </c>
    </row>
    <row r="808">
      <c r="M808" s="11">
        <f>B808+30</f>
        <v/>
      </c>
      <c r="N808">
        <f>IF(L808="", "", L808-B808)</f>
        <v/>
      </c>
      <c r="O808">
        <f>IF(L808="", "Pending", IF(N808&lt;=30, "Met", "Breached"))</f>
        <v/>
      </c>
    </row>
    <row r="809">
      <c r="M809" s="11">
        <f>B809+30</f>
        <v/>
      </c>
      <c r="N809">
        <f>IF(L809="", "", L809-B809)</f>
        <v/>
      </c>
      <c r="O809">
        <f>IF(L809="", "Pending", IF(N809&lt;=30, "Met", "Breached"))</f>
        <v/>
      </c>
    </row>
    <row r="810">
      <c r="M810" s="11">
        <f>B810+30</f>
        <v/>
      </c>
      <c r="N810">
        <f>IF(L810="", "", L810-B810)</f>
        <v/>
      </c>
      <c r="O810">
        <f>IF(L810="", "Pending", IF(N810&lt;=30, "Met", "Breached"))</f>
        <v/>
      </c>
    </row>
    <row r="811">
      <c r="M811" s="11">
        <f>B811+30</f>
        <v/>
      </c>
      <c r="N811">
        <f>IF(L811="", "", L811-B811)</f>
        <v/>
      </c>
      <c r="O811">
        <f>IF(L811="", "Pending", IF(N811&lt;=30, "Met", "Breached"))</f>
        <v/>
      </c>
    </row>
    <row r="812">
      <c r="M812" s="11">
        <f>B812+30</f>
        <v/>
      </c>
      <c r="N812">
        <f>IF(L812="", "", L812-B812)</f>
        <v/>
      </c>
      <c r="O812">
        <f>IF(L812="", "Pending", IF(N812&lt;=30, "Met", "Breached"))</f>
        <v/>
      </c>
    </row>
    <row r="813">
      <c r="M813" s="11">
        <f>B813+30</f>
        <v/>
      </c>
      <c r="N813">
        <f>IF(L813="", "", L813-B813)</f>
        <v/>
      </c>
      <c r="O813">
        <f>IF(L813="", "Pending", IF(N813&lt;=30, "Met", "Breached"))</f>
        <v/>
      </c>
    </row>
    <row r="814">
      <c r="M814" s="11">
        <f>B814+30</f>
        <v/>
      </c>
      <c r="N814">
        <f>IF(L814="", "", L814-B814)</f>
        <v/>
      </c>
      <c r="O814">
        <f>IF(L814="", "Pending", IF(N814&lt;=30, "Met", "Breached"))</f>
        <v/>
      </c>
    </row>
    <row r="815">
      <c r="M815" s="11">
        <f>B815+30</f>
        <v/>
      </c>
      <c r="N815">
        <f>IF(L815="", "", L815-B815)</f>
        <v/>
      </c>
      <c r="O815">
        <f>IF(L815="", "Pending", IF(N815&lt;=30, "Met", "Breached"))</f>
        <v/>
      </c>
    </row>
    <row r="816">
      <c r="M816" s="11">
        <f>B816+30</f>
        <v/>
      </c>
      <c r="N816">
        <f>IF(L816="", "", L816-B816)</f>
        <v/>
      </c>
      <c r="O816">
        <f>IF(L816="", "Pending", IF(N816&lt;=30, "Met", "Breached"))</f>
        <v/>
      </c>
    </row>
    <row r="817">
      <c r="M817" s="11">
        <f>B817+30</f>
        <v/>
      </c>
      <c r="N817">
        <f>IF(L817="", "", L817-B817)</f>
        <v/>
      </c>
      <c r="O817">
        <f>IF(L817="", "Pending", IF(N817&lt;=30, "Met", "Breached"))</f>
        <v/>
      </c>
    </row>
    <row r="818">
      <c r="M818" s="11">
        <f>B818+30</f>
        <v/>
      </c>
      <c r="N818">
        <f>IF(L818="", "", L818-B818)</f>
        <v/>
      </c>
      <c r="O818">
        <f>IF(L818="", "Pending", IF(N818&lt;=30, "Met", "Breached"))</f>
        <v/>
      </c>
    </row>
    <row r="819">
      <c r="M819" s="11">
        <f>B819+30</f>
        <v/>
      </c>
      <c r="N819">
        <f>IF(L819="", "", L819-B819)</f>
        <v/>
      </c>
      <c r="O819">
        <f>IF(L819="", "Pending", IF(N819&lt;=30, "Met", "Breached"))</f>
        <v/>
      </c>
    </row>
    <row r="820">
      <c r="M820" s="11">
        <f>B820+30</f>
        <v/>
      </c>
      <c r="N820">
        <f>IF(L820="", "", L820-B820)</f>
        <v/>
      </c>
      <c r="O820">
        <f>IF(L820="", "Pending", IF(N820&lt;=30, "Met", "Breached"))</f>
        <v/>
      </c>
    </row>
    <row r="821">
      <c r="M821" s="11">
        <f>B821+30</f>
        <v/>
      </c>
      <c r="N821">
        <f>IF(L821="", "", L821-B821)</f>
        <v/>
      </c>
      <c r="O821">
        <f>IF(L821="", "Pending", IF(N821&lt;=30, "Met", "Breached"))</f>
        <v/>
      </c>
    </row>
    <row r="822">
      <c r="M822" s="11">
        <f>B822+30</f>
        <v/>
      </c>
      <c r="N822">
        <f>IF(L822="", "", L822-B822)</f>
        <v/>
      </c>
      <c r="O822">
        <f>IF(L822="", "Pending", IF(N822&lt;=30, "Met", "Breached"))</f>
        <v/>
      </c>
    </row>
    <row r="823">
      <c r="M823" s="11">
        <f>B823+30</f>
        <v/>
      </c>
      <c r="N823">
        <f>IF(L823="", "", L823-B823)</f>
        <v/>
      </c>
      <c r="O823">
        <f>IF(L823="", "Pending", IF(N823&lt;=30, "Met", "Breached"))</f>
        <v/>
      </c>
    </row>
    <row r="824">
      <c r="M824" s="11">
        <f>B824+30</f>
        <v/>
      </c>
      <c r="N824">
        <f>IF(L824="", "", L824-B824)</f>
        <v/>
      </c>
      <c r="O824">
        <f>IF(L824="", "Pending", IF(N824&lt;=30, "Met", "Breached"))</f>
        <v/>
      </c>
    </row>
    <row r="825">
      <c r="M825" s="11">
        <f>B825+30</f>
        <v/>
      </c>
      <c r="N825">
        <f>IF(L825="", "", L825-B825)</f>
        <v/>
      </c>
      <c r="O825">
        <f>IF(L825="", "Pending", IF(N825&lt;=30, "Met", "Breached"))</f>
        <v/>
      </c>
    </row>
    <row r="826">
      <c r="M826" s="11">
        <f>B826+30</f>
        <v/>
      </c>
      <c r="N826">
        <f>IF(L826="", "", L826-B826)</f>
        <v/>
      </c>
      <c r="O826">
        <f>IF(L826="", "Pending", IF(N826&lt;=30, "Met", "Breached"))</f>
        <v/>
      </c>
    </row>
    <row r="827">
      <c r="M827" s="11">
        <f>B827+30</f>
        <v/>
      </c>
      <c r="N827">
        <f>IF(L827="", "", L827-B827)</f>
        <v/>
      </c>
      <c r="O827">
        <f>IF(L827="", "Pending", IF(N827&lt;=30, "Met", "Breached"))</f>
        <v/>
      </c>
    </row>
    <row r="828">
      <c r="M828" s="11">
        <f>B828+30</f>
        <v/>
      </c>
      <c r="N828">
        <f>IF(L828="", "", L828-B828)</f>
        <v/>
      </c>
      <c r="O828">
        <f>IF(L828="", "Pending", IF(N828&lt;=30, "Met", "Breached"))</f>
        <v/>
      </c>
    </row>
    <row r="829">
      <c r="M829" s="11">
        <f>B829+30</f>
        <v/>
      </c>
      <c r="N829">
        <f>IF(L829="", "", L829-B829)</f>
        <v/>
      </c>
      <c r="O829">
        <f>IF(L829="", "Pending", IF(N829&lt;=30, "Met", "Breached"))</f>
        <v/>
      </c>
    </row>
    <row r="830">
      <c r="M830" s="11">
        <f>B830+30</f>
        <v/>
      </c>
      <c r="N830">
        <f>IF(L830="", "", L830-B830)</f>
        <v/>
      </c>
      <c r="O830">
        <f>IF(L830="", "Pending", IF(N830&lt;=30, "Met", "Breached"))</f>
        <v/>
      </c>
    </row>
    <row r="831">
      <c r="M831" s="11">
        <f>B831+30</f>
        <v/>
      </c>
      <c r="N831">
        <f>IF(L831="", "", L831-B831)</f>
        <v/>
      </c>
      <c r="O831">
        <f>IF(L831="", "Pending", IF(N831&lt;=30, "Met", "Breached"))</f>
        <v/>
      </c>
    </row>
    <row r="832">
      <c r="M832" s="11">
        <f>B832+30</f>
        <v/>
      </c>
      <c r="N832">
        <f>IF(L832="", "", L832-B832)</f>
        <v/>
      </c>
      <c r="O832">
        <f>IF(L832="", "Pending", IF(N832&lt;=30, "Met", "Breached"))</f>
        <v/>
      </c>
    </row>
    <row r="833">
      <c r="M833" s="11">
        <f>B833+30</f>
        <v/>
      </c>
      <c r="N833">
        <f>IF(L833="", "", L833-B833)</f>
        <v/>
      </c>
      <c r="O833">
        <f>IF(L833="", "Pending", IF(N833&lt;=30, "Met", "Breached"))</f>
        <v/>
      </c>
    </row>
    <row r="834">
      <c r="M834" s="11">
        <f>B834+30</f>
        <v/>
      </c>
      <c r="N834">
        <f>IF(L834="", "", L834-B834)</f>
        <v/>
      </c>
      <c r="O834">
        <f>IF(L834="", "Pending", IF(N834&lt;=30, "Met", "Breached"))</f>
        <v/>
      </c>
    </row>
    <row r="835">
      <c r="M835" s="11">
        <f>B835+30</f>
        <v/>
      </c>
      <c r="N835">
        <f>IF(L835="", "", L835-B835)</f>
        <v/>
      </c>
      <c r="O835">
        <f>IF(L835="", "Pending", IF(N835&lt;=30, "Met", "Breached"))</f>
        <v/>
      </c>
    </row>
    <row r="836">
      <c r="M836" s="11">
        <f>B836+30</f>
        <v/>
      </c>
      <c r="N836">
        <f>IF(L836="", "", L836-B836)</f>
        <v/>
      </c>
      <c r="O836">
        <f>IF(L836="", "Pending", IF(N836&lt;=30, "Met", "Breached"))</f>
        <v/>
      </c>
    </row>
    <row r="837">
      <c r="M837" s="11">
        <f>B837+30</f>
        <v/>
      </c>
      <c r="N837">
        <f>IF(L837="", "", L837-B837)</f>
        <v/>
      </c>
      <c r="O837">
        <f>IF(L837="", "Pending", IF(N837&lt;=30, "Met", "Breached"))</f>
        <v/>
      </c>
    </row>
    <row r="838">
      <c r="M838" s="11">
        <f>B838+30</f>
        <v/>
      </c>
      <c r="N838">
        <f>IF(L838="", "", L838-B838)</f>
        <v/>
      </c>
      <c r="O838">
        <f>IF(L838="", "Pending", IF(N838&lt;=30, "Met", "Breached"))</f>
        <v/>
      </c>
    </row>
    <row r="839">
      <c r="M839" s="11">
        <f>B839+30</f>
        <v/>
      </c>
      <c r="N839">
        <f>IF(L839="", "", L839-B839)</f>
        <v/>
      </c>
      <c r="O839">
        <f>IF(L839="", "Pending", IF(N839&lt;=30, "Met", "Breached"))</f>
        <v/>
      </c>
    </row>
    <row r="840">
      <c r="M840" s="11">
        <f>B840+30</f>
        <v/>
      </c>
      <c r="N840">
        <f>IF(L840="", "", L840-B840)</f>
        <v/>
      </c>
      <c r="O840">
        <f>IF(L840="", "Pending", IF(N840&lt;=30, "Met", "Breached"))</f>
        <v/>
      </c>
    </row>
    <row r="841">
      <c r="M841" s="11">
        <f>B841+30</f>
        <v/>
      </c>
      <c r="N841">
        <f>IF(L841="", "", L841-B841)</f>
        <v/>
      </c>
      <c r="O841">
        <f>IF(L841="", "Pending", IF(N841&lt;=30, "Met", "Breached"))</f>
        <v/>
      </c>
    </row>
    <row r="842">
      <c r="M842" s="11">
        <f>B842+30</f>
        <v/>
      </c>
      <c r="N842">
        <f>IF(L842="", "", L842-B842)</f>
        <v/>
      </c>
      <c r="O842">
        <f>IF(L842="", "Pending", IF(N842&lt;=30, "Met", "Breached"))</f>
        <v/>
      </c>
    </row>
    <row r="843">
      <c r="M843" s="11">
        <f>B843+30</f>
        <v/>
      </c>
      <c r="N843">
        <f>IF(L843="", "", L843-B843)</f>
        <v/>
      </c>
      <c r="O843">
        <f>IF(L843="", "Pending", IF(N843&lt;=30, "Met", "Breached"))</f>
        <v/>
      </c>
    </row>
    <row r="844">
      <c r="M844" s="11">
        <f>B844+30</f>
        <v/>
      </c>
      <c r="N844">
        <f>IF(L844="", "", L844-B844)</f>
        <v/>
      </c>
      <c r="O844">
        <f>IF(L844="", "Pending", IF(N844&lt;=30, "Met", "Breached"))</f>
        <v/>
      </c>
    </row>
    <row r="845">
      <c r="M845" s="11">
        <f>B845+30</f>
        <v/>
      </c>
      <c r="N845">
        <f>IF(L845="", "", L845-B845)</f>
        <v/>
      </c>
      <c r="O845">
        <f>IF(L845="", "Pending", IF(N845&lt;=30, "Met", "Breached"))</f>
        <v/>
      </c>
    </row>
    <row r="846">
      <c r="M846" s="11">
        <f>B846+30</f>
        <v/>
      </c>
      <c r="N846">
        <f>IF(L846="", "", L846-B846)</f>
        <v/>
      </c>
      <c r="O846">
        <f>IF(L846="", "Pending", IF(N846&lt;=30, "Met", "Breached"))</f>
        <v/>
      </c>
    </row>
    <row r="847">
      <c r="M847" s="11">
        <f>B847+30</f>
        <v/>
      </c>
      <c r="N847">
        <f>IF(L847="", "", L847-B847)</f>
        <v/>
      </c>
      <c r="O847">
        <f>IF(L847="", "Pending", IF(N847&lt;=30, "Met", "Breached"))</f>
        <v/>
      </c>
    </row>
    <row r="848">
      <c r="M848" s="11">
        <f>B848+30</f>
        <v/>
      </c>
      <c r="N848">
        <f>IF(L848="", "", L848-B848)</f>
        <v/>
      </c>
      <c r="O848">
        <f>IF(L848="", "Pending", IF(N848&lt;=30, "Met", "Breached"))</f>
        <v/>
      </c>
    </row>
    <row r="849">
      <c r="M849" s="11">
        <f>B849+30</f>
        <v/>
      </c>
      <c r="N849">
        <f>IF(L849="", "", L849-B849)</f>
        <v/>
      </c>
      <c r="O849">
        <f>IF(L849="", "Pending", IF(N849&lt;=30, "Met", "Breached"))</f>
        <v/>
      </c>
    </row>
    <row r="850">
      <c r="M850" s="11">
        <f>B850+30</f>
        <v/>
      </c>
      <c r="N850">
        <f>IF(L850="", "", L850-B850)</f>
        <v/>
      </c>
      <c r="O850">
        <f>IF(L850="", "Pending", IF(N850&lt;=30, "Met", "Breached"))</f>
        <v/>
      </c>
    </row>
    <row r="851">
      <c r="M851" s="11">
        <f>B851+30</f>
        <v/>
      </c>
      <c r="N851">
        <f>IF(L851="", "", L851-B851)</f>
        <v/>
      </c>
      <c r="O851">
        <f>IF(L851="", "Pending", IF(N851&lt;=30, "Met", "Breached"))</f>
        <v/>
      </c>
    </row>
    <row r="852">
      <c r="M852" s="11">
        <f>B852+30</f>
        <v/>
      </c>
      <c r="N852">
        <f>IF(L852="", "", L852-B852)</f>
        <v/>
      </c>
      <c r="O852">
        <f>IF(L852="", "Pending", IF(N852&lt;=30, "Met", "Breached"))</f>
        <v/>
      </c>
    </row>
    <row r="853">
      <c r="M853" s="11">
        <f>B853+30</f>
        <v/>
      </c>
      <c r="N853">
        <f>IF(L853="", "", L853-B853)</f>
        <v/>
      </c>
      <c r="O853">
        <f>IF(L853="", "Pending", IF(N853&lt;=30, "Met", "Breached"))</f>
        <v/>
      </c>
    </row>
    <row r="854">
      <c r="M854" s="11">
        <f>B854+30</f>
        <v/>
      </c>
      <c r="N854">
        <f>IF(L854="", "", L854-B854)</f>
        <v/>
      </c>
      <c r="O854">
        <f>IF(L854="", "Pending", IF(N854&lt;=30, "Met", "Breached"))</f>
        <v/>
      </c>
    </row>
    <row r="855">
      <c r="M855" s="11">
        <f>B855+30</f>
        <v/>
      </c>
      <c r="N855">
        <f>IF(L855="", "", L855-B855)</f>
        <v/>
      </c>
      <c r="O855">
        <f>IF(L855="", "Pending", IF(N855&lt;=30, "Met", "Breached"))</f>
        <v/>
      </c>
    </row>
    <row r="856">
      <c r="M856" s="11">
        <f>B856+30</f>
        <v/>
      </c>
      <c r="N856">
        <f>IF(L856="", "", L856-B856)</f>
        <v/>
      </c>
      <c r="O856">
        <f>IF(L856="", "Pending", IF(N856&lt;=30, "Met", "Breached"))</f>
        <v/>
      </c>
    </row>
    <row r="857">
      <c r="M857" s="11">
        <f>B857+30</f>
        <v/>
      </c>
      <c r="N857">
        <f>IF(L857="", "", L857-B857)</f>
        <v/>
      </c>
      <c r="O857">
        <f>IF(L857="", "Pending", IF(N857&lt;=30, "Met", "Breached"))</f>
        <v/>
      </c>
    </row>
    <row r="858">
      <c r="M858" s="11">
        <f>B858+30</f>
        <v/>
      </c>
      <c r="N858">
        <f>IF(L858="", "", L858-B858)</f>
        <v/>
      </c>
      <c r="O858">
        <f>IF(L858="", "Pending", IF(N858&lt;=30, "Met", "Breached"))</f>
        <v/>
      </c>
    </row>
    <row r="859">
      <c r="M859" s="11">
        <f>B859+30</f>
        <v/>
      </c>
      <c r="N859">
        <f>IF(L859="", "", L859-B859)</f>
        <v/>
      </c>
      <c r="O859">
        <f>IF(L859="", "Pending", IF(N859&lt;=30, "Met", "Breached"))</f>
        <v/>
      </c>
    </row>
    <row r="860">
      <c r="M860" s="11">
        <f>B860+30</f>
        <v/>
      </c>
      <c r="N860">
        <f>IF(L860="", "", L860-B860)</f>
        <v/>
      </c>
      <c r="O860">
        <f>IF(L860="", "Pending", IF(N860&lt;=30, "Met", "Breached"))</f>
        <v/>
      </c>
    </row>
    <row r="861">
      <c r="M861" s="11">
        <f>B861+30</f>
        <v/>
      </c>
      <c r="N861">
        <f>IF(L861="", "", L861-B861)</f>
        <v/>
      </c>
      <c r="O861">
        <f>IF(L861="", "Pending", IF(N861&lt;=30, "Met", "Breached"))</f>
        <v/>
      </c>
    </row>
    <row r="862">
      <c r="M862" s="11">
        <f>B862+30</f>
        <v/>
      </c>
      <c r="N862">
        <f>IF(L862="", "", L862-B862)</f>
        <v/>
      </c>
      <c r="O862">
        <f>IF(L862="", "Pending", IF(N862&lt;=30, "Met", "Breached"))</f>
        <v/>
      </c>
    </row>
    <row r="863">
      <c r="M863" s="11">
        <f>B863+30</f>
        <v/>
      </c>
      <c r="N863">
        <f>IF(L863="", "", L863-B863)</f>
        <v/>
      </c>
      <c r="O863">
        <f>IF(L863="", "Pending", IF(N863&lt;=30, "Met", "Breached"))</f>
        <v/>
      </c>
    </row>
    <row r="864">
      <c r="M864" s="11">
        <f>B864+30</f>
        <v/>
      </c>
      <c r="N864">
        <f>IF(L864="", "", L864-B864)</f>
        <v/>
      </c>
      <c r="O864">
        <f>IF(L864="", "Pending", IF(N864&lt;=30, "Met", "Breached"))</f>
        <v/>
      </c>
    </row>
    <row r="865">
      <c r="M865" s="11">
        <f>B865+30</f>
        <v/>
      </c>
      <c r="N865">
        <f>IF(L865="", "", L865-B865)</f>
        <v/>
      </c>
      <c r="O865">
        <f>IF(L865="", "Pending", IF(N865&lt;=30, "Met", "Breached"))</f>
        <v/>
      </c>
    </row>
    <row r="866">
      <c r="M866" s="11">
        <f>B866+30</f>
        <v/>
      </c>
      <c r="N866">
        <f>IF(L866="", "", L866-B866)</f>
        <v/>
      </c>
      <c r="O866">
        <f>IF(L866="", "Pending", IF(N866&lt;=30, "Met", "Breached"))</f>
        <v/>
      </c>
    </row>
    <row r="867">
      <c r="M867" s="11">
        <f>B867+30</f>
        <v/>
      </c>
      <c r="N867">
        <f>IF(L867="", "", L867-B867)</f>
        <v/>
      </c>
      <c r="O867">
        <f>IF(L867="", "Pending", IF(N867&lt;=30, "Met", "Breached"))</f>
        <v/>
      </c>
    </row>
    <row r="868">
      <c r="M868" s="11">
        <f>B868+30</f>
        <v/>
      </c>
      <c r="N868">
        <f>IF(L868="", "", L868-B868)</f>
        <v/>
      </c>
      <c r="O868">
        <f>IF(L868="", "Pending", IF(N868&lt;=30, "Met", "Breached"))</f>
        <v/>
      </c>
    </row>
    <row r="869">
      <c r="M869" s="11">
        <f>B869+30</f>
        <v/>
      </c>
      <c r="N869">
        <f>IF(L869="", "", L869-B869)</f>
        <v/>
      </c>
      <c r="O869">
        <f>IF(L869="", "Pending", IF(N869&lt;=30, "Met", "Breached"))</f>
        <v/>
      </c>
    </row>
    <row r="870">
      <c r="M870" s="11">
        <f>B870+30</f>
        <v/>
      </c>
      <c r="N870">
        <f>IF(L870="", "", L870-B870)</f>
        <v/>
      </c>
      <c r="O870">
        <f>IF(L870="", "Pending", IF(N870&lt;=30, "Met", "Breached"))</f>
        <v/>
      </c>
    </row>
    <row r="871">
      <c r="M871" s="11">
        <f>B871+30</f>
        <v/>
      </c>
      <c r="N871">
        <f>IF(L871="", "", L871-B871)</f>
        <v/>
      </c>
      <c r="O871">
        <f>IF(L871="", "Pending", IF(N871&lt;=30, "Met", "Breached"))</f>
        <v/>
      </c>
    </row>
    <row r="872">
      <c r="M872" s="11">
        <f>B872+30</f>
        <v/>
      </c>
      <c r="N872">
        <f>IF(L872="", "", L872-B872)</f>
        <v/>
      </c>
      <c r="O872">
        <f>IF(L872="", "Pending", IF(N872&lt;=30, "Met", "Breached"))</f>
        <v/>
      </c>
    </row>
    <row r="873">
      <c r="M873" s="11">
        <f>B873+30</f>
        <v/>
      </c>
      <c r="N873">
        <f>IF(L873="", "", L873-B873)</f>
        <v/>
      </c>
      <c r="O873">
        <f>IF(L873="", "Pending", IF(N873&lt;=30, "Met", "Breached"))</f>
        <v/>
      </c>
    </row>
    <row r="874">
      <c r="M874" s="11">
        <f>B874+30</f>
        <v/>
      </c>
      <c r="N874">
        <f>IF(L874="", "", L874-B874)</f>
        <v/>
      </c>
      <c r="O874">
        <f>IF(L874="", "Pending", IF(N874&lt;=30, "Met", "Breached"))</f>
        <v/>
      </c>
    </row>
    <row r="875">
      <c r="M875" s="11">
        <f>B875+30</f>
        <v/>
      </c>
      <c r="N875">
        <f>IF(L875="", "", L875-B875)</f>
        <v/>
      </c>
      <c r="O875">
        <f>IF(L875="", "Pending", IF(N875&lt;=30, "Met", "Breached"))</f>
        <v/>
      </c>
    </row>
    <row r="876">
      <c r="M876" s="11">
        <f>B876+30</f>
        <v/>
      </c>
      <c r="N876">
        <f>IF(L876="", "", L876-B876)</f>
        <v/>
      </c>
      <c r="O876">
        <f>IF(L876="", "Pending", IF(N876&lt;=30, "Met", "Breached"))</f>
        <v/>
      </c>
    </row>
    <row r="877">
      <c r="M877" s="11">
        <f>B877+30</f>
        <v/>
      </c>
      <c r="N877">
        <f>IF(L877="", "", L877-B877)</f>
        <v/>
      </c>
      <c r="O877">
        <f>IF(L877="", "Pending", IF(N877&lt;=30, "Met", "Breached"))</f>
        <v/>
      </c>
    </row>
    <row r="878">
      <c r="M878" s="11">
        <f>B878+30</f>
        <v/>
      </c>
      <c r="N878">
        <f>IF(L878="", "", L878-B878)</f>
        <v/>
      </c>
      <c r="O878">
        <f>IF(L878="", "Pending", IF(N878&lt;=30, "Met", "Breached"))</f>
        <v/>
      </c>
    </row>
    <row r="879">
      <c r="M879" s="11">
        <f>B879+30</f>
        <v/>
      </c>
      <c r="N879">
        <f>IF(L879="", "", L879-B879)</f>
        <v/>
      </c>
      <c r="O879">
        <f>IF(L879="", "Pending", IF(N879&lt;=30, "Met", "Breached"))</f>
        <v/>
      </c>
    </row>
    <row r="880">
      <c r="M880" s="11">
        <f>B880+30</f>
        <v/>
      </c>
      <c r="N880">
        <f>IF(L880="", "", L880-B880)</f>
        <v/>
      </c>
      <c r="O880">
        <f>IF(L880="", "Pending", IF(N880&lt;=30, "Met", "Breached"))</f>
        <v/>
      </c>
    </row>
    <row r="881">
      <c r="M881" s="11">
        <f>B881+30</f>
        <v/>
      </c>
      <c r="N881">
        <f>IF(L881="", "", L881-B881)</f>
        <v/>
      </c>
      <c r="O881">
        <f>IF(L881="", "Pending", IF(N881&lt;=30, "Met", "Breached"))</f>
        <v/>
      </c>
    </row>
    <row r="882">
      <c r="M882" s="11">
        <f>B882+30</f>
        <v/>
      </c>
      <c r="N882">
        <f>IF(L882="", "", L882-B882)</f>
        <v/>
      </c>
      <c r="O882">
        <f>IF(L882="", "Pending", IF(N882&lt;=30, "Met", "Breached"))</f>
        <v/>
      </c>
    </row>
    <row r="883">
      <c r="M883" s="11">
        <f>B883+30</f>
        <v/>
      </c>
      <c r="N883">
        <f>IF(L883="", "", L883-B883)</f>
        <v/>
      </c>
      <c r="O883">
        <f>IF(L883="", "Pending", IF(N883&lt;=30, "Met", "Breached"))</f>
        <v/>
      </c>
    </row>
    <row r="884">
      <c r="M884" s="11">
        <f>B884+30</f>
        <v/>
      </c>
      <c r="N884">
        <f>IF(L884="", "", L884-B884)</f>
        <v/>
      </c>
      <c r="O884">
        <f>IF(L884="", "Pending", IF(N884&lt;=30, "Met", "Breached"))</f>
        <v/>
      </c>
    </row>
    <row r="885">
      <c r="M885" s="11">
        <f>B885+30</f>
        <v/>
      </c>
      <c r="N885">
        <f>IF(L885="", "", L885-B885)</f>
        <v/>
      </c>
      <c r="O885">
        <f>IF(L885="", "Pending", IF(N885&lt;=30, "Met", "Breached"))</f>
        <v/>
      </c>
    </row>
    <row r="886">
      <c r="M886" s="11">
        <f>B886+30</f>
        <v/>
      </c>
      <c r="N886">
        <f>IF(L886="", "", L886-B886)</f>
        <v/>
      </c>
      <c r="O886">
        <f>IF(L886="", "Pending", IF(N886&lt;=30, "Met", "Breached"))</f>
        <v/>
      </c>
    </row>
    <row r="887">
      <c r="M887" s="11">
        <f>B887+30</f>
        <v/>
      </c>
      <c r="N887">
        <f>IF(L887="", "", L887-B887)</f>
        <v/>
      </c>
      <c r="O887">
        <f>IF(L887="", "Pending", IF(N887&lt;=30, "Met", "Breached"))</f>
        <v/>
      </c>
    </row>
    <row r="888">
      <c r="M888" s="11">
        <f>B888+30</f>
        <v/>
      </c>
      <c r="N888">
        <f>IF(L888="", "", L888-B888)</f>
        <v/>
      </c>
      <c r="O888">
        <f>IF(L888="", "Pending", IF(N888&lt;=30, "Met", "Breached"))</f>
        <v/>
      </c>
    </row>
    <row r="889">
      <c r="M889" s="11">
        <f>B889+30</f>
        <v/>
      </c>
      <c r="N889">
        <f>IF(L889="", "", L889-B889)</f>
        <v/>
      </c>
      <c r="O889">
        <f>IF(L889="", "Pending", IF(N889&lt;=30, "Met", "Breached"))</f>
        <v/>
      </c>
    </row>
    <row r="890">
      <c r="M890" s="11">
        <f>B890+30</f>
        <v/>
      </c>
      <c r="N890">
        <f>IF(L890="", "", L890-B890)</f>
        <v/>
      </c>
      <c r="O890">
        <f>IF(L890="", "Pending", IF(N890&lt;=30, "Met", "Breached"))</f>
        <v/>
      </c>
    </row>
    <row r="891">
      <c r="M891" s="11">
        <f>B891+30</f>
        <v/>
      </c>
      <c r="N891">
        <f>IF(L891="", "", L891-B891)</f>
        <v/>
      </c>
      <c r="O891">
        <f>IF(L891="", "Pending", IF(N891&lt;=30, "Met", "Breached"))</f>
        <v/>
      </c>
    </row>
    <row r="892">
      <c r="M892" s="11">
        <f>B892+30</f>
        <v/>
      </c>
      <c r="N892">
        <f>IF(L892="", "", L892-B892)</f>
        <v/>
      </c>
      <c r="O892">
        <f>IF(L892="", "Pending", IF(N892&lt;=30, "Met", "Breached"))</f>
        <v/>
      </c>
    </row>
    <row r="893">
      <c r="M893" s="11">
        <f>B893+30</f>
        <v/>
      </c>
      <c r="N893">
        <f>IF(L893="", "", L893-B893)</f>
        <v/>
      </c>
      <c r="O893">
        <f>IF(L893="", "Pending", IF(N893&lt;=30, "Met", "Breached"))</f>
        <v/>
      </c>
    </row>
    <row r="894">
      <c r="M894" s="11">
        <f>B894+30</f>
        <v/>
      </c>
      <c r="N894">
        <f>IF(L894="", "", L894-B894)</f>
        <v/>
      </c>
      <c r="O894">
        <f>IF(L894="", "Pending", IF(N894&lt;=30, "Met", "Breached"))</f>
        <v/>
      </c>
    </row>
    <row r="895">
      <c r="M895" s="11">
        <f>B895+30</f>
        <v/>
      </c>
      <c r="N895">
        <f>IF(L895="", "", L895-B895)</f>
        <v/>
      </c>
      <c r="O895">
        <f>IF(L895="", "Pending", IF(N895&lt;=30, "Met", "Breached"))</f>
        <v/>
      </c>
    </row>
    <row r="896">
      <c r="M896" s="11">
        <f>B896+30</f>
        <v/>
      </c>
      <c r="N896">
        <f>IF(L896="", "", L896-B896)</f>
        <v/>
      </c>
      <c r="O896">
        <f>IF(L896="", "Pending", IF(N896&lt;=30, "Met", "Breached"))</f>
        <v/>
      </c>
    </row>
    <row r="897">
      <c r="M897" s="11">
        <f>B897+30</f>
        <v/>
      </c>
      <c r="N897">
        <f>IF(L897="", "", L897-B897)</f>
        <v/>
      </c>
      <c r="O897">
        <f>IF(L897="", "Pending", IF(N897&lt;=30, "Met", "Breached"))</f>
        <v/>
      </c>
    </row>
    <row r="898">
      <c r="M898" s="11">
        <f>B898+30</f>
        <v/>
      </c>
      <c r="N898">
        <f>IF(L898="", "", L898-B898)</f>
        <v/>
      </c>
      <c r="O898">
        <f>IF(L898="", "Pending", IF(N898&lt;=30, "Met", "Breached"))</f>
        <v/>
      </c>
    </row>
    <row r="899">
      <c r="M899" s="11">
        <f>B899+30</f>
        <v/>
      </c>
      <c r="N899">
        <f>IF(L899="", "", L899-B899)</f>
        <v/>
      </c>
      <c r="O899">
        <f>IF(L899="", "Pending", IF(N899&lt;=30, "Met", "Breached"))</f>
        <v/>
      </c>
    </row>
    <row r="900">
      <c r="M900" s="11">
        <f>B900+30</f>
        <v/>
      </c>
      <c r="N900">
        <f>IF(L900="", "", L900-B900)</f>
        <v/>
      </c>
      <c r="O900">
        <f>IF(L900="", "Pending", IF(N900&lt;=30, "Met", "Breached"))</f>
        <v/>
      </c>
    </row>
    <row r="901">
      <c r="M901" s="11">
        <f>B901+30</f>
        <v/>
      </c>
      <c r="N901">
        <f>IF(L901="", "", L901-B901)</f>
        <v/>
      </c>
      <c r="O901">
        <f>IF(L901="", "Pending", IF(N901&lt;=30, "Met", "Breached"))</f>
        <v/>
      </c>
    </row>
    <row r="902">
      <c r="M902" s="11">
        <f>B902+30</f>
        <v/>
      </c>
      <c r="N902">
        <f>IF(L902="", "", L902-B902)</f>
        <v/>
      </c>
      <c r="O902">
        <f>IF(L902="", "Pending", IF(N902&lt;=30, "Met", "Breached"))</f>
        <v/>
      </c>
    </row>
    <row r="903">
      <c r="M903" s="11">
        <f>B903+30</f>
        <v/>
      </c>
      <c r="N903">
        <f>IF(L903="", "", L903-B903)</f>
        <v/>
      </c>
      <c r="O903">
        <f>IF(L903="", "Pending", IF(N903&lt;=30, "Met", "Breached"))</f>
        <v/>
      </c>
    </row>
    <row r="904">
      <c r="M904" s="11">
        <f>B904+30</f>
        <v/>
      </c>
      <c r="N904">
        <f>IF(L904="", "", L904-B904)</f>
        <v/>
      </c>
      <c r="O904">
        <f>IF(L904="", "Pending", IF(N904&lt;=30, "Met", "Breached"))</f>
        <v/>
      </c>
    </row>
    <row r="905">
      <c r="M905" s="11">
        <f>B905+30</f>
        <v/>
      </c>
      <c r="N905">
        <f>IF(L905="", "", L905-B905)</f>
        <v/>
      </c>
      <c r="O905">
        <f>IF(L905="", "Pending", IF(N905&lt;=30, "Met", "Breached"))</f>
        <v/>
      </c>
    </row>
    <row r="906">
      <c r="M906" s="11">
        <f>B906+30</f>
        <v/>
      </c>
      <c r="N906">
        <f>IF(L906="", "", L906-B906)</f>
        <v/>
      </c>
      <c r="O906">
        <f>IF(L906="", "Pending", IF(N906&lt;=30, "Met", "Breached"))</f>
        <v/>
      </c>
    </row>
    <row r="907">
      <c r="M907" s="11">
        <f>B907+30</f>
        <v/>
      </c>
      <c r="N907">
        <f>IF(L907="", "", L907-B907)</f>
        <v/>
      </c>
      <c r="O907">
        <f>IF(L907="", "Pending", IF(N907&lt;=30, "Met", "Breached"))</f>
        <v/>
      </c>
    </row>
    <row r="908">
      <c r="M908" s="11">
        <f>B908+30</f>
        <v/>
      </c>
      <c r="N908">
        <f>IF(L908="", "", L908-B908)</f>
        <v/>
      </c>
      <c r="O908">
        <f>IF(L908="", "Pending", IF(N908&lt;=30, "Met", "Breached"))</f>
        <v/>
      </c>
    </row>
    <row r="909">
      <c r="M909" s="11">
        <f>B909+30</f>
        <v/>
      </c>
      <c r="N909">
        <f>IF(L909="", "", L909-B909)</f>
        <v/>
      </c>
      <c r="O909">
        <f>IF(L909="", "Pending", IF(N909&lt;=30, "Met", "Breached"))</f>
        <v/>
      </c>
    </row>
    <row r="910">
      <c r="M910" s="11">
        <f>B910+30</f>
        <v/>
      </c>
      <c r="N910">
        <f>IF(L910="", "", L910-B910)</f>
        <v/>
      </c>
      <c r="O910">
        <f>IF(L910="", "Pending", IF(N910&lt;=30, "Met", "Breached"))</f>
        <v/>
      </c>
    </row>
    <row r="911">
      <c r="M911" s="11">
        <f>B911+30</f>
        <v/>
      </c>
      <c r="N911">
        <f>IF(L911="", "", L911-B911)</f>
        <v/>
      </c>
      <c r="O911">
        <f>IF(L911="", "Pending", IF(N911&lt;=30, "Met", "Breached"))</f>
        <v/>
      </c>
    </row>
    <row r="912">
      <c r="M912" s="11">
        <f>B912+30</f>
        <v/>
      </c>
      <c r="N912">
        <f>IF(L912="", "", L912-B912)</f>
        <v/>
      </c>
      <c r="O912">
        <f>IF(L912="", "Pending", IF(N912&lt;=30, "Met", "Breached"))</f>
        <v/>
      </c>
    </row>
    <row r="913">
      <c r="M913" s="11">
        <f>B913+30</f>
        <v/>
      </c>
      <c r="N913">
        <f>IF(L913="", "", L913-B913)</f>
        <v/>
      </c>
      <c r="O913">
        <f>IF(L913="", "Pending", IF(N913&lt;=30, "Met", "Breached"))</f>
        <v/>
      </c>
    </row>
    <row r="914">
      <c r="M914" s="11">
        <f>B914+30</f>
        <v/>
      </c>
      <c r="N914">
        <f>IF(L914="", "", L914-B914)</f>
        <v/>
      </c>
      <c r="O914">
        <f>IF(L914="", "Pending", IF(N914&lt;=30, "Met", "Breached"))</f>
        <v/>
      </c>
    </row>
    <row r="915">
      <c r="M915" s="11">
        <f>B915+30</f>
        <v/>
      </c>
      <c r="N915">
        <f>IF(L915="", "", L915-B915)</f>
        <v/>
      </c>
      <c r="O915">
        <f>IF(L915="", "Pending", IF(N915&lt;=30, "Met", "Breached"))</f>
        <v/>
      </c>
    </row>
    <row r="916">
      <c r="M916" s="11">
        <f>B916+30</f>
        <v/>
      </c>
      <c r="N916">
        <f>IF(L916="", "", L916-B916)</f>
        <v/>
      </c>
      <c r="O916">
        <f>IF(L916="", "Pending", IF(N916&lt;=30, "Met", "Breached"))</f>
        <v/>
      </c>
    </row>
    <row r="917">
      <c r="M917" s="11">
        <f>B917+30</f>
        <v/>
      </c>
      <c r="N917">
        <f>IF(L917="", "", L917-B917)</f>
        <v/>
      </c>
      <c r="O917">
        <f>IF(L917="", "Pending", IF(N917&lt;=30, "Met", "Breached"))</f>
        <v/>
      </c>
    </row>
    <row r="918">
      <c r="M918" s="11">
        <f>B918+30</f>
        <v/>
      </c>
      <c r="N918">
        <f>IF(L918="", "", L918-B918)</f>
        <v/>
      </c>
      <c r="O918">
        <f>IF(L918="", "Pending", IF(N918&lt;=30, "Met", "Breached"))</f>
        <v/>
      </c>
    </row>
    <row r="919">
      <c r="M919" s="11">
        <f>B919+30</f>
        <v/>
      </c>
      <c r="N919">
        <f>IF(L919="", "", L919-B919)</f>
        <v/>
      </c>
      <c r="O919">
        <f>IF(L919="", "Pending", IF(N919&lt;=30, "Met", "Breached"))</f>
        <v/>
      </c>
    </row>
    <row r="920">
      <c r="M920" s="11">
        <f>B920+30</f>
        <v/>
      </c>
      <c r="N920">
        <f>IF(L920="", "", L920-B920)</f>
        <v/>
      </c>
      <c r="O920">
        <f>IF(L920="", "Pending", IF(N920&lt;=30, "Met", "Breached"))</f>
        <v/>
      </c>
    </row>
    <row r="921">
      <c r="M921" s="11">
        <f>B921+30</f>
        <v/>
      </c>
      <c r="N921">
        <f>IF(L921="", "", L921-B921)</f>
        <v/>
      </c>
      <c r="O921">
        <f>IF(L921="", "Pending", IF(N921&lt;=30, "Met", "Breached"))</f>
        <v/>
      </c>
    </row>
    <row r="922">
      <c r="M922" s="11">
        <f>B922+30</f>
        <v/>
      </c>
      <c r="N922">
        <f>IF(L922="", "", L922-B922)</f>
        <v/>
      </c>
      <c r="O922">
        <f>IF(L922="", "Pending", IF(N922&lt;=30, "Met", "Breached"))</f>
        <v/>
      </c>
    </row>
    <row r="923">
      <c r="M923" s="11">
        <f>B923+30</f>
        <v/>
      </c>
      <c r="N923">
        <f>IF(L923="", "", L923-B923)</f>
        <v/>
      </c>
      <c r="O923">
        <f>IF(L923="", "Pending", IF(N923&lt;=30, "Met", "Breached"))</f>
        <v/>
      </c>
    </row>
    <row r="924">
      <c r="M924" s="11">
        <f>B924+30</f>
        <v/>
      </c>
      <c r="N924">
        <f>IF(L924="", "", L924-B924)</f>
        <v/>
      </c>
      <c r="O924">
        <f>IF(L924="", "Pending", IF(N924&lt;=30, "Met", "Breached"))</f>
        <v/>
      </c>
    </row>
    <row r="925">
      <c r="M925" s="11">
        <f>B925+30</f>
        <v/>
      </c>
      <c r="N925">
        <f>IF(L925="", "", L925-B925)</f>
        <v/>
      </c>
      <c r="O925">
        <f>IF(L925="", "Pending", IF(N925&lt;=30, "Met", "Breached"))</f>
        <v/>
      </c>
    </row>
    <row r="926">
      <c r="M926" s="11">
        <f>B926+30</f>
        <v/>
      </c>
      <c r="N926">
        <f>IF(L926="", "", L926-B926)</f>
        <v/>
      </c>
      <c r="O926">
        <f>IF(L926="", "Pending", IF(N926&lt;=30, "Met", "Breached"))</f>
        <v/>
      </c>
    </row>
    <row r="927">
      <c r="M927" s="11">
        <f>B927+30</f>
        <v/>
      </c>
      <c r="N927">
        <f>IF(L927="", "", L927-B927)</f>
        <v/>
      </c>
      <c r="O927">
        <f>IF(L927="", "Pending", IF(N927&lt;=30, "Met", "Breached"))</f>
        <v/>
      </c>
    </row>
    <row r="928">
      <c r="M928" s="11">
        <f>B928+30</f>
        <v/>
      </c>
      <c r="N928">
        <f>IF(L928="", "", L928-B928)</f>
        <v/>
      </c>
      <c r="O928">
        <f>IF(L928="", "Pending", IF(N928&lt;=30, "Met", "Breached"))</f>
        <v/>
      </c>
    </row>
    <row r="929">
      <c r="M929" s="11">
        <f>B929+30</f>
        <v/>
      </c>
      <c r="N929">
        <f>IF(L929="", "", L929-B929)</f>
        <v/>
      </c>
      <c r="O929">
        <f>IF(L929="", "Pending", IF(N929&lt;=30, "Met", "Breached"))</f>
        <v/>
      </c>
    </row>
    <row r="930">
      <c r="M930" s="11">
        <f>B930+30</f>
        <v/>
      </c>
      <c r="N930">
        <f>IF(L930="", "", L930-B930)</f>
        <v/>
      </c>
      <c r="O930">
        <f>IF(L930="", "Pending", IF(N930&lt;=30, "Met", "Breached"))</f>
        <v/>
      </c>
    </row>
    <row r="931">
      <c r="M931" s="11">
        <f>B931+30</f>
        <v/>
      </c>
      <c r="N931">
        <f>IF(L931="", "", L931-B931)</f>
        <v/>
      </c>
      <c r="O931">
        <f>IF(L931="", "Pending", IF(N931&lt;=30, "Met", "Breached"))</f>
        <v/>
      </c>
    </row>
    <row r="932">
      <c r="M932" s="11">
        <f>B932+30</f>
        <v/>
      </c>
      <c r="N932">
        <f>IF(L932="", "", L932-B932)</f>
        <v/>
      </c>
      <c r="O932">
        <f>IF(L932="", "Pending", IF(N932&lt;=30, "Met", "Breached"))</f>
        <v/>
      </c>
    </row>
    <row r="933">
      <c r="M933" s="11">
        <f>B933+30</f>
        <v/>
      </c>
      <c r="N933">
        <f>IF(L933="", "", L933-B933)</f>
        <v/>
      </c>
      <c r="O933">
        <f>IF(L933="", "Pending", IF(N933&lt;=30, "Met", "Breached"))</f>
        <v/>
      </c>
    </row>
    <row r="934">
      <c r="M934" s="11">
        <f>B934+30</f>
        <v/>
      </c>
      <c r="N934">
        <f>IF(L934="", "", L934-B934)</f>
        <v/>
      </c>
      <c r="O934">
        <f>IF(L934="", "Pending", IF(N934&lt;=30, "Met", "Breached"))</f>
        <v/>
      </c>
    </row>
    <row r="935">
      <c r="M935" s="11">
        <f>B935+30</f>
        <v/>
      </c>
      <c r="N935">
        <f>IF(L935="", "", L935-B935)</f>
        <v/>
      </c>
      <c r="O935">
        <f>IF(L935="", "Pending", IF(N935&lt;=30, "Met", "Breached"))</f>
        <v/>
      </c>
    </row>
    <row r="936">
      <c r="M936" s="11">
        <f>B936+30</f>
        <v/>
      </c>
      <c r="N936">
        <f>IF(L936="", "", L936-B936)</f>
        <v/>
      </c>
      <c r="O936">
        <f>IF(L936="", "Pending", IF(N936&lt;=30, "Met", "Breached"))</f>
        <v/>
      </c>
    </row>
    <row r="937">
      <c r="M937" s="11">
        <f>B937+30</f>
        <v/>
      </c>
      <c r="N937">
        <f>IF(L937="", "", L937-B937)</f>
        <v/>
      </c>
      <c r="O937">
        <f>IF(L937="", "Pending", IF(N937&lt;=30, "Met", "Breached"))</f>
        <v/>
      </c>
    </row>
    <row r="938">
      <c r="M938" s="11">
        <f>B938+30</f>
        <v/>
      </c>
      <c r="N938">
        <f>IF(L938="", "", L938-B938)</f>
        <v/>
      </c>
      <c r="O938">
        <f>IF(L938="", "Pending", IF(N938&lt;=30, "Met", "Breached"))</f>
        <v/>
      </c>
    </row>
    <row r="939">
      <c r="M939" s="11">
        <f>B939+30</f>
        <v/>
      </c>
      <c r="N939">
        <f>IF(L939="", "", L939-B939)</f>
        <v/>
      </c>
      <c r="O939">
        <f>IF(L939="", "Pending", IF(N939&lt;=30, "Met", "Breached"))</f>
        <v/>
      </c>
    </row>
    <row r="940">
      <c r="M940" s="11">
        <f>B940+30</f>
        <v/>
      </c>
      <c r="N940">
        <f>IF(L940="", "", L940-B940)</f>
        <v/>
      </c>
      <c r="O940">
        <f>IF(L940="", "Pending", IF(N940&lt;=30, "Met", "Breached"))</f>
        <v/>
      </c>
    </row>
    <row r="941">
      <c r="M941" s="11">
        <f>B941+30</f>
        <v/>
      </c>
      <c r="N941">
        <f>IF(L941="", "", L941-B941)</f>
        <v/>
      </c>
      <c r="O941">
        <f>IF(L941="", "Pending", IF(N941&lt;=30, "Met", "Breached"))</f>
        <v/>
      </c>
    </row>
    <row r="942">
      <c r="M942" s="11">
        <f>B942+30</f>
        <v/>
      </c>
      <c r="N942">
        <f>IF(L942="", "", L942-B942)</f>
        <v/>
      </c>
      <c r="O942">
        <f>IF(L942="", "Pending", IF(N942&lt;=30, "Met", "Breached"))</f>
        <v/>
      </c>
    </row>
    <row r="943">
      <c r="M943" s="11">
        <f>B943+30</f>
        <v/>
      </c>
      <c r="N943">
        <f>IF(L943="", "", L943-B943)</f>
        <v/>
      </c>
      <c r="O943">
        <f>IF(L943="", "Pending", IF(N943&lt;=30, "Met", "Breached"))</f>
        <v/>
      </c>
    </row>
    <row r="944">
      <c r="M944" s="11">
        <f>B944+30</f>
        <v/>
      </c>
      <c r="N944">
        <f>IF(L944="", "", L944-B944)</f>
        <v/>
      </c>
      <c r="O944">
        <f>IF(L944="", "Pending", IF(N944&lt;=30, "Met", "Breached"))</f>
        <v/>
      </c>
    </row>
    <row r="945">
      <c r="M945" s="11">
        <f>B945+30</f>
        <v/>
      </c>
      <c r="N945">
        <f>IF(L945="", "", L945-B945)</f>
        <v/>
      </c>
      <c r="O945">
        <f>IF(L945="", "Pending", IF(N945&lt;=30, "Met", "Breached"))</f>
        <v/>
      </c>
    </row>
    <row r="946">
      <c r="M946" s="11">
        <f>B946+30</f>
        <v/>
      </c>
      <c r="N946">
        <f>IF(L946="", "", L946-B946)</f>
        <v/>
      </c>
      <c r="O946">
        <f>IF(L946="", "Pending", IF(N946&lt;=30, "Met", "Breached"))</f>
        <v/>
      </c>
    </row>
    <row r="947">
      <c r="M947" s="11">
        <f>B947+30</f>
        <v/>
      </c>
      <c r="N947">
        <f>IF(L947="", "", L947-B947)</f>
        <v/>
      </c>
      <c r="O947">
        <f>IF(L947="", "Pending", IF(N947&lt;=30, "Met", "Breached"))</f>
        <v/>
      </c>
    </row>
    <row r="948">
      <c r="M948" s="11">
        <f>B948+30</f>
        <v/>
      </c>
      <c r="N948">
        <f>IF(L948="", "", L948-B948)</f>
        <v/>
      </c>
      <c r="O948">
        <f>IF(L948="", "Pending", IF(N948&lt;=30, "Met", "Breached"))</f>
        <v/>
      </c>
    </row>
    <row r="949">
      <c r="M949" s="11">
        <f>B949+30</f>
        <v/>
      </c>
      <c r="N949">
        <f>IF(L949="", "", L949-B949)</f>
        <v/>
      </c>
      <c r="O949">
        <f>IF(L949="", "Pending", IF(N949&lt;=30, "Met", "Breached"))</f>
        <v/>
      </c>
    </row>
    <row r="950">
      <c r="M950" s="11">
        <f>B950+30</f>
        <v/>
      </c>
      <c r="N950">
        <f>IF(L950="", "", L950-B950)</f>
        <v/>
      </c>
      <c r="O950">
        <f>IF(L950="", "Pending", IF(N950&lt;=30, "Met", "Breached"))</f>
        <v/>
      </c>
    </row>
    <row r="951">
      <c r="M951" s="11">
        <f>B951+30</f>
        <v/>
      </c>
      <c r="N951">
        <f>IF(L951="", "", L951-B951)</f>
        <v/>
      </c>
      <c r="O951">
        <f>IF(L951="", "Pending", IF(N951&lt;=30, "Met", "Breached"))</f>
        <v/>
      </c>
    </row>
    <row r="952">
      <c r="M952" s="11">
        <f>B952+30</f>
        <v/>
      </c>
      <c r="N952">
        <f>IF(L952="", "", L952-B952)</f>
        <v/>
      </c>
      <c r="O952">
        <f>IF(L952="", "Pending", IF(N952&lt;=30, "Met", "Breached"))</f>
        <v/>
      </c>
    </row>
    <row r="953">
      <c r="M953" s="11">
        <f>B953+30</f>
        <v/>
      </c>
      <c r="N953">
        <f>IF(L953="", "", L953-B953)</f>
        <v/>
      </c>
      <c r="O953">
        <f>IF(L953="", "Pending", IF(N953&lt;=30, "Met", "Breached"))</f>
        <v/>
      </c>
    </row>
    <row r="954">
      <c r="M954" s="11">
        <f>B954+30</f>
        <v/>
      </c>
      <c r="N954">
        <f>IF(L954="", "", L954-B954)</f>
        <v/>
      </c>
      <c r="O954">
        <f>IF(L954="", "Pending", IF(N954&lt;=30, "Met", "Breached"))</f>
        <v/>
      </c>
    </row>
    <row r="955">
      <c r="M955" s="11">
        <f>B955+30</f>
        <v/>
      </c>
      <c r="N955">
        <f>IF(L955="", "", L955-B955)</f>
        <v/>
      </c>
      <c r="O955">
        <f>IF(L955="", "Pending", IF(N955&lt;=30, "Met", "Breached"))</f>
        <v/>
      </c>
    </row>
    <row r="956">
      <c r="M956" s="11">
        <f>B956+30</f>
        <v/>
      </c>
      <c r="N956">
        <f>IF(L956="", "", L956-B956)</f>
        <v/>
      </c>
      <c r="O956">
        <f>IF(L956="", "Pending", IF(N956&lt;=30, "Met", "Breached"))</f>
        <v/>
      </c>
    </row>
    <row r="957">
      <c r="M957" s="11">
        <f>B957+30</f>
        <v/>
      </c>
      <c r="N957">
        <f>IF(L957="", "", L957-B957)</f>
        <v/>
      </c>
      <c r="O957">
        <f>IF(L957="", "Pending", IF(N957&lt;=30, "Met", "Breached"))</f>
        <v/>
      </c>
    </row>
    <row r="958">
      <c r="M958" s="11">
        <f>B958+30</f>
        <v/>
      </c>
      <c r="N958">
        <f>IF(L958="", "", L958-B958)</f>
        <v/>
      </c>
      <c r="O958">
        <f>IF(L958="", "Pending", IF(N958&lt;=30, "Met", "Breached"))</f>
        <v/>
      </c>
    </row>
    <row r="959">
      <c r="M959" s="11">
        <f>B959+30</f>
        <v/>
      </c>
      <c r="N959">
        <f>IF(L959="", "", L959-B959)</f>
        <v/>
      </c>
      <c r="O959">
        <f>IF(L959="", "Pending", IF(N959&lt;=30, "Met", "Breached"))</f>
        <v/>
      </c>
    </row>
    <row r="960">
      <c r="M960" s="11">
        <f>B960+30</f>
        <v/>
      </c>
      <c r="N960">
        <f>IF(L960="", "", L960-B960)</f>
        <v/>
      </c>
      <c r="O960">
        <f>IF(L960="", "Pending", IF(N960&lt;=30, "Met", "Breached"))</f>
        <v/>
      </c>
    </row>
    <row r="961">
      <c r="M961" s="11">
        <f>B961+30</f>
        <v/>
      </c>
      <c r="N961">
        <f>IF(L961="", "", L961-B961)</f>
        <v/>
      </c>
      <c r="O961">
        <f>IF(L961="", "Pending", IF(N961&lt;=30, "Met", "Breached"))</f>
        <v/>
      </c>
    </row>
    <row r="962">
      <c r="M962" s="11">
        <f>B962+30</f>
        <v/>
      </c>
      <c r="N962">
        <f>IF(L962="", "", L962-B962)</f>
        <v/>
      </c>
      <c r="O962">
        <f>IF(L962="", "Pending", IF(N962&lt;=30, "Met", "Breached"))</f>
        <v/>
      </c>
    </row>
    <row r="963">
      <c r="M963" s="11">
        <f>B963+30</f>
        <v/>
      </c>
      <c r="N963">
        <f>IF(L963="", "", L963-B963)</f>
        <v/>
      </c>
      <c r="O963">
        <f>IF(L963="", "Pending", IF(N963&lt;=30, "Met", "Breached"))</f>
        <v/>
      </c>
    </row>
    <row r="964">
      <c r="M964" s="11">
        <f>B964+30</f>
        <v/>
      </c>
      <c r="N964">
        <f>IF(L964="", "", L964-B964)</f>
        <v/>
      </c>
      <c r="O964">
        <f>IF(L964="", "Pending", IF(N964&lt;=30, "Met", "Breached"))</f>
        <v/>
      </c>
    </row>
    <row r="965">
      <c r="M965" s="11">
        <f>B965+30</f>
        <v/>
      </c>
      <c r="N965">
        <f>IF(L965="", "", L965-B965)</f>
        <v/>
      </c>
      <c r="O965">
        <f>IF(L965="", "Pending", IF(N965&lt;=30, "Met", "Breached"))</f>
        <v/>
      </c>
    </row>
    <row r="966">
      <c r="M966" s="11">
        <f>B966+30</f>
        <v/>
      </c>
      <c r="N966">
        <f>IF(L966="", "", L966-B966)</f>
        <v/>
      </c>
      <c r="O966">
        <f>IF(L966="", "Pending", IF(N966&lt;=30, "Met", "Breached"))</f>
        <v/>
      </c>
    </row>
    <row r="967">
      <c r="M967" s="11">
        <f>B967+30</f>
        <v/>
      </c>
      <c r="N967">
        <f>IF(L967="", "", L967-B967)</f>
        <v/>
      </c>
      <c r="O967">
        <f>IF(L967="", "Pending", IF(N967&lt;=30, "Met", "Breached"))</f>
        <v/>
      </c>
    </row>
    <row r="968">
      <c r="M968" s="11">
        <f>B968+30</f>
        <v/>
      </c>
      <c r="N968">
        <f>IF(L968="", "", L968-B968)</f>
        <v/>
      </c>
      <c r="O968">
        <f>IF(L968="", "Pending", IF(N968&lt;=30, "Met", "Breached"))</f>
        <v/>
      </c>
    </row>
    <row r="969">
      <c r="M969" s="11">
        <f>B969+30</f>
        <v/>
      </c>
      <c r="N969">
        <f>IF(L969="", "", L969-B969)</f>
        <v/>
      </c>
      <c r="O969">
        <f>IF(L969="", "Pending", IF(N969&lt;=30, "Met", "Breached"))</f>
        <v/>
      </c>
    </row>
    <row r="970">
      <c r="M970" s="11">
        <f>B970+30</f>
        <v/>
      </c>
      <c r="N970">
        <f>IF(L970="", "", L970-B970)</f>
        <v/>
      </c>
      <c r="O970">
        <f>IF(L970="", "Pending", IF(N970&lt;=30, "Met", "Breached"))</f>
        <v/>
      </c>
    </row>
    <row r="971">
      <c r="M971" s="11">
        <f>B971+30</f>
        <v/>
      </c>
      <c r="N971">
        <f>IF(L971="", "", L971-B971)</f>
        <v/>
      </c>
      <c r="O971">
        <f>IF(L971="", "Pending", IF(N971&lt;=30, "Met", "Breached"))</f>
        <v/>
      </c>
    </row>
    <row r="972">
      <c r="M972" s="11">
        <f>B972+30</f>
        <v/>
      </c>
      <c r="N972">
        <f>IF(L972="", "", L972-B972)</f>
        <v/>
      </c>
      <c r="O972">
        <f>IF(L972="", "Pending", IF(N972&lt;=30, "Met", "Breached"))</f>
        <v/>
      </c>
    </row>
    <row r="973">
      <c r="M973" s="11">
        <f>B973+30</f>
        <v/>
      </c>
      <c r="N973">
        <f>IF(L973="", "", L973-B973)</f>
        <v/>
      </c>
      <c r="O973">
        <f>IF(L973="", "Pending", IF(N973&lt;=30, "Met", "Breached"))</f>
        <v/>
      </c>
    </row>
    <row r="974">
      <c r="M974" s="11">
        <f>B974+30</f>
        <v/>
      </c>
      <c r="N974">
        <f>IF(L974="", "", L974-B974)</f>
        <v/>
      </c>
      <c r="O974">
        <f>IF(L974="", "Pending", IF(N974&lt;=30, "Met", "Breached"))</f>
        <v/>
      </c>
    </row>
    <row r="975">
      <c r="M975" s="11">
        <f>B975+30</f>
        <v/>
      </c>
      <c r="N975">
        <f>IF(L975="", "", L975-B975)</f>
        <v/>
      </c>
      <c r="O975">
        <f>IF(L975="", "Pending", IF(N975&lt;=30, "Met", "Breached"))</f>
        <v/>
      </c>
    </row>
    <row r="976">
      <c r="M976" s="11">
        <f>B976+30</f>
        <v/>
      </c>
      <c r="N976">
        <f>IF(L976="", "", L976-B976)</f>
        <v/>
      </c>
      <c r="O976">
        <f>IF(L976="", "Pending", IF(N976&lt;=30, "Met", "Breached"))</f>
        <v/>
      </c>
    </row>
    <row r="977">
      <c r="M977" s="11">
        <f>B977+30</f>
        <v/>
      </c>
      <c r="N977">
        <f>IF(L977="", "", L977-B977)</f>
        <v/>
      </c>
      <c r="O977">
        <f>IF(L977="", "Pending", IF(N977&lt;=30, "Met", "Breached"))</f>
        <v/>
      </c>
    </row>
    <row r="978">
      <c r="M978" s="11">
        <f>B978+30</f>
        <v/>
      </c>
      <c r="N978">
        <f>IF(L978="", "", L978-B978)</f>
        <v/>
      </c>
      <c r="O978">
        <f>IF(L978="", "Pending", IF(N978&lt;=30, "Met", "Breached"))</f>
        <v/>
      </c>
    </row>
    <row r="979">
      <c r="M979" s="11">
        <f>B979+30</f>
        <v/>
      </c>
      <c r="N979">
        <f>IF(L979="", "", L979-B979)</f>
        <v/>
      </c>
      <c r="O979">
        <f>IF(L979="", "Pending", IF(N979&lt;=30, "Met", "Breached"))</f>
        <v/>
      </c>
    </row>
    <row r="980">
      <c r="M980" s="11">
        <f>B980+30</f>
        <v/>
      </c>
      <c r="N980">
        <f>IF(L980="", "", L980-B980)</f>
        <v/>
      </c>
      <c r="O980">
        <f>IF(L980="", "Pending", IF(N980&lt;=30, "Met", "Breached"))</f>
        <v/>
      </c>
    </row>
    <row r="981">
      <c r="M981" s="11">
        <f>B981+30</f>
        <v/>
      </c>
      <c r="N981">
        <f>IF(L981="", "", L981-B981)</f>
        <v/>
      </c>
      <c r="O981">
        <f>IF(L981="", "Pending", IF(N981&lt;=30, "Met", "Breached"))</f>
        <v/>
      </c>
    </row>
    <row r="982">
      <c r="M982" s="11">
        <f>B982+30</f>
        <v/>
      </c>
      <c r="N982">
        <f>IF(L982="", "", L982-B982)</f>
        <v/>
      </c>
      <c r="O982">
        <f>IF(L982="", "Pending", IF(N982&lt;=30, "Met", "Breached"))</f>
        <v/>
      </c>
    </row>
    <row r="983">
      <c r="M983" s="11">
        <f>B983+30</f>
        <v/>
      </c>
      <c r="N983">
        <f>IF(L983="", "", L983-B983)</f>
        <v/>
      </c>
      <c r="O983">
        <f>IF(L983="", "Pending", IF(N983&lt;=30, "Met", "Breached"))</f>
        <v/>
      </c>
    </row>
    <row r="984">
      <c r="M984" s="11">
        <f>B984+30</f>
        <v/>
      </c>
      <c r="N984">
        <f>IF(L984="", "", L984-B984)</f>
        <v/>
      </c>
      <c r="O984">
        <f>IF(L984="", "Pending", IF(N984&lt;=30, "Met", "Breached"))</f>
        <v/>
      </c>
    </row>
    <row r="985">
      <c r="M985" s="11">
        <f>B985+30</f>
        <v/>
      </c>
      <c r="N985">
        <f>IF(L985="", "", L985-B985)</f>
        <v/>
      </c>
      <c r="O985">
        <f>IF(L985="", "Pending", IF(N985&lt;=30, "Met", "Breached"))</f>
        <v/>
      </c>
    </row>
    <row r="986">
      <c r="M986" s="11">
        <f>B986+30</f>
        <v/>
      </c>
      <c r="N986">
        <f>IF(L986="", "", L986-B986)</f>
        <v/>
      </c>
      <c r="O986">
        <f>IF(L986="", "Pending", IF(N986&lt;=30, "Met", "Breached"))</f>
        <v/>
      </c>
    </row>
    <row r="987">
      <c r="M987" s="11">
        <f>B987+30</f>
        <v/>
      </c>
      <c r="N987">
        <f>IF(L987="", "", L987-B987)</f>
        <v/>
      </c>
      <c r="O987">
        <f>IF(L987="", "Pending", IF(N987&lt;=30, "Met", "Breached"))</f>
        <v/>
      </c>
    </row>
    <row r="988">
      <c r="M988" s="11">
        <f>B988+30</f>
        <v/>
      </c>
      <c r="N988">
        <f>IF(L988="", "", L988-B988)</f>
        <v/>
      </c>
      <c r="O988">
        <f>IF(L988="", "Pending", IF(N988&lt;=30, "Met", "Breached"))</f>
        <v/>
      </c>
    </row>
    <row r="989">
      <c r="M989" s="11">
        <f>B989+30</f>
        <v/>
      </c>
      <c r="N989">
        <f>IF(L989="", "", L989-B989)</f>
        <v/>
      </c>
      <c r="O989">
        <f>IF(L989="", "Pending", IF(N989&lt;=30, "Met", "Breached"))</f>
        <v/>
      </c>
    </row>
    <row r="990">
      <c r="M990" s="11">
        <f>B990+30</f>
        <v/>
      </c>
      <c r="N990">
        <f>IF(L990="", "", L990-B990)</f>
        <v/>
      </c>
      <c r="O990">
        <f>IF(L990="", "Pending", IF(N990&lt;=30, "Met", "Breached"))</f>
        <v/>
      </c>
    </row>
    <row r="991">
      <c r="M991" s="11">
        <f>B991+30</f>
        <v/>
      </c>
      <c r="N991">
        <f>IF(L991="", "", L991-B991)</f>
        <v/>
      </c>
      <c r="O991">
        <f>IF(L991="", "Pending", IF(N991&lt;=30, "Met", "Breached"))</f>
        <v/>
      </c>
    </row>
    <row r="992">
      <c r="M992" s="11">
        <f>B992+30</f>
        <v/>
      </c>
      <c r="N992">
        <f>IF(L992="", "", L992-B992)</f>
        <v/>
      </c>
      <c r="O992">
        <f>IF(L992="", "Pending", IF(N992&lt;=30, "Met", "Breached"))</f>
        <v/>
      </c>
    </row>
    <row r="993">
      <c r="M993" s="11">
        <f>B993+30</f>
        <v/>
      </c>
      <c r="N993">
        <f>IF(L993="", "", L993-B993)</f>
        <v/>
      </c>
      <c r="O993">
        <f>IF(L993="", "Pending", IF(N993&lt;=30, "Met", "Breached"))</f>
        <v/>
      </c>
    </row>
    <row r="994">
      <c r="M994" s="11">
        <f>B994+30</f>
        <v/>
      </c>
      <c r="N994">
        <f>IF(L994="", "", L994-B994)</f>
        <v/>
      </c>
      <c r="O994">
        <f>IF(L994="", "Pending", IF(N994&lt;=30, "Met", "Breached"))</f>
        <v/>
      </c>
    </row>
    <row r="995">
      <c r="M995" s="11">
        <f>B995+30</f>
        <v/>
      </c>
      <c r="N995">
        <f>IF(L995="", "", L995-B995)</f>
        <v/>
      </c>
      <c r="O995">
        <f>IF(L995="", "Pending", IF(N995&lt;=30, "Met", "Breached"))</f>
        <v/>
      </c>
    </row>
    <row r="996">
      <c r="M996" s="11">
        <f>B996+30</f>
        <v/>
      </c>
      <c r="N996">
        <f>IF(L996="", "", L996-B996)</f>
        <v/>
      </c>
      <c r="O996">
        <f>IF(L996="", "Pending", IF(N996&lt;=30, "Met", "Breached"))</f>
        <v/>
      </c>
    </row>
    <row r="997">
      <c r="M997" s="11">
        <f>B997+30</f>
        <v/>
      </c>
      <c r="N997">
        <f>IF(L997="", "", L997-B997)</f>
        <v/>
      </c>
      <c r="O997">
        <f>IF(L997="", "Pending", IF(N997&lt;=30, "Met", "Breached"))</f>
        <v/>
      </c>
    </row>
    <row r="998">
      <c r="M998" s="11">
        <f>B998+30</f>
        <v/>
      </c>
      <c r="N998">
        <f>IF(L998="", "", L998-B998)</f>
        <v/>
      </c>
      <c r="O998">
        <f>IF(L998="", "Pending", IF(N998&lt;=30, "Met", "Breached"))</f>
        <v/>
      </c>
    </row>
    <row r="999">
      <c r="M999" s="11">
        <f>B999+30</f>
        <v/>
      </c>
      <c r="N999">
        <f>IF(L999="", "", L999-B999)</f>
        <v/>
      </c>
      <c r="O999">
        <f>IF(L999="", "Pending", IF(N999&lt;=30, "Met", "Breached"))</f>
        <v/>
      </c>
    </row>
    <row r="1000">
      <c r="M1000" s="11">
        <f>B1000+30</f>
        <v/>
      </c>
      <c r="N1000">
        <f>IF(L1000="", "", L1000-B1000)</f>
        <v/>
      </c>
      <c r="O1000">
        <f>IF(L1000="", "Pending", IF(N1000&lt;=30, "Met", "Breached"))</f>
        <v/>
      </c>
    </row>
    <row r="1001">
      <c r="M1001" s="11">
        <f>B1001+30</f>
        <v/>
      </c>
      <c r="N1001">
        <f>IF(L1001="", "", L1001-B1001)</f>
        <v/>
      </c>
      <c r="O1001">
        <f>IF(L1001="", "Pending", IF(N1001&lt;=30, "Met", "Breached"))</f>
        <v/>
      </c>
    </row>
    <row r="1002">
      <c r="M1002" s="11">
        <f>B1002+30</f>
        <v/>
      </c>
      <c r="N1002">
        <f>IF(L1002="", "", L1002-B1002)</f>
        <v/>
      </c>
      <c r="O1002">
        <f>IF(L1002="", "Pending", IF(N1002&lt;=30, "Met", "Breached"))</f>
        <v/>
      </c>
    </row>
    <row r="1003">
      <c r="M1003" s="11">
        <f>B1003+30</f>
        <v/>
      </c>
      <c r="N1003">
        <f>IF(L1003="", "", L1003-B1003)</f>
        <v/>
      </c>
      <c r="O1003">
        <f>IF(L1003="", "Pending", IF(N1003&lt;=30, "Met", "Breached"))</f>
        <v/>
      </c>
    </row>
    <row r="1004">
      <c r="M1004" s="11">
        <f>B1004+30</f>
        <v/>
      </c>
      <c r="N1004">
        <f>IF(L1004="", "", L1004-B1004)</f>
        <v/>
      </c>
      <c r="O1004">
        <f>IF(L1004="", "Pending", IF(N1004&lt;=30, "Met", "Breached"))</f>
        <v/>
      </c>
    </row>
    <row r="1005">
      <c r="M1005" s="11">
        <f>B1005+30</f>
        <v/>
      </c>
      <c r="N1005">
        <f>IF(L1005="", "", L1005-B1005)</f>
        <v/>
      </c>
      <c r="O1005">
        <f>IF(L1005="", "Pending", IF(N1005&lt;=30, "Met", "Breached"))</f>
        <v/>
      </c>
    </row>
    <row r="1006">
      <c r="M1006" s="11">
        <f>B1006+30</f>
        <v/>
      </c>
      <c r="N1006">
        <f>IF(L1006="", "", L1006-B1006)</f>
        <v/>
      </c>
      <c r="O1006">
        <f>IF(L1006="", "Pending", IF(N1006&lt;=30, "Met", "Breached"))</f>
        <v/>
      </c>
    </row>
    <row r="1007">
      <c r="M1007" s="11">
        <f>B1007+30</f>
        <v/>
      </c>
      <c r="N1007">
        <f>IF(L1007="", "", L1007-B1007)</f>
        <v/>
      </c>
      <c r="O1007">
        <f>IF(L1007="", "Pending", IF(N1007&lt;=30, "Met", "Breached"))</f>
        <v/>
      </c>
    </row>
    <row r="1008">
      <c r="M1008" s="11">
        <f>B1008+30</f>
        <v/>
      </c>
      <c r="N1008">
        <f>IF(L1008="", "", L1008-B1008)</f>
        <v/>
      </c>
      <c r="O1008">
        <f>IF(L1008="", "Pending", IF(N1008&lt;=30, "Met", "Breached"))</f>
        <v/>
      </c>
    </row>
    <row r="1009">
      <c r="M1009" s="11">
        <f>B1009+30</f>
        <v/>
      </c>
      <c r="N1009">
        <f>IF(L1009="", "", L1009-B1009)</f>
        <v/>
      </c>
      <c r="O1009">
        <f>IF(L1009="", "Pending", IF(N1009&lt;=30, "Met", "Breached"))</f>
        <v/>
      </c>
    </row>
    <row r="1010">
      <c r="M1010" s="11">
        <f>B1010+30</f>
        <v/>
      </c>
      <c r="N1010">
        <f>IF(L1010="", "", L1010-B1010)</f>
        <v/>
      </c>
      <c r="O1010">
        <f>IF(L1010="", "Pending", IF(N1010&lt;=30, "Met", "Breached"))</f>
        <v/>
      </c>
    </row>
    <row r="1011">
      <c r="M1011" s="11">
        <f>B1011+30</f>
        <v/>
      </c>
      <c r="N1011">
        <f>IF(L1011="", "", L1011-B1011)</f>
        <v/>
      </c>
      <c r="O1011">
        <f>IF(L1011="", "Pending", IF(N1011&lt;=30, "Met", "Breached"))</f>
        <v/>
      </c>
    </row>
    <row r="1012">
      <c r="M1012" s="11">
        <f>B1012+30</f>
        <v/>
      </c>
      <c r="N1012">
        <f>IF(L1012="", "", L1012-B1012)</f>
        <v/>
      </c>
      <c r="O1012">
        <f>IF(L1012="", "Pending", IF(N1012&lt;=30, "Met", "Breached"))</f>
        <v/>
      </c>
    </row>
    <row r="1013">
      <c r="M1013" s="11">
        <f>B1013+30</f>
        <v/>
      </c>
      <c r="N1013">
        <f>IF(L1013="", "", L1013-B1013)</f>
        <v/>
      </c>
      <c r="O1013">
        <f>IF(L1013="", "Pending", IF(N1013&lt;=30, "Met", "Breached"))</f>
        <v/>
      </c>
    </row>
    <row r="1014">
      <c r="M1014" s="11">
        <f>B1014+30</f>
        <v/>
      </c>
      <c r="N1014">
        <f>IF(L1014="", "", L1014-B1014)</f>
        <v/>
      </c>
      <c r="O1014">
        <f>IF(L1014="", "Pending", IF(N1014&lt;=30, "Met", "Breached"))</f>
        <v/>
      </c>
    </row>
    <row r="1015">
      <c r="M1015" s="11">
        <f>B1015+30</f>
        <v/>
      </c>
      <c r="N1015">
        <f>IF(L1015="", "", L1015-B1015)</f>
        <v/>
      </c>
      <c r="O1015">
        <f>IF(L1015="", "Pending", IF(N1015&lt;=30, "Met", "Breached"))</f>
        <v/>
      </c>
    </row>
    <row r="1016">
      <c r="M1016" s="11">
        <f>B1016+30</f>
        <v/>
      </c>
      <c r="N1016">
        <f>IF(L1016="", "", L1016-B1016)</f>
        <v/>
      </c>
      <c r="O1016">
        <f>IF(L1016="", "Pending", IF(N1016&lt;=30, "Met", "Breached"))</f>
        <v/>
      </c>
    </row>
    <row r="1017">
      <c r="M1017" s="11">
        <f>B1017+30</f>
        <v/>
      </c>
      <c r="N1017">
        <f>IF(L1017="", "", L1017-B1017)</f>
        <v/>
      </c>
      <c r="O1017">
        <f>IF(L1017="", "Pending", IF(N1017&lt;=30, "Met", "Breached"))</f>
        <v/>
      </c>
    </row>
    <row r="1018">
      <c r="M1018" s="11">
        <f>B1018+30</f>
        <v/>
      </c>
      <c r="N1018">
        <f>IF(L1018="", "", L1018-B1018)</f>
        <v/>
      </c>
      <c r="O1018">
        <f>IF(L1018="", "Pending", IF(N1018&lt;=30, "Met", "Breached"))</f>
        <v/>
      </c>
    </row>
    <row r="1019">
      <c r="M1019" s="11">
        <f>B1019+30</f>
        <v/>
      </c>
      <c r="N1019">
        <f>IF(L1019="", "", L1019-B1019)</f>
        <v/>
      </c>
      <c r="O1019">
        <f>IF(L1019="", "Pending", IF(N1019&lt;=30, "Met", "Breached"))</f>
        <v/>
      </c>
    </row>
    <row r="1020">
      <c r="M1020" s="11">
        <f>B1020+30</f>
        <v/>
      </c>
      <c r="N1020">
        <f>IF(L1020="", "", L1020-B1020)</f>
        <v/>
      </c>
      <c r="O1020">
        <f>IF(L1020="", "Pending", IF(N1020&lt;=30, "Met", "Breached"))</f>
        <v/>
      </c>
    </row>
    <row r="1021">
      <c r="M1021" s="11">
        <f>B1021+30</f>
        <v/>
      </c>
      <c r="N1021">
        <f>IF(L1021="", "", L1021-B1021)</f>
        <v/>
      </c>
      <c r="O1021">
        <f>IF(L1021="", "Pending", IF(N1021&lt;=30, "Met", "Breached"))</f>
        <v/>
      </c>
    </row>
    <row r="1022">
      <c r="M1022" s="11">
        <f>B1022+30</f>
        <v/>
      </c>
      <c r="N1022">
        <f>IF(L1022="", "", L1022-B1022)</f>
        <v/>
      </c>
      <c r="O1022">
        <f>IF(L1022="", "Pending", IF(N1022&lt;=30, "Met", "Breached"))</f>
        <v/>
      </c>
    </row>
    <row r="1023">
      <c r="M1023" s="11">
        <f>B1023+30</f>
        <v/>
      </c>
      <c r="N1023">
        <f>IF(L1023="", "", L1023-B1023)</f>
        <v/>
      </c>
      <c r="O1023">
        <f>IF(L1023="", "Pending", IF(N1023&lt;=30, "Met", "Breached"))</f>
        <v/>
      </c>
    </row>
    <row r="1024">
      <c r="M1024" s="11">
        <f>B1024+30</f>
        <v/>
      </c>
      <c r="N1024">
        <f>IF(L1024="", "", L1024-B1024)</f>
        <v/>
      </c>
      <c r="O1024">
        <f>IF(L1024="", "Pending", IF(N1024&lt;=30, "Met", "Breached"))</f>
        <v/>
      </c>
    </row>
    <row r="1025">
      <c r="M1025" s="11">
        <f>B1025+30</f>
        <v/>
      </c>
      <c r="N1025">
        <f>IF(L1025="", "", L1025-B1025)</f>
        <v/>
      </c>
      <c r="O1025">
        <f>IF(L1025="", "Pending", IF(N1025&lt;=30, "Met", "Breached"))</f>
        <v/>
      </c>
    </row>
    <row r="1026">
      <c r="M1026" s="11">
        <f>B1026+30</f>
        <v/>
      </c>
      <c r="N1026">
        <f>IF(L1026="", "", L1026-B1026)</f>
        <v/>
      </c>
      <c r="O1026">
        <f>IF(L1026="", "Pending", IF(N1026&lt;=30, "Met", "Breached"))</f>
        <v/>
      </c>
    </row>
    <row r="1027">
      <c r="M1027" s="11">
        <f>B1027+30</f>
        <v/>
      </c>
      <c r="N1027">
        <f>IF(L1027="", "", L1027-B1027)</f>
        <v/>
      </c>
      <c r="O1027">
        <f>IF(L1027="", "Pending", IF(N1027&lt;=30, "Met", "Breached"))</f>
        <v/>
      </c>
    </row>
    <row r="1028">
      <c r="M1028" s="11">
        <f>B1028+30</f>
        <v/>
      </c>
      <c r="N1028">
        <f>IF(L1028="", "", L1028-B1028)</f>
        <v/>
      </c>
      <c r="O1028">
        <f>IF(L1028="", "Pending", IF(N1028&lt;=30, "Met", "Breached"))</f>
        <v/>
      </c>
    </row>
    <row r="1029">
      <c r="M1029" s="11">
        <f>B1029+30</f>
        <v/>
      </c>
      <c r="N1029">
        <f>IF(L1029="", "", L1029-B1029)</f>
        <v/>
      </c>
      <c r="O1029">
        <f>IF(L1029="", "Pending", IF(N1029&lt;=30, "Met", "Breached"))</f>
        <v/>
      </c>
    </row>
    <row r="1030">
      <c r="M1030" s="11">
        <f>B1030+30</f>
        <v/>
      </c>
      <c r="N1030">
        <f>IF(L1030="", "", L1030-B1030)</f>
        <v/>
      </c>
      <c r="O1030">
        <f>IF(L1030="", "Pending", IF(N1030&lt;=30, "Met", "Breached"))</f>
        <v/>
      </c>
    </row>
    <row r="1031">
      <c r="M1031" s="11">
        <f>B1031+30</f>
        <v/>
      </c>
      <c r="N1031">
        <f>IF(L1031="", "", L1031-B1031)</f>
        <v/>
      </c>
      <c r="O1031">
        <f>IF(L1031="", "Pending", IF(N1031&lt;=30, "Met", "Breached"))</f>
        <v/>
      </c>
    </row>
    <row r="1032">
      <c r="M1032" s="11">
        <f>B1032+30</f>
        <v/>
      </c>
      <c r="N1032">
        <f>IF(L1032="", "", L1032-B1032)</f>
        <v/>
      </c>
      <c r="O1032">
        <f>IF(L1032="", "Pending", IF(N1032&lt;=30, "Met", "Breached"))</f>
        <v/>
      </c>
    </row>
    <row r="1033">
      <c r="M1033" s="11">
        <f>B1033+30</f>
        <v/>
      </c>
      <c r="N1033">
        <f>IF(L1033="", "", L1033-B1033)</f>
        <v/>
      </c>
      <c r="O1033">
        <f>IF(L1033="", "Pending", IF(N1033&lt;=30, "Met", "Breached"))</f>
        <v/>
      </c>
    </row>
    <row r="1034">
      <c r="M1034" s="11">
        <f>B1034+30</f>
        <v/>
      </c>
      <c r="N1034">
        <f>IF(L1034="", "", L1034-B1034)</f>
        <v/>
      </c>
      <c r="O1034">
        <f>IF(L1034="", "Pending", IF(N1034&lt;=30, "Met", "Breached"))</f>
        <v/>
      </c>
    </row>
    <row r="1035">
      <c r="M1035" s="11">
        <f>B1035+30</f>
        <v/>
      </c>
      <c r="N1035">
        <f>IF(L1035="", "", L1035-B1035)</f>
        <v/>
      </c>
      <c r="O1035">
        <f>IF(L1035="", "Pending", IF(N1035&lt;=30, "Met", "Breached"))</f>
        <v/>
      </c>
    </row>
    <row r="1036">
      <c r="M1036" s="11">
        <f>B1036+30</f>
        <v/>
      </c>
      <c r="N1036">
        <f>IF(L1036="", "", L1036-B1036)</f>
        <v/>
      </c>
      <c r="O1036">
        <f>IF(L1036="", "Pending", IF(N1036&lt;=30, "Met", "Breached"))</f>
        <v/>
      </c>
    </row>
    <row r="1037">
      <c r="M1037" s="11">
        <f>B1037+30</f>
        <v/>
      </c>
      <c r="N1037">
        <f>IF(L1037="", "", L1037-B1037)</f>
        <v/>
      </c>
      <c r="O1037">
        <f>IF(L1037="", "Pending", IF(N1037&lt;=30, "Met", "Breached"))</f>
        <v/>
      </c>
    </row>
    <row r="1038">
      <c r="M1038" s="11">
        <f>B1038+30</f>
        <v/>
      </c>
      <c r="N1038">
        <f>IF(L1038="", "", L1038-B1038)</f>
        <v/>
      </c>
      <c r="O1038">
        <f>IF(L1038="", "Pending", IF(N1038&lt;=30, "Met", "Breached"))</f>
        <v/>
      </c>
    </row>
    <row r="1039">
      <c r="M1039" s="11">
        <f>B1039+30</f>
        <v/>
      </c>
      <c r="N1039">
        <f>IF(L1039="", "", L1039-B1039)</f>
        <v/>
      </c>
      <c r="O1039">
        <f>IF(L1039="", "Pending", IF(N1039&lt;=30, "Met", "Breached"))</f>
        <v/>
      </c>
    </row>
    <row r="1040">
      <c r="M1040" s="11">
        <f>B1040+30</f>
        <v/>
      </c>
      <c r="N1040">
        <f>IF(L1040="", "", L1040-B1040)</f>
        <v/>
      </c>
      <c r="O1040">
        <f>IF(L1040="", "Pending", IF(N1040&lt;=30, "Met", "Breached"))</f>
        <v/>
      </c>
    </row>
    <row r="1041">
      <c r="M1041" s="11">
        <f>B1041+30</f>
        <v/>
      </c>
      <c r="N1041">
        <f>IF(L1041="", "", L1041-B1041)</f>
        <v/>
      </c>
      <c r="O1041">
        <f>IF(L1041="", "Pending", IF(N1041&lt;=30, "Met", "Breached"))</f>
        <v/>
      </c>
    </row>
    <row r="1042">
      <c r="M1042" s="11">
        <f>B1042+30</f>
        <v/>
      </c>
      <c r="N1042">
        <f>IF(L1042="", "", L1042-B1042)</f>
        <v/>
      </c>
      <c r="O1042">
        <f>IF(L1042="", "Pending", IF(N1042&lt;=30, "Met", "Breached"))</f>
        <v/>
      </c>
    </row>
    <row r="1043">
      <c r="M1043" s="11">
        <f>B1043+30</f>
        <v/>
      </c>
      <c r="N1043">
        <f>IF(L1043="", "", L1043-B1043)</f>
        <v/>
      </c>
      <c r="O1043">
        <f>IF(L1043="", "Pending", IF(N1043&lt;=30, "Met", "Breached"))</f>
        <v/>
      </c>
    </row>
    <row r="1044">
      <c r="M1044" s="11">
        <f>B1044+30</f>
        <v/>
      </c>
      <c r="N1044">
        <f>IF(L1044="", "", L1044-B1044)</f>
        <v/>
      </c>
      <c r="O1044">
        <f>IF(L1044="", "Pending", IF(N1044&lt;=30, "Met", "Breached"))</f>
        <v/>
      </c>
    </row>
    <row r="1045">
      <c r="M1045" s="11">
        <f>B1045+30</f>
        <v/>
      </c>
      <c r="N1045">
        <f>IF(L1045="", "", L1045-B1045)</f>
        <v/>
      </c>
      <c r="O1045">
        <f>IF(L1045="", "Pending", IF(N1045&lt;=30, "Met", "Breached"))</f>
        <v/>
      </c>
    </row>
    <row r="1046">
      <c r="M1046" s="11">
        <f>B1046+30</f>
        <v/>
      </c>
      <c r="N1046">
        <f>IF(L1046="", "", L1046-B1046)</f>
        <v/>
      </c>
      <c r="O1046">
        <f>IF(L1046="", "Pending", IF(N1046&lt;=30, "Met", "Breached"))</f>
        <v/>
      </c>
    </row>
    <row r="1047">
      <c r="M1047" s="11">
        <f>B1047+30</f>
        <v/>
      </c>
      <c r="N1047">
        <f>IF(L1047="", "", L1047-B1047)</f>
        <v/>
      </c>
      <c r="O1047">
        <f>IF(L1047="", "Pending", IF(N1047&lt;=30, "Met", "Breached"))</f>
        <v/>
      </c>
    </row>
    <row r="1048">
      <c r="M1048" s="11">
        <f>B1048+30</f>
        <v/>
      </c>
      <c r="N1048">
        <f>IF(L1048="", "", L1048-B1048)</f>
        <v/>
      </c>
      <c r="O1048">
        <f>IF(L1048="", "Pending", IF(N1048&lt;=30, "Met", "Breached"))</f>
        <v/>
      </c>
    </row>
    <row r="1049">
      <c r="M1049" s="11">
        <f>B1049+30</f>
        <v/>
      </c>
      <c r="N1049">
        <f>IF(L1049="", "", L1049-B1049)</f>
        <v/>
      </c>
      <c r="O1049">
        <f>IF(L1049="", "Pending", IF(N1049&lt;=30, "Met", "Breached"))</f>
        <v/>
      </c>
    </row>
    <row r="1050">
      <c r="M1050" s="11">
        <f>B1050+30</f>
        <v/>
      </c>
      <c r="N1050">
        <f>IF(L1050="", "", L1050-B1050)</f>
        <v/>
      </c>
      <c r="O1050">
        <f>IF(L1050="", "Pending", IF(N1050&lt;=30, "Met", "Breached"))</f>
        <v/>
      </c>
    </row>
    <row r="1051">
      <c r="M1051" s="11">
        <f>B1051+30</f>
        <v/>
      </c>
      <c r="N1051">
        <f>IF(L1051="", "", L1051-B1051)</f>
        <v/>
      </c>
      <c r="O1051">
        <f>IF(L1051="", "Pending", IF(N1051&lt;=30, "Met", "Breached"))</f>
        <v/>
      </c>
    </row>
    <row r="1052">
      <c r="M1052" s="11">
        <f>B1052+30</f>
        <v/>
      </c>
      <c r="N1052">
        <f>IF(L1052="", "", L1052-B1052)</f>
        <v/>
      </c>
      <c r="O1052">
        <f>IF(L1052="", "Pending", IF(N1052&lt;=30, "Met", "Breached"))</f>
        <v/>
      </c>
    </row>
    <row r="1053">
      <c r="M1053" s="11">
        <f>B1053+30</f>
        <v/>
      </c>
      <c r="N1053">
        <f>IF(L1053="", "", L1053-B1053)</f>
        <v/>
      </c>
      <c r="O1053">
        <f>IF(L1053="", "Pending", IF(N1053&lt;=30, "Met", "Breached"))</f>
        <v/>
      </c>
    </row>
    <row r="1054">
      <c r="M1054" s="11">
        <f>B1054+30</f>
        <v/>
      </c>
      <c r="N1054">
        <f>IF(L1054="", "", L1054-B1054)</f>
        <v/>
      </c>
      <c r="O1054">
        <f>IF(L1054="", "Pending", IF(N1054&lt;=30, "Met", "Breached"))</f>
        <v/>
      </c>
    </row>
    <row r="1055">
      <c r="M1055" s="11">
        <f>B1055+30</f>
        <v/>
      </c>
      <c r="N1055">
        <f>IF(L1055="", "", L1055-B1055)</f>
        <v/>
      </c>
      <c r="O1055">
        <f>IF(L1055="", "Pending", IF(N1055&lt;=30, "Met", "Breached"))</f>
        <v/>
      </c>
    </row>
    <row r="1056">
      <c r="M1056" s="11">
        <f>B1056+30</f>
        <v/>
      </c>
      <c r="N1056">
        <f>IF(L1056="", "", L1056-B1056)</f>
        <v/>
      </c>
      <c r="O1056">
        <f>IF(L1056="", "Pending", IF(N1056&lt;=30, "Met", "Breached"))</f>
        <v/>
      </c>
    </row>
    <row r="1057">
      <c r="M1057" s="11">
        <f>B1057+30</f>
        <v/>
      </c>
      <c r="N1057">
        <f>IF(L1057="", "", L1057-B1057)</f>
        <v/>
      </c>
      <c r="O1057">
        <f>IF(L1057="", "Pending", IF(N1057&lt;=30, "Met", "Breached"))</f>
        <v/>
      </c>
    </row>
    <row r="1058">
      <c r="M1058" s="11">
        <f>B1058+30</f>
        <v/>
      </c>
      <c r="N1058">
        <f>IF(L1058="", "", L1058-B1058)</f>
        <v/>
      </c>
      <c r="O1058">
        <f>IF(L1058="", "Pending", IF(N1058&lt;=30, "Met", "Breached"))</f>
        <v/>
      </c>
    </row>
    <row r="1059">
      <c r="M1059" s="11">
        <f>B1059+30</f>
        <v/>
      </c>
      <c r="N1059">
        <f>IF(L1059="", "", L1059-B1059)</f>
        <v/>
      </c>
      <c r="O1059">
        <f>IF(L1059="", "Pending", IF(N1059&lt;=30, "Met", "Breached"))</f>
        <v/>
      </c>
    </row>
    <row r="1060">
      <c r="M1060" s="11">
        <f>B1060+30</f>
        <v/>
      </c>
      <c r="N1060">
        <f>IF(L1060="", "", L1060-B1060)</f>
        <v/>
      </c>
      <c r="O1060">
        <f>IF(L1060="", "Pending", IF(N1060&lt;=30, "Met", "Breached"))</f>
        <v/>
      </c>
    </row>
    <row r="1061">
      <c r="M1061" s="11">
        <f>B1061+30</f>
        <v/>
      </c>
      <c r="N1061">
        <f>IF(L1061="", "", L1061-B1061)</f>
        <v/>
      </c>
      <c r="O1061">
        <f>IF(L1061="", "Pending", IF(N1061&lt;=30, "Met", "Breached"))</f>
        <v/>
      </c>
    </row>
    <row r="1062">
      <c r="M1062" s="11">
        <f>B1062+30</f>
        <v/>
      </c>
      <c r="N1062">
        <f>IF(L1062="", "", L1062-B1062)</f>
        <v/>
      </c>
      <c r="O1062">
        <f>IF(L1062="", "Pending", IF(N1062&lt;=30, "Met", "Breached"))</f>
        <v/>
      </c>
    </row>
    <row r="1063">
      <c r="M1063" s="11">
        <f>B1063+30</f>
        <v/>
      </c>
      <c r="N1063">
        <f>IF(L1063="", "", L1063-B1063)</f>
        <v/>
      </c>
      <c r="O1063">
        <f>IF(L1063="", "Pending", IF(N1063&lt;=30, "Met", "Breached"))</f>
        <v/>
      </c>
    </row>
    <row r="1064">
      <c r="M1064" s="11">
        <f>B1064+30</f>
        <v/>
      </c>
      <c r="N1064">
        <f>IF(L1064="", "", L1064-B1064)</f>
        <v/>
      </c>
      <c r="O1064">
        <f>IF(L1064="", "Pending", IF(N1064&lt;=30, "Met", "Breached"))</f>
        <v/>
      </c>
    </row>
    <row r="1065">
      <c r="M1065" s="11">
        <f>B1065+30</f>
        <v/>
      </c>
      <c r="N1065">
        <f>IF(L1065="", "", L1065-B1065)</f>
        <v/>
      </c>
      <c r="O1065">
        <f>IF(L1065="", "Pending", IF(N1065&lt;=30, "Met", "Breached"))</f>
        <v/>
      </c>
    </row>
    <row r="1066">
      <c r="M1066" s="11">
        <f>B1066+30</f>
        <v/>
      </c>
      <c r="N1066">
        <f>IF(L1066="", "", L1066-B1066)</f>
        <v/>
      </c>
      <c r="O1066">
        <f>IF(L1066="", "Pending", IF(N1066&lt;=30, "Met", "Breached"))</f>
        <v/>
      </c>
    </row>
    <row r="1067">
      <c r="M1067" s="11">
        <f>B1067+30</f>
        <v/>
      </c>
      <c r="N1067">
        <f>IF(L1067="", "", L1067-B1067)</f>
        <v/>
      </c>
      <c r="O1067">
        <f>IF(L1067="", "Pending", IF(N1067&lt;=30, "Met", "Breached"))</f>
        <v/>
      </c>
    </row>
    <row r="1068">
      <c r="M1068" s="11">
        <f>B1068+30</f>
        <v/>
      </c>
      <c r="N1068">
        <f>IF(L1068="", "", L1068-B1068)</f>
        <v/>
      </c>
      <c r="O1068">
        <f>IF(L1068="", "Pending", IF(N1068&lt;=30, "Met", "Breached"))</f>
        <v/>
      </c>
    </row>
    <row r="1069">
      <c r="M1069" s="11">
        <f>B1069+30</f>
        <v/>
      </c>
      <c r="N1069">
        <f>IF(L1069="", "", L1069-B1069)</f>
        <v/>
      </c>
      <c r="O1069">
        <f>IF(L1069="", "Pending", IF(N1069&lt;=30, "Met", "Breached"))</f>
        <v/>
      </c>
    </row>
    <row r="1070">
      <c r="M1070" s="11">
        <f>B1070+30</f>
        <v/>
      </c>
      <c r="N1070">
        <f>IF(L1070="", "", L1070-B1070)</f>
        <v/>
      </c>
      <c r="O1070">
        <f>IF(L1070="", "Pending", IF(N1070&lt;=30, "Met", "Breached"))</f>
        <v/>
      </c>
    </row>
    <row r="1071">
      <c r="M1071" s="11">
        <f>B1071+30</f>
        <v/>
      </c>
      <c r="N1071">
        <f>IF(L1071="", "", L1071-B1071)</f>
        <v/>
      </c>
      <c r="O1071">
        <f>IF(L1071="", "Pending", IF(N1071&lt;=30, "Met", "Breached"))</f>
        <v/>
      </c>
    </row>
    <row r="1072">
      <c r="M1072" s="11">
        <f>B1072+30</f>
        <v/>
      </c>
      <c r="N1072">
        <f>IF(L1072="", "", L1072-B1072)</f>
        <v/>
      </c>
      <c r="O1072">
        <f>IF(L1072="", "Pending", IF(N1072&lt;=30, "Met", "Breached"))</f>
        <v/>
      </c>
    </row>
    <row r="1073">
      <c r="M1073" s="11">
        <f>B1073+30</f>
        <v/>
      </c>
      <c r="N1073">
        <f>IF(L1073="", "", L1073-B1073)</f>
        <v/>
      </c>
      <c r="O1073">
        <f>IF(L1073="", "Pending", IF(N1073&lt;=30, "Met", "Breached"))</f>
        <v/>
      </c>
    </row>
    <row r="1074">
      <c r="M1074" s="11">
        <f>B1074+30</f>
        <v/>
      </c>
      <c r="N1074">
        <f>IF(L1074="", "", L1074-B1074)</f>
        <v/>
      </c>
      <c r="O1074">
        <f>IF(L1074="", "Pending", IF(N1074&lt;=30, "Met", "Breached"))</f>
        <v/>
      </c>
    </row>
    <row r="1075">
      <c r="M1075" s="11">
        <f>B1075+30</f>
        <v/>
      </c>
      <c r="N1075">
        <f>IF(L1075="", "", L1075-B1075)</f>
        <v/>
      </c>
      <c r="O1075">
        <f>IF(L1075="", "Pending", IF(N1075&lt;=30, "Met", "Breached"))</f>
        <v/>
      </c>
    </row>
    <row r="1076">
      <c r="M1076" s="11">
        <f>B1076+30</f>
        <v/>
      </c>
      <c r="N1076">
        <f>IF(L1076="", "", L1076-B1076)</f>
        <v/>
      </c>
      <c r="O1076">
        <f>IF(L1076="", "Pending", IF(N1076&lt;=30, "Met", "Breached"))</f>
        <v/>
      </c>
    </row>
    <row r="1077">
      <c r="M1077" s="11">
        <f>B1077+30</f>
        <v/>
      </c>
      <c r="N1077">
        <f>IF(L1077="", "", L1077-B1077)</f>
        <v/>
      </c>
      <c r="O1077">
        <f>IF(L1077="", "Pending", IF(N1077&lt;=30, "Met", "Breached"))</f>
        <v/>
      </c>
    </row>
    <row r="1078">
      <c r="M1078" s="11">
        <f>B1078+30</f>
        <v/>
      </c>
      <c r="N1078">
        <f>IF(L1078="", "", L1078-B1078)</f>
        <v/>
      </c>
      <c r="O1078">
        <f>IF(L1078="", "Pending", IF(N1078&lt;=30, "Met", "Breached"))</f>
        <v/>
      </c>
    </row>
    <row r="1079">
      <c r="M1079" s="11">
        <f>B1079+30</f>
        <v/>
      </c>
      <c r="N1079">
        <f>IF(L1079="", "", L1079-B1079)</f>
        <v/>
      </c>
      <c r="O1079">
        <f>IF(L1079="", "Pending", IF(N1079&lt;=30, "Met", "Breached"))</f>
        <v/>
      </c>
    </row>
    <row r="1080">
      <c r="M1080" s="11">
        <f>B1080+30</f>
        <v/>
      </c>
      <c r="N1080">
        <f>IF(L1080="", "", L1080-B1080)</f>
        <v/>
      </c>
      <c r="O1080">
        <f>IF(L1080="", "Pending", IF(N1080&lt;=30, "Met", "Breached"))</f>
        <v/>
      </c>
    </row>
    <row r="1081">
      <c r="M1081" s="11">
        <f>B1081+30</f>
        <v/>
      </c>
      <c r="N1081">
        <f>IF(L1081="", "", L1081-B1081)</f>
        <v/>
      </c>
      <c r="O1081">
        <f>IF(L1081="", "Pending", IF(N1081&lt;=30, "Met", "Breached"))</f>
        <v/>
      </c>
    </row>
    <row r="1082">
      <c r="M1082" s="11">
        <f>B1082+30</f>
        <v/>
      </c>
      <c r="N1082">
        <f>IF(L1082="", "", L1082-B1082)</f>
        <v/>
      </c>
      <c r="O1082">
        <f>IF(L1082="", "Pending", IF(N1082&lt;=30, "Met", "Breached"))</f>
        <v/>
      </c>
    </row>
    <row r="1083">
      <c r="M1083" s="11">
        <f>B1083+30</f>
        <v/>
      </c>
      <c r="N1083">
        <f>IF(L1083="", "", L1083-B1083)</f>
        <v/>
      </c>
      <c r="O1083">
        <f>IF(L1083="", "Pending", IF(N1083&lt;=30, "Met", "Breached"))</f>
        <v/>
      </c>
    </row>
    <row r="1084">
      <c r="M1084" s="11">
        <f>B1084+30</f>
        <v/>
      </c>
      <c r="N1084">
        <f>IF(L1084="", "", L1084-B1084)</f>
        <v/>
      </c>
      <c r="O1084">
        <f>IF(L1084="", "Pending", IF(N1084&lt;=30, "Met", "Breached"))</f>
        <v/>
      </c>
    </row>
    <row r="1085">
      <c r="M1085" s="11">
        <f>B1085+30</f>
        <v/>
      </c>
      <c r="N1085">
        <f>IF(L1085="", "", L1085-B1085)</f>
        <v/>
      </c>
      <c r="O1085">
        <f>IF(L1085="", "Pending", IF(N1085&lt;=30, "Met", "Breached"))</f>
        <v/>
      </c>
    </row>
    <row r="1086">
      <c r="M1086" s="11">
        <f>B1086+30</f>
        <v/>
      </c>
      <c r="N1086">
        <f>IF(L1086="", "", L1086-B1086)</f>
        <v/>
      </c>
      <c r="O1086">
        <f>IF(L1086="", "Pending", IF(N1086&lt;=30, "Met", "Breached"))</f>
        <v/>
      </c>
    </row>
    <row r="1087">
      <c r="M1087" s="11">
        <f>B1087+30</f>
        <v/>
      </c>
      <c r="N1087">
        <f>IF(L1087="", "", L1087-B1087)</f>
        <v/>
      </c>
      <c r="O1087">
        <f>IF(L1087="", "Pending", IF(N1087&lt;=30, "Met", "Breached"))</f>
        <v/>
      </c>
    </row>
    <row r="1088">
      <c r="M1088" s="11">
        <f>B1088+30</f>
        <v/>
      </c>
      <c r="N1088">
        <f>IF(L1088="", "", L1088-B1088)</f>
        <v/>
      </c>
      <c r="O1088">
        <f>IF(L1088="", "Pending", IF(N1088&lt;=30, "Met", "Breached"))</f>
        <v/>
      </c>
    </row>
    <row r="1089">
      <c r="M1089" s="11">
        <f>B1089+30</f>
        <v/>
      </c>
      <c r="N1089">
        <f>IF(L1089="", "", L1089-B1089)</f>
        <v/>
      </c>
      <c r="O1089">
        <f>IF(L1089="", "Pending", IF(N1089&lt;=30, "Met", "Breached"))</f>
        <v/>
      </c>
    </row>
    <row r="1090">
      <c r="M1090" s="11">
        <f>B1090+30</f>
        <v/>
      </c>
      <c r="N1090">
        <f>IF(L1090="", "", L1090-B1090)</f>
        <v/>
      </c>
      <c r="O1090">
        <f>IF(L1090="", "Pending", IF(N1090&lt;=30, "Met", "Breached"))</f>
        <v/>
      </c>
    </row>
    <row r="1091">
      <c r="M1091" s="11">
        <f>B1091+30</f>
        <v/>
      </c>
      <c r="N1091">
        <f>IF(L1091="", "", L1091-B1091)</f>
        <v/>
      </c>
      <c r="O1091">
        <f>IF(L1091="", "Pending", IF(N1091&lt;=30, "Met", "Breached"))</f>
        <v/>
      </c>
    </row>
    <row r="1092">
      <c r="M1092" s="11">
        <f>B1092+30</f>
        <v/>
      </c>
      <c r="N1092">
        <f>IF(L1092="", "", L1092-B1092)</f>
        <v/>
      </c>
      <c r="O1092">
        <f>IF(L1092="", "Pending", IF(N1092&lt;=30, "Met", "Breached"))</f>
        <v/>
      </c>
    </row>
    <row r="1093">
      <c r="M1093" s="11">
        <f>B1093+30</f>
        <v/>
      </c>
      <c r="N1093">
        <f>IF(L1093="", "", L1093-B1093)</f>
        <v/>
      </c>
      <c r="O1093">
        <f>IF(L1093="", "Pending", IF(N1093&lt;=30, "Met", "Breached"))</f>
        <v/>
      </c>
    </row>
    <row r="1094">
      <c r="M1094" s="11">
        <f>B1094+30</f>
        <v/>
      </c>
      <c r="N1094">
        <f>IF(L1094="", "", L1094-B1094)</f>
        <v/>
      </c>
      <c r="O1094">
        <f>IF(L1094="", "Pending", IF(N1094&lt;=30, "Met", "Breached"))</f>
        <v/>
      </c>
    </row>
    <row r="1095">
      <c r="M1095" s="11">
        <f>B1095+30</f>
        <v/>
      </c>
      <c r="N1095">
        <f>IF(L1095="", "", L1095-B1095)</f>
        <v/>
      </c>
      <c r="O1095">
        <f>IF(L1095="", "Pending", IF(N1095&lt;=30, "Met", "Breached"))</f>
        <v/>
      </c>
    </row>
    <row r="1096">
      <c r="M1096" s="11">
        <f>B1096+30</f>
        <v/>
      </c>
      <c r="N1096">
        <f>IF(L1096="", "", L1096-B1096)</f>
        <v/>
      </c>
      <c r="O1096">
        <f>IF(L1096="", "Pending", IF(N1096&lt;=30, "Met", "Breached"))</f>
        <v/>
      </c>
    </row>
    <row r="1097">
      <c r="M1097" s="11">
        <f>B1097+30</f>
        <v/>
      </c>
      <c r="N1097">
        <f>IF(L1097="", "", L1097-B1097)</f>
        <v/>
      </c>
      <c r="O1097">
        <f>IF(L1097="", "Pending", IF(N1097&lt;=30, "Met", "Breached"))</f>
        <v/>
      </c>
    </row>
    <row r="1098">
      <c r="M1098" s="11">
        <f>B1098+30</f>
        <v/>
      </c>
      <c r="N1098">
        <f>IF(L1098="", "", L1098-B1098)</f>
        <v/>
      </c>
      <c r="O1098">
        <f>IF(L1098="", "Pending", IF(N1098&lt;=30, "Met", "Breached"))</f>
        <v/>
      </c>
    </row>
    <row r="1099">
      <c r="M1099" s="11">
        <f>B1099+30</f>
        <v/>
      </c>
      <c r="N1099">
        <f>IF(L1099="", "", L1099-B1099)</f>
        <v/>
      </c>
      <c r="O1099">
        <f>IF(L1099="", "Pending", IF(N1099&lt;=30, "Met", "Breached"))</f>
        <v/>
      </c>
    </row>
    <row r="1100">
      <c r="M1100" s="11">
        <f>B1100+30</f>
        <v/>
      </c>
      <c r="N1100">
        <f>IF(L1100="", "", L1100-B1100)</f>
        <v/>
      </c>
      <c r="O1100">
        <f>IF(L1100="", "Pending", IF(N1100&lt;=30, "Met", "Breached"))</f>
        <v/>
      </c>
    </row>
    <row r="1101">
      <c r="M1101" s="11">
        <f>B1101+30</f>
        <v/>
      </c>
      <c r="N1101">
        <f>IF(L1101="", "", L1101-B1101)</f>
        <v/>
      </c>
      <c r="O1101">
        <f>IF(L1101="", "Pending", IF(N1101&lt;=30, "Met", "Breached"))</f>
        <v/>
      </c>
    </row>
    <row r="1102">
      <c r="M1102" s="11">
        <f>B1102+30</f>
        <v/>
      </c>
      <c r="N1102">
        <f>IF(L1102="", "", L1102-B1102)</f>
        <v/>
      </c>
      <c r="O1102">
        <f>IF(L1102="", "Pending", IF(N1102&lt;=30, "Met", "Breached"))</f>
        <v/>
      </c>
    </row>
    <row r="1103">
      <c r="M1103" s="11">
        <f>B1103+30</f>
        <v/>
      </c>
      <c r="N1103">
        <f>IF(L1103="", "", L1103-B1103)</f>
        <v/>
      </c>
      <c r="O1103">
        <f>IF(L1103="", "Pending", IF(N1103&lt;=30, "Met", "Breached"))</f>
        <v/>
      </c>
    </row>
    <row r="1104">
      <c r="M1104" s="11">
        <f>B1104+30</f>
        <v/>
      </c>
      <c r="N1104">
        <f>IF(L1104="", "", L1104-B1104)</f>
        <v/>
      </c>
      <c r="O1104">
        <f>IF(L1104="", "Pending", IF(N1104&lt;=30, "Met", "Breached"))</f>
        <v/>
      </c>
    </row>
    <row r="1105">
      <c r="M1105" s="11">
        <f>B1105+30</f>
        <v/>
      </c>
      <c r="N1105">
        <f>IF(L1105="", "", L1105-B1105)</f>
        <v/>
      </c>
      <c r="O1105">
        <f>IF(L1105="", "Pending", IF(N1105&lt;=30, "Met", "Breached"))</f>
        <v/>
      </c>
    </row>
    <row r="1106">
      <c r="M1106" s="11">
        <f>B1106+30</f>
        <v/>
      </c>
      <c r="N1106">
        <f>IF(L1106="", "", L1106-B1106)</f>
        <v/>
      </c>
      <c r="O1106">
        <f>IF(L1106="", "Pending", IF(N1106&lt;=30, "Met", "Breached"))</f>
        <v/>
      </c>
    </row>
    <row r="1107">
      <c r="M1107" s="11">
        <f>B1107+30</f>
        <v/>
      </c>
      <c r="N1107">
        <f>IF(L1107="", "", L1107-B1107)</f>
        <v/>
      </c>
      <c r="O1107">
        <f>IF(L1107="", "Pending", IF(N1107&lt;=30, "Met", "Breached"))</f>
        <v/>
      </c>
    </row>
    <row r="1108">
      <c r="M1108" s="11">
        <f>B1108+30</f>
        <v/>
      </c>
      <c r="N1108">
        <f>IF(L1108="", "", L1108-B1108)</f>
        <v/>
      </c>
      <c r="O1108">
        <f>IF(L1108="", "Pending", IF(N1108&lt;=30, "Met", "Breached"))</f>
        <v/>
      </c>
    </row>
    <row r="1109">
      <c r="M1109" s="11">
        <f>B1109+30</f>
        <v/>
      </c>
      <c r="N1109">
        <f>IF(L1109="", "", L1109-B1109)</f>
        <v/>
      </c>
      <c r="O1109">
        <f>IF(L1109="", "Pending", IF(N1109&lt;=30, "Met", "Breached"))</f>
        <v/>
      </c>
    </row>
    <row r="1110">
      <c r="M1110" s="11">
        <f>B1110+30</f>
        <v/>
      </c>
      <c r="N1110">
        <f>IF(L1110="", "", L1110-B1110)</f>
        <v/>
      </c>
      <c r="O1110">
        <f>IF(L1110="", "Pending", IF(N1110&lt;=30, "Met", "Breached"))</f>
        <v/>
      </c>
    </row>
    <row r="1111">
      <c r="M1111" s="11">
        <f>B1111+30</f>
        <v/>
      </c>
      <c r="N1111">
        <f>IF(L1111="", "", L1111-B1111)</f>
        <v/>
      </c>
      <c r="O1111">
        <f>IF(L1111="", "Pending", IF(N1111&lt;=30, "Met", "Breached"))</f>
        <v/>
      </c>
    </row>
    <row r="1112">
      <c r="M1112" s="11">
        <f>B1112+30</f>
        <v/>
      </c>
      <c r="N1112">
        <f>IF(L1112="", "", L1112-B1112)</f>
        <v/>
      </c>
      <c r="O1112">
        <f>IF(L1112="", "Pending", IF(N1112&lt;=30, "Met", "Breached"))</f>
        <v/>
      </c>
    </row>
    <row r="1113">
      <c r="M1113" s="11">
        <f>B1113+30</f>
        <v/>
      </c>
      <c r="N1113">
        <f>IF(L1113="", "", L1113-B1113)</f>
        <v/>
      </c>
      <c r="O1113">
        <f>IF(L1113="", "Pending", IF(N1113&lt;=30, "Met", "Breached"))</f>
        <v/>
      </c>
    </row>
    <row r="1114">
      <c r="M1114" s="11">
        <f>B1114+30</f>
        <v/>
      </c>
      <c r="N1114">
        <f>IF(L1114="", "", L1114-B1114)</f>
        <v/>
      </c>
      <c r="O1114">
        <f>IF(L1114="", "Pending", IF(N1114&lt;=30, "Met", "Breached"))</f>
        <v/>
      </c>
    </row>
    <row r="1115">
      <c r="M1115" s="11">
        <f>B1115+30</f>
        <v/>
      </c>
      <c r="N1115">
        <f>IF(L1115="", "", L1115-B1115)</f>
        <v/>
      </c>
      <c r="O1115">
        <f>IF(L1115="", "Pending", IF(N1115&lt;=30, "Met", "Breached"))</f>
        <v/>
      </c>
    </row>
    <row r="1116">
      <c r="M1116" s="11">
        <f>B1116+30</f>
        <v/>
      </c>
      <c r="N1116">
        <f>IF(L1116="", "", L1116-B1116)</f>
        <v/>
      </c>
      <c r="O1116">
        <f>IF(L1116="", "Pending", IF(N1116&lt;=30, "Met", "Breached"))</f>
        <v/>
      </c>
    </row>
    <row r="1117">
      <c r="M1117" s="11">
        <f>B1117+30</f>
        <v/>
      </c>
      <c r="N1117">
        <f>IF(L1117="", "", L1117-B1117)</f>
        <v/>
      </c>
      <c r="O1117">
        <f>IF(L1117="", "Pending", IF(N1117&lt;=30, "Met", "Breached"))</f>
        <v/>
      </c>
    </row>
    <row r="1118">
      <c r="M1118" s="11">
        <f>B1118+30</f>
        <v/>
      </c>
      <c r="N1118">
        <f>IF(L1118="", "", L1118-B1118)</f>
        <v/>
      </c>
      <c r="O1118">
        <f>IF(L1118="", "Pending", IF(N1118&lt;=30, "Met", "Breached"))</f>
        <v/>
      </c>
    </row>
    <row r="1119">
      <c r="M1119" s="11">
        <f>B1119+30</f>
        <v/>
      </c>
      <c r="N1119">
        <f>IF(L1119="", "", L1119-B1119)</f>
        <v/>
      </c>
      <c r="O1119">
        <f>IF(L1119="", "Pending", IF(N1119&lt;=30, "Met", "Breached"))</f>
        <v/>
      </c>
    </row>
    <row r="1120">
      <c r="M1120" s="11">
        <f>B1120+30</f>
        <v/>
      </c>
      <c r="N1120">
        <f>IF(L1120="", "", L1120-B1120)</f>
        <v/>
      </c>
      <c r="O1120">
        <f>IF(L1120="", "Pending", IF(N1120&lt;=30, "Met", "Breached"))</f>
        <v/>
      </c>
    </row>
    <row r="1121">
      <c r="M1121" s="11">
        <f>B1121+30</f>
        <v/>
      </c>
      <c r="N1121">
        <f>IF(L1121="", "", L1121-B1121)</f>
        <v/>
      </c>
      <c r="O1121">
        <f>IF(L1121="", "Pending", IF(N1121&lt;=30, "Met", "Breached"))</f>
        <v/>
      </c>
    </row>
    <row r="1122">
      <c r="M1122" s="11">
        <f>B1122+30</f>
        <v/>
      </c>
      <c r="N1122">
        <f>IF(L1122="", "", L1122-B1122)</f>
        <v/>
      </c>
      <c r="O1122">
        <f>IF(L1122="", "Pending", IF(N1122&lt;=30, "Met", "Breached"))</f>
        <v/>
      </c>
    </row>
    <row r="1123">
      <c r="M1123" s="11">
        <f>B1123+30</f>
        <v/>
      </c>
      <c r="N1123">
        <f>IF(L1123="", "", L1123-B1123)</f>
        <v/>
      </c>
      <c r="O1123">
        <f>IF(L1123="", "Pending", IF(N1123&lt;=30, "Met", "Breached"))</f>
        <v/>
      </c>
    </row>
    <row r="1124">
      <c r="M1124" s="11">
        <f>B1124+30</f>
        <v/>
      </c>
      <c r="N1124">
        <f>IF(L1124="", "", L1124-B1124)</f>
        <v/>
      </c>
      <c r="O1124">
        <f>IF(L1124="", "Pending", IF(N1124&lt;=30, "Met", "Breached"))</f>
        <v/>
      </c>
    </row>
    <row r="1125">
      <c r="M1125" s="11">
        <f>B1125+30</f>
        <v/>
      </c>
      <c r="N1125">
        <f>IF(L1125="", "", L1125-B1125)</f>
        <v/>
      </c>
      <c r="O1125">
        <f>IF(L1125="", "Pending", IF(N1125&lt;=30, "Met", "Breached"))</f>
        <v/>
      </c>
    </row>
    <row r="1126">
      <c r="M1126" s="11">
        <f>B1126+30</f>
        <v/>
      </c>
      <c r="N1126">
        <f>IF(L1126="", "", L1126-B1126)</f>
        <v/>
      </c>
      <c r="O1126">
        <f>IF(L1126="", "Pending", IF(N1126&lt;=30, "Met", "Breached"))</f>
        <v/>
      </c>
    </row>
    <row r="1127">
      <c r="M1127" s="11">
        <f>B1127+30</f>
        <v/>
      </c>
      <c r="N1127">
        <f>IF(L1127="", "", L1127-B1127)</f>
        <v/>
      </c>
      <c r="O1127">
        <f>IF(L1127="", "Pending", IF(N1127&lt;=30, "Met", "Breached"))</f>
        <v/>
      </c>
    </row>
    <row r="1128">
      <c r="M1128" s="11">
        <f>B1128+30</f>
        <v/>
      </c>
      <c r="N1128">
        <f>IF(L1128="", "", L1128-B1128)</f>
        <v/>
      </c>
      <c r="O1128">
        <f>IF(L1128="", "Pending", IF(N1128&lt;=30, "Met", "Breached"))</f>
        <v/>
      </c>
    </row>
    <row r="1129">
      <c r="M1129" s="11">
        <f>B1129+30</f>
        <v/>
      </c>
      <c r="N1129">
        <f>IF(L1129="", "", L1129-B1129)</f>
        <v/>
      </c>
      <c r="O1129">
        <f>IF(L1129="", "Pending", IF(N1129&lt;=30, "Met", "Breached"))</f>
        <v/>
      </c>
    </row>
    <row r="1130">
      <c r="M1130" s="11">
        <f>B1130+30</f>
        <v/>
      </c>
      <c r="N1130">
        <f>IF(L1130="", "", L1130-B1130)</f>
        <v/>
      </c>
      <c r="O1130">
        <f>IF(L1130="", "Pending", IF(N1130&lt;=30, "Met", "Breached"))</f>
        <v/>
      </c>
    </row>
    <row r="1131">
      <c r="M1131" s="11">
        <f>B1131+30</f>
        <v/>
      </c>
      <c r="N1131">
        <f>IF(L1131="", "", L1131-B1131)</f>
        <v/>
      </c>
      <c r="O1131">
        <f>IF(L1131="", "Pending", IF(N1131&lt;=30, "Met", "Breached"))</f>
        <v/>
      </c>
    </row>
    <row r="1132">
      <c r="M1132" s="11">
        <f>B1132+30</f>
        <v/>
      </c>
      <c r="N1132">
        <f>IF(L1132="", "", L1132-B1132)</f>
        <v/>
      </c>
      <c r="O1132">
        <f>IF(L1132="", "Pending", IF(N1132&lt;=30, "Met", "Breached"))</f>
        <v/>
      </c>
    </row>
    <row r="1133">
      <c r="M1133" s="11">
        <f>B1133+30</f>
        <v/>
      </c>
      <c r="N1133">
        <f>IF(L1133="", "", L1133-B1133)</f>
        <v/>
      </c>
      <c r="O1133">
        <f>IF(L1133="", "Pending", IF(N1133&lt;=30, "Met", "Breached"))</f>
        <v/>
      </c>
    </row>
    <row r="1134">
      <c r="M1134" s="11">
        <f>B1134+30</f>
        <v/>
      </c>
      <c r="N1134">
        <f>IF(L1134="", "", L1134-B1134)</f>
        <v/>
      </c>
      <c r="O1134">
        <f>IF(L1134="", "Pending", IF(N1134&lt;=30, "Met", "Breached"))</f>
        <v/>
      </c>
    </row>
    <row r="1135">
      <c r="M1135" s="11">
        <f>B1135+30</f>
        <v/>
      </c>
      <c r="N1135">
        <f>IF(L1135="", "", L1135-B1135)</f>
        <v/>
      </c>
      <c r="O1135">
        <f>IF(L1135="", "Pending", IF(N1135&lt;=30, "Met", "Breached"))</f>
        <v/>
      </c>
    </row>
    <row r="1136">
      <c r="M1136" s="11">
        <f>B1136+30</f>
        <v/>
      </c>
      <c r="N1136">
        <f>IF(L1136="", "", L1136-B1136)</f>
        <v/>
      </c>
      <c r="O1136">
        <f>IF(L1136="", "Pending", IF(N1136&lt;=30, "Met", "Breached"))</f>
        <v/>
      </c>
    </row>
    <row r="1137">
      <c r="M1137" s="11">
        <f>B1137+30</f>
        <v/>
      </c>
      <c r="N1137">
        <f>IF(L1137="", "", L1137-B1137)</f>
        <v/>
      </c>
      <c r="O1137">
        <f>IF(L1137="", "Pending", IF(N1137&lt;=30, "Met", "Breached"))</f>
        <v/>
      </c>
    </row>
    <row r="1138">
      <c r="M1138" s="11">
        <f>B1138+30</f>
        <v/>
      </c>
      <c r="N1138">
        <f>IF(L1138="", "", L1138-B1138)</f>
        <v/>
      </c>
      <c r="O1138">
        <f>IF(L1138="", "Pending", IF(N1138&lt;=30, "Met", "Breached"))</f>
        <v/>
      </c>
    </row>
    <row r="1139">
      <c r="M1139" s="11">
        <f>B1139+30</f>
        <v/>
      </c>
      <c r="N1139">
        <f>IF(L1139="", "", L1139-B1139)</f>
        <v/>
      </c>
      <c r="O1139">
        <f>IF(L1139="", "Pending", IF(N1139&lt;=30, "Met", "Breached"))</f>
        <v/>
      </c>
    </row>
    <row r="1140">
      <c r="M1140" s="11">
        <f>B1140+30</f>
        <v/>
      </c>
      <c r="N1140">
        <f>IF(L1140="", "", L1140-B1140)</f>
        <v/>
      </c>
      <c r="O1140">
        <f>IF(L1140="", "Pending", IF(N1140&lt;=30, "Met", "Breached"))</f>
        <v/>
      </c>
    </row>
    <row r="1141">
      <c r="M1141" s="11">
        <f>B1141+30</f>
        <v/>
      </c>
      <c r="N1141">
        <f>IF(L1141="", "", L1141-B1141)</f>
        <v/>
      </c>
      <c r="O1141">
        <f>IF(L1141="", "Pending", IF(N1141&lt;=30, "Met", "Breached"))</f>
        <v/>
      </c>
    </row>
    <row r="1142">
      <c r="M1142" s="11">
        <f>B1142+30</f>
        <v/>
      </c>
      <c r="N1142">
        <f>IF(L1142="", "", L1142-B1142)</f>
        <v/>
      </c>
      <c r="O1142">
        <f>IF(L1142="", "Pending", IF(N1142&lt;=30, "Met", "Breached"))</f>
        <v/>
      </c>
    </row>
    <row r="1143">
      <c r="M1143" s="11">
        <f>B1143+30</f>
        <v/>
      </c>
      <c r="N1143">
        <f>IF(L1143="", "", L1143-B1143)</f>
        <v/>
      </c>
      <c r="O1143">
        <f>IF(L1143="", "Pending", IF(N1143&lt;=30, "Met", "Breached"))</f>
        <v/>
      </c>
    </row>
    <row r="1144">
      <c r="M1144" s="11">
        <f>B1144+30</f>
        <v/>
      </c>
      <c r="N1144">
        <f>IF(L1144="", "", L1144-B1144)</f>
        <v/>
      </c>
      <c r="O1144">
        <f>IF(L1144="", "Pending", IF(N1144&lt;=30, "Met", "Breached"))</f>
        <v/>
      </c>
    </row>
    <row r="1145">
      <c r="M1145" s="11">
        <f>B1145+30</f>
        <v/>
      </c>
      <c r="N1145">
        <f>IF(L1145="", "", L1145-B1145)</f>
        <v/>
      </c>
      <c r="O1145">
        <f>IF(L1145="", "Pending", IF(N1145&lt;=30, "Met", "Breached"))</f>
        <v/>
      </c>
    </row>
    <row r="1146">
      <c r="M1146" s="11">
        <f>B1146+30</f>
        <v/>
      </c>
      <c r="N1146">
        <f>IF(L1146="", "", L1146-B1146)</f>
        <v/>
      </c>
      <c r="O1146">
        <f>IF(L1146="", "Pending", IF(N1146&lt;=30, "Met", "Breached"))</f>
        <v/>
      </c>
    </row>
    <row r="1147">
      <c r="M1147" s="11">
        <f>B1147+30</f>
        <v/>
      </c>
      <c r="N1147">
        <f>IF(L1147="", "", L1147-B1147)</f>
        <v/>
      </c>
      <c r="O1147">
        <f>IF(L1147="", "Pending", IF(N1147&lt;=30, "Met", "Breached"))</f>
        <v/>
      </c>
    </row>
    <row r="1148">
      <c r="M1148" s="11">
        <f>B1148+30</f>
        <v/>
      </c>
      <c r="N1148">
        <f>IF(L1148="", "", L1148-B1148)</f>
        <v/>
      </c>
      <c r="O1148">
        <f>IF(L1148="", "Pending", IF(N1148&lt;=30, "Met", "Breached"))</f>
        <v/>
      </c>
    </row>
    <row r="1149">
      <c r="M1149" s="11">
        <f>B1149+30</f>
        <v/>
      </c>
      <c r="N1149">
        <f>IF(L1149="", "", L1149-B1149)</f>
        <v/>
      </c>
      <c r="O1149">
        <f>IF(L1149="", "Pending", IF(N1149&lt;=30, "Met", "Breached"))</f>
        <v/>
      </c>
    </row>
    <row r="1150">
      <c r="M1150" s="11">
        <f>B1150+30</f>
        <v/>
      </c>
      <c r="N1150">
        <f>IF(L1150="", "", L1150-B1150)</f>
        <v/>
      </c>
      <c r="O1150">
        <f>IF(L1150="", "Pending", IF(N1150&lt;=30, "Met", "Breached"))</f>
        <v/>
      </c>
    </row>
    <row r="1151">
      <c r="M1151" s="11">
        <f>B1151+30</f>
        <v/>
      </c>
      <c r="N1151">
        <f>IF(L1151="", "", L1151-B1151)</f>
        <v/>
      </c>
      <c r="O1151">
        <f>IF(L1151="", "Pending", IF(N1151&lt;=30, "Met", "Breached"))</f>
        <v/>
      </c>
    </row>
    <row r="1152">
      <c r="M1152" s="11">
        <f>B1152+30</f>
        <v/>
      </c>
      <c r="N1152">
        <f>IF(L1152="", "", L1152-B1152)</f>
        <v/>
      </c>
      <c r="O1152">
        <f>IF(L1152="", "Pending", IF(N1152&lt;=30, "Met", "Breached"))</f>
        <v/>
      </c>
    </row>
    <row r="1153">
      <c r="M1153" s="11">
        <f>B1153+30</f>
        <v/>
      </c>
      <c r="N1153">
        <f>IF(L1153="", "", L1153-B1153)</f>
        <v/>
      </c>
      <c r="O1153">
        <f>IF(L1153="", "Pending", IF(N1153&lt;=30, "Met", "Breached"))</f>
        <v/>
      </c>
    </row>
    <row r="1154">
      <c r="M1154" s="11">
        <f>B1154+30</f>
        <v/>
      </c>
      <c r="N1154">
        <f>IF(L1154="", "", L1154-B1154)</f>
        <v/>
      </c>
      <c r="O1154">
        <f>IF(L1154="", "Pending", IF(N1154&lt;=30, "Met", "Breached"))</f>
        <v/>
      </c>
    </row>
    <row r="1155">
      <c r="M1155" s="11">
        <f>B1155+30</f>
        <v/>
      </c>
      <c r="N1155">
        <f>IF(L1155="", "", L1155-B1155)</f>
        <v/>
      </c>
      <c r="O1155">
        <f>IF(L1155="", "Pending", IF(N1155&lt;=30, "Met", "Breached"))</f>
        <v/>
      </c>
    </row>
    <row r="1156">
      <c r="M1156" s="11">
        <f>B1156+30</f>
        <v/>
      </c>
      <c r="N1156">
        <f>IF(L1156="", "", L1156-B1156)</f>
        <v/>
      </c>
      <c r="O1156">
        <f>IF(L1156="", "Pending", IF(N1156&lt;=30, "Met", "Breached"))</f>
        <v/>
      </c>
    </row>
    <row r="1157">
      <c r="M1157" s="11">
        <f>B1157+30</f>
        <v/>
      </c>
      <c r="N1157">
        <f>IF(L1157="", "", L1157-B1157)</f>
        <v/>
      </c>
      <c r="O1157">
        <f>IF(L1157="", "Pending", IF(N1157&lt;=30, "Met", "Breached"))</f>
        <v/>
      </c>
    </row>
    <row r="1158">
      <c r="M1158" s="11">
        <f>B1158+30</f>
        <v/>
      </c>
      <c r="N1158">
        <f>IF(L1158="", "", L1158-B1158)</f>
        <v/>
      </c>
      <c r="O1158">
        <f>IF(L1158="", "Pending", IF(N1158&lt;=30, "Met", "Breached"))</f>
        <v/>
      </c>
    </row>
    <row r="1159">
      <c r="M1159" s="11">
        <f>B1159+30</f>
        <v/>
      </c>
      <c r="N1159">
        <f>IF(L1159="", "", L1159-B1159)</f>
        <v/>
      </c>
      <c r="O1159">
        <f>IF(L1159="", "Pending", IF(N1159&lt;=30, "Met", "Breached"))</f>
        <v/>
      </c>
    </row>
    <row r="1160">
      <c r="M1160" s="11">
        <f>B1160+30</f>
        <v/>
      </c>
      <c r="N1160">
        <f>IF(L1160="", "", L1160-B1160)</f>
        <v/>
      </c>
      <c r="O1160">
        <f>IF(L1160="", "Pending", IF(N1160&lt;=30, "Met", "Breached"))</f>
        <v/>
      </c>
    </row>
    <row r="1161">
      <c r="M1161" s="11">
        <f>B1161+30</f>
        <v/>
      </c>
      <c r="N1161">
        <f>IF(L1161="", "", L1161-B1161)</f>
        <v/>
      </c>
      <c r="O1161">
        <f>IF(L1161="", "Pending", IF(N1161&lt;=30, "Met", "Breached"))</f>
        <v/>
      </c>
    </row>
    <row r="1162">
      <c r="M1162" s="11">
        <f>B1162+30</f>
        <v/>
      </c>
      <c r="N1162">
        <f>IF(L1162="", "", L1162-B1162)</f>
        <v/>
      </c>
      <c r="O1162">
        <f>IF(L1162="", "Pending", IF(N1162&lt;=30, "Met", "Breached"))</f>
        <v/>
      </c>
    </row>
    <row r="1163">
      <c r="M1163" s="11">
        <f>B1163+30</f>
        <v/>
      </c>
      <c r="N1163">
        <f>IF(L1163="", "", L1163-B1163)</f>
        <v/>
      </c>
      <c r="O1163">
        <f>IF(L1163="", "Pending", IF(N1163&lt;=30, "Met", "Breached"))</f>
        <v/>
      </c>
    </row>
    <row r="1164">
      <c r="M1164" s="11">
        <f>B1164+30</f>
        <v/>
      </c>
      <c r="N1164">
        <f>IF(L1164="", "", L1164-B1164)</f>
        <v/>
      </c>
      <c r="O1164">
        <f>IF(L1164="", "Pending", IF(N1164&lt;=30, "Met", "Breached"))</f>
        <v/>
      </c>
    </row>
    <row r="1165">
      <c r="M1165" s="11">
        <f>B1165+30</f>
        <v/>
      </c>
      <c r="N1165">
        <f>IF(L1165="", "", L1165-B1165)</f>
        <v/>
      </c>
      <c r="O1165">
        <f>IF(L1165="", "Pending", IF(N1165&lt;=30, "Met", "Breached"))</f>
        <v/>
      </c>
    </row>
    <row r="1166">
      <c r="M1166" s="11">
        <f>B1166+30</f>
        <v/>
      </c>
      <c r="N1166">
        <f>IF(L1166="", "", L1166-B1166)</f>
        <v/>
      </c>
      <c r="O1166">
        <f>IF(L1166="", "Pending", IF(N1166&lt;=30, "Met", "Breached"))</f>
        <v/>
      </c>
    </row>
    <row r="1167">
      <c r="M1167" s="11">
        <f>B1167+30</f>
        <v/>
      </c>
      <c r="N1167">
        <f>IF(L1167="", "", L1167-B1167)</f>
        <v/>
      </c>
      <c r="O1167">
        <f>IF(L1167="", "Pending", IF(N1167&lt;=30, "Met", "Breached"))</f>
        <v/>
      </c>
    </row>
    <row r="1168">
      <c r="M1168" s="11">
        <f>B1168+30</f>
        <v/>
      </c>
      <c r="N1168">
        <f>IF(L1168="", "", L1168-B1168)</f>
        <v/>
      </c>
      <c r="O1168">
        <f>IF(L1168="", "Pending", IF(N1168&lt;=30, "Met", "Breached"))</f>
        <v/>
      </c>
    </row>
    <row r="1169">
      <c r="M1169" s="11">
        <f>B1169+30</f>
        <v/>
      </c>
      <c r="N1169">
        <f>IF(L1169="", "", L1169-B1169)</f>
        <v/>
      </c>
      <c r="O1169">
        <f>IF(L1169="", "Pending", IF(N1169&lt;=30, "Met", "Breached"))</f>
        <v/>
      </c>
    </row>
    <row r="1170">
      <c r="M1170" s="11">
        <f>B1170+30</f>
        <v/>
      </c>
      <c r="N1170">
        <f>IF(L1170="", "", L1170-B1170)</f>
        <v/>
      </c>
      <c r="O1170">
        <f>IF(L1170="", "Pending", IF(N1170&lt;=30, "Met", "Breached"))</f>
        <v/>
      </c>
    </row>
    <row r="1171">
      <c r="M1171" s="11">
        <f>B1171+30</f>
        <v/>
      </c>
      <c r="N1171">
        <f>IF(L1171="", "", L1171-B1171)</f>
        <v/>
      </c>
      <c r="O1171">
        <f>IF(L1171="", "Pending", IF(N1171&lt;=30, "Met", "Breached"))</f>
        <v/>
      </c>
    </row>
    <row r="1172">
      <c r="M1172" s="11">
        <f>B1172+30</f>
        <v/>
      </c>
      <c r="N1172">
        <f>IF(L1172="", "", L1172-B1172)</f>
        <v/>
      </c>
      <c r="O1172">
        <f>IF(L1172="", "Pending", IF(N1172&lt;=30, "Met", "Breached"))</f>
        <v/>
      </c>
    </row>
    <row r="1173">
      <c r="M1173" s="11">
        <f>B1173+30</f>
        <v/>
      </c>
      <c r="N1173">
        <f>IF(L1173="", "", L1173-B1173)</f>
        <v/>
      </c>
      <c r="O1173">
        <f>IF(L1173="", "Pending", IF(N1173&lt;=30, "Met", "Breached"))</f>
        <v/>
      </c>
    </row>
    <row r="1174">
      <c r="M1174" s="11">
        <f>B1174+30</f>
        <v/>
      </c>
      <c r="N1174">
        <f>IF(L1174="", "", L1174-B1174)</f>
        <v/>
      </c>
      <c r="O1174">
        <f>IF(L1174="", "Pending", IF(N1174&lt;=30, "Met", "Breached"))</f>
        <v/>
      </c>
    </row>
    <row r="1175">
      <c r="M1175" s="11">
        <f>B1175+30</f>
        <v/>
      </c>
      <c r="N1175">
        <f>IF(L1175="", "", L1175-B1175)</f>
        <v/>
      </c>
      <c r="O1175">
        <f>IF(L1175="", "Pending", IF(N1175&lt;=30, "Met", "Breached"))</f>
        <v/>
      </c>
    </row>
    <row r="1176">
      <c r="M1176" s="11">
        <f>B1176+30</f>
        <v/>
      </c>
      <c r="N1176">
        <f>IF(L1176="", "", L1176-B1176)</f>
        <v/>
      </c>
      <c r="O1176">
        <f>IF(L1176="", "Pending", IF(N1176&lt;=30, "Met", "Breached"))</f>
        <v/>
      </c>
    </row>
    <row r="1177">
      <c r="M1177" s="11">
        <f>B1177+30</f>
        <v/>
      </c>
      <c r="N1177">
        <f>IF(L1177="", "", L1177-B1177)</f>
        <v/>
      </c>
      <c r="O1177">
        <f>IF(L1177="", "Pending", IF(N1177&lt;=30, "Met", "Breached"))</f>
        <v/>
      </c>
    </row>
    <row r="1178">
      <c r="M1178" s="11">
        <f>B1178+30</f>
        <v/>
      </c>
      <c r="N1178">
        <f>IF(L1178="", "", L1178-B1178)</f>
        <v/>
      </c>
      <c r="O1178">
        <f>IF(L1178="", "Pending", IF(N1178&lt;=30, "Met", "Breached"))</f>
        <v/>
      </c>
    </row>
    <row r="1179">
      <c r="M1179" s="11">
        <f>B1179+30</f>
        <v/>
      </c>
      <c r="N1179">
        <f>IF(L1179="", "", L1179-B1179)</f>
        <v/>
      </c>
      <c r="O1179">
        <f>IF(L1179="", "Pending", IF(N1179&lt;=30, "Met", "Breached"))</f>
        <v/>
      </c>
    </row>
    <row r="1180">
      <c r="M1180" s="11">
        <f>B1180+30</f>
        <v/>
      </c>
      <c r="N1180">
        <f>IF(L1180="", "", L1180-B1180)</f>
        <v/>
      </c>
      <c r="O1180">
        <f>IF(L1180="", "Pending", IF(N1180&lt;=30, "Met", "Breached"))</f>
        <v/>
      </c>
    </row>
    <row r="1181">
      <c r="M1181" s="11">
        <f>B1181+30</f>
        <v/>
      </c>
      <c r="N1181">
        <f>IF(L1181="", "", L1181-B1181)</f>
        <v/>
      </c>
      <c r="O1181">
        <f>IF(L1181="", "Pending", IF(N1181&lt;=30, "Met", "Breached"))</f>
        <v/>
      </c>
    </row>
    <row r="1182">
      <c r="M1182" s="11">
        <f>B1182+30</f>
        <v/>
      </c>
      <c r="N1182">
        <f>IF(L1182="", "", L1182-B1182)</f>
        <v/>
      </c>
      <c r="O1182">
        <f>IF(L1182="", "Pending", IF(N1182&lt;=30, "Met", "Breached"))</f>
        <v/>
      </c>
    </row>
    <row r="1183">
      <c r="M1183" s="11">
        <f>B1183+30</f>
        <v/>
      </c>
      <c r="N1183">
        <f>IF(L1183="", "", L1183-B1183)</f>
        <v/>
      </c>
      <c r="O1183">
        <f>IF(L1183="", "Pending", IF(N1183&lt;=30, "Met", "Breached"))</f>
        <v/>
      </c>
    </row>
    <row r="1184">
      <c r="M1184" s="11">
        <f>B1184+30</f>
        <v/>
      </c>
      <c r="N1184">
        <f>IF(L1184="", "", L1184-B1184)</f>
        <v/>
      </c>
      <c r="O1184">
        <f>IF(L1184="", "Pending", IF(N1184&lt;=30, "Met", "Breached"))</f>
        <v/>
      </c>
    </row>
    <row r="1185">
      <c r="M1185" s="11">
        <f>B1185+30</f>
        <v/>
      </c>
      <c r="N1185">
        <f>IF(L1185="", "", L1185-B1185)</f>
        <v/>
      </c>
      <c r="O1185">
        <f>IF(L1185="", "Pending", IF(N1185&lt;=30, "Met", "Breached"))</f>
        <v/>
      </c>
    </row>
    <row r="1186">
      <c r="M1186" s="11">
        <f>B1186+30</f>
        <v/>
      </c>
      <c r="N1186">
        <f>IF(L1186="", "", L1186-B1186)</f>
        <v/>
      </c>
      <c r="O1186">
        <f>IF(L1186="", "Pending", IF(N1186&lt;=30, "Met", "Breached"))</f>
        <v/>
      </c>
    </row>
    <row r="1187">
      <c r="M1187" s="11">
        <f>B1187+30</f>
        <v/>
      </c>
      <c r="N1187">
        <f>IF(L1187="", "", L1187-B1187)</f>
        <v/>
      </c>
      <c r="O1187">
        <f>IF(L1187="", "Pending", IF(N1187&lt;=30, "Met", "Breached"))</f>
        <v/>
      </c>
    </row>
    <row r="1188">
      <c r="M1188" s="11">
        <f>B1188+30</f>
        <v/>
      </c>
      <c r="N1188">
        <f>IF(L1188="", "", L1188-B1188)</f>
        <v/>
      </c>
      <c r="O1188">
        <f>IF(L1188="", "Pending", IF(N1188&lt;=30, "Met", "Breached"))</f>
        <v/>
      </c>
    </row>
    <row r="1189">
      <c r="M1189" s="11">
        <f>B1189+30</f>
        <v/>
      </c>
      <c r="N1189">
        <f>IF(L1189="", "", L1189-B1189)</f>
        <v/>
      </c>
      <c r="O1189">
        <f>IF(L1189="", "Pending", IF(N1189&lt;=30, "Met", "Breached"))</f>
        <v/>
      </c>
    </row>
    <row r="1190">
      <c r="M1190" s="11">
        <f>B1190+30</f>
        <v/>
      </c>
      <c r="N1190">
        <f>IF(L1190="", "", L1190-B1190)</f>
        <v/>
      </c>
      <c r="O1190">
        <f>IF(L1190="", "Pending", IF(N1190&lt;=30, "Met", "Breached"))</f>
        <v/>
      </c>
    </row>
    <row r="1191">
      <c r="M1191" s="11">
        <f>B1191+30</f>
        <v/>
      </c>
      <c r="N1191">
        <f>IF(L1191="", "", L1191-B1191)</f>
        <v/>
      </c>
      <c r="O1191">
        <f>IF(L1191="", "Pending", IF(N1191&lt;=30, "Met", "Breached"))</f>
        <v/>
      </c>
    </row>
    <row r="1192">
      <c r="M1192" s="11">
        <f>B1192+30</f>
        <v/>
      </c>
      <c r="N1192">
        <f>IF(L1192="", "", L1192-B1192)</f>
        <v/>
      </c>
      <c r="O1192">
        <f>IF(L1192="", "Pending", IF(N1192&lt;=30, "Met", "Breached"))</f>
        <v/>
      </c>
    </row>
    <row r="1193">
      <c r="M1193" s="11">
        <f>B1193+30</f>
        <v/>
      </c>
      <c r="N1193">
        <f>IF(L1193="", "", L1193-B1193)</f>
        <v/>
      </c>
      <c r="O1193">
        <f>IF(L1193="", "Pending", IF(N1193&lt;=30, "Met", "Breached"))</f>
        <v/>
      </c>
    </row>
    <row r="1194">
      <c r="M1194" s="11">
        <f>B1194+30</f>
        <v/>
      </c>
      <c r="N1194">
        <f>IF(L1194="", "", L1194-B1194)</f>
        <v/>
      </c>
      <c r="O1194">
        <f>IF(L1194="", "Pending", IF(N1194&lt;=30, "Met", "Breached"))</f>
        <v/>
      </c>
    </row>
    <row r="1195">
      <c r="M1195" s="11">
        <f>B1195+30</f>
        <v/>
      </c>
      <c r="N1195">
        <f>IF(L1195="", "", L1195-B1195)</f>
        <v/>
      </c>
      <c r="O1195">
        <f>IF(L1195="", "Pending", IF(N1195&lt;=30, "Met", "Breached"))</f>
        <v/>
      </c>
    </row>
    <row r="1196">
      <c r="M1196" s="11">
        <f>B1196+30</f>
        <v/>
      </c>
      <c r="N1196">
        <f>IF(L1196="", "", L1196-B1196)</f>
        <v/>
      </c>
      <c r="O1196">
        <f>IF(L1196="", "Pending", IF(N1196&lt;=30, "Met", "Breached"))</f>
        <v/>
      </c>
    </row>
    <row r="1197">
      <c r="M1197" s="11">
        <f>B1197+30</f>
        <v/>
      </c>
      <c r="N1197">
        <f>IF(L1197="", "", L1197-B1197)</f>
        <v/>
      </c>
      <c r="O1197">
        <f>IF(L1197="", "Pending", IF(N1197&lt;=30, "Met", "Breached"))</f>
        <v/>
      </c>
    </row>
    <row r="1198">
      <c r="M1198" s="11">
        <f>B1198+30</f>
        <v/>
      </c>
      <c r="N1198">
        <f>IF(L1198="", "", L1198-B1198)</f>
        <v/>
      </c>
      <c r="O1198">
        <f>IF(L1198="", "Pending", IF(N1198&lt;=30, "Met", "Breached"))</f>
        <v/>
      </c>
    </row>
    <row r="1199">
      <c r="M1199" s="11">
        <f>B1199+30</f>
        <v/>
      </c>
      <c r="N1199">
        <f>IF(L1199="", "", L1199-B1199)</f>
        <v/>
      </c>
      <c r="O1199">
        <f>IF(L1199="", "Pending", IF(N1199&lt;=30, "Met", "Breached"))</f>
        <v/>
      </c>
    </row>
    <row r="1200">
      <c r="M1200" s="11">
        <f>B1200+30</f>
        <v/>
      </c>
      <c r="N1200">
        <f>IF(L1200="", "", L1200-B1200)</f>
        <v/>
      </c>
      <c r="O1200">
        <f>IF(L1200="", "Pending", IF(N1200&lt;=30, "Met", "Breached"))</f>
        <v/>
      </c>
    </row>
    <row r="1201">
      <c r="M1201" s="11">
        <f>B1201+30</f>
        <v/>
      </c>
      <c r="N1201">
        <f>IF(L1201="", "", L1201-B1201)</f>
        <v/>
      </c>
      <c r="O1201">
        <f>IF(L1201="", "Pending", IF(N1201&lt;=30, "Met", "Breached"))</f>
        <v/>
      </c>
    </row>
    <row r="1202">
      <c r="M1202" s="11">
        <f>B1202+30</f>
        <v/>
      </c>
      <c r="N1202">
        <f>IF(L1202="", "", L1202-B1202)</f>
        <v/>
      </c>
      <c r="O1202">
        <f>IF(L1202="", "Pending", IF(N1202&lt;=30, "Met", "Breached"))</f>
        <v/>
      </c>
    </row>
    <row r="1203">
      <c r="M1203" s="11">
        <f>B1203+30</f>
        <v/>
      </c>
      <c r="N1203">
        <f>IF(L1203="", "", L1203-B1203)</f>
        <v/>
      </c>
      <c r="O1203">
        <f>IF(L1203="", "Pending", IF(N1203&lt;=30, "Met", "Breached"))</f>
        <v/>
      </c>
    </row>
    <row r="1204">
      <c r="M1204" s="11">
        <f>B1204+30</f>
        <v/>
      </c>
      <c r="N1204">
        <f>IF(L1204="", "", L1204-B1204)</f>
        <v/>
      </c>
      <c r="O1204">
        <f>IF(L1204="", "Pending", IF(N1204&lt;=30, "Met", "Breached"))</f>
        <v/>
      </c>
    </row>
    <row r="1205">
      <c r="M1205" s="11">
        <f>B1205+30</f>
        <v/>
      </c>
      <c r="N1205">
        <f>IF(L1205="", "", L1205-B1205)</f>
        <v/>
      </c>
      <c r="O1205">
        <f>IF(L1205="", "Pending", IF(N1205&lt;=30, "Met", "Breached"))</f>
        <v/>
      </c>
    </row>
    <row r="1206">
      <c r="M1206" s="11">
        <f>B1206+30</f>
        <v/>
      </c>
      <c r="N1206">
        <f>IF(L1206="", "", L1206-B1206)</f>
        <v/>
      </c>
      <c r="O1206">
        <f>IF(L1206="", "Pending", IF(N1206&lt;=30, "Met", "Breached"))</f>
        <v/>
      </c>
    </row>
    <row r="1207">
      <c r="M1207" s="11">
        <f>B1207+30</f>
        <v/>
      </c>
      <c r="N1207">
        <f>IF(L1207="", "", L1207-B1207)</f>
        <v/>
      </c>
      <c r="O1207">
        <f>IF(L1207="", "Pending", IF(N1207&lt;=30, "Met", "Breached"))</f>
        <v/>
      </c>
    </row>
    <row r="1208">
      <c r="M1208" s="11">
        <f>B1208+30</f>
        <v/>
      </c>
      <c r="N1208">
        <f>IF(L1208="", "", L1208-B1208)</f>
        <v/>
      </c>
      <c r="O1208">
        <f>IF(L1208="", "Pending", IF(N1208&lt;=30, "Met", "Breached"))</f>
        <v/>
      </c>
    </row>
    <row r="1209">
      <c r="M1209" s="11">
        <f>B1209+30</f>
        <v/>
      </c>
      <c r="N1209">
        <f>IF(L1209="", "", L1209-B1209)</f>
        <v/>
      </c>
      <c r="O1209">
        <f>IF(L1209="", "Pending", IF(N1209&lt;=30, "Met", "Breached"))</f>
        <v/>
      </c>
    </row>
    <row r="1210">
      <c r="M1210" s="11">
        <f>B1210+30</f>
        <v/>
      </c>
      <c r="N1210">
        <f>IF(L1210="", "", L1210-B1210)</f>
        <v/>
      </c>
      <c r="O1210">
        <f>IF(L1210="", "Pending", IF(N1210&lt;=30, "Met", "Breached"))</f>
        <v/>
      </c>
    </row>
    <row r="1211">
      <c r="M1211" s="11">
        <f>B1211+30</f>
        <v/>
      </c>
      <c r="N1211">
        <f>IF(L1211="", "", L1211-B1211)</f>
        <v/>
      </c>
      <c r="O1211">
        <f>IF(L1211="", "Pending", IF(N1211&lt;=30, "Met", "Breached"))</f>
        <v/>
      </c>
    </row>
    <row r="1212">
      <c r="M1212" s="11">
        <f>B1212+30</f>
        <v/>
      </c>
      <c r="N1212">
        <f>IF(L1212="", "", L1212-B1212)</f>
        <v/>
      </c>
      <c r="O1212">
        <f>IF(L1212="", "Pending", IF(N1212&lt;=30, "Met", "Breached"))</f>
        <v/>
      </c>
    </row>
    <row r="1213">
      <c r="M1213" s="11">
        <f>B1213+30</f>
        <v/>
      </c>
      <c r="N1213">
        <f>IF(L1213="", "", L1213-B1213)</f>
        <v/>
      </c>
      <c r="O1213">
        <f>IF(L1213="", "Pending", IF(N1213&lt;=30, "Met", "Breached"))</f>
        <v/>
      </c>
    </row>
    <row r="1214">
      <c r="M1214" s="11">
        <f>B1214+30</f>
        <v/>
      </c>
      <c r="N1214">
        <f>IF(L1214="", "", L1214-B1214)</f>
        <v/>
      </c>
      <c r="O1214">
        <f>IF(L1214="", "Pending", IF(N1214&lt;=30, "Met", "Breached"))</f>
        <v/>
      </c>
    </row>
    <row r="1215">
      <c r="M1215" s="11">
        <f>B1215+30</f>
        <v/>
      </c>
      <c r="N1215">
        <f>IF(L1215="", "", L1215-B1215)</f>
        <v/>
      </c>
      <c r="O1215">
        <f>IF(L1215="", "Pending", IF(N1215&lt;=30, "Met", "Breached"))</f>
        <v/>
      </c>
    </row>
    <row r="1216">
      <c r="M1216" s="11">
        <f>B1216+30</f>
        <v/>
      </c>
      <c r="N1216">
        <f>IF(L1216="", "", L1216-B1216)</f>
        <v/>
      </c>
      <c r="O1216">
        <f>IF(L1216="", "Pending", IF(N1216&lt;=30, "Met", "Breached"))</f>
        <v/>
      </c>
    </row>
    <row r="1217">
      <c r="M1217" s="11">
        <f>B1217+30</f>
        <v/>
      </c>
      <c r="N1217">
        <f>IF(L1217="", "", L1217-B1217)</f>
        <v/>
      </c>
      <c r="O1217">
        <f>IF(L1217="", "Pending", IF(N1217&lt;=30, "Met", "Breached"))</f>
        <v/>
      </c>
    </row>
    <row r="1218">
      <c r="M1218" s="11">
        <f>B1218+30</f>
        <v/>
      </c>
      <c r="N1218">
        <f>IF(L1218="", "", L1218-B1218)</f>
        <v/>
      </c>
      <c r="O1218">
        <f>IF(L1218="", "Pending", IF(N1218&lt;=30, "Met", "Breached"))</f>
        <v/>
      </c>
    </row>
    <row r="1219">
      <c r="M1219" s="11">
        <f>B1219+30</f>
        <v/>
      </c>
      <c r="N1219">
        <f>IF(L1219="", "", L1219-B1219)</f>
        <v/>
      </c>
      <c r="O1219">
        <f>IF(L1219="", "Pending", IF(N1219&lt;=30, "Met", "Breached"))</f>
        <v/>
      </c>
    </row>
    <row r="1220">
      <c r="M1220" s="11">
        <f>B1220+30</f>
        <v/>
      </c>
      <c r="N1220">
        <f>IF(L1220="", "", L1220-B1220)</f>
        <v/>
      </c>
      <c r="O1220">
        <f>IF(L1220="", "Pending", IF(N1220&lt;=30, "Met", "Breached"))</f>
        <v/>
      </c>
    </row>
    <row r="1221">
      <c r="M1221" s="11">
        <f>B1221+30</f>
        <v/>
      </c>
      <c r="N1221">
        <f>IF(L1221="", "", L1221-B1221)</f>
        <v/>
      </c>
      <c r="O1221">
        <f>IF(L1221="", "Pending", IF(N1221&lt;=30, "Met", "Breached"))</f>
        <v/>
      </c>
    </row>
    <row r="1222">
      <c r="M1222" s="11">
        <f>B1222+30</f>
        <v/>
      </c>
      <c r="N1222">
        <f>IF(L1222="", "", L1222-B1222)</f>
        <v/>
      </c>
      <c r="O1222">
        <f>IF(L1222="", "Pending", IF(N1222&lt;=30, "Met", "Breached"))</f>
        <v/>
      </c>
    </row>
    <row r="1223">
      <c r="M1223" s="11">
        <f>B1223+30</f>
        <v/>
      </c>
      <c r="N1223">
        <f>IF(L1223="", "", L1223-B1223)</f>
        <v/>
      </c>
      <c r="O1223">
        <f>IF(L1223="", "Pending", IF(N1223&lt;=30, "Met", "Breached"))</f>
        <v/>
      </c>
    </row>
    <row r="1224">
      <c r="M1224" s="11">
        <f>B1224+30</f>
        <v/>
      </c>
      <c r="N1224">
        <f>IF(L1224="", "", L1224-B1224)</f>
        <v/>
      </c>
      <c r="O1224">
        <f>IF(L1224="", "Pending", IF(N1224&lt;=30, "Met", "Breached"))</f>
        <v/>
      </c>
    </row>
    <row r="1225">
      <c r="M1225" s="11">
        <f>B1225+30</f>
        <v/>
      </c>
      <c r="N1225">
        <f>IF(L1225="", "", L1225-B1225)</f>
        <v/>
      </c>
      <c r="O1225">
        <f>IF(L1225="", "Pending", IF(N1225&lt;=30, "Met", "Breached"))</f>
        <v/>
      </c>
    </row>
    <row r="1226">
      <c r="M1226" s="11">
        <f>B1226+30</f>
        <v/>
      </c>
      <c r="N1226">
        <f>IF(L1226="", "", L1226-B1226)</f>
        <v/>
      </c>
      <c r="O1226">
        <f>IF(L1226="", "Pending", IF(N1226&lt;=30, "Met", "Breached"))</f>
        <v/>
      </c>
    </row>
    <row r="1227">
      <c r="M1227" s="11">
        <f>B1227+30</f>
        <v/>
      </c>
      <c r="N1227">
        <f>IF(L1227="", "", L1227-B1227)</f>
        <v/>
      </c>
      <c r="O1227">
        <f>IF(L1227="", "Pending", IF(N1227&lt;=30, "Met", "Breached"))</f>
        <v/>
      </c>
    </row>
    <row r="1228">
      <c r="M1228" s="11">
        <f>B1228+30</f>
        <v/>
      </c>
      <c r="N1228">
        <f>IF(L1228="", "", L1228-B1228)</f>
        <v/>
      </c>
      <c r="O1228">
        <f>IF(L1228="", "Pending", IF(N1228&lt;=30, "Met", "Breached"))</f>
        <v/>
      </c>
    </row>
    <row r="1229">
      <c r="M1229" s="11">
        <f>B1229+30</f>
        <v/>
      </c>
      <c r="N1229">
        <f>IF(L1229="", "", L1229-B1229)</f>
        <v/>
      </c>
      <c r="O1229">
        <f>IF(L1229="", "Pending", IF(N1229&lt;=30, "Met", "Breached"))</f>
        <v/>
      </c>
    </row>
    <row r="1230">
      <c r="M1230" s="11">
        <f>B1230+30</f>
        <v/>
      </c>
      <c r="N1230">
        <f>IF(L1230="", "", L1230-B1230)</f>
        <v/>
      </c>
      <c r="O1230">
        <f>IF(L1230="", "Pending", IF(N1230&lt;=30, "Met", "Breached"))</f>
        <v/>
      </c>
    </row>
    <row r="1231">
      <c r="M1231" s="11">
        <f>B1231+30</f>
        <v/>
      </c>
      <c r="N1231">
        <f>IF(L1231="", "", L1231-B1231)</f>
        <v/>
      </c>
      <c r="O1231">
        <f>IF(L1231="", "Pending", IF(N1231&lt;=30, "Met", "Breached"))</f>
        <v/>
      </c>
    </row>
    <row r="1232">
      <c r="M1232" s="11">
        <f>B1232+30</f>
        <v/>
      </c>
      <c r="N1232">
        <f>IF(L1232="", "", L1232-B1232)</f>
        <v/>
      </c>
      <c r="O1232">
        <f>IF(L1232="", "Pending", IF(N1232&lt;=30, "Met", "Breached"))</f>
        <v/>
      </c>
    </row>
    <row r="1233">
      <c r="M1233" s="11">
        <f>B1233+30</f>
        <v/>
      </c>
      <c r="N1233">
        <f>IF(L1233="", "", L1233-B1233)</f>
        <v/>
      </c>
      <c r="O1233">
        <f>IF(L1233="", "Pending", IF(N1233&lt;=30, "Met", "Breached"))</f>
        <v/>
      </c>
    </row>
    <row r="1234">
      <c r="M1234" s="11">
        <f>B1234+30</f>
        <v/>
      </c>
      <c r="N1234">
        <f>IF(L1234="", "", L1234-B1234)</f>
        <v/>
      </c>
      <c r="O1234">
        <f>IF(L1234="", "Pending", IF(N1234&lt;=30, "Met", "Breached"))</f>
        <v/>
      </c>
    </row>
    <row r="1235">
      <c r="M1235" s="11">
        <f>B1235+30</f>
        <v/>
      </c>
      <c r="N1235">
        <f>IF(L1235="", "", L1235-B1235)</f>
        <v/>
      </c>
      <c r="O1235">
        <f>IF(L1235="", "Pending", IF(N1235&lt;=30, "Met", "Breached"))</f>
        <v/>
      </c>
    </row>
    <row r="1236">
      <c r="M1236" s="11">
        <f>B1236+30</f>
        <v/>
      </c>
      <c r="N1236">
        <f>IF(L1236="", "", L1236-B1236)</f>
        <v/>
      </c>
      <c r="O1236">
        <f>IF(L1236="", "Pending", IF(N1236&lt;=30, "Met", "Breached"))</f>
        <v/>
      </c>
    </row>
    <row r="1237">
      <c r="M1237" s="11">
        <f>B1237+30</f>
        <v/>
      </c>
      <c r="N1237">
        <f>IF(L1237="", "", L1237-B1237)</f>
        <v/>
      </c>
      <c r="O1237">
        <f>IF(L1237="", "Pending", IF(N1237&lt;=30, "Met", "Breached"))</f>
        <v/>
      </c>
    </row>
    <row r="1238">
      <c r="M1238" s="11">
        <f>B1238+30</f>
        <v/>
      </c>
      <c r="N1238">
        <f>IF(L1238="", "", L1238-B1238)</f>
        <v/>
      </c>
      <c r="O1238">
        <f>IF(L1238="", "Pending", IF(N1238&lt;=30, "Met", "Breached"))</f>
        <v/>
      </c>
    </row>
    <row r="1239">
      <c r="M1239" s="11">
        <f>B1239+30</f>
        <v/>
      </c>
      <c r="N1239">
        <f>IF(L1239="", "", L1239-B1239)</f>
        <v/>
      </c>
      <c r="O1239">
        <f>IF(L1239="", "Pending", IF(N1239&lt;=30, "Met", "Breached"))</f>
        <v/>
      </c>
    </row>
    <row r="1240">
      <c r="M1240" s="11">
        <f>B1240+30</f>
        <v/>
      </c>
      <c r="N1240">
        <f>IF(L1240="", "", L1240-B1240)</f>
        <v/>
      </c>
      <c r="O1240">
        <f>IF(L1240="", "Pending", IF(N1240&lt;=30, "Met", "Breached"))</f>
        <v/>
      </c>
    </row>
    <row r="1241">
      <c r="M1241" s="11">
        <f>B1241+30</f>
        <v/>
      </c>
      <c r="N1241">
        <f>IF(L1241="", "", L1241-B1241)</f>
        <v/>
      </c>
      <c r="O1241">
        <f>IF(L1241="", "Pending", IF(N1241&lt;=30, "Met", "Breached"))</f>
        <v/>
      </c>
    </row>
    <row r="1242">
      <c r="M1242" s="11">
        <f>B1242+30</f>
        <v/>
      </c>
      <c r="N1242">
        <f>IF(L1242="", "", L1242-B1242)</f>
        <v/>
      </c>
      <c r="O1242">
        <f>IF(L1242="", "Pending", IF(N1242&lt;=30, "Met", "Breached"))</f>
        <v/>
      </c>
    </row>
    <row r="1243">
      <c r="M1243" s="11">
        <f>B1243+30</f>
        <v/>
      </c>
      <c r="N1243">
        <f>IF(L1243="", "", L1243-B1243)</f>
        <v/>
      </c>
      <c r="O1243">
        <f>IF(L1243="", "Pending", IF(N1243&lt;=30, "Met", "Breached"))</f>
        <v/>
      </c>
    </row>
    <row r="1244">
      <c r="M1244" s="11">
        <f>B1244+30</f>
        <v/>
      </c>
      <c r="N1244">
        <f>IF(L1244="", "", L1244-B1244)</f>
        <v/>
      </c>
      <c r="O1244">
        <f>IF(L1244="", "Pending", IF(N1244&lt;=30, "Met", "Breached"))</f>
        <v/>
      </c>
    </row>
    <row r="1245">
      <c r="M1245" s="11">
        <f>B1245+30</f>
        <v/>
      </c>
      <c r="N1245">
        <f>IF(L1245="", "", L1245-B1245)</f>
        <v/>
      </c>
      <c r="O1245">
        <f>IF(L1245="", "Pending", IF(N1245&lt;=30, "Met", "Breached"))</f>
        <v/>
      </c>
    </row>
    <row r="1246">
      <c r="M1246" s="11">
        <f>B1246+30</f>
        <v/>
      </c>
      <c r="N1246">
        <f>IF(L1246="", "", L1246-B1246)</f>
        <v/>
      </c>
      <c r="O1246">
        <f>IF(L1246="", "Pending", IF(N1246&lt;=30, "Met", "Breached"))</f>
        <v/>
      </c>
    </row>
    <row r="1247">
      <c r="M1247" s="11">
        <f>B1247+30</f>
        <v/>
      </c>
      <c r="N1247">
        <f>IF(L1247="", "", L1247-B1247)</f>
        <v/>
      </c>
      <c r="O1247">
        <f>IF(L1247="", "Pending", IF(N1247&lt;=30, "Met", "Breached"))</f>
        <v/>
      </c>
    </row>
    <row r="1248">
      <c r="M1248" s="11">
        <f>B1248+30</f>
        <v/>
      </c>
      <c r="N1248">
        <f>IF(L1248="", "", L1248-B1248)</f>
        <v/>
      </c>
      <c r="O1248">
        <f>IF(L1248="", "Pending", IF(N1248&lt;=30, "Met", "Breached"))</f>
        <v/>
      </c>
    </row>
    <row r="1249">
      <c r="M1249" s="11">
        <f>B1249+30</f>
        <v/>
      </c>
      <c r="N1249">
        <f>IF(L1249="", "", L1249-B1249)</f>
        <v/>
      </c>
      <c r="O1249">
        <f>IF(L1249="", "Pending", IF(N1249&lt;=30, "Met", "Breached"))</f>
        <v/>
      </c>
    </row>
    <row r="1250">
      <c r="M1250" s="11">
        <f>B1250+30</f>
        <v/>
      </c>
      <c r="N1250">
        <f>IF(L1250="", "", L1250-B1250)</f>
        <v/>
      </c>
      <c r="O1250">
        <f>IF(L1250="", "Pending", IF(N1250&lt;=30, "Met", "Breached"))</f>
        <v/>
      </c>
    </row>
    <row r="1251">
      <c r="M1251" s="11">
        <f>B1251+30</f>
        <v/>
      </c>
      <c r="N1251">
        <f>IF(L1251="", "", L1251-B1251)</f>
        <v/>
      </c>
      <c r="O1251">
        <f>IF(L1251="", "Pending", IF(N1251&lt;=30, "Met", "Breached"))</f>
        <v/>
      </c>
    </row>
    <row r="1252">
      <c r="M1252" s="11">
        <f>B1252+30</f>
        <v/>
      </c>
      <c r="N1252">
        <f>IF(L1252="", "", L1252-B1252)</f>
        <v/>
      </c>
      <c r="O1252">
        <f>IF(L1252="", "Pending", IF(N1252&lt;=30, "Met", "Breached"))</f>
        <v/>
      </c>
    </row>
    <row r="1253">
      <c r="M1253" s="11">
        <f>B1253+30</f>
        <v/>
      </c>
      <c r="N1253">
        <f>IF(L1253="", "", L1253-B1253)</f>
        <v/>
      </c>
      <c r="O1253">
        <f>IF(L1253="", "Pending", IF(N1253&lt;=30, "Met", "Breached"))</f>
        <v/>
      </c>
    </row>
    <row r="1254">
      <c r="M1254" s="11">
        <f>B1254+30</f>
        <v/>
      </c>
      <c r="N1254">
        <f>IF(L1254="", "", L1254-B1254)</f>
        <v/>
      </c>
      <c r="O1254">
        <f>IF(L1254="", "Pending", IF(N1254&lt;=30, "Met", "Breached"))</f>
        <v/>
      </c>
    </row>
    <row r="1255">
      <c r="M1255" s="11">
        <f>B1255+30</f>
        <v/>
      </c>
      <c r="N1255">
        <f>IF(L1255="", "", L1255-B1255)</f>
        <v/>
      </c>
      <c r="O1255">
        <f>IF(L1255="", "Pending", IF(N1255&lt;=30, "Met", "Breached"))</f>
        <v/>
      </c>
    </row>
    <row r="1256">
      <c r="M1256" s="11">
        <f>B1256+30</f>
        <v/>
      </c>
      <c r="N1256">
        <f>IF(L1256="", "", L1256-B1256)</f>
        <v/>
      </c>
      <c r="O1256">
        <f>IF(L1256="", "Pending", IF(N1256&lt;=30, "Met", "Breached"))</f>
        <v/>
      </c>
    </row>
    <row r="1257">
      <c r="M1257" s="11">
        <f>B1257+30</f>
        <v/>
      </c>
      <c r="N1257">
        <f>IF(L1257="", "", L1257-B1257)</f>
        <v/>
      </c>
      <c r="O1257">
        <f>IF(L1257="", "Pending", IF(N1257&lt;=30, "Met", "Breached"))</f>
        <v/>
      </c>
    </row>
    <row r="1258">
      <c r="M1258" s="11">
        <f>B1258+30</f>
        <v/>
      </c>
      <c r="N1258">
        <f>IF(L1258="", "", L1258-B1258)</f>
        <v/>
      </c>
      <c r="O1258">
        <f>IF(L1258="", "Pending", IF(N1258&lt;=30, "Met", "Breached"))</f>
        <v/>
      </c>
    </row>
    <row r="1259">
      <c r="M1259" s="11">
        <f>B1259+30</f>
        <v/>
      </c>
      <c r="N1259">
        <f>IF(L1259="", "", L1259-B1259)</f>
        <v/>
      </c>
      <c r="O1259">
        <f>IF(L1259="", "Pending", IF(N1259&lt;=30, "Met", "Breached"))</f>
        <v/>
      </c>
    </row>
    <row r="1260">
      <c r="M1260" s="11">
        <f>B1260+30</f>
        <v/>
      </c>
      <c r="N1260">
        <f>IF(L1260="", "", L1260-B1260)</f>
        <v/>
      </c>
      <c r="O1260">
        <f>IF(L1260="", "Pending", IF(N1260&lt;=30, "Met", "Breached"))</f>
        <v/>
      </c>
    </row>
    <row r="1261">
      <c r="M1261" s="11">
        <f>B1261+30</f>
        <v/>
      </c>
      <c r="N1261">
        <f>IF(L1261="", "", L1261-B1261)</f>
        <v/>
      </c>
      <c r="O1261">
        <f>IF(L1261="", "Pending", IF(N1261&lt;=30, "Met", "Breached"))</f>
        <v/>
      </c>
    </row>
    <row r="1262">
      <c r="M1262" s="11">
        <f>B1262+30</f>
        <v/>
      </c>
      <c r="N1262">
        <f>IF(L1262="", "", L1262-B1262)</f>
        <v/>
      </c>
      <c r="O1262">
        <f>IF(L1262="", "Pending", IF(N1262&lt;=30, "Met", "Breached"))</f>
        <v/>
      </c>
    </row>
    <row r="1263">
      <c r="M1263" s="11">
        <f>B1263+30</f>
        <v/>
      </c>
      <c r="N1263">
        <f>IF(L1263="", "", L1263-B1263)</f>
        <v/>
      </c>
      <c r="O1263">
        <f>IF(L1263="", "Pending", IF(N1263&lt;=30, "Met", "Breached"))</f>
        <v/>
      </c>
    </row>
    <row r="1264">
      <c r="M1264" s="11">
        <f>B1264+30</f>
        <v/>
      </c>
      <c r="N1264">
        <f>IF(L1264="", "", L1264-B1264)</f>
        <v/>
      </c>
      <c r="O1264">
        <f>IF(L1264="", "Pending", IF(N1264&lt;=30, "Met", "Breached"))</f>
        <v/>
      </c>
    </row>
    <row r="1265">
      <c r="M1265" s="11">
        <f>B1265+30</f>
        <v/>
      </c>
      <c r="N1265">
        <f>IF(L1265="", "", L1265-B1265)</f>
        <v/>
      </c>
      <c r="O1265">
        <f>IF(L1265="", "Pending", IF(N1265&lt;=30, "Met", "Breached"))</f>
        <v/>
      </c>
    </row>
    <row r="1266">
      <c r="M1266" s="11">
        <f>B1266+30</f>
        <v/>
      </c>
      <c r="N1266">
        <f>IF(L1266="", "", L1266-B1266)</f>
        <v/>
      </c>
      <c r="O1266">
        <f>IF(L1266="", "Pending", IF(N1266&lt;=30, "Met", "Breached"))</f>
        <v/>
      </c>
    </row>
    <row r="1267">
      <c r="M1267" s="11">
        <f>B1267+30</f>
        <v/>
      </c>
      <c r="N1267">
        <f>IF(L1267="", "", L1267-B1267)</f>
        <v/>
      </c>
      <c r="O1267">
        <f>IF(L1267="", "Pending", IF(N1267&lt;=30, "Met", "Breached"))</f>
        <v/>
      </c>
    </row>
    <row r="1268">
      <c r="M1268" s="11">
        <f>B1268+30</f>
        <v/>
      </c>
      <c r="N1268">
        <f>IF(L1268="", "", L1268-B1268)</f>
        <v/>
      </c>
      <c r="O1268">
        <f>IF(L1268="", "Pending", IF(N1268&lt;=30, "Met", "Breached"))</f>
        <v/>
      </c>
    </row>
    <row r="1269">
      <c r="M1269" s="11">
        <f>B1269+30</f>
        <v/>
      </c>
      <c r="N1269">
        <f>IF(L1269="", "", L1269-B1269)</f>
        <v/>
      </c>
      <c r="O1269">
        <f>IF(L1269="", "Pending", IF(N1269&lt;=30, "Met", "Breached"))</f>
        <v/>
      </c>
    </row>
    <row r="1270">
      <c r="M1270" s="11">
        <f>B1270+30</f>
        <v/>
      </c>
      <c r="N1270">
        <f>IF(L1270="", "", L1270-B1270)</f>
        <v/>
      </c>
      <c r="O1270">
        <f>IF(L1270="", "Pending", IF(N1270&lt;=30, "Met", "Breached"))</f>
        <v/>
      </c>
    </row>
    <row r="1271">
      <c r="M1271" s="11">
        <f>B1271+30</f>
        <v/>
      </c>
      <c r="N1271">
        <f>IF(L1271="", "", L1271-B1271)</f>
        <v/>
      </c>
      <c r="O1271">
        <f>IF(L1271="", "Pending", IF(N1271&lt;=30, "Met", "Breached"))</f>
        <v/>
      </c>
    </row>
    <row r="1272">
      <c r="M1272" s="11">
        <f>B1272+30</f>
        <v/>
      </c>
      <c r="N1272">
        <f>IF(L1272="", "", L1272-B1272)</f>
        <v/>
      </c>
      <c r="O1272">
        <f>IF(L1272="", "Pending", IF(N1272&lt;=30, "Met", "Breached"))</f>
        <v/>
      </c>
    </row>
    <row r="1273">
      <c r="M1273" s="11">
        <f>B1273+30</f>
        <v/>
      </c>
      <c r="N1273">
        <f>IF(L1273="", "", L1273-B1273)</f>
        <v/>
      </c>
      <c r="O1273">
        <f>IF(L1273="", "Pending", IF(N1273&lt;=30, "Met", "Breached"))</f>
        <v/>
      </c>
    </row>
    <row r="1274">
      <c r="M1274" s="11">
        <f>B1274+30</f>
        <v/>
      </c>
      <c r="N1274">
        <f>IF(L1274="", "", L1274-B1274)</f>
        <v/>
      </c>
      <c r="O1274">
        <f>IF(L1274="", "Pending", IF(N1274&lt;=30, "Met", "Breached"))</f>
        <v/>
      </c>
    </row>
    <row r="1275">
      <c r="M1275" s="11">
        <f>B1275+30</f>
        <v/>
      </c>
      <c r="N1275">
        <f>IF(L1275="", "", L1275-B1275)</f>
        <v/>
      </c>
      <c r="O1275">
        <f>IF(L1275="", "Pending", IF(N1275&lt;=30, "Met", "Breached"))</f>
        <v/>
      </c>
    </row>
    <row r="1276">
      <c r="M1276" s="11">
        <f>B1276+30</f>
        <v/>
      </c>
      <c r="N1276">
        <f>IF(L1276="", "", L1276-B1276)</f>
        <v/>
      </c>
      <c r="O1276">
        <f>IF(L1276="", "Pending", IF(N1276&lt;=30, "Met", "Breached"))</f>
        <v/>
      </c>
    </row>
    <row r="1277">
      <c r="M1277" s="11">
        <f>B1277+30</f>
        <v/>
      </c>
      <c r="N1277">
        <f>IF(L1277="", "", L1277-B1277)</f>
        <v/>
      </c>
      <c r="O1277">
        <f>IF(L1277="", "Pending", IF(N1277&lt;=30, "Met", "Breached"))</f>
        <v/>
      </c>
    </row>
    <row r="1278">
      <c r="M1278" s="11">
        <f>B1278+30</f>
        <v/>
      </c>
      <c r="N1278">
        <f>IF(L1278="", "", L1278-B1278)</f>
        <v/>
      </c>
      <c r="O1278">
        <f>IF(L1278="", "Pending", IF(N1278&lt;=30, "Met", "Breached"))</f>
        <v/>
      </c>
    </row>
    <row r="1279">
      <c r="M1279" s="11">
        <f>B1279+30</f>
        <v/>
      </c>
      <c r="N1279">
        <f>IF(L1279="", "", L1279-B1279)</f>
        <v/>
      </c>
      <c r="O1279">
        <f>IF(L1279="", "Pending", IF(N1279&lt;=30, "Met", "Breached"))</f>
        <v/>
      </c>
    </row>
    <row r="1280">
      <c r="M1280" s="11">
        <f>B1280+30</f>
        <v/>
      </c>
      <c r="N1280">
        <f>IF(L1280="", "", L1280-B1280)</f>
        <v/>
      </c>
      <c r="O1280">
        <f>IF(L1280="", "Pending", IF(N1280&lt;=30, "Met", "Breached"))</f>
        <v/>
      </c>
    </row>
    <row r="1281">
      <c r="M1281" s="11">
        <f>B1281+30</f>
        <v/>
      </c>
      <c r="N1281">
        <f>IF(L1281="", "", L1281-B1281)</f>
        <v/>
      </c>
      <c r="O1281">
        <f>IF(L1281="", "Pending", IF(N1281&lt;=30, "Met", "Breached"))</f>
        <v/>
      </c>
    </row>
    <row r="1282">
      <c r="M1282" s="11">
        <f>B1282+30</f>
        <v/>
      </c>
      <c r="N1282">
        <f>IF(L1282="", "", L1282-B1282)</f>
        <v/>
      </c>
      <c r="O1282">
        <f>IF(L1282="", "Pending", IF(N1282&lt;=30, "Met", "Breached"))</f>
        <v/>
      </c>
    </row>
    <row r="1283">
      <c r="M1283" s="11">
        <f>B1283+30</f>
        <v/>
      </c>
      <c r="N1283">
        <f>IF(L1283="", "", L1283-B1283)</f>
        <v/>
      </c>
      <c r="O1283">
        <f>IF(L1283="", "Pending", IF(N1283&lt;=30, "Met", "Breached"))</f>
        <v/>
      </c>
    </row>
    <row r="1284">
      <c r="M1284" s="11">
        <f>B1284+30</f>
        <v/>
      </c>
      <c r="N1284">
        <f>IF(L1284="", "", L1284-B1284)</f>
        <v/>
      </c>
      <c r="O1284">
        <f>IF(L1284="", "Pending", IF(N1284&lt;=30, "Met", "Breached"))</f>
        <v/>
      </c>
    </row>
    <row r="1285">
      <c r="M1285" s="11">
        <f>B1285+30</f>
        <v/>
      </c>
      <c r="N1285">
        <f>IF(L1285="", "", L1285-B1285)</f>
        <v/>
      </c>
      <c r="O1285">
        <f>IF(L1285="", "Pending", IF(N1285&lt;=30, "Met", "Breached"))</f>
        <v/>
      </c>
    </row>
    <row r="1286">
      <c r="M1286" s="11">
        <f>B1286+30</f>
        <v/>
      </c>
      <c r="N1286">
        <f>IF(L1286="", "", L1286-B1286)</f>
        <v/>
      </c>
      <c r="O1286">
        <f>IF(L1286="", "Pending", IF(N1286&lt;=30, "Met", "Breached"))</f>
        <v/>
      </c>
    </row>
    <row r="1287">
      <c r="M1287" s="11">
        <f>B1287+30</f>
        <v/>
      </c>
      <c r="N1287">
        <f>IF(L1287="", "", L1287-B1287)</f>
        <v/>
      </c>
      <c r="O1287">
        <f>IF(L1287="", "Pending", IF(N1287&lt;=30, "Met", "Breached"))</f>
        <v/>
      </c>
    </row>
    <row r="1288">
      <c r="M1288" s="11">
        <f>B1288+30</f>
        <v/>
      </c>
      <c r="N1288">
        <f>IF(L1288="", "", L1288-B1288)</f>
        <v/>
      </c>
      <c r="O1288">
        <f>IF(L1288="", "Pending", IF(N1288&lt;=30, "Met", "Breached"))</f>
        <v/>
      </c>
    </row>
    <row r="1289">
      <c r="M1289" s="11">
        <f>B1289+30</f>
        <v/>
      </c>
      <c r="N1289">
        <f>IF(L1289="", "", L1289-B1289)</f>
        <v/>
      </c>
      <c r="O1289">
        <f>IF(L1289="", "Pending", IF(N1289&lt;=30, "Met", "Breached"))</f>
        <v/>
      </c>
    </row>
    <row r="1290">
      <c r="M1290" s="11">
        <f>B1290+30</f>
        <v/>
      </c>
      <c r="N1290">
        <f>IF(L1290="", "", L1290-B1290)</f>
        <v/>
      </c>
      <c r="O1290">
        <f>IF(L1290="", "Pending", IF(N1290&lt;=30, "Met", "Breached"))</f>
        <v/>
      </c>
    </row>
    <row r="1291">
      <c r="M1291" s="11">
        <f>B1291+30</f>
        <v/>
      </c>
      <c r="N1291">
        <f>IF(L1291="", "", L1291-B1291)</f>
        <v/>
      </c>
      <c r="O1291">
        <f>IF(L1291="", "Pending", IF(N1291&lt;=30, "Met", "Breached"))</f>
        <v/>
      </c>
    </row>
    <row r="1292">
      <c r="M1292" s="11">
        <f>B1292+30</f>
        <v/>
      </c>
      <c r="N1292">
        <f>IF(L1292="", "", L1292-B1292)</f>
        <v/>
      </c>
      <c r="O1292">
        <f>IF(L1292="", "Pending", IF(N1292&lt;=30, "Met", "Breached"))</f>
        <v/>
      </c>
    </row>
    <row r="1293">
      <c r="M1293" s="11">
        <f>B1293+30</f>
        <v/>
      </c>
      <c r="N1293">
        <f>IF(L1293="", "", L1293-B1293)</f>
        <v/>
      </c>
      <c r="O1293">
        <f>IF(L1293="", "Pending", IF(N1293&lt;=30, "Met", "Breached"))</f>
        <v/>
      </c>
    </row>
    <row r="1294">
      <c r="M1294" s="11">
        <f>B1294+30</f>
        <v/>
      </c>
      <c r="N1294">
        <f>IF(L1294="", "", L1294-B1294)</f>
        <v/>
      </c>
      <c r="O1294">
        <f>IF(L1294="", "Pending", IF(N1294&lt;=30, "Met", "Breached"))</f>
        <v/>
      </c>
    </row>
    <row r="1295">
      <c r="M1295" s="11">
        <f>B1295+30</f>
        <v/>
      </c>
      <c r="N1295">
        <f>IF(L1295="", "", L1295-B1295)</f>
        <v/>
      </c>
      <c r="O1295">
        <f>IF(L1295="", "Pending", IF(N1295&lt;=30, "Met", "Breached"))</f>
        <v/>
      </c>
    </row>
    <row r="1296">
      <c r="M1296" s="11">
        <f>B1296+30</f>
        <v/>
      </c>
      <c r="N1296">
        <f>IF(L1296="", "", L1296-B1296)</f>
        <v/>
      </c>
      <c r="O1296">
        <f>IF(L1296="", "Pending", IF(N1296&lt;=30, "Met", "Breached"))</f>
        <v/>
      </c>
    </row>
    <row r="1297">
      <c r="M1297" s="11">
        <f>B1297+30</f>
        <v/>
      </c>
      <c r="N1297">
        <f>IF(L1297="", "", L1297-B1297)</f>
        <v/>
      </c>
      <c r="O1297">
        <f>IF(L1297="", "Pending", IF(N1297&lt;=30, "Met", "Breached"))</f>
        <v/>
      </c>
    </row>
    <row r="1298">
      <c r="M1298" s="11">
        <f>B1298+30</f>
        <v/>
      </c>
      <c r="N1298">
        <f>IF(L1298="", "", L1298-B1298)</f>
        <v/>
      </c>
      <c r="O1298">
        <f>IF(L1298="", "Pending", IF(N1298&lt;=30, "Met", "Breached"))</f>
        <v/>
      </c>
    </row>
    <row r="1299">
      <c r="M1299" s="11">
        <f>B1299+30</f>
        <v/>
      </c>
      <c r="N1299">
        <f>IF(L1299="", "", L1299-B1299)</f>
        <v/>
      </c>
      <c r="O1299">
        <f>IF(L1299="", "Pending", IF(N1299&lt;=30, "Met", "Breached"))</f>
        <v/>
      </c>
    </row>
    <row r="1300">
      <c r="M1300" s="11">
        <f>B1300+30</f>
        <v/>
      </c>
      <c r="N1300">
        <f>IF(L1300="", "", L1300-B1300)</f>
        <v/>
      </c>
      <c r="O1300">
        <f>IF(L1300="", "Pending", IF(N1300&lt;=30, "Met", "Breached"))</f>
        <v/>
      </c>
    </row>
    <row r="1301">
      <c r="M1301" s="11">
        <f>B1301+30</f>
        <v/>
      </c>
      <c r="N1301">
        <f>IF(L1301="", "", L1301-B1301)</f>
        <v/>
      </c>
      <c r="O1301">
        <f>IF(L1301="", "Pending", IF(N1301&lt;=30, "Met", "Breached"))</f>
        <v/>
      </c>
    </row>
    <row r="1302">
      <c r="M1302" s="11">
        <f>B1302+30</f>
        <v/>
      </c>
      <c r="N1302">
        <f>IF(L1302="", "", L1302-B1302)</f>
        <v/>
      </c>
      <c r="O1302">
        <f>IF(L1302="", "Pending", IF(N1302&lt;=30, "Met", "Breached"))</f>
        <v/>
      </c>
    </row>
    <row r="1303">
      <c r="M1303" s="11">
        <f>B1303+30</f>
        <v/>
      </c>
      <c r="N1303">
        <f>IF(L1303="", "", L1303-B1303)</f>
        <v/>
      </c>
      <c r="O1303">
        <f>IF(L1303="", "Pending", IF(N1303&lt;=30, "Met", "Breached"))</f>
        <v/>
      </c>
    </row>
    <row r="1304">
      <c r="M1304" s="11">
        <f>B1304+30</f>
        <v/>
      </c>
      <c r="N1304">
        <f>IF(L1304="", "", L1304-B1304)</f>
        <v/>
      </c>
      <c r="O1304">
        <f>IF(L1304="", "Pending", IF(N1304&lt;=30, "Met", "Breached"))</f>
        <v/>
      </c>
    </row>
    <row r="1305">
      <c r="M1305" s="11">
        <f>B1305+30</f>
        <v/>
      </c>
      <c r="N1305">
        <f>IF(L1305="", "", L1305-B1305)</f>
        <v/>
      </c>
      <c r="O1305">
        <f>IF(L1305="", "Pending", IF(N1305&lt;=30, "Met", "Breached"))</f>
        <v/>
      </c>
    </row>
    <row r="1306">
      <c r="M1306" s="11">
        <f>B1306+30</f>
        <v/>
      </c>
      <c r="N1306">
        <f>IF(L1306="", "", L1306-B1306)</f>
        <v/>
      </c>
      <c r="O1306">
        <f>IF(L1306="", "Pending", IF(N1306&lt;=30, "Met", "Breached"))</f>
        <v/>
      </c>
    </row>
    <row r="1307">
      <c r="M1307" s="11">
        <f>B1307+30</f>
        <v/>
      </c>
      <c r="N1307">
        <f>IF(L1307="", "", L1307-B1307)</f>
        <v/>
      </c>
      <c r="O1307">
        <f>IF(L1307="", "Pending", IF(N1307&lt;=30, "Met", "Breached"))</f>
        <v/>
      </c>
    </row>
    <row r="1308">
      <c r="M1308" s="11">
        <f>B1308+30</f>
        <v/>
      </c>
      <c r="N1308">
        <f>IF(L1308="", "", L1308-B1308)</f>
        <v/>
      </c>
      <c r="O1308">
        <f>IF(L1308="", "Pending", IF(N1308&lt;=30, "Met", "Breached"))</f>
        <v/>
      </c>
    </row>
    <row r="1309">
      <c r="M1309" s="11">
        <f>B1309+30</f>
        <v/>
      </c>
      <c r="N1309">
        <f>IF(L1309="", "", L1309-B1309)</f>
        <v/>
      </c>
      <c r="O1309">
        <f>IF(L1309="", "Pending", IF(N1309&lt;=30, "Met", "Breached"))</f>
        <v/>
      </c>
    </row>
    <row r="1310">
      <c r="M1310" s="11">
        <f>B1310+30</f>
        <v/>
      </c>
      <c r="N1310">
        <f>IF(L1310="", "", L1310-B1310)</f>
        <v/>
      </c>
      <c r="O1310">
        <f>IF(L1310="", "Pending", IF(N1310&lt;=30, "Met", "Breached"))</f>
        <v/>
      </c>
    </row>
    <row r="1311">
      <c r="M1311" s="11">
        <f>B1311+30</f>
        <v/>
      </c>
      <c r="N1311">
        <f>IF(L1311="", "", L1311-B1311)</f>
        <v/>
      </c>
      <c r="O1311">
        <f>IF(L1311="", "Pending", IF(N1311&lt;=30, "Met", "Breached"))</f>
        <v/>
      </c>
    </row>
    <row r="1312">
      <c r="M1312" s="11">
        <f>B1312+30</f>
        <v/>
      </c>
      <c r="N1312">
        <f>IF(L1312="", "", L1312-B1312)</f>
        <v/>
      </c>
      <c r="O1312">
        <f>IF(L1312="", "Pending", IF(N1312&lt;=30, "Met", "Breached"))</f>
        <v/>
      </c>
    </row>
    <row r="1313">
      <c r="M1313" s="11">
        <f>B1313+30</f>
        <v/>
      </c>
      <c r="N1313">
        <f>IF(L1313="", "", L1313-B1313)</f>
        <v/>
      </c>
      <c r="O1313">
        <f>IF(L1313="", "Pending", IF(N1313&lt;=30, "Met", "Breached"))</f>
        <v/>
      </c>
    </row>
    <row r="1314">
      <c r="M1314" s="11">
        <f>B1314+30</f>
        <v/>
      </c>
      <c r="N1314">
        <f>IF(L1314="", "", L1314-B1314)</f>
        <v/>
      </c>
      <c r="O1314">
        <f>IF(L1314="", "Pending", IF(N1314&lt;=30, "Met", "Breached"))</f>
        <v/>
      </c>
    </row>
    <row r="1315">
      <c r="M1315" s="11">
        <f>B1315+30</f>
        <v/>
      </c>
      <c r="N1315">
        <f>IF(L1315="", "", L1315-B1315)</f>
        <v/>
      </c>
      <c r="O1315">
        <f>IF(L1315="", "Pending", IF(N1315&lt;=30, "Met", "Breached"))</f>
        <v/>
      </c>
    </row>
    <row r="1316">
      <c r="M1316" s="11">
        <f>B1316+30</f>
        <v/>
      </c>
      <c r="N1316">
        <f>IF(L1316="", "", L1316-B1316)</f>
        <v/>
      </c>
      <c r="O1316">
        <f>IF(L1316="", "Pending", IF(N1316&lt;=30, "Met", "Breached"))</f>
        <v/>
      </c>
    </row>
    <row r="1317">
      <c r="M1317" s="11">
        <f>B1317+30</f>
        <v/>
      </c>
      <c r="N1317">
        <f>IF(L1317="", "", L1317-B1317)</f>
        <v/>
      </c>
      <c r="O1317">
        <f>IF(L1317="", "Pending", IF(N1317&lt;=30, "Met", "Breached"))</f>
        <v/>
      </c>
    </row>
    <row r="1318">
      <c r="M1318" s="11">
        <f>B1318+30</f>
        <v/>
      </c>
      <c r="N1318">
        <f>IF(L1318="", "", L1318-B1318)</f>
        <v/>
      </c>
      <c r="O1318">
        <f>IF(L1318="", "Pending", IF(N1318&lt;=30, "Met", "Breached"))</f>
        <v/>
      </c>
    </row>
    <row r="1319">
      <c r="M1319" s="11">
        <f>B1319+30</f>
        <v/>
      </c>
      <c r="N1319">
        <f>IF(L1319="", "", L1319-B1319)</f>
        <v/>
      </c>
      <c r="O1319">
        <f>IF(L1319="", "Pending", IF(N1319&lt;=30, "Met", "Breached"))</f>
        <v/>
      </c>
    </row>
    <row r="1320">
      <c r="M1320" s="11">
        <f>B1320+30</f>
        <v/>
      </c>
      <c r="N1320">
        <f>IF(L1320="", "", L1320-B1320)</f>
        <v/>
      </c>
      <c r="O1320">
        <f>IF(L1320="", "Pending", IF(N1320&lt;=30, "Met", "Breached"))</f>
        <v/>
      </c>
    </row>
    <row r="1321">
      <c r="M1321" s="11">
        <f>B1321+30</f>
        <v/>
      </c>
      <c r="N1321">
        <f>IF(L1321="", "", L1321-B1321)</f>
        <v/>
      </c>
      <c r="O1321">
        <f>IF(L1321="", "Pending", IF(N1321&lt;=30, "Met", "Breached"))</f>
        <v/>
      </c>
    </row>
    <row r="1322">
      <c r="M1322" s="11">
        <f>B1322+30</f>
        <v/>
      </c>
      <c r="N1322">
        <f>IF(L1322="", "", L1322-B1322)</f>
        <v/>
      </c>
      <c r="O1322">
        <f>IF(L1322="", "Pending", IF(N1322&lt;=30, "Met", "Breached"))</f>
        <v/>
      </c>
    </row>
    <row r="1323">
      <c r="M1323" s="11">
        <f>B1323+30</f>
        <v/>
      </c>
      <c r="N1323">
        <f>IF(L1323="", "", L1323-B1323)</f>
        <v/>
      </c>
      <c r="O1323">
        <f>IF(L1323="", "Pending", IF(N1323&lt;=30, "Met", "Breached"))</f>
        <v/>
      </c>
    </row>
    <row r="1324">
      <c r="M1324" s="11">
        <f>B1324+30</f>
        <v/>
      </c>
      <c r="N1324">
        <f>IF(L1324="", "", L1324-B1324)</f>
        <v/>
      </c>
      <c r="O1324">
        <f>IF(L1324="", "Pending", IF(N1324&lt;=30, "Met", "Breached"))</f>
        <v/>
      </c>
    </row>
    <row r="1325">
      <c r="M1325" s="11">
        <f>B1325+30</f>
        <v/>
      </c>
      <c r="N1325">
        <f>IF(L1325="", "", L1325-B1325)</f>
        <v/>
      </c>
      <c r="O1325">
        <f>IF(L1325="", "Pending", IF(N1325&lt;=30, "Met", "Breached"))</f>
        <v/>
      </c>
    </row>
    <row r="1326">
      <c r="M1326" s="11">
        <f>B1326+30</f>
        <v/>
      </c>
      <c r="N1326">
        <f>IF(L1326="", "", L1326-B1326)</f>
        <v/>
      </c>
      <c r="O1326">
        <f>IF(L1326="", "Pending", IF(N1326&lt;=30, "Met", "Breached"))</f>
        <v/>
      </c>
    </row>
    <row r="1327">
      <c r="M1327" s="11">
        <f>B1327+30</f>
        <v/>
      </c>
      <c r="N1327">
        <f>IF(L1327="", "", L1327-B1327)</f>
        <v/>
      </c>
      <c r="O1327">
        <f>IF(L1327="", "Pending", IF(N1327&lt;=30, "Met", "Breached"))</f>
        <v/>
      </c>
    </row>
    <row r="1328">
      <c r="M1328" s="11">
        <f>B1328+30</f>
        <v/>
      </c>
      <c r="N1328">
        <f>IF(L1328="", "", L1328-B1328)</f>
        <v/>
      </c>
      <c r="O1328">
        <f>IF(L1328="", "Pending", IF(N1328&lt;=30, "Met", "Breached"))</f>
        <v/>
      </c>
    </row>
    <row r="1329">
      <c r="M1329" s="11">
        <f>B1329+30</f>
        <v/>
      </c>
      <c r="N1329">
        <f>IF(L1329="", "", L1329-B1329)</f>
        <v/>
      </c>
      <c r="O1329">
        <f>IF(L1329="", "Pending", IF(N1329&lt;=30, "Met", "Breached"))</f>
        <v/>
      </c>
    </row>
    <row r="1330">
      <c r="M1330" s="11">
        <f>B1330+30</f>
        <v/>
      </c>
      <c r="N1330">
        <f>IF(L1330="", "", L1330-B1330)</f>
        <v/>
      </c>
      <c r="O1330">
        <f>IF(L1330="", "Pending", IF(N1330&lt;=30, "Met", "Breached"))</f>
        <v/>
      </c>
    </row>
    <row r="1331">
      <c r="M1331" s="11">
        <f>B1331+30</f>
        <v/>
      </c>
      <c r="N1331">
        <f>IF(L1331="", "", L1331-B1331)</f>
        <v/>
      </c>
      <c r="O1331">
        <f>IF(L1331="", "Pending", IF(N1331&lt;=30, "Met", "Breached"))</f>
        <v/>
      </c>
    </row>
    <row r="1332">
      <c r="M1332" s="11">
        <f>B1332+30</f>
        <v/>
      </c>
      <c r="N1332">
        <f>IF(L1332="", "", L1332-B1332)</f>
        <v/>
      </c>
      <c r="O1332">
        <f>IF(L1332="", "Pending", IF(N1332&lt;=30, "Met", "Breached"))</f>
        <v/>
      </c>
    </row>
    <row r="1333">
      <c r="M1333" s="11">
        <f>B1333+30</f>
        <v/>
      </c>
      <c r="N1333">
        <f>IF(L1333="", "", L1333-B1333)</f>
        <v/>
      </c>
      <c r="O1333">
        <f>IF(L1333="", "Pending", IF(N1333&lt;=30, "Met", "Breached"))</f>
        <v/>
      </c>
    </row>
    <row r="1334">
      <c r="M1334" s="11">
        <f>B1334+30</f>
        <v/>
      </c>
      <c r="N1334">
        <f>IF(L1334="", "", L1334-B1334)</f>
        <v/>
      </c>
      <c r="O1334">
        <f>IF(L1334="", "Pending", IF(N1334&lt;=30, "Met", "Breached"))</f>
        <v/>
      </c>
    </row>
    <row r="1335">
      <c r="M1335" s="11">
        <f>B1335+30</f>
        <v/>
      </c>
      <c r="N1335">
        <f>IF(L1335="", "", L1335-B1335)</f>
        <v/>
      </c>
      <c r="O1335">
        <f>IF(L1335="", "Pending", IF(N1335&lt;=30, "Met", "Breached"))</f>
        <v/>
      </c>
    </row>
    <row r="1336">
      <c r="M1336" s="11">
        <f>B1336+30</f>
        <v/>
      </c>
      <c r="N1336">
        <f>IF(L1336="", "", L1336-B1336)</f>
        <v/>
      </c>
      <c r="O1336">
        <f>IF(L1336="", "Pending", IF(N1336&lt;=30, "Met", "Breached"))</f>
        <v/>
      </c>
    </row>
    <row r="1337">
      <c r="M1337" s="11">
        <f>B1337+30</f>
        <v/>
      </c>
      <c r="N1337">
        <f>IF(L1337="", "", L1337-B1337)</f>
        <v/>
      </c>
      <c r="O1337">
        <f>IF(L1337="", "Pending", IF(N1337&lt;=30, "Met", "Breached"))</f>
        <v/>
      </c>
    </row>
    <row r="1338">
      <c r="M1338" s="11">
        <f>B1338+30</f>
        <v/>
      </c>
      <c r="N1338">
        <f>IF(L1338="", "", L1338-B1338)</f>
        <v/>
      </c>
      <c r="O1338">
        <f>IF(L1338="", "Pending", IF(N1338&lt;=30, "Met", "Breached"))</f>
        <v/>
      </c>
    </row>
    <row r="1339">
      <c r="M1339" s="11">
        <f>B1339+30</f>
        <v/>
      </c>
      <c r="N1339">
        <f>IF(L1339="", "", L1339-B1339)</f>
        <v/>
      </c>
      <c r="O1339">
        <f>IF(L1339="", "Pending", IF(N1339&lt;=30, "Met", "Breached"))</f>
        <v/>
      </c>
    </row>
    <row r="1340">
      <c r="M1340" s="11">
        <f>B1340+30</f>
        <v/>
      </c>
      <c r="N1340">
        <f>IF(L1340="", "", L1340-B1340)</f>
        <v/>
      </c>
      <c r="O1340">
        <f>IF(L1340="", "Pending", IF(N1340&lt;=30, "Met", "Breached"))</f>
        <v/>
      </c>
    </row>
    <row r="1341">
      <c r="M1341" s="11">
        <f>B1341+30</f>
        <v/>
      </c>
      <c r="N1341">
        <f>IF(L1341="", "", L1341-B1341)</f>
        <v/>
      </c>
      <c r="O1341">
        <f>IF(L1341="", "Pending", IF(N1341&lt;=30, "Met", "Breached"))</f>
        <v/>
      </c>
    </row>
    <row r="1342">
      <c r="M1342" s="11">
        <f>B1342+30</f>
        <v/>
      </c>
      <c r="N1342">
        <f>IF(L1342="", "", L1342-B1342)</f>
        <v/>
      </c>
      <c r="O1342">
        <f>IF(L1342="", "Pending", IF(N1342&lt;=30, "Met", "Breached"))</f>
        <v/>
      </c>
    </row>
    <row r="1343">
      <c r="M1343" s="11">
        <f>B1343+30</f>
        <v/>
      </c>
      <c r="N1343">
        <f>IF(L1343="", "", L1343-B1343)</f>
        <v/>
      </c>
      <c r="O1343">
        <f>IF(L1343="", "Pending", IF(N1343&lt;=30, "Met", "Breached"))</f>
        <v/>
      </c>
    </row>
    <row r="1344">
      <c r="M1344" s="11">
        <f>B1344+30</f>
        <v/>
      </c>
      <c r="N1344">
        <f>IF(L1344="", "", L1344-B1344)</f>
        <v/>
      </c>
      <c r="O1344">
        <f>IF(L1344="", "Pending", IF(N1344&lt;=30, "Met", "Breached"))</f>
        <v/>
      </c>
    </row>
    <row r="1345">
      <c r="M1345" s="11">
        <f>B1345+30</f>
        <v/>
      </c>
      <c r="N1345">
        <f>IF(L1345="", "", L1345-B1345)</f>
        <v/>
      </c>
      <c r="O1345">
        <f>IF(L1345="", "Pending", IF(N1345&lt;=30, "Met", "Breached"))</f>
        <v/>
      </c>
    </row>
    <row r="1346">
      <c r="M1346" s="11">
        <f>B1346+30</f>
        <v/>
      </c>
      <c r="N1346">
        <f>IF(L1346="", "", L1346-B1346)</f>
        <v/>
      </c>
      <c r="O1346">
        <f>IF(L1346="", "Pending", IF(N1346&lt;=30, "Met", "Breached"))</f>
        <v/>
      </c>
    </row>
    <row r="1347">
      <c r="M1347" s="11">
        <f>B1347+30</f>
        <v/>
      </c>
      <c r="N1347">
        <f>IF(L1347="", "", L1347-B1347)</f>
        <v/>
      </c>
      <c r="O1347">
        <f>IF(L1347="", "Pending", IF(N1347&lt;=30, "Met", "Breached"))</f>
        <v/>
      </c>
    </row>
    <row r="1348">
      <c r="M1348" s="11">
        <f>B1348+30</f>
        <v/>
      </c>
      <c r="N1348">
        <f>IF(L1348="", "", L1348-B1348)</f>
        <v/>
      </c>
      <c r="O1348">
        <f>IF(L1348="", "Pending", IF(N1348&lt;=30, "Met", "Breached"))</f>
        <v/>
      </c>
    </row>
    <row r="1349">
      <c r="M1349" s="11">
        <f>B1349+30</f>
        <v/>
      </c>
      <c r="N1349">
        <f>IF(L1349="", "", L1349-B1349)</f>
        <v/>
      </c>
      <c r="O1349">
        <f>IF(L1349="", "Pending", IF(N1349&lt;=30, "Met", "Breached"))</f>
        <v/>
      </c>
    </row>
    <row r="1350">
      <c r="M1350" s="11">
        <f>B1350+30</f>
        <v/>
      </c>
      <c r="N1350">
        <f>IF(L1350="", "", L1350-B1350)</f>
        <v/>
      </c>
      <c r="O1350">
        <f>IF(L1350="", "Pending", IF(N1350&lt;=30, "Met", "Breached"))</f>
        <v/>
      </c>
    </row>
    <row r="1351">
      <c r="M1351" s="11">
        <f>B1351+30</f>
        <v/>
      </c>
      <c r="N1351">
        <f>IF(L1351="", "", L1351-B1351)</f>
        <v/>
      </c>
      <c r="O1351">
        <f>IF(L1351="", "Pending", IF(N1351&lt;=30, "Met", "Breached"))</f>
        <v/>
      </c>
    </row>
    <row r="1352">
      <c r="M1352" s="11">
        <f>B1352+30</f>
        <v/>
      </c>
      <c r="N1352">
        <f>IF(L1352="", "", L1352-B1352)</f>
        <v/>
      </c>
      <c r="O1352">
        <f>IF(L1352="", "Pending", IF(N1352&lt;=30, "Met", "Breached"))</f>
        <v/>
      </c>
    </row>
    <row r="1353">
      <c r="M1353" s="11">
        <f>B1353+30</f>
        <v/>
      </c>
      <c r="N1353">
        <f>IF(L1353="", "", L1353-B1353)</f>
        <v/>
      </c>
      <c r="O1353">
        <f>IF(L1353="", "Pending", IF(N1353&lt;=30, "Met", "Breached"))</f>
        <v/>
      </c>
    </row>
    <row r="1354">
      <c r="M1354" s="11">
        <f>B1354+30</f>
        <v/>
      </c>
      <c r="N1354">
        <f>IF(L1354="", "", L1354-B1354)</f>
        <v/>
      </c>
      <c r="O1354">
        <f>IF(L1354="", "Pending", IF(N1354&lt;=30, "Met", "Breached"))</f>
        <v/>
      </c>
    </row>
    <row r="1355">
      <c r="M1355" s="11">
        <f>B1355+30</f>
        <v/>
      </c>
      <c r="N1355">
        <f>IF(L1355="", "", L1355-B1355)</f>
        <v/>
      </c>
      <c r="O1355">
        <f>IF(L1355="", "Pending", IF(N1355&lt;=30, "Met", "Breached"))</f>
        <v/>
      </c>
    </row>
    <row r="1356">
      <c r="M1356" s="11">
        <f>B1356+30</f>
        <v/>
      </c>
      <c r="N1356">
        <f>IF(L1356="", "", L1356-B1356)</f>
        <v/>
      </c>
      <c r="O1356">
        <f>IF(L1356="", "Pending", IF(N1356&lt;=30, "Met", "Breached"))</f>
        <v/>
      </c>
    </row>
    <row r="1357">
      <c r="M1357" s="11">
        <f>B1357+30</f>
        <v/>
      </c>
      <c r="N1357">
        <f>IF(L1357="", "", L1357-B1357)</f>
        <v/>
      </c>
      <c r="O1357">
        <f>IF(L1357="", "Pending", IF(N1357&lt;=30, "Met", "Breached"))</f>
        <v/>
      </c>
    </row>
    <row r="1358">
      <c r="M1358" s="11">
        <f>B1358+30</f>
        <v/>
      </c>
      <c r="N1358">
        <f>IF(L1358="", "", L1358-B1358)</f>
        <v/>
      </c>
      <c r="O1358">
        <f>IF(L1358="", "Pending", IF(N1358&lt;=30, "Met", "Breached"))</f>
        <v/>
      </c>
    </row>
    <row r="1359">
      <c r="M1359" s="11">
        <f>B1359+30</f>
        <v/>
      </c>
      <c r="N1359">
        <f>IF(L1359="", "", L1359-B1359)</f>
        <v/>
      </c>
      <c r="O1359">
        <f>IF(L1359="", "Pending", IF(N1359&lt;=30, "Met", "Breached"))</f>
        <v/>
      </c>
    </row>
    <row r="1360">
      <c r="M1360" s="11">
        <f>B1360+30</f>
        <v/>
      </c>
      <c r="N1360">
        <f>IF(L1360="", "", L1360-B1360)</f>
        <v/>
      </c>
      <c r="O1360">
        <f>IF(L1360="", "Pending", IF(N1360&lt;=30, "Met", "Breached"))</f>
        <v/>
      </c>
    </row>
    <row r="1361">
      <c r="M1361" s="11">
        <f>B1361+30</f>
        <v/>
      </c>
      <c r="N1361">
        <f>IF(L1361="", "", L1361-B1361)</f>
        <v/>
      </c>
      <c r="O1361">
        <f>IF(L1361="", "Pending", IF(N1361&lt;=30, "Met", "Breached"))</f>
        <v/>
      </c>
    </row>
    <row r="1362">
      <c r="M1362" s="11">
        <f>B1362+30</f>
        <v/>
      </c>
      <c r="N1362">
        <f>IF(L1362="", "", L1362-B1362)</f>
        <v/>
      </c>
      <c r="O1362">
        <f>IF(L1362="", "Pending", IF(N1362&lt;=30, "Met", "Breached"))</f>
        <v/>
      </c>
    </row>
    <row r="1363">
      <c r="M1363" s="11">
        <f>B1363+30</f>
        <v/>
      </c>
      <c r="N1363">
        <f>IF(L1363="", "", L1363-B1363)</f>
        <v/>
      </c>
      <c r="O1363">
        <f>IF(L1363="", "Pending", IF(N1363&lt;=30, "Met", "Breached"))</f>
        <v/>
      </c>
    </row>
    <row r="1364">
      <c r="M1364" s="11">
        <f>B1364+30</f>
        <v/>
      </c>
      <c r="N1364">
        <f>IF(L1364="", "", L1364-B1364)</f>
        <v/>
      </c>
      <c r="O1364">
        <f>IF(L1364="", "Pending", IF(N1364&lt;=30, "Met", "Breached"))</f>
        <v/>
      </c>
    </row>
    <row r="1365">
      <c r="M1365" s="11">
        <f>B1365+30</f>
        <v/>
      </c>
      <c r="N1365">
        <f>IF(L1365="", "", L1365-B1365)</f>
        <v/>
      </c>
      <c r="O1365">
        <f>IF(L1365="", "Pending", IF(N1365&lt;=30, "Met", "Breached"))</f>
        <v/>
      </c>
    </row>
    <row r="1366">
      <c r="M1366" s="11">
        <f>B1366+30</f>
        <v/>
      </c>
      <c r="N1366">
        <f>IF(L1366="", "", L1366-B1366)</f>
        <v/>
      </c>
      <c r="O1366">
        <f>IF(L1366="", "Pending", IF(N1366&lt;=30, "Met", "Breached"))</f>
        <v/>
      </c>
    </row>
    <row r="1367">
      <c r="M1367" s="11">
        <f>B1367+30</f>
        <v/>
      </c>
      <c r="N1367">
        <f>IF(L1367="", "", L1367-B1367)</f>
        <v/>
      </c>
      <c r="O1367">
        <f>IF(L1367="", "Pending", IF(N1367&lt;=30, "Met", "Breached"))</f>
        <v/>
      </c>
    </row>
    <row r="1368">
      <c r="M1368" s="11">
        <f>B1368+30</f>
        <v/>
      </c>
      <c r="N1368">
        <f>IF(L1368="", "", L1368-B1368)</f>
        <v/>
      </c>
      <c r="O1368">
        <f>IF(L1368="", "Pending", IF(N1368&lt;=30, "Met", "Breached"))</f>
        <v/>
      </c>
    </row>
    <row r="1369">
      <c r="M1369" s="11">
        <f>B1369+30</f>
        <v/>
      </c>
      <c r="N1369">
        <f>IF(L1369="", "", L1369-B1369)</f>
        <v/>
      </c>
      <c r="O1369">
        <f>IF(L1369="", "Pending", IF(N1369&lt;=30, "Met", "Breached"))</f>
        <v/>
      </c>
    </row>
    <row r="1370">
      <c r="M1370" s="11">
        <f>B1370+30</f>
        <v/>
      </c>
      <c r="N1370">
        <f>IF(L1370="", "", L1370-B1370)</f>
        <v/>
      </c>
      <c r="O1370">
        <f>IF(L1370="", "Pending", IF(N1370&lt;=30, "Met", "Breached"))</f>
        <v/>
      </c>
    </row>
    <row r="1371">
      <c r="M1371" s="11">
        <f>B1371+30</f>
        <v/>
      </c>
      <c r="N1371">
        <f>IF(L1371="", "", L1371-B1371)</f>
        <v/>
      </c>
      <c r="O1371">
        <f>IF(L1371="", "Pending", IF(N1371&lt;=30, "Met", "Breached"))</f>
        <v/>
      </c>
    </row>
    <row r="1372">
      <c r="M1372" s="11">
        <f>B1372+30</f>
        <v/>
      </c>
      <c r="N1372">
        <f>IF(L1372="", "", L1372-B1372)</f>
        <v/>
      </c>
      <c r="O1372">
        <f>IF(L1372="", "Pending", IF(N1372&lt;=30, "Met", "Breached"))</f>
        <v/>
      </c>
    </row>
    <row r="1373">
      <c r="M1373" s="11">
        <f>B1373+30</f>
        <v/>
      </c>
      <c r="N1373">
        <f>IF(L1373="", "", L1373-B1373)</f>
        <v/>
      </c>
      <c r="O1373">
        <f>IF(L1373="", "Pending", IF(N1373&lt;=30, "Met", "Breached"))</f>
        <v/>
      </c>
    </row>
    <row r="1374">
      <c r="M1374" s="11">
        <f>B1374+30</f>
        <v/>
      </c>
      <c r="N1374">
        <f>IF(L1374="", "", L1374-B1374)</f>
        <v/>
      </c>
      <c r="O1374">
        <f>IF(L1374="", "Pending", IF(N1374&lt;=30, "Met", "Breached"))</f>
        <v/>
      </c>
    </row>
    <row r="1375">
      <c r="M1375" s="11">
        <f>B1375+30</f>
        <v/>
      </c>
      <c r="N1375">
        <f>IF(L1375="", "", L1375-B1375)</f>
        <v/>
      </c>
      <c r="O1375">
        <f>IF(L1375="", "Pending", IF(N1375&lt;=30, "Met", "Breached"))</f>
        <v/>
      </c>
    </row>
    <row r="1376">
      <c r="M1376" s="11">
        <f>B1376+30</f>
        <v/>
      </c>
      <c r="N1376">
        <f>IF(L1376="", "", L1376-B1376)</f>
        <v/>
      </c>
      <c r="O1376">
        <f>IF(L1376="", "Pending", IF(N1376&lt;=30, "Met", "Breached"))</f>
        <v/>
      </c>
    </row>
    <row r="1377">
      <c r="M1377" s="11">
        <f>B1377+30</f>
        <v/>
      </c>
      <c r="N1377">
        <f>IF(L1377="", "", L1377-B1377)</f>
        <v/>
      </c>
      <c r="O1377">
        <f>IF(L1377="", "Pending", IF(N1377&lt;=30, "Met", "Breached"))</f>
        <v/>
      </c>
    </row>
    <row r="1378">
      <c r="M1378" s="11">
        <f>B1378+30</f>
        <v/>
      </c>
      <c r="N1378">
        <f>IF(L1378="", "", L1378-B1378)</f>
        <v/>
      </c>
      <c r="O1378">
        <f>IF(L1378="", "Pending", IF(N1378&lt;=30, "Met", "Breached"))</f>
        <v/>
      </c>
    </row>
    <row r="1379">
      <c r="M1379" s="11">
        <f>B1379+30</f>
        <v/>
      </c>
      <c r="N1379">
        <f>IF(L1379="", "", L1379-B1379)</f>
        <v/>
      </c>
      <c r="O1379">
        <f>IF(L1379="", "Pending", IF(N1379&lt;=30, "Met", "Breached"))</f>
        <v/>
      </c>
    </row>
    <row r="1380">
      <c r="M1380" s="11">
        <f>B1380+30</f>
        <v/>
      </c>
      <c r="N1380">
        <f>IF(L1380="", "", L1380-B1380)</f>
        <v/>
      </c>
      <c r="O1380">
        <f>IF(L1380="", "Pending", IF(N1380&lt;=30, "Met", "Breached"))</f>
        <v/>
      </c>
    </row>
    <row r="1381">
      <c r="M1381" s="11">
        <f>B1381+30</f>
        <v/>
      </c>
      <c r="N1381">
        <f>IF(L1381="", "", L1381-B1381)</f>
        <v/>
      </c>
      <c r="O1381">
        <f>IF(L1381="", "Pending", IF(N1381&lt;=30, "Met", "Breached"))</f>
        <v/>
      </c>
    </row>
    <row r="1382">
      <c r="M1382" s="11">
        <f>B1382+30</f>
        <v/>
      </c>
      <c r="N1382">
        <f>IF(L1382="", "", L1382-B1382)</f>
        <v/>
      </c>
      <c r="O1382">
        <f>IF(L1382="", "Pending", IF(N1382&lt;=30, "Met", "Breached"))</f>
        <v/>
      </c>
    </row>
    <row r="1383">
      <c r="M1383" s="11">
        <f>B1383+30</f>
        <v/>
      </c>
      <c r="N1383">
        <f>IF(L1383="", "", L1383-B1383)</f>
        <v/>
      </c>
      <c r="O1383">
        <f>IF(L1383="", "Pending", IF(N1383&lt;=30, "Met", "Breached"))</f>
        <v/>
      </c>
    </row>
    <row r="1384">
      <c r="M1384" s="11">
        <f>B1384+30</f>
        <v/>
      </c>
      <c r="N1384">
        <f>IF(L1384="", "", L1384-B1384)</f>
        <v/>
      </c>
      <c r="O1384">
        <f>IF(L1384="", "Pending", IF(N1384&lt;=30, "Met", "Breached"))</f>
        <v/>
      </c>
    </row>
    <row r="1385">
      <c r="M1385" s="11">
        <f>B1385+30</f>
        <v/>
      </c>
      <c r="N1385">
        <f>IF(L1385="", "", L1385-B1385)</f>
        <v/>
      </c>
      <c r="O1385">
        <f>IF(L1385="", "Pending", IF(N1385&lt;=30, "Met", "Breached"))</f>
        <v/>
      </c>
    </row>
    <row r="1386">
      <c r="M1386" s="11">
        <f>B1386+30</f>
        <v/>
      </c>
      <c r="N1386">
        <f>IF(L1386="", "", L1386-B1386)</f>
        <v/>
      </c>
      <c r="O1386">
        <f>IF(L1386="", "Pending", IF(N1386&lt;=30, "Met", "Breached"))</f>
        <v/>
      </c>
    </row>
    <row r="1387">
      <c r="M1387" s="11">
        <f>B1387+30</f>
        <v/>
      </c>
      <c r="N1387">
        <f>IF(L1387="", "", L1387-B1387)</f>
        <v/>
      </c>
      <c r="O1387">
        <f>IF(L1387="", "Pending", IF(N1387&lt;=30, "Met", "Breached"))</f>
        <v/>
      </c>
    </row>
    <row r="1388">
      <c r="M1388" s="11">
        <f>B1388+30</f>
        <v/>
      </c>
      <c r="N1388">
        <f>IF(L1388="", "", L1388-B1388)</f>
        <v/>
      </c>
      <c r="O1388">
        <f>IF(L1388="", "Pending", IF(N1388&lt;=30, "Met", "Breached"))</f>
        <v/>
      </c>
    </row>
    <row r="1389">
      <c r="M1389" s="11">
        <f>B1389+30</f>
        <v/>
      </c>
      <c r="N1389">
        <f>IF(L1389="", "", L1389-B1389)</f>
        <v/>
      </c>
      <c r="O1389">
        <f>IF(L1389="", "Pending", IF(N1389&lt;=30, "Met", "Breached"))</f>
        <v/>
      </c>
    </row>
    <row r="1390">
      <c r="M1390" s="11">
        <f>B1390+30</f>
        <v/>
      </c>
      <c r="N1390">
        <f>IF(L1390="", "", L1390-B1390)</f>
        <v/>
      </c>
      <c r="O1390">
        <f>IF(L1390="", "Pending", IF(N1390&lt;=30, "Met", "Breached"))</f>
        <v/>
      </c>
    </row>
    <row r="1391">
      <c r="M1391" s="11">
        <f>B1391+30</f>
        <v/>
      </c>
      <c r="N1391">
        <f>IF(L1391="", "", L1391-B1391)</f>
        <v/>
      </c>
      <c r="O1391">
        <f>IF(L1391="", "Pending", IF(N1391&lt;=30, "Met", "Breached"))</f>
        <v/>
      </c>
    </row>
    <row r="1392">
      <c r="M1392" s="11">
        <f>B1392+30</f>
        <v/>
      </c>
      <c r="N1392">
        <f>IF(L1392="", "", L1392-B1392)</f>
        <v/>
      </c>
      <c r="O1392">
        <f>IF(L1392="", "Pending", IF(N1392&lt;=30, "Met", "Breached"))</f>
        <v/>
      </c>
    </row>
    <row r="1393">
      <c r="M1393" s="11">
        <f>B1393+30</f>
        <v/>
      </c>
      <c r="N1393">
        <f>IF(L1393="", "", L1393-B1393)</f>
        <v/>
      </c>
      <c r="O1393">
        <f>IF(L1393="", "Pending", IF(N1393&lt;=30, "Met", "Breached"))</f>
        <v/>
      </c>
    </row>
    <row r="1394">
      <c r="M1394" s="11">
        <f>B1394+30</f>
        <v/>
      </c>
      <c r="N1394">
        <f>IF(L1394="", "", L1394-B1394)</f>
        <v/>
      </c>
      <c r="O1394">
        <f>IF(L1394="", "Pending", IF(N1394&lt;=30, "Met", "Breached"))</f>
        <v/>
      </c>
    </row>
    <row r="1395">
      <c r="M1395" s="11">
        <f>B1395+30</f>
        <v/>
      </c>
      <c r="N1395">
        <f>IF(L1395="", "", L1395-B1395)</f>
        <v/>
      </c>
      <c r="O1395">
        <f>IF(L1395="", "Pending", IF(N1395&lt;=30, "Met", "Breached"))</f>
        <v/>
      </c>
    </row>
    <row r="1396">
      <c r="M1396" s="11">
        <f>B1396+30</f>
        <v/>
      </c>
      <c r="N1396">
        <f>IF(L1396="", "", L1396-B1396)</f>
        <v/>
      </c>
      <c r="O1396">
        <f>IF(L1396="", "Pending", IF(N1396&lt;=30, "Met", "Breached"))</f>
        <v/>
      </c>
    </row>
    <row r="1397">
      <c r="M1397" s="11">
        <f>B1397+30</f>
        <v/>
      </c>
      <c r="N1397">
        <f>IF(L1397="", "", L1397-B1397)</f>
        <v/>
      </c>
      <c r="O1397">
        <f>IF(L1397="", "Pending", IF(N1397&lt;=30, "Met", "Breached"))</f>
        <v/>
      </c>
    </row>
    <row r="1398">
      <c r="M1398" s="11">
        <f>B1398+30</f>
        <v/>
      </c>
      <c r="N1398">
        <f>IF(L1398="", "", L1398-B1398)</f>
        <v/>
      </c>
      <c r="O1398">
        <f>IF(L1398="", "Pending", IF(N1398&lt;=30, "Met", "Breached"))</f>
        <v/>
      </c>
    </row>
    <row r="1399">
      <c r="M1399" s="11">
        <f>B1399+30</f>
        <v/>
      </c>
      <c r="N1399">
        <f>IF(L1399="", "", L1399-B1399)</f>
        <v/>
      </c>
      <c r="O1399">
        <f>IF(L1399="", "Pending", IF(N1399&lt;=30, "Met", "Breached"))</f>
        <v/>
      </c>
    </row>
    <row r="1400">
      <c r="M1400" s="11">
        <f>B1400+30</f>
        <v/>
      </c>
      <c r="N1400">
        <f>IF(L1400="", "", L1400-B1400)</f>
        <v/>
      </c>
      <c r="O1400">
        <f>IF(L1400="", "Pending", IF(N1400&lt;=30, "Met", "Breached"))</f>
        <v/>
      </c>
    </row>
    <row r="1401">
      <c r="M1401" s="11">
        <f>B1401+30</f>
        <v/>
      </c>
      <c r="N1401">
        <f>IF(L1401="", "", L1401-B1401)</f>
        <v/>
      </c>
      <c r="O1401">
        <f>IF(L1401="", "Pending", IF(N1401&lt;=30, "Met", "Breached"))</f>
        <v/>
      </c>
    </row>
    <row r="1402">
      <c r="M1402" s="11">
        <f>B1402+30</f>
        <v/>
      </c>
      <c r="N1402">
        <f>IF(L1402="", "", L1402-B1402)</f>
        <v/>
      </c>
      <c r="O1402">
        <f>IF(L1402="", "Pending", IF(N1402&lt;=30, "Met", "Breached"))</f>
        <v/>
      </c>
    </row>
    <row r="1403">
      <c r="M1403" s="11">
        <f>B1403+30</f>
        <v/>
      </c>
      <c r="N1403">
        <f>IF(L1403="", "", L1403-B1403)</f>
        <v/>
      </c>
      <c r="O1403">
        <f>IF(L1403="", "Pending", IF(N1403&lt;=30, "Met", "Breached"))</f>
        <v/>
      </c>
    </row>
    <row r="1404">
      <c r="M1404" s="11">
        <f>B1404+30</f>
        <v/>
      </c>
      <c r="N1404">
        <f>IF(L1404="", "", L1404-B1404)</f>
        <v/>
      </c>
      <c r="O1404">
        <f>IF(L1404="", "Pending", IF(N1404&lt;=30, "Met", "Breached"))</f>
        <v/>
      </c>
    </row>
    <row r="1405">
      <c r="M1405" s="11">
        <f>B1405+30</f>
        <v/>
      </c>
      <c r="N1405">
        <f>IF(L1405="", "", L1405-B1405)</f>
        <v/>
      </c>
      <c r="O1405">
        <f>IF(L1405="", "Pending", IF(N1405&lt;=30, "Met", "Breached"))</f>
        <v/>
      </c>
    </row>
    <row r="1406">
      <c r="M1406" s="11">
        <f>B1406+30</f>
        <v/>
      </c>
      <c r="N1406">
        <f>IF(L1406="", "", L1406-B1406)</f>
        <v/>
      </c>
      <c r="O1406">
        <f>IF(L1406="", "Pending", IF(N1406&lt;=30, "Met", "Breached"))</f>
        <v/>
      </c>
    </row>
    <row r="1407">
      <c r="M1407" s="11">
        <f>B1407+30</f>
        <v/>
      </c>
      <c r="N1407">
        <f>IF(L1407="", "", L1407-B1407)</f>
        <v/>
      </c>
      <c r="O1407">
        <f>IF(L1407="", "Pending", IF(N1407&lt;=30, "Met", "Breached"))</f>
        <v/>
      </c>
    </row>
    <row r="1408">
      <c r="M1408" s="11">
        <f>B1408+30</f>
        <v/>
      </c>
      <c r="N1408">
        <f>IF(L1408="", "", L1408-B1408)</f>
        <v/>
      </c>
      <c r="O1408">
        <f>IF(L1408="", "Pending", IF(N1408&lt;=30, "Met", "Breached"))</f>
        <v/>
      </c>
    </row>
    <row r="1409">
      <c r="M1409" s="11">
        <f>B1409+30</f>
        <v/>
      </c>
      <c r="N1409">
        <f>IF(L1409="", "", L1409-B1409)</f>
        <v/>
      </c>
      <c r="O1409">
        <f>IF(L1409="", "Pending", IF(N1409&lt;=30, "Met", "Breached"))</f>
        <v/>
      </c>
    </row>
    <row r="1410">
      <c r="M1410" s="11">
        <f>B1410+30</f>
        <v/>
      </c>
      <c r="N1410">
        <f>IF(L1410="", "", L1410-B1410)</f>
        <v/>
      </c>
      <c r="O1410">
        <f>IF(L1410="", "Pending", IF(N1410&lt;=30, "Met", "Breached"))</f>
        <v/>
      </c>
    </row>
    <row r="1411">
      <c r="M1411" s="11">
        <f>B1411+30</f>
        <v/>
      </c>
      <c r="N1411">
        <f>IF(L1411="", "", L1411-B1411)</f>
        <v/>
      </c>
      <c r="O1411">
        <f>IF(L1411="", "Pending", IF(N1411&lt;=30, "Met", "Breached"))</f>
        <v/>
      </c>
    </row>
    <row r="1412">
      <c r="M1412" s="11">
        <f>B1412+30</f>
        <v/>
      </c>
      <c r="N1412">
        <f>IF(L1412="", "", L1412-B1412)</f>
        <v/>
      </c>
      <c r="O1412">
        <f>IF(L1412="", "Pending", IF(N1412&lt;=30, "Met", "Breached"))</f>
        <v/>
      </c>
    </row>
    <row r="1413">
      <c r="M1413" s="11">
        <f>B1413+30</f>
        <v/>
      </c>
      <c r="N1413">
        <f>IF(L1413="", "", L1413-B1413)</f>
        <v/>
      </c>
      <c r="O1413">
        <f>IF(L1413="", "Pending", IF(N1413&lt;=30, "Met", "Breached"))</f>
        <v/>
      </c>
    </row>
    <row r="1414">
      <c r="M1414" s="11">
        <f>B1414+30</f>
        <v/>
      </c>
      <c r="N1414">
        <f>IF(L1414="", "", L1414-B1414)</f>
        <v/>
      </c>
      <c r="O1414">
        <f>IF(L1414="", "Pending", IF(N1414&lt;=30, "Met", "Breached"))</f>
        <v/>
      </c>
    </row>
    <row r="1415">
      <c r="M1415" s="11">
        <f>B1415+30</f>
        <v/>
      </c>
      <c r="N1415">
        <f>IF(L1415="", "", L1415-B1415)</f>
        <v/>
      </c>
      <c r="O1415">
        <f>IF(L1415="", "Pending", IF(N1415&lt;=30, "Met", "Breached"))</f>
        <v/>
      </c>
    </row>
    <row r="1416">
      <c r="M1416" s="11">
        <f>B1416+30</f>
        <v/>
      </c>
      <c r="N1416">
        <f>IF(L1416="", "", L1416-B1416)</f>
        <v/>
      </c>
      <c r="O1416">
        <f>IF(L1416="", "Pending", IF(N1416&lt;=30, "Met", "Breached"))</f>
        <v/>
      </c>
    </row>
    <row r="1417">
      <c r="M1417" s="11">
        <f>B1417+30</f>
        <v/>
      </c>
      <c r="N1417">
        <f>IF(L1417="", "", L1417-B1417)</f>
        <v/>
      </c>
      <c r="O1417">
        <f>IF(L1417="", "Pending", IF(N1417&lt;=30, "Met", "Breached"))</f>
        <v/>
      </c>
    </row>
    <row r="1418">
      <c r="M1418" s="11">
        <f>B1418+30</f>
        <v/>
      </c>
      <c r="N1418">
        <f>IF(L1418="", "", L1418-B1418)</f>
        <v/>
      </c>
      <c r="O1418">
        <f>IF(L1418="", "Pending", IF(N1418&lt;=30, "Met", "Breached"))</f>
        <v/>
      </c>
    </row>
    <row r="1419">
      <c r="M1419" s="11">
        <f>B1419+30</f>
        <v/>
      </c>
      <c r="N1419">
        <f>IF(L1419="", "", L1419-B1419)</f>
        <v/>
      </c>
      <c r="O1419">
        <f>IF(L1419="", "Pending", IF(N1419&lt;=30, "Met", "Breached"))</f>
        <v/>
      </c>
    </row>
    <row r="1420">
      <c r="M1420" s="11">
        <f>B1420+30</f>
        <v/>
      </c>
      <c r="N1420">
        <f>IF(L1420="", "", L1420-B1420)</f>
        <v/>
      </c>
      <c r="O1420">
        <f>IF(L1420="", "Pending", IF(N1420&lt;=30, "Met", "Breached"))</f>
        <v/>
      </c>
    </row>
    <row r="1421">
      <c r="M1421" s="11">
        <f>B1421+30</f>
        <v/>
      </c>
      <c r="N1421">
        <f>IF(L1421="", "", L1421-B1421)</f>
        <v/>
      </c>
      <c r="O1421">
        <f>IF(L1421="", "Pending", IF(N1421&lt;=30, "Met", "Breached"))</f>
        <v/>
      </c>
    </row>
    <row r="1422">
      <c r="M1422" s="11">
        <f>B1422+30</f>
        <v/>
      </c>
      <c r="N1422">
        <f>IF(L1422="", "", L1422-B1422)</f>
        <v/>
      </c>
      <c r="O1422">
        <f>IF(L1422="", "Pending", IF(N1422&lt;=30, "Met", "Breached"))</f>
        <v/>
      </c>
    </row>
    <row r="1423">
      <c r="M1423" s="11">
        <f>B1423+30</f>
        <v/>
      </c>
      <c r="N1423">
        <f>IF(L1423="", "", L1423-B1423)</f>
        <v/>
      </c>
      <c r="O1423">
        <f>IF(L1423="", "Pending", IF(N1423&lt;=30, "Met", "Breached"))</f>
        <v/>
      </c>
    </row>
    <row r="1424">
      <c r="M1424" s="11">
        <f>B1424+30</f>
        <v/>
      </c>
      <c r="N1424">
        <f>IF(L1424="", "", L1424-B1424)</f>
        <v/>
      </c>
      <c r="O1424">
        <f>IF(L1424="", "Pending", IF(N1424&lt;=30, "Met", "Breached"))</f>
        <v/>
      </c>
    </row>
    <row r="1425">
      <c r="M1425" s="11">
        <f>B1425+30</f>
        <v/>
      </c>
      <c r="N1425">
        <f>IF(L1425="", "", L1425-B1425)</f>
        <v/>
      </c>
      <c r="O1425">
        <f>IF(L1425="", "Pending", IF(N1425&lt;=30, "Met", "Breached"))</f>
        <v/>
      </c>
    </row>
    <row r="1426">
      <c r="M1426" s="11">
        <f>B1426+30</f>
        <v/>
      </c>
      <c r="N1426">
        <f>IF(L1426="", "", L1426-B1426)</f>
        <v/>
      </c>
      <c r="O1426">
        <f>IF(L1426="", "Pending", IF(N1426&lt;=30, "Met", "Breached"))</f>
        <v/>
      </c>
    </row>
    <row r="1427">
      <c r="M1427" s="11">
        <f>B1427+30</f>
        <v/>
      </c>
      <c r="N1427">
        <f>IF(L1427="", "", L1427-B1427)</f>
        <v/>
      </c>
      <c r="O1427">
        <f>IF(L1427="", "Pending", IF(N1427&lt;=30, "Met", "Breached"))</f>
        <v/>
      </c>
    </row>
    <row r="1428">
      <c r="M1428" s="11">
        <f>B1428+30</f>
        <v/>
      </c>
      <c r="N1428">
        <f>IF(L1428="", "", L1428-B1428)</f>
        <v/>
      </c>
      <c r="O1428">
        <f>IF(L1428="", "Pending", IF(N1428&lt;=30, "Met", "Breached"))</f>
        <v/>
      </c>
    </row>
    <row r="1429">
      <c r="M1429" s="11">
        <f>B1429+30</f>
        <v/>
      </c>
      <c r="N1429">
        <f>IF(L1429="", "", L1429-B1429)</f>
        <v/>
      </c>
      <c r="O1429">
        <f>IF(L1429="", "Pending", IF(N1429&lt;=30, "Met", "Breached"))</f>
        <v/>
      </c>
    </row>
    <row r="1430">
      <c r="M1430" s="11">
        <f>B1430+30</f>
        <v/>
      </c>
      <c r="N1430">
        <f>IF(L1430="", "", L1430-B1430)</f>
        <v/>
      </c>
      <c r="O1430">
        <f>IF(L1430="", "Pending", IF(N1430&lt;=30, "Met", "Breached"))</f>
        <v/>
      </c>
    </row>
    <row r="1431">
      <c r="M1431" s="11">
        <f>B1431+30</f>
        <v/>
      </c>
      <c r="N1431">
        <f>IF(L1431="", "", L1431-B1431)</f>
        <v/>
      </c>
      <c r="O1431">
        <f>IF(L1431="", "Pending", IF(N1431&lt;=30, "Met", "Breached"))</f>
        <v/>
      </c>
    </row>
    <row r="1432">
      <c r="M1432" s="11">
        <f>B1432+30</f>
        <v/>
      </c>
      <c r="N1432">
        <f>IF(L1432="", "", L1432-B1432)</f>
        <v/>
      </c>
      <c r="O1432">
        <f>IF(L1432="", "Pending", IF(N1432&lt;=30, "Met", "Breached"))</f>
        <v/>
      </c>
    </row>
    <row r="1433">
      <c r="M1433" s="11">
        <f>B1433+30</f>
        <v/>
      </c>
      <c r="N1433">
        <f>IF(L1433="", "", L1433-B1433)</f>
        <v/>
      </c>
      <c r="O1433">
        <f>IF(L1433="", "Pending", IF(N1433&lt;=30, "Met", "Breached"))</f>
        <v/>
      </c>
    </row>
    <row r="1434">
      <c r="M1434" s="11">
        <f>B1434+30</f>
        <v/>
      </c>
      <c r="N1434">
        <f>IF(L1434="", "", L1434-B1434)</f>
        <v/>
      </c>
      <c r="O1434">
        <f>IF(L1434="", "Pending", IF(N1434&lt;=30, "Met", "Breached"))</f>
        <v/>
      </c>
    </row>
    <row r="1435">
      <c r="M1435" s="11">
        <f>B1435+30</f>
        <v/>
      </c>
      <c r="N1435">
        <f>IF(L1435="", "", L1435-B1435)</f>
        <v/>
      </c>
      <c r="O1435">
        <f>IF(L1435="", "Pending", IF(N1435&lt;=30, "Met", "Breached"))</f>
        <v/>
      </c>
    </row>
    <row r="1436">
      <c r="M1436" s="11">
        <f>B1436+30</f>
        <v/>
      </c>
      <c r="N1436">
        <f>IF(L1436="", "", L1436-B1436)</f>
        <v/>
      </c>
      <c r="O1436">
        <f>IF(L1436="", "Pending", IF(N1436&lt;=30, "Met", "Breached"))</f>
        <v/>
      </c>
    </row>
    <row r="1437">
      <c r="M1437" s="11">
        <f>B1437+30</f>
        <v/>
      </c>
      <c r="N1437">
        <f>IF(L1437="", "", L1437-B1437)</f>
        <v/>
      </c>
      <c r="O1437">
        <f>IF(L1437="", "Pending", IF(N1437&lt;=30, "Met", "Breached"))</f>
        <v/>
      </c>
    </row>
    <row r="1438">
      <c r="M1438" s="11">
        <f>B1438+30</f>
        <v/>
      </c>
      <c r="N1438">
        <f>IF(L1438="", "", L1438-B1438)</f>
        <v/>
      </c>
      <c r="O1438">
        <f>IF(L1438="", "Pending", IF(N1438&lt;=30, "Met", "Breached"))</f>
        <v/>
      </c>
    </row>
    <row r="1439">
      <c r="M1439" s="11">
        <f>B1439+30</f>
        <v/>
      </c>
      <c r="N1439">
        <f>IF(L1439="", "", L1439-B1439)</f>
        <v/>
      </c>
      <c r="O1439">
        <f>IF(L1439="", "Pending", IF(N1439&lt;=30, "Met", "Breached"))</f>
        <v/>
      </c>
    </row>
    <row r="1440">
      <c r="M1440" s="11">
        <f>B1440+30</f>
        <v/>
      </c>
      <c r="N1440">
        <f>IF(L1440="", "", L1440-B1440)</f>
        <v/>
      </c>
      <c r="O1440">
        <f>IF(L1440="", "Pending", IF(N1440&lt;=30, "Met", "Breached"))</f>
        <v/>
      </c>
    </row>
    <row r="1441">
      <c r="M1441" s="11">
        <f>B1441+30</f>
        <v/>
      </c>
      <c r="N1441">
        <f>IF(L1441="", "", L1441-B1441)</f>
        <v/>
      </c>
      <c r="O1441">
        <f>IF(L1441="", "Pending", IF(N1441&lt;=30, "Met", "Breached"))</f>
        <v/>
      </c>
    </row>
    <row r="1442">
      <c r="M1442" s="11">
        <f>B1442+30</f>
        <v/>
      </c>
      <c r="N1442">
        <f>IF(L1442="", "", L1442-B1442)</f>
        <v/>
      </c>
      <c r="O1442">
        <f>IF(L1442="", "Pending", IF(N1442&lt;=30, "Met", "Breached"))</f>
        <v/>
      </c>
    </row>
    <row r="1443">
      <c r="M1443" s="11">
        <f>B1443+30</f>
        <v/>
      </c>
      <c r="N1443">
        <f>IF(L1443="", "", L1443-B1443)</f>
        <v/>
      </c>
      <c r="O1443">
        <f>IF(L1443="", "Pending", IF(N1443&lt;=30, "Met", "Breached"))</f>
        <v/>
      </c>
    </row>
    <row r="1444">
      <c r="M1444" s="11">
        <f>B1444+30</f>
        <v/>
      </c>
      <c r="N1444">
        <f>IF(L1444="", "", L1444-B1444)</f>
        <v/>
      </c>
      <c r="O1444">
        <f>IF(L1444="", "Pending", IF(N1444&lt;=30, "Met", "Breached"))</f>
        <v/>
      </c>
    </row>
    <row r="1445">
      <c r="M1445" s="11">
        <f>B1445+30</f>
        <v/>
      </c>
      <c r="N1445">
        <f>IF(L1445="", "", L1445-B1445)</f>
        <v/>
      </c>
      <c r="O1445">
        <f>IF(L1445="", "Pending", IF(N1445&lt;=30, "Met", "Breached"))</f>
        <v/>
      </c>
    </row>
    <row r="1446">
      <c r="M1446" s="11">
        <f>B1446+30</f>
        <v/>
      </c>
      <c r="N1446">
        <f>IF(L1446="", "", L1446-B1446)</f>
        <v/>
      </c>
      <c r="O1446">
        <f>IF(L1446="", "Pending", IF(N1446&lt;=30, "Met", "Breached"))</f>
        <v/>
      </c>
    </row>
    <row r="1447">
      <c r="M1447" s="11">
        <f>B1447+30</f>
        <v/>
      </c>
      <c r="N1447">
        <f>IF(L1447="", "", L1447-B1447)</f>
        <v/>
      </c>
      <c r="O1447">
        <f>IF(L1447="", "Pending", IF(N1447&lt;=30, "Met", "Breached"))</f>
        <v/>
      </c>
    </row>
    <row r="1448">
      <c r="M1448" s="11">
        <f>B1448+30</f>
        <v/>
      </c>
      <c r="N1448">
        <f>IF(L1448="", "", L1448-B1448)</f>
        <v/>
      </c>
      <c r="O1448">
        <f>IF(L1448="", "Pending", IF(N1448&lt;=30, "Met", "Breached"))</f>
        <v/>
      </c>
    </row>
    <row r="1449">
      <c r="M1449" s="11">
        <f>B1449+30</f>
        <v/>
      </c>
      <c r="N1449">
        <f>IF(L1449="", "", L1449-B1449)</f>
        <v/>
      </c>
      <c r="O1449">
        <f>IF(L1449="", "Pending", IF(N1449&lt;=30, "Met", "Breached"))</f>
        <v/>
      </c>
    </row>
    <row r="1450">
      <c r="M1450" s="11">
        <f>B1450+30</f>
        <v/>
      </c>
      <c r="N1450">
        <f>IF(L1450="", "", L1450-B1450)</f>
        <v/>
      </c>
      <c r="O1450">
        <f>IF(L1450="", "Pending", IF(N1450&lt;=30, "Met", "Breached"))</f>
        <v/>
      </c>
    </row>
    <row r="1451">
      <c r="M1451" s="11">
        <f>B1451+30</f>
        <v/>
      </c>
      <c r="N1451">
        <f>IF(L1451="", "", L1451-B1451)</f>
        <v/>
      </c>
      <c r="O1451">
        <f>IF(L1451="", "Pending", IF(N1451&lt;=30, "Met", "Breached"))</f>
        <v/>
      </c>
    </row>
    <row r="1452">
      <c r="M1452" s="11">
        <f>B1452+30</f>
        <v/>
      </c>
      <c r="N1452">
        <f>IF(L1452="", "", L1452-B1452)</f>
        <v/>
      </c>
      <c r="O1452">
        <f>IF(L1452="", "Pending", IF(N1452&lt;=30, "Met", "Breached"))</f>
        <v/>
      </c>
    </row>
    <row r="1453">
      <c r="M1453" s="11">
        <f>B1453+30</f>
        <v/>
      </c>
      <c r="N1453">
        <f>IF(L1453="", "", L1453-B1453)</f>
        <v/>
      </c>
      <c r="O1453">
        <f>IF(L1453="", "Pending", IF(N1453&lt;=30, "Met", "Breached"))</f>
        <v/>
      </c>
    </row>
    <row r="1454">
      <c r="M1454" s="11">
        <f>B1454+30</f>
        <v/>
      </c>
      <c r="N1454">
        <f>IF(L1454="", "", L1454-B1454)</f>
        <v/>
      </c>
      <c r="O1454">
        <f>IF(L1454="", "Pending", IF(N1454&lt;=30, "Met", "Breached"))</f>
        <v/>
      </c>
    </row>
    <row r="1455">
      <c r="M1455" s="11">
        <f>B1455+30</f>
        <v/>
      </c>
      <c r="N1455">
        <f>IF(L1455="", "", L1455-B1455)</f>
        <v/>
      </c>
      <c r="O1455">
        <f>IF(L1455="", "Pending", IF(N1455&lt;=30, "Met", "Breached"))</f>
        <v/>
      </c>
    </row>
    <row r="1456">
      <c r="M1456" s="11">
        <f>B1456+30</f>
        <v/>
      </c>
      <c r="N1456">
        <f>IF(L1456="", "", L1456-B1456)</f>
        <v/>
      </c>
      <c r="O1456">
        <f>IF(L1456="", "Pending", IF(N1456&lt;=30, "Met", "Breached"))</f>
        <v/>
      </c>
    </row>
    <row r="1457">
      <c r="M1457" s="11">
        <f>B1457+30</f>
        <v/>
      </c>
      <c r="N1457">
        <f>IF(L1457="", "", L1457-B1457)</f>
        <v/>
      </c>
      <c r="O1457">
        <f>IF(L1457="", "Pending", IF(N1457&lt;=30, "Met", "Breached"))</f>
        <v/>
      </c>
    </row>
    <row r="1458">
      <c r="M1458" s="11">
        <f>B1458+30</f>
        <v/>
      </c>
      <c r="N1458">
        <f>IF(L1458="", "", L1458-B1458)</f>
        <v/>
      </c>
      <c r="O1458">
        <f>IF(L1458="", "Pending", IF(N1458&lt;=30, "Met", "Breached"))</f>
        <v/>
      </c>
    </row>
    <row r="1459">
      <c r="M1459" s="11">
        <f>B1459+30</f>
        <v/>
      </c>
      <c r="N1459">
        <f>IF(L1459="", "", L1459-B1459)</f>
        <v/>
      </c>
      <c r="O1459">
        <f>IF(L1459="", "Pending", IF(N1459&lt;=30, "Met", "Breached"))</f>
        <v/>
      </c>
    </row>
    <row r="1460">
      <c r="M1460" s="11">
        <f>B1460+30</f>
        <v/>
      </c>
      <c r="N1460">
        <f>IF(L1460="", "", L1460-B1460)</f>
        <v/>
      </c>
      <c r="O1460">
        <f>IF(L1460="", "Pending", IF(N1460&lt;=30, "Met", "Breached"))</f>
        <v/>
      </c>
    </row>
    <row r="1461">
      <c r="M1461" s="11">
        <f>B1461+30</f>
        <v/>
      </c>
      <c r="N1461">
        <f>IF(L1461="", "", L1461-B1461)</f>
        <v/>
      </c>
      <c r="O1461">
        <f>IF(L1461="", "Pending", IF(N1461&lt;=30, "Met", "Breached"))</f>
        <v/>
      </c>
    </row>
    <row r="1462">
      <c r="M1462" s="11">
        <f>B1462+30</f>
        <v/>
      </c>
      <c r="N1462">
        <f>IF(L1462="", "", L1462-B1462)</f>
        <v/>
      </c>
      <c r="O1462">
        <f>IF(L1462="", "Pending", IF(N1462&lt;=30, "Met", "Breached"))</f>
        <v/>
      </c>
    </row>
    <row r="1463">
      <c r="M1463" s="11">
        <f>B1463+30</f>
        <v/>
      </c>
      <c r="N1463">
        <f>IF(L1463="", "", L1463-B1463)</f>
        <v/>
      </c>
      <c r="O1463">
        <f>IF(L1463="", "Pending", IF(N1463&lt;=30, "Met", "Breached"))</f>
        <v/>
      </c>
    </row>
    <row r="1464">
      <c r="M1464" s="11">
        <f>B1464+30</f>
        <v/>
      </c>
      <c r="N1464">
        <f>IF(L1464="", "", L1464-B1464)</f>
        <v/>
      </c>
      <c r="O1464">
        <f>IF(L1464="", "Pending", IF(N1464&lt;=30, "Met", "Breached"))</f>
        <v/>
      </c>
    </row>
    <row r="1465">
      <c r="M1465" s="11">
        <f>B1465+30</f>
        <v/>
      </c>
      <c r="N1465">
        <f>IF(L1465="", "", L1465-B1465)</f>
        <v/>
      </c>
      <c r="O1465">
        <f>IF(L1465="", "Pending", IF(N1465&lt;=30, "Met", "Breached"))</f>
        <v/>
      </c>
    </row>
    <row r="1466">
      <c r="M1466" s="11">
        <f>B1466+30</f>
        <v/>
      </c>
      <c r="N1466">
        <f>IF(L1466="", "", L1466-B1466)</f>
        <v/>
      </c>
      <c r="O1466">
        <f>IF(L1466="", "Pending", IF(N1466&lt;=30, "Met", "Breached"))</f>
        <v/>
      </c>
    </row>
    <row r="1467">
      <c r="M1467" s="11">
        <f>B1467+30</f>
        <v/>
      </c>
      <c r="N1467">
        <f>IF(L1467="", "", L1467-B1467)</f>
        <v/>
      </c>
      <c r="O1467">
        <f>IF(L1467="", "Pending", IF(N1467&lt;=30, "Met", "Breached"))</f>
        <v/>
      </c>
    </row>
    <row r="1468">
      <c r="M1468" s="11">
        <f>B1468+30</f>
        <v/>
      </c>
      <c r="N1468">
        <f>IF(L1468="", "", L1468-B1468)</f>
        <v/>
      </c>
      <c r="O1468">
        <f>IF(L1468="", "Pending", IF(N1468&lt;=30, "Met", "Breached"))</f>
        <v/>
      </c>
    </row>
    <row r="1469">
      <c r="M1469" s="11">
        <f>B1469+30</f>
        <v/>
      </c>
      <c r="N1469">
        <f>IF(L1469="", "", L1469-B1469)</f>
        <v/>
      </c>
      <c r="O1469">
        <f>IF(L1469="", "Pending", IF(N1469&lt;=30, "Met", "Breached"))</f>
        <v/>
      </c>
    </row>
    <row r="1470">
      <c r="M1470" s="11">
        <f>B1470+30</f>
        <v/>
      </c>
      <c r="N1470">
        <f>IF(L1470="", "", L1470-B1470)</f>
        <v/>
      </c>
      <c r="O1470">
        <f>IF(L1470="", "Pending", IF(N1470&lt;=30, "Met", "Breached"))</f>
        <v/>
      </c>
    </row>
    <row r="1471">
      <c r="M1471" s="11">
        <f>B1471+30</f>
        <v/>
      </c>
      <c r="N1471">
        <f>IF(L1471="", "", L1471-B1471)</f>
        <v/>
      </c>
      <c r="O1471">
        <f>IF(L1471="", "Pending", IF(N1471&lt;=30, "Met", "Breached"))</f>
        <v/>
      </c>
    </row>
    <row r="1472">
      <c r="M1472" s="11">
        <f>B1472+30</f>
        <v/>
      </c>
      <c r="N1472">
        <f>IF(L1472="", "", L1472-B1472)</f>
        <v/>
      </c>
      <c r="O1472">
        <f>IF(L1472="", "Pending", IF(N1472&lt;=30, "Met", "Breached"))</f>
        <v/>
      </c>
    </row>
    <row r="1473">
      <c r="M1473" s="11">
        <f>B1473+30</f>
        <v/>
      </c>
      <c r="N1473">
        <f>IF(L1473="", "", L1473-B1473)</f>
        <v/>
      </c>
      <c r="O1473">
        <f>IF(L1473="", "Pending", IF(N1473&lt;=30, "Met", "Breached"))</f>
        <v/>
      </c>
    </row>
    <row r="1474">
      <c r="M1474" s="11">
        <f>B1474+30</f>
        <v/>
      </c>
      <c r="N1474">
        <f>IF(L1474="", "", L1474-B1474)</f>
        <v/>
      </c>
      <c r="O1474">
        <f>IF(L1474="", "Pending", IF(N1474&lt;=30, "Met", "Breached"))</f>
        <v/>
      </c>
    </row>
    <row r="1475">
      <c r="M1475" s="11">
        <f>B1475+30</f>
        <v/>
      </c>
      <c r="N1475">
        <f>IF(L1475="", "", L1475-B1475)</f>
        <v/>
      </c>
      <c r="O1475">
        <f>IF(L1475="", "Pending", IF(N1475&lt;=30, "Met", "Breached"))</f>
        <v/>
      </c>
    </row>
    <row r="1476">
      <c r="M1476" s="11">
        <f>B1476+30</f>
        <v/>
      </c>
      <c r="N1476">
        <f>IF(L1476="", "", L1476-B1476)</f>
        <v/>
      </c>
      <c r="O1476">
        <f>IF(L1476="", "Pending", IF(N1476&lt;=30, "Met", "Breached"))</f>
        <v/>
      </c>
    </row>
    <row r="1477">
      <c r="M1477" s="11">
        <f>B1477+30</f>
        <v/>
      </c>
      <c r="N1477">
        <f>IF(L1477="", "", L1477-B1477)</f>
        <v/>
      </c>
      <c r="O1477">
        <f>IF(L1477="", "Pending", IF(N1477&lt;=30, "Met", "Breached"))</f>
        <v/>
      </c>
    </row>
    <row r="1478">
      <c r="M1478" s="11">
        <f>B1478+30</f>
        <v/>
      </c>
      <c r="N1478">
        <f>IF(L1478="", "", L1478-B1478)</f>
        <v/>
      </c>
      <c r="O1478">
        <f>IF(L1478="", "Pending", IF(N1478&lt;=30, "Met", "Breached"))</f>
        <v/>
      </c>
    </row>
    <row r="1479">
      <c r="M1479" s="11">
        <f>B1479+30</f>
        <v/>
      </c>
      <c r="N1479">
        <f>IF(L1479="", "", L1479-B1479)</f>
        <v/>
      </c>
      <c r="O1479">
        <f>IF(L1479="", "Pending", IF(N1479&lt;=30, "Met", "Breached"))</f>
        <v/>
      </c>
    </row>
    <row r="1480">
      <c r="M1480" s="11">
        <f>B1480+30</f>
        <v/>
      </c>
      <c r="N1480">
        <f>IF(L1480="", "", L1480-B1480)</f>
        <v/>
      </c>
      <c r="O1480">
        <f>IF(L1480="", "Pending", IF(N1480&lt;=30, "Met", "Breached"))</f>
        <v/>
      </c>
    </row>
    <row r="1481">
      <c r="M1481" s="11">
        <f>B1481+30</f>
        <v/>
      </c>
      <c r="N1481">
        <f>IF(L1481="", "", L1481-B1481)</f>
        <v/>
      </c>
      <c r="O1481">
        <f>IF(L1481="", "Pending", IF(N1481&lt;=30, "Met", "Breached"))</f>
        <v/>
      </c>
    </row>
    <row r="1482">
      <c r="M1482" s="11">
        <f>B1482+30</f>
        <v/>
      </c>
      <c r="N1482">
        <f>IF(L1482="", "", L1482-B1482)</f>
        <v/>
      </c>
      <c r="O1482">
        <f>IF(L1482="", "Pending", IF(N1482&lt;=30, "Met", "Breached"))</f>
        <v/>
      </c>
    </row>
    <row r="1483">
      <c r="M1483" s="11">
        <f>B1483+30</f>
        <v/>
      </c>
      <c r="N1483">
        <f>IF(L1483="", "", L1483-B1483)</f>
        <v/>
      </c>
      <c r="O1483">
        <f>IF(L1483="", "Pending", IF(N1483&lt;=30, "Met", "Breached"))</f>
        <v/>
      </c>
    </row>
    <row r="1484">
      <c r="M1484" s="11">
        <f>B1484+30</f>
        <v/>
      </c>
      <c r="N1484">
        <f>IF(L1484="", "", L1484-B1484)</f>
        <v/>
      </c>
      <c r="O1484">
        <f>IF(L1484="", "Pending", IF(N1484&lt;=30, "Met", "Breached"))</f>
        <v/>
      </c>
    </row>
    <row r="1485">
      <c r="M1485" s="11">
        <f>B1485+30</f>
        <v/>
      </c>
      <c r="N1485">
        <f>IF(L1485="", "", L1485-B1485)</f>
        <v/>
      </c>
      <c r="O1485">
        <f>IF(L1485="", "Pending", IF(N1485&lt;=30, "Met", "Breached"))</f>
        <v/>
      </c>
    </row>
    <row r="1486">
      <c r="M1486" s="11">
        <f>B1486+30</f>
        <v/>
      </c>
      <c r="N1486">
        <f>IF(L1486="", "", L1486-B1486)</f>
        <v/>
      </c>
      <c r="O1486">
        <f>IF(L1486="", "Pending", IF(N1486&lt;=30, "Met", "Breached"))</f>
        <v/>
      </c>
    </row>
    <row r="1487">
      <c r="M1487" s="11">
        <f>B1487+30</f>
        <v/>
      </c>
      <c r="N1487">
        <f>IF(L1487="", "", L1487-B1487)</f>
        <v/>
      </c>
      <c r="O1487">
        <f>IF(L1487="", "Pending", IF(N1487&lt;=30, "Met", "Breached"))</f>
        <v/>
      </c>
    </row>
    <row r="1488">
      <c r="M1488" s="11">
        <f>B1488+30</f>
        <v/>
      </c>
      <c r="N1488">
        <f>IF(L1488="", "", L1488-B1488)</f>
        <v/>
      </c>
      <c r="O1488">
        <f>IF(L1488="", "Pending", IF(N1488&lt;=30, "Met", "Breached"))</f>
        <v/>
      </c>
    </row>
    <row r="1489">
      <c r="M1489" s="11">
        <f>B1489+30</f>
        <v/>
      </c>
      <c r="N1489">
        <f>IF(L1489="", "", L1489-B1489)</f>
        <v/>
      </c>
      <c r="O1489">
        <f>IF(L1489="", "Pending", IF(N1489&lt;=30, "Met", "Breached"))</f>
        <v/>
      </c>
    </row>
    <row r="1490">
      <c r="M1490" s="11">
        <f>B1490+30</f>
        <v/>
      </c>
      <c r="N1490">
        <f>IF(L1490="", "", L1490-B1490)</f>
        <v/>
      </c>
      <c r="O1490">
        <f>IF(L1490="", "Pending", IF(N1490&lt;=30, "Met", "Breached"))</f>
        <v/>
      </c>
    </row>
    <row r="1491">
      <c r="M1491" s="11">
        <f>B1491+30</f>
        <v/>
      </c>
      <c r="N1491">
        <f>IF(L1491="", "", L1491-B1491)</f>
        <v/>
      </c>
      <c r="O1491">
        <f>IF(L1491="", "Pending", IF(N1491&lt;=30, "Met", "Breached"))</f>
        <v/>
      </c>
    </row>
    <row r="1492">
      <c r="M1492" s="11">
        <f>B1492+30</f>
        <v/>
      </c>
      <c r="N1492">
        <f>IF(L1492="", "", L1492-B1492)</f>
        <v/>
      </c>
      <c r="O1492">
        <f>IF(L1492="", "Pending", IF(N1492&lt;=30, "Met", "Breached"))</f>
        <v/>
      </c>
    </row>
    <row r="1493">
      <c r="M1493" s="11">
        <f>B1493+30</f>
        <v/>
      </c>
      <c r="N1493">
        <f>IF(L1493="", "", L1493-B1493)</f>
        <v/>
      </c>
      <c r="O1493">
        <f>IF(L1493="", "Pending", IF(N1493&lt;=30, "Met", "Breached"))</f>
        <v/>
      </c>
    </row>
    <row r="1494">
      <c r="M1494" s="11">
        <f>B1494+30</f>
        <v/>
      </c>
      <c r="N1494">
        <f>IF(L1494="", "", L1494-B1494)</f>
        <v/>
      </c>
      <c r="O1494">
        <f>IF(L1494="", "Pending", IF(N1494&lt;=30, "Met", "Breached"))</f>
        <v/>
      </c>
    </row>
    <row r="1495">
      <c r="M1495" s="11">
        <f>B1495+30</f>
        <v/>
      </c>
      <c r="N1495">
        <f>IF(L1495="", "", L1495-B1495)</f>
        <v/>
      </c>
      <c r="O1495">
        <f>IF(L1495="", "Pending", IF(N1495&lt;=30, "Met", "Breached"))</f>
        <v/>
      </c>
    </row>
    <row r="1496">
      <c r="M1496" s="11">
        <f>B1496+30</f>
        <v/>
      </c>
      <c r="N1496">
        <f>IF(L1496="", "", L1496-B1496)</f>
        <v/>
      </c>
      <c r="O1496">
        <f>IF(L1496="", "Pending", IF(N1496&lt;=30, "Met", "Breached"))</f>
        <v/>
      </c>
    </row>
    <row r="1497">
      <c r="M1497" s="11">
        <f>B1497+30</f>
        <v/>
      </c>
      <c r="N1497">
        <f>IF(L1497="", "", L1497-B1497)</f>
        <v/>
      </c>
      <c r="O1497">
        <f>IF(L1497="", "Pending", IF(N1497&lt;=30, "Met", "Breached"))</f>
        <v/>
      </c>
    </row>
    <row r="1498">
      <c r="M1498" s="11">
        <f>B1498+30</f>
        <v/>
      </c>
      <c r="N1498">
        <f>IF(L1498="", "", L1498-B1498)</f>
        <v/>
      </c>
      <c r="O1498">
        <f>IF(L1498="", "Pending", IF(N1498&lt;=30, "Met", "Breached"))</f>
        <v/>
      </c>
    </row>
    <row r="1499">
      <c r="M1499" s="11">
        <f>B1499+30</f>
        <v/>
      </c>
      <c r="N1499">
        <f>IF(L1499="", "", L1499-B1499)</f>
        <v/>
      </c>
      <c r="O1499">
        <f>IF(L1499="", "Pending", IF(N1499&lt;=30, "Met", "Breached"))</f>
        <v/>
      </c>
    </row>
    <row r="1500">
      <c r="M1500" s="11">
        <f>B1500+30</f>
        <v/>
      </c>
      <c r="N1500">
        <f>IF(L1500="", "", L1500-B1500)</f>
        <v/>
      </c>
      <c r="O1500">
        <f>IF(L1500="", "Pending", IF(N1500&lt;=30, "Met", "Breached"))</f>
        <v/>
      </c>
    </row>
    <row r="1501">
      <c r="M1501" s="11">
        <f>B1501+30</f>
        <v/>
      </c>
      <c r="N1501">
        <f>IF(L1501="", "", L1501-B1501)</f>
        <v/>
      </c>
      <c r="O1501">
        <f>IF(L1501="", "Pending", IF(N1501&lt;=30, "Met", "Breached"))</f>
        <v/>
      </c>
    </row>
    <row r="1502">
      <c r="M1502" s="11">
        <f>B1502+30</f>
        <v/>
      </c>
      <c r="N1502">
        <f>IF(L1502="", "", L1502-B1502)</f>
        <v/>
      </c>
      <c r="O1502">
        <f>IF(L1502="", "Pending", IF(N1502&lt;=30, "Met", "Breached"))</f>
        <v/>
      </c>
    </row>
    <row r="1503">
      <c r="M1503" s="11">
        <f>B1503+30</f>
        <v/>
      </c>
      <c r="N1503">
        <f>IF(L1503="", "", L1503-B1503)</f>
        <v/>
      </c>
      <c r="O1503">
        <f>IF(L1503="", "Pending", IF(N1503&lt;=30, "Met", "Breached"))</f>
        <v/>
      </c>
    </row>
    <row r="1504">
      <c r="M1504" s="11">
        <f>B1504+30</f>
        <v/>
      </c>
      <c r="N1504">
        <f>IF(L1504="", "", L1504-B1504)</f>
        <v/>
      </c>
      <c r="O1504">
        <f>IF(L1504="", "Pending", IF(N1504&lt;=30, "Met", "Breached"))</f>
        <v/>
      </c>
    </row>
    <row r="1505">
      <c r="M1505" s="11">
        <f>B1505+30</f>
        <v/>
      </c>
      <c r="N1505">
        <f>IF(L1505="", "", L1505-B1505)</f>
        <v/>
      </c>
      <c r="O1505">
        <f>IF(L1505="", "Pending", IF(N1505&lt;=30, "Met", "Breached"))</f>
        <v/>
      </c>
    </row>
    <row r="1506">
      <c r="M1506" s="11">
        <f>B1506+30</f>
        <v/>
      </c>
      <c r="N1506">
        <f>IF(L1506="", "", L1506-B1506)</f>
        <v/>
      </c>
      <c r="O1506">
        <f>IF(L1506="", "Pending", IF(N1506&lt;=30, "Met", "Breached"))</f>
        <v/>
      </c>
    </row>
    <row r="1507">
      <c r="M1507" s="11">
        <f>B1507+30</f>
        <v/>
      </c>
      <c r="N1507">
        <f>IF(L1507="", "", L1507-B1507)</f>
        <v/>
      </c>
      <c r="O1507">
        <f>IF(L1507="", "Pending", IF(N1507&lt;=30, "Met", "Breached"))</f>
        <v/>
      </c>
    </row>
    <row r="1508">
      <c r="M1508" s="11">
        <f>B1508+30</f>
        <v/>
      </c>
      <c r="N1508">
        <f>IF(L1508="", "", L1508-B1508)</f>
        <v/>
      </c>
      <c r="O1508">
        <f>IF(L1508="", "Pending", IF(N1508&lt;=30, "Met", "Breached"))</f>
        <v/>
      </c>
    </row>
    <row r="1509">
      <c r="M1509" s="11">
        <f>B1509+30</f>
        <v/>
      </c>
      <c r="N1509">
        <f>IF(L1509="", "", L1509-B1509)</f>
        <v/>
      </c>
      <c r="O1509">
        <f>IF(L1509="", "Pending", IF(N1509&lt;=30, "Met", "Breached"))</f>
        <v/>
      </c>
    </row>
    <row r="1510">
      <c r="M1510" s="11">
        <f>B1510+30</f>
        <v/>
      </c>
      <c r="N1510">
        <f>IF(L1510="", "", L1510-B1510)</f>
        <v/>
      </c>
      <c r="O1510">
        <f>IF(L1510="", "Pending", IF(N1510&lt;=30, "Met", "Breached"))</f>
        <v/>
      </c>
    </row>
    <row r="1511">
      <c r="M1511" s="11">
        <f>B1511+30</f>
        <v/>
      </c>
      <c r="N1511">
        <f>IF(L1511="", "", L1511-B1511)</f>
        <v/>
      </c>
      <c r="O1511">
        <f>IF(L1511="", "Pending", IF(N1511&lt;=30, "Met", "Breached"))</f>
        <v/>
      </c>
    </row>
    <row r="1512">
      <c r="M1512" s="11">
        <f>B1512+30</f>
        <v/>
      </c>
      <c r="N1512">
        <f>IF(L1512="", "", L1512-B1512)</f>
        <v/>
      </c>
      <c r="O1512">
        <f>IF(L1512="", "Pending", IF(N1512&lt;=30, "Met", "Breached"))</f>
        <v/>
      </c>
    </row>
    <row r="1513">
      <c r="M1513" s="11">
        <f>B1513+30</f>
        <v/>
      </c>
      <c r="N1513">
        <f>IF(L1513="", "", L1513-B1513)</f>
        <v/>
      </c>
      <c r="O1513">
        <f>IF(L1513="", "Pending", IF(N1513&lt;=30, "Met", "Breached"))</f>
        <v/>
      </c>
    </row>
    <row r="1514">
      <c r="M1514" s="11">
        <f>B1514+30</f>
        <v/>
      </c>
      <c r="N1514">
        <f>IF(L1514="", "", L1514-B1514)</f>
        <v/>
      </c>
      <c r="O1514">
        <f>IF(L1514="", "Pending", IF(N1514&lt;=30, "Met", "Breached"))</f>
        <v/>
      </c>
    </row>
    <row r="1515">
      <c r="M1515" s="11">
        <f>B1515+30</f>
        <v/>
      </c>
      <c r="N1515">
        <f>IF(L1515="", "", L1515-B1515)</f>
        <v/>
      </c>
      <c r="O1515">
        <f>IF(L1515="", "Pending", IF(N1515&lt;=30, "Met", "Breached"))</f>
        <v/>
      </c>
    </row>
    <row r="1516">
      <c r="M1516" s="11">
        <f>B1516+30</f>
        <v/>
      </c>
      <c r="N1516">
        <f>IF(L1516="", "", L1516-B1516)</f>
        <v/>
      </c>
      <c r="O1516">
        <f>IF(L1516="", "Pending", IF(N1516&lt;=30, "Met", "Breached"))</f>
        <v/>
      </c>
    </row>
    <row r="1517">
      <c r="M1517" s="11">
        <f>B1517+30</f>
        <v/>
      </c>
      <c r="N1517">
        <f>IF(L1517="", "", L1517-B1517)</f>
        <v/>
      </c>
      <c r="O1517">
        <f>IF(L1517="", "Pending", IF(N1517&lt;=30, "Met", "Breached"))</f>
        <v/>
      </c>
    </row>
    <row r="1518">
      <c r="M1518" s="11">
        <f>B1518+30</f>
        <v/>
      </c>
      <c r="N1518">
        <f>IF(L1518="", "", L1518-B1518)</f>
        <v/>
      </c>
      <c r="O1518">
        <f>IF(L1518="", "Pending", IF(N1518&lt;=30, "Met", "Breached"))</f>
        <v/>
      </c>
    </row>
    <row r="1519">
      <c r="M1519" s="11">
        <f>B1519+30</f>
        <v/>
      </c>
      <c r="N1519">
        <f>IF(L1519="", "", L1519-B1519)</f>
        <v/>
      </c>
      <c r="O1519">
        <f>IF(L1519="", "Pending", IF(N1519&lt;=30, "Met", "Breached"))</f>
        <v/>
      </c>
    </row>
    <row r="1520">
      <c r="M1520" s="11">
        <f>B1520+30</f>
        <v/>
      </c>
      <c r="N1520">
        <f>IF(L1520="", "", L1520-B1520)</f>
        <v/>
      </c>
      <c r="O1520">
        <f>IF(L1520="", "Pending", IF(N1520&lt;=30, "Met", "Breached"))</f>
        <v/>
      </c>
    </row>
    <row r="1521">
      <c r="M1521" s="11">
        <f>B1521+30</f>
        <v/>
      </c>
      <c r="N1521">
        <f>IF(L1521="", "", L1521-B1521)</f>
        <v/>
      </c>
      <c r="O1521">
        <f>IF(L1521="", "Pending", IF(N1521&lt;=30, "Met", "Breached"))</f>
        <v/>
      </c>
    </row>
    <row r="1522">
      <c r="M1522" s="11">
        <f>B1522+30</f>
        <v/>
      </c>
      <c r="N1522">
        <f>IF(L1522="", "", L1522-B1522)</f>
        <v/>
      </c>
      <c r="O1522">
        <f>IF(L1522="", "Pending", IF(N1522&lt;=30, "Met", "Breached"))</f>
        <v/>
      </c>
    </row>
    <row r="1523">
      <c r="M1523" s="11">
        <f>B1523+30</f>
        <v/>
      </c>
      <c r="N1523">
        <f>IF(L1523="", "", L1523-B1523)</f>
        <v/>
      </c>
      <c r="O1523">
        <f>IF(L1523="", "Pending", IF(N1523&lt;=30, "Met", "Breached"))</f>
        <v/>
      </c>
    </row>
    <row r="1524">
      <c r="M1524" s="11">
        <f>B1524+30</f>
        <v/>
      </c>
      <c r="N1524">
        <f>IF(L1524="", "", L1524-B1524)</f>
        <v/>
      </c>
      <c r="O1524">
        <f>IF(L1524="", "Pending", IF(N1524&lt;=30, "Met", "Breached"))</f>
        <v/>
      </c>
    </row>
    <row r="1525">
      <c r="M1525" s="11">
        <f>B1525+30</f>
        <v/>
      </c>
      <c r="N1525">
        <f>IF(L1525="", "", L1525-B1525)</f>
        <v/>
      </c>
      <c r="O1525">
        <f>IF(L1525="", "Pending", IF(N1525&lt;=30, "Met", "Breached"))</f>
        <v/>
      </c>
    </row>
    <row r="1526">
      <c r="M1526" s="11">
        <f>B1526+30</f>
        <v/>
      </c>
      <c r="N1526">
        <f>IF(L1526="", "", L1526-B1526)</f>
        <v/>
      </c>
      <c r="O1526">
        <f>IF(L1526="", "Pending", IF(N1526&lt;=30, "Met", "Breached"))</f>
        <v/>
      </c>
    </row>
    <row r="1527">
      <c r="M1527" s="11">
        <f>B1527+30</f>
        <v/>
      </c>
      <c r="N1527">
        <f>IF(L1527="", "", L1527-B1527)</f>
        <v/>
      </c>
      <c r="O1527">
        <f>IF(L1527="", "Pending", IF(N1527&lt;=30, "Met", "Breached"))</f>
        <v/>
      </c>
    </row>
    <row r="1528">
      <c r="M1528" s="11">
        <f>B1528+30</f>
        <v/>
      </c>
      <c r="N1528">
        <f>IF(L1528="", "", L1528-B1528)</f>
        <v/>
      </c>
      <c r="O1528">
        <f>IF(L1528="", "Pending", IF(N1528&lt;=30, "Met", "Breached"))</f>
        <v/>
      </c>
    </row>
    <row r="1529">
      <c r="M1529" s="11">
        <f>B1529+30</f>
        <v/>
      </c>
      <c r="N1529">
        <f>IF(L1529="", "", L1529-B1529)</f>
        <v/>
      </c>
      <c r="O1529">
        <f>IF(L1529="", "Pending", IF(N1529&lt;=30, "Met", "Breached"))</f>
        <v/>
      </c>
    </row>
    <row r="1530">
      <c r="M1530" s="11">
        <f>B1530+30</f>
        <v/>
      </c>
      <c r="N1530">
        <f>IF(L1530="", "", L1530-B1530)</f>
        <v/>
      </c>
      <c r="O1530">
        <f>IF(L1530="", "Pending", IF(N1530&lt;=30, "Met", "Breached"))</f>
        <v/>
      </c>
    </row>
    <row r="1531">
      <c r="M1531" s="11">
        <f>B1531+30</f>
        <v/>
      </c>
      <c r="N1531">
        <f>IF(L1531="", "", L1531-B1531)</f>
        <v/>
      </c>
      <c r="O1531">
        <f>IF(L1531="", "Pending", IF(N1531&lt;=30, "Met", "Breached"))</f>
        <v/>
      </c>
    </row>
    <row r="1532">
      <c r="M1532" s="11">
        <f>B1532+30</f>
        <v/>
      </c>
      <c r="N1532">
        <f>IF(L1532="", "", L1532-B1532)</f>
        <v/>
      </c>
      <c r="O1532">
        <f>IF(L1532="", "Pending", IF(N1532&lt;=30, "Met", "Breached"))</f>
        <v/>
      </c>
    </row>
    <row r="1533">
      <c r="M1533" s="11">
        <f>B1533+30</f>
        <v/>
      </c>
      <c r="N1533">
        <f>IF(L1533="", "", L1533-B1533)</f>
        <v/>
      </c>
      <c r="O1533">
        <f>IF(L1533="", "Pending", IF(N1533&lt;=30, "Met", "Breached"))</f>
        <v/>
      </c>
    </row>
    <row r="1534">
      <c r="M1534" s="11">
        <f>B1534+30</f>
        <v/>
      </c>
      <c r="N1534">
        <f>IF(L1534="", "", L1534-B1534)</f>
        <v/>
      </c>
      <c r="O1534">
        <f>IF(L1534="", "Pending", IF(N1534&lt;=30, "Met", "Breached"))</f>
        <v/>
      </c>
    </row>
    <row r="1535">
      <c r="M1535" s="11">
        <f>B1535+30</f>
        <v/>
      </c>
      <c r="N1535">
        <f>IF(L1535="", "", L1535-B1535)</f>
        <v/>
      </c>
      <c r="O1535">
        <f>IF(L1535="", "Pending", IF(N1535&lt;=30, "Met", "Breached"))</f>
        <v/>
      </c>
    </row>
    <row r="1536">
      <c r="M1536" s="11">
        <f>B1536+30</f>
        <v/>
      </c>
      <c r="N1536">
        <f>IF(L1536="", "", L1536-B1536)</f>
        <v/>
      </c>
      <c r="O1536">
        <f>IF(L1536="", "Pending", IF(N1536&lt;=30, "Met", "Breached"))</f>
        <v/>
      </c>
    </row>
    <row r="1537">
      <c r="M1537" s="11">
        <f>B1537+30</f>
        <v/>
      </c>
      <c r="N1537">
        <f>IF(L1537="", "", L1537-B1537)</f>
        <v/>
      </c>
      <c r="O1537">
        <f>IF(L1537="", "Pending", IF(N1537&lt;=30, "Met", "Breached"))</f>
        <v/>
      </c>
    </row>
    <row r="1538">
      <c r="M1538" s="11">
        <f>B1538+30</f>
        <v/>
      </c>
      <c r="N1538">
        <f>IF(L1538="", "", L1538-B1538)</f>
        <v/>
      </c>
      <c r="O1538">
        <f>IF(L1538="", "Pending", IF(N1538&lt;=30, "Met", "Breached"))</f>
        <v/>
      </c>
    </row>
    <row r="1539">
      <c r="M1539" s="11">
        <f>B1539+30</f>
        <v/>
      </c>
      <c r="N1539">
        <f>IF(L1539="", "", L1539-B1539)</f>
        <v/>
      </c>
      <c r="O1539">
        <f>IF(L1539="", "Pending", IF(N1539&lt;=30, "Met", "Breached"))</f>
        <v/>
      </c>
    </row>
    <row r="1540">
      <c r="M1540" s="11">
        <f>B1540+30</f>
        <v/>
      </c>
      <c r="N1540">
        <f>IF(L1540="", "", L1540-B1540)</f>
        <v/>
      </c>
      <c r="O1540">
        <f>IF(L1540="", "Pending", IF(N1540&lt;=30, "Met", "Breached"))</f>
        <v/>
      </c>
    </row>
    <row r="1541">
      <c r="M1541" s="11">
        <f>B1541+30</f>
        <v/>
      </c>
      <c r="N1541">
        <f>IF(L1541="", "", L1541-B1541)</f>
        <v/>
      </c>
      <c r="O1541">
        <f>IF(L1541="", "Pending", IF(N1541&lt;=30, "Met", "Breached"))</f>
        <v/>
      </c>
    </row>
    <row r="1542">
      <c r="M1542" s="11">
        <f>B1542+30</f>
        <v/>
      </c>
      <c r="N1542">
        <f>IF(L1542="", "", L1542-B1542)</f>
        <v/>
      </c>
      <c r="O1542">
        <f>IF(L1542="", "Pending", IF(N1542&lt;=30, "Met", "Breached"))</f>
        <v/>
      </c>
    </row>
    <row r="1543">
      <c r="M1543" s="11">
        <f>B1543+30</f>
        <v/>
      </c>
      <c r="N1543">
        <f>IF(L1543="", "", L1543-B1543)</f>
        <v/>
      </c>
      <c r="O1543">
        <f>IF(L1543="", "Pending", IF(N1543&lt;=30, "Met", "Breached"))</f>
        <v/>
      </c>
    </row>
    <row r="1544">
      <c r="M1544" s="11">
        <f>B1544+30</f>
        <v/>
      </c>
      <c r="N1544">
        <f>IF(L1544="", "", L1544-B1544)</f>
        <v/>
      </c>
      <c r="O1544">
        <f>IF(L1544="", "Pending", IF(N1544&lt;=30, "Met", "Breached"))</f>
        <v/>
      </c>
    </row>
    <row r="1545">
      <c r="M1545" s="11">
        <f>B1545+30</f>
        <v/>
      </c>
      <c r="N1545">
        <f>IF(L1545="", "", L1545-B1545)</f>
        <v/>
      </c>
      <c r="O1545">
        <f>IF(L1545="", "Pending", IF(N1545&lt;=30, "Met", "Breached"))</f>
        <v/>
      </c>
    </row>
    <row r="1546">
      <c r="M1546" s="11">
        <f>B1546+30</f>
        <v/>
      </c>
      <c r="N1546">
        <f>IF(L1546="", "", L1546-B1546)</f>
        <v/>
      </c>
      <c r="O1546">
        <f>IF(L1546="", "Pending", IF(N1546&lt;=30, "Met", "Breached"))</f>
        <v/>
      </c>
    </row>
    <row r="1547">
      <c r="M1547" s="11">
        <f>B1547+30</f>
        <v/>
      </c>
      <c r="N1547">
        <f>IF(L1547="", "", L1547-B1547)</f>
        <v/>
      </c>
      <c r="O1547">
        <f>IF(L1547="", "Pending", IF(N1547&lt;=30, "Met", "Breached"))</f>
        <v/>
      </c>
    </row>
    <row r="1548">
      <c r="M1548" s="11">
        <f>B1548+30</f>
        <v/>
      </c>
      <c r="N1548">
        <f>IF(L1548="", "", L1548-B1548)</f>
        <v/>
      </c>
      <c r="O1548">
        <f>IF(L1548="", "Pending", IF(N1548&lt;=30, "Met", "Breached"))</f>
        <v/>
      </c>
    </row>
    <row r="1549">
      <c r="M1549" s="11">
        <f>B1549+30</f>
        <v/>
      </c>
      <c r="N1549">
        <f>IF(L1549="", "", L1549-B1549)</f>
        <v/>
      </c>
      <c r="O1549">
        <f>IF(L1549="", "Pending", IF(N1549&lt;=30, "Met", "Breached"))</f>
        <v/>
      </c>
    </row>
    <row r="1550">
      <c r="M1550" s="11">
        <f>B1550+30</f>
        <v/>
      </c>
      <c r="N1550">
        <f>IF(L1550="", "", L1550-B1550)</f>
        <v/>
      </c>
      <c r="O1550">
        <f>IF(L1550="", "Pending", IF(N1550&lt;=30, "Met", "Breached"))</f>
        <v/>
      </c>
    </row>
    <row r="1551">
      <c r="M1551" s="11">
        <f>B1551+30</f>
        <v/>
      </c>
      <c r="N1551">
        <f>IF(L1551="", "", L1551-B1551)</f>
        <v/>
      </c>
      <c r="O1551">
        <f>IF(L1551="", "Pending", IF(N1551&lt;=30, "Met", "Breached"))</f>
        <v/>
      </c>
    </row>
    <row r="1552">
      <c r="M1552" s="11">
        <f>B1552+30</f>
        <v/>
      </c>
      <c r="N1552">
        <f>IF(L1552="", "", L1552-B1552)</f>
        <v/>
      </c>
      <c r="O1552">
        <f>IF(L1552="", "Pending", IF(N1552&lt;=30, "Met", "Breached"))</f>
        <v/>
      </c>
    </row>
    <row r="1553">
      <c r="M1553" s="11">
        <f>B1553+30</f>
        <v/>
      </c>
      <c r="N1553">
        <f>IF(L1553="", "", L1553-B1553)</f>
        <v/>
      </c>
      <c r="O1553">
        <f>IF(L1553="", "Pending", IF(N1553&lt;=30, "Met", "Breached"))</f>
        <v/>
      </c>
    </row>
    <row r="1554">
      <c r="M1554" s="11">
        <f>B1554+30</f>
        <v/>
      </c>
      <c r="N1554">
        <f>IF(L1554="", "", L1554-B1554)</f>
        <v/>
      </c>
      <c r="O1554">
        <f>IF(L1554="", "Pending", IF(N1554&lt;=30, "Met", "Breached"))</f>
        <v/>
      </c>
    </row>
    <row r="1555">
      <c r="M1555" s="11">
        <f>B1555+30</f>
        <v/>
      </c>
      <c r="N1555">
        <f>IF(L1555="", "", L1555-B1555)</f>
        <v/>
      </c>
      <c r="O1555">
        <f>IF(L1555="", "Pending", IF(N1555&lt;=30, "Met", "Breached"))</f>
        <v/>
      </c>
    </row>
    <row r="1556">
      <c r="M1556" s="11">
        <f>B1556+30</f>
        <v/>
      </c>
      <c r="N1556">
        <f>IF(L1556="", "", L1556-B1556)</f>
        <v/>
      </c>
      <c r="O1556">
        <f>IF(L1556="", "Pending", IF(N1556&lt;=30, "Met", "Breached"))</f>
        <v/>
      </c>
    </row>
    <row r="1557">
      <c r="M1557" s="11">
        <f>B1557+30</f>
        <v/>
      </c>
      <c r="N1557">
        <f>IF(L1557="", "", L1557-B1557)</f>
        <v/>
      </c>
      <c r="O1557">
        <f>IF(L1557="", "Pending", IF(N1557&lt;=30, "Met", "Breached"))</f>
        <v/>
      </c>
    </row>
    <row r="1558">
      <c r="M1558" s="11">
        <f>B1558+30</f>
        <v/>
      </c>
      <c r="N1558">
        <f>IF(L1558="", "", L1558-B1558)</f>
        <v/>
      </c>
      <c r="O1558">
        <f>IF(L1558="", "Pending", IF(N1558&lt;=30, "Met", "Breached"))</f>
        <v/>
      </c>
    </row>
    <row r="1559">
      <c r="M1559" s="11">
        <f>B1559+30</f>
        <v/>
      </c>
      <c r="N1559">
        <f>IF(L1559="", "", L1559-B1559)</f>
        <v/>
      </c>
      <c r="O1559">
        <f>IF(L1559="", "Pending", IF(N1559&lt;=30, "Met", "Breached"))</f>
        <v/>
      </c>
    </row>
    <row r="1560">
      <c r="M1560" s="11">
        <f>B1560+30</f>
        <v/>
      </c>
      <c r="N1560">
        <f>IF(L1560="", "", L1560-B1560)</f>
        <v/>
      </c>
      <c r="O1560">
        <f>IF(L1560="", "Pending", IF(N1560&lt;=30, "Met", "Breached"))</f>
        <v/>
      </c>
    </row>
    <row r="1561">
      <c r="M1561" s="11">
        <f>B1561+30</f>
        <v/>
      </c>
      <c r="N1561">
        <f>IF(L1561="", "", L1561-B1561)</f>
        <v/>
      </c>
      <c r="O1561">
        <f>IF(L1561="", "Pending", IF(N1561&lt;=30, "Met", "Breached"))</f>
        <v/>
      </c>
    </row>
    <row r="1562">
      <c r="M1562" s="11">
        <f>B1562+30</f>
        <v/>
      </c>
      <c r="N1562">
        <f>IF(L1562="", "", L1562-B1562)</f>
        <v/>
      </c>
      <c r="O1562">
        <f>IF(L1562="", "Pending", IF(N1562&lt;=30, "Met", "Breached"))</f>
        <v/>
      </c>
    </row>
    <row r="1563">
      <c r="M1563" s="11">
        <f>B1563+30</f>
        <v/>
      </c>
      <c r="N1563">
        <f>IF(L1563="", "", L1563-B1563)</f>
        <v/>
      </c>
      <c r="O1563">
        <f>IF(L1563="", "Pending", IF(N1563&lt;=30, "Met", "Breached"))</f>
        <v/>
      </c>
    </row>
    <row r="1564">
      <c r="M1564" s="11">
        <f>B1564+30</f>
        <v/>
      </c>
      <c r="N1564">
        <f>IF(L1564="", "", L1564-B1564)</f>
        <v/>
      </c>
      <c r="O1564">
        <f>IF(L1564="", "Pending", IF(N1564&lt;=30, "Met", "Breached"))</f>
        <v/>
      </c>
    </row>
    <row r="1565">
      <c r="M1565" s="11">
        <f>B1565+30</f>
        <v/>
      </c>
      <c r="N1565">
        <f>IF(L1565="", "", L1565-B1565)</f>
        <v/>
      </c>
      <c r="O1565">
        <f>IF(L1565="", "Pending", IF(N1565&lt;=30, "Met", "Breached"))</f>
        <v/>
      </c>
    </row>
    <row r="1566">
      <c r="M1566" s="11">
        <f>B1566+30</f>
        <v/>
      </c>
      <c r="N1566">
        <f>IF(L1566="", "", L1566-B1566)</f>
        <v/>
      </c>
      <c r="O1566">
        <f>IF(L1566="", "Pending", IF(N1566&lt;=30, "Met", "Breached"))</f>
        <v/>
      </c>
    </row>
    <row r="1567">
      <c r="M1567" s="11">
        <f>B1567+30</f>
        <v/>
      </c>
      <c r="N1567">
        <f>IF(L1567="", "", L1567-B1567)</f>
        <v/>
      </c>
      <c r="O1567">
        <f>IF(L1567="", "Pending", IF(N1567&lt;=30, "Met", "Breached"))</f>
        <v/>
      </c>
    </row>
    <row r="1568">
      <c r="M1568" s="11">
        <f>B1568+30</f>
        <v/>
      </c>
      <c r="N1568">
        <f>IF(L1568="", "", L1568-B1568)</f>
        <v/>
      </c>
      <c r="O1568">
        <f>IF(L1568="", "Pending", IF(N1568&lt;=30, "Met", "Breached"))</f>
        <v/>
      </c>
    </row>
    <row r="1569">
      <c r="M1569" s="11">
        <f>B1569+30</f>
        <v/>
      </c>
      <c r="N1569">
        <f>IF(L1569="", "", L1569-B1569)</f>
        <v/>
      </c>
      <c r="O1569">
        <f>IF(L1569="", "Pending", IF(N1569&lt;=30, "Met", "Breached"))</f>
        <v/>
      </c>
    </row>
    <row r="1570">
      <c r="M1570" s="11">
        <f>B1570+30</f>
        <v/>
      </c>
      <c r="N1570">
        <f>IF(L1570="", "", L1570-B1570)</f>
        <v/>
      </c>
      <c r="O1570">
        <f>IF(L1570="", "Pending", IF(N1570&lt;=30, "Met", "Breached"))</f>
        <v/>
      </c>
    </row>
    <row r="1571">
      <c r="M1571" s="11">
        <f>B1571+30</f>
        <v/>
      </c>
      <c r="N1571">
        <f>IF(L1571="", "", L1571-B1571)</f>
        <v/>
      </c>
      <c r="O1571">
        <f>IF(L1571="", "Pending", IF(N1571&lt;=30, "Met", "Breached"))</f>
        <v/>
      </c>
    </row>
    <row r="1572">
      <c r="M1572" s="11">
        <f>B1572+30</f>
        <v/>
      </c>
      <c r="N1572">
        <f>IF(L1572="", "", L1572-B1572)</f>
        <v/>
      </c>
      <c r="O1572">
        <f>IF(L1572="", "Pending", IF(N1572&lt;=30, "Met", "Breached"))</f>
        <v/>
      </c>
    </row>
    <row r="1573">
      <c r="M1573" s="11">
        <f>B1573+30</f>
        <v/>
      </c>
      <c r="N1573">
        <f>IF(L1573="", "", L1573-B1573)</f>
        <v/>
      </c>
      <c r="O1573">
        <f>IF(L1573="", "Pending", IF(N1573&lt;=30, "Met", "Breached"))</f>
        <v/>
      </c>
    </row>
    <row r="1574">
      <c r="M1574" s="11">
        <f>B1574+30</f>
        <v/>
      </c>
      <c r="N1574">
        <f>IF(L1574="", "", L1574-B1574)</f>
        <v/>
      </c>
      <c r="O1574">
        <f>IF(L1574="", "Pending", IF(N1574&lt;=30, "Met", "Breached"))</f>
        <v/>
      </c>
    </row>
    <row r="1575">
      <c r="M1575" s="11">
        <f>B1575+30</f>
        <v/>
      </c>
      <c r="N1575">
        <f>IF(L1575="", "", L1575-B1575)</f>
        <v/>
      </c>
      <c r="O1575">
        <f>IF(L1575="", "Pending", IF(N1575&lt;=30, "Met", "Breached"))</f>
        <v/>
      </c>
    </row>
    <row r="1576">
      <c r="M1576" s="11">
        <f>B1576+30</f>
        <v/>
      </c>
      <c r="N1576">
        <f>IF(L1576="", "", L1576-B1576)</f>
        <v/>
      </c>
      <c r="O1576">
        <f>IF(L1576="", "Pending", IF(N1576&lt;=30, "Met", "Breached"))</f>
        <v/>
      </c>
    </row>
    <row r="1577">
      <c r="M1577" s="11">
        <f>B1577+30</f>
        <v/>
      </c>
      <c r="N1577">
        <f>IF(L1577="", "", L1577-B1577)</f>
        <v/>
      </c>
      <c r="O1577">
        <f>IF(L1577="", "Pending", IF(N1577&lt;=30, "Met", "Breached"))</f>
        <v/>
      </c>
    </row>
    <row r="1578">
      <c r="M1578" s="11">
        <f>B1578+30</f>
        <v/>
      </c>
      <c r="N1578">
        <f>IF(L1578="", "", L1578-B1578)</f>
        <v/>
      </c>
      <c r="O1578">
        <f>IF(L1578="", "Pending", IF(N1578&lt;=30, "Met", "Breached"))</f>
        <v/>
      </c>
    </row>
    <row r="1579">
      <c r="M1579" s="11">
        <f>B1579+30</f>
        <v/>
      </c>
      <c r="N1579">
        <f>IF(L1579="", "", L1579-B1579)</f>
        <v/>
      </c>
      <c r="O1579">
        <f>IF(L1579="", "Pending", IF(N1579&lt;=30, "Met", "Breached"))</f>
        <v/>
      </c>
    </row>
    <row r="1580">
      <c r="M1580" s="11">
        <f>B1580+30</f>
        <v/>
      </c>
      <c r="N1580">
        <f>IF(L1580="", "", L1580-B1580)</f>
        <v/>
      </c>
      <c r="O1580">
        <f>IF(L1580="", "Pending", IF(N1580&lt;=30, "Met", "Breached"))</f>
        <v/>
      </c>
    </row>
    <row r="1581">
      <c r="M1581" s="11">
        <f>B1581+30</f>
        <v/>
      </c>
      <c r="N1581">
        <f>IF(L1581="", "", L1581-B1581)</f>
        <v/>
      </c>
      <c r="O1581">
        <f>IF(L1581="", "Pending", IF(N1581&lt;=30, "Met", "Breached"))</f>
        <v/>
      </c>
    </row>
    <row r="1582">
      <c r="M1582" s="11">
        <f>B1582+30</f>
        <v/>
      </c>
      <c r="N1582">
        <f>IF(L1582="", "", L1582-B1582)</f>
        <v/>
      </c>
      <c r="O1582">
        <f>IF(L1582="", "Pending", IF(N1582&lt;=30, "Met", "Breached"))</f>
        <v/>
      </c>
    </row>
    <row r="1583">
      <c r="M1583" s="11">
        <f>B1583+30</f>
        <v/>
      </c>
      <c r="N1583">
        <f>IF(L1583="", "", L1583-B1583)</f>
        <v/>
      </c>
      <c r="O1583">
        <f>IF(L1583="", "Pending", IF(N1583&lt;=30, "Met", "Breached"))</f>
        <v/>
      </c>
    </row>
    <row r="1584">
      <c r="M1584" s="11">
        <f>B1584+30</f>
        <v/>
      </c>
      <c r="N1584">
        <f>IF(L1584="", "", L1584-B1584)</f>
        <v/>
      </c>
      <c r="O1584">
        <f>IF(L1584="", "Pending", IF(N1584&lt;=30, "Met", "Breached"))</f>
        <v/>
      </c>
    </row>
    <row r="1585">
      <c r="M1585" s="11">
        <f>B1585+30</f>
        <v/>
      </c>
      <c r="N1585">
        <f>IF(L1585="", "", L1585-B1585)</f>
        <v/>
      </c>
      <c r="O1585">
        <f>IF(L1585="", "Pending", IF(N1585&lt;=30, "Met", "Breached"))</f>
        <v/>
      </c>
    </row>
    <row r="1586">
      <c r="M1586" s="11">
        <f>B1586+30</f>
        <v/>
      </c>
      <c r="N1586">
        <f>IF(L1586="", "", L1586-B1586)</f>
        <v/>
      </c>
      <c r="O1586">
        <f>IF(L1586="", "Pending", IF(N1586&lt;=30, "Met", "Breached"))</f>
        <v/>
      </c>
    </row>
    <row r="1587">
      <c r="M1587" s="11">
        <f>B1587+30</f>
        <v/>
      </c>
      <c r="N1587">
        <f>IF(L1587="", "", L1587-B1587)</f>
        <v/>
      </c>
      <c r="O1587">
        <f>IF(L1587="", "Pending", IF(N1587&lt;=30, "Met", "Breached"))</f>
        <v/>
      </c>
    </row>
    <row r="1588">
      <c r="M1588" s="11">
        <f>B1588+30</f>
        <v/>
      </c>
      <c r="N1588">
        <f>IF(L1588="", "", L1588-B1588)</f>
        <v/>
      </c>
      <c r="O1588">
        <f>IF(L1588="", "Pending", IF(N1588&lt;=30, "Met", "Breached"))</f>
        <v/>
      </c>
    </row>
    <row r="1589">
      <c r="M1589" s="11">
        <f>B1589+30</f>
        <v/>
      </c>
      <c r="N1589">
        <f>IF(L1589="", "", L1589-B1589)</f>
        <v/>
      </c>
      <c r="O1589">
        <f>IF(L1589="", "Pending", IF(N1589&lt;=30, "Met", "Breached"))</f>
        <v/>
      </c>
    </row>
    <row r="1590">
      <c r="M1590" s="11">
        <f>B1590+30</f>
        <v/>
      </c>
      <c r="N1590">
        <f>IF(L1590="", "", L1590-B1590)</f>
        <v/>
      </c>
      <c r="O1590">
        <f>IF(L1590="", "Pending", IF(N1590&lt;=30, "Met", "Breached"))</f>
        <v/>
      </c>
    </row>
    <row r="1591">
      <c r="M1591" s="11">
        <f>B1591+30</f>
        <v/>
      </c>
      <c r="N1591">
        <f>IF(L1591="", "", L1591-B1591)</f>
        <v/>
      </c>
      <c r="O1591">
        <f>IF(L1591="", "Pending", IF(N1591&lt;=30, "Met", "Breached"))</f>
        <v/>
      </c>
    </row>
    <row r="1592">
      <c r="M1592" s="11">
        <f>B1592+30</f>
        <v/>
      </c>
      <c r="N1592">
        <f>IF(L1592="", "", L1592-B1592)</f>
        <v/>
      </c>
      <c r="O1592">
        <f>IF(L1592="", "Pending", IF(N1592&lt;=30, "Met", "Breached"))</f>
        <v/>
      </c>
    </row>
    <row r="1593">
      <c r="M1593" s="11">
        <f>B1593+30</f>
        <v/>
      </c>
      <c r="N1593">
        <f>IF(L1593="", "", L1593-B1593)</f>
        <v/>
      </c>
      <c r="O1593">
        <f>IF(L1593="", "Pending", IF(N1593&lt;=30, "Met", "Breached"))</f>
        <v/>
      </c>
    </row>
    <row r="1594">
      <c r="M1594" s="11">
        <f>B1594+30</f>
        <v/>
      </c>
      <c r="N1594">
        <f>IF(L1594="", "", L1594-B1594)</f>
        <v/>
      </c>
      <c r="O1594">
        <f>IF(L1594="", "Pending", IF(N1594&lt;=30, "Met", "Breached"))</f>
        <v/>
      </c>
    </row>
    <row r="1595">
      <c r="M1595" s="11">
        <f>B1595+30</f>
        <v/>
      </c>
      <c r="N1595">
        <f>IF(L1595="", "", L1595-B1595)</f>
        <v/>
      </c>
      <c r="O1595">
        <f>IF(L1595="", "Pending", IF(N1595&lt;=30, "Met", "Breached"))</f>
        <v/>
      </c>
    </row>
    <row r="1596">
      <c r="M1596" s="11">
        <f>B1596+30</f>
        <v/>
      </c>
      <c r="N1596">
        <f>IF(L1596="", "", L1596-B1596)</f>
        <v/>
      </c>
      <c r="O1596">
        <f>IF(L1596="", "Pending", IF(N1596&lt;=30, "Met", "Breached"))</f>
        <v/>
      </c>
    </row>
    <row r="1597">
      <c r="M1597" s="11">
        <f>B1597+30</f>
        <v/>
      </c>
      <c r="N1597">
        <f>IF(L1597="", "", L1597-B1597)</f>
        <v/>
      </c>
      <c r="O1597">
        <f>IF(L1597="", "Pending", IF(N1597&lt;=30, "Met", "Breached"))</f>
        <v/>
      </c>
    </row>
    <row r="1598">
      <c r="M1598" s="11">
        <f>B1598+30</f>
        <v/>
      </c>
      <c r="N1598">
        <f>IF(L1598="", "", L1598-B1598)</f>
        <v/>
      </c>
      <c r="O1598">
        <f>IF(L1598="", "Pending", IF(N1598&lt;=30, "Met", "Breached"))</f>
        <v/>
      </c>
    </row>
    <row r="1599">
      <c r="M1599" s="11">
        <f>B1599+30</f>
        <v/>
      </c>
      <c r="N1599">
        <f>IF(L1599="", "", L1599-B1599)</f>
        <v/>
      </c>
      <c r="O1599">
        <f>IF(L1599="", "Pending", IF(N1599&lt;=30, "Met", "Breached"))</f>
        <v/>
      </c>
    </row>
    <row r="1600">
      <c r="M1600" s="11">
        <f>B1600+30</f>
        <v/>
      </c>
      <c r="N1600">
        <f>IF(L1600="", "", L1600-B1600)</f>
        <v/>
      </c>
      <c r="O1600">
        <f>IF(L1600="", "Pending", IF(N1600&lt;=30, "Met", "Breached"))</f>
        <v/>
      </c>
    </row>
    <row r="1601">
      <c r="M1601" s="11">
        <f>B1601+30</f>
        <v/>
      </c>
      <c r="N1601">
        <f>IF(L1601="", "", L1601-B1601)</f>
        <v/>
      </c>
      <c r="O1601">
        <f>IF(L1601="", "Pending", IF(N1601&lt;=30, "Met", "Breached"))</f>
        <v/>
      </c>
    </row>
    <row r="1602">
      <c r="M1602" s="11">
        <f>B1602+30</f>
        <v/>
      </c>
      <c r="N1602">
        <f>IF(L1602="", "", L1602-B1602)</f>
        <v/>
      </c>
      <c r="O1602">
        <f>IF(L1602="", "Pending", IF(N1602&lt;=30, "Met", "Breached"))</f>
        <v/>
      </c>
    </row>
    <row r="1603">
      <c r="M1603" s="11">
        <f>B1603+30</f>
        <v/>
      </c>
      <c r="N1603">
        <f>IF(L1603="", "", L1603-B1603)</f>
        <v/>
      </c>
      <c r="O1603">
        <f>IF(L1603="", "Pending", IF(N1603&lt;=30, "Met", "Breached"))</f>
        <v/>
      </c>
    </row>
    <row r="1604">
      <c r="M1604" s="11">
        <f>B1604+30</f>
        <v/>
      </c>
      <c r="N1604">
        <f>IF(L1604="", "", L1604-B1604)</f>
        <v/>
      </c>
      <c r="O1604">
        <f>IF(L1604="", "Pending", IF(N1604&lt;=30, "Met", "Breached"))</f>
        <v/>
      </c>
    </row>
    <row r="1605">
      <c r="M1605" s="11">
        <f>B1605+30</f>
        <v/>
      </c>
      <c r="N1605">
        <f>IF(L1605="", "", L1605-B1605)</f>
        <v/>
      </c>
      <c r="O1605">
        <f>IF(L1605="", "Pending", IF(N1605&lt;=30, "Met", "Breached"))</f>
        <v/>
      </c>
    </row>
    <row r="1606">
      <c r="M1606" s="11">
        <f>B1606+30</f>
        <v/>
      </c>
      <c r="N1606">
        <f>IF(L1606="", "", L1606-B1606)</f>
        <v/>
      </c>
      <c r="O1606">
        <f>IF(L1606="", "Pending", IF(N1606&lt;=30, "Met", "Breached"))</f>
        <v/>
      </c>
    </row>
    <row r="1607">
      <c r="M1607" s="11">
        <f>B1607+30</f>
        <v/>
      </c>
      <c r="N1607">
        <f>IF(L1607="", "", L1607-B1607)</f>
        <v/>
      </c>
      <c r="O1607">
        <f>IF(L1607="", "Pending", IF(N1607&lt;=30, "Met", "Breached"))</f>
        <v/>
      </c>
    </row>
    <row r="1608">
      <c r="M1608" s="11">
        <f>B1608+30</f>
        <v/>
      </c>
      <c r="N1608">
        <f>IF(L1608="", "", L1608-B1608)</f>
        <v/>
      </c>
      <c r="O1608">
        <f>IF(L1608="", "Pending", IF(N1608&lt;=30, "Met", "Breached"))</f>
        <v/>
      </c>
    </row>
    <row r="1609">
      <c r="M1609" s="11">
        <f>B1609+30</f>
        <v/>
      </c>
      <c r="N1609">
        <f>IF(L1609="", "", L1609-B1609)</f>
        <v/>
      </c>
      <c r="O1609">
        <f>IF(L1609="", "Pending", IF(N1609&lt;=30, "Met", "Breached"))</f>
        <v/>
      </c>
    </row>
    <row r="1610">
      <c r="M1610" s="11">
        <f>B1610+30</f>
        <v/>
      </c>
      <c r="N1610">
        <f>IF(L1610="", "", L1610-B1610)</f>
        <v/>
      </c>
      <c r="O1610">
        <f>IF(L1610="", "Pending", IF(N1610&lt;=30, "Met", "Breached"))</f>
        <v/>
      </c>
    </row>
    <row r="1611">
      <c r="M1611" s="11">
        <f>B1611+30</f>
        <v/>
      </c>
      <c r="N1611">
        <f>IF(L1611="", "", L1611-B1611)</f>
        <v/>
      </c>
      <c r="O1611">
        <f>IF(L1611="", "Pending", IF(N1611&lt;=30, "Met", "Breached"))</f>
        <v/>
      </c>
    </row>
    <row r="1612">
      <c r="M1612" s="11">
        <f>B1612+30</f>
        <v/>
      </c>
      <c r="N1612">
        <f>IF(L1612="", "", L1612-B1612)</f>
        <v/>
      </c>
      <c r="O1612">
        <f>IF(L1612="", "Pending", IF(N1612&lt;=30, "Met", "Breached"))</f>
        <v/>
      </c>
    </row>
    <row r="1613">
      <c r="M1613" s="11">
        <f>B1613+30</f>
        <v/>
      </c>
      <c r="N1613">
        <f>IF(L1613="", "", L1613-B1613)</f>
        <v/>
      </c>
      <c r="O1613">
        <f>IF(L1613="", "Pending", IF(N1613&lt;=30, "Met", "Breached"))</f>
        <v/>
      </c>
    </row>
    <row r="1614">
      <c r="M1614" s="11">
        <f>B1614+30</f>
        <v/>
      </c>
      <c r="N1614">
        <f>IF(L1614="", "", L1614-B1614)</f>
        <v/>
      </c>
      <c r="O1614">
        <f>IF(L1614="", "Pending", IF(N1614&lt;=30, "Met", "Breached"))</f>
        <v/>
      </c>
    </row>
    <row r="1615">
      <c r="M1615" s="11">
        <f>B1615+30</f>
        <v/>
      </c>
      <c r="N1615">
        <f>IF(L1615="", "", L1615-B1615)</f>
        <v/>
      </c>
      <c r="O1615">
        <f>IF(L1615="", "Pending", IF(N1615&lt;=30, "Met", "Breached"))</f>
        <v/>
      </c>
    </row>
    <row r="1616">
      <c r="M1616" s="11">
        <f>B1616+30</f>
        <v/>
      </c>
      <c r="N1616">
        <f>IF(L1616="", "", L1616-B1616)</f>
        <v/>
      </c>
      <c r="O1616">
        <f>IF(L1616="", "Pending", IF(N1616&lt;=30, "Met", "Breached"))</f>
        <v/>
      </c>
    </row>
    <row r="1617">
      <c r="M1617" s="11">
        <f>B1617+30</f>
        <v/>
      </c>
      <c r="N1617">
        <f>IF(L1617="", "", L1617-B1617)</f>
        <v/>
      </c>
      <c r="O1617">
        <f>IF(L1617="", "Pending", IF(N1617&lt;=30, "Met", "Breached"))</f>
        <v/>
      </c>
    </row>
    <row r="1618">
      <c r="M1618" s="11">
        <f>B1618+30</f>
        <v/>
      </c>
      <c r="N1618">
        <f>IF(L1618="", "", L1618-B1618)</f>
        <v/>
      </c>
      <c r="O1618">
        <f>IF(L1618="", "Pending", IF(N1618&lt;=30, "Met", "Breached"))</f>
        <v/>
      </c>
    </row>
    <row r="1619">
      <c r="M1619" s="11">
        <f>B1619+30</f>
        <v/>
      </c>
      <c r="N1619">
        <f>IF(L1619="", "", L1619-B1619)</f>
        <v/>
      </c>
      <c r="O1619">
        <f>IF(L1619="", "Pending", IF(N1619&lt;=30, "Met", "Breached"))</f>
        <v/>
      </c>
    </row>
    <row r="1620">
      <c r="M1620" s="11">
        <f>B1620+30</f>
        <v/>
      </c>
      <c r="N1620">
        <f>IF(L1620="", "", L1620-B1620)</f>
        <v/>
      </c>
      <c r="O1620">
        <f>IF(L1620="", "Pending", IF(N1620&lt;=30, "Met", "Breached"))</f>
        <v/>
      </c>
    </row>
    <row r="1621">
      <c r="M1621" s="11">
        <f>B1621+30</f>
        <v/>
      </c>
      <c r="N1621">
        <f>IF(L1621="", "", L1621-B1621)</f>
        <v/>
      </c>
      <c r="O1621">
        <f>IF(L1621="", "Pending", IF(N1621&lt;=30, "Met", "Breached"))</f>
        <v/>
      </c>
    </row>
    <row r="1622">
      <c r="M1622" s="11">
        <f>B1622+30</f>
        <v/>
      </c>
      <c r="N1622">
        <f>IF(L1622="", "", L1622-B1622)</f>
        <v/>
      </c>
      <c r="O1622">
        <f>IF(L1622="", "Pending", IF(N1622&lt;=30, "Met", "Breached"))</f>
        <v/>
      </c>
    </row>
    <row r="1623">
      <c r="M1623" s="11">
        <f>B1623+30</f>
        <v/>
      </c>
      <c r="N1623">
        <f>IF(L1623="", "", L1623-B1623)</f>
        <v/>
      </c>
      <c r="O1623">
        <f>IF(L1623="", "Pending", IF(N1623&lt;=30, "Met", "Breached"))</f>
        <v/>
      </c>
    </row>
    <row r="1624">
      <c r="M1624" s="11">
        <f>B1624+30</f>
        <v/>
      </c>
      <c r="N1624">
        <f>IF(L1624="", "", L1624-B1624)</f>
        <v/>
      </c>
      <c r="O1624">
        <f>IF(L1624="", "Pending", IF(N1624&lt;=30, "Met", "Breached"))</f>
        <v/>
      </c>
    </row>
    <row r="1625">
      <c r="M1625" s="11">
        <f>B1625+30</f>
        <v/>
      </c>
      <c r="N1625">
        <f>IF(L1625="", "", L1625-B1625)</f>
        <v/>
      </c>
      <c r="O1625">
        <f>IF(L1625="", "Pending", IF(N1625&lt;=30, "Met", "Breached"))</f>
        <v/>
      </c>
    </row>
    <row r="1626">
      <c r="M1626" s="11">
        <f>B1626+30</f>
        <v/>
      </c>
      <c r="N1626">
        <f>IF(L1626="", "", L1626-B1626)</f>
        <v/>
      </c>
      <c r="O1626">
        <f>IF(L1626="", "Pending", IF(N1626&lt;=30, "Met", "Breached"))</f>
        <v/>
      </c>
    </row>
    <row r="1627">
      <c r="M1627" s="11">
        <f>B1627+30</f>
        <v/>
      </c>
      <c r="N1627">
        <f>IF(L1627="", "", L1627-B1627)</f>
        <v/>
      </c>
      <c r="O1627">
        <f>IF(L1627="", "Pending", IF(N1627&lt;=30, "Met", "Breached"))</f>
        <v/>
      </c>
    </row>
    <row r="1628">
      <c r="M1628" s="11">
        <f>B1628+30</f>
        <v/>
      </c>
      <c r="N1628">
        <f>IF(L1628="", "", L1628-B1628)</f>
        <v/>
      </c>
      <c r="O1628">
        <f>IF(L1628="", "Pending", IF(N1628&lt;=30, "Met", "Breached"))</f>
        <v/>
      </c>
    </row>
    <row r="1629">
      <c r="M1629" s="11">
        <f>B1629+30</f>
        <v/>
      </c>
      <c r="N1629">
        <f>IF(L1629="", "", L1629-B1629)</f>
        <v/>
      </c>
      <c r="O1629">
        <f>IF(L1629="", "Pending", IF(N1629&lt;=30, "Met", "Breached"))</f>
        <v/>
      </c>
    </row>
    <row r="1630">
      <c r="M1630" s="11">
        <f>B1630+30</f>
        <v/>
      </c>
      <c r="N1630">
        <f>IF(L1630="", "", L1630-B1630)</f>
        <v/>
      </c>
      <c r="O1630">
        <f>IF(L1630="", "Pending", IF(N1630&lt;=30, "Met", "Breached"))</f>
        <v/>
      </c>
    </row>
    <row r="1631">
      <c r="M1631" s="11">
        <f>B1631+30</f>
        <v/>
      </c>
      <c r="N1631">
        <f>IF(L1631="", "", L1631-B1631)</f>
        <v/>
      </c>
      <c r="O1631">
        <f>IF(L1631="", "Pending", IF(N1631&lt;=30, "Met", "Breached"))</f>
        <v/>
      </c>
    </row>
    <row r="1632">
      <c r="M1632" s="11">
        <f>B1632+30</f>
        <v/>
      </c>
      <c r="N1632">
        <f>IF(L1632="", "", L1632-B1632)</f>
        <v/>
      </c>
      <c r="O1632">
        <f>IF(L1632="", "Pending", IF(N1632&lt;=30, "Met", "Breached"))</f>
        <v/>
      </c>
    </row>
    <row r="1633">
      <c r="M1633" s="11">
        <f>B1633+30</f>
        <v/>
      </c>
      <c r="N1633">
        <f>IF(L1633="", "", L1633-B1633)</f>
        <v/>
      </c>
      <c r="O1633">
        <f>IF(L1633="", "Pending", IF(N1633&lt;=30, "Met", "Breached"))</f>
        <v/>
      </c>
    </row>
    <row r="1634">
      <c r="M1634" s="11">
        <f>B1634+30</f>
        <v/>
      </c>
      <c r="N1634">
        <f>IF(L1634="", "", L1634-B1634)</f>
        <v/>
      </c>
      <c r="O1634">
        <f>IF(L1634="", "Pending", IF(N1634&lt;=30, "Met", "Breached"))</f>
        <v/>
      </c>
    </row>
    <row r="1635">
      <c r="M1635" s="11">
        <f>B1635+30</f>
        <v/>
      </c>
      <c r="N1635">
        <f>IF(L1635="", "", L1635-B1635)</f>
        <v/>
      </c>
      <c r="O1635">
        <f>IF(L1635="", "Pending", IF(N1635&lt;=30, "Met", "Breached"))</f>
        <v/>
      </c>
    </row>
    <row r="1636">
      <c r="M1636" s="11">
        <f>B1636+30</f>
        <v/>
      </c>
      <c r="N1636">
        <f>IF(L1636="", "", L1636-B1636)</f>
        <v/>
      </c>
      <c r="O1636">
        <f>IF(L1636="", "Pending", IF(N1636&lt;=30, "Met", "Breached"))</f>
        <v/>
      </c>
    </row>
    <row r="1637">
      <c r="M1637" s="11">
        <f>B1637+30</f>
        <v/>
      </c>
      <c r="N1637">
        <f>IF(L1637="", "", L1637-B1637)</f>
        <v/>
      </c>
      <c r="O1637">
        <f>IF(L1637="", "Pending", IF(N1637&lt;=30, "Met", "Breached"))</f>
        <v/>
      </c>
    </row>
    <row r="1638">
      <c r="M1638" s="11">
        <f>B1638+30</f>
        <v/>
      </c>
      <c r="N1638">
        <f>IF(L1638="", "", L1638-B1638)</f>
        <v/>
      </c>
      <c r="O1638">
        <f>IF(L1638="", "Pending", IF(N1638&lt;=30, "Met", "Breached"))</f>
        <v/>
      </c>
    </row>
    <row r="1639">
      <c r="M1639" s="11">
        <f>B1639+30</f>
        <v/>
      </c>
      <c r="N1639">
        <f>IF(L1639="", "", L1639-B1639)</f>
        <v/>
      </c>
      <c r="O1639">
        <f>IF(L1639="", "Pending", IF(N1639&lt;=30, "Met", "Breached"))</f>
        <v/>
      </c>
    </row>
    <row r="1640">
      <c r="M1640" s="11">
        <f>B1640+30</f>
        <v/>
      </c>
      <c r="N1640">
        <f>IF(L1640="", "", L1640-B1640)</f>
        <v/>
      </c>
      <c r="O1640">
        <f>IF(L1640="", "Pending", IF(N1640&lt;=30, "Met", "Breached"))</f>
        <v/>
      </c>
    </row>
    <row r="1641">
      <c r="M1641" s="11">
        <f>B1641+30</f>
        <v/>
      </c>
      <c r="N1641">
        <f>IF(L1641="", "", L1641-B1641)</f>
        <v/>
      </c>
      <c r="O1641">
        <f>IF(L1641="", "Pending", IF(N1641&lt;=30, "Met", "Breached"))</f>
        <v/>
      </c>
    </row>
    <row r="1642">
      <c r="M1642" s="11">
        <f>B1642+30</f>
        <v/>
      </c>
      <c r="N1642">
        <f>IF(L1642="", "", L1642-B1642)</f>
        <v/>
      </c>
      <c r="O1642">
        <f>IF(L1642="", "Pending", IF(N1642&lt;=30, "Met", "Breached"))</f>
        <v/>
      </c>
    </row>
    <row r="1643">
      <c r="M1643" s="11">
        <f>B1643+30</f>
        <v/>
      </c>
      <c r="N1643">
        <f>IF(L1643="", "", L1643-B1643)</f>
        <v/>
      </c>
      <c r="O1643">
        <f>IF(L1643="", "Pending", IF(N1643&lt;=30, "Met", "Breached"))</f>
        <v/>
      </c>
    </row>
    <row r="1644">
      <c r="M1644" s="11">
        <f>B1644+30</f>
        <v/>
      </c>
      <c r="N1644">
        <f>IF(L1644="", "", L1644-B1644)</f>
        <v/>
      </c>
      <c r="O1644">
        <f>IF(L1644="", "Pending", IF(N1644&lt;=30, "Met", "Breached"))</f>
        <v/>
      </c>
    </row>
    <row r="1645">
      <c r="M1645" s="11">
        <f>B1645+30</f>
        <v/>
      </c>
      <c r="N1645">
        <f>IF(L1645="", "", L1645-B1645)</f>
        <v/>
      </c>
      <c r="O1645">
        <f>IF(L1645="", "Pending", IF(N1645&lt;=30, "Met", "Breached"))</f>
        <v/>
      </c>
    </row>
    <row r="1646">
      <c r="M1646" s="11">
        <f>B1646+30</f>
        <v/>
      </c>
      <c r="N1646">
        <f>IF(L1646="", "", L1646-B1646)</f>
        <v/>
      </c>
      <c r="O1646">
        <f>IF(L1646="", "Pending", IF(N1646&lt;=30, "Met", "Breached"))</f>
        <v/>
      </c>
    </row>
    <row r="1647">
      <c r="M1647" s="11">
        <f>B1647+30</f>
        <v/>
      </c>
      <c r="N1647">
        <f>IF(L1647="", "", L1647-B1647)</f>
        <v/>
      </c>
      <c r="O1647">
        <f>IF(L1647="", "Pending", IF(N1647&lt;=30, "Met", "Breached"))</f>
        <v/>
      </c>
    </row>
    <row r="1648">
      <c r="M1648" s="11">
        <f>B1648+30</f>
        <v/>
      </c>
      <c r="N1648">
        <f>IF(L1648="", "", L1648-B1648)</f>
        <v/>
      </c>
      <c r="O1648">
        <f>IF(L1648="", "Pending", IF(N1648&lt;=30, "Met", "Breached"))</f>
        <v/>
      </c>
    </row>
    <row r="1649">
      <c r="M1649" s="11">
        <f>B1649+30</f>
        <v/>
      </c>
      <c r="N1649">
        <f>IF(L1649="", "", L1649-B1649)</f>
        <v/>
      </c>
      <c r="O1649">
        <f>IF(L1649="", "Pending", IF(N1649&lt;=30, "Met", "Breached"))</f>
        <v/>
      </c>
    </row>
    <row r="1650">
      <c r="M1650" s="11">
        <f>B1650+30</f>
        <v/>
      </c>
      <c r="N1650">
        <f>IF(L1650="", "", L1650-B1650)</f>
        <v/>
      </c>
      <c r="O1650">
        <f>IF(L1650="", "Pending", IF(N1650&lt;=30, "Met", "Breached"))</f>
        <v/>
      </c>
    </row>
    <row r="1651">
      <c r="M1651" s="11">
        <f>B1651+30</f>
        <v/>
      </c>
      <c r="N1651">
        <f>IF(L1651="", "", L1651-B1651)</f>
        <v/>
      </c>
      <c r="O1651">
        <f>IF(L1651="", "Pending", IF(N1651&lt;=30, "Met", "Breached"))</f>
        <v/>
      </c>
    </row>
    <row r="1652">
      <c r="M1652" s="11">
        <f>B1652+30</f>
        <v/>
      </c>
      <c r="N1652">
        <f>IF(L1652="", "", L1652-B1652)</f>
        <v/>
      </c>
      <c r="O1652">
        <f>IF(L1652="", "Pending", IF(N1652&lt;=30, "Met", "Breached"))</f>
        <v/>
      </c>
    </row>
    <row r="1653">
      <c r="M1653" s="11">
        <f>B1653+30</f>
        <v/>
      </c>
      <c r="N1653">
        <f>IF(L1653="", "", L1653-B1653)</f>
        <v/>
      </c>
      <c r="O1653">
        <f>IF(L1653="", "Pending", IF(N1653&lt;=30, "Met", "Breached"))</f>
        <v/>
      </c>
    </row>
    <row r="1654">
      <c r="M1654" s="11">
        <f>B1654+30</f>
        <v/>
      </c>
      <c r="N1654">
        <f>IF(L1654="", "", L1654-B1654)</f>
        <v/>
      </c>
      <c r="O1654">
        <f>IF(L1654="", "Pending", IF(N1654&lt;=30, "Met", "Breached"))</f>
        <v/>
      </c>
    </row>
    <row r="1655">
      <c r="M1655" s="11">
        <f>B1655+30</f>
        <v/>
      </c>
      <c r="N1655">
        <f>IF(L1655="", "", L1655-B1655)</f>
        <v/>
      </c>
      <c r="O1655">
        <f>IF(L1655="", "Pending", IF(N1655&lt;=30, "Met", "Breached"))</f>
        <v/>
      </c>
    </row>
    <row r="1656">
      <c r="M1656" s="11">
        <f>B1656+30</f>
        <v/>
      </c>
      <c r="N1656">
        <f>IF(L1656="", "", L1656-B1656)</f>
        <v/>
      </c>
      <c r="O1656">
        <f>IF(L1656="", "Pending", IF(N1656&lt;=30, "Met", "Breached"))</f>
        <v/>
      </c>
    </row>
    <row r="1657">
      <c r="M1657" s="11">
        <f>B1657+30</f>
        <v/>
      </c>
      <c r="N1657">
        <f>IF(L1657="", "", L1657-B1657)</f>
        <v/>
      </c>
      <c r="O1657">
        <f>IF(L1657="", "Pending", IF(N1657&lt;=30, "Met", "Breached"))</f>
        <v/>
      </c>
    </row>
    <row r="1658">
      <c r="M1658" s="11">
        <f>B1658+30</f>
        <v/>
      </c>
      <c r="N1658">
        <f>IF(L1658="", "", L1658-B1658)</f>
        <v/>
      </c>
      <c r="O1658">
        <f>IF(L1658="", "Pending", IF(N1658&lt;=30, "Met", "Breached"))</f>
        <v/>
      </c>
    </row>
    <row r="1659">
      <c r="M1659" s="11">
        <f>B1659+30</f>
        <v/>
      </c>
      <c r="N1659">
        <f>IF(L1659="", "", L1659-B1659)</f>
        <v/>
      </c>
      <c r="O1659">
        <f>IF(L1659="", "Pending", IF(N1659&lt;=30, "Met", "Breached"))</f>
        <v/>
      </c>
    </row>
    <row r="1660">
      <c r="M1660" s="11">
        <f>B1660+30</f>
        <v/>
      </c>
      <c r="N1660">
        <f>IF(L1660="", "", L1660-B1660)</f>
        <v/>
      </c>
      <c r="O1660">
        <f>IF(L1660="", "Pending", IF(N1660&lt;=30, "Met", "Breached"))</f>
        <v/>
      </c>
    </row>
    <row r="1661">
      <c r="M1661" s="11">
        <f>B1661+30</f>
        <v/>
      </c>
      <c r="N1661">
        <f>IF(L1661="", "", L1661-B1661)</f>
        <v/>
      </c>
      <c r="O1661">
        <f>IF(L1661="", "Pending", IF(N1661&lt;=30, "Met", "Breached"))</f>
        <v/>
      </c>
    </row>
    <row r="1662">
      <c r="M1662" s="11">
        <f>B1662+30</f>
        <v/>
      </c>
      <c r="N1662">
        <f>IF(L1662="", "", L1662-B1662)</f>
        <v/>
      </c>
      <c r="O1662">
        <f>IF(L1662="", "Pending", IF(N1662&lt;=30, "Met", "Breached"))</f>
        <v/>
      </c>
    </row>
    <row r="1663">
      <c r="M1663" s="11">
        <f>B1663+30</f>
        <v/>
      </c>
      <c r="N1663">
        <f>IF(L1663="", "", L1663-B1663)</f>
        <v/>
      </c>
      <c r="O1663">
        <f>IF(L1663="", "Pending", IF(N1663&lt;=30, "Met", "Breached"))</f>
        <v/>
      </c>
    </row>
    <row r="1664">
      <c r="M1664" s="11">
        <f>B1664+30</f>
        <v/>
      </c>
      <c r="N1664">
        <f>IF(L1664="", "", L1664-B1664)</f>
        <v/>
      </c>
      <c r="O1664">
        <f>IF(L1664="", "Pending", IF(N1664&lt;=30, "Met", "Breached"))</f>
        <v/>
      </c>
    </row>
    <row r="1665">
      <c r="M1665" s="11">
        <f>B1665+30</f>
        <v/>
      </c>
      <c r="N1665">
        <f>IF(L1665="", "", L1665-B1665)</f>
        <v/>
      </c>
      <c r="O1665">
        <f>IF(L1665="", "Pending", IF(N1665&lt;=30, "Met", "Breached"))</f>
        <v/>
      </c>
    </row>
    <row r="1666">
      <c r="M1666" s="11">
        <f>B1666+30</f>
        <v/>
      </c>
      <c r="N1666">
        <f>IF(L1666="", "", L1666-B1666)</f>
        <v/>
      </c>
      <c r="O1666">
        <f>IF(L1666="", "Pending", IF(N1666&lt;=30, "Met", "Breached"))</f>
        <v/>
      </c>
    </row>
    <row r="1667">
      <c r="M1667" s="11">
        <f>B1667+30</f>
        <v/>
      </c>
      <c r="N1667">
        <f>IF(L1667="", "", L1667-B1667)</f>
        <v/>
      </c>
      <c r="O1667">
        <f>IF(L1667="", "Pending", IF(N1667&lt;=30, "Met", "Breached"))</f>
        <v/>
      </c>
    </row>
    <row r="1668">
      <c r="M1668" s="11">
        <f>B1668+30</f>
        <v/>
      </c>
      <c r="N1668">
        <f>IF(L1668="", "", L1668-B1668)</f>
        <v/>
      </c>
      <c r="O1668">
        <f>IF(L1668="", "Pending", IF(N1668&lt;=30, "Met", "Breached"))</f>
        <v/>
      </c>
    </row>
    <row r="1669">
      <c r="M1669" s="11">
        <f>B1669+30</f>
        <v/>
      </c>
      <c r="N1669">
        <f>IF(L1669="", "", L1669-B1669)</f>
        <v/>
      </c>
      <c r="O1669">
        <f>IF(L1669="", "Pending", IF(N1669&lt;=30, "Met", "Breached"))</f>
        <v/>
      </c>
    </row>
    <row r="1670">
      <c r="M1670" s="11">
        <f>B1670+30</f>
        <v/>
      </c>
      <c r="N1670">
        <f>IF(L1670="", "", L1670-B1670)</f>
        <v/>
      </c>
      <c r="O1670">
        <f>IF(L1670="", "Pending", IF(N1670&lt;=30, "Met", "Breached"))</f>
        <v/>
      </c>
    </row>
    <row r="1671">
      <c r="M1671" s="11">
        <f>B1671+30</f>
        <v/>
      </c>
      <c r="N1671">
        <f>IF(L1671="", "", L1671-B1671)</f>
        <v/>
      </c>
      <c r="O1671">
        <f>IF(L1671="", "Pending", IF(N1671&lt;=30, "Met", "Breached"))</f>
        <v/>
      </c>
    </row>
    <row r="1672">
      <c r="M1672" s="11">
        <f>B1672+30</f>
        <v/>
      </c>
      <c r="N1672">
        <f>IF(L1672="", "", L1672-B1672)</f>
        <v/>
      </c>
      <c r="O1672">
        <f>IF(L1672="", "Pending", IF(N1672&lt;=30, "Met", "Breached"))</f>
        <v/>
      </c>
    </row>
    <row r="1673">
      <c r="M1673" s="11">
        <f>B1673+30</f>
        <v/>
      </c>
      <c r="N1673">
        <f>IF(L1673="", "", L1673-B1673)</f>
        <v/>
      </c>
      <c r="O1673">
        <f>IF(L1673="", "Pending", IF(N1673&lt;=30, "Met", "Breached"))</f>
        <v/>
      </c>
    </row>
    <row r="1674">
      <c r="M1674" s="11">
        <f>B1674+30</f>
        <v/>
      </c>
      <c r="N1674">
        <f>IF(L1674="", "", L1674-B1674)</f>
        <v/>
      </c>
      <c r="O1674">
        <f>IF(L1674="", "Pending", IF(N1674&lt;=30, "Met", "Breached"))</f>
        <v/>
      </c>
    </row>
    <row r="1675">
      <c r="M1675" s="11">
        <f>B1675+30</f>
        <v/>
      </c>
      <c r="N1675">
        <f>IF(L1675="", "", L1675-B1675)</f>
        <v/>
      </c>
      <c r="O1675">
        <f>IF(L1675="", "Pending", IF(N1675&lt;=30, "Met", "Breached"))</f>
        <v/>
      </c>
    </row>
    <row r="1676">
      <c r="M1676" s="11">
        <f>B1676+30</f>
        <v/>
      </c>
      <c r="N1676">
        <f>IF(L1676="", "", L1676-B1676)</f>
        <v/>
      </c>
      <c r="O1676">
        <f>IF(L1676="", "Pending", IF(N1676&lt;=30, "Met", "Breached"))</f>
        <v/>
      </c>
    </row>
    <row r="1677">
      <c r="M1677" s="11">
        <f>B1677+30</f>
        <v/>
      </c>
      <c r="N1677">
        <f>IF(L1677="", "", L1677-B1677)</f>
        <v/>
      </c>
      <c r="O1677">
        <f>IF(L1677="", "Pending", IF(N1677&lt;=30, "Met", "Breached"))</f>
        <v/>
      </c>
    </row>
    <row r="1678">
      <c r="M1678" s="11">
        <f>B1678+30</f>
        <v/>
      </c>
      <c r="N1678">
        <f>IF(L1678="", "", L1678-B1678)</f>
        <v/>
      </c>
      <c r="O1678">
        <f>IF(L1678="", "Pending", IF(N1678&lt;=30, "Met", "Breached"))</f>
        <v/>
      </c>
    </row>
    <row r="1679">
      <c r="M1679" s="11">
        <f>B1679+30</f>
        <v/>
      </c>
      <c r="N1679">
        <f>IF(L1679="", "", L1679-B1679)</f>
        <v/>
      </c>
      <c r="O1679">
        <f>IF(L1679="", "Pending", IF(N1679&lt;=30, "Met", "Breached"))</f>
        <v/>
      </c>
    </row>
    <row r="1680">
      <c r="M1680" s="11">
        <f>B1680+30</f>
        <v/>
      </c>
      <c r="N1680">
        <f>IF(L1680="", "", L1680-B1680)</f>
        <v/>
      </c>
      <c r="O1680">
        <f>IF(L1680="", "Pending", IF(N1680&lt;=30, "Met", "Breached"))</f>
        <v/>
      </c>
    </row>
    <row r="1681">
      <c r="M1681" s="11">
        <f>B1681+30</f>
        <v/>
      </c>
      <c r="N1681">
        <f>IF(L1681="", "", L1681-B1681)</f>
        <v/>
      </c>
      <c r="O1681">
        <f>IF(L1681="", "Pending", IF(N1681&lt;=30, "Met", "Breached"))</f>
        <v/>
      </c>
    </row>
    <row r="1682">
      <c r="M1682" s="11">
        <f>B1682+30</f>
        <v/>
      </c>
      <c r="N1682">
        <f>IF(L1682="", "", L1682-B1682)</f>
        <v/>
      </c>
      <c r="O1682">
        <f>IF(L1682="", "Pending", IF(N1682&lt;=30, "Met", "Breached"))</f>
        <v/>
      </c>
    </row>
    <row r="1683">
      <c r="M1683" s="11">
        <f>B1683+30</f>
        <v/>
      </c>
      <c r="N1683">
        <f>IF(L1683="", "", L1683-B1683)</f>
        <v/>
      </c>
      <c r="O1683">
        <f>IF(L1683="", "Pending", IF(N1683&lt;=30, "Met", "Breached"))</f>
        <v/>
      </c>
    </row>
    <row r="1684">
      <c r="M1684" s="11">
        <f>B1684+30</f>
        <v/>
      </c>
      <c r="N1684">
        <f>IF(L1684="", "", L1684-B1684)</f>
        <v/>
      </c>
      <c r="O1684">
        <f>IF(L1684="", "Pending", IF(N1684&lt;=30, "Met", "Breached"))</f>
        <v/>
      </c>
    </row>
    <row r="1685">
      <c r="M1685" s="11">
        <f>B1685+30</f>
        <v/>
      </c>
      <c r="N1685">
        <f>IF(L1685="", "", L1685-B1685)</f>
        <v/>
      </c>
      <c r="O1685">
        <f>IF(L1685="", "Pending", IF(N1685&lt;=30, "Met", "Breached"))</f>
        <v/>
      </c>
    </row>
    <row r="1686">
      <c r="M1686" s="11">
        <f>B1686+30</f>
        <v/>
      </c>
      <c r="N1686">
        <f>IF(L1686="", "", L1686-B1686)</f>
        <v/>
      </c>
      <c r="O1686">
        <f>IF(L1686="", "Pending", IF(N1686&lt;=30, "Met", "Breached"))</f>
        <v/>
      </c>
    </row>
    <row r="1687">
      <c r="M1687" s="11">
        <f>B1687+30</f>
        <v/>
      </c>
      <c r="N1687">
        <f>IF(L1687="", "", L1687-B1687)</f>
        <v/>
      </c>
      <c r="O1687">
        <f>IF(L1687="", "Pending", IF(N1687&lt;=30, "Met", "Breached"))</f>
        <v/>
      </c>
    </row>
    <row r="1688">
      <c r="M1688" s="11">
        <f>B1688+30</f>
        <v/>
      </c>
      <c r="N1688">
        <f>IF(L1688="", "", L1688-B1688)</f>
        <v/>
      </c>
      <c r="O1688">
        <f>IF(L1688="", "Pending", IF(N1688&lt;=30, "Met", "Breached"))</f>
        <v/>
      </c>
    </row>
    <row r="1689">
      <c r="M1689" s="11">
        <f>B1689+30</f>
        <v/>
      </c>
      <c r="N1689">
        <f>IF(L1689="", "", L1689-B1689)</f>
        <v/>
      </c>
      <c r="O1689">
        <f>IF(L1689="", "Pending", IF(N1689&lt;=30, "Met", "Breached"))</f>
        <v/>
      </c>
    </row>
    <row r="1690">
      <c r="M1690" s="11">
        <f>B1690+30</f>
        <v/>
      </c>
      <c r="N1690">
        <f>IF(L1690="", "", L1690-B1690)</f>
        <v/>
      </c>
      <c r="O1690">
        <f>IF(L1690="", "Pending", IF(N1690&lt;=30, "Met", "Breached"))</f>
        <v/>
      </c>
    </row>
    <row r="1691">
      <c r="M1691" s="11">
        <f>B1691+30</f>
        <v/>
      </c>
      <c r="N1691">
        <f>IF(L1691="", "", L1691-B1691)</f>
        <v/>
      </c>
      <c r="O1691">
        <f>IF(L1691="", "Pending", IF(N1691&lt;=30, "Met", "Breached"))</f>
        <v/>
      </c>
    </row>
    <row r="1692">
      <c r="M1692" s="11">
        <f>B1692+30</f>
        <v/>
      </c>
      <c r="N1692">
        <f>IF(L1692="", "", L1692-B1692)</f>
        <v/>
      </c>
      <c r="O1692">
        <f>IF(L1692="", "Pending", IF(N1692&lt;=30, "Met", "Breached"))</f>
        <v/>
      </c>
    </row>
    <row r="1693">
      <c r="M1693" s="11">
        <f>B1693+30</f>
        <v/>
      </c>
      <c r="N1693">
        <f>IF(L1693="", "", L1693-B1693)</f>
        <v/>
      </c>
      <c r="O1693">
        <f>IF(L1693="", "Pending", IF(N1693&lt;=30, "Met", "Breached"))</f>
        <v/>
      </c>
    </row>
    <row r="1694">
      <c r="M1694" s="11">
        <f>B1694+30</f>
        <v/>
      </c>
      <c r="N1694">
        <f>IF(L1694="", "", L1694-B1694)</f>
        <v/>
      </c>
      <c r="O1694">
        <f>IF(L1694="", "Pending", IF(N1694&lt;=30, "Met", "Breached"))</f>
        <v/>
      </c>
    </row>
    <row r="1695">
      <c r="M1695" s="11">
        <f>B1695+30</f>
        <v/>
      </c>
      <c r="N1695">
        <f>IF(L1695="", "", L1695-B1695)</f>
        <v/>
      </c>
      <c r="O1695">
        <f>IF(L1695="", "Pending", IF(N1695&lt;=30, "Met", "Breached"))</f>
        <v/>
      </c>
    </row>
    <row r="1696">
      <c r="M1696" s="11">
        <f>B1696+30</f>
        <v/>
      </c>
      <c r="N1696">
        <f>IF(L1696="", "", L1696-B1696)</f>
        <v/>
      </c>
      <c r="O1696">
        <f>IF(L1696="", "Pending", IF(N1696&lt;=30, "Met", "Breached"))</f>
        <v/>
      </c>
    </row>
    <row r="1697">
      <c r="M1697" s="11">
        <f>B1697+30</f>
        <v/>
      </c>
      <c r="N1697">
        <f>IF(L1697="", "", L1697-B1697)</f>
        <v/>
      </c>
      <c r="O1697">
        <f>IF(L1697="", "Pending", IF(N1697&lt;=30, "Met", "Breached"))</f>
        <v/>
      </c>
    </row>
    <row r="1698">
      <c r="M1698" s="11">
        <f>B1698+30</f>
        <v/>
      </c>
      <c r="N1698">
        <f>IF(L1698="", "", L1698-B1698)</f>
        <v/>
      </c>
      <c r="O1698">
        <f>IF(L1698="", "Pending", IF(N1698&lt;=30, "Met", "Breached"))</f>
        <v/>
      </c>
    </row>
    <row r="1699">
      <c r="M1699" s="11">
        <f>B1699+30</f>
        <v/>
      </c>
      <c r="N1699">
        <f>IF(L1699="", "", L1699-B1699)</f>
        <v/>
      </c>
      <c r="O1699">
        <f>IF(L1699="", "Pending", IF(N1699&lt;=30, "Met", "Breached"))</f>
        <v/>
      </c>
    </row>
    <row r="1700">
      <c r="M1700" s="11">
        <f>B1700+30</f>
        <v/>
      </c>
      <c r="N1700">
        <f>IF(L1700="", "", L1700-B1700)</f>
        <v/>
      </c>
      <c r="O1700">
        <f>IF(L1700="", "Pending", IF(N1700&lt;=30, "Met", "Breached"))</f>
        <v/>
      </c>
    </row>
    <row r="1701">
      <c r="M1701" s="11">
        <f>B1701+30</f>
        <v/>
      </c>
      <c r="N1701">
        <f>IF(L1701="", "", L1701-B1701)</f>
        <v/>
      </c>
      <c r="O1701">
        <f>IF(L1701="", "Pending", IF(N1701&lt;=30, "Met", "Breached"))</f>
        <v/>
      </c>
    </row>
    <row r="1702">
      <c r="M1702" s="11">
        <f>B1702+30</f>
        <v/>
      </c>
      <c r="N1702">
        <f>IF(L1702="", "", L1702-B1702)</f>
        <v/>
      </c>
      <c r="O1702">
        <f>IF(L1702="", "Pending", IF(N1702&lt;=30, "Met", "Breached"))</f>
        <v/>
      </c>
    </row>
    <row r="1703">
      <c r="M1703" s="11">
        <f>B1703+30</f>
        <v/>
      </c>
      <c r="N1703">
        <f>IF(L1703="", "", L1703-B1703)</f>
        <v/>
      </c>
      <c r="O1703">
        <f>IF(L1703="", "Pending", IF(N1703&lt;=30, "Met", "Breached"))</f>
        <v/>
      </c>
    </row>
    <row r="1704">
      <c r="M1704" s="11">
        <f>B1704+30</f>
        <v/>
      </c>
      <c r="N1704">
        <f>IF(L1704="", "", L1704-B1704)</f>
        <v/>
      </c>
      <c r="O1704">
        <f>IF(L1704="", "Pending", IF(N1704&lt;=30, "Met", "Breached"))</f>
        <v/>
      </c>
    </row>
    <row r="1705">
      <c r="M1705" s="11">
        <f>B1705+30</f>
        <v/>
      </c>
      <c r="N1705">
        <f>IF(L1705="", "", L1705-B1705)</f>
        <v/>
      </c>
      <c r="O1705">
        <f>IF(L1705="", "Pending", IF(N1705&lt;=30, "Met", "Breached"))</f>
        <v/>
      </c>
    </row>
    <row r="1706">
      <c r="M1706" s="11">
        <f>B1706+30</f>
        <v/>
      </c>
      <c r="N1706">
        <f>IF(L1706="", "", L1706-B1706)</f>
        <v/>
      </c>
      <c r="O1706">
        <f>IF(L1706="", "Pending", IF(N1706&lt;=30, "Met", "Breached"))</f>
        <v/>
      </c>
    </row>
    <row r="1707">
      <c r="M1707" s="11">
        <f>B1707+30</f>
        <v/>
      </c>
      <c r="N1707">
        <f>IF(L1707="", "", L1707-B1707)</f>
        <v/>
      </c>
      <c r="O1707">
        <f>IF(L1707="", "Pending", IF(N1707&lt;=30, "Met", "Breached"))</f>
        <v/>
      </c>
    </row>
    <row r="1708">
      <c r="M1708" s="11">
        <f>B1708+30</f>
        <v/>
      </c>
      <c r="N1708">
        <f>IF(L1708="", "", L1708-B1708)</f>
        <v/>
      </c>
      <c r="O1708">
        <f>IF(L1708="", "Pending", IF(N1708&lt;=30, "Met", "Breached"))</f>
        <v/>
      </c>
    </row>
    <row r="1709">
      <c r="M1709" s="11">
        <f>B1709+30</f>
        <v/>
      </c>
      <c r="N1709">
        <f>IF(L1709="", "", L1709-B1709)</f>
        <v/>
      </c>
      <c r="O1709">
        <f>IF(L1709="", "Pending", IF(N1709&lt;=30, "Met", "Breached"))</f>
        <v/>
      </c>
    </row>
    <row r="1710">
      <c r="M1710" s="11">
        <f>B1710+30</f>
        <v/>
      </c>
      <c r="N1710">
        <f>IF(L1710="", "", L1710-B1710)</f>
        <v/>
      </c>
      <c r="O1710">
        <f>IF(L1710="", "Pending", IF(N1710&lt;=30, "Met", "Breached"))</f>
        <v/>
      </c>
    </row>
    <row r="1711">
      <c r="M1711" s="11">
        <f>B1711+30</f>
        <v/>
      </c>
      <c r="N1711">
        <f>IF(L1711="", "", L1711-B1711)</f>
        <v/>
      </c>
      <c r="O1711">
        <f>IF(L1711="", "Pending", IF(N1711&lt;=30, "Met", "Breached"))</f>
        <v/>
      </c>
    </row>
    <row r="1712">
      <c r="M1712" s="11">
        <f>B1712+30</f>
        <v/>
      </c>
      <c r="N1712">
        <f>IF(L1712="", "", L1712-B1712)</f>
        <v/>
      </c>
      <c r="O1712">
        <f>IF(L1712="", "Pending", IF(N1712&lt;=30, "Met", "Breached"))</f>
        <v/>
      </c>
    </row>
    <row r="1713">
      <c r="M1713" s="11">
        <f>B1713+30</f>
        <v/>
      </c>
      <c r="N1713">
        <f>IF(L1713="", "", L1713-B1713)</f>
        <v/>
      </c>
      <c r="O1713">
        <f>IF(L1713="", "Pending", IF(N1713&lt;=30, "Met", "Breached"))</f>
        <v/>
      </c>
    </row>
    <row r="1714">
      <c r="M1714" s="11">
        <f>B1714+30</f>
        <v/>
      </c>
      <c r="N1714">
        <f>IF(L1714="", "", L1714-B1714)</f>
        <v/>
      </c>
      <c r="O1714">
        <f>IF(L1714="", "Pending", IF(N1714&lt;=30, "Met", "Breached"))</f>
        <v/>
      </c>
    </row>
    <row r="1715">
      <c r="M1715" s="11">
        <f>B1715+30</f>
        <v/>
      </c>
      <c r="N1715">
        <f>IF(L1715="", "", L1715-B1715)</f>
        <v/>
      </c>
      <c r="O1715">
        <f>IF(L1715="", "Pending", IF(N1715&lt;=30, "Met", "Breached"))</f>
        <v/>
      </c>
    </row>
    <row r="1716">
      <c r="M1716" s="11">
        <f>B1716+30</f>
        <v/>
      </c>
      <c r="N1716">
        <f>IF(L1716="", "", L1716-B1716)</f>
        <v/>
      </c>
      <c r="O1716">
        <f>IF(L1716="", "Pending", IF(N1716&lt;=30, "Met", "Breached"))</f>
        <v/>
      </c>
    </row>
    <row r="1717">
      <c r="M1717" s="11">
        <f>B1717+30</f>
        <v/>
      </c>
      <c r="N1717">
        <f>IF(L1717="", "", L1717-B1717)</f>
        <v/>
      </c>
      <c r="O1717">
        <f>IF(L1717="", "Pending", IF(N1717&lt;=30, "Met", "Breached"))</f>
        <v/>
      </c>
    </row>
    <row r="1718">
      <c r="M1718" s="11">
        <f>B1718+30</f>
        <v/>
      </c>
      <c r="N1718">
        <f>IF(L1718="", "", L1718-B1718)</f>
        <v/>
      </c>
      <c r="O1718">
        <f>IF(L1718="", "Pending", IF(N1718&lt;=30, "Met", "Breached"))</f>
        <v/>
      </c>
    </row>
    <row r="1719">
      <c r="M1719" s="11">
        <f>B1719+30</f>
        <v/>
      </c>
      <c r="N1719">
        <f>IF(L1719="", "", L1719-B1719)</f>
        <v/>
      </c>
      <c r="O1719">
        <f>IF(L1719="", "Pending", IF(N1719&lt;=30, "Met", "Breached"))</f>
        <v/>
      </c>
    </row>
    <row r="1720">
      <c r="M1720" s="11">
        <f>B1720+30</f>
        <v/>
      </c>
      <c r="N1720">
        <f>IF(L1720="", "", L1720-B1720)</f>
        <v/>
      </c>
      <c r="O1720">
        <f>IF(L1720="", "Pending", IF(N1720&lt;=30, "Met", "Breached"))</f>
        <v/>
      </c>
    </row>
    <row r="1721">
      <c r="M1721" s="11">
        <f>B1721+30</f>
        <v/>
      </c>
      <c r="N1721">
        <f>IF(L1721="", "", L1721-B1721)</f>
        <v/>
      </c>
      <c r="O1721">
        <f>IF(L1721="", "Pending", IF(N1721&lt;=30, "Met", "Breached"))</f>
        <v/>
      </c>
    </row>
    <row r="1722">
      <c r="M1722" s="11">
        <f>B1722+30</f>
        <v/>
      </c>
      <c r="N1722">
        <f>IF(L1722="", "", L1722-B1722)</f>
        <v/>
      </c>
      <c r="O1722">
        <f>IF(L1722="", "Pending", IF(N1722&lt;=30, "Met", "Breached"))</f>
        <v/>
      </c>
    </row>
    <row r="1723">
      <c r="M1723" s="11">
        <f>B1723+30</f>
        <v/>
      </c>
      <c r="N1723">
        <f>IF(L1723="", "", L1723-B1723)</f>
        <v/>
      </c>
      <c r="O1723">
        <f>IF(L1723="", "Pending", IF(N1723&lt;=30, "Met", "Breached"))</f>
        <v/>
      </c>
    </row>
    <row r="1724">
      <c r="M1724" s="11">
        <f>B1724+30</f>
        <v/>
      </c>
      <c r="N1724">
        <f>IF(L1724="", "", L1724-B1724)</f>
        <v/>
      </c>
      <c r="O1724">
        <f>IF(L1724="", "Pending", IF(N1724&lt;=30, "Met", "Breached"))</f>
        <v/>
      </c>
    </row>
    <row r="1725">
      <c r="M1725" s="11">
        <f>B1725+30</f>
        <v/>
      </c>
      <c r="N1725">
        <f>IF(L1725="", "", L1725-B1725)</f>
        <v/>
      </c>
      <c r="O1725">
        <f>IF(L1725="", "Pending", IF(N1725&lt;=30, "Met", "Breached"))</f>
        <v/>
      </c>
    </row>
    <row r="1726">
      <c r="M1726" s="11">
        <f>B1726+30</f>
        <v/>
      </c>
      <c r="N1726">
        <f>IF(L1726="", "", L1726-B1726)</f>
        <v/>
      </c>
      <c r="O1726">
        <f>IF(L1726="", "Pending", IF(N1726&lt;=30, "Met", "Breached"))</f>
        <v/>
      </c>
    </row>
    <row r="1727">
      <c r="M1727" s="11">
        <f>B1727+30</f>
        <v/>
      </c>
      <c r="N1727">
        <f>IF(L1727="", "", L1727-B1727)</f>
        <v/>
      </c>
      <c r="O1727">
        <f>IF(L1727="", "Pending", IF(N1727&lt;=30, "Met", "Breached"))</f>
        <v/>
      </c>
    </row>
    <row r="1728">
      <c r="M1728" s="11">
        <f>B1728+30</f>
        <v/>
      </c>
      <c r="N1728">
        <f>IF(L1728="", "", L1728-B1728)</f>
        <v/>
      </c>
      <c r="O1728">
        <f>IF(L1728="", "Pending", IF(N1728&lt;=30, "Met", "Breached"))</f>
        <v/>
      </c>
    </row>
    <row r="1729">
      <c r="M1729" s="11">
        <f>B1729+30</f>
        <v/>
      </c>
      <c r="N1729">
        <f>IF(L1729="", "", L1729-B1729)</f>
        <v/>
      </c>
      <c r="O1729">
        <f>IF(L1729="", "Pending", IF(N1729&lt;=30, "Met", "Breached"))</f>
        <v/>
      </c>
    </row>
    <row r="1730">
      <c r="M1730" s="11">
        <f>B1730+30</f>
        <v/>
      </c>
      <c r="N1730">
        <f>IF(L1730="", "", L1730-B1730)</f>
        <v/>
      </c>
      <c r="O1730">
        <f>IF(L1730="", "Pending", IF(N1730&lt;=30, "Met", "Breached"))</f>
        <v/>
      </c>
    </row>
    <row r="1731">
      <c r="M1731" s="11">
        <f>B1731+30</f>
        <v/>
      </c>
      <c r="N1731">
        <f>IF(L1731="", "", L1731-B1731)</f>
        <v/>
      </c>
      <c r="O1731">
        <f>IF(L1731="", "Pending", IF(N1731&lt;=30, "Met", "Breached"))</f>
        <v/>
      </c>
    </row>
    <row r="1732">
      <c r="M1732" s="11">
        <f>B1732+30</f>
        <v/>
      </c>
      <c r="N1732">
        <f>IF(L1732="", "", L1732-B1732)</f>
        <v/>
      </c>
      <c r="O1732">
        <f>IF(L1732="", "Pending", IF(N1732&lt;=30, "Met", "Breached"))</f>
        <v/>
      </c>
    </row>
    <row r="1733">
      <c r="M1733" s="11">
        <f>B1733+30</f>
        <v/>
      </c>
      <c r="N1733">
        <f>IF(L1733="", "", L1733-B1733)</f>
        <v/>
      </c>
      <c r="O1733">
        <f>IF(L1733="", "Pending", IF(N1733&lt;=30, "Met", "Breached"))</f>
        <v/>
      </c>
    </row>
    <row r="1734">
      <c r="M1734" s="11">
        <f>B1734+30</f>
        <v/>
      </c>
      <c r="N1734">
        <f>IF(L1734="", "", L1734-B1734)</f>
        <v/>
      </c>
      <c r="O1734">
        <f>IF(L1734="", "Pending", IF(N1734&lt;=30, "Met", "Breached"))</f>
        <v/>
      </c>
    </row>
    <row r="1735">
      <c r="M1735" s="11">
        <f>B1735+30</f>
        <v/>
      </c>
      <c r="N1735">
        <f>IF(L1735="", "", L1735-B1735)</f>
        <v/>
      </c>
      <c r="O1735">
        <f>IF(L1735="", "Pending", IF(N1735&lt;=30, "Met", "Breached"))</f>
        <v/>
      </c>
    </row>
    <row r="1736">
      <c r="M1736" s="11">
        <f>B1736+30</f>
        <v/>
      </c>
      <c r="N1736">
        <f>IF(L1736="", "", L1736-B1736)</f>
        <v/>
      </c>
      <c r="O1736">
        <f>IF(L1736="", "Pending", IF(N1736&lt;=30, "Met", "Breached"))</f>
        <v/>
      </c>
    </row>
    <row r="1737">
      <c r="M1737" s="11">
        <f>B1737+30</f>
        <v/>
      </c>
      <c r="N1737">
        <f>IF(L1737="", "", L1737-B1737)</f>
        <v/>
      </c>
      <c r="O1737">
        <f>IF(L1737="", "Pending", IF(N1737&lt;=30, "Met", "Breached"))</f>
        <v/>
      </c>
    </row>
    <row r="1738">
      <c r="M1738" s="11">
        <f>B1738+30</f>
        <v/>
      </c>
      <c r="N1738">
        <f>IF(L1738="", "", L1738-B1738)</f>
        <v/>
      </c>
      <c r="O1738">
        <f>IF(L1738="", "Pending", IF(N1738&lt;=30, "Met", "Breached"))</f>
        <v/>
      </c>
    </row>
    <row r="1739">
      <c r="M1739" s="11">
        <f>B1739+30</f>
        <v/>
      </c>
      <c r="N1739">
        <f>IF(L1739="", "", L1739-B1739)</f>
        <v/>
      </c>
      <c r="O1739">
        <f>IF(L1739="", "Pending", IF(N1739&lt;=30, "Met", "Breached"))</f>
        <v/>
      </c>
    </row>
    <row r="1740">
      <c r="M1740" s="11">
        <f>B1740+30</f>
        <v/>
      </c>
      <c r="N1740">
        <f>IF(L1740="", "", L1740-B1740)</f>
        <v/>
      </c>
      <c r="O1740">
        <f>IF(L1740="", "Pending", IF(N1740&lt;=30, "Met", "Breached"))</f>
        <v/>
      </c>
    </row>
    <row r="1741">
      <c r="M1741" s="11">
        <f>B1741+30</f>
        <v/>
      </c>
      <c r="N1741">
        <f>IF(L1741="", "", L1741-B1741)</f>
        <v/>
      </c>
      <c r="O1741">
        <f>IF(L1741="", "Pending", IF(N1741&lt;=30, "Met", "Breached"))</f>
        <v/>
      </c>
    </row>
    <row r="1742">
      <c r="M1742" s="11">
        <f>B1742+30</f>
        <v/>
      </c>
      <c r="N1742">
        <f>IF(L1742="", "", L1742-B1742)</f>
        <v/>
      </c>
      <c r="O1742">
        <f>IF(L1742="", "Pending", IF(N1742&lt;=30, "Met", "Breached"))</f>
        <v/>
      </c>
    </row>
    <row r="1743">
      <c r="M1743" s="11">
        <f>B1743+30</f>
        <v/>
      </c>
      <c r="N1743">
        <f>IF(L1743="", "", L1743-B1743)</f>
        <v/>
      </c>
      <c r="O1743">
        <f>IF(L1743="", "Pending", IF(N1743&lt;=30, "Met", "Breached"))</f>
        <v/>
      </c>
    </row>
    <row r="1744">
      <c r="M1744" s="11">
        <f>B1744+30</f>
        <v/>
      </c>
      <c r="N1744">
        <f>IF(L1744="", "", L1744-B1744)</f>
        <v/>
      </c>
      <c r="O1744">
        <f>IF(L1744="", "Pending", IF(N1744&lt;=30, "Met", "Breached"))</f>
        <v/>
      </c>
    </row>
    <row r="1745">
      <c r="M1745" s="11">
        <f>B1745+30</f>
        <v/>
      </c>
      <c r="N1745">
        <f>IF(L1745="", "", L1745-B1745)</f>
        <v/>
      </c>
      <c r="O1745">
        <f>IF(L1745="", "Pending", IF(N1745&lt;=30, "Met", "Breached"))</f>
        <v/>
      </c>
    </row>
    <row r="1746">
      <c r="M1746" s="11">
        <f>B1746+30</f>
        <v/>
      </c>
      <c r="N1746">
        <f>IF(L1746="", "", L1746-B1746)</f>
        <v/>
      </c>
      <c r="O1746">
        <f>IF(L1746="", "Pending", IF(N1746&lt;=30, "Met", "Breached"))</f>
        <v/>
      </c>
    </row>
    <row r="1747">
      <c r="M1747" s="11">
        <f>B1747+30</f>
        <v/>
      </c>
      <c r="N1747">
        <f>IF(L1747="", "", L1747-B1747)</f>
        <v/>
      </c>
      <c r="O1747">
        <f>IF(L1747="", "Pending", IF(N1747&lt;=30, "Met", "Breached"))</f>
        <v/>
      </c>
    </row>
    <row r="1748">
      <c r="M1748" s="11">
        <f>B1748+30</f>
        <v/>
      </c>
      <c r="N1748">
        <f>IF(L1748="", "", L1748-B1748)</f>
        <v/>
      </c>
      <c r="O1748">
        <f>IF(L1748="", "Pending", IF(N1748&lt;=30, "Met", "Breached"))</f>
        <v/>
      </c>
    </row>
    <row r="1749">
      <c r="M1749" s="11">
        <f>B1749+30</f>
        <v/>
      </c>
      <c r="N1749">
        <f>IF(L1749="", "", L1749-B1749)</f>
        <v/>
      </c>
      <c r="O1749">
        <f>IF(L1749="", "Pending", IF(N1749&lt;=30, "Met", "Breached"))</f>
        <v/>
      </c>
    </row>
    <row r="1750">
      <c r="M1750" s="11">
        <f>B1750+30</f>
        <v/>
      </c>
      <c r="N1750">
        <f>IF(L1750="", "", L1750-B1750)</f>
        <v/>
      </c>
      <c r="O1750">
        <f>IF(L1750="", "Pending", IF(N1750&lt;=30, "Met", "Breached"))</f>
        <v/>
      </c>
    </row>
    <row r="1751">
      <c r="M1751" s="11">
        <f>B1751+30</f>
        <v/>
      </c>
      <c r="N1751">
        <f>IF(L1751="", "", L1751-B1751)</f>
        <v/>
      </c>
      <c r="O1751">
        <f>IF(L1751="", "Pending", IF(N1751&lt;=30, "Met", "Breached"))</f>
        <v/>
      </c>
    </row>
    <row r="1752">
      <c r="M1752" s="11">
        <f>B1752+30</f>
        <v/>
      </c>
      <c r="N1752">
        <f>IF(L1752="", "", L1752-B1752)</f>
        <v/>
      </c>
      <c r="O1752">
        <f>IF(L1752="", "Pending", IF(N1752&lt;=30, "Met", "Breached"))</f>
        <v/>
      </c>
    </row>
    <row r="1753">
      <c r="M1753" s="11">
        <f>B1753+30</f>
        <v/>
      </c>
      <c r="N1753">
        <f>IF(L1753="", "", L1753-B1753)</f>
        <v/>
      </c>
      <c r="O1753">
        <f>IF(L1753="", "Pending", IF(N1753&lt;=30, "Met", "Breached"))</f>
        <v/>
      </c>
    </row>
    <row r="1754">
      <c r="M1754" s="11">
        <f>B1754+30</f>
        <v/>
      </c>
      <c r="N1754">
        <f>IF(L1754="", "", L1754-B1754)</f>
        <v/>
      </c>
      <c r="O1754">
        <f>IF(L1754="", "Pending", IF(N1754&lt;=30, "Met", "Breached"))</f>
        <v/>
      </c>
    </row>
    <row r="1755">
      <c r="M1755" s="11">
        <f>B1755+30</f>
        <v/>
      </c>
      <c r="N1755">
        <f>IF(L1755="", "", L1755-B1755)</f>
        <v/>
      </c>
      <c r="O1755">
        <f>IF(L1755="", "Pending", IF(N1755&lt;=30, "Met", "Breached"))</f>
        <v/>
      </c>
    </row>
    <row r="1756">
      <c r="M1756" s="11">
        <f>B1756+30</f>
        <v/>
      </c>
      <c r="N1756">
        <f>IF(L1756="", "", L1756-B1756)</f>
        <v/>
      </c>
      <c r="O1756">
        <f>IF(L1756="", "Pending", IF(N1756&lt;=30, "Met", "Breached"))</f>
        <v/>
      </c>
    </row>
    <row r="1757">
      <c r="M1757" s="11">
        <f>B1757+30</f>
        <v/>
      </c>
      <c r="N1757">
        <f>IF(L1757="", "", L1757-B1757)</f>
        <v/>
      </c>
      <c r="O1757">
        <f>IF(L1757="", "Pending", IF(N1757&lt;=30, "Met", "Breached"))</f>
        <v/>
      </c>
    </row>
    <row r="1758">
      <c r="M1758" s="11">
        <f>B1758+30</f>
        <v/>
      </c>
      <c r="N1758">
        <f>IF(L1758="", "", L1758-B1758)</f>
        <v/>
      </c>
      <c r="O1758">
        <f>IF(L1758="", "Pending", IF(N1758&lt;=30, "Met", "Breached"))</f>
        <v/>
      </c>
    </row>
    <row r="1759">
      <c r="M1759" s="11">
        <f>B1759+30</f>
        <v/>
      </c>
      <c r="N1759">
        <f>IF(L1759="", "", L1759-B1759)</f>
        <v/>
      </c>
      <c r="O1759">
        <f>IF(L1759="", "Pending", IF(N1759&lt;=30, "Met", "Breached"))</f>
        <v/>
      </c>
    </row>
    <row r="1760">
      <c r="M1760" s="11">
        <f>B1760+30</f>
        <v/>
      </c>
      <c r="N1760">
        <f>IF(L1760="", "", L1760-B1760)</f>
        <v/>
      </c>
      <c r="O1760">
        <f>IF(L1760="", "Pending", IF(N1760&lt;=30, "Met", "Breached"))</f>
        <v/>
      </c>
    </row>
    <row r="1761">
      <c r="M1761" s="11">
        <f>B1761+30</f>
        <v/>
      </c>
      <c r="N1761">
        <f>IF(L1761="", "", L1761-B1761)</f>
        <v/>
      </c>
      <c r="O1761">
        <f>IF(L1761="", "Pending", IF(N1761&lt;=30, "Met", "Breached"))</f>
        <v/>
      </c>
    </row>
    <row r="1762">
      <c r="M1762" s="11">
        <f>B1762+30</f>
        <v/>
      </c>
      <c r="N1762">
        <f>IF(L1762="", "", L1762-B1762)</f>
        <v/>
      </c>
      <c r="O1762">
        <f>IF(L1762="", "Pending", IF(N1762&lt;=30, "Met", "Breached"))</f>
        <v/>
      </c>
    </row>
    <row r="1763">
      <c r="M1763" s="11">
        <f>B1763+30</f>
        <v/>
      </c>
      <c r="N1763">
        <f>IF(L1763="", "", L1763-B1763)</f>
        <v/>
      </c>
      <c r="O1763">
        <f>IF(L1763="", "Pending", IF(N1763&lt;=30, "Met", "Breached"))</f>
        <v/>
      </c>
    </row>
    <row r="1764">
      <c r="M1764" s="11">
        <f>B1764+30</f>
        <v/>
      </c>
      <c r="N1764">
        <f>IF(L1764="", "", L1764-B1764)</f>
        <v/>
      </c>
      <c r="O1764">
        <f>IF(L1764="", "Pending", IF(N1764&lt;=30, "Met", "Breached"))</f>
        <v/>
      </c>
    </row>
    <row r="1765">
      <c r="M1765" s="11">
        <f>B1765+30</f>
        <v/>
      </c>
      <c r="N1765">
        <f>IF(L1765="", "", L1765-B1765)</f>
        <v/>
      </c>
      <c r="O1765">
        <f>IF(L1765="", "Pending", IF(N1765&lt;=30, "Met", "Breached"))</f>
        <v/>
      </c>
    </row>
    <row r="1766">
      <c r="M1766" s="11">
        <f>B1766+30</f>
        <v/>
      </c>
      <c r="N1766">
        <f>IF(L1766="", "", L1766-B1766)</f>
        <v/>
      </c>
      <c r="O1766">
        <f>IF(L1766="", "Pending", IF(N1766&lt;=30, "Met", "Breached"))</f>
        <v/>
      </c>
    </row>
    <row r="1767">
      <c r="M1767" s="11">
        <f>B1767+30</f>
        <v/>
      </c>
      <c r="N1767">
        <f>IF(L1767="", "", L1767-B1767)</f>
        <v/>
      </c>
      <c r="O1767">
        <f>IF(L1767="", "Pending", IF(N1767&lt;=30, "Met", "Breached"))</f>
        <v/>
      </c>
    </row>
    <row r="1768">
      <c r="M1768" s="11">
        <f>B1768+30</f>
        <v/>
      </c>
      <c r="N1768">
        <f>IF(L1768="", "", L1768-B1768)</f>
        <v/>
      </c>
      <c r="O1768">
        <f>IF(L1768="", "Pending", IF(N1768&lt;=30, "Met", "Breached"))</f>
        <v/>
      </c>
    </row>
    <row r="1769">
      <c r="M1769" s="11">
        <f>B1769+30</f>
        <v/>
      </c>
      <c r="N1769">
        <f>IF(L1769="", "", L1769-B1769)</f>
        <v/>
      </c>
      <c r="O1769">
        <f>IF(L1769="", "Pending", IF(N1769&lt;=30, "Met", "Breached"))</f>
        <v/>
      </c>
    </row>
    <row r="1770">
      <c r="M1770" s="11">
        <f>B1770+30</f>
        <v/>
      </c>
      <c r="N1770">
        <f>IF(L1770="", "", L1770-B1770)</f>
        <v/>
      </c>
      <c r="O1770">
        <f>IF(L1770="", "Pending", IF(N1770&lt;=30, "Met", "Breached"))</f>
        <v/>
      </c>
    </row>
    <row r="1771">
      <c r="M1771" s="11">
        <f>B1771+30</f>
        <v/>
      </c>
      <c r="N1771">
        <f>IF(L1771="", "", L1771-B1771)</f>
        <v/>
      </c>
      <c r="O1771">
        <f>IF(L1771="", "Pending", IF(N1771&lt;=30, "Met", "Breached"))</f>
        <v/>
      </c>
    </row>
    <row r="1772">
      <c r="M1772" s="11">
        <f>B1772+30</f>
        <v/>
      </c>
      <c r="N1772">
        <f>IF(L1772="", "", L1772-B1772)</f>
        <v/>
      </c>
      <c r="O1772">
        <f>IF(L1772="", "Pending", IF(N1772&lt;=30, "Met", "Breached"))</f>
        <v/>
      </c>
    </row>
    <row r="1773">
      <c r="M1773" s="11">
        <f>B1773+30</f>
        <v/>
      </c>
      <c r="N1773">
        <f>IF(L1773="", "", L1773-B1773)</f>
        <v/>
      </c>
      <c r="O1773">
        <f>IF(L1773="", "Pending", IF(N1773&lt;=30, "Met", "Breached"))</f>
        <v/>
      </c>
    </row>
    <row r="1774">
      <c r="M1774" s="11">
        <f>B1774+30</f>
        <v/>
      </c>
      <c r="N1774">
        <f>IF(L1774="", "", L1774-B1774)</f>
        <v/>
      </c>
      <c r="O1774">
        <f>IF(L1774="", "Pending", IF(N1774&lt;=30, "Met", "Breached"))</f>
        <v/>
      </c>
    </row>
    <row r="1775">
      <c r="M1775" s="11">
        <f>B1775+30</f>
        <v/>
      </c>
      <c r="N1775">
        <f>IF(L1775="", "", L1775-B1775)</f>
        <v/>
      </c>
      <c r="O1775">
        <f>IF(L1775="", "Pending", IF(N1775&lt;=30, "Met", "Breached"))</f>
        <v/>
      </c>
    </row>
    <row r="1776">
      <c r="M1776" s="11">
        <f>B1776+30</f>
        <v/>
      </c>
      <c r="N1776">
        <f>IF(L1776="", "", L1776-B1776)</f>
        <v/>
      </c>
      <c r="O1776">
        <f>IF(L1776="", "Pending", IF(N1776&lt;=30, "Met", "Breached"))</f>
        <v/>
      </c>
    </row>
    <row r="1777">
      <c r="M1777" s="11">
        <f>B1777+30</f>
        <v/>
      </c>
      <c r="N1777">
        <f>IF(L1777="", "", L1777-B1777)</f>
        <v/>
      </c>
      <c r="O1777">
        <f>IF(L1777="", "Pending", IF(N1777&lt;=30, "Met", "Breached"))</f>
        <v/>
      </c>
    </row>
    <row r="1778">
      <c r="M1778" s="11">
        <f>B1778+30</f>
        <v/>
      </c>
      <c r="N1778">
        <f>IF(L1778="", "", L1778-B1778)</f>
        <v/>
      </c>
      <c r="O1778">
        <f>IF(L1778="", "Pending", IF(N1778&lt;=30, "Met", "Breached"))</f>
        <v/>
      </c>
    </row>
    <row r="1779">
      <c r="M1779" s="11">
        <f>B1779+30</f>
        <v/>
      </c>
      <c r="N1779">
        <f>IF(L1779="", "", L1779-B1779)</f>
        <v/>
      </c>
      <c r="O1779">
        <f>IF(L1779="", "Pending", IF(N1779&lt;=30, "Met", "Breached"))</f>
        <v/>
      </c>
    </row>
    <row r="1780">
      <c r="M1780" s="11">
        <f>B1780+30</f>
        <v/>
      </c>
      <c r="N1780">
        <f>IF(L1780="", "", L1780-B1780)</f>
        <v/>
      </c>
      <c r="O1780">
        <f>IF(L1780="", "Pending", IF(N1780&lt;=30, "Met", "Breached"))</f>
        <v/>
      </c>
    </row>
    <row r="1781">
      <c r="M1781" s="11">
        <f>B1781+30</f>
        <v/>
      </c>
      <c r="N1781">
        <f>IF(L1781="", "", L1781-B1781)</f>
        <v/>
      </c>
      <c r="O1781">
        <f>IF(L1781="", "Pending", IF(N1781&lt;=30, "Met", "Breached"))</f>
        <v/>
      </c>
    </row>
    <row r="1782">
      <c r="M1782" s="11">
        <f>B1782+30</f>
        <v/>
      </c>
      <c r="N1782">
        <f>IF(L1782="", "", L1782-B1782)</f>
        <v/>
      </c>
      <c r="O1782">
        <f>IF(L1782="", "Pending", IF(N1782&lt;=30, "Met", "Breached"))</f>
        <v/>
      </c>
    </row>
    <row r="1783">
      <c r="M1783" s="11">
        <f>B1783+30</f>
        <v/>
      </c>
      <c r="N1783">
        <f>IF(L1783="", "", L1783-B1783)</f>
        <v/>
      </c>
      <c r="O1783">
        <f>IF(L1783="", "Pending", IF(N1783&lt;=30, "Met", "Breached"))</f>
        <v/>
      </c>
    </row>
    <row r="1784">
      <c r="M1784" s="11">
        <f>B1784+30</f>
        <v/>
      </c>
      <c r="N1784">
        <f>IF(L1784="", "", L1784-B1784)</f>
        <v/>
      </c>
      <c r="O1784">
        <f>IF(L1784="", "Pending", IF(N1784&lt;=30, "Met", "Breached"))</f>
        <v/>
      </c>
    </row>
    <row r="1785">
      <c r="M1785" s="11">
        <f>B1785+30</f>
        <v/>
      </c>
      <c r="N1785">
        <f>IF(L1785="", "", L1785-B1785)</f>
        <v/>
      </c>
      <c r="O1785">
        <f>IF(L1785="", "Pending", IF(N1785&lt;=30, "Met", "Breached"))</f>
        <v/>
      </c>
    </row>
    <row r="1786">
      <c r="M1786" s="11">
        <f>B1786+30</f>
        <v/>
      </c>
      <c r="N1786">
        <f>IF(L1786="", "", L1786-B1786)</f>
        <v/>
      </c>
      <c r="O1786">
        <f>IF(L1786="", "Pending", IF(N1786&lt;=30, "Met", "Breached"))</f>
        <v/>
      </c>
    </row>
    <row r="1787">
      <c r="M1787" s="11">
        <f>B1787+30</f>
        <v/>
      </c>
      <c r="N1787">
        <f>IF(L1787="", "", L1787-B1787)</f>
        <v/>
      </c>
      <c r="O1787">
        <f>IF(L1787="", "Pending", IF(N1787&lt;=30, "Met", "Breached"))</f>
        <v/>
      </c>
    </row>
    <row r="1788">
      <c r="M1788" s="11">
        <f>B1788+30</f>
        <v/>
      </c>
      <c r="N1788">
        <f>IF(L1788="", "", L1788-B1788)</f>
        <v/>
      </c>
      <c r="O1788">
        <f>IF(L1788="", "Pending", IF(N1788&lt;=30, "Met", "Breached"))</f>
        <v/>
      </c>
    </row>
    <row r="1789">
      <c r="M1789" s="11">
        <f>B1789+30</f>
        <v/>
      </c>
      <c r="N1789">
        <f>IF(L1789="", "", L1789-B1789)</f>
        <v/>
      </c>
      <c r="O1789">
        <f>IF(L1789="", "Pending", IF(N1789&lt;=30, "Met", "Breached"))</f>
        <v/>
      </c>
    </row>
    <row r="1790">
      <c r="M1790" s="11">
        <f>B1790+30</f>
        <v/>
      </c>
      <c r="N1790">
        <f>IF(L1790="", "", L1790-B1790)</f>
        <v/>
      </c>
      <c r="O1790">
        <f>IF(L1790="", "Pending", IF(N1790&lt;=30, "Met", "Breached"))</f>
        <v/>
      </c>
    </row>
    <row r="1791">
      <c r="M1791" s="11">
        <f>B1791+30</f>
        <v/>
      </c>
      <c r="N1791">
        <f>IF(L1791="", "", L1791-B1791)</f>
        <v/>
      </c>
      <c r="O1791">
        <f>IF(L1791="", "Pending", IF(N1791&lt;=30, "Met", "Breached"))</f>
        <v/>
      </c>
    </row>
    <row r="1792">
      <c r="M1792" s="11">
        <f>B1792+30</f>
        <v/>
      </c>
      <c r="N1792">
        <f>IF(L1792="", "", L1792-B1792)</f>
        <v/>
      </c>
      <c r="O1792">
        <f>IF(L1792="", "Pending", IF(N1792&lt;=30, "Met", "Breached"))</f>
        <v/>
      </c>
    </row>
    <row r="1793">
      <c r="M1793" s="11">
        <f>B1793+30</f>
        <v/>
      </c>
      <c r="N1793">
        <f>IF(L1793="", "", L1793-B1793)</f>
        <v/>
      </c>
      <c r="O1793">
        <f>IF(L1793="", "Pending", IF(N1793&lt;=30, "Met", "Breached"))</f>
        <v/>
      </c>
    </row>
    <row r="1794">
      <c r="M1794" s="11">
        <f>B1794+30</f>
        <v/>
      </c>
      <c r="N1794">
        <f>IF(L1794="", "", L1794-B1794)</f>
        <v/>
      </c>
      <c r="O1794">
        <f>IF(L1794="", "Pending", IF(N1794&lt;=30, "Met", "Breached"))</f>
        <v/>
      </c>
    </row>
    <row r="1795">
      <c r="M1795" s="11">
        <f>B1795+30</f>
        <v/>
      </c>
      <c r="N1795">
        <f>IF(L1795="", "", L1795-B1795)</f>
        <v/>
      </c>
      <c r="O1795">
        <f>IF(L1795="", "Pending", IF(N1795&lt;=30, "Met", "Breached"))</f>
        <v/>
      </c>
    </row>
    <row r="1796">
      <c r="M1796" s="11">
        <f>B1796+30</f>
        <v/>
      </c>
      <c r="N1796">
        <f>IF(L1796="", "", L1796-B1796)</f>
        <v/>
      </c>
      <c r="O1796">
        <f>IF(L1796="", "Pending", IF(N1796&lt;=30, "Met", "Breached"))</f>
        <v/>
      </c>
    </row>
    <row r="1797">
      <c r="M1797" s="11">
        <f>B1797+30</f>
        <v/>
      </c>
      <c r="N1797">
        <f>IF(L1797="", "", L1797-B1797)</f>
        <v/>
      </c>
      <c r="O1797">
        <f>IF(L1797="", "Pending", IF(N1797&lt;=30, "Met", "Breached"))</f>
        <v/>
      </c>
    </row>
    <row r="1798">
      <c r="M1798" s="11">
        <f>B1798+30</f>
        <v/>
      </c>
      <c r="N1798">
        <f>IF(L1798="", "", L1798-B1798)</f>
        <v/>
      </c>
      <c r="O1798">
        <f>IF(L1798="", "Pending", IF(N1798&lt;=30, "Met", "Breached"))</f>
        <v/>
      </c>
    </row>
    <row r="1799">
      <c r="M1799" s="11">
        <f>B1799+30</f>
        <v/>
      </c>
      <c r="N1799">
        <f>IF(L1799="", "", L1799-B1799)</f>
        <v/>
      </c>
      <c r="O1799">
        <f>IF(L1799="", "Pending", IF(N1799&lt;=30, "Met", "Breached"))</f>
        <v/>
      </c>
    </row>
    <row r="1800">
      <c r="M1800" s="11">
        <f>B1800+30</f>
        <v/>
      </c>
      <c r="N1800">
        <f>IF(L1800="", "", L1800-B1800)</f>
        <v/>
      </c>
      <c r="O1800">
        <f>IF(L1800="", "Pending", IF(N1800&lt;=30, "Met", "Breached"))</f>
        <v/>
      </c>
    </row>
    <row r="1801">
      <c r="M1801" s="11">
        <f>B1801+30</f>
        <v/>
      </c>
      <c r="N1801">
        <f>IF(L1801="", "", L1801-B1801)</f>
        <v/>
      </c>
      <c r="O1801">
        <f>IF(L1801="", "Pending", IF(N1801&lt;=30, "Met", "Breached"))</f>
        <v/>
      </c>
    </row>
    <row r="1802">
      <c r="M1802" s="11">
        <f>B1802+30</f>
        <v/>
      </c>
      <c r="N1802">
        <f>IF(L1802="", "", L1802-B1802)</f>
        <v/>
      </c>
      <c r="O1802">
        <f>IF(L1802="", "Pending", IF(N1802&lt;=30, "Met", "Breached"))</f>
        <v/>
      </c>
    </row>
    <row r="1803">
      <c r="M1803" s="11">
        <f>B1803+30</f>
        <v/>
      </c>
      <c r="N1803">
        <f>IF(L1803="", "", L1803-B1803)</f>
        <v/>
      </c>
      <c r="O1803">
        <f>IF(L1803="", "Pending", IF(N1803&lt;=30, "Met", "Breached"))</f>
        <v/>
      </c>
    </row>
    <row r="1804">
      <c r="M1804" s="11">
        <f>B1804+30</f>
        <v/>
      </c>
      <c r="N1804">
        <f>IF(L1804="", "", L1804-B1804)</f>
        <v/>
      </c>
      <c r="O1804">
        <f>IF(L1804="", "Pending", IF(N1804&lt;=30, "Met", "Breached"))</f>
        <v/>
      </c>
    </row>
    <row r="1805">
      <c r="M1805" s="11">
        <f>B1805+30</f>
        <v/>
      </c>
      <c r="N1805">
        <f>IF(L1805="", "", L1805-B1805)</f>
        <v/>
      </c>
      <c r="O1805">
        <f>IF(L1805="", "Pending", IF(N1805&lt;=30, "Met", "Breached"))</f>
        <v/>
      </c>
    </row>
    <row r="1806">
      <c r="M1806" s="11">
        <f>B1806+30</f>
        <v/>
      </c>
      <c r="N1806">
        <f>IF(L1806="", "", L1806-B1806)</f>
        <v/>
      </c>
      <c r="O1806">
        <f>IF(L1806="", "Pending", IF(N1806&lt;=30, "Met", "Breached"))</f>
        <v/>
      </c>
    </row>
    <row r="1807">
      <c r="M1807" s="11">
        <f>B1807+30</f>
        <v/>
      </c>
      <c r="N1807">
        <f>IF(L1807="", "", L1807-B1807)</f>
        <v/>
      </c>
      <c r="O1807">
        <f>IF(L1807="", "Pending", IF(N1807&lt;=30, "Met", "Breached"))</f>
        <v/>
      </c>
    </row>
    <row r="1808">
      <c r="M1808" s="11">
        <f>B1808+30</f>
        <v/>
      </c>
      <c r="N1808">
        <f>IF(L1808="", "", L1808-B1808)</f>
        <v/>
      </c>
      <c r="O1808">
        <f>IF(L1808="", "Pending", IF(N1808&lt;=30, "Met", "Breached"))</f>
        <v/>
      </c>
    </row>
    <row r="1809">
      <c r="M1809" s="11">
        <f>B1809+30</f>
        <v/>
      </c>
      <c r="N1809">
        <f>IF(L1809="", "", L1809-B1809)</f>
        <v/>
      </c>
      <c r="O1809">
        <f>IF(L1809="", "Pending", IF(N1809&lt;=30, "Met", "Breached"))</f>
        <v/>
      </c>
    </row>
    <row r="1810">
      <c r="M1810" s="11">
        <f>B1810+30</f>
        <v/>
      </c>
      <c r="N1810">
        <f>IF(L1810="", "", L1810-B1810)</f>
        <v/>
      </c>
      <c r="O1810">
        <f>IF(L1810="", "Pending", IF(N1810&lt;=30, "Met", "Breached"))</f>
        <v/>
      </c>
    </row>
    <row r="1811">
      <c r="M1811" s="11">
        <f>B1811+30</f>
        <v/>
      </c>
      <c r="N1811">
        <f>IF(L1811="", "", L1811-B1811)</f>
        <v/>
      </c>
      <c r="O1811">
        <f>IF(L1811="", "Pending", IF(N1811&lt;=30, "Met", "Breached"))</f>
        <v/>
      </c>
    </row>
    <row r="1812">
      <c r="M1812" s="11">
        <f>B1812+30</f>
        <v/>
      </c>
      <c r="N1812">
        <f>IF(L1812="", "", L1812-B1812)</f>
        <v/>
      </c>
      <c r="O1812">
        <f>IF(L1812="", "Pending", IF(N1812&lt;=30, "Met", "Breached"))</f>
        <v/>
      </c>
    </row>
    <row r="1813">
      <c r="M1813" s="11">
        <f>B1813+30</f>
        <v/>
      </c>
      <c r="N1813">
        <f>IF(L1813="", "", L1813-B1813)</f>
        <v/>
      </c>
      <c r="O1813">
        <f>IF(L1813="", "Pending", IF(N1813&lt;=30, "Met", "Breached"))</f>
        <v/>
      </c>
    </row>
    <row r="1814">
      <c r="M1814" s="11">
        <f>B1814+30</f>
        <v/>
      </c>
      <c r="N1814">
        <f>IF(L1814="", "", L1814-B1814)</f>
        <v/>
      </c>
      <c r="O1814">
        <f>IF(L1814="", "Pending", IF(N1814&lt;=30, "Met", "Breached"))</f>
        <v/>
      </c>
    </row>
    <row r="1815">
      <c r="M1815" s="11">
        <f>B1815+30</f>
        <v/>
      </c>
      <c r="N1815">
        <f>IF(L1815="", "", L1815-B1815)</f>
        <v/>
      </c>
      <c r="O1815">
        <f>IF(L1815="", "Pending", IF(N1815&lt;=30, "Met", "Breached"))</f>
        <v/>
      </c>
    </row>
    <row r="1816">
      <c r="M1816" s="11">
        <f>B1816+30</f>
        <v/>
      </c>
      <c r="N1816">
        <f>IF(L1816="", "", L1816-B1816)</f>
        <v/>
      </c>
      <c r="O1816">
        <f>IF(L1816="", "Pending", IF(N1816&lt;=30, "Met", "Breached"))</f>
        <v/>
      </c>
    </row>
    <row r="1817">
      <c r="M1817" s="11">
        <f>B1817+30</f>
        <v/>
      </c>
      <c r="N1817">
        <f>IF(L1817="", "", L1817-B1817)</f>
        <v/>
      </c>
      <c r="O1817">
        <f>IF(L1817="", "Pending", IF(N1817&lt;=30, "Met", "Breached"))</f>
        <v/>
      </c>
    </row>
    <row r="1818">
      <c r="M1818" s="11">
        <f>B1818+30</f>
        <v/>
      </c>
      <c r="N1818">
        <f>IF(L1818="", "", L1818-B1818)</f>
        <v/>
      </c>
      <c r="O1818">
        <f>IF(L1818="", "Pending", IF(N1818&lt;=30, "Met", "Breached"))</f>
        <v/>
      </c>
    </row>
    <row r="1819">
      <c r="M1819" s="11">
        <f>B1819+30</f>
        <v/>
      </c>
      <c r="N1819">
        <f>IF(L1819="", "", L1819-B1819)</f>
        <v/>
      </c>
      <c r="O1819">
        <f>IF(L1819="", "Pending", IF(N1819&lt;=30, "Met", "Breached"))</f>
        <v/>
      </c>
    </row>
    <row r="1820">
      <c r="M1820" s="11">
        <f>B1820+30</f>
        <v/>
      </c>
      <c r="N1820">
        <f>IF(L1820="", "", L1820-B1820)</f>
        <v/>
      </c>
      <c r="O1820">
        <f>IF(L1820="", "Pending", IF(N1820&lt;=30, "Met", "Breached"))</f>
        <v/>
      </c>
    </row>
    <row r="1821">
      <c r="M1821" s="11">
        <f>B1821+30</f>
        <v/>
      </c>
      <c r="N1821">
        <f>IF(L1821="", "", L1821-B1821)</f>
        <v/>
      </c>
      <c r="O1821">
        <f>IF(L1821="", "Pending", IF(N1821&lt;=30, "Met", "Breached"))</f>
        <v/>
      </c>
    </row>
    <row r="1822">
      <c r="M1822" s="11">
        <f>B1822+30</f>
        <v/>
      </c>
      <c r="N1822">
        <f>IF(L1822="", "", L1822-B1822)</f>
        <v/>
      </c>
      <c r="O1822">
        <f>IF(L1822="", "Pending", IF(N1822&lt;=30, "Met", "Breached"))</f>
        <v/>
      </c>
    </row>
    <row r="1823">
      <c r="M1823" s="11">
        <f>B1823+30</f>
        <v/>
      </c>
      <c r="N1823">
        <f>IF(L1823="", "", L1823-B1823)</f>
        <v/>
      </c>
      <c r="O1823">
        <f>IF(L1823="", "Pending", IF(N1823&lt;=30, "Met", "Breached"))</f>
        <v/>
      </c>
    </row>
    <row r="1824">
      <c r="M1824" s="11">
        <f>B1824+30</f>
        <v/>
      </c>
      <c r="N1824">
        <f>IF(L1824="", "", L1824-B1824)</f>
        <v/>
      </c>
      <c r="O1824">
        <f>IF(L1824="", "Pending", IF(N1824&lt;=30, "Met", "Breached"))</f>
        <v/>
      </c>
    </row>
    <row r="1825">
      <c r="M1825" s="11">
        <f>B1825+30</f>
        <v/>
      </c>
      <c r="N1825">
        <f>IF(L1825="", "", L1825-B1825)</f>
        <v/>
      </c>
      <c r="O1825">
        <f>IF(L1825="", "Pending", IF(N1825&lt;=30, "Met", "Breached"))</f>
        <v/>
      </c>
    </row>
    <row r="1826">
      <c r="M1826" s="11">
        <f>B1826+30</f>
        <v/>
      </c>
      <c r="N1826">
        <f>IF(L1826="", "", L1826-B1826)</f>
        <v/>
      </c>
      <c r="O1826">
        <f>IF(L1826="", "Pending", IF(N1826&lt;=30, "Met", "Breached"))</f>
        <v/>
      </c>
    </row>
    <row r="1827">
      <c r="M1827" s="11">
        <f>B1827+30</f>
        <v/>
      </c>
      <c r="N1827">
        <f>IF(L1827="", "", L1827-B1827)</f>
        <v/>
      </c>
      <c r="O1827">
        <f>IF(L1827="", "Pending", IF(N1827&lt;=30, "Met", "Breached"))</f>
        <v/>
      </c>
    </row>
    <row r="1828">
      <c r="M1828" s="11">
        <f>B1828+30</f>
        <v/>
      </c>
      <c r="N1828">
        <f>IF(L1828="", "", L1828-B1828)</f>
        <v/>
      </c>
      <c r="O1828">
        <f>IF(L1828="", "Pending", IF(N1828&lt;=30, "Met", "Breached"))</f>
        <v/>
      </c>
    </row>
    <row r="1829">
      <c r="M1829" s="11">
        <f>B1829+30</f>
        <v/>
      </c>
      <c r="N1829">
        <f>IF(L1829="", "", L1829-B1829)</f>
        <v/>
      </c>
      <c r="O1829">
        <f>IF(L1829="", "Pending", IF(N1829&lt;=30, "Met", "Breached"))</f>
        <v/>
      </c>
    </row>
    <row r="1830">
      <c r="M1830" s="11">
        <f>B1830+30</f>
        <v/>
      </c>
      <c r="N1830">
        <f>IF(L1830="", "", L1830-B1830)</f>
        <v/>
      </c>
      <c r="O1830">
        <f>IF(L1830="", "Pending", IF(N1830&lt;=30, "Met", "Breached"))</f>
        <v/>
      </c>
    </row>
    <row r="1831">
      <c r="M1831" s="11">
        <f>B1831+30</f>
        <v/>
      </c>
      <c r="N1831">
        <f>IF(L1831="", "", L1831-B1831)</f>
        <v/>
      </c>
      <c r="O1831">
        <f>IF(L1831="", "Pending", IF(N1831&lt;=30, "Met", "Breached"))</f>
        <v/>
      </c>
    </row>
    <row r="1832">
      <c r="M1832" s="11">
        <f>B1832+30</f>
        <v/>
      </c>
      <c r="N1832">
        <f>IF(L1832="", "", L1832-B1832)</f>
        <v/>
      </c>
      <c r="O1832">
        <f>IF(L1832="", "Pending", IF(N1832&lt;=30, "Met", "Breached"))</f>
        <v/>
      </c>
    </row>
    <row r="1833">
      <c r="M1833" s="11">
        <f>B1833+30</f>
        <v/>
      </c>
      <c r="N1833">
        <f>IF(L1833="", "", L1833-B1833)</f>
        <v/>
      </c>
      <c r="O1833">
        <f>IF(L1833="", "Pending", IF(N1833&lt;=30, "Met", "Breached"))</f>
        <v/>
      </c>
    </row>
    <row r="1834">
      <c r="M1834" s="11">
        <f>B1834+30</f>
        <v/>
      </c>
      <c r="N1834">
        <f>IF(L1834="", "", L1834-B1834)</f>
        <v/>
      </c>
      <c r="O1834">
        <f>IF(L1834="", "Pending", IF(N1834&lt;=30, "Met", "Breached"))</f>
        <v/>
      </c>
    </row>
    <row r="1835">
      <c r="M1835" s="11">
        <f>B1835+30</f>
        <v/>
      </c>
      <c r="N1835">
        <f>IF(L1835="", "", L1835-B1835)</f>
        <v/>
      </c>
      <c r="O1835">
        <f>IF(L1835="", "Pending", IF(N1835&lt;=30, "Met", "Breached"))</f>
        <v/>
      </c>
    </row>
    <row r="1836">
      <c r="M1836" s="11">
        <f>B1836+30</f>
        <v/>
      </c>
      <c r="N1836">
        <f>IF(L1836="", "", L1836-B1836)</f>
        <v/>
      </c>
      <c r="O1836">
        <f>IF(L1836="", "Pending", IF(N1836&lt;=30, "Met", "Breached"))</f>
        <v/>
      </c>
    </row>
    <row r="1837">
      <c r="M1837" s="11">
        <f>B1837+30</f>
        <v/>
      </c>
      <c r="N1837">
        <f>IF(L1837="", "", L1837-B1837)</f>
        <v/>
      </c>
      <c r="O1837">
        <f>IF(L1837="", "Pending", IF(N1837&lt;=30, "Met", "Breached"))</f>
        <v/>
      </c>
    </row>
    <row r="1838">
      <c r="M1838" s="11">
        <f>B1838+30</f>
        <v/>
      </c>
      <c r="N1838">
        <f>IF(L1838="", "", L1838-B1838)</f>
        <v/>
      </c>
      <c r="O1838">
        <f>IF(L1838="", "Pending", IF(N1838&lt;=30, "Met", "Breached"))</f>
        <v/>
      </c>
    </row>
    <row r="1839">
      <c r="M1839" s="11">
        <f>B1839+30</f>
        <v/>
      </c>
      <c r="N1839">
        <f>IF(L1839="", "", L1839-B1839)</f>
        <v/>
      </c>
      <c r="O1839">
        <f>IF(L1839="", "Pending", IF(N1839&lt;=30, "Met", "Breached"))</f>
        <v/>
      </c>
    </row>
    <row r="1840">
      <c r="M1840" s="11">
        <f>B1840+30</f>
        <v/>
      </c>
      <c r="N1840">
        <f>IF(L1840="", "", L1840-B1840)</f>
        <v/>
      </c>
      <c r="O1840">
        <f>IF(L1840="", "Pending", IF(N1840&lt;=30, "Met", "Breached"))</f>
        <v/>
      </c>
    </row>
    <row r="1841">
      <c r="M1841" s="11">
        <f>B1841+30</f>
        <v/>
      </c>
      <c r="N1841">
        <f>IF(L1841="", "", L1841-B1841)</f>
        <v/>
      </c>
      <c r="O1841">
        <f>IF(L1841="", "Pending", IF(N1841&lt;=30, "Met", "Breached"))</f>
        <v/>
      </c>
    </row>
    <row r="1842">
      <c r="M1842" s="11">
        <f>B1842+30</f>
        <v/>
      </c>
      <c r="N1842">
        <f>IF(L1842="", "", L1842-B1842)</f>
        <v/>
      </c>
      <c r="O1842">
        <f>IF(L1842="", "Pending", IF(N1842&lt;=30, "Met", "Breached"))</f>
        <v/>
      </c>
    </row>
    <row r="1843">
      <c r="M1843" s="11">
        <f>B1843+30</f>
        <v/>
      </c>
      <c r="N1843">
        <f>IF(L1843="", "", L1843-B1843)</f>
        <v/>
      </c>
      <c r="O1843">
        <f>IF(L1843="", "Pending", IF(N1843&lt;=30, "Met", "Breached"))</f>
        <v/>
      </c>
    </row>
    <row r="1844">
      <c r="M1844" s="11">
        <f>B1844+30</f>
        <v/>
      </c>
      <c r="N1844">
        <f>IF(L1844="", "", L1844-B1844)</f>
        <v/>
      </c>
      <c r="O1844">
        <f>IF(L1844="", "Pending", IF(N1844&lt;=30, "Met", "Breached"))</f>
        <v/>
      </c>
    </row>
    <row r="1845">
      <c r="M1845" s="11">
        <f>B1845+30</f>
        <v/>
      </c>
      <c r="N1845">
        <f>IF(L1845="", "", L1845-B1845)</f>
        <v/>
      </c>
      <c r="O1845">
        <f>IF(L1845="", "Pending", IF(N1845&lt;=30, "Met", "Breached"))</f>
        <v/>
      </c>
    </row>
    <row r="1846">
      <c r="M1846" s="11">
        <f>B1846+30</f>
        <v/>
      </c>
      <c r="N1846">
        <f>IF(L1846="", "", L1846-B1846)</f>
        <v/>
      </c>
      <c r="O1846">
        <f>IF(L1846="", "Pending", IF(N1846&lt;=30, "Met", "Breached"))</f>
        <v/>
      </c>
    </row>
    <row r="1847">
      <c r="M1847" s="11">
        <f>B1847+30</f>
        <v/>
      </c>
      <c r="N1847">
        <f>IF(L1847="", "", L1847-B1847)</f>
        <v/>
      </c>
      <c r="O1847">
        <f>IF(L1847="", "Pending", IF(N1847&lt;=30, "Met", "Breached"))</f>
        <v/>
      </c>
    </row>
    <row r="1848">
      <c r="M1848" s="11">
        <f>B1848+30</f>
        <v/>
      </c>
      <c r="N1848">
        <f>IF(L1848="", "", L1848-B1848)</f>
        <v/>
      </c>
      <c r="O1848">
        <f>IF(L1848="", "Pending", IF(N1848&lt;=30, "Met", "Breached"))</f>
        <v/>
      </c>
    </row>
    <row r="1849">
      <c r="M1849" s="11">
        <f>B1849+30</f>
        <v/>
      </c>
      <c r="N1849">
        <f>IF(L1849="", "", L1849-B1849)</f>
        <v/>
      </c>
      <c r="O1849">
        <f>IF(L1849="", "Pending", IF(N1849&lt;=30, "Met", "Breached"))</f>
        <v/>
      </c>
    </row>
    <row r="1850">
      <c r="M1850" s="11">
        <f>B1850+30</f>
        <v/>
      </c>
      <c r="N1850">
        <f>IF(L1850="", "", L1850-B1850)</f>
        <v/>
      </c>
      <c r="O1850">
        <f>IF(L1850="", "Pending", IF(N1850&lt;=30, "Met", "Breached"))</f>
        <v/>
      </c>
    </row>
    <row r="1851">
      <c r="M1851" s="11">
        <f>B1851+30</f>
        <v/>
      </c>
      <c r="N1851">
        <f>IF(L1851="", "", L1851-B1851)</f>
        <v/>
      </c>
      <c r="O1851">
        <f>IF(L1851="", "Pending", IF(N1851&lt;=30, "Met", "Breached"))</f>
        <v/>
      </c>
    </row>
    <row r="1852">
      <c r="M1852" s="11">
        <f>B1852+30</f>
        <v/>
      </c>
      <c r="N1852">
        <f>IF(L1852="", "", L1852-B1852)</f>
        <v/>
      </c>
      <c r="O1852">
        <f>IF(L1852="", "Pending", IF(N1852&lt;=30, "Met", "Breached"))</f>
        <v/>
      </c>
    </row>
    <row r="1853">
      <c r="M1853" s="11">
        <f>B1853+30</f>
        <v/>
      </c>
      <c r="N1853">
        <f>IF(L1853="", "", L1853-B1853)</f>
        <v/>
      </c>
      <c r="O1853">
        <f>IF(L1853="", "Pending", IF(N1853&lt;=30, "Met", "Breached"))</f>
        <v/>
      </c>
    </row>
    <row r="1854">
      <c r="M1854" s="11">
        <f>B1854+30</f>
        <v/>
      </c>
      <c r="N1854">
        <f>IF(L1854="", "", L1854-B1854)</f>
        <v/>
      </c>
      <c r="O1854">
        <f>IF(L1854="", "Pending", IF(N1854&lt;=30, "Met", "Breached"))</f>
        <v/>
      </c>
    </row>
    <row r="1855">
      <c r="M1855" s="11">
        <f>B1855+30</f>
        <v/>
      </c>
      <c r="N1855">
        <f>IF(L1855="", "", L1855-B1855)</f>
        <v/>
      </c>
      <c r="O1855">
        <f>IF(L1855="", "Pending", IF(N1855&lt;=30, "Met", "Breached"))</f>
        <v/>
      </c>
    </row>
    <row r="1856">
      <c r="M1856" s="11">
        <f>B1856+30</f>
        <v/>
      </c>
      <c r="N1856">
        <f>IF(L1856="", "", L1856-B1856)</f>
        <v/>
      </c>
      <c r="O1856">
        <f>IF(L1856="", "Pending", IF(N1856&lt;=30, "Met", "Breached"))</f>
        <v/>
      </c>
    </row>
    <row r="1857">
      <c r="M1857" s="11">
        <f>B1857+30</f>
        <v/>
      </c>
      <c r="N1857">
        <f>IF(L1857="", "", L1857-B1857)</f>
        <v/>
      </c>
      <c r="O1857">
        <f>IF(L1857="", "Pending", IF(N1857&lt;=30, "Met", "Breached"))</f>
        <v/>
      </c>
    </row>
    <row r="1858">
      <c r="M1858" s="11">
        <f>B1858+30</f>
        <v/>
      </c>
      <c r="N1858">
        <f>IF(L1858="", "", L1858-B1858)</f>
        <v/>
      </c>
      <c r="O1858">
        <f>IF(L1858="", "Pending", IF(N1858&lt;=30, "Met", "Breached"))</f>
        <v/>
      </c>
    </row>
    <row r="1859">
      <c r="M1859" s="11">
        <f>B1859+30</f>
        <v/>
      </c>
      <c r="N1859">
        <f>IF(L1859="", "", L1859-B1859)</f>
        <v/>
      </c>
      <c r="O1859">
        <f>IF(L1859="", "Pending", IF(N1859&lt;=30, "Met", "Breached"))</f>
        <v/>
      </c>
    </row>
    <row r="1860">
      <c r="M1860" s="11">
        <f>B1860+30</f>
        <v/>
      </c>
      <c r="N1860">
        <f>IF(L1860="", "", L1860-B1860)</f>
        <v/>
      </c>
      <c r="O1860">
        <f>IF(L1860="", "Pending", IF(N1860&lt;=30, "Met", "Breached"))</f>
        <v/>
      </c>
    </row>
    <row r="1861">
      <c r="M1861" s="11">
        <f>B1861+30</f>
        <v/>
      </c>
      <c r="N1861">
        <f>IF(L1861="", "", L1861-B1861)</f>
        <v/>
      </c>
      <c r="O1861">
        <f>IF(L1861="", "Pending", IF(N1861&lt;=30, "Met", "Breached"))</f>
        <v/>
      </c>
    </row>
    <row r="1862">
      <c r="M1862" s="11">
        <f>B1862+30</f>
        <v/>
      </c>
      <c r="N1862">
        <f>IF(L1862="", "", L1862-B1862)</f>
        <v/>
      </c>
      <c r="O1862">
        <f>IF(L1862="", "Pending", IF(N1862&lt;=30, "Met", "Breached"))</f>
        <v/>
      </c>
    </row>
    <row r="1863">
      <c r="M1863" s="11">
        <f>B1863+30</f>
        <v/>
      </c>
      <c r="N1863">
        <f>IF(L1863="", "", L1863-B1863)</f>
        <v/>
      </c>
      <c r="O1863">
        <f>IF(L1863="", "Pending", IF(N1863&lt;=30, "Met", "Breached"))</f>
        <v/>
      </c>
    </row>
    <row r="1864">
      <c r="M1864" s="11">
        <f>B1864+30</f>
        <v/>
      </c>
      <c r="N1864">
        <f>IF(L1864="", "", L1864-B1864)</f>
        <v/>
      </c>
      <c r="O1864">
        <f>IF(L1864="", "Pending", IF(N1864&lt;=30, "Met", "Breached"))</f>
        <v/>
      </c>
    </row>
    <row r="1865">
      <c r="M1865" s="11">
        <f>B1865+30</f>
        <v/>
      </c>
      <c r="N1865">
        <f>IF(L1865="", "", L1865-B1865)</f>
        <v/>
      </c>
      <c r="O1865">
        <f>IF(L1865="", "Pending", IF(N1865&lt;=30, "Met", "Breached"))</f>
        <v/>
      </c>
    </row>
    <row r="1866">
      <c r="M1866" s="11">
        <f>B1866+30</f>
        <v/>
      </c>
      <c r="N1866">
        <f>IF(L1866="", "", L1866-B1866)</f>
        <v/>
      </c>
      <c r="O1866">
        <f>IF(L1866="", "Pending", IF(N1866&lt;=30, "Met", "Breached"))</f>
        <v/>
      </c>
    </row>
    <row r="1867">
      <c r="M1867" s="11">
        <f>B1867+30</f>
        <v/>
      </c>
      <c r="N1867">
        <f>IF(L1867="", "", L1867-B1867)</f>
        <v/>
      </c>
      <c r="O1867">
        <f>IF(L1867="", "Pending", IF(N1867&lt;=30, "Met", "Breached"))</f>
        <v/>
      </c>
    </row>
    <row r="1868">
      <c r="M1868" s="11">
        <f>B1868+30</f>
        <v/>
      </c>
      <c r="N1868">
        <f>IF(L1868="", "", L1868-B1868)</f>
        <v/>
      </c>
      <c r="O1868">
        <f>IF(L1868="", "Pending", IF(N1868&lt;=30, "Met", "Breached"))</f>
        <v/>
      </c>
    </row>
    <row r="1869">
      <c r="M1869" s="11">
        <f>B1869+30</f>
        <v/>
      </c>
      <c r="N1869">
        <f>IF(L1869="", "", L1869-B1869)</f>
        <v/>
      </c>
      <c r="O1869">
        <f>IF(L1869="", "Pending", IF(N1869&lt;=30, "Met", "Breached"))</f>
        <v/>
      </c>
    </row>
    <row r="1870">
      <c r="M1870" s="11">
        <f>B1870+30</f>
        <v/>
      </c>
      <c r="N1870">
        <f>IF(L1870="", "", L1870-B1870)</f>
        <v/>
      </c>
      <c r="O1870">
        <f>IF(L1870="", "Pending", IF(N1870&lt;=30, "Met", "Breached"))</f>
        <v/>
      </c>
    </row>
    <row r="1871">
      <c r="M1871" s="11">
        <f>B1871+30</f>
        <v/>
      </c>
      <c r="N1871">
        <f>IF(L1871="", "", L1871-B1871)</f>
        <v/>
      </c>
      <c r="O1871">
        <f>IF(L1871="", "Pending", IF(N1871&lt;=30, "Met", "Breached"))</f>
        <v/>
      </c>
    </row>
    <row r="1872">
      <c r="M1872" s="11">
        <f>B1872+30</f>
        <v/>
      </c>
      <c r="N1872">
        <f>IF(L1872="", "", L1872-B1872)</f>
        <v/>
      </c>
      <c r="O1872">
        <f>IF(L1872="", "Pending", IF(N1872&lt;=30, "Met", "Breached"))</f>
        <v/>
      </c>
    </row>
    <row r="1873">
      <c r="M1873" s="11">
        <f>B1873+30</f>
        <v/>
      </c>
      <c r="N1873">
        <f>IF(L1873="", "", L1873-B1873)</f>
        <v/>
      </c>
      <c r="O1873">
        <f>IF(L1873="", "Pending", IF(N1873&lt;=30, "Met", "Breached"))</f>
        <v/>
      </c>
    </row>
    <row r="1874">
      <c r="M1874" s="11">
        <f>B1874+30</f>
        <v/>
      </c>
      <c r="N1874">
        <f>IF(L1874="", "", L1874-B1874)</f>
        <v/>
      </c>
      <c r="O1874">
        <f>IF(L1874="", "Pending", IF(N1874&lt;=30, "Met", "Breached"))</f>
        <v/>
      </c>
    </row>
    <row r="1875">
      <c r="M1875" s="11">
        <f>B1875+30</f>
        <v/>
      </c>
      <c r="N1875">
        <f>IF(L1875="", "", L1875-B1875)</f>
        <v/>
      </c>
      <c r="O1875">
        <f>IF(L1875="", "Pending", IF(N1875&lt;=30, "Met", "Breached"))</f>
        <v/>
      </c>
    </row>
    <row r="1876">
      <c r="M1876" s="11">
        <f>B1876+30</f>
        <v/>
      </c>
      <c r="N1876">
        <f>IF(L1876="", "", L1876-B1876)</f>
        <v/>
      </c>
      <c r="O1876">
        <f>IF(L1876="", "Pending", IF(N1876&lt;=30, "Met", "Breached"))</f>
        <v/>
      </c>
    </row>
    <row r="1877">
      <c r="M1877" s="11">
        <f>B1877+30</f>
        <v/>
      </c>
      <c r="N1877">
        <f>IF(L1877="", "", L1877-B1877)</f>
        <v/>
      </c>
      <c r="O1877">
        <f>IF(L1877="", "Pending", IF(N1877&lt;=30, "Met", "Breached"))</f>
        <v/>
      </c>
    </row>
    <row r="1878">
      <c r="M1878" s="11">
        <f>B1878+30</f>
        <v/>
      </c>
      <c r="N1878">
        <f>IF(L1878="", "", L1878-B1878)</f>
        <v/>
      </c>
      <c r="O1878">
        <f>IF(L1878="", "Pending", IF(N1878&lt;=30, "Met", "Breached"))</f>
        <v/>
      </c>
    </row>
    <row r="1879">
      <c r="M1879" s="11">
        <f>B1879+30</f>
        <v/>
      </c>
      <c r="N1879">
        <f>IF(L1879="", "", L1879-B1879)</f>
        <v/>
      </c>
      <c r="O1879">
        <f>IF(L1879="", "Pending", IF(N1879&lt;=30, "Met", "Breached"))</f>
        <v/>
      </c>
    </row>
    <row r="1880">
      <c r="M1880" s="11">
        <f>B1880+30</f>
        <v/>
      </c>
      <c r="N1880">
        <f>IF(L1880="", "", L1880-B1880)</f>
        <v/>
      </c>
      <c r="O1880">
        <f>IF(L1880="", "Pending", IF(N1880&lt;=30, "Met", "Breached"))</f>
        <v/>
      </c>
    </row>
    <row r="1881">
      <c r="M1881" s="11">
        <f>B1881+30</f>
        <v/>
      </c>
      <c r="N1881">
        <f>IF(L1881="", "", L1881-B1881)</f>
        <v/>
      </c>
      <c r="O1881">
        <f>IF(L1881="", "Pending", IF(N1881&lt;=30, "Met", "Breached"))</f>
        <v/>
      </c>
    </row>
    <row r="1882">
      <c r="M1882" s="11">
        <f>B1882+30</f>
        <v/>
      </c>
      <c r="N1882">
        <f>IF(L1882="", "", L1882-B1882)</f>
        <v/>
      </c>
      <c r="O1882">
        <f>IF(L1882="", "Pending", IF(N1882&lt;=30, "Met", "Breached"))</f>
        <v/>
      </c>
    </row>
    <row r="1883">
      <c r="M1883" s="11">
        <f>B1883+30</f>
        <v/>
      </c>
      <c r="N1883">
        <f>IF(L1883="", "", L1883-B1883)</f>
        <v/>
      </c>
      <c r="O1883">
        <f>IF(L1883="", "Pending", IF(N1883&lt;=30, "Met", "Breached"))</f>
        <v/>
      </c>
    </row>
    <row r="1884">
      <c r="M1884" s="11">
        <f>B1884+30</f>
        <v/>
      </c>
      <c r="N1884">
        <f>IF(L1884="", "", L1884-B1884)</f>
        <v/>
      </c>
      <c r="O1884">
        <f>IF(L1884="", "Pending", IF(N1884&lt;=30, "Met", "Breached"))</f>
        <v/>
      </c>
    </row>
    <row r="1885">
      <c r="M1885" s="11">
        <f>B1885+30</f>
        <v/>
      </c>
      <c r="N1885">
        <f>IF(L1885="", "", L1885-B1885)</f>
        <v/>
      </c>
      <c r="O1885">
        <f>IF(L1885="", "Pending", IF(N1885&lt;=30, "Met", "Breached"))</f>
        <v/>
      </c>
    </row>
    <row r="1886">
      <c r="M1886" s="11">
        <f>B1886+30</f>
        <v/>
      </c>
      <c r="N1886">
        <f>IF(L1886="", "", L1886-B1886)</f>
        <v/>
      </c>
      <c r="O1886">
        <f>IF(L1886="", "Pending", IF(N1886&lt;=30, "Met", "Breached"))</f>
        <v/>
      </c>
    </row>
    <row r="1887">
      <c r="M1887" s="11">
        <f>B1887+30</f>
        <v/>
      </c>
      <c r="N1887">
        <f>IF(L1887="", "", L1887-B1887)</f>
        <v/>
      </c>
      <c r="O1887">
        <f>IF(L1887="", "Pending", IF(N1887&lt;=30, "Met", "Breached"))</f>
        <v/>
      </c>
    </row>
    <row r="1888">
      <c r="M1888" s="11">
        <f>B1888+30</f>
        <v/>
      </c>
      <c r="N1888">
        <f>IF(L1888="", "", L1888-B1888)</f>
        <v/>
      </c>
      <c r="O1888">
        <f>IF(L1888="", "Pending", IF(N1888&lt;=30, "Met", "Breached"))</f>
        <v/>
      </c>
    </row>
    <row r="1889">
      <c r="M1889" s="11">
        <f>B1889+30</f>
        <v/>
      </c>
      <c r="N1889">
        <f>IF(L1889="", "", L1889-B1889)</f>
        <v/>
      </c>
      <c r="O1889">
        <f>IF(L1889="", "Pending", IF(N1889&lt;=30, "Met", "Breached"))</f>
        <v/>
      </c>
    </row>
    <row r="1890">
      <c r="M1890" s="11">
        <f>B1890+30</f>
        <v/>
      </c>
      <c r="N1890">
        <f>IF(L1890="", "", L1890-B1890)</f>
        <v/>
      </c>
      <c r="O1890">
        <f>IF(L1890="", "Pending", IF(N1890&lt;=30, "Met", "Breached"))</f>
        <v/>
      </c>
    </row>
    <row r="1891">
      <c r="M1891" s="11">
        <f>B1891+30</f>
        <v/>
      </c>
      <c r="N1891">
        <f>IF(L1891="", "", L1891-B1891)</f>
        <v/>
      </c>
      <c r="O1891">
        <f>IF(L1891="", "Pending", IF(N1891&lt;=30, "Met", "Breached"))</f>
        <v/>
      </c>
    </row>
    <row r="1892">
      <c r="M1892" s="11">
        <f>B1892+30</f>
        <v/>
      </c>
      <c r="N1892">
        <f>IF(L1892="", "", L1892-B1892)</f>
        <v/>
      </c>
      <c r="O1892">
        <f>IF(L1892="", "Pending", IF(N1892&lt;=30, "Met", "Breached"))</f>
        <v/>
      </c>
    </row>
    <row r="1893">
      <c r="M1893" s="11">
        <f>B1893+30</f>
        <v/>
      </c>
      <c r="N1893">
        <f>IF(L1893="", "", L1893-B1893)</f>
        <v/>
      </c>
      <c r="O1893">
        <f>IF(L1893="", "Pending", IF(N1893&lt;=30, "Met", "Breached"))</f>
        <v/>
      </c>
    </row>
    <row r="1894">
      <c r="M1894" s="11">
        <f>B1894+30</f>
        <v/>
      </c>
      <c r="N1894">
        <f>IF(L1894="", "", L1894-B1894)</f>
        <v/>
      </c>
      <c r="O1894">
        <f>IF(L1894="", "Pending", IF(N1894&lt;=30, "Met", "Breached"))</f>
        <v/>
      </c>
    </row>
    <row r="1895">
      <c r="M1895" s="11">
        <f>B1895+30</f>
        <v/>
      </c>
      <c r="N1895">
        <f>IF(L1895="", "", L1895-B1895)</f>
        <v/>
      </c>
      <c r="O1895">
        <f>IF(L1895="", "Pending", IF(N1895&lt;=30, "Met", "Breached"))</f>
        <v/>
      </c>
    </row>
    <row r="1896">
      <c r="M1896" s="11">
        <f>B1896+30</f>
        <v/>
      </c>
      <c r="N1896">
        <f>IF(L1896="", "", L1896-B1896)</f>
        <v/>
      </c>
      <c r="O1896">
        <f>IF(L1896="", "Pending", IF(N1896&lt;=30, "Met", "Breached"))</f>
        <v/>
      </c>
    </row>
    <row r="1897">
      <c r="M1897" s="11">
        <f>B1897+30</f>
        <v/>
      </c>
      <c r="N1897">
        <f>IF(L1897="", "", L1897-B1897)</f>
        <v/>
      </c>
      <c r="O1897">
        <f>IF(L1897="", "Pending", IF(N1897&lt;=30, "Met", "Breached"))</f>
        <v/>
      </c>
    </row>
    <row r="1898">
      <c r="M1898" s="11">
        <f>B1898+30</f>
        <v/>
      </c>
      <c r="N1898">
        <f>IF(L1898="", "", L1898-B1898)</f>
        <v/>
      </c>
      <c r="O1898">
        <f>IF(L1898="", "Pending", IF(N1898&lt;=30, "Met", "Breached"))</f>
        <v/>
      </c>
    </row>
    <row r="1899">
      <c r="M1899" s="11">
        <f>B1899+30</f>
        <v/>
      </c>
      <c r="N1899">
        <f>IF(L1899="", "", L1899-B1899)</f>
        <v/>
      </c>
      <c r="O1899">
        <f>IF(L1899="", "Pending", IF(N1899&lt;=30, "Met", "Breached"))</f>
        <v/>
      </c>
    </row>
    <row r="1900">
      <c r="M1900" s="11">
        <f>B1900+30</f>
        <v/>
      </c>
      <c r="N1900">
        <f>IF(L1900="", "", L1900-B1900)</f>
        <v/>
      </c>
      <c r="O1900">
        <f>IF(L1900="", "Pending", IF(N1900&lt;=30, "Met", "Breached"))</f>
        <v/>
      </c>
    </row>
    <row r="1901">
      <c r="M1901" s="11">
        <f>B1901+30</f>
        <v/>
      </c>
      <c r="N1901">
        <f>IF(L1901="", "", L1901-B1901)</f>
        <v/>
      </c>
      <c r="O1901">
        <f>IF(L1901="", "Pending", IF(N1901&lt;=30, "Met", "Breached"))</f>
        <v/>
      </c>
    </row>
    <row r="1902">
      <c r="M1902" s="11">
        <f>B1902+30</f>
        <v/>
      </c>
      <c r="N1902">
        <f>IF(L1902="", "", L1902-B1902)</f>
        <v/>
      </c>
      <c r="O1902">
        <f>IF(L1902="", "Pending", IF(N1902&lt;=30, "Met", "Breached"))</f>
        <v/>
      </c>
    </row>
    <row r="1903">
      <c r="M1903" s="11">
        <f>B1903+30</f>
        <v/>
      </c>
      <c r="N1903">
        <f>IF(L1903="", "", L1903-B1903)</f>
        <v/>
      </c>
      <c r="O1903">
        <f>IF(L1903="", "Pending", IF(N1903&lt;=30, "Met", "Breached"))</f>
        <v/>
      </c>
    </row>
    <row r="1904">
      <c r="M1904" s="11">
        <f>B1904+30</f>
        <v/>
      </c>
      <c r="N1904">
        <f>IF(L1904="", "", L1904-B1904)</f>
        <v/>
      </c>
      <c r="O1904">
        <f>IF(L1904="", "Pending", IF(N1904&lt;=30, "Met", "Breached"))</f>
        <v/>
      </c>
    </row>
    <row r="1905">
      <c r="M1905" s="11">
        <f>B1905+30</f>
        <v/>
      </c>
      <c r="N1905">
        <f>IF(L1905="", "", L1905-B1905)</f>
        <v/>
      </c>
      <c r="O1905">
        <f>IF(L1905="", "Pending", IF(N1905&lt;=30, "Met", "Breached"))</f>
        <v/>
      </c>
    </row>
    <row r="1906">
      <c r="M1906" s="11">
        <f>B1906+30</f>
        <v/>
      </c>
      <c r="N1906">
        <f>IF(L1906="", "", L1906-B1906)</f>
        <v/>
      </c>
      <c r="O1906">
        <f>IF(L1906="", "Pending", IF(N1906&lt;=30, "Met", "Breached"))</f>
        <v/>
      </c>
    </row>
    <row r="1907">
      <c r="M1907" s="11">
        <f>B1907+30</f>
        <v/>
      </c>
      <c r="N1907">
        <f>IF(L1907="", "", L1907-B1907)</f>
        <v/>
      </c>
      <c r="O1907">
        <f>IF(L1907="", "Pending", IF(N1907&lt;=30, "Met", "Breached"))</f>
        <v/>
      </c>
    </row>
    <row r="1908">
      <c r="M1908" s="11">
        <f>B1908+30</f>
        <v/>
      </c>
      <c r="N1908">
        <f>IF(L1908="", "", L1908-B1908)</f>
        <v/>
      </c>
      <c r="O1908">
        <f>IF(L1908="", "Pending", IF(N1908&lt;=30, "Met", "Breached"))</f>
        <v/>
      </c>
    </row>
    <row r="1909">
      <c r="M1909" s="11">
        <f>B1909+30</f>
        <v/>
      </c>
      <c r="N1909">
        <f>IF(L1909="", "", L1909-B1909)</f>
        <v/>
      </c>
      <c r="O1909">
        <f>IF(L1909="", "Pending", IF(N1909&lt;=30, "Met", "Breached"))</f>
        <v/>
      </c>
    </row>
    <row r="1910">
      <c r="M1910" s="11">
        <f>B1910+30</f>
        <v/>
      </c>
      <c r="N1910">
        <f>IF(L1910="", "", L1910-B1910)</f>
        <v/>
      </c>
      <c r="O1910">
        <f>IF(L1910="", "Pending", IF(N1910&lt;=30, "Met", "Breached"))</f>
        <v/>
      </c>
    </row>
    <row r="1911">
      <c r="M1911" s="11">
        <f>B1911+30</f>
        <v/>
      </c>
      <c r="N1911">
        <f>IF(L1911="", "", L1911-B1911)</f>
        <v/>
      </c>
      <c r="O1911">
        <f>IF(L1911="", "Pending", IF(N1911&lt;=30, "Met", "Breached"))</f>
        <v/>
      </c>
    </row>
    <row r="1912">
      <c r="M1912" s="11">
        <f>B1912+30</f>
        <v/>
      </c>
      <c r="N1912">
        <f>IF(L1912="", "", L1912-B1912)</f>
        <v/>
      </c>
      <c r="O1912">
        <f>IF(L1912="", "Pending", IF(N1912&lt;=30, "Met", "Breached"))</f>
        <v/>
      </c>
    </row>
    <row r="1913">
      <c r="M1913" s="11">
        <f>B1913+30</f>
        <v/>
      </c>
      <c r="N1913">
        <f>IF(L1913="", "", L1913-B1913)</f>
        <v/>
      </c>
      <c r="O1913">
        <f>IF(L1913="", "Pending", IF(N1913&lt;=30, "Met", "Breached"))</f>
        <v/>
      </c>
    </row>
    <row r="1914">
      <c r="M1914" s="11">
        <f>B1914+30</f>
        <v/>
      </c>
      <c r="N1914">
        <f>IF(L1914="", "", L1914-B1914)</f>
        <v/>
      </c>
      <c r="O1914">
        <f>IF(L1914="", "Pending", IF(N1914&lt;=30, "Met", "Breached"))</f>
        <v/>
      </c>
    </row>
    <row r="1915">
      <c r="M1915" s="11">
        <f>B1915+30</f>
        <v/>
      </c>
      <c r="N1915">
        <f>IF(L1915="", "", L1915-B1915)</f>
        <v/>
      </c>
      <c r="O1915">
        <f>IF(L1915="", "Pending", IF(N1915&lt;=30, "Met", "Breached"))</f>
        <v/>
      </c>
    </row>
    <row r="1916">
      <c r="M1916" s="11">
        <f>B1916+30</f>
        <v/>
      </c>
      <c r="N1916">
        <f>IF(L1916="", "", L1916-B1916)</f>
        <v/>
      </c>
      <c r="O1916">
        <f>IF(L1916="", "Pending", IF(N1916&lt;=30, "Met", "Breached"))</f>
        <v/>
      </c>
    </row>
    <row r="1917">
      <c r="M1917" s="11">
        <f>B1917+30</f>
        <v/>
      </c>
      <c r="N1917">
        <f>IF(L1917="", "", L1917-B1917)</f>
        <v/>
      </c>
      <c r="O1917">
        <f>IF(L1917="", "Pending", IF(N1917&lt;=30, "Met", "Breached"))</f>
        <v/>
      </c>
    </row>
    <row r="1918">
      <c r="M1918" s="11">
        <f>B1918+30</f>
        <v/>
      </c>
      <c r="N1918">
        <f>IF(L1918="", "", L1918-B1918)</f>
        <v/>
      </c>
      <c r="O1918">
        <f>IF(L1918="", "Pending", IF(N1918&lt;=30, "Met", "Breached"))</f>
        <v/>
      </c>
    </row>
    <row r="1919">
      <c r="M1919" s="11">
        <f>B1919+30</f>
        <v/>
      </c>
      <c r="N1919">
        <f>IF(L1919="", "", L1919-B1919)</f>
        <v/>
      </c>
      <c r="O1919">
        <f>IF(L1919="", "Pending", IF(N1919&lt;=30, "Met", "Breached"))</f>
        <v/>
      </c>
    </row>
    <row r="1920">
      <c r="M1920" s="11">
        <f>B1920+30</f>
        <v/>
      </c>
      <c r="N1920">
        <f>IF(L1920="", "", L1920-B1920)</f>
        <v/>
      </c>
      <c r="O1920">
        <f>IF(L1920="", "Pending", IF(N1920&lt;=30, "Met", "Breached"))</f>
        <v/>
      </c>
    </row>
    <row r="1921">
      <c r="M1921" s="11">
        <f>B1921+30</f>
        <v/>
      </c>
      <c r="N1921">
        <f>IF(L1921="", "", L1921-B1921)</f>
        <v/>
      </c>
      <c r="O1921">
        <f>IF(L1921="", "Pending", IF(N1921&lt;=30, "Met", "Breached"))</f>
        <v/>
      </c>
    </row>
    <row r="1922">
      <c r="M1922" s="11">
        <f>B1922+30</f>
        <v/>
      </c>
      <c r="N1922">
        <f>IF(L1922="", "", L1922-B1922)</f>
        <v/>
      </c>
      <c r="O1922">
        <f>IF(L1922="", "Pending", IF(N1922&lt;=30, "Met", "Breached"))</f>
        <v/>
      </c>
    </row>
    <row r="1923">
      <c r="M1923" s="11">
        <f>B1923+30</f>
        <v/>
      </c>
      <c r="N1923">
        <f>IF(L1923="", "", L1923-B1923)</f>
        <v/>
      </c>
      <c r="O1923">
        <f>IF(L1923="", "Pending", IF(N1923&lt;=30, "Met", "Breached"))</f>
        <v/>
      </c>
    </row>
    <row r="1924">
      <c r="M1924" s="11">
        <f>B1924+30</f>
        <v/>
      </c>
      <c r="N1924">
        <f>IF(L1924="", "", L1924-B1924)</f>
        <v/>
      </c>
      <c r="O1924">
        <f>IF(L1924="", "Pending", IF(N1924&lt;=30, "Met", "Breached"))</f>
        <v/>
      </c>
    </row>
    <row r="1925">
      <c r="M1925" s="11">
        <f>B1925+30</f>
        <v/>
      </c>
      <c r="N1925">
        <f>IF(L1925="", "", L1925-B1925)</f>
        <v/>
      </c>
      <c r="O1925">
        <f>IF(L1925="", "Pending", IF(N1925&lt;=30, "Met", "Breached"))</f>
        <v/>
      </c>
    </row>
    <row r="1926">
      <c r="M1926" s="11">
        <f>B1926+30</f>
        <v/>
      </c>
      <c r="N1926">
        <f>IF(L1926="", "", L1926-B1926)</f>
        <v/>
      </c>
      <c r="O1926">
        <f>IF(L1926="", "Pending", IF(N1926&lt;=30, "Met", "Breached"))</f>
        <v/>
      </c>
    </row>
    <row r="1927">
      <c r="M1927" s="11">
        <f>B1927+30</f>
        <v/>
      </c>
      <c r="N1927">
        <f>IF(L1927="", "", L1927-B1927)</f>
        <v/>
      </c>
      <c r="O1927">
        <f>IF(L1927="", "Pending", IF(N1927&lt;=30, "Met", "Breached"))</f>
        <v/>
      </c>
    </row>
    <row r="1928">
      <c r="M1928" s="11">
        <f>B1928+30</f>
        <v/>
      </c>
      <c r="N1928">
        <f>IF(L1928="", "", L1928-B1928)</f>
        <v/>
      </c>
      <c r="O1928">
        <f>IF(L1928="", "Pending", IF(N1928&lt;=30, "Met", "Breached"))</f>
        <v/>
      </c>
    </row>
    <row r="1929">
      <c r="M1929" s="11">
        <f>B1929+30</f>
        <v/>
      </c>
      <c r="N1929">
        <f>IF(L1929="", "", L1929-B1929)</f>
        <v/>
      </c>
      <c r="O1929">
        <f>IF(L1929="", "Pending", IF(N1929&lt;=30, "Met", "Breached"))</f>
        <v/>
      </c>
    </row>
    <row r="1930">
      <c r="M1930" s="11">
        <f>B1930+30</f>
        <v/>
      </c>
      <c r="N1930">
        <f>IF(L1930="", "", L1930-B1930)</f>
        <v/>
      </c>
      <c r="O1930">
        <f>IF(L1930="", "Pending", IF(N1930&lt;=30, "Met", "Breached"))</f>
        <v/>
      </c>
    </row>
    <row r="1931">
      <c r="M1931" s="11">
        <f>B1931+30</f>
        <v/>
      </c>
      <c r="N1931">
        <f>IF(L1931="", "", L1931-B1931)</f>
        <v/>
      </c>
      <c r="O1931">
        <f>IF(L1931="", "Pending", IF(N1931&lt;=30, "Met", "Breached"))</f>
        <v/>
      </c>
    </row>
    <row r="1932">
      <c r="M1932" s="11">
        <f>B1932+30</f>
        <v/>
      </c>
      <c r="N1932">
        <f>IF(L1932="", "", L1932-B1932)</f>
        <v/>
      </c>
      <c r="O1932">
        <f>IF(L1932="", "Pending", IF(N1932&lt;=30, "Met", "Breached"))</f>
        <v/>
      </c>
    </row>
    <row r="1933">
      <c r="M1933" s="11">
        <f>B1933+30</f>
        <v/>
      </c>
      <c r="N1933">
        <f>IF(L1933="", "", L1933-B1933)</f>
        <v/>
      </c>
      <c r="O1933">
        <f>IF(L1933="", "Pending", IF(N1933&lt;=30, "Met", "Breached"))</f>
        <v/>
      </c>
    </row>
    <row r="1934">
      <c r="M1934" s="11">
        <f>B1934+30</f>
        <v/>
      </c>
      <c r="N1934">
        <f>IF(L1934="", "", L1934-B1934)</f>
        <v/>
      </c>
      <c r="O1934">
        <f>IF(L1934="", "Pending", IF(N1934&lt;=30, "Met", "Breached"))</f>
        <v/>
      </c>
    </row>
    <row r="1935">
      <c r="M1935" s="11">
        <f>B1935+30</f>
        <v/>
      </c>
      <c r="N1935">
        <f>IF(L1935="", "", L1935-B1935)</f>
        <v/>
      </c>
      <c r="O1935">
        <f>IF(L1935="", "Pending", IF(N1935&lt;=30, "Met", "Breached"))</f>
        <v/>
      </c>
    </row>
    <row r="1936">
      <c r="M1936" s="11">
        <f>B1936+30</f>
        <v/>
      </c>
      <c r="N1936">
        <f>IF(L1936="", "", L1936-B1936)</f>
        <v/>
      </c>
      <c r="O1936">
        <f>IF(L1936="", "Pending", IF(N1936&lt;=30, "Met", "Breached"))</f>
        <v/>
      </c>
    </row>
    <row r="1937">
      <c r="M1937" s="11">
        <f>B1937+30</f>
        <v/>
      </c>
      <c r="N1937">
        <f>IF(L1937="", "", L1937-B1937)</f>
        <v/>
      </c>
      <c r="O1937">
        <f>IF(L1937="", "Pending", IF(N1937&lt;=30, "Met", "Breached"))</f>
        <v/>
      </c>
    </row>
    <row r="1938">
      <c r="M1938" s="11">
        <f>B1938+30</f>
        <v/>
      </c>
      <c r="N1938">
        <f>IF(L1938="", "", L1938-B1938)</f>
        <v/>
      </c>
      <c r="O1938">
        <f>IF(L1938="", "Pending", IF(N1938&lt;=30, "Met", "Breached"))</f>
        <v/>
      </c>
    </row>
    <row r="1939">
      <c r="M1939" s="11">
        <f>B1939+30</f>
        <v/>
      </c>
      <c r="N1939">
        <f>IF(L1939="", "", L1939-B1939)</f>
        <v/>
      </c>
      <c r="O1939">
        <f>IF(L1939="", "Pending", IF(N1939&lt;=30, "Met", "Breached"))</f>
        <v/>
      </c>
    </row>
    <row r="1940">
      <c r="M1940" s="11">
        <f>B1940+30</f>
        <v/>
      </c>
      <c r="N1940">
        <f>IF(L1940="", "", L1940-B1940)</f>
        <v/>
      </c>
      <c r="O1940">
        <f>IF(L1940="", "Pending", IF(N1940&lt;=30, "Met", "Breached"))</f>
        <v/>
      </c>
    </row>
    <row r="1941">
      <c r="M1941" s="11">
        <f>B1941+30</f>
        <v/>
      </c>
      <c r="N1941">
        <f>IF(L1941="", "", L1941-B1941)</f>
        <v/>
      </c>
      <c r="O1941">
        <f>IF(L1941="", "Pending", IF(N1941&lt;=30, "Met", "Breached"))</f>
        <v/>
      </c>
    </row>
    <row r="1942">
      <c r="M1942" s="11">
        <f>B1942+30</f>
        <v/>
      </c>
      <c r="N1942">
        <f>IF(L1942="", "", L1942-B1942)</f>
        <v/>
      </c>
      <c r="O1942">
        <f>IF(L1942="", "Pending", IF(N1942&lt;=30, "Met", "Breached"))</f>
        <v/>
      </c>
    </row>
    <row r="1943">
      <c r="M1943" s="11">
        <f>B1943+30</f>
        <v/>
      </c>
      <c r="N1943">
        <f>IF(L1943="", "", L1943-B1943)</f>
        <v/>
      </c>
      <c r="O1943">
        <f>IF(L1943="", "Pending", IF(N1943&lt;=30, "Met", "Breached"))</f>
        <v/>
      </c>
    </row>
    <row r="1944">
      <c r="M1944" s="11">
        <f>B1944+30</f>
        <v/>
      </c>
      <c r="N1944">
        <f>IF(L1944="", "", L1944-B1944)</f>
        <v/>
      </c>
      <c r="O1944">
        <f>IF(L1944="", "Pending", IF(N1944&lt;=30, "Met", "Breached"))</f>
        <v/>
      </c>
    </row>
    <row r="1945">
      <c r="M1945" s="11">
        <f>B1945+30</f>
        <v/>
      </c>
      <c r="N1945">
        <f>IF(L1945="", "", L1945-B1945)</f>
        <v/>
      </c>
      <c r="O1945">
        <f>IF(L1945="", "Pending", IF(N1945&lt;=30, "Met", "Breached"))</f>
        <v/>
      </c>
    </row>
    <row r="1946">
      <c r="M1946" s="11">
        <f>B1946+30</f>
        <v/>
      </c>
      <c r="N1946">
        <f>IF(L1946="", "", L1946-B1946)</f>
        <v/>
      </c>
      <c r="O1946">
        <f>IF(L1946="", "Pending", IF(N1946&lt;=30, "Met", "Breached"))</f>
        <v/>
      </c>
    </row>
    <row r="1947">
      <c r="M1947" s="11">
        <f>B1947+30</f>
        <v/>
      </c>
      <c r="N1947">
        <f>IF(L1947="", "", L1947-B1947)</f>
        <v/>
      </c>
      <c r="O1947">
        <f>IF(L1947="", "Pending", IF(N1947&lt;=30, "Met", "Breached"))</f>
        <v/>
      </c>
    </row>
    <row r="1948">
      <c r="M1948" s="11">
        <f>B1948+30</f>
        <v/>
      </c>
      <c r="N1948">
        <f>IF(L1948="", "", L1948-B1948)</f>
        <v/>
      </c>
      <c r="O1948">
        <f>IF(L1948="", "Pending", IF(N1948&lt;=30, "Met", "Breached"))</f>
        <v/>
      </c>
    </row>
    <row r="1949">
      <c r="M1949" s="11">
        <f>B1949+30</f>
        <v/>
      </c>
      <c r="N1949">
        <f>IF(L1949="", "", L1949-B1949)</f>
        <v/>
      </c>
      <c r="O1949">
        <f>IF(L1949="", "Pending", IF(N1949&lt;=30, "Met", "Breached"))</f>
        <v/>
      </c>
    </row>
    <row r="1950">
      <c r="M1950" s="11">
        <f>B1950+30</f>
        <v/>
      </c>
      <c r="N1950">
        <f>IF(L1950="", "", L1950-B1950)</f>
        <v/>
      </c>
      <c r="O1950">
        <f>IF(L1950="", "Pending", IF(N1950&lt;=30, "Met", "Breached"))</f>
        <v/>
      </c>
    </row>
    <row r="1951">
      <c r="M1951" s="11">
        <f>B1951+30</f>
        <v/>
      </c>
      <c r="N1951">
        <f>IF(L1951="", "", L1951-B1951)</f>
        <v/>
      </c>
      <c r="O1951">
        <f>IF(L1951="", "Pending", IF(N1951&lt;=30, "Met", "Breached"))</f>
        <v/>
      </c>
    </row>
    <row r="1952">
      <c r="M1952" s="11">
        <f>B1952+30</f>
        <v/>
      </c>
      <c r="N1952">
        <f>IF(L1952="", "", L1952-B1952)</f>
        <v/>
      </c>
      <c r="O1952">
        <f>IF(L1952="", "Pending", IF(N1952&lt;=30, "Met", "Breached"))</f>
        <v/>
      </c>
    </row>
    <row r="1953">
      <c r="M1953" s="11">
        <f>B1953+30</f>
        <v/>
      </c>
      <c r="N1953">
        <f>IF(L1953="", "", L1953-B1953)</f>
        <v/>
      </c>
      <c r="O1953">
        <f>IF(L1953="", "Pending", IF(N1953&lt;=30, "Met", "Breached"))</f>
        <v/>
      </c>
    </row>
    <row r="1954">
      <c r="M1954" s="11">
        <f>B1954+30</f>
        <v/>
      </c>
      <c r="N1954">
        <f>IF(L1954="", "", L1954-B1954)</f>
        <v/>
      </c>
      <c r="O1954">
        <f>IF(L1954="", "Pending", IF(N1954&lt;=30, "Met", "Breached"))</f>
        <v/>
      </c>
    </row>
    <row r="1955">
      <c r="M1955" s="11">
        <f>B1955+30</f>
        <v/>
      </c>
      <c r="N1955">
        <f>IF(L1955="", "", L1955-B1955)</f>
        <v/>
      </c>
      <c r="O1955">
        <f>IF(L1955="", "Pending", IF(N1955&lt;=30, "Met", "Breached"))</f>
        <v/>
      </c>
    </row>
    <row r="1956">
      <c r="M1956" s="11">
        <f>B1956+30</f>
        <v/>
      </c>
      <c r="N1956">
        <f>IF(L1956="", "", L1956-B1956)</f>
        <v/>
      </c>
      <c r="O1956">
        <f>IF(L1956="", "Pending", IF(N1956&lt;=30, "Met", "Breached"))</f>
        <v/>
      </c>
    </row>
    <row r="1957">
      <c r="M1957" s="11">
        <f>B1957+30</f>
        <v/>
      </c>
      <c r="N1957">
        <f>IF(L1957="", "", L1957-B1957)</f>
        <v/>
      </c>
      <c r="O1957">
        <f>IF(L1957="", "Pending", IF(N1957&lt;=30, "Met", "Breached"))</f>
        <v/>
      </c>
    </row>
    <row r="1958">
      <c r="M1958" s="11">
        <f>B1958+30</f>
        <v/>
      </c>
      <c r="N1958">
        <f>IF(L1958="", "", L1958-B1958)</f>
        <v/>
      </c>
      <c r="O1958">
        <f>IF(L1958="", "Pending", IF(N1958&lt;=30, "Met", "Breached"))</f>
        <v/>
      </c>
    </row>
    <row r="1959">
      <c r="M1959" s="11">
        <f>B1959+30</f>
        <v/>
      </c>
      <c r="N1959">
        <f>IF(L1959="", "", L1959-B1959)</f>
        <v/>
      </c>
      <c r="O1959">
        <f>IF(L1959="", "Pending", IF(N1959&lt;=30, "Met", "Breached"))</f>
        <v/>
      </c>
    </row>
    <row r="1960">
      <c r="M1960" s="11">
        <f>B1960+30</f>
        <v/>
      </c>
      <c r="N1960">
        <f>IF(L1960="", "", L1960-B1960)</f>
        <v/>
      </c>
      <c r="O1960">
        <f>IF(L1960="", "Pending", IF(N1960&lt;=30, "Met", "Breached"))</f>
        <v/>
      </c>
    </row>
    <row r="1961">
      <c r="M1961" s="11">
        <f>B1961+30</f>
        <v/>
      </c>
      <c r="N1961">
        <f>IF(L1961="", "", L1961-B1961)</f>
        <v/>
      </c>
      <c r="O1961">
        <f>IF(L1961="", "Pending", IF(N1961&lt;=30, "Met", "Breached"))</f>
        <v/>
      </c>
    </row>
    <row r="1962">
      <c r="M1962" s="11">
        <f>B1962+30</f>
        <v/>
      </c>
      <c r="N1962">
        <f>IF(L1962="", "", L1962-B1962)</f>
        <v/>
      </c>
      <c r="O1962">
        <f>IF(L1962="", "Pending", IF(N1962&lt;=30, "Met", "Breached"))</f>
        <v/>
      </c>
    </row>
    <row r="1963">
      <c r="M1963" s="11">
        <f>B1963+30</f>
        <v/>
      </c>
      <c r="N1963">
        <f>IF(L1963="", "", L1963-B1963)</f>
        <v/>
      </c>
      <c r="O1963">
        <f>IF(L1963="", "Pending", IF(N1963&lt;=30, "Met", "Breached"))</f>
        <v/>
      </c>
    </row>
    <row r="1964">
      <c r="M1964" s="11">
        <f>B1964+30</f>
        <v/>
      </c>
      <c r="N1964">
        <f>IF(L1964="", "", L1964-B1964)</f>
        <v/>
      </c>
      <c r="O1964">
        <f>IF(L1964="", "Pending", IF(N1964&lt;=30, "Met", "Breached"))</f>
        <v/>
      </c>
    </row>
    <row r="1965">
      <c r="M1965" s="11">
        <f>B1965+30</f>
        <v/>
      </c>
      <c r="N1965">
        <f>IF(L1965="", "", L1965-B1965)</f>
        <v/>
      </c>
      <c r="O1965">
        <f>IF(L1965="", "Pending", IF(N1965&lt;=30, "Met", "Breached"))</f>
        <v/>
      </c>
    </row>
    <row r="1966">
      <c r="M1966" s="11">
        <f>B1966+30</f>
        <v/>
      </c>
      <c r="N1966">
        <f>IF(L1966="", "", L1966-B1966)</f>
        <v/>
      </c>
      <c r="O1966">
        <f>IF(L1966="", "Pending", IF(N1966&lt;=30, "Met", "Breached"))</f>
        <v/>
      </c>
    </row>
    <row r="1967">
      <c r="M1967" s="11">
        <f>B1967+30</f>
        <v/>
      </c>
      <c r="N1967">
        <f>IF(L1967="", "", L1967-B1967)</f>
        <v/>
      </c>
      <c r="O1967">
        <f>IF(L1967="", "Pending", IF(N1967&lt;=30, "Met", "Breached"))</f>
        <v/>
      </c>
    </row>
    <row r="1968">
      <c r="M1968" s="11">
        <f>B1968+30</f>
        <v/>
      </c>
      <c r="N1968">
        <f>IF(L1968="", "", L1968-B1968)</f>
        <v/>
      </c>
      <c r="O1968">
        <f>IF(L1968="", "Pending", IF(N1968&lt;=30, "Met", "Breached"))</f>
        <v/>
      </c>
    </row>
    <row r="1969">
      <c r="M1969" s="11">
        <f>B1969+30</f>
        <v/>
      </c>
      <c r="N1969">
        <f>IF(L1969="", "", L1969-B1969)</f>
        <v/>
      </c>
      <c r="O1969">
        <f>IF(L1969="", "Pending", IF(N1969&lt;=30, "Met", "Breached"))</f>
        <v/>
      </c>
    </row>
    <row r="1970">
      <c r="M1970" s="11">
        <f>B1970+30</f>
        <v/>
      </c>
      <c r="N1970">
        <f>IF(L1970="", "", L1970-B1970)</f>
        <v/>
      </c>
      <c r="O1970">
        <f>IF(L1970="", "Pending", IF(N1970&lt;=30, "Met", "Breached"))</f>
        <v/>
      </c>
    </row>
    <row r="1971">
      <c r="M1971" s="11">
        <f>B1971+30</f>
        <v/>
      </c>
      <c r="N1971">
        <f>IF(L1971="", "", L1971-B1971)</f>
        <v/>
      </c>
      <c r="O1971">
        <f>IF(L1971="", "Pending", IF(N1971&lt;=30, "Met", "Breached"))</f>
        <v/>
      </c>
    </row>
    <row r="1972">
      <c r="M1972" s="11">
        <f>B1972+30</f>
        <v/>
      </c>
      <c r="N1972">
        <f>IF(L1972="", "", L1972-B1972)</f>
        <v/>
      </c>
      <c r="O1972">
        <f>IF(L1972="", "Pending", IF(N1972&lt;=30, "Met", "Breached"))</f>
        <v/>
      </c>
    </row>
    <row r="1973">
      <c r="M1973" s="11">
        <f>B1973+30</f>
        <v/>
      </c>
      <c r="N1973">
        <f>IF(L1973="", "", L1973-B1973)</f>
        <v/>
      </c>
      <c r="O1973">
        <f>IF(L1973="", "Pending", IF(N1973&lt;=30, "Met", "Breached"))</f>
        <v/>
      </c>
    </row>
    <row r="1974">
      <c r="M1974" s="11">
        <f>B1974+30</f>
        <v/>
      </c>
      <c r="N1974">
        <f>IF(L1974="", "", L1974-B1974)</f>
        <v/>
      </c>
      <c r="O1974">
        <f>IF(L1974="", "Pending", IF(N1974&lt;=30, "Met", "Breached"))</f>
        <v/>
      </c>
    </row>
    <row r="1975">
      <c r="M1975" s="11">
        <f>B1975+30</f>
        <v/>
      </c>
      <c r="N1975">
        <f>IF(L1975="", "", L1975-B1975)</f>
        <v/>
      </c>
      <c r="O1975">
        <f>IF(L1975="", "Pending", IF(N1975&lt;=30, "Met", "Breached"))</f>
        <v/>
      </c>
    </row>
    <row r="1976">
      <c r="M1976" s="11">
        <f>B1976+30</f>
        <v/>
      </c>
      <c r="N1976">
        <f>IF(L1976="", "", L1976-B1976)</f>
        <v/>
      </c>
      <c r="O1976">
        <f>IF(L1976="", "Pending", IF(N1976&lt;=30, "Met", "Breached"))</f>
        <v/>
      </c>
    </row>
    <row r="1977">
      <c r="M1977" s="11">
        <f>B1977+30</f>
        <v/>
      </c>
      <c r="N1977">
        <f>IF(L1977="", "", L1977-B1977)</f>
        <v/>
      </c>
      <c r="O1977">
        <f>IF(L1977="", "Pending", IF(N1977&lt;=30, "Met", "Breached"))</f>
        <v/>
      </c>
    </row>
    <row r="1978">
      <c r="M1978" s="11">
        <f>B1978+30</f>
        <v/>
      </c>
      <c r="N1978">
        <f>IF(L1978="", "", L1978-B1978)</f>
        <v/>
      </c>
      <c r="O1978">
        <f>IF(L1978="", "Pending", IF(N1978&lt;=30, "Met", "Breached"))</f>
        <v/>
      </c>
    </row>
    <row r="1979">
      <c r="M1979" s="11">
        <f>B1979+30</f>
        <v/>
      </c>
      <c r="N1979">
        <f>IF(L1979="", "", L1979-B1979)</f>
        <v/>
      </c>
      <c r="O1979">
        <f>IF(L1979="", "Pending", IF(N1979&lt;=30, "Met", "Breached"))</f>
        <v/>
      </c>
    </row>
    <row r="1980">
      <c r="M1980" s="11">
        <f>B1980+30</f>
        <v/>
      </c>
      <c r="N1980">
        <f>IF(L1980="", "", L1980-B1980)</f>
        <v/>
      </c>
      <c r="O1980">
        <f>IF(L1980="", "Pending", IF(N1980&lt;=30, "Met", "Breached"))</f>
        <v/>
      </c>
    </row>
    <row r="1981">
      <c r="M1981" s="11">
        <f>B1981+30</f>
        <v/>
      </c>
      <c r="N1981">
        <f>IF(L1981="", "", L1981-B1981)</f>
        <v/>
      </c>
      <c r="O1981">
        <f>IF(L1981="", "Pending", IF(N1981&lt;=30, "Met", "Breached"))</f>
        <v/>
      </c>
    </row>
    <row r="1982">
      <c r="M1982" s="11">
        <f>B1982+30</f>
        <v/>
      </c>
      <c r="N1982">
        <f>IF(L1982="", "", L1982-B1982)</f>
        <v/>
      </c>
      <c r="O1982">
        <f>IF(L1982="", "Pending", IF(N1982&lt;=30, "Met", "Breached"))</f>
        <v/>
      </c>
    </row>
    <row r="1983">
      <c r="M1983" s="11">
        <f>B1983+30</f>
        <v/>
      </c>
      <c r="N1983">
        <f>IF(L1983="", "", L1983-B1983)</f>
        <v/>
      </c>
      <c r="O1983">
        <f>IF(L1983="", "Pending", IF(N1983&lt;=30, "Met", "Breached"))</f>
        <v/>
      </c>
    </row>
    <row r="1984">
      <c r="M1984" s="11">
        <f>B1984+30</f>
        <v/>
      </c>
      <c r="N1984">
        <f>IF(L1984="", "", L1984-B1984)</f>
        <v/>
      </c>
      <c r="O1984">
        <f>IF(L1984="", "Pending", IF(N1984&lt;=30, "Met", "Breached"))</f>
        <v/>
      </c>
    </row>
    <row r="1985">
      <c r="M1985" s="11">
        <f>B1985+30</f>
        <v/>
      </c>
      <c r="N1985">
        <f>IF(L1985="", "", L1985-B1985)</f>
        <v/>
      </c>
      <c r="O1985">
        <f>IF(L1985="", "Pending", IF(N1985&lt;=30, "Met", "Breached"))</f>
        <v/>
      </c>
    </row>
    <row r="1986">
      <c r="M1986" s="11">
        <f>B1986+30</f>
        <v/>
      </c>
      <c r="N1986">
        <f>IF(L1986="", "", L1986-B1986)</f>
        <v/>
      </c>
      <c r="O1986">
        <f>IF(L1986="", "Pending", IF(N1986&lt;=30, "Met", "Breached"))</f>
        <v/>
      </c>
    </row>
    <row r="1987">
      <c r="M1987" s="11">
        <f>B1987+30</f>
        <v/>
      </c>
      <c r="N1987">
        <f>IF(L1987="", "", L1987-B1987)</f>
        <v/>
      </c>
      <c r="O1987">
        <f>IF(L1987="", "Pending", IF(N1987&lt;=30, "Met", "Breached"))</f>
        <v/>
      </c>
    </row>
    <row r="1988">
      <c r="M1988" s="11">
        <f>B1988+30</f>
        <v/>
      </c>
      <c r="N1988">
        <f>IF(L1988="", "", L1988-B1988)</f>
        <v/>
      </c>
      <c r="O1988">
        <f>IF(L1988="", "Pending", IF(N1988&lt;=30, "Met", "Breached"))</f>
        <v/>
      </c>
    </row>
    <row r="1989">
      <c r="M1989" s="11">
        <f>B1989+30</f>
        <v/>
      </c>
      <c r="N1989">
        <f>IF(L1989="", "", L1989-B1989)</f>
        <v/>
      </c>
      <c r="O1989">
        <f>IF(L1989="", "Pending", IF(N1989&lt;=30, "Met", "Breached"))</f>
        <v/>
      </c>
    </row>
    <row r="1990">
      <c r="M1990" s="11">
        <f>B1990+30</f>
        <v/>
      </c>
      <c r="N1990">
        <f>IF(L1990="", "", L1990-B1990)</f>
        <v/>
      </c>
      <c r="O1990">
        <f>IF(L1990="", "Pending", IF(N1990&lt;=30, "Met", "Breached"))</f>
        <v/>
      </c>
    </row>
    <row r="1991">
      <c r="M1991" s="11">
        <f>B1991+30</f>
        <v/>
      </c>
      <c r="N1991">
        <f>IF(L1991="", "", L1991-B1991)</f>
        <v/>
      </c>
      <c r="O1991">
        <f>IF(L1991="", "Pending", IF(N1991&lt;=30, "Met", "Breached"))</f>
        <v/>
      </c>
    </row>
    <row r="1992">
      <c r="M1992" s="11">
        <f>B1992+30</f>
        <v/>
      </c>
      <c r="N1992">
        <f>IF(L1992="", "", L1992-B1992)</f>
        <v/>
      </c>
      <c r="O1992">
        <f>IF(L1992="", "Pending", IF(N1992&lt;=30, "Met", "Breached"))</f>
        <v/>
      </c>
    </row>
    <row r="1993">
      <c r="M1993" s="11">
        <f>B1993+30</f>
        <v/>
      </c>
      <c r="N1993">
        <f>IF(L1993="", "", L1993-B1993)</f>
        <v/>
      </c>
      <c r="O1993">
        <f>IF(L1993="", "Pending", IF(N1993&lt;=30, "Met", "Breached"))</f>
        <v/>
      </c>
    </row>
    <row r="1994">
      <c r="M1994" s="11">
        <f>B1994+30</f>
        <v/>
      </c>
      <c r="N1994">
        <f>IF(L1994="", "", L1994-B1994)</f>
        <v/>
      </c>
      <c r="O1994">
        <f>IF(L1994="", "Pending", IF(N1994&lt;=30, "Met", "Breached"))</f>
        <v/>
      </c>
    </row>
    <row r="1995">
      <c r="M1995" s="11">
        <f>B1995+30</f>
        <v/>
      </c>
      <c r="N1995">
        <f>IF(L1995="", "", L1995-B1995)</f>
        <v/>
      </c>
      <c r="O1995">
        <f>IF(L1995="", "Pending", IF(N1995&lt;=30, "Met", "Breached"))</f>
        <v/>
      </c>
    </row>
    <row r="1996">
      <c r="M1996" s="11">
        <f>B1996+30</f>
        <v/>
      </c>
      <c r="N1996">
        <f>IF(L1996="", "", L1996-B1996)</f>
        <v/>
      </c>
      <c r="O1996">
        <f>IF(L1996="", "Pending", IF(N1996&lt;=30, "Met", "Breached"))</f>
        <v/>
      </c>
    </row>
    <row r="1997">
      <c r="M1997" s="11">
        <f>B1997+30</f>
        <v/>
      </c>
      <c r="N1997">
        <f>IF(L1997="", "", L1997-B1997)</f>
        <v/>
      </c>
      <c r="O1997">
        <f>IF(L1997="", "Pending", IF(N1997&lt;=30, "Met", "Breached"))</f>
        <v/>
      </c>
    </row>
    <row r="1998">
      <c r="M1998" s="11">
        <f>B1998+30</f>
        <v/>
      </c>
      <c r="N1998">
        <f>IF(L1998="", "", L1998-B1998)</f>
        <v/>
      </c>
      <c r="O1998">
        <f>IF(L1998="", "Pending", IF(N1998&lt;=30, "Met", "Breached"))</f>
        <v/>
      </c>
    </row>
    <row r="1999">
      <c r="M1999" s="11">
        <f>B1999+30</f>
        <v/>
      </c>
      <c r="N1999">
        <f>IF(L1999="", "", L1999-B1999)</f>
        <v/>
      </c>
      <c r="O1999">
        <f>IF(L1999="", "Pending", IF(N1999&lt;=30, "Met", "Breached"))</f>
        <v/>
      </c>
    </row>
    <row r="2000">
      <c r="M2000" s="11">
        <f>B2000+30</f>
        <v/>
      </c>
      <c r="N2000">
        <f>IF(L2000="", "", L2000-B2000)</f>
        <v/>
      </c>
      <c r="O2000">
        <f>IF(L2000="", "Pending", IF(N2000&lt;=30, "Met", "Breached"))</f>
        <v/>
      </c>
    </row>
    <row r="2001">
      <c r="M2001" s="11">
        <f>B2001+30</f>
        <v/>
      </c>
      <c r="N2001">
        <f>IF(L2001="", "", L2001-B2001)</f>
        <v/>
      </c>
      <c r="O2001">
        <f>IF(L2001="", "Pending", IF(N2001&lt;=30, "Met", "Breached"))</f>
        <v/>
      </c>
    </row>
    <row r="2002">
      <c r="M2002" s="11">
        <f>B2002+30</f>
        <v/>
      </c>
      <c r="N2002">
        <f>IF(L2002="", "", L2002-B2002)</f>
        <v/>
      </c>
      <c r="O2002">
        <f>IF(L2002="", "Pending", IF(N2002&lt;=30, "Met", "Breached"))</f>
        <v/>
      </c>
    </row>
    <row r="2003">
      <c r="M2003" s="11">
        <f>B2003+30</f>
        <v/>
      </c>
      <c r="N2003">
        <f>IF(L2003="", "", L2003-B2003)</f>
        <v/>
      </c>
      <c r="O2003">
        <f>IF(L2003="", "Pending", IF(N2003&lt;=30, "Met", "Breached"))</f>
        <v/>
      </c>
    </row>
    <row r="2004">
      <c r="M2004" s="11">
        <f>B2004+30</f>
        <v/>
      </c>
      <c r="N2004">
        <f>IF(L2004="", "", L2004-B2004)</f>
        <v/>
      </c>
      <c r="O2004">
        <f>IF(L2004="", "Pending", IF(N2004&lt;=30, "Met", "Breached"))</f>
        <v/>
      </c>
    </row>
    <row r="2005">
      <c r="M2005" s="11">
        <f>B2005+30</f>
        <v/>
      </c>
      <c r="N2005">
        <f>IF(L2005="", "", L2005-B2005)</f>
        <v/>
      </c>
      <c r="O2005">
        <f>IF(L2005="", "Pending", IF(N2005&lt;=30, "Met", "Breached"))</f>
        <v/>
      </c>
    </row>
    <row r="2006">
      <c r="M2006" s="11">
        <f>B2006+30</f>
        <v/>
      </c>
      <c r="N2006">
        <f>IF(L2006="", "", L2006-B2006)</f>
        <v/>
      </c>
      <c r="O2006">
        <f>IF(L2006="", "Pending", IF(N2006&lt;=30, "Met", "Breached"))</f>
        <v/>
      </c>
    </row>
    <row r="2007">
      <c r="M2007" s="11">
        <f>B2007+30</f>
        <v/>
      </c>
      <c r="N2007">
        <f>IF(L2007="", "", L2007-B2007)</f>
        <v/>
      </c>
      <c r="O2007">
        <f>IF(L2007="", "Pending", IF(N2007&lt;=30, "Met", "Breached"))</f>
        <v/>
      </c>
    </row>
    <row r="2008">
      <c r="M2008" s="11">
        <f>B2008+30</f>
        <v/>
      </c>
      <c r="N2008">
        <f>IF(L2008="", "", L2008-B2008)</f>
        <v/>
      </c>
      <c r="O2008">
        <f>IF(L2008="", "Pending", IF(N2008&lt;=30, "Met", "Breached"))</f>
        <v/>
      </c>
    </row>
    <row r="2009">
      <c r="M2009" s="11">
        <f>B2009+30</f>
        <v/>
      </c>
      <c r="N2009">
        <f>IF(L2009="", "", L2009-B2009)</f>
        <v/>
      </c>
      <c r="O2009">
        <f>IF(L2009="", "Pending", IF(N2009&lt;=30, "Met", "Breached"))</f>
        <v/>
      </c>
    </row>
    <row r="2010">
      <c r="M2010" s="11">
        <f>B2010+30</f>
        <v/>
      </c>
      <c r="N2010">
        <f>IF(L2010="", "", L2010-B2010)</f>
        <v/>
      </c>
      <c r="O2010">
        <f>IF(L2010="", "Pending", IF(N2010&lt;=30, "Met", "Breached"))</f>
        <v/>
      </c>
    </row>
    <row r="2011">
      <c r="M2011" s="11">
        <f>B2011+30</f>
        <v/>
      </c>
      <c r="N2011">
        <f>IF(L2011="", "", L2011-B2011)</f>
        <v/>
      </c>
      <c r="O2011">
        <f>IF(L2011="", "Pending", IF(N2011&lt;=30, "Met", "Breached"))</f>
        <v/>
      </c>
    </row>
    <row r="2012">
      <c r="M2012" s="11">
        <f>B2012+30</f>
        <v/>
      </c>
      <c r="N2012">
        <f>IF(L2012="", "", L2012-B2012)</f>
        <v/>
      </c>
      <c r="O2012">
        <f>IF(L2012="", "Pending", IF(N2012&lt;=30, "Met", "Breached"))</f>
        <v/>
      </c>
    </row>
    <row r="2013">
      <c r="M2013" s="11">
        <f>B2013+30</f>
        <v/>
      </c>
      <c r="N2013">
        <f>IF(L2013="", "", L2013-B2013)</f>
        <v/>
      </c>
      <c r="O2013">
        <f>IF(L2013="", "Pending", IF(N2013&lt;=30, "Met", "Breached"))</f>
        <v/>
      </c>
    </row>
    <row r="2014">
      <c r="M2014" s="11">
        <f>B2014+30</f>
        <v/>
      </c>
      <c r="N2014">
        <f>IF(L2014="", "", L2014-B2014)</f>
        <v/>
      </c>
      <c r="O2014">
        <f>IF(L2014="", "Pending", IF(N2014&lt;=30, "Met", "Breached"))</f>
        <v/>
      </c>
    </row>
    <row r="2015">
      <c r="M2015" s="11">
        <f>B2015+30</f>
        <v/>
      </c>
      <c r="N2015">
        <f>IF(L2015="", "", L2015-B2015)</f>
        <v/>
      </c>
      <c r="O2015">
        <f>IF(L2015="", "Pending", IF(N2015&lt;=30, "Met", "Breached"))</f>
        <v/>
      </c>
    </row>
    <row r="2016">
      <c r="M2016" s="11">
        <f>B2016+30</f>
        <v/>
      </c>
      <c r="N2016">
        <f>IF(L2016="", "", L2016-B2016)</f>
        <v/>
      </c>
      <c r="O2016">
        <f>IF(L2016="", "Pending", IF(N2016&lt;=30, "Met", "Breached"))</f>
        <v/>
      </c>
    </row>
    <row r="2017">
      <c r="M2017" s="11">
        <f>B2017+30</f>
        <v/>
      </c>
      <c r="N2017">
        <f>IF(L2017="", "", L2017-B2017)</f>
        <v/>
      </c>
      <c r="O2017">
        <f>IF(L2017="", "Pending", IF(N2017&lt;=30, "Met", "Breached"))</f>
        <v/>
      </c>
    </row>
    <row r="2018">
      <c r="M2018" s="11">
        <f>B2018+30</f>
        <v/>
      </c>
      <c r="N2018">
        <f>IF(L2018="", "", L2018-B2018)</f>
        <v/>
      </c>
      <c r="O2018">
        <f>IF(L2018="", "Pending", IF(N2018&lt;=30, "Met", "Breached"))</f>
        <v/>
      </c>
    </row>
    <row r="2019">
      <c r="M2019" s="11">
        <f>B2019+30</f>
        <v/>
      </c>
      <c r="N2019">
        <f>IF(L2019="", "", L2019-B2019)</f>
        <v/>
      </c>
      <c r="O2019">
        <f>IF(L2019="", "Pending", IF(N2019&lt;=30, "Met", "Breached"))</f>
        <v/>
      </c>
    </row>
    <row r="2020">
      <c r="M2020" s="11">
        <f>B2020+30</f>
        <v/>
      </c>
      <c r="N2020">
        <f>IF(L2020="", "", L2020-B2020)</f>
        <v/>
      </c>
      <c r="O2020">
        <f>IF(L2020="", "Pending", IF(N2020&lt;=30, "Met", "Breached"))</f>
        <v/>
      </c>
    </row>
    <row r="2021">
      <c r="M2021" s="11">
        <f>B2021+30</f>
        <v/>
      </c>
      <c r="N2021">
        <f>IF(L2021="", "", L2021-B2021)</f>
        <v/>
      </c>
      <c r="O2021">
        <f>IF(L2021="", "Pending", IF(N2021&lt;=30, "Met", "Breached"))</f>
        <v/>
      </c>
    </row>
    <row r="2022">
      <c r="M2022" s="11">
        <f>B2022+30</f>
        <v/>
      </c>
      <c r="N2022">
        <f>IF(L2022="", "", L2022-B2022)</f>
        <v/>
      </c>
      <c r="O2022">
        <f>IF(L2022="", "Pending", IF(N2022&lt;=30, "Met", "Breached"))</f>
        <v/>
      </c>
    </row>
    <row r="2023">
      <c r="M2023" s="11">
        <f>B2023+30</f>
        <v/>
      </c>
      <c r="N2023">
        <f>IF(L2023="", "", L2023-B2023)</f>
        <v/>
      </c>
      <c r="O2023">
        <f>IF(L2023="", "Pending", IF(N2023&lt;=30, "Met", "Breached"))</f>
        <v/>
      </c>
    </row>
    <row r="2024">
      <c r="M2024" s="11">
        <f>B2024+30</f>
        <v/>
      </c>
      <c r="N2024">
        <f>IF(L2024="", "", L2024-B2024)</f>
        <v/>
      </c>
      <c r="O2024">
        <f>IF(L2024="", "Pending", IF(N2024&lt;=30, "Met", "Breached"))</f>
        <v/>
      </c>
    </row>
    <row r="2025">
      <c r="M2025" s="11">
        <f>B2025+30</f>
        <v/>
      </c>
      <c r="N2025">
        <f>IF(L2025="", "", L2025-B2025)</f>
        <v/>
      </c>
      <c r="O2025">
        <f>IF(L2025="", "Pending", IF(N2025&lt;=30, "Met", "Breached"))</f>
        <v/>
      </c>
    </row>
    <row r="2026">
      <c r="M2026" s="11">
        <f>B2026+30</f>
        <v/>
      </c>
      <c r="N2026">
        <f>IF(L2026="", "", L2026-B2026)</f>
        <v/>
      </c>
      <c r="O2026">
        <f>IF(L2026="", "Pending", IF(N2026&lt;=30, "Met", "Breached"))</f>
        <v/>
      </c>
    </row>
    <row r="2027">
      <c r="M2027" s="11">
        <f>B2027+30</f>
        <v/>
      </c>
      <c r="N2027">
        <f>IF(L2027="", "", L2027-B2027)</f>
        <v/>
      </c>
      <c r="O2027">
        <f>IF(L2027="", "Pending", IF(N2027&lt;=30, "Met", "Breached"))</f>
        <v/>
      </c>
    </row>
    <row r="2028">
      <c r="M2028" s="11">
        <f>B2028+30</f>
        <v/>
      </c>
      <c r="N2028">
        <f>IF(L2028="", "", L2028-B2028)</f>
        <v/>
      </c>
      <c r="O2028">
        <f>IF(L2028="", "Pending", IF(N2028&lt;=30, "Met", "Breached"))</f>
        <v/>
      </c>
    </row>
    <row r="2029">
      <c r="M2029" s="11">
        <f>B2029+30</f>
        <v/>
      </c>
      <c r="N2029">
        <f>IF(L2029="", "", L2029-B2029)</f>
        <v/>
      </c>
      <c r="O2029">
        <f>IF(L2029="", "Pending", IF(N2029&lt;=30, "Met", "Breached"))</f>
        <v/>
      </c>
    </row>
    <row r="2030">
      <c r="M2030" s="11">
        <f>B2030+30</f>
        <v/>
      </c>
      <c r="N2030">
        <f>IF(L2030="", "", L2030-B2030)</f>
        <v/>
      </c>
      <c r="O2030">
        <f>IF(L2030="", "Pending", IF(N2030&lt;=30, "Met", "Breached"))</f>
        <v/>
      </c>
    </row>
    <row r="2031">
      <c r="M2031" s="11">
        <f>B2031+30</f>
        <v/>
      </c>
      <c r="N2031">
        <f>IF(L2031="", "", L2031-B2031)</f>
        <v/>
      </c>
      <c r="O2031">
        <f>IF(L2031="", "Pending", IF(N2031&lt;=30, "Met", "Breached"))</f>
        <v/>
      </c>
    </row>
    <row r="2032">
      <c r="M2032" s="11">
        <f>B2032+30</f>
        <v/>
      </c>
      <c r="N2032">
        <f>IF(L2032="", "", L2032-B2032)</f>
        <v/>
      </c>
      <c r="O2032">
        <f>IF(L2032="", "Pending", IF(N2032&lt;=30, "Met", "Breached"))</f>
        <v/>
      </c>
    </row>
    <row r="2033">
      <c r="M2033" s="11">
        <f>B2033+30</f>
        <v/>
      </c>
      <c r="N2033">
        <f>IF(L2033="", "", L2033-B2033)</f>
        <v/>
      </c>
      <c r="O2033">
        <f>IF(L2033="", "Pending", IF(N2033&lt;=30, "Met", "Breached"))</f>
        <v/>
      </c>
    </row>
    <row r="2034">
      <c r="M2034" s="11">
        <f>B2034+30</f>
        <v/>
      </c>
      <c r="N2034">
        <f>IF(L2034="", "", L2034-B2034)</f>
        <v/>
      </c>
      <c r="O2034">
        <f>IF(L2034="", "Pending", IF(N2034&lt;=30, "Met", "Breached"))</f>
        <v/>
      </c>
    </row>
    <row r="2035">
      <c r="M2035" s="11">
        <f>B2035+30</f>
        <v/>
      </c>
      <c r="N2035">
        <f>IF(L2035="", "", L2035-B2035)</f>
        <v/>
      </c>
      <c r="O2035">
        <f>IF(L2035="", "Pending", IF(N2035&lt;=30, "Met", "Breached"))</f>
        <v/>
      </c>
    </row>
    <row r="2036">
      <c r="M2036" s="11">
        <f>B2036+30</f>
        <v/>
      </c>
      <c r="N2036">
        <f>IF(L2036="", "", L2036-B2036)</f>
        <v/>
      </c>
      <c r="O2036">
        <f>IF(L2036="", "Pending", IF(N2036&lt;=30, "Met", "Breached"))</f>
        <v/>
      </c>
    </row>
    <row r="2037">
      <c r="M2037" s="11">
        <f>B2037+30</f>
        <v/>
      </c>
      <c r="N2037">
        <f>IF(L2037="", "", L2037-B2037)</f>
        <v/>
      </c>
      <c r="O2037">
        <f>IF(L2037="", "Pending", IF(N2037&lt;=30, "Met", "Breached"))</f>
        <v/>
      </c>
    </row>
    <row r="2038">
      <c r="M2038" s="11">
        <f>B2038+30</f>
        <v/>
      </c>
      <c r="N2038">
        <f>IF(L2038="", "", L2038-B2038)</f>
        <v/>
      </c>
      <c r="O2038">
        <f>IF(L2038="", "Pending", IF(N2038&lt;=30, "Met", "Breached"))</f>
        <v/>
      </c>
    </row>
    <row r="2039">
      <c r="M2039" s="11">
        <f>B2039+30</f>
        <v/>
      </c>
      <c r="N2039">
        <f>IF(L2039="", "", L2039-B2039)</f>
        <v/>
      </c>
      <c r="O2039">
        <f>IF(L2039="", "Pending", IF(N2039&lt;=30, "Met", "Breached"))</f>
        <v/>
      </c>
    </row>
    <row r="2040">
      <c r="M2040" s="11">
        <f>B2040+30</f>
        <v/>
      </c>
      <c r="N2040">
        <f>IF(L2040="", "", L2040-B2040)</f>
        <v/>
      </c>
      <c r="O2040">
        <f>IF(L2040="", "Pending", IF(N2040&lt;=30, "Met", "Breached"))</f>
        <v/>
      </c>
    </row>
    <row r="2041">
      <c r="M2041" s="11">
        <f>B2041+30</f>
        <v/>
      </c>
      <c r="N2041">
        <f>IF(L2041="", "", L2041-B2041)</f>
        <v/>
      </c>
      <c r="O2041">
        <f>IF(L2041="", "Pending", IF(N2041&lt;=30, "Met", "Breached"))</f>
        <v/>
      </c>
    </row>
    <row r="2042">
      <c r="M2042" s="11">
        <f>B2042+30</f>
        <v/>
      </c>
      <c r="N2042">
        <f>IF(L2042="", "", L2042-B2042)</f>
        <v/>
      </c>
      <c r="O2042">
        <f>IF(L2042="", "Pending", IF(N2042&lt;=30, "Met", "Breached"))</f>
        <v/>
      </c>
    </row>
    <row r="2043">
      <c r="M2043" s="11">
        <f>B2043+30</f>
        <v/>
      </c>
      <c r="N2043">
        <f>IF(L2043="", "", L2043-B2043)</f>
        <v/>
      </c>
      <c r="O2043">
        <f>IF(L2043="", "Pending", IF(N2043&lt;=30, "Met", "Breached"))</f>
        <v/>
      </c>
    </row>
    <row r="2044">
      <c r="M2044" s="11">
        <f>B2044+30</f>
        <v/>
      </c>
      <c r="N2044">
        <f>IF(L2044="", "", L2044-B2044)</f>
        <v/>
      </c>
      <c r="O2044">
        <f>IF(L2044="", "Pending", IF(N2044&lt;=30, "Met", "Breached"))</f>
        <v/>
      </c>
    </row>
    <row r="2045">
      <c r="M2045" s="11">
        <f>B2045+30</f>
        <v/>
      </c>
      <c r="N2045">
        <f>IF(L2045="", "", L2045-B2045)</f>
        <v/>
      </c>
      <c r="O2045">
        <f>IF(L2045="", "Pending", IF(N2045&lt;=30, "Met", "Breached"))</f>
        <v/>
      </c>
    </row>
    <row r="2046">
      <c r="M2046" s="11">
        <f>B2046+30</f>
        <v/>
      </c>
      <c r="N2046">
        <f>IF(L2046="", "", L2046-B2046)</f>
        <v/>
      </c>
      <c r="O2046">
        <f>IF(L2046="", "Pending", IF(N2046&lt;=30, "Met", "Breached"))</f>
        <v/>
      </c>
    </row>
    <row r="2047">
      <c r="M2047" s="11">
        <f>B2047+30</f>
        <v/>
      </c>
      <c r="N2047">
        <f>IF(L2047="", "", L2047-B2047)</f>
        <v/>
      </c>
      <c r="O2047">
        <f>IF(L2047="", "Pending", IF(N2047&lt;=30, "Met", "Breached"))</f>
        <v/>
      </c>
    </row>
    <row r="2048">
      <c r="M2048" s="11">
        <f>B2048+30</f>
        <v/>
      </c>
      <c r="N2048">
        <f>IF(L2048="", "", L2048-B2048)</f>
        <v/>
      </c>
      <c r="O2048">
        <f>IF(L2048="", "Pending", IF(N2048&lt;=30, "Met", "Breached"))</f>
        <v/>
      </c>
    </row>
    <row r="2049">
      <c r="M2049" s="11">
        <f>B2049+30</f>
        <v/>
      </c>
      <c r="N2049">
        <f>IF(L2049="", "", L2049-B2049)</f>
        <v/>
      </c>
      <c r="O2049">
        <f>IF(L2049="", "Pending", IF(N2049&lt;=30, "Met", "Breached"))</f>
        <v/>
      </c>
    </row>
    <row r="2050">
      <c r="M2050" s="11">
        <f>B2050+30</f>
        <v/>
      </c>
      <c r="N2050">
        <f>IF(L2050="", "", L2050-B2050)</f>
        <v/>
      </c>
      <c r="O2050">
        <f>IF(L2050="", "Pending", IF(N2050&lt;=30, "Met", "Breached"))</f>
        <v/>
      </c>
    </row>
    <row r="2051">
      <c r="M2051" s="11">
        <f>B2051+30</f>
        <v/>
      </c>
      <c r="N2051">
        <f>IF(L2051="", "", L2051-B2051)</f>
        <v/>
      </c>
      <c r="O2051">
        <f>IF(L2051="", "Pending", IF(N2051&lt;=30, "Met", "Breached"))</f>
        <v/>
      </c>
    </row>
    <row r="2052">
      <c r="M2052" s="11">
        <f>B2052+30</f>
        <v/>
      </c>
      <c r="N2052">
        <f>IF(L2052="", "", L2052-B2052)</f>
        <v/>
      </c>
      <c r="O2052">
        <f>IF(L2052="", "Pending", IF(N2052&lt;=30, "Met", "Breached"))</f>
        <v/>
      </c>
    </row>
    <row r="2053">
      <c r="M2053" s="11">
        <f>B2053+30</f>
        <v/>
      </c>
      <c r="N2053">
        <f>IF(L2053="", "", L2053-B2053)</f>
        <v/>
      </c>
      <c r="O2053">
        <f>IF(L2053="", "Pending", IF(N2053&lt;=30, "Met", "Breached"))</f>
        <v/>
      </c>
    </row>
    <row r="2054">
      <c r="M2054" s="11">
        <f>B2054+30</f>
        <v/>
      </c>
      <c r="N2054">
        <f>IF(L2054="", "", L2054-B2054)</f>
        <v/>
      </c>
      <c r="O2054">
        <f>IF(L2054="", "Pending", IF(N2054&lt;=30, "Met", "Breached"))</f>
        <v/>
      </c>
    </row>
    <row r="2055">
      <c r="M2055" s="11">
        <f>B2055+30</f>
        <v/>
      </c>
      <c r="N2055">
        <f>IF(L2055="", "", L2055-B2055)</f>
        <v/>
      </c>
      <c r="O2055">
        <f>IF(L2055="", "Pending", IF(N2055&lt;=30, "Met", "Breached"))</f>
        <v/>
      </c>
    </row>
    <row r="2056">
      <c r="M2056" s="11">
        <f>B2056+30</f>
        <v/>
      </c>
      <c r="N2056">
        <f>IF(L2056="", "", L2056-B2056)</f>
        <v/>
      </c>
      <c r="O2056">
        <f>IF(L2056="", "Pending", IF(N2056&lt;=30, "Met", "Breached"))</f>
        <v/>
      </c>
    </row>
    <row r="2057">
      <c r="M2057" s="11">
        <f>B2057+30</f>
        <v/>
      </c>
      <c r="N2057">
        <f>IF(L2057="", "", L2057-B2057)</f>
        <v/>
      </c>
      <c r="O2057">
        <f>IF(L2057="", "Pending", IF(N2057&lt;=30, "Met", "Breached"))</f>
        <v/>
      </c>
    </row>
    <row r="2058">
      <c r="M2058" s="11">
        <f>B2058+30</f>
        <v/>
      </c>
      <c r="N2058">
        <f>IF(L2058="", "", L2058-B2058)</f>
        <v/>
      </c>
      <c r="O2058">
        <f>IF(L2058="", "Pending", IF(N2058&lt;=30, "Met", "Breached"))</f>
        <v/>
      </c>
    </row>
    <row r="2059">
      <c r="M2059" s="11">
        <f>B2059+30</f>
        <v/>
      </c>
      <c r="N2059">
        <f>IF(L2059="", "", L2059-B2059)</f>
        <v/>
      </c>
      <c r="O2059">
        <f>IF(L2059="", "Pending", IF(N2059&lt;=30, "Met", "Breached"))</f>
        <v/>
      </c>
    </row>
    <row r="2060">
      <c r="M2060" s="11">
        <f>B2060+30</f>
        <v/>
      </c>
      <c r="N2060">
        <f>IF(L2060="", "", L2060-B2060)</f>
        <v/>
      </c>
      <c r="O2060">
        <f>IF(L2060="", "Pending", IF(N2060&lt;=30, "Met", "Breached"))</f>
        <v/>
      </c>
    </row>
    <row r="2061">
      <c r="M2061" s="11">
        <f>B2061+30</f>
        <v/>
      </c>
      <c r="N2061">
        <f>IF(L2061="", "", L2061-B2061)</f>
        <v/>
      </c>
      <c r="O2061">
        <f>IF(L2061="", "Pending", IF(N2061&lt;=30, "Met", "Breached"))</f>
        <v/>
      </c>
    </row>
    <row r="2062">
      <c r="M2062" s="11">
        <f>B2062+30</f>
        <v/>
      </c>
      <c r="N2062">
        <f>IF(L2062="", "", L2062-B2062)</f>
        <v/>
      </c>
      <c r="O2062">
        <f>IF(L2062="", "Pending", IF(N2062&lt;=30, "Met", "Breached"))</f>
        <v/>
      </c>
    </row>
    <row r="2063">
      <c r="M2063" s="11">
        <f>B2063+30</f>
        <v/>
      </c>
      <c r="N2063">
        <f>IF(L2063="", "", L2063-B2063)</f>
        <v/>
      </c>
      <c r="O2063">
        <f>IF(L2063="", "Pending", IF(N2063&lt;=30, "Met", "Breached"))</f>
        <v/>
      </c>
    </row>
    <row r="2064">
      <c r="M2064" s="11">
        <f>B2064+30</f>
        <v/>
      </c>
      <c r="N2064">
        <f>IF(L2064="", "", L2064-B2064)</f>
        <v/>
      </c>
      <c r="O2064">
        <f>IF(L2064="", "Pending", IF(N2064&lt;=30, "Met", "Breached"))</f>
        <v/>
      </c>
    </row>
    <row r="2065">
      <c r="M2065" s="11">
        <f>B2065+30</f>
        <v/>
      </c>
      <c r="N2065">
        <f>IF(L2065="", "", L2065-B2065)</f>
        <v/>
      </c>
      <c r="O2065">
        <f>IF(L2065="", "Pending", IF(N2065&lt;=30, "Met", "Breached"))</f>
        <v/>
      </c>
    </row>
    <row r="2066">
      <c r="M2066" s="11">
        <f>B2066+30</f>
        <v/>
      </c>
      <c r="N2066">
        <f>IF(L2066="", "", L2066-B2066)</f>
        <v/>
      </c>
      <c r="O2066">
        <f>IF(L2066="", "Pending", IF(N2066&lt;=30, "Met", "Breached"))</f>
        <v/>
      </c>
    </row>
    <row r="2067">
      <c r="M2067" s="11">
        <f>B2067+30</f>
        <v/>
      </c>
      <c r="N2067">
        <f>IF(L2067="", "", L2067-B2067)</f>
        <v/>
      </c>
      <c r="O2067">
        <f>IF(L2067="", "Pending", IF(N2067&lt;=30, "Met", "Breached"))</f>
        <v/>
      </c>
    </row>
    <row r="2068">
      <c r="M2068" s="11">
        <f>B2068+30</f>
        <v/>
      </c>
      <c r="N2068">
        <f>IF(L2068="", "", L2068-B2068)</f>
        <v/>
      </c>
      <c r="O2068">
        <f>IF(L2068="", "Pending", IF(N2068&lt;=30, "Met", "Breached"))</f>
        <v/>
      </c>
    </row>
    <row r="2069">
      <c r="M2069" s="11">
        <f>B2069+30</f>
        <v/>
      </c>
      <c r="N2069">
        <f>IF(L2069="", "", L2069-B2069)</f>
        <v/>
      </c>
      <c r="O2069">
        <f>IF(L2069="", "Pending", IF(N2069&lt;=30, "Met", "Breached"))</f>
        <v/>
      </c>
    </row>
    <row r="2070">
      <c r="M2070" s="11">
        <f>B2070+30</f>
        <v/>
      </c>
      <c r="N2070">
        <f>IF(L2070="", "", L2070-B2070)</f>
        <v/>
      </c>
      <c r="O2070">
        <f>IF(L2070="", "Pending", IF(N2070&lt;=30, "Met", "Breached"))</f>
        <v/>
      </c>
    </row>
    <row r="2071">
      <c r="M2071" s="11">
        <f>B2071+30</f>
        <v/>
      </c>
      <c r="N2071">
        <f>IF(L2071="", "", L2071-B2071)</f>
        <v/>
      </c>
      <c r="O2071">
        <f>IF(L2071="", "Pending", IF(N2071&lt;=30, "Met", "Breached"))</f>
        <v/>
      </c>
    </row>
    <row r="2072">
      <c r="M2072" s="11">
        <f>B2072+30</f>
        <v/>
      </c>
      <c r="N2072">
        <f>IF(L2072="", "", L2072-B2072)</f>
        <v/>
      </c>
      <c r="O2072">
        <f>IF(L2072="", "Pending", IF(N2072&lt;=30, "Met", "Breached"))</f>
        <v/>
      </c>
    </row>
    <row r="2073">
      <c r="M2073" s="11">
        <f>B2073+30</f>
        <v/>
      </c>
      <c r="N2073">
        <f>IF(L2073="", "", L2073-B2073)</f>
        <v/>
      </c>
      <c r="O2073">
        <f>IF(L2073="", "Pending", IF(N2073&lt;=30, "Met", "Breached"))</f>
        <v/>
      </c>
    </row>
    <row r="2074">
      <c r="M2074" s="11">
        <f>B2074+30</f>
        <v/>
      </c>
      <c r="N2074">
        <f>IF(L2074="", "", L2074-B2074)</f>
        <v/>
      </c>
      <c r="O2074">
        <f>IF(L2074="", "Pending", IF(N2074&lt;=30, "Met", "Breached"))</f>
        <v/>
      </c>
    </row>
    <row r="2075">
      <c r="M2075" s="11">
        <f>B2075+30</f>
        <v/>
      </c>
      <c r="N2075">
        <f>IF(L2075="", "", L2075-B2075)</f>
        <v/>
      </c>
      <c r="O2075">
        <f>IF(L2075="", "Pending", IF(N2075&lt;=30, "Met", "Breached"))</f>
        <v/>
      </c>
    </row>
    <row r="2076">
      <c r="M2076" s="11">
        <f>B2076+30</f>
        <v/>
      </c>
      <c r="N2076">
        <f>IF(L2076="", "", L2076-B2076)</f>
        <v/>
      </c>
      <c r="O2076">
        <f>IF(L2076="", "Pending", IF(N2076&lt;=30, "Met", "Breached"))</f>
        <v/>
      </c>
    </row>
    <row r="2077">
      <c r="M2077" s="11">
        <f>B2077+30</f>
        <v/>
      </c>
      <c r="N2077">
        <f>IF(L2077="", "", L2077-B2077)</f>
        <v/>
      </c>
      <c r="O2077">
        <f>IF(L2077="", "Pending", IF(N2077&lt;=30, "Met", "Breached"))</f>
        <v/>
      </c>
    </row>
    <row r="2078">
      <c r="M2078" s="11">
        <f>B2078+30</f>
        <v/>
      </c>
      <c r="N2078">
        <f>IF(L2078="", "", L2078-B2078)</f>
        <v/>
      </c>
      <c r="O2078">
        <f>IF(L2078="", "Pending", IF(N2078&lt;=30, "Met", "Breached"))</f>
        <v/>
      </c>
    </row>
    <row r="2079">
      <c r="M2079" s="11">
        <f>B2079+30</f>
        <v/>
      </c>
      <c r="N2079">
        <f>IF(L2079="", "", L2079-B2079)</f>
        <v/>
      </c>
      <c r="O2079">
        <f>IF(L2079="", "Pending", IF(N2079&lt;=30, "Met", "Breached"))</f>
        <v/>
      </c>
    </row>
    <row r="2080">
      <c r="M2080" s="11">
        <f>B2080+30</f>
        <v/>
      </c>
      <c r="N2080">
        <f>IF(L2080="", "", L2080-B2080)</f>
        <v/>
      </c>
      <c r="O2080">
        <f>IF(L2080="", "Pending", IF(N2080&lt;=30, "Met", "Breached"))</f>
        <v/>
      </c>
    </row>
    <row r="2081">
      <c r="M2081" s="11">
        <f>B2081+30</f>
        <v/>
      </c>
      <c r="N2081">
        <f>IF(L2081="", "", L2081-B2081)</f>
        <v/>
      </c>
      <c r="O2081">
        <f>IF(L2081="", "Pending", IF(N2081&lt;=30, "Met", "Breached"))</f>
        <v/>
      </c>
    </row>
    <row r="2082">
      <c r="M2082" s="11">
        <f>B2082+30</f>
        <v/>
      </c>
      <c r="N2082">
        <f>IF(L2082="", "", L2082-B2082)</f>
        <v/>
      </c>
      <c r="O2082">
        <f>IF(L2082="", "Pending", IF(N2082&lt;=30, "Met", "Breached"))</f>
        <v/>
      </c>
    </row>
    <row r="2083">
      <c r="M2083" s="11">
        <f>B2083+30</f>
        <v/>
      </c>
      <c r="N2083">
        <f>IF(L2083="", "", L2083-B2083)</f>
        <v/>
      </c>
      <c r="O2083">
        <f>IF(L2083="", "Pending", IF(N2083&lt;=30, "Met", "Breached"))</f>
        <v/>
      </c>
    </row>
    <row r="2084">
      <c r="M2084" s="11">
        <f>B2084+30</f>
        <v/>
      </c>
      <c r="N2084">
        <f>IF(L2084="", "", L2084-B2084)</f>
        <v/>
      </c>
      <c r="O2084">
        <f>IF(L2084="", "Pending", IF(N2084&lt;=30, "Met", "Breached"))</f>
        <v/>
      </c>
    </row>
    <row r="2085">
      <c r="M2085" s="11">
        <f>B2085+30</f>
        <v/>
      </c>
      <c r="N2085">
        <f>IF(L2085="", "", L2085-B2085)</f>
        <v/>
      </c>
      <c r="O2085">
        <f>IF(L2085="", "Pending", IF(N2085&lt;=30, "Met", "Breached"))</f>
        <v/>
      </c>
    </row>
    <row r="2086">
      <c r="M2086" s="11">
        <f>B2086+30</f>
        <v/>
      </c>
      <c r="N2086">
        <f>IF(L2086="", "", L2086-B2086)</f>
        <v/>
      </c>
      <c r="O2086">
        <f>IF(L2086="", "Pending", IF(N2086&lt;=30, "Met", "Breached"))</f>
        <v/>
      </c>
    </row>
    <row r="2087">
      <c r="M2087" s="11">
        <f>B2087+30</f>
        <v/>
      </c>
      <c r="N2087">
        <f>IF(L2087="", "", L2087-B2087)</f>
        <v/>
      </c>
      <c r="O2087">
        <f>IF(L2087="", "Pending", IF(N2087&lt;=30, "Met", "Breached"))</f>
        <v/>
      </c>
    </row>
    <row r="2088">
      <c r="M2088" s="11">
        <f>B2088+30</f>
        <v/>
      </c>
      <c r="N2088">
        <f>IF(L2088="", "", L2088-B2088)</f>
        <v/>
      </c>
      <c r="O2088">
        <f>IF(L2088="", "Pending", IF(N2088&lt;=30, "Met", "Breached"))</f>
        <v/>
      </c>
    </row>
    <row r="2089">
      <c r="M2089" s="11">
        <f>B2089+30</f>
        <v/>
      </c>
      <c r="N2089">
        <f>IF(L2089="", "", L2089-B2089)</f>
        <v/>
      </c>
      <c r="O2089">
        <f>IF(L2089="", "Pending", IF(N2089&lt;=30, "Met", "Breached"))</f>
        <v/>
      </c>
    </row>
    <row r="2090">
      <c r="M2090" s="11">
        <f>B2090+30</f>
        <v/>
      </c>
      <c r="N2090">
        <f>IF(L2090="", "", L2090-B2090)</f>
        <v/>
      </c>
      <c r="O2090">
        <f>IF(L2090="", "Pending", IF(N2090&lt;=30, "Met", "Breached"))</f>
        <v/>
      </c>
    </row>
    <row r="2091">
      <c r="M2091" s="11">
        <f>B2091+30</f>
        <v/>
      </c>
      <c r="N2091">
        <f>IF(L2091="", "", L2091-B2091)</f>
        <v/>
      </c>
      <c r="O2091">
        <f>IF(L2091="", "Pending", IF(N2091&lt;=30, "Met", "Breached"))</f>
        <v/>
      </c>
    </row>
    <row r="2092">
      <c r="M2092" s="11">
        <f>B2092+30</f>
        <v/>
      </c>
      <c r="N2092">
        <f>IF(L2092="", "", L2092-B2092)</f>
        <v/>
      </c>
      <c r="O2092">
        <f>IF(L2092="", "Pending", IF(N2092&lt;=30, "Met", "Breached"))</f>
        <v/>
      </c>
    </row>
    <row r="2093">
      <c r="M2093" s="11">
        <f>B2093+30</f>
        <v/>
      </c>
      <c r="N2093">
        <f>IF(L2093="", "", L2093-B2093)</f>
        <v/>
      </c>
      <c r="O2093">
        <f>IF(L2093="", "Pending", IF(N2093&lt;=30, "Met", "Breached"))</f>
        <v/>
      </c>
    </row>
    <row r="2094">
      <c r="M2094" s="11">
        <f>B2094+30</f>
        <v/>
      </c>
      <c r="N2094">
        <f>IF(L2094="", "", L2094-B2094)</f>
        <v/>
      </c>
      <c r="O2094">
        <f>IF(L2094="", "Pending", IF(N2094&lt;=30, "Met", "Breached"))</f>
        <v/>
      </c>
    </row>
    <row r="2095">
      <c r="M2095" s="11">
        <f>B2095+30</f>
        <v/>
      </c>
      <c r="N2095">
        <f>IF(L2095="", "", L2095-B2095)</f>
        <v/>
      </c>
      <c r="O2095">
        <f>IF(L2095="", "Pending", IF(N2095&lt;=30, "Met", "Breached"))</f>
        <v/>
      </c>
    </row>
    <row r="2096">
      <c r="M2096" s="11">
        <f>B2096+30</f>
        <v/>
      </c>
      <c r="N2096">
        <f>IF(L2096="", "", L2096-B2096)</f>
        <v/>
      </c>
      <c r="O2096">
        <f>IF(L2096="", "Pending", IF(N2096&lt;=30, "Met", "Breached"))</f>
        <v/>
      </c>
    </row>
    <row r="2097">
      <c r="M2097" s="11">
        <f>B2097+30</f>
        <v/>
      </c>
      <c r="N2097">
        <f>IF(L2097="", "", L2097-B2097)</f>
        <v/>
      </c>
      <c r="O2097">
        <f>IF(L2097="", "Pending", IF(N2097&lt;=30, "Met", "Breached"))</f>
        <v/>
      </c>
    </row>
    <row r="2098">
      <c r="M2098" s="11">
        <f>B2098+30</f>
        <v/>
      </c>
      <c r="N2098">
        <f>IF(L2098="", "", L2098-B2098)</f>
        <v/>
      </c>
      <c r="O2098">
        <f>IF(L2098="", "Pending", IF(N2098&lt;=30, "Met", "Breached"))</f>
        <v/>
      </c>
    </row>
    <row r="2099">
      <c r="M2099" s="11">
        <f>B2099+30</f>
        <v/>
      </c>
      <c r="N2099">
        <f>IF(L2099="", "", L2099-B2099)</f>
        <v/>
      </c>
      <c r="O2099">
        <f>IF(L2099="", "Pending", IF(N2099&lt;=30, "Met", "Breached"))</f>
        <v/>
      </c>
    </row>
    <row r="2100">
      <c r="M2100" s="11">
        <f>B2100+30</f>
        <v/>
      </c>
      <c r="N2100">
        <f>IF(L2100="", "", L2100-B2100)</f>
        <v/>
      </c>
      <c r="O2100">
        <f>IF(L2100="", "Pending", IF(N2100&lt;=30, "Met", "Breached"))</f>
        <v/>
      </c>
    </row>
    <row r="2101">
      <c r="M2101" s="11">
        <f>B2101+30</f>
        <v/>
      </c>
      <c r="N2101">
        <f>IF(L2101="", "", L2101-B2101)</f>
        <v/>
      </c>
      <c r="O2101">
        <f>IF(L2101="", "Pending", IF(N2101&lt;=30, "Met", "Breached"))</f>
        <v/>
      </c>
    </row>
    <row r="2102">
      <c r="M2102" s="11">
        <f>B2102+30</f>
        <v/>
      </c>
      <c r="N2102">
        <f>IF(L2102="", "", L2102-B2102)</f>
        <v/>
      </c>
      <c r="O2102">
        <f>IF(L2102="", "Pending", IF(N2102&lt;=30, "Met", "Breached"))</f>
        <v/>
      </c>
    </row>
    <row r="2103">
      <c r="M2103" s="11">
        <f>B2103+30</f>
        <v/>
      </c>
      <c r="N2103">
        <f>IF(L2103="", "", L2103-B2103)</f>
        <v/>
      </c>
      <c r="O2103">
        <f>IF(L2103="", "Pending", IF(N2103&lt;=30, "Met", "Breached"))</f>
        <v/>
      </c>
    </row>
    <row r="2104">
      <c r="M2104" s="11">
        <f>B2104+30</f>
        <v/>
      </c>
      <c r="N2104">
        <f>IF(L2104="", "", L2104-B2104)</f>
        <v/>
      </c>
      <c r="O2104">
        <f>IF(L2104="", "Pending", IF(N2104&lt;=30, "Met", "Breached"))</f>
        <v/>
      </c>
    </row>
    <row r="2105">
      <c r="M2105" s="11">
        <f>B2105+30</f>
        <v/>
      </c>
      <c r="N2105">
        <f>IF(L2105="", "", L2105-B2105)</f>
        <v/>
      </c>
      <c r="O2105">
        <f>IF(L2105="", "Pending", IF(N2105&lt;=30, "Met", "Breached"))</f>
        <v/>
      </c>
    </row>
    <row r="2106">
      <c r="M2106" s="11">
        <f>B2106+30</f>
        <v/>
      </c>
      <c r="N2106">
        <f>IF(L2106="", "", L2106-B2106)</f>
        <v/>
      </c>
      <c r="O2106">
        <f>IF(L2106="", "Pending", IF(N2106&lt;=30, "Met", "Breached"))</f>
        <v/>
      </c>
    </row>
    <row r="2107">
      <c r="M2107" s="11">
        <f>B2107+30</f>
        <v/>
      </c>
      <c r="N2107">
        <f>IF(L2107="", "", L2107-B2107)</f>
        <v/>
      </c>
      <c r="O2107">
        <f>IF(L2107="", "Pending", IF(N2107&lt;=30, "Met", "Breached"))</f>
        <v/>
      </c>
    </row>
    <row r="2108">
      <c r="M2108" s="11">
        <f>B2108+30</f>
        <v/>
      </c>
      <c r="N2108">
        <f>IF(L2108="", "", L2108-B2108)</f>
        <v/>
      </c>
      <c r="O2108">
        <f>IF(L2108="", "Pending", IF(N2108&lt;=30, "Met", "Breached"))</f>
        <v/>
      </c>
    </row>
    <row r="2109">
      <c r="M2109" s="11">
        <f>B2109+30</f>
        <v/>
      </c>
      <c r="N2109">
        <f>IF(L2109="", "", L2109-B2109)</f>
        <v/>
      </c>
      <c r="O2109">
        <f>IF(L2109="", "Pending", IF(N2109&lt;=30, "Met", "Breached"))</f>
        <v/>
      </c>
    </row>
    <row r="2110">
      <c r="M2110" s="11">
        <f>B2110+30</f>
        <v/>
      </c>
      <c r="N2110">
        <f>IF(L2110="", "", L2110-B2110)</f>
        <v/>
      </c>
      <c r="O2110">
        <f>IF(L2110="", "Pending", IF(N2110&lt;=30, "Met", "Breached"))</f>
        <v/>
      </c>
    </row>
    <row r="2111">
      <c r="M2111" s="11">
        <f>B2111+30</f>
        <v/>
      </c>
      <c r="N2111">
        <f>IF(L2111="", "", L2111-B2111)</f>
        <v/>
      </c>
      <c r="O2111">
        <f>IF(L2111="", "Pending", IF(N2111&lt;=30, "Met", "Breached"))</f>
        <v/>
      </c>
    </row>
    <row r="2112">
      <c r="M2112" s="11">
        <f>B2112+30</f>
        <v/>
      </c>
      <c r="N2112">
        <f>IF(L2112="", "", L2112-B2112)</f>
        <v/>
      </c>
      <c r="O2112">
        <f>IF(L2112="", "Pending", IF(N2112&lt;=30, "Met", "Breached"))</f>
        <v/>
      </c>
    </row>
    <row r="2113">
      <c r="M2113" s="11">
        <f>B2113+30</f>
        <v/>
      </c>
      <c r="N2113">
        <f>IF(L2113="", "", L2113-B2113)</f>
        <v/>
      </c>
      <c r="O2113">
        <f>IF(L2113="", "Pending", IF(N2113&lt;=30, "Met", "Breached"))</f>
        <v/>
      </c>
    </row>
    <row r="2114">
      <c r="M2114" s="11">
        <f>B2114+30</f>
        <v/>
      </c>
      <c r="N2114">
        <f>IF(L2114="", "", L2114-B2114)</f>
        <v/>
      </c>
      <c r="O2114">
        <f>IF(L2114="", "Pending", IF(N2114&lt;=30, "Met", "Breached"))</f>
        <v/>
      </c>
    </row>
    <row r="2115">
      <c r="M2115" s="11">
        <f>B2115+30</f>
        <v/>
      </c>
      <c r="N2115">
        <f>IF(L2115="", "", L2115-B2115)</f>
        <v/>
      </c>
      <c r="O2115">
        <f>IF(L2115="", "Pending", IF(N2115&lt;=30, "Met", "Breached"))</f>
        <v/>
      </c>
    </row>
    <row r="2116">
      <c r="M2116" s="11">
        <f>B2116+30</f>
        <v/>
      </c>
      <c r="N2116">
        <f>IF(L2116="", "", L2116-B2116)</f>
        <v/>
      </c>
      <c r="O2116">
        <f>IF(L2116="", "Pending", IF(N2116&lt;=30, "Met", "Breached"))</f>
        <v/>
      </c>
    </row>
    <row r="2117">
      <c r="M2117" s="11">
        <f>B2117+30</f>
        <v/>
      </c>
      <c r="N2117">
        <f>IF(L2117="", "", L2117-B2117)</f>
        <v/>
      </c>
      <c r="O2117">
        <f>IF(L2117="", "Pending", IF(N2117&lt;=30, "Met", "Breached"))</f>
        <v/>
      </c>
    </row>
    <row r="2118">
      <c r="M2118" s="11">
        <f>B2118+30</f>
        <v/>
      </c>
      <c r="N2118">
        <f>IF(L2118="", "", L2118-B2118)</f>
        <v/>
      </c>
      <c r="O2118">
        <f>IF(L2118="", "Pending", IF(N2118&lt;=30, "Met", "Breached"))</f>
        <v/>
      </c>
    </row>
    <row r="2119">
      <c r="M2119" s="11">
        <f>B2119+30</f>
        <v/>
      </c>
      <c r="N2119">
        <f>IF(L2119="", "", L2119-B2119)</f>
        <v/>
      </c>
      <c r="O2119">
        <f>IF(L2119="", "Pending", IF(N2119&lt;=30, "Met", "Breached"))</f>
        <v/>
      </c>
    </row>
    <row r="2120">
      <c r="M2120" s="11">
        <f>B2120+30</f>
        <v/>
      </c>
      <c r="N2120">
        <f>IF(L2120="", "", L2120-B2120)</f>
        <v/>
      </c>
      <c r="O2120">
        <f>IF(L2120="", "Pending", IF(N2120&lt;=30, "Met", "Breached"))</f>
        <v/>
      </c>
    </row>
    <row r="2121">
      <c r="M2121" s="11">
        <f>B2121+30</f>
        <v/>
      </c>
      <c r="N2121">
        <f>IF(L2121="", "", L2121-B2121)</f>
        <v/>
      </c>
      <c r="O2121">
        <f>IF(L2121="", "Pending", IF(N2121&lt;=30, "Met", "Breached"))</f>
        <v/>
      </c>
    </row>
    <row r="2122">
      <c r="M2122" s="11">
        <f>B2122+30</f>
        <v/>
      </c>
      <c r="N2122">
        <f>IF(L2122="", "", L2122-B2122)</f>
        <v/>
      </c>
      <c r="O2122">
        <f>IF(L2122="", "Pending", IF(N2122&lt;=30, "Met", "Breached"))</f>
        <v/>
      </c>
    </row>
    <row r="2123">
      <c r="M2123" s="11">
        <f>B2123+30</f>
        <v/>
      </c>
      <c r="N2123">
        <f>IF(L2123="", "", L2123-B2123)</f>
        <v/>
      </c>
      <c r="O2123">
        <f>IF(L2123="", "Pending", IF(N2123&lt;=30, "Met", "Breached"))</f>
        <v/>
      </c>
    </row>
    <row r="2124">
      <c r="M2124" s="11">
        <f>B2124+30</f>
        <v/>
      </c>
      <c r="N2124">
        <f>IF(L2124="", "", L2124-B2124)</f>
        <v/>
      </c>
      <c r="O2124">
        <f>IF(L2124="", "Pending", IF(N2124&lt;=30, "Met", "Breached"))</f>
        <v/>
      </c>
    </row>
    <row r="2125">
      <c r="M2125" s="11">
        <f>B2125+30</f>
        <v/>
      </c>
      <c r="N2125">
        <f>IF(L2125="", "", L2125-B2125)</f>
        <v/>
      </c>
      <c r="O2125">
        <f>IF(L2125="", "Pending", IF(N2125&lt;=30, "Met", "Breached"))</f>
        <v/>
      </c>
    </row>
    <row r="2126">
      <c r="M2126" s="11">
        <f>B2126+30</f>
        <v/>
      </c>
      <c r="N2126">
        <f>IF(L2126="", "", L2126-B2126)</f>
        <v/>
      </c>
      <c r="O2126">
        <f>IF(L2126="", "Pending", IF(N2126&lt;=30, "Met", "Breached"))</f>
        <v/>
      </c>
    </row>
    <row r="2127">
      <c r="M2127" s="11">
        <f>B2127+30</f>
        <v/>
      </c>
      <c r="N2127">
        <f>IF(L2127="", "", L2127-B2127)</f>
        <v/>
      </c>
      <c r="O2127">
        <f>IF(L2127="", "Pending", IF(N2127&lt;=30, "Met", "Breached"))</f>
        <v/>
      </c>
    </row>
    <row r="2128">
      <c r="M2128" s="11">
        <f>B2128+30</f>
        <v/>
      </c>
      <c r="N2128">
        <f>IF(L2128="", "", L2128-B2128)</f>
        <v/>
      </c>
      <c r="O2128">
        <f>IF(L2128="", "Pending", IF(N2128&lt;=30, "Met", "Breached"))</f>
        <v/>
      </c>
    </row>
    <row r="2129">
      <c r="M2129" s="11">
        <f>B2129+30</f>
        <v/>
      </c>
      <c r="N2129">
        <f>IF(L2129="", "", L2129-B2129)</f>
        <v/>
      </c>
      <c r="O2129">
        <f>IF(L2129="", "Pending", IF(N2129&lt;=30, "Met", "Breached"))</f>
        <v/>
      </c>
    </row>
    <row r="2130">
      <c r="M2130" s="11">
        <f>B2130+30</f>
        <v/>
      </c>
      <c r="N2130">
        <f>IF(L2130="", "", L2130-B2130)</f>
        <v/>
      </c>
      <c r="O2130">
        <f>IF(L2130="", "Pending", IF(N2130&lt;=30, "Met", "Breached"))</f>
        <v/>
      </c>
    </row>
    <row r="2131">
      <c r="M2131" s="11">
        <f>B2131+30</f>
        <v/>
      </c>
      <c r="N2131">
        <f>IF(L2131="", "", L2131-B2131)</f>
        <v/>
      </c>
      <c r="O2131">
        <f>IF(L2131="", "Pending", IF(N2131&lt;=30, "Met", "Breached"))</f>
        <v/>
      </c>
    </row>
    <row r="2132">
      <c r="M2132" s="11">
        <f>B2132+30</f>
        <v/>
      </c>
      <c r="N2132">
        <f>IF(L2132="", "", L2132-B2132)</f>
        <v/>
      </c>
      <c r="O2132">
        <f>IF(L2132="", "Pending", IF(N2132&lt;=30, "Met", "Breached"))</f>
        <v/>
      </c>
    </row>
    <row r="2133">
      <c r="M2133" s="11">
        <f>B2133+30</f>
        <v/>
      </c>
      <c r="N2133">
        <f>IF(L2133="", "", L2133-B2133)</f>
        <v/>
      </c>
      <c r="O2133">
        <f>IF(L2133="", "Pending", IF(N2133&lt;=30, "Met", "Breached"))</f>
        <v/>
      </c>
    </row>
    <row r="2134">
      <c r="M2134" s="11">
        <f>B2134+30</f>
        <v/>
      </c>
      <c r="N2134">
        <f>IF(L2134="", "", L2134-B2134)</f>
        <v/>
      </c>
      <c r="O2134">
        <f>IF(L2134="", "Pending", IF(N2134&lt;=30, "Met", "Breached"))</f>
        <v/>
      </c>
    </row>
    <row r="2135">
      <c r="M2135" s="11">
        <f>B2135+30</f>
        <v/>
      </c>
      <c r="N2135">
        <f>IF(L2135="", "", L2135-B2135)</f>
        <v/>
      </c>
      <c r="O2135">
        <f>IF(L2135="", "Pending", IF(N2135&lt;=30, "Met", "Breached"))</f>
        <v/>
      </c>
    </row>
    <row r="2136">
      <c r="M2136" s="11">
        <f>B2136+30</f>
        <v/>
      </c>
      <c r="N2136">
        <f>IF(L2136="", "", L2136-B2136)</f>
        <v/>
      </c>
      <c r="O2136">
        <f>IF(L2136="", "Pending", IF(N2136&lt;=30, "Met", "Breached"))</f>
        <v/>
      </c>
    </row>
    <row r="2137">
      <c r="M2137" s="11">
        <f>B2137+30</f>
        <v/>
      </c>
      <c r="N2137">
        <f>IF(L2137="", "", L2137-B2137)</f>
        <v/>
      </c>
      <c r="O2137">
        <f>IF(L2137="", "Pending", IF(N2137&lt;=30, "Met", "Breached"))</f>
        <v/>
      </c>
    </row>
    <row r="2138">
      <c r="M2138" s="11">
        <f>B2138+30</f>
        <v/>
      </c>
      <c r="N2138">
        <f>IF(L2138="", "", L2138-B2138)</f>
        <v/>
      </c>
      <c r="O2138">
        <f>IF(L2138="", "Pending", IF(N2138&lt;=30, "Met", "Breached"))</f>
        <v/>
      </c>
    </row>
    <row r="2139">
      <c r="M2139" s="11">
        <f>B2139+30</f>
        <v/>
      </c>
      <c r="N2139">
        <f>IF(L2139="", "", L2139-B2139)</f>
        <v/>
      </c>
      <c r="O2139">
        <f>IF(L2139="", "Pending", IF(N2139&lt;=30, "Met", "Breached"))</f>
        <v/>
      </c>
    </row>
    <row r="2140">
      <c r="M2140" s="11">
        <f>B2140+30</f>
        <v/>
      </c>
      <c r="N2140">
        <f>IF(L2140="", "", L2140-B2140)</f>
        <v/>
      </c>
      <c r="O2140">
        <f>IF(L2140="", "Pending", IF(N2140&lt;=30, "Met", "Breached"))</f>
        <v/>
      </c>
    </row>
    <row r="2141">
      <c r="M2141" s="11">
        <f>B2141+30</f>
        <v/>
      </c>
      <c r="N2141">
        <f>IF(L2141="", "", L2141-B2141)</f>
        <v/>
      </c>
      <c r="O2141">
        <f>IF(L2141="", "Pending", IF(N2141&lt;=30, "Met", "Breached"))</f>
        <v/>
      </c>
    </row>
    <row r="2142">
      <c r="M2142" s="11">
        <f>B2142+30</f>
        <v/>
      </c>
      <c r="N2142">
        <f>IF(L2142="", "", L2142-B2142)</f>
        <v/>
      </c>
      <c r="O2142">
        <f>IF(L2142="", "Pending", IF(N2142&lt;=30, "Met", "Breached"))</f>
        <v/>
      </c>
    </row>
    <row r="2143">
      <c r="M2143" s="11">
        <f>B2143+30</f>
        <v/>
      </c>
      <c r="N2143">
        <f>IF(L2143="", "", L2143-B2143)</f>
        <v/>
      </c>
      <c r="O2143">
        <f>IF(L2143="", "Pending", IF(N2143&lt;=30, "Met", "Breached"))</f>
        <v/>
      </c>
    </row>
    <row r="2144">
      <c r="M2144" s="11">
        <f>B2144+30</f>
        <v/>
      </c>
      <c r="N2144">
        <f>IF(L2144="", "", L2144-B2144)</f>
        <v/>
      </c>
      <c r="O2144">
        <f>IF(L2144="", "Pending", IF(N2144&lt;=30, "Met", "Breached"))</f>
        <v/>
      </c>
    </row>
    <row r="2145">
      <c r="M2145" s="11">
        <f>B2145+30</f>
        <v/>
      </c>
      <c r="N2145">
        <f>IF(L2145="", "", L2145-B2145)</f>
        <v/>
      </c>
      <c r="O2145">
        <f>IF(L2145="", "Pending", IF(N2145&lt;=30, "Met", "Breached"))</f>
        <v/>
      </c>
    </row>
    <row r="2146">
      <c r="M2146" s="11">
        <f>B2146+30</f>
        <v/>
      </c>
      <c r="N2146">
        <f>IF(L2146="", "", L2146-B2146)</f>
        <v/>
      </c>
      <c r="O2146">
        <f>IF(L2146="", "Pending", IF(N2146&lt;=30, "Met", "Breached"))</f>
        <v/>
      </c>
    </row>
    <row r="2147">
      <c r="M2147" s="11">
        <f>B2147+30</f>
        <v/>
      </c>
      <c r="N2147">
        <f>IF(L2147="", "", L2147-B2147)</f>
        <v/>
      </c>
      <c r="O2147">
        <f>IF(L2147="", "Pending", IF(N2147&lt;=30, "Met", "Breached"))</f>
        <v/>
      </c>
    </row>
    <row r="2148">
      <c r="M2148" s="11">
        <f>B2148+30</f>
        <v/>
      </c>
      <c r="N2148">
        <f>IF(L2148="", "", L2148-B2148)</f>
        <v/>
      </c>
      <c r="O2148">
        <f>IF(L2148="", "Pending", IF(N2148&lt;=30, "Met", "Breached"))</f>
        <v/>
      </c>
    </row>
    <row r="2149">
      <c r="M2149" s="11">
        <f>B2149+30</f>
        <v/>
      </c>
      <c r="N2149">
        <f>IF(L2149="", "", L2149-B2149)</f>
        <v/>
      </c>
      <c r="O2149">
        <f>IF(L2149="", "Pending", IF(N2149&lt;=30, "Met", "Breached"))</f>
        <v/>
      </c>
    </row>
    <row r="2150">
      <c r="M2150" s="11">
        <f>B2150+30</f>
        <v/>
      </c>
      <c r="N2150">
        <f>IF(L2150="", "", L2150-B2150)</f>
        <v/>
      </c>
      <c r="O2150">
        <f>IF(L2150="", "Pending", IF(N2150&lt;=30, "Met", "Breached"))</f>
        <v/>
      </c>
    </row>
    <row r="2151">
      <c r="M2151" s="11">
        <f>B2151+30</f>
        <v/>
      </c>
      <c r="N2151">
        <f>IF(L2151="", "", L2151-B2151)</f>
        <v/>
      </c>
      <c r="O2151">
        <f>IF(L2151="", "Pending", IF(N2151&lt;=30, "Met", "Breached"))</f>
        <v/>
      </c>
    </row>
    <row r="2152">
      <c r="M2152" s="11">
        <f>B2152+30</f>
        <v/>
      </c>
      <c r="N2152">
        <f>IF(L2152="", "", L2152-B2152)</f>
        <v/>
      </c>
      <c r="O2152">
        <f>IF(L2152="", "Pending", IF(N2152&lt;=30, "Met", "Breached"))</f>
        <v/>
      </c>
    </row>
    <row r="2153">
      <c r="M2153" s="11">
        <f>B2153+30</f>
        <v/>
      </c>
      <c r="N2153">
        <f>IF(L2153="", "", L2153-B2153)</f>
        <v/>
      </c>
      <c r="O2153">
        <f>IF(L2153="", "Pending", IF(N2153&lt;=30, "Met", "Breached"))</f>
        <v/>
      </c>
    </row>
    <row r="2154">
      <c r="M2154" s="11">
        <f>B2154+30</f>
        <v/>
      </c>
      <c r="N2154">
        <f>IF(L2154="", "", L2154-B2154)</f>
        <v/>
      </c>
      <c r="O2154">
        <f>IF(L2154="", "Pending", IF(N2154&lt;=30, "Met", "Breached"))</f>
        <v/>
      </c>
    </row>
    <row r="2155">
      <c r="M2155" s="11">
        <f>B2155+30</f>
        <v/>
      </c>
      <c r="N2155">
        <f>IF(L2155="", "", L2155-B2155)</f>
        <v/>
      </c>
      <c r="O2155">
        <f>IF(L2155="", "Pending", IF(N2155&lt;=30, "Met", "Breached"))</f>
        <v/>
      </c>
    </row>
    <row r="2156">
      <c r="M2156" s="11">
        <f>B2156+30</f>
        <v/>
      </c>
      <c r="N2156">
        <f>IF(L2156="", "", L2156-B2156)</f>
        <v/>
      </c>
      <c r="O2156">
        <f>IF(L2156="", "Pending", IF(N2156&lt;=30, "Met", "Breached"))</f>
        <v/>
      </c>
    </row>
    <row r="2157">
      <c r="M2157" s="11">
        <f>B2157+30</f>
        <v/>
      </c>
      <c r="N2157">
        <f>IF(L2157="", "", L2157-B2157)</f>
        <v/>
      </c>
      <c r="O2157">
        <f>IF(L2157="", "Pending", IF(N2157&lt;=30, "Met", "Breached"))</f>
        <v/>
      </c>
    </row>
    <row r="2158">
      <c r="M2158" s="11">
        <f>B2158+30</f>
        <v/>
      </c>
      <c r="N2158">
        <f>IF(L2158="", "", L2158-B2158)</f>
        <v/>
      </c>
      <c r="O2158">
        <f>IF(L2158="", "Pending", IF(N2158&lt;=30, "Met", "Breached"))</f>
        <v/>
      </c>
    </row>
    <row r="2159">
      <c r="M2159" s="11">
        <f>B2159+30</f>
        <v/>
      </c>
      <c r="N2159">
        <f>IF(L2159="", "", L2159-B2159)</f>
        <v/>
      </c>
      <c r="O2159">
        <f>IF(L2159="", "Pending", IF(N2159&lt;=30, "Met", "Breached"))</f>
        <v/>
      </c>
    </row>
    <row r="2160">
      <c r="M2160" s="11">
        <f>B2160+30</f>
        <v/>
      </c>
      <c r="N2160">
        <f>IF(L2160="", "", L2160-B2160)</f>
        <v/>
      </c>
      <c r="O2160">
        <f>IF(L2160="", "Pending", IF(N2160&lt;=30, "Met", "Breached"))</f>
        <v/>
      </c>
    </row>
    <row r="2161">
      <c r="M2161" s="11">
        <f>B2161+30</f>
        <v/>
      </c>
      <c r="N2161">
        <f>IF(L2161="", "", L2161-B2161)</f>
        <v/>
      </c>
      <c r="O2161">
        <f>IF(L2161="", "Pending", IF(N2161&lt;=30, "Met", "Breached"))</f>
        <v/>
      </c>
    </row>
    <row r="2162">
      <c r="M2162" s="11">
        <f>B2162+30</f>
        <v/>
      </c>
      <c r="N2162">
        <f>IF(L2162="", "", L2162-B2162)</f>
        <v/>
      </c>
      <c r="O2162">
        <f>IF(L2162="", "Pending", IF(N2162&lt;=30, "Met", "Breached"))</f>
        <v/>
      </c>
    </row>
    <row r="2163">
      <c r="M2163" s="11">
        <f>B2163+30</f>
        <v/>
      </c>
      <c r="N2163">
        <f>IF(L2163="", "", L2163-B2163)</f>
        <v/>
      </c>
      <c r="O2163">
        <f>IF(L2163="", "Pending", IF(N2163&lt;=30, "Met", "Breached"))</f>
        <v/>
      </c>
    </row>
    <row r="2164">
      <c r="M2164" s="11">
        <f>B2164+30</f>
        <v/>
      </c>
      <c r="N2164">
        <f>IF(L2164="", "", L2164-B2164)</f>
        <v/>
      </c>
      <c r="O2164">
        <f>IF(L2164="", "Pending", IF(N2164&lt;=30, "Met", "Breached"))</f>
        <v/>
      </c>
    </row>
    <row r="2165">
      <c r="M2165" s="11">
        <f>B2165+30</f>
        <v/>
      </c>
      <c r="N2165">
        <f>IF(L2165="", "", L2165-B2165)</f>
        <v/>
      </c>
      <c r="O2165">
        <f>IF(L2165="", "Pending", IF(N2165&lt;=30, "Met", "Breached"))</f>
        <v/>
      </c>
    </row>
    <row r="2166">
      <c r="M2166" s="11">
        <f>B2166+30</f>
        <v/>
      </c>
      <c r="N2166">
        <f>IF(L2166="", "", L2166-B2166)</f>
        <v/>
      </c>
      <c r="O2166">
        <f>IF(L2166="", "Pending", IF(N2166&lt;=30, "Met", "Breached"))</f>
        <v/>
      </c>
    </row>
    <row r="2167">
      <c r="M2167" s="11">
        <f>B2167+30</f>
        <v/>
      </c>
      <c r="N2167">
        <f>IF(L2167="", "", L2167-B2167)</f>
        <v/>
      </c>
      <c r="O2167">
        <f>IF(L2167="", "Pending", IF(N2167&lt;=30, "Met", "Breached"))</f>
        <v/>
      </c>
    </row>
    <row r="2168">
      <c r="M2168" s="11">
        <f>B2168+30</f>
        <v/>
      </c>
      <c r="N2168">
        <f>IF(L2168="", "", L2168-B2168)</f>
        <v/>
      </c>
      <c r="O2168">
        <f>IF(L2168="", "Pending", IF(N2168&lt;=30, "Met", "Breached"))</f>
        <v/>
      </c>
    </row>
    <row r="2169">
      <c r="M2169" s="11">
        <f>B2169+30</f>
        <v/>
      </c>
      <c r="N2169">
        <f>IF(L2169="", "", L2169-B2169)</f>
        <v/>
      </c>
      <c r="O2169">
        <f>IF(L2169="", "Pending", IF(N2169&lt;=30, "Met", "Breached"))</f>
        <v/>
      </c>
    </row>
    <row r="2170">
      <c r="M2170" s="11">
        <f>B2170+30</f>
        <v/>
      </c>
      <c r="N2170">
        <f>IF(L2170="", "", L2170-B2170)</f>
        <v/>
      </c>
      <c r="O2170">
        <f>IF(L2170="", "Pending", IF(N2170&lt;=30, "Met", "Breached"))</f>
        <v/>
      </c>
    </row>
    <row r="2171">
      <c r="M2171" s="11">
        <f>B2171+30</f>
        <v/>
      </c>
      <c r="N2171">
        <f>IF(L2171="", "", L2171-B2171)</f>
        <v/>
      </c>
      <c r="O2171">
        <f>IF(L2171="", "Pending", IF(N2171&lt;=30, "Met", "Breached"))</f>
        <v/>
      </c>
    </row>
    <row r="2172">
      <c r="M2172" s="11">
        <f>B2172+30</f>
        <v/>
      </c>
      <c r="N2172">
        <f>IF(L2172="", "", L2172-B2172)</f>
        <v/>
      </c>
      <c r="O2172">
        <f>IF(L2172="", "Pending", IF(N2172&lt;=30, "Met", "Breached"))</f>
        <v/>
      </c>
    </row>
    <row r="2173">
      <c r="M2173" s="11">
        <f>B2173+30</f>
        <v/>
      </c>
      <c r="N2173">
        <f>IF(L2173="", "", L2173-B2173)</f>
        <v/>
      </c>
      <c r="O2173">
        <f>IF(L2173="", "Pending", IF(N2173&lt;=30, "Met", "Breached"))</f>
        <v/>
      </c>
    </row>
    <row r="2174">
      <c r="M2174" s="11">
        <f>B2174+30</f>
        <v/>
      </c>
      <c r="N2174">
        <f>IF(L2174="", "", L2174-B2174)</f>
        <v/>
      </c>
      <c r="O2174">
        <f>IF(L2174="", "Pending", IF(N2174&lt;=30, "Met", "Breached"))</f>
        <v/>
      </c>
    </row>
    <row r="2175">
      <c r="M2175" s="11">
        <f>B2175+30</f>
        <v/>
      </c>
      <c r="N2175">
        <f>IF(L2175="", "", L2175-B2175)</f>
        <v/>
      </c>
      <c r="O2175">
        <f>IF(L2175="", "Pending", IF(N2175&lt;=30, "Met", "Breached"))</f>
        <v/>
      </c>
    </row>
    <row r="2176">
      <c r="M2176" s="11">
        <f>B2176+30</f>
        <v/>
      </c>
      <c r="N2176">
        <f>IF(L2176="", "", L2176-B2176)</f>
        <v/>
      </c>
      <c r="O2176">
        <f>IF(L2176="", "Pending", IF(N2176&lt;=30, "Met", "Breached"))</f>
        <v/>
      </c>
    </row>
    <row r="2177">
      <c r="M2177" s="11">
        <f>B2177+30</f>
        <v/>
      </c>
      <c r="N2177">
        <f>IF(L2177="", "", L2177-B2177)</f>
        <v/>
      </c>
      <c r="O2177">
        <f>IF(L2177="", "Pending", IF(N2177&lt;=30, "Met", "Breached"))</f>
        <v/>
      </c>
    </row>
    <row r="2178">
      <c r="M2178" s="11">
        <f>B2178+30</f>
        <v/>
      </c>
      <c r="N2178">
        <f>IF(L2178="", "", L2178-B2178)</f>
        <v/>
      </c>
      <c r="O2178">
        <f>IF(L2178="", "Pending", IF(N2178&lt;=30, "Met", "Breached"))</f>
        <v/>
      </c>
    </row>
    <row r="2179">
      <c r="M2179" s="11">
        <f>B2179+30</f>
        <v/>
      </c>
      <c r="N2179">
        <f>IF(L2179="", "", L2179-B2179)</f>
        <v/>
      </c>
      <c r="O2179">
        <f>IF(L2179="", "Pending", IF(N2179&lt;=30, "Met", "Breached"))</f>
        <v/>
      </c>
    </row>
    <row r="2180">
      <c r="M2180" s="11">
        <f>B2180+30</f>
        <v/>
      </c>
      <c r="N2180">
        <f>IF(L2180="", "", L2180-B2180)</f>
        <v/>
      </c>
      <c r="O2180">
        <f>IF(L2180="", "Pending", IF(N2180&lt;=30, "Met", "Breached"))</f>
        <v/>
      </c>
    </row>
    <row r="2181">
      <c r="M2181" s="11">
        <f>B2181+30</f>
        <v/>
      </c>
      <c r="N2181">
        <f>IF(L2181="", "", L2181-B2181)</f>
        <v/>
      </c>
      <c r="O2181">
        <f>IF(L2181="", "Pending", IF(N2181&lt;=30, "Met", "Breached"))</f>
        <v/>
      </c>
    </row>
    <row r="2182">
      <c r="M2182" s="11">
        <f>B2182+30</f>
        <v/>
      </c>
      <c r="N2182">
        <f>IF(L2182="", "", L2182-B2182)</f>
        <v/>
      </c>
      <c r="O2182">
        <f>IF(L2182="", "Pending", IF(N2182&lt;=30, "Met", "Breached"))</f>
        <v/>
      </c>
    </row>
    <row r="2183">
      <c r="M2183" s="11">
        <f>B2183+30</f>
        <v/>
      </c>
      <c r="N2183">
        <f>IF(L2183="", "", L2183-B2183)</f>
        <v/>
      </c>
      <c r="O2183">
        <f>IF(L2183="", "Pending", IF(N2183&lt;=30, "Met", "Breached"))</f>
        <v/>
      </c>
    </row>
    <row r="2184">
      <c r="M2184" s="11">
        <f>B2184+30</f>
        <v/>
      </c>
      <c r="N2184">
        <f>IF(L2184="", "", L2184-B2184)</f>
        <v/>
      </c>
      <c r="O2184">
        <f>IF(L2184="", "Pending", IF(N2184&lt;=30, "Met", "Breached"))</f>
        <v/>
      </c>
    </row>
    <row r="2185">
      <c r="M2185" s="11">
        <f>B2185+30</f>
        <v/>
      </c>
      <c r="N2185">
        <f>IF(L2185="", "", L2185-B2185)</f>
        <v/>
      </c>
      <c r="O2185">
        <f>IF(L2185="", "Pending", IF(N2185&lt;=30, "Met", "Breached"))</f>
        <v/>
      </c>
    </row>
    <row r="2186">
      <c r="M2186" s="11">
        <f>B2186+30</f>
        <v/>
      </c>
      <c r="N2186">
        <f>IF(L2186="", "", L2186-B2186)</f>
        <v/>
      </c>
      <c r="O2186">
        <f>IF(L2186="", "Pending", IF(N2186&lt;=30, "Met", "Breached"))</f>
        <v/>
      </c>
    </row>
    <row r="2187">
      <c r="M2187" s="11">
        <f>B2187+30</f>
        <v/>
      </c>
      <c r="N2187">
        <f>IF(L2187="", "", L2187-B2187)</f>
        <v/>
      </c>
      <c r="O2187">
        <f>IF(L2187="", "Pending", IF(N2187&lt;=30, "Met", "Breached"))</f>
        <v/>
      </c>
    </row>
    <row r="2188">
      <c r="M2188" s="11">
        <f>B2188+30</f>
        <v/>
      </c>
      <c r="N2188">
        <f>IF(L2188="", "", L2188-B2188)</f>
        <v/>
      </c>
      <c r="O2188">
        <f>IF(L2188="", "Pending", IF(N2188&lt;=30, "Met", "Breached"))</f>
        <v/>
      </c>
    </row>
    <row r="2189">
      <c r="M2189" s="11">
        <f>B2189+30</f>
        <v/>
      </c>
      <c r="N2189">
        <f>IF(L2189="", "", L2189-B2189)</f>
        <v/>
      </c>
      <c r="O2189">
        <f>IF(L2189="", "Pending", IF(N2189&lt;=30, "Met", "Breached"))</f>
        <v/>
      </c>
    </row>
    <row r="2190">
      <c r="M2190" s="11">
        <f>B2190+30</f>
        <v/>
      </c>
      <c r="N2190">
        <f>IF(L2190="", "", L2190-B2190)</f>
        <v/>
      </c>
      <c r="O2190">
        <f>IF(L2190="", "Pending", IF(N2190&lt;=30, "Met", "Breached"))</f>
        <v/>
      </c>
    </row>
    <row r="2191">
      <c r="M2191" s="11">
        <f>B2191+30</f>
        <v/>
      </c>
      <c r="N2191">
        <f>IF(L2191="", "", L2191-B2191)</f>
        <v/>
      </c>
      <c r="O2191">
        <f>IF(L2191="", "Pending", IF(N2191&lt;=30, "Met", "Breached"))</f>
        <v/>
      </c>
    </row>
    <row r="2192">
      <c r="M2192" s="11">
        <f>B2192+30</f>
        <v/>
      </c>
      <c r="N2192">
        <f>IF(L2192="", "", L2192-B2192)</f>
        <v/>
      </c>
      <c r="O2192">
        <f>IF(L2192="", "Pending", IF(N2192&lt;=30, "Met", "Breached"))</f>
        <v/>
      </c>
    </row>
    <row r="2193">
      <c r="M2193" s="11">
        <f>B2193+30</f>
        <v/>
      </c>
      <c r="N2193">
        <f>IF(L2193="", "", L2193-B2193)</f>
        <v/>
      </c>
      <c r="O2193">
        <f>IF(L2193="", "Pending", IF(N2193&lt;=30, "Met", "Breached"))</f>
        <v/>
      </c>
    </row>
    <row r="2194">
      <c r="M2194" s="11">
        <f>B2194+30</f>
        <v/>
      </c>
      <c r="N2194">
        <f>IF(L2194="", "", L2194-B2194)</f>
        <v/>
      </c>
      <c r="O2194">
        <f>IF(L2194="", "Pending", IF(N2194&lt;=30, "Met", "Breached"))</f>
        <v/>
      </c>
    </row>
    <row r="2195">
      <c r="M2195" s="11">
        <f>B2195+30</f>
        <v/>
      </c>
      <c r="N2195">
        <f>IF(L2195="", "", L2195-B2195)</f>
        <v/>
      </c>
      <c r="O2195">
        <f>IF(L2195="", "Pending", IF(N2195&lt;=30, "Met", "Breached"))</f>
        <v/>
      </c>
    </row>
    <row r="2196">
      <c r="M2196" s="11">
        <f>B2196+30</f>
        <v/>
      </c>
      <c r="N2196">
        <f>IF(L2196="", "", L2196-B2196)</f>
        <v/>
      </c>
      <c r="O2196">
        <f>IF(L2196="", "Pending", IF(N2196&lt;=30, "Met", "Breached"))</f>
        <v/>
      </c>
    </row>
    <row r="2197">
      <c r="M2197" s="11">
        <f>B2197+30</f>
        <v/>
      </c>
      <c r="N2197">
        <f>IF(L2197="", "", L2197-B2197)</f>
        <v/>
      </c>
      <c r="O2197">
        <f>IF(L2197="", "Pending", IF(N2197&lt;=30, "Met", "Breached"))</f>
        <v/>
      </c>
    </row>
    <row r="2198">
      <c r="M2198" s="11">
        <f>B2198+30</f>
        <v/>
      </c>
      <c r="N2198">
        <f>IF(L2198="", "", L2198-B2198)</f>
        <v/>
      </c>
      <c r="O2198">
        <f>IF(L2198="", "Pending", IF(N2198&lt;=30, "Met", "Breached"))</f>
        <v/>
      </c>
    </row>
    <row r="2199">
      <c r="M2199" s="11">
        <f>B2199+30</f>
        <v/>
      </c>
      <c r="N2199">
        <f>IF(L2199="", "", L2199-B2199)</f>
        <v/>
      </c>
      <c r="O2199">
        <f>IF(L2199="", "Pending", IF(N2199&lt;=30, "Met", "Breached"))</f>
        <v/>
      </c>
    </row>
    <row r="2200">
      <c r="M2200" s="11">
        <f>B2200+30</f>
        <v/>
      </c>
      <c r="N2200">
        <f>IF(L2200="", "", L2200-B2200)</f>
        <v/>
      </c>
      <c r="O2200">
        <f>IF(L2200="", "Pending", IF(N2200&lt;=30, "Met", "Breached"))</f>
        <v/>
      </c>
    </row>
    <row r="2201">
      <c r="M2201" s="11">
        <f>B2201+30</f>
        <v/>
      </c>
      <c r="N2201">
        <f>IF(L2201="", "", L2201-B2201)</f>
        <v/>
      </c>
      <c r="O2201">
        <f>IF(L2201="", "Pending", IF(N2201&lt;=30, "Met", "Breached"))</f>
        <v/>
      </c>
    </row>
    <row r="2202">
      <c r="M2202" s="11">
        <f>B2202+30</f>
        <v/>
      </c>
      <c r="N2202">
        <f>IF(L2202="", "", L2202-B2202)</f>
        <v/>
      </c>
      <c r="O2202">
        <f>IF(L2202="", "Pending", IF(N2202&lt;=30, "Met", "Breached"))</f>
        <v/>
      </c>
    </row>
    <row r="2203">
      <c r="M2203" s="11">
        <f>B2203+30</f>
        <v/>
      </c>
      <c r="N2203">
        <f>IF(L2203="", "", L2203-B2203)</f>
        <v/>
      </c>
      <c r="O2203">
        <f>IF(L2203="", "Pending", IF(N2203&lt;=30, "Met", "Breached"))</f>
        <v/>
      </c>
    </row>
    <row r="2204">
      <c r="M2204" s="11">
        <f>B2204+30</f>
        <v/>
      </c>
      <c r="N2204">
        <f>IF(L2204="", "", L2204-B2204)</f>
        <v/>
      </c>
      <c r="O2204">
        <f>IF(L2204="", "Pending", IF(N2204&lt;=30, "Met", "Breached"))</f>
        <v/>
      </c>
    </row>
    <row r="2205">
      <c r="M2205" s="11">
        <f>B2205+30</f>
        <v/>
      </c>
      <c r="N2205">
        <f>IF(L2205="", "", L2205-B2205)</f>
        <v/>
      </c>
      <c r="O2205">
        <f>IF(L2205="", "Pending", IF(N2205&lt;=30, "Met", "Breached"))</f>
        <v/>
      </c>
    </row>
    <row r="2206">
      <c r="M2206" s="11">
        <f>B2206+30</f>
        <v/>
      </c>
      <c r="N2206">
        <f>IF(L2206="", "", L2206-B2206)</f>
        <v/>
      </c>
      <c r="O2206">
        <f>IF(L2206="", "Pending", IF(N2206&lt;=30, "Met", "Breached"))</f>
        <v/>
      </c>
    </row>
    <row r="2207">
      <c r="M2207" s="11">
        <f>B2207+30</f>
        <v/>
      </c>
      <c r="N2207">
        <f>IF(L2207="", "", L2207-B2207)</f>
        <v/>
      </c>
      <c r="O2207">
        <f>IF(L2207="", "Pending", IF(N2207&lt;=30, "Met", "Breached"))</f>
        <v/>
      </c>
    </row>
    <row r="2208">
      <c r="M2208" s="11">
        <f>B2208+30</f>
        <v/>
      </c>
      <c r="N2208">
        <f>IF(L2208="", "", L2208-B2208)</f>
        <v/>
      </c>
      <c r="O2208">
        <f>IF(L2208="", "Pending", IF(N2208&lt;=30, "Met", "Breached"))</f>
        <v/>
      </c>
    </row>
    <row r="2209">
      <c r="M2209" s="11">
        <f>B2209+30</f>
        <v/>
      </c>
      <c r="N2209">
        <f>IF(L2209="", "", L2209-B2209)</f>
        <v/>
      </c>
      <c r="O2209">
        <f>IF(L2209="", "Pending", IF(N2209&lt;=30, "Met", "Breached"))</f>
        <v/>
      </c>
    </row>
    <row r="2210">
      <c r="M2210" s="11">
        <f>B2210+30</f>
        <v/>
      </c>
      <c r="N2210">
        <f>IF(L2210="", "", L2210-B2210)</f>
        <v/>
      </c>
      <c r="O2210">
        <f>IF(L2210="", "Pending", IF(N2210&lt;=30, "Met", "Breached"))</f>
        <v/>
      </c>
    </row>
    <row r="2211">
      <c r="M2211" s="11">
        <f>B2211+30</f>
        <v/>
      </c>
      <c r="N2211">
        <f>IF(L2211="", "", L2211-B2211)</f>
        <v/>
      </c>
      <c r="O2211">
        <f>IF(L2211="", "Pending", IF(N2211&lt;=30, "Met", "Breached"))</f>
        <v/>
      </c>
    </row>
    <row r="2212">
      <c r="M2212" s="11">
        <f>B2212+30</f>
        <v/>
      </c>
      <c r="N2212">
        <f>IF(L2212="", "", L2212-B2212)</f>
        <v/>
      </c>
      <c r="O2212">
        <f>IF(L2212="", "Pending", IF(N2212&lt;=30, "Met", "Breached"))</f>
        <v/>
      </c>
    </row>
    <row r="2213">
      <c r="M2213" s="11">
        <f>B2213+30</f>
        <v/>
      </c>
      <c r="N2213">
        <f>IF(L2213="", "", L2213-B2213)</f>
        <v/>
      </c>
      <c r="O2213">
        <f>IF(L2213="", "Pending", IF(N2213&lt;=30, "Met", "Breached"))</f>
        <v/>
      </c>
    </row>
    <row r="2214">
      <c r="M2214" s="11">
        <f>B2214+30</f>
        <v/>
      </c>
      <c r="N2214">
        <f>IF(L2214="", "", L2214-B2214)</f>
        <v/>
      </c>
      <c r="O2214">
        <f>IF(L2214="", "Pending", IF(N2214&lt;=30, "Met", "Breached"))</f>
        <v/>
      </c>
    </row>
    <row r="2215">
      <c r="M2215" s="11">
        <f>B2215+30</f>
        <v/>
      </c>
      <c r="N2215">
        <f>IF(L2215="", "", L2215-B2215)</f>
        <v/>
      </c>
      <c r="O2215">
        <f>IF(L2215="", "Pending", IF(N2215&lt;=30, "Met", "Breached"))</f>
        <v/>
      </c>
    </row>
    <row r="2216">
      <c r="M2216" s="11">
        <f>B2216+30</f>
        <v/>
      </c>
      <c r="N2216">
        <f>IF(L2216="", "", L2216-B2216)</f>
        <v/>
      </c>
      <c r="O2216">
        <f>IF(L2216="", "Pending", IF(N2216&lt;=30, "Met", "Breached"))</f>
        <v/>
      </c>
    </row>
    <row r="2217">
      <c r="M2217" s="11">
        <f>B2217+30</f>
        <v/>
      </c>
      <c r="N2217">
        <f>IF(L2217="", "", L2217-B2217)</f>
        <v/>
      </c>
      <c r="O2217">
        <f>IF(L2217="", "Pending", IF(N2217&lt;=30, "Met", "Breached"))</f>
        <v/>
      </c>
    </row>
    <row r="2218">
      <c r="M2218" s="11">
        <f>B2218+30</f>
        <v/>
      </c>
      <c r="N2218">
        <f>IF(L2218="", "", L2218-B2218)</f>
        <v/>
      </c>
      <c r="O2218">
        <f>IF(L2218="", "Pending", IF(N2218&lt;=30, "Met", "Breached"))</f>
        <v/>
      </c>
    </row>
    <row r="2219">
      <c r="M2219" s="11">
        <f>B2219+30</f>
        <v/>
      </c>
      <c r="N2219">
        <f>IF(L2219="", "", L2219-B2219)</f>
        <v/>
      </c>
      <c r="O2219">
        <f>IF(L2219="", "Pending", IF(N2219&lt;=30, "Met", "Breached"))</f>
        <v/>
      </c>
    </row>
    <row r="2220">
      <c r="M2220" s="11">
        <f>B2220+30</f>
        <v/>
      </c>
      <c r="N2220">
        <f>IF(L2220="", "", L2220-B2220)</f>
        <v/>
      </c>
      <c r="O2220">
        <f>IF(L2220="", "Pending", IF(N2220&lt;=30, "Met", "Breached"))</f>
        <v/>
      </c>
    </row>
    <row r="2221">
      <c r="M2221" s="11">
        <f>B2221+30</f>
        <v/>
      </c>
      <c r="N2221">
        <f>IF(L2221="", "", L2221-B2221)</f>
        <v/>
      </c>
      <c r="O2221">
        <f>IF(L2221="", "Pending", IF(N2221&lt;=30, "Met", "Breached"))</f>
        <v/>
      </c>
    </row>
    <row r="2222">
      <c r="M2222" s="11">
        <f>B2222+30</f>
        <v/>
      </c>
      <c r="N2222">
        <f>IF(L2222="", "", L2222-B2222)</f>
        <v/>
      </c>
      <c r="O2222">
        <f>IF(L2222="", "Pending", IF(N2222&lt;=30, "Met", "Breached"))</f>
        <v/>
      </c>
    </row>
    <row r="2223">
      <c r="M2223" s="11">
        <f>B2223+30</f>
        <v/>
      </c>
      <c r="N2223">
        <f>IF(L2223="", "", L2223-B2223)</f>
        <v/>
      </c>
      <c r="O2223">
        <f>IF(L2223="", "Pending", IF(N2223&lt;=30, "Met", "Breached"))</f>
        <v/>
      </c>
    </row>
    <row r="2224">
      <c r="M2224" s="11">
        <f>B2224+30</f>
        <v/>
      </c>
      <c r="N2224">
        <f>IF(L2224="", "", L2224-B2224)</f>
        <v/>
      </c>
      <c r="O2224">
        <f>IF(L2224="", "Pending", IF(N2224&lt;=30, "Met", "Breached"))</f>
        <v/>
      </c>
    </row>
    <row r="2225">
      <c r="M2225" s="11">
        <f>B2225+30</f>
        <v/>
      </c>
      <c r="N2225">
        <f>IF(L2225="", "", L2225-B2225)</f>
        <v/>
      </c>
      <c r="O2225">
        <f>IF(L2225="", "Pending", IF(N2225&lt;=30, "Met", "Breached"))</f>
        <v/>
      </c>
    </row>
    <row r="2226">
      <c r="M2226" s="11">
        <f>B2226+30</f>
        <v/>
      </c>
      <c r="N2226">
        <f>IF(L2226="", "", L2226-B2226)</f>
        <v/>
      </c>
      <c r="O2226">
        <f>IF(L2226="", "Pending", IF(N2226&lt;=30, "Met", "Breached"))</f>
        <v/>
      </c>
    </row>
    <row r="2227">
      <c r="M2227" s="11">
        <f>B2227+30</f>
        <v/>
      </c>
      <c r="N2227">
        <f>IF(L2227="", "", L2227-B2227)</f>
        <v/>
      </c>
      <c r="O2227">
        <f>IF(L2227="", "Pending", IF(N2227&lt;=30, "Met", "Breached"))</f>
        <v/>
      </c>
    </row>
    <row r="2228">
      <c r="M2228" s="11">
        <f>B2228+30</f>
        <v/>
      </c>
      <c r="N2228">
        <f>IF(L2228="", "", L2228-B2228)</f>
        <v/>
      </c>
      <c r="O2228">
        <f>IF(L2228="", "Pending", IF(N2228&lt;=30, "Met", "Breached"))</f>
        <v/>
      </c>
    </row>
    <row r="2229">
      <c r="M2229" s="11">
        <f>B2229+30</f>
        <v/>
      </c>
      <c r="N2229">
        <f>IF(L2229="", "", L2229-B2229)</f>
        <v/>
      </c>
      <c r="O2229">
        <f>IF(L2229="", "Pending", IF(N2229&lt;=30, "Met", "Breached"))</f>
        <v/>
      </c>
    </row>
    <row r="2230">
      <c r="M2230" s="11">
        <f>B2230+30</f>
        <v/>
      </c>
      <c r="N2230">
        <f>IF(L2230="", "", L2230-B2230)</f>
        <v/>
      </c>
      <c r="O2230">
        <f>IF(L2230="", "Pending", IF(N2230&lt;=30, "Met", "Breached"))</f>
        <v/>
      </c>
    </row>
    <row r="2231">
      <c r="M2231" s="11">
        <f>B2231+30</f>
        <v/>
      </c>
      <c r="N2231">
        <f>IF(L2231="", "", L2231-B2231)</f>
        <v/>
      </c>
      <c r="O2231">
        <f>IF(L2231="", "Pending", IF(N2231&lt;=30, "Met", "Breached"))</f>
        <v/>
      </c>
    </row>
    <row r="2232">
      <c r="M2232" s="11">
        <f>B2232+30</f>
        <v/>
      </c>
      <c r="N2232">
        <f>IF(L2232="", "", L2232-B2232)</f>
        <v/>
      </c>
      <c r="O2232">
        <f>IF(L2232="", "Pending", IF(N2232&lt;=30, "Met", "Breached"))</f>
        <v/>
      </c>
    </row>
    <row r="2233">
      <c r="M2233" s="11">
        <f>B2233+30</f>
        <v/>
      </c>
      <c r="N2233">
        <f>IF(L2233="", "", L2233-B2233)</f>
        <v/>
      </c>
      <c r="O2233">
        <f>IF(L2233="", "Pending", IF(N2233&lt;=30, "Met", "Breached"))</f>
        <v/>
      </c>
    </row>
    <row r="2234">
      <c r="M2234" s="11">
        <f>B2234+30</f>
        <v/>
      </c>
      <c r="N2234">
        <f>IF(L2234="", "", L2234-B2234)</f>
        <v/>
      </c>
      <c r="O2234">
        <f>IF(L2234="", "Pending", IF(N2234&lt;=30, "Met", "Breached"))</f>
        <v/>
      </c>
    </row>
    <row r="2235">
      <c r="M2235" s="11">
        <f>B2235+30</f>
        <v/>
      </c>
      <c r="N2235">
        <f>IF(L2235="", "", L2235-B2235)</f>
        <v/>
      </c>
      <c r="O2235">
        <f>IF(L2235="", "Pending", IF(N2235&lt;=30, "Met", "Breached"))</f>
        <v/>
      </c>
    </row>
    <row r="2236">
      <c r="M2236" s="11">
        <f>B2236+30</f>
        <v/>
      </c>
      <c r="N2236">
        <f>IF(L2236="", "", L2236-B2236)</f>
        <v/>
      </c>
      <c r="O2236">
        <f>IF(L2236="", "Pending", IF(N2236&lt;=30, "Met", "Breached"))</f>
        <v/>
      </c>
    </row>
    <row r="2237">
      <c r="M2237" s="11">
        <f>B2237+30</f>
        <v/>
      </c>
      <c r="N2237">
        <f>IF(L2237="", "", L2237-B2237)</f>
        <v/>
      </c>
      <c r="O2237">
        <f>IF(L2237="", "Pending", IF(N2237&lt;=30, "Met", "Breached"))</f>
        <v/>
      </c>
    </row>
    <row r="2238">
      <c r="M2238" s="11">
        <f>B2238+30</f>
        <v/>
      </c>
      <c r="N2238">
        <f>IF(L2238="", "", L2238-B2238)</f>
        <v/>
      </c>
      <c r="O2238">
        <f>IF(L2238="", "Pending", IF(N2238&lt;=30, "Met", "Breached"))</f>
        <v/>
      </c>
    </row>
    <row r="2239">
      <c r="M2239" s="11">
        <f>B2239+30</f>
        <v/>
      </c>
      <c r="N2239">
        <f>IF(L2239="", "", L2239-B2239)</f>
        <v/>
      </c>
      <c r="O2239">
        <f>IF(L2239="", "Pending", IF(N2239&lt;=30, "Met", "Breached"))</f>
        <v/>
      </c>
    </row>
    <row r="2240">
      <c r="M2240" s="11">
        <f>B2240+30</f>
        <v/>
      </c>
      <c r="N2240">
        <f>IF(L2240="", "", L2240-B2240)</f>
        <v/>
      </c>
      <c r="O2240">
        <f>IF(L2240="", "Pending", IF(N2240&lt;=30, "Met", "Breached"))</f>
        <v/>
      </c>
    </row>
    <row r="2241">
      <c r="M2241" s="11">
        <f>B2241+30</f>
        <v/>
      </c>
      <c r="N2241">
        <f>IF(L2241="", "", L2241-B2241)</f>
        <v/>
      </c>
      <c r="O2241">
        <f>IF(L2241="", "Pending", IF(N2241&lt;=30, "Met", "Breached"))</f>
        <v/>
      </c>
    </row>
    <row r="2242">
      <c r="M2242" s="11">
        <f>B2242+30</f>
        <v/>
      </c>
      <c r="N2242">
        <f>IF(L2242="", "", L2242-B2242)</f>
        <v/>
      </c>
      <c r="O2242">
        <f>IF(L2242="", "Pending", IF(N2242&lt;=30, "Met", "Breached"))</f>
        <v/>
      </c>
    </row>
    <row r="2243">
      <c r="M2243" s="11">
        <f>B2243+30</f>
        <v/>
      </c>
      <c r="N2243">
        <f>IF(L2243="", "", L2243-B2243)</f>
        <v/>
      </c>
      <c r="O2243">
        <f>IF(L2243="", "Pending", IF(N2243&lt;=30, "Met", "Breached"))</f>
        <v/>
      </c>
    </row>
    <row r="2244">
      <c r="M2244" s="11">
        <f>B2244+30</f>
        <v/>
      </c>
      <c r="N2244">
        <f>IF(L2244="", "", L2244-B2244)</f>
        <v/>
      </c>
      <c r="O2244">
        <f>IF(L2244="", "Pending", IF(N2244&lt;=30, "Met", "Breached"))</f>
        <v/>
      </c>
    </row>
    <row r="2245">
      <c r="M2245" s="11">
        <f>B2245+30</f>
        <v/>
      </c>
      <c r="N2245">
        <f>IF(L2245="", "", L2245-B2245)</f>
        <v/>
      </c>
      <c r="O2245">
        <f>IF(L2245="", "Pending", IF(N2245&lt;=30, "Met", "Breached"))</f>
        <v/>
      </c>
    </row>
    <row r="2246">
      <c r="M2246" s="11">
        <f>B2246+30</f>
        <v/>
      </c>
      <c r="N2246">
        <f>IF(L2246="", "", L2246-B2246)</f>
        <v/>
      </c>
      <c r="O2246">
        <f>IF(L2246="", "Pending", IF(N2246&lt;=30, "Met", "Breached"))</f>
        <v/>
      </c>
    </row>
    <row r="2247">
      <c r="M2247" s="11">
        <f>B2247+30</f>
        <v/>
      </c>
      <c r="N2247">
        <f>IF(L2247="", "", L2247-B2247)</f>
        <v/>
      </c>
      <c r="O2247">
        <f>IF(L2247="", "Pending", IF(N2247&lt;=30, "Met", "Breached"))</f>
        <v/>
      </c>
    </row>
    <row r="2248">
      <c r="M2248" s="11">
        <f>B2248+30</f>
        <v/>
      </c>
      <c r="N2248">
        <f>IF(L2248="", "", L2248-B2248)</f>
        <v/>
      </c>
      <c r="O2248">
        <f>IF(L2248="", "Pending", IF(N2248&lt;=30, "Met", "Breached"))</f>
        <v/>
      </c>
    </row>
    <row r="2249">
      <c r="M2249" s="11">
        <f>B2249+30</f>
        <v/>
      </c>
      <c r="N2249">
        <f>IF(L2249="", "", L2249-B2249)</f>
        <v/>
      </c>
      <c r="O2249">
        <f>IF(L2249="", "Pending", IF(N2249&lt;=30, "Met", "Breached"))</f>
        <v/>
      </c>
    </row>
    <row r="2250">
      <c r="M2250" s="11">
        <f>B2250+30</f>
        <v/>
      </c>
      <c r="N2250">
        <f>IF(L2250="", "", L2250-B2250)</f>
        <v/>
      </c>
      <c r="O2250">
        <f>IF(L2250="", "Pending", IF(N2250&lt;=30, "Met", "Breached"))</f>
        <v/>
      </c>
    </row>
    <row r="2251">
      <c r="M2251" s="11">
        <f>B2251+30</f>
        <v/>
      </c>
      <c r="N2251">
        <f>IF(L2251="", "", L2251-B2251)</f>
        <v/>
      </c>
      <c r="O2251">
        <f>IF(L2251="", "Pending", IF(N2251&lt;=30, "Met", "Breached"))</f>
        <v/>
      </c>
    </row>
    <row r="2252">
      <c r="M2252" s="11">
        <f>B2252+30</f>
        <v/>
      </c>
      <c r="N2252">
        <f>IF(L2252="", "", L2252-B2252)</f>
        <v/>
      </c>
      <c r="O2252">
        <f>IF(L2252="", "Pending", IF(N2252&lt;=30, "Met", "Breached"))</f>
        <v/>
      </c>
    </row>
    <row r="2253">
      <c r="M2253" s="11">
        <f>B2253+30</f>
        <v/>
      </c>
      <c r="N2253">
        <f>IF(L2253="", "", L2253-B2253)</f>
        <v/>
      </c>
      <c r="O2253">
        <f>IF(L2253="", "Pending", IF(N2253&lt;=30, "Met", "Breached"))</f>
        <v/>
      </c>
    </row>
    <row r="2254">
      <c r="M2254" s="11">
        <f>B2254+30</f>
        <v/>
      </c>
      <c r="N2254">
        <f>IF(L2254="", "", L2254-B2254)</f>
        <v/>
      </c>
      <c r="O2254">
        <f>IF(L2254="", "Pending", IF(N2254&lt;=30, "Met", "Breached"))</f>
        <v/>
      </c>
    </row>
    <row r="2255">
      <c r="M2255" s="11">
        <f>B2255+30</f>
        <v/>
      </c>
      <c r="N2255">
        <f>IF(L2255="", "", L2255-B2255)</f>
        <v/>
      </c>
      <c r="O2255">
        <f>IF(L2255="", "Pending", IF(N2255&lt;=30, "Met", "Breached"))</f>
        <v/>
      </c>
    </row>
    <row r="2256">
      <c r="M2256" s="11">
        <f>B2256+30</f>
        <v/>
      </c>
      <c r="N2256">
        <f>IF(L2256="", "", L2256-B2256)</f>
        <v/>
      </c>
      <c r="O2256">
        <f>IF(L2256="", "Pending", IF(N2256&lt;=30, "Met", "Breached"))</f>
        <v/>
      </c>
    </row>
    <row r="2257">
      <c r="M2257" s="11">
        <f>B2257+30</f>
        <v/>
      </c>
      <c r="N2257">
        <f>IF(L2257="", "", L2257-B2257)</f>
        <v/>
      </c>
      <c r="O2257">
        <f>IF(L2257="", "Pending", IF(N2257&lt;=30, "Met", "Breached"))</f>
        <v/>
      </c>
    </row>
    <row r="2258">
      <c r="M2258" s="11">
        <f>B2258+30</f>
        <v/>
      </c>
      <c r="N2258">
        <f>IF(L2258="", "", L2258-B2258)</f>
        <v/>
      </c>
      <c r="O2258">
        <f>IF(L2258="", "Pending", IF(N2258&lt;=30, "Met", "Breached"))</f>
        <v/>
      </c>
    </row>
    <row r="2259">
      <c r="M2259" s="11">
        <f>B2259+30</f>
        <v/>
      </c>
      <c r="N2259">
        <f>IF(L2259="", "", L2259-B2259)</f>
        <v/>
      </c>
      <c r="O2259">
        <f>IF(L2259="", "Pending", IF(N2259&lt;=30, "Met", "Breached"))</f>
        <v/>
      </c>
    </row>
    <row r="2260">
      <c r="M2260" s="11">
        <f>B2260+30</f>
        <v/>
      </c>
      <c r="N2260">
        <f>IF(L2260="", "", L2260-B2260)</f>
        <v/>
      </c>
      <c r="O2260">
        <f>IF(L2260="", "Pending", IF(N2260&lt;=30, "Met", "Breached"))</f>
        <v/>
      </c>
    </row>
    <row r="2261">
      <c r="M2261" s="11">
        <f>B2261+30</f>
        <v/>
      </c>
      <c r="N2261">
        <f>IF(L2261="", "", L2261-B2261)</f>
        <v/>
      </c>
      <c r="O2261">
        <f>IF(L2261="", "Pending", IF(N2261&lt;=30, "Met", "Breached"))</f>
        <v/>
      </c>
    </row>
    <row r="2262">
      <c r="M2262" s="11">
        <f>B2262+30</f>
        <v/>
      </c>
      <c r="N2262">
        <f>IF(L2262="", "", L2262-B2262)</f>
        <v/>
      </c>
      <c r="O2262">
        <f>IF(L2262="", "Pending", IF(N2262&lt;=30, "Met", "Breached"))</f>
        <v/>
      </c>
    </row>
    <row r="2263">
      <c r="M2263" s="11">
        <f>B2263+30</f>
        <v/>
      </c>
      <c r="N2263">
        <f>IF(L2263="", "", L2263-B2263)</f>
        <v/>
      </c>
      <c r="O2263">
        <f>IF(L2263="", "Pending", IF(N2263&lt;=30, "Met", "Breached"))</f>
        <v/>
      </c>
    </row>
    <row r="2264">
      <c r="M2264" s="11">
        <f>B2264+30</f>
        <v/>
      </c>
      <c r="N2264">
        <f>IF(L2264="", "", L2264-B2264)</f>
        <v/>
      </c>
      <c r="O2264">
        <f>IF(L2264="", "Pending", IF(N2264&lt;=30, "Met", "Breached"))</f>
        <v/>
      </c>
    </row>
    <row r="2265">
      <c r="M2265" s="11">
        <f>B2265+30</f>
        <v/>
      </c>
      <c r="N2265">
        <f>IF(L2265="", "", L2265-B2265)</f>
        <v/>
      </c>
      <c r="O2265">
        <f>IF(L2265="", "Pending", IF(N2265&lt;=30, "Met", "Breached"))</f>
        <v/>
      </c>
    </row>
    <row r="2266">
      <c r="M2266" s="11">
        <f>B2266+30</f>
        <v/>
      </c>
      <c r="N2266">
        <f>IF(L2266="", "", L2266-B2266)</f>
        <v/>
      </c>
      <c r="O2266">
        <f>IF(L2266="", "Pending", IF(N2266&lt;=30, "Met", "Breached"))</f>
        <v/>
      </c>
    </row>
    <row r="2267">
      <c r="M2267" s="11">
        <f>B2267+30</f>
        <v/>
      </c>
      <c r="N2267">
        <f>IF(L2267="", "", L2267-B2267)</f>
        <v/>
      </c>
      <c r="O2267">
        <f>IF(L2267="", "Pending", IF(N2267&lt;=30, "Met", "Breached"))</f>
        <v/>
      </c>
    </row>
    <row r="2268">
      <c r="M2268" s="11">
        <f>B2268+30</f>
        <v/>
      </c>
      <c r="N2268">
        <f>IF(L2268="", "", L2268-B2268)</f>
        <v/>
      </c>
      <c r="O2268">
        <f>IF(L2268="", "Pending", IF(N2268&lt;=30, "Met", "Breached"))</f>
        <v/>
      </c>
    </row>
    <row r="2269">
      <c r="M2269" s="11">
        <f>B2269+30</f>
        <v/>
      </c>
      <c r="N2269">
        <f>IF(L2269="", "", L2269-B2269)</f>
        <v/>
      </c>
      <c r="O2269">
        <f>IF(L2269="", "Pending", IF(N2269&lt;=30, "Met", "Breached"))</f>
        <v/>
      </c>
    </row>
    <row r="2270">
      <c r="M2270" s="11">
        <f>B2270+30</f>
        <v/>
      </c>
      <c r="N2270">
        <f>IF(L2270="", "", L2270-B2270)</f>
        <v/>
      </c>
      <c r="O2270">
        <f>IF(L2270="", "Pending", IF(N2270&lt;=30, "Met", "Breached"))</f>
        <v/>
      </c>
    </row>
    <row r="2271">
      <c r="M2271" s="11">
        <f>B2271+30</f>
        <v/>
      </c>
      <c r="N2271">
        <f>IF(L2271="", "", L2271-B2271)</f>
        <v/>
      </c>
      <c r="O2271">
        <f>IF(L2271="", "Pending", IF(N2271&lt;=30, "Met", "Breached"))</f>
        <v/>
      </c>
    </row>
    <row r="2272">
      <c r="M2272" s="11">
        <f>B2272+30</f>
        <v/>
      </c>
      <c r="N2272">
        <f>IF(L2272="", "", L2272-B2272)</f>
        <v/>
      </c>
      <c r="O2272">
        <f>IF(L2272="", "Pending", IF(N2272&lt;=30, "Met", "Breached"))</f>
        <v/>
      </c>
    </row>
    <row r="2273">
      <c r="M2273" s="11">
        <f>B2273+30</f>
        <v/>
      </c>
      <c r="N2273">
        <f>IF(L2273="", "", L2273-B2273)</f>
        <v/>
      </c>
      <c r="O2273">
        <f>IF(L2273="", "Pending", IF(N2273&lt;=30, "Met", "Breached"))</f>
        <v/>
      </c>
    </row>
    <row r="2274">
      <c r="M2274" s="11">
        <f>B2274+30</f>
        <v/>
      </c>
      <c r="N2274">
        <f>IF(L2274="", "", L2274-B2274)</f>
        <v/>
      </c>
      <c r="O2274">
        <f>IF(L2274="", "Pending", IF(N2274&lt;=30, "Met", "Breached"))</f>
        <v/>
      </c>
    </row>
    <row r="2275">
      <c r="M2275" s="11">
        <f>B2275+30</f>
        <v/>
      </c>
      <c r="N2275">
        <f>IF(L2275="", "", L2275-B2275)</f>
        <v/>
      </c>
      <c r="O2275">
        <f>IF(L2275="", "Pending", IF(N2275&lt;=30, "Met", "Breached"))</f>
        <v/>
      </c>
    </row>
    <row r="2276">
      <c r="M2276" s="11">
        <f>B2276+30</f>
        <v/>
      </c>
      <c r="N2276">
        <f>IF(L2276="", "", L2276-B2276)</f>
        <v/>
      </c>
      <c r="O2276">
        <f>IF(L2276="", "Pending", IF(N2276&lt;=30, "Met", "Breached"))</f>
        <v/>
      </c>
    </row>
    <row r="2277">
      <c r="M2277" s="11">
        <f>B2277+30</f>
        <v/>
      </c>
      <c r="N2277">
        <f>IF(L2277="", "", L2277-B2277)</f>
        <v/>
      </c>
      <c r="O2277">
        <f>IF(L2277="", "Pending", IF(N2277&lt;=30, "Met", "Breached"))</f>
        <v/>
      </c>
    </row>
    <row r="2278">
      <c r="M2278" s="11">
        <f>B2278+30</f>
        <v/>
      </c>
      <c r="N2278">
        <f>IF(L2278="", "", L2278-B2278)</f>
        <v/>
      </c>
      <c r="O2278">
        <f>IF(L2278="", "Pending", IF(N2278&lt;=30, "Met", "Breached"))</f>
        <v/>
      </c>
    </row>
    <row r="2279">
      <c r="M2279" s="11">
        <f>B2279+30</f>
        <v/>
      </c>
      <c r="N2279">
        <f>IF(L2279="", "", L2279-B2279)</f>
        <v/>
      </c>
      <c r="O2279">
        <f>IF(L2279="", "Pending", IF(N2279&lt;=30, "Met", "Breached"))</f>
        <v/>
      </c>
    </row>
    <row r="2280">
      <c r="M2280" s="11">
        <f>B2280+30</f>
        <v/>
      </c>
      <c r="N2280">
        <f>IF(L2280="", "", L2280-B2280)</f>
        <v/>
      </c>
      <c r="O2280">
        <f>IF(L2280="", "Pending", IF(N2280&lt;=30, "Met", "Breached"))</f>
        <v/>
      </c>
    </row>
    <row r="2281">
      <c r="M2281" s="11">
        <f>B2281+30</f>
        <v/>
      </c>
      <c r="N2281">
        <f>IF(L2281="", "", L2281-B2281)</f>
        <v/>
      </c>
      <c r="O2281">
        <f>IF(L2281="", "Pending", IF(N2281&lt;=30, "Met", "Breached"))</f>
        <v/>
      </c>
    </row>
    <row r="2282">
      <c r="M2282" s="11">
        <f>B2282+30</f>
        <v/>
      </c>
      <c r="N2282">
        <f>IF(L2282="", "", L2282-B2282)</f>
        <v/>
      </c>
      <c r="O2282">
        <f>IF(L2282="", "Pending", IF(N2282&lt;=30, "Met", "Breached"))</f>
        <v/>
      </c>
    </row>
    <row r="2283">
      <c r="M2283" s="11">
        <f>B2283+30</f>
        <v/>
      </c>
      <c r="N2283">
        <f>IF(L2283="", "", L2283-B2283)</f>
        <v/>
      </c>
      <c r="O2283">
        <f>IF(L2283="", "Pending", IF(N2283&lt;=30, "Met", "Breached"))</f>
        <v/>
      </c>
    </row>
    <row r="2284">
      <c r="M2284" s="11">
        <f>B2284+30</f>
        <v/>
      </c>
      <c r="N2284">
        <f>IF(L2284="", "", L2284-B2284)</f>
        <v/>
      </c>
      <c r="O2284">
        <f>IF(L2284="", "Pending", IF(N2284&lt;=30, "Met", "Breached"))</f>
        <v/>
      </c>
    </row>
    <row r="2285">
      <c r="M2285" s="11">
        <f>B2285+30</f>
        <v/>
      </c>
      <c r="N2285">
        <f>IF(L2285="", "", L2285-B2285)</f>
        <v/>
      </c>
      <c r="O2285">
        <f>IF(L2285="", "Pending", IF(N2285&lt;=30, "Met", "Breached"))</f>
        <v/>
      </c>
    </row>
    <row r="2286">
      <c r="M2286" s="11">
        <f>B2286+30</f>
        <v/>
      </c>
      <c r="N2286">
        <f>IF(L2286="", "", L2286-B2286)</f>
        <v/>
      </c>
      <c r="O2286">
        <f>IF(L2286="", "Pending", IF(N2286&lt;=30, "Met", "Breached"))</f>
        <v/>
      </c>
    </row>
    <row r="2287">
      <c r="M2287" s="11">
        <f>B2287+30</f>
        <v/>
      </c>
      <c r="N2287">
        <f>IF(L2287="", "", L2287-B2287)</f>
        <v/>
      </c>
      <c r="O2287">
        <f>IF(L2287="", "Pending", IF(N2287&lt;=30, "Met", "Breached"))</f>
        <v/>
      </c>
    </row>
    <row r="2288">
      <c r="M2288" s="11">
        <f>B2288+30</f>
        <v/>
      </c>
      <c r="N2288">
        <f>IF(L2288="", "", L2288-B2288)</f>
        <v/>
      </c>
      <c r="O2288">
        <f>IF(L2288="", "Pending", IF(N2288&lt;=30, "Met", "Breached"))</f>
        <v/>
      </c>
    </row>
    <row r="2289">
      <c r="M2289" s="11">
        <f>B2289+30</f>
        <v/>
      </c>
      <c r="N2289">
        <f>IF(L2289="", "", L2289-B2289)</f>
        <v/>
      </c>
      <c r="O2289">
        <f>IF(L2289="", "Pending", IF(N2289&lt;=30, "Met", "Breached"))</f>
        <v/>
      </c>
    </row>
    <row r="2290">
      <c r="M2290" s="11">
        <f>B2290+30</f>
        <v/>
      </c>
      <c r="N2290">
        <f>IF(L2290="", "", L2290-B2290)</f>
        <v/>
      </c>
      <c r="O2290">
        <f>IF(L2290="", "Pending", IF(N2290&lt;=30, "Met", "Breached"))</f>
        <v/>
      </c>
    </row>
    <row r="2291">
      <c r="M2291" s="11">
        <f>B2291+30</f>
        <v/>
      </c>
      <c r="N2291">
        <f>IF(L2291="", "", L2291-B2291)</f>
        <v/>
      </c>
      <c r="O2291">
        <f>IF(L2291="", "Pending", IF(N2291&lt;=30, "Met", "Breached"))</f>
        <v/>
      </c>
    </row>
    <row r="2292">
      <c r="M2292" s="11">
        <f>B2292+30</f>
        <v/>
      </c>
      <c r="N2292">
        <f>IF(L2292="", "", L2292-B2292)</f>
        <v/>
      </c>
      <c r="O2292">
        <f>IF(L2292="", "Pending", IF(N2292&lt;=30, "Met", "Breached"))</f>
        <v/>
      </c>
    </row>
    <row r="2293">
      <c r="M2293" s="11">
        <f>B2293+30</f>
        <v/>
      </c>
      <c r="N2293">
        <f>IF(L2293="", "", L2293-B2293)</f>
        <v/>
      </c>
      <c r="O2293">
        <f>IF(L2293="", "Pending", IF(N2293&lt;=30, "Met", "Breached"))</f>
        <v/>
      </c>
    </row>
    <row r="2294">
      <c r="M2294" s="11">
        <f>B2294+30</f>
        <v/>
      </c>
      <c r="N2294">
        <f>IF(L2294="", "", L2294-B2294)</f>
        <v/>
      </c>
      <c r="O2294">
        <f>IF(L2294="", "Pending", IF(N2294&lt;=30, "Met", "Breached"))</f>
        <v/>
      </c>
    </row>
    <row r="2295">
      <c r="M2295" s="11">
        <f>B2295+30</f>
        <v/>
      </c>
      <c r="N2295">
        <f>IF(L2295="", "", L2295-B2295)</f>
        <v/>
      </c>
      <c r="O2295">
        <f>IF(L2295="", "Pending", IF(N2295&lt;=30, "Met", "Breached"))</f>
        <v/>
      </c>
    </row>
    <row r="2296">
      <c r="M2296" s="11">
        <f>B2296+30</f>
        <v/>
      </c>
      <c r="N2296">
        <f>IF(L2296="", "", L2296-B2296)</f>
        <v/>
      </c>
      <c r="O2296">
        <f>IF(L2296="", "Pending", IF(N2296&lt;=30, "Met", "Breached"))</f>
        <v/>
      </c>
    </row>
    <row r="2297">
      <c r="M2297" s="11">
        <f>B2297+30</f>
        <v/>
      </c>
      <c r="N2297">
        <f>IF(L2297="", "", L2297-B2297)</f>
        <v/>
      </c>
      <c r="O2297">
        <f>IF(L2297="", "Pending", IF(N2297&lt;=30, "Met", "Breached"))</f>
        <v/>
      </c>
    </row>
    <row r="2298">
      <c r="M2298" s="11">
        <f>B2298+30</f>
        <v/>
      </c>
      <c r="N2298">
        <f>IF(L2298="", "", L2298-B2298)</f>
        <v/>
      </c>
      <c r="O2298">
        <f>IF(L2298="", "Pending", IF(N2298&lt;=30, "Met", "Breached"))</f>
        <v/>
      </c>
    </row>
    <row r="2299">
      <c r="M2299" s="11">
        <f>B2299+30</f>
        <v/>
      </c>
      <c r="N2299">
        <f>IF(L2299="", "", L2299-B2299)</f>
        <v/>
      </c>
      <c r="O2299">
        <f>IF(L2299="", "Pending", IF(N2299&lt;=30, "Met", "Breached"))</f>
        <v/>
      </c>
    </row>
    <row r="2300">
      <c r="M2300" s="11">
        <f>B2300+30</f>
        <v/>
      </c>
      <c r="N2300">
        <f>IF(L2300="", "", L2300-B2300)</f>
        <v/>
      </c>
      <c r="O2300">
        <f>IF(L2300="", "Pending", IF(N2300&lt;=30, "Met", "Breached"))</f>
        <v/>
      </c>
    </row>
    <row r="2301">
      <c r="M2301" s="11">
        <f>B2301+30</f>
        <v/>
      </c>
      <c r="N2301">
        <f>IF(L2301="", "", L2301-B2301)</f>
        <v/>
      </c>
      <c r="O2301">
        <f>IF(L2301="", "Pending", IF(N2301&lt;=30, "Met", "Breached"))</f>
        <v/>
      </c>
    </row>
    <row r="2302">
      <c r="M2302" s="11">
        <f>B2302+30</f>
        <v/>
      </c>
      <c r="N2302">
        <f>IF(L2302="", "", L2302-B2302)</f>
        <v/>
      </c>
      <c r="O2302">
        <f>IF(L2302="", "Pending", IF(N2302&lt;=30, "Met", "Breached"))</f>
        <v/>
      </c>
    </row>
    <row r="2303">
      <c r="M2303" s="11">
        <f>B2303+30</f>
        <v/>
      </c>
      <c r="N2303">
        <f>IF(L2303="", "", L2303-B2303)</f>
        <v/>
      </c>
      <c r="O2303">
        <f>IF(L2303="", "Pending", IF(N2303&lt;=30, "Met", "Breached"))</f>
        <v/>
      </c>
    </row>
    <row r="2304">
      <c r="M2304" s="11">
        <f>B2304+30</f>
        <v/>
      </c>
      <c r="N2304">
        <f>IF(L2304="", "", L2304-B2304)</f>
        <v/>
      </c>
      <c r="O2304">
        <f>IF(L2304="", "Pending", IF(N2304&lt;=30, "Met", "Breached"))</f>
        <v/>
      </c>
    </row>
    <row r="2305">
      <c r="M2305" s="11">
        <f>B2305+30</f>
        <v/>
      </c>
      <c r="N2305">
        <f>IF(L2305="", "", L2305-B2305)</f>
        <v/>
      </c>
      <c r="O2305">
        <f>IF(L2305="", "Pending", IF(N2305&lt;=30, "Met", "Breached"))</f>
        <v/>
      </c>
    </row>
    <row r="2306">
      <c r="M2306" s="11">
        <f>B2306+30</f>
        <v/>
      </c>
      <c r="N2306">
        <f>IF(L2306="", "", L2306-B2306)</f>
        <v/>
      </c>
      <c r="O2306">
        <f>IF(L2306="", "Pending", IF(N2306&lt;=30, "Met", "Breached"))</f>
        <v/>
      </c>
    </row>
    <row r="2307">
      <c r="M2307" s="11">
        <f>B2307+30</f>
        <v/>
      </c>
      <c r="N2307">
        <f>IF(L2307="", "", L2307-B2307)</f>
        <v/>
      </c>
      <c r="O2307">
        <f>IF(L2307="", "Pending", IF(N2307&lt;=30, "Met", "Breached"))</f>
        <v/>
      </c>
    </row>
    <row r="2308">
      <c r="M2308" s="11">
        <f>B2308+30</f>
        <v/>
      </c>
      <c r="N2308">
        <f>IF(L2308="", "", L2308-B2308)</f>
        <v/>
      </c>
      <c r="O2308">
        <f>IF(L2308="", "Pending", IF(N2308&lt;=30, "Met", "Breached"))</f>
        <v/>
      </c>
    </row>
    <row r="2309">
      <c r="M2309" s="11">
        <f>B2309+30</f>
        <v/>
      </c>
      <c r="N2309">
        <f>IF(L2309="", "", L2309-B2309)</f>
        <v/>
      </c>
      <c r="O2309">
        <f>IF(L2309="", "Pending", IF(N2309&lt;=30, "Met", "Breached"))</f>
        <v/>
      </c>
    </row>
    <row r="2310">
      <c r="M2310" s="11">
        <f>B2310+30</f>
        <v/>
      </c>
      <c r="N2310">
        <f>IF(L2310="", "", L2310-B2310)</f>
        <v/>
      </c>
      <c r="O2310">
        <f>IF(L2310="", "Pending", IF(N2310&lt;=30, "Met", "Breached"))</f>
        <v/>
      </c>
    </row>
    <row r="2311">
      <c r="M2311" s="11">
        <f>B2311+30</f>
        <v/>
      </c>
      <c r="N2311">
        <f>IF(L2311="", "", L2311-B2311)</f>
        <v/>
      </c>
      <c r="O2311">
        <f>IF(L2311="", "Pending", IF(N2311&lt;=30, "Met", "Breached"))</f>
        <v/>
      </c>
    </row>
    <row r="2312">
      <c r="M2312" s="11">
        <f>B2312+30</f>
        <v/>
      </c>
      <c r="N2312">
        <f>IF(L2312="", "", L2312-B2312)</f>
        <v/>
      </c>
      <c r="O2312">
        <f>IF(L2312="", "Pending", IF(N2312&lt;=30, "Met", "Breached"))</f>
        <v/>
      </c>
    </row>
    <row r="2313">
      <c r="M2313" s="11">
        <f>B2313+30</f>
        <v/>
      </c>
      <c r="N2313">
        <f>IF(L2313="", "", L2313-B2313)</f>
        <v/>
      </c>
      <c r="O2313">
        <f>IF(L2313="", "Pending", IF(N2313&lt;=30, "Met", "Breached"))</f>
        <v/>
      </c>
    </row>
    <row r="2314">
      <c r="M2314" s="11">
        <f>B2314+30</f>
        <v/>
      </c>
      <c r="N2314">
        <f>IF(L2314="", "", L2314-B2314)</f>
        <v/>
      </c>
      <c r="O2314">
        <f>IF(L2314="", "Pending", IF(N2314&lt;=30, "Met", "Breached"))</f>
        <v/>
      </c>
    </row>
    <row r="2315">
      <c r="M2315" s="11">
        <f>B2315+30</f>
        <v/>
      </c>
      <c r="N2315">
        <f>IF(L2315="", "", L2315-B2315)</f>
        <v/>
      </c>
      <c r="O2315">
        <f>IF(L2315="", "Pending", IF(N2315&lt;=30, "Met", "Breached"))</f>
        <v/>
      </c>
    </row>
    <row r="2316">
      <c r="M2316" s="11">
        <f>B2316+30</f>
        <v/>
      </c>
      <c r="N2316">
        <f>IF(L2316="", "", L2316-B2316)</f>
        <v/>
      </c>
      <c r="O2316">
        <f>IF(L2316="", "Pending", IF(N2316&lt;=30, "Met", "Breached"))</f>
        <v/>
      </c>
    </row>
    <row r="2317">
      <c r="M2317" s="11">
        <f>B2317+30</f>
        <v/>
      </c>
      <c r="N2317">
        <f>IF(L2317="", "", L2317-B2317)</f>
        <v/>
      </c>
      <c r="O2317">
        <f>IF(L2317="", "Pending", IF(N2317&lt;=30, "Met", "Breached"))</f>
        <v/>
      </c>
    </row>
    <row r="2318">
      <c r="M2318" s="11">
        <f>B2318+30</f>
        <v/>
      </c>
      <c r="N2318">
        <f>IF(L2318="", "", L2318-B2318)</f>
        <v/>
      </c>
      <c r="O2318">
        <f>IF(L2318="", "Pending", IF(N2318&lt;=30, "Met", "Breached"))</f>
        <v/>
      </c>
    </row>
    <row r="2319">
      <c r="M2319" s="11">
        <f>B2319+30</f>
        <v/>
      </c>
      <c r="N2319">
        <f>IF(L2319="", "", L2319-B2319)</f>
        <v/>
      </c>
      <c r="O2319">
        <f>IF(L2319="", "Pending", IF(N2319&lt;=30, "Met", "Breached"))</f>
        <v/>
      </c>
    </row>
    <row r="2320">
      <c r="M2320" s="11">
        <f>B2320+30</f>
        <v/>
      </c>
      <c r="N2320">
        <f>IF(L2320="", "", L2320-B2320)</f>
        <v/>
      </c>
      <c r="O2320">
        <f>IF(L2320="", "Pending", IF(N2320&lt;=30, "Met", "Breached"))</f>
        <v/>
      </c>
    </row>
    <row r="2321">
      <c r="M2321" s="11">
        <f>B2321+30</f>
        <v/>
      </c>
      <c r="N2321">
        <f>IF(L2321="", "", L2321-B2321)</f>
        <v/>
      </c>
      <c r="O2321">
        <f>IF(L2321="", "Pending", IF(N2321&lt;=30, "Met", "Breached"))</f>
        <v/>
      </c>
    </row>
    <row r="2322">
      <c r="M2322" s="11">
        <f>B2322+30</f>
        <v/>
      </c>
      <c r="N2322">
        <f>IF(L2322="", "", L2322-B2322)</f>
        <v/>
      </c>
      <c r="O2322">
        <f>IF(L2322="", "Pending", IF(N2322&lt;=30, "Met", "Breached"))</f>
        <v/>
      </c>
    </row>
    <row r="2323">
      <c r="M2323" s="11">
        <f>B2323+30</f>
        <v/>
      </c>
      <c r="N2323">
        <f>IF(L2323="", "", L2323-B2323)</f>
        <v/>
      </c>
      <c r="O2323">
        <f>IF(L2323="", "Pending", IF(N2323&lt;=30, "Met", "Breached"))</f>
        <v/>
      </c>
    </row>
    <row r="2324">
      <c r="M2324" s="11">
        <f>B2324+30</f>
        <v/>
      </c>
      <c r="N2324">
        <f>IF(L2324="", "", L2324-B2324)</f>
        <v/>
      </c>
      <c r="O2324">
        <f>IF(L2324="", "Pending", IF(N2324&lt;=30, "Met", "Breached"))</f>
        <v/>
      </c>
    </row>
    <row r="2325">
      <c r="M2325" s="11">
        <f>B2325+30</f>
        <v/>
      </c>
      <c r="N2325">
        <f>IF(L2325="", "", L2325-B2325)</f>
        <v/>
      </c>
      <c r="O2325">
        <f>IF(L2325="", "Pending", IF(N2325&lt;=30, "Met", "Breached"))</f>
        <v/>
      </c>
    </row>
    <row r="2326">
      <c r="M2326" s="11">
        <f>B2326+30</f>
        <v/>
      </c>
      <c r="N2326">
        <f>IF(L2326="", "", L2326-B2326)</f>
        <v/>
      </c>
      <c r="O2326">
        <f>IF(L2326="", "Pending", IF(N2326&lt;=30, "Met", "Breached"))</f>
        <v/>
      </c>
    </row>
    <row r="2327">
      <c r="M2327" s="11">
        <f>B2327+30</f>
        <v/>
      </c>
      <c r="N2327">
        <f>IF(L2327="", "", L2327-B2327)</f>
        <v/>
      </c>
      <c r="O2327">
        <f>IF(L2327="", "Pending", IF(N2327&lt;=30, "Met", "Breached"))</f>
        <v/>
      </c>
    </row>
    <row r="2328">
      <c r="M2328" s="11">
        <f>B2328+30</f>
        <v/>
      </c>
      <c r="N2328">
        <f>IF(L2328="", "", L2328-B2328)</f>
        <v/>
      </c>
      <c r="O2328">
        <f>IF(L2328="", "Pending", IF(N2328&lt;=30, "Met", "Breached"))</f>
        <v/>
      </c>
    </row>
    <row r="2329">
      <c r="M2329" s="11">
        <f>B2329+30</f>
        <v/>
      </c>
      <c r="N2329">
        <f>IF(L2329="", "", L2329-B2329)</f>
        <v/>
      </c>
      <c r="O2329">
        <f>IF(L2329="", "Pending", IF(N2329&lt;=30, "Met", "Breached"))</f>
        <v/>
      </c>
    </row>
    <row r="2330">
      <c r="M2330" s="11">
        <f>B2330+30</f>
        <v/>
      </c>
      <c r="N2330">
        <f>IF(L2330="", "", L2330-B2330)</f>
        <v/>
      </c>
      <c r="O2330">
        <f>IF(L2330="", "Pending", IF(N2330&lt;=30, "Met", "Breached"))</f>
        <v/>
      </c>
    </row>
    <row r="2331">
      <c r="M2331" s="11">
        <f>B2331+30</f>
        <v/>
      </c>
      <c r="N2331">
        <f>IF(L2331="", "", L2331-B2331)</f>
        <v/>
      </c>
      <c r="O2331">
        <f>IF(L2331="", "Pending", IF(N2331&lt;=30, "Met", "Breached"))</f>
        <v/>
      </c>
    </row>
    <row r="2332">
      <c r="M2332" s="11">
        <f>B2332+30</f>
        <v/>
      </c>
      <c r="N2332">
        <f>IF(L2332="", "", L2332-B2332)</f>
        <v/>
      </c>
      <c r="O2332">
        <f>IF(L2332="", "Pending", IF(N2332&lt;=30, "Met", "Breached"))</f>
        <v/>
      </c>
    </row>
    <row r="2333">
      <c r="M2333" s="11">
        <f>B2333+30</f>
        <v/>
      </c>
      <c r="N2333">
        <f>IF(L2333="", "", L2333-B2333)</f>
        <v/>
      </c>
      <c r="O2333">
        <f>IF(L2333="", "Pending", IF(N2333&lt;=30, "Met", "Breached"))</f>
        <v/>
      </c>
    </row>
    <row r="2334">
      <c r="M2334" s="11">
        <f>B2334+30</f>
        <v/>
      </c>
      <c r="N2334">
        <f>IF(L2334="", "", L2334-B2334)</f>
        <v/>
      </c>
      <c r="O2334">
        <f>IF(L2334="", "Pending", IF(N2334&lt;=30, "Met", "Breached"))</f>
        <v/>
      </c>
    </row>
    <row r="2335">
      <c r="M2335" s="11">
        <f>B2335+30</f>
        <v/>
      </c>
      <c r="N2335">
        <f>IF(L2335="", "", L2335-B2335)</f>
        <v/>
      </c>
      <c r="O2335">
        <f>IF(L2335="", "Pending", IF(N2335&lt;=30, "Met", "Breached"))</f>
        <v/>
      </c>
    </row>
    <row r="2336">
      <c r="M2336" s="11">
        <f>B2336+30</f>
        <v/>
      </c>
      <c r="N2336">
        <f>IF(L2336="", "", L2336-B2336)</f>
        <v/>
      </c>
      <c r="O2336">
        <f>IF(L2336="", "Pending", IF(N2336&lt;=30, "Met", "Breached"))</f>
        <v/>
      </c>
    </row>
    <row r="2337">
      <c r="M2337" s="11">
        <f>B2337+30</f>
        <v/>
      </c>
      <c r="N2337">
        <f>IF(L2337="", "", L2337-B2337)</f>
        <v/>
      </c>
      <c r="O2337">
        <f>IF(L2337="", "Pending", IF(N2337&lt;=30, "Met", "Breached"))</f>
        <v/>
      </c>
    </row>
    <row r="2338">
      <c r="M2338" s="11">
        <f>B2338+30</f>
        <v/>
      </c>
      <c r="N2338">
        <f>IF(L2338="", "", L2338-B2338)</f>
        <v/>
      </c>
      <c r="O2338">
        <f>IF(L2338="", "Pending", IF(N2338&lt;=30, "Met", "Breached"))</f>
        <v/>
      </c>
    </row>
    <row r="2339">
      <c r="M2339" s="11">
        <f>B2339+30</f>
        <v/>
      </c>
      <c r="N2339">
        <f>IF(L2339="", "", L2339-B2339)</f>
        <v/>
      </c>
      <c r="O2339">
        <f>IF(L2339="", "Pending", IF(N2339&lt;=30, "Met", "Breached"))</f>
        <v/>
      </c>
    </row>
    <row r="2340">
      <c r="M2340" s="11">
        <f>B2340+30</f>
        <v/>
      </c>
      <c r="N2340">
        <f>IF(L2340="", "", L2340-B2340)</f>
        <v/>
      </c>
      <c r="O2340">
        <f>IF(L2340="", "Pending", IF(N2340&lt;=30, "Met", "Breached"))</f>
        <v/>
      </c>
    </row>
    <row r="2341">
      <c r="M2341" s="11">
        <f>B2341+30</f>
        <v/>
      </c>
      <c r="N2341">
        <f>IF(L2341="", "", L2341-B2341)</f>
        <v/>
      </c>
      <c r="O2341">
        <f>IF(L2341="", "Pending", IF(N2341&lt;=30, "Met", "Breached"))</f>
        <v/>
      </c>
    </row>
    <row r="2342">
      <c r="M2342" s="11">
        <f>B2342+30</f>
        <v/>
      </c>
      <c r="N2342">
        <f>IF(L2342="", "", L2342-B2342)</f>
        <v/>
      </c>
      <c r="O2342">
        <f>IF(L2342="", "Pending", IF(N2342&lt;=30, "Met", "Breached"))</f>
        <v/>
      </c>
    </row>
    <row r="2343">
      <c r="M2343" s="11">
        <f>B2343+30</f>
        <v/>
      </c>
      <c r="N2343">
        <f>IF(L2343="", "", L2343-B2343)</f>
        <v/>
      </c>
      <c r="O2343">
        <f>IF(L2343="", "Pending", IF(N2343&lt;=30, "Met", "Breached"))</f>
        <v/>
      </c>
    </row>
    <row r="2344">
      <c r="M2344" s="11">
        <f>B2344+30</f>
        <v/>
      </c>
      <c r="N2344">
        <f>IF(L2344="", "", L2344-B2344)</f>
        <v/>
      </c>
      <c r="O2344">
        <f>IF(L2344="", "Pending", IF(N2344&lt;=30, "Met", "Breached"))</f>
        <v/>
      </c>
    </row>
    <row r="2345">
      <c r="M2345" s="11">
        <f>B2345+30</f>
        <v/>
      </c>
      <c r="N2345">
        <f>IF(L2345="", "", L2345-B2345)</f>
        <v/>
      </c>
      <c r="O2345">
        <f>IF(L2345="", "Pending", IF(N2345&lt;=30, "Met", "Breached"))</f>
        <v/>
      </c>
    </row>
    <row r="2346">
      <c r="M2346" s="11">
        <f>B2346+30</f>
        <v/>
      </c>
      <c r="N2346">
        <f>IF(L2346="", "", L2346-B2346)</f>
        <v/>
      </c>
      <c r="O2346">
        <f>IF(L2346="", "Pending", IF(N2346&lt;=30, "Met", "Breached"))</f>
        <v/>
      </c>
    </row>
    <row r="2347">
      <c r="M2347" s="11">
        <f>B2347+30</f>
        <v/>
      </c>
      <c r="N2347">
        <f>IF(L2347="", "", L2347-B2347)</f>
        <v/>
      </c>
      <c r="O2347">
        <f>IF(L2347="", "Pending", IF(N2347&lt;=30, "Met", "Breached"))</f>
        <v/>
      </c>
    </row>
    <row r="2348">
      <c r="M2348" s="11">
        <f>B2348+30</f>
        <v/>
      </c>
      <c r="N2348">
        <f>IF(L2348="", "", L2348-B2348)</f>
        <v/>
      </c>
      <c r="O2348">
        <f>IF(L2348="", "Pending", IF(N2348&lt;=30, "Met", "Breached"))</f>
        <v/>
      </c>
    </row>
    <row r="2349">
      <c r="M2349" s="11">
        <f>B2349+30</f>
        <v/>
      </c>
      <c r="N2349">
        <f>IF(L2349="", "", L2349-B2349)</f>
        <v/>
      </c>
      <c r="O2349">
        <f>IF(L2349="", "Pending", IF(N2349&lt;=30, "Met", "Breached"))</f>
        <v/>
      </c>
    </row>
    <row r="2350">
      <c r="M2350" s="11">
        <f>B2350+30</f>
        <v/>
      </c>
      <c r="N2350">
        <f>IF(L2350="", "", L2350-B2350)</f>
        <v/>
      </c>
      <c r="O2350">
        <f>IF(L2350="", "Pending", IF(N2350&lt;=30, "Met", "Breached"))</f>
        <v/>
      </c>
    </row>
    <row r="2351">
      <c r="M2351" s="11">
        <f>B2351+30</f>
        <v/>
      </c>
      <c r="N2351">
        <f>IF(L2351="", "", L2351-B2351)</f>
        <v/>
      </c>
      <c r="O2351">
        <f>IF(L2351="", "Pending", IF(N2351&lt;=30, "Met", "Breached"))</f>
        <v/>
      </c>
    </row>
    <row r="2352">
      <c r="M2352" s="11">
        <f>B2352+30</f>
        <v/>
      </c>
      <c r="N2352">
        <f>IF(L2352="", "", L2352-B2352)</f>
        <v/>
      </c>
      <c r="O2352">
        <f>IF(L2352="", "Pending", IF(N2352&lt;=30, "Met", "Breached"))</f>
        <v/>
      </c>
    </row>
    <row r="2353">
      <c r="M2353" s="11">
        <f>B2353+30</f>
        <v/>
      </c>
      <c r="N2353">
        <f>IF(L2353="", "", L2353-B2353)</f>
        <v/>
      </c>
      <c r="O2353">
        <f>IF(L2353="", "Pending", IF(N2353&lt;=30, "Met", "Breached"))</f>
        <v/>
      </c>
    </row>
    <row r="2354">
      <c r="M2354" s="11">
        <f>B2354+30</f>
        <v/>
      </c>
      <c r="N2354">
        <f>IF(L2354="", "", L2354-B2354)</f>
        <v/>
      </c>
      <c r="O2354">
        <f>IF(L2354="", "Pending", IF(N2354&lt;=30, "Met", "Breached"))</f>
        <v/>
      </c>
    </row>
    <row r="2355">
      <c r="M2355" s="11">
        <f>B2355+30</f>
        <v/>
      </c>
      <c r="N2355">
        <f>IF(L2355="", "", L2355-B2355)</f>
        <v/>
      </c>
      <c r="O2355">
        <f>IF(L2355="", "Pending", IF(N2355&lt;=30, "Met", "Breached"))</f>
        <v/>
      </c>
    </row>
    <row r="2356">
      <c r="M2356" s="11">
        <f>B2356+30</f>
        <v/>
      </c>
      <c r="N2356">
        <f>IF(L2356="", "", L2356-B2356)</f>
        <v/>
      </c>
      <c r="O2356">
        <f>IF(L2356="", "Pending", IF(N2356&lt;=30, "Met", "Breached"))</f>
        <v/>
      </c>
    </row>
    <row r="2357">
      <c r="M2357" s="11">
        <f>B2357+30</f>
        <v/>
      </c>
      <c r="N2357">
        <f>IF(L2357="", "", L2357-B2357)</f>
        <v/>
      </c>
      <c r="O2357">
        <f>IF(L2357="", "Pending", IF(N2357&lt;=30, "Met", "Breached"))</f>
        <v/>
      </c>
    </row>
    <row r="2358">
      <c r="M2358" s="11">
        <f>B2358+30</f>
        <v/>
      </c>
      <c r="N2358">
        <f>IF(L2358="", "", L2358-B2358)</f>
        <v/>
      </c>
      <c r="O2358">
        <f>IF(L2358="", "Pending", IF(N2358&lt;=30, "Met", "Breached"))</f>
        <v/>
      </c>
    </row>
    <row r="2359">
      <c r="M2359" s="11">
        <f>B2359+30</f>
        <v/>
      </c>
      <c r="N2359">
        <f>IF(L2359="", "", L2359-B2359)</f>
        <v/>
      </c>
      <c r="O2359">
        <f>IF(L2359="", "Pending", IF(N2359&lt;=30, "Met", "Breached"))</f>
        <v/>
      </c>
    </row>
    <row r="2360">
      <c r="M2360" s="11">
        <f>B2360+30</f>
        <v/>
      </c>
      <c r="N2360">
        <f>IF(L2360="", "", L2360-B2360)</f>
        <v/>
      </c>
      <c r="O2360">
        <f>IF(L2360="", "Pending", IF(N2360&lt;=30, "Met", "Breached"))</f>
        <v/>
      </c>
    </row>
    <row r="2361">
      <c r="M2361" s="11">
        <f>B2361+30</f>
        <v/>
      </c>
      <c r="N2361">
        <f>IF(L2361="", "", L2361-B2361)</f>
        <v/>
      </c>
      <c r="O2361">
        <f>IF(L2361="", "Pending", IF(N2361&lt;=30, "Met", "Breached"))</f>
        <v/>
      </c>
    </row>
    <row r="2362">
      <c r="M2362" s="11">
        <f>B2362+30</f>
        <v/>
      </c>
      <c r="N2362">
        <f>IF(L2362="", "", L2362-B2362)</f>
        <v/>
      </c>
      <c r="O2362">
        <f>IF(L2362="", "Pending", IF(N2362&lt;=30, "Met", "Breached"))</f>
        <v/>
      </c>
    </row>
    <row r="2363">
      <c r="M2363" s="11">
        <f>B2363+30</f>
        <v/>
      </c>
      <c r="N2363">
        <f>IF(L2363="", "", L2363-B2363)</f>
        <v/>
      </c>
      <c r="O2363">
        <f>IF(L2363="", "Pending", IF(N2363&lt;=30, "Met", "Breached"))</f>
        <v/>
      </c>
    </row>
    <row r="2364">
      <c r="M2364" s="11">
        <f>B2364+30</f>
        <v/>
      </c>
      <c r="N2364">
        <f>IF(L2364="", "", L2364-B2364)</f>
        <v/>
      </c>
      <c r="O2364">
        <f>IF(L2364="", "Pending", IF(N2364&lt;=30, "Met", "Breached"))</f>
        <v/>
      </c>
    </row>
    <row r="2365">
      <c r="M2365" s="11">
        <f>B2365+30</f>
        <v/>
      </c>
      <c r="N2365">
        <f>IF(L2365="", "", L2365-B2365)</f>
        <v/>
      </c>
      <c r="O2365">
        <f>IF(L2365="", "Pending", IF(N2365&lt;=30, "Met", "Breached"))</f>
        <v/>
      </c>
    </row>
    <row r="2366">
      <c r="M2366" s="11">
        <f>B2366+30</f>
        <v/>
      </c>
      <c r="N2366">
        <f>IF(L2366="", "", L2366-B2366)</f>
        <v/>
      </c>
      <c r="O2366">
        <f>IF(L2366="", "Pending", IF(N2366&lt;=30, "Met", "Breached"))</f>
        <v/>
      </c>
    </row>
    <row r="2367">
      <c r="M2367" s="11">
        <f>B2367+30</f>
        <v/>
      </c>
      <c r="N2367">
        <f>IF(L2367="", "", L2367-B2367)</f>
        <v/>
      </c>
      <c r="O2367">
        <f>IF(L2367="", "Pending", IF(N2367&lt;=30, "Met", "Breached"))</f>
        <v/>
      </c>
    </row>
    <row r="2368">
      <c r="M2368" s="11">
        <f>B2368+30</f>
        <v/>
      </c>
      <c r="N2368">
        <f>IF(L2368="", "", L2368-B2368)</f>
        <v/>
      </c>
      <c r="O2368">
        <f>IF(L2368="", "Pending", IF(N2368&lt;=30, "Met", "Breached"))</f>
        <v/>
      </c>
    </row>
    <row r="2369">
      <c r="M2369" s="11">
        <f>B2369+30</f>
        <v/>
      </c>
      <c r="N2369">
        <f>IF(L2369="", "", L2369-B2369)</f>
        <v/>
      </c>
      <c r="O2369">
        <f>IF(L2369="", "Pending", IF(N2369&lt;=30, "Met", "Breached"))</f>
        <v/>
      </c>
    </row>
    <row r="2370">
      <c r="M2370" s="11">
        <f>B2370+30</f>
        <v/>
      </c>
      <c r="N2370">
        <f>IF(L2370="", "", L2370-B2370)</f>
        <v/>
      </c>
      <c r="O2370">
        <f>IF(L2370="", "Pending", IF(N2370&lt;=30, "Met", "Breached"))</f>
        <v/>
      </c>
    </row>
    <row r="2371">
      <c r="M2371" s="11">
        <f>B2371+30</f>
        <v/>
      </c>
      <c r="N2371">
        <f>IF(L2371="", "", L2371-B2371)</f>
        <v/>
      </c>
      <c r="O2371">
        <f>IF(L2371="", "Pending", IF(N2371&lt;=30, "Met", "Breached"))</f>
        <v/>
      </c>
    </row>
    <row r="2372">
      <c r="M2372" s="11">
        <f>B2372+30</f>
        <v/>
      </c>
      <c r="N2372">
        <f>IF(L2372="", "", L2372-B2372)</f>
        <v/>
      </c>
      <c r="O2372">
        <f>IF(L2372="", "Pending", IF(N2372&lt;=30, "Met", "Breached"))</f>
        <v/>
      </c>
    </row>
    <row r="2373">
      <c r="M2373" s="11">
        <f>B2373+30</f>
        <v/>
      </c>
      <c r="N2373">
        <f>IF(L2373="", "", L2373-B2373)</f>
        <v/>
      </c>
      <c r="O2373">
        <f>IF(L2373="", "Pending", IF(N2373&lt;=30, "Met", "Breached"))</f>
        <v/>
      </c>
    </row>
    <row r="2374">
      <c r="M2374" s="11">
        <f>B2374+30</f>
        <v/>
      </c>
      <c r="N2374">
        <f>IF(L2374="", "", L2374-B2374)</f>
        <v/>
      </c>
      <c r="O2374">
        <f>IF(L2374="", "Pending", IF(N2374&lt;=30, "Met", "Breached"))</f>
        <v/>
      </c>
    </row>
    <row r="2375">
      <c r="M2375" s="11">
        <f>B2375+30</f>
        <v/>
      </c>
      <c r="N2375">
        <f>IF(L2375="", "", L2375-B2375)</f>
        <v/>
      </c>
      <c r="O2375">
        <f>IF(L2375="", "Pending", IF(N2375&lt;=30, "Met", "Breached"))</f>
        <v/>
      </c>
    </row>
    <row r="2376">
      <c r="M2376" s="11">
        <f>B2376+30</f>
        <v/>
      </c>
      <c r="N2376">
        <f>IF(L2376="", "", L2376-B2376)</f>
        <v/>
      </c>
      <c r="O2376">
        <f>IF(L2376="", "Pending", IF(N2376&lt;=30, "Met", "Breached"))</f>
        <v/>
      </c>
    </row>
    <row r="2377">
      <c r="M2377" s="11">
        <f>B2377+30</f>
        <v/>
      </c>
      <c r="N2377">
        <f>IF(L2377="", "", L2377-B2377)</f>
        <v/>
      </c>
      <c r="O2377">
        <f>IF(L2377="", "Pending", IF(N2377&lt;=30, "Met", "Breached"))</f>
        <v/>
      </c>
    </row>
    <row r="2378">
      <c r="M2378" s="11">
        <f>B2378+30</f>
        <v/>
      </c>
      <c r="N2378">
        <f>IF(L2378="", "", L2378-B2378)</f>
        <v/>
      </c>
      <c r="O2378">
        <f>IF(L2378="", "Pending", IF(N2378&lt;=30, "Met", "Breached"))</f>
        <v/>
      </c>
    </row>
    <row r="2379">
      <c r="M2379" s="11">
        <f>B2379+30</f>
        <v/>
      </c>
      <c r="N2379">
        <f>IF(L2379="", "", L2379-B2379)</f>
        <v/>
      </c>
      <c r="O2379">
        <f>IF(L2379="", "Pending", IF(N2379&lt;=30, "Met", "Breached"))</f>
        <v/>
      </c>
    </row>
    <row r="2380">
      <c r="M2380" s="11">
        <f>B2380+30</f>
        <v/>
      </c>
      <c r="N2380">
        <f>IF(L2380="", "", L2380-B2380)</f>
        <v/>
      </c>
      <c r="O2380">
        <f>IF(L2380="", "Pending", IF(N2380&lt;=30, "Met", "Breached"))</f>
        <v/>
      </c>
    </row>
    <row r="2381">
      <c r="M2381" s="11">
        <f>B2381+30</f>
        <v/>
      </c>
      <c r="N2381">
        <f>IF(L2381="", "", L2381-B2381)</f>
        <v/>
      </c>
      <c r="O2381">
        <f>IF(L2381="", "Pending", IF(N2381&lt;=30, "Met", "Breached"))</f>
        <v/>
      </c>
    </row>
    <row r="2382">
      <c r="M2382" s="11">
        <f>B2382+30</f>
        <v/>
      </c>
      <c r="N2382">
        <f>IF(L2382="", "", L2382-B2382)</f>
        <v/>
      </c>
      <c r="O2382">
        <f>IF(L2382="", "Pending", IF(N2382&lt;=30, "Met", "Breached"))</f>
        <v/>
      </c>
    </row>
    <row r="2383">
      <c r="M2383" s="11">
        <f>B2383+30</f>
        <v/>
      </c>
      <c r="N2383">
        <f>IF(L2383="", "", L2383-B2383)</f>
        <v/>
      </c>
      <c r="O2383">
        <f>IF(L2383="", "Pending", IF(N2383&lt;=30, "Met", "Breached"))</f>
        <v/>
      </c>
    </row>
    <row r="2384">
      <c r="M2384" s="11">
        <f>B2384+30</f>
        <v/>
      </c>
      <c r="N2384">
        <f>IF(L2384="", "", L2384-B2384)</f>
        <v/>
      </c>
      <c r="O2384">
        <f>IF(L2384="", "Pending", IF(N2384&lt;=30, "Met", "Breached"))</f>
        <v/>
      </c>
    </row>
    <row r="2385">
      <c r="M2385" s="11">
        <f>B2385+30</f>
        <v/>
      </c>
      <c r="N2385">
        <f>IF(L2385="", "", L2385-B2385)</f>
        <v/>
      </c>
      <c r="O2385">
        <f>IF(L2385="", "Pending", IF(N2385&lt;=30, "Met", "Breached"))</f>
        <v/>
      </c>
    </row>
    <row r="2386">
      <c r="M2386" s="11">
        <f>B2386+30</f>
        <v/>
      </c>
      <c r="N2386">
        <f>IF(L2386="", "", L2386-B2386)</f>
        <v/>
      </c>
      <c r="O2386">
        <f>IF(L2386="", "Pending", IF(N2386&lt;=30, "Met", "Breached"))</f>
        <v/>
      </c>
    </row>
    <row r="2387">
      <c r="M2387" s="11">
        <f>B2387+30</f>
        <v/>
      </c>
      <c r="N2387">
        <f>IF(L2387="", "", L2387-B2387)</f>
        <v/>
      </c>
      <c r="O2387">
        <f>IF(L2387="", "Pending", IF(N2387&lt;=30, "Met", "Breached"))</f>
        <v/>
      </c>
    </row>
    <row r="2388">
      <c r="M2388" s="11">
        <f>B2388+30</f>
        <v/>
      </c>
      <c r="N2388">
        <f>IF(L2388="", "", L2388-B2388)</f>
        <v/>
      </c>
      <c r="O2388">
        <f>IF(L2388="", "Pending", IF(N2388&lt;=30, "Met", "Breached"))</f>
        <v/>
      </c>
    </row>
    <row r="2389">
      <c r="M2389" s="11">
        <f>B2389+30</f>
        <v/>
      </c>
      <c r="N2389">
        <f>IF(L2389="", "", L2389-B2389)</f>
        <v/>
      </c>
      <c r="O2389">
        <f>IF(L2389="", "Pending", IF(N2389&lt;=30, "Met", "Breached"))</f>
        <v/>
      </c>
    </row>
    <row r="2390">
      <c r="M2390" s="11">
        <f>B2390+30</f>
        <v/>
      </c>
      <c r="N2390">
        <f>IF(L2390="", "", L2390-B2390)</f>
        <v/>
      </c>
      <c r="O2390">
        <f>IF(L2390="", "Pending", IF(N2390&lt;=30, "Met", "Breached"))</f>
        <v/>
      </c>
    </row>
    <row r="2391">
      <c r="M2391" s="11">
        <f>B2391+30</f>
        <v/>
      </c>
      <c r="N2391">
        <f>IF(L2391="", "", L2391-B2391)</f>
        <v/>
      </c>
      <c r="O2391">
        <f>IF(L2391="", "Pending", IF(N2391&lt;=30, "Met", "Breached"))</f>
        <v/>
      </c>
    </row>
    <row r="2392">
      <c r="M2392" s="11">
        <f>B2392+30</f>
        <v/>
      </c>
      <c r="N2392">
        <f>IF(L2392="", "", L2392-B2392)</f>
        <v/>
      </c>
      <c r="O2392">
        <f>IF(L2392="", "Pending", IF(N2392&lt;=30, "Met", "Breached"))</f>
        <v/>
      </c>
    </row>
    <row r="2393">
      <c r="M2393" s="11">
        <f>B2393+30</f>
        <v/>
      </c>
      <c r="N2393">
        <f>IF(L2393="", "", L2393-B2393)</f>
        <v/>
      </c>
      <c r="O2393">
        <f>IF(L2393="", "Pending", IF(N2393&lt;=30, "Met", "Breached"))</f>
        <v/>
      </c>
    </row>
    <row r="2394">
      <c r="M2394" s="11">
        <f>B2394+30</f>
        <v/>
      </c>
      <c r="N2394">
        <f>IF(L2394="", "", L2394-B2394)</f>
        <v/>
      </c>
      <c r="O2394">
        <f>IF(L2394="", "Pending", IF(N2394&lt;=30, "Met", "Breached"))</f>
        <v/>
      </c>
    </row>
    <row r="2395">
      <c r="M2395" s="11">
        <f>B2395+30</f>
        <v/>
      </c>
      <c r="N2395">
        <f>IF(L2395="", "", L2395-B2395)</f>
        <v/>
      </c>
      <c r="O2395">
        <f>IF(L2395="", "Pending", IF(N2395&lt;=30, "Met", "Breached"))</f>
        <v/>
      </c>
    </row>
    <row r="2396">
      <c r="M2396" s="11">
        <f>B2396+30</f>
        <v/>
      </c>
      <c r="N2396">
        <f>IF(L2396="", "", L2396-B2396)</f>
        <v/>
      </c>
      <c r="O2396">
        <f>IF(L2396="", "Pending", IF(N2396&lt;=30, "Met", "Breached"))</f>
        <v/>
      </c>
    </row>
    <row r="2397">
      <c r="M2397" s="11">
        <f>B2397+30</f>
        <v/>
      </c>
      <c r="N2397">
        <f>IF(L2397="", "", L2397-B2397)</f>
        <v/>
      </c>
      <c r="O2397">
        <f>IF(L2397="", "Pending", IF(N2397&lt;=30, "Met", "Breached"))</f>
        <v/>
      </c>
    </row>
    <row r="2398">
      <c r="M2398" s="11">
        <f>B2398+30</f>
        <v/>
      </c>
      <c r="N2398">
        <f>IF(L2398="", "", L2398-B2398)</f>
        <v/>
      </c>
      <c r="O2398">
        <f>IF(L2398="", "Pending", IF(N2398&lt;=30, "Met", "Breached"))</f>
        <v/>
      </c>
    </row>
    <row r="2399">
      <c r="M2399" s="11">
        <f>B2399+30</f>
        <v/>
      </c>
      <c r="N2399">
        <f>IF(L2399="", "", L2399-B2399)</f>
        <v/>
      </c>
      <c r="O2399">
        <f>IF(L2399="", "Pending", IF(N2399&lt;=30, "Met", "Breached"))</f>
        <v/>
      </c>
    </row>
    <row r="2400">
      <c r="M2400" s="11">
        <f>B2400+30</f>
        <v/>
      </c>
      <c r="N2400">
        <f>IF(L2400="", "", L2400-B2400)</f>
        <v/>
      </c>
      <c r="O2400">
        <f>IF(L2400="", "Pending", IF(N2400&lt;=30, "Met", "Breached"))</f>
        <v/>
      </c>
    </row>
    <row r="2401">
      <c r="M2401" s="11">
        <f>B2401+30</f>
        <v/>
      </c>
      <c r="N2401">
        <f>IF(L2401="", "", L2401-B2401)</f>
        <v/>
      </c>
      <c r="O2401">
        <f>IF(L2401="", "Pending", IF(N2401&lt;=30, "Met", "Breached"))</f>
        <v/>
      </c>
    </row>
    <row r="2402">
      <c r="M2402" s="11">
        <f>B2402+30</f>
        <v/>
      </c>
      <c r="N2402">
        <f>IF(L2402="", "", L2402-B2402)</f>
        <v/>
      </c>
      <c r="O2402">
        <f>IF(L2402="", "Pending", IF(N2402&lt;=30, "Met", "Breached"))</f>
        <v/>
      </c>
    </row>
    <row r="2403">
      <c r="M2403" s="11">
        <f>B2403+30</f>
        <v/>
      </c>
      <c r="N2403">
        <f>IF(L2403="", "", L2403-B2403)</f>
        <v/>
      </c>
      <c r="O2403">
        <f>IF(L2403="", "Pending", IF(N2403&lt;=30, "Met", "Breached"))</f>
        <v/>
      </c>
    </row>
    <row r="2404">
      <c r="M2404" s="11">
        <f>B2404+30</f>
        <v/>
      </c>
      <c r="N2404">
        <f>IF(L2404="", "", L2404-B2404)</f>
        <v/>
      </c>
      <c r="O2404">
        <f>IF(L2404="", "Pending", IF(N2404&lt;=30, "Met", "Breached"))</f>
        <v/>
      </c>
    </row>
    <row r="2405">
      <c r="M2405" s="11">
        <f>B2405+30</f>
        <v/>
      </c>
      <c r="N2405">
        <f>IF(L2405="", "", L2405-B2405)</f>
        <v/>
      </c>
      <c r="O2405">
        <f>IF(L2405="", "Pending", IF(N2405&lt;=30, "Met", "Breached"))</f>
        <v/>
      </c>
    </row>
    <row r="2406">
      <c r="M2406" s="11">
        <f>B2406+30</f>
        <v/>
      </c>
      <c r="N2406">
        <f>IF(L2406="", "", L2406-B2406)</f>
        <v/>
      </c>
      <c r="O2406">
        <f>IF(L2406="", "Pending", IF(N2406&lt;=30, "Met", "Breached"))</f>
        <v/>
      </c>
    </row>
    <row r="2407">
      <c r="M2407" s="11">
        <f>B2407+30</f>
        <v/>
      </c>
      <c r="N2407">
        <f>IF(L2407="", "", L2407-B2407)</f>
        <v/>
      </c>
      <c r="O2407">
        <f>IF(L2407="", "Pending", IF(N2407&lt;=30, "Met", "Breached"))</f>
        <v/>
      </c>
    </row>
    <row r="2408">
      <c r="M2408" s="11">
        <f>B2408+30</f>
        <v/>
      </c>
      <c r="N2408">
        <f>IF(L2408="", "", L2408-B2408)</f>
        <v/>
      </c>
      <c r="O2408">
        <f>IF(L2408="", "Pending", IF(N2408&lt;=30, "Met", "Breached"))</f>
        <v/>
      </c>
    </row>
    <row r="2409">
      <c r="M2409" s="11">
        <f>B2409+30</f>
        <v/>
      </c>
      <c r="N2409">
        <f>IF(L2409="", "", L2409-B2409)</f>
        <v/>
      </c>
      <c r="O2409">
        <f>IF(L2409="", "Pending", IF(N2409&lt;=30, "Met", "Breached"))</f>
        <v/>
      </c>
    </row>
    <row r="2410">
      <c r="M2410" s="11">
        <f>B2410+30</f>
        <v/>
      </c>
      <c r="N2410">
        <f>IF(L2410="", "", L2410-B2410)</f>
        <v/>
      </c>
      <c r="O2410">
        <f>IF(L2410="", "Pending", IF(N2410&lt;=30, "Met", "Breached"))</f>
        <v/>
      </c>
    </row>
    <row r="2411">
      <c r="M2411" s="11">
        <f>B2411+30</f>
        <v/>
      </c>
      <c r="N2411">
        <f>IF(L2411="", "", L2411-B2411)</f>
        <v/>
      </c>
      <c r="O2411">
        <f>IF(L2411="", "Pending", IF(N2411&lt;=30, "Met", "Breached"))</f>
        <v/>
      </c>
    </row>
    <row r="2412">
      <c r="M2412" s="11">
        <f>B2412+30</f>
        <v/>
      </c>
      <c r="N2412">
        <f>IF(L2412="", "", L2412-B2412)</f>
        <v/>
      </c>
      <c r="O2412">
        <f>IF(L2412="", "Pending", IF(N2412&lt;=30, "Met", "Breached"))</f>
        <v/>
      </c>
    </row>
    <row r="2413">
      <c r="M2413" s="11">
        <f>B2413+30</f>
        <v/>
      </c>
      <c r="N2413">
        <f>IF(L2413="", "", L2413-B2413)</f>
        <v/>
      </c>
      <c r="O2413">
        <f>IF(L2413="", "Pending", IF(N2413&lt;=30, "Met", "Breached"))</f>
        <v/>
      </c>
    </row>
    <row r="2414">
      <c r="M2414" s="11">
        <f>B2414+30</f>
        <v/>
      </c>
      <c r="N2414">
        <f>IF(L2414="", "", L2414-B2414)</f>
        <v/>
      </c>
      <c r="O2414">
        <f>IF(L2414="", "Pending", IF(N2414&lt;=30, "Met", "Breached"))</f>
        <v/>
      </c>
    </row>
    <row r="2415">
      <c r="M2415" s="11">
        <f>B2415+30</f>
        <v/>
      </c>
      <c r="N2415">
        <f>IF(L2415="", "", L2415-B2415)</f>
        <v/>
      </c>
      <c r="O2415">
        <f>IF(L2415="", "Pending", IF(N2415&lt;=30, "Met", "Breached"))</f>
        <v/>
      </c>
    </row>
    <row r="2416">
      <c r="M2416" s="11">
        <f>B2416+30</f>
        <v/>
      </c>
      <c r="N2416">
        <f>IF(L2416="", "", L2416-B2416)</f>
        <v/>
      </c>
      <c r="O2416">
        <f>IF(L2416="", "Pending", IF(N2416&lt;=30, "Met", "Breached"))</f>
        <v/>
      </c>
    </row>
    <row r="2417">
      <c r="M2417" s="11">
        <f>B2417+30</f>
        <v/>
      </c>
      <c r="N2417">
        <f>IF(L2417="", "", L2417-B2417)</f>
        <v/>
      </c>
      <c r="O2417">
        <f>IF(L2417="", "Pending", IF(N2417&lt;=30, "Met", "Breached"))</f>
        <v/>
      </c>
    </row>
    <row r="2418">
      <c r="M2418" s="11">
        <f>B2418+30</f>
        <v/>
      </c>
      <c r="N2418">
        <f>IF(L2418="", "", L2418-B2418)</f>
        <v/>
      </c>
      <c r="O2418">
        <f>IF(L2418="", "Pending", IF(N2418&lt;=30, "Met", "Breached"))</f>
        <v/>
      </c>
    </row>
    <row r="2419">
      <c r="M2419" s="11">
        <f>B2419+30</f>
        <v/>
      </c>
      <c r="N2419">
        <f>IF(L2419="", "", L2419-B2419)</f>
        <v/>
      </c>
      <c r="O2419">
        <f>IF(L2419="", "Pending", IF(N2419&lt;=30, "Met", "Breached"))</f>
        <v/>
      </c>
    </row>
    <row r="2420">
      <c r="M2420" s="11">
        <f>B2420+30</f>
        <v/>
      </c>
      <c r="N2420">
        <f>IF(L2420="", "", L2420-B2420)</f>
        <v/>
      </c>
      <c r="O2420">
        <f>IF(L2420="", "Pending", IF(N2420&lt;=30, "Met", "Breached"))</f>
        <v/>
      </c>
    </row>
    <row r="2421">
      <c r="M2421" s="11">
        <f>B2421+30</f>
        <v/>
      </c>
      <c r="N2421">
        <f>IF(L2421="", "", L2421-B2421)</f>
        <v/>
      </c>
      <c r="O2421">
        <f>IF(L2421="", "Pending", IF(N2421&lt;=30, "Met", "Breached"))</f>
        <v/>
      </c>
    </row>
    <row r="2422">
      <c r="M2422" s="11">
        <f>B2422+30</f>
        <v/>
      </c>
      <c r="N2422">
        <f>IF(L2422="", "", L2422-B2422)</f>
        <v/>
      </c>
      <c r="O2422">
        <f>IF(L2422="", "Pending", IF(N2422&lt;=30, "Met", "Breached"))</f>
        <v/>
      </c>
    </row>
    <row r="2423">
      <c r="M2423" s="11">
        <f>B2423+30</f>
        <v/>
      </c>
      <c r="N2423">
        <f>IF(L2423="", "", L2423-B2423)</f>
        <v/>
      </c>
      <c r="O2423">
        <f>IF(L2423="", "Pending", IF(N2423&lt;=30, "Met", "Breached"))</f>
        <v/>
      </c>
    </row>
    <row r="2424">
      <c r="M2424" s="11">
        <f>B2424+30</f>
        <v/>
      </c>
      <c r="N2424">
        <f>IF(L2424="", "", L2424-B2424)</f>
        <v/>
      </c>
      <c r="O2424">
        <f>IF(L2424="", "Pending", IF(N2424&lt;=30, "Met", "Breached"))</f>
        <v/>
      </c>
    </row>
    <row r="2425">
      <c r="M2425" s="11">
        <f>B2425+30</f>
        <v/>
      </c>
      <c r="N2425">
        <f>IF(L2425="", "", L2425-B2425)</f>
        <v/>
      </c>
      <c r="O2425">
        <f>IF(L2425="", "Pending", IF(N2425&lt;=30, "Met", "Breached"))</f>
        <v/>
      </c>
    </row>
    <row r="2426">
      <c r="M2426" s="11">
        <f>B2426+30</f>
        <v/>
      </c>
      <c r="N2426">
        <f>IF(L2426="", "", L2426-B2426)</f>
        <v/>
      </c>
      <c r="O2426">
        <f>IF(L2426="", "Pending", IF(N2426&lt;=30, "Met", "Breached"))</f>
        <v/>
      </c>
    </row>
    <row r="2427">
      <c r="M2427" s="11">
        <f>B2427+30</f>
        <v/>
      </c>
      <c r="N2427">
        <f>IF(L2427="", "", L2427-B2427)</f>
        <v/>
      </c>
      <c r="O2427">
        <f>IF(L2427="", "Pending", IF(N2427&lt;=30, "Met", "Breached"))</f>
        <v/>
      </c>
    </row>
    <row r="2428">
      <c r="M2428" s="11">
        <f>B2428+30</f>
        <v/>
      </c>
      <c r="N2428">
        <f>IF(L2428="", "", L2428-B2428)</f>
        <v/>
      </c>
      <c r="O2428">
        <f>IF(L2428="", "Pending", IF(N2428&lt;=30, "Met", "Breached"))</f>
        <v/>
      </c>
    </row>
    <row r="2429">
      <c r="M2429" s="11">
        <f>B2429+30</f>
        <v/>
      </c>
      <c r="N2429">
        <f>IF(L2429="", "", L2429-B2429)</f>
        <v/>
      </c>
      <c r="O2429">
        <f>IF(L2429="", "Pending", IF(N2429&lt;=30, "Met", "Breached"))</f>
        <v/>
      </c>
    </row>
    <row r="2430">
      <c r="M2430" s="11">
        <f>B2430+30</f>
        <v/>
      </c>
      <c r="N2430">
        <f>IF(L2430="", "", L2430-B2430)</f>
        <v/>
      </c>
      <c r="O2430">
        <f>IF(L2430="", "Pending", IF(N2430&lt;=30, "Met", "Breached"))</f>
        <v/>
      </c>
    </row>
    <row r="2431">
      <c r="M2431" s="11">
        <f>B2431+30</f>
        <v/>
      </c>
      <c r="N2431">
        <f>IF(L2431="", "", L2431-B2431)</f>
        <v/>
      </c>
      <c r="O2431">
        <f>IF(L2431="", "Pending", IF(N2431&lt;=30, "Met", "Breached"))</f>
        <v/>
      </c>
    </row>
    <row r="2432">
      <c r="M2432" s="11">
        <f>B2432+30</f>
        <v/>
      </c>
      <c r="N2432">
        <f>IF(L2432="", "", L2432-B2432)</f>
        <v/>
      </c>
      <c r="O2432">
        <f>IF(L2432="", "Pending", IF(N2432&lt;=30, "Met", "Breached"))</f>
        <v/>
      </c>
    </row>
    <row r="2433">
      <c r="M2433" s="11">
        <f>B2433+30</f>
        <v/>
      </c>
      <c r="N2433">
        <f>IF(L2433="", "", L2433-B2433)</f>
        <v/>
      </c>
      <c r="O2433">
        <f>IF(L2433="", "Pending", IF(N2433&lt;=30, "Met", "Breached"))</f>
        <v/>
      </c>
    </row>
    <row r="2434">
      <c r="M2434" s="11">
        <f>B2434+30</f>
        <v/>
      </c>
      <c r="N2434">
        <f>IF(L2434="", "", L2434-B2434)</f>
        <v/>
      </c>
      <c r="O2434">
        <f>IF(L2434="", "Pending", IF(N2434&lt;=30, "Met", "Breached"))</f>
        <v/>
      </c>
    </row>
    <row r="2435">
      <c r="M2435" s="11">
        <f>B2435+30</f>
        <v/>
      </c>
      <c r="N2435">
        <f>IF(L2435="", "", L2435-B2435)</f>
        <v/>
      </c>
      <c r="O2435">
        <f>IF(L2435="", "Pending", IF(N2435&lt;=30, "Met", "Breached"))</f>
        <v/>
      </c>
    </row>
    <row r="2436">
      <c r="M2436" s="11">
        <f>B2436+30</f>
        <v/>
      </c>
      <c r="N2436">
        <f>IF(L2436="", "", L2436-B2436)</f>
        <v/>
      </c>
      <c r="O2436">
        <f>IF(L2436="", "Pending", IF(N2436&lt;=30, "Met", "Breached"))</f>
        <v/>
      </c>
    </row>
    <row r="2437">
      <c r="M2437" s="11">
        <f>B2437+30</f>
        <v/>
      </c>
      <c r="N2437">
        <f>IF(L2437="", "", L2437-B2437)</f>
        <v/>
      </c>
      <c r="O2437">
        <f>IF(L2437="", "Pending", IF(N2437&lt;=30, "Met", "Breached"))</f>
        <v/>
      </c>
    </row>
    <row r="2438">
      <c r="M2438" s="11">
        <f>B2438+30</f>
        <v/>
      </c>
      <c r="N2438">
        <f>IF(L2438="", "", L2438-B2438)</f>
        <v/>
      </c>
      <c r="O2438">
        <f>IF(L2438="", "Pending", IF(N2438&lt;=30, "Met", "Breached"))</f>
        <v/>
      </c>
    </row>
    <row r="2439">
      <c r="M2439" s="11">
        <f>B2439+30</f>
        <v/>
      </c>
      <c r="N2439">
        <f>IF(L2439="", "", L2439-B2439)</f>
        <v/>
      </c>
      <c r="O2439">
        <f>IF(L2439="", "Pending", IF(N2439&lt;=30, "Met", "Breached"))</f>
        <v/>
      </c>
    </row>
    <row r="2440">
      <c r="M2440" s="11">
        <f>B2440+30</f>
        <v/>
      </c>
      <c r="N2440">
        <f>IF(L2440="", "", L2440-B2440)</f>
        <v/>
      </c>
      <c r="O2440">
        <f>IF(L2440="", "Pending", IF(N2440&lt;=30, "Met", "Breached"))</f>
        <v/>
      </c>
    </row>
    <row r="2441">
      <c r="M2441" s="11">
        <f>B2441+30</f>
        <v/>
      </c>
      <c r="N2441">
        <f>IF(L2441="", "", L2441-B2441)</f>
        <v/>
      </c>
      <c r="O2441">
        <f>IF(L2441="", "Pending", IF(N2441&lt;=30, "Met", "Breached"))</f>
        <v/>
      </c>
    </row>
    <row r="2442">
      <c r="M2442" s="11">
        <f>B2442+30</f>
        <v/>
      </c>
      <c r="N2442">
        <f>IF(L2442="", "", L2442-B2442)</f>
        <v/>
      </c>
      <c r="O2442">
        <f>IF(L2442="", "Pending", IF(N2442&lt;=30, "Met", "Breached"))</f>
        <v/>
      </c>
    </row>
    <row r="2443">
      <c r="M2443" s="11">
        <f>B2443+30</f>
        <v/>
      </c>
      <c r="N2443">
        <f>IF(L2443="", "", L2443-B2443)</f>
        <v/>
      </c>
      <c r="O2443">
        <f>IF(L2443="", "Pending", IF(N2443&lt;=30, "Met", "Breached"))</f>
        <v/>
      </c>
    </row>
    <row r="2444">
      <c r="M2444" s="11">
        <f>B2444+30</f>
        <v/>
      </c>
      <c r="N2444">
        <f>IF(L2444="", "", L2444-B2444)</f>
        <v/>
      </c>
      <c r="O2444">
        <f>IF(L2444="", "Pending", IF(N2444&lt;=30, "Met", "Breached"))</f>
        <v/>
      </c>
    </row>
    <row r="2445">
      <c r="M2445" s="11">
        <f>B2445+30</f>
        <v/>
      </c>
      <c r="N2445">
        <f>IF(L2445="", "", L2445-B2445)</f>
        <v/>
      </c>
      <c r="O2445">
        <f>IF(L2445="", "Pending", IF(N2445&lt;=30, "Met", "Breached"))</f>
        <v/>
      </c>
    </row>
    <row r="2446">
      <c r="M2446" s="11">
        <f>B2446+30</f>
        <v/>
      </c>
      <c r="N2446">
        <f>IF(L2446="", "", L2446-B2446)</f>
        <v/>
      </c>
      <c r="O2446">
        <f>IF(L2446="", "Pending", IF(N2446&lt;=30, "Met", "Breached"))</f>
        <v/>
      </c>
    </row>
    <row r="2447">
      <c r="M2447" s="11">
        <f>B2447+30</f>
        <v/>
      </c>
      <c r="N2447">
        <f>IF(L2447="", "", L2447-B2447)</f>
        <v/>
      </c>
      <c r="O2447">
        <f>IF(L2447="", "Pending", IF(N2447&lt;=30, "Met", "Breached"))</f>
        <v/>
      </c>
    </row>
    <row r="2448">
      <c r="M2448" s="11">
        <f>B2448+30</f>
        <v/>
      </c>
      <c r="N2448">
        <f>IF(L2448="", "", L2448-B2448)</f>
        <v/>
      </c>
      <c r="O2448">
        <f>IF(L2448="", "Pending", IF(N2448&lt;=30, "Met", "Breached"))</f>
        <v/>
      </c>
    </row>
    <row r="2449">
      <c r="M2449" s="11">
        <f>B2449+30</f>
        <v/>
      </c>
      <c r="N2449">
        <f>IF(L2449="", "", L2449-B2449)</f>
        <v/>
      </c>
      <c r="O2449">
        <f>IF(L2449="", "Pending", IF(N2449&lt;=30, "Met", "Breached"))</f>
        <v/>
      </c>
    </row>
    <row r="2450">
      <c r="M2450" s="11">
        <f>B2450+30</f>
        <v/>
      </c>
      <c r="N2450">
        <f>IF(L2450="", "", L2450-B2450)</f>
        <v/>
      </c>
      <c r="O2450">
        <f>IF(L2450="", "Pending", IF(N2450&lt;=30, "Met", "Breached"))</f>
        <v/>
      </c>
    </row>
    <row r="2451">
      <c r="M2451" s="11">
        <f>B2451+30</f>
        <v/>
      </c>
      <c r="N2451">
        <f>IF(L2451="", "", L2451-B2451)</f>
        <v/>
      </c>
      <c r="O2451">
        <f>IF(L2451="", "Pending", IF(N2451&lt;=30, "Met", "Breached"))</f>
        <v/>
      </c>
    </row>
    <row r="2452">
      <c r="M2452" s="11">
        <f>B2452+30</f>
        <v/>
      </c>
      <c r="N2452">
        <f>IF(L2452="", "", L2452-B2452)</f>
        <v/>
      </c>
      <c r="O2452">
        <f>IF(L2452="", "Pending", IF(N2452&lt;=30, "Met", "Breached"))</f>
        <v/>
      </c>
    </row>
    <row r="2453">
      <c r="M2453" s="11">
        <f>B2453+30</f>
        <v/>
      </c>
      <c r="N2453">
        <f>IF(L2453="", "", L2453-B2453)</f>
        <v/>
      </c>
      <c r="O2453">
        <f>IF(L2453="", "Pending", IF(N2453&lt;=30, "Met", "Breached"))</f>
        <v/>
      </c>
    </row>
    <row r="2454">
      <c r="M2454" s="11">
        <f>B2454+30</f>
        <v/>
      </c>
      <c r="N2454">
        <f>IF(L2454="", "", L2454-B2454)</f>
        <v/>
      </c>
      <c r="O2454">
        <f>IF(L2454="", "Pending", IF(N2454&lt;=30, "Met", "Breached"))</f>
        <v/>
      </c>
    </row>
    <row r="2455">
      <c r="M2455" s="11">
        <f>B2455+30</f>
        <v/>
      </c>
      <c r="N2455">
        <f>IF(L2455="", "", L2455-B2455)</f>
        <v/>
      </c>
      <c r="O2455">
        <f>IF(L2455="", "Pending", IF(N2455&lt;=30, "Met", "Breached"))</f>
        <v/>
      </c>
    </row>
    <row r="2456">
      <c r="M2456" s="11">
        <f>B2456+30</f>
        <v/>
      </c>
      <c r="N2456">
        <f>IF(L2456="", "", L2456-B2456)</f>
        <v/>
      </c>
      <c r="O2456">
        <f>IF(L2456="", "Pending", IF(N2456&lt;=30, "Met", "Breached"))</f>
        <v/>
      </c>
    </row>
    <row r="2457">
      <c r="M2457" s="11">
        <f>B2457+30</f>
        <v/>
      </c>
      <c r="N2457">
        <f>IF(L2457="", "", L2457-B2457)</f>
        <v/>
      </c>
      <c r="O2457">
        <f>IF(L2457="", "Pending", IF(N2457&lt;=30, "Met", "Breached"))</f>
        <v/>
      </c>
    </row>
    <row r="2458">
      <c r="M2458" s="11">
        <f>B2458+30</f>
        <v/>
      </c>
      <c r="N2458">
        <f>IF(L2458="", "", L2458-B2458)</f>
        <v/>
      </c>
      <c r="O2458">
        <f>IF(L2458="", "Pending", IF(N2458&lt;=30, "Met", "Breached"))</f>
        <v/>
      </c>
    </row>
    <row r="2459">
      <c r="M2459" s="11">
        <f>B2459+30</f>
        <v/>
      </c>
      <c r="N2459">
        <f>IF(L2459="", "", L2459-B2459)</f>
        <v/>
      </c>
      <c r="O2459">
        <f>IF(L2459="", "Pending", IF(N2459&lt;=30, "Met", "Breached"))</f>
        <v/>
      </c>
    </row>
    <row r="2460">
      <c r="M2460" s="11">
        <f>B2460+30</f>
        <v/>
      </c>
      <c r="N2460">
        <f>IF(L2460="", "", L2460-B2460)</f>
        <v/>
      </c>
      <c r="O2460">
        <f>IF(L2460="", "Pending", IF(N2460&lt;=30, "Met", "Breached"))</f>
        <v/>
      </c>
    </row>
    <row r="2461">
      <c r="M2461" s="11">
        <f>B2461+30</f>
        <v/>
      </c>
      <c r="N2461">
        <f>IF(L2461="", "", L2461-B2461)</f>
        <v/>
      </c>
      <c r="O2461">
        <f>IF(L2461="", "Pending", IF(N2461&lt;=30, "Met", "Breached"))</f>
        <v/>
      </c>
    </row>
    <row r="2462">
      <c r="M2462" s="11">
        <f>B2462+30</f>
        <v/>
      </c>
      <c r="N2462">
        <f>IF(L2462="", "", L2462-B2462)</f>
        <v/>
      </c>
      <c r="O2462">
        <f>IF(L2462="", "Pending", IF(N2462&lt;=30, "Met", "Breached"))</f>
        <v/>
      </c>
    </row>
    <row r="2463">
      <c r="M2463" s="11">
        <f>B2463+30</f>
        <v/>
      </c>
      <c r="N2463">
        <f>IF(L2463="", "", L2463-B2463)</f>
        <v/>
      </c>
      <c r="O2463">
        <f>IF(L2463="", "Pending", IF(N2463&lt;=30, "Met", "Breached"))</f>
        <v/>
      </c>
    </row>
    <row r="2464">
      <c r="M2464" s="11">
        <f>B2464+30</f>
        <v/>
      </c>
      <c r="N2464">
        <f>IF(L2464="", "", L2464-B2464)</f>
        <v/>
      </c>
      <c r="O2464">
        <f>IF(L2464="", "Pending", IF(N2464&lt;=30, "Met", "Breached"))</f>
        <v/>
      </c>
    </row>
    <row r="2465">
      <c r="M2465" s="11">
        <f>B2465+30</f>
        <v/>
      </c>
      <c r="N2465">
        <f>IF(L2465="", "", L2465-B2465)</f>
        <v/>
      </c>
      <c r="O2465">
        <f>IF(L2465="", "Pending", IF(N2465&lt;=30, "Met", "Breached"))</f>
        <v/>
      </c>
    </row>
    <row r="2466">
      <c r="M2466" s="11">
        <f>B2466+30</f>
        <v/>
      </c>
      <c r="N2466">
        <f>IF(L2466="", "", L2466-B2466)</f>
        <v/>
      </c>
      <c r="O2466">
        <f>IF(L2466="", "Pending", IF(N2466&lt;=30, "Met", "Breached"))</f>
        <v/>
      </c>
    </row>
    <row r="2467">
      <c r="M2467" s="11">
        <f>B2467+30</f>
        <v/>
      </c>
      <c r="N2467">
        <f>IF(L2467="", "", L2467-B2467)</f>
        <v/>
      </c>
      <c r="O2467">
        <f>IF(L2467="", "Pending", IF(N2467&lt;=30, "Met", "Breached"))</f>
        <v/>
      </c>
    </row>
    <row r="2468">
      <c r="M2468" s="11">
        <f>B2468+30</f>
        <v/>
      </c>
      <c r="N2468">
        <f>IF(L2468="", "", L2468-B2468)</f>
        <v/>
      </c>
      <c r="O2468">
        <f>IF(L2468="", "Pending", IF(N2468&lt;=30, "Met", "Breached"))</f>
        <v/>
      </c>
    </row>
    <row r="2469">
      <c r="M2469" s="11">
        <f>B2469+30</f>
        <v/>
      </c>
      <c r="N2469">
        <f>IF(L2469="", "", L2469-B2469)</f>
        <v/>
      </c>
      <c r="O2469">
        <f>IF(L2469="", "Pending", IF(N2469&lt;=30, "Met", "Breached"))</f>
        <v/>
      </c>
    </row>
    <row r="2470">
      <c r="M2470" s="11">
        <f>B2470+30</f>
        <v/>
      </c>
      <c r="N2470">
        <f>IF(L2470="", "", L2470-B2470)</f>
        <v/>
      </c>
      <c r="O2470">
        <f>IF(L2470="", "Pending", IF(N2470&lt;=30, "Met", "Breached"))</f>
        <v/>
      </c>
    </row>
    <row r="2471">
      <c r="M2471" s="11">
        <f>B2471+30</f>
        <v/>
      </c>
      <c r="N2471">
        <f>IF(L2471="", "", L2471-B2471)</f>
        <v/>
      </c>
      <c r="O2471">
        <f>IF(L2471="", "Pending", IF(N2471&lt;=30, "Met", "Breached"))</f>
        <v/>
      </c>
    </row>
    <row r="2472">
      <c r="M2472" s="11">
        <f>B2472+30</f>
        <v/>
      </c>
      <c r="N2472">
        <f>IF(L2472="", "", L2472-B2472)</f>
        <v/>
      </c>
      <c r="O2472">
        <f>IF(L2472="", "Pending", IF(N2472&lt;=30, "Met", "Breached"))</f>
        <v/>
      </c>
    </row>
    <row r="2473">
      <c r="M2473" s="11">
        <f>B2473+30</f>
        <v/>
      </c>
      <c r="N2473">
        <f>IF(L2473="", "", L2473-B2473)</f>
        <v/>
      </c>
      <c r="O2473">
        <f>IF(L2473="", "Pending", IF(N2473&lt;=30, "Met", "Breached"))</f>
        <v/>
      </c>
    </row>
    <row r="2474">
      <c r="M2474" s="11">
        <f>B2474+30</f>
        <v/>
      </c>
      <c r="N2474">
        <f>IF(L2474="", "", L2474-B2474)</f>
        <v/>
      </c>
      <c r="O2474">
        <f>IF(L2474="", "Pending", IF(N2474&lt;=30, "Met", "Breached"))</f>
        <v/>
      </c>
    </row>
    <row r="2475">
      <c r="M2475" s="11">
        <f>B2475+30</f>
        <v/>
      </c>
      <c r="N2475">
        <f>IF(L2475="", "", L2475-B2475)</f>
        <v/>
      </c>
      <c r="O2475">
        <f>IF(L2475="", "Pending", IF(N2475&lt;=30, "Met", "Breached"))</f>
        <v/>
      </c>
    </row>
    <row r="2476">
      <c r="M2476" s="11">
        <f>B2476+30</f>
        <v/>
      </c>
      <c r="N2476">
        <f>IF(L2476="", "", L2476-B2476)</f>
        <v/>
      </c>
      <c r="O2476">
        <f>IF(L2476="", "Pending", IF(N2476&lt;=30, "Met", "Breached"))</f>
        <v/>
      </c>
    </row>
    <row r="2477">
      <c r="M2477" s="11">
        <f>B2477+30</f>
        <v/>
      </c>
      <c r="N2477">
        <f>IF(L2477="", "", L2477-B2477)</f>
        <v/>
      </c>
      <c r="O2477">
        <f>IF(L2477="", "Pending", IF(N2477&lt;=30, "Met", "Breached"))</f>
        <v/>
      </c>
    </row>
    <row r="2478">
      <c r="M2478" s="11">
        <f>B2478+30</f>
        <v/>
      </c>
      <c r="N2478">
        <f>IF(L2478="", "", L2478-B2478)</f>
        <v/>
      </c>
      <c r="O2478">
        <f>IF(L2478="", "Pending", IF(N2478&lt;=30, "Met", "Breached"))</f>
        <v/>
      </c>
    </row>
    <row r="2479">
      <c r="M2479" s="11">
        <f>B2479+30</f>
        <v/>
      </c>
      <c r="N2479">
        <f>IF(L2479="", "", L2479-B2479)</f>
        <v/>
      </c>
      <c r="O2479">
        <f>IF(L2479="", "Pending", IF(N2479&lt;=30, "Met", "Breached"))</f>
        <v/>
      </c>
    </row>
    <row r="2480">
      <c r="M2480" s="11">
        <f>B2480+30</f>
        <v/>
      </c>
      <c r="N2480">
        <f>IF(L2480="", "", L2480-B2480)</f>
        <v/>
      </c>
      <c r="O2480">
        <f>IF(L2480="", "Pending", IF(N2480&lt;=30, "Met", "Breached"))</f>
        <v/>
      </c>
    </row>
    <row r="2481">
      <c r="M2481" s="11">
        <f>B2481+30</f>
        <v/>
      </c>
      <c r="N2481">
        <f>IF(L2481="", "", L2481-B2481)</f>
        <v/>
      </c>
      <c r="O2481">
        <f>IF(L2481="", "Pending", IF(N2481&lt;=30, "Met", "Breached"))</f>
        <v/>
      </c>
    </row>
    <row r="2482">
      <c r="M2482" s="11">
        <f>B2482+30</f>
        <v/>
      </c>
      <c r="N2482">
        <f>IF(L2482="", "", L2482-B2482)</f>
        <v/>
      </c>
      <c r="O2482">
        <f>IF(L2482="", "Pending", IF(N2482&lt;=30, "Met", "Breached"))</f>
        <v/>
      </c>
    </row>
    <row r="2483">
      <c r="M2483" s="11">
        <f>B2483+30</f>
        <v/>
      </c>
      <c r="N2483">
        <f>IF(L2483="", "", L2483-B2483)</f>
        <v/>
      </c>
      <c r="O2483">
        <f>IF(L2483="", "Pending", IF(N2483&lt;=30, "Met", "Breached"))</f>
        <v/>
      </c>
    </row>
    <row r="2484">
      <c r="M2484" s="11">
        <f>B2484+30</f>
        <v/>
      </c>
      <c r="N2484">
        <f>IF(L2484="", "", L2484-B2484)</f>
        <v/>
      </c>
      <c r="O2484">
        <f>IF(L2484="", "Pending", IF(N2484&lt;=30, "Met", "Breached"))</f>
        <v/>
      </c>
    </row>
    <row r="2485">
      <c r="M2485" s="11">
        <f>B2485+30</f>
        <v/>
      </c>
      <c r="N2485">
        <f>IF(L2485="", "", L2485-B2485)</f>
        <v/>
      </c>
      <c r="O2485">
        <f>IF(L2485="", "Pending", IF(N2485&lt;=30, "Met", "Breached"))</f>
        <v/>
      </c>
    </row>
    <row r="2486">
      <c r="M2486" s="11">
        <f>B2486+30</f>
        <v/>
      </c>
      <c r="N2486">
        <f>IF(L2486="", "", L2486-B2486)</f>
        <v/>
      </c>
      <c r="O2486">
        <f>IF(L2486="", "Pending", IF(N2486&lt;=30, "Met", "Breached"))</f>
        <v/>
      </c>
    </row>
    <row r="2487">
      <c r="M2487" s="11">
        <f>B2487+30</f>
        <v/>
      </c>
      <c r="N2487">
        <f>IF(L2487="", "", L2487-B2487)</f>
        <v/>
      </c>
      <c r="O2487">
        <f>IF(L2487="", "Pending", IF(N2487&lt;=30, "Met", "Breached"))</f>
        <v/>
      </c>
    </row>
    <row r="2488">
      <c r="M2488" s="11">
        <f>B2488+30</f>
        <v/>
      </c>
      <c r="N2488">
        <f>IF(L2488="", "", L2488-B2488)</f>
        <v/>
      </c>
      <c r="O2488">
        <f>IF(L2488="", "Pending", IF(N2488&lt;=30, "Met", "Breached"))</f>
        <v/>
      </c>
    </row>
    <row r="2489">
      <c r="M2489" s="11">
        <f>B2489+30</f>
        <v/>
      </c>
      <c r="N2489">
        <f>IF(L2489="", "", L2489-B2489)</f>
        <v/>
      </c>
      <c r="O2489">
        <f>IF(L2489="", "Pending", IF(N2489&lt;=30, "Met", "Breached"))</f>
        <v/>
      </c>
    </row>
    <row r="2490">
      <c r="M2490" s="11">
        <f>B2490+30</f>
        <v/>
      </c>
      <c r="N2490">
        <f>IF(L2490="", "", L2490-B2490)</f>
        <v/>
      </c>
      <c r="O2490">
        <f>IF(L2490="", "Pending", IF(N2490&lt;=30, "Met", "Breached"))</f>
        <v/>
      </c>
    </row>
    <row r="2491">
      <c r="M2491" s="11">
        <f>B2491+30</f>
        <v/>
      </c>
      <c r="N2491">
        <f>IF(L2491="", "", L2491-B2491)</f>
        <v/>
      </c>
      <c r="O2491">
        <f>IF(L2491="", "Pending", IF(N2491&lt;=30, "Met", "Breached"))</f>
        <v/>
      </c>
    </row>
    <row r="2492">
      <c r="M2492" s="11">
        <f>B2492+30</f>
        <v/>
      </c>
      <c r="N2492">
        <f>IF(L2492="", "", L2492-B2492)</f>
        <v/>
      </c>
      <c r="O2492">
        <f>IF(L2492="", "Pending", IF(N2492&lt;=30, "Met", "Breached"))</f>
        <v/>
      </c>
    </row>
    <row r="2493">
      <c r="M2493" s="11">
        <f>B2493+30</f>
        <v/>
      </c>
      <c r="N2493">
        <f>IF(L2493="", "", L2493-B2493)</f>
        <v/>
      </c>
      <c r="O2493">
        <f>IF(L2493="", "Pending", IF(N2493&lt;=30, "Met", "Breached"))</f>
        <v/>
      </c>
    </row>
    <row r="2494">
      <c r="M2494" s="11">
        <f>B2494+30</f>
        <v/>
      </c>
      <c r="N2494">
        <f>IF(L2494="", "", L2494-B2494)</f>
        <v/>
      </c>
      <c r="O2494">
        <f>IF(L2494="", "Pending", IF(N2494&lt;=30, "Met", "Breached"))</f>
        <v/>
      </c>
    </row>
    <row r="2495">
      <c r="M2495" s="11">
        <f>B2495+30</f>
        <v/>
      </c>
      <c r="N2495">
        <f>IF(L2495="", "", L2495-B2495)</f>
        <v/>
      </c>
      <c r="O2495">
        <f>IF(L2495="", "Pending", IF(N2495&lt;=30, "Met", "Breached"))</f>
        <v/>
      </c>
    </row>
    <row r="2496">
      <c r="M2496" s="11">
        <f>B2496+30</f>
        <v/>
      </c>
      <c r="N2496">
        <f>IF(L2496="", "", L2496-B2496)</f>
        <v/>
      </c>
      <c r="O2496">
        <f>IF(L2496="", "Pending", IF(N2496&lt;=30, "Met", "Breached"))</f>
        <v/>
      </c>
    </row>
    <row r="2497">
      <c r="M2497" s="11">
        <f>B2497+30</f>
        <v/>
      </c>
      <c r="N2497">
        <f>IF(L2497="", "", L2497-B2497)</f>
        <v/>
      </c>
      <c r="O2497">
        <f>IF(L2497="", "Pending", IF(N2497&lt;=30, "Met", "Breached"))</f>
        <v/>
      </c>
    </row>
    <row r="2498">
      <c r="M2498" s="11">
        <f>B2498+30</f>
        <v/>
      </c>
      <c r="N2498">
        <f>IF(L2498="", "", L2498-B2498)</f>
        <v/>
      </c>
      <c r="O2498">
        <f>IF(L2498="", "Pending", IF(N2498&lt;=30, "Met", "Breached"))</f>
        <v/>
      </c>
    </row>
    <row r="2499">
      <c r="M2499" s="11">
        <f>B2499+30</f>
        <v/>
      </c>
      <c r="N2499">
        <f>IF(L2499="", "", L2499-B2499)</f>
        <v/>
      </c>
      <c r="O2499">
        <f>IF(L2499="", "Pending", IF(N2499&lt;=30, "Met", "Breached"))</f>
        <v/>
      </c>
    </row>
    <row r="2500">
      <c r="M2500" s="11">
        <f>B2500+30</f>
        <v/>
      </c>
      <c r="N2500">
        <f>IF(L2500="", "", L2500-B2500)</f>
        <v/>
      </c>
      <c r="O2500">
        <f>IF(L2500="", "Pending", IF(N2500&lt;=30, "Met", "Breached"))</f>
        <v/>
      </c>
    </row>
    <row r="2501">
      <c r="M2501" s="11">
        <f>B2501+30</f>
        <v/>
      </c>
      <c r="N2501">
        <f>IF(L2501="", "", L2501-B2501)</f>
        <v/>
      </c>
      <c r="O2501">
        <f>IF(L2501="", "Pending", IF(N2501&lt;=30, "Met", "Breached"))</f>
        <v/>
      </c>
    </row>
    <row r="2502">
      <c r="M2502" s="11">
        <f>B2502+30</f>
        <v/>
      </c>
      <c r="N2502">
        <f>IF(L2502="", "", L2502-B2502)</f>
        <v/>
      </c>
      <c r="O2502">
        <f>IF(L2502="", "Pending", IF(N2502&lt;=30, "Met", "Breached"))</f>
        <v/>
      </c>
    </row>
    <row r="2503">
      <c r="M2503" s="11">
        <f>B2503+30</f>
        <v/>
      </c>
      <c r="N2503">
        <f>IF(L2503="", "", L2503-B2503)</f>
        <v/>
      </c>
      <c r="O2503">
        <f>IF(L2503="", "Pending", IF(N2503&lt;=30, "Met", "Breached"))</f>
        <v/>
      </c>
    </row>
    <row r="2504">
      <c r="M2504" s="11">
        <f>B2504+30</f>
        <v/>
      </c>
      <c r="N2504">
        <f>IF(L2504="", "", L2504-B2504)</f>
        <v/>
      </c>
      <c r="O2504">
        <f>IF(L2504="", "Pending", IF(N2504&lt;=30, "Met", "Breached"))</f>
        <v/>
      </c>
    </row>
    <row r="2505">
      <c r="M2505" s="11">
        <f>B2505+30</f>
        <v/>
      </c>
      <c r="N2505">
        <f>IF(L2505="", "", L2505-B2505)</f>
        <v/>
      </c>
      <c r="O2505">
        <f>IF(L2505="", "Pending", IF(N2505&lt;=30, "Met", "Breached"))</f>
        <v/>
      </c>
    </row>
    <row r="2506">
      <c r="M2506" s="11">
        <f>B2506+30</f>
        <v/>
      </c>
      <c r="N2506">
        <f>IF(L2506="", "", L2506-B2506)</f>
        <v/>
      </c>
      <c r="O2506">
        <f>IF(L2506="", "Pending", IF(N2506&lt;=30, "Met", "Breached"))</f>
        <v/>
      </c>
    </row>
    <row r="2507">
      <c r="M2507" s="11">
        <f>B2507+30</f>
        <v/>
      </c>
      <c r="N2507">
        <f>IF(L2507="", "", L2507-B2507)</f>
        <v/>
      </c>
      <c r="O2507">
        <f>IF(L2507="", "Pending", IF(N2507&lt;=30, "Met", "Breached"))</f>
        <v/>
      </c>
    </row>
    <row r="2508">
      <c r="M2508" s="11">
        <f>B2508+30</f>
        <v/>
      </c>
      <c r="N2508">
        <f>IF(L2508="", "", L2508-B2508)</f>
        <v/>
      </c>
      <c r="O2508">
        <f>IF(L2508="", "Pending", IF(N2508&lt;=30, "Met", "Breached"))</f>
        <v/>
      </c>
    </row>
    <row r="2509">
      <c r="M2509" s="11">
        <f>B2509+30</f>
        <v/>
      </c>
      <c r="N2509">
        <f>IF(L2509="", "", L2509-B2509)</f>
        <v/>
      </c>
      <c r="O2509">
        <f>IF(L2509="", "Pending", IF(N2509&lt;=30, "Met", "Breached"))</f>
        <v/>
      </c>
    </row>
    <row r="2510">
      <c r="M2510" s="11">
        <f>B2510+30</f>
        <v/>
      </c>
      <c r="N2510">
        <f>IF(L2510="", "", L2510-B2510)</f>
        <v/>
      </c>
      <c r="O2510">
        <f>IF(L2510="", "Pending", IF(N2510&lt;=30, "Met", "Breached"))</f>
        <v/>
      </c>
    </row>
    <row r="2511">
      <c r="M2511" s="11">
        <f>B2511+30</f>
        <v/>
      </c>
      <c r="N2511">
        <f>IF(L2511="", "", L2511-B2511)</f>
        <v/>
      </c>
      <c r="O2511">
        <f>IF(L2511="", "Pending", IF(N2511&lt;=30, "Met", "Breached"))</f>
        <v/>
      </c>
    </row>
    <row r="2512">
      <c r="M2512" s="11">
        <f>B2512+30</f>
        <v/>
      </c>
      <c r="N2512">
        <f>IF(L2512="", "", L2512-B2512)</f>
        <v/>
      </c>
      <c r="O2512">
        <f>IF(L2512="", "Pending", IF(N2512&lt;=30, "Met", "Breached"))</f>
        <v/>
      </c>
    </row>
    <row r="2513">
      <c r="M2513" s="11">
        <f>B2513+30</f>
        <v/>
      </c>
      <c r="N2513">
        <f>IF(L2513="", "", L2513-B2513)</f>
        <v/>
      </c>
      <c r="O2513">
        <f>IF(L2513="", "Pending", IF(N2513&lt;=30, "Met", "Breached"))</f>
        <v/>
      </c>
    </row>
    <row r="2514">
      <c r="M2514" s="11">
        <f>B2514+30</f>
        <v/>
      </c>
      <c r="N2514">
        <f>IF(L2514="", "", L2514-B2514)</f>
        <v/>
      </c>
      <c r="O2514">
        <f>IF(L2514="", "Pending", IF(N2514&lt;=30, "Met", "Breached"))</f>
        <v/>
      </c>
    </row>
    <row r="2515">
      <c r="M2515" s="11">
        <f>B2515+30</f>
        <v/>
      </c>
      <c r="N2515">
        <f>IF(L2515="", "", L2515-B2515)</f>
        <v/>
      </c>
      <c r="O2515">
        <f>IF(L2515="", "Pending", IF(N2515&lt;=30, "Met", "Breached"))</f>
        <v/>
      </c>
    </row>
    <row r="2516">
      <c r="M2516" s="11">
        <f>B2516+30</f>
        <v/>
      </c>
      <c r="N2516">
        <f>IF(L2516="", "", L2516-B2516)</f>
        <v/>
      </c>
      <c r="O2516">
        <f>IF(L2516="", "Pending", IF(N2516&lt;=30, "Met", "Breached"))</f>
        <v/>
      </c>
    </row>
    <row r="2517">
      <c r="M2517" s="11">
        <f>B2517+30</f>
        <v/>
      </c>
      <c r="N2517">
        <f>IF(L2517="", "", L2517-B2517)</f>
        <v/>
      </c>
      <c r="O2517">
        <f>IF(L2517="", "Pending", IF(N2517&lt;=30, "Met", "Breached"))</f>
        <v/>
      </c>
    </row>
    <row r="2518">
      <c r="M2518" s="11">
        <f>B2518+30</f>
        <v/>
      </c>
      <c r="N2518">
        <f>IF(L2518="", "", L2518-B2518)</f>
        <v/>
      </c>
      <c r="O2518">
        <f>IF(L2518="", "Pending", IF(N2518&lt;=30, "Met", "Breached"))</f>
        <v/>
      </c>
    </row>
    <row r="2519">
      <c r="M2519" s="11">
        <f>B2519+30</f>
        <v/>
      </c>
      <c r="N2519">
        <f>IF(L2519="", "", L2519-B2519)</f>
        <v/>
      </c>
      <c r="O2519">
        <f>IF(L2519="", "Pending", IF(N2519&lt;=30, "Met", "Breached"))</f>
        <v/>
      </c>
    </row>
    <row r="2520">
      <c r="M2520" s="11">
        <f>B2520+30</f>
        <v/>
      </c>
      <c r="N2520">
        <f>IF(L2520="", "", L2520-B2520)</f>
        <v/>
      </c>
      <c r="O2520">
        <f>IF(L2520="", "Pending", IF(N2520&lt;=30, "Met", "Breached"))</f>
        <v/>
      </c>
    </row>
    <row r="2521">
      <c r="M2521" s="11">
        <f>B2521+30</f>
        <v/>
      </c>
      <c r="N2521">
        <f>IF(L2521="", "", L2521-B2521)</f>
        <v/>
      </c>
      <c r="O2521">
        <f>IF(L2521="", "Pending", IF(N2521&lt;=30, "Met", "Breached"))</f>
        <v/>
      </c>
    </row>
    <row r="2522">
      <c r="M2522" s="11">
        <f>B2522+30</f>
        <v/>
      </c>
      <c r="N2522">
        <f>IF(L2522="", "", L2522-B2522)</f>
        <v/>
      </c>
      <c r="O2522">
        <f>IF(L2522="", "Pending", IF(N2522&lt;=30, "Met", "Breached"))</f>
        <v/>
      </c>
    </row>
    <row r="2523">
      <c r="M2523" s="11">
        <f>B2523+30</f>
        <v/>
      </c>
      <c r="N2523">
        <f>IF(L2523="", "", L2523-B2523)</f>
        <v/>
      </c>
      <c r="O2523">
        <f>IF(L2523="", "Pending", IF(N2523&lt;=30, "Met", "Breached"))</f>
        <v/>
      </c>
    </row>
    <row r="2524">
      <c r="M2524" s="11">
        <f>B2524+30</f>
        <v/>
      </c>
      <c r="N2524">
        <f>IF(L2524="", "", L2524-B2524)</f>
        <v/>
      </c>
      <c r="O2524">
        <f>IF(L2524="", "Pending", IF(N2524&lt;=30, "Met", "Breached"))</f>
        <v/>
      </c>
    </row>
    <row r="2525">
      <c r="M2525" s="11">
        <f>B2525+30</f>
        <v/>
      </c>
      <c r="N2525">
        <f>IF(L2525="", "", L2525-B2525)</f>
        <v/>
      </c>
      <c r="O2525">
        <f>IF(L2525="", "Pending", IF(N2525&lt;=30, "Met", "Breached"))</f>
        <v/>
      </c>
    </row>
    <row r="2526">
      <c r="M2526" s="11">
        <f>B2526+30</f>
        <v/>
      </c>
      <c r="N2526">
        <f>IF(L2526="", "", L2526-B2526)</f>
        <v/>
      </c>
      <c r="O2526">
        <f>IF(L2526="", "Pending", IF(N2526&lt;=30, "Met", "Breached"))</f>
        <v/>
      </c>
    </row>
    <row r="2527">
      <c r="M2527" s="11">
        <f>B2527+30</f>
        <v/>
      </c>
      <c r="N2527">
        <f>IF(L2527="", "", L2527-B2527)</f>
        <v/>
      </c>
      <c r="O2527">
        <f>IF(L2527="", "Pending", IF(N2527&lt;=30, "Met", "Breached"))</f>
        <v/>
      </c>
    </row>
    <row r="2528">
      <c r="M2528" s="11">
        <f>B2528+30</f>
        <v/>
      </c>
      <c r="N2528">
        <f>IF(L2528="", "", L2528-B2528)</f>
        <v/>
      </c>
      <c r="O2528">
        <f>IF(L2528="", "Pending", IF(N2528&lt;=30, "Met", "Breached"))</f>
        <v/>
      </c>
    </row>
    <row r="2529">
      <c r="M2529" s="11">
        <f>B2529+30</f>
        <v/>
      </c>
      <c r="N2529">
        <f>IF(L2529="", "", L2529-B2529)</f>
        <v/>
      </c>
      <c r="O2529">
        <f>IF(L2529="", "Pending", IF(N2529&lt;=30, "Met", "Breached"))</f>
        <v/>
      </c>
    </row>
    <row r="2530">
      <c r="M2530" s="11">
        <f>B2530+30</f>
        <v/>
      </c>
      <c r="N2530">
        <f>IF(L2530="", "", L2530-B2530)</f>
        <v/>
      </c>
      <c r="O2530">
        <f>IF(L2530="", "Pending", IF(N2530&lt;=30, "Met", "Breached"))</f>
        <v/>
      </c>
    </row>
    <row r="2531">
      <c r="M2531" s="11">
        <f>B2531+30</f>
        <v/>
      </c>
      <c r="N2531">
        <f>IF(L2531="", "", L2531-B2531)</f>
        <v/>
      </c>
      <c r="O2531">
        <f>IF(L2531="", "Pending", IF(N2531&lt;=30, "Met", "Breached"))</f>
        <v/>
      </c>
    </row>
    <row r="2532">
      <c r="M2532" s="11">
        <f>B2532+30</f>
        <v/>
      </c>
      <c r="N2532">
        <f>IF(L2532="", "", L2532-B2532)</f>
        <v/>
      </c>
      <c r="O2532">
        <f>IF(L2532="", "Pending", IF(N2532&lt;=30, "Met", "Breached"))</f>
        <v/>
      </c>
    </row>
    <row r="2533">
      <c r="M2533" s="11">
        <f>B2533+30</f>
        <v/>
      </c>
      <c r="N2533">
        <f>IF(L2533="", "", L2533-B2533)</f>
        <v/>
      </c>
      <c r="O2533">
        <f>IF(L2533="", "Pending", IF(N2533&lt;=30, "Met", "Breached"))</f>
        <v/>
      </c>
    </row>
    <row r="2534">
      <c r="M2534" s="11">
        <f>B2534+30</f>
        <v/>
      </c>
      <c r="N2534">
        <f>IF(L2534="", "", L2534-B2534)</f>
        <v/>
      </c>
      <c r="O2534">
        <f>IF(L2534="", "Pending", IF(N2534&lt;=30, "Met", "Breached"))</f>
        <v/>
      </c>
    </row>
    <row r="2535">
      <c r="M2535" s="11">
        <f>B2535+30</f>
        <v/>
      </c>
      <c r="N2535">
        <f>IF(L2535="", "", L2535-B2535)</f>
        <v/>
      </c>
      <c r="O2535">
        <f>IF(L2535="", "Pending", IF(N2535&lt;=30, "Met", "Breached"))</f>
        <v/>
      </c>
    </row>
    <row r="2536">
      <c r="M2536" s="11">
        <f>B2536+30</f>
        <v/>
      </c>
      <c r="N2536">
        <f>IF(L2536="", "", L2536-B2536)</f>
        <v/>
      </c>
      <c r="O2536">
        <f>IF(L2536="", "Pending", IF(N2536&lt;=30, "Met", "Breached"))</f>
        <v/>
      </c>
    </row>
    <row r="2537">
      <c r="M2537" s="11">
        <f>B2537+30</f>
        <v/>
      </c>
      <c r="N2537">
        <f>IF(L2537="", "", L2537-B2537)</f>
        <v/>
      </c>
      <c r="O2537">
        <f>IF(L2537="", "Pending", IF(N2537&lt;=30, "Met", "Breached"))</f>
        <v/>
      </c>
    </row>
    <row r="2538">
      <c r="M2538" s="11">
        <f>B2538+30</f>
        <v/>
      </c>
      <c r="N2538">
        <f>IF(L2538="", "", L2538-B2538)</f>
        <v/>
      </c>
      <c r="O2538">
        <f>IF(L2538="", "Pending", IF(N2538&lt;=30, "Met", "Breached"))</f>
        <v/>
      </c>
    </row>
    <row r="2539">
      <c r="M2539" s="11">
        <f>B2539+30</f>
        <v/>
      </c>
      <c r="N2539">
        <f>IF(L2539="", "", L2539-B2539)</f>
        <v/>
      </c>
      <c r="O2539">
        <f>IF(L2539="", "Pending", IF(N2539&lt;=30, "Met", "Breached"))</f>
        <v/>
      </c>
    </row>
    <row r="2540">
      <c r="M2540" s="11">
        <f>B2540+30</f>
        <v/>
      </c>
      <c r="N2540">
        <f>IF(L2540="", "", L2540-B2540)</f>
        <v/>
      </c>
      <c r="O2540">
        <f>IF(L2540="", "Pending", IF(N2540&lt;=30, "Met", "Breached"))</f>
        <v/>
      </c>
    </row>
    <row r="2541">
      <c r="M2541" s="11">
        <f>B2541+30</f>
        <v/>
      </c>
      <c r="N2541">
        <f>IF(L2541="", "", L2541-B2541)</f>
        <v/>
      </c>
      <c r="O2541">
        <f>IF(L2541="", "Pending", IF(N2541&lt;=30, "Met", "Breached"))</f>
        <v/>
      </c>
    </row>
    <row r="2542">
      <c r="M2542" s="11">
        <f>B2542+30</f>
        <v/>
      </c>
      <c r="N2542">
        <f>IF(L2542="", "", L2542-B2542)</f>
        <v/>
      </c>
      <c r="O2542">
        <f>IF(L2542="", "Pending", IF(N2542&lt;=30, "Met", "Breached"))</f>
        <v/>
      </c>
    </row>
    <row r="2543">
      <c r="M2543" s="11">
        <f>B2543+30</f>
        <v/>
      </c>
      <c r="N2543">
        <f>IF(L2543="", "", L2543-B2543)</f>
        <v/>
      </c>
      <c r="O2543">
        <f>IF(L2543="", "Pending", IF(N2543&lt;=30, "Met", "Breached"))</f>
        <v/>
      </c>
    </row>
    <row r="2544">
      <c r="M2544" s="11">
        <f>B2544+30</f>
        <v/>
      </c>
      <c r="N2544">
        <f>IF(L2544="", "", L2544-B2544)</f>
        <v/>
      </c>
      <c r="O2544">
        <f>IF(L2544="", "Pending", IF(N2544&lt;=30, "Met", "Breached"))</f>
        <v/>
      </c>
    </row>
    <row r="2545">
      <c r="M2545" s="11">
        <f>B2545+30</f>
        <v/>
      </c>
      <c r="N2545">
        <f>IF(L2545="", "", L2545-B2545)</f>
        <v/>
      </c>
      <c r="O2545">
        <f>IF(L2545="", "Pending", IF(N2545&lt;=30, "Met", "Breached"))</f>
        <v/>
      </c>
    </row>
    <row r="2546">
      <c r="M2546" s="11">
        <f>B2546+30</f>
        <v/>
      </c>
      <c r="N2546">
        <f>IF(L2546="", "", L2546-B2546)</f>
        <v/>
      </c>
      <c r="O2546">
        <f>IF(L2546="", "Pending", IF(N2546&lt;=30, "Met", "Breached"))</f>
        <v/>
      </c>
    </row>
    <row r="2547">
      <c r="M2547" s="11">
        <f>B2547+30</f>
        <v/>
      </c>
      <c r="N2547">
        <f>IF(L2547="", "", L2547-B2547)</f>
        <v/>
      </c>
      <c r="O2547">
        <f>IF(L2547="", "Pending", IF(N2547&lt;=30, "Met", "Breached"))</f>
        <v/>
      </c>
    </row>
    <row r="2548">
      <c r="M2548" s="11">
        <f>B2548+30</f>
        <v/>
      </c>
      <c r="N2548">
        <f>IF(L2548="", "", L2548-B2548)</f>
        <v/>
      </c>
      <c r="O2548">
        <f>IF(L2548="", "Pending", IF(N2548&lt;=30, "Met", "Breached"))</f>
        <v/>
      </c>
    </row>
    <row r="2549">
      <c r="M2549" s="11">
        <f>B2549+30</f>
        <v/>
      </c>
      <c r="N2549">
        <f>IF(L2549="", "", L2549-B2549)</f>
        <v/>
      </c>
      <c r="O2549">
        <f>IF(L2549="", "Pending", IF(N2549&lt;=30, "Met", "Breached"))</f>
        <v/>
      </c>
    </row>
    <row r="2550">
      <c r="M2550" s="11">
        <f>B2550+30</f>
        <v/>
      </c>
      <c r="N2550">
        <f>IF(L2550="", "", L2550-B2550)</f>
        <v/>
      </c>
      <c r="O2550">
        <f>IF(L2550="", "Pending", IF(N2550&lt;=30, "Met", "Breached"))</f>
        <v/>
      </c>
    </row>
    <row r="2551">
      <c r="M2551" s="11">
        <f>B2551+30</f>
        <v/>
      </c>
      <c r="N2551">
        <f>IF(L2551="", "", L2551-B2551)</f>
        <v/>
      </c>
      <c r="O2551">
        <f>IF(L2551="", "Pending", IF(N2551&lt;=30, "Met", "Breached"))</f>
        <v/>
      </c>
    </row>
    <row r="2552">
      <c r="M2552" s="11">
        <f>B2552+30</f>
        <v/>
      </c>
      <c r="N2552">
        <f>IF(L2552="", "", L2552-B2552)</f>
        <v/>
      </c>
      <c r="O2552">
        <f>IF(L2552="", "Pending", IF(N2552&lt;=30, "Met", "Breached"))</f>
        <v/>
      </c>
    </row>
    <row r="2553">
      <c r="M2553" s="11">
        <f>B2553+30</f>
        <v/>
      </c>
      <c r="N2553">
        <f>IF(L2553="", "", L2553-B2553)</f>
        <v/>
      </c>
      <c r="O2553">
        <f>IF(L2553="", "Pending", IF(N2553&lt;=30, "Met", "Breached"))</f>
        <v/>
      </c>
    </row>
    <row r="2554">
      <c r="M2554" s="11">
        <f>B2554+30</f>
        <v/>
      </c>
      <c r="N2554">
        <f>IF(L2554="", "", L2554-B2554)</f>
        <v/>
      </c>
      <c r="O2554">
        <f>IF(L2554="", "Pending", IF(N2554&lt;=30, "Met", "Breached"))</f>
        <v/>
      </c>
    </row>
    <row r="2555">
      <c r="M2555" s="11">
        <f>B2555+30</f>
        <v/>
      </c>
      <c r="N2555">
        <f>IF(L2555="", "", L2555-B2555)</f>
        <v/>
      </c>
      <c r="O2555">
        <f>IF(L2555="", "Pending", IF(N2555&lt;=30, "Met", "Breached"))</f>
        <v/>
      </c>
    </row>
    <row r="2556">
      <c r="M2556" s="11">
        <f>B2556+30</f>
        <v/>
      </c>
      <c r="N2556">
        <f>IF(L2556="", "", L2556-B2556)</f>
        <v/>
      </c>
      <c r="O2556">
        <f>IF(L2556="", "Pending", IF(N2556&lt;=30, "Met", "Breached"))</f>
        <v/>
      </c>
    </row>
    <row r="2557">
      <c r="M2557" s="11">
        <f>B2557+30</f>
        <v/>
      </c>
      <c r="N2557">
        <f>IF(L2557="", "", L2557-B2557)</f>
        <v/>
      </c>
      <c r="O2557">
        <f>IF(L2557="", "Pending", IF(N2557&lt;=30, "Met", "Breached"))</f>
        <v/>
      </c>
    </row>
    <row r="2558">
      <c r="M2558" s="11">
        <f>B2558+30</f>
        <v/>
      </c>
      <c r="N2558">
        <f>IF(L2558="", "", L2558-B2558)</f>
        <v/>
      </c>
      <c r="O2558">
        <f>IF(L2558="", "Pending", IF(N2558&lt;=30, "Met", "Breached"))</f>
        <v/>
      </c>
    </row>
    <row r="2559">
      <c r="M2559" s="11">
        <f>B2559+30</f>
        <v/>
      </c>
      <c r="N2559">
        <f>IF(L2559="", "", L2559-B2559)</f>
        <v/>
      </c>
      <c r="O2559">
        <f>IF(L2559="", "Pending", IF(N2559&lt;=30, "Met", "Breached"))</f>
        <v/>
      </c>
    </row>
    <row r="2560">
      <c r="M2560" s="11">
        <f>B2560+30</f>
        <v/>
      </c>
      <c r="N2560">
        <f>IF(L2560="", "", L2560-B2560)</f>
        <v/>
      </c>
      <c r="O2560">
        <f>IF(L2560="", "Pending", IF(N2560&lt;=30, "Met", "Breached"))</f>
        <v/>
      </c>
    </row>
    <row r="2561">
      <c r="M2561" s="11">
        <f>B2561+30</f>
        <v/>
      </c>
      <c r="N2561">
        <f>IF(L2561="", "", L2561-B2561)</f>
        <v/>
      </c>
      <c r="O2561">
        <f>IF(L2561="", "Pending", IF(N2561&lt;=30, "Met", "Breached"))</f>
        <v/>
      </c>
    </row>
    <row r="2562">
      <c r="M2562" s="11">
        <f>B2562+30</f>
        <v/>
      </c>
      <c r="N2562">
        <f>IF(L2562="", "", L2562-B2562)</f>
        <v/>
      </c>
      <c r="O2562">
        <f>IF(L2562="", "Pending", IF(N2562&lt;=30, "Met", "Breached"))</f>
        <v/>
      </c>
    </row>
    <row r="2563">
      <c r="M2563" s="11">
        <f>B2563+30</f>
        <v/>
      </c>
      <c r="N2563">
        <f>IF(L2563="", "", L2563-B2563)</f>
        <v/>
      </c>
      <c r="O2563">
        <f>IF(L2563="", "Pending", IF(N2563&lt;=30, "Met", "Breached"))</f>
        <v/>
      </c>
    </row>
    <row r="2564">
      <c r="M2564" s="11">
        <f>B2564+30</f>
        <v/>
      </c>
      <c r="N2564">
        <f>IF(L2564="", "", L2564-B2564)</f>
        <v/>
      </c>
      <c r="O2564">
        <f>IF(L2564="", "Pending", IF(N2564&lt;=30, "Met", "Breached"))</f>
        <v/>
      </c>
    </row>
    <row r="2565">
      <c r="M2565" s="11">
        <f>B2565+30</f>
        <v/>
      </c>
      <c r="N2565">
        <f>IF(L2565="", "", L2565-B2565)</f>
        <v/>
      </c>
      <c r="O2565">
        <f>IF(L2565="", "Pending", IF(N2565&lt;=30, "Met", "Breached"))</f>
        <v/>
      </c>
    </row>
    <row r="2566">
      <c r="M2566" s="11">
        <f>B2566+30</f>
        <v/>
      </c>
      <c r="N2566">
        <f>IF(L2566="", "", L2566-B2566)</f>
        <v/>
      </c>
      <c r="O2566">
        <f>IF(L2566="", "Pending", IF(N2566&lt;=30, "Met", "Breached"))</f>
        <v/>
      </c>
    </row>
    <row r="2567">
      <c r="M2567" s="11">
        <f>B2567+30</f>
        <v/>
      </c>
      <c r="N2567">
        <f>IF(L2567="", "", L2567-B2567)</f>
        <v/>
      </c>
      <c r="O2567">
        <f>IF(L2567="", "Pending", IF(N2567&lt;=30, "Met", "Breached"))</f>
        <v/>
      </c>
    </row>
    <row r="2568">
      <c r="M2568" s="11">
        <f>B2568+30</f>
        <v/>
      </c>
      <c r="N2568">
        <f>IF(L2568="", "", L2568-B2568)</f>
        <v/>
      </c>
      <c r="O2568">
        <f>IF(L2568="", "Pending", IF(N2568&lt;=30, "Met", "Breached"))</f>
        <v/>
      </c>
    </row>
    <row r="2569">
      <c r="M2569" s="11">
        <f>B2569+30</f>
        <v/>
      </c>
      <c r="N2569">
        <f>IF(L2569="", "", L2569-B2569)</f>
        <v/>
      </c>
      <c r="O2569">
        <f>IF(L2569="", "Pending", IF(N2569&lt;=30, "Met", "Breached"))</f>
        <v/>
      </c>
    </row>
    <row r="2570">
      <c r="M2570" s="11">
        <f>B2570+30</f>
        <v/>
      </c>
      <c r="N2570">
        <f>IF(L2570="", "", L2570-B2570)</f>
        <v/>
      </c>
      <c r="O2570">
        <f>IF(L2570="", "Pending", IF(N2570&lt;=30, "Met", "Breached"))</f>
        <v/>
      </c>
    </row>
    <row r="2571">
      <c r="M2571" s="11">
        <f>B2571+30</f>
        <v/>
      </c>
      <c r="N2571">
        <f>IF(L2571="", "", L2571-B2571)</f>
        <v/>
      </c>
      <c r="O2571">
        <f>IF(L2571="", "Pending", IF(N2571&lt;=30, "Met", "Breached"))</f>
        <v/>
      </c>
    </row>
    <row r="2572">
      <c r="M2572" s="11">
        <f>B2572+30</f>
        <v/>
      </c>
      <c r="N2572">
        <f>IF(L2572="", "", L2572-B2572)</f>
        <v/>
      </c>
      <c r="O2572">
        <f>IF(L2572="", "Pending", IF(N2572&lt;=30, "Met", "Breached"))</f>
        <v/>
      </c>
    </row>
    <row r="2573">
      <c r="M2573" s="11">
        <f>B2573+30</f>
        <v/>
      </c>
      <c r="N2573">
        <f>IF(L2573="", "", L2573-B2573)</f>
        <v/>
      </c>
      <c r="O2573">
        <f>IF(L2573="", "Pending", IF(N2573&lt;=30, "Met", "Breached"))</f>
        <v/>
      </c>
    </row>
    <row r="2574">
      <c r="M2574" s="11">
        <f>B2574+30</f>
        <v/>
      </c>
      <c r="N2574">
        <f>IF(L2574="", "", L2574-B2574)</f>
        <v/>
      </c>
      <c r="O2574">
        <f>IF(L2574="", "Pending", IF(N2574&lt;=30, "Met", "Breached"))</f>
        <v/>
      </c>
    </row>
    <row r="2575">
      <c r="M2575" s="11">
        <f>B2575+30</f>
        <v/>
      </c>
      <c r="N2575">
        <f>IF(L2575="", "", L2575-B2575)</f>
        <v/>
      </c>
      <c r="O2575">
        <f>IF(L2575="", "Pending", IF(N2575&lt;=30, "Met", "Breached"))</f>
        <v/>
      </c>
    </row>
    <row r="2576">
      <c r="M2576" s="11">
        <f>B2576+30</f>
        <v/>
      </c>
      <c r="N2576">
        <f>IF(L2576="", "", L2576-B2576)</f>
        <v/>
      </c>
      <c r="O2576">
        <f>IF(L2576="", "Pending", IF(N2576&lt;=30, "Met", "Breached"))</f>
        <v/>
      </c>
    </row>
    <row r="2577">
      <c r="M2577" s="11">
        <f>B2577+30</f>
        <v/>
      </c>
      <c r="N2577">
        <f>IF(L2577="", "", L2577-B2577)</f>
        <v/>
      </c>
      <c r="O2577">
        <f>IF(L2577="", "Pending", IF(N2577&lt;=30, "Met", "Breached"))</f>
        <v/>
      </c>
    </row>
    <row r="2578">
      <c r="M2578" s="11">
        <f>B2578+30</f>
        <v/>
      </c>
      <c r="N2578">
        <f>IF(L2578="", "", L2578-B2578)</f>
        <v/>
      </c>
      <c r="O2578">
        <f>IF(L2578="", "Pending", IF(N2578&lt;=30, "Met", "Breached"))</f>
        <v/>
      </c>
    </row>
    <row r="2579">
      <c r="M2579" s="11">
        <f>B2579+30</f>
        <v/>
      </c>
      <c r="N2579">
        <f>IF(L2579="", "", L2579-B2579)</f>
        <v/>
      </c>
      <c r="O2579">
        <f>IF(L2579="", "Pending", IF(N2579&lt;=30, "Met", "Breached"))</f>
        <v/>
      </c>
    </row>
    <row r="2580">
      <c r="M2580" s="11">
        <f>B2580+30</f>
        <v/>
      </c>
      <c r="N2580">
        <f>IF(L2580="", "", L2580-B2580)</f>
        <v/>
      </c>
      <c r="O2580">
        <f>IF(L2580="", "Pending", IF(N2580&lt;=30, "Met", "Breached"))</f>
        <v/>
      </c>
    </row>
    <row r="2581">
      <c r="M2581" s="11">
        <f>B2581+30</f>
        <v/>
      </c>
      <c r="N2581">
        <f>IF(L2581="", "", L2581-B2581)</f>
        <v/>
      </c>
      <c r="O2581">
        <f>IF(L2581="", "Pending", IF(N2581&lt;=30, "Met", "Breached"))</f>
        <v/>
      </c>
    </row>
    <row r="2582">
      <c r="M2582" s="11">
        <f>B2582+30</f>
        <v/>
      </c>
      <c r="N2582">
        <f>IF(L2582="", "", L2582-B2582)</f>
        <v/>
      </c>
      <c r="O2582">
        <f>IF(L2582="", "Pending", IF(N2582&lt;=30, "Met", "Breached"))</f>
        <v/>
      </c>
    </row>
    <row r="2583">
      <c r="M2583" s="11">
        <f>B2583+30</f>
        <v/>
      </c>
      <c r="N2583">
        <f>IF(L2583="", "", L2583-B2583)</f>
        <v/>
      </c>
      <c r="O2583">
        <f>IF(L2583="", "Pending", IF(N2583&lt;=30, "Met", "Breached"))</f>
        <v/>
      </c>
    </row>
    <row r="2584">
      <c r="M2584" s="11">
        <f>B2584+30</f>
        <v/>
      </c>
      <c r="N2584">
        <f>IF(L2584="", "", L2584-B2584)</f>
        <v/>
      </c>
      <c r="O2584">
        <f>IF(L2584="", "Pending", IF(N2584&lt;=30, "Met", "Breached"))</f>
        <v/>
      </c>
    </row>
    <row r="2585">
      <c r="M2585" s="11">
        <f>B2585+30</f>
        <v/>
      </c>
      <c r="N2585">
        <f>IF(L2585="", "", L2585-B2585)</f>
        <v/>
      </c>
      <c r="O2585">
        <f>IF(L2585="", "Pending", IF(N2585&lt;=30, "Met", "Breached"))</f>
        <v/>
      </c>
    </row>
    <row r="2586">
      <c r="M2586" s="11">
        <f>B2586+30</f>
        <v/>
      </c>
      <c r="N2586">
        <f>IF(L2586="", "", L2586-B2586)</f>
        <v/>
      </c>
      <c r="O2586">
        <f>IF(L2586="", "Pending", IF(N2586&lt;=30, "Met", "Breached"))</f>
        <v/>
      </c>
    </row>
    <row r="2587">
      <c r="M2587" s="11">
        <f>B2587+30</f>
        <v/>
      </c>
      <c r="N2587">
        <f>IF(L2587="", "", L2587-B2587)</f>
        <v/>
      </c>
      <c r="O2587">
        <f>IF(L2587="", "Pending", IF(N2587&lt;=30, "Met", "Breached"))</f>
        <v/>
      </c>
    </row>
    <row r="2588">
      <c r="M2588" s="11">
        <f>B2588+30</f>
        <v/>
      </c>
      <c r="N2588">
        <f>IF(L2588="", "", L2588-B2588)</f>
        <v/>
      </c>
      <c r="O2588">
        <f>IF(L2588="", "Pending", IF(N2588&lt;=30, "Met", "Breached"))</f>
        <v/>
      </c>
    </row>
    <row r="2589">
      <c r="M2589" s="11">
        <f>B2589+30</f>
        <v/>
      </c>
      <c r="N2589">
        <f>IF(L2589="", "", L2589-B2589)</f>
        <v/>
      </c>
      <c r="O2589">
        <f>IF(L2589="", "Pending", IF(N2589&lt;=30, "Met", "Breached"))</f>
        <v/>
      </c>
    </row>
    <row r="2590">
      <c r="M2590" s="11">
        <f>B2590+30</f>
        <v/>
      </c>
      <c r="N2590">
        <f>IF(L2590="", "", L2590-B2590)</f>
        <v/>
      </c>
      <c r="O2590">
        <f>IF(L2590="", "Pending", IF(N2590&lt;=30, "Met", "Breached"))</f>
        <v/>
      </c>
    </row>
    <row r="2591">
      <c r="M2591" s="11">
        <f>B2591+30</f>
        <v/>
      </c>
      <c r="N2591">
        <f>IF(L2591="", "", L2591-B2591)</f>
        <v/>
      </c>
      <c r="O2591">
        <f>IF(L2591="", "Pending", IF(N2591&lt;=30, "Met", "Breached"))</f>
        <v/>
      </c>
    </row>
    <row r="2592">
      <c r="M2592" s="11">
        <f>B2592+30</f>
        <v/>
      </c>
      <c r="N2592">
        <f>IF(L2592="", "", L2592-B2592)</f>
        <v/>
      </c>
      <c r="O2592">
        <f>IF(L2592="", "Pending", IF(N2592&lt;=30, "Met", "Breached"))</f>
        <v/>
      </c>
    </row>
    <row r="2593">
      <c r="M2593" s="11">
        <f>B2593+30</f>
        <v/>
      </c>
      <c r="N2593">
        <f>IF(L2593="", "", L2593-B2593)</f>
        <v/>
      </c>
      <c r="O2593">
        <f>IF(L2593="", "Pending", IF(N2593&lt;=30, "Met", "Breached"))</f>
        <v/>
      </c>
    </row>
    <row r="2594">
      <c r="M2594" s="11">
        <f>B2594+30</f>
        <v/>
      </c>
      <c r="N2594">
        <f>IF(L2594="", "", L2594-B2594)</f>
        <v/>
      </c>
      <c r="O2594">
        <f>IF(L2594="", "Pending", IF(N2594&lt;=30, "Met", "Breached"))</f>
        <v/>
      </c>
    </row>
    <row r="2595">
      <c r="M2595" s="11">
        <f>B2595+30</f>
        <v/>
      </c>
      <c r="N2595">
        <f>IF(L2595="", "", L2595-B2595)</f>
        <v/>
      </c>
      <c r="O2595">
        <f>IF(L2595="", "Pending", IF(N2595&lt;=30, "Met", "Breached"))</f>
        <v/>
      </c>
    </row>
    <row r="2596">
      <c r="M2596" s="11">
        <f>B2596+30</f>
        <v/>
      </c>
      <c r="N2596">
        <f>IF(L2596="", "", L2596-B2596)</f>
        <v/>
      </c>
      <c r="O2596">
        <f>IF(L2596="", "Pending", IF(N2596&lt;=30, "Met", "Breached"))</f>
        <v/>
      </c>
    </row>
    <row r="2597">
      <c r="M2597" s="11">
        <f>B2597+30</f>
        <v/>
      </c>
      <c r="N2597">
        <f>IF(L2597="", "", L2597-B2597)</f>
        <v/>
      </c>
      <c r="O2597">
        <f>IF(L2597="", "Pending", IF(N2597&lt;=30, "Met", "Breached"))</f>
        <v/>
      </c>
    </row>
    <row r="2598">
      <c r="M2598" s="11">
        <f>B2598+30</f>
        <v/>
      </c>
      <c r="N2598">
        <f>IF(L2598="", "", L2598-B2598)</f>
        <v/>
      </c>
      <c r="O2598">
        <f>IF(L2598="", "Pending", IF(N2598&lt;=30, "Met", "Breached"))</f>
        <v/>
      </c>
    </row>
    <row r="2599">
      <c r="M2599" s="11">
        <f>B2599+30</f>
        <v/>
      </c>
      <c r="N2599">
        <f>IF(L2599="", "", L2599-B2599)</f>
        <v/>
      </c>
      <c r="O2599">
        <f>IF(L2599="", "Pending", IF(N2599&lt;=30, "Met", "Breached"))</f>
        <v/>
      </c>
    </row>
    <row r="2600">
      <c r="M2600" s="11">
        <f>B2600+30</f>
        <v/>
      </c>
      <c r="N2600">
        <f>IF(L2600="", "", L2600-B2600)</f>
        <v/>
      </c>
      <c r="O2600">
        <f>IF(L2600="", "Pending", IF(N2600&lt;=30, "Met", "Breached"))</f>
        <v/>
      </c>
    </row>
    <row r="2601">
      <c r="M2601" s="11">
        <f>B2601+30</f>
        <v/>
      </c>
      <c r="N2601">
        <f>IF(L2601="", "", L2601-B2601)</f>
        <v/>
      </c>
      <c r="O2601">
        <f>IF(L2601="", "Pending", IF(N2601&lt;=30, "Met", "Breached"))</f>
        <v/>
      </c>
    </row>
    <row r="2602">
      <c r="M2602" s="11">
        <f>B2602+30</f>
        <v/>
      </c>
      <c r="N2602">
        <f>IF(L2602="", "", L2602-B2602)</f>
        <v/>
      </c>
      <c r="O2602">
        <f>IF(L2602="", "Pending", IF(N2602&lt;=30, "Met", "Breached"))</f>
        <v/>
      </c>
    </row>
    <row r="2603">
      <c r="M2603" s="11">
        <f>B2603+30</f>
        <v/>
      </c>
      <c r="N2603">
        <f>IF(L2603="", "", L2603-B2603)</f>
        <v/>
      </c>
      <c r="O2603">
        <f>IF(L2603="", "Pending", IF(N2603&lt;=30, "Met", "Breached"))</f>
        <v/>
      </c>
    </row>
    <row r="2604">
      <c r="M2604" s="11">
        <f>B2604+30</f>
        <v/>
      </c>
      <c r="N2604">
        <f>IF(L2604="", "", L2604-B2604)</f>
        <v/>
      </c>
      <c r="O2604">
        <f>IF(L2604="", "Pending", IF(N2604&lt;=30, "Met", "Breached"))</f>
        <v/>
      </c>
    </row>
    <row r="2605">
      <c r="M2605" s="11">
        <f>B2605+30</f>
        <v/>
      </c>
      <c r="N2605">
        <f>IF(L2605="", "", L2605-B2605)</f>
        <v/>
      </c>
      <c r="O2605">
        <f>IF(L2605="", "Pending", IF(N2605&lt;=30, "Met", "Breached"))</f>
        <v/>
      </c>
    </row>
    <row r="2606">
      <c r="M2606" s="11">
        <f>B2606+30</f>
        <v/>
      </c>
      <c r="N2606">
        <f>IF(L2606="", "", L2606-B2606)</f>
        <v/>
      </c>
      <c r="O2606">
        <f>IF(L2606="", "Pending", IF(N2606&lt;=30, "Met", "Breached"))</f>
        <v/>
      </c>
    </row>
    <row r="2607">
      <c r="M2607" s="11">
        <f>B2607+30</f>
        <v/>
      </c>
      <c r="N2607">
        <f>IF(L2607="", "", L2607-B2607)</f>
        <v/>
      </c>
      <c r="O2607">
        <f>IF(L2607="", "Pending", IF(N2607&lt;=30, "Met", "Breached"))</f>
        <v/>
      </c>
    </row>
    <row r="2608">
      <c r="M2608" s="11">
        <f>B2608+30</f>
        <v/>
      </c>
      <c r="N2608">
        <f>IF(L2608="", "", L2608-B2608)</f>
        <v/>
      </c>
      <c r="O2608">
        <f>IF(L2608="", "Pending", IF(N2608&lt;=30, "Met", "Breached"))</f>
        <v/>
      </c>
    </row>
    <row r="2609">
      <c r="M2609" s="11">
        <f>B2609+30</f>
        <v/>
      </c>
      <c r="N2609">
        <f>IF(L2609="", "", L2609-B2609)</f>
        <v/>
      </c>
      <c r="O2609">
        <f>IF(L2609="", "Pending", IF(N2609&lt;=30, "Met", "Breached"))</f>
        <v/>
      </c>
    </row>
    <row r="2610">
      <c r="M2610" s="11">
        <f>B2610+30</f>
        <v/>
      </c>
      <c r="N2610">
        <f>IF(L2610="", "", L2610-B2610)</f>
        <v/>
      </c>
      <c r="O2610">
        <f>IF(L2610="", "Pending", IF(N2610&lt;=30, "Met", "Breached"))</f>
        <v/>
      </c>
    </row>
    <row r="2611">
      <c r="M2611" s="11">
        <f>B2611+30</f>
        <v/>
      </c>
      <c r="N2611">
        <f>IF(L2611="", "", L2611-B2611)</f>
        <v/>
      </c>
      <c r="O2611">
        <f>IF(L2611="", "Pending", IF(N2611&lt;=30, "Met", "Breached"))</f>
        <v/>
      </c>
    </row>
    <row r="2612">
      <c r="M2612" s="11">
        <f>B2612+30</f>
        <v/>
      </c>
      <c r="N2612">
        <f>IF(L2612="", "", L2612-B2612)</f>
        <v/>
      </c>
      <c r="O2612">
        <f>IF(L2612="", "Pending", IF(N2612&lt;=30, "Met", "Breached"))</f>
        <v/>
      </c>
    </row>
    <row r="2613">
      <c r="M2613" s="11">
        <f>B2613+30</f>
        <v/>
      </c>
      <c r="N2613">
        <f>IF(L2613="", "", L2613-B2613)</f>
        <v/>
      </c>
      <c r="O2613">
        <f>IF(L2613="", "Pending", IF(N2613&lt;=30, "Met", "Breached"))</f>
        <v/>
      </c>
    </row>
    <row r="2614">
      <c r="M2614" s="11">
        <f>B2614+30</f>
        <v/>
      </c>
      <c r="N2614">
        <f>IF(L2614="", "", L2614-B2614)</f>
        <v/>
      </c>
      <c r="O2614">
        <f>IF(L2614="", "Pending", IF(N2614&lt;=30, "Met", "Breached"))</f>
        <v/>
      </c>
    </row>
    <row r="2615">
      <c r="M2615" s="11">
        <f>B2615+30</f>
        <v/>
      </c>
      <c r="N2615">
        <f>IF(L2615="", "", L2615-B2615)</f>
        <v/>
      </c>
      <c r="O2615">
        <f>IF(L2615="", "Pending", IF(N2615&lt;=30, "Met", "Breached"))</f>
        <v/>
      </c>
    </row>
    <row r="2616">
      <c r="M2616" s="11">
        <f>B2616+30</f>
        <v/>
      </c>
      <c r="N2616">
        <f>IF(L2616="", "", L2616-B2616)</f>
        <v/>
      </c>
      <c r="O2616">
        <f>IF(L2616="", "Pending", IF(N2616&lt;=30, "Met", "Breached"))</f>
        <v/>
      </c>
    </row>
    <row r="2617">
      <c r="M2617" s="11">
        <f>B2617+30</f>
        <v/>
      </c>
      <c r="N2617">
        <f>IF(L2617="", "", L2617-B2617)</f>
        <v/>
      </c>
      <c r="O2617">
        <f>IF(L2617="", "Pending", IF(N2617&lt;=30, "Met", "Breached"))</f>
        <v/>
      </c>
    </row>
    <row r="2618">
      <c r="M2618" s="11">
        <f>B2618+30</f>
        <v/>
      </c>
      <c r="N2618">
        <f>IF(L2618="", "", L2618-B2618)</f>
        <v/>
      </c>
      <c r="O2618">
        <f>IF(L2618="", "Pending", IF(N2618&lt;=30, "Met", "Breached"))</f>
        <v/>
      </c>
    </row>
    <row r="2619">
      <c r="M2619" s="11">
        <f>B2619+30</f>
        <v/>
      </c>
      <c r="N2619">
        <f>IF(L2619="", "", L2619-B2619)</f>
        <v/>
      </c>
      <c r="O2619">
        <f>IF(L2619="", "Pending", IF(N2619&lt;=30, "Met", "Breached"))</f>
        <v/>
      </c>
    </row>
    <row r="2620">
      <c r="M2620" s="11">
        <f>B2620+30</f>
        <v/>
      </c>
      <c r="N2620">
        <f>IF(L2620="", "", L2620-B2620)</f>
        <v/>
      </c>
      <c r="O2620">
        <f>IF(L2620="", "Pending", IF(N2620&lt;=30, "Met", "Breached"))</f>
        <v/>
      </c>
    </row>
    <row r="2621">
      <c r="M2621" s="11">
        <f>B2621+30</f>
        <v/>
      </c>
      <c r="N2621">
        <f>IF(L2621="", "", L2621-B2621)</f>
        <v/>
      </c>
      <c r="O2621">
        <f>IF(L2621="", "Pending", IF(N2621&lt;=30, "Met", "Breached"))</f>
        <v/>
      </c>
    </row>
    <row r="2622">
      <c r="M2622" s="11">
        <f>B2622+30</f>
        <v/>
      </c>
      <c r="N2622">
        <f>IF(L2622="", "", L2622-B2622)</f>
        <v/>
      </c>
      <c r="O2622">
        <f>IF(L2622="", "Pending", IF(N2622&lt;=30, "Met", "Breached"))</f>
        <v/>
      </c>
    </row>
    <row r="2623">
      <c r="M2623" s="11">
        <f>B2623+30</f>
        <v/>
      </c>
      <c r="N2623">
        <f>IF(L2623="", "", L2623-B2623)</f>
        <v/>
      </c>
      <c r="O2623">
        <f>IF(L2623="", "Pending", IF(N2623&lt;=30, "Met", "Breached"))</f>
        <v/>
      </c>
    </row>
    <row r="2624">
      <c r="M2624" s="11">
        <f>B2624+30</f>
        <v/>
      </c>
      <c r="N2624">
        <f>IF(L2624="", "", L2624-B2624)</f>
        <v/>
      </c>
      <c r="O2624">
        <f>IF(L2624="", "Pending", IF(N2624&lt;=30, "Met", "Breached"))</f>
        <v/>
      </c>
    </row>
    <row r="2625">
      <c r="M2625" s="11">
        <f>B2625+30</f>
        <v/>
      </c>
      <c r="N2625">
        <f>IF(L2625="", "", L2625-B2625)</f>
        <v/>
      </c>
      <c r="O2625">
        <f>IF(L2625="", "Pending", IF(N2625&lt;=30, "Met", "Breached"))</f>
        <v/>
      </c>
    </row>
    <row r="2626">
      <c r="M2626" s="11">
        <f>B2626+30</f>
        <v/>
      </c>
      <c r="N2626">
        <f>IF(L2626="", "", L2626-B2626)</f>
        <v/>
      </c>
      <c r="O2626">
        <f>IF(L2626="", "Pending", IF(N2626&lt;=30, "Met", "Breached"))</f>
        <v/>
      </c>
    </row>
    <row r="2627">
      <c r="M2627" s="11">
        <f>B2627+30</f>
        <v/>
      </c>
      <c r="N2627">
        <f>IF(L2627="", "", L2627-B2627)</f>
        <v/>
      </c>
      <c r="O2627">
        <f>IF(L2627="", "Pending", IF(N2627&lt;=30, "Met", "Breached"))</f>
        <v/>
      </c>
    </row>
    <row r="2628">
      <c r="M2628" s="11">
        <f>B2628+30</f>
        <v/>
      </c>
      <c r="N2628">
        <f>IF(L2628="", "", L2628-B2628)</f>
        <v/>
      </c>
      <c r="O2628">
        <f>IF(L2628="", "Pending", IF(N2628&lt;=30, "Met", "Breached"))</f>
        <v/>
      </c>
    </row>
    <row r="2629">
      <c r="M2629" s="11">
        <f>B2629+30</f>
        <v/>
      </c>
      <c r="N2629">
        <f>IF(L2629="", "", L2629-B2629)</f>
        <v/>
      </c>
      <c r="O2629">
        <f>IF(L2629="", "Pending", IF(N2629&lt;=30, "Met", "Breached"))</f>
        <v/>
      </c>
    </row>
    <row r="2630">
      <c r="M2630" s="11">
        <f>B2630+30</f>
        <v/>
      </c>
      <c r="N2630">
        <f>IF(L2630="", "", L2630-B2630)</f>
        <v/>
      </c>
      <c r="O2630">
        <f>IF(L2630="", "Pending", IF(N2630&lt;=30, "Met", "Breached"))</f>
        <v/>
      </c>
    </row>
    <row r="2631">
      <c r="M2631" s="11">
        <f>B2631+30</f>
        <v/>
      </c>
      <c r="N2631">
        <f>IF(L2631="", "", L2631-B2631)</f>
        <v/>
      </c>
      <c r="O2631">
        <f>IF(L2631="", "Pending", IF(N2631&lt;=30, "Met", "Breached"))</f>
        <v/>
      </c>
    </row>
    <row r="2632">
      <c r="M2632" s="11">
        <f>B2632+30</f>
        <v/>
      </c>
      <c r="N2632">
        <f>IF(L2632="", "", L2632-B2632)</f>
        <v/>
      </c>
      <c r="O2632">
        <f>IF(L2632="", "Pending", IF(N2632&lt;=30, "Met", "Breached"))</f>
        <v/>
      </c>
    </row>
    <row r="2633">
      <c r="M2633" s="11">
        <f>B2633+30</f>
        <v/>
      </c>
      <c r="N2633">
        <f>IF(L2633="", "", L2633-B2633)</f>
        <v/>
      </c>
      <c r="O2633">
        <f>IF(L2633="", "Pending", IF(N2633&lt;=30, "Met", "Breached"))</f>
        <v/>
      </c>
    </row>
    <row r="2634">
      <c r="M2634" s="11">
        <f>B2634+30</f>
        <v/>
      </c>
      <c r="N2634">
        <f>IF(L2634="", "", L2634-B2634)</f>
        <v/>
      </c>
      <c r="O2634">
        <f>IF(L2634="", "Pending", IF(N2634&lt;=30, "Met", "Breached"))</f>
        <v/>
      </c>
    </row>
    <row r="2635">
      <c r="M2635" s="11">
        <f>B2635+30</f>
        <v/>
      </c>
      <c r="N2635">
        <f>IF(L2635="", "", L2635-B2635)</f>
        <v/>
      </c>
      <c r="O2635">
        <f>IF(L2635="", "Pending", IF(N2635&lt;=30, "Met", "Breached"))</f>
        <v/>
      </c>
    </row>
    <row r="2636">
      <c r="M2636" s="11">
        <f>B2636+30</f>
        <v/>
      </c>
      <c r="N2636">
        <f>IF(L2636="", "", L2636-B2636)</f>
        <v/>
      </c>
      <c r="O2636">
        <f>IF(L2636="", "Pending", IF(N2636&lt;=30, "Met", "Breached"))</f>
        <v/>
      </c>
    </row>
    <row r="2637">
      <c r="M2637" s="11">
        <f>B2637+30</f>
        <v/>
      </c>
      <c r="N2637">
        <f>IF(L2637="", "", L2637-B2637)</f>
        <v/>
      </c>
      <c r="O2637">
        <f>IF(L2637="", "Pending", IF(N2637&lt;=30, "Met", "Breached"))</f>
        <v/>
      </c>
    </row>
    <row r="2638">
      <c r="M2638" s="11">
        <f>B2638+30</f>
        <v/>
      </c>
      <c r="N2638">
        <f>IF(L2638="", "", L2638-B2638)</f>
        <v/>
      </c>
      <c r="O2638">
        <f>IF(L2638="", "Pending", IF(N2638&lt;=30, "Met", "Breached"))</f>
        <v/>
      </c>
    </row>
    <row r="2639">
      <c r="M2639" s="11">
        <f>B2639+30</f>
        <v/>
      </c>
      <c r="N2639">
        <f>IF(L2639="", "", L2639-B2639)</f>
        <v/>
      </c>
      <c r="O2639">
        <f>IF(L2639="", "Pending", IF(N2639&lt;=30, "Met", "Breached"))</f>
        <v/>
      </c>
    </row>
    <row r="2640">
      <c r="M2640" s="11">
        <f>B2640+30</f>
        <v/>
      </c>
      <c r="N2640">
        <f>IF(L2640="", "", L2640-B2640)</f>
        <v/>
      </c>
      <c r="O2640">
        <f>IF(L2640="", "Pending", IF(N2640&lt;=30, "Met", "Breached"))</f>
        <v/>
      </c>
    </row>
    <row r="2641">
      <c r="M2641" s="11">
        <f>B2641+30</f>
        <v/>
      </c>
      <c r="N2641">
        <f>IF(L2641="", "", L2641-B2641)</f>
        <v/>
      </c>
      <c r="O2641">
        <f>IF(L2641="", "Pending", IF(N2641&lt;=30, "Met", "Breached"))</f>
        <v/>
      </c>
    </row>
    <row r="2642">
      <c r="M2642" s="11">
        <f>B2642+30</f>
        <v/>
      </c>
      <c r="N2642">
        <f>IF(L2642="", "", L2642-B2642)</f>
        <v/>
      </c>
      <c r="O2642">
        <f>IF(L2642="", "Pending", IF(N2642&lt;=30, "Met", "Breached"))</f>
        <v/>
      </c>
    </row>
    <row r="2643">
      <c r="M2643" s="11">
        <f>B2643+30</f>
        <v/>
      </c>
      <c r="N2643">
        <f>IF(L2643="", "", L2643-B2643)</f>
        <v/>
      </c>
      <c r="O2643">
        <f>IF(L2643="", "Pending", IF(N2643&lt;=30, "Met", "Breached"))</f>
        <v/>
      </c>
    </row>
    <row r="2644">
      <c r="M2644" s="11">
        <f>B2644+30</f>
        <v/>
      </c>
      <c r="N2644">
        <f>IF(L2644="", "", L2644-B2644)</f>
        <v/>
      </c>
      <c r="O2644">
        <f>IF(L2644="", "Pending", IF(N2644&lt;=30, "Met", "Breached"))</f>
        <v/>
      </c>
    </row>
    <row r="2645">
      <c r="M2645" s="11">
        <f>B2645+30</f>
        <v/>
      </c>
      <c r="N2645">
        <f>IF(L2645="", "", L2645-B2645)</f>
        <v/>
      </c>
      <c r="O2645">
        <f>IF(L2645="", "Pending", IF(N2645&lt;=30, "Met", "Breached"))</f>
        <v/>
      </c>
    </row>
    <row r="2646">
      <c r="M2646" s="11">
        <f>B2646+30</f>
        <v/>
      </c>
      <c r="N2646">
        <f>IF(L2646="", "", L2646-B2646)</f>
        <v/>
      </c>
      <c r="O2646">
        <f>IF(L2646="", "Pending", IF(N2646&lt;=30, "Met", "Breached"))</f>
        <v/>
      </c>
    </row>
    <row r="2647">
      <c r="M2647" s="11">
        <f>B2647+30</f>
        <v/>
      </c>
      <c r="N2647">
        <f>IF(L2647="", "", L2647-B2647)</f>
        <v/>
      </c>
      <c r="O2647">
        <f>IF(L2647="", "Pending", IF(N2647&lt;=30, "Met", "Breached"))</f>
        <v/>
      </c>
    </row>
    <row r="2648">
      <c r="M2648" s="11">
        <f>B2648+30</f>
        <v/>
      </c>
      <c r="N2648">
        <f>IF(L2648="", "", L2648-B2648)</f>
        <v/>
      </c>
      <c r="O2648">
        <f>IF(L2648="", "Pending", IF(N2648&lt;=30, "Met", "Breached"))</f>
        <v/>
      </c>
    </row>
    <row r="2649">
      <c r="M2649" s="11">
        <f>B2649+30</f>
        <v/>
      </c>
      <c r="N2649">
        <f>IF(L2649="", "", L2649-B2649)</f>
        <v/>
      </c>
      <c r="O2649">
        <f>IF(L2649="", "Pending", IF(N2649&lt;=30, "Met", "Breached"))</f>
        <v/>
      </c>
    </row>
    <row r="2650">
      <c r="M2650" s="11">
        <f>B2650+30</f>
        <v/>
      </c>
      <c r="N2650">
        <f>IF(L2650="", "", L2650-B2650)</f>
        <v/>
      </c>
      <c r="O2650">
        <f>IF(L2650="", "Pending", IF(N2650&lt;=30, "Met", "Breached"))</f>
        <v/>
      </c>
    </row>
    <row r="2651">
      <c r="M2651" s="11">
        <f>B2651+30</f>
        <v/>
      </c>
      <c r="N2651">
        <f>IF(L2651="", "", L2651-B2651)</f>
        <v/>
      </c>
      <c r="O2651">
        <f>IF(L2651="", "Pending", IF(N2651&lt;=30, "Met", "Breached"))</f>
        <v/>
      </c>
    </row>
    <row r="2652">
      <c r="M2652" s="11">
        <f>B2652+30</f>
        <v/>
      </c>
      <c r="N2652">
        <f>IF(L2652="", "", L2652-B2652)</f>
        <v/>
      </c>
      <c r="O2652">
        <f>IF(L2652="", "Pending", IF(N2652&lt;=30, "Met", "Breached"))</f>
        <v/>
      </c>
    </row>
    <row r="2653">
      <c r="M2653" s="11">
        <f>B2653+30</f>
        <v/>
      </c>
      <c r="N2653">
        <f>IF(L2653="", "", L2653-B2653)</f>
        <v/>
      </c>
      <c r="O2653">
        <f>IF(L2653="", "Pending", IF(N2653&lt;=30, "Met", "Breached"))</f>
        <v/>
      </c>
    </row>
    <row r="2654">
      <c r="M2654" s="11">
        <f>B2654+30</f>
        <v/>
      </c>
      <c r="N2654">
        <f>IF(L2654="", "", L2654-B2654)</f>
        <v/>
      </c>
      <c r="O2654">
        <f>IF(L2654="", "Pending", IF(N2654&lt;=30, "Met", "Breached"))</f>
        <v/>
      </c>
    </row>
    <row r="2655">
      <c r="M2655" s="11">
        <f>B2655+30</f>
        <v/>
      </c>
      <c r="N2655">
        <f>IF(L2655="", "", L2655-B2655)</f>
        <v/>
      </c>
      <c r="O2655">
        <f>IF(L2655="", "Pending", IF(N2655&lt;=30, "Met", "Breached"))</f>
        <v/>
      </c>
    </row>
    <row r="2656">
      <c r="M2656" s="11">
        <f>B2656+30</f>
        <v/>
      </c>
      <c r="N2656">
        <f>IF(L2656="", "", L2656-B2656)</f>
        <v/>
      </c>
      <c r="O2656">
        <f>IF(L2656="", "Pending", IF(N2656&lt;=30, "Met", "Breached"))</f>
        <v/>
      </c>
    </row>
    <row r="2657">
      <c r="M2657" s="11">
        <f>B2657+30</f>
        <v/>
      </c>
      <c r="N2657">
        <f>IF(L2657="", "", L2657-B2657)</f>
        <v/>
      </c>
      <c r="O2657">
        <f>IF(L2657="", "Pending", IF(N2657&lt;=30, "Met", "Breached"))</f>
        <v/>
      </c>
    </row>
    <row r="2658">
      <c r="M2658" s="11">
        <f>B2658+30</f>
        <v/>
      </c>
      <c r="N2658">
        <f>IF(L2658="", "", L2658-B2658)</f>
        <v/>
      </c>
      <c r="O2658">
        <f>IF(L2658="", "Pending", IF(N2658&lt;=30, "Met", "Breached"))</f>
        <v/>
      </c>
    </row>
    <row r="2659">
      <c r="M2659" s="11">
        <f>B2659+30</f>
        <v/>
      </c>
      <c r="N2659">
        <f>IF(L2659="", "", L2659-B2659)</f>
        <v/>
      </c>
      <c r="O2659">
        <f>IF(L2659="", "Pending", IF(N2659&lt;=30, "Met", "Breached"))</f>
        <v/>
      </c>
    </row>
    <row r="2660">
      <c r="M2660" s="11">
        <f>B2660+30</f>
        <v/>
      </c>
      <c r="N2660">
        <f>IF(L2660="", "", L2660-B2660)</f>
        <v/>
      </c>
      <c r="O2660">
        <f>IF(L2660="", "Pending", IF(N2660&lt;=30, "Met", "Breached"))</f>
        <v/>
      </c>
    </row>
    <row r="2661">
      <c r="M2661" s="11">
        <f>B2661+30</f>
        <v/>
      </c>
      <c r="N2661">
        <f>IF(L2661="", "", L2661-B2661)</f>
        <v/>
      </c>
      <c r="O2661">
        <f>IF(L2661="", "Pending", IF(N2661&lt;=30, "Met", "Breached"))</f>
        <v/>
      </c>
    </row>
    <row r="2662">
      <c r="M2662" s="11">
        <f>B2662+30</f>
        <v/>
      </c>
      <c r="N2662">
        <f>IF(L2662="", "", L2662-B2662)</f>
        <v/>
      </c>
      <c r="O2662">
        <f>IF(L2662="", "Pending", IF(N2662&lt;=30, "Met", "Breached"))</f>
        <v/>
      </c>
    </row>
    <row r="2663">
      <c r="M2663" s="11">
        <f>B2663+30</f>
        <v/>
      </c>
      <c r="N2663">
        <f>IF(L2663="", "", L2663-B2663)</f>
        <v/>
      </c>
      <c r="O2663">
        <f>IF(L2663="", "Pending", IF(N2663&lt;=30, "Met", "Breached"))</f>
        <v/>
      </c>
    </row>
    <row r="2664">
      <c r="M2664" s="11">
        <f>B2664+30</f>
        <v/>
      </c>
      <c r="N2664">
        <f>IF(L2664="", "", L2664-B2664)</f>
        <v/>
      </c>
      <c r="O2664">
        <f>IF(L2664="", "Pending", IF(N2664&lt;=30, "Met", "Breached"))</f>
        <v/>
      </c>
    </row>
    <row r="2665">
      <c r="M2665" s="11">
        <f>B2665+30</f>
        <v/>
      </c>
      <c r="N2665">
        <f>IF(L2665="", "", L2665-B2665)</f>
        <v/>
      </c>
      <c r="O2665">
        <f>IF(L2665="", "Pending", IF(N2665&lt;=30, "Met", "Breached"))</f>
        <v/>
      </c>
    </row>
    <row r="2666">
      <c r="M2666" s="11">
        <f>B2666+30</f>
        <v/>
      </c>
      <c r="N2666">
        <f>IF(L2666="", "", L2666-B2666)</f>
        <v/>
      </c>
      <c r="O2666">
        <f>IF(L2666="", "Pending", IF(N2666&lt;=30, "Met", "Breached"))</f>
        <v/>
      </c>
    </row>
    <row r="2667">
      <c r="M2667" s="11">
        <f>B2667+30</f>
        <v/>
      </c>
      <c r="N2667">
        <f>IF(L2667="", "", L2667-B2667)</f>
        <v/>
      </c>
      <c r="O2667">
        <f>IF(L2667="", "Pending", IF(N2667&lt;=30, "Met", "Breached"))</f>
        <v/>
      </c>
    </row>
    <row r="2668">
      <c r="M2668" s="11">
        <f>B2668+30</f>
        <v/>
      </c>
      <c r="N2668">
        <f>IF(L2668="", "", L2668-B2668)</f>
        <v/>
      </c>
      <c r="O2668">
        <f>IF(L2668="", "Pending", IF(N2668&lt;=30, "Met", "Breached"))</f>
        <v/>
      </c>
    </row>
    <row r="2669">
      <c r="M2669" s="11">
        <f>B2669+30</f>
        <v/>
      </c>
      <c r="N2669">
        <f>IF(L2669="", "", L2669-B2669)</f>
        <v/>
      </c>
      <c r="O2669">
        <f>IF(L2669="", "Pending", IF(N2669&lt;=30, "Met", "Breached"))</f>
        <v/>
      </c>
    </row>
    <row r="2670">
      <c r="M2670" s="11">
        <f>B2670+30</f>
        <v/>
      </c>
      <c r="N2670">
        <f>IF(L2670="", "", L2670-B2670)</f>
        <v/>
      </c>
      <c r="O2670">
        <f>IF(L2670="", "Pending", IF(N2670&lt;=30, "Met", "Breached"))</f>
        <v/>
      </c>
    </row>
    <row r="2671">
      <c r="M2671" s="11">
        <f>B2671+30</f>
        <v/>
      </c>
      <c r="N2671">
        <f>IF(L2671="", "", L2671-B2671)</f>
        <v/>
      </c>
      <c r="O2671">
        <f>IF(L2671="", "Pending", IF(N2671&lt;=30, "Met", "Breached"))</f>
        <v/>
      </c>
    </row>
    <row r="2672">
      <c r="M2672" s="11">
        <f>B2672+30</f>
        <v/>
      </c>
      <c r="N2672">
        <f>IF(L2672="", "", L2672-B2672)</f>
        <v/>
      </c>
      <c r="O2672">
        <f>IF(L2672="", "Pending", IF(N2672&lt;=30, "Met", "Breached"))</f>
        <v/>
      </c>
    </row>
    <row r="2673">
      <c r="M2673" s="11">
        <f>B2673+30</f>
        <v/>
      </c>
      <c r="N2673">
        <f>IF(L2673="", "", L2673-B2673)</f>
        <v/>
      </c>
      <c r="O2673">
        <f>IF(L2673="", "Pending", IF(N2673&lt;=30, "Met", "Breached"))</f>
        <v/>
      </c>
    </row>
    <row r="2674">
      <c r="M2674" s="11">
        <f>B2674+30</f>
        <v/>
      </c>
      <c r="N2674">
        <f>IF(L2674="", "", L2674-B2674)</f>
        <v/>
      </c>
      <c r="O2674">
        <f>IF(L2674="", "Pending", IF(N2674&lt;=30, "Met", "Breached"))</f>
        <v/>
      </c>
    </row>
    <row r="2675">
      <c r="M2675" s="11">
        <f>B2675+30</f>
        <v/>
      </c>
      <c r="N2675">
        <f>IF(L2675="", "", L2675-B2675)</f>
        <v/>
      </c>
      <c r="O2675">
        <f>IF(L2675="", "Pending", IF(N2675&lt;=30, "Met", "Breached"))</f>
        <v/>
      </c>
    </row>
    <row r="2676">
      <c r="M2676" s="11">
        <f>B2676+30</f>
        <v/>
      </c>
      <c r="N2676">
        <f>IF(L2676="", "", L2676-B2676)</f>
        <v/>
      </c>
      <c r="O2676">
        <f>IF(L2676="", "Pending", IF(N2676&lt;=30, "Met", "Breached"))</f>
        <v/>
      </c>
    </row>
    <row r="2677">
      <c r="M2677" s="11">
        <f>B2677+30</f>
        <v/>
      </c>
      <c r="N2677">
        <f>IF(L2677="", "", L2677-B2677)</f>
        <v/>
      </c>
      <c r="O2677">
        <f>IF(L2677="", "Pending", IF(N2677&lt;=30, "Met", "Breached"))</f>
        <v/>
      </c>
    </row>
    <row r="2678">
      <c r="M2678" s="11">
        <f>B2678+30</f>
        <v/>
      </c>
      <c r="N2678">
        <f>IF(L2678="", "", L2678-B2678)</f>
        <v/>
      </c>
      <c r="O2678">
        <f>IF(L2678="", "Pending", IF(N2678&lt;=30, "Met", "Breached"))</f>
        <v/>
      </c>
    </row>
    <row r="2679">
      <c r="M2679" s="11">
        <f>B2679+30</f>
        <v/>
      </c>
      <c r="N2679">
        <f>IF(L2679="", "", L2679-B2679)</f>
        <v/>
      </c>
      <c r="O2679">
        <f>IF(L2679="", "Pending", IF(N2679&lt;=30, "Met", "Breached"))</f>
        <v/>
      </c>
    </row>
    <row r="2680">
      <c r="M2680" s="11">
        <f>B2680+30</f>
        <v/>
      </c>
      <c r="N2680">
        <f>IF(L2680="", "", L2680-B2680)</f>
        <v/>
      </c>
      <c r="O2680">
        <f>IF(L2680="", "Pending", IF(N2680&lt;=30, "Met", "Breached"))</f>
        <v/>
      </c>
    </row>
    <row r="2681">
      <c r="M2681" s="11">
        <f>B2681+30</f>
        <v/>
      </c>
      <c r="N2681">
        <f>IF(L2681="", "", L2681-B2681)</f>
        <v/>
      </c>
      <c r="O2681">
        <f>IF(L2681="", "Pending", IF(N2681&lt;=30, "Met", "Breached"))</f>
        <v/>
      </c>
    </row>
    <row r="2682">
      <c r="M2682" s="11">
        <f>B2682+30</f>
        <v/>
      </c>
      <c r="N2682">
        <f>IF(L2682="", "", L2682-B2682)</f>
        <v/>
      </c>
      <c r="O2682">
        <f>IF(L2682="", "Pending", IF(N2682&lt;=30, "Met", "Breached"))</f>
        <v/>
      </c>
    </row>
    <row r="2683">
      <c r="M2683" s="11">
        <f>B2683+30</f>
        <v/>
      </c>
      <c r="N2683">
        <f>IF(L2683="", "", L2683-B2683)</f>
        <v/>
      </c>
      <c r="O2683">
        <f>IF(L2683="", "Pending", IF(N2683&lt;=30, "Met", "Breached"))</f>
        <v/>
      </c>
    </row>
    <row r="2684">
      <c r="M2684" s="11">
        <f>B2684+30</f>
        <v/>
      </c>
      <c r="N2684">
        <f>IF(L2684="", "", L2684-B2684)</f>
        <v/>
      </c>
      <c r="O2684">
        <f>IF(L2684="", "Pending", IF(N2684&lt;=30, "Met", "Breached"))</f>
        <v/>
      </c>
    </row>
    <row r="2685">
      <c r="M2685" s="11">
        <f>B2685+30</f>
        <v/>
      </c>
      <c r="N2685">
        <f>IF(L2685="", "", L2685-B2685)</f>
        <v/>
      </c>
      <c r="O2685">
        <f>IF(L2685="", "Pending", IF(N2685&lt;=30, "Met", "Breached"))</f>
        <v/>
      </c>
    </row>
    <row r="2686">
      <c r="M2686" s="11">
        <f>B2686+30</f>
        <v/>
      </c>
      <c r="N2686">
        <f>IF(L2686="", "", L2686-B2686)</f>
        <v/>
      </c>
      <c r="O2686">
        <f>IF(L2686="", "Pending", IF(N2686&lt;=30, "Met", "Breached"))</f>
        <v/>
      </c>
    </row>
    <row r="2687">
      <c r="M2687" s="11">
        <f>B2687+30</f>
        <v/>
      </c>
      <c r="N2687">
        <f>IF(L2687="", "", L2687-B2687)</f>
        <v/>
      </c>
      <c r="O2687">
        <f>IF(L2687="", "Pending", IF(N2687&lt;=30, "Met", "Breached"))</f>
        <v/>
      </c>
    </row>
    <row r="2688">
      <c r="M2688" s="11">
        <f>B2688+30</f>
        <v/>
      </c>
      <c r="N2688">
        <f>IF(L2688="", "", L2688-B2688)</f>
        <v/>
      </c>
      <c r="O2688">
        <f>IF(L2688="", "Pending", IF(N2688&lt;=30, "Met", "Breached"))</f>
        <v/>
      </c>
    </row>
    <row r="2689">
      <c r="M2689" s="11">
        <f>B2689+30</f>
        <v/>
      </c>
      <c r="N2689">
        <f>IF(L2689="", "", L2689-B2689)</f>
        <v/>
      </c>
      <c r="O2689">
        <f>IF(L2689="", "Pending", IF(N2689&lt;=30, "Met", "Breached"))</f>
        <v/>
      </c>
    </row>
    <row r="2690">
      <c r="M2690" s="11">
        <f>B2690+30</f>
        <v/>
      </c>
      <c r="N2690">
        <f>IF(L2690="", "", L2690-B2690)</f>
        <v/>
      </c>
      <c r="O2690">
        <f>IF(L2690="", "Pending", IF(N2690&lt;=30, "Met", "Breached"))</f>
        <v/>
      </c>
    </row>
    <row r="2691">
      <c r="M2691" s="11">
        <f>B2691+30</f>
        <v/>
      </c>
      <c r="N2691">
        <f>IF(L2691="", "", L2691-B2691)</f>
        <v/>
      </c>
      <c r="O2691">
        <f>IF(L2691="", "Pending", IF(N2691&lt;=30, "Met", "Breached"))</f>
        <v/>
      </c>
    </row>
    <row r="2692">
      <c r="M2692" s="11">
        <f>B2692+30</f>
        <v/>
      </c>
      <c r="N2692">
        <f>IF(L2692="", "", L2692-B2692)</f>
        <v/>
      </c>
      <c r="O2692">
        <f>IF(L2692="", "Pending", IF(N2692&lt;=30, "Met", "Breached"))</f>
        <v/>
      </c>
    </row>
    <row r="2693">
      <c r="M2693" s="11">
        <f>B2693+30</f>
        <v/>
      </c>
      <c r="N2693">
        <f>IF(L2693="", "", L2693-B2693)</f>
        <v/>
      </c>
      <c r="O2693">
        <f>IF(L2693="", "Pending", IF(N2693&lt;=30, "Met", "Breached"))</f>
        <v/>
      </c>
    </row>
    <row r="2694">
      <c r="M2694" s="11">
        <f>B2694+30</f>
        <v/>
      </c>
      <c r="N2694">
        <f>IF(L2694="", "", L2694-B2694)</f>
        <v/>
      </c>
      <c r="O2694">
        <f>IF(L2694="", "Pending", IF(N2694&lt;=30, "Met", "Breached"))</f>
        <v/>
      </c>
    </row>
    <row r="2695">
      <c r="M2695" s="11">
        <f>B2695+30</f>
        <v/>
      </c>
      <c r="N2695">
        <f>IF(L2695="", "", L2695-B2695)</f>
        <v/>
      </c>
      <c r="O2695">
        <f>IF(L2695="", "Pending", IF(N2695&lt;=30, "Met", "Breached"))</f>
        <v/>
      </c>
    </row>
    <row r="2696">
      <c r="M2696" s="11">
        <f>B2696+30</f>
        <v/>
      </c>
      <c r="N2696">
        <f>IF(L2696="", "", L2696-B2696)</f>
        <v/>
      </c>
      <c r="O2696">
        <f>IF(L2696="", "Pending", IF(N2696&lt;=30, "Met", "Breached"))</f>
        <v/>
      </c>
    </row>
    <row r="2697">
      <c r="M2697" s="11">
        <f>B2697+30</f>
        <v/>
      </c>
      <c r="N2697">
        <f>IF(L2697="", "", L2697-B2697)</f>
        <v/>
      </c>
      <c r="O2697">
        <f>IF(L2697="", "Pending", IF(N2697&lt;=30, "Met", "Breached"))</f>
        <v/>
      </c>
    </row>
    <row r="2698">
      <c r="M2698" s="11">
        <f>B2698+30</f>
        <v/>
      </c>
      <c r="N2698">
        <f>IF(L2698="", "", L2698-B2698)</f>
        <v/>
      </c>
      <c r="O2698">
        <f>IF(L2698="", "Pending", IF(N2698&lt;=30, "Met", "Breached"))</f>
        <v/>
      </c>
    </row>
    <row r="2699">
      <c r="M2699" s="11">
        <f>B2699+30</f>
        <v/>
      </c>
      <c r="N2699">
        <f>IF(L2699="", "", L2699-B2699)</f>
        <v/>
      </c>
      <c r="O2699">
        <f>IF(L2699="", "Pending", IF(N2699&lt;=30, "Met", "Breached"))</f>
        <v/>
      </c>
    </row>
    <row r="2700">
      <c r="M2700" s="11">
        <f>B2700+30</f>
        <v/>
      </c>
      <c r="N2700">
        <f>IF(L2700="", "", L2700-B2700)</f>
        <v/>
      </c>
      <c r="O2700">
        <f>IF(L2700="", "Pending", IF(N2700&lt;=30, "Met", "Breached"))</f>
        <v/>
      </c>
    </row>
    <row r="2701">
      <c r="M2701" s="11">
        <f>B2701+30</f>
        <v/>
      </c>
      <c r="N2701">
        <f>IF(L2701="", "", L2701-B2701)</f>
        <v/>
      </c>
      <c r="O2701">
        <f>IF(L2701="", "Pending", IF(N2701&lt;=30, "Met", "Breached"))</f>
        <v/>
      </c>
    </row>
    <row r="2702">
      <c r="M2702" s="11">
        <f>B2702+30</f>
        <v/>
      </c>
      <c r="N2702">
        <f>IF(L2702="", "", L2702-B2702)</f>
        <v/>
      </c>
      <c r="O2702">
        <f>IF(L2702="", "Pending", IF(N2702&lt;=30, "Met", "Breached"))</f>
        <v/>
      </c>
    </row>
    <row r="2703">
      <c r="M2703" s="11">
        <f>B2703+30</f>
        <v/>
      </c>
      <c r="N2703">
        <f>IF(L2703="", "", L2703-B2703)</f>
        <v/>
      </c>
      <c r="O2703">
        <f>IF(L2703="", "Pending", IF(N2703&lt;=30, "Met", "Breached"))</f>
        <v/>
      </c>
    </row>
    <row r="2704">
      <c r="M2704" s="11">
        <f>B2704+30</f>
        <v/>
      </c>
      <c r="N2704">
        <f>IF(L2704="", "", L2704-B2704)</f>
        <v/>
      </c>
      <c r="O2704">
        <f>IF(L2704="", "Pending", IF(N2704&lt;=30, "Met", "Breached"))</f>
        <v/>
      </c>
    </row>
    <row r="2705">
      <c r="M2705" s="11">
        <f>B2705+30</f>
        <v/>
      </c>
      <c r="N2705">
        <f>IF(L2705="", "", L2705-B2705)</f>
        <v/>
      </c>
      <c r="O2705">
        <f>IF(L2705="", "Pending", IF(N2705&lt;=30, "Met", "Breached"))</f>
        <v/>
      </c>
    </row>
    <row r="2706">
      <c r="M2706" s="11">
        <f>B2706+30</f>
        <v/>
      </c>
      <c r="N2706">
        <f>IF(L2706="", "", L2706-B2706)</f>
        <v/>
      </c>
      <c r="O2706">
        <f>IF(L2706="", "Pending", IF(N2706&lt;=30, "Met", "Breached"))</f>
        <v/>
      </c>
    </row>
    <row r="2707">
      <c r="M2707" s="11">
        <f>B2707+30</f>
        <v/>
      </c>
      <c r="N2707">
        <f>IF(L2707="", "", L2707-B2707)</f>
        <v/>
      </c>
      <c r="O2707">
        <f>IF(L2707="", "Pending", IF(N2707&lt;=30, "Met", "Breached"))</f>
        <v/>
      </c>
    </row>
    <row r="2708">
      <c r="M2708" s="11">
        <f>B2708+30</f>
        <v/>
      </c>
      <c r="N2708">
        <f>IF(L2708="", "", L2708-B2708)</f>
        <v/>
      </c>
      <c r="O2708">
        <f>IF(L2708="", "Pending", IF(N2708&lt;=30, "Met", "Breached"))</f>
        <v/>
      </c>
    </row>
    <row r="2709">
      <c r="M2709" s="11">
        <f>B2709+30</f>
        <v/>
      </c>
      <c r="N2709">
        <f>IF(L2709="", "", L2709-B2709)</f>
        <v/>
      </c>
      <c r="O2709">
        <f>IF(L2709="", "Pending", IF(N2709&lt;=30, "Met", "Breached"))</f>
        <v/>
      </c>
    </row>
    <row r="2710">
      <c r="M2710" s="11">
        <f>B2710+30</f>
        <v/>
      </c>
      <c r="N2710">
        <f>IF(L2710="", "", L2710-B2710)</f>
        <v/>
      </c>
      <c r="O2710">
        <f>IF(L2710="", "Pending", IF(N2710&lt;=30, "Met", "Breached"))</f>
        <v/>
      </c>
    </row>
    <row r="2711">
      <c r="M2711" s="11">
        <f>B2711+30</f>
        <v/>
      </c>
      <c r="N2711">
        <f>IF(L2711="", "", L2711-B2711)</f>
        <v/>
      </c>
      <c r="O2711">
        <f>IF(L2711="", "Pending", IF(N2711&lt;=30, "Met", "Breached"))</f>
        <v/>
      </c>
    </row>
    <row r="2712">
      <c r="M2712" s="11">
        <f>B2712+30</f>
        <v/>
      </c>
      <c r="N2712">
        <f>IF(L2712="", "", L2712-B2712)</f>
        <v/>
      </c>
      <c r="O2712">
        <f>IF(L2712="", "Pending", IF(N2712&lt;=30, "Met", "Breached"))</f>
        <v/>
      </c>
    </row>
    <row r="2713">
      <c r="M2713" s="11">
        <f>B2713+30</f>
        <v/>
      </c>
      <c r="N2713">
        <f>IF(L2713="", "", L2713-B2713)</f>
        <v/>
      </c>
      <c r="O2713">
        <f>IF(L2713="", "Pending", IF(N2713&lt;=30, "Met", "Breached"))</f>
        <v/>
      </c>
    </row>
    <row r="2714">
      <c r="M2714" s="11">
        <f>B2714+30</f>
        <v/>
      </c>
      <c r="N2714">
        <f>IF(L2714="", "", L2714-B2714)</f>
        <v/>
      </c>
      <c r="O2714">
        <f>IF(L2714="", "Pending", IF(N2714&lt;=30, "Met", "Breached"))</f>
        <v/>
      </c>
    </row>
    <row r="2715">
      <c r="M2715" s="11">
        <f>B2715+30</f>
        <v/>
      </c>
      <c r="N2715">
        <f>IF(L2715="", "", L2715-B2715)</f>
        <v/>
      </c>
      <c r="O2715">
        <f>IF(L2715="", "Pending", IF(N2715&lt;=30, "Met", "Breached"))</f>
        <v/>
      </c>
    </row>
    <row r="2716">
      <c r="M2716" s="11">
        <f>B2716+30</f>
        <v/>
      </c>
      <c r="N2716">
        <f>IF(L2716="", "", L2716-B2716)</f>
        <v/>
      </c>
      <c r="O2716">
        <f>IF(L2716="", "Pending", IF(N2716&lt;=30, "Met", "Breached"))</f>
        <v/>
      </c>
    </row>
    <row r="2717">
      <c r="M2717" s="11">
        <f>B2717+30</f>
        <v/>
      </c>
      <c r="N2717">
        <f>IF(L2717="", "", L2717-B2717)</f>
        <v/>
      </c>
      <c r="O2717">
        <f>IF(L2717="", "Pending", IF(N2717&lt;=30, "Met", "Breached"))</f>
        <v/>
      </c>
    </row>
    <row r="2718">
      <c r="M2718" s="11">
        <f>B2718+30</f>
        <v/>
      </c>
      <c r="N2718">
        <f>IF(L2718="", "", L2718-B2718)</f>
        <v/>
      </c>
      <c r="O2718">
        <f>IF(L2718="", "Pending", IF(N2718&lt;=30, "Met", "Breached"))</f>
        <v/>
      </c>
    </row>
    <row r="2719">
      <c r="M2719" s="11">
        <f>B2719+30</f>
        <v/>
      </c>
      <c r="N2719">
        <f>IF(L2719="", "", L2719-B2719)</f>
        <v/>
      </c>
      <c r="O2719">
        <f>IF(L2719="", "Pending", IF(N2719&lt;=30, "Met", "Breached"))</f>
        <v/>
      </c>
    </row>
    <row r="2720">
      <c r="M2720" s="11">
        <f>B2720+30</f>
        <v/>
      </c>
      <c r="N2720">
        <f>IF(L2720="", "", L2720-B2720)</f>
        <v/>
      </c>
      <c r="O2720">
        <f>IF(L2720="", "Pending", IF(N2720&lt;=30, "Met", "Breached"))</f>
        <v/>
      </c>
    </row>
    <row r="2721">
      <c r="M2721" s="11">
        <f>B2721+30</f>
        <v/>
      </c>
      <c r="N2721">
        <f>IF(L2721="", "", L2721-B2721)</f>
        <v/>
      </c>
      <c r="O2721">
        <f>IF(L2721="", "Pending", IF(N2721&lt;=30, "Met", "Breached"))</f>
        <v/>
      </c>
    </row>
    <row r="2722">
      <c r="M2722" s="11">
        <f>B2722+30</f>
        <v/>
      </c>
      <c r="N2722">
        <f>IF(L2722="", "", L2722-B2722)</f>
        <v/>
      </c>
      <c r="O2722">
        <f>IF(L2722="", "Pending", IF(N2722&lt;=30, "Met", "Breached"))</f>
        <v/>
      </c>
    </row>
    <row r="2723">
      <c r="M2723" s="11">
        <f>B2723+30</f>
        <v/>
      </c>
      <c r="N2723">
        <f>IF(L2723="", "", L2723-B2723)</f>
        <v/>
      </c>
      <c r="O2723">
        <f>IF(L2723="", "Pending", IF(N2723&lt;=30, "Met", "Breached"))</f>
        <v/>
      </c>
    </row>
    <row r="2724">
      <c r="M2724" s="11">
        <f>B2724+30</f>
        <v/>
      </c>
      <c r="N2724">
        <f>IF(L2724="", "", L2724-B2724)</f>
        <v/>
      </c>
      <c r="O2724">
        <f>IF(L2724="", "Pending", IF(N2724&lt;=30, "Met", "Breached"))</f>
        <v/>
      </c>
    </row>
    <row r="2725">
      <c r="M2725" s="11">
        <f>B2725+30</f>
        <v/>
      </c>
      <c r="N2725">
        <f>IF(L2725="", "", L2725-B2725)</f>
        <v/>
      </c>
      <c r="O2725">
        <f>IF(L2725="", "Pending", IF(N2725&lt;=30, "Met", "Breached"))</f>
        <v/>
      </c>
    </row>
    <row r="2726">
      <c r="M2726" s="11">
        <f>B2726+30</f>
        <v/>
      </c>
      <c r="N2726">
        <f>IF(L2726="", "", L2726-B2726)</f>
        <v/>
      </c>
      <c r="O2726">
        <f>IF(L2726="", "Pending", IF(N2726&lt;=30, "Met", "Breached"))</f>
        <v/>
      </c>
    </row>
    <row r="2727">
      <c r="M2727" s="11">
        <f>B2727+30</f>
        <v/>
      </c>
      <c r="N2727">
        <f>IF(L2727="", "", L2727-B2727)</f>
        <v/>
      </c>
      <c r="O2727">
        <f>IF(L2727="", "Pending", IF(N2727&lt;=30, "Met", "Breached"))</f>
        <v/>
      </c>
    </row>
    <row r="2728">
      <c r="M2728" s="11">
        <f>B2728+30</f>
        <v/>
      </c>
      <c r="N2728">
        <f>IF(L2728="", "", L2728-B2728)</f>
        <v/>
      </c>
      <c r="O2728">
        <f>IF(L2728="", "Pending", IF(N2728&lt;=30, "Met", "Breached"))</f>
        <v/>
      </c>
    </row>
    <row r="2729">
      <c r="M2729" s="11">
        <f>B2729+30</f>
        <v/>
      </c>
      <c r="N2729">
        <f>IF(L2729="", "", L2729-B2729)</f>
        <v/>
      </c>
      <c r="O2729">
        <f>IF(L2729="", "Pending", IF(N2729&lt;=30, "Met", "Breached"))</f>
        <v/>
      </c>
    </row>
    <row r="2730">
      <c r="M2730" s="11">
        <f>B2730+30</f>
        <v/>
      </c>
      <c r="N2730">
        <f>IF(L2730="", "", L2730-B2730)</f>
        <v/>
      </c>
      <c r="O2730">
        <f>IF(L2730="", "Pending", IF(N2730&lt;=30, "Met", "Breached"))</f>
        <v/>
      </c>
    </row>
    <row r="2731">
      <c r="M2731" s="11">
        <f>B2731+30</f>
        <v/>
      </c>
      <c r="N2731">
        <f>IF(L2731="", "", L2731-B2731)</f>
        <v/>
      </c>
      <c r="O2731">
        <f>IF(L2731="", "Pending", IF(N2731&lt;=30, "Met", "Breached"))</f>
        <v/>
      </c>
    </row>
    <row r="2732">
      <c r="M2732" s="11">
        <f>B2732+30</f>
        <v/>
      </c>
      <c r="N2732">
        <f>IF(L2732="", "", L2732-B2732)</f>
        <v/>
      </c>
      <c r="O2732">
        <f>IF(L2732="", "Pending", IF(N2732&lt;=30, "Met", "Breached"))</f>
        <v/>
      </c>
    </row>
    <row r="2733">
      <c r="M2733" s="11">
        <f>B2733+30</f>
        <v/>
      </c>
      <c r="N2733">
        <f>IF(L2733="", "", L2733-B2733)</f>
        <v/>
      </c>
      <c r="O2733">
        <f>IF(L2733="", "Pending", IF(N2733&lt;=30, "Met", "Breached"))</f>
        <v/>
      </c>
    </row>
    <row r="2734">
      <c r="M2734" s="11">
        <f>B2734+30</f>
        <v/>
      </c>
      <c r="N2734">
        <f>IF(L2734="", "", L2734-B2734)</f>
        <v/>
      </c>
      <c r="O2734">
        <f>IF(L2734="", "Pending", IF(N2734&lt;=30, "Met", "Breached"))</f>
        <v/>
      </c>
    </row>
    <row r="2735">
      <c r="M2735" s="11">
        <f>B2735+30</f>
        <v/>
      </c>
      <c r="N2735">
        <f>IF(L2735="", "", L2735-B2735)</f>
        <v/>
      </c>
      <c r="O2735">
        <f>IF(L2735="", "Pending", IF(N2735&lt;=30, "Met", "Breached"))</f>
        <v/>
      </c>
    </row>
    <row r="2736">
      <c r="M2736" s="11">
        <f>B2736+30</f>
        <v/>
      </c>
      <c r="N2736">
        <f>IF(L2736="", "", L2736-B2736)</f>
        <v/>
      </c>
      <c r="O2736">
        <f>IF(L2736="", "Pending", IF(N2736&lt;=30, "Met", "Breached"))</f>
        <v/>
      </c>
    </row>
    <row r="2737">
      <c r="M2737" s="11">
        <f>B2737+30</f>
        <v/>
      </c>
      <c r="N2737">
        <f>IF(L2737="", "", L2737-B2737)</f>
        <v/>
      </c>
      <c r="O2737">
        <f>IF(L2737="", "Pending", IF(N2737&lt;=30, "Met", "Breached"))</f>
        <v/>
      </c>
    </row>
    <row r="2738">
      <c r="M2738" s="11">
        <f>B2738+30</f>
        <v/>
      </c>
      <c r="N2738">
        <f>IF(L2738="", "", L2738-B2738)</f>
        <v/>
      </c>
      <c r="O2738">
        <f>IF(L2738="", "Pending", IF(N2738&lt;=30, "Met", "Breached"))</f>
        <v/>
      </c>
    </row>
    <row r="2739">
      <c r="M2739" s="11">
        <f>B2739+30</f>
        <v/>
      </c>
      <c r="N2739">
        <f>IF(L2739="", "", L2739-B2739)</f>
        <v/>
      </c>
      <c r="O2739">
        <f>IF(L2739="", "Pending", IF(N2739&lt;=30, "Met", "Breached"))</f>
        <v/>
      </c>
    </row>
    <row r="2740">
      <c r="M2740" s="11">
        <f>B2740+30</f>
        <v/>
      </c>
      <c r="N2740">
        <f>IF(L2740="", "", L2740-B2740)</f>
        <v/>
      </c>
      <c r="O2740">
        <f>IF(L2740="", "Pending", IF(N2740&lt;=30, "Met", "Breached"))</f>
        <v/>
      </c>
    </row>
    <row r="2741">
      <c r="M2741" s="11">
        <f>B2741+30</f>
        <v/>
      </c>
      <c r="N2741">
        <f>IF(L2741="", "", L2741-B2741)</f>
        <v/>
      </c>
      <c r="O2741">
        <f>IF(L2741="", "Pending", IF(N2741&lt;=30, "Met", "Breached"))</f>
        <v/>
      </c>
    </row>
    <row r="2742">
      <c r="M2742" s="11">
        <f>B2742+30</f>
        <v/>
      </c>
      <c r="N2742">
        <f>IF(L2742="", "", L2742-B2742)</f>
        <v/>
      </c>
      <c r="O2742">
        <f>IF(L2742="", "Pending", IF(N2742&lt;=30, "Met", "Breached"))</f>
        <v/>
      </c>
    </row>
    <row r="2743">
      <c r="M2743" s="11">
        <f>B2743+30</f>
        <v/>
      </c>
      <c r="N2743">
        <f>IF(L2743="", "", L2743-B2743)</f>
        <v/>
      </c>
      <c r="O2743">
        <f>IF(L2743="", "Pending", IF(N2743&lt;=30, "Met", "Breached"))</f>
        <v/>
      </c>
    </row>
    <row r="2744">
      <c r="M2744" s="11">
        <f>B2744+30</f>
        <v/>
      </c>
      <c r="N2744">
        <f>IF(L2744="", "", L2744-B2744)</f>
        <v/>
      </c>
      <c r="O2744">
        <f>IF(L2744="", "Pending", IF(N2744&lt;=30, "Met", "Breached"))</f>
        <v/>
      </c>
    </row>
    <row r="2745">
      <c r="M2745" s="11">
        <f>B2745+30</f>
        <v/>
      </c>
      <c r="N2745">
        <f>IF(L2745="", "", L2745-B2745)</f>
        <v/>
      </c>
      <c r="O2745">
        <f>IF(L2745="", "Pending", IF(N2745&lt;=30, "Met", "Breached"))</f>
        <v/>
      </c>
    </row>
    <row r="2746">
      <c r="M2746" s="11">
        <f>B2746+30</f>
        <v/>
      </c>
      <c r="N2746">
        <f>IF(L2746="", "", L2746-B2746)</f>
        <v/>
      </c>
      <c r="O2746">
        <f>IF(L2746="", "Pending", IF(N2746&lt;=30, "Met", "Breached"))</f>
        <v/>
      </c>
    </row>
    <row r="2747">
      <c r="M2747" s="11">
        <f>B2747+30</f>
        <v/>
      </c>
      <c r="N2747">
        <f>IF(L2747="", "", L2747-B2747)</f>
        <v/>
      </c>
      <c r="O2747">
        <f>IF(L2747="", "Pending", IF(N2747&lt;=30, "Met", "Breached"))</f>
        <v/>
      </c>
    </row>
    <row r="2748">
      <c r="M2748" s="11">
        <f>B2748+30</f>
        <v/>
      </c>
      <c r="N2748">
        <f>IF(L2748="", "", L2748-B2748)</f>
        <v/>
      </c>
      <c r="O2748">
        <f>IF(L2748="", "Pending", IF(N2748&lt;=30, "Met", "Breached"))</f>
        <v/>
      </c>
    </row>
    <row r="2749">
      <c r="M2749" s="11">
        <f>B2749+30</f>
        <v/>
      </c>
      <c r="N2749">
        <f>IF(L2749="", "", L2749-B2749)</f>
        <v/>
      </c>
      <c r="O2749">
        <f>IF(L2749="", "Pending", IF(N2749&lt;=30, "Met", "Breached"))</f>
        <v/>
      </c>
    </row>
    <row r="2750">
      <c r="M2750" s="11">
        <f>B2750+30</f>
        <v/>
      </c>
      <c r="N2750">
        <f>IF(L2750="", "", L2750-B2750)</f>
        <v/>
      </c>
      <c r="O2750">
        <f>IF(L2750="", "Pending", IF(N2750&lt;=30, "Met", "Breached"))</f>
        <v/>
      </c>
    </row>
    <row r="2751">
      <c r="M2751" s="11">
        <f>B2751+30</f>
        <v/>
      </c>
      <c r="N2751">
        <f>IF(L2751="", "", L2751-B2751)</f>
        <v/>
      </c>
      <c r="O2751">
        <f>IF(L2751="", "Pending", IF(N2751&lt;=30, "Met", "Breached"))</f>
        <v/>
      </c>
    </row>
    <row r="2752">
      <c r="M2752" s="11">
        <f>B2752+30</f>
        <v/>
      </c>
      <c r="N2752">
        <f>IF(L2752="", "", L2752-B2752)</f>
        <v/>
      </c>
      <c r="O2752">
        <f>IF(L2752="", "Pending", IF(N2752&lt;=30, "Met", "Breached"))</f>
        <v/>
      </c>
    </row>
    <row r="2753">
      <c r="M2753" s="11">
        <f>B2753+30</f>
        <v/>
      </c>
      <c r="N2753">
        <f>IF(L2753="", "", L2753-B2753)</f>
        <v/>
      </c>
      <c r="O2753">
        <f>IF(L2753="", "Pending", IF(N2753&lt;=30, "Met", "Breached"))</f>
        <v/>
      </c>
    </row>
    <row r="2754">
      <c r="M2754" s="11">
        <f>B2754+30</f>
        <v/>
      </c>
      <c r="N2754">
        <f>IF(L2754="", "", L2754-B2754)</f>
        <v/>
      </c>
      <c r="O2754">
        <f>IF(L2754="", "Pending", IF(N2754&lt;=30, "Met", "Breached"))</f>
        <v/>
      </c>
    </row>
    <row r="2755">
      <c r="M2755" s="11">
        <f>B2755+30</f>
        <v/>
      </c>
      <c r="N2755">
        <f>IF(L2755="", "", L2755-B2755)</f>
        <v/>
      </c>
      <c r="O2755">
        <f>IF(L2755="", "Pending", IF(N2755&lt;=30, "Met", "Breached"))</f>
        <v/>
      </c>
    </row>
    <row r="2756">
      <c r="M2756" s="11">
        <f>B2756+30</f>
        <v/>
      </c>
      <c r="N2756">
        <f>IF(L2756="", "", L2756-B2756)</f>
        <v/>
      </c>
      <c r="O2756">
        <f>IF(L2756="", "Pending", IF(N2756&lt;=30, "Met", "Breached"))</f>
        <v/>
      </c>
    </row>
    <row r="2757">
      <c r="M2757" s="11">
        <f>B2757+30</f>
        <v/>
      </c>
      <c r="N2757">
        <f>IF(L2757="", "", L2757-B2757)</f>
        <v/>
      </c>
      <c r="O2757">
        <f>IF(L2757="", "Pending", IF(N2757&lt;=30, "Met", "Breached"))</f>
        <v/>
      </c>
    </row>
    <row r="2758">
      <c r="M2758" s="11">
        <f>B2758+30</f>
        <v/>
      </c>
      <c r="N2758">
        <f>IF(L2758="", "", L2758-B2758)</f>
        <v/>
      </c>
      <c r="O2758">
        <f>IF(L2758="", "Pending", IF(N2758&lt;=30, "Met", "Breached"))</f>
        <v/>
      </c>
    </row>
    <row r="2759">
      <c r="M2759" s="11">
        <f>B2759+30</f>
        <v/>
      </c>
      <c r="N2759">
        <f>IF(L2759="", "", L2759-B2759)</f>
        <v/>
      </c>
      <c r="O2759">
        <f>IF(L2759="", "Pending", IF(N2759&lt;=30, "Met", "Breached"))</f>
        <v/>
      </c>
    </row>
    <row r="2760">
      <c r="M2760" s="11">
        <f>B2760+30</f>
        <v/>
      </c>
      <c r="N2760">
        <f>IF(L2760="", "", L2760-B2760)</f>
        <v/>
      </c>
      <c r="O2760">
        <f>IF(L2760="", "Pending", IF(N2760&lt;=30, "Met", "Breached"))</f>
        <v/>
      </c>
    </row>
    <row r="2761">
      <c r="M2761" s="11">
        <f>B2761+30</f>
        <v/>
      </c>
      <c r="N2761">
        <f>IF(L2761="", "", L2761-B2761)</f>
        <v/>
      </c>
      <c r="O2761">
        <f>IF(L2761="", "Pending", IF(N2761&lt;=30, "Met", "Breached"))</f>
        <v/>
      </c>
    </row>
    <row r="2762">
      <c r="M2762" s="11">
        <f>B2762+30</f>
        <v/>
      </c>
      <c r="N2762">
        <f>IF(L2762="", "", L2762-B2762)</f>
        <v/>
      </c>
      <c r="O2762">
        <f>IF(L2762="", "Pending", IF(N2762&lt;=30, "Met", "Breached"))</f>
        <v/>
      </c>
    </row>
    <row r="2763">
      <c r="M2763" s="11">
        <f>B2763+30</f>
        <v/>
      </c>
      <c r="N2763">
        <f>IF(L2763="", "", L2763-B2763)</f>
        <v/>
      </c>
      <c r="O2763">
        <f>IF(L2763="", "Pending", IF(N2763&lt;=30, "Met", "Breached"))</f>
        <v/>
      </c>
    </row>
    <row r="2764">
      <c r="M2764" s="11">
        <f>B2764+30</f>
        <v/>
      </c>
      <c r="N2764">
        <f>IF(L2764="", "", L2764-B2764)</f>
        <v/>
      </c>
      <c r="O2764">
        <f>IF(L2764="", "Pending", IF(N2764&lt;=30, "Met", "Breached"))</f>
        <v/>
      </c>
    </row>
    <row r="2765">
      <c r="M2765" s="11">
        <f>B2765+30</f>
        <v/>
      </c>
      <c r="N2765">
        <f>IF(L2765="", "", L2765-B2765)</f>
        <v/>
      </c>
      <c r="O2765">
        <f>IF(L2765="", "Pending", IF(N2765&lt;=30, "Met", "Breached"))</f>
        <v/>
      </c>
    </row>
    <row r="2766">
      <c r="M2766" s="11">
        <f>B2766+30</f>
        <v/>
      </c>
      <c r="N2766">
        <f>IF(L2766="", "", L2766-B2766)</f>
        <v/>
      </c>
      <c r="O2766">
        <f>IF(L2766="", "Pending", IF(N2766&lt;=30, "Met", "Breached"))</f>
        <v/>
      </c>
    </row>
    <row r="2767">
      <c r="M2767" s="11">
        <f>B2767+30</f>
        <v/>
      </c>
      <c r="N2767">
        <f>IF(L2767="", "", L2767-B2767)</f>
        <v/>
      </c>
      <c r="O2767">
        <f>IF(L2767="", "Pending", IF(N2767&lt;=30, "Met", "Breached"))</f>
        <v/>
      </c>
    </row>
    <row r="2768">
      <c r="M2768" s="11">
        <f>B2768+30</f>
        <v/>
      </c>
      <c r="N2768">
        <f>IF(L2768="", "", L2768-B2768)</f>
        <v/>
      </c>
      <c r="O2768">
        <f>IF(L2768="", "Pending", IF(N2768&lt;=30, "Met", "Breached"))</f>
        <v/>
      </c>
    </row>
    <row r="2769">
      <c r="M2769" s="11">
        <f>B2769+30</f>
        <v/>
      </c>
      <c r="N2769">
        <f>IF(L2769="", "", L2769-B2769)</f>
        <v/>
      </c>
      <c r="O2769">
        <f>IF(L2769="", "Pending", IF(N2769&lt;=30, "Met", "Breached"))</f>
        <v/>
      </c>
    </row>
    <row r="2770">
      <c r="M2770" s="11">
        <f>B2770+30</f>
        <v/>
      </c>
      <c r="N2770">
        <f>IF(L2770="", "", L2770-B2770)</f>
        <v/>
      </c>
      <c r="O2770">
        <f>IF(L2770="", "Pending", IF(N2770&lt;=30, "Met", "Breached"))</f>
        <v/>
      </c>
    </row>
    <row r="2771">
      <c r="M2771" s="11">
        <f>B2771+30</f>
        <v/>
      </c>
      <c r="N2771">
        <f>IF(L2771="", "", L2771-B2771)</f>
        <v/>
      </c>
      <c r="O2771">
        <f>IF(L2771="", "Pending", IF(N2771&lt;=30, "Met", "Breached"))</f>
        <v/>
      </c>
    </row>
    <row r="2772">
      <c r="M2772" s="11">
        <f>B2772+30</f>
        <v/>
      </c>
      <c r="N2772">
        <f>IF(L2772="", "", L2772-B2772)</f>
        <v/>
      </c>
      <c r="O2772">
        <f>IF(L2772="", "Pending", IF(N2772&lt;=30, "Met", "Breached"))</f>
        <v/>
      </c>
    </row>
    <row r="2773">
      <c r="M2773" s="11">
        <f>B2773+30</f>
        <v/>
      </c>
      <c r="N2773">
        <f>IF(L2773="", "", L2773-B2773)</f>
        <v/>
      </c>
      <c r="O2773">
        <f>IF(L2773="", "Pending", IF(N2773&lt;=30, "Met", "Breached"))</f>
        <v/>
      </c>
    </row>
    <row r="2774">
      <c r="M2774" s="11">
        <f>B2774+30</f>
        <v/>
      </c>
      <c r="N2774">
        <f>IF(L2774="", "", L2774-B2774)</f>
        <v/>
      </c>
      <c r="O2774">
        <f>IF(L2774="", "Pending", IF(N2774&lt;=30, "Met", "Breached"))</f>
        <v/>
      </c>
    </row>
    <row r="2775">
      <c r="M2775" s="11">
        <f>B2775+30</f>
        <v/>
      </c>
      <c r="N2775">
        <f>IF(L2775="", "", L2775-B2775)</f>
        <v/>
      </c>
      <c r="O2775">
        <f>IF(L2775="", "Pending", IF(N2775&lt;=30, "Met", "Breached"))</f>
        <v/>
      </c>
    </row>
    <row r="2776">
      <c r="M2776" s="11">
        <f>B2776+30</f>
        <v/>
      </c>
      <c r="N2776">
        <f>IF(L2776="", "", L2776-B2776)</f>
        <v/>
      </c>
      <c r="O2776">
        <f>IF(L2776="", "Pending", IF(N2776&lt;=30, "Met", "Breached"))</f>
        <v/>
      </c>
    </row>
    <row r="2777">
      <c r="M2777" s="11">
        <f>B2777+30</f>
        <v/>
      </c>
      <c r="N2777">
        <f>IF(L2777="", "", L2777-B2777)</f>
        <v/>
      </c>
      <c r="O2777">
        <f>IF(L2777="", "Pending", IF(N2777&lt;=30, "Met", "Breached"))</f>
        <v/>
      </c>
    </row>
    <row r="2778">
      <c r="M2778" s="11">
        <f>B2778+30</f>
        <v/>
      </c>
      <c r="N2778">
        <f>IF(L2778="", "", L2778-B2778)</f>
        <v/>
      </c>
      <c r="O2778">
        <f>IF(L2778="", "Pending", IF(N2778&lt;=30, "Met", "Breached"))</f>
        <v/>
      </c>
    </row>
    <row r="2779">
      <c r="M2779" s="11">
        <f>B2779+30</f>
        <v/>
      </c>
      <c r="N2779">
        <f>IF(L2779="", "", L2779-B2779)</f>
        <v/>
      </c>
      <c r="O2779">
        <f>IF(L2779="", "Pending", IF(N2779&lt;=30, "Met", "Breached"))</f>
        <v/>
      </c>
    </row>
    <row r="2780">
      <c r="M2780" s="11">
        <f>B2780+30</f>
        <v/>
      </c>
      <c r="N2780">
        <f>IF(L2780="", "", L2780-B2780)</f>
        <v/>
      </c>
      <c r="O2780">
        <f>IF(L2780="", "Pending", IF(N2780&lt;=30, "Met", "Breached"))</f>
        <v/>
      </c>
    </row>
    <row r="2781">
      <c r="M2781" s="11">
        <f>B2781+30</f>
        <v/>
      </c>
      <c r="N2781">
        <f>IF(L2781="", "", L2781-B2781)</f>
        <v/>
      </c>
      <c r="O2781">
        <f>IF(L2781="", "Pending", IF(N2781&lt;=30, "Met", "Breached"))</f>
        <v/>
      </c>
    </row>
    <row r="2782">
      <c r="M2782" s="11">
        <f>B2782+30</f>
        <v/>
      </c>
      <c r="N2782">
        <f>IF(L2782="", "", L2782-B2782)</f>
        <v/>
      </c>
      <c r="O2782">
        <f>IF(L2782="", "Pending", IF(N2782&lt;=30, "Met", "Breached"))</f>
        <v/>
      </c>
    </row>
    <row r="2783">
      <c r="M2783" s="11">
        <f>B2783+30</f>
        <v/>
      </c>
      <c r="N2783">
        <f>IF(L2783="", "", L2783-B2783)</f>
        <v/>
      </c>
      <c r="O2783">
        <f>IF(L2783="", "Pending", IF(N2783&lt;=30, "Met", "Breached"))</f>
        <v/>
      </c>
    </row>
    <row r="2784">
      <c r="M2784" s="11">
        <f>B2784+30</f>
        <v/>
      </c>
      <c r="N2784">
        <f>IF(L2784="", "", L2784-B2784)</f>
        <v/>
      </c>
      <c r="O2784">
        <f>IF(L2784="", "Pending", IF(N2784&lt;=30, "Met", "Breached"))</f>
        <v/>
      </c>
    </row>
    <row r="2785">
      <c r="M2785" s="11">
        <f>B2785+30</f>
        <v/>
      </c>
      <c r="N2785">
        <f>IF(L2785="", "", L2785-B2785)</f>
        <v/>
      </c>
      <c r="O2785">
        <f>IF(L2785="", "Pending", IF(N2785&lt;=30, "Met", "Breached"))</f>
        <v/>
      </c>
    </row>
    <row r="2786">
      <c r="M2786" s="11">
        <f>B2786+30</f>
        <v/>
      </c>
      <c r="N2786">
        <f>IF(L2786="", "", L2786-B2786)</f>
        <v/>
      </c>
      <c r="O2786">
        <f>IF(L2786="", "Pending", IF(N2786&lt;=30, "Met", "Breached"))</f>
        <v/>
      </c>
    </row>
    <row r="2787">
      <c r="M2787" s="11">
        <f>B2787+30</f>
        <v/>
      </c>
      <c r="N2787">
        <f>IF(L2787="", "", L2787-B2787)</f>
        <v/>
      </c>
      <c r="O2787">
        <f>IF(L2787="", "Pending", IF(N2787&lt;=30, "Met", "Breached"))</f>
        <v/>
      </c>
    </row>
    <row r="2788">
      <c r="M2788" s="11">
        <f>B2788+30</f>
        <v/>
      </c>
      <c r="N2788">
        <f>IF(L2788="", "", L2788-B2788)</f>
        <v/>
      </c>
      <c r="O2788">
        <f>IF(L2788="", "Pending", IF(N2788&lt;=30, "Met", "Breached"))</f>
        <v/>
      </c>
    </row>
    <row r="2789">
      <c r="M2789" s="11">
        <f>B2789+30</f>
        <v/>
      </c>
      <c r="N2789">
        <f>IF(L2789="", "", L2789-B2789)</f>
        <v/>
      </c>
      <c r="O2789">
        <f>IF(L2789="", "Pending", IF(N2789&lt;=30, "Met", "Breached"))</f>
        <v/>
      </c>
    </row>
    <row r="2790">
      <c r="M2790" s="11">
        <f>B2790+30</f>
        <v/>
      </c>
      <c r="N2790">
        <f>IF(L2790="", "", L2790-B2790)</f>
        <v/>
      </c>
      <c r="O2790">
        <f>IF(L2790="", "Pending", IF(N2790&lt;=30, "Met", "Breached"))</f>
        <v/>
      </c>
    </row>
    <row r="2791">
      <c r="M2791" s="11">
        <f>B2791+30</f>
        <v/>
      </c>
      <c r="N2791">
        <f>IF(L2791="", "", L2791-B2791)</f>
        <v/>
      </c>
      <c r="O2791">
        <f>IF(L2791="", "Pending", IF(N2791&lt;=30, "Met", "Breached"))</f>
        <v/>
      </c>
    </row>
    <row r="2792">
      <c r="M2792" s="11">
        <f>B2792+30</f>
        <v/>
      </c>
      <c r="N2792">
        <f>IF(L2792="", "", L2792-B2792)</f>
        <v/>
      </c>
      <c r="O2792">
        <f>IF(L2792="", "Pending", IF(N2792&lt;=30, "Met", "Breached"))</f>
        <v/>
      </c>
    </row>
    <row r="2793">
      <c r="M2793" s="11">
        <f>B2793+30</f>
        <v/>
      </c>
      <c r="N2793">
        <f>IF(L2793="", "", L2793-B2793)</f>
        <v/>
      </c>
      <c r="O2793">
        <f>IF(L2793="", "Pending", IF(N2793&lt;=30, "Met", "Breached"))</f>
        <v/>
      </c>
    </row>
    <row r="2794">
      <c r="M2794" s="11">
        <f>B2794+30</f>
        <v/>
      </c>
      <c r="N2794">
        <f>IF(L2794="", "", L2794-B2794)</f>
        <v/>
      </c>
      <c r="O2794">
        <f>IF(L2794="", "Pending", IF(N2794&lt;=30, "Met", "Breached"))</f>
        <v/>
      </c>
    </row>
    <row r="2795">
      <c r="M2795" s="11">
        <f>B2795+30</f>
        <v/>
      </c>
      <c r="N2795">
        <f>IF(L2795="", "", L2795-B2795)</f>
        <v/>
      </c>
      <c r="O2795">
        <f>IF(L2795="", "Pending", IF(N2795&lt;=30, "Met", "Breached"))</f>
        <v/>
      </c>
    </row>
    <row r="2796">
      <c r="M2796" s="11">
        <f>B2796+30</f>
        <v/>
      </c>
      <c r="N2796">
        <f>IF(L2796="", "", L2796-B2796)</f>
        <v/>
      </c>
      <c r="O2796">
        <f>IF(L2796="", "Pending", IF(N2796&lt;=30, "Met", "Breached"))</f>
        <v/>
      </c>
    </row>
    <row r="2797">
      <c r="M2797" s="11">
        <f>B2797+30</f>
        <v/>
      </c>
      <c r="N2797">
        <f>IF(L2797="", "", L2797-B2797)</f>
        <v/>
      </c>
      <c r="O2797">
        <f>IF(L2797="", "Pending", IF(N2797&lt;=30, "Met", "Breached"))</f>
        <v/>
      </c>
    </row>
    <row r="2798">
      <c r="M2798" s="11">
        <f>B2798+30</f>
        <v/>
      </c>
      <c r="N2798">
        <f>IF(L2798="", "", L2798-B2798)</f>
        <v/>
      </c>
      <c r="O2798">
        <f>IF(L2798="", "Pending", IF(N2798&lt;=30, "Met", "Breached"))</f>
        <v/>
      </c>
    </row>
    <row r="2799">
      <c r="M2799" s="11">
        <f>B2799+30</f>
        <v/>
      </c>
      <c r="N2799">
        <f>IF(L2799="", "", L2799-B2799)</f>
        <v/>
      </c>
      <c r="O2799">
        <f>IF(L2799="", "Pending", IF(N2799&lt;=30, "Met", "Breached"))</f>
        <v/>
      </c>
    </row>
    <row r="2800">
      <c r="M2800" s="11">
        <f>B2800+30</f>
        <v/>
      </c>
      <c r="N2800">
        <f>IF(L2800="", "", L2800-B2800)</f>
        <v/>
      </c>
      <c r="O2800">
        <f>IF(L2800="", "Pending", IF(N2800&lt;=30, "Met", "Breached"))</f>
        <v/>
      </c>
    </row>
    <row r="2801">
      <c r="M2801" s="11">
        <f>B2801+30</f>
        <v/>
      </c>
      <c r="N2801">
        <f>IF(L2801="", "", L2801-B2801)</f>
        <v/>
      </c>
      <c r="O2801">
        <f>IF(L2801="", "Pending", IF(N2801&lt;=30, "Met", "Breached"))</f>
        <v/>
      </c>
    </row>
    <row r="2802">
      <c r="M2802" s="11">
        <f>B2802+30</f>
        <v/>
      </c>
      <c r="N2802">
        <f>IF(L2802="", "", L2802-B2802)</f>
        <v/>
      </c>
      <c r="O2802">
        <f>IF(L2802="", "Pending", IF(N2802&lt;=30, "Met", "Breached"))</f>
        <v/>
      </c>
    </row>
    <row r="2803">
      <c r="M2803" s="11">
        <f>B2803+30</f>
        <v/>
      </c>
      <c r="N2803">
        <f>IF(L2803="", "", L2803-B2803)</f>
        <v/>
      </c>
      <c r="O2803">
        <f>IF(L2803="", "Pending", IF(N2803&lt;=30, "Met", "Breached"))</f>
        <v/>
      </c>
    </row>
    <row r="2804">
      <c r="M2804" s="11">
        <f>B2804+30</f>
        <v/>
      </c>
      <c r="N2804">
        <f>IF(L2804="", "", L2804-B2804)</f>
        <v/>
      </c>
      <c r="O2804">
        <f>IF(L2804="", "Pending", IF(N2804&lt;=30, "Met", "Breached"))</f>
        <v/>
      </c>
    </row>
    <row r="2805">
      <c r="M2805" s="11">
        <f>B2805+30</f>
        <v/>
      </c>
      <c r="N2805">
        <f>IF(L2805="", "", L2805-B2805)</f>
        <v/>
      </c>
      <c r="O2805">
        <f>IF(L2805="", "Pending", IF(N2805&lt;=30, "Met", "Breached"))</f>
        <v/>
      </c>
    </row>
    <row r="2806">
      <c r="M2806" s="11">
        <f>B2806+30</f>
        <v/>
      </c>
      <c r="N2806">
        <f>IF(L2806="", "", L2806-B2806)</f>
        <v/>
      </c>
      <c r="O2806">
        <f>IF(L2806="", "Pending", IF(N2806&lt;=30, "Met", "Breached"))</f>
        <v/>
      </c>
    </row>
    <row r="2807">
      <c r="M2807" s="11">
        <f>B2807+30</f>
        <v/>
      </c>
      <c r="N2807">
        <f>IF(L2807="", "", L2807-B2807)</f>
        <v/>
      </c>
      <c r="O2807">
        <f>IF(L2807="", "Pending", IF(N2807&lt;=30, "Met", "Breached"))</f>
        <v/>
      </c>
    </row>
    <row r="2808">
      <c r="M2808" s="11">
        <f>B2808+30</f>
        <v/>
      </c>
      <c r="N2808">
        <f>IF(L2808="", "", L2808-B2808)</f>
        <v/>
      </c>
      <c r="O2808">
        <f>IF(L2808="", "Pending", IF(N2808&lt;=30, "Met", "Breached"))</f>
        <v/>
      </c>
    </row>
    <row r="2809">
      <c r="M2809" s="11">
        <f>B2809+30</f>
        <v/>
      </c>
      <c r="N2809">
        <f>IF(L2809="", "", L2809-B2809)</f>
        <v/>
      </c>
      <c r="O2809">
        <f>IF(L2809="", "Pending", IF(N2809&lt;=30, "Met", "Breached"))</f>
        <v/>
      </c>
    </row>
    <row r="2810">
      <c r="M2810" s="11">
        <f>B2810+30</f>
        <v/>
      </c>
      <c r="N2810">
        <f>IF(L2810="", "", L2810-B2810)</f>
        <v/>
      </c>
      <c r="O2810">
        <f>IF(L2810="", "Pending", IF(N2810&lt;=30, "Met", "Breached"))</f>
        <v/>
      </c>
    </row>
    <row r="2811">
      <c r="M2811" s="11">
        <f>B2811+30</f>
        <v/>
      </c>
      <c r="N2811">
        <f>IF(L2811="", "", L2811-B2811)</f>
        <v/>
      </c>
      <c r="O2811">
        <f>IF(L2811="", "Pending", IF(N2811&lt;=30, "Met", "Breached"))</f>
        <v/>
      </c>
    </row>
    <row r="2812">
      <c r="M2812" s="11">
        <f>B2812+30</f>
        <v/>
      </c>
      <c r="N2812">
        <f>IF(L2812="", "", L2812-B2812)</f>
        <v/>
      </c>
      <c r="O2812">
        <f>IF(L2812="", "Pending", IF(N2812&lt;=30, "Met", "Breached"))</f>
        <v/>
      </c>
    </row>
    <row r="2813">
      <c r="M2813" s="11">
        <f>B2813+30</f>
        <v/>
      </c>
      <c r="N2813">
        <f>IF(L2813="", "", L2813-B2813)</f>
        <v/>
      </c>
      <c r="O2813">
        <f>IF(L2813="", "Pending", IF(N2813&lt;=30, "Met", "Breached"))</f>
        <v/>
      </c>
    </row>
    <row r="2814">
      <c r="M2814" s="11">
        <f>B2814+30</f>
        <v/>
      </c>
      <c r="N2814">
        <f>IF(L2814="", "", L2814-B2814)</f>
        <v/>
      </c>
      <c r="O2814">
        <f>IF(L2814="", "Pending", IF(N2814&lt;=30, "Met", "Breached"))</f>
        <v/>
      </c>
    </row>
    <row r="2815">
      <c r="M2815" s="11">
        <f>B2815+30</f>
        <v/>
      </c>
      <c r="N2815">
        <f>IF(L2815="", "", L2815-B2815)</f>
        <v/>
      </c>
      <c r="O2815">
        <f>IF(L2815="", "Pending", IF(N2815&lt;=30, "Met", "Breached"))</f>
        <v/>
      </c>
    </row>
    <row r="2816">
      <c r="M2816" s="11">
        <f>B2816+30</f>
        <v/>
      </c>
      <c r="N2816">
        <f>IF(L2816="", "", L2816-B2816)</f>
        <v/>
      </c>
      <c r="O2816">
        <f>IF(L2816="", "Pending", IF(N2816&lt;=30, "Met", "Breached"))</f>
        <v/>
      </c>
    </row>
    <row r="2817">
      <c r="M2817" s="11">
        <f>B2817+30</f>
        <v/>
      </c>
      <c r="N2817">
        <f>IF(L2817="", "", L2817-B2817)</f>
        <v/>
      </c>
      <c r="O2817">
        <f>IF(L2817="", "Pending", IF(N2817&lt;=30, "Met", "Breached"))</f>
        <v/>
      </c>
    </row>
    <row r="2818">
      <c r="M2818" s="11">
        <f>B2818+30</f>
        <v/>
      </c>
      <c r="N2818">
        <f>IF(L2818="", "", L2818-B2818)</f>
        <v/>
      </c>
      <c r="O2818">
        <f>IF(L2818="", "Pending", IF(N2818&lt;=30, "Met", "Breached"))</f>
        <v/>
      </c>
    </row>
    <row r="2819">
      <c r="M2819" s="11">
        <f>B2819+30</f>
        <v/>
      </c>
      <c r="N2819">
        <f>IF(L2819="", "", L2819-B2819)</f>
        <v/>
      </c>
      <c r="O2819">
        <f>IF(L2819="", "Pending", IF(N2819&lt;=30, "Met", "Breached"))</f>
        <v/>
      </c>
    </row>
    <row r="2820">
      <c r="M2820" s="11">
        <f>B2820+30</f>
        <v/>
      </c>
      <c r="N2820">
        <f>IF(L2820="", "", L2820-B2820)</f>
        <v/>
      </c>
      <c r="O2820">
        <f>IF(L2820="", "Pending", IF(N2820&lt;=30, "Met", "Breached"))</f>
        <v/>
      </c>
    </row>
    <row r="2821">
      <c r="M2821" s="11">
        <f>B2821+30</f>
        <v/>
      </c>
      <c r="N2821">
        <f>IF(L2821="", "", L2821-B2821)</f>
        <v/>
      </c>
      <c r="O2821">
        <f>IF(L2821="", "Pending", IF(N2821&lt;=30, "Met", "Breached"))</f>
        <v/>
      </c>
    </row>
    <row r="2822">
      <c r="M2822" s="11">
        <f>B2822+30</f>
        <v/>
      </c>
      <c r="N2822">
        <f>IF(L2822="", "", L2822-B2822)</f>
        <v/>
      </c>
      <c r="O2822">
        <f>IF(L2822="", "Pending", IF(N2822&lt;=30, "Met", "Breached"))</f>
        <v/>
      </c>
    </row>
    <row r="2823">
      <c r="M2823" s="11">
        <f>B2823+30</f>
        <v/>
      </c>
      <c r="N2823">
        <f>IF(L2823="", "", L2823-B2823)</f>
        <v/>
      </c>
      <c r="O2823">
        <f>IF(L2823="", "Pending", IF(N2823&lt;=30, "Met", "Breached"))</f>
        <v/>
      </c>
    </row>
    <row r="2824">
      <c r="M2824" s="11">
        <f>B2824+30</f>
        <v/>
      </c>
      <c r="N2824">
        <f>IF(L2824="", "", L2824-B2824)</f>
        <v/>
      </c>
      <c r="O2824">
        <f>IF(L2824="", "Pending", IF(N2824&lt;=30, "Met", "Breached"))</f>
        <v/>
      </c>
    </row>
    <row r="2825">
      <c r="M2825" s="11">
        <f>B2825+30</f>
        <v/>
      </c>
      <c r="N2825">
        <f>IF(L2825="", "", L2825-B2825)</f>
        <v/>
      </c>
      <c r="O2825">
        <f>IF(L2825="", "Pending", IF(N2825&lt;=30, "Met", "Breached"))</f>
        <v/>
      </c>
    </row>
    <row r="2826">
      <c r="M2826" s="11">
        <f>B2826+30</f>
        <v/>
      </c>
      <c r="N2826">
        <f>IF(L2826="", "", L2826-B2826)</f>
        <v/>
      </c>
      <c r="O2826">
        <f>IF(L2826="", "Pending", IF(N2826&lt;=30, "Met", "Breached"))</f>
        <v/>
      </c>
    </row>
    <row r="2827">
      <c r="M2827" s="11">
        <f>B2827+30</f>
        <v/>
      </c>
      <c r="N2827">
        <f>IF(L2827="", "", L2827-B2827)</f>
        <v/>
      </c>
      <c r="O2827">
        <f>IF(L2827="", "Pending", IF(N2827&lt;=30, "Met", "Breached"))</f>
        <v/>
      </c>
    </row>
    <row r="2828">
      <c r="M2828" s="11">
        <f>B2828+30</f>
        <v/>
      </c>
      <c r="N2828">
        <f>IF(L2828="", "", L2828-B2828)</f>
        <v/>
      </c>
      <c r="O2828">
        <f>IF(L2828="", "Pending", IF(N2828&lt;=30, "Met", "Breached"))</f>
        <v/>
      </c>
    </row>
    <row r="2829">
      <c r="M2829" s="11">
        <f>B2829+30</f>
        <v/>
      </c>
      <c r="N2829">
        <f>IF(L2829="", "", L2829-B2829)</f>
        <v/>
      </c>
      <c r="O2829">
        <f>IF(L2829="", "Pending", IF(N2829&lt;=30, "Met", "Breached"))</f>
        <v/>
      </c>
    </row>
    <row r="2830">
      <c r="M2830" s="11">
        <f>B2830+30</f>
        <v/>
      </c>
      <c r="N2830">
        <f>IF(L2830="", "", L2830-B2830)</f>
        <v/>
      </c>
      <c r="O2830">
        <f>IF(L2830="", "Pending", IF(N2830&lt;=30, "Met", "Breached"))</f>
        <v/>
      </c>
    </row>
    <row r="2831">
      <c r="M2831" s="11">
        <f>B2831+30</f>
        <v/>
      </c>
      <c r="N2831">
        <f>IF(L2831="", "", L2831-B2831)</f>
        <v/>
      </c>
      <c r="O2831">
        <f>IF(L2831="", "Pending", IF(N2831&lt;=30, "Met", "Breached"))</f>
        <v/>
      </c>
    </row>
    <row r="2832">
      <c r="M2832" s="11">
        <f>B2832+30</f>
        <v/>
      </c>
      <c r="N2832">
        <f>IF(L2832="", "", L2832-B2832)</f>
        <v/>
      </c>
      <c r="O2832">
        <f>IF(L2832="", "Pending", IF(N2832&lt;=30, "Met", "Breached"))</f>
        <v/>
      </c>
    </row>
    <row r="2833">
      <c r="M2833" s="11">
        <f>B2833+30</f>
        <v/>
      </c>
      <c r="N2833">
        <f>IF(L2833="", "", L2833-B2833)</f>
        <v/>
      </c>
      <c r="O2833">
        <f>IF(L2833="", "Pending", IF(N2833&lt;=30, "Met", "Breached"))</f>
        <v/>
      </c>
    </row>
    <row r="2834">
      <c r="M2834" s="11">
        <f>B2834+30</f>
        <v/>
      </c>
      <c r="N2834">
        <f>IF(L2834="", "", L2834-B2834)</f>
        <v/>
      </c>
      <c r="O2834">
        <f>IF(L2834="", "Pending", IF(N2834&lt;=30, "Met", "Breached"))</f>
        <v/>
      </c>
    </row>
    <row r="2835">
      <c r="M2835" s="11">
        <f>B2835+30</f>
        <v/>
      </c>
      <c r="N2835">
        <f>IF(L2835="", "", L2835-B2835)</f>
        <v/>
      </c>
      <c r="O2835">
        <f>IF(L2835="", "Pending", IF(N2835&lt;=30, "Met", "Breached"))</f>
        <v/>
      </c>
    </row>
    <row r="2836">
      <c r="M2836" s="11">
        <f>B2836+30</f>
        <v/>
      </c>
      <c r="N2836">
        <f>IF(L2836="", "", L2836-B2836)</f>
        <v/>
      </c>
      <c r="O2836">
        <f>IF(L2836="", "Pending", IF(N2836&lt;=30, "Met", "Breached"))</f>
        <v/>
      </c>
    </row>
    <row r="2837">
      <c r="M2837" s="11">
        <f>B2837+30</f>
        <v/>
      </c>
      <c r="N2837">
        <f>IF(L2837="", "", L2837-B2837)</f>
        <v/>
      </c>
      <c r="O2837">
        <f>IF(L2837="", "Pending", IF(N2837&lt;=30, "Met", "Breached"))</f>
        <v/>
      </c>
    </row>
    <row r="2838">
      <c r="M2838" s="11">
        <f>B2838+30</f>
        <v/>
      </c>
      <c r="N2838">
        <f>IF(L2838="", "", L2838-B2838)</f>
        <v/>
      </c>
      <c r="O2838">
        <f>IF(L2838="", "Pending", IF(N2838&lt;=30, "Met", "Breached"))</f>
        <v/>
      </c>
    </row>
    <row r="2839">
      <c r="M2839" s="11">
        <f>B2839+30</f>
        <v/>
      </c>
      <c r="N2839">
        <f>IF(L2839="", "", L2839-B2839)</f>
        <v/>
      </c>
      <c r="O2839">
        <f>IF(L2839="", "Pending", IF(N2839&lt;=30, "Met", "Breached"))</f>
        <v/>
      </c>
    </row>
    <row r="2840">
      <c r="M2840" s="11">
        <f>B2840+30</f>
        <v/>
      </c>
      <c r="N2840">
        <f>IF(L2840="", "", L2840-B2840)</f>
        <v/>
      </c>
      <c r="O2840">
        <f>IF(L2840="", "Pending", IF(N2840&lt;=30, "Met", "Breached"))</f>
        <v/>
      </c>
    </row>
    <row r="2841">
      <c r="M2841" s="11">
        <f>B2841+30</f>
        <v/>
      </c>
      <c r="N2841">
        <f>IF(L2841="", "", L2841-B2841)</f>
        <v/>
      </c>
      <c r="O2841">
        <f>IF(L2841="", "Pending", IF(N2841&lt;=30, "Met", "Breached"))</f>
        <v/>
      </c>
    </row>
    <row r="2842">
      <c r="M2842" s="11">
        <f>B2842+30</f>
        <v/>
      </c>
      <c r="N2842">
        <f>IF(L2842="", "", L2842-B2842)</f>
        <v/>
      </c>
      <c r="O2842">
        <f>IF(L2842="", "Pending", IF(N2842&lt;=30, "Met", "Breached"))</f>
        <v/>
      </c>
    </row>
    <row r="2843">
      <c r="M2843" s="11">
        <f>B2843+30</f>
        <v/>
      </c>
      <c r="N2843">
        <f>IF(L2843="", "", L2843-B2843)</f>
        <v/>
      </c>
      <c r="O2843">
        <f>IF(L2843="", "Pending", IF(N2843&lt;=30, "Met", "Breached"))</f>
        <v/>
      </c>
    </row>
    <row r="2844">
      <c r="M2844" s="11">
        <f>B2844+30</f>
        <v/>
      </c>
      <c r="N2844">
        <f>IF(L2844="", "", L2844-B2844)</f>
        <v/>
      </c>
      <c r="O2844">
        <f>IF(L2844="", "Pending", IF(N2844&lt;=30, "Met", "Breached"))</f>
        <v/>
      </c>
    </row>
    <row r="2845">
      <c r="M2845" s="11">
        <f>B2845+30</f>
        <v/>
      </c>
      <c r="N2845">
        <f>IF(L2845="", "", L2845-B2845)</f>
        <v/>
      </c>
      <c r="O2845">
        <f>IF(L2845="", "Pending", IF(N2845&lt;=30, "Met", "Breached"))</f>
        <v/>
      </c>
    </row>
    <row r="2846">
      <c r="M2846" s="11">
        <f>B2846+30</f>
        <v/>
      </c>
      <c r="N2846">
        <f>IF(L2846="", "", L2846-B2846)</f>
        <v/>
      </c>
      <c r="O2846">
        <f>IF(L2846="", "Pending", IF(N2846&lt;=30, "Met", "Breached"))</f>
        <v/>
      </c>
    </row>
    <row r="2847">
      <c r="M2847" s="11">
        <f>B2847+30</f>
        <v/>
      </c>
      <c r="N2847">
        <f>IF(L2847="", "", L2847-B2847)</f>
        <v/>
      </c>
      <c r="O2847">
        <f>IF(L2847="", "Pending", IF(N2847&lt;=30, "Met", "Breached"))</f>
        <v/>
      </c>
    </row>
    <row r="2848">
      <c r="M2848" s="11">
        <f>B2848+30</f>
        <v/>
      </c>
      <c r="N2848">
        <f>IF(L2848="", "", L2848-B2848)</f>
        <v/>
      </c>
      <c r="O2848">
        <f>IF(L2848="", "Pending", IF(N2848&lt;=30, "Met", "Breached"))</f>
        <v/>
      </c>
    </row>
    <row r="2849">
      <c r="M2849" s="11">
        <f>B2849+30</f>
        <v/>
      </c>
      <c r="N2849">
        <f>IF(L2849="", "", L2849-B2849)</f>
        <v/>
      </c>
      <c r="O2849">
        <f>IF(L2849="", "Pending", IF(N2849&lt;=30, "Met", "Breached"))</f>
        <v/>
      </c>
    </row>
    <row r="2850">
      <c r="M2850" s="11">
        <f>B2850+30</f>
        <v/>
      </c>
      <c r="N2850">
        <f>IF(L2850="", "", L2850-B2850)</f>
        <v/>
      </c>
      <c r="O2850">
        <f>IF(L2850="", "Pending", IF(N2850&lt;=30, "Met", "Breached"))</f>
        <v/>
      </c>
    </row>
    <row r="2851">
      <c r="M2851" s="11">
        <f>B2851+30</f>
        <v/>
      </c>
      <c r="N2851">
        <f>IF(L2851="", "", L2851-B2851)</f>
        <v/>
      </c>
      <c r="O2851">
        <f>IF(L2851="", "Pending", IF(N2851&lt;=30, "Met", "Breached"))</f>
        <v/>
      </c>
    </row>
    <row r="2852">
      <c r="M2852" s="11">
        <f>B2852+30</f>
        <v/>
      </c>
      <c r="N2852">
        <f>IF(L2852="", "", L2852-B2852)</f>
        <v/>
      </c>
      <c r="O2852">
        <f>IF(L2852="", "Pending", IF(N2852&lt;=30, "Met", "Breached"))</f>
        <v/>
      </c>
    </row>
    <row r="2853">
      <c r="M2853" s="11">
        <f>B2853+30</f>
        <v/>
      </c>
      <c r="N2853">
        <f>IF(L2853="", "", L2853-B2853)</f>
        <v/>
      </c>
      <c r="O2853">
        <f>IF(L2853="", "Pending", IF(N2853&lt;=30, "Met", "Breached"))</f>
        <v/>
      </c>
    </row>
    <row r="2854">
      <c r="M2854" s="11">
        <f>B2854+30</f>
        <v/>
      </c>
      <c r="N2854">
        <f>IF(L2854="", "", L2854-B2854)</f>
        <v/>
      </c>
      <c r="O2854">
        <f>IF(L2854="", "Pending", IF(N2854&lt;=30, "Met", "Breached"))</f>
        <v/>
      </c>
    </row>
    <row r="2855">
      <c r="M2855" s="11">
        <f>B2855+30</f>
        <v/>
      </c>
      <c r="N2855">
        <f>IF(L2855="", "", L2855-B2855)</f>
        <v/>
      </c>
      <c r="O2855">
        <f>IF(L2855="", "Pending", IF(N2855&lt;=30, "Met", "Breached"))</f>
        <v/>
      </c>
    </row>
    <row r="2856">
      <c r="M2856" s="11">
        <f>B2856+30</f>
        <v/>
      </c>
      <c r="N2856">
        <f>IF(L2856="", "", L2856-B2856)</f>
        <v/>
      </c>
      <c r="O2856">
        <f>IF(L2856="", "Pending", IF(N2856&lt;=30, "Met", "Breached"))</f>
        <v/>
      </c>
    </row>
    <row r="2857">
      <c r="M2857" s="11">
        <f>B2857+30</f>
        <v/>
      </c>
      <c r="N2857">
        <f>IF(L2857="", "", L2857-B2857)</f>
        <v/>
      </c>
      <c r="O2857">
        <f>IF(L2857="", "Pending", IF(N2857&lt;=30, "Met", "Breached"))</f>
        <v/>
      </c>
    </row>
    <row r="2858">
      <c r="M2858" s="11">
        <f>B2858+30</f>
        <v/>
      </c>
      <c r="N2858">
        <f>IF(L2858="", "", L2858-B2858)</f>
        <v/>
      </c>
      <c r="O2858">
        <f>IF(L2858="", "Pending", IF(N2858&lt;=30, "Met", "Breached"))</f>
        <v/>
      </c>
    </row>
    <row r="2859">
      <c r="M2859" s="11">
        <f>B2859+30</f>
        <v/>
      </c>
      <c r="N2859">
        <f>IF(L2859="", "", L2859-B2859)</f>
        <v/>
      </c>
      <c r="O2859">
        <f>IF(L2859="", "Pending", IF(N2859&lt;=30, "Met", "Breached"))</f>
        <v/>
      </c>
    </row>
    <row r="2860">
      <c r="M2860" s="11">
        <f>B2860+30</f>
        <v/>
      </c>
      <c r="N2860">
        <f>IF(L2860="", "", L2860-B2860)</f>
        <v/>
      </c>
      <c r="O2860">
        <f>IF(L2860="", "Pending", IF(N2860&lt;=30, "Met", "Breached"))</f>
        <v/>
      </c>
    </row>
    <row r="2861">
      <c r="M2861" s="11">
        <f>B2861+30</f>
        <v/>
      </c>
      <c r="N2861">
        <f>IF(L2861="", "", L2861-B2861)</f>
        <v/>
      </c>
      <c r="O2861">
        <f>IF(L2861="", "Pending", IF(N2861&lt;=30, "Met", "Breached"))</f>
        <v/>
      </c>
    </row>
    <row r="2862">
      <c r="M2862" s="11">
        <f>B2862+30</f>
        <v/>
      </c>
      <c r="N2862">
        <f>IF(L2862="", "", L2862-B2862)</f>
        <v/>
      </c>
      <c r="O2862">
        <f>IF(L2862="", "Pending", IF(N2862&lt;=30, "Met", "Breached"))</f>
        <v/>
      </c>
    </row>
    <row r="2863">
      <c r="M2863" s="11">
        <f>B2863+30</f>
        <v/>
      </c>
      <c r="N2863">
        <f>IF(L2863="", "", L2863-B2863)</f>
        <v/>
      </c>
      <c r="O2863">
        <f>IF(L2863="", "Pending", IF(N2863&lt;=30, "Met", "Breached"))</f>
        <v/>
      </c>
    </row>
    <row r="2864">
      <c r="M2864" s="11">
        <f>B2864+30</f>
        <v/>
      </c>
      <c r="N2864">
        <f>IF(L2864="", "", L2864-B2864)</f>
        <v/>
      </c>
      <c r="O2864">
        <f>IF(L2864="", "Pending", IF(N2864&lt;=30, "Met", "Breached"))</f>
        <v/>
      </c>
    </row>
    <row r="2865">
      <c r="M2865" s="11">
        <f>B2865+30</f>
        <v/>
      </c>
      <c r="N2865">
        <f>IF(L2865="", "", L2865-B2865)</f>
        <v/>
      </c>
      <c r="O2865">
        <f>IF(L2865="", "Pending", IF(N2865&lt;=30, "Met", "Breached"))</f>
        <v/>
      </c>
    </row>
    <row r="2866">
      <c r="M2866" s="11">
        <f>B2866+30</f>
        <v/>
      </c>
      <c r="N2866">
        <f>IF(L2866="", "", L2866-B2866)</f>
        <v/>
      </c>
      <c r="O2866">
        <f>IF(L2866="", "Pending", IF(N2866&lt;=30, "Met", "Breached"))</f>
        <v/>
      </c>
    </row>
    <row r="2867">
      <c r="M2867" s="11">
        <f>B2867+30</f>
        <v/>
      </c>
      <c r="N2867">
        <f>IF(L2867="", "", L2867-B2867)</f>
        <v/>
      </c>
      <c r="O2867">
        <f>IF(L2867="", "Pending", IF(N2867&lt;=30, "Met", "Breached"))</f>
        <v/>
      </c>
    </row>
    <row r="2868">
      <c r="M2868" s="11">
        <f>B2868+30</f>
        <v/>
      </c>
      <c r="N2868">
        <f>IF(L2868="", "", L2868-B2868)</f>
        <v/>
      </c>
      <c r="O2868">
        <f>IF(L2868="", "Pending", IF(N2868&lt;=30, "Met", "Breached"))</f>
        <v/>
      </c>
    </row>
    <row r="2869">
      <c r="M2869" s="11">
        <f>B2869+30</f>
        <v/>
      </c>
      <c r="N2869">
        <f>IF(L2869="", "", L2869-B2869)</f>
        <v/>
      </c>
      <c r="O2869">
        <f>IF(L2869="", "Pending", IF(N2869&lt;=30, "Met", "Breached"))</f>
        <v/>
      </c>
    </row>
    <row r="2870">
      <c r="M2870" s="11">
        <f>B2870+30</f>
        <v/>
      </c>
      <c r="N2870">
        <f>IF(L2870="", "", L2870-B2870)</f>
        <v/>
      </c>
      <c r="O2870">
        <f>IF(L2870="", "Pending", IF(N2870&lt;=30, "Met", "Breached"))</f>
        <v/>
      </c>
    </row>
    <row r="2871">
      <c r="M2871" s="11">
        <f>B2871+30</f>
        <v/>
      </c>
      <c r="N2871">
        <f>IF(L2871="", "", L2871-B2871)</f>
        <v/>
      </c>
      <c r="O2871">
        <f>IF(L2871="", "Pending", IF(N2871&lt;=30, "Met", "Breached"))</f>
        <v/>
      </c>
    </row>
    <row r="2872">
      <c r="M2872" s="11">
        <f>B2872+30</f>
        <v/>
      </c>
      <c r="N2872">
        <f>IF(L2872="", "", L2872-B2872)</f>
        <v/>
      </c>
      <c r="O2872">
        <f>IF(L2872="", "Pending", IF(N2872&lt;=30, "Met", "Breached"))</f>
        <v/>
      </c>
    </row>
    <row r="2873">
      <c r="M2873" s="11">
        <f>B2873+30</f>
        <v/>
      </c>
      <c r="N2873">
        <f>IF(L2873="", "", L2873-B2873)</f>
        <v/>
      </c>
      <c r="O2873">
        <f>IF(L2873="", "Pending", IF(N2873&lt;=30, "Met", "Breached"))</f>
        <v/>
      </c>
    </row>
    <row r="2874">
      <c r="M2874" s="11">
        <f>B2874+30</f>
        <v/>
      </c>
      <c r="N2874">
        <f>IF(L2874="", "", L2874-B2874)</f>
        <v/>
      </c>
      <c r="O2874">
        <f>IF(L2874="", "Pending", IF(N2874&lt;=30, "Met", "Breached"))</f>
        <v/>
      </c>
    </row>
    <row r="2875">
      <c r="M2875" s="11">
        <f>B2875+30</f>
        <v/>
      </c>
      <c r="N2875">
        <f>IF(L2875="", "", L2875-B2875)</f>
        <v/>
      </c>
      <c r="O2875">
        <f>IF(L2875="", "Pending", IF(N2875&lt;=30, "Met", "Breached"))</f>
        <v/>
      </c>
    </row>
    <row r="2876">
      <c r="M2876" s="11">
        <f>B2876+30</f>
        <v/>
      </c>
      <c r="N2876">
        <f>IF(L2876="", "", L2876-B2876)</f>
        <v/>
      </c>
      <c r="O2876">
        <f>IF(L2876="", "Pending", IF(N2876&lt;=30, "Met", "Breached"))</f>
        <v/>
      </c>
    </row>
    <row r="2877">
      <c r="M2877" s="11">
        <f>B2877+30</f>
        <v/>
      </c>
      <c r="N2877">
        <f>IF(L2877="", "", L2877-B2877)</f>
        <v/>
      </c>
      <c r="O2877">
        <f>IF(L2877="", "Pending", IF(N2877&lt;=30, "Met", "Breached"))</f>
        <v/>
      </c>
    </row>
    <row r="2878">
      <c r="M2878" s="11">
        <f>B2878+30</f>
        <v/>
      </c>
      <c r="N2878">
        <f>IF(L2878="", "", L2878-B2878)</f>
        <v/>
      </c>
      <c r="O2878">
        <f>IF(L2878="", "Pending", IF(N2878&lt;=30, "Met", "Breached"))</f>
        <v/>
      </c>
    </row>
    <row r="2879">
      <c r="M2879" s="11">
        <f>B2879+30</f>
        <v/>
      </c>
      <c r="N2879">
        <f>IF(L2879="", "", L2879-B2879)</f>
        <v/>
      </c>
      <c r="O2879">
        <f>IF(L2879="", "Pending", IF(N2879&lt;=30, "Met", "Breached"))</f>
        <v/>
      </c>
    </row>
    <row r="2880">
      <c r="M2880" s="11">
        <f>B2880+30</f>
        <v/>
      </c>
      <c r="N2880">
        <f>IF(L2880="", "", L2880-B2880)</f>
        <v/>
      </c>
      <c r="O2880">
        <f>IF(L2880="", "Pending", IF(N2880&lt;=30, "Met", "Breached"))</f>
        <v/>
      </c>
    </row>
    <row r="2881">
      <c r="M2881" s="11">
        <f>B2881+30</f>
        <v/>
      </c>
      <c r="N2881">
        <f>IF(L2881="", "", L2881-B2881)</f>
        <v/>
      </c>
      <c r="O2881">
        <f>IF(L2881="", "Pending", IF(N2881&lt;=30, "Met", "Breached"))</f>
        <v/>
      </c>
    </row>
    <row r="2882">
      <c r="M2882" s="11">
        <f>B2882+30</f>
        <v/>
      </c>
      <c r="N2882">
        <f>IF(L2882="", "", L2882-B2882)</f>
        <v/>
      </c>
      <c r="O2882">
        <f>IF(L2882="", "Pending", IF(N2882&lt;=30, "Met", "Breached"))</f>
        <v/>
      </c>
    </row>
    <row r="2883">
      <c r="M2883" s="11">
        <f>B2883+30</f>
        <v/>
      </c>
      <c r="N2883">
        <f>IF(L2883="", "", L2883-B2883)</f>
        <v/>
      </c>
      <c r="O2883">
        <f>IF(L2883="", "Pending", IF(N2883&lt;=30, "Met", "Breached"))</f>
        <v/>
      </c>
    </row>
    <row r="2884">
      <c r="M2884" s="11">
        <f>B2884+30</f>
        <v/>
      </c>
      <c r="N2884">
        <f>IF(L2884="", "", L2884-B2884)</f>
        <v/>
      </c>
      <c r="O2884">
        <f>IF(L2884="", "Pending", IF(N2884&lt;=30, "Met", "Breached"))</f>
        <v/>
      </c>
    </row>
    <row r="2885">
      <c r="M2885" s="11">
        <f>B2885+30</f>
        <v/>
      </c>
      <c r="N2885">
        <f>IF(L2885="", "", L2885-B2885)</f>
        <v/>
      </c>
      <c r="O2885">
        <f>IF(L2885="", "Pending", IF(N2885&lt;=30, "Met", "Breached"))</f>
        <v/>
      </c>
    </row>
    <row r="2886">
      <c r="M2886" s="11">
        <f>B2886+30</f>
        <v/>
      </c>
      <c r="N2886">
        <f>IF(L2886="", "", L2886-B2886)</f>
        <v/>
      </c>
      <c r="O2886">
        <f>IF(L2886="", "Pending", IF(N2886&lt;=30, "Met", "Breached"))</f>
        <v/>
      </c>
    </row>
    <row r="2887">
      <c r="M2887" s="11">
        <f>B2887+30</f>
        <v/>
      </c>
      <c r="N2887">
        <f>IF(L2887="", "", L2887-B2887)</f>
        <v/>
      </c>
      <c r="O2887">
        <f>IF(L2887="", "Pending", IF(N2887&lt;=30, "Met", "Breached"))</f>
        <v/>
      </c>
    </row>
    <row r="2888">
      <c r="M2888" s="11">
        <f>B2888+30</f>
        <v/>
      </c>
      <c r="N2888">
        <f>IF(L2888="", "", L2888-B2888)</f>
        <v/>
      </c>
      <c r="O2888">
        <f>IF(L2888="", "Pending", IF(N2888&lt;=30, "Met", "Breached"))</f>
        <v/>
      </c>
    </row>
    <row r="2889">
      <c r="M2889" s="11">
        <f>B2889+30</f>
        <v/>
      </c>
      <c r="N2889">
        <f>IF(L2889="", "", L2889-B2889)</f>
        <v/>
      </c>
      <c r="O2889">
        <f>IF(L2889="", "Pending", IF(N2889&lt;=30, "Met", "Breached"))</f>
        <v/>
      </c>
    </row>
    <row r="2890">
      <c r="M2890" s="11">
        <f>B2890+30</f>
        <v/>
      </c>
      <c r="N2890">
        <f>IF(L2890="", "", L2890-B2890)</f>
        <v/>
      </c>
      <c r="O2890">
        <f>IF(L2890="", "Pending", IF(N2890&lt;=30, "Met", "Breached"))</f>
        <v/>
      </c>
    </row>
    <row r="2891">
      <c r="M2891" s="11">
        <f>B2891+30</f>
        <v/>
      </c>
      <c r="N2891">
        <f>IF(L2891="", "", L2891-B2891)</f>
        <v/>
      </c>
      <c r="O2891">
        <f>IF(L2891="", "Pending", IF(N2891&lt;=30, "Met", "Breached"))</f>
        <v/>
      </c>
    </row>
    <row r="2892">
      <c r="M2892" s="11">
        <f>B2892+30</f>
        <v/>
      </c>
      <c r="N2892">
        <f>IF(L2892="", "", L2892-B2892)</f>
        <v/>
      </c>
      <c r="O2892">
        <f>IF(L2892="", "Pending", IF(N2892&lt;=30, "Met", "Breached"))</f>
        <v/>
      </c>
    </row>
    <row r="2893">
      <c r="M2893" s="11">
        <f>B2893+30</f>
        <v/>
      </c>
      <c r="N2893">
        <f>IF(L2893="", "", L2893-B2893)</f>
        <v/>
      </c>
      <c r="O2893">
        <f>IF(L2893="", "Pending", IF(N2893&lt;=30, "Met", "Breached"))</f>
        <v/>
      </c>
    </row>
    <row r="2894">
      <c r="M2894" s="11">
        <f>B2894+30</f>
        <v/>
      </c>
      <c r="N2894">
        <f>IF(L2894="", "", L2894-B2894)</f>
        <v/>
      </c>
      <c r="O2894">
        <f>IF(L2894="", "Pending", IF(N2894&lt;=30, "Met", "Breached"))</f>
        <v/>
      </c>
    </row>
    <row r="2895">
      <c r="M2895" s="11">
        <f>B2895+30</f>
        <v/>
      </c>
      <c r="N2895">
        <f>IF(L2895="", "", L2895-B2895)</f>
        <v/>
      </c>
      <c r="O2895">
        <f>IF(L2895="", "Pending", IF(N2895&lt;=30, "Met", "Breached"))</f>
        <v/>
      </c>
    </row>
    <row r="2896">
      <c r="M2896" s="11">
        <f>B2896+30</f>
        <v/>
      </c>
      <c r="N2896">
        <f>IF(L2896="", "", L2896-B2896)</f>
        <v/>
      </c>
      <c r="O2896">
        <f>IF(L2896="", "Pending", IF(N2896&lt;=30, "Met", "Breached"))</f>
        <v/>
      </c>
    </row>
    <row r="2897">
      <c r="M2897" s="11">
        <f>B2897+30</f>
        <v/>
      </c>
      <c r="N2897">
        <f>IF(L2897="", "", L2897-B2897)</f>
        <v/>
      </c>
      <c r="O2897">
        <f>IF(L2897="", "Pending", IF(N2897&lt;=30, "Met", "Breached"))</f>
        <v/>
      </c>
    </row>
    <row r="2898">
      <c r="M2898" s="11">
        <f>B2898+30</f>
        <v/>
      </c>
      <c r="N2898">
        <f>IF(L2898="", "", L2898-B2898)</f>
        <v/>
      </c>
      <c r="O2898">
        <f>IF(L2898="", "Pending", IF(N2898&lt;=30, "Met", "Breached"))</f>
        <v/>
      </c>
    </row>
    <row r="2899">
      <c r="M2899" s="11">
        <f>B2899+30</f>
        <v/>
      </c>
      <c r="N2899">
        <f>IF(L2899="", "", L2899-B2899)</f>
        <v/>
      </c>
      <c r="O2899">
        <f>IF(L2899="", "Pending", IF(N2899&lt;=30, "Met", "Breached"))</f>
        <v/>
      </c>
    </row>
    <row r="2900">
      <c r="M2900" s="11">
        <f>B2900+30</f>
        <v/>
      </c>
      <c r="N2900">
        <f>IF(L2900="", "", L2900-B2900)</f>
        <v/>
      </c>
      <c r="O2900">
        <f>IF(L2900="", "Pending", IF(N2900&lt;=30, "Met", "Breached"))</f>
        <v/>
      </c>
    </row>
    <row r="2901">
      <c r="M2901" s="11">
        <f>B2901+30</f>
        <v/>
      </c>
      <c r="N2901">
        <f>IF(L2901="", "", L2901-B2901)</f>
        <v/>
      </c>
      <c r="O2901">
        <f>IF(L2901="", "Pending", IF(N2901&lt;=30, "Met", "Breached"))</f>
        <v/>
      </c>
    </row>
    <row r="2902">
      <c r="M2902" s="11">
        <f>B2902+30</f>
        <v/>
      </c>
      <c r="N2902">
        <f>IF(L2902="", "", L2902-B2902)</f>
        <v/>
      </c>
      <c r="O2902">
        <f>IF(L2902="", "Pending", IF(N2902&lt;=30, "Met", "Breached"))</f>
        <v/>
      </c>
    </row>
    <row r="2903">
      <c r="M2903" s="11">
        <f>B2903+30</f>
        <v/>
      </c>
      <c r="N2903">
        <f>IF(L2903="", "", L2903-B2903)</f>
        <v/>
      </c>
      <c r="O2903">
        <f>IF(L2903="", "Pending", IF(N2903&lt;=30, "Met", "Breached"))</f>
        <v/>
      </c>
    </row>
    <row r="2904">
      <c r="M2904" s="11">
        <f>B2904+30</f>
        <v/>
      </c>
      <c r="N2904">
        <f>IF(L2904="", "", L2904-B2904)</f>
        <v/>
      </c>
      <c r="O2904">
        <f>IF(L2904="", "Pending", IF(N2904&lt;=30, "Met", "Breached"))</f>
        <v/>
      </c>
    </row>
    <row r="2905">
      <c r="M2905" s="11">
        <f>B2905+30</f>
        <v/>
      </c>
      <c r="N2905">
        <f>IF(L2905="", "", L2905-B2905)</f>
        <v/>
      </c>
      <c r="O2905">
        <f>IF(L2905="", "Pending", IF(N2905&lt;=30, "Met", "Breached"))</f>
        <v/>
      </c>
    </row>
    <row r="2906">
      <c r="M2906" s="11">
        <f>B2906+30</f>
        <v/>
      </c>
      <c r="N2906">
        <f>IF(L2906="", "", L2906-B2906)</f>
        <v/>
      </c>
      <c r="O2906">
        <f>IF(L2906="", "Pending", IF(N2906&lt;=30, "Met", "Breached"))</f>
        <v/>
      </c>
    </row>
    <row r="2907">
      <c r="M2907" s="11">
        <f>B2907+30</f>
        <v/>
      </c>
      <c r="N2907">
        <f>IF(L2907="", "", L2907-B2907)</f>
        <v/>
      </c>
      <c r="O2907">
        <f>IF(L2907="", "Pending", IF(N2907&lt;=30, "Met", "Breached"))</f>
        <v/>
      </c>
    </row>
    <row r="2908">
      <c r="M2908" s="11">
        <f>B2908+30</f>
        <v/>
      </c>
      <c r="N2908">
        <f>IF(L2908="", "", L2908-B2908)</f>
        <v/>
      </c>
      <c r="O2908">
        <f>IF(L2908="", "Pending", IF(N2908&lt;=30, "Met", "Breached"))</f>
        <v/>
      </c>
    </row>
    <row r="2909">
      <c r="M2909" s="11">
        <f>B2909+30</f>
        <v/>
      </c>
      <c r="N2909">
        <f>IF(L2909="", "", L2909-B2909)</f>
        <v/>
      </c>
      <c r="O2909">
        <f>IF(L2909="", "Pending", IF(N2909&lt;=30, "Met", "Breached"))</f>
        <v/>
      </c>
    </row>
    <row r="2910">
      <c r="M2910" s="11">
        <f>B2910+30</f>
        <v/>
      </c>
      <c r="N2910">
        <f>IF(L2910="", "", L2910-B2910)</f>
        <v/>
      </c>
      <c r="O2910">
        <f>IF(L2910="", "Pending", IF(N2910&lt;=30, "Met", "Breached"))</f>
        <v/>
      </c>
    </row>
    <row r="2911">
      <c r="M2911" s="11">
        <f>B2911+30</f>
        <v/>
      </c>
      <c r="N2911">
        <f>IF(L2911="", "", L2911-B2911)</f>
        <v/>
      </c>
      <c r="O2911">
        <f>IF(L2911="", "Pending", IF(N2911&lt;=30, "Met", "Breached"))</f>
        <v/>
      </c>
    </row>
    <row r="2912">
      <c r="M2912" s="11">
        <f>B2912+30</f>
        <v/>
      </c>
      <c r="N2912">
        <f>IF(L2912="", "", L2912-B2912)</f>
        <v/>
      </c>
      <c r="O2912">
        <f>IF(L2912="", "Pending", IF(N2912&lt;=30, "Met", "Breached"))</f>
        <v/>
      </c>
    </row>
    <row r="2913">
      <c r="M2913" s="11">
        <f>B2913+30</f>
        <v/>
      </c>
      <c r="N2913">
        <f>IF(L2913="", "", L2913-B2913)</f>
        <v/>
      </c>
      <c r="O2913">
        <f>IF(L2913="", "Pending", IF(N2913&lt;=30, "Met", "Breached"))</f>
        <v/>
      </c>
    </row>
    <row r="2914">
      <c r="M2914" s="11">
        <f>B2914+30</f>
        <v/>
      </c>
      <c r="N2914">
        <f>IF(L2914="", "", L2914-B2914)</f>
        <v/>
      </c>
      <c r="O2914">
        <f>IF(L2914="", "Pending", IF(N2914&lt;=30, "Met", "Breached"))</f>
        <v/>
      </c>
    </row>
    <row r="2915">
      <c r="M2915" s="11">
        <f>B2915+30</f>
        <v/>
      </c>
      <c r="N2915">
        <f>IF(L2915="", "", L2915-B2915)</f>
        <v/>
      </c>
      <c r="O2915">
        <f>IF(L2915="", "Pending", IF(N2915&lt;=30, "Met", "Breached"))</f>
        <v/>
      </c>
    </row>
    <row r="2916">
      <c r="M2916" s="11">
        <f>B2916+30</f>
        <v/>
      </c>
      <c r="N2916">
        <f>IF(L2916="", "", L2916-B2916)</f>
        <v/>
      </c>
      <c r="O2916">
        <f>IF(L2916="", "Pending", IF(N2916&lt;=30, "Met", "Breached"))</f>
        <v/>
      </c>
    </row>
    <row r="2917">
      <c r="M2917" s="11">
        <f>B2917+30</f>
        <v/>
      </c>
      <c r="N2917">
        <f>IF(L2917="", "", L2917-B2917)</f>
        <v/>
      </c>
      <c r="O2917">
        <f>IF(L2917="", "Pending", IF(N2917&lt;=30, "Met", "Breached"))</f>
        <v/>
      </c>
    </row>
    <row r="2918">
      <c r="M2918" s="11">
        <f>B2918+30</f>
        <v/>
      </c>
      <c r="N2918">
        <f>IF(L2918="", "", L2918-B2918)</f>
        <v/>
      </c>
      <c r="O2918">
        <f>IF(L2918="", "Pending", IF(N2918&lt;=30, "Met", "Breached"))</f>
        <v/>
      </c>
    </row>
    <row r="2919">
      <c r="M2919" s="11">
        <f>B2919+30</f>
        <v/>
      </c>
      <c r="N2919">
        <f>IF(L2919="", "", L2919-B2919)</f>
        <v/>
      </c>
      <c r="O2919">
        <f>IF(L2919="", "Pending", IF(N2919&lt;=30, "Met", "Breached"))</f>
        <v/>
      </c>
    </row>
    <row r="2920">
      <c r="M2920" s="11">
        <f>B2920+30</f>
        <v/>
      </c>
      <c r="N2920">
        <f>IF(L2920="", "", L2920-B2920)</f>
        <v/>
      </c>
      <c r="O2920">
        <f>IF(L2920="", "Pending", IF(N2920&lt;=30, "Met", "Breached"))</f>
        <v/>
      </c>
    </row>
    <row r="2921">
      <c r="M2921" s="11">
        <f>B2921+30</f>
        <v/>
      </c>
      <c r="N2921">
        <f>IF(L2921="", "", L2921-B2921)</f>
        <v/>
      </c>
      <c r="O2921">
        <f>IF(L2921="", "Pending", IF(N2921&lt;=30, "Met", "Breached"))</f>
        <v/>
      </c>
    </row>
    <row r="2922">
      <c r="M2922" s="11">
        <f>B2922+30</f>
        <v/>
      </c>
      <c r="N2922">
        <f>IF(L2922="", "", L2922-B2922)</f>
        <v/>
      </c>
      <c r="O2922">
        <f>IF(L2922="", "Pending", IF(N2922&lt;=30, "Met", "Breached"))</f>
        <v/>
      </c>
    </row>
    <row r="2923">
      <c r="M2923" s="11">
        <f>B2923+30</f>
        <v/>
      </c>
      <c r="N2923">
        <f>IF(L2923="", "", L2923-B2923)</f>
        <v/>
      </c>
      <c r="O2923">
        <f>IF(L2923="", "Pending", IF(N2923&lt;=30, "Met", "Breached"))</f>
        <v/>
      </c>
    </row>
    <row r="2924">
      <c r="M2924" s="11">
        <f>B2924+30</f>
        <v/>
      </c>
      <c r="N2924">
        <f>IF(L2924="", "", L2924-B2924)</f>
        <v/>
      </c>
      <c r="O2924">
        <f>IF(L2924="", "Pending", IF(N2924&lt;=30, "Met", "Breached"))</f>
        <v/>
      </c>
    </row>
    <row r="2925">
      <c r="M2925" s="11">
        <f>B2925+30</f>
        <v/>
      </c>
      <c r="N2925">
        <f>IF(L2925="", "", L2925-B2925)</f>
        <v/>
      </c>
      <c r="O2925">
        <f>IF(L2925="", "Pending", IF(N2925&lt;=30, "Met", "Breached"))</f>
        <v/>
      </c>
    </row>
    <row r="2926">
      <c r="M2926" s="11">
        <f>B2926+30</f>
        <v/>
      </c>
      <c r="N2926">
        <f>IF(L2926="", "", L2926-B2926)</f>
        <v/>
      </c>
      <c r="O2926">
        <f>IF(L2926="", "Pending", IF(N2926&lt;=30, "Met", "Breached"))</f>
        <v/>
      </c>
    </row>
    <row r="2927">
      <c r="M2927" s="11">
        <f>B2927+30</f>
        <v/>
      </c>
      <c r="N2927">
        <f>IF(L2927="", "", L2927-B2927)</f>
        <v/>
      </c>
      <c r="O2927">
        <f>IF(L2927="", "Pending", IF(N2927&lt;=30, "Met", "Breached"))</f>
        <v/>
      </c>
    </row>
    <row r="2928">
      <c r="M2928" s="11">
        <f>B2928+30</f>
        <v/>
      </c>
      <c r="N2928">
        <f>IF(L2928="", "", L2928-B2928)</f>
        <v/>
      </c>
      <c r="O2928">
        <f>IF(L2928="", "Pending", IF(N2928&lt;=30, "Met", "Breached"))</f>
        <v/>
      </c>
    </row>
    <row r="2929">
      <c r="M2929" s="11">
        <f>B2929+30</f>
        <v/>
      </c>
      <c r="N2929">
        <f>IF(L2929="", "", L2929-B2929)</f>
        <v/>
      </c>
      <c r="O2929">
        <f>IF(L2929="", "Pending", IF(N2929&lt;=30, "Met", "Breached"))</f>
        <v/>
      </c>
    </row>
    <row r="2930">
      <c r="M2930" s="11">
        <f>B2930+30</f>
        <v/>
      </c>
      <c r="N2930">
        <f>IF(L2930="", "", L2930-B2930)</f>
        <v/>
      </c>
      <c r="O2930">
        <f>IF(L2930="", "Pending", IF(N2930&lt;=30, "Met", "Breached"))</f>
        <v/>
      </c>
    </row>
    <row r="2931">
      <c r="M2931" s="11">
        <f>B2931+30</f>
        <v/>
      </c>
      <c r="N2931">
        <f>IF(L2931="", "", L2931-B2931)</f>
        <v/>
      </c>
      <c r="O2931">
        <f>IF(L2931="", "Pending", IF(N2931&lt;=30, "Met", "Breached"))</f>
        <v/>
      </c>
    </row>
    <row r="2932">
      <c r="M2932" s="11">
        <f>B2932+30</f>
        <v/>
      </c>
      <c r="N2932">
        <f>IF(L2932="", "", L2932-B2932)</f>
        <v/>
      </c>
      <c r="O2932">
        <f>IF(L2932="", "Pending", IF(N2932&lt;=30, "Met", "Breached"))</f>
        <v/>
      </c>
    </row>
    <row r="2933">
      <c r="M2933" s="11">
        <f>B2933+30</f>
        <v/>
      </c>
      <c r="N2933">
        <f>IF(L2933="", "", L2933-B2933)</f>
        <v/>
      </c>
      <c r="O2933">
        <f>IF(L2933="", "Pending", IF(N2933&lt;=30, "Met", "Breached"))</f>
        <v/>
      </c>
    </row>
    <row r="2934">
      <c r="M2934" s="11">
        <f>B2934+30</f>
        <v/>
      </c>
      <c r="N2934">
        <f>IF(L2934="", "", L2934-B2934)</f>
        <v/>
      </c>
      <c r="O2934">
        <f>IF(L2934="", "Pending", IF(N2934&lt;=30, "Met", "Breached"))</f>
        <v/>
      </c>
    </row>
    <row r="2935">
      <c r="M2935" s="11">
        <f>B2935+30</f>
        <v/>
      </c>
      <c r="N2935">
        <f>IF(L2935="", "", L2935-B2935)</f>
        <v/>
      </c>
      <c r="O2935">
        <f>IF(L2935="", "Pending", IF(N2935&lt;=30, "Met", "Breached"))</f>
        <v/>
      </c>
    </row>
    <row r="2936">
      <c r="M2936" s="11">
        <f>B2936+30</f>
        <v/>
      </c>
      <c r="N2936">
        <f>IF(L2936="", "", L2936-B2936)</f>
        <v/>
      </c>
      <c r="O2936">
        <f>IF(L2936="", "Pending", IF(N2936&lt;=30, "Met", "Breached"))</f>
        <v/>
      </c>
    </row>
    <row r="2937">
      <c r="M2937" s="11">
        <f>B2937+30</f>
        <v/>
      </c>
      <c r="N2937">
        <f>IF(L2937="", "", L2937-B2937)</f>
        <v/>
      </c>
      <c r="O2937">
        <f>IF(L2937="", "Pending", IF(N2937&lt;=30, "Met", "Breached"))</f>
        <v/>
      </c>
    </row>
    <row r="2938">
      <c r="M2938" s="11">
        <f>B2938+30</f>
        <v/>
      </c>
      <c r="N2938">
        <f>IF(L2938="", "", L2938-B2938)</f>
        <v/>
      </c>
      <c r="O2938">
        <f>IF(L2938="", "Pending", IF(N2938&lt;=30, "Met", "Breached"))</f>
        <v/>
      </c>
    </row>
    <row r="2939">
      <c r="M2939" s="11">
        <f>B2939+30</f>
        <v/>
      </c>
      <c r="N2939">
        <f>IF(L2939="", "", L2939-B2939)</f>
        <v/>
      </c>
      <c r="O2939">
        <f>IF(L2939="", "Pending", IF(N2939&lt;=30, "Met", "Breached"))</f>
        <v/>
      </c>
    </row>
    <row r="2940">
      <c r="M2940" s="11">
        <f>B2940+30</f>
        <v/>
      </c>
      <c r="N2940">
        <f>IF(L2940="", "", L2940-B2940)</f>
        <v/>
      </c>
      <c r="O2940">
        <f>IF(L2940="", "Pending", IF(N2940&lt;=30, "Met", "Breached"))</f>
        <v/>
      </c>
    </row>
    <row r="2941">
      <c r="M2941" s="11">
        <f>B2941+30</f>
        <v/>
      </c>
      <c r="N2941">
        <f>IF(L2941="", "", L2941-B2941)</f>
        <v/>
      </c>
      <c r="O2941">
        <f>IF(L2941="", "Pending", IF(N2941&lt;=30, "Met", "Breached"))</f>
        <v/>
      </c>
    </row>
    <row r="2942">
      <c r="M2942" s="11">
        <f>B2942+30</f>
        <v/>
      </c>
      <c r="N2942">
        <f>IF(L2942="", "", L2942-B2942)</f>
        <v/>
      </c>
      <c r="O2942">
        <f>IF(L2942="", "Pending", IF(N2942&lt;=30, "Met", "Breached"))</f>
        <v/>
      </c>
    </row>
    <row r="2943">
      <c r="M2943" s="11">
        <f>B2943+30</f>
        <v/>
      </c>
      <c r="N2943">
        <f>IF(L2943="", "", L2943-B2943)</f>
        <v/>
      </c>
      <c r="O2943">
        <f>IF(L2943="", "Pending", IF(N2943&lt;=30, "Met", "Breached"))</f>
        <v/>
      </c>
    </row>
    <row r="2944">
      <c r="M2944" s="11">
        <f>B2944+30</f>
        <v/>
      </c>
      <c r="N2944">
        <f>IF(L2944="", "", L2944-B2944)</f>
        <v/>
      </c>
      <c r="O2944">
        <f>IF(L2944="", "Pending", IF(N2944&lt;=30, "Met", "Breached"))</f>
        <v/>
      </c>
    </row>
    <row r="2945">
      <c r="M2945" s="11">
        <f>B2945+30</f>
        <v/>
      </c>
      <c r="N2945">
        <f>IF(L2945="", "", L2945-B2945)</f>
        <v/>
      </c>
      <c r="O2945">
        <f>IF(L2945="", "Pending", IF(N2945&lt;=30, "Met", "Breached"))</f>
        <v/>
      </c>
    </row>
    <row r="2946">
      <c r="M2946" s="11">
        <f>B2946+30</f>
        <v/>
      </c>
      <c r="N2946">
        <f>IF(L2946="", "", L2946-B2946)</f>
        <v/>
      </c>
      <c r="O2946">
        <f>IF(L2946="", "Pending", IF(N2946&lt;=30, "Met", "Breached"))</f>
        <v/>
      </c>
    </row>
    <row r="2947">
      <c r="M2947" s="11">
        <f>B2947+30</f>
        <v/>
      </c>
      <c r="N2947">
        <f>IF(L2947="", "", L2947-B2947)</f>
        <v/>
      </c>
      <c r="O2947">
        <f>IF(L2947="", "Pending", IF(N2947&lt;=30, "Met", "Breached"))</f>
        <v/>
      </c>
    </row>
    <row r="2948">
      <c r="M2948" s="11">
        <f>B2948+30</f>
        <v/>
      </c>
      <c r="N2948">
        <f>IF(L2948="", "", L2948-B2948)</f>
        <v/>
      </c>
      <c r="O2948">
        <f>IF(L2948="", "Pending", IF(N2948&lt;=30, "Met", "Breached"))</f>
        <v/>
      </c>
    </row>
    <row r="2949">
      <c r="M2949" s="11">
        <f>B2949+30</f>
        <v/>
      </c>
      <c r="N2949">
        <f>IF(L2949="", "", L2949-B2949)</f>
        <v/>
      </c>
      <c r="O2949">
        <f>IF(L2949="", "Pending", IF(N2949&lt;=30, "Met", "Breached"))</f>
        <v/>
      </c>
    </row>
    <row r="2950">
      <c r="M2950" s="11">
        <f>B2950+30</f>
        <v/>
      </c>
      <c r="N2950">
        <f>IF(L2950="", "", L2950-B2950)</f>
        <v/>
      </c>
      <c r="O2950">
        <f>IF(L2950="", "Pending", IF(N2950&lt;=30, "Met", "Breached"))</f>
        <v/>
      </c>
    </row>
    <row r="2951">
      <c r="M2951" s="11">
        <f>B2951+30</f>
        <v/>
      </c>
      <c r="N2951">
        <f>IF(L2951="", "", L2951-B2951)</f>
        <v/>
      </c>
      <c r="O2951">
        <f>IF(L2951="", "Pending", IF(N2951&lt;=30, "Met", "Breached"))</f>
        <v/>
      </c>
    </row>
    <row r="2952">
      <c r="M2952" s="11">
        <f>B2952+30</f>
        <v/>
      </c>
      <c r="N2952">
        <f>IF(L2952="", "", L2952-B2952)</f>
        <v/>
      </c>
      <c r="O2952">
        <f>IF(L2952="", "Pending", IF(N2952&lt;=30, "Met", "Breached"))</f>
        <v/>
      </c>
    </row>
    <row r="2953">
      <c r="M2953" s="11">
        <f>B2953+30</f>
        <v/>
      </c>
      <c r="N2953">
        <f>IF(L2953="", "", L2953-B2953)</f>
        <v/>
      </c>
      <c r="O2953">
        <f>IF(L2953="", "Pending", IF(N2953&lt;=30, "Met", "Breached"))</f>
        <v/>
      </c>
    </row>
    <row r="2954">
      <c r="M2954" s="11">
        <f>B2954+30</f>
        <v/>
      </c>
      <c r="N2954">
        <f>IF(L2954="", "", L2954-B2954)</f>
        <v/>
      </c>
      <c r="O2954">
        <f>IF(L2954="", "Pending", IF(N2954&lt;=30, "Met", "Breached"))</f>
        <v/>
      </c>
    </row>
    <row r="2955">
      <c r="M2955" s="11">
        <f>B2955+30</f>
        <v/>
      </c>
      <c r="N2955">
        <f>IF(L2955="", "", L2955-B2955)</f>
        <v/>
      </c>
      <c r="O2955">
        <f>IF(L2955="", "Pending", IF(N2955&lt;=30, "Met", "Breached"))</f>
        <v/>
      </c>
    </row>
    <row r="2956">
      <c r="M2956" s="11">
        <f>B2956+30</f>
        <v/>
      </c>
      <c r="N2956">
        <f>IF(L2956="", "", L2956-B2956)</f>
        <v/>
      </c>
      <c r="O2956">
        <f>IF(L2956="", "Pending", IF(N2956&lt;=30, "Met", "Breached"))</f>
        <v/>
      </c>
    </row>
    <row r="2957">
      <c r="M2957" s="11">
        <f>B2957+30</f>
        <v/>
      </c>
      <c r="N2957">
        <f>IF(L2957="", "", L2957-B2957)</f>
        <v/>
      </c>
      <c r="O2957">
        <f>IF(L2957="", "Pending", IF(N2957&lt;=30, "Met", "Breached"))</f>
        <v/>
      </c>
    </row>
    <row r="2958">
      <c r="M2958" s="11">
        <f>B2958+30</f>
        <v/>
      </c>
      <c r="N2958">
        <f>IF(L2958="", "", L2958-B2958)</f>
        <v/>
      </c>
      <c r="O2958">
        <f>IF(L2958="", "Pending", IF(N2958&lt;=30, "Met", "Breached"))</f>
        <v/>
      </c>
    </row>
    <row r="2959">
      <c r="M2959" s="11">
        <f>B2959+30</f>
        <v/>
      </c>
      <c r="N2959">
        <f>IF(L2959="", "", L2959-B2959)</f>
        <v/>
      </c>
      <c r="O2959">
        <f>IF(L2959="", "Pending", IF(N2959&lt;=30, "Met", "Breached"))</f>
        <v/>
      </c>
    </row>
    <row r="2960">
      <c r="M2960" s="11">
        <f>B2960+30</f>
        <v/>
      </c>
      <c r="N2960">
        <f>IF(L2960="", "", L2960-B2960)</f>
        <v/>
      </c>
      <c r="O2960">
        <f>IF(L2960="", "Pending", IF(N2960&lt;=30, "Met", "Breached"))</f>
        <v/>
      </c>
    </row>
    <row r="2961">
      <c r="M2961" s="11">
        <f>B2961+30</f>
        <v/>
      </c>
      <c r="N2961">
        <f>IF(L2961="", "", L2961-B2961)</f>
        <v/>
      </c>
      <c r="O2961">
        <f>IF(L2961="", "Pending", IF(N2961&lt;=30, "Met", "Breached"))</f>
        <v/>
      </c>
    </row>
    <row r="2962">
      <c r="M2962" s="11">
        <f>B2962+30</f>
        <v/>
      </c>
      <c r="N2962">
        <f>IF(L2962="", "", L2962-B2962)</f>
        <v/>
      </c>
      <c r="O2962">
        <f>IF(L2962="", "Pending", IF(N2962&lt;=30, "Met", "Breached"))</f>
        <v/>
      </c>
    </row>
    <row r="2963">
      <c r="M2963" s="11">
        <f>B2963+30</f>
        <v/>
      </c>
      <c r="N2963">
        <f>IF(L2963="", "", L2963-B2963)</f>
        <v/>
      </c>
      <c r="O2963">
        <f>IF(L2963="", "Pending", IF(N2963&lt;=30, "Met", "Breached"))</f>
        <v/>
      </c>
    </row>
    <row r="2964">
      <c r="M2964" s="11">
        <f>B2964+30</f>
        <v/>
      </c>
      <c r="N2964">
        <f>IF(L2964="", "", L2964-B2964)</f>
        <v/>
      </c>
      <c r="O2964">
        <f>IF(L2964="", "Pending", IF(N2964&lt;=30, "Met", "Breached"))</f>
        <v/>
      </c>
    </row>
    <row r="2965">
      <c r="M2965" s="11">
        <f>B2965+30</f>
        <v/>
      </c>
      <c r="N2965">
        <f>IF(L2965="", "", L2965-B2965)</f>
        <v/>
      </c>
      <c r="O2965">
        <f>IF(L2965="", "Pending", IF(N2965&lt;=30, "Met", "Breached"))</f>
        <v/>
      </c>
    </row>
    <row r="2966">
      <c r="M2966" s="11">
        <f>B2966+30</f>
        <v/>
      </c>
      <c r="N2966">
        <f>IF(L2966="", "", L2966-B2966)</f>
        <v/>
      </c>
      <c r="O2966">
        <f>IF(L2966="", "Pending", IF(N2966&lt;=30, "Met", "Breached"))</f>
        <v/>
      </c>
    </row>
    <row r="2967">
      <c r="M2967" s="11">
        <f>B2967+30</f>
        <v/>
      </c>
      <c r="N2967">
        <f>IF(L2967="", "", L2967-B2967)</f>
        <v/>
      </c>
      <c r="O2967">
        <f>IF(L2967="", "Pending", IF(N2967&lt;=30, "Met", "Breached"))</f>
        <v/>
      </c>
    </row>
    <row r="2968">
      <c r="M2968" s="11">
        <f>B2968+30</f>
        <v/>
      </c>
      <c r="N2968">
        <f>IF(L2968="", "", L2968-B2968)</f>
        <v/>
      </c>
      <c r="O2968">
        <f>IF(L2968="", "Pending", IF(N2968&lt;=30, "Met", "Breached"))</f>
        <v/>
      </c>
    </row>
    <row r="2969">
      <c r="M2969" s="11">
        <f>B2969+30</f>
        <v/>
      </c>
      <c r="N2969">
        <f>IF(L2969="", "", L2969-B2969)</f>
        <v/>
      </c>
      <c r="O2969">
        <f>IF(L2969="", "Pending", IF(N2969&lt;=30, "Met", "Breached"))</f>
        <v/>
      </c>
    </row>
    <row r="2970">
      <c r="M2970" s="11">
        <f>B2970+30</f>
        <v/>
      </c>
      <c r="N2970">
        <f>IF(L2970="", "", L2970-B2970)</f>
        <v/>
      </c>
      <c r="O2970">
        <f>IF(L2970="", "Pending", IF(N2970&lt;=30, "Met", "Breached"))</f>
        <v/>
      </c>
    </row>
    <row r="2971">
      <c r="M2971" s="11">
        <f>B2971+30</f>
        <v/>
      </c>
      <c r="N2971">
        <f>IF(L2971="", "", L2971-B2971)</f>
        <v/>
      </c>
      <c r="O2971">
        <f>IF(L2971="", "Pending", IF(N2971&lt;=30, "Met", "Breached"))</f>
        <v/>
      </c>
    </row>
    <row r="2972">
      <c r="M2972" s="11">
        <f>B2972+30</f>
        <v/>
      </c>
      <c r="N2972">
        <f>IF(L2972="", "", L2972-B2972)</f>
        <v/>
      </c>
      <c r="O2972">
        <f>IF(L2972="", "Pending", IF(N2972&lt;=30, "Met", "Breached"))</f>
        <v/>
      </c>
    </row>
    <row r="2973">
      <c r="M2973" s="11">
        <f>B2973+30</f>
        <v/>
      </c>
      <c r="N2973">
        <f>IF(L2973="", "", L2973-B2973)</f>
        <v/>
      </c>
      <c r="O2973">
        <f>IF(L2973="", "Pending", IF(N2973&lt;=30, "Met", "Breached"))</f>
        <v/>
      </c>
    </row>
    <row r="2974">
      <c r="M2974" s="11">
        <f>B2974+30</f>
        <v/>
      </c>
      <c r="N2974">
        <f>IF(L2974="", "", L2974-B2974)</f>
        <v/>
      </c>
      <c r="O2974">
        <f>IF(L2974="", "Pending", IF(N2974&lt;=30, "Met", "Breached"))</f>
        <v/>
      </c>
    </row>
    <row r="2975">
      <c r="M2975" s="11">
        <f>B2975+30</f>
        <v/>
      </c>
      <c r="N2975">
        <f>IF(L2975="", "", L2975-B2975)</f>
        <v/>
      </c>
      <c r="O2975">
        <f>IF(L2975="", "Pending", IF(N2975&lt;=30, "Met", "Breached"))</f>
        <v/>
      </c>
    </row>
    <row r="2976">
      <c r="M2976" s="11">
        <f>B2976+30</f>
        <v/>
      </c>
      <c r="N2976">
        <f>IF(L2976="", "", L2976-B2976)</f>
        <v/>
      </c>
      <c r="O2976">
        <f>IF(L2976="", "Pending", IF(N2976&lt;=30, "Met", "Breached"))</f>
        <v/>
      </c>
    </row>
    <row r="2977">
      <c r="M2977" s="11">
        <f>B2977+30</f>
        <v/>
      </c>
      <c r="N2977">
        <f>IF(L2977="", "", L2977-B2977)</f>
        <v/>
      </c>
      <c r="O2977">
        <f>IF(L2977="", "Pending", IF(N2977&lt;=30, "Met", "Breached"))</f>
        <v/>
      </c>
    </row>
    <row r="2978">
      <c r="M2978" s="11">
        <f>B2978+30</f>
        <v/>
      </c>
      <c r="N2978">
        <f>IF(L2978="", "", L2978-B2978)</f>
        <v/>
      </c>
      <c r="O2978">
        <f>IF(L2978="", "Pending", IF(N2978&lt;=30, "Met", "Breached"))</f>
        <v/>
      </c>
    </row>
    <row r="2979">
      <c r="M2979" s="11">
        <f>B2979+30</f>
        <v/>
      </c>
      <c r="N2979">
        <f>IF(L2979="", "", L2979-B2979)</f>
        <v/>
      </c>
      <c r="O2979">
        <f>IF(L2979="", "Pending", IF(N2979&lt;=30, "Met", "Breached"))</f>
        <v/>
      </c>
    </row>
    <row r="2980">
      <c r="M2980" s="11">
        <f>B2980+30</f>
        <v/>
      </c>
      <c r="N2980">
        <f>IF(L2980="", "", L2980-B2980)</f>
        <v/>
      </c>
      <c r="O2980">
        <f>IF(L2980="", "Pending", IF(N2980&lt;=30, "Met", "Breached"))</f>
        <v/>
      </c>
    </row>
    <row r="2981">
      <c r="M2981" s="11">
        <f>B2981+30</f>
        <v/>
      </c>
      <c r="N2981">
        <f>IF(L2981="", "", L2981-B2981)</f>
        <v/>
      </c>
      <c r="O2981">
        <f>IF(L2981="", "Pending", IF(N2981&lt;=30, "Met", "Breached"))</f>
        <v/>
      </c>
    </row>
    <row r="2982">
      <c r="M2982" s="11">
        <f>B2982+30</f>
        <v/>
      </c>
      <c r="N2982">
        <f>IF(L2982="", "", L2982-B2982)</f>
        <v/>
      </c>
      <c r="O2982">
        <f>IF(L2982="", "Pending", IF(N2982&lt;=30, "Met", "Breached"))</f>
        <v/>
      </c>
    </row>
    <row r="2983">
      <c r="M2983" s="11">
        <f>B2983+30</f>
        <v/>
      </c>
      <c r="N2983">
        <f>IF(L2983="", "", L2983-B2983)</f>
        <v/>
      </c>
      <c r="O2983">
        <f>IF(L2983="", "Pending", IF(N2983&lt;=30, "Met", "Breached"))</f>
        <v/>
      </c>
    </row>
    <row r="2984">
      <c r="M2984" s="11">
        <f>B2984+30</f>
        <v/>
      </c>
      <c r="N2984">
        <f>IF(L2984="", "", L2984-B2984)</f>
        <v/>
      </c>
      <c r="O2984">
        <f>IF(L2984="", "Pending", IF(N2984&lt;=30, "Met", "Breached"))</f>
        <v/>
      </c>
    </row>
    <row r="2985">
      <c r="M2985" s="11">
        <f>B2985+30</f>
        <v/>
      </c>
      <c r="N2985">
        <f>IF(L2985="", "", L2985-B2985)</f>
        <v/>
      </c>
      <c r="O2985">
        <f>IF(L2985="", "Pending", IF(N2985&lt;=30, "Met", "Breached"))</f>
        <v/>
      </c>
    </row>
    <row r="2986">
      <c r="M2986" s="11">
        <f>B2986+30</f>
        <v/>
      </c>
      <c r="N2986">
        <f>IF(L2986="", "", L2986-B2986)</f>
        <v/>
      </c>
      <c r="O2986">
        <f>IF(L2986="", "Pending", IF(N2986&lt;=30, "Met", "Breached"))</f>
        <v/>
      </c>
    </row>
    <row r="2987">
      <c r="M2987" s="11">
        <f>B2987+30</f>
        <v/>
      </c>
      <c r="N2987">
        <f>IF(L2987="", "", L2987-B2987)</f>
        <v/>
      </c>
      <c r="O2987">
        <f>IF(L2987="", "Pending", IF(N2987&lt;=30, "Met", "Breached"))</f>
        <v/>
      </c>
    </row>
    <row r="2988">
      <c r="M2988" s="11">
        <f>B2988+30</f>
        <v/>
      </c>
      <c r="N2988">
        <f>IF(L2988="", "", L2988-B2988)</f>
        <v/>
      </c>
      <c r="O2988">
        <f>IF(L2988="", "Pending", IF(N2988&lt;=30, "Met", "Breached"))</f>
        <v/>
      </c>
    </row>
    <row r="2989">
      <c r="M2989" s="11">
        <f>B2989+30</f>
        <v/>
      </c>
      <c r="N2989">
        <f>IF(L2989="", "", L2989-B2989)</f>
        <v/>
      </c>
      <c r="O2989">
        <f>IF(L2989="", "Pending", IF(N2989&lt;=30, "Met", "Breached"))</f>
        <v/>
      </c>
    </row>
    <row r="2990">
      <c r="M2990" s="11">
        <f>B2990+30</f>
        <v/>
      </c>
      <c r="N2990">
        <f>IF(L2990="", "", L2990-B2990)</f>
        <v/>
      </c>
      <c r="O2990">
        <f>IF(L2990="", "Pending", IF(N2990&lt;=30, "Met", "Breached"))</f>
        <v/>
      </c>
    </row>
    <row r="2991">
      <c r="M2991" s="11">
        <f>B2991+30</f>
        <v/>
      </c>
      <c r="N2991">
        <f>IF(L2991="", "", L2991-B2991)</f>
        <v/>
      </c>
      <c r="O2991">
        <f>IF(L2991="", "Pending", IF(N2991&lt;=30, "Met", "Breached"))</f>
        <v/>
      </c>
    </row>
    <row r="2992">
      <c r="M2992" s="11">
        <f>B2992+30</f>
        <v/>
      </c>
      <c r="N2992">
        <f>IF(L2992="", "", L2992-B2992)</f>
        <v/>
      </c>
      <c r="O2992">
        <f>IF(L2992="", "Pending", IF(N2992&lt;=30, "Met", "Breached"))</f>
        <v/>
      </c>
    </row>
    <row r="2993">
      <c r="M2993" s="11">
        <f>B2993+30</f>
        <v/>
      </c>
      <c r="N2993">
        <f>IF(L2993="", "", L2993-B2993)</f>
        <v/>
      </c>
      <c r="O2993">
        <f>IF(L2993="", "Pending", IF(N2993&lt;=30, "Met", "Breached"))</f>
        <v/>
      </c>
    </row>
    <row r="2994">
      <c r="M2994" s="11">
        <f>B2994+30</f>
        <v/>
      </c>
      <c r="N2994">
        <f>IF(L2994="", "", L2994-B2994)</f>
        <v/>
      </c>
      <c r="O2994">
        <f>IF(L2994="", "Pending", IF(N2994&lt;=30, "Met", "Breached"))</f>
        <v/>
      </c>
    </row>
    <row r="2995">
      <c r="M2995" s="11">
        <f>B2995+30</f>
        <v/>
      </c>
      <c r="N2995">
        <f>IF(L2995="", "", L2995-B2995)</f>
        <v/>
      </c>
      <c r="O2995">
        <f>IF(L2995="", "Pending", IF(N2995&lt;=30, "Met", "Breached"))</f>
        <v/>
      </c>
    </row>
    <row r="2996">
      <c r="M2996" s="11">
        <f>B2996+30</f>
        <v/>
      </c>
      <c r="N2996">
        <f>IF(L2996="", "", L2996-B2996)</f>
        <v/>
      </c>
      <c r="O2996">
        <f>IF(L2996="", "Pending", IF(N2996&lt;=30, "Met", "Breached"))</f>
        <v/>
      </c>
    </row>
    <row r="2997">
      <c r="M2997" s="11">
        <f>B2997+30</f>
        <v/>
      </c>
      <c r="N2997">
        <f>IF(L2997="", "", L2997-B2997)</f>
        <v/>
      </c>
      <c r="O2997">
        <f>IF(L2997="", "Pending", IF(N2997&lt;=30, "Met", "Breached"))</f>
        <v/>
      </c>
    </row>
    <row r="2998">
      <c r="M2998" s="11">
        <f>B2998+30</f>
        <v/>
      </c>
      <c r="N2998">
        <f>IF(L2998="", "", L2998-B2998)</f>
        <v/>
      </c>
      <c r="O2998">
        <f>IF(L2998="", "Pending", IF(N2998&lt;=30, "Met", "Breached"))</f>
        <v/>
      </c>
    </row>
    <row r="2999">
      <c r="M2999" s="11">
        <f>B2999+30</f>
        <v/>
      </c>
      <c r="N2999">
        <f>IF(L2999="", "", L2999-B2999)</f>
        <v/>
      </c>
      <c r="O2999">
        <f>IF(L2999="", "Pending", IF(N2999&lt;=30, "Met", "Breached"))</f>
        <v/>
      </c>
    </row>
    <row r="3000">
      <c r="M3000" s="11">
        <f>B3000+30</f>
        <v/>
      </c>
      <c r="N3000">
        <f>IF(L3000="", "", L3000-B3000)</f>
        <v/>
      </c>
      <c r="O3000">
        <f>IF(L3000="", "Pending", IF(N3000&lt;=30, "Met", "Breached"))</f>
        <v/>
      </c>
    </row>
    <row r="3001">
      <c r="M3001" s="11">
        <f>B3001+30</f>
        <v/>
      </c>
      <c r="N3001">
        <f>IF(L3001="", "", L3001-B3001)</f>
        <v/>
      </c>
      <c r="O3001">
        <f>IF(L3001="", "Pending", IF(N3001&lt;=30, "Met", "Breached"))</f>
        <v/>
      </c>
    </row>
    <row r="3002">
      <c r="M3002" s="11">
        <f>B3002+30</f>
        <v/>
      </c>
      <c r="N3002">
        <f>IF(L3002="", "", L3002-B3002)</f>
        <v/>
      </c>
      <c r="O3002">
        <f>IF(L3002="", "Pending", IF(N3002&lt;=30, "Met", "Breached"))</f>
        <v/>
      </c>
    </row>
    <row r="3003">
      <c r="M3003" s="11">
        <f>B3003+30</f>
        <v/>
      </c>
      <c r="N3003">
        <f>IF(L3003="", "", L3003-B3003)</f>
        <v/>
      </c>
      <c r="O3003">
        <f>IF(L3003="", "Pending", IF(N3003&lt;=30, "Met", "Breached"))</f>
        <v/>
      </c>
    </row>
    <row r="3004">
      <c r="M3004" s="11">
        <f>B3004+30</f>
        <v/>
      </c>
      <c r="N3004">
        <f>IF(L3004="", "", L3004-B3004)</f>
        <v/>
      </c>
      <c r="O3004">
        <f>IF(L3004="", "Pending", IF(N3004&lt;=30, "Met", "Breached"))</f>
        <v/>
      </c>
    </row>
    <row r="3005">
      <c r="M3005" s="11">
        <f>B3005+30</f>
        <v/>
      </c>
      <c r="N3005">
        <f>IF(L3005="", "", L3005-B3005)</f>
        <v/>
      </c>
      <c r="O3005">
        <f>IF(L3005="", "Pending", IF(N3005&lt;=30, "Met", "Breached"))</f>
        <v/>
      </c>
    </row>
    <row r="3006">
      <c r="M3006" s="11">
        <f>B3006+30</f>
        <v/>
      </c>
      <c r="N3006">
        <f>IF(L3006="", "", L3006-B3006)</f>
        <v/>
      </c>
      <c r="O3006">
        <f>IF(L3006="", "Pending", IF(N3006&lt;=30, "Met", "Breached"))</f>
        <v/>
      </c>
    </row>
    <row r="3007">
      <c r="M3007" s="11">
        <f>B3007+30</f>
        <v/>
      </c>
      <c r="N3007">
        <f>IF(L3007="", "", L3007-B3007)</f>
        <v/>
      </c>
      <c r="O3007">
        <f>IF(L3007="", "Pending", IF(N3007&lt;=30, "Met", "Breached"))</f>
        <v/>
      </c>
    </row>
    <row r="3008">
      <c r="M3008" s="11">
        <f>B3008+30</f>
        <v/>
      </c>
      <c r="N3008">
        <f>IF(L3008="", "", L3008-B3008)</f>
        <v/>
      </c>
      <c r="O3008">
        <f>IF(L3008="", "Pending", IF(N3008&lt;=30, "Met", "Breached"))</f>
        <v/>
      </c>
    </row>
    <row r="3009">
      <c r="M3009" s="11">
        <f>B3009+30</f>
        <v/>
      </c>
      <c r="N3009">
        <f>IF(L3009="", "", L3009-B3009)</f>
        <v/>
      </c>
      <c r="O3009">
        <f>IF(L3009="", "Pending", IF(N3009&lt;=30, "Met", "Breached"))</f>
        <v/>
      </c>
    </row>
    <row r="3010">
      <c r="M3010" s="11">
        <f>B3010+30</f>
        <v/>
      </c>
      <c r="N3010">
        <f>IF(L3010="", "", L3010-B3010)</f>
        <v/>
      </c>
      <c r="O3010">
        <f>IF(L3010="", "Pending", IF(N3010&lt;=30, "Met", "Breached"))</f>
        <v/>
      </c>
    </row>
    <row r="3011">
      <c r="M3011" s="11">
        <f>B3011+30</f>
        <v/>
      </c>
      <c r="N3011">
        <f>IF(L3011="", "", L3011-B3011)</f>
        <v/>
      </c>
      <c r="O3011">
        <f>IF(L3011="", "Pending", IF(N3011&lt;=30, "Met", "Breached"))</f>
        <v/>
      </c>
    </row>
    <row r="3012">
      <c r="M3012" s="11">
        <f>B3012+30</f>
        <v/>
      </c>
      <c r="N3012">
        <f>IF(L3012="", "", L3012-B3012)</f>
        <v/>
      </c>
      <c r="O3012">
        <f>IF(L3012="", "Pending", IF(N3012&lt;=30, "Met", "Breached"))</f>
        <v/>
      </c>
    </row>
    <row r="3013">
      <c r="M3013" s="11">
        <f>B3013+30</f>
        <v/>
      </c>
      <c r="N3013">
        <f>IF(L3013="", "", L3013-B3013)</f>
        <v/>
      </c>
      <c r="O3013">
        <f>IF(L3013="", "Pending", IF(N3013&lt;=30, "Met", "Breached"))</f>
        <v/>
      </c>
    </row>
    <row r="3014">
      <c r="M3014" s="11">
        <f>B3014+30</f>
        <v/>
      </c>
      <c r="N3014">
        <f>IF(L3014="", "", L3014-B3014)</f>
        <v/>
      </c>
      <c r="O3014">
        <f>IF(L3014="", "Pending", IF(N3014&lt;=30, "Met", "Breached"))</f>
        <v/>
      </c>
    </row>
    <row r="3015">
      <c r="M3015" s="11">
        <f>B3015+30</f>
        <v/>
      </c>
      <c r="N3015">
        <f>IF(L3015="", "", L3015-B3015)</f>
        <v/>
      </c>
      <c r="O3015">
        <f>IF(L3015="", "Pending", IF(N3015&lt;=30, "Met", "Breached"))</f>
        <v/>
      </c>
    </row>
    <row r="3016">
      <c r="M3016" s="11">
        <f>B3016+30</f>
        <v/>
      </c>
      <c r="N3016">
        <f>IF(L3016="", "", L3016-B3016)</f>
        <v/>
      </c>
      <c r="O3016">
        <f>IF(L3016="", "Pending", IF(N3016&lt;=30, "Met", "Breached"))</f>
        <v/>
      </c>
    </row>
    <row r="3017">
      <c r="M3017" s="11">
        <f>B3017+30</f>
        <v/>
      </c>
      <c r="N3017">
        <f>IF(L3017="", "", L3017-B3017)</f>
        <v/>
      </c>
      <c r="O3017">
        <f>IF(L3017="", "Pending", IF(N3017&lt;=30, "Met", "Breached"))</f>
        <v/>
      </c>
    </row>
    <row r="3018">
      <c r="M3018" s="11">
        <f>B3018+30</f>
        <v/>
      </c>
      <c r="N3018">
        <f>IF(L3018="", "", L3018-B3018)</f>
        <v/>
      </c>
      <c r="O3018">
        <f>IF(L3018="", "Pending", IF(N3018&lt;=30, "Met", "Breached"))</f>
        <v/>
      </c>
    </row>
    <row r="3019">
      <c r="M3019" s="11">
        <f>B3019+30</f>
        <v/>
      </c>
      <c r="N3019">
        <f>IF(L3019="", "", L3019-B3019)</f>
        <v/>
      </c>
      <c r="O3019">
        <f>IF(L3019="", "Pending", IF(N3019&lt;=30, "Met", "Breached"))</f>
        <v/>
      </c>
    </row>
    <row r="3020">
      <c r="M3020" s="11">
        <f>B3020+30</f>
        <v/>
      </c>
      <c r="N3020">
        <f>IF(L3020="", "", L3020-B3020)</f>
        <v/>
      </c>
      <c r="O3020">
        <f>IF(L3020="", "Pending", IF(N3020&lt;=30, "Met", "Breached"))</f>
        <v/>
      </c>
    </row>
    <row r="3021">
      <c r="M3021" s="11">
        <f>B3021+30</f>
        <v/>
      </c>
      <c r="N3021">
        <f>IF(L3021="", "", L3021-B3021)</f>
        <v/>
      </c>
      <c r="O3021">
        <f>IF(L3021="", "Pending", IF(N3021&lt;=30, "Met", "Breached"))</f>
        <v/>
      </c>
    </row>
    <row r="3022">
      <c r="M3022" s="11">
        <f>B3022+30</f>
        <v/>
      </c>
      <c r="N3022">
        <f>IF(L3022="", "", L3022-B3022)</f>
        <v/>
      </c>
      <c r="O3022">
        <f>IF(L3022="", "Pending", IF(N3022&lt;=30, "Met", "Breached"))</f>
        <v/>
      </c>
    </row>
    <row r="3023">
      <c r="M3023" s="11">
        <f>B3023+30</f>
        <v/>
      </c>
      <c r="N3023">
        <f>IF(L3023="", "", L3023-B3023)</f>
        <v/>
      </c>
      <c r="O3023">
        <f>IF(L3023="", "Pending", IF(N3023&lt;=30, "Met", "Breached"))</f>
        <v/>
      </c>
    </row>
    <row r="3024">
      <c r="M3024" s="11">
        <f>B3024+30</f>
        <v/>
      </c>
      <c r="N3024">
        <f>IF(L3024="", "", L3024-B3024)</f>
        <v/>
      </c>
      <c r="O3024">
        <f>IF(L3024="", "Pending", IF(N3024&lt;=30, "Met", "Breached"))</f>
        <v/>
      </c>
    </row>
    <row r="3025">
      <c r="M3025" s="11">
        <f>B3025+30</f>
        <v/>
      </c>
      <c r="N3025">
        <f>IF(L3025="", "", L3025-B3025)</f>
        <v/>
      </c>
      <c r="O3025">
        <f>IF(L3025="", "Pending", IF(N3025&lt;=30, "Met", "Breached"))</f>
        <v/>
      </c>
    </row>
    <row r="3026">
      <c r="M3026" s="11">
        <f>B3026+30</f>
        <v/>
      </c>
      <c r="N3026">
        <f>IF(L3026="", "", L3026-B3026)</f>
        <v/>
      </c>
      <c r="O3026">
        <f>IF(L3026="", "Pending", IF(N3026&lt;=30, "Met", "Breached"))</f>
        <v/>
      </c>
    </row>
    <row r="3027">
      <c r="M3027" s="11">
        <f>B3027+30</f>
        <v/>
      </c>
      <c r="N3027">
        <f>IF(L3027="", "", L3027-B3027)</f>
        <v/>
      </c>
      <c r="O3027">
        <f>IF(L3027="", "Pending", IF(N3027&lt;=30, "Met", "Breached"))</f>
        <v/>
      </c>
    </row>
    <row r="3028">
      <c r="M3028" s="11">
        <f>B3028+30</f>
        <v/>
      </c>
      <c r="N3028">
        <f>IF(L3028="", "", L3028-B3028)</f>
        <v/>
      </c>
      <c r="O3028">
        <f>IF(L3028="", "Pending", IF(N3028&lt;=30, "Met", "Breached"))</f>
        <v/>
      </c>
    </row>
    <row r="3029">
      <c r="M3029" s="11">
        <f>B3029+30</f>
        <v/>
      </c>
      <c r="N3029">
        <f>IF(L3029="", "", L3029-B3029)</f>
        <v/>
      </c>
      <c r="O3029">
        <f>IF(L3029="", "Pending", IF(N3029&lt;=30, "Met", "Breached"))</f>
        <v/>
      </c>
    </row>
    <row r="3030">
      <c r="M3030" s="11">
        <f>B3030+30</f>
        <v/>
      </c>
      <c r="N3030">
        <f>IF(L3030="", "", L3030-B3030)</f>
        <v/>
      </c>
      <c r="O3030">
        <f>IF(L3030="", "Pending", IF(N3030&lt;=30, "Met", "Breached"))</f>
        <v/>
      </c>
    </row>
    <row r="3031">
      <c r="M3031" s="11">
        <f>B3031+30</f>
        <v/>
      </c>
      <c r="N3031">
        <f>IF(L3031="", "", L3031-B3031)</f>
        <v/>
      </c>
      <c r="O3031">
        <f>IF(L3031="", "Pending", IF(N3031&lt;=30, "Met", "Breached"))</f>
        <v/>
      </c>
    </row>
    <row r="3032">
      <c r="M3032" s="11">
        <f>B3032+30</f>
        <v/>
      </c>
      <c r="N3032">
        <f>IF(L3032="", "", L3032-B3032)</f>
        <v/>
      </c>
      <c r="O3032">
        <f>IF(L3032="", "Pending", IF(N3032&lt;=30, "Met", "Breached"))</f>
        <v/>
      </c>
    </row>
    <row r="3033">
      <c r="M3033" s="11">
        <f>B3033+30</f>
        <v/>
      </c>
      <c r="N3033">
        <f>IF(L3033="", "", L3033-B3033)</f>
        <v/>
      </c>
      <c r="O3033">
        <f>IF(L3033="", "Pending", IF(N3033&lt;=30, "Met", "Breached"))</f>
        <v/>
      </c>
    </row>
    <row r="3034">
      <c r="M3034" s="11">
        <f>B3034+30</f>
        <v/>
      </c>
      <c r="N3034">
        <f>IF(L3034="", "", L3034-B3034)</f>
        <v/>
      </c>
      <c r="O3034">
        <f>IF(L3034="", "Pending", IF(N3034&lt;=30, "Met", "Breached"))</f>
        <v/>
      </c>
    </row>
    <row r="3035">
      <c r="M3035" s="11">
        <f>B3035+30</f>
        <v/>
      </c>
      <c r="N3035">
        <f>IF(L3035="", "", L3035-B3035)</f>
        <v/>
      </c>
      <c r="O3035">
        <f>IF(L3035="", "Pending", IF(N3035&lt;=30, "Met", "Breached"))</f>
        <v/>
      </c>
    </row>
    <row r="3036">
      <c r="M3036" s="11">
        <f>B3036+30</f>
        <v/>
      </c>
      <c r="N3036">
        <f>IF(L3036="", "", L3036-B3036)</f>
        <v/>
      </c>
      <c r="O3036">
        <f>IF(L3036="", "Pending", IF(N3036&lt;=30, "Met", "Breached"))</f>
        <v/>
      </c>
    </row>
    <row r="3037">
      <c r="M3037" s="11">
        <f>B3037+30</f>
        <v/>
      </c>
      <c r="N3037">
        <f>IF(L3037="", "", L3037-B3037)</f>
        <v/>
      </c>
      <c r="O3037">
        <f>IF(L3037="", "Pending", IF(N3037&lt;=30, "Met", "Breached"))</f>
        <v/>
      </c>
    </row>
    <row r="3038">
      <c r="M3038" s="11">
        <f>B3038+30</f>
        <v/>
      </c>
      <c r="N3038">
        <f>IF(L3038="", "", L3038-B3038)</f>
        <v/>
      </c>
      <c r="O3038">
        <f>IF(L3038="", "Pending", IF(N3038&lt;=30, "Met", "Breached"))</f>
        <v/>
      </c>
    </row>
    <row r="3039">
      <c r="M3039" s="11">
        <f>B3039+30</f>
        <v/>
      </c>
      <c r="N3039">
        <f>IF(L3039="", "", L3039-B3039)</f>
        <v/>
      </c>
      <c r="O3039">
        <f>IF(L3039="", "Pending", IF(N3039&lt;=30, "Met", "Breached"))</f>
        <v/>
      </c>
    </row>
    <row r="3040">
      <c r="M3040" s="11">
        <f>B3040+30</f>
        <v/>
      </c>
      <c r="N3040">
        <f>IF(L3040="", "", L3040-B3040)</f>
        <v/>
      </c>
      <c r="O3040">
        <f>IF(L3040="", "Pending", IF(N3040&lt;=30, "Met", "Breached"))</f>
        <v/>
      </c>
    </row>
    <row r="3041">
      <c r="M3041" s="11">
        <f>B3041+30</f>
        <v/>
      </c>
      <c r="N3041">
        <f>IF(L3041="", "", L3041-B3041)</f>
        <v/>
      </c>
      <c r="O3041">
        <f>IF(L3041="", "Pending", IF(N3041&lt;=30, "Met", "Breached"))</f>
        <v/>
      </c>
    </row>
    <row r="3042">
      <c r="M3042" s="11">
        <f>B3042+30</f>
        <v/>
      </c>
      <c r="N3042">
        <f>IF(L3042="", "", L3042-B3042)</f>
        <v/>
      </c>
      <c r="O3042">
        <f>IF(L3042="", "Pending", IF(N3042&lt;=30, "Met", "Breached"))</f>
        <v/>
      </c>
    </row>
    <row r="3043">
      <c r="M3043" s="11">
        <f>B3043+30</f>
        <v/>
      </c>
      <c r="N3043">
        <f>IF(L3043="", "", L3043-B3043)</f>
        <v/>
      </c>
      <c r="O3043">
        <f>IF(L3043="", "Pending", IF(N3043&lt;=30, "Met", "Breached"))</f>
        <v/>
      </c>
    </row>
    <row r="3044">
      <c r="M3044" s="11">
        <f>B3044+30</f>
        <v/>
      </c>
      <c r="N3044">
        <f>IF(L3044="", "", L3044-B3044)</f>
        <v/>
      </c>
      <c r="O3044">
        <f>IF(L3044="", "Pending", IF(N3044&lt;=30, "Met", "Breached"))</f>
        <v/>
      </c>
    </row>
    <row r="3045">
      <c r="M3045" s="11">
        <f>B3045+30</f>
        <v/>
      </c>
      <c r="N3045">
        <f>IF(L3045="", "", L3045-B3045)</f>
        <v/>
      </c>
      <c r="O3045">
        <f>IF(L3045="", "Pending", IF(N3045&lt;=30, "Met", "Breached"))</f>
        <v/>
      </c>
    </row>
    <row r="3046">
      <c r="M3046" s="11">
        <f>B3046+30</f>
        <v/>
      </c>
      <c r="N3046">
        <f>IF(L3046="", "", L3046-B3046)</f>
        <v/>
      </c>
      <c r="O3046">
        <f>IF(L3046="", "Pending", IF(N3046&lt;=30, "Met", "Breached"))</f>
        <v/>
      </c>
    </row>
    <row r="3047">
      <c r="M3047" s="11">
        <f>B3047+30</f>
        <v/>
      </c>
      <c r="N3047">
        <f>IF(L3047="", "", L3047-B3047)</f>
        <v/>
      </c>
      <c r="O3047">
        <f>IF(L3047="", "Pending", IF(N3047&lt;=30, "Met", "Breached"))</f>
        <v/>
      </c>
    </row>
    <row r="3048">
      <c r="M3048" s="11">
        <f>B3048+30</f>
        <v/>
      </c>
      <c r="N3048">
        <f>IF(L3048="", "", L3048-B3048)</f>
        <v/>
      </c>
      <c r="O3048">
        <f>IF(L3048="", "Pending", IF(N3048&lt;=30, "Met", "Breached"))</f>
        <v/>
      </c>
    </row>
    <row r="3049">
      <c r="M3049" s="11">
        <f>B3049+30</f>
        <v/>
      </c>
      <c r="N3049">
        <f>IF(L3049="", "", L3049-B3049)</f>
        <v/>
      </c>
      <c r="O3049">
        <f>IF(L3049="", "Pending", IF(N3049&lt;=30, "Met", "Breached"))</f>
        <v/>
      </c>
    </row>
    <row r="3050">
      <c r="M3050" s="11">
        <f>B3050+30</f>
        <v/>
      </c>
      <c r="N3050">
        <f>IF(L3050="", "", L3050-B3050)</f>
        <v/>
      </c>
      <c r="O3050">
        <f>IF(L3050="", "Pending", IF(N3050&lt;=30, "Met", "Breached"))</f>
        <v/>
      </c>
    </row>
    <row r="3051">
      <c r="M3051" s="11">
        <f>B3051+30</f>
        <v/>
      </c>
      <c r="N3051">
        <f>IF(L3051="", "", L3051-B3051)</f>
        <v/>
      </c>
      <c r="O3051">
        <f>IF(L3051="", "Pending", IF(N3051&lt;=30, "Met", "Breached"))</f>
        <v/>
      </c>
    </row>
    <row r="3052">
      <c r="M3052" s="11">
        <f>B3052+30</f>
        <v/>
      </c>
      <c r="N3052">
        <f>IF(L3052="", "", L3052-B3052)</f>
        <v/>
      </c>
      <c r="O3052">
        <f>IF(L3052="", "Pending", IF(N3052&lt;=30, "Met", "Breached"))</f>
        <v/>
      </c>
    </row>
    <row r="3053">
      <c r="M3053" s="11">
        <f>B3053+30</f>
        <v/>
      </c>
      <c r="N3053">
        <f>IF(L3053="", "", L3053-B3053)</f>
        <v/>
      </c>
      <c r="O3053">
        <f>IF(L3053="", "Pending", IF(N3053&lt;=30, "Met", "Breached"))</f>
        <v/>
      </c>
    </row>
    <row r="3054">
      <c r="M3054" s="11">
        <f>B3054+30</f>
        <v/>
      </c>
      <c r="N3054">
        <f>IF(L3054="", "", L3054-B3054)</f>
        <v/>
      </c>
      <c r="O3054">
        <f>IF(L3054="", "Pending", IF(N3054&lt;=30, "Met", "Breached"))</f>
        <v/>
      </c>
    </row>
    <row r="3055">
      <c r="M3055" s="11">
        <f>B3055+30</f>
        <v/>
      </c>
      <c r="N3055">
        <f>IF(L3055="", "", L3055-B3055)</f>
        <v/>
      </c>
      <c r="O3055">
        <f>IF(L3055="", "Pending", IF(N3055&lt;=30, "Met", "Breached"))</f>
        <v/>
      </c>
    </row>
    <row r="3056">
      <c r="M3056" s="11">
        <f>B3056+30</f>
        <v/>
      </c>
      <c r="N3056">
        <f>IF(L3056="", "", L3056-B3056)</f>
        <v/>
      </c>
      <c r="O3056">
        <f>IF(L3056="", "Pending", IF(N3056&lt;=30, "Met", "Breached"))</f>
        <v/>
      </c>
    </row>
    <row r="3057">
      <c r="M3057" s="11">
        <f>B3057+30</f>
        <v/>
      </c>
      <c r="N3057">
        <f>IF(L3057="", "", L3057-B3057)</f>
        <v/>
      </c>
      <c r="O3057">
        <f>IF(L3057="", "Pending", IF(N3057&lt;=30, "Met", "Breached"))</f>
        <v/>
      </c>
    </row>
    <row r="3058">
      <c r="M3058" s="11">
        <f>B3058+30</f>
        <v/>
      </c>
      <c r="N3058">
        <f>IF(L3058="", "", L3058-B3058)</f>
        <v/>
      </c>
      <c r="O3058">
        <f>IF(L3058="", "Pending", IF(N3058&lt;=30, "Met", "Breached"))</f>
        <v/>
      </c>
    </row>
    <row r="3059">
      <c r="M3059" s="11">
        <f>B3059+30</f>
        <v/>
      </c>
      <c r="N3059">
        <f>IF(L3059="", "", L3059-B3059)</f>
        <v/>
      </c>
      <c r="O3059">
        <f>IF(L3059="", "Pending", IF(N3059&lt;=30, "Met", "Breached"))</f>
        <v/>
      </c>
    </row>
    <row r="3060">
      <c r="M3060" s="11">
        <f>B3060+30</f>
        <v/>
      </c>
      <c r="N3060">
        <f>IF(L3060="", "", L3060-B3060)</f>
        <v/>
      </c>
      <c r="O3060">
        <f>IF(L3060="", "Pending", IF(N3060&lt;=30, "Met", "Breached"))</f>
        <v/>
      </c>
    </row>
    <row r="3061">
      <c r="M3061" s="11">
        <f>B3061+30</f>
        <v/>
      </c>
      <c r="N3061">
        <f>IF(L3061="", "", L3061-B3061)</f>
        <v/>
      </c>
      <c r="O3061">
        <f>IF(L3061="", "Pending", IF(N3061&lt;=30, "Met", "Breached"))</f>
        <v/>
      </c>
    </row>
    <row r="3062">
      <c r="M3062" s="11">
        <f>B3062+30</f>
        <v/>
      </c>
      <c r="N3062">
        <f>IF(L3062="", "", L3062-B3062)</f>
        <v/>
      </c>
      <c r="O3062">
        <f>IF(L3062="", "Pending", IF(N3062&lt;=30, "Met", "Breached"))</f>
        <v/>
      </c>
    </row>
    <row r="3063">
      <c r="M3063" s="11">
        <f>B3063+30</f>
        <v/>
      </c>
      <c r="N3063">
        <f>IF(L3063="", "", L3063-B3063)</f>
        <v/>
      </c>
      <c r="O3063">
        <f>IF(L3063="", "Pending", IF(N3063&lt;=30, "Met", "Breached"))</f>
        <v/>
      </c>
    </row>
    <row r="3064">
      <c r="M3064" s="11">
        <f>B3064+30</f>
        <v/>
      </c>
      <c r="N3064">
        <f>IF(L3064="", "", L3064-B3064)</f>
        <v/>
      </c>
      <c r="O3064">
        <f>IF(L3064="", "Pending", IF(N3064&lt;=30, "Met", "Breached"))</f>
        <v/>
      </c>
    </row>
    <row r="3065">
      <c r="M3065" s="11">
        <f>B3065+30</f>
        <v/>
      </c>
      <c r="N3065">
        <f>IF(L3065="", "", L3065-B3065)</f>
        <v/>
      </c>
      <c r="O3065">
        <f>IF(L3065="", "Pending", IF(N3065&lt;=30, "Met", "Breached"))</f>
        <v/>
      </c>
    </row>
    <row r="3066">
      <c r="M3066" s="11">
        <f>B3066+30</f>
        <v/>
      </c>
      <c r="N3066">
        <f>IF(L3066="", "", L3066-B3066)</f>
        <v/>
      </c>
      <c r="O3066">
        <f>IF(L3066="", "Pending", IF(N3066&lt;=30, "Met", "Breached"))</f>
        <v/>
      </c>
    </row>
    <row r="3067">
      <c r="M3067" s="11">
        <f>B3067+30</f>
        <v/>
      </c>
      <c r="N3067">
        <f>IF(L3067="", "", L3067-B3067)</f>
        <v/>
      </c>
      <c r="O3067">
        <f>IF(L3067="", "Pending", IF(N3067&lt;=30, "Met", "Breached"))</f>
        <v/>
      </c>
    </row>
    <row r="3068">
      <c r="M3068" s="11">
        <f>B3068+30</f>
        <v/>
      </c>
      <c r="N3068">
        <f>IF(L3068="", "", L3068-B3068)</f>
        <v/>
      </c>
      <c r="O3068">
        <f>IF(L3068="", "Pending", IF(N3068&lt;=30, "Met", "Breached"))</f>
        <v/>
      </c>
    </row>
    <row r="3069">
      <c r="M3069" s="11">
        <f>B3069+30</f>
        <v/>
      </c>
      <c r="N3069">
        <f>IF(L3069="", "", L3069-B3069)</f>
        <v/>
      </c>
      <c r="O3069">
        <f>IF(L3069="", "Pending", IF(N3069&lt;=30, "Met", "Breached"))</f>
        <v/>
      </c>
    </row>
    <row r="3070">
      <c r="M3070" s="11">
        <f>B3070+30</f>
        <v/>
      </c>
      <c r="N3070">
        <f>IF(L3070="", "", L3070-B3070)</f>
        <v/>
      </c>
      <c r="O3070">
        <f>IF(L3070="", "Pending", IF(N3070&lt;=30, "Met", "Breached"))</f>
        <v/>
      </c>
    </row>
    <row r="3071">
      <c r="M3071" s="11">
        <f>B3071+30</f>
        <v/>
      </c>
      <c r="N3071">
        <f>IF(L3071="", "", L3071-B3071)</f>
        <v/>
      </c>
      <c r="O3071">
        <f>IF(L3071="", "Pending", IF(N3071&lt;=30, "Met", "Breached"))</f>
        <v/>
      </c>
    </row>
    <row r="3072">
      <c r="M3072" s="11">
        <f>B3072+30</f>
        <v/>
      </c>
      <c r="N3072">
        <f>IF(L3072="", "", L3072-B3072)</f>
        <v/>
      </c>
      <c r="O3072">
        <f>IF(L3072="", "Pending", IF(N3072&lt;=30, "Met", "Breached"))</f>
        <v/>
      </c>
    </row>
    <row r="3073">
      <c r="M3073" s="11">
        <f>B3073+30</f>
        <v/>
      </c>
      <c r="N3073">
        <f>IF(L3073="", "", L3073-B3073)</f>
        <v/>
      </c>
      <c r="O3073">
        <f>IF(L3073="", "Pending", IF(N3073&lt;=30, "Met", "Breached"))</f>
        <v/>
      </c>
    </row>
    <row r="3074">
      <c r="M3074" s="11">
        <f>B3074+30</f>
        <v/>
      </c>
      <c r="N3074">
        <f>IF(L3074="", "", L3074-B3074)</f>
        <v/>
      </c>
      <c r="O3074">
        <f>IF(L3074="", "Pending", IF(N3074&lt;=30, "Met", "Breached"))</f>
        <v/>
      </c>
    </row>
    <row r="3075">
      <c r="M3075" s="11">
        <f>B3075+30</f>
        <v/>
      </c>
      <c r="N3075">
        <f>IF(L3075="", "", L3075-B3075)</f>
        <v/>
      </c>
      <c r="O3075">
        <f>IF(L3075="", "Pending", IF(N3075&lt;=30, "Met", "Breached"))</f>
        <v/>
      </c>
    </row>
    <row r="3076">
      <c r="M3076" s="11">
        <f>B3076+30</f>
        <v/>
      </c>
      <c r="N3076">
        <f>IF(L3076="", "", L3076-B3076)</f>
        <v/>
      </c>
      <c r="O3076">
        <f>IF(L3076="", "Pending", IF(N3076&lt;=30, "Met", "Breached"))</f>
        <v/>
      </c>
    </row>
    <row r="3077">
      <c r="M3077" s="11">
        <f>B3077+30</f>
        <v/>
      </c>
      <c r="N3077">
        <f>IF(L3077="", "", L3077-B3077)</f>
        <v/>
      </c>
      <c r="O3077">
        <f>IF(L3077="", "Pending", IF(N3077&lt;=30, "Met", "Breached"))</f>
        <v/>
      </c>
    </row>
    <row r="3078">
      <c r="M3078" s="11">
        <f>B3078+30</f>
        <v/>
      </c>
      <c r="N3078">
        <f>IF(L3078="", "", L3078-B3078)</f>
        <v/>
      </c>
      <c r="O3078">
        <f>IF(L3078="", "Pending", IF(N3078&lt;=30, "Met", "Breached"))</f>
        <v/>
      </c>
    </row>
    <row r="3079">
      <c r="M3079" s="11">
        <f>B3079+30</f>
        <v/>
      </c>
      <c r="N3079">
        <f>IF(L3079="", "", L3079-B3079)</f>
        <v/>
      </c>
      <c r="O3079">
        <f>IF(L3079="", "Pending", IF(N3079&lt;=30, "Met", "Breached"))</f>
        <v/>
      </c>
    </row>
    <row r="3080">
      <c r="M3080" s="11">
        <f>B3080+30</f>
        <v/>
      </c>
      <c r="N3080">
        <f>IF(L3080="", "", L3080-B3080)</f>
        <v/>
      </c>
      <c r="O3080">
        <f>IF(L3080="", "Pending", IF(N3080&lt;=30, "Met", "Breached"))</f>
        <v/>
      </c>
    </row>
    <row r="3081">
      <c r="M3081" s="11">
        <f>B3081+30</f>
        <v/>
      </c>
      <c r="N3081">
        <f>IF(L3081="", "", L3081-B3081)</f>
        <v/>
      </c>
      <c r="O3081">
        <f>IF(L3081="", "Pending", IF(N3081&lt;=30, "Met", "Breached"))</f>
        <v/>
      </c>
    </row>
    <row r="3082">
      <c r="M3082" s="11">
        <f>B3082+30</f>
        <v/>
      </c>
      <c r="N3082">
        <f>IF(L3082="", "", L3082-B3082)</f>
        <v/>
      </c>
      <c r="O3082">
        <f>IF(L3082="", "Pending", IF(N3082&lt;=30, "Met", "Breached"))</f>
        <v/>
      </c>
    </row>
    <row r="3083">
      <c r="M3083" s="11">
        <f>B3083+30</f>
        <v/>
      </c>
      <c r="N3083">
        <f>IF(L3083="", "", L3083-B3083)</f>
        <v/>
      </c>
      <c r="O3083">
        <f>IF(L3083="", "Pending", IF(N3083&lt;=30, "Met", "Breached"))</f>
        <v/>
      </c>
    </row>
    <row r="3084">
      <c r="M3084" s="11">
        <f>B3084+30</f>
        <v/>
      </c>
      <c r="N3084">
        <f>IF(L3084="", "", L3084-B3084)</f>
        <v/>
      </c>
      <c r="O3084">
        <f>IF(L3084="", "Pending", IF(N3084&lt;=30, "Met", "Breached"))</f>
        <v/>
      </c>
    </row>
    <row r="3085">
      <c r="M3085" s="11">
        <f>B3085+30</f>
        <v/>
      </c>
      <c r="N3085">
        <f>IF(L3085="", "", L3085-B3085)</f>
        <v/>
      </c>
      <c r="O3085">
        <f>IF(L3085="", "Pending", IF(N3085&lt;=30, "Met", "Breached"))</f>
        <v/>
      </c>
    </row>
    <row r="3086">
      <c r="M3086" s="11">
        <f>B3086+30</f>
        <v/>
      </c>
      <c r="N3086">
        <f>IF(L3086="", "", L3086-B3086)</f>
        <v/>
      </c>
      <c r="O3086">
        <f>IF(L3086="", "Pending", IF(N3086&lt;=30, "Met", "Breached"))</f>
        <v/>
      </c>
    </row>
    <row r="3087">
      <c r="M3087" s="11">
        <f>B3087+30</f>
        <v/>
      </c>
      <c r="N3087">
        <f>IF(L3087="", "", L3087-B3087)</f>
        <v/>
      </c>
      <c r="O3087">
        <f>IF(L3087="", "Pending", IF(N3087&lt;=30, "Met", "Breached"))</f>
        <v/>
      </c>
    </row>
    <row r="3088">
      <c r="M3088" s="11">
        <f>B3088+30</f>
        <v/>
      </c>
      <c r="N3088">
        <f>IF(L3088="", "", L3088-B3088)</f>
        <v/>
      </c>
      <c r="O3088">
        <f>IF(L3088="", "Pending", IF(N3088&lt;=30, "Met", "Breached"))</f>
        <v/>
      </c>
    </row>
    <row r="3089">
      <c r="M3089" s="11">
        <f>B3089+30</f>
        <v/>
      </c>
      <c r="N3089">
        <f>IF(L3089="", "", L3089-B3089)</f>
        <v/>
      </c>
      <c r="O3089">
        <f>IF(L3089="", "Pending", IF(N3089&lt;=30, "Met", "Breached"))</f>
        <v/>
      </c>
    </row>
    <row r="3090">
      <c r="M3090" s="11">
        <f>B3090+30</f>
        <v/>
      </c>
      <c r="N3090">
        <f>IF(L3090="", "", L3090-B3090)</f>
        <v/>
      </c>
      <c r="O3090">
        <f>IF(L3090="", "Pending", IF(N3090&lt;=30, "Met", "Breached"))</f>
        <v/>
      </c>
    </row>
    <row r="3091">
      <c r="M3091" s="11">
        <f>B3091+30</f>
        <v/>
      </c>
      <c r="N3091">
        <f>IF(L3091="", "", L3091-B3091)</f>
        <v/>
      </c>
      <c r="O3091">
        <f>IF(L3091="", "Pending", IF(N3091&lt;=30, "Met", "Breached"))</f>
        <v/>
      </c>
    </row>
    <row r="3092">
      <c r="M3092" s="11">
        <f>B3092+30</f>
        <v/>
      </c>
      <c r="N3092">
        <f>IF(L3092="", "", L3092-B3092)</f>
        <v/>
      </c>
      <c r="O3092">
        <f>IF(L3092="", "Pending", IF(N3092&lt;=30, "Met", "Breached"))</f>
        <v/>
      </c>
    </row>
    <row r="3093">
      <c r="M3093" s="11">
        <f>B3093+30</f>
        <v/>
      </c>
      <c r="N3093">
        <f>IF(L3093="", "", L3093-B3093)</f>
        <v/>
      </c>
      <c r="O3093">
        <f>IF(L3093="", "Pending", IF(N3093&lt;=30, "Met", "Breached"))</f>
        <v/>
      </c>
    </row>
    <row r="3094">
      <c r="M3094" s="11">
        <f>B3094+30</f>
        <v/>
      </c>
      <c r="N3094">
        <f>IF(L3094="", "", L3094-B3094)</f>
        <v/>
      </c>
      <c r="O3094">
        <f>IF(L3094="", "Pending", IF(N3094&lt;=30, "Met", "Breached"))</f>
        <v/>
      </c>
    </row>
    <row r="3095">
      <c r="M3095" s="11">
        <f>B3095+30</f>
        <v/>
      </c>
      <c r="N3095">
        <f>IF(L3095="", "", L3095-B3095)</f>
        <v/>
      </c>
      <c r="O3095">
        <f>IF(L3095="", "Pending", IF(N3095&lt;=30, "Met", "Breached"))</f>
        <v/>
      </c>
    </row>
    <row r="3096">
      <c r="M3096" s="11">
        <f>B3096+30</f>
        <v/>
      </c>
      <c r="N3096">
        <f>IF(L3096="", "", L3096-B3096)</f>
        <v/>
      </c>
      <c r="O3096">
        <f>IF(L3096="", "Pending", IF(N3096&lt;=30, "Met", "Breached"))</f>
        <v/>
      </c>
    </row>
    <row r="3097">
      <c r="M3097" s="11">
        <f>B3097+30</f>
        <v/>
      </c>
      <c r="N3097">
        <f>IF(L3097="", "", L3097-B3097)</f>
        <v/>
      </c>
      <c r="O3097">
        <f>IF(L3097="", "Pending", IF(N3097&lt;=30, "Met", "Breached"))</f>
        <v/>
      </c>
    </row>
    <row r="3098">
      <c r="M3098" s="11">
        <f>B3098+30</f>
        <v/>
      </c>
      <c r="N3098">
        <f>IF(L3098="", "", L3098-B3098)</f>
        <v/>
      </c>
      <c r="O3098">
        <f>IF(L3098="", "Pending", IF(N3098&lt;=30, "Met", "Breached"))</f>
        <v/>
      </c>
    </row>
    <row r="3099">
      <c r="M3099" s="11">
        <f>B3099+30</f>
        <v/>
      </c>
      <c r="N3099">
        <f>IF(L3099="", "", L3099-B3099)</f>
        <v/>
      </c>
      <c r="O3099">
        <f>IF(L3099="", "Pending", IF(N3099&lt;=30, "Met", "Breached"))</f>
        <v/>
      </c>
    </row>
    <row r="3100">
      <c r="M3100" s="11">
        <f>B3100+30</f>
        <v/>
      </c>
      <c r="N3100">
        <f>IF(L3100="", "", L3100-B3100)</f>
        <v/>
      </c>
      <c r="O3100">
        <f>IF(L3100="", "Pending", IF(N3100&lt;=30, "Met", "Breached"))</f>
        <v/>
      </c>
    </row>
    <row r="3101">
      <c r="M3101" s="11">
        <f>B3101+30</f>
        <v/>
      </c>
      <c r="N3101">
        <f>IF(L3101="", "", L3101-B3101)</f>
        <v/>
      </c>
      <c r="O3101">
        <f>IF(L3101="", "Pending", IF(N3101&lt;=30, "Met", "Breached"))</f>
        <v/>
      </c>
    </row>
    <row r="3102">
      <c r="M3102" s="11">
        <f>B3102+30</f>
        <v/>
      </c>
      <c r="N3102">
        <f>IF(L3102="", "", L3102-B3102)</f>
        <v/>
      </c>
      <c r="O3102">
        <f>IF(L3102="", "Pending", IF(N3102&lt;=30, "Met", "Breached"))</f>
        <v/>
      </c>
    </row>
    <row r="3103">
      <c r="M3103" s="11">
        <f>B3103+30</f>
        <v/>
      </c>
      <c r="N3103">
        <f>IF(L3103="", "", L3103-B3103)</f>
        <v/>
      </c>
      <c r="O3103">
        <f>IF(L3103="", "Pending", IF(N3103&lt;=30, "Met", "Breached"))</f>
        <v/>
      </c>
    </row>
    <row r="3104">
      <c r="M3104" s="11">
        <f>B3104+30</f>
        <v/>
      </c>
      <c r="N3104">
        <f>IF(L3104="", "", L3104-B3104)</f>
        <v/>
      </c>
      <c r="O3104">
        <f>IF(L3104="", "Pending", IF(N3104&lt;=30, "Met", "Breached"))</f>
        <v/>
      </c>
    </row>
    <row r="3105">
      <c r="M3105" s="11">
        <f>B3105+30</f>
        <v/>
      </c>
      <c r="N3105">
        <f>IF(L3105="", "", L3105-B3105)</f>
        <v/>
      </c>
      <c r="O3105">
        <f>IF(L3105="", "Pending", IF(N3105&lt;=30, "Met", "Breached"))</f>
        <v/>
      </c>
    </row>
    <row r="3106">
      <c r="M3106" s="11">
        <f>B3106+30</f>
        <v/>
      </c>
      <c r="N3106">
        <f>IF(L3106="", "", L3106-B3106)</f>
        <v/>
      </c>
      <c r="O3106">
        <f>IF(L3106="", "Pending", IF(N3106&lt;=30, "Met", "Breached"))</f>
        <v/>
      </c>
    </row>
    <row r="3107">
      <c r="M3107" s="11">
        <f>B3107+30</f>
        <v/>
      </c>
      <c r="N3107">
        <f>IF(L3107="", "", L3107-B3107)</f>
        <v/>
      </c>
      <c r="O3107">
        <f>IF(L3107="", "Pending", IF(N3107&lt;=30, "Met", "Breached"))</f>
        <v/>
      </c>
    </row>
    <row r="3108">
      <c r="M3108" s="11">
        <f>B3108+30</f>
        <v/>
      </c>
      <c r="N3108">
        <f>IF(L3108="", "", L3108-B3108)</f>
        <v/>
      </c>
      <c r="O3108">
        <f>IF(L3108="", "Pending", IF(N3108&lt;=30, "Met", "Breached"))</f>
        <v/>
      </c>
    </row>
    <row r="3109">
      <c r="M3109" s="11">
        <f>B3109+30</f>
        <v/>
      </c>
      <c r="N3109">
        <f>IF(L3109="", "", L3109-B3109)</f>
        <v/>
      </c>
      <c r="O3109">
        <f>IF(L3109="", "Pending", IF(N3109&lt;=30, "Met", "Breached"))</f>
        <v/>
      </c>
    </row>
    <row r="3110">
      <c r="M3110" s="11">
        <f>B3110+30</f>
        <v/>
      </c>
      <c r="N3110">
        <f>IF(L3110="", "", L3110-B3110)</f>
        <v/>
      </c>
      <c r="O3110">
        <f>IF(L3110="", "Pending", IF(N3110&lt;=30, "Met", "Breached"))</f>
        <v/>
      </c>
    </row>
    <row r="3111">
      <c r="M3111" s="11">
        <f>B3111+30</f>
        <v/>
      </c>
      <c r="N3111">
        <f>IF(L3111="", "", L3111-B3111)</f>
        <v/>
      </c>
      <c r="O3111">
        <f>IF(L3111="", "Pending", IF(N3111&lt;=30, "Met", "Breached"))</f>
        <v/>
      </c>
    </row>
    <row r="3112">
      <c r="M3112" s="11">
        <f>B3112+30</f>
        <v/>
      </c>
      <c r="N3112">
        <f>IF(L3112="", "", L3112-B3112)</f>
        <v/>
      </c>
      <c r="O3112">
        <f>IF(L3112="", "Pending", IF(N3112&lt;=30, "Met", "Breached"))</f>
        <v/>
      </c>
    </row>
    <row r="3113">
      <c r="M3113" s="11">
        <f>B3113+30</f>
        <v/>
      </c>
      <c r="N3113">
        <f>IF(L3113="", "", L3113-B3113)</f>
        <v/>
      </c>
      <c r="O3113">
        <f>IF(L3113="", "Pending", IF(N3113&lt;=30, "Met", "Breached"))</f>
        <v/>
      </c>
    </row>
    <row r="3114">
      <c r="M3114" s="11">
        <f>B3114+30</f>
        <v/>
      </c>
      <c r="N3114">
        <f>IF(L3114="", "", L3114-B3114)</f>
        <v/>
      </c>
      <c r="O3114">
        <f>IF(L3114="", "Pending", IF(N3114&lt;=30, "Met", "Breached"))</f>
        <v/>
      </c>
    </row>
    <row r="3115">
      <c r="M3115" s="11">
        <f>B3115+30</f>
        <v/>
      </c>
      <c r="N3115">
        <f>IF(L3115="", "", L3115-B3115)</f>
        <v/>
      </c>
      <c r="O3115">
        <f>IF(L3115="", "Pending", IF(N3115&lt;=30, "Met", "Breached"))</f>
        <v/>
      </c>
    </row>
    <row r="3116">
      <c r="M3116" s="11">
        <f>B3116+30</f>
        <v/>
      </c>
      <c r="N3116">
        <f>IF(L3116="", "", L3116-B3116)</f>
        <v/>
      </c>
      <c r="O3116">
        <f>IF(L3116="", "Pending", IF(N3116&lt;=30, "Met", "Breached"))</f>
        <v/>
      </c>
    </row>
    <row r="3117">
      <c r="M3117" s="11">
        <f>B3117+30</f>
        <v/>
      </c>
      <c r="N3117">
        <f>IF(L3117="", "", L3117-B3117)</f>
        <v/>
      </c>
      <c r="O3117">
        <f>IF(L3117="", "Pending", IF(N3117&lt;=30, "Met", "Breached"))</f>
        <v/>
      </c>
    </row>
    <row r="3118">
      <c r="M3118" s="11">
        <f>B3118+30</f>
        <v/>
      </c>
      <c r="N3118">
        <f>IF(L3118="", "", L3118-B3118)</f>
        <v/>
      </c>
      <c r="O3118">
        <f>IF(L3118="", "Pending", IF(N3118&lt;=30, "Met", "Breached"))</f>
        <v/>
      </c>
    </row>
    <row r="3119">
      <c r="M3119" s="11">
        <f>B3119+30</f>
        <v/>
      </c>
      <c r="N3119">
        <f>IF(L3119="", "", L3119-B3119)</f>
        <v/>
      </c>
      <c r="O3119">
        <f>IF(L3119="", "Pending", IF(N3119&lt;=30, "Met", "Breached"))</f>
        <v/>
      </c>
    </row>
    <row r="3120">
      <c r="M3120" s="11">
        <f>B3120+30</f>
        <v/>
      </c>
      <c r="N3120">
        <f>IF(L3120="", "", L3120-B3120)</f>
        <v/>
      </c>
      <c r="O3120">
        <f>IF(L3120="", "Pending", IF(N3120&lt;=30, "Met", "Breached"))</f>
        <v/>
      </c>
    </row>
    <row r="3121">
      <c r="M3121" s="11">
        <f>B3121+30</f>
        <v/>
      </c>
      <c r="N3121">
        <f>IF(L3121="", "", L3121-B3121)</f>
        <v/>
      </c>
      <c r="O3121">
        <f>IF(L3121="", "Pending", IF(N3121&lt;=30, "Met", "Breached"))</f>
        <v/>
      </c>
    </row>
    <row r="3122">
      <c r="M3122" s="11">
        <f>B3122+30</f>
        <v/>
      </c>
      <c r="N3122">
        <f>IF(L3122="", "", L3122-B3122)</f>
        <v/>
      </c>
      <c r="O3122">
        <f>IF(L3122="", "Pending", IF(N3122&lt;=30, "Met", "Breached"))</f>
        <v/>
      </c>
    </row>
    <row r="3123">
      <c r="M3123" s="11">
        <f>B3123+30</f>
        <v/>
      </c>
      <c r="N3123">
        <f>IF(L3123="", "", L3123-B3123)</f>
        <v/>
      </c>
      <c r="O3123">
        <f>IF(L3123="", "Pending", IF(N3123&lt;=30, "Met", "Breached"))</f>
        <v/>
      </c>
    </row>
    <row r="3124">
      <c r="M3124" s="11">
        <f>B3124+30</f>
        <v/>
      </c>
      <c r="N3124">
        <f>IF(L3124="", "", L3124-B3124)</f>
        <v/>
      </c>
      <c r="O3124">
        <f>IF(L3124="", "Pending", IF(N3124&lt;=30, "Met", "Breached"))</f>
        <v/>
      </c>
    </row>
    <row r="3125">
      <c r="M3125" s="11">
        <f>B3125+30</f>
        <v/>
      </c>
      <c r="N3125">
        <f>IF(L3125="", "", L3125-B3125)</f>
        <v/>
      </c>
      <c r="O3125">
        <f>IF(L3125="", "Pending", IF(N3125&lt;=30, "Met", "Breached"))</f>
        <v/>
      </c>
    </row>
    <row r="3126">
      <c r="M3126" s="11">
        <f>B3126+30</f>
        <v/>
      </c>
      <c r="N3126">
        <f>IF(L3126="", "", L3126-B3126)</f>
        <v/>
      </c>
      <c r="O3126">
        <f>IF(L3126="", "Pending", IF(N3126&lt;=30, "Met", "Breached"))</f>
        <v/>
      </c>
    </row>
    <row r="3127">
      <c r="M3127" s="11">
        <f>B3127+30</f>
        <v/>
      </c>
      <c r="N3127">
        <f>IF(L3127="", "", L3127-B3127)</f>
        <v/>
      </c>
      <c r="O3127">
        <f>IF(L3127="", "Pending", IF(N3127&lt;=30, "Met", "Breached"))</f>
        <v/>
      </c>
    </row>
    <row r="3128">
      <c r="M3128" s="11">
        <f>B3128+30</f>
        <v/>
      </c>
      <c r="N3128">
        <f>IF(L3128="", "", L3128-B3128)</f>
        <v/>
      </c>
      <c r="O3128">
        <f>IF(L3128="", "Pending", IF(N3128&lt;=30, "Met", "Breached"))</f>
        <v/>
      </c>
    </row>
    <row r="3129">
      <c r="M3129" s="11">
        <f>B3129+30</f>
        <v/>
      </c>
      <c r="N3129">
        <f>IF(L3129="", "", L3129-B3129)</f>
        <v/>
      </c>
      <c r="O3129">
        <f>IF(L3129="", "Pending", IF(N3129&lt;=30, "Met", "Breached"))</f>
        <v/>
      </c>
    </row>
    <row r="3130">
      <c r="M3130" s="11">
        <f>B3130+30</f>
        <v/>
      </c>
      <c r="N3130">
        <f>IF(L3130="", "", L3130-B3130)</f>
        <v/>
      </c>
      <c r="O3130">
        <f>IF(L3130="", "Pending", IF(N3130&lt;=30, "Met", "Breached"))</f>
        <v/>
      </c>
    </row>
    <row r="3131">
      <c r="M3131" s="11">
        <f>B3131+30</f>
        <v/>
      </c>
      <c r="N3131">
        <f>IF(L3131="", "", L3131-B3131)</f>
        <v/>
      </c>
      <c r="O3131">
        <f>IF(L3131="", "Pending", IF(N3131&lt;=30, "Met", "Breached"))</f>
        <v/>
      </c>
    </row>
    <row r="3132">
      <c r="M3132" s="11">
        <f>B3132+30</f>
        <v/>
      </c>
      <c r="N3132">
        <f>IF(L3132="", "", L3132-B3132)</f>
        <v/>
      </c>
      <c r="O3132">
        <f>IF(L3132="", "Pending", IF(N3132&lt;=30, "Met", "Breached"))</f>
        <v/>
      </c>
    </row>
    <row r="3133">
      <c r="M3133" s="11">
        <f>B3133+30</f>
        <v/>
      </c>
      <c r="N3133">
        <f>IF(L3133="", "", L3133-B3133)</f>
        <v/>
      </c>
      <c r="O3133">
        <f>IF(L3133="", "Pending", IF(N3133&lt;=30, "Met", "Breached"))</f>
        <v/>
      </c>
    </row>
    <row r="3134">
      <c r="M3134" s="11">
        <f>B3134+30</f>
        <v/>
      </c>
      <c r="N3134">
        <f>IF(L3134="", "", L3134-B3134)</f>
        <v/>
      </c>
      <c r="O3134">
        <f>IF(L3134="", "Pending", IF(N3134&lt;=30, "Met", "Breached"))</f>
        <v/>
      </c>
    </row>
    <row r="3135">
      <c r="M3135" s="11">
        <f>B3135+30</f>
        <v/>
      </c>
      <c r="N3135">
        <f>IF(L3135="", "", L3135-B3135)</f>
        <v/>
      </c>
      <c r="O3135">
        <f>IF(L3135="", "Pending", IF(N3135&lt;=30, "Met", "Breached"))</f>
        <v/>
      </c>
    </row>
    <row r="3136">
      <c r="M3136" s="11">
        <f>B3136+30</f>
        <v/>
      </c>
      <c r="N3136">
        <f>IF(L3136="", "", L3136-B3136)</f>
        <v/>
      </c>
      <c r="O3136">
        <f>IF(L3136="", "Pending", IF(N3136&lt;=30, "Met", "Breached"))</f>
        <v/>
      </c>
    </row>
    <row r="3137">
      <c r="M3137" s="11">
        <f>B3137+30</f>
        <v/>
      </c>
      <c r="N3137">
        <f>IF(L3137="", "", L3137-B3137)</f>
        <v/>
      </c>
      <c r="O3137">
        <f>IF(L3137="", "Pending", IF(N3137&lt;=30, "Met", "Breached"))</f>
        <v/>
      </c>
    </row>
    <row r="3138">
      <c r="M3138" s="11">
        <f>B3138+30</f>
        <v/>
      </c>
      <c r="N3138">
        <f>IF(L3138="", "", L3138-B3138)</f>
        <v/>
      </c>
      <c r="O3138">
        <f>IF(L3138="", "Pending", IF(N3138&lt;=30, "Met", "Breached"))</f>
        <v/>
      </c>
    </row>
    <row r="3139">
      <c r="M3139" s="11">
        <f>B3139+30</f>
        <v/>
      </c>
      <c r="N3139">
        <f>IF(L3139="", "", L3139-B3139)</f>
        <v/>
      </c>
      <c r="O3139">
        <f>IF(L3139="", "Pending", IF(N3139&lt;=30, "Met", "Breached"))</f>
        <v/>
      </c>
    </row>
    <row r="3140">
      <c r="M3140" s="11">
        <f>B3140+30</f>
        <v/>
      </c>
      <c r="N3140">
        <f>IF(L3140="", "", L3140-B3140)</f>
        <v/>
      </c>
      <c r="O3140">
        <f>IF(L3140="", "Pending", IF(N3140&lt;=30, "Met", "Breached"))</f>
        <v/>
      </c>
    </row>
    <row r="3141">
      <c r="M3141" s="11">
        <f>B3141+30</f>
        <v/>
      </c>
      <c r="N3141">
        <f>IF(L3141="", "", L3141-B3141)</f>
        <v/>
      </c>
      <c r="O3141">
        <f>IF(L3141="", "Pending", IF(N3141&lt;=30, "Met", "Breached"))</f>
        <v/>
      </c>
    </row>
    <row r="3142">
      <c r="M3142" s="11">
        <f>B3142+30</f>
        <v/>
      </c>
      <c r="N3142">
        <f>IF(L3142="", "", L3142-B3142)</f>
        <v/>
      </c>
      <c r="O3142">
        <f>IF(L3142="", "Pending", IF(N3142&lt;=30, "Met", "Breached"))</f>
        <v/>
      </c>
    </row>
    <row r="3143">
      <c r="M3143" s="11">
        <f>B3143+30</f>
        <v/>
      </c>
      <c r="N3143">
        <f>IF(L3143="", "", L3143-B3143)</f>
        <v/>
      </c>
      <c r="O3143">
        <f>IF(L3143="", "Pending", IF(N3143&lt;=30, "Met", "Breached"))</f>
        <v/>
      </c>
    </row>
    <row r="3144">
      <c r="M3144" s="11">
        <f>B3144+30</f>
        <v/>
      </c>
      <c r="N3144">
        <f>IF(L3144="", "", L3144-B3144)</f>
        <v/>
      </c>
      <c r="O3144">
        <f>IF(L3144="", "Pending", IF(N3144&lt;=30, "Met", "Breached"))</f>
        <v/>
      </c>
    </row>
    <row r="3145">
      <c r="M3145" s="11">
        <f>B3145+30</f>
        <v/>
      </c>
      <c r="N3145">
        <f>IF(L3145="", "", L3145-B3145)</f>
        <v/>
      </c>
      <c r="O3145">
        <f>IF(L3145="", "Pending", IF(N3145&lt;=30, "Met", "Breached"))</f>
        <v/>
      </c>
    </row>
    <row r="3146">
      <c r="M3146" s="11">
        <f>B3146+30</f>
        <v/>
      </c>
      <c r="N3146">
        <f>IF(L3146="", "", L3146-B3146)</f>
        <v/>
      </c>
      <c r="O3146">
        <f>IF(L3146="", "Pending", IF(N3146&lt;=30, "Met", "Breached"))</f>
        <v/>
      </c>
    </row>
    <row r="3147">
      <c r="M3147" s="11">
        <f>B3147+30</f>
        <v/>
      </c>
      <c r="N3147">
        <f>IF(L3147="", "", L3147-B3147)</f>
        <v/>
      </c>
      <c r="O3147">
        <f>IF(L3147="", "Pending", IF(N3147&lt;=30, "Met", "Breached"))</f>
        <v/>
      </c>
    </row>
    <row r="3148">
      <c r="M3148" s="11">
        <f>B3148+30</f>
        <v/>
      </c>
      <c r="N3148">
        <f>IF(L3148="", "", L3148-B3148)</f>
        <v/>
      </c>
      <c r="O3148">
        <f>IF(L3148="", "Pending", IF(N3148&lt;=30, "Met", "Breached"))</f>
        <v/>
      </c>
    </row>
    <row r="3149">
      <c r="M3149" s="11">
        <f>B3149+30</f>
        <v/>
      </c>
      <c r="N3149">
        <f>IF(L3149="", "", L3149-B3149)</f>
        <v/>
      </c>
      <c r="O3149">
        <f>IF(L3149="", "Pending", IF(N3149&lt;=30, "Met", "Breached"))</f>
        <v/>
      </c>
    </row>
    <row r="3150">
      <c r="M3150" s="11">
        <f>B3150+30</f>
        <v/>
      </c>
      <c r="N3150">
        <f>IF(L3150="", "", L3150-B3150)</f>
        <v/>
      </c>
      <c r="O3150">
        <f>IF(L3150="", "Pending", IF(N3150&lt;=30, "Met", "Breached"))</f>
        <v/>
      </c>
    </row>
    <row r="3151">
      <c r="M3151" s="11">
        <f>B3151+30</f>
        <v/>
      </c>
      <c r="N3151">
        <f>IF(L3151="", "", L3151-B3151)</f>
        <v/>
      </c>
      <c r="O3151">
        <f>IF(L3151="", "Pending", IF(N3151&lt;=30, "Met", "Breached"))</f>
        <v/>
      </c>
    </row>
    <row r="3152">
      <c r="M3152" s="11">
        <f>B3152+30</f>
        <v/>
      </c>
      <c r="N3152">
        <f>IF(L3152="", "", L3152-B3152)</f>
        <v/>
      </c>
      <c r="O3152">
        <f>IF(L3152="", "Pending", IF(N3152&lt;=30, "Met", "Breached"))</f>
        <v/>
      </c>
    </row>
    <row r="3153">
      <c r="M3153" s="11">
        <f>B3153+30</f>
        <v/>
      </c>
      <c r="N3153">
        <f>IF(L3153="", "", L3153-B3153)</f>
        <v/>
      </c>
      <c r="O3153">
        <f>IF(L3153="", "Pending", IF(N3153&lt;=30, "Met", "Breached"))</f>
        <v/>
      </c>
    </row>
    <row r="3154">
      <c r="M3154" s="11">
        <f>B3154+30</f>
        <v/>
      </c>
      <c r="N3154">
        <f>IF(L3154="", "", L3154-B3154)</f>
        <v/>
      </c>
      <c r="O3154">
        <f>IF(L3154="", "Pending", IF(N3154&lt;=30, "Met", "Breached"))</f>
        <v/>
      </c>
    </row>
    <row r="3155">
      <c r="M3155" s="11">
        <f>B3155+30</f>
        <v/>
      </c>
      <c r="N3155">
        <f>IF(L3155="", "", L3155-B3155)</f>
        <v/>
      </c>
      <c r="O3155">
        <f>IF(L3155="", "Pending", IF(N3155&lt;=30, "Met", "Breached"))</f>
        <v/>
      </c>
    </row>
    <row r="3156">
      <c r="M3156" s="11">
        <f>B3156+30</f>
        <v/>
      </c>
      <c r="N3156">
        <f>IF(L3156="", "", L3156-B3156)</f>
        <v/>
      </c>
      <c r="O3156">
        <f>IF(L3156="", "Pending", IF(N3156&lt;=30, "Met", "Breached"))</f>
        <v/>
      </c>
    </row>
    <row r="3157">
      <c r="M3157" s="11">
        <f>B3157+30</f>
        <v/>
      </c>
      <c r="N3157">
        <f>IF(L3157="", "", L3157-B3157)</f>
        <v/>
      </c>
      <c r="O3157">
        <f>IF(L3157="", "Pending", IF(N3157&lt;=30, "Met", "Breached"))</f>
        <v/>
      </c>
    </row>
    <row r="3158">
      <c r="M3158" s="11">
        <f>B3158+30</f>
        <v/>
      </c>
      <c r="N3158">
        <f>IF(L3158="", "", L3158-B3158)</f>
        <v/>
      </c>
      <c r="O3158">
        <f>IF(L3158="", "Pending", IF(N3158&lt;=30, "Met", "Breached"))</f>
        <v/>
      </c>
    </row>
    <row r="3159">
      <c r="M3159" s="11">
        <f>B3159+30</f>
        <v/>
      </c>
      <c r="N3159">
        <f>IF(L3159="", "", L3159-B3159)</f>
        <v/>
      </c>
      <c r="O3159">
        <f>IF(L3159="", "Pending", IF(N3159&lt;=30, "Met", "Breached"))</f>
        <v/>
      </c>
    </row>
    <row r="3160">
      <c r="M3160" s="11">
        <f>B3160+30</f>
        <v/>
      </c>
      <c r="N3160">
        <f>IF(L3160="", "", L3160-B3160)</f>
        <v/>
      </c>
      <c r="O3160">
        <f>IF(L3160="", "Pending", IF(N3160&lt;=30, "Met", "Breached"))</f>
        <v/>
      </c>
    </row>
    <row r="3161">
      <c r="M3161" s="11">
        <f>B3161+30</f>
        <v/>
      </c>
      <c r="N3161">
        <f>IF(L3161="", "", L3161-B3161)</f>
        <v/>
      </c>
      <c r="O3161">
        <f>IF(L3161="", "Pending", IF(N3161&lt;=30, "Met", "Breached"))</f>
        <v/>
      </c>
    </row>
    <row r="3162">
      <c r="M3162" s="11">
        <f>B3162+30</f>
        <v/>
      </c>
      <c r="N3162">
        <f>IF(L3162="", "", L3162-B3162)</f>
        <v/>
      </c>
      <c r="O3162">
        <f>IF(L3162="", "Pending", IF(N3162&lt;=30, "Met", "Breached"))</f>
        <v/>
      </c>
    </row>
    <row r="3163">
      <c r="M3163" s="11">
        <f>B3163+30</f>
        <v/>
      </c>
      <c r="N3163">
        <f>IF(L3163="", "", L3163-B3163)</f>
        <v/>
      </c>
      <c r="O3163">
        <f>IF(L3163="", "Pending", IF(N3163&lt;=30, "Met", "Breached"))</f>
        <v/>
      </c>
    </row>
    <row r="3164">
      <c r="M3164" s="11">
        <f>B3164+30</f>
        <v/>
      </c>
      <c r="N3164">
        <f>IF(L3164="", "", L3164-B3164)</f>
        <v/>
      </c>
      <c r="O3164">
        <f>IF(L3164="", "Pending", IF(N3164&lt;=30, "Met", "Breached"))</f>
        <v/>
      </c>
    </row>
    <row r="3165">
      <c r="M3165" s="11">
        <f>B3165+30</f>
        <v/>
      </c>
      <c r="N3165">
        <f>IF(L3165="", "", L3165-B3165)</f>
        <v/>
      </c>
      <c r="O3165">
        <f>IF(L3165="", "Pending", IF(N3165&lt;=30, "Met", "Breached"))</f>
        <v/>
      </c>
    </row>
    <row r="3166">
      <c r="M3166" s="11">
        <f>B3166+30</f>
        <v/>
      </c>
      <c r="N3166">
        <f>IF(L3166="", "", L3166-B3166)</f>
        <v/>
      </c>
      <c r="O3166">
        <f>IF(L3166="", "Pending", IF(N3166&lt;=30, "Met", "Breached"))</f>
        <v/>
      </c>
    </row>
    <row r="3167">
      <c r="M3167" s="11">
        <f>B3167+30</f>
        <v/>
      </c>
      <c r="N3167">
        <f>IF(L3167="", "", L3167-B3167)</f>
        <v/>
      </c>
      <c r="O3167">
        <f>IF(L3167="", "Pending", IF(N3167&lt;=30, "Met", "Breached"))</f>
        <v/>
      </c>
    </row>
    <row r="3168">
      <c r="M3168" s="11">
        <f>B3168+30</f>
        <v/>
      </c>
      <c r="N3168">
        <f>IF(L3168="", "", L3168-B3168)</f>
        <v/>
      </c>
      <c r="O3168">
        <f>IF(L3168="", "Pending", IF(N3168&lt;=30, "Met", "Breached"))</f>
        <v/>
      </c>
    </row>
    <row r="3169">
      <c r="M3169" s="11">
        <f>B3169+30</f>
        <v/>
      </c>
      <c r="N3169">
        <f>IF(L3169="", "", L3169-B3169)</f>
        <v/>
      </c>
      <c r="O3169">
        <f>IF(L3169="", "Pending", IF(N3169&lt;=30, "Met", "Breached"))</f>
        <v/>
      </c>
    </row>
    <row r="3170">
      <c r="M3170" s="11">
        <f>B3170+30</f>
        <v/>
      </c>
      <c r="N3170">
        <f>IF(L3170="", "", L3170-B3170)</f>
        <v/>
      </c>
      <c r="O3170">
        <f>IF(L3170="", "Pending", IF(N3170&lt;=30, "Met", "Breached"))</f>
        <v/>
      </c>
    </row>
    <row r="3171">
      <c r="M3171" s="11">
        <f>B3171+30</f>
        <v/>
      </c>
      <c r="N3171">
        <f>IF(L3171="", "", L3171-B3171)</f>
        <v/>
      </c>
      <c r="O3171">
        <f>IF(L3171="", "Pending", IF(N3171&lt;=30, "Met", "Breached"))</f>
        <v/>
      </c>
    </row>
    <row r="3172">
      <c r="M3172" s="11">
        <f>B3172+30</f>
        <v/>
      </c>
      <c r="N3172">
        <f>IF(L3172="", "", L3172-B3172)</f>
        <v/>
      </c>
      <c r="O3172">
        <f>IF(L3172="", "Pending", IF(N3172&lt;=30, "Met", "Breached"))</f>
        <v/>
      </c>
    </row>
    <row r="3173">
      <c r="M3173" s="11">
        <f>B3173+30</f>
        <v/>
      </c>
      <c r="N3173">
        <f>IF(L3173="", "", L3173-B3173)</f>
        <v/>
      </c>
      <c r="O3173">
        <f>IF(L3173="", "Pending", IF(N3173&lt;=30, "Met", "Breached"))</f>
        <v/>
      </c>
    </row>
    <row r="3174">
      <c r="M3174" s="11">
        <f>B3174+30</f>
        <v/>
      </c>
      <c r="N3174">
        <f>IF(L3174="", "", L3174-B3174)</f>
        <v/>
      </c>
      <c r="O3174">
        <f>IF(L3174="", "Pending", IF(N3174&lt;=30, "Met", "Breached"))</f>
        <v/>
      </c>
    </row>
    <row r="3175">
      <c r="M3175" s="11">
        <f>B3175+30</f>
        <v/>
      </c>
      <c r="N3175">
        <f>IF(L3175="", "", L3175-B3175)</f>
        <v/>
      </c>
      <c r="O3175">
        <f>IF(L3175="", "Pending", IF(N3175&lt;=30, "Met", "Breached"))</f>
        <v/>
      </c>
    </row>
    <row r="3176">
      <c r="M3176" s="11">
        <f>B3176+30</f>
        <v/>
      </c>
      <c r="N3176">
        <f>IF(L3176="", "", L3176-B3176)</f>
        <v/>
      </c>
      <c r="O3176">
        <f>IF(L3176="", "Pending", IF(N3176&lt;=30, "Met", "Breached"))</f>
        <v/>
      </c>
    </row>
    <row r="3177">
      <c r="M3177" s="11">
        <f>B3177+30</f>
        <v/>
      </c>
      <c r="N3177">
        <f>IF(L3177="", "", L3177-B3177)</f>
        <v/>
      </c>
      <c r="O3177">
        <f>IF(L3177="", "Pending", IF(N3177&lt;=30, "Met", "Breached"))</f>
        <v/>
      </c>
    </row>
    <row r="3178">
      <c r="M3178" s="11">
        <f>B3178+30</f>
        <v/>
      </c>
      <c r="N3178">
        <f>IF(L3178="", "", L3178-B3178)</f>
        <v/>
      </c>
      <c r="O3178">
        <f>IF(L3178="", "Pending", IF(N3178&lt;=30, "Met", "Breached"))</f>
        <v/>
      </c>
    </row>
    <row r="3179">
      <c r="M3179" s="11">
        <f>B3179+30</f>
        <v/>
      </c>
      <c r="N3179">
        <f>IF(L3179="", "", L3179-B3179)</f>
        <v/>
      </c>
      <c r="O3179">
        <f>IF(L3179="", "Pending", IF(N3179&lt;=30, "Met", "Breached"))</f>
        <v/>
      </c>
    </row>
    <row r="3180">
      <c r="M3180" s="11">
        <f>B3180+30</f>
        <v/>
      </c>
      <c r="N3180">
        <f>IF(L3180="", "", L3180-B3180)</f>
        <v/>
      </c>
      <c r="O3180">
        <f>IF(L3180="", "Pending", IF(N3180&lt;=30, "Met", "Breached"))</f>
        <v/>
      </c>
    </row>
    <row r="3181">
      <c r="M3181" s="11">
        <f>B3181+30</f>
        <v/>
      </c>
      <c r="N3181">
        <f>IF(L3181="", "", L3181-B3181)</f>
        <v/>
      </c>
      <c r="O3181">
        <f>IF(L3181="", "Pending", IF(N3181&lt;=30, "Met", "Breached"))</f>
        <v/>
      </c>
    </row>
    <row r="3182">
      <c r="M3182" s="11">
        <f>B3182+30</f>
        <v/>
      </c>
      <c r="N3182">
        <f>IF(L3182="", "", L3182-B3182)</f>
        <v/>
      </c>
      <c r="O3182">
        <f>IF(L3182="", "Pending", IF(N3182&lt;=30, "Met", "Breached"))</f>
        <v/>
      </c>
    </row>
    <row r="3183">
      <c r="M3183" s="11">
        <f>B3183+30</f>
        <v/>
      </c>
      <c r="N3183">
        <f>IF(L3183="", "", L3183-B3183)</f>
        <v/>
      </c>
      <c r="O3183">
        <f>IF(L3183="", "Pending", IF(N3183&lt;=30, "Met", "Breached"))</f>
        <v/>
      </c>
    </row>
    <row r="3184">
      <c r="M3184" s="11">
        <f>B3184+30</f>
        <v/>
      </c>
      <c r="N3184">
        <f>IF(L3184="", "", L3184-B3184)</f>
        <v/>
      </c>
      <c r="O3184">
        <f>IF(L3184="", "Pending", IF(N3184&lt;=30, "Met", "Breached"))</f>
        <v/>
      </c>
    </row>
    <row r="3185">
      <c r="M3185" s="11">
        <f>B3185+30</f>
        <v/>
      </c>
      <c r="N3185">
        <f>IF(L3185="", "", L3185-B3185)</f>
        <v/>
      </c>
      <c r="O3185">
        <f>IF(L3185="", "Pending", IF(N3185&lt;=30, "Met", "Breached"))</f>
        <v/>
      </c>
    </row>
    <row r="3186">
      <c r="M3186" s="11">
        <f>B3186+30</f>
        <v/>
      </c>
      <c r="N3186">
        <f>IF(L3186="", "", L3186-B3186)</f>
        <v/>
      </c>
      <c r="O3186">
        <f>IF(L3186="", "Pending", IF(N3186&lt;=30, "Met", "Breached"))</f>
        <v/>
      </c>
    </row>
    <row r="3187">
      <c r="M3187" s="11">
        <f>B3187+30</f>
        <v/>
      </c>
      <c r="N3187">
        <f>IF(L3187="", "", L3187-B3187)</f>
        <v/>
      </c>
      <c r="O3187">
        <f>IF(L3187="", "Pending", IF(N3187&lt;=30, "Met", "Breached"))</f>
        <v/>
      </c>
    </row>
    <row r="3188">
      <c r="M3188" s="11">
        <f>B3188+30</f>
        <v/>
      </c>
      <c r="N3188">
        <f>IF(L3188="", "", L3188-B3188)</f>
        <v/>
      </c>
      <c r="O3188">
        <f>IF(L3188="", "Pending", IF(N3188&lt;=30, "Met", "Breached"))</f>
        <v/>
      </c>
    </row>
    <row r="3189">
      <c r="M3189" s="11">
        <f>B3189+30</f>
        <v/>
      </c>
      <c r="N3189">
        <f>IF(L3189="", "", L3189-B3189)</f>
        <v/>
      </c>
      <c r="O3189">
        <f>IF(L3189="", "Pending", IF(N3189&lt;=30, "Met", "Breached"))</f>
        <v/>
      </c>
    </row>
    <row r="3190">
      <c r="M3190" s="11">
        <f>B3190+30</f>
        <v/>
      </c>
      <c r="N3190">
        <f>IF(L3190="", "", L3190-B3190)</f>
        <v/>
      </c>
      <c r="O3190">
        <f>IF(L3190="", "Pending", IF(N3190&lt;=30, "Met", "Breached"))</f>
        <v/>
      </c>
    </row>
    <row r="3191">
      <c r="M3191" s="11">
        <f>B3191+30</f>
        <v/>
      </c>
      <c r="N3191">
        <f>IF(L3191="", "", L3191-B3191)</f>
        <v/>
      </c>
      <c r="O3191">
        <f>IF(L3191="", "Pending", IF(N3191&lt;=30, "Met", "Breached"))</f>
        <v/>
      </c>
    </row>
    <row r="3192">
      <c r="M3192" s="11">
        <f>B3192+30</f>
        <v/>
      </c>
      <c r="N3192">
        <f>IF(L3192="", "", L3192-B3192)</f>
        <v/>
      </c>
      <c r="O3192">
        <f>IF(L3192="", "Pending", IF(N3192&lt;=30, "Met", "Breached"))</f>
        <v/>
      </c>
    </row>
    <row r="3193">
      <c r="M3193" s="11">
        <f>B3193+30</f>
        <v/>
      </c>
      <c r="N3193">
        <f>IF(L3193="", "", L3193-B3193)</f>
        <v/>
      </c>
      <c r="O3193">
        <f>IF(L3193="", "Pending", IF(N3193&lt;=30, "Met", "Breached"))</f>
        <v/>
      </c>
    </row>
    <row r="3194">
      <c r="M3194" s="11">
        <f>B3194+30</f>
        <v/>
      </c>
      <c r="N3194">
        <f>IF(L3194="", "", L3194-B3194)</f>
        <v/>
      </c>
      <c r="O3194">
        <f>IF(L3194="", "Pending", IF(N3194&lt;=30, "Met", "Breached"))</f>
        <v/>
      </c>
    </row>
    <row r="3195">
      <c r="M3195" s="11">
        <f>B3195+30</f>
        <v/>
      </c>
      <c r="N3195">
        <f>IF(L3195="", "", L3195-B3195)</f>
        <v/>
      </c>
      <c r="O3195">
        <f>IF(L3195="", "Pending", IF(N3195&lt;=30, "Met", "Breached"))</f>
        <v/>
      </c>
    </row>
    <row r="3196">
      <c r="M3196" s="11">
        <f>B3196+30</f>
        <v/>
      </c>
      <c r="N3196">
        <f>IF(L3196="", "", L3196-B3196)</f>
        <v/>
      </c>
      <c r="O3196">
        <f>IF(L3196="", "Pending", IF(N3196&lt;=30, "Met", "Breached"))</f>
        <v/>
      </c>
    </row>
    <row r="3197">
      <c r="M3197" s="11">
        <f>B3197+30</f>
        <v/>
      </c>
      <c r="N3197">
        <f>IF(L3197="", "", L3197-B3197)</f>
        <v/>
      </c>
      <c r="O3197">
        <f>IF(L3197="", "Pending", IF(N3197&lt;=30, "Met", "Breached"))</f>
        <v/>
      </c>
    </row>
    <row r="3198">
      <c r="M3198" s="11">
        <f>B3198+30</f>
        <v/>
      </c>
      <c r="N3198">
        <f>IF(L3198="", "", L3198-B3198)</f>
        <v/>
      </c>
      <c r="O3198">
        <f>IF(L3198="", "Pending", IF(N3198&lt;=30, "Met", "Breached"))</f>
        <v/>
      </c>
    </row>
    <row r="3199">
      <c r="M3199" s="11">
        <f>B3199+30</f>
        <v/>
      </c>
      <c r="N3199">
        <f>IF(L3199="", "", L3199-B3199)</f>
        <v/>
      </c>
      <c r="O3199">
        <f>IF(L3199="", "Pending", IF(N3199&lt;=30, "Met", "Breached"))</f>
        <v/>
      </c>
    </row>
    <row r="3200">
      <c r="M3200" s="11">
        <f>B3200+30</f>
        <v/>
      </c>
      <c r="N3200">
        <f>IF(L3200="", "", L3200-B3200)</f>
        <v/>
      </c>
      <c r="O3200">
        <f>IF(L3200="", "Pending", IF(N3200&lt;=30, "Met", "Breached"))</f>
        <v/>
      </c>
    </row>
    <row r="3201">
      <c r="M3201" s="11">
        <f>B3201+30</f>
        <v/>
      </c>
      <c r="N3201">
        <f>IF(L3201="", "", L3201-B3201)</f>
        <v/>
      </c>
      <c r="O3201">
        <f>IF(L3201="", "Pending", IF(N3201&lt;=30, "Met", "Breached"))</f>
        <v/>
      </c>
    </row>
    <row r="3202">
      <c r="M3202" s="11">
        <f>B3202+30</f>
        <v/>
      </c>
      <c r="N3202">
        <f>IF(L3202="", "", L3202-B3202)</f>
        <v/>
      </c>
      <c r="O3202">
        <f>IF(L3202="", "Pending", IF(N3202&lt;=30, "Met", "Breached"))</f>
        <v/>
      </c>
    </row>
    <row r="3203">
      <c r="M3203" s="11">
        <f>B3203+30</f>
        <v/>
      </c>
      <c r="N3203">
        <f>IF(L3203="", "", L3203-B3203)</f>
        <v/>
      </c>
      <c r="O3203">
        <f>IF(L3203="", "Pending", IF(N3203&lt;=30, "Met", "Breached"))</f>
        <v/>
      </c>
    </row>
    <row r="3204">
      <c r="M3204" s="11">
        <f>B3204+30</f>
        <v/>
      </c>
      <c r="N3204">
        <f>IF(L3204="", "", L3204-B3204)</f>
        <v/>
      </c>
      <c r="O3204">
        <f>IF(L3204="", "Pending", IF(N3204&lt;=30, "Met", "Breached"))</f>
        <v/>
      </c>
    </row>
    <row r="3205">
      <c r="M3205" s="11">
        <f>B3205+30</f>
        <v/>
      </c>
      <c r="N3205">
        <f>IF(L3205="", "", L3205-B3205)</f>
        <v/>
      </c>
      <c r="O3205">
        <f>IF(L3205="", "Pending", IF(N3205&lt;=30, "Met", "Breached"))</f>
        <v/>
      </c>
    </row>
    <row r="3206">
      <c r="M3206" s="11">
        <f>B3206+30</f>
        <v/>
      </c>
      <c r="N3206">
        <f>IF(L3206="", "", L3206-B3206)</f>
        <v/>
      </c>
      <c r="O3206">
        <f>IF(L3206="", "Pending", IF(N3206&lt;=30, "Met", "Breached"))</f>
        <v/>
      </c>
    </row>
    <row r="3207">
      <c r="M3207" s="11">
        <f>B3207+30</f>
        <v/>
      </c>
      <c r="N3207">
        <f>IF(L3207="", "", L3207-B3207)</f>
        <v/>
      </c>
      <c r="O3207">
        <f>IF(L3207="", "Pending", IF(N3207&lt;=30, "Met", "Breached"))</f>
        <v/>
      </c>
    </row>
    <row r="3208">
      <c r="M3208" s="11">
        <f>B3208+30</f>
        <v/>
      </c>
      <c r="N3208">
        <f>IF(L3208="", "", L3208-B3208)</f>
        <v/>
      </c>
      <c r="O3208">
        <f>IF(L3208="", "Pending", IF(N3208&lt;=30, "Met", "Breached"))</f>
        <v/>
      </c>
    </row>
    <row r="3209">
      <c r="M3209" s="11">
        <f>B3209+30</f>
        <v/>
      </c>
      <c r="N3209">
        <f>IF(L3209="", "", L3209-B3209)</f>
        <v/>
      </c>
      <c r="O3209">
        <f>IF(L3209="", "Pending", IF(N3209&lt;=30, "Met", "Breached"))</f>
        <v/>
      </c>
    </row>
    <row r="3210">
      <c r="M3210" s="11">
        <f>B3210+30</f>
        <v/>
      </c>
      <c r="N3210">
        <f>IF(L3210="", "", L3210-B3210)</f>
        <v/>
      </c>
      <c r="O3210">
        <f>IF(L3210="", "Pending", IF(N3210&lt;=30, "Met", "Breached"))</f>
        <v/>
      </c>
    </row>
    <row r="3211">
      <c r="M3211" s="11">
        <f>B3211+30</f>
        <v/>
      </c>
      <c r="N3211">
        <f>IF(L3211="", "", L3211-B3211)</f>
        <v/>
      </c>
      <c r="O3211">
        <f>IF(L3211="", "Pending", IF(N3211&lt;=30, "Met", "Breached"))</f>
        <v/>
      </c>
    </row>
    <row r="3212">
      <c r="M3212" s="11">
        <f>B3212+30</f>
        <v/>
      </c>
      <c r="N3212">
        <f>IF(L3212="", "", L3212-B3212)</f>
        <v/>
      </c>
      <c r="O3212">
        <f>IF(L3212="", "Pending", IF(N3212&lt;=30, "Met", "Breached"))</f>
        <v/>
      </c>
    </row>
    <row r="3213">
      <c r="M3213" s="11">
        <f>B3213+30</f>
        <v/>
      </c>
      <c r="N3213">
        <f>IF(L3213="", "", L3213-B3213)</f>
        <v/>
      </c>
      <c r="O3213">
        <f>IF(L3213="", "Pending", IF(N3213&lt;=30, "Met", "Breached"))</f>
        <v/>
      </c>
    </row>
    <row r="3214">
      <c r="M3214" s="11">
        <f>B3214+30</f>
        <v/>
      </c>
      <c r="N3214">
        <f>IF(L3214="", "", L3214-B3214)</f>
        <v/>
      </c>
      <c r="O3214">
        <f>IF(L3214="", "Pending", IF(N3214&lt;=30, "Met", "Breached"))</f>
        <v/>
      </c>
    </row>
    <row r="3215">
      <c r="M3215" s="11">
        <f>B3215+30</f>
        <v/>
      </c>
      <c r="N3215">
        <f>IF(L3215="", "", L3215-B3215)</f>
        <v/>
      </c>
      <c r="O3215">
        <f>IF(L3215="", "Pending", IF(N3215&lt;=30, "Met", "Breached"))</f>
        <v/>
      </c>
    </row>
    <row r="3216">
      <c r="M3216" s="11">
        <f>B3216+30</f>
        <v/>
      </c>
      <c r="N3216">
        <f>IF(L3216="", "", L3216-B3216)</f>
        <v/>
      </c>
      <c r="O3216">
        <f>IF(L3216="", "Pending", IF(N3216&lt;=30, "Met", "Breached"))</f>
        <v/>
      </c>
    </row>
    <row r="3217">
      <c r="M3217" s="11">
        <f>B3217+30</f>
        <v/>
      </c>
      <c r="N3217">
        <f>IF(L3217="", "", L3217-B3217)</f>
        <v/>
      </c>
      <c r="O3217">
        <f>IF(L3217="", "Pending", IF(N3217&lt;=30, "Met", "Breached"))</f>
        <v/>
      </c>
    </row>
    <row r="3218">
      <c r="M3218" s="11">
        <f>B3218+30</f>
        <v/>
      </c>
      <c r="N3218">
        <f>IF(L3218="", "", L3218-B3218)</f>
        <v/>
      </c>
      <c r="O3218">
        <f>IF(L3218="", "Pending", IF(N3218&lt;=30, "Met", "Breached"))</f>
        <v/>
      </c>
    </row>
    <row r="3219">
      <c r="M3219" s="11">
        <f>B3219+30</f>
        <v/>
      </c>
      <c r="N3219">
        <f>IF(L3219="", "", L3219-B3219)</f>
        <v/>
      </c>
      <c r="O3219">
        <f>IF(L3219="", "Pending", IF(N3219&lt;=30, "Met", "Breached"))</f>
        <v/>
      </c>
    </row>
    <row r="3220">
      <c r="M3220" s="11">
        <f>B3220+30</f>
        <v/>
      </c>
      <c r="N3220">
        <f>IF(L3220="", "", L3220-B3220)</f>
        <v/>
      </c>
      <c r="O3220">
        <f>IF(L3220="", "Pending", IF(N3220&lt;=30, "Met", "Breached"))</f>
        <v/>
      </c>
    </row>
    <row r="3221">
      <c r="M3221" s="11">
        <f>B3221+30</f>
        <v/>
      </c>
      <c r="N3221">
        <f>IF(L3221="", "", L3221-B3221)</f>
        <v/>
      </c>
      <c r="O3221">
        <f>IF(L3221="", "Pending", IF(N3221&lt;=30, "Met", "Breached"))</f>
        <v/>
      </c>
    </row>
    <row r="3222">
      <c r="M3222" s="11">
        <f>B3222+30</f>
        <v/>
      </c>
      <c r="N3222">
        <f>IF(L3222="", "", L3222-B3222)</f>
        <v/>
      </c>
      <c r="O3222">
        <f>IF(L3222="", "Pending", IF(N3222&lt;=30, "Met", "Breached"))</f>
        <v/>
      </c>
    </row>
    <row r="3223">
      <c r="M3223" s="11">
        <f>B3223+30</f>
        <v/>
      </c>
      <c r="N3223">
        <f>IF(L3223="", "", L3223-B3223)</f>
        <v/>
      </c>
      <c r="O3223">
        <f>IF(L3223="", "Pending", IF(N3223&lt;=30, "Met", "Breached"))</f>
        <v/>
      </c>
    </row>
    <row r="3224">
      <c r="M3224" s="11">
        <f>B3224+30</f>
        <v/>
      </c>
      <c r="N3224">
        <f>IF(L3224="", "", L3224-B3224)</f>
        <v/>
      </c>
      <c r="O3224">
        <f>IF(L3224="", "Pending", IF(N3224&lt;=30, "Met", "Breached"))</f>
        <v/>
      </c>
    </row>
    <row r="3225">
      <c r="M3225" s="11">
        <f>B3225+30</f>
        <v/>
      </c>
      <c r="N3225">
        <f>IF(L3225="", "", L3225-B3225)</f>
        <v/>
      </c>
      <c r="O3225">
        <f>IF(L3225="", "Pending", IF(N3225&lt;=30, "Met", "Breached"))</f>
        <v/>
      </c>
    </row>
    <row r="3226">
      <c r="M3226" s="11">
        <f>B3226+30</f>
        <v/>
      </c>
      <c r="N3226">
        <f>IF(L3226="", "", L3226-B3226)</f>
        <v/>
      </c>
      <c r="O3226">
        <f>IF(L3226="", "Pending", IF(N3226&lt;=30, "Met", "Breached"))</f>
        <v/>
      </c>
    </row>
    <row r="3227">
      <c r="M3227" s="11">
        <f>B3227+30</f>
        <v/>
      </c>
      <c r="N3227">
        <f>IF(L3227="", "", L3227-B3227)</f>
        <v/>
      </c>
      <c r="O3227">
        <f>IF(L3227="", "Pending", IF(N3227&lt;=30, "Met", "Breached"))</f>
        <v/>
      </c>
    </row>
    <row r="3228">
      <c r="M3228" s="11">
        <f>B3228+30</f>
        <v/>
      </c>
      <c r="N3228">
        <f>IF(L3228="", "", L3228-B3228)</f>
        <v/>
      </c>
      <c r="O3228">
        <f>IF(L3228="", "Pending", IF(N3228&lt;=30, "Met", "Breached"))</f>
        <v/>
      </c>
    </row>
    <row r="3229">
      <c r="M3229" s="11">
        <f>B3229+30</f>
        <v/>
      </c>
      <c r="N3229">
        <f>IF(L3229="", "", L3229-B3229)</f>
        <v/>
      </c>
      <c r="O3229">
        <f>IF(L3229="", "Pending", IF(N3229&lt;=30, "Met", "Breached"))</f>
        <v/>
      </c>
    </row>
    <row r="3230">
      <c r="M3230" s="11">
        <f>B3230+30</f>
        <v/>
      </c>
      <c r="N3230">
        <f>IF(L3230="", "", L3230-B3230)</f>
        <v/>
      </c>
      <c r="O3230">
        <f>IF(L3230="", "Pending", IF(N3230&lt;=30, "Met", "Breached"))</f>
        <v/>
      </c>
    </row>
    <row r="3231">
      <c r="M3231" s="11">
        <f>B3231+30</f>
        <v/>
      </c>
      <c r="N3231">
        <f>IF(L3231="", "", L3231-B3231)</f>
        <v/>
      </c>
      <c r="O3231">
        <f>IF(L3231="", "Pending", IF(N3231&lt;=30, "Met", "Breached"))</f>
        <v/>
      </c>
    </row>
    <row r="3232">
      <c r="M3232" s="11">
        <f>B3232+30</f>
        <v/>
      </c>
      <c r="N3232">
        <f>IF(L3232="", "", L3232-B3232)</f>
        <v/>
      </c>
      <c r="O3232">
        <f>IF(L3232="", "Pending", IF(N3232&lt;=30, "Met", "Breached"))</f>
        <v/>
      </c>
    </row>
    <row r="3233">
      <c r="M3233" s="11">
        <f>B3233+30</f>
        <v/>
      </c>
      <c r="N3233">
        <f>IF(L3233="", "", L3233-B3233)</f>
        <v/>
      </c>
      <c r="O3233">
        <f>IF(L3233="", "Pending", IF(N3233&lt;=30, "Met", "Breached"))</f>
        <v/>
      </c>
    </row>
    <row r="3234">
      <c r="M3234" s="11">
        <f>B3234+30</f>
        <v/>
      </c>
      <c r="N3234">
        <f>IF(L3234="", "", L3234-B3234)</f>
        <v/>
      </c>
      <c r="O3234">
        <f>IF(L3234="", "Pending", IF(N3234&lt;=30, "Met", "Breached"))</f>
        <v/>
      </c>
    </row>
    <row r="3235">
      <c r="M3235" s="11">
        <f>B3235+30</f>
        <v/>
      </c>
      <c r="N3235">
        <f>IF(L3235="", "", L3235-B3235)</f>
        <v/>
      </c>
      <c r="O3235">
        <f>IF(L3235="", "Pending", IF(N3235&lt;=30, "Met", "Breached"))</f>
        <v/>
      </c>
    </row>
    <row r="3236">
      <c r="M3236" s="11">
        <f>B3236+30</f>
        <v/>
      </c>
      <c r="N3236">
        <f>IF(L3236="", "", L3236-B3236)</f>
        <v/>
      </c>
      <c r="O3236">
        <f>IF(L3236="", "Pending", IF(N3236&lt;=30, "Met", "Breached"))</f>
        <v/>
      </c>
    </row>
    <row r="3237">
      <c r="M3237" s="11">
        <f>B3237+30</f>
        <v/>
      </c>
      <c r="N3237">
        <f>IF(L3237="", "", L3237-B3237)</f>
        <v/>
      </c>
      <c r="O3237">
        <f>IF(L3237="", "Pending", IF(N3237&lt;=30, "Met", "Breached"))</f>
        <v/>
      </c>
    </row>
    <row r="3238">
      <c r="M3238" s="11">
        <f>B3238+30</f>
        <v/>
      </c>
      <c r="N3238">
        <f>IF(L3238="", "", L3238-B3238)</f>
        <v/>
      </c>
      <c r="O3238">
        <f>IF(L3238="", "Pending", IF(N3238&lt;=30, "Met", "Breached"))</f>
        <v/>
      </c>
    </row>
    <row r="3239">
      <c r="M3239" s="11">
        <f>B3239+30</f>
        <v/>
      </c>
      <c r="N3239">
        <f>IF(L3239="", "", L3239-B3239)</f>
        <v/>
      </c>
      <c r="O3239">
        <f>IF(L3239="", "Pending", IF(N3239&lt;=30, "Met", "Breached"))</f>
        <v/>
      </c>
    </row>
    <row r="3240">
      <c r="M3240" s="11">
        <f>B3240+30</f>
        <v/>
      </c>
      <c r="N3240">
        <f>IF(L3240="", "", L3240-B3240)</f>
        <v/>
      </c>
      <c r="O3240">
        <f>IF(L3240="", "Pending", IF(N3240&lt;=30, "Met", "Breached"))</f>
        <v/>
      </c>
    </row>
    <row r="3241">
      <c r="M3241" s="11">
        <f>B3241+30</f>
        <v/>
      </c>
      <c r="N3241">
        <f>IF(L3241="", "", L3241-B3241)</f>
        <v/>
      </c>
      <c r="O3241">
        <f>IF(L3241="", "Pending", IF(N3241&lt;=30, "Met", "Breached"))</f>
        <v/>
      </c>
    </row>
    <row r="3242">
      <c r="M3242" s="11">
        <f>B3242+30</f>
        <v/>
      </c>
      <c r="N3242">
        <f>IF(L3242="", "", L3242-B3242)</f>
        <v/>
      </c>
      <c r="O3242">
        <f>IF(L3242="", "Pending", IF(N3242&lt;=30, "Met", "Breached"))</f>
        <v/>
      </c>
    </row>
    <row r="3243">
      <c r="M3243" s="11">
        <f>B3243+30</f>
        <v/>
      </c>
      <c r="N3243">
        <f>IF(L3243="", "", L3243-B3243)</f>
        <v/>
      </c>
      <c r="O3243">
        <f>IF(L3243="", "Pending", IF(N3243&lt;=30, "Met", "Breached"))</f>
        <v/>
      </c>
    </row>
    <row r="3244">
      <c r="M3244" s="11">
        <f>B3244+30</f>
        <v/>
      </c>
      <c r="N3244">
        <f>IF(L3244="", "", L3244-B3244)</f>
        <v/>
      </c>
      <c r="O3244">
        <f>IF(L3244="", "Pending", IF(N3244&lt;=30, "Met", "Breached"))</f>
        <v/>
      </c>
    </row>
    <row r="3245">
      <c r="M3245" s="11">
        <f>B3245+30</f>
        <v/>
      </c>
      <c r="N3245">
        <f>IF(L3245="", "", L3245-B3245)</f>
        <v/>
      </c>
      <c r="O3245">
        <f>IF(L3245="", "Pending", IF(N3245&lt;=30, "Met", "Breached"))</f>
        <v/>
      </c>
    </row>
    <row r="3246">
      <c r="M3246" s="11">
        <f>B3246+30</f>
        <v/>
      </c>
      <c r="N3246">
        <f>IF(L3246="", "", L3246-B3246)</f>
        <v/>
      </c>
      <c r="O3246">
        <f>IF(L3246="", "Pending", IF(N3246&lt;=30, "Met", "Breached"))</f>
        <v/>
      </c>
    </row>
    <row r="3247">
      <c r="M3247" s="11">
        <f>B3247+30</f>
        <v/>
      </c>
      <c r="N3247">
        <f>IF(L3247="", "", L3247-B3247)</f>
        <v/>
      </c>
      <c r="O3247">
        <f>IF(L3247="", "Pending", IF(N3247&lt;=30, "Met", "Breached"))</f>
        <v/>
      </c>
    </row>
    <row r="3248">
      <c r="M3248" s="11">
        <f>B3248+30</f>
        <v/>
      </c>
      <c r="N3248">
        <f>IF(L3248="", "", L3248-B3248)</f>
        <v/>
      </c>
      <c r="O3248">
        <f>IF(L3248="", "Pending", IF(N3248&lt;=30, "Met", "Breached"))</f>
        <v/>
      </c>
    </row>
    <row r="3249">
      <c r="M3249" s="11">
        <f>B3249+30</f>
        <v/>
      </c>
      <c r="N3249">
        <f>IF(L3249="", "", L3249-B3249)</f>
        <v/>
      </c>
      <c r="O3249">
        <f>IF(L3249="", "Pending", IF(N3249&lt;=30, "Met", "Breached"))</f>
        <v/>
      </c>
    </row>
    <row r="3250">
      <c r="M3250" s="11">
        <f>B3250+30</f>
        <v/>
      </c>
      <c r="N3250">
        <f>IF(L3250="", "", L3250-B3250)</f>
        <v/>
      </c>
      <c r="O3250">
        <f>IF(L3250="", "Pending", IF(N3250&lt;=30, "Met", "Breached"))</f>
        <v/>
      </c>
    </row>
    <row r="3251">
      <c r="M3251" s="11">
        <f>B3251+30</f>
        <v/>
      </c>
      <c r="N3251">
        <f>IF(L3251="", "", L3251-B3251)</f>
        <v/>
      </c>
      <c r="O3251">
        <f>IF(L3251="", "Pending", IF(N3251&lt;=30, "Met", "Breached"))</f>
        <v/>
      </c>
    </row>
    <row r="3252">
      <c r="M3252" s="11">
        <f>B3252+30</f>
        <v/>
      </c>
      <c r="N3252">
        <f>IF(L3252="", "", L3252-B3252)</f>
        <v/>
      </c>
      <c r="O3252">
        <f>IF(L3252="", "Pending", IF(N3252&lt;=30, "Met", "Breached"))</f>
        <v/>
      </c>
    </row>
    <row r="3253">
      <c r="M3253" s="11">
        <f>B3253+30</f>
        <v/>
      </c>
      <c r="N3253">
        <f>IF(L3253="", "", L3253-B3253)</f>
        <v/>
      </c>
      <c r="O3253">
        <f>IF(L3253="", "Pending", IF(N3253&lt;=30, "Met", "Breached"))</f>
        <v/>
      </c>
    </row>
    <row r="3254">
      <c r="M3254" s="11">
        <f>B3254+30</f>
        <v/>
      </c>
      <c r="N3254">
        <f>IF(L3254="", "", L3254-B3254)</f>
        <v/>
      </c>
      <c r="O3254">
        <f>IF(L3254="", "Pending", IF(N3254&lt;=30, "Met", "Breached"))</f>
        <v/>
      </c>
    </row>
    <row r="3255">
      <c r="M3255" s="11">
        <f>B3255+30</f>
        <v/>
      </c>
      <c r="N3255">
        <f>IF(L3255="", "", L3255-B3255)</f>
        <v/>
      </c>
      <c r="O3255">
        <f>IF(L3255="", "Pending", IF(N3255&lt;=30, "Met", "Breached"))</f>
        <v/>
      </c>
    </row>
    <row r="3256">
      <c r="M3256" s="11">
        <f>B3256+30</f>
        <v/>
      </c>
      <c r="N3256">
        <f>IF(L3256="", "", L3256-B3256)</f>
        <v/>
      </c>
      <c r="O3256">
        <f>IF(L3256="", "Pending", IF(N3256&lt;=30, "Met", "Breached"))</f>
        <v/>
      </c>
    </row>
    <row r="3257">
      <c r="M3257" s="11">
        <f>B3257+30</f>
        <v/>
      </c>
      <c r="N3257">
        <f>IF(L3257="", "", L3257-B3257)</f>
        <v/>
      </c>
      <c r="O3257">
        <f>IF(L3257="", "Pending", IF(N3257&lt;=30, "Met", "Breached"))</f>
        <v/>
      </c>
    </row>
    <row r="3258">
      <c r="M3258" s="11">
        <f>B3258+30</f>
        <v/>
      </c>
      <c r="N3258">
        <f>IF(L3258="", "", L3258-B3258)</f>
        <v/>
      </c>
      <c r="O3258">
        <f>IF(L3258="", "Pending", IF(N3258&lt;=30, "Met", "Breached"))</f>
        <v/>
      </c>
    </row>
    <row r="3259">
      <c r="M3259" s="11">
        <f>B3259+30</f>
        <v/>
      </c>
      <c r="N3259">
        <f>IF(L3259="", "", L3259-B3259)</f>
        <v/>
      </c>
      <c r="O3259">
        <f>IF(L3259="", "Pending", IF(N3259&lt;=30, "Met", "Breached"))</f>
        <v/>
      </c>
    </row>
    <row r="3260">
      <c r="M3260" s="11">
        <f>B3260+30</f>
        <v/>
      </c>
      <c r="N3260">
        <f>IF(L3260="", "", L3260-B3260)</f>
        <v/>
      </c>
      <c r="O3260">
        <f>IF(L3260="", "Pending", IF(N3260&lt;=30, "Met", "Breached"))</f>
        <v/>
      </c>
    </row>
    <row r="3261">
      <c r="M3261" s="11">
        <f>B3261+30</f>
        <v/>
      </c>
      <c r="N3261">
        <f>IF(L3261="", "", L3261-B3261)</f>
        <v/>
      </c>
      <c r="O3261">
        <f>IF(L3261="", "Pending", IF(N3261&lt;=30, "Met", "Breached"))</f>
        <v/>
      </c>
    </row>
    <row r="3262">
      <c r="M3262" s="11">
        <f>B3262+30</f>
        <v/>
      </c>
      <c r="N3262">
        <f>IF(L3262="", "", L3262-B3262)</f>
        <v/>
      </c>
      <c r="O3262">
        <f>IF(L3262="", "Pending", IF(N3262&lt;=30, "Met", "Breached"))</f>
        <v/>
      </c>
    </row>
    <row r="3263">
      <c r="M3263" s="11">
        <f>B3263+30</f>
        <v/>
      </c>
      <c r="N3263">
        <f>IF(L3263="", "", L3263-B3263)</f>
        <v/>
      </c>
      <c r="O3263">
        <f>IF(L3263="", "Pending", IF(N3263&lt;=30, "Met", "Breached"))</f>
        <v/>
      </c>
    </row>
    <row r="3264">
      <c r="M3264" s="11">
        <f>B3264+30</f>
        <v/>
      </c>
      <c r="N3264">
        <f>IF(L3264="", "", L3264-B3264)</f>
        <v/>
      </c>
      <c r="O3264">
        <f>IF(L3264="", "Pending", IF(N3264&lt;=30, "Met", "Breached"))</f>
        <v/>
      </c>
    </row>
    <row r="3265">
      <c r="M3265" s="11">
        <f>B3265+30</f>
        <v/>
      </c>
      <c r="N3265">
        <f>IF(L3265="", "", L3265-B3265)</f>
        <v/>
      </c>
      <c r="O3265">
        <f>IF(L3265="", "Pending", IF(N3265&lt;=30, "Met", "Breached"))</f>
        <v/>
      </c>
    </row>
    <row r="3266">
      <c r="M3266" s="11">
        <f>B3266+30</f>
        <v/>
      </c>
      <c r="N3266">
        <f>IF(L3266="", "", L3266-B3266)</f>
        <v/>
      </c>
      <c r="O3266">
        <f>IF(L3266="", "Pending", IF(N3266&lt;=30, "Met", "Breached"))</f>
        <v/>
      </c>
    </row>
    <row r="3267">
      <c r="M3267" s="11">
        <f>B3267+30</f>
        <v/>
      </c>
      <c r="N3267">
        <f>IF(L3267="", "", L3267-B3267)</f>
        <v/>
      </c>
      <c r="O3267">
        <f>IF(L3267="", "Pending", IF(N3267&lt;=30, "Met", "Breached"))</f>
        <v/>
      </c>
    </row>
    <row r="3268">
      <c r="M3268" s="11">
        <f>B3268+30</f>
        <v/>
      </c>
      <c r="N3268">
        <f>IF(L3268="", "", L3268-B3268)</f>
        <v/>
      </c>
      <c r="O3268">
        <f>IF(L3268="", "Pending", IF(N3268&lt;=30, "Met", "Breached"))</f>
        <v/>
      </c>
    </row>
    <row r="3269">
      <c r="M3269" s="11">
        <f>B3269+30</f>
        <v/>
      </c>
      <c r="N3269">
        <f>IF(L3269="", "", L3269-B3269)</f>
        <v/>
      </c>
      <c r="O3269">
        <f>IF(L3269="", "Pending", IF(N3269&lt;=30, "Met", "Breached"))</f>
        <v/>
      </c>
    </row>
    <row r="3270">
      <c r="M3270" s="11">
        <f>B3270+30</f>
        <v/>
      </c>
      <c r="N3270">
        <f>IF(L3270="", "", L3270-B3270)</f>
        <v/>
      </c>
      <c r="O3270">
        <f>IF(L3270="", "Pending", IF(N3270&lt;=30, "Met", "Breached"))</f>
        <v/>
      </c>
    </row>
    <row r="3271">
      <c r="M3271" s="11">
        <f>B3271+30</f>
        <v/>
      </c>
      <c r="N3271">
        <f>IF(L3271="", "", L3271-B3271)</f>
        <v/>
      </c>
      <c r="O3271">
        <f>IF(L3271="", "Pending", IF(N3271&lt;=30, "Met", "Breached"))</f>
        <v/>
      </c>
    </row>
    <row r="3272">
      <c r="M3272" s="11">
        <f>B3272+30</f>
        <v/>
      </c>
      <c r="N3272">
        <f>IF(L3272="", "", L3272-B3272)</f>
        <v/>
      </c>
      <c r="O3272">
        <f>IF(L3272="", "Pending", IF(N3272&lt;=30, "Met", "Breached"))</f>
        <v/>
      </c>
    </row>
    <row r="3273">
      <c r="M3273" s="11">
        <f>B3273+30</f>
        <v/>
      </c>
      <c r="N3273">
        <f>IF(L3273="", "", L3273-B3273)</f>
        <v/>
      </c>
      <c r="O3273">
        <f>IF(L3273="", "Pending", IF(N3273&lt;=30, "Met", "Breached"))</f>
        <v/>
      </c>
    </row>
    <row r="3274">
      <c r="M3274" s="11">
        <f>B3274+30</f>
        <v/>
      </c>
      <c r="N3274">
        <f>IF(L3274="", "", L3274-B3274)</f>
        <v/>
      </c>
      <c r="O3274">
        <f>IF(L3274="", "Pending", IF(N3274&lt;=30, "Met", "Breached"))</f>
        <v/>
      </c>
    </row>
    <row r="3275">
      <c r="M3275" s="11">
        <f>B3275+30</f>
        <v/>
      </c>
      <c r="N3275">
        <f>IF(L3275="", "", L3275-B3275)</f>
        <v/>
      </c>
      <c r="O3275">
        <f>IF(L3275="", "Pending", IF(N3275&lt;=30, "Met", "Breached"))</f>
        <v/>
      </c>
    </row>
    <row r="3276">
      <c r="M3276" s="11">
        <f>B3276+30</f>
        <v/>
      </c>
      <c r="N3276">
        <f>IF(L3276="", "", L3276-B3276)</f>
        <v/>
      </c>
      <c r="O3276">
        <f>IF(L3276="", "Pending", IF(N3276&lt;=30, "Met", "Breached"))</f>
        <v/>
      </c>
    </row>
    <row r="3277">
      <c r="M3277" s="11">
        <f>B3277+30</f>
        <v/>
      </c>
      <c r="N3277">
        <f>IF(L3277="", "", L3277-B3277)</f>
        <v/>
      </c>
      <c r="O3277">
        <f>IF(L3277="", "Pending", IF(N3277&lt;=30, "Met", "Breached"))</f>
        <v/>
      </c>
    </row>
    <row r="3278">
      <c r="M3278" s="11">
        <f>B3278+30</f>
        <v/>
      </c>
      <c r="N3278">
        <f>IF(L3278="", "", L3278-B3278)</f>
        <v/>
      </c>
      <c r="O3278">
        <f>IF(L3278="", "Pending", IF(N3278&lt;=30, "Met", "Breached"))</f>
        <v/>
      </c>
    </row>
    <row r="3279">
      <c r="M3279" s="11">
        <f>B3279+30</f>
        <v/>
      </c>
      <c r="N3279">
        <f>IF(L3279="", "", L3279-B3279)</f>
        <v/>
      </c>
      <c r="O3279">
        <f>IF(L3279="", "Pending", IF(N3279&lt;=30, "Met", "Breached"))</f>
        <v/>
      </c>
    </row>
    <row r="3280">
      <c r="M3280" s="11">
        <f>B3280+30</f>
        <v/>
      </c>
      <c r="N3280">
        <f>IF(L3280="", "", L3280-B3280)</f>
        <v/>
      </c>
      <c r="O3280">
        <f>IF(L3280="", "Pending", IF(N3280&lt;=30, "Met", "Breached"))</f>
        <v/>
      </c>
    </row>
    <row r="3281">
      <c r="M3281" s="11">
        <f>B3281+30</f>
        <v/>
      </c>
      <c r="N3281">
        <f>IF(L3281="", "", L3281-B3281)</f>
        <v/>
      </c>
      <c r="O3281">
        <f>IF(L3281="", "Pending", IF(N3281&lt;=30, "Met", "Breached"))</f>
        <v/>
      </c>
    </row>
    <row r="3282">
      <c r="M3282" s="11">
        <f>B3282+30</f>
        <v/>
      </c>
      <c r="N3282">
        <f>IF(L3282="", "", L3282-B3282)</f>
        <v/>
      </c>
      <c r="O3282">
        <f>IF(L3282="", "Pending", IF(N3282&lt;=30, "Met", "Breached"))</f>
        <v/>
      </c>
    </row>
    <row r="3283">
      <c r="M3283" s="11">
        <f>B3283+30</f>
        <v/>
      </c>
      <c r="N3283">
        <f>IF(L3283="", "", L3283-B3283)</f>
        <v/>
      </c>
      <c r="O3283">
        <f>IF(L3283="", "Pending", IF(N3283&lt;=30, "Met", "Breached"))</f>
        <v/>
      </c>
    </row>
    <row r="3284">
      <c r="M3284" s="11">
        <f>B3284+30</f>
        <v/>
      </c>
      <c r="N3284">
        <f>IF(L3284="", "", L3284-B3284)</f>
        <v/>
      </c>
      <c r="O3284">
        <f>IF(L3284="", "Pending", IF(N3284&lt;=30, "Met", "Breached"))</f>
        <v/>
      </c>
    </row>
    <row r="3285">
      <c r="M3285" s="11">
        <f>B3285+30</f>
        <v/>
      </c>
      <c r="N3285">
        <f>IF(L3285="", "", L3285-B3285)</f>
        <v/>
      </c>
      <c r="O3285">
        <f>IF(L3285="", "Pending", IF(N3285&lt;=30, "Met", "Breached"))</f>
        <v/>
      </c>
    </row>
    <row r="3286">
      <c r="M3286" s="11">
        <f>B3286+30</f>
        <v/>
      </c>
      <c r="N3286">
        <f>IF(L3286="", "", L3286-B3286)</f>
        <v/>
      </c>
      <c r="O3286">
        <f>IF(L3286="", "Pending", IF(N3286&lt;=30, "Met", "Breached"))</f>
        <v/>
      </c>
    </row>
    <row r="3287">
      <c r="M3287" s="11">
        <f>B3287+30</f>
        <v/>
      </c>
      <c r="N3287">
        <f>IF(L3287="", "", L3287-B3287)</f>
        <v/>
      </c>
      <c r="O3287">
        <f>IF(L3287="", "Pending", IF(N3287&lt;=30, "Met", "Breached"))</f>
        <v/>
      </c>
    </row>
    <row r="3288">
      <c r="M3288" s="11">
        <f>B3288+30</f>
        <v/>
      </c>
      <c r="N3288">
        <f>IF(L3288="", "", L3288-B3288)</f>
        <v/>
      </c>
      <c r="O3288">
        <f>IF(L3288="", "Pending", IF(N3288&lt;=30, "Met", "Breached"))</f>
        <v/>
      </c>
    </row>
    <row r="3289">
      <c r="M3289" s="11">
        <f>B3289+30</f>
        <v/>
      </c>
      <c r="N3289">
        <f>IF(L3289="", "", L3289-B3289)</f>
        <v/>
      </c>
      <c r="O3289">
        <f>IF(L3289="", "Pending", IF(N3289&lt;=30, "Met", "Breached"))</f>
        <v/>
      </c>
    </row>
    <row r="3290">
      <c r="M3290" s="11">
        <f>B3290+30</f>
        <v/>
      </c>
      <c r="N3290">
        <f>IF(L3290="", "", L3290-B3290)</f>
        <v/>
      </c>
      <c r="O3290">
        <f>IF(L3290="", "Pending", IF(N3290&lt;=30, "Met", "Breached"))</f>
        <v/>
      </c>
    </row>
    <row r="3291">
      <c r="M3291" s="11">
        <f>B3291+30</f>
        <v/>
      </c>
      <c r="N3291">
        <f>IF(L3291="", "", L3291-B3291)</f>
        <v/>
      </c>
      <c r="O3291">
        <f>IF(L3291="", "Pending", IF(N3291&lt;=30, "Met", "Breached"))</f>
        <v/>
      </c>
    </row>
    <row r="3292">
      <c r="M3292" s="11">
        <f>B3292+30</f>
        <v/>
      </c>
      <c r="N3292">
        <f>IF(L3292="", "", L3292-B3292)</f>
        <v/>
      </c>
      <c r="O3292">
        <f>IF(L3292="", "Pending", IF(N3292&lt;=30, "Met", "Breached"))</f>
        <v/>
      </c>
    </row>
    <row r="3293">
      <c r="M3293" s="11">
        <f>B3293+30</f>
        <v/>
      </c>
      <c r="N3293">
        <f>IF(L3293="", "", L3293-B3293)</f>
        <v/>
      </c>
      <c r="O3293">
        <f>IF(L3293="", "Pending", IF(N3293&lt;=30, "Met", "Breached"))</f>
        <v/>
      </c>
    </row>
    <row r="3294">
      <c r="M3294" s="11">
        <f>B3294+30</f>
        <v/>
      </c>
      <c r="N3294">
        <f>IF(L3294="", "", L3294-B3294)</f>
        <v/>
      </c>
      <c r="O3294">
        <f>IF(L3294="", "Pending", IF(N3294&lt;=30, "Met", "Breached"))</f>
        <v/>
      </c>
    </row>
    <row r="3295">
      <c r="M3295" s="11">
        <f>B3295+30</f>
        <v/>
      </c>
      <c r="N3295">
        <f>IF(L3295="", "", L3295-B3295)</f>
        <v/>
      </c>
      <c r="O3295">
        <f>IF(L3295="", "Pending", IF(N3295&lt;=30, "Met", "Breached"))</f>
        <v/>
      </c>
    </row>
    <row r="3296">
      <c r="M3296" s="11">
        <f>B3296+30</f>
        <v/>
      </c>
      <c r="N3296">
        <f>IF(L3296="", "", L3296-B3296)</f>
        <v/>
      </c>
      <c r="O3296">
        <f>IF(L3296="", "Pending", IF(N3296&lt;=30, "Met", "Breached"))</f>
        <v/>
      </c>
    </row>
    <row r="3297">
      <c r="M3297" s="11">
        <f>B3297+30</f>
        <v/>
      </c>
      <c r="N3297">
        <f>IF(L3297="", "", L3297-B3297)</f>
        <v/>
      </c>
      <c r="O3297">
        <f>IF(L3297="", "Pending", IF(N3297&lt;=30, "Met", "Breached"))</f>
        <v/>
      </c>
    </row>
    <row r="3298">
      <c r="M3298" s="11">
        <f>B3298+30</f>
        <v/>
      </c>
      <c r="N3298">
        <f>IF(L3298="", "", L3298-B3298)</f>
        <v/>
      </c>
      <c r="O3298">
        <f>IF(L3298="", "Pending", IF(N3298&lt;=30, "Met", "Breached"))</f>
        <v/>
      </c>
    </row>
    <row r="3299">
      <c r="M3299" s="11">
        <f>B3299+30</f>
        <v/>
      </c>
      <c r="N3299">
        <f>IF(L3299="", "", L3299-B3299)</f>
        <v/>
      </c>
      <c r="O3299">
        <f>IF(L3299="", "Pending", IF(N3299&lt;=30, "Met", "Breached"))</f>
        <v/>
      </c>
    </row>
    <row r="3300">
      <c r="M3300" s="11">
        <f>B3300+30</f>
        <v/>
      </c>
      <c r="N3300">
        <f>IF(L3300="", "", L3300-B3300)</f>
        <v/>
      </c>
      <c r="O3300">
        <f>IF(L3300="", "Pending", IF(N3300&lt;=30, "Met", "Breached"))</f>
        <v/>
      </c>
    </row>
    <row r="3301">
      <c r="M3301" s="11">
        <f>B3301+30</f>
        <v/>
      </c>
      <c r="N3301">
        <f>IF(L3301="", "", L3301-B3301)</f>
        <v/>
      </c>
      <c r="O3301">
        <f>IF(L3301="", "Pending", IF(N3301&lt;=30, "Met", "Breached"))</f>
        <v/>
      </c>
    </row>
    <row r="3302">
      <c r="M3302" s="11">
        <f>B3302+30</f>
        <v/>
      </c>
      <c r="N3302">
        <f>IF(L3302="", "", L3302-B3302)</f>
        <v/>
      </c>
      <c r="O3302">
        <f>IF(L3302="", "Pending", IF(N3302&lt;=30, "Met", "Breached"))</f>
        <v/>
      </c>
    </row>
    <row r="3303">
      <c r="M3303" s="11">
        <f>B3303+30</f>
        <v/>
      </c>
      <c r="N3303">
        <f>IF(L3303="", "", L3303-B3303)</f>
        <v/>
      </c>
      <c r="O3303">
        <f>IF(L3303="", "Pending", IF(N3303&lt;=30, "Met", "Breached"))</f>
        <v/>
      </c>
    </row>
    <row r="3304">
      <c r="M3304" s="11">
        <f>B3304+30</f>
        <v/>
      </c>
      <c r="N3304">
        <f>IF(L3304="", "", L3304-B3304)</f>
        <v/>
      </c>
      <c r="O3304">
        <f>IF(L3304="", "Pending", IF(N3304&lt;=30, "Met", "Breached"))</f>
        <v/>
      </c>
    </row>
    <row r="3305">
      <c r="M3305" s="11">
        <f>B3305+30</f>
        <v/>
      </c>
      <c r="N3305">
        <f>IF(L3305="", "", L3305-B3305)</f>
        <v/>
      </c>
      <c r="O3305">
        <f>IF(L3305="", "Pending", IF(N3305&lt;=30, "Met", "Breached"))</f>
        <v/>
      </c>
    </row>
    <row r="3306">
      <c r="M3306" s="11">
        <f>B3306+30</f>
        <v/>
      </c>
      <c r="N3306">
        <f>IF(L3306="", "", L3306-B3306)</f>
        <v/>
      </c>
      <c r="O3306">
        <f>IF(L3306="", "Pending", IF(N3306&lt;=30, "Met", "Breached"))</f>
        <v/>
      </c>
    </row>
    <row r="3307">
      <c r="M3307" s="11">
        <f>B3307+30</f>
        <v/>
      </c>
      <c r="N3307">
        <f>IF(L3307="", "", L3307-B3307)</f>
        <v/>
      </c>
      <c r="O3307">
        <f>IF(L3307="", "Pending", IF(N3307&lt;=30, "Met", "Breached"))</f>
        <v/>
      </c>
    </row>
    <row r="3308">
      <c r="M3308" s="11">
        <f>B3308+30</f>
        <v/>
      </c>
      <c r="N3308">
        <f>IF(L3308="", "", L3308-B3308)</f>
        <v/>
      </c>
      <c r="O3308">
        <f>IF(L3308="", "Pending", IF(N3308&lt;=30, "Met", "Breached"))</f>
        <v/>
      </c>
    </row>
    <row r="3309">
      <c r="M3309" s="11">
        <f>B3309+30</f>
        <v/>
      </c>
      <c r="N3309">
        <f>IF(L3309="", "", L3309-B3309)</f>
        <v/>
      </c>
      <c r="O3309">
        <f>IF(L3309="", "Pending", IF(N3309&lt;=30, "Met", "Breached"))</f>
        <v/>
      </c>
    </row>
    <row r="3310">
      <c r="M3310" s="11">
        <f>B3310+30</f>
        <v/>
      </c>
      <c r="N3310">
        <f>IF(L3310="", "", L3310-B3310)</f>
        <v/>
      </c>
      <c r="O3310">
        <f>IF(L3310="", "Pending", IF(N3310&lt;=30, "Met", "Breached"))</f>
        <v/>
      </c>
    </row>
    <row r="3311">
      <c r="M3311" s="11">
        <f>B3311+30</f>
        <v/>
      </c>
      <c r="N3311">
        <f>IF(L3311="", "", L3311-B3311)</f>
        <v/>
      </c>
      <c r="O3311">
        <f>IF(L3311="", "Pending", IF(N3311&lt;=30, "Met", "Breached"))</f>
        <v/>
      </c>
    </row>
    <row r="3312">
      <c r="M3312" s="11">
        <f>B3312+30</f>
        <v/>
      </c>
      <c r="N3312">
        <f>IF(L3312="", "", L3312-B3312)</f>
        <v/>
      </c>
      <c r="O3312">
        <f>IF(L3312="", "Pending", IF(N3312&lt;=30, "Met", "Breached"))</f>
        <v/>
      </c>
    </row>
    <row r="3313">
      <c r="M3313" s="11">
        <f>B3313+30</f>
        <v/>
      </c>
      <c r="N3313">
        <f>IF(L3313="", "", L3313-B3313)</f>
        <v/>
      </c>
      <c r="O3313">
        <f>IF(L3313="", "Pending", IF(N3313&lt;=30, "Met", "Breached"))</f>
        <v/>
      </c>
    </row>
    <row r="3314">
      <c r="M3314" s="11">
        <f>B3314+30</f>
        <v/>
      </c>
      <c r="N3314">
        <f>IF(L3314="", "", L3314-B3314)</f>
        <v/>
      </c>
      <c r="O3314">
        <f>IF(L3314="", "Pending", IF(N3314&lt;=30, "Met", "Breached"))</f>
        <v/>
      </c>
    </row>
    <row r="3315">
      <c r="M3315" s="11">
        <f>B3315+30</f>
        <v/>
      </c>
      <c r="N3315">
        <f>IF(L3315="", "", L3315-B3315)</f>
        <v/>
      </c>
      <c r="O3315">
        <f>IF(L3315="", "Pending", IF(N3315&lt;=30, "Met", "Breached"))</f>
        <v/>
      </c>
    </row>
    <row r="3316">
      <c r="M3316" s="11">
        <f>B3316+30</f>
        <v/>
      </c>
      <c r="N3316">
        <f>IF(L3316="", "", L3316-B3316)</f>
        <v/>
      </c>
      <c r="O3316">
        <f>IF(L3316="", "Pending", IF(N3316&lt;=30, "Met", "Breached"))</f>
        <v/>
      </c>
    </row>
    <row r="3317">
      <c r="M3317" s="11">
        <f>B3317+30</f>
        <v/>
      </c>
      <c r="N3317">
        <f>IF(L3317="", "", L3317-B3317)</f>
        <v/>
      </c>
      <c r="O3317">
        <f>IF(L3317="", "Pending", IF(N3317&lt;=30, "Met", "Breached"))</f>
        <v/>
      </c>
    </row>
    <row r="3318">
      <c r="M3318" s="11">
        <f>B3318+30</f>
        <v/>
      </c>
      <c r="N3318">
        <f>IF(L3318="", "", L3318-B3318)</f>
        <v/>
      </c>
      <c r="O3318">
        <f>IF(L3318="", "Pending", IF(N3318&lt;=30, "Met", "Breached"))</f>
        <v/>
      </c>
    </row>
    <row r="3319">
      <c r="M3319" s="11">
        <f>B3319+30</f>
        <v/>
      </c>
      <c r="N3319">
        <f>IF(L3319="", "", L3319-B3319)</f>
        <v/>
      </c>
      <c r="O3319">
        <f>IF(L3319="", "Pending", IF(N3319&lt;=30, "Met", "Breached"))</f>
        <v/>
      </c>
    </row>
    <row r="3320">
      <c r="M3320" s="11">
        <f>B3320+30</f>
        <v/>
      </c>
      <c r="N3320">
        <f>IF(L3320="", "", L3320-B3320)</f>
        <v/>
      </c>
      <c r="O3320">
        <f>IF(L3320="", "Pending", IF(N3320&lt;=30, "Met", "Breached"))</f>
        <v/>
      </c>
    </row>
    <row r="3321">
      <c r="M3321" s="11">
        <f>B3321+30</f>
        <v/>
      </c>
      <c r="N3321">
        <f>IF(L3321="", "", L3321-B3321)</f>
        <v/>
      </c>
      <c r="O3321">
        <f>IF(L3321="", "Pending", IF(N3321&lt;=30, "Met", "Breached"))</f>
        <v/>
      </c>
    </row>
    <row r="3322">
      <c r="M3322" s="11">
        <f>B3322+30</f>
        <v/>
      </c>
      <c r="N3322">
        <f>IF(L3322="", "", L3322-B3322)</f>
        <v/>
      </c>
      <c r="O3322">
        <f>IF(L3322="", "Pending", IF(N3322&lt;=30, "Met", "Breached"))</f>
        <v/>
      </c>
    </row>
    <row r="3323">
      <c r="M3323" s="11">
        <f>B3323+30</f>
        <v/>
      </c>
      <c r="N3323">
        <f>IF(L3323="", "", L3323-B3323)</f>
        <v/>
      </c>
      <c r="O3323">
        <f>IF(L3323="", "Pending", IF(N3323&lt;=30, "Met", "Breached"))</f>
        <v/>
      </c>
    </row>
    <row r="3324">
      <c r="M3324" s="11">
        <f>B3324+30</f>
        <v/>
      </c>
      <c r="N3324">
        <f>IF(L3324="", "", L3324-B3324)</f>
        <v/>
      </c>
      <c r="O3324">
        <f>IF(L3324="", "Pending", IF(N3324&lt;=30, "Met", "Breached"))</f>
        <v/>
      </c>
    </row>
    <row r="3325">
      <c r="M3325" s="11">
        <f>B3325+30</f>
        <v/>
      </c>
      <c r="N3325">
        <f>IF(L3325="", "", L3325-B3325)</f>
        <v/>
      </c>
      <c r="O3325">
        <f>IF(L3325="", "Pending", IF(N3325&lt;=30, "Met", "Breached"))</f>
        <v/>
      </c>
    </row>
    <row r="3326">
      <c r="M3326" s="11">
        <f>B3326+30</f>
        <v/>
      </c>
      <c r="N3326">
        <f>IF(L3326="", "", L3326-B3326)</f>
        <v/>
      </c>
      <c r="O3326">
        <f>IF(L3326="", "Pending", IF(N3326&lt;=30, "Met", "Breached"))</f>
        <v/>
      </c>
    </row>
    <row r="3327">
      <c r="M3327" s="11">
        <f>B3327+30</f>
        <v/>
      </c>
      <c r="N3327">
        <f>IF(L3327="", "", L3327-B3327)</f>
        <v/>
      </c>
      <c r="O3327">
        <f>IF(L3327="", "Pending", IF(N3327&lt;=30, "Met", "Breached"))</f>
        <v/>
      </c>
    </row>
    <row r="3328">
      <c r="M3328" s="11">
        <f>B3328+30</f>
        <v/>
      </c>
      <c r="N3328">
        <f>IF(L3328="", "", L3328-B3328)</f>
        <v/>
      </c>
      <c r="O3328">
        <f>IF(L3328="", "Pending", IF(N3328&lt;=30, "Met", "Breached"))</f>
        <v/>
      </c>
    </row>
    <row r="3329">
      <c r="M3329" s="11">
        <f>B3329+30</f>
        <v/>
      </c>
      <c r="N3329">
        <f>IF(L3329="", "", L3329-B3329)</f>
        <v/>
      </c>
      <c r="O3329">
        <f>IF(L3329="", "Pending", IF(N3329&lt;=30, "Met", "Breached"))</f>
        <v/>
      </c>
    </row>
    <row r="3330">
      <c r="M3330" s="11">
        <f>B3330+30</f>
        <v/>
      </c>
      <c r="N3330">
        <f>IF(L3330="", "", L3330-B3330)</f>
        <v/>
      </c>
      <c r="O3330">
        <f>IF(L3330="", "Pending", IF(N3330&lt;=30, "Met", "Breached"))</f>
        <v/>
      </c>
    </row>
    <row r="3331">
      <c r="M3331" s="11">
        <f>B3331+30</f>
        <v/>
      </c>
      <c r="N3331">
        <f>IF(L3331="", "", L3331-B3331)</f>
        <v/>
      </c>
      <c r="O3331">
        <f>IF(L3331="", "Pending", IF(N3331&lt;=30, "Met", "Breached"))</f>
        <v/>
      </c>
    </row>
    <row r="3332">
      <c r="M3332" s="11">
        <f>B3332+30</f>
        <v/>
      </c>
      <c r="N3332">
        <f>IF(L3332="", "", L3332-B3332)</f>
        <v/>
      </c>
      <c r="O3332">
        <f>IF(L3332="", "Pending", IF(N3332&lt;=30, "Met", "Breached"))</f>
        <v/>
      </c>
    </row>
    <row r="3333">
      <c r="M3333" s="11">
        <f>B3333+30</f>
        <v/>
      </c>
      <c r="N3333">
        <f>IF(L3333="", "", L3333-B3333)</f>
        <v/>
      </c>
      <c r="O3333">
        <f>IF(L3333="", "Pending", IF(N3333&lt;=30, "Met", "Breached"))</f>
        <v/>
      </c>
    </row>
    <row r="3334">
      <c r="M3334" s="11">
        <f>B3334+30</f>
        <v/>
      </c>
      <c r="N3334">
        <f>IF(L3334="", "", L3334-B3334)</f>
        <v/>
      </c>
      <c r="O3334">
        <f>IF(L3334="", "Pending", IF(N3334&lt;=30, "Met", "Breached"))</f>
        <v/>
      </c>
    </row>
    <row r="3335">
      <c r="M3335" s="11">
        <f>B3335+30</f>
        <v/>
      </c>
      <c r="N3335">
        <f>IF(L3335="", "", L3335-B3335)</f>
        <v/>
      </c>
      <c r="O3335">
        <f>IF(L3335="", "Pending", IF(N3335&lt;=30, "Met", "Breached"))</f>
        <v/>
      </c>
    </row>
    <row r="3336">
      <c r="M3336" s="11">
        <f>B3336+30</f>
        <v/>
      </c>
      <c r="N3336">
        <f>IF(L3336="", "", L3336-B3336)</f>
        <v/>
      </c>
      <c r="O3336">
        <f>IF(L3336="", "Pending", IF(N3336&lt;=30, "Met", "Breached"))</f>
        <v/>
      </c>
    </row>
    <row r="3337">
      <c r="M3337" s="11">
        <f>B3337+30</f>
        <v/>
      </c>
      <c r="N3337">
        <f>IF(L3337="", "", L3337-B3337)</f>
        <v/>
      </c>
      <c r="O3337">
        <f>IF(L3337="", "Pending", IF(N3337&lt;=30, "Met", "Breached"))</f>
        <v/>
      </c>
    </row>
    <row r="3338">
      <c r="M3338" s="11">
        <f>B3338+30</f>
        <v/>
      </c>
      <c r="N3338">
        <f>IF(L3338="", "", L3338-B3338)</f>
        <v/>
      </c>
      <c r="O3338">
        <f>IF(L3338="", "Pending", IF(N3338&lt;=30, "Met", "Breached"))</f>
        <v/>
      </c>
    </row>
    <row r="3339">
      <c r="M3339" s="11">
        <f>B3339+30</f>
        <v/>
      </c>
      <c r="N3339">
        <f>IF(L3339="", "", L3339-B3339)</f>
        <v/>
      </c>
      <c r="O3339">
        <f>IF(L3339="", "Pending", IF(N3339&lt;=30, "Met", "Breached"))</f>
        <v/>
      </c>
    </row>
    <row r="3340">
      <c r="M3340" s="11">
        <f>B3340+30</f>
        <v/>
      </c>
      <c r="N3340">
        <f>IF(L3340="", "", L3340-B3340)</f>
        <v/>
      </c>
      <c r="O3340">
        <f>IF(L3340="", "Pending", IF(N3340&lt;=30, "Met", "Breached"))</f>
        <v/>
      </c>
    </row>
    <row r="3341">
      <c r="M3341" s="11">
        <f>B3341+30</f>
        <v/>
      </c>
      <c r="N3341">
        <f>IF(L3341="", "", L3341-B3341)</f>
        <v/>
      </c>
      <c r="O3341">
        <f>IF(L3341="", "Pending", IF(N3341&lt;=30, "Met", "Breached"))</f>
        <v/>
      </c>
    </row>
    <row r="3342">
      <c r="M3342" s="11">
        <f>B3342+30</f>
        <v/>
      </c>
      <c r="N3342">
        <f>IF(L3342="", "", L3342-B3342)</f>
        <v/>
      </c>
      <c r="O3342">
        <f>IF(L3342="", "Pending", IF(N3342&lt;=30, "Met", "Breached"))</f>
        <v/>
      </c>
    </row>
    <row r="3343">
      <c r="M3343" s="11">
        <f>B3343+30</f>
        <v/>
      </c>
      <c r="N3343">
        <f>IF(L3343="", "", L3343-B3343)</f>
        <v/>
      </c>
      <c r="O3343">
        <f>IF(L3343="", "Pending", IF(N3343&lt;=30, "Met", "Breached"))</f>
        <v/>
      </c>
    </row>
    <row r="3344">
      <c r="M3344" s="11">
        <f>B3344+30</f>
        <v/>
      </c>
      <c r="N3344">
        <f>IF(L3344="", "", L3344-B3344)</f>
        <v/>
      </c>
      <c r="O3344">
        <f>IF(L3344="", "Pending", IF(N3344&lt;=30, "Met", "Breached"))</f>
        <v/>
      </c>
    </row>
    <row r="3345">
      <c r="M3345" s="11">
        <f>B3345+30</f>
        <v/>
      </c>
      <c r="N3345">
        <f>IF(L3345="", "", L3345-B3345)</f>
        <v/>
      </c>
      <c r="O3345">
        <f>IF(L3345="", "Pending", IF(N3345&lt;=30, "Met", "Breached"))</f>
        <v/>
      </c>
    </row>
    <row r="3346">
      <c r="M3346" s="11">
        <f>B3346+30</f>
        <v/>
      </c>
      <c r="N3346">
        <f>IF(L3346="", "", L3346-B3346)</f>
        <v/>
      </c>
      <c r="O3346">
        <f>IF(L3346="", "Pending", IF(N3346&lt;=30, "Met", "Breached"))</f>
        <v/>
      </c>
    </row>
    <row r="3347">
      <c r="M3347" s="11">
        <f>B3347+30</f>
        <v/>
      </c>
      <c r="N3347">
        <f>IF(L3347="", "", L3347-B3347)</f>
        <v/>
      </c>
      <c r="O3347">
        <f>IF(L3347="", "Pending", IF(N3347&lt;=30, "Met", "Breached"))</f>
        <v/>
      </c>
    </row>
    <row r="3348">
      <c r="M3348" s="11">
        <f>B3348+30</f>
        <v/>
      </c>
      <c r="N3348">
        <f>IF(L3348="", "", L3348-B3348)</f>
        <v/>
      </c>
      <c r="O3348">
        <f>IF(L3348="", "Pending", IF(N3348&lt;=30, "Met", "Breached"))</f>
        <v/>
      </c>
    </row>
    <row r="3349">
      <c r="M3349" s="11">
        <f>B3349+30</f>
        <v/>
      </c>
      <c r="N3349">
        <f>IF(L3349="", "", L3349-B3349)</f>
        <v/>
      </c>
      <c r="O3349">
        <f>IF(L3349="", "Pending", IF(N3349&lt;=30, "Met", "Breached"))</f>
        <v/>
      </c>
    </row>
    <row r="3350">
      <c r="M3350" s="11">
        <f>B3350+30</f>
        <v/>
      </c>
      <c r="N3350">
        <f>IF(L3350="", "", L3350-B3350)</f>
        <v/>
      </c>
      <c r="O3350">
        <f>IF(L3350="", "Pending", IF(N3350&lt;=30, "Met", "Breached"))</f>
        <v/>
      </c>
    </row>
    <row r="3351">
      <c r="M3351" s="11">
        <f>B3351+30</f>
        <v/>
      </c>
      <c r="N3351">
        <f>IF(L3351="", "", L3351-B3351)</f>
        <v/>
      </c>
      <c r="O3351">
        <f>IF(L3351="", "Pending", IF(N3351&lt;=30, "Met", "Breached"))</f>
        <v/>
      </c>
    </row>
    <row r="3352">
      <c r="M3352" s="11">
        <f>B3352+30</f>
        <v/>
      </c>
      <c r="N3352">
        <f>IF(L3352="", "", L3352-B3352)</f>
        <v/>
      </c>
      <c r="O3352">
        <f>IF(L3352="", "Pending", IF(N3352&lt;=30, "Met", "Breached"))</f>
        <v/>
      </c>
    </row>
    <row r="3353">
      <c r="M3353" s="11">
        <f>B3353+30</f>
        <v/>
      </c>
      <c r="N3353">
        <f>IF(L3353="", "", L3353-B3353)</f>
        <v/>
      </c>
      <c r="O3353">
        <f>IF(L3353="", "Pending", IF(N3353&lt;=30, "Met", "Breached"))</f>
        <v/>
      </c>
    </row>
    <row r="3354">
      <c r="M3354" s="11">
        <f>B3354+30</f>
        <v/>
      </c>
      <c r="N3354">
        <f>IF(L3354="", "", L3354-B3354)</f>
        <v/>
      </c>
      <c r="O3354">
        <f>IF(L3354="", "Pending", IF(N3354&lt;=30, "Met", "Breached"))</f>
        <v/>
      </c>
    </row>
    <row r="3355">
      <c r="M3355" s="11">
        <f>B3355+30</f>
        <v/>
      </c>
      <c r="N3355">
        <f>IF(L3355="", "", L3355-B3355)</f>
        <v/>
      </c>
      <c r="O3355">
        <f>IF(L3355="", "Pending", IF(N3355&lt;=30, "Met", "Breached"))</f>
        <v/>
      </c>
    </row>
    <row r="3356">
      <c r="M3356" s="11">
        <f>B3356+30</f>
        <v/>
      </c>
      <c r="N3356">
        <f>IF(L3356="", "", L3356-B3356)</f>
        <v/>
      </c>
      <c r="O3356">
        <f>IF(L3356="", "Pending", IF(N3356&lt;=30, "Met", "Breached"))</f>
        <v/>
      </c>
    </row>
    <row r="3357">
      <c r="M3357" s="11">
        <f>B3357+30</f>
        <v/>
      </c>
      <c r="N3357">
        <f>IF(L3357="", "", L3357-B3357)</f>
        <v/>
      </c>
      <c r="O3357">
        <f>IF(L3357="", "Pending", IF(N3357&lt;=30, "Met", "Breached"))</f>
        <v/>
      </c>
    </row>
    <row r="3358">
      <c r="M3358" s="11">
        <f>B3358+30</f>
        <v/>
      </c>
      <c r="N3358">
        <f>IF(L3358="", "", L3358-B3358)</f>
        <v/>
      </c>
      <c r="O3358">
        <f>IF(L3358="", "Pending", IF(N3358&lt;=30, "Met", "Breached"))</f>
        <v/>
      </c>
    </row>
    <row r="3359">
      <c r="M3359" s="11">
        <f>B3359+30</f>
        <v/>
      </c>
      <c r="N3359">
        <f>IF(L3359="", "", L3359-B3359)</f>
        <v/>
      </c>
      <c r="O3359">
        <f>IF(L3359="", "Pending", IF(N3359&lt;=30, "Met", "Breached"))</f>
        <v/>
      </c>
    </row>
    <row r="3360">
      <c r="M3360" s="11">
        <f>B3360+30</f>
        <v/>
      </c>
      <c r="N3360">
        <f>IF(L3360="", "", L3360-B3360)</f>
        <v/>
      </c>
      <c r="O3360">
        <f>IF(L3360="", "Pending", IF(N3360&lt;=30, "Met", "Breached"))</f>
        <v/>
      </c>
    </row>
    <row r="3361">
      <c r="M3361" s="11">
        <f>B3361+30</f>
        <v/>
      </c>
      <c r="N3361">
        <f>IF(L3361="", "", L3361-B3361)</f>
        <v/>
      </c>
      <c r="O3361">
        <f>IF(L3361="", "Pending", IF(N3361&lt;=30, "Met", "Breached"))</f>
        <v/>
      </c>
    </row>
    <row r="3362">
      <c r="M3362" s="11">
        <f>B3362+30</f>
        <v/>
      </c>
      <c r="N3362">
        <f>IF(L3362="", "", L3362-B3362)</f>
        <v/>
      </c>
      <c r="O3362">
        <f>IF(L3362="", "Pending", IF(N3362&lt;=30, "Met", "Breached"))</f>
        <v/>
      </c>
    </row>
    <row r="3363">
      <c r="M3363" s="11">
        <f>B3363+30</f>
        <v/>
      </c>
      <c r="N3363">
        <f>IF(L3363="", "", L3363-B3363)</f>
        <v/>
      </c>
      <c r="O3363">
        <f>IF(L3363="", "Pending", IF(N3363&lt;=30, "Met", "Breached"))</f>
        <v/>
      </c>
    </row>
    <row r="3364">
      <c r="M3364" s="11">
        <f>B3364+30</f>
        <v/>
      </c>
      <c r="N3364">
        <f>IF(L3364="", "", L3364-B3364)</f>
        <v/>
      </c>
      <c r="O3364">
        <f>IF(L3364="", "Pending", IF(N3364&lt;=30, "Met", "Breached"))</f>
        <v/>
      </c>
    </row>
    <row r="3365">
      <c r="M3365" s="11">
        <f>B3365+30</f>
        <v/>
      </c>
      <c r="N3365">
        <f>IF(L3365="", "", L3365-B3365)</f>
        <v/>
      </c>
      <c r="O3365">
        <f>IF(L3365="", "Pending", IF(N3365&lt;=30, "Met", "Breached"))</f>
        <v/>
      </c>
    </row>
    <row r="3366">
      <c r="M3366" s="11">
        <f>B3366+30</f>
        <v/>
      </c>
      <c r="N3366">
        <f>IF(L3366="", "", L3366-B3366)</f>
        <v/>
      </c>
      <c r="O3366">
        <f>IF(L3366="", "Pending", IF(N3366&lt;=30, "Met", "Breached"))</f>
        <v/>
      </c>
    </row>
    <row r="3367">
      <c r="M3367" s="11">
        <f>B3367+30</f>
        <v/>
      </c>
      <c r="N3367">
        <f>IF(L3367="", "", L3367-B3367)</f>
        <v/>
      </c>
      <c r="O3367">
        <f>IF(L3367="", "Pending", IF(N3367&lt;=30, "Met", "Breached"))</f>
        <v/>
      </c>
    </row>
    <row r="3368">
      <c r="M3368" s="11">
        <f>B3368+30</f>
        <v/>
      </c>
      <c r="N3368">
        <f>IF(L3368="", "", L3368-B3368)</f>
        <v/>
      </c>
      <c r="O3368">
        <f>IF(L3368="", "Pending", IF(N3368&lt;=30, "Met", "Breached"))</f>
        <v/>
      </c>
    </row>
    <row r="3369">
      <c r="M3369" s="11">
        <f>B3369+30</f>
        <v/>
      </c>
      <c r="N3369">
        <f>IF(L3369="", "", L3369-B3369)</f>
        <v/>
      </c>
      <c r="O3369">
        <f>IF(L3369="", "Pending", IF(N3369&lt;=30, "Met", "Breached"))</f>
        <v/>
      </c>
    </row>
    <row r="3370">
      <c r="M3370" s="11">
        <f>B3370+30</f>
        <v/>
      </c>
      <c r="N3370">
        <f>IF(L3370="", "", L3370-B3370)</f>
        <v/>
      </c>
      <c r="O3370">
        <f>IF(L3370="", "Pending", IF(N3370&lt;=30, "Met", "Breached"))</f>
        <v/>
      </c>
    </row>
    <row r="3371">
      <c r="M3371" s="11">
        <f>B3371+30</f>
        <v/>
      </c>
      <c r="N3371">
        <f>IF(L3371="", "", L3371-B3371)</f>
        <v/>
      </c>
      <c r="O3371">
        <f>IF(L3371="", "Pending", IF(N3371&lt;=30, "Met", "Breached"))</f>
        <v/>
      </c>
    </row>
    <row r="3372">
      <c r="M3372" s="11">
        <f>B3372+30</f>
        <v/>
      </c>
      <c r="N3372">
        <f>IF(L3372="", "", L3372-B3372)</f>
        <v/>
      </c>
      <c r="O3372">
        <f>IF(L3372="", "Pending", IF(N3372&lt;=30, "Met", "Breached"))</f>
        <v/>
      </c>
    </row>
    <row r="3373">
      <c r="M3373" s="11">
        <f>B3373+30</f>
        <v/>
      </c>
      <c r="N3373">
        <f>IF(L3373="", "", L3373-B3373)</f>
        <v/>
      </c>
      <c r="O3373">
        <f>IF(L3373="", "Pending", IF(N3373&lt;=30, "Met", "Breached"))</f>
        <v/>
      </c>
    </row>
    <row r="3374">
      <c r="M3374" s="11">
        <f>B3374+30</f>
        <v/>
      </c>
      <c r="N3374">
        <f>IF(L3374="", "", L3374-B3374)</f>
        <v/>
      </c>
      <c r="O3374">
        <f>IF(L3374="", "Pending", IF(N3374&lt;=30, "Met", "Breached"))</f>
        <v/>
      </c>
    </row>
    <row r="3375">
      <c r="M3375" s="11">
        <f>B3375+30</f>
        <v/>
      </c>
      <c r="N3375">
        <f>IF(L3375="", "", L3375-B3375)</f>
        <v/>
      </c>
      <c r="O3375">
        <f>IF(L3375="", "Pending", IF(N3375&lt;=30, "Met", "Breached"))</f>
        <v/>
      </c>
    </row>
    <row r="3376">
      <c r="M3376" s="11">
        <f>B3376+30</f>
        <v/>
      </c>
      <c r="N3376">
        <f>IF(L3376="", "", L3376-B3376)</f>
        <v/>
      </c>
      <c r="O3376">
        <f>IF(L3376="", "Pending", IF(N3376&lt;=30, "Met", "Breached"))</f>
        <v/>
      </c>
    </row>
    <row r="3377">
      <c r="M3377" s="11">
        <f>B3377+30</f>
        <v/>
      </c>
      <c r="N3377">
        <f>IF(L3377="", "", L3377-B3377)</f>
        <v/>
      </c>
      <c r="O3377">
        <f>IF(L3377="", "Pending", IF(N3377&lt;=30, "Met", "Breached"))</f>
        <v/>
      </c>
    </row>
    <row r="3378">
      <c r="M3378" s="11">
        <f>B3378+30</f>
        <v/>
      </c>
      <c r="N3378">
        <f>IF(L3378="", "", L3378-B3378)</f>
        <v/>
      </c>
      <c r="O3378">
        <f>IF(L3378="", "Pending", IF(N3378&lt;=30, "Met", "Breached"))</f>
        <v/>
      </c>
    </row>
    <row r="3379">
      <c r="M3379" s="11">
        <f>B3379+30</f>
        <v/>
      </c>
      <c r="N3379">
        <f>IF(L3379="", "", L3379-B3379)</f>
        <v/>
      </c>
      <c r="O3379">
        <f>IF(L3379="", "Pending", IF(N3379&lt;=30, "Met", "Breached"))</f>
        <v/>
      </c>
    </row>
    <row r="3380">
      <c r="M3380" s="11">
        <f>B3380+30</f>
        <v/>
      </c>
      <c r="N3380">
        <f>IF(L3380="", "", L3380-B3380)</f>
        <v/>
      </c>
      <c r="O3380">
        <f>IF(L3380="", "Pending", IF(N3380&lt;=30, "Met", "Breached"))</f>
        <v/>
      </c>
    </row>
    <row r="3381">
      <c r="M3381" s="11">
        <f>B3381+30</f>
        <v/>
      </c>
      <c r="N3381">
        <f>IF(L3381="", "", L3381-B3381)</f>
        <v/>
      </c>
      <c r="O3381">
        <f>IF(L3381="", "Pending", IF(N3381&lt;=30, "Met", "Breached"))</f>
        <v/>
      </c>
    </row>
    <row r="3382">
      <c r="M3382" s="11">
        <f>B3382+30</f>
        <v/>
      </c>
      <c r="N3382">
        <f>IF(L3382="", "", L3382-B3382)</f>
        <v/>
      </c>
      <c r="O3382">
        <f>IF(L3382="", "Pending", IF(N3382&lt;=30, "Met", "Breached"))</f>
        <v/>
      </c>
    </row>
    <row r="3383">
      <c r="M3383" s="11">
        <f>B3383+30</f>
        <v/>
      </c>
      <c r="N3383">
        <f>IF(L3383="", "", L3383-B3383)</f>
        <v/>
      </c>
      <c r="O3383">
        <f>IF(L3383="", "Pending", IF(N3383&lt;=30, "Met", "Breached"))</f>
        <v/>
      </c>
    </row>
    <row r="3384">
      <c r="M3384" s="11">
        <f>B3384+30</f>
        <v/>
      </c>
      <c r="N3384">
        <f>IF(L3384="", "", L3384-B3384)</f>
        <v/>
      </c>
      <c r="O3384">
        <f>IF(L3384="", "Pending", IF(N3384&lt;=30, "Met", "Breached"))</f>
        <v/>
      </c>
    </row>
    <row r="3385">
      <c r="M3385" s="11">
        <f>B3385+30</f>
        <v/>
      </c>
      <c r="N3385">
        <f>IF(L3385="", "", L3385-B3385)</f>
        <v/>
      </c>
      <c r="O3385">
        <f>IF(L3385="", "Pending", IF(N3385&lt;=30, "Met", "Breached"))</f>
        <v/>
      </c>
    </row>
    <row r="3386">
      <c r="M3386" s="11">
        <f>B3386+30</f>
        <v/>
      </c>
      <c r="N3386">
        <f>IF(L3386="", "", L3386-B3386)</f>
        <v/>
      </c>
      <c r="O3386">
        <f>IF(L3386="", "Pending", IF(N3386&lt;=30, "Met", "Breached"))</f>
        <v/>
      </c>
    </row>
    <row r="3387">
      <c r="M3387" s="11">
        <f>B3387+30</f>
        <v/>
      </c>
      <c r="N3387">
        <f>IF(L3387="", "", L3387-B3387)</f>
        <v/>
      </c>
      <c r="O3387">
        <f>IF(L3387="", "Pending", IF(N3387&lt;=30, "Met", "Breached"))</f>
        <v/>
      </c>
    </row>
    <row r="3388">
      <c r="M3388" s="11">
        <f>B3388+30</f>
        <v/>
      </c>
      <c r="N3388">
        <f>IF(L3388="", "", L3388-B3388)</f>
        <v/>
      </c>
      <c r="O3388">
        <f>IF(L3388="", "Pending", IF(N3388&lt;=30, "Met", "Breached"))</f>
        <v/>
      </c>
    </row>
    <row r="3389">
      <c r="M3389" s="11">
        <f>B3389+30</f>
        <v/>
      </c>
      <c r="N3389">
        <f>IF(L3389="", "", L3389-B3389)</f>
        <v/>
      </c>
      <c r="O3389">
        <f>IF(L3389="", "Pending", IF(N3389&lt;=30, "Met", "Breached"))</f>
        <v/>
      </c>
    </row>
    <row r="3390">
      <c r="M3390" s="11">
        <f>B3390+30</f>
        <v/>
      </c>
      <c r="N3390">
        <f>IF(L3390="", "", L3390-B3390)</f>
        <v/>
      </c>
      <c r="O3390">
        <f>IF(L3390="", "Pending", IF(N3390&lt;=30, "Met", "Breached"))</f>
        <v/>
      </c>
    </row>
    <row r="3391">
      <c r="M3391" s="11">
        <f>B3391+30</f>
        <v/>
      </c>
      <c r="N3391">
        <f>IF(L3391="", "", L3391-B3391)</f>
        <v/>
      </c>
      <c r="O3391">
        <f>IF(L3391="", "Pending", IF(N3391&lt;=30, "Met", "Breached"))</f>
        <v/>
      </c>
    </row>
    <row r="3392">
      <c r="M3392" s="11">
        <f>B3392+30</f>
        <v/>
      </c>
      <c r="N3392">
        <f>IF(L3392="", "", L3392-B3392)</f>
        <v/>
      </c>
      <c r="O3392">
        <f>IF(L3392="", "Pending", IF(N3392&lt;=30, "Met", "Breached"))</f>
        <v/>
      </c>
    </row>
    <row r="3393">
      <c r="M3393" s="11">
        <f>B3393+30</f>
        <v/>
      </c>
      <c r="N3393">
        <f>IF(L3393="", "", L3393-B3393)</f>
        <v/>
      </c>
      <c r="O3393">
        <f>IF(L3393="", "Pending", IF(N3393&lt;=30, "Met", "Breached"))</f>
        <v/>
      </c>
    </row>
    <row r="3394">
      <c r="M3394" s="11">
        <f>B3394+30</f>
        <v/>
      </c>
      <c r="N3394">
        <f>IF(L3394="", "", L3394-B3394)</f>
        <v/>
      </c>
      <c r="O3394">
        <f>IF(L3394="", "Pending", IF(N3394&lt;=30, "Met", "Breached"))</f>
        <v/>
      </c>
    </row>
    <row r="3395">
      <c r="M3395" s="11">
        <f>B3395+30</f>
        <v/>
      </c>
      <c r="N3395">
        <f>IF(L3395="", "", L3395-B3395)</f>
        <v/>
      </c>
      <c r="O3395">
        <f>IF(L3395="", "Pending", IF(N3395&lt;=30, "Met", "Breached"))</f>
        <v/>
      </c>
    </row>
    <row r="3396">
      <c r="M3396" s="11">
        <f>B3396+30</f>
        <v/>
      </c>
      <c r="N3396">
        <f>IF(L3396="", "", L3396-B3396)</f>
        <v/>
      </c>
      <c r="O3396">
        <f>IF(L3396="", "Pending", IF(N3396&lt;=30, "Met", "Breached"))</f>
        <v/>
      </c>
    </row>
    <row r="3397">
      <c r="M3397" s="11">
        <f>B3397+30</f>
        <v/>
      </c>
      <c r="N3397">
        <f>IF(L3397="", "", L3397-B3397)</f>
        <v/>
      </c>
      <c r="O3397">
        <f>IF(L3397="", "Pending", IF(N3397&lt;=30, "Met", "Breached"))</f>
        <v/>
      </c>
    </row>
    <row r="3398">
      <c r="M3398" s="11">
        <f>B3398+30</f>
        <v/>
      </c>
      <c r="N3398">
        <f>IF(L3398="", "", L3398-B3398)</f>
        <v/>
      </c>
      <c r="O3398">
        <f>IF(L3398="", "Pending", IF(N3398&lt;=30, "Met", "Breached"))</f>
        <v/>
      </c>
    </row>
    <row r="3399">
      <c r="M3399" s="11">
        <f>B3399+30</f>
        <v/>
      </c>
      <c r="N3399">
        <f>IF(L3399="", "", L3399-B3399)</f>
        <v/>
      </c>
      <c r="O3399">
        <f>IF(L3399="", "Pending", IF(N3399&lt;=30, "Met", "Breached"))</f>
        <v/>
      </c>
    </row>
    <row r="3400">
      <c r="M3400" s="11">
        <f>B3400+30</f>
        <v/>
      </c>
      <c r="N3400">
        <f>IF(L3400="", "", L3400-B3400)</f>
        <v/>
      </c>
      <c r="O3400">
        <f>IF(L3400="", "Pending", IF(N3400&lt;=30, "Met", "Breached"))</f>
        <v/>
      </c>
    </row>
    <row r="3401">
      <c r="M3401" s="11">
        <f>B3401+30</f>
        <v/>
      </c>
      <c r="N3401">
        <f>IF(L3401="", "", L3401-B3401)</f>
        <v/>
      </c>
      <c r="O3401">
        <f>IF(L3401="", "Pending", IF(N3401&lt;=30, "Met", "Breached"))</f>
        <v/>
      </c>
    </row>
    <row r="3402">
      <c r="M3402" s="11">
        <f>B3402+30</f>
        <v/>
      </c>
      <c r="N3402">
        <f>IF(L3402="", "", L3402-B3402)</f>
        <v/>
      </c>
      <c r="O3402">
        <f>IF(L3402="", "Pending", IF(N3402&lt;=30, "Met", "Breached"))</f>
        <v/>
      </c>
    </row>
    <row r="3403">
      <c r="M3403" s="11">
        <f>B3403+30</f>
        <v/>
      </c>
      <c r="N3403">
        <f>IF(L3403="", "", L3403-B3403)</f>
        <v/>
      </c>
      <c r="O3403">
        <f>IF(L3403="", "Pending", IF(N3403&lt;=30, "Met", "Breached"))</f>
        <v/>
      </c>
    </row>
    <row r="3404">
      <c r="M3404" s="11">
        <f>B3404+30</f>
        <v/>
      </c>
      <c r="N3404">
        <f>IF(L3404="", "", L3404-B3404)</f>
        <v/>
      </c>
      <c r="O3404">
        <f>IF(L3404="", "Pending", IF(N3404&lt;=30, "Met", "Breached"))</f>
        <v/>
      </c>
    </row>
    <row r="3405">
      <c r="M3405" s="11">
        <f>B3405+30</f>
        <v/>
      </c>
      <c r="N3405">
        <f>IF(L3405="", "", L3405-B3405)</f>
        <v/>
      </c>
      <c r="O3405">
        <f>IF(L3405="", "Pending", IF(N3405&lt;=30, "Met", "Breached"))</f>
        <v/>
      </c>
    </row>
    <row r="3406">
      <c r="M3406" s="11">
        <f>B3406+30</f>
        <v/>
      </c>
      <c r="N3406">
        <f>IF(L3406="", "", L3406-B3406)</f>
        <v/>
      </c>
      <c r="O3406">
        <f>IF(L3406="", "Pending", IF(N3406&lt;=30, "Met", "Breached"))</f>
        <v/>
      </c>
    </row>
    <row r="3407">
      <c r="M3407" s="11">
        <f>B3407+30</f>
        <v/>
      </c>
      <c r="N3407">
        <f>IF(L3407="", "", L3407-B3407)</f>
        <v/>
      </c>
      <c r="O3407">
        <f>IF(L3407="", "Pending", IF(N3407&lt;=30, "Met", "Breached"))</f>
        <v/>
      </c>
    </row>
    <row r="3408">
      <c r="M3408" s="11">
        <f>B3408+30</f>
        <v/>
      </c>
      <c r="N3408">
        <f>IF(L3408="", "", L3408-B3408)</f>
        <v/>
      </c>
      <c r="O3408">
        <f>IF(L3408="", "Pending", IF(N3408&lt;=30, "Met", "Breached"))</f>
        <v/>
      </c>
    </row>
    <row r="3409">
      <c r="M3409" s="11">
        <f>B3409+30</f>
        <v/>
      </c>
      <c r="N3409">
        <f>IF(L3409="", "", L3409-B3409)</f>
        <v/>
      </c>
      <c r="O3409">
        <f>IF(L3409="", "Pending", IF(N3409&lt;=30, "Met", "Breached"))</f>
        <v/>
      </c>
    </row>
    <row r="3410">
      <c r="M3410" s="11">
        <f>B3410+30</f>
        <v/>
      </c>
      <c r="N3410">
        <f>IF(L3410="", "", L3410-B3410)</f>
        <v/>
      </c>
      <c r="O3410">
        <f>IF(L3410="", "Pending", IF(N3410&lt;=30, "Met", "Breached"))</f>
        <v/>
      </c>
    </row>
    <row r="3411">
      <c r="M3411" s="11">
        <f>B3411+30</f>
        <v/>
      </c>
      <c r="N3411">
        <f>IF(L3411="", "", L3411-B3411)</f>
        <v/>
      </c>
      <c r="O3411">
        <f>IF(L3411="", "Pending", IF(N3411&lt;=30, "Met", "Breached"))</f>
        <v/>
      </c>
    </row>
    <row r="3412">
      <c r="M3412" s="11">
        <f>B3412+30</f>
        <v/>
      </c>
      <c r="N3412">
        <f>IF(L3412="", "", L3412-B3412)</f>
        <v/>
      </c>
      <c r="O3412">
        <f>IF(L3412="", "Pending", IF(N3412&lt;=30, "Met", "Breached"))</f>
        <v/>
      </c>
    </row>
    <row r="3413">
      <c r="M3413" s="11">
        <f>B3413+30</f>
        <v/>
      </c>
      <c r="N3413">
        <f>IF(L3413="", "", L3413-B3413)</f>
        <v/>
      </c>
      <c r="O3413">
        <f>IF(L3413="", "Pending", IF(N3413&lt;=30, "Met", "Breached"))</f>
        <v/>
      </c>
    </row>
    <row r="3414">
      <c r="M3414" s="11">
        <f>B3414+30</f>
        <v/>
      </c>
      <c r="N3414">
        <f>IF(L3414="", "", L3414-B3414)</f>
        <v/>
      </c>
      <c r="O3414">
        <f>IF(L3414="", "Pending", IF(N3414&lt;=30, "Met", "Breached"))</f>
        <v/>
      </c>
    </row>
    <row r="3415">
      <c r="M3415" s="11">
        <f>B3415+30</f>
        <v/>
      </c>
      <c r="N3415">
        <f>IF(L3415="", "", L3415-B3415)</f>
        <v/>
      </c>
      <c r="O3415">
        <f>IF(L3415="", "Pending", IF(N3415&lt;=30, "Met", "Breached"))</f>
        <v/>
      </c>
    </row>
    <row r="3416">
      <c r="M3416" s="11">
        <f>B3416+30</f>
        <v/>
      </c>
      <c r="N3416">
        <f>IF(L3416="", "", L3416-B3416)</f>
        <v/>
      </c>
      <c r="O3416">
        <f>IF(L3416="", "Pending", IF(N3416&lt;=30, "Met", "Breached"))</f>
        <v/>
      </c>
    </row>
    <row r="3417">
      <c r="M3417" s="11">
        <f>B3417+30</f>
        <v/>
      </c>
      <c r="N3417">
        <f>IF(L3417="", "", L3417-B3417)</f>
        <v/>
      </c>
      <c r="O3417">
        <f>IF(L3417="", "Pending", IF(N3417&lt;=30, "Met", "Breached"))</f>
        <v/>
      </c>
    </row>
    <row r="3418">
      <c r="M3418" s="11">
        <f>B3418+30</f>
        <v/>
      </c>
      <c r="N3418">
        <f>IF(L3418="", "", L3418-B3418)</f>
        <v/>
      </c>
      <c r="O3418">
        <f>IF(L3418="", "Pending", IF(N3418&lt;=30, "Met", "Breached"))</f>
        <v/>
      </c>
    </row>
    <row r="3419">
      <c r="M3419" s="11">
        <f>B3419+30</f>
        <v/>
      </c>
      <c r="N3419">
        <f>IF(L3419="", "", L3419-B3419)</f>
        <v/>
      </c>
      <c r="O3419">
        <f>IF(L3419="", "Pending", IF(N3419&lt;=30, "Met", "Breached"))</f>
        <v/>
      </c>
    </row>
    <row r="3420">
      <c r="M3420" s="11">
        <f>B3420+30</f>
        <v/>
      </c>
      <c r="N3420">
        <f>IF(L3420="", "", L3420-B3420)</f>
        <v/>
      </c>
      <c r="O3420">
        <f>IF(L3420="", "Pending", IF(N3420&lt;=30, "Met", "Breached"))</f>
        <v/>
      </c>
    </row>
    <row r="3421">
      <c r="M3421" s="11">
        <f>B3421+30</f>
        <v/>
      </c>
      <c r="N3421">
        <f>IF(L3421="", "", L3421-B3421)</f>
        <v/>
      </c>
      <c r="O3421">
        <f>IF(L3421="", "Pending", IF(N3421&lt;=30, "Met", "Breached"))</f>
        <v/>
      </c>
    </row>
    <row r="3422">
      <c r="M3422" s="11">
        <f>B3422+30</f>
        <v/>
      </c>
      <c r="N3422">
        <f>IF(L3422="", "", L3422-B3422)</f>
        <v/>
      </c>
      <c r="O3422">
        <f>IF(L3422="", "Pending", IF(N3422&lt;=30, "Met", "Breached"))</f>
        <v/>
      </c>
    </row>
    <row r="3423">
      <c r="M3423" s="11">
        <f>B3423+30</f>
        <v/>
      </c>
      <c r="N3423">
        <f>IF(L3423="", "", L3423-B3423)</f>
        <v/>
      </c>
      <c r="O3423">
        <f>IF(L3423="", "Pending", IF(N3423&lt;=30, "Met", "Breached"))</f>
        <v/>
      </c>
    </row>
    <row r="3424">
      <c r="M3424" s="11">
        <f>B3424+30</f>
        <v/>
      </c>
      <c r="N3424">
        <f>IF(L3424="", "", L3424-B3424)</f>
        <v/>
      </c>
      <c r="O3424">
        <f>IF(L3424="", "Pending", IF(N3424&lt;=30, "Met", "Breached"))</f>
        <v/>
      </c>
    </row>
    <row r="3425">
      <c r="M3425" s="11">
        <f>B3425+30</f>
        <v/>
      </c>
      <c r="N3425">
        <f>IF(L3425="", "", L3425-B3425)</f>
        <v/>
      </c>
      <c r="O3425">
        <f>IF(L3425="", "Pending", IF(N3425&lt;=30, "Met", "Breached"))</f>
        <v/>
      </c>
    </row>
    <row r="3426">
      <c r="M3426" s="11">
        <f>B3426+30</f>
        <v/>
      </c>
      <c r="N3426">
        <f>IF(L3426="", "", L3426-B3426)</f>
        <v/>
      </c>
      <c r="O3426">
        <f>IF(L3426="", "Pending", IF(N3426&lt;=30, "Met", "Breached"))</f>
        <v/>
      </c>
    </row>
    <row r="3427">
      <c r="M3427" s="11">
        <f>B3427+30</f>
        <v/>
      </c>
      <c r="N3427">
        <f>IF(L3427="", "", L3427-B3427)</f>
        <v/>
      </c>
      <c r="O3427">
        <f>IF(L3427="", "Pending", IF(N3427&lt;=30, "Met", "Breached"))</f>
        <v/>
      </c>
    </row>
    <row r="3428">
      <c r="M3428" s="11">
        <f>B3428+30</f>
        <v/>
      </c>
      <c r="N3428">
        <f>IF(L3428="", "", L3428-B3428)</f>
        <v/>
      </c>
      <c r="O3428">
        <f>IF(L3428="", "Pending", IF(N3428&lt;=30, "Met", "Breached"))</f>
        <v/>
      </c>
    </row>
    <row r="3429">
      <c r="M3429" s="11">
        <f>B3429+30</f>
        <v/>
      </c>
      <c r="N3429">
        <f>IF(L3429="", "", L3429-B3429)</f>
        <v/>
      </c>
      <c r="O3429">
        <f>IF(L3429="", "Pending", IF(N3429&lt;=30, "Met", "Breached"))</f>
        <v/>
      </c>
    </row>
    <row r="3430">
      <c r="M3430" s="11">
        <f>B3430+30</f>
        <v/>
      </c>
      <c r="N3430">
        <f>IF(L3430="", "", L3430-B3430)</f>
        <v/>
      </c>
      <c r="O3430">
        <f>IF(L3430="", "Pending", IF(N3430&lt;=30, "Met", "Breached"))</f>
        <v/>
      </c>
    </row>
    <row r="3431">
      <c r="M3431" s="11">
        <f>B3431+30</f>
        <v/>
      </c>
      <c r="N3431">
        <f>IF(L3431="", "", L3431-B3431)</f>
        <v/>
      </c>
      <c r="O3431">
        <f>IF(L3431="", "Pending", IF(N3431&lt;=30, "Met", "Breached"))</f>
        <v/>
      </c>
    </row>
    <row r="3432">
      <c r="M3432" s="11">
        <f>B3432+30</f>
        <v/>
      </c>
      <c r="N3432">
        <f>IF(L3432="", "", L3432-B3432)</f>
        <v/>
      </c>
      <c r="O3432">
        <f>IF(L3432="", "Pending", IF(N3432&lt;=30, "Met", "Breached"))</f>
        <v/>
      </c>
    </row>
    <row r="3433">
      <c r="M3433" s="11">
        <f>B3433+30</f>
        <v/>
      </c>
      <c r="N3433">
        <f>IF(L3433="", "", L3433-B3433)</f>
        <v/>
      </c>
      <c r="O3433">
        <f>IF(L3433="", "Pending", IF(N3433&lt;=30, "Met", "Breached"))</f>
        <v/>
      </c>
    </row>
    <row r="3434">
      <c r="M3434" s="11">
        <f>B3434+30</f>
        <v/>
      </c>
      <c r="N3434">
        <f>IF(L3434="", "", L3434-B3434)</f>
        <v/>
      </c>
      <c r="O3434">
        <f>IF(L3434="", "Pending", IF(N3434&lt;=30, "Met", "Breached"))</f>
        <v/>
      </c>
    </row>
    <row r="3435">
      <c r="M3435" s="11">
        <f>B3435+30</f>
        <v/>
      </c>
      <c r="N3435">
        <f>IF(L3435="", "", L3435-B3435)</f>
        <v/>
      </c>
      <c r="O3435">
        <f>IF(L3435="", "Pending", IF(N3435&lt;=30, "Met", "Breached"))</f>
        <v/>
      </c>
    </row>
    <row r="3436">
      <c r="M3436" s="11">
        <f>B3436+30</f>
        <v/>
      </c>
      <c r="N3436">
        <f>IF(L3436="", "", L3436-B3436)</f>
        <v/>
      </c>
      <c r="O3436">
        <f>IF(L3436="", "Pending", IF(N3436&lt;=30, "Met", "Breached"))</f>
        <v/>
      </c>
    </row>
    <row r="3437">
      <c r="M3437" s="11">
        <f>B3437+30</f>
        <v/>
      </c>
      <c r="N3437">
        <f>IF(L3437="", "", L3437-B3437)</f>
        <v/>
      </c>
      <c r="O3437">
        <f>IF(L3437="", "Pending", IF(N3437&lt;=30, "Met", "Breached"))</f>
        <v/>
      </c>
    </row>
    <row r="3438">
      <c r="M3438" s="11">
        <f>B3438+30</f>
        <v/>
      </c>
      <c r="N3438">
        <f>IF(L3438="", "", L3438-B3438)</f>
        <v/>
      </c>
      <c r="O3438">
        <f>IF(L3438="", "Pending", IF(N3438&lt;=30, "Met", "Breached"))</f>
        <v/>
      </c>
    </row>
    <row r="3439">
      <c r="M3439" s="11">
        <f>B3439+30</f>
        <v/>
      </c>
      <c r="N3439">
        <f>IF(L3439="", "", L3439-B3439)</f>
        <v/>
      </c>
      <c r="O3439">
        <f>IF(L3439="", "Pending", IF(N3439&lt;=30, "Met", "Breached"))</f>
        <v/>
      </c>
    </row>
    <row r="3440">
      <c r="M3440" s="11">
        <f>B3440+30</f>
        <v/>
      </c>
      <c r="N3440">
        <f>IF(L3440="", "", L3440-B3440)</f>
        <v/>
      </c>
      <c r="O3440">
        <f>IF(L3440="", "Pending", IF(N3440&lt;=30, "Met", "Breached"))</f>
        <v/>
      </c>
    </row>
    <row r="3441">
      <c r="M3441" s="11">
        <f>B3441+30</f>
        <v/>
      </c>
      <c r="N3441">
        <f>IF(L3441="", "", L3441-B3441)</f>
        <v/>
      </c>
      <c r="O3441">
        <f>IF(L3441="", "Pending", IF(N3441&lt;=30, "Met", "Breached"))</f>
        <v/>
      </c>
    </row>
    <row r="3442">
      <c r="M3442" s="11">
        <f>B3442+30</f>
        <v/>
      </c>
      <c r="N3442">
        <f>IF(L3442="", "", L3442-B3442)</f>
        <v/>
      </c>
      <c r="O3442">
        <f>IF(L3442="", "Pending", IF(N3442&lt;=30, "Met", "Breached"))</f>
        <v/>
      </c>
    </row>
    <row r="3443">
      <c r="M3443" s="11">
        <f>B3443+30</f>
        <v/>
      </c>
      <c r="N3443">
        <f>IF(L3443="", "", L3443-B3443)</f>
        <v/>
      </c>
      <c r="O3443">
        <f>IF(L3443="", "Pending", IF(N3443&lt;=30, "Met", "Breached"))</f>
        <v/>
      </c>
    </row>
    <row r="3444">
      <c r="M3444" s="11">
        <f>B3444+30</f>
        <v/>
      </c>
      <c r="N3444">
        <f>IF(L3444="", "", L3444-B3444)</f>
        <v/>
      </c>
      <c r="O3444">
        <f>IF(L3444="", "Pending", IF(N3444&lt;=30, "Met", "Breached"))</f>
        <v/>
      </c>
    </row>
    <row r="3445">
      <c r="M3445" s="11">
        <f>B3445+30</f>
        <v/>
      </c>
      <c r="N3445">
        <f>IF(L3445="", "", L3445-B3445)</f>
        <v/>
      </c>
      <c r="O3445">
        <f>IF(L3445="", "Pending", IF(N3445&lt;=30, "Met", "Breached"))</f>
        <v/>
      </c>
    </row>
    <row r="3446">
      <c r="M3446" s="11">
        <f>B3446+30</f>
        <v/>
      </c>
      <c r="N3446">
        <f>IF(L3446="", "", L3446-B3446)</f>
        <v/>
      </c>
      <c r="O3446">
        <f>IF(L3446="", "Pending", IF(N3446&lt;=30, "Met", "Breached"))</f>
        <v/>
      </c>
    </row>
    <row r="3447">
      <c r="M3447" s="11">
        <f>B3447+30</f>
        <v/>
      </c>
      <c r="N3447">
        <f>IF(L3447="", "", L3447-B3447)</f>
        <v/>
      </c>
      <c r="O3447">
        <f>IF(L3447="", "Pending", IF(N3447&lt;=30, "Met", "Breached"))</f>
        <v/>
      </c>
    </row>
    <row r="3448">
      <c r="M3448" s="11">
        <f>B3448+30</f>
        <v/>
      </c>
      <c r="N3448">
        <f>IF(L3448="", "", L3448-B3448)</f>
        <v/>
      </c>
      <c r="O3448">
        <f>IF(L3448="", "Pending", IF(N3448&lt;=30, "Met", "Breached"))</f>
        <v/>
      </c>
    </row>
    <row r="3449">
      <c r="M3449" s="11">
        <f>B3449+30</f>
        <v/>
      </c>
      <c r="N3449">
        <f>IF(L3449="", "", L3449-B3449)</f>
        <v/>
      </c>
      <c r="O3449">
        <f>IF(L3449="", "Pending", IF(N3449&lt;=30, "Met", "Breached"))</f>
        <v/>
      </c>
    </row>
    <row r="3450">
      <c r="M3450" s="11">
        <f>B3450+30</f>
        <v/>
      </c>
      <c r="N3450">
        <f>IF(L3450="", "", L3450-B3450)</f>
        <v/>
      </c>
      <c r="O3450">
        <f>IF(L3450="", "Pending", IF(N3450&lt;=30, "Met", "Breached"))</f>
        <v/>
      </c>
    </row>
    <row r="3451">
      <c r="M3451" s="11">
        <f>B3451+30</f>
        <v/>
      </c>
      <c r="N3451">
        <f>IF(L3451="", "", L3451-B3451)</f>
        <v/>
      </c>
      <c r="O3451">
        <f>IF(L3451="", "Pending", IF(N3451&lt;=30, "Met", "Breached"))</f>
        <v/>
      </c>
    </row>
    <row r="3452">
      <c r="M3452" s="11">
        <f>B3452+30</f>
        <v/>
      </c>
      <c r="N3452">
        <f>IF(L3452="", "", L3452-B3452)</f>
        <v/>
      </c>
      <c r="O3452">
        <f>IF(L3452="", "Pending", IF(N3452&lt;=30, "Met", "Breached"))</f>
        <v/>
      </c>
    </row>
    <row r="3453">
      <c r="M3453" s="11">
        <f>B3453+30</f>
        <v/>
      </c>
      <c r="N3453">
        <f>IF(L3453="", "", L3453-B3453)</f>
        <v/>
      </c>
      <c r="O3453">
        <f>IF(L3453="", "Pending", IF(N3453&lt;=30, "Met", "Breached"))</f>
        <v/>
      </c>
    </row>
    <row r="3454">
      <c r="M3454" s="11">
        <f>B3454+30</f>
        <v/>
      </c>
      <c r="N3454">
        <f>IF(L3454="", "", L3454-B3454)</f>
        <v/>
      </c>
      <c r="O3454">
        <f>IF(L3454="", "Pending", IF(N3454&lt;=30, "Met", "Breached"))</f>
        <v/>
      </c>
    </row>
    <row r="3455">
      <c r="M3455" s="11">
        <f>B3455+30</f>
        <v/>
      </c>
      <c r="N3455">
        <f>IF(L3455="", "", L3455-B3455)</f>
        <v/>
      </c>
      <c r="O3455">
        <f>IF(L3455="", "Pending", IF(N3455&lt;=30, "Met", "Breached"))</f>
        <v/>
      </c>
    </row>
    <row r="3456">
      <c r="M3456" s="11">
        <f>B3456+30</f>
        <v/>
      </c>
      <c r="N3456">
        <f>IF(L3456="", "", L3456-B3456)</f>
        <v/>
      </c>
      <c r="O3456">
        <f>IF(L3456="", "Pending", IF(N3456&lt;=30, "Met", "Breached"))</f>
        <v/>
      </c>
    </row>
    <row r="3457">
      <c r="M3457" s="11">
        <f>B3457+30</f>
        <v/>
      </c>
      <c r="N3457">
        <f>IF(L3457="", "", L3457-B3457)</f>
        <v/>
      </c>
      <c r="O3457">
        <f>IF(L3457="", "Pending", IF(N3457&lt;=30, "Met", "Breached"))</f>
        <v/>
      </c>
    </row>
    <row r="3458">
      <c r="M3458" s="11">
        <f>B3458+30</f>
        <v/>
      </c>
      <c r="N3458">
        <f>IF(L3458="", "", L3458-B3458)</f>
        <v/>
      </c>
      <c r="O3458">
        <f>IF(L3458="", "Pending", IF(N3458&lt;=30, "Met", "Breached"))</f>
        <v/>
      </c>
    </row>
    <row r="3459">
      <c r="M3459" s="11">
        <f>B3459+30</f>
        <v/>
      </c>
      <c r="N3459">
        <f>IF(L3459="", "", L3459-B3459)</f>
        <v/>
      </c>
      <c r="O3459">
        <f>IF(L3459="", "Pending", IF(N3459&lt;=30, "Met", "Breached"))</f>
        <v/>
      </c>
    </row>
    <row r="3460">
      <c r="M3460" s="11">
        <f>B3460+30</f>
        <v/>
      </c>
      <c r="N3460">
        <f>IF(L3460="", "", L3460-B3460)</f>
        <v/>
      </c>
      <c r="O3460">
        <f>IF(L3460="", "Pending", IF(N3460&lt;=30, "Met", "Breached"))</f>
        <v/>
      </c>
    </row>
    <row r="3461">
      <c r="M3461" s="11">
        <f>B3461+30</f>
        <v/>
      </c>
      <c r="N3461">
        <f>IF(L3461="", "", L3461-B3461)</f>
        <v/>
      </c>
      <c r="O3461">
        <f>IF(L3461="", "Pending", IF(N3461&lt;=30, "Met", "Breached"))</f>
        <v/>
      </c>
    </row>
    <row r="3462">
      <c r="M3462" s="11">
        <f>B3462+30</f>
        <v/>
      </c>
      <c r="N3462">
        <f>IF(L3462="", "", L3462-B3462)</f>
        <v/>
      </c>
      <c r="O3462">
        <f>IF(L3462="", "Pending", IF(N3462&lt;=30, "Met", "Breached"))</f>
        <v/>
      </c>
    </row>
    <row r="3463">
      <c r="M3463" s="11">
        <f>B3463+30</f>
        <v/>
      </c>
      <c r="N3463">
        <f>IF(L3463="", "", L3463-B3463)</f>
        <v/>
      </c>
      <c r="O3463">
        <f>IF(L3463="", "Pending", IF(N3463&lt;=30, "Met", "Breached"))</f>
        <v/>
      </c>
    </row>
    <row r="3464">
      <c r="M3464" s="11">
        <f>B3464+30</f>
        <v/>
      </c>
      <c r="N3464">
        <f>IF(L3464="", "", L3464-B3464)</f>
        <v/>
      </c>
      <c r="O3464">
        <f>IF(L3464="", "Pending", IF(N3464&lt;=30, "Met", "Breached"))</f>
        <v/>
      </c>
    </row>
    <row r="3465">
      <c r="M3465" s="11">
        <f>B3465+30</f>
        <v/>
      </c>
      <c r="N3465">
        <f>IF(L3465="", "", L3465-B3465)</f>
        <v/>
      </c>
      <c r="O3465">
        <f>IF(L3465="", "Pending", IF(N3465&lt;=30, "Met", "Breached"))</f>
        <v/>
      </c>
    </row>
    <row r="3466">
      <c r="M3466" s="11">
        <f>B3466+30</f>
        <v/>
      </c>
      <c r="N3466">
        <f>IF(L3466="", "", L3466-B3466)</f>
        <v/>
      </c>
      <c r="O3466">
        <f>IF(L3466="", "Pending", IF(N3466&lt;=30, "Met", "Breached"))</f>
        <v/>
      </c>
    </row>
    <row r="3467">
      <c r="M3467" s="11">
        <f>B3467+30</f>
        <v/>
      </c>
      <c r="N3467">
        <f>IF(L3467="", "", L3467-B3467)</f>
        <v/>
      </c>
      <c r="O3467">
        <f>IF(L3467="", "Pending", IF(N3467&lt;=30, "Met", "Breached"))</f>
        <v/>
      </c>
    </row>
    <row r="3468">
      <c r="M3468" s="11">
        <f>B3468+30</f>
        <v/>
      </c>
      <c r="N3468">
        <f>IF(L3468="", "", L3468-B3468)</f>
        <v/>
      </c>
      <c r="O3468">
        <f>IF(L3468="", "Pending", IF(N3468&lt;=30, "Met", "Breached"))</f>
        <v/>
      </c>
    </row>
    <row r="3469">
      <c r="M3469" s="11">
        <f>B3469+30</f>
        <v/>
      </c>
      <c r="N3469">
        <f>IF(L3469="", "", L3469-B3469)</f>
        <v/>
      </c>
      <c r="O3469">
        <f>IF(L3469="", "Pending", IF(N3469&lt;=30, "Met", "Breached"))</f>
        <v/>
      </c>
    </row>
    <row r="3470">
      <c r="M3470" s="11">
        <f>B3470+30</f>
        <v/>
      </c>
      <c r="N3470">
        <f>IF(L3470="", "", L3470-B3470)</f>
        <v/>
      </c>
      <c r="O3470">
        <f>IF(L3470="", "Pending", IF(N3470&lt;=30, "Met", "Breached"))</f>
        <v/>
      </c>
    </row>
    <row r="3471">
      <c r="M3471" s="11">
        <f>B3471+30</f>
        <v/>
      </c>
      <c r="N3471">
        <f>IF(L3471="", "", L3471-B3471)</f>
        <v/>
      </c>
      <c r="O3471">
        <f>IF(L3471="", "Pending", IF(N3471&lt;=30, "Met", "Breached"))</f>
        <v/>
      </c>
    </row>
    <row r="3472">
      <c r="M3472" s="11">
        <f>B3472+30</f>
        <v/>
      </c>
      <c r="N3472">
        <f>IF(L3472="", "", L3472-B3472)</f>
        <v/>
      </c>
      <c r="O3472">
        <f>IF(L3472="", "Pending", IF(N3472&lt;=30, "Met", "Breached"))</f>
        <v/>
      </c>
    </row>
    <row r="3473">
      <c r="M3473" s="11">
        <f>B3473+30</f>
        <v/>
      </c>
      <c r="N3473">
        <f>IF(L3473="", "", L3473-B3473)</f>
        <v/>
      </c>
      <c r="O3473">
        <f>IF(L3473="", "Pending", IF(N3473&lt;=30, "Met", "Breached"))</f>
        <v/>
      </c>
    </row>
    <row r="3474">
      <c r="M3474" s="11">
        <f>B3474+30</f>
        <v/>
      </c>
      <c r="N3474">
        <f>IF(L3474="", "", L3474-B3474)</f>
        <v/>
      </c>
      <c r="O3474">
        <f>IF(L3474="", "Pending", IF(N3474&lt;=30, "Met", "Breached"))</f>
        <v/>
      </c>
    </row>
    <row r="3475">
      <c r="M3475" s="11">
        <f>B3475+30</f>
        <v/>
      </c>
      <c r="N3475">
        <f>IF(L3475="", "", L3475-B3475)</f>
        <v/>
      </c>
      <c r="O3475">
        <f>IF(L3475="", "Pending", IF(N3475&lt;=30, "Met", "Breached"))</f>
        <v/>
      </c>
    </row>
    <row r="3476">
      <c r="M3476" s="11">
        <f>B3476+30</f>
        <v/>
      </c>
      <c r="N3476">
        <f>IF(L3476="", "", L3476-B3476)</f>
        <v/>
      </c>
      <c r="O3476">
        <f>IF(L3476="", "Pending", IF(N3476&lt;=30, "Met", "Breached"))</f>
        <v/>
      </c>
    </row>
    <row r="3477">
      <c r="M3477" s="11">
        <f>B3477+30</f>
        <v/>
      </c>
      <c r="N3477">
        <f>IF(L3477="", "", L3477-B3477)</f>
        <v/>
      </c>
      <c r="O3477">
        <f>IF(L3477="", "Pending", IF(N3477&lt;=30, "Met", "Breached"))</f>
        <v/>
      </c>
    </row>
    <row r="3478">
      <c r="M3478" s="11">
        <f>B3478+30</f>
        <v/>
      </c>
      <c r="N3478">
        <f>IF(L3478="", "", L3478-B3478)</f>
        <v/>
      </c>
      <c r="O3478">
        <f>IF(L3478="", "Pending", IF(N3478&lt;=30, "Met", "Breached"))</f>
        <v/>
      </c>
    </row>
    <row r="3479">
      <c r="M3479" s="11">
        <f>B3479+30</f>
        <v/>
      </c>
      <c r="N3479">
        <f>IF(L3479="", "", L3479-B3479)</f>
        <v/>
      </c>
      <c r="O3479">
        <f>IF(L3479="", "Pending", IF(N3479&lt;=30, "Met", "Breached"))</f>
        <v/>
      </c>
    </row>
    <row r="3480">
      <c r="M3480" s="11">
        <f>B3480+30</f>
        <v/>
      </c>
      <c r="N3480">
        <f>IF(L3480="", "", L3480-B3480)</f>
        <v/>
      </c>
      <c r="O3480">
        <f>IF(L3480="", "Pending", IF(N3480&lt;=30, "Met", "Breached"))</f>
        <v/>
      </c>
    </row>
    <row r="3481">
      <c r="M3481" s="11">
        <f>B3481+30</f>
        <v/>
      </c>
      <c r="N3481">
        <f>IF(L3481="", "", L3481-B3481)</f>
        <v/>
      </c>
      <c r="O3481">
        <f>IF(L3481="", "Pending", IF(N3481&lt;=30, "Met", "Breached"))</f>
        <v/>
      </c>
    </row>
    <row r="3482">
      <c r="M3482" s="11">
        <f>B3482+30</f>
        <v/>
      </c>
      <c r="N3482">
        <f>IF(L3482="", "", L3482-B3482)</f>
        <v/>
      </c>
      <c r="O3482">
        <f>IF(L3482="", "Pending", IF(N3482&lt;=30, "Met", "Breached"))</f>
        <v/>
      </c>
    </row>
    <row r="3483">
      <c r="M3483" s="11">
        <f>B3483+30</f>
        <v/>
      </c>
      <c r="N3483">
        <f>IF(L3483="", "", L3483-B3483)</f>
        <v/>
      </c>
      <c r="O3483">
        <f>IF(L3483="", "Pending", IF(N3483&lt;=30, "Met", "Breached"))</f>
        <v/>
      </c>
    </row>
    <row r="3484">
      <c r="M3484" s="11">
        <f>B3484+30</f>
        <v/>
      </c>
      <c r="N3484">
        <f>IF(L3484="", "", L3484-B3484)</f>
        <v/>
      </c>
      <c r="O3484">
        <f>IF(L3484="", "Pending", IF(N3484&lt;=30, "Met", "Breached"))</f>
        <v/>
      </c>
    </row>
    <row r="3485">
      <c r="M3485" s="11">
        <f>B3485+30</f>
        <v/>
      </c>
      <c r="N3485">
        <f>IF(L3485="", "", L3485-B3485)</f>
        <v/>
      </c>
      <c r="O3485">
        <f>IF(L3485="", "Pending", IF(N3485&lt;=30, "Met", "Breached"))</f>
        <v/>
      </c>
    </row>
    <row r="3486">
      <c r="M3486" s="11">
        <f>B3486+30</f>
        <v/>
      </c>
      <c r="N3486">
        <f>IF(L3486="", "", L3486-B3486)</f>
        <v/>
      </c>
      <c r="O3486">
        <f>IF(L3486="", "Pending", IF(N3486&lt;=30, "Met", "Breached"))</f>
        <v/>
      </c>
    </row>
    <row r="3487">
      <c r="M3487" s="11">
        <f>B3487+30</f>
        <v/>
      </c>
      <c r="N3487">
        <f>IF(L3487="", "", L3487-B3487)</f>
        <v/>
      </c>
      <c r="O3487">
        <f>IF(L3487="", "Pending", IF(N3487&lt;=30, "Met", "Breached"))</f>
        <v/>
      </c>
    </row>
    <row r="3488">
      <c r="M3488" s="11">
        <f>B3488+30</f>
        <v/>
      </c>
      <c r="N3488">
        <f>IF(L3488="", "", L3488-B3488)</f>
        <v/>
      </c>
      <c r="O3488">
        <f>IF(L3488="", "Pending", IF(N3488&lt;=30, "Met", "Breached"))</f>
        <v/>
      </c>
    </row>
    <row r="3489">
      <c r="M3489" s="11">
        <f>B3489+30</f>
        <v/>
      </c>
      <c r="N3489">
        <f>IF(L3489="", "", L3489-B3489)</f>
        <v/>
      </c>
      <c r="O3489">
        <f>IF(L3489="", "Pending", IF(N3489&lt;=30, "Met", "Breached"))</f>
        <v/>
      </c>
    </row>
    <row r="3490">
      <c r="M3490" s="11">
        <f>B3490+30</f>
        <v/>
      </c>
      <c r="N3490">
        <f>IF(L3490="", "", L3490-B3490)</f>
        <v/>
      </c>
      <c r="O3490">
        <f>IF(L3490="", "Pending", IF(N3490&lt;=30, "Met", "Breached"))</f>
        <v/>
      </c>
    </row>
    <row r="3491">
      <c r="M3491" s="11">
        <f>B3491+30</f>
        <v/>
      </c>
      <c r="N3491">
        <f>IF(L3491="", "", L3491-B3491)</f>
        <v/>
      </c>
      <c r="O3491">
        <f>IF(L3491="", "Pending", IF(N3491&lt;=30, "Met", "Breached"))</f>
        <v/>
      </c>
    </row>
    <row r="3492">
      <c r="M3492" s="11">
        <f>B3492+30</f>
        <v/>
      </c>
      <c r="N3492">
        <f>IF(L3492="", "", L3492-B3492)</f>
        <v/>
      </c>
      <c r="O3492">
        <f>IF(L3492="", "Pending", IF(N3492&lt;=30, "Met", "Breached"))</f>
        <v/>
      </c>
    </row>
    <row r="3493">
      <c r="M3493" s="11">
        <f>B3493+30</f>
        <v/>
      </c>
      <c r="N3493">
        <f>IF(L3493="", "", L3493-B3493)</f>
        <v/>
      </c>
      <c r="O3493">
        <f>IF(L3493="", "Pending", IF(N3493&lt;=30, "Met", "Breached"))</f>
        <v/>
      </c>
    </row>
    <row r="3494">
      <c r="M3494" s="11">
        <f>B3494+30</f>
        <v/>
      </c>
      <c r="N3494">
        <f>IF(L3494="", "", L3494-B3494)</f>
        <v/>
      </c>
      <c r="O3494">
        <f>IF(L3494="", "Pending", IF(N3494&lt;=30, "Met", "Breached"))</f>
        <v/>
      </c>
    </row>
    <row r="3495">
      <c r="M3495" s="11">
        <f>B3495+30</f>
        <v/>
      </c>
      <c r="N3495">
        <f>IF(L3495="", "", L3495-B3495)</f>
        <v/>
      </c>
      <c r="O3495">
        <f>IF(L3495="", "Pending", IF(N3495&lt;=30, "Met", "Breached"))</f>
        <v/>
      </c>
    </row>
    <row r="3496">
      <c r="M3496" s="11">
        <f>B3496+30</f>
        <v/>
      </c>
      <c r="N3496">
        <f>IF(L3496="", "", L3496-B3496)</f>
        <v/>
      </c>
      <c r="O3496">
        <f>IF(L3496="", "Pending", IF(N3496&lt;=30, "Met", "Breached"))</f>
        <v/>
      </c>
    </row>
    <row r="3497">
      <c r="M3497" s="11">
        <f>B3497+30</f>
        <v/>
      </c>
      <c r="N3497">
        <f>IF(L3497="", "", L3497-B3497)</f>
        <v/>
      </c>
      <c r="O3497">
        <f>IF(L3497="", "Pending", IF(N3497&lt;=30, "Met", "Breached"))</f>
        <v/>
      </c>
    </row>
    <row r="3498">
      <c r="M3498" s="11">
        <f>B3498+30</f>
        <v/>
      </c>
      <c r="N3498">
        <f>IF(L3498="", "", L3498-B3498)</f>
        <v/>
      </c>
      <c r="O3498">
        <f>IF(L3498="", "Pending", IF(N3498&lt;=30, "Met", "Breached"))</f>
        <v/>
      </c>
    </row>
    <row r="3499">
      <c r="M3499" s="11">
        <f>B3499+30</f>
        <v/>
      </c>
      <c r="N3499">
        <f>IF(L3499="", "", L3499-B3499)</f>
        <v/>
      </c>
      <c r="O3499">
        <f>IF(L3499="", "Pending", IF(N3499&lt;=30, "Met", "Breached"))</f>
        <v/>
      </c>
    </row>
    <row r="3500">
      <c r="M3500" s="11">
        <f>B3500+30</f>
        <v/>
      </c>
      <c r="N3500">
        <f>IF(L3500="", "", L3500-B3500)</f>
        <v/>
      </c>
      <c r="O3500">
        <f>IF(L3500="", "Pending", IF(N3500&lt;=30, "Met", "Breached"))</f>
        <v/>
      </c>
    </row>
    <row r="3501">
      <c r="M3501" s="11">
        <f>B3501+30</f>
        <v/>
      </c>
      <c r="N3501">
        <f>IF(L3501="", "", L3501-B3501)</f>
        <v/>
      </c>
      <c r="O3501">
        <f>IF(L3501="", "Pending", IF(N3501&lt;=30, "Met", "Breached"))</f>
        <v/>
      </c>
    </row>
    <row r="3502">
      <c r="M3502" s="11">
        <f>B3502+30</f>
        <v/>
      </c>
      <c r="N3502">
        <f>IF(L3502="", "", L3502-B3502)</f>
        <v/>
      </c>
      <c r="O3502">
        <f>IF(L3502="", "Pending", IF(N3502&lt;=30, "Met", "Breached"))</f>
        <v/>
      </c>
    </row>
    <row r="3503">
      <c r="M3503" s="11">
        <f>B3503+30</f>
        <v/>
      </c>
      <c r="N3503">
        <f>IF(L3503="", "", L3503-B3503)</f>
        <v/>
      </c>
      <c r="O3503">
        <f>IF(L3503="", "Pending", IF(N3503&lt;=30, "Met", "Breached"))</f>
        <v/>
      </c>
    </row>
    <row r="3504">
      <c r="M3504" s="11">
        <f>B3504+30</f>
        <v/>
      </c>
      <c r="N3504">
        <f>IF(L3504="", "", L3504-B3504)</f>
        <v/>
      </c>
      <c r="O3504">
        <f>IF(L3504="", "Pending", IF(N3504&lt;=30, "Met", "Breached"))</f>
        <v/>
      </c>
    </row>
    <row r="3505">
      <c r="M3505" s="11">
        <f>B3505+30</f>
        <v/>
      </c>
      <c r="N3505">
        <f>IF(L3505="", "", L3505-B3505)</f>
        <v/>
      </c>
      <c r="O3505">
        <f>IF(L3505="", "Pending", IF(N3505&lt;=30, "Met", "Breached"))</f>
        <v/>
      </c>
    </row>
    <row r="3506">
      <c r="M3506" s="11">
        <f>B3506+30</f>
        <v/>
      </c>
      <c r="N3506">
        <f>IF(L3506="", "", L3506-B3506)</f>
        <v/>
      </c>
      <c r="O3506">
        <f>IF(L3506="", "Pending", IF(N3506&lt;=30, "Met", "Breached"))</f>
        <v/>
      </c>
    </row>
    <row r="3507">
      <c r="M3507" s="11">
        <f>B3507+30</f>
        <v/>
      </c>
      <c r="N3507">
        <f>IF(L3507="", "", L3507-B3507)</f>
        <v/>
      </c>
      <c r="O3507">
        <f>IF(L3507="", "Pending", IF(N3507&lt;=30, "Met", "Breached"))</f>
        <v/>
      </c>
    </row>
    <row r="3508">
      <c r="M3508" s="11">
        <f>B3508+30</f>
        <v/>
      </c>
      <c r="N3508">
        <f>IF(L3508="", "", L3508-B3508)</f>
        <v/>
      </c>
      <c r="O3508">
        <f>IF(L3508="", "Pending", IF(N3508&lt;=30, "Met", "Breached"))</f>
        <v/>
      </c>
    </row>
    <row r="3509">
      <c r="M3509" s="11">
        <f>B3509+30</f>
        <v/>
      </c>
      <c r="N3509">
        <f>IF(L3509="", "", L3509-B3509)</f>
        <v/>
      </c>
      <c r="O3509">
        <f>IF(L3509="", "Pending", IF(N3509&lt;=30, "Met", "Breached"))</f>
        <v/>
      </c>
    </row>
    <row r="3510">
      <c r="M3510" s="11">
        <f>B3510+30</f>
        <v/>
      </c>
      <c r="N3510">
        <f>IF(L3510="", "", L3510-B3510)</f>
        <v/>
      </c>
      <c r="O3510">
        <f>IF(L3510="", "Pending", IF(N3510&lt;=30, "Met", "Breached"))</f>
        <v/>
      </c>
    </row>
    <row r="3511">
      <c r="M3511" s="11">
        <f>B3511+30</f>
        <v/>
      </c>
      <c r="N3511">
        <f>IF(L3511="", "", L3511-B3511)</f>
        <v/>
      </c>
      <c r="O3511">
        <f>IF(L3511="", "Pending", IF(N3511&lt;=30, "Met", "Breached"))</f>
        <v/>
      </c>
    </row>
    <row r="3512">
      <c r="M3512" s="11">
        <f>B3512+30</f>
        <v/>
      </c>
      <c r="N3512">
        <f>IF(L3512="", "", L3512-B3512)</f>
        <v/>
      </c>
      <c r="O3512">
        <f>IF(L3512="", "Pending", IF(N3512&lt;=30, "Met", "Breached"))</f>
        <v/>
      </c>
    </row>
    <row r="3513">
      <c r="M3513" s="11">
        <f>B3513+30</f>
        <v/>
      </c>
      <c r="N3513">
        <f>IF(L3513="", "", L3513-B3513)</f>
        <v/>
      </c>
      <c r="O3513">
        <f>IF(L3513="", "Pending", IF(N3513&lt;=30, "Met", "Breached"))</f>
        <v/>
      </c>
    </row>
    <row r="3514">
      <c r="M3514" s="11">
        <f>B3514+30</f>
        <v/>
      </c>
      <c r="N3514">
        <f>IF(L3514="", "", L3514-B3514)</f>
        <v/>
      </c>
      <c r="O3514">
        <f>IF(L3514="", "Pending", IF(N3514&lt;=30, "Met", "Breached"))</f>
        <v/>
      </c>
    </row>
    <row r="3515">
      <c r="M3515" s="11">
        <f>B3515+30</f>
        <v/>
      </c>
      <c r="N3515">
        <f>IF(L3515="", "", L3515-B3515)</f>
        <v/>
      </c>
      <c r="O3515">
        <f>IF(L3515="", "Pending", IF(N3515&lt;=30, "Met", "Breached"))</f>
        <v/>
      </c>
    </row>
    <row r="3516">
      <c r="M3516" s="11">
        <f>B3516+30</f>
        <v/>
      </c>
      <c r="N3516">
        <f>IF(L3516="", "", L3516-B3516)</f>
        <v/>
      </c>
      <c r="O3516">
        <f>IF(L3516="", "Pending", IF(N3516&lt;=30, "Met", "Breached"))</f>
        <v/>
      </c>
    </row>
    <row r="3517">
      <c r="M3517" s="11">
        <f>B3517+30</f>
        <v/>
      </c>
      <c r="N3517">
        <f>IF(L3517="", "", L3517-B3517)</f>
        <v/>
      </c>
      <c r="O3517">
        <f>IF(L3517="", "Pending", IF(N3517&lt;=30, "Met", "Breached"))</f>
        <v/>
      </c>
    </row>
    <row r="3518">
      <c r="M3518" s="11">
        <f>B3518+30</f>
        <v/>
      </c>
      <c r="N3518">
        <f>IF(L3518="", "", L3518-B3518)</f>
        <v/>
      </c>
      <c r="O3518">
        <f>IF(L3518="", "Pending", IF(N3518&lt;=30, "Met", "Breached"))</f>
        <v/>
      </c>
    </row>
    <row r="3519">
      <c r="M3519" s="11">
        <f>B3519+30</f>
        <v/>
      </c>
      <c r="N3519">
        <f>IF(L3519="", "", L3519-B3519)</f>
        <v/>
      </c>
      <c r="O3519">
        <f>IF(L3519="", "Pending", IF(N3519&lt;=30, "Met", "Breached"))</f>
        <v/>
      </c>
    </row>
    <row r="3520">
      <c r="M3520" s="11">
        <f>B3520+30</f>
        <v/>
      </c>
      <c r="N3520">
        <f>IF(L3520="", "", L3520-B3520)</f>
        <v/>
      </c>
      <c r="O3520">
        <f>IF(L3520="", "Pending", IF(N3520&lt;=30, "Met", "Breached"))</f>
        <v/>
      </c>
    </row>
    <row r="3521">
      <c r="M3521" s="11">
        <f>B3521+30</f>
        <v/>
      </c>
      <c r="N3521">
        <f>IF(L3521="", "", L3521-B3521)</f>
        <v/>
      </c>
      <c r="O3521">
        <f>IF(L3521="", "Pending", IF(N3521&lt;=30, "Met", "Breached"))</f>
        <v/>
      </c>
    </row>
    <row r="3522">
      <c r="M3522" s="11">
        <f>B3522+30</f>
        <v/>
      </c>
      <c r="N3522">
        <f>IF(L3522="", "", L3522-B3522)</f>
        <v/>
      </c>
      <c r="O3522">
        <f>IF(L3522="", "Pending", IF(N3522&lt;=30, "Met", "Breached"))</f>
        <v/>
      </c>
    </row>
    <row r="3523">
      <c r="M3523" s="11">
        <f>B3523+30</f>
        <v/>
      </c>
      <c r="N3523">
        <f>IF(L3523="", "", L3523-B3523)</f>
        <v/>
      </c>
      <c r="O3523">
        <f>IF(L3523="", "Pending", IF(N3523&lt;=30, "Met", "Breached"))</f>
        <v/>
      </c>
    </row>
    <row r="3524">
      <c r="M3524" s="11">
        <f>B3524+30</f>
        <v/>
      </c>
      <c r="N3524">
        <f>IF(L3524="", "", L3524-B3524)</f>
        <v/>
      </c>
      <c r="O3524">
        <f>IF(L3524="", "Pending", IF(N3524&lt;=30, "Met", "Breached"))</f>
        <v/>
      </c>
    </row>
    <row r="3525">
      <c r="M3525" s="11">
        <f>B3525+30</f>
        <v/>
      </c>
      <c r="N3525">
        <f>IF(L3525="", "", L3525-B3525)</f>
        <v/>
      </c>
      <c r="O3525">
        <f>IF(L3525="", "Pending", IF(N3525&lt;=30, "Met", "Breached"))</f>
        <v/>
      </c>
    </row>
    <row r="3526">
      <c r="M3526" s="11">
        <f>B3526+30</f>
        <v/>
      </c>
      <c r="N3526">
        <f>IF(L3526="", "", L3526-B3526)</f>
        <v/>
      </c>
      <c r="O3526">
        <f>IF(L3526="", "Pending", IF(N3526&lt;=30, "Met", "Breached"))</f>
        <v/>
      </c>
    </row>
    <row r="3527">
      <c r="M3527" s="11">
        <f>B3527+30</f>
        <v/>
      </c>
      <c r="N3527">
        <f>IF(L3527="", "", L3527-B3527)</f>
        <v/>
      </c>
      <c r="O3527">
        <f>IF(L3527="", "Pending", IF(N3527&lt;=30, "Met", "Breached"))</f>
        <v/>
      </c>
    </row>
    <row r="3528">
      <c r="M3528" s="11">
        <f>B3528+30</f>
        <v/>
      </c>
      <c r="N3528">
        <f>IF(L3528="", "", L3528-B3528)</f>
        <v/>
      </c>
      <c r="O3528">
        <f>IF(L3528="", "Pending", IF(N3528&lt;=30, "Met", "Breached"))</f>
        <v/>
      </c>
    </row>
    <row r="3529">
      <c r="M3529" s="11">
        <f>B3529+30</f>
        <v/>
      </c>
      <c r="N3529">
        <f>IF(L3529="", "", L3529-B3529)</f>
        <v/>
      </c>
      <c r="O3529">
        <f>IF(L3529="", "Pending", IF(N3529&lt;=30, "Met", "Breached"))</f>
        <v/>
      </c>
    </row>
    <row r="3530">
      <c r="M3530" s="11">
        <f>B3530+30</f>
        <v/>
      </c>
      <c r="N3530">
        <f>IF(L3530="", "", L3530-B3530)</f>
        <v/>
      </c>
      <c r="O3530">
        <f>IF(L3530="", "Pending", IF(N3530&lt;=30, "Met", "Breached"))</f>
        <v/>
      </c>
    </row>
    <row r="3531">
      <c r="M3531" s="11">
        <f>B3531+30</f>
        <v/>
      </c>
      <c r="N3531">
        <f>IF(L3531="", "", L3531-B3531)</f>
        <v/>
      </c>
      <c r="O3531">
        <f>IF(L3531="", "Pending", IF(N3531&lt;=30, "Met", "Breached"))</f>
        <v/>
      </c>
    </row>
    <row r="3532">
      <c r="M3532" s="11">
        <f>B3532+30</f>
        <v/>
      </c>
      <c r="N3532">
        <f>IF(L3532="", "", L3532-B3532)</f>
        <v/>
      </c>
      <c r="O3532">
        <f>IF(L3532="", "Pending", IF(N3532&lt;=30, "Met", "Breached"))</f>
        <v/>
      </c>
    </row>
    <row r="3533">
      <c r="M3533" s="11">
        <f>B3533+30</f>
        <v/>
      </c>
      <c r="N3533">
        <f>IF(L3533="", "", L3533-B3533)</f>
        <v/>
      </c>
      <c r="O3533">
        <f>IF(L3533="", "Pending", IF(N3533&lt;=30, "Met", "Breached"))</f>
        <v/>
      </c>
    </row>
    <row r="3534">
      <c r="M3534" s="11">
        <f>B3534+30</f>
        <v/>
      </c>
      <c r="N3534">
        <f>IF(L3534="", "", L3534-B3534)</f>
        <v/>
      </c>
      <c r="O3534">
        <f>IF(L3534="", "Pending", IF(N3534&lt;=30, "Met", "Breached"))</f>
        <v/>
      </c>
    </row>
    <row r="3535">
      <c r="M3535" s="11">
        <f>B3535+30</f>
        <v/>
      </c>
      <c r="N3535">
        <f>IF(L3535="", "", L3535-B3535)</f>
        <v/>
      </c>
      <c r="O3535">
        <f>IF(L3535="", "Pending", IF(N3535&lt;=30, "Met", "Breached"))</f>
        <v/>
      </c>
    </row>
    <row r="3536">
      <c r="M3536" s="11">
        <f>B3536+30</f>
        <v/>
      </c>
      <c r="N3536">
        <f>IF(L3536="", "", L3536-B3536)</f>
        <v/>
      </c>
      <c r="O3536">
        <f>IF(L3536="", "Pending", IF(N3536&lt;=30, "Met", "Breached"))</f>
        <v/>
      </c>
    </row>
    <row r="3537">
      <c r="M3537" s="11">
        <f>B3537+30</f>
        <v/>
      </c>
      <c r="N3537">
        <f>IF(L3537="", "", L3537-B3537)</f>
        <v/>
      </c>
      <c r="O3537">
        <f>IF(L3537="", "Pending", IF(N3537&lt;=30, "Met", "Breached"))</f>
        <v/>
      </c>
    </row>
    <row r="3538">
      <c r="M3538" s="11">
        <f>B3538+30</f>
        <v/>
      </c>
      <c r="N3538">
        <f>IF(L3538="", "", L3538-B3538)</f>
        <v/>
      </c>
      <c r="O3538">
        <f>IF(L3538="", "Pending", IF(N3538&lt;=30, "Met", "Breached"))</f>
        <v/>
      </c>
    </row>
    <row r="3539">
      <c r="M3539" s="11">
        <f>B3539+30</f>
        <v/>
      </c>
      <c r="N3539">
        <f>IF(L3539="", "", L3539-B3539)</f>
        <v/>
      </c>
      <c r="O3539">
        <f>IF(L3539="", "Pending", IF(N3539&lt;=30, "Met", "Breached"))</f>
        <v/>
      </c>
    </row>
    <row r="3540">
      <c r="M3540" s="11">
        <f>B3540+30</f>
        <v/>
      </c>
      <c r="N3540">
        <f>IF(L3540="", "", L3540-B3540)</f>
        <v/>
      </c>
      <c r="O3540">
        <f>IF(L3540="", "Pending", IF(N3540&lt;=30, "Met", "Breached"))</f>
        <v/>
      </c>
    </row>
    <row r="3541">
      <c r="M3541" s="11">
        <f>B3541+30</f>
        <v/>
      </c>
      <c r="N3541">
        <f>IF(L3541="", "", L3541-B3541)</f>
        <v/>
      </c>
      <c r="O3541">
        <f>IF(L3541="", "Pending", IF(N3541&lt;=30, "Met", "Breached"))</f>
        <v/>
      </c>
    </row>
    <row r="3542">
      <c r="M3542" s="11">
        <f>B3542+30</f>
        <v/>
      </c>
      <c r="N3542">
        <f>IF(L3542="", "", L3542-B3542)</f>
        <v/>
      </c>
      <c r="O3542">
        <f>IF(L3542="", "Pending", IF(N3542&lt;=30, "Met", "Breached"))</f>
        <v/>
      </c>
    </row>
    <row r="3543">
      <c r="M3543" s="11">
        <f>B3543+30</f>
        <v/>
      </c>
      <c r="N3543">
        <f>IF(L3543="", "", L3543-B3543)</f>
        <v/>
      </c>
      <c r="O3543">
        <f>IF(L3543="", "Pending", IF(N3543&lt;=30, "Met", "Breached"))</f>
        <v/>
      </c>
    </row>
    <row r="3544">
      <c r="M3544" s="11">
        <f>B3544+30</f>
        <v/>
      </c>
      <c r="N3544">
        <f>IF(L3544="", "", L3544-B3544)</f>
        <v/>
      </c>
      <c r="O3544">
        <f>IF(L3544="", "Pending", IF(N3544&lt;=30, "Met", "Breached"))</f>
        <v/>
      </c>
    </row>
    <row r="3545">
      <c r="M3545" s="11">
        <f>B3545+30</f>
        <v/>
      </c>
      <c r="N3545">
        <f>IF(L3545="", "", L3545-B3545)</f>
        <v/>
      </c>
      <c r="O3545">
        <f>IF(L3545="", "Pending", IF(N3545&lt;=30, "Met", "Breached"))</f>
        <v/>
      </c>
    </row>
    <row r="3546">
      <c r="M3546" s="11">
        <f>B3546+30</f>
        <v/>
      </c>
      <c r="N3546">
        <f>IF(L3546="", "", L3546-B3546)</f>
        <v/>
      </c>
      <c r="O3546">
        <f>IF(L3546="", "Pending", IF(N3546&lt;=30, "Met", "Breached"))</f>
        <v/>
      </c>
    </row>
    <row r="3547">
      <c r="M3547" s="11">
        <f>B3547+30</f>
        <v/>
      </c>
      <c r="N3547">
        <f>IF(L3547="", "", L3547-B3547)</f>
        <v/>
      </c>
      <c r="O3547">
        <f>IF(L3547="", "Pending", IF(N3547&lt;=30, "Met", "Breached"))</f>
        <v/>
      </c>
    </row>
    <row r="3548">
      <c r="M3548" s="11">
        <f>B3548+30</f>
        <v/>
      </c>
      <c r="N3548">
        <f>IF(L3548="", "", L3548-B3548)</f>
        <v/>
      </c>
      <c r="O3548">
        <f>IF(L3548="", "Pending", IF(N3548&lt;=30, "Met", "Breached"))</f>
        <v/>
      </c>
    </row>
    <row r="3549">
      <c r="M3549" s="11">
        <f>B3549+30</f>
        <v/>
      </c>
      <c r="N3549">
        <f>IF(L3549="", "", L3549-B3549)</f>
        <v/>
      </c>
      <c r="O3549">
        <f>IF(L3549="", "Pending", IF(N3549&lt;=30, "Met", "Breached"))</f>
        <v/>
      </c>
    </row>
    <row r="3550">
      <c r="M3550" s="11">
        <f>B3550+30</f>
        <v/>
      </c>
      <c r="N3550">
        <f>IF(L3550="", "", L3550-B3550)</f>
        <v/>
      </c>
      <c r="O3550">
        <f>IF(L3550="", "Pending", IF(N3550&lt;=30, "Met", "Breached"))</f>
        <v/>
      </c>
    </row>
    <row r="3551">
      <c r="M3551" s="11">
        <f>B3551+30</f>
        <v/>
      </c>
      <c r="N3551">
        <f>IF(L3551="", "", L3551-B3551)</f>
        <v/>
      </c>
      <c r="O3551">
        <f>IF(L3551="", "Pending", IF(N3551&lt;=30, "Met", "Breached"))</f>
        <v/>
      </c>
    </row>
    <row r="3552">
      <c r="M3552" s="11">
        <f>B3552+30</f>
        <v/>
      </c>
      <c r="N3552">
        <f>IF(L3552="", "", L3552-B3552)</f>
        <v/>
      </c>
      <c r="O3552">
        <f>IF(L3552="", "Pending", IF(N3552&lt;=30, "Met", "Breached"))</f>
        <v/>
      </c>
    </row>
    <row r="3553">
      <c r="M3553" s="11">
        <f>B3553+30</f>
        <v/>
      </c>
      <c r="N3553">
        <f>IF(L3553="", "", L3553-B3553)</f>
        <v/>
      </c>
      <c r="O3553">
        <f>IF(L3553="", "Pending", IF(N3553&lt;=30, "Met", "Breached"))</f>
        <v/>
      </c>
    </row>
    <row r="3554">
      <c r="M3554" s="11">
        <f>B3554+30</f>
        <v/>
      </c>
      <c r="N3554">
        <f>IF(L3554="", "", L3554-B3554)</f>
        <v/>
      </c>
      <c r="O3554">
        <f>IF(L3554="", "Pending", IF(N3554&lt;=30, "Met", "Breached"))</f>
        <v/>
      </c>
    </row>
    <row r="3555">
      <c r="M3555" s="11">
        <f>B3555+30</f>
        <v/>
      </c>
      <c r="N3555">
        <f>IF(L3555="", "", L3555-B3555)</f>
        <v/>
      </c>
      <c r="O3555">
        <f>IF(L3555="", "Pending", IF(N3555&lt;=30, "Met", "Breached"))</f>
        <v/>
      </c>
    </row>
    <row r="3556">
      <c r="M3556" s="11">
        <f>B3556+30</f>
        <v/>
      </c>
      <c r="N3556">
        <f>IF(L3556="", "", L3556-B3556)</f>
        <v/>
      </c>
      <c r="O3556">
        <f>IF(L3556="", "Pending", IF(N3556&lt;=30, "Met", "Breached"))</f>
        <v/>
      </c>
    </row>
    <row r="3557">
      <c r="M3557" s="11">
        <f>B3557+30</f>
        <v/>
      </c>
      <c r="N3557">
        <f>IF(L3557="", "", L3557-B3557)</f>
        <v/>
      </c>
      <c r="O3557">
        <f>IF(L3557="", "Pending", IF(N3557&lt;=30, "Met", "Breached"))</f>
        <v/>
      </c>
    </row>
    <row r="3558">
      <c r="M3558" s="11">
        <f>B3558+30</f>
        <v/>
      </c>
      <c r="N3558">
        <f>IF(L3558="", "", L3558-B3558)</f>
        <v/>
      </c>
      <c r="O3558">
        <f>IF(L3558="", "Pending", IF(N3558&lt;=30, "Met", "Breached"))</f>
        <v/>
      </c>
    </row>
    <row r="3559">
      <c r="M3559" s="11">
        <f>B3559+30</f>
        <v/>
      </c>
      <c r="N3559">
        <f>IF(L3559="", "", L3559-B3559)</f>
        <v/>
      </c>
      <c r="O3559">
        <f>IF(L3559="", "Pending", IF(N3559&lt;=30, "Met", "Breached"))</f>
        <v/>
      </c>
    </row>
    <row r="3560">
      <c r="M3560" s="11">
        <f>B3560+30</f>
        <v/>
      </c>
      <c r="N3560">
        <f>IF(L3560="", "", L3560-B3560)</f>
        <v/>
      </c>
      <c r="O3560">
        <f>IF(L3560="", "Pending", IF(N3560&lt;=30, "Met", "Breached"))</f>
        <v/>
      </c>
    </row>
    <row r="3561">
      <c r="M3561" s="11">
        <f>B3561+30</f>
        <v/>
      </c>
      <c r="N3561">
        <f>IF(L3561="", "", L3561-B3561)</f>
        <v/>
      </c>
      <c r="O3561">
        <f>IF(L3561="", "Pending", IF(N3561&lt;=30, "Met", "Breached"))</f>
        <v/>
      </c>
    </row>
    <row r="3562">
      <c r="M3562" s="11">
        <f>B3562+30</f>
        <v/>
      </c>
      <c r="N3562">
        <f>IF(L3562="", "", L3562-B3562)</f>
        <v/>
      </c>
      <c r="O3562">
        <f>IF(L3562="", "Pending", IF(N3562&lt;=30, "Met", "Breached"))</f>
        <v/>
      </c>
    </row>
    <row r="3563">
      <c r="M3563" s="11">
        <f>B3563+30</f>
        <v/>
      </c>
      <c r="N3563">
        <f>IF(L3563="", "", L3563-B3563)</f>
        <v/>
      </c>
      <c r="O3563">
        <f>IF(L3563="", "Pending", IF(N3563&lt;=30, "Met", "Breached"))</f>
        <v/>
      </c>
    </row>
    <row r="3564">
      <c r="M3564" s="11">
        <f>B3564+30</f>
        <v/>
      </c>
      <c r="N3564">
        <f>IF(L3564="", "", L3564-B3564)</f>
        <v/>
      </c>
      <c r="O3564">
        <f>IF(L3564="", "Pending", IF(N3564&lt;=30, "Met", "Breached"))</f>
        <v/>
      </c>
    </row>
    <row r="3565">
      <c r="M3565" s="11">
        <f>B3565+30</f>
        <v/>
      </c>
      <c r="N3565">
        <f>IF(L3565="", "", L3565-B3565)</f>
        <v/>
      </c>
      <c r="O3565">
        <f>IF(L3565="", "Pending", IF(N3565&lt;=30, "Met", "Breached"))</f>
        <v/>
      </c>
    </row>
    <row r="3566">
      <c r="M3566" s="11">
        <f>B3566+30</f>
        <v/>
      </c>
      <c r="N3566">
        <f>IF(L3566="", "", L3566-B3566)</f>
        <v/>
      </c>
      <c r="O3566">
        <f>IF(L3566="", "Pending", IF(N3566&lt;=30, "Met", "Breached"))</f>
        <v/>
      </c>
    </row>
    <row r="3567">
      <c r="M3567" s="11">
        <f>B3567+30</f>
        <v/>
      </c>
      <c r="N3567">
        <f>IF(L3567="", "", L3567-B3567)</f>
        <v/>
      </c>
      <c r="O3567">
        <f>IF(L3567="", "Pending", IF(N3567&lt;=30, "Met", "Breached"))</f>
        <v/>
      </c>
    </row>
    <row r="3568">
      <c r="M3568" s="11">
        <f>B3568+30</f>
        <v/>
      </c>
      <c r="N3568">
        <f>IF(L3568="", "", L3568-B3568)</f>
        <v/>
      </c>
      <c r="O3568">
        <f>IF(L3568="", "Pending", IF(N3568&lt;=30, "Met", "Breached"))</f>
        <v/>
      </c>
    </row>
    <row r="3569">
      <c r="M3569" s="11">
        <f>B3569+30</f>
        <v/>
      </c>
      <c r="N3569">
        <f>IF(L3569="", "", L3569-B3569)</f>
        <v/>
      </c>
      <c r="O3569">
        <f>IF(L3569="", "Pending", IF(N3569&lt;=30, "Met", "Breached"))</f>
        <v/>
      </c>
    </row>
    <row r="3570">
      <c r="M3570" s="11">
        <f>B3570+30</f>
        <v/>
      </c>
      <c r="N3570">
        <f>IF(L3570="", "", L3570-B3570)</f>
        <v/>
      </c>
      <c r="O3570">
        <f>IF(L3570="", "Pending", IF(N3570&lt;=30, "Met", "Breached"))</f>
        <v/>
      </c>
    </row>
    <row r="3571">
      <c r="M3571" s="11">
        <f>B3571+30</f>
        <v/>
      </c>
      <c r="N3571">
        <f>IF(L3571="", "", L3571-B3571)</f>
        <v/>
      </c>
      <c r="O3571">
        <f>IF(L3571="", "Pending", IF(N3571&lt;=30, "Met", "Breached"))</f>
        <v/>
      </c>
    </row>
    <row r="3572">
      <c r="M3572" s="11">
        <f>B3572+30</f>
        <v/>
      </c>
      <c r="N3572">
        <f>IF(L3572="", "", L3572-B3572)</f>
        <v/>
      </c>
      <c r="O3572">
        <f>IF(L3572="", "Pending", IF(N3572&lt;=30, "Met", "Breached"))</f>
        <v/>
      </c>
    </row>
    <row r="3573">
      <c r="M3573" s="11">
        <f>B3573+30</f>
        <v/>
      </c>
      <c r="N3573">
        <f>IF(L3573="", "", L3573-B3573)</f>
        <v/>
      </c>
      <c r="O3573">
        <f>IF(L3573="", "Pending", IF(N3573&lt;=30, "Met", "Breached"))</f>
        <v/>
      </c>
    </row>
    <row r="3574">
      <c r="M3574" s="11">
        <f>B3574+30</f>
        <v/>
      </c>
      <c r="N3574">
        <f>IF(L3574="", "", L3574-B3574)</f>
        <v/>
      </c>
      <c r="O3574">
        <f>IF(L3574="", "Pending", IF(N3574&lt;=30, "Met", "Breached"))</f>
        <v/>
      </c>
    </row>
    <row r="3575">
      <c r="M3575" s="11">
        <f>B3575+30</f>
        <v/>
      </c>
      <c r="N3575">
        <f>IF(L3575="", "", L3575-B3575)</f>
        <v/>
      </c>
      <c r="O3575">
        <f>IF(L3575="", "Pending", IF(N3575&lt;=30, "Met", "Breached"))</f>
        <v/>
      </c>
    </row>
    <row r="3576">
      <c r="M3576" s="11">
        <f>B3576+30</f>
        <v/>
      </c>
      <c r="N3576">
        <f>IF(L3576="", "", L3576-B3576)</f>
        <v/>
      </c>
      <c r="O3576">
        <f>IF(L3576="", "Pending", IF(N3576&lt;=30, "Met", "Breached"))</f>
        <v/>
      </c>
    </row>
    <row r="3577">
      <c r="M3577" s="11">
        <f>B3577+30</f>
        <v/>
      </c>
      <c r="N3577">
        <f>IF(L3577="", "", L3577-B3577)</f>
        <v/>
      </c>
      <c r="O3577">
        <f>IF(L3577="", "Pending", IF(N3577&lt;=30, "Met", "Breached"))</f>
        <v/>
      </c>
    </row>
    <row r="3578">
      <c r="M3578" s="11">
        <f>B3578+30</f>
        <v/>
      </c>
      <c r="N3578">
        <f>IF(L3578="", "", L3578-B3578)</f>
        <v/>
      </c>
      <c r="O3578">
        <f>IF(L3578="", "Pending", IF(N3578&lt;=30, "Met", "Breached"))</f>
        <v/>
      </c>
    </row>
    <row r="3579">
      <c r="M3579" s="11">
        <f>B3579+30</f>
        <v/>
      </c>
      <c r="N3579">
        <f>IF(L3579="", "", L3579-B3579)</f>
        <v/>
      </c>
      <c r="O3579">
        <f>IF(L3579="", "Pending", IF(N3579&lt;=30, "Met", "Breached"))</f>
        <v/>
      </c>
    </row>
    <row r="3580">
      <c r="M3580" s="11">
        <f>B3580+30</f>
        <v/>
      </c>
      <c r="N3580">
        <f>IF(L3580="", "", L3580-B3580)</f>
        <v/>
      </c>
      <c r="O3580">
        <f>IF(L3580="", "Pending", IF(N3580&lt;=30, "Met", "Breached"))</f>
        <v/>
      </c>
    </row>
    <row r="3581">
      <c r="M3581" s="11">
        <f>B3581+30</f>
        <v/>
      </c>
      <c r="N3581">
        <f>IF(L3581="", "", L3581-B3581)</f>
        <v/>
      </c>
      <c r="O3581">
        <f>IF(L3581="", "Pending", IF(N3581&lt;=30, "Met", "Breached"))</f>
        <v/>
      </c>
    </row>
    <row r="3582">
      <c r="M3582" s="11">
        <f>B3582+30</f>
        <v/>
      </c>
      <c r="N3582">
        <f>IF(L3582="", "", L3582-B3582)</f>
        <v/>
      </c>
      <c r="O3582">
        <f>IF(L3582="", "Pending", IF(N3582&lt;=30, "Met", "Breached"))</f>
        <v/>
      </c>
    </row>
    <row r="3583">
      <c r="M3583" s="11">
        <f>B3583+30</f>
        <v/>
      </c>
      <c r="N3583">
        <f>IF(L3583="", "", L3583-B3583)</f>
        <v/>
      </c>
      <c r="O3583">
        <f>IF(L3583="", "Pending", IF(N3583&lt;=30, "Met", "Breached"))</f>
        <v/>
      </c>
    </row>
    <row r="3584">
      <c r="M3584" s="11">
        <f>B3584+30</f>
        <v/>
      </c>
      <c r="N3584">
        <f>IF(L3584="", "", L3584-B3584)</f>
        <v/>
      </c>
      <c r="O3584">
        <f>IF(L3584="", "Pending", IF(N3584&lt;=30, "Met", "Breached"))</f>
        <v/>
      </c>
    </row>
    <row r="3585">
      <c r="M3585" s="11">
        <f>B3585+30</f>
        <v/>
      </c>
      <c r="N3585">
        <f>IF(L3585="", "", L3585-B3585)</f>
        <v/>
      </c>
      <c r="O3585">
        <f>IF(L3585="", "Pending", IF(N3585&lt;=30, "Met", "Breached"))</f>
        <v/>
      </c>
    </row>
    <row r="3586">
      <c r="M3586" s="11">
        <f>B3586+30</f>
        <v/>
      </c>
      <c r="N3586">
        <f>IF(L3586="", "", L3586-B3586)</f>
        <v/>
      </c>
      <c r="O3586">
        <f>IF(L3586="", "Pending", IF(N3586&lt;=30, "Met", "Breached"))</f>
        <v/>
      </c>
    </row>
    <row r="3587">
      <c r="M3587" s="11">
        <f>B3587+30</f>
        <v/>
      </c>
      <c r="N3587">
        <f>IF(L3587="", "", L3587-B3587)</f>
        <v/>
      </c>
      <c r="O3587">
        <f>IF(L3587="", "Pending", IF(N3587&lt;=30, "Met", "Breached"))</f>
        <v/>
      </c>
    </row>
    <row r="3588">
      <c r="M3588" s="11">
        <f>B3588+30</f>
        <v/>
      </c>
      <c r="N3588">
        <f>IF(L3588="", "", L3588-B3588)</f>
        <v/>
      </c>
      <c r="O3588">
        <f>IF(L3588="", "Pending", IF(N3588&lt;=30, "Met", "Breached"))</f>
        <v/>
      </c>
    </row>
    <row r="3589">
      <c r="M3589" s="11">
        <f>B3589+30</f>
        <v/>
      </c>
      <c r="N3589">
        <f>IF(L3589="", "", L3589-B3589)</f>
        <v/>
      </c>
      <c r="O3589">
        <f>IF(L3589="", "Pending", IF(N3589&lt;=30, "Met", "Breached"))</f>
        <v/>
      </c>
    </row>
    <row r="3590">
      <c r="M3590" s="11">
        <f>B3590+30</f>
        <v/>
      </c>
      <c r="N3590">
        <f>IF(L3590="", "", L3590-B3590)</f>
        <v/>
      </c>
      <c r="O3590">
        <f>IF(L3590="", "Pending", IF(N3590&lt;=30, "Met", "Breached"))</f>
        <v/>
      </c>
    </row>
    <row r="3591">
      <c r="M3591" s="11">
        <f>B3591+30</f>
        <v/>
      </c>
      <c r="N3591">
        <f>IF(L3591="", "", L3591-B3591)</f>
        <v/>
      </c>
      <c r="O3591">
        <f>IF(L3591="", "Pending", IF(N3591&lt;=30, "Met", "Breached"))</f>
        <v/>
      </c>
    </row>
    <row r="3592">
      <c r="M3592" s="11">
        <f>B3592+30</f>
        <v/>
      </c>
      <c r="N3592">
        <f>IF(L3592="", "", L3592-B3592)</f>
        <v/>
      </c>
      <c r="O3592">
        <f>IF(L3592="", "Pending", IF(N3592&lt;=30, "Met", "Breached"))</f>
        <v/>
      </c>
    </row>
    <row r="3593">
      <c r="M3593" s="11">
        <f>B3593+30</f>
        <v/>
      </c>
      <c r="N3593">
        <f>IF(L3593="", "", L3593-B3593)</f>
        <v/>
      </c>
      <c r="O3593">
        <f>IF(L3593="", "Pending", IF(N3593&lt;=30, "Met", "Breached"))</f>
        <v/>
      </c>
    </row>
    <row r="3594">
      <c r="M3594" s="11">
        <f>B3594+30</f>
        <v/>
      </c>
      <c r="N3594">
        <f>IF(L3594="", "", L3594-B3594)</f>
        <v/>
      </c>
      <c r="O3594">
        <f>IF(L3594="", "Pending", IF(N3594&lt;=30, "Met", "Breached"))</f>
        <v/>
      </c>
    </row>
    <row r="3595">
      <c r="M3595" s="11">
        <f>B3595+30</f>
        <v/>
      </c>
      <c r="N3595">
        <f>IF(L3595="", "", L3595-B3595)</f>
        <v/>
      </c>
      <c r="O3595">
        <f>IF(L3595="", "Pending", IF(N3595&lt;=30, "Met", "Breached"))</f>
        <v/>
      </c>
    </row>
    <row r="3596">
      <c r="M3596" s="11">
        <f>B3596+30</f>
        <v/>
      </c>
      <c r="N3596">
        <f>IF(L3596="", "", L3596-B3596)</f>
        <v/>
      </c>
      <c r="O3596">
        <f>IF(L3596="", "Pending", IF(N3596&lt;=30, "Met", "Breached"))</f>
        <v/>
      </c>
    </row>
    <row r="3597">
      <c r="M3597" s="11">
        <f>B3597+30</f>
        <v/>
      </c>
      <c r="N3597">
        <f>IF(L3597="", "", L3597-B3597)</f>
        <v/>
      </c>
      <c r="O3597">
        <f>IF(L3597="", "Pending", IF(N3597&lt;=30, "Met", "Breached"))</f>
        <v/>
      </c>
    </row>
    <row r="3598">
      <c r="M3598" s="11">
        <f>B3598+30</f>
        <v/>
      </c>
      <c r="N3598">
        <f>IF(L3598="", "", L3598-B3598)</f>
        <v/>
      </c>
      <c r="O3598">
        <f>IF(L3598="", "Pending", IF(N3598&lt;=30, "Met", "Breached"))</f>
        <v/>
      </c>
    </row>
    <row r="3599">
      <c r="M3599" s="11">
        <f>B3599+30</f>
        <v/>
      </c>
      <c r="N3599">
        <f>IF(L3599="", "", L3599-B3599)</f>
        <v/>
      </c>
      <c r="O3599">
        <f>IF(L3599="", "Pending", IF(N3599&lt;=30, "Met", "Breached"))</f>
        <v/>
      </c>
    </row>
    <row r="3600">
      <c r="M3600" s="11">
        <f>B3600+30</f>
        <v/>
      </c>
      <c r="N3600">
        <f>IF(L3600="", "", L3600-B3600)</f>
        <v/>
      </c>
      <c r="O3600">
        <f>IF(L3600="", "Pending", IF(N3600&lt;=30, "Met", "Breached"))</f>
        <v/>
      </c>
    </row>
    <row r="3601">
      <c r="M3601" s="11">
        <f>B3601+30</f>
        <v/>
      </c>
      <c r="N3601">
        <f>IF(L3601="", "", L3601-B3601)</f>
        <v/>
      </c>
      <c r="O3601">
        <f>IF(L3601="", "Pending", IF(N3601&lt;=30, "Met", "Breached"))</f>
        <v/>
      </c>
    </row>
    <row r="3602">
      <c r="M3602" s="11">
        <f>B3602+30</f>
        <v/>
      </c>
      <c r="N3602">
        <f>IF(L3602="", "", L3602-B3602)</f>
        <v/>
      </c>
      <c r="O3602">
        <f>IF(L3602="", "Pending", IF(N3602&lt;=30, "Met", "Breached"))</f>
        <v/>
      </c>
    </row>
    <row r="3603">
      <c r="M3603" s="11">
        <f>B3603+30</f>
        <v/>
      </c>
      <c r="N3603">
        <f>IF(L3603="", "", L3603-B3603)</f>
        <v/>
      </c>
      <c r="O3603">
        <f>IF(L3603="", "Pending", IF(N3603&lt;=30, "Met", "Breached"))</f>
        <v/>
      </c>
    </row>
    <row r="3604">
      <c r="M3604" s="11">
        <f>B3604+30</f>
        <v/>
      </c>
      <c r="N3604">
        <f>IF(L3604="", "", L3604-B3604)</f>
        <v/>
      </c>
      <c r="O3604">
        <f>IF(L3604="", "Pending", IF(N3604&lt;=30, "Met", "Breached"))</f>
        <v/>
      </c>
    </row>
    <row r="3605">
      <c r="M3605" s="11">
        <f>B3605+30</f>
        <v/>
      </c>
      <c r="N3605">
        <f>IF(L3605="", "", L3605-B3605)</f>
        <v/>
      </c>
      <c r="O3605">
        <f>IF(L3605="", "Pending", IF(N3605&lt;=30, "Met", "Breached"))</f>
        <v/>
      </c>
    </row>
    <row r="3606">
      <c r="M3606" s="11">
        <f>B3606+30</f>
        <v/>
      </c>
      <c r="N3606">
        <f>IF(L3606="", "", L3606-B3606)</f>
        <v/>
      </c>
      <c r="O3606">
        <f>IF(L3606="", "Pending", IF(N3606&lt;=30, "Met", "Breached"))</f>
        <v/>
      </c>
    </row>
    <row r="3607">
      <c r="M3607" s="11">
        <f>B3607+30</f>
        <v/>
      </c>
      <c r="N3607">
        <f>IF(L3607="", "", L3607-B3607)</f>
        <v/>
      </c>
      <c r="O3607">
        <f>IF(L3607="", "Pending", IF(N3607&lt;=30, "Met", "Breached"))</f>
        <v/>
      </c>
    </row>
    <row r="3608">
      <c r="M3608" s="11">
        <f>B3608+30</f>
        <v/>
      </c>
      <c r="N3608">
        <f>IF(L3608="", "", L3608-B3608)</f>
        <v/>
      </c>
      <c r="O3608">
        <f>IF(L3608="", "Pending", IF(N3608&lt;=30, "Met", "Breached"))</f>
        <v/>
      </c>
    </row>
    <row r="3609">
      <c r="M3609" s="11">
        <f>B3609+30</f>
        <v/>
      </c>
      <c r="N3609">
        <f>IF(L3609="", "", L3609-B3609)</f>
        <v/>
      </c>
      <c r="O3609">
        <f>IF(L3609="", "Pending", IF(N3609&lt;=30, "Met", "Breached"))</f>
        <v/>
      </c>
    </row>
    <row r="3610">
      <c r="M3610" s="11">
        <f>B3610+30</f>
        <v/>
      </c>
      <c r="N3610">
        <f>IF(L3610="", "", L3610-B3610)</f>
        <v/>
      </c>
      <c r="O3610">
        <f>IF(L3610="", "Pending", IF(N3610&lt;=30, "Met", "Breached"))</f>
        <v/>
      </c>
    </row>
    <row r="3611">
      <c r="M3611" s="11">
        <f>B3611+30</f>
        <v/>
      </c>
      <c r="N3611">
        <f>IF(L3611="", "", L3611-B3611)</f>
        <v/>
      </c>
      <c r="O3611">
        <f>IF(L3611="", "Pending", IF(N3611&lt;=30, "Met", "Breached"))</f>
        <v/>
      </c>
    </row>
    <row r="3612">
      <c r="M3612" s="11">
        <f>B3612+30</f>
        <v/>
      </c>
      <c r="N3612">
        <f>IF(L3612="", "", L3612-B3612)</f>
        <v/>
      </c>
      <c r="O3612">
        <f>IF(L3612="", "Pending", IF(N3612&lt;=30, "Met", "Breached"))</f>
        <v/>
      </c>
    </row>
    <row r="3613">
      <c r="M3613" s="11">
        <f>B3613+30</f>
        <v/>
      </c>
      <c r="N3613">
        <f>IF(L3613="", "", L3613-B3613)</f>
        <v/>
      </c>
      <c r="O3613">
        <f>IF(L3613="", "Pending", IF(N3613&lt;=30, "Met", "Breached"))</f>
        <v/>
      </c>
    </row>
    <row r="3614">
      <c r="M3614" s="11">
        <f>B3614+30</f>
        <v/>
      </c>
      <c r="N3614">
        <f>IF(L3614="", "", L3614-B3614)</f>
        <v/>
      </c>
      <c r="O3614">
        <f>IF(L3614="", "Pending", IF(N3614&lt;=30, "Met", "Breached"))</f>
        <v/>
      </c>
    </row>
    <row r="3615">
      <c r="M3615" s="11">
        <f>B3615+30</f>
        <v/>
      </c>
      <c r="N3615">
        <f>IF(L3615="", "", L3615-B3615)</f>
        <v/>
      </c>
      <c r="O3615">
        <f>IF(L3615="", "Pending", IF(N3615&lt;=30, "Met", "Breached"))</f>
        <v/>
      </c>
    </row>
    <row r="3616">
      <c r="M3616" s="11">
        <f>B3616+30</f>
        <v/>
      </c>
      <c r="N3616">
        <f>IF(L3616="", "", L3616-B3616)</f>
        <v/>
      </c>
      <c r="O3616">
        <f>IF(L3616="", "Pending", IF(N3616&lt;=30, "Met", "Breached"))</f>
        <v/>
      </c>
    </row>
    <row r="3617">
      <c r="M3617" s="11">
        <f>B3617+30</f>
        <v/>
      </c>
      <c r="N3617">
        <f>IF(L3617="", "", L3617-B3617)</f>
        <v/>
      </c>
      <c r="O3617">
        <f>IF(L3617="", "Pending", IF(N3617&lt;=30, "Met", "Breached"))</f>
        <v/>
      </c>
    </row>
    <row r="3618">
      <c r="M3618" s="11">
        <f>B3618+30</f>
        <v/>
      </c>
      <c r="N3618">
        <f>IF(L3618="", "", L3618-B3618)</f>
        <v/>
      </c>
      <c r="O3618">
        <f>IF(L3618="", "Pending", IF(N3618&lt;=30, "Met", "Breached"))</f>
        <v/>
      </c>
    </row>
    <row r="3619">
      <c r="M3619" s="11">
        <f>B3619+30</f>
        <v/>
      </c>
      <c r="N3619">
        <f>IF(L3619="", "", L3619-B3619)</f>
        <v/>
      </c>
      <c r="O3619">
        <f>IF(L3619="", "Pending", IF(N3619&lt;=30, "Met", "Breached"))</f>
        <v/>
      </c>
    </row>
    <row r="3620">
      <c r="M3620" s="11">
        <f>B3620+30</f>
        <v/>
      </c>
      <c r="N3620">
        <f>IF(L3620="", "", L3620-B3620)</f>
        <v/>
      </c>
      <c r="O3620">
        <f>IF(L3620="", "Pending", IF(N3620&lt;=30, "Met", "Breached"))</f>
        <v/>
      </c>
    </row>
    <row r="3621">
      <c r="M3621" s="11">
        <f>B3621+30</f>
        <v/>
      </c>
      <c r="N3621">
        <f>IF(L3621="", "", L3621-B3621)</f>
        <v/>
      </c>
      <c r="O3621">
        <f>IF(L3621="", "Pending", IF(N3621&lt;=30, "Met", "Breached"))</f>
        <v/>
      </c>
    </row>
    <row r="3622">
      <c r="M3622" s="11">
        <f>B3622+30</f>
        <v/>
      </c>
      <c r="N3622">
        <f>IF(L3622="", "", L3622-B3622)</f>
        <v/>
      </c>
      <c r="O3622">
        <f>IF(L3622="", "Pending", IF(N3622&lt;=30, "Met", "Breached"))</f>
        <v/>
      </c>
    </row>
    <row r="3623">
      <c r="M3623" s="11">
        <f>B3623+30</f>
        <v/>
      </c>
      <c r="N3623">
        <f>IF(L3623="", "", L3623-B3623)</f>
        <v/>
      </c>
      <c r="O3623">
        <f>IF(L3623="", "Pending", IF(N3623&lt;=30, "Met", "Breached"))</f>
        <v/>
      </c>
    </row>
    <row r="3624">
      <c r="M3624" s="11">
        <f>B3624+30</f>
        <v/>
      </c>
      <c r="N3624">
        <f>IF(L3624="", "", L3624-B3624)</f>
        <v/>
      </c>
      <c r="O3624">
        <f>IF(L3624="", "Pending", IF(N3624&lt;=30, "Met", "Breached"))</f>
        <v/>
      </c>
    </row>
    <row r="3625">
      <c r="M3625" s="11">
        <f>B3625+30</f>
        <v/>
      </c>
      <c r="N3625">
        <f>IF(L3625="", "", L3625-B3625)</f>
        <v/>
      </c>
      <c r="O3625">
        <f>IF(L3625="", "Pending", IF(N3625&lt;=30, "Met", "Breached"))</f>
        <v/>
      </c>
    </row>
    <row r="3626">
      <c r="M3626" s="11">
        <f>B3626+30</f>
        <v/>
      </c>
      <c r="N3626">
        <f>IF(L3626="", "", L3626-B3626)</f>
        <v/>
      </c>
      <c r="O3626">
        <f>IF(L3626="", "Pending", IF(N3626&lt;=30, "Met", "Breached"))</f>
        <v/>
      </c>
    </row>
    <row r="3627">
      <c r="M3627" s="11">
        <f>B3627+30</f>
        <v/>
      </c>
      <c r="N3627">
        <f>IF(L3627="", "", L3627-B3627)</f>
        <v/>
      </c>
      <c r="O3627">
        <f>IF(L3627="", "Pending", IF(N3627&lt;=30, "Met", "Breached"))</f>
        <v/>
      </c>
    </row>
    <row r="3628">
      <c r="M3628" s="11">
        <f>B3628+30</f>
        <v/>
      </c>
      <c r="N3628">
        <f>IF(L3628="", "", L3628-B3628)</f>
        <v/>
      </c>
      <c r="O3628">
        <f>IF(L3628="", "Pending", IF(N3628&lt;=30, "Met", "Breached"))</f>
        <v/>
      </c>
    </row>
    <row r="3629">
      <c r="M3629" s="11">
        <f>B3629+30</f>
        <v/>
      </c>
      <c r="N3629">
        <f>IF(L3629="", "", L3629-B3629)</f>
        <v/>
      </c>
      <c r="O3629">
        <f>IF(L3629="", "Pending", IF(N3629&lt;=30, "Met", "Breached"))</f>
        <v/>
      </c>
    </row>
    <row r="3630">
      <c r="M3630" s="11">
        <f>B3630+30</f>
        <v/>
      </c>
      <c r="N3630">
        <f>IF(L3630="", "", L3630-B3630)</f>
        <v/>
      </c>
      <c r="O3630">
        <f>IF(L3630="", "Pending", IF(N3630&lt;=30, "Met", "Breached"))</f>
        <v/>
      </c>
    </row>
    <row r="3631">
      <c r="M3631" s="11">
        <f>B3631+30</f>
        <v/>
      </c>
      <c r="N3631">
        <f>IF(L3631="", "", L3631-B3631)</f>
        <v/>
      </c>
      <c r="O3631">
        <f>IF(L3631="", "Pending", IF(N3631&lt;=30, "Met", "Breached"))</f>
        <v/>
      </c>
    </row>
    <row r="3632">
      <c r="M3632" s="11">
        <f>B3632+30</f>
        <v/>
      </c>
      <c r="N3632">
        <f>IF(L3632="", "", L3632-B3632)</f>
        <v/>
      </c>
      <c r="O3632">
        <f>IF(L3632="", "Pending", IF(N3632&lt;=30, "Met", "Breached"))</f>
        <v/>
      </c>
    </row>
    <row r="3633">
      <c r="M3633" s="11">
        <f>B3633+30</f>
        <v/>
      </c>
      <c r="N3633">
        <f>IF(L3633="", "", L3633-B3633)</f>
        <v/>
      </c>
      <c r="O3633">
        <f>IF(L3633="", "Pending", IF(N3633&lt;=30, "Met", "Breached"))</f>
        <v/>
      </c>
    </row>
    <row r="3634">
      <c r="M3634" s="11">
        <f>B3634+30</f>
        <v/>
      </c>
      <c r="N3634">
        <f>IF(L3634="", "", L3634-B3634)</f>
        <v/>
      </c>
      <c r="O3634">
        <f>IF(L3634="", "Pending", IF(N3634&lt;=30, "Met", "Breached"))</f>
        <v/>
      </c>
    </row>
    <row r="3635">
      <c r="M3635" s="11">
        <f>B3635+30</f>
        <v/>
      </c>
      <c r="N3635">
        <f>IF(L3635="", "", L3635-B3635)</f>
        <v/>
      </c>
      <c r="O3635">
        <f>IF(L3635="", "Pending", IF(N3635&lt;=30, "Met", "Breached"))</f>
        <v/>
      </c>
    </row>
    <row r="3636">
      <c r="M3636" s="11">
        <f>B3636+30</f>
        <v/>
      </c>
      <c r="N3636">
        <f>IF(L3636="", "", L3636-B3636)</f>
        <v/>
      </c>
      <c r="O3636">
        <f>IF(L3636="", "Pending", IF(N3636&lt;=30, "Met", "Breached"))</f>
        <v/>
      </c>
    </row>
    <row r="3637">
      <c r="M3637" s="11">
        <f>B3637+30</f>
        <v/>
      </c>
      <c r="N3637">
        <f>IF(L3637="", "", L3637-B3637)</f>
        <v/>
      </c>
      <c r="O3637">
        <f>IF(L3637="", "Pending", IF(N3637&lt;=30, "Met", "Breached"))</f>
        <v/>
      </c>
    </row>
    <row r="3638">
      <c r="M3638" s="11">
        <f>B3638+30</f>
        <v/>
      </c>
      <c r="N3638">
        <f>IF(L3638="", "", L3638-B3638)</f>
        <v/>
      </c>
      <c r="O3638">
        <f>IF(L3638="", "Pending", IF(N3638&lt;=30, "Met", "Breached"))</f>
        <v/>
      </c>
    </row>
    <row r="3639">
      <c r="M3639" s="11">
        <f>B3639+30</f>
        <v/>
      </c>
      <c r="N3639">
        <f>IF(L3639="", "", L3639-B3639)</f>
        <v/>
      </c>
      <c r="O3639">
        <f>IF(L3639="", "Pending", IF(N3639&lt;=30, "Met", "Breached"))</f>
        <v/>
      </c>
    </row>
    <row r="3640">
      <c r="M3640" s="11">
        <f>B3640+30</f>
        <v/>
      </c>
      <c r="N3640">
        <f>IF(L3640="", "", L3640-B3640)</f>
        <v/>
      </c>
      <c r="O3640">
        <f>IF(L3640="", "Pending", IF(N3640&lt;=30, "Met", "Breached"))</f>
        <v/>
      </c>
    </row>
    <row r="3641">
      <c r="M3641" s="11">
        <f>B3641+30</f>
        <v/>
      </c>
      <c r="N3641">
        <f>IF(L3641="", "", L3641-B3641)</f>
        <v/>
      </c>
      <c r="O3641">
        <f>IF(L3641="", "Pending", IF(N3641&lt;=30, "Met", "Breached"))</f>
        <v/>
      </c>
    </row>
    <row r="3642">
      <c r="M3642" s="11">
        <f>B3642+30</f>
        <v/>
      </c>
      <c r="N3642">
        <f>IF(L3642="", "", L3642-B3642)</f>
        <v/>
      </c>
      <c r="O3642">
        <f>IF(L3642="", "Pending", IF(N3642&lt;=30, "Met", "Breached"))</f>
        <v/>
      </c>
    </row>
    <row r="3643">
      <c r="M3643" s="11">
        <f>B3643+30</f>
        <v/>
      </c>
      <c r="N3643">
        <f>IF(L3643="", "", L3643-B3643)</f>
        <v/>
      </c>
      <c r="O3643">
        <f>IF(L3643="", "Pending", IF(N3643&lt;=30, "Met", "Breached"))</f>
        <v/>
      </c>
    </row>
    <row r="3644">
      <c r="M3644" s="11">
        <f>B3644+30</f>
        <v/>
      </c>
      <c r="N3644">
        <f>IF(L3644="", "", L3644-B3644)</f>
        <v/>
      </c>
      <c r="O3644">
        <f>IF(L3644="", "Pending", IF(N3644&lt;=30, "Met", "Breached"))</f>
        <v/>
      </c>
    </row>
    <row r="3645">
      <c r="M3645" s="11">
        <f>B3645+30</f>
        <v/>
      </c>
      <c r="N3645">
        <f>IF(L3645="", "", L3645-B3645)</f>
        <v/>
      </c>
      <c r="O3645">
        <f>IF(L3645="", "Pending", IF(N3645&lt;=30, "Met", "Breached"))</f>
        <v/>
      </c>
    </row>
    <row r="3646">
      <c r="M3646" s="11">
        <f>B3646+30</f>
        <v/>
      </c>
      <c r="N3646">
        <f>IF(L3646="", "", L3646-B3646)</f>
        <v/>
      </c>
      <c r="O3646">
        <f>IF(L3646="", "Pending", IF(N3646&lt;=30, "Met", "Breached"))</f>
        <v/>
      </c>
    </row>
    <row r="3647">
      <c r="M3647" s="11">
        <f>B3647+30</f>
        <v/>
      </c>
      <c r="N3647">
        <f>IF(L3647="", "", L3647-B3647)</f>
        <v/>
      </c>
      <c r="O3647">
        <f>IF(L3647="", "Pending", IF(N3647&lt;=30, "Met", "Breached"))</f>
        <v/>
      </c>
    </row>
    <row r="3648">
      <c r="M3648" s="11">
        <f>B3648+30</f>
        <v/>
      </c>
      <c r="N3648">
        <f>IF(L3648="", "", L3648-B3648)</f>
        <v/>
      </c>
      <c r="O3648">
        <f>IF(L3648="", "Pending", IF(N3648&lt;=30, "Met", "Breached"))</f>
        <v/>
      </c>
    </row>
    <row r="3649">
      <c r="M3649" s="11">
        <f>B3649+30</f>
        <v/>
      </c>
      <c r="N3649">
        <f>IF(L3649="", "", L3649-B3649)</f>
        <v/>
      </c>
      <c r="O3649">
        <f>IF(L3649="", "Pending", IF(N3649&lt;=30, "Met", "Breached"))</f>
        <v/>
      </c>
    </row>
    <row r="3650">
      <c r="M3650" s="11">
        <f>B3650+30</f>
        <v/>
      </c>
      <c r="N3650">
        <f>IF(L3650="", "", L3650-B3650)</f>
        <v/>
      </c>
      <c r="O3650">
        <f>IF(L3650="", "Pending", IF(N3650&lt;=30, "Met", "Breached"))</f>
        <v/>
      </c>
    </row>
    <row r="3651">
      <c r="M3651" s="11">
        <f>B3651+30</f>
        <v/>
      </c>
      <c r="N3651">
        <f>IF(L3651="", "", L3651-B3651)</f>
        <v/>
      </c>
      <c r="O3651">
        <f>IF(L3651="", "Pending", IF(N3651&lt;=30, "Met", "Breached"))</f>
        <v/>
      </c>
    </row>
    <row r="3652">
      <c r="M3652" s="11">
        <f>B3652+30</f>
        <v/>
      </c>
      <c r="N3652">
        <f>IF(L3652="", "", L3652-B3652)</f>
        <v/>
      </c>
      <c r="O3652">
        <f>IF(L3652="", "Pending", IF(N3652&lt;=30, "Met", "Breached"))</f>
        <v/>
      </c>
    </row>
    <row r="3653">
      <c r="M3653" s="11">
        <f>B3653+30</f>
        <v/>
      </c>
      <c r="N3653">
        <f>IF(L3653="", "", L3653-B3653)</f>
        <v/>
      </c>
      <c r="O3653">
        <f>IF(L3653="", "Pending", IF(N3653&lt;=30, "Met", "Breached"))</f>
        <v/>
      </c>
    </row>
    <row r="3654">
      <c r="M3654" s="11">
        <f>B3654+30</f>
        <v/>
      </c>
      <c r="N3654">
        <f>IF(L3654="", "", L3654-B3654)</f>
        <v/>
      </c>
      <c r="O3654">
        <f>IF(L3654="", "Pending", IF(N3654&lt;=30, "Met", "Breached"))</f>
        <v/>
      </c>
    </row>
    <row r="3655">
      <c r="M3655" s="11">
        <f>B3655+30</f>
        <v/>
      </c>
      <c r="N3655">
        <f>IF(L3655="", "", L3655-B3655)</f>
        <v/>
      </c>
      <c r="O3655">
        <f>IF(L3655="", "Pending", IF(N3655&lt;=30, "Met", "Breached"))</f>
        <v/>
      </c>
    </row>
    <row r="3656">
      <c r="M3656" s="11">
        <f>B3656+30</f>
        <v/>
      </c>
      <c r="N3656">
        <f>IF(L3656="", "", L3656-B3656)</f>
        <v/>
      </c>
      <c r="O3656">
        <f>IF(L3656="", "Pending", IF(N3656&lt;=30, "Met", "Breached"))</f>
        <v/>
      </c>
    </row>
    <row r="3657">
      <c r="M3657" s="11">
        <f>B3657+30</f>
        <v/>
      </c>
      <c r="N3657">
        <f>IF(L3657="", "", L3657-B3657)</f>
        <v/>
      </c>
      <c r="O3657">
        <f>IF(L3657="", "Pending", IF(N3657&lt;=30, "Met", "Breached"))</f>
        <v/>
      </c>
    </row>
    <row r="3658">
      <c r="M3658" s="11">
        <f>B3658+30</f>
        <v/>
      </c>
      <c r="N3658">
        <f>IF(L3658="", "", L3658-B3658)</f>
        <v/>
      </c>
      <c r="O3658">
        <f>IF(L3658="", "Pending", IF(N3658&lt;=30, "Met", "Breached"))</f>
        <v/>
      </c>
    </row>
    <row r="3659">
      <c r="M3659" s="11">
        <f>B3659+30</f>
        <v/>
      </c>
      <c r="N3659">
        <f>IF(L3659="", "", L3659-B3659)</f>
        <v/>
      </c>
      <c r="O3659">
        <f>IF(L3659="", "Pending", IF(N3659&lt;=30, "Met", "Breached"))</f>
        <v/>
      </c>
    </row>
    <row r="3660">
      <c r="M3660" s="11">
        <f>B3660+30</f>
        <v/>
      </c>
      <c r="N3660">
        <f>IF(L3660="", "", L3660-B3660)</f>
        <v/>
      </c>
      <c r="O3660">
        <f>IF(L3660="", "Pending", IF(N3660&lt;=30, "Met", "Breached"))</f>
        <v/>
      </c>
    </row>
    <row r="3661">
      <c r="M3661" s="11">
        <f>B3661+30</f>
        <v/>
      </c>
      <c r="N3661">
        <f>IF(L3661="", "", L3661-B3661)</f>
        <v/>
      </c>
      <c r="O3661">
        <f>IF(L3661="", "Pending", IF(N3661&lt;=30, "Met", "Breached"))</f>
        <v/>
      </c>
    </row>
    <row r="3662">
      <c r="M3662" s="11">
        <f>B3662+30</f>
        <v/>
      </c>
      <c r="N3662">
        <f>IF(L3662="", "", L3662-B3662)</f>
        <v/>
      </c>
      <c r="O3662">
        <f>IF(L3662="", "Pending", IF(N3662&lt;=30, "Met", "Breached"))</f>
        <v/>
      </c>
    </row>
    <row r="3663">
      <c r="M3663" s="11">
        <f>B3663+30</f>
        <v/>
      </c>
      <c r="N3663">
        <f>IF(L3663="", "", L3663-B3663)</f>
        <v/>
      </c>
      <c r="O3663">
        <f>IF(L3663="", "Pending", IF(N3663&lt;=30, "Met", "Breached"))</f>
        <v/>
      </c>
    </row>
    <row r="3664">
      <c r="M3664" s="11">
        <f>B3664+30</f>
        <v/>
      </c>
      <c r="N3664">
        <f>IF(L3664="", "", L3664-B3664)</f>
        <v/>
      </c>
      <c r="O3664">
        <f>IF(L3664="", "Pending", IF(N3664&lt;=30, "Met", "Breached"))</f>
        <v/>
      </c>
    </row>
    <row r="3665">
      <c r="M3665" s="11">
        <f>B3665+30</f>
        <v/>
      </c>
      <c r="N3665">
        <f>IF(L3665="", "", L3665-B3665)</f>
        <v/>
      </c>
      <c r="O3665">
        <f>IF(L3665="", "Pending", IF(N3665&lt;=30, "Met", "Breached"))</f>
        <v/>
      </c>
    </row>
    <row r="3666">
      <c r="M3666" s="11">
        <f>B3666+30</f>
        <v/>
      </c>
      <c r="N3666">
        <f>IF(L3666="", "", L3666-B3666)</f>
        <v/>
      </c>
      <c r="O3666">
        <f>IF(L3666="", "Pending", IF(N3666&lt;=30, "Met", "Breached"))</f>
        <v/>
      </c>
    </row>
    <row r="3667">
      <c r="M3667" s="11">
        <f>B3667+30</f>
        <v/>
      </c>
      <c r="N3667">
        <f>IF(L3667="", "", L3667-B3667)</f>
        <v/>
      </c>
      <c r="O3667">
        <f>IF(L3667="", "Pending", IF(N3667&lt;=30, "Met", "Breached"))</f>
        <v/>
      </c>
    </row>
    <row r="3668">
      <c r="M3668" s="11">
        <f>B3668+30</f>
        <v/>
      </c>
      <c r="N3668">
        <f>IF(L3668="", "", L3668-B3668)</f>
        <v/>
      </c>
      <c r="O3668">
        <f>IF(L3668="", "Pending", IF(N3668&lt;=30, "Met", "Breached"))</f>
        <v/>
      </c>
    </row>
    <row r="3669">
      <c r="M3669" s="11">
        <f>B3669+30</f>
        <v/>
      </c>
      <c r="N3669">
        <f>IF(L3669="", "", L3669-B3669)</f>
        <v/>
      </c>
      <c r="O3669">
        <f>IF(L3669="", "Pending", IF(N3669&lt;=30, "Met", "Breached"))</f>
        <v/>
      </c>
    </row>
    <row r="3670">
      <c r="M3670" s="11">
        <f>B3670+30</f>
        <v/>
      </c>
      <c r="N3670">
        <f>IF(L3670="", "", L3670-B3670)</f>
        <v/>
      </c>
      <c r="O3670">
        <f>IF(L3670="", "Pending", IF(N3670&lt;=30, "Met", "Breached"))</f>
        <v/>
      </c>
    </row>
    <row r="3671">
      <c r="M3671" s="11">
        <f>B3671+30</f>
        <v/>
      </c>
      <c r="N3671">
        <f>IF(L3671="", "", L3671-B3671)</f>
        <v/>
      </c>
      <c r="O3671">
        <f>IF(L3671="", "Pending", IF(N3671&lt;=30, "Met", "Breached"))</f>
        <v/>
      </c>
    </row>
    <row r="3672">
      <c r="M3672" s="11">
        <f>B3672+30</f>
        <v/>
      </c>
      <c r="N3672">
        <f>IF(L3672="", "", L3672-B3672)</f>
        <v/>
      </c>
      <c r="O3672">
        <f>IF(L3672="", "Pending", IF(N3672&lt;=30, "Met", "Breached"))</f>
        <v/>
      </c>
    </row>
    <row r="3673">
      <c r="M3673" s="11">
        <f>B3673+30</f>
        <v/>
      </c>
      <c r="N3673">
        <f>IF(L3673="", "", L3673-B3673)</f>
        <v/>
      </c>
      <c r="O3673">
        <f>IF(L3673="", "Pending", IF(N3673&lt;=30, "Met", "Breached"))</f>
        <v/>
      </c>
    </row>
    <row r="3674">
      <c r="M3674" s="11">
        <f>B3674+30</f>
        <v/>
      </c>
      <c r="N3674">
        <f>IF(L3674="", "", L3674-B3674)</f>
        <v/>
      </c>
      <c r="O3674">
        <f>IF(L3674="", "Pending", IF(N3674&lt;=30, "Met", "Breached"))</f>
        <v/>
      </c>
    </row>
    <row r="3675">
      <c r="M3675" s="11">
        <f>B3675+30</f>
        <v/>
      </c>
      <c r="N3675">
        <f>IF(L3675="", "", L3675-B3675)</f>
        <v/>
      </c>
      <c r="O3675">
        <f>IF(L3675="", "Pending", IF(N3675&lt;=30, "Met", "Breached"))</f>
        <v/>
      </c>
    </row>
    <row r="3676">
      <c r="M3676" s="11">
        <f>B3676+30</f>
        <v/>
      </c>
      <c r="N3676">
        <f>IF(L3676="", "", L3676-B3676)</f>
        <v/>
      </c>
      <c r="O3676">
        <f>IF(L3676="", "Pending", IF(N3676&lt;=30, "Met", "Breached"))</f>
        <v/>
      </c>
    </row>
    <row r="3677">
      <c r="M3677" s="11">
        <f>B3677+30</f>
        <v/>
      </c>
      <c r="N3677">
        <f>IF(L3677="", "", L3677-B3677)</f>
        <v/>
      </c>
      <c r="O3677">
        <f>IF(L3677="", "Pending", IF(N3677&lt;=30, "Met", "Breached"))</f>
        <v/>
      </c>
    </row>
    <row r="3678">
      <c r="M3678" s="11">
        <f>B3678+30</f>
        <v/>
      </c>
      <c r="N3678">
        <f>IF(L3678="", "", L3678-B3678)</f>
        <v/>
      </c>
      <c r="O3678">
        <f>IF(L3678="", "Pending", IF(N3678&lt;=30, "Met", "Breached"))</f>
        <v/>
      </c>
    </row>
    <row r="3679">
      <c r="M3679" s="11">
        <f>B3679+30</f>
        <v/>
      </c>
      <c r="N3679">
        <f>IF(L3679="", "", L3679-B3679)</f>
        <v/>
      </c>
      <c r="O3679">
        <f>IF(L3679="", "Pending", IF(N3679&lt;=30, "Met", "Breached"))</f>
        <v/>
      </c>
    </row>
    <row r="3680">
      <c r="M3680" s="11">
        <f>B3680+30</f>
        <v/>
      </c>
      <c r="N3680">
        <f>IF(L3680="", "", L3680-B3680)</f>
        <v/>
      </c>
      <c r="O3680">
        <f>IF(L3680="", "Pending", IF(N3680&lt;=30, "Met", "Breached"))</f>
        <v/>
      </c>
    </row>
    <row r="3681">
      <c r="M3681" s="11">
        <f>B3681+30</f>
        <v/>
      </c>
      <c r="N3681">
        <f>IF(L3681="", "", L3681-B3681)</f>
        <v/>
      </c>
      <c r="O3681">
        <f>IF(L3681="", "Pending", IF(N3681&lt;=30, "Met", "Breached"))</f>
        <v/>
      </c>
    </row>
    <row r="3682">
      <c r="M3682" s="11">
        <f>B3682+30</f>
        <v/>
      </c>
      <c r="N3682">
        <f>IF(L3682="", "", L3682-B3682)</f>
        <v/>
      </c>
      <c r="O3682">
        <f>IF(L3682="", "Pending", IF(N3682&lt;=30, "Met", "Breached"))</f>
        <v/>
      </c>
    </row>
    <row r="3683">
      <c r="M3683" s="11">
        <f>B3683+30</f>
        <v/>
      </c>
      <c r="N3683">
        <f>IF(L3683="", "", L3683-B3683)</f>
        <v/>
      </c>
      <c r="O3683">
        <f>IF(L3683="", "Pending", IF(N3683&lt;=30, "Met", "Breached"))</f>
        <v/>
      </c>
    </row>
    <row r="3684">
      <c r="M3684" s="11">
        <f>B3684+30</f>
        <v/>
      </c>
      <c r="N3684">
        <f>IF(L3684="", "", L3684-B3684)</f>
        <v/>
      </c>
      <c r="O3684">
        <f>IF(L3684="", "Pending", IF(N3684&lt;=30, "Met", "Breached"))</f>
        <v/>
      </c>
    </row>
    <row r="3685">
      <c r="M3685" s="11">
        <f>B3685+30</f>
        <v/>
      </c>
      <c r="N3685">
        <f>IF(L3685="", "", L3685-B3685)</f>
        <v/>
      </c>
      <c r="O3685">
        <f>IF(L3685="", "Pending", IF(N3685&lt;=30, "Met", "Breached"))</f>
        <v/>
      </c>
    </row>
    <row r="3686">
      <c r="M3686" s="11">
        <f>B3686+30</f>
        <v/>
      </c>
      <c r="N3686">
        <f>IF(L3686="", "", L3686-B3686)</f>
        <v/>
      </c>
      <c r="O3686">
        <f>IF(L3686="", "Pending", IF(N3686&lt;=30, "Met", "Breached"))</f>
        <v/>
      </c>
    </row>
    <row r="3687">
      <c r="M3687" s="11">
        <f>B3687+30</f>
        <v/>
      </c>
      <c r="N3687">
        <f>IF(L3687="", "", L3687-B3687)</f>
        <v/>
      </c>
      <c r="O3687">
        <f>IF(L3687="", "Pending", IF(N3687&lt;=30, "Met", "Breached"))</f>
        <v/>
      </c>
    </row>
    <row r="3688">
      <c r="M3688" s="11">
        <f>B3688+30</f>
        <v/>
      </c>
      <c r="N3688">
        <f>IF(L3688="", "", L3688-B3688)</f>
        <v/>
      </c>
      <c r="O3688">
        <f>IF(L3688="", "Pending", IF(N3688&lt;=30, "Met", "Breached"))</f>
        <v/>
      </c>
    </row>
    <row r="3689">
      <c r="M3689" s="11">
        <f>B3689+30</f>
        <v/>
      </c>
      <c r="N3689">
        <f>IF(L3689="", "", L3689-B3689)</f>
        <v/>
      </c>
      <c r="O3689">
        <f>IF(L3689="", "Pending", IF(N3689&lt;=30, "Met", "Breached"))</f>
        <v/>
      </c>
    </row>
    <row r="3690">
      <c r="M3690" s="11">
        <f>B3690+30</f>
        <v/>
      </c>
      <c r="N3690">
        <f>IF(L3690="", "", L3690-B3690)</f>
        <v/>
      </c>
      <c r="O3690">
        <f>IF(L3690="", "Pending", IF(N3690&lt;=30, "Met", "Breached"))</f>
        <v/>
      </c>
    </row>
    <row r="3691">
      <c r="M3691" s="11">
        <f>B3691+30</f>
        <v/>
      </c>
      <c r="N3691">
        <f>IF(L3691="", "", L3691-B3691)</f>
        <v/>
      </c>
      <c r="O3691">
        <f>IF(L3691="", "Pending", IF(N3691&lt;=30, "Met", "Breached"))</f>
        <v/>
      </c>
    </row>
    <row r="3692">
      <c r="M3692" s="11">
        <f>B3692+30</f>
        <v/>
      </c>
      <c r="N3692">
        <f>IF(L3692="", "", L3692-B3692)</f>
        <v/>
      </c>
      <c r="O3692">
        <f>IF(L3692="", "Pending", IF(N3692&lt;=30, "Met", "Breached"))</f>
        <v/>
      </c>
    </row>
    <row r="3693">
      <c r="M3693" s="11">
        <f>B3693+30</f>
        <v/>
      </c>
      <c r="N3693">
        <f>IF(L3693="", "", L3693-B3693)</f>
        <v/>
      </c>
      <c r="O3693">
        <f>IF(L3693="", "Pending", IF(N3693&lt;=30, "Met", "Breached"))</f>
        <v/>
      </c>
    </row>
    <row r="3694">
      <c r="M3694" s="11">
        <f>B3694+30</f>
        <v/>
      </c>
      <c r="N3694">
        <f>IF(L3694="", "", L3694-B3694)</f>
        <v/>
      </c>
      <c r="O3694">
        <f>IF(L3694="", "Pending", IF(N3694&lt;=30, "Met", "Breached"))</f>
        <v/>
      </c>
    </row>
    <row r="3695">
      <c r="M3695" s="11">
        <f>B3695+30</f>
        <v/>
      </c>
      <c r="N3695">
        <f>IF(L3695="", "", L3695-B3695)</f>
        <v/>
      </c>
      <c r="O3695">
        <f>IF(L3695="", "Pending", IF(N3695&lt;=30, "Met", "Breached"))</f>
        <v/>
      </c>
    </row>
    <row r="3696">
      <c r="M3696" s="11">
        <f>B3696+30</f>
        <v/>
      </c>
      <c r="N3696">
        <f>IF(L3696="", "", L3696-B3696)</f>
        <v/>
      </c>
      <c r="O3696">
        <f>IF(L3696="", "Pending", IF(N3696&lt;=30, "Met", "Breached"))</f>
        <v/>
      </c>
    </row>
    <row r="3697">
      <c r="M3697" s="11">
        <f>B3697+30</f>
        <v/>
      </c>
      <c r="N3697">
        <f>IF(L3697="", "", L3697-B3697)</f>
        <v/>
      </c>
      <c r="O3697">
        <f>IF(L3697="", "Pending", IF(N3697&lt;=30, "Met", "Breached"))</f>
        <v/>
      </c>
    </row>
    <row r="3698">
      <c r="M3698" s="11">
        <f>B3698+30</f>
        <v/>
      </c>
      <c r="N3698">
        <f>IF(L3698="", "", L3698-B3698)</f>
        <v/>
      </c>
      <c r="O3698">
        <f>IF(L3698="", "Pending", IF(N3698&lt;=30, "Met", "Breached"))</f>
        <v/>
      </c>
    </row>
    <row r="3699">
      <c r="M3699" s="11">
        <f>B3699+30</f>
        <v/>
      </c>
      <c r="N3699">
        <f>IF(L3699="", "", L3699-B3699)</f>
        <v/>
      </c>
      <c r="O3699">
        <f>IF(L3699="", "Pending", IF(N3699&lt;=30, "Met", "Breached"))</f>
        <v/>
      </c>
    </row>
    <row r="3700">
      <c r="M3700" s="11">
        <f>B3700+30</f>
        <v/>
      </c>
      <c r="N3700">
        <f>IF(L3700="", "", L3700-B3700)</f>
        <v/>
      </c>
      <c r="O3700">
        <f>IF(L3700="", "Pending", IF(N3700&lt;=30, "Met", "Breached"))</f>
        <v/>
      </c>
    </row>
    <row r="3701">
      <c r="M3701" s="11">
        <f>B3701+30</f>
        <v/>
      </c>
      <c r="N3701">
        <f>IF(L3701="", "", L3701-B3701)</f>
        <v/>
      </c>
      <c r="O3701">
        <f>IF(L3701="", "Pending", IF(N3701&lt;=30, "Met", "Breached"))</f>
        <v/>
      </c>
    </row>
    <row r="3702">
      <c r="M3702" s="11">
        <f>B3702+30</f>
        <v/>
      </c>
      <c r="N3702">
        <f>IF(L3702="", "", L3702-B3702)</f>
        <v/>
      </c>
      <c r="O3702">
        <f>IF(L3702="", "Pending", IF(N3702&lt;=30, "Met", "Breached"))</f>
        <v/>
      </c>
    </row>
    <row r="3703">
      <c r="M3703" s="11">
        <f>B3703+30</f>
        <v/>
      </c>
      <c r="N3703">
        <f>IF(L3703="", "", L3703-B3703)</f>
        <v/>
      </c>
      <c r="O3703">
        <f>IF(L3703="", "Pending", IF(N3703&lt;=30, "Met", "Breached"))</f>
        <v/>
      </c>
    </row>
    <row r="3704">
      <c r="M3704" s="11">
        <f>B3704+30</f>
        <v/>
      </c>
      <c r="N3704">
        <f>IF(L3704="", "", L3704-B3704)</f>
        <v/>
      </c>
      <c r="O3704">
        <f>IF(L3704="", "Pending", IF(N3704&lt;=30, "Met", "Breached"))</f>
        <v/>
      </c>
    </row>
    <row r="3705">
      <c r="M3705" s="11">
        <f>B3705+30</f>
        <v/>
      </c>
      <c r="N3705">
        <f>IF(L3705="", "", L3705-B3705)</f>
        <v/>
      </c>
      <c r="O3705">
        <f>IF(L3705="", "Pending", IF(N3705&lt;=30, "Met", "Breached"))</f>
        <v/>
      </c>
    </row>
    <row r="3706">
      <c r="M3706" s="11">
        <f>B3706+30</f>
        <v/>
      </c>
      <c r="N3706">
        <f>IF(L3706="", "", L3706-B3706)</f>
        <v/>
      </c>
      <c r="O3706">
        <f>IF(L3706="", "Pending", IF(N3706&lt;=30, "Met", "Breached"))</f>
        <v/>
      </c>
    </row>
    <row r="3707">
      <c r="M3707" s="11">
        <f>B3707+30</f>
        <v/>
      </c>
      <c r="N3707">
        <f>IF(L3707="", "", L3707-B3707)</f>
        <v/>
      </c>
      <c r="O3707">
        <f>IF(L3707="", "Pending", IF(N3707&lt;=30, "Met", "Breached"))</f>
        <v/>
      </c>
    </row>
    <row r="3708">
      <c r="M3708" s="11">
        <f>B3708+30</f>
        <v/>
      </c>
      <c r="N3708">
        <f>IF(L3708="", "", L3708-B3708)</f>
        <v/>
      </c>
      <c r="O3708">
        <f>IF(L3708="", "Pending", IF(N3708&lt;=30, "Met", "Breached"))</f>
        <v/>
      </c>
    </row>
    <row r="3709">
      <c r="M3709" s="11">
        <f>B3709+30</f>
        <v/>
      </c>
      <c r="N3709">
        <f>IF(L3709="", "", L3709-B3709)</f>
        <v/>
      </c>
      <c r="O3709">
        <f>IF(L3709="", "Pending", IF(N3709&lt;=30, "Met", "Breached"))</f>
        <v/>
      </c>
    </row>
    <row r="3710">
      <c r="M3710" s="11">
        <f>B3710+30</f>
        <v/>
      </c>
      <c r="N3710">
        <f>IF(L3710="", "", L3710-B3710)</f>
        <v/>
      </c>
      <c r="O3710">
        <f>IF(L3710="", "Pending", IF(N3710&lt;=30, "Met", "Breached"))</f>
        <v/>
      </c>
    </row>
    <row r="3711">
      <c r="M3711" s="11">
        <f>B3711+30</f>
        <v/>
      </c>
      <c r="N3711">
        <f>IF(L3711="", "", L3711-B3711)</f>
        <v/>
      </c>
      <c r="O3711">
        <f>IF(L3711="", "Pending", IF(N3711&lt;=30, "Met", "Breached"))</f>
        <v/>
      </c>
    </row>
    <row r="3712">
      <c r="M3712" s="11">
        <f>B3712+30</f>
        <v/>
      </c>
      <c r="N3712">
        <f>IF(L3712="", "", L3712-B3712)</f>
        <v/>
      </c>
      <c r="O3712">
        <f>IF(L3712="", "Pending", IF(N3712&lt;=30, "Met", "Breached"))</f>
        <v/>
      </c>
    </row>
    <row r="3713">
      <c r="M3713" s="11">
        <f>B3713+30</f>
        <v/>
      </c>
      <c r="N3713">
        <f>IF(L3713="", "", L3713-B3713)</f>
        <v/>
      </c>
      <c r="O3713">
        <f>IF(L3713="", "Pending", IF(N3713&lt;=30, "Met", "Breached"))</f>
        <v/>
      </c>
    </row>
    <row r="3714">
      <c r="M3714" s="11">
        <f>B3714+30</f>
        <v/>
      </c>
      <c r="N3714">
        <f>IF(L3714="", "", L3714-B3714)</f>
        <v/>
      </c>
      <c r="O3714">
        <f>IF(L3714="", "Pending", IF(N3714&lt;=30, "Met", "Breached"))</f>
        <v/>
      </c>
    </row>
    <row r="3715">
      <c r="M3715" s="11">
        <f>B3715+30</f>
        <v/>
      </c>
      <c r="N3715">
        <f>IF(L3715="", "", L3715-B3715)</f>
        <v/>
      </c>
      <c r="O3715">
        <f>IF(L3715="", "Pending", IF(N3715&lt;=30, "Met", "Breached"))</f>
        <v/>
      </c>
    </row>
    <row r="3716">
      <c r="M3716" s="11">
        <f>B3716+30</f>
        <v/>
      </c>
      <c r="N3716">
        <f>IF(L3716="", "", L3716-B3716)</f>
        <v/>
      </c>
      <c r="O3716">
        <f>IF(L3716="", "Pending", IF(N3716&lt;=30, "Met", "Breached"))</f>
        <v/>
      </c>
    </row>
    <row r="3717">
      <c r="M3717" s="11">
        <f>B3717+30</f>
        <v/>
      </c>
      <c r="N3717">
        <f>IF(L3717="", "", L3717-B3717)</f>
        <v/>
      </c>
      <c r="O3717">
        <f>IF(L3717="", "Pending", IF(N3717&lt;=30, "Met", "Breached"))</f>
        <v/>
      </c>
    </row>
    <row r="3718">
      <c r="M3718" s="11">
        <f>B3718+30</f>
        <v/>
      </c>
      <c r="N3718">
        <f>IF(L3718="", "", L3718-B3718)</f>
        <v/>
      </c>
      <c r="O3718">
        <f>IF(L3718="", "Pending", IF(N3718&lt;=30, "Met", "Breached"))</f>
        <v/>
      </c>
    </row>
    <row r="3719">
      <c r="M3719" s="11">
        <f>B3719+30</f>
        <v/>
      </c>
      <c r="N3719">
        <f>IF(L3719="", "", L3719-B3719)</f>
        <v/>
      </c>
      <c r="O3719">
        <f>IF(L3719="", "Pending", IF(N3719&lt;=30, "Met", "Breached"))</f>
        <v/>
      </c>
    </row>
    <row r="3720">
      <c r="M3720" s="11">
        <f>B3720+30</f>
        <v/>
      </c>
      <c r="N3720">
        <f>IF(L3720="", "", L3720-B3720)</f>
        <v/>
      </c>
      <c r="O3720">
        <f>IF(L3720="", "Pending", IF(N3720&lt;=30, "Met", "Breached"))</f>
        <v/>
      </c>
    </row>
    <row r="3721">
      <c r="M3721" s="11">
        <f>B3721+30</f>
        <v/>
      </c>
      <c r="N3721">
        <f>IF(L3721="", "", L3721-B3721)</f>
        <v/>
      </c>
      <c r="O3721">
        <f>IF(L3721="", "Pending", IF(N3721&lt;=30, "Met", "Breached"))</f>
        <v/>
      </c>
    </row>
    <row r="3722">
      <c r="M3722" s="11">
        <f>B3722+30</f>
        <v/>
      </c>
      <c r="N3722">
        <f>IF(L3722="", "", L3722-B3722)</f>
        <v/>
      </c>
      <c r="O3722">
        <f>IF(L3722="", "Pending", IF(N3722&lt;=30, "Met", "Breached"))</f>
        <v/>
      </c>
    </row>
    <row r="3723">
      <c r="M3723" s="11">
        <f>B3723+30</f>
        <v/>
      </c>
      <c r="N3723">
        <f>IF(L3723="", "", L3723-B3723)</f>
        <v/>
      </c>
      <c r="O3723">
        <f>IF(L3723="", "Pending", IF(N3723&lt;=30, "Met", "Breached"))</f>
        <v/>
      </c>
    </row>
    <row r="3724">
      <c r="M3724" s="11">
        <f>B3724+30</f>
        <v/>
      </c>
      <c r="N3724">
        <f>IF(L3724="", "", L3724-B3724)</f>
        <v/>
      </c>
      <c r="O3724">
        <f>IF(L3724="", "Pending", IF(N3724&lt;=30, "Met", "Breached"))</f>
        <v/>
      </c>
    </row>
    <row r="3725">
      <c r="M3725" s="11">
        <f>B3725+30</f>
        <v/>
      </c>
      <c r="N3725">
        <f>IF(L3725="", "", L3725-B3725)</f>
        <v/>
      </c>
      <c r="O3725">
        <f>IF(L3725="", "Pending", IF(N3725&lt;=30, "Met", "Breached"))</f>
        <v/>
      </c>
    </row>
    <row r="3726">
      <c r="M3726" s="11">
        <f>B3726+30</f>
        <v/>
      </c>
      <c r="N3726">
        <f>IF(L3726="", "", L3726-B3726)</f>
        <v/>
      </c>
      <c r="O3726">
        <f>IF(L3726="", "Pending", IF(N3726&lt;=30, "Met", "Breached"))</f>
        <v/>
      </c>
    </row>
    <row r="3727">
      <c r="M3727" s="11">
        <f>B3727+30</f>
        <v/>
      </c>
      <c r="N3727">
        <f>IF(L3727="", "", L3727-B3727)</f>
        <v/>
      </c>
      <c r="O3727">
        <f>IF(L3727="", "Pending", IF(N3727&lt;=30, "Met", "Breached"))</f>
        <v/>
      </c>
    </row>
    <row r="3728">
      <c r="M3728" s="11">
        <f>B3728+30</f>
        <v/>
      </c>
      <c r="N3728">
        <f>IF(L3728="", "", L3728-B3728)</f>
        <v/>
      </c>
      <c r="O3728">
        <f>IF(L3728="", "Pending", IF(N3728&lt;=30, "Met", "Breached"))</f>
        <v/>
      </c>
    </row>
    <row r="3729">
      <c r="M3729" s="11">
        <f>B3729+30</f>
        <v/>
      </c>
      <c r="N3729">
        <f>IF(L3729="", "", L3729-B3729)</f>
        <v/>
      </c>
      <c r="O3729">
        <f>IF(L3729="", "Pending", IF(N3729&lt;=30, "Met", "Breached"))</f>
        <v/>
      </c>
    </row>
    <row r="3730">
      <c r="M3730" s="11">
        <f>B3730+30</f>
        <v/>
      </c>
      <c r="N3730">
        <f>IF(L3730="", "", L3730-B3730)</f>
        <v/>
      </c>
      <c r="O3730">
        <f>IF(L3730="", "Pending", IF(N3730&lt;=30, "Met", "Breached"))</f>
        <v/>
      </c>
    </row>
    <row r="3731">
      <c r="M3731" s="11">
        <f>B3731+30</f>
        <v/>
      </c>
      <c r="N3731">
        <f>IF(L3731="", "", L3731-B3731)</f>
        <v/>
      </c>
      <c r="O3731">
        <f>IF(L3731="", "Pending", IF(N3731&lt;=30, "Met", "Breached"))</f>
        <v/>
      </c>
    </row>
    <row r="3732">
      <c r="M3732" s="11">
        <f>B3732+30</f>
        <v/>
      </c>
      <c r="N3732">
        <f>IF(L3732="", "", L3732-B3732)</f>
        <v/>
      </c>
      <c r="O3732">
        <f>IF(L3732="", "Pending", IF(N3732&lt;=30, "Met", "Breached"))</f>
        <v/>
      </c>
    </row>
    <row r="3733">
      <c r="M3733" s="11">
        <f>B3733+30</f>
        <v/>
      </c>
      <c r="N3733">
        <f>IF(L3733="", "", L3733-B3733)</f>
        <v/>
      </c>
      <c r="O3733">
        <f>IF(L3733="", "Pending", IF(N3733&lt;=30, "Met", "Breached"))</f>
        <v/>
      </c>
    </row>
    <row r="3734">
      <c r="M3734" s="11">
        <f>B3734+30</f>
        <v/>
      </c>
      <c r="N3734">
        <f>IF(L3734="", "", L3734-B3734)</f>
        <v/>
      </c>
      <c r="O3734">
        <f>IF(L3734="", "Pending", IF(N3734&lt;=30, "Met", "Breached"))</f>
        <v/>
      </c>
    </row>
    <row r="3735">
      <c r="M3735" s="11">
        <f>B3735+30</f>
        <v/>
      </c>
      <c r="N3735">
        <f>IF(L3735="", "", L3735-B3735)</f>
        <v/>
      </c>
      <c r="O3735">
        <f>IF(L3735="", "Pending", IF(N3735&lt;=30, "Met", "Breached"))</f>
        <v/>
      </c>
    </row>
    <row r="3736">
      <c r="M3736" s="11">
        <f>B3736+30</f>
        <v/>
      </c>
      <c r="N3736">
        <f>IF(L3736="", "", L3736-B3736)</f>
        <v/>
      </c>
      <c r="O3736">
        <f>IF(L3736="", "Pending", IF(N3736&lt;=30, "Met", "Breached"))</f>
        <v/>
      </c>
    </row>
    <row r="3737">
      <c r="M3737" s="11">
        <f>B3737+30</f>
        <v/>
      </c>
      <c r="N3737">
        <f>IF(L3737="", "", L3737-B3737)</f>
        <v/>
      </c>
      <c r="O3737">
        <f>IF(L3737="", "Pending", IF(N3737&lt;=30, "Met", "Breached"))</f>
        <v/>
      </c>
    </row>
    <row r="3738">
      <c r="M3738" s="11">
        <f>B3738+30</f>
        <v/>
      </c>
      <c r="N3738">
        <f>IF(L3738="", "", L3738-B3738)</f>
        <v/>
      </c>
      <c r="O3738">
        <f>IF(L3738="", "Pending", IF(N3738&lt;=30, "Met", "Breached"))</f>
        <v/>
      </c>
    </row>
    <row r="3739">
      <c r="M3739" s="11">
        <f>B3739+30</f>
        <v/>
      </c>
      <c r="N3739">
        <f>IF(L3739="", "", L3739-B3739)</f>
        <v/>
      </c>
      <c r="O3739">
        <f>IF(L3739="", "Pending", IF(N3739&lt;=30, "Met", "Breached"))</f>
        <v/>
      </c>
    </row>
    <row r="3740">
      <c r="M3740" s="11">
        <f>B3740+30</f>
        <v/>
      </c>
      <c r="N3740">
        <f>IF(L3740="", "", L3740-B3740)</f>
        <v/>
      </c>
      <c r="O3740">
        <f>IF(L3740="", "Pending", IF(N3740&lt;=30, "Met", "Breached"))</f>
        <v/>
      </c>
    </row>
    <row r="3741">
      <c r="M3741" s="11">
        <f>B3741+30</f>
        <v/>
      </c>
      <c r="N3741">
        <f>IF(L3741="", "", L3741-B3741)</f>
        <v/>
      </c>
      <c r="O3741">
        <f>IF(L3741="", "Pending", IF(N3741&lt;=30, "Met", "Breached"))</f>
        <v/>
      </c>
    </row>
    <row r="3742">
      <c r="M3742" s="11">
        <f>B3742+30</f>
        <v/>
      </c>
      <c r="N3742">
        <f>IF(L3742="", "", L3742-B3742)</f>
        <v/>
      </c>
      <c r="O3742">
        <f>IF(L3742="", "Pending", IF(N3742&lt;=30, "Met", "Breached"))</f>
        <v/>
      </c>
    </row>
    <row r="3743">
      <c r="M3743" s="11">
        <f>B3743+30</f>
        <v/>
      </c>
      <c r="N3743">
        <f>IF(L3743="", "", L3743-B3743)</f>
        <v/>
      </c>
      <c r="O3743">
        <f>IF(L3743="", "Pending", IF(N3743&lt;=30, "Met", "Breached"))</f>
        <v/>
      </c>
    </row>
    <row r="3744">
      <c r="M3744" s="11">
        <f>B3744+30</f>
        <v/>
      </c>
      <c r="N3744">
        <f>IF(L3744="", "", L3744-B3744)</f>
        <v/>
      </c>
      <c r="O3744">
        <f>IF(L3744="", "Pending", IF(N3744&lt;=30, "Met", "Breached"))</f>
        <v/>
      </c>
    </row>
    <row r="3745">
      <c r="M3745" s="11">
        <f>B3745+30</f>
        <v/>
      </c>
      <c r="N3745">
        <f>IF(L3745="", "", L3745-B3745)</f>
        <v/>
      </c>
      <c r="O3745">
        <f>IF(L3745="", "Pending", IF(N3745&lt;=30, "Met", "Breached"))</f>
        <v/>
      </c>
    </row>
    <row r="3746">
      <c r="M3746" s="11">
        <f>B3746+30</f>
        <v/>
      </c>
      <c r="N3746">
        <f>IF(L3746="", "", L3746-B3746)</f>
        <v/>
      </c>
      <c r="O3746">
        <f>IF(L3746="", "Pending", IF(N3746&lt;=30, "Met", "Breached"))</f>
        <v/>
      </c>
    </row>
    <row r="3747">
      <c r="M3747" s="11">
        <f>B3747+30</f>
        <v/>
      </c>
      <c r="N3747">
        <f>IF(L3747="", "", L3747-B3747)</f>
        <v/>
      </c>
      <c r="O3747">
        <f>IF(L3747="", "Pending", IF(N3747&lt;=30, "Met", "Breached"))</f>
        <v/>
      </c>
    </row>
    <row r="3748">
      <c r="M3748" s="11">
        <f>B3748+30</f>
        <v/>
      </c>
      <c r="N3748">
        <f>IF(L3748="", "", L3748-B3748)</f>
        <v/>
      </c>
      <c r="O3748">
        <f>IF(L3748="", "Pending", IF(N3748&lt;=30, "Met", "Breached"))</f>
        <v/>
      </c>
    </row>
    <row r="3749">
      <c r="M3749" s="11">
        <f>B3749+30</f>
        <v/>
      </c>
      <c r="N3749">
        <f>IF(L3749="", "", L3749-B3749)</f>
        <v/>
      </c>
      <c r="O3749">
        <f>IF(L3749="", "Pending", IF(N3749&lt;=30, "Met", "Breached"))</f>
        <v/>
      </c>
    </row>
    <row r="3750">
      <c r="M3750" s="11">
        <f>B3750+30</f>
        <v/>
      </c>
      <c r="N3750">
        <f>IF(L3750="", "", L3750-B3750)</f>
        <v/>
      </c>
      <c r="O3750">
        <f>IF(L3750="", "Pending", IF(N3750&lt;=30, "Met", "Breached"))</f>
        <v/>
      </c>
    </row>
    <row r="3751">
      <c r="M3751" s="11">
        <f>B3751+30</f>
        <v/>
      </c>
      <c r="N3751">
        <f>IF(L3751="", "", L3751-B3751)</f>
        <v/>
      </c>
      <c r="O3751">
        <f>IF(L3751="", "Pending", IF(N3751&lt;=30, "Met", "Breached"))</f>
        <v/>
      </c>
    </row>
    <row r="3752">
      <c r="M3752" s="11">
        <f>B3752+30</f>
        <v/>
      </c>
      <c r="N3752">
        <f>IF(L3752="", "", L3752-B3752)</f>
        <v/>
      </c>
      <c r="O3752">
        <f>IF(L3752="", "Pending", IF(N3752&lt;=30, "Met", "Breached"))</f>
        <v/>
      </c>
    </row>
    <row r="3753">
      <c r="M3753" s="11">
        <f>B3753+30</f>
        <v/>
      </c>
      <c r="N3753">
        <f>IF(L3753="", "", L3753-B3753)</f>
        <v/>
      </c>
      <c r="O3753">
        <f>IF(L3753="", "Pending", IF(N3753&lt;=30, "Met", "Breached"))</f>
        <v/>
      </c>
    </row>
    <row r="3754">
      <c r="M3754" s="11">
        <f>B3754+30</f>
        <v/>
      </c>
      <c r="N3754">
        <f>IF(L3754="", "", L3754-B3754)</f>
        <v/>
      </c>
      <c r="O3754">
        <f>IF(L3754="", "Pending", IF(N3754&lt;=30, "Met", "Breached"))</f>
        <v/>
      </c>
    </row>
    <row r="3755">
      <c r="M3755" s="11">
        <f>B3755+30</f>
        <v/>
      </c>
      <c r="N3755">
        <f>IF(L3755="", "", L3755-B3755)</f>
        <v/>
      </c>
      <c r="O3755">
        <f>IF(L3755="", "Pending", IF(N3755&lt;=30, "Met", "Breached"))</f>
        <v/>
      </c>
    </row>
    <row r="3756">
      <c r="M3756" s="11">
        <f>B3756+30</f>
        <v/>
      </c>
      <c r="N3756">
        <f>IF(L3756="", "", L3756-B3756)</f>
        <v/>
      </c>
      <c r="O3756">
        <f>IF(L3756="", "Pending", IF(N3756&lt;=30, "Met", "Breached"))</f>
        <v/>
      </c>
    </row>
    <row r="3757">
      <c r="M3757" s="11">
        <f>B3757+30</f>
        <v/>
      </c>
      <c r="N3757">
        <f>IF(L3757="", "", L3757-B3757)</f>
        <v/>
      </c>
      <c r="O3757">
        <f>IF(L3757="", "Pending", IF(N3757&lt;=30, "Met", "Breached"))</f>
        <v/>
      </c>
    </row>
    <row r="3758">
      <c r="M3758" s="11">
        <f>B3758+30</f>
        <v/>
      </c>
      <c r="N3758">
        <f>IF(L3758="", "", L3758-B3758)</f>
        <v/>
      </c>
      <c r="O3758">
        <f>IF(L3758="", "Pending", IF(N3758&lt;=30, "Met", "Breached"))</f>
        <v/>
      </c>
    </row>
    <row r="3759">
      <c r="M3759" s="11">
        <f>B3759+30</f>
        <v/>
      </c>
      <c r="N3759">
        <f>IF(L3759="", "", L3759-B3759)</f>
        <v/>
      </c>
      <c r="O3759">
        <f>IF(L3759="", "Pending", IF(N3759&lt;=30, "Met", "Breached"))</f>
        <v/>
      </c>
    </row>
    <row r="3760">
      <c r="M3760" s="11">
        <f>B3760+30</f>
        <v/>
      </c>
      <c r="N3760">
        <f>IF(L3760="", "", L3760-B3760)</f>
        <v/>
      </c>
      <c r="O3760">
        <f>IF(L3760="", "Pending", IF(N3760&lt;=30, "Met", "Breached"))</f>
        <v/>
      </c>
    </row>
    <row r="3761">
      <c r="M3761" s="11">
        <f>B3761+30</f>
        <v/>
      </c>
      <c r="N3761">
        <f>IF(L3761="", "", L3761-B3761)</f>
        <v/>
      </c>
      <c r="O3761">
        <f>IF(L3761="", "Pending", IF(N3761&lt;=30, "Met", "Breached"))</f>
        <v/>
      </c>
    </row>
    <row r="3762">
      <c r="M3762" s="11">
        <f>B3762+30</f>
        <v/>
      </c>
      <c r="N3762">
        <f>IF(L3762="", "", L3762-B3762)</f>
        <v/>
      </c>
      <c r="O3762">
        <f>IF(L3762="", "Pending", IF(N3762&lt;=30, "Met", "Breached"))</f>
        <v/>
      </c>
    </row>
    <row r="3763">
      <c r="M3763" s="11">
        <f>B3763+30</f>
        <v/>
      </c>
      <c r="N3763">
        <f>IF(L3763="", "", L3763-B3763)</f>
        <v/>
      </c>
      <c r="O3763">
        <f>IF(L3763="", "Pending", IF(N3763&lt;=30, "Met", "Breached"))</f>
        <v/>
      </c>
    </row>
    <row r="3764">
      <c r="M3764" s="11">
        <f>B3764+30</f>
        <v/>
      </c>
      <c r="N3764">
        <f>IF(L3764="", "", L3764-B3764)</f>
        <v/>
      </c>
      <c r="O3764">
        <f>IF(L3764="", "Pending", IF(N3764&lt;=30, "Met", "Breached"))</f>
        <v/>
      </c>
    </row>
    <row r="3765">
      <c r="M3765" s="11">
        <f>B3765+30</f>
        <v/>
      </c>
      <c r="N3765">
        <f>IF(L3765="", "", L3765-B3765)</f>
        <v/>
      </c>
      <c r="O3765">
        <f>IF(L3765="", "Pending", IF(N3765&lt;=30, "Met", "Breached"))</f>
        <v/>
      </c>
    </row>
    <row r="3766">
      <c r="M3766" s="11">
        <f>B3766+30</f>
        <v/>
      </c>
      <c r="N3766">
        <f>IF(L3766="", "", L3766-B3766)</f>
        <v/>
      </c>
      <c r="O3766">
        <f>IF(L3766="", "Pending", IF(N3766&lt;=30, "Met", "Breached"))</f>
        <v/>
      </c>
    </row>
    <row r="3767">
      <c r="M3767" s="11">
        <f>B3767+30</f>
        <v/>
      </c>
      <c r="N3767">
        <f>IF(L3767="", "", L3767-B3767)</f>
        <v/>
      </c>
      <c r="O3767">
        <f>IF(L3767="", "Pending", IF(N3767&lt;=30, "Met", "Breached"))</f>
        <v/>
      </c>
    </row>
    <row r="3768">
      <c r="M3768" s="11">
        <f>B3768+30</f>
        <v/>
      </c>
      <c r="N3768">
        <f>IF(L3768="", "", L3768-B3768)</f>
        <v/>
      </c>
      <c r="O3768">
        <f>IF(L3768="", "Pending", IF(N3768&lt;=30, "Met", "Breached"))</f>
        <v/>
      </c>
    </row>
    <row r="3769">
      <c r="M3769" s="11">
        <f>B3769+30</f>
        <v/>
      </c>
      <c r="N3769">
        <f>IF(L3769="", "", L3769-B3769)</f>
        <v/>
      </c>
      <c r="O3769">
        <f>IF(L3769="", "Pending", IF(N3769&lt;=30, "Met", "Breached"))</f>
        <v/>
      </c>
    </row>
    <row r="3770">
      <c r="M3770" s="11">
        <f>B3770+30</f>
        <v/>
      </c>
      <c r="N3770">
        <f>IF(L3770="", "", L3770-B3770)</f>
        <v/>
      </c>
      <c r="O3770">
        <f>IF(L3770="", "Pending", IF(N3770&lt;=30, "Met", "Breached"))</f>
        <v/>
      </c>
    </row>
    <row r="3771">
      <c r="M3771" s="11">
        <f>B3771+30</f>
        <v/>
      </c>
      <c r="N3771">
        <f>IF(L3771="", "", L3771-B3771)</f>
        <v/>
      </c>
      <c r="O3771">
        <f>IF(L3771="", "Pending", IF(N3771&lt;=30, "Met", "Breached"))</f>
        <v/>
      </c>
    </row>
    <row r="3772">
      <c r="M3772" s="11">
        <f>B3772+30</f>
        <v/>
      </c>
      <c r="N3772">
        <f>IF(L3772="", "", L3772-B3772)</f>
        <v/>
      </c>
      <c r="O3772">
        <f>IF(L3772="", "Pending", IF(N3772&lt;=30, "Met", "Breached"))</f>
        <v/>
      </c>
    </row>
    <row r="3773">
      <c r="M3773" s="11">
        <f>B3773+30</f>
        <v/>
      </c>
      <c r="N3773">
        <f>IF(L3773="", "", L3773-B3773)</f>
        <v/>
      </c>
      <c r="O3773">
        <f>IF(L3773="", "Pending", IF(N3773&lt;=30, "Met", "Breached"))</f>
        <v/>
      </c>
    </row>
    <row r="3774">
      <c r="M3774" s="11">
        <f>B3774+30</f>
        <v/>
      </c>
      <c r="N3774">
        <f>IF(L3774="", "", L3774-B3774)</f>
        <v/>
      </c>
      <c r="O3774">
        <f>IF(L3774="", "Pending", IF(N3774&lt;=30, "Met", "Breached"))</f>
        <v/>
      </c>
    </row>
    <row r="3775">
      <c r="M3775" s="11">
        <f>B3775+30</f>
        <v/>
      </c>
      <c r="N3775">
        <f>IF(L3775="", "", L3775-B3775)</f>
        <v/>
      </c>
      <c r="O3775">
        <f>IF(L3775="", "Pending", IF(N3775&lt;=30, "Met", "Breached"))</f>
        <v/>
      </c>
    </row>
    <row r="3776">
      <c r="M3776" s="11">
        <f>B3776+30</f>
        <v/>
      </c>
      <c r="N3776">
        <f>IF(L3776="", "", L3776-B3776)</f>
        <v/>
      </c>
      <c r="O3776">
        <f>IF(L3776="", "Pending", IF(N3776&lt;=30, "Met", "Breached"))</f>
        <v/>
      </c>
    </row>
    <row r="3777">
      <c r="M3777" s="11">
        <f>B3777+30</f>
        <v/>
      </c>
      <c r="N3777">
        <f>IF(L3777="", "", L3777-B3777)</f>
        <v/>
      </c>
      <c r="O3777">
        <f>IF(L3777="", "Pending", IF(N3777&lt;=30, "Met", "Breached"))</f>
        <v/>
      </c>
    </row>
    <row r="3778">
      <c r="M3778" s="11">
        <f>B3778+30</f>
        <v/>
      </c>
      <c r="N3778">
        <f>IF(L3778="", "", L3778-B3778)</f>
        <v/>
      </c>
      <c r="O3778">
        <f>IF(L3778="", "Pending", IF(N3778&lt;=30, "Met", "Breached"))</f>
        <v/>
      </c>
    </row>
    <row r="3779">
      <c r="M3779" s="11">
        <f>B3779+30</f>
        <v/>
      </c>
      <c r="N3779">
        <f>IF(L3779="", "", L3779-B3779)</f>
        <v/>
      </c>
      <c r="O3779">
        <f>IF(L3779="", "Pending", IF(N3779&lt;=30, "Met", "Breached"))</f>
        <v/>
      </c>
    </row>
    <row r="3780">
      <c r="M3780" s="11">
        <f>B3780+30</f>
        <v/>
      </c>
      <c r="N3780">
        <f>IF(L3780="", "", L3780-B3780)</f>
        <v/>
      </c>
      <c r="O3780">
        <f>IF(L3780="", "Pending", IF(N3780&lt;=30, "Met", "Breached"))</f>
        <v/>
      </c>
    </row>
    <row r="3781">
      <c r="M3781" s="11">
        <f>B3781+30</f>
        <v/>
      </c>
      <c r="N3781">
        <f>IF(L3781="", "", L3781-B3781)</f>
        <v/>
      </c>
      <c r="O3781">
        <f>IF(L3781="", "Pending", IF(N3781&lt;=30, "Met", "Breached"))</f>
        <v/>
      </c>
    </row>
    <row r="3782">
      <c r="M3782" s="11">
        <f>B3782+30</f>
        <v/>
      </c>
      <c r="N3782">
        <f>IF(L3782="", "", L3782-B3782)</f>
        <v/>
      </c>
      <c r="O3782">
        <f>IF(L3782="", "Pending", IF(N3782&lt;=30, "Met", "Breached"))</f>
        <v/>
      </c>
    </row>
    <row r="3783">
      <c r="M3783" s="11">
        <f>B3783+30</f>
        <v/>
      </c>
      <c r="N3783">
        <f>IF(L3783="", "", L3783-B3783)</f>
        <v/>
      </c>
      <c r="O3783">
        <f>IF(L3783="", "Pending", IF(N3783&lt;=30, "Met", "Breached"))</f>
        <v/>
      </c>
    </row>
    <row r="3784">
      <c r="M3784" s="11">
        <f>B3784+30</f>
        <v/>
      </c>
      <c r="N3784">
        <f>IF(L3784="", "", L3784-B3784)</f>
        <v/>
      </c>
      <c r="O3784">
        <f>IF(L3784="", "Pending", IF(N3784&lt;=30, "Met", "Breached"))</f>
        <v/>
      </c>
    </row>
    <row r="3785">
      <c r="M3785" s="11">
        <f>B3785+30</f>
        <v/>
      </c>
      <c r="N3785">
        <f>IF(L3785="", "", L3785-B3785)</f>
        <v/>
      </c>
      <c r="O3785">
        <f>IF(L3785="", "Pending", IF(N3785&lt;=30, "Met", "Breached"))</f>
        <v/>
      </c>
    </row>
    <row r="3786">
      <c r="M3786" s="11">
        <f>B3786+30</f>
        <v/>
      </c>
      <c r="N3786">
        <f>IF(L3786="", "", L3786-B3786)</f>
        <v/>
      </c>
      <c r="O3786">
        <f>IF(L3786="", "Pending", IF(N3786&lt;=30, "Met", "Breached"))</f>
        <v/>
      </c>
    </row>
    <row r="3787">
      <c r="M3787" s="11">
        <f>B3787+30</f>
        <v/>
      </c>
      <c r="N3787">
        <f>IF(L3787="", "", L3787-B3787)</f>
        <v/>
      </c>
      <c r="O3787">
        <f>IF(L3787="", "Pending", IF(N3787&lt;=30, "Met", "Breached"))</f>
        <v/>
      </c>
    </row>
    <row r="3788">
      <c r="M3788" s="11">
        <f>B3788+30</f>
        <v/>
      </c>
      <c r="N3788">
        <f>IF(L3788="", "", L3788-B3788)</f>
        <v/>
      </c>
      <c r="O3788">
        <f>IF(L3788="", "Pending", IF(N3788&lt;=30, "Met", "Breached"))</f>
        <v/>
      </c>
    </row>
    <row r="3789">
      <c r="M3789" s="11">
        <f>B3789+30</f>
        <v/>
      </c>
      <c r="N3789">
        <f>IF(L3789="", "", L3789-B3789)</f>
        <v/>
      </c>
      <c r="O3789">
        <f>IF(L3789="", "Pending", IF(N3789&lt;=30, "Met", "Breached"))</f>
        <v/>
      </c>
    </row>
    <row r="3790">
      <c r="M3790" s="11">
        <f>B3790+30</f>
        <v/>
      </c>
      <c r="N3790">
        <f>IF(L3790="", "", L3790-B3790)</f>
        <v/>
      </c>
      <c r="O3790">
        <f>IF(L3790="", "Pending", IF(N3790&lt;=30, "Met", "Breached"))</f>
        <v/>
      </c>
    </row>
    <row r="3791">
      <c r="M3791" s="11">
        <f>B3791+30</f>
        <v/>
      </c>
      <c r="N3791">
        <f>IF(L3791="", "", L3791-B3791)</f>
        <v/>
      </c>
      <c r="O3791">
        <f>IF(L3791="", "Pending", IF(N3791&lt;=30, "Met", "Breached"))</f>
        <v/>
      </c>
    </row>
    <row r="3792">
      <c r="M3792" s="11">
        <f>B3792+30</f>
        <v/>
      </c>
      <c r="N3792">
        <f>IF(L3792="", "", L3792-B3792)</f>
        <v/>
      </c>
      <c r="O3792">
        <f>IF(L3792="", "Pending", IF(N3792&lt;=30, "Met", "Breached"))</f>
        <v/>
      </c>
    </row>
    <row r="3793">
      <c r="M3793" s="11">
        <f>B3793+30</f>
        <v/>
      </c>
      <c r="N3793">
        <f>IF(L3793="", "", L3793-B3793)</f>
        <v/>
      </c>
      <c r="O3793">
        <f>IF(L3793="", "Pending", IF(N3793&lt;=30, "Met", "Breached"))</f>
        <v/>
      </c>
    </row>
    <row r="3794">
      <c r="M3794" s="11">
        <f>B3794+30</f>
        <v/>
      </c>
      <c r="N3794">
        <f>IF(L3794="", "", L3794-B3794)</f>
        <v/>
      </c>
      <c r="O3794">
        <f>IF(L3794="", "Pending", IF(N3794&lt;=30, "Met", "Breached"))</f>
        <v/>
      </c>
    </row>
    <row r="3795">
      <c r="M3795" s="11">
        <f>B3795+30</f>
        <v/>
      </c>
      <c r="N3795">
        <f>IF(L3795="", "", L3795-B3795)</f>
        <v/>
      </c>
      <c r="O3795">
        <f>IF(L3795="", "Pending", IF(N3795&lt;=30, "Met", "Breached"))</f>
        <v/>
      </c>
    </row>
    <row r="3796">
      <c r="M3796" s="11">
        <f>B3796+30</f>
        <v/>
      </c>
      <c r="N3796">
        <f>IF(L3796="", "", L3796-B3796)</f>
        <v/>
      </c>
      <c r="O3796">
        <f>IF(L3796="", "Pending", IF(N3796&lt;=30, "Met", "Breached"))</f>
        <v/>
      </c>
    </row>
    <row r="3797">
      <c r="M3797" s="11">
        <f>B3797+30</f>
        <v/>
      </c>
      <c r="N3797">
        <f>IF(L3797="", "", L3797-B3797)</f>
        <v/>
      </c>
      <c r="O3797">
        <f>IF(L3797="", "Pending", IF(N3797&lt;=30, "Met", "Breached"))</f>
        <v/>
      </c>
    </row>
    <row r="3798">
      <c r="M3798" s="11">
        <f>B3798+30</f>
        <v/>
      </c>
      <c r="N3798">
        <f>IF(L3798="", "", L3798-B3798)</f>
        <v/>
      </c>
      <c r="O3798">
        <f>IF(L3798="", "Pending", IF(N3798&lt;=30, "Met", "Breached"))</f>
        <v/>
      </c>
    </row>
    <row r="3799">
      <c r="M3799" s="11">
        <f>B3799+30</f>
        <v/>
      </c>
      <c r="N3799">
        <f>IF(L3799="", "", L3799-B3799)</f>
        <v/>
      </c>
      <c r="O3799">
        <f>IF(L3799="", "Pending", IF(N3799&lt;=30, "Met", "Breached"))</f>
        <v/>
      </c>
    </row>
    <row r="3800">
      <c r="M3800" s="11">
        <f>B3800+30</f>
        <v/>
      </c>
      <c r="N3800">
        <f>IF(L3800="", "", L3800-B3800)</f>
        <v/>
      </c>
      <c r="O3800">
        <f>IF(L3800="", "Pending", IF(N3800&lt;=30, "Met", "Breached"))</f>
        <v/>
      </c>
    </row>
    <row r="3801">
      <c r="M3801" s="11">
        <f>B3801+30</f>
        <v/>
      </c>
      <c r="N3801">
        <f>IF(L3801="", "", L3801-B3801)</f>
        <v/>
      </c>
      <c r="O3801">
        <f>IF(L3801="", "Pending", IF(N3801&lt;=30, "Met", "Breached"))</f>
        <v/>
      </c>
    </row>
    <row r="3802">
      <c r="M3802" s="11">
        <f>B3802+30</f>
        <v/>
      </c>
      <c r="N3802">
        <f>IF(L3802="", "", L3802-B3802)</f>
        <v/>
      </c>
      <c r="O3802">
        <f>IF(L3802="", "Pending", IF(N3802&lt;=30, "Met", "Breached"))</f>
        <v/>
      </c>
    </row>
    <row r="3803">
      <c r="M3803" s="11">
        <f>B3803+30</f>
        <v/>
      </c>
      <c r="N3803">
        <f>IF(L3803="", "", L3803-B3803)</f>
        <v/>
      </c>
      <c r="O3803">
        <f>IF(L3803="", "Pending", IF(N3803&lt;=30, "Met", "Breached"))</f>
        <v/>
      </c>
    </row>
    <row r="3804">
      <c r="M3804" s="11">
        <f>B3804+30</f>
        <v/>
      </c>
      <c r="N3804">
        <f>IF(L3804="", "", L3804-B3804)</f>
        <v/>
      </c>
      <c r="O3804">
        <f>IF(L3804="", "Pending", IF(N3804&lt;=30, "Met", "Breached"))</f>
        <v/>
      </c>
    </row>
    <row r="3805">
      <c r="M3805" s="11">
        <f>B3805+30</f>
        <v/>
      </c>
      <c r="N3805">
        <f>IF(L3805="", "", L3805-B3805)</f>
        <v/>
      </c>
      <c r="O3805">
        <f>IF(L3805="", "Pending", IF(N3805&lt;=30, "Met", "Breached"))</f>
        <v/>
      </c>
    </row>
    <row r="3806">
      <c r="M3806" s="11">
        <f>B3806+30</f>
        <v/>
      </c>
      <c r="N3806">
        <f>IF(L3806="", "", L3806-B3806)</f>
        <v/>
      </c>
      <c r="O3806">
        <f>IF(L3806="", "Pending", IF(N3806&lt;=30, "Met", "Breached"))</f>
        <v/>
      </c>
    </row>
    <row r="3807">
      <c r="M3807" s="11">
        <f>B3807+30</f>
        <v/>
      </c>
      <c r="N3807">
        <f>IF(L3807="", "", L3807-B3807)</f>
        <v/>
      </c>
      <c r="O3807">
        <f>IF(L3807="", "Pending", IF(N3807&lt;=30, "Met", "Breached"))</f>
        <v/>
      </c>
    </row>
    <row r="3808">
      <c r="M3808" s="11">
        <f>B3808+30</f>
        <v/>
      </c>
      <c r="N3808">
        <f>IF(L3808="", "", L3808-B3808)</f>
        <v/>
      </c>
      <c r="O3808">
        <f>IF(L3808="", "Pending", IF(N3808&lt;=30, "Met", "Breached"))</f>
        <v/>
      </c>
    </row>
    <row r="3809">
      <c r="M3809" s="11">
        <f>B3809+30</f>
        <v/>
      </c>
      <c r="N3809">
        <f>IF(L3809="", "", L3809-B3809)</f>
        <v/>
      </c>
      <c r="O3809">
        <f>IF(L3809="", "Pending", IF(N3809&lt;=30, "Met", "Breached"))</f>
        <v/>
      </c>
    </row>
    <row r="3810">
      <c r="M3810" s="11">
        <f>B3810+30</f>
        <v/>
      </c>
      <c r="N3810">
        <f>IF(L3810="", "", L3810-B3810)</f>
        <v/>
      </c>
      <c r="O3810">
        <f>IF(L3810="", "Pending", IF(N3810&lt;=30, "Met", "Breached"))</f>
        <v/>
      </c>
    </row>
    <row r="3811">
      <c r="M3811" s="11">
        <f>B3811+30</f>
        <v/>
      </c>
      <c r="N3811">
        <f>IF(L3811="", "", L3811-B3811)</f>
        <v/>
      </c>
      <c r="O3811">
        <f>IF(L3811="", "Pending", IF(N3811&lt;=30, "Met", "Breached"))</f>
        <v/>
      </c>
    </row>
    <row r="3812">
      <c r="M3812" s="11">
        <f>B3812+30</f>
        <v/>
      </c>
      <c r="N3812">
        <f>IF(L3812="", "", L3812-B3812)</f>
        <v/>
      </c>
      <c r="O3812">
        <f>IF(L3812="", "Pending", IF(N3812&lt;=30, "Met", "Breached"))</f>
        <v/>
      </c>
    </row>
    <row r="3813">
      <c r="M3813" s="11">
        <f>B3813+30</f>
        <v/>
      </c>
      <c r="N3813">
        <f>IF(L3813="", "", L3813-B3813)</f>
        <v/>
      </c>
      <c r="O3813">
        <f>IF(L3813="", "Pending", IF(N3813&lt;=30, "Met", "Breached"))</f>
        <v/>
      </c>
    </row>
    <row r="3814">
      <c r="M3814" s="11">
        <f>B3814+30</f>
        <v/>
      </c>
      <c r="N3814">
        <f>IF(L3814="", "", L3814-B3814)</f>
        <v/>
      </c>
      <c r="O3814">
        <f>IF(L3814="", "Pending", IF(N3814&lt;=30, "Met", "Breached"))</f>
        <v/>
      </c>
    </row>
    <row r="3815">
      <c r="M3815" s="11">
        <f>B3815+30</f>
        <v/>
      </c>
      <c r="N3815">
        <f>IF(L3815="", "", L3815-B3815)</f>
        <v/>
      </c>
      <c r="O3815">
        <f>IF(L3815="", "Pending", IF(N3815&lt;=30, "Met", "Breached"))</f>
        <v/>
      </c>
    </row>
    <row r="3816">
      <c r="M3816" s="11">
        <f>B3816+30</f>
        <v/>
      </c>
      <c r="N3816">
        <f>IF(L3816="", "", L3816-B3816)</f>
        <v/>
      </c>
      <c r="O3816">
        <f>IF(L3816="", "Pending", IF(N3816&lt;=30, "Met", "Breached"))</f>
        <v/>
      </c>
    </row>
    <row r="3817">
      <c r="M3817" s="11">
        <f>B3817+30</f>
        <v/>
      </c>
      <c r="N3817">
        <f>IF(L3817="", "", L3817-B3817)</f>
        <v/>
      </c>
      <c r="O3817">
        <f>IF(L3817="", "Pending", IF(N3817&lt;=30, "Met", "Breached"))</f>
        <v/>
      </c>
    </row>
    <row r="3818">
      <c r="M3818" s="11">
        <f>B3818+30</f>
        <v/>
      </c>
      <c r="N3818">
        <f>IF(L3818="", "", L3818-B3818)</f>
        <v/>
      </c>
      <c r="O3818">
        <f>IF(L3818="", "Pending", IF(N3818&lt;=30, "Met", "Breached"))</f>
        <v/>
      </c>
    </row>
    <row r="3819">
      <c r="M3819" s="11">
        <f>B3819+30</f>
        <v/>
      </c>
      <c r="N3819">
        <f>IF(L3819="", "", L3819-B3819)</f>
        <v/>
      </c>
      <c r="O3819">
        <f>IF(L3819="", "Pending", IF(N3819&lt;=30, "Met", "Breached"))</f>
        <v/>
      </c>
    </row>
    <row r="3820">
      <c r="M3820" s="11">
        <f>B3820+30</f>
        <v/>
      </c>
      <c r="N3820">
        <f>IF(L3820="", "", L3820-B3820)</f>
        <v/>
      </c>
      <c r="O3820">
        <f>IF(L3820="", "Pending", IF(N3820&lt;=30, "Met", "Breached"))</f>
        <v/>
      </c>
    </row>
    <row r="3821">
      <c r="M3821" s="11">
        <f>B3821+30</f>
        <v/>
      </c>
      <c r="N3821">
        <f>IF(L3821="", "", L3821-B3821)</f>
        <v/>
      </c>
      <c r="O3821">
        <f>IF(L3821="", "Pending", IF(N3821&lt;=30, "Met", "Breached"))</f>
        <v/>
      </c>
    </row>
    <row r="3822">
      <c r="M3822" s="11">
        <f>B3822+30</f>
        <v/>
      </c>
      <c r="N3822">
        <f>IF(L3822="", "", L3822-B3822)</f>
        <v/>
      </c>
      <c r="O3822">
        <f>IF(L3822="", "Pending", IF(N3822&lt;=30, "Met", "Breached"))</f>
        <v/>
      </c>
    </row>
    <row r="3823">
      <c r="M3823" s="11">
        <f>B3823+30</f>
        <v/>
      </c>
      <c r="N3823">
        <f>IF(L3823="", "", L3823-B3823)</f>
        <v/>
      </c>
      <c r="O3823">
        <f>IF(L3823="", "Pending", IF(N3823&lt;=30, "Met", "Breached"))</f>
        <v/>
      </c>
    </row>
    <row r="3824">
      <c r="M3824" s="11">
        <f>B3824+30</f>
        <v/>
      </c>
      <c r="N3824">
        <f>IF(L3824="", "", L3824-B3824)</f>
        <v/>
      </c>
      <c r="O3824">
        <f>IF(L3824="", "Pending", IF(N3824&lt;=30, "Met", "Breached"))</f>
        <v/>
      </c>
    </row>
    <row r="3825">
      <c r="M3825" s="11">
        <f>B3825+30</f>
        <v/>
      </c>
      <c r="N3825">
        <f>IF(L3825="", "", L3825-B3825)</f>
        <v/>
      </c>
      <c r="O3825">
        <f>IF(L3825="", "Pending", IF(N3825&lt;=30, "Met", "Breached"))</f>
        <v/>
      </c>
    </row>
    <row r="3826">
      <c r="M3826" s="11">
        <f>B3826+30</f>
        <v/>
      </c>
      <c r="N3826">
        <f>IF(L3826="", "", L3826-B3826)</f>
        <v/>
      </c>
      <c r="O3826">
        <f>IF(L3826="", "Pending", IF(N3826&lt;=30, "Met", "Breached"))</f>
        <v/>
      </c>
    </row>
    <row r="3827">
      <c r="M3827" s="11">
        <f>B3827+30</f>
        <v/>
      </c>
      <c r="N3827">
        <f>IF(L3827="", "", L3827-B3827)</f>
        <v/>
      </c>
      <c r="O3827">
        <f>IF(L3827="", "Pending", IF(N3827&lt;=30, "Met", "Breached"))</f>
        <v/>
      </c>
    </row>
    <row r="3828">
      <c r="M3828" s="11">
        <f>B3828+30</f>
        <v/>
      </c>
      <c r="N3828">
        <f>IF(L3828="", "", L3828-B3828)</f>
        <v/>
      </c>
      <c r="O3828">
        <f>IF(L3828="", "Pending", IF(N3828&lt;=30, "Met", "Breached"))</f>
        <v/>
      </c>
    </row>
    <row r="3829">
      <c r="M3829" s="11">
        <f>B3829+30</f>
        <v/>
      </c>
      <c r="N3829">
        <f>IF(L3829="", "", L3829-B3829)</f>
        <v/>
      </c>
      <c r="O3829">
        <f>IF(L3829="", "Pending", IF(N3829&lt;=30, "Met", "Breached"))</f>
        <v/>
      </c>
    </row>
    <row r="3830">
      <c r="M3830" s="11">
        <f>B3830+30</f>
        <v/>
      </c>
      <c r="N3830">
        <f>IF(L3830="", "", L3830-B3830)</f>
        <v/>
      </c>
      <c r="O3830">
        <f>IF(L3830="", "Pending", IF(N3830&lt;=30, "Met", "Breached"))</f>
        <v/>
      </c>
    </row>
    <row r="3831">
      <c r="M3831" s="11">
        <f>B3831+30</f>
        <v/>
      </c>
      <c r="N3831">
        <f>IF(L3831="", "", L3831-B3831)</f>
        <v/>
      </c>
      <c r="O3831">
        <f>IF(L3831="", "Pending", IF(N3831&lt;=30, "Met", "Breached"))</f>
        <v/>
      </c>
    </row>
    <row r="3832">
      <c r="M3832" s="11">
        <f>B3832+30</f>
        <v/>
      </c>
      <c r="N3832">
        <f>IF(L3832="", "", L3832-B3832)</f>
        <v/>
      </c>
      <c r="O3832">
        <f>IF(L3832="", "Pending", IF(N3832&lt;=30, "Met", "Breached"))</f>
        <v/>
      </c>
    </row>
    <row r="3833">
      <c r="M3833" s="11">
        <f>B3833+30</f>
        <v/>
      </c>
      <c r="N3833">
        <f>IF(L3833="", "", L3833-B3833)</f>
        <v/>
      </c>
      <c r="O3833">
        <f>IF(L3833="", "Pending", IF(N3833&lt;=30, "Met", "Breached"))</f>
        <v/>
      </c>
    </row>
    <row r="3834">
      <c r="M3834" s="11">
        <f>B3834+30</f>
        <v/>
      </c>
      <c r="N3834">
        <f>IF(L3834="", "", L3834-B3834)</f>
        <v/>
      </c>
      <c r="O3834">
        <f>IF(L3834="", "Pending", IF(N3834&lt;=30, "Met", "Breached"))</f>
        <v/>
      </c>
    </row>
    <row r="3835">
      <c r="M3835" s="11">
        <f>B3835+30</f>
        <v/>
      </c>
      <c r="N3835">
        <f>IF(L3835="", "", L3835-B3835)</f>
        <v/>
      </c>
      <c r="O3835">
        <f>IF(L3835="", "Pending", IF(N3835&lt;=30, "Met", "Breached"))</f>
        <v/>
      </c>
    </row>
    <row r="3836">
      <c r="M3836" s="11">
        <f>B3836+30</f>
        <v/>
      </c>
      <c r="N3836">
        <f>IF(L3836="", "", L3836-B3836)</f>
        <v/>
      </c>
      <c r="O3836">
        <f>IF(L3836="", "Pending", IF(N3836&lt;=30, "Met", "Breached"))</f>
        <v/>
      </c>
    </row>
    <row r="3837">
      <c r="M3837" s="11">
        <f>B3837+30</f>
        <v/>
      </c>
      <c r="N3837">
        <f>IF(L3837="", "", L3837-B3837)</f>
        <v/>
      </c>
      <c r="O3837">
        <f>IF(L3837="", "Pending", IF(N3837&lt;=30, "Met", "Breached"))</f>
        <v/>
      </c>
    </row>
    <row r="3838">
      <c r="M3838" s="11">
        <f>B3838+30</f>
        <v/>
      </c>
      <c r="N3838">
        <f>IF(L3838="", "", L3838-B3838)</f>
        <v/>
      </c>
      <c r="O3838">
        <f>IF(L3838="", "Pending", IF(N3838&lt;=30, "Met", "Breached"))</f>
        <v/>
      </c>
    </row>
    <row r="3839">
      <c r="M3839" s="11">
        <f>B3839+30</f>
        <v/>
      </c>
      <c r="N3839">
        <f>IF(L3839="", "", L3839-B3839)</f>
        <v/>
      </c>
      <c r="O3839">
        <f>IF(L3839="", "Pending", IF(N3839&lt;=30, "Met", "Breached"))</f>
        <v/>
      </c>
    </row>
    <row r="3840">
      <c r="M3840" s="11">
        <f>B3840+30</f>
        <v/>
      </c>
      <c r="N3840">
        <f>IF(L3840="", "", L3840-B3840)</f>
        <v/>
      </c>
      <c r="O3840">
        <f>IF(L3840="", "Pending", IF(N3840&lt;=30, "Met", "Breached"))</f>
        <v/>
      </c>
    </row>
    <row r="3841">
      <c r="M3841" s="11">
        <f>B3841+30</f>
        <v/>
      </c>
      <c r="N3841">
        <f>IF(L3841="", "", L3841-B3841)</f>
        <v/>
      </c>
      <c r="O3841">
        <f>IF(L3841="", "Pending", IF(N3841&lt;=30, "Met", "Breached"))</f>
        <v/>
      </c>
    </row>
    <row r="3842">
      <c r="M3842" s="11">
        <f>B3842+30</f>
        <v/>
      </c>
      <c r="N3842">
        <f>IF(L3842="", "", L3842-B3842)</f>
        <v/>
      </c>
      <c r="O3842">
        <f>IF(L3842="", "Pending", IF(N3842&lt;=30, "Met", "Breached"))</f>
        <v/>
      </c>
    </row>
    <row r="3843">
      <c r="M3843" s="11">
        <f>B3843+30</f>
        <v/>
      </c>
      <c r="N3843">
        <f>IF(L3843="", "", L3843-B3843)</f>
        <v/>
      </c>
      <c r="O3843">
        <f>IF(L3843="", "Pending", IF(N3843&lt;=30, "Met", "Breached"))</f>
        <v/>
      </c>
    </row>
    <row r="3844">
      <c r="M3844" s="11">
        <f>B3844+30</f>
        <v/>
      </c>
      <c r="N3844">
        <f>IF(L3844="", "", L3844-B3844)</f>
        <v/>
      </c>
      <c r="O3844">
        <f>IF(L3844="", "Pending", IF(N3844&lt;=30, "Met", "Breached"))</f>
        <v/>
      </c>
    </row>
    <row r="3845">
      <c r="M3845" s="11">
        <f>B3845+30</f>
        <v/>
      </c>
      <c r="N3845">
        <f>IF(L3845="", "", L3845-B3845)</f>
        <v/>
      </c>
      <c r="O3845">
        <f>IF(L3845="", "Pending", IF(N3845&lt;=30, "Met", "Breached"))</f>
        <v/>
      </c>
    </row>
    <row r="3846">
      <c r="M3846" s="11">
        <f>B3846+30</f>
        <v/>
      </c>
      <c r="N3846">
        <f>IF(L3846="", "", L3846-B3846)</f>
        <v/>
      </c>
      <c r="O3846">
        <f>IF(L3846="", "Pending", IF(N3846&lt;=30, "Met", "Breached"))</f>
        <v/>
      </c>
    </row>
    <row r="3847">
      <c r="M3847" s="11">
        <f>B3847+30</f>
        <v/>
      </c>
      <c r="N3847">
        <f>IF(L3847="", "", L3847-B3847)</f>
        <v/>
      </c>
      <c r="O3847">
        <f>IF(L3847="", "Pending", IF(N3847&lt;=30, "Met", "Breached"))</f>
        <v/>
      </c>
    </row>
    <row r="3848">
      <c r="M3848" s="11">
        <f>B3848+30</f>
        <v/>
      </c>
      <c r="N3848">
        <f>IF(L3848="", "", L3848-B3848)</f>
        <v/>
      </c>
      <c r="O3848">
        <f>IF(L3848="", "Pending", IF(N3848&lt;=30, "Met", "Breached"))</f>
        <v/>
      </c>
    </row>
    <row r="3849">
      <c r="M3849" s="11">
        <f>B3849+30</f>
        <v/>
      </c>
      <c r="N3849">
        <f>IF(L3849="", "", L3849-B3849)</f>
        <v/>
      </c>
      <c r="O3849">
        <f>IF(L3849="", "Pending", IF(N3849&lt;=30, "Met", "Breached"))</f>
        <v/>
      </c>
    </row>
    <row r="3850">
      <c r="M3850" s="11">
        <f>B3850+30</f>
        <v/>
      </c>
      <c r="N3850">
        <f>IF(L3850="", "", L3850-B3850)</f>
        <v/>
      </c>
      <c r="O3850">
        <f>IF(L3850="", "Pending", IF(N3850&lt;=30, "Met", "Breached"))</f>
        <v/>
      </c>
    </row>
    <row r="3851">
      <c r="M3851" s="11">
        <f>B3851+30</f>
        <v/>
      </c>
      <c r="N3851">
        <f>IF(L3851="", "", L3851-B3851)</f>
        <v/>
      </c>
      <c r="O3851">
        <f>IF(L3851="", "Pending", IF(N3851&lt;=30, "Met", "Breached"))</f>
        <v/>
      </c>
    </row>
    <row r="3852">
      <c r="M3852" s="11">
        <f>B3852+30</f>
        <v/>
      </c>
      <c r="N3852">
        <f>IF(L3852="", "", L3852-B3852)</f>
        <v/>
      </c>
      <c r="O3852">
        <f>IF(L3852="", "Pending", IF(N3852&lt;=30, "Met", "Breached"))</f>
        <v/>
      </c>
    </row>
    <row r="3853">
      <c r="M3853" s="11">
        <f>B3853+30</f>
        <v/>
      </c>
      <c r="N3853">
        <f>IF(L3853="", "", L3853-B3853)</f>
        <v/>
      </c>
      <c r="O3853">
        <f>IF(L3853="", "Pending", IF(N3853&lt;=30, "Met", "Breached"))</f>
        <v/>
      </c>
    </row>
    <row r="3854">
      <c r="M3854" s="11">
        <f>B3854+30</f>
        <v/>
      </c>
      <c r="N3854">
        <f>IF(L3854="", "", L3854-B3854)</f>
        <v/>
      </c>
      <c r="O3854">
        <f>IF(L3854="", "Pending", IF(N3854&lt;=30, "Met", "Breached"))</f>
        <v/>
      </c>
    </row>
    <row r="3855">
      <c r="M3855" s="11">
        <f>B3855+30</f>
        <v/>
      </c>
      <c r="N3855">
        <f>IF(L3855="", "", L3855-B3855)</f>
        <v/>
      </c>
      <c r="O3855">
        <f>IF(L3855="", "Pending", IF(N3855&lt;=30, "Met", "Breached"))</f>
        <v/>
      </c>
    </row>
    <row r="3856">
      <c r="M3856" s="11">
        <f>B3856+30</f>
        <v/>
      </c>
      <c r="N3856">
        <f>IF(L3856="", "", L3856-B3856)</f>
        <v/>
      </c>
      <c r="O3856">
        <f>IF(L3856="", "Pending", IF(N3856&lt;=30, "Met", "Breached"))</f>
        <v/>
      </c>
    </row>
    <row r="3857">
      <c r="M3857" s="11">
        <f>B3857+30</f>
        <v/>
      </c>
      <c r="N3857">
        <f>IF(L3857="", "", L3857-B3857)</f>
        <v/>
      </c>
      <c r="O3857">
        <f>IF(L3857="", "Pending", IF(N3857&lt;=30, "Met", "Breached"))</f>
        <v/>
      </c>
    </row>
    <row r="3858">
      <c r="M3858" s="11">
        <f>B3858+30</f>
        <v/>
      </c>
      <c r="N3858">
        <f>IF(L3858="", "", L3858-B3858)</f>
        <v/>
      </c>
      <c r="O3858">
        <f>IF(L3858="", "Pending", IF(N3858&lt;=30, "Met", "Breached"))</f>
        <v/>
      </c>
    </row>
    <row r="3859">
      <c r="M3859" s="11">
        <f>B3859+30</f>
        <v/>
      </c>
      <c r="N3859">
        <f>IF(L3859="", "", L3859-B3859)</f>
        <v/>
      </c>
      <c r="O3859">
        <f>IF(L3859="", "Pending", IF(N3859&lt;=30, "Met", "Breached"))</f>
        <v/>
      </c>
    </row>
    <row r="3860">
      <c r="M3860" s="11">
        <f>B3860+30</f>
        <v/>
      </c>
      <c r="N3860">
        <f>IF(L3860="", "", L3860-B3860)</f>
        <v/>
      </c>
      <c r="O3860">
        <f>IF(L3860="", "Pending", IF(N3860&lt;=30, "Met", "Breached"))</f>
        <v/>
      </c>
    </row>
    <row r="3861">
      <c r="M3861" s="11">
        <f>B3861+30</f>
        <v/>
      </c>
      <c r="N3861">
        <f>IF(L3861="", "", L3861-B3861)</f>
        <v/>
      </c>
      <c r="O3861">
        <f>IF(L3861="", "Pending", IF(N3861&lt;=30, "Met", "Breached"))</f>
        <v/>
      </c>
    </row>
    <row r="3862">
      <c r="M3862" s="11">
        <f>B3862+30</f>
        <v/>
      </c>
      <c r="N3862">
        <f>IF(L3862="", "", L3862-B3862)</f>
        <v/>
      </c>
      <c r="O3862">
        <f>IF(L3862="", "Pending", IF(N3862&lt;=30, "Met", "Breached"))</f>
        <v/>
      </c>
    </row>
    <row r="3863">
      <c r="M3863" s="11">
        <f>B3863+30</f>
        <v/>
      </c>
      <c r="N3863">
        <f>IF(L3863="", "", L3863-B3863)</f>
        <v/>
      </c>
      <c r="O3863">
        <f>IF(L3863="", "Pending", IF(N3863&lt;=30, "Met", "Breached"))</f>
        <v/>
      </c>
    </row>
    <row r="3864">
      <c r="M3864" s="11">
        <f>B3864+30</f>
        <v/>
      </c>
      <c r="N3864">
        <f>IF(L3864="", "", L3864-B3864)</f>
        <v/>
      </c>
      <c r="O3864">
        <f>IF(L3864="", "Pending", IF(N3864&lt;=30, "Met", "Breached"))</f>
        <v/>
      </c>
    </row>
    <row r="3865">
      <c r="M3865" s="11">
        <f>B3865+30</f>
        <v/>
      </c>
      <c r="N3865">
        <f>IF(L3865="", "", L3865-B3865)</f>
        <v/>
      </c>
      <c r="O3865">
        <f>IF(L3865="", "Pending", IF(N3865&lt;=30, "Met", "Breached"))</f>
        <v/>
      </c>
    </row>
    <row r="3866">
      <c r="M3866" s="11">
        <f>B3866+30</f>
        <v/>
      </c>
      <c r="N3866">
        <f>IF(L3866="", "", L3866-B3866)</f>
        <v/>
      </c>
      <c r="O3866">
        <f>IF(L3866="", "Pending", IF(N3866&lt;=30, "Met", "Breached"))</f>
        <v/>
      </c>
    </row>
    <row r="3867">
      <c r="M3867" s="11">
        <f>B3867+30</f>
        <v/>
      </c>
      <c r="N3867">
        <f>IF(L3867="", "", L3867-B3867)</f>
        <v/>
      </c>
      <c r="O3867">
        <f>IF(L3867="", "Pending", IF(N3867&lt;=30, "Met", "Breached"))</f>
        <v/>
      </c>
    </row>
    <row r="3868">
      <c r="M3868" s="11">
        <f>B3868+30</f>
        <v/>
      </c>
      <c r="N3868">
        <f>IF(L3868="", "", L3868-B3868)</f>
        <v/>
      </c>
      <c r="O3868">
        <f>IF(L3868="", "Pending", IF(N3868&lt;=30, "Met", "Breached"))</f>
        <v/>
      </c>
    </row>
    <row r="3869">
      <c r="M3869" s="11">
        <f>B3869+30</f>
        <v/>
      </c>
      <c r="N3869">
        <f>IF(L3869="", "", L3869-B3869)</f>
        <v/>
      </c>
      <c r="O3869">
        <f>IF(L3869="", "Pending", IF(N3869&lt;=30, "Met", "Breached"))</f>
        <v/>
      </c>
    </row>
    <row r="3870">
      <c r="M3870" s="11">
        <f>B3870+30</f>
        <v/>
      </c>
      <c r="N3870">
        <f>IF(L3870="", "", L3870-B3870)</f>
        <v/>
      </c>
      <c r="O3870">
        <f>IF(L3870="", "Pending", IF(N3870&lt;=30, "Met", "Breached"))</f>
        <v/>
      </c>
    </row>
    <row r="3871">
      <c r="M3871" s="11">
        <f>B3871+30</f>
        <v/>
      </c>
      <c r="N3871">
        <f>IF(L3871="", "", L3871-B3871)</f>
        <v/>
      </c>
      <c r="O3871">
        <f>IF(L3871="", "Pending", IF(N3871&lt;=30, "Met", "Breached"))</f>
        <v/>
      </c>
    </row>
    <row r="3872">
      <c r="M3872" s="11">
        <f>B3872+30</f>
        <v/>
      </c>
      <c r="N3872">
        <f>IF(L3872="", "", L3872-B3872)</f>
        <v/>
      </c>
      <c r="O3872">
        <f>IF(L3872="", "Pending", IF(N3872&lt;=30, "Met", "Breached"))</f>
        <v/>
      </c>
    </row>
    <row r="3873">
      <c r="M3873" s="11">
        <f>B3873+30</f>
        <v/>
      </c>
      <c r="N3873">
        <f>IF(L3873="", "", L3873-B3873)</f>
        <v/>
      </c>
      <c r="O3873">
        <f>IF(L3873="", "Pending", IF(N3873&lt;=30, "Met", "Breached"))</f>
        <v/>
      </c>
    </row>
    <row r="3874">
      <c r="M3874" s="11">
        <f>B3874+30</f>
        <v/>
      </c>
      <c r="N3874">
        <f>IF(L3874="", "", L3874-B3874)</f>
        <v/>
      </c>
      <c r="O3874">
        <f>IF(L3874="", "Pending", IF(N3874&lt;=30, "Met", "Breached"))</f>
        <v/>
      </c>
    </row>
    <row r="3875">
      <c r="M3875" s="11">
        <f>B3875+30</f>
        <v/>
      </c>
      <c r="N3875">
        <f>IF(L3875="", "", L3875-B3875)</f>
        <v/>
      </c>
      <c r="O3875">
        <f>IF(L3875="", "Pending", IF(N3875&lt;=30, "Met", "Breached"))</f>
        <v/>
      </c>
    </row>
    <row r="3876">
      <c r="M3876" s="11">
        <f>B3876+30</f>
        <v/>
      </c>
      <c r="N3876">
        <f>IF(L3876="", "", L3876-B3876)</f>
        <v/>
      </c>
      <c r="O3876">
        <f>IF(L3876="", "Pending", IF(N3876&lt;=30, "Met", "Breached"))</f>
        <v/>
      </c>
    </row>
    <row r="3877">
      <c r="M3877" s="11">
        <f>B3877+30</f>
        <v/>
      </c>
      <c r="N3877">
        <f>IF(L3877="", "", L3877-B3877)</f>
        <v/>
      </c>
      <c r="O3877">
        <f>IF(L3877="", "Pending", IF(N3877&lt;=30, "Met", "Breached"))</f>
        <v/>
      </c>
    </row>
    <row r="3878">
      <c r="M3878" s="11">
        <f>B3878+30</f>
        <v/>
      </c>
      <c r="N3878">
        <f>IF(L3878="", "", L3878-B3878)</f>
        <v/>
      </c>
      <c r="O3878">
        <f>IF(L3878="", "Pending", IF(N3878&lt;=30, "Met", "Breached"))</f>
        <v/>
      </c>
    </row>
    <row r="3879">
      <c r="M3879" s="11">
        <f>B3879+30</f>
        <v/>
      </c>
      <c r="N3879">
        <f>IF(L3879="", "", L3879-B3879)</f>
        <v/>
      </c>
      <c r="O3879">
        <f>IF(L3879="", "Pending", IF(N3879&lt;=30, "Met", "Breached"))</f>
        <v/>
      </c>
    </row>
    <row r="3880">
      <c r="M3880" s="11">
        <f>B3880+30</f>
        <v/>
      </c>
      <c r="N3880">
        <f>IF(L3880="", "", L3880-B3880)</f>
        <v/>
      </c>
      <c r="O3880">
        <f>IF(L3880="", "Pending", IF(N3880&lt;=30, "Met", "Breached"))</f>
        <v/>
      </c>
    </row>
    <row r="3881">
      <c r="M3881" s="11">
        <f>B3881+30</f>
        <v/>
      </c>
      <c r="N3881">
        <f>IF(L3881="", "", L3881-B3881)</f>
        <v/>
      </c>
      <c r="O3881">
        <f>IF(L3881="", "Pending", IF(N3881&lt;=30, "Met", "Breached"))</f>
        <v/>
      </c>
    </row>
    <row r="3882">
      <c r="M3882" s="11">
        <f>B3882+30</f>
        <v/>
      </c>
      <c r="N3882">
        <f>IF(L3882="", "", L3882-B3882)</f>
        <v/>
      </c>
      <c r="O3882">
        <f>IF(L3882="", "Pending", IF(N3882&lt;=30, "Met", "Breached"))</f>
        <v/>
      </c>
    </row>
    <row r="3883">
      <c r="M3883" s="11">
        <f>B3883+30</f>
        <v/>
      </c>
      <c r="N3883">
        <f>IF(L3883="", "", L3883-B3883)</f>
        <v/>
      </c>
      <c r="O3883">
        <f>IF(L3883="", "Pending", IF(N3883&lt;=30, "Met", "Breached"))</f>
        <v/>
      </c>
    </row>
    <row r="3884">
      <c r="M3884" s="11">
        <f>B3884+30</f>
        <v/>
      </c>
      <c r="N3884">
        <f>IF(L3884="", "", L3884-B3884)</f>
        <v/>
      </c>
      <c r="O3884">
        <f>IF(L3884="", "Pending", IF(N3884&lt;=30, "Met", "Breached"))</f>
        <v/>
      </c>
    </row>
    <row r="3885">
      <c r="M3885" s="11">
        <f>B3885+30</f>
        <v/>
      </c>
      <c r="N3885">
        <f>IF(L3885="", "", L3885-B3885)</f>
        <v/>
      </c>
      <c r="O3885">
        <f>IF(L3885="", "Pending", IF(N3885&lt;=30, "Met", "Breached"))</f>
        <v/>
      </c>
    </row>
    <row r="3886">
      <c r="M3886" s="11">
        <f>B3886+30</f>
        <v/>
      </c>
      <c r="N3886">
        <f>IF(L3886="", "", L3886-B3886)</f>
        <v/>
      </c>
      <c r="O3886">
        <f>IF(L3886="", "Pending", IF(N3886&lt;=30, "Met", "Breached"))</f>
        <v/>
      </c>
    </row>
    <row r="3887">
      <c r="M3887" s="11">
        <f>B3887+30</f>
        <v/>
      </c>
      <c r="N3887">
        <f>IF(L3887="", "", L3887-B3887)</f>
        <v/>
      </c>
      <c r="O3887">
        <f>IF(L3887="", "Pending", IF(N3887&lt;=30, "Met", "Breached"))</f>
        <v/>
      </c>
    </row>
    <row r="3888">
      <c r="M3888" s="11">
        <f>B3888+30</f>
        <v/>
      </c>
      <c r="N3888">
        <f>IF(L3888="", "", L3888-B3888)</f>
        <v/>
      </c>
      <c r="O3888">
        <f>IF(L3888="", "Pending", IF(N3888&lt;=30, "Met", "Breached"))</f>
        <v/>
      </c>
    </row>
    <row r="3889">
      <c r="M3889" s="11">
        <f>B3889+30</f>
        <v/>
      </c>
      <c r="N3889">
        <f>IF(L3889="", "", L3889-B3889)</f>
        <v/>
      </c>
      <c r="O3889">
        <f>IF(L3889="", "Pending", IF(N3889&lt;=30, "Met", "Breached"))</f>
        <v/>
      </c>
    </row>
    <row r="3890">
      <c r="M3890" s="11">
        <f>B3890+30</f>
        <v/>
      </c>
      <c r="N3890">
        <f>IF(L3890="", "", L3890-B3890)</f>
        <v/>
      </c>
      <c r="O3890">
        <f>IF(L3890="", "Pending", IF(N3890&lt;=30, "Met", "Breached"))</f>
        <v/>
      </c>
    </row>
    <row r="3891">
      <c r="M3891" s="11">
        <f>B3891+30</f>
        <v/>
      </c>
      <c r="N3891">
        <f>IF(L3891="", "", L3891-B3891)</f>
        <v/>
      </c>
      <c r="O3891">
        <f>IF(L3891="", "Pending", IF(N3891&lt;=30, "Met", "Breached"))</f>
        <v/>
      </c>
    </row>
    <row r="3892">
      <c r="M3892" s="11">
        <f>B3892+30</f>
        <v/>
      </c>
      <c r="N3892">
        <f>IF(L3892="", "", L3892-B3892)</f>
        <v/>
      </c>
      <c r="O3892">
        <f>IF(L3892="", "Pending", IF(N3892&lt;=30, "Met", "Breached"))</f>
        <v/>
      </c>
    </row>
    <row r="3893">
      <c r="M3893" s="11">
        <f>B3893+30</f>
        <v/>
      </c>
      <c r="N3893">
        <f>IF(L3893="", "", L3893-B3893)</f>
        <v/>
      </c>
      <c r="O3893">
        <f>IF(L3893="", "Pending", IF(N3893&lt;=30, "Met", "Breached"))</f>
        <v/>
      </c>
    </row>
    <row r="3894">
      <c r="M3894" s="11">
        <f>B3894+30</f>
        <v/>
      </c>
      <c r="N3894">
        <f>IF(L3894="", "", L3894-B3894)</f>
        <v/>
      </c>
      <c r="O3894">
        <f>IF(L3894="", "Pending", IF(N3894&lt;=30, "Met", "Breached"))</f>
        <v/>
      </c>
    </row>
    <row r="3895">
      <c r="M3895" s="11">
        <f>B3895+30</f>
        <v/>
      </c>
      <c r="N3895">
        <f>IF(L3895="", "", L3895-B3895)</f>
        <v/>
      </c>
      <c r="O3895">
        <f>IF(L3895="", "Pending", IF(N3895&lt;=30, "Met", "Breached"))</f>
        <v/>
      </c>
    </row>
    <row r="3896">
      <c r="M3896" s="11">
        <f>B3896+30</f>
        <v/>
      </c>
      <c r="N3896">
        <f>IF(L3896="", "", L3896-B3896)</f>
        <v/>
      </c>
      <c r="O3896">
        <f>IF(L3896="", "Pending", IF(N3896&lt;=30, "Met", "Breached"))</f>
        <v/>
      </c>
    </row>
    <row r="3897">
      <c r="M3897" s="11">
        <f>B3897+30</f>
        <v/>
      </c>
      <c r="N3897">
        <f>IF(L3897="", "", L3897-B3897)</f>
        <v/>
      </c>
      <c r="O3897">
        <f>IF(L3897="", "Pending", IF(N3897&lt;=30, "Met", "Breached"))</f>
        <v/>
      </c>
    </row>
    <row r="3898">
      <c r="M3898" s="11">
        <f>B3898+30</f>
        <v/>
      </c>
      <c r="N3898">
        <f>IF(L3898="", "", L3898-B3898)</f>
        <v/>
      </c>
      <c r="O3898">
        <f>IF(L3898="", "Pending", IF(N3898&lt;=30, "Met", "Breached"))</f>
        <v/>
      </c>
    </row>
    <row r="3899">
      <c r="M3899" s="11">
        <f>B3899+30</f>
        <v/>
      </c>
      <c r="N3899">
        <f>IF(L3899="", "", L3899-B3899)</f>
        <v/>
      </c>
      <c r="O3899">
        <f>IF(L3899="", "Pending", IF(N3899&lt;=30, "Met", "Breached"))</f>
        <v/>
      </c>
    </row>
    <row r="3900">
      <c r="M3900" s="11">
        <f>B3900+30</f>
        <v/>
      </c>
      <c r="N3900">
        <f>IF(L3900="", "", L3900-B3900)</f>
        <v/>
      </c>
      <c r="O3900">
        <f>IF(L3900="", "Pending", IF(N3900&lt;=30, "Met", "Breached"))</f>
        <v/>
      </c>
    </row>
    <row r="3901">
      <c r="M3901" s="11">
        <f>B3901+30</f>
        <v/>
      </c>
      <c r="N3901">
        <f>IF(L3901="", "", L3901-B3901)</f>
        <v/>
      </c>
      <c r="O3901">
        <f>IF(L3901="", "Pending", IF(N3901&lt;=30, "Met", "Breached"))</f>
        <v/>
      </c>
    </row>
    <row r="3902">
      <c r="M3902" s="11">
        <f>B3902+30</f>
        <v/>
      </c>
      <c r="N3902">
        <f>IF(L3902="", "", L3902-B3902)</f>
        <v/>
      </c>
      <c r="O3902">
        <f>IF(L3902="", "Pending", IF(N3902&lt;=30, "Met", "Breached"))</f>
        <v/>
      </c>
    </row>
    <row r="3903">
      <c r="M3903" s="11">
        <f>B3903+30</f>
        <v/>
      </c>
      <c r="N3903">
        <f>IF(L3903="", "", L3903-B3903)</f>
        <v/>
      </c>
      <c r="O3903">
        <f>IF(L3903="", "Pending", IF(N3903&lt;=30, "Met", "Breached"))</f>
        <v/>
      </c>
    </row>
    <row r="3904">
      <c r="M3904" s="11">
        <f>B3904+30</f>
        <v/>
      </c>
      <c r="N3904">
        <f>IF(L3904="", "", L3904-B3904)</f>
        <v/>
      </c>
      <c r="O3904">
        <f>IF(L3904="", "Pending", IF(N3904&lt;=30, "Met", "Breached"))</f>
        <v/>
      </c>
    </row>
    <row r="3905">
      <c r="M3905" s="11">
        <f>B3905+30</f>
        <v/>
      </c>
      <c r="N3905">
        <f>IF(L3905="", "", L3905-B3905)</f>
        <v/>
      </c>
      <c r="O3905">
        <f>IF(L3905="", "Pending", IF(N3905&lt;=30, "Met", "Breached"))</f>
        <v/>
      </c>
    </row>
    <row r="3906">
      <c r="M3906" s="11">
        <f>B3906+30</f>
        <v/>
      </c>
      <c r="N3906">
        <f>IF(L3906="", "", L3906-B3906)</f>
        <v/>
      </c>
      <c r="O3906">
        <f>IF(L3906="", "Pending", IF(N3906&lt;=30, "Met", "Breached"))</f>
        <v/>
      </c>
    </row>
    <row r="3907">
      <c r="M3907" s="11">
        <f>B3907+30</f>
        <v/>
      </c>
      <c r="N3907">
        <f>IF(L3907="", "", L3907-B3907)</f>
        <v/>
      </c>
      <c r="O3907">
        <f>IF(L3907="", "Pending", IF(N3907&lt;=30, "Met", "Breached"))</f>
        <v/>
      </c>
    </row>
    <row r="3908">
      <c r="M3908" s="11">
        <f>B3908+30</f>
        <v/>
      </c>
      <c r="N3908">
        <f>IF(L3908="", "", L3908-B3908)</f>
        <v/>
      </c>
      <c r="O3908">
        <f>IF(L3908="", "Pending", IF(N3908&lt;=30, "Met", "Breached"))</f>
        <v/>
      </c>
    </row>
    <row r="3909">
      <c r="M3909" s="11">
        <f>B3909+30</f>
        <v/>
      </c>
      <c r="N3909">
        <f>IF(L3909="", "", L3909-B3909)</f>
        <v/>
      </c>
      <c r="O3909">
        <f>IF(L3909="", "Pending", IF(N3909&lt;=30, "Met", "Breached"))</f>
        <v/>
      </c>
    </row>
    <row r="3910">
      <c r="M3910" s="11">
        <f>B3910+30</f>
        <v/>
      </c>
      <c r="N3910">
        <f>IF(L3910="", "", L3910-B3910)</f>
        <v/>
      </c>
      <c r="O3910">
        <f>IF(L3910="", "Pending", IF(N3910&lt;=30, "Met", "Breached"))</f>
        <v/>
      </c>
    </row>
    <row r="3911">
      <c r="M3911" s="11">
        <f>B3911+30</f>
        <v/>
      </c>
      <c r="N3911">
        <f>IF(L3911="", "", L3911-B3911)</f>
        <v/>
      </c>
      <c r="O3911">
        <f>IF(L3911="", "Pending", IF(N3911&lt;=30, "Met", "Breached"))</f>
        <v/>
      </c>
    </row>
    <row r="3912">
      <c r="M3912" s="11">
        <f>B3912+30</f>
        <v/>
      </c>
      <c r="N3912">
        <f>IF(L3912="", "", L3912-B3912)</f>
        <v/>
      </c>
      <c r="O3912">
        <f>IF(L3912="", "Pending", IF(N3912&lt;=30, "Met", "Breached"))</f>
        <v/>
      </c>
    </row>
    <row r="3913">
      <c r="M3913" s="11">
        <f>B3913+30</f>
        <v/>
      </c>
      <c r="N3913">
        <f>IF(L3913="", "", L3913-B3913)</f>
        <v/>
      </c>
      <c r="O3913">
        <f>IF(L3913="", "Pending", IF(N3913&lt;=30, "Met", "Breached"))</f>
        <v/>
      </c>
    </row>
    <row r="3914">
      <c r="M3914" s="11">
        <f>B3914+30</f>
        <v/>
      </c>
      <c r="N3914">
        <f>IF(L3914="", "", L3914-B3914)</f>
        <v/>
      </c>
      <c r="O3914">
        <f>IF(L3914="", "Pending", IF(N3914&lt;=30, "Met", "Breached"))</f>
        <v/>
      </c>
    </row>
    <row r="3915">
      <c r="M3915" s="11">
        <f>B3915+30</f>
        <v/>
      </c>
      <c r="N3915">
        <f>IF(L3915="", "", L3915-B3915)</f>
        <v/>
      </c>
      <c r="O3915">
        <f>IF(L3915="", "Pending", IF(N3915&lt;=30, "Met", "Breached"))</f>
        <v/>
      </c>
    </row>
    <row r="3916">
      <c r="M3916" s="11">
        <f>B3916+30</f>
        <v/>
      </c>
      <c r="N3916">
        <f>IF(L3916="", "", L3916-B3916)</f>
        <v/>
      </c>
      <c r="O3916">
        <f>IF(L3916="", "Pending", IF(N3916&lt;=30, "Met", "Breached"))</f>
        <v/>
      </c>
    </row>
    <row r="3917">
      <c r="M3917" s="11">
        <f>B3917+30</f>
        <v/>
      </c>
      <c r="N3917">
        <f>IF(L3917="", "", L3917-B3917)</f>
        <v/>
      </c>
      <c r="O3917">
        <f>IF(L3917="", "Pending", IF(N3917&lt;=30, "Met", "Breached"))</f>
        <v/>
      </c>
    </row>
    <row r="3918">
      <c r="M3918" s="11">
        <f>B3918+30</f>
        <v/>
      </c>
      <c r="N3918">
        <f>IF(L3918="", "", L3918-B3918)</f>
        <v/>
      </c>
      <c r="O3918">
        <f>IF(L3918="", "Pending", IF(N3918&lt;=30, "Met", "Breached"))</f>
        <v/>
      </c>
    </row>
    <row r="3919">
      <c r="M3919" s="11">
        <f>B3919+30</f>
        <v/>
      </c>
      <c r="N3919">
        <f>IF(L3919="", "", L3919-B3919)</f>
        <v/>
      </c>
      <c r="O3919">
        <f>IF(L3919="", "Pending", IF(N3919&lt;=30, "Met", "Breached"))</f>
        <v/>
      </c>
    </row>
    <row r="3920">
      <c r="M3920" s="11">
        <f>B3920+30</f>
        <v/>
      </c>
      <c r="N3920">
        <f>IF(L3920="", "", L3920-B3920)</f>
        <v/>
      </c>
      <c r="O3920">
        <f>IF(L3920="", "Pending", IF(N3920&lt;=30, "Met", "Breached"))</f>
        <v/>
      </c>
    </row>
    <row r="3921">
      <c r="M3921" s="11">
        <f>B3921+30</f>
        <v/>
      </c>
      <c r="N3921">
        <f>IF(L3921="", "", L3921-B3921)</f>
        <v/>
      </c>
      <c r="O3921">
        <f>IF(L3921="", "Pending", IF(N3921&lt;=30, "Met", "Breached"))</f>
        <v/>
      </c>
    </row>
    <row r="3922">
      <c r="M3922" s="11">
        <f>B3922+30</f>
        <v/>
      </c>
      <c r="N3922">
        <f>IF(L3922="", "", L3922-B3922)</f>
        <v/>
      </c>
      <c r="O3922">
        <f>IF(L3922="", "Pending", IF(N3922&lt;=30, "Met", "Breached"))</f>
        <v/>
      </c>
    </row>
    <row r="3923">
      <c r="M3923" s="11">
        <f>B3923+30</f>
        <v/>
      </c>
      <c r="N3923">
        <f>IF(L3923="", "", L3923-B3923)</f>
        <v/>
      </c>
      <c r="O3923">
        <f>IF(L3923="", "Pending", IF(N3923&lt;=30, "Met", "Breached"))</f>
        <v/>
      </c>
    </row>
    <row r="3924">
      <c r="M3924" s="11">
        <f>B3924+30</f>
        <v/>
      </c>
      <c r="N3924">
        <f>IF(L3924="", "", L3924-B3924)</f>
        <v/>
      </c>
      <c r="O3924">
        <f>IF(L3924="", "Pending", IF(N3924&lt;=30, "Met", "Breached"))</f>
        <v/>
      </c>
    </row>
    <row r="3925">
      <c r="M3925" s="11">
        <f>B3925+30</f>
        <v/>
      </c>
      <c r="N3925">
        <f>IF(L3925="", "", L3925-B3925)</f>
        <v/>
      </c>
      <c r="O3925">
        <f>IF(L3925="", "Pending", IF(N3925&lt;=30, "Met", "Breached"))</f>
        <v/>
      </c>
    </row>
    <row r="3926">
      <c r="M3926" s="11">
        <f>B3926+30</f>
        <v/>
      </c>
      <c r="N3926">
        <f>IF(L3926="", "", L3926-B3926)</f>
        <v/>
      </c>
      <c r="O3926">
        <f>IF(L3926="", "Pending", IF(N3926&lt;=30, "Met", "Breached"))</f>
        <v/>
      </c>
    </row>
    <row r="3927">
      <c r="M3927" s="11">
        <f>B3927+30</f>
        <v/>
      </c>
      <c r="N3927">
        <f>IF(L3927="", "", L3927-B3927)</f>
        <v/>
      </c>
      <c r="O3927">
        <f>IF(L3927="", "Pending", IF(N3927&lt;=30, "Met", "Breached"))</f>
        <v/>
      </c>
    </row>
    <row r="3928">
      <c r="M3928" s="11">
        <f>B3928+30</f>
        <v/>
      </c>
      <c r="N3928">
        <f>IF(L3928="", "", L3928-B3928)</f>
        <v/>
      </c>
      <c r="O3928">
        <f>IF(L3928="", "Pending", IF(N3928&lt;=30, "Met", "Breached"))</f>
        <v/>
      </c>
    </row>
    <row r="3929">
      <c r="M3929" s="11">
        <f>B3929+30</f>
        <v/>
      </c>
      <c r="N3929">
        <f>IF(L3929="", "", L3929-B3929)</f>
        <v/>
      </c>
      <c r="O3929">
        <f>IF(L3929="", "Pending", IF(N3929&lt;=30, "Met", "Breached"))</f>
        <v/>
      </c>
    </row>
    <row r="3930">
      <c r="M3930" s="11">
        <f>B3930+30</f>
        <v/>
      </c>
      <c r="N3930">
        <f>IF(L3930="", "", L3930-B3930)</f>
        <v/>
      </c>
      <c r="O3930">
        <f>IF(L3930="", "Pending", IF(N3930&lt;=30, "Met", "Breached"))</f>
        <v/>
      </c>
    </row>
    <row r="3931">
      <c r="M3931" s="11">
        <f>B3931+30</f>
        <v/>
      </c>
      <c r="N3931">
        <f>IF(L3931="", "", L3931-B3931)</f>
        <v/>
      </c>
      <c r="O3931">
        <f>IF(L3931="", "Pending", IF(N3931&lt;=30, "Met", "Breached"))</f>
        <v/>
      </c>
    </row>
    <row r="3932">
      <c r="M3932" s="11">
        <f>B3932+30</f>
        <v/>
      </c>
      <c r="N3932">
        <f>IF(L3932="", "", L3932-B3932)</f>
        <v/>
      </c>
      <c r="O3932">
        <f>IF(L3932="", "Pending", IF(N3932&lt;=30, "Met", "Breached"))</f>
        <v/>
      </c>
    </row>
    <row r="3933">
      <c r="M3933" s="11">
        <f>B3933+30</f>
        <v/>
      </c>
      <c r="N3933">
        <f>IF(L3933="", "", L3933-B3933)</f>
        <v/>
      </c>
      <c r="O3933">
        <f>IF(L3933="", "Pending", IF(N3933&lt;=30, "Met", "Breached"))</f>
        <v/>
      </c>
    </row>
    <row r="3934">
      <c r="M3934" s="11">
        <f>B3934+30</f>
        <v/>
      </c>
      <c r="N3934">
        <f>IF(L3934="", "", L3934-B3934)</f>
        <v/>
      </c>
      <c r="O3934">
        <f>IF(L3934="", "Pending", IF(N3934&lt;=30, "Met", "Breached"))</f>
        <v/>
      </c>
    </row>
    <row r="3935">
      <c r="M3935" s="11">
        <f>B3935+30</f>
        <v/>
      </c>
      <c r="N3935">
        <f>IF(L3935="", "", L3935-B3935)</f>
        <v/>
      </c>
      <c r="O3935">
        <f>IF(L3935="", "Pending", IF(N3935&lt;=30, "Met", "Breached"))</f>
        <v/>
      </c>
    </row>
    <row r="3936">
      <c r="M3936" s="11">
        <f>B3936+30</f>
        <v/>
      </c>
      <c r="N3936">
        <f>IF(L3936="", "", L3936-B3936)</f>
        <v/>
      </c>
      <c r="O3936">
        <f>IF(L3936="", "Pending", IF(N3936&lt;=30, "Met", "Breached"))</f>
        <v/>
      </c>
    </row>
    <row r="3937">
      <c r="M3937" s="11">
        <f>B3937+30</f>
        <v/>
      </c>
      <c r="N3937">
        <f>IF(L3937="", "", L3937-B3937)</f>
        <v/>
      </c>
      <c r="O3937">
        <f>IF(L3937="", "Pending", IF(N3937&lt;=30, "Met", "Breached"))</f>
        <v/>
      </c>
    </row>
    <row r="3938">
      <c r="M3938" s="11">
        <f>B3938+30</f>
        <v/>
      </c>
      <c r="N3938">
        <f>IF(L3938="", "", L3938-B3938)</f>
        <v/>
      </c>
      <c r="O3938">
        <f>IF(L3938="", "Pending", IF(N3938&lt;=30, "Met", "Breached"))</f>
        <v/>
      </c>
    </row>
    <row r="3939">
      <c r="M3939" s="11">
        <f>B3939+30</f>
        <v/>
      </c>
      <c r="N3939">
        <f>IF(L3939="", "", L3939-B3939)</f>
        <v/>
      </c>
      <c r="O3939">
        <f>IF(L3939="", "Pending", IF(N3939&lt;=30, "Met", "Breached"))</f>
        <v/>
      </c>
    </row>
    <row r="3940">
      <c r="M3940" s="11">
        <f>B3940+30</f>
        <v/>
      </c>
      <c r="N3940">
        <f>IF(L3940="", "", L3940-B3940)</f>
        <v/>
      </c>
      <c r="O3940">
        <f>IF(L3940="", "Pending", IF(N3940&lt;=30, "Met", "Breached"))</f>
        <v/>
      </c>
    </row>
    <row r="3941">
      <c r="M3941" s="11">
        <f>B3941+30</f>
        <v/>
      </c>
      <c r="N3941">
        <f>IF(L3941="", "", L3941-B3941)</f>
        <v/>
      </c>
      <c r="O3941">
        <f>IF(L3941="", "Pending", IF(N3941&lt;=30, "Met", "Breached"))</f>
        <v/>
      </c>
    </row>
    <row r="3942">
      <c r="M3942" s="11">
        <f>B3942+30</f>
        <v/>
      </c>
      <c r="N3942">
        <f>IF(L3942="", "", L3942-B3942)</f>
        <v/>
      </c>
      <c r="O3942">
        <f>IF(L3942="", "Pending", IF(N3942&lt;=30, "Met", "Breached"))</f>
        <v/>
      </c>
    </row>
    <row r="3943">
      <c r="M3943" s="11">
        <f>B3943+30</f>
        <v/>
      </c>
      <c r="N3943">
        <f>IF(L3943="", "", L3943-B3943)</f>
        <v/>
      </c>
      <c r="O3943">
        <f>IF(L3943="", "Pending", IF(N3943&lt;=30, "Met", "Breached"))</f>
        <v/>
      </c>
    </row>
    <row r="3944">
      <c r="M3944" s="11">
        <f>B3944+30</f>
        <v/>
      </c>
      <c r="N3944">
        <f>IF(L3944="", "", L3944-B3944)</f>
        <v/>
      </c>
      <c r="O3944">
        <f>IF(L3944="", "Pending", IF(N3944&lt;=30, "Met", "Breached"))</f>
        <v/>
      </c>
    </row>
    <row r="3945">
      <c r="M3945" s="11">
        <f>B3945+30</f>
        <v/>
      </c>
      <c r="N3945">
        <f>IF(L3945="", "", L3945-B3945)</f>
        <v/>
      </c>
      <c r="O3945">
        <f>IF(L3945="", "Pending", IF(N3945&lt;=30, "Met", "Breached"))</f>
        <v/>
      </c>
    </row>
    <row r="3946">
      <c r="M3946" s="11">
        <f>B3946+30</f>
        <v/>
      </c>
      <c r="N3946">
        <f>IF(L3946="", "", L3946-B3946)</f>
        <v/>
      </c>
      <c r="O3946">
        <f>IF(L3946="", "Pending", IF(N3946&lt;=30, "Met", "Breached"))</f>
        <v/>
      </c>
    </row>
    <row r="3947">
      <c r="M3947" s="11">
        <f>B3947+30</f>
        <v/>
      </c>
      <c r="N3947">
        <f>IF(L3947="", "", L3947-B3947)</f>
        <v/>
      </c>
      <c r="O3947">
        <f>IF(L3947="", "Pending", IF(N3947&lt;=30, "Met", "Breached"))</f>
        <v/>
      </c>
    </row>
    <row r="3948">
      <c r="M3948" s="11">
        <f>B3948+30</f>
        <v/>
      </c>
      <c r="N3948">
        <f>IF(L3948="", "", L3948-B3948)</f>
        <v/>
      </c>
      <c r="O3948">
        <f>IF(L3948="", "Pending", IF(N3948&lt;=30, "Met", "Breached"))</f>
        <v/>
      </c>
    </row>
    <row r="3949">
      <c r="M3949" s="11">
        <f>B3949+30</f>
        <v/>
      </c>
      <c r="N3949">
        <f>IF(L3949="", "", L3949-B3949)</f>
        <v/>
      </c>
      <c r="O3949">
        <f>IF(L3949="", "Pending", IF(N3949&lt;=30, "Met", "Breached"))</f>
        <v/>
      </c>
    </row>
    <row r="3950">
      <c r="M3950" s="11">
        <f>B3950+30</f>
        <v/>
      </c>
      <c r="N3950">
        <f>IF(L3950="", "", L3950-B3950)</f>
        <v/>
      </c>
      <c r="O3950">
        <f>IF(L3950="", "Pending", IF(N3950&lt;=30, "Met", "Breached"))</f>
        <v/>
      </c>
    </row>
    <row r="3951">
      <c r="M3951" s="11">
        <f>B3951+30</f>
        <v/>
      </c>
      <c r="N3951">
        <f>IF(L3951="", "", L3951-B3951)</f>
        <v/>
      </c>
      <c r="O3951">
        <f>IF(L3951="", "Pending", IF(N3951&lt;=30, "Met", "Breached"))</f>
        <v/>
      </c>
    </row>
    <row r="3952">
      <c r="M3952" s="11">
        <f>B3952+30</f>
        <v/>
      </c>
      <c r="N3952">
        <f>IF(L3952="", "", L3952-B3952)</f>
        <v/>
      </c>
      <c r="O3952">
        <f>IF(L3952="", "Pending", IF(N3952&lt;=30, "Met", "Breached"))</f>
        <v/>
      </c>
    </row>
    <row r="3953">
      <c r="M3953" s="11">
        <f>B3953+30</f>
        <v/>
      </c>
      <c r="N3953">
        <f>IF(L3953="", "", L3953-B3953)</f>
        <v/>
      </c>
      <c r="O3953">
        <f>IF(L3953="", "Pending", IF(N3953&lt;=30, "Met", "Breached"))</f>
        <v/>
      </c>
    </row>
    <row r="3954">
      <c r="M3954" s="11">
        <f>B3954+30</f>
        <v/>
      </c>
      <c r="N3954">
        <f>IF(L3954="", "", L3954-B3954)</f>
        <v/>
      </c>
      <c r="O3954">
        <f>IF(L3954="", "Pending", IF(N3954&lt;=30, "Met", "Breached"))</f>
        <v/>
      </c>
    </row>
    <row r="3955">
      <c r="M3955" s="11">
        <f>B3955+30</f>
        <v/>
      </c>
      <c r="N3955">
        <f>IF(L3955="", "", L3955-B3955)</f>
        <v/>
      </c>
      <c r="O3955">
        <f>IF(L3955="", "Pending", IF(N3955&lt;=30, "Met", "Breached"))</f>
        <v/>
      </c>
    </row>
    <row r="3956">
      <c r="M3956" s="11">
        <f>B3956+30</f>
        <v/>
      </c>
      <c r="N3956">
        <f>IF(L3956="", "", L3956-B3956)</f>
        <v/>
      </c>
      <c r="O3956">
        <f>IF(L3956="", "Pending", IF(N3956&lt;=30, "Met", "Breached"))</f>
        <v/>
      </c>
    </row>
    <row r="3957">
      <c r="M3957" s="11">
        <f>B3957+30</f>
        <v/>
      </c>
      <c r="N3957">
        <f>IF(L3957="", "", L3957-B3957)</f>
        <v/>
      </c>
      <c r="O3957">
        <f>IF(L3957="", "Pending", IF(N3957&lt;=30, "Met", "Breached"))</f>
        <v/>
      </c>
    </row>
    <row r="3958">
      <c r="M3958" s="11">
        <f>B3958+30</f>
        <v/>
      </c>
      <c r="N3958">
        <f>IF(L3958="", "", L3958-B3958)</f>
        <v/>
      </c>
      <c r="O3958">
        <f>IF(L3958="", "Pending", IF(N3958&lt;=30, "Met", "Breached"))</f>
        <v/>
      </c>
    </row>
    <row r="3959">
      <c r="M3959" s="11">
        <f>B3959+30</f>
        <v/>
      </c>
      <c r="N3959">
        <f>IF(L3959="", "", L3959-B3959)</f>
        <v/>
      </c>
      <c r="O3959">
        <f>IF(L3959="", "Pending", IF(N3959&lt;=30, "Met", "Breached"))</f>
        <v/>
      </c>
    </row>
    <row r="3960">
      <c r="M3960" s="11">
        <f>B3960+30</f>
        <v/>
      </c>
      <c r="N3960">
        <f>IF(L3960="", "", L3960-B3960)</f>
        <v/>
      </c>
      <c r="O3960">
        <f>IF(L3960="", "Pending", IF(N3960&lt;=30, "Met", "Breached"))</f>
        <v/>
      </c>
    </row>
    <row r="3961">
      <c r="M3961" s="11">
        <f>B3961+30</f>
        <v/>
      </c>
      <c r="N3961">
        <f>IF(L3961="", "", L3961-B3961)</f>
        <v/>
      </c>
      <c r="O3961">
        <f>IF(L3961="", "Pending", IF(N3961&lt;=30, "Met", "Breached"))</f>
        <v/>
      </c>
    </row>
    <row r="3962">
      <c r="M3962" s="11">
        <f>B3962+30</f>
        <v/>
      </c>
      <c r="N3962">
        <f>IF(L3962="", "", L3962-B3962)</f>
        <v/>
      </c>
      <c r="O3962">
        <f>IF(L3962="", "Pending", IF(N3962&lt;=30, "Met", "Breached"))</f>
        <v/>
      </c>
    </row>
    <row r="3963">
      <c r="M3963" s="11">
        <f>B3963+30</f>
        <v/>
      </c>
      <c r="N3963">
        <f>IF(L3963="", "", L3963-B3963)</f>
        <v/>
      </c>
      <c r="O3963">
        <f>IF(L3963="", "Pending", IF(N3963&lt;=30, "Met", "Breached"))</f>
        <v/>
      </c>
    </row>
    <row r="3964">
      <c r="M3964" s="11">
        <f>B3964+30</f>
        <v/>
      </c>
      <c r="N3964">
        <f>IF(L3964="", "", L3964-B3964)</f>
        <v/>
      </c>
      <c r="O3964">
        <f>IF(L3964="", "Pending", IF(N3964&lt;=30, "Met", "Breached"))</f>
        <v/>
      </c>
    </row>
    <row r="3965">
      <c r="M3965" s="11">
        <f>B3965+30</f>
        <v/>
      </c>
      <c r="N3965">
        <f>IF(L3965="", "", L3965-B3965)</f>
        <v/>
      </c>
      <c r="O3965">
        <f>IF(L3965="", "Pending", IF(N3965&lt;=30, "Met", "Breached"))</f>
        <v/>
      </c>
    </row>
    <row r="3966">
      <c r="M3966" s="11">
        <f>B3966+30</f>
        <v/>
      </c>
      <c r="N3966">
        <f>IF(L3966="", "", L3966-B3966)</f>
        <v/>
      </c>
      <c r="O3966">
        <f>IF(L3966="", "Pending", IF(N3966&lt;=30, "Met", "Breached"))</f>
        <v/>
      </c>
    </row>
    <row r="3967">
      <c r="M3967" s="11">
        <f>B3967+30</f>
        <v/>
      </c>
      <c r="N3967">
        <f>IF(L3967="", "", L3967-B3967)</f>
        <v/>
      </c>
      <c r="O3967">
        <f>IF(L3967="", "Pending", IF(N3967&lt;=30, "Met", "Breached"))</f>
        <v/>
      </c>
    </row>
    <row r="3968">
      <c r="M3968" s="11">
        <f>B3968+30</f>
        <v/>
      </c>
      <c r="N3968">
        <f>IF(L3968="", "", L3968-B3968)</f>
        <v/>
      </c>
      <c r="O3968">
        <f>IF(L3968="", "Pending", IF(N3968&lt;=30, "Met", "Breached"))</f>
        <v/>
      </c>
    </row>
    <row r="3969">
      <c r="M3969" s="11">
        <f>B3969+30</f>
        <v/>
      </c>
      <c r="N3969">
        <f>IF(L3969="", "", L3969-B3969)</f>
        <v/>
      </c>
      <c r="O3969">
        <f>IF(L3969="", "Pending", IF(N3969&lt;=30, "Met", "Breached"))</f>
        <v/>
      </c>
    </row>
    <row r="3970">
      <c r="M3970" s="11">
        <f>B3970+30</f>
        <v/>
      </c>
      <c r="N3970">
        <f>IF(L3970="", "", L3970-B3970)</f>
        <v/>
      </c>
      <c r="O3970">
        <f>IF(L3970="", "Pending", IF(N3970&lt;=30, "Met", "Breached"))</f>
        <v/>
      </c>
    </row>
    <row r="3971">
      <c r="M3971" s="11">
        <f>B3971+30</f>
        <v/>
      </c>
      <c r="N3971">
        <f>IF(L3971="", "", L3971-B3971)</f>
        <v/>
      </c>
      <c r="O3971">
        <f>IF(L3971="", "Pending", IF(N3971&lt;=30, "Met", "Breached"))</f>
        <v/>
      </c>
    </row>
    <row r="3972">
      <c r="M3972" s="11">
        <f>B3972+30</f>
        <v/>
      </c>
      <c r="N3972">
        <f>IF(L3972="", "", L3972-B3972)</f>
        <v/>
      </c>
      <c r="O3972">
        <f>IF(L3972="", "Pending", IF(N3972&lt;=30, "Met", "Breached"))</f>
        <v/>
      </c>
    </row>
    <row r="3973">
      <c r="M3973" s="11">
        <f>B3973+30</f>
        <v/>
      </c>
      <c r="N3973">
        <f>IF(L3973="", "", L3973-B3973)</f>
        <v/>
      </c>
      <c r="O3973">
        <f>IF(L3973="", "Pending", IF(N3973&lt;=30, "Met", "Breached"))</f>
        <v/>
      </c>
    </row>
    <row r="3974">
      <c r="M3974" s="11">
        <f>B3974+30</f>
        <v/>
      </c>
      <c r="N3974">
        <f>IF(L3974="", "", L3974-B3974)</f>
        <v/>
      </c>
      <c r="O3974">
        <f>IF(L3974="", "Pending", IF(N3974&lt;=30, "Met", "Breached"))</f>
        <v/>
      </c>
    </row>
    <row r="3975">
      <c r="M3975" s="11">
        <f>B3975+30</f>
        <v/>
      </c>
      <c r="N3975">
        <f>IF(L3975="", "", L3975-B3975)</f>
        <v/>
      </c>
      <c r="O3975">
        <f>IF(L3975="", "Pending", IF(N3975&lt;=30, "Met", "Breached"))</f>
        <v/>
      </c>
    </row>
    <row r="3976">
      <c r="M3976" s="11">
        <f>B3976+30</f>
        <v/>
      </c>
      <c r="N3976">
        <f>IF(L3976="", "", L3976-B3976)</f>
        <v/>
      </c>
      <c r="O3976">
        <f>IF(L3976="", "Pending", IF(N3976&lt;=30, "Met", "Breached"))</f>
        <v/>
      </c>
    </row>
    <row r="3977">
      <c r="M3977" s="11">
        <f>B3977+30</f>
        <v/>
      </c>
      <c r="N3977">
        <f>IF(L3977="", "", L3977-B3977)</f>
        <v/>
      </c>
      <c r="O3977">
        <f>IF(L3977="", "Pending", IF(N3977&lt;=30, "Met", "Breached"))</f>
        <v/>
      </c>
    </row>
    <row r="3978">
      <c r="M3978" s="11">
        <f>B3978+30</f>
        <v/>
      </c>
      <c r="N3978">
        <f>IF(L3978="", "", L3978-B3978)</f>
        <v/>
      </c>
      <c r="O3978">
        <f>IF(L3978="", "Pending", IF(N3978&lt;=30, "Met", "Breached"))</f>
        <v/>
      </c>
    </row>
    <row r="3979">
      <c r="M3979" s="11">
        <f>B3979+30</f>
        <v/>
      </c>
      <c r="N3979">
        <f>IF(L3979="", "", L3979-B3979)</f>
        <v/>
      </c>
      <c r="O3979">
        <f>IF(L3979="", "Pending", IF(N3979&lt;=30, "Met", "Breached"))</f>
        <v/>
      </c>
    </row>
    <row r="3980">
      <c r="M3980" s="11">
        <f>B3980+30</f>
        <v/>
      </c>
      <c r="N3980">
        <f>IF(L3980="", "", L3980-B3980)</f>
        <v/>
      </c>
      <c r="O3980">
        <f>IF(L3980="", "Pending", IF(N3980&lt;=30, "Met", "Breached"))</f>
        <v/>
      </c>
    </row>
    <row r="3981">
      <c r="M3981" s="11">
        <f>B3981+30</f>
        <v/>
      </c>
      <c r="N3981">
        <f>IF(L3981="", "", L3981-B3981)</f>
        <v/>
      </c>
      <c r="O3981">
        <f>IF(L3981="", "Pending", IF(N3981&lt;=30, "Met", "Breached"))</f>
        <v/>
      </c>
    </row>
    <row r="3982">
      <c r="M3982" s="11">
        <f>B3982+30</f>
        <v/>
      </c>
      <c r="N3982">
        <f>IF(L3982="", "", L3982-B3982)</f>
        <v/>
      </c>
      <c r="O3982">
        <f>IF(L3982="", "Pending", IF(N3982&lt;=30, "Met", "Breached"))</f>
        <v/>
      </c>
    </row>
    <row r="3983">
      <c r="M3983" s="11">
        <f>B3983+30</f>
        <v/>
      </c>
      <c r="N3983">
        <f>IF(L3983="", "", L3983-B3983)</f>
        <v/>
      </c>
      <c r="O3983">
        <f>IF(L3983="", "Pending", IF(N3983&lt;=30, "Met", "Breached"))</f>
        <v/>
      </c>
    </row>
    <row r="3984">
      <c r="M3984" s="11">
        <f>B3984+30</f>
        <v/>
      </c>
      <c r="N3984">
        <f>IF(L3984="", "", L3984-B3984)</f>
        <v/>
      </c>
      <c r="O3984">
        <f>IF(L3984="", "Pending", IF(N3984&lt;=30, "Met", "Breached"))</f>
        <v/>
      </c>
    </row>
    <row r="3985">
      <c r="M3985" s="11">
        <f>B3985+30</f>
        <v/>
      </c>
      <c r="N3985">
        <f>IF(L3985="", "", L3985-B3985)</f>
        <v/>
      </c>
      <c r="O3985">
        <f>IF(L3985="", "Pending", IF(N3985&lt;=30, "Met", "Breached"))</f>
        <v/>
      </c>
    </row>
    <row r="3986">
      <c r="M3986" s="11">
        <f>B3986+30</f>
        <v/>
      </c>
      <c r="N3986">
        <f>IF(L3986="", "", L3986-B3986)</f>
        <v/>
      </c>
      <c r="O3986">
        <f>IF(L3986="", "Pending", IF(N3986&lt;=30, "Met", "Breached"))</f>
        <v/>
      </c>
    </row>
    <row r="3987">
      <c r="M3987" s="11">
        <f>B3987+30</f>
        <v/>
      </c>
      <c r="N3987">
        <f>IF(L3987="", "", L3987-B3987)</f>
        <v/>
      </c>
      <c r="O3987">
        <f>IF(L3987="", "Pending", IF(N3987&lt;=30, "Met", "Breached"))</f>
        <v/>
      </c>
    </row>
    <row r="3988">
      <c r="M3988" s="11">
        <f>B3988+30</f>
        <v/>
      </c>
      <c r="N3988">
        <f>IF(L3988="", "", L3988-B3988)</f>
        <v/>
      </c>
      <c r="O3988">
        <f>IF(L3988="", "Pending", IF(N3988&lt;=30, "Met", "Breached"))</f>
        <v/>
      </c>
    </row>
    <row r="3989">
      <c r="M3989" s="11">
        <f>B3989+30</f>
        <v/>
      </c>
      <c r="N3989">
        <f>IF(L3989="", "", L3989-B3989)</f>
        <v/>
      </c>
      <c r="O3989">
        <f>IF(L3989="", "Pending", IF(N3989&lt;=30, "Met", "Breached"))</f>
        <v/>
      </c>
    </row>
    <row r="3990">
      <c r="M3990" s="11">
        <f>B3990+30</f>
        <v/>
      </c>
      <c r="N3990">
        <f>IF(L3990="", "", L3990-B3990)</f>
        <v/>
      </c>
      <c r="O3990">
        <f>IF(L3990="", "Pending", IF(N3990&lt;=30, "Met", "Breached"))</f>
        <v/>
      </c>
    </row>
    <row r="3991">
      <c r="M3991" s="11">
        <f>B3991+30</f>
        <v/>
      </c>
      <c r="N3991">
        <f>IF(L3991="", "", L3991-B3991)</f>
        <v/>
      </c>
      <c r="O3991">
        <f>IF(L3991="", "Pending", IF(N3991&lt;=30, "Met", "Breached"))</f>
        <v/>
      </c>
    </row>
    <row r="3992">
      <c r="M3992" s="11">
        <f>B3992+30</f>
        <v/>
      </c>
      <c r="N3992">
        <f>IF(L3992="", "", L3992-B3992)</f>
        <v/>
      </c>
      <c r="O3992">
        <f>IF(L3992="", "Pending", IF(N3992&lt;=30, "Met", "Breached"))</f>
        <v/>
      </c>
    </row>
    <row r="3993">
      <c r="M3993" s="11">
        <f>B3993+30</f>
        <v/>
      </c>
      <c r="N3993">
        <f>IF(L3993="", "", L3993-B3993)</f>
        <v/>
      </c>
      <c r="O3993">
        <f>IF(L3993="", "Pending", IF(N3993&lt;=30, "Met", "Breached"))</f>
        <v/>
      </c>
    </row>
    <row r="3994">
      <c r="M3994" s="11">
        <f>B3994+30</f>
        <v/>
      </c>
      <c r="N3994">
        <f>IF(L3994="", "", L3994-B3994)</f>
        <v/>
      </c>
      <c r="O3994">
        <f>IF(L3994="", "Pending", IF(N3994&lt;=30, "Met", "Breached"))</f>
        <v/>
      </c>
    </row>
    <row r="3995">
      <c r="M3995" s="11">
        <f>B3995+30</f>
        <v/>
      </c>
      <c r="N3995">
        <f>IF(L3995="", "", L3995-B3995)</f>
        <v/>
      </c>
      <c r="O3995">
        <f>IF(L3995="", "Pending", IF(N3995&lt;=30, "Met", "Breached"))</f>
        <v/>
      </c>
    </row>
    <row r="3996">
      <c r="M3996" s="11">
        <f>B3996+30</f>
        <v/>
      </c>
      <c r="N3996">
        <f>IF(L3996="", "", L3996-B3996)</f>
        <v/>
      </c>
      <c r="O3996">
        <f>IF(L3996="", "Pending", IF(N3996&lt;=30, "Met", "Breached"))</f>
        <v/>
      </c>
    </row>
    <row r="3997">
      <c r="M3997" s="11">
        <f>B3997+30</f>
        <v/>
      </c>
      <c r="N3997">
        <f>IF(L3997="", "", L3997-B3997)</f>
        <v/>
      </c>
      <c r="O3997">
        <f>IF(L3997="", "Pending", IF(N3997&lt;=30, "Met", "Breached"))</f>
        <v/>
      </c>
    </row>
    <row r="3998">
      <c r="M3998" s="11">
        <f>B3998+30</f>
        <v/>
      </c>
      <c r="N3998">
        <f>IF(L3998="", "", L3998-B3998)</f>
        <v/>
      </c>
      <c r="O3998">
        <f>IF(L3998="", "Pending", IF(N3998&lt;=30, "Met", "Breached"))</f>
        <v/>
      </c>
    </row>
    <row r="3999">
      <c r="M3999" s="11">
        <f>B3999+30</f>
        <v/>
      </c>
      <c r="N3999">
        <f>IF(L3999="", "", L3999-B3999)</f>
        <v/>
      </c>
      <c r="O3999">
        <f>IF(L3999="", "Pending", IF(N3999&lt;=30, "Met", "Breached"))</f>
        <v/>
      </c>
    </row>
    <row r="4000">
      <c r="M4000" s="11">
        <f>B4000+30</f>
        <v/>
      </c>
      <c r="N4000">
        <f>IF(L4000="", "", L4000-B4000)</f>
        <v/>
      </c>
      <c r="O4000">
        <f>IF(L4000="", "Pending", IF(N4000&lt;=30, "Met", "Breached"))</f>
        <v/>
      </c>
    </row>
    <row r="4001">
      <c r="M4001" s="11">
        <f>B4001+30</f>
        <v/>
      </c>
      <c r="N4001">
        <f>IF(L4001="", "", L4001-B4001)</f>
        <v/>
      </c>
      <c r="O4001">
        <f>IF(L4001="", "Pending", IF(N4001&lt;=30, "Met", "Breached"))</f>
        <v/>
      </c>
    </row>
    <row r="4002">
      <c r="M4002" s="11">
        <f>B4002+30</f>
        <v/>
      </c>
      <c r="N4002">
        <f>IF(L4002="", "", L4002-B4002)</f>
        <v/>
      </c>
      <c r="O4002">
        <f>IF(L4002="", "Pending", IF(N4002&lt;=30, "Met", "Breached"))</f>
        <v/>
      </c>
    </row>
    <row r="4003">
      <c r="M4003" s="11">
        <f>B4003+30</f>
        <v/>
      </c>
      <c r="N4003">
        <f>IF(L4003="", "", L4003-B4003)</f>
        <v/>
      </c>
      <c r="O4003">
        <f>IF(L4003="", "Pending", IF(N4003&lt;=30, "Met", "Breached"))</f>
        <v/>
      </c>
    </row>
    <row r="4004">
      <c r="M4004" s="11">
        <f>B4004+30</f>
        <v/>
      </c>
      <c r="N4004">
        <f>IF(L4004="", "", L4004-B4004)</f>
        <v/>
      </c>
      <c r="O4004">
        <f>IF(L4004="", "Pending", IF(N4004&lt;=30, "Met", "Breached"))</f>
        <v/>
      </c>
    </row>
    <row r="4005">
      <c r="M4005" s="11">
        <f>B4005+30</f>
        <v/>
      </c>
      <c r="N4005">
        <f>IF(L4005="", "", L4005-B4005)</f>
        <v/>
      </c>
      <c r="O4005">
        <f>IF(L4005="", "Pending", IF(N4005&lt;=30, "Met", "Breached"))</f>
        <v/>
      </c>
    </row>
    <row r="4006">
      <c r="M4006" s="11">
        <f>B4006+30</f>
        <v/>
      </c>
      <c r="N4006">
        <f>IF(L4006="", "", L4006-B4006)</f>
        <v/>
      </c>
      <c r="O4006">
        <f>IF(L4006="", "Pending", IF(N4006&lt;=30, "Met", "Breached"))</f>
        <v/>
      </c>
    </row>
    <row r="4007">
      <c r="M4007" s="11">
        <f>B4007+30</f>
        <v/>
      </c>
      <c r="N4007">
        <f>IF(L4007="", "", L4007-B4007)</f>
        <v/>
      </c>
      <c r="O4007">
        <f>IF(L4007="", "Pending", IF(N4007&lt;=30, "Met", "Breached"))</f>
        <v/>
      </c>
    </row>
    <row r="4008">
      <c r="M4008" s="11">
        <f>B4008+30</f>
        <v/>
      </c>
      <c r="N4008">
        <f>IF(L4008="", "", L4008-B4008)</f>
        <v/>
      </c>
      <c r="O4008">
        <f>IF(L4008="", "Pending", IF(N4008&lt;=30, "Met", "Breached"))</f>
        <v/>
      </c>
    </row>
    <row r="4009">
      <c r="M4009" s="11">
        <f>B4009+30</f>
        <v/>
      </c>
      <c r="N4009">
        <f>IF(L4009="", "", L4009-B4009)</f>
        <v/>
      </c>
      <c r="O4009">
        <f>IF(L4009="", "Pending", IF(N4009&lt;=30, "Met", "Breached"))</f>
        <v/>
      </c>
    </row>
    <row r="4010">
      <c r="M4010" s="11">
        <f>B4010+30</f>
        <v/>
      </c>
      <c r="N4010">
        <f>IF(L4010="", "", L4010-B4010)</f>
        <v/>
      </c>
      <c r="O4010">
        <f>IF(L4010="", "Pending", IF(N4010&lt;=30, "Met", "Breached"))</f>
        <v/>
      </c>
    </row>
    <row r="4011">
      <c r="M4011" s="11">
        <f>B4011+30</f>
        <v/>
      </c>
      <c r="N4011">
        <f>IF(L4011="", "", L4011-B4011)</f>
        <v/>
      </c>
      <c r="O4011">
        <f>IF(L4011="", "Pending", IF(N4011&lt;=30, "Met", "Breached"))</f>
        <v/>
      </c>
    </row>
    <row r="4012">
      <c r="M4012" s="11">
        <f>B4012+30</f>
        <v/>
      </c>
      <c r="N4012">
        <f>IF(L4012="", "", L4012-B4012)</f>
        <v/>
      </c>
      <c r="O4012">
        <f>IF(L4012="", "Pending", IF(N4012&lt;=30, "Met", "Breached"))</f>
        <v/>
      </c>
    </row>
    <row r="4013">
      <c r="M4013" s="11">
        <f>B4013+30</f>
        <v/>
      </c>
      <c r="N4013">
        <f>IF(L4013="", "", L4013-B4013)</f>
        <v/>
      </c>
      <c r="O4013">
        <f>IF(L4013="", "Pending", IF(N4013&lt;=30, "Met", "Breached"))</f>
        <v/>
      </c>
    </row>
    <row r="4014">
      <c r="M4014" s="11">
        <f>B4014+30</f>
        <v/>
      </c>
      <c r="N4014">
        <f>IF(L4014="", "", L4014-B4014)</f>
        <v/>
      </c>
      <c r="O4014">
        <f>IF(L4014="", "Pending", IF(N4014&lt;=30, "Met", "Breached"))</f>
        <v/>
      </c>
    </row>
    <row r="4015">
      <c r="M4015" s="11">
        <f>B4015+30</f>
        <v/>
      </c>
      <c r="N4015">
        <f>IF(L4015="", "", L4015-B4015)</f>
        <v/>
      </c>
      <c r="O4015">
        <f>IF(L4015="", "Pending", IF(N4015&lt;=30, "Met", "Breached"))</f>
        <v/>
      </c>
    </row>
    <row r="4016">
      <c r="M4016" s="11">
        <f>B4016+30</f>
        <v/>
      </c>
      <c r="N4016">
        <f>IF(L4016="", "", L4016-B4016)</f>
        <v/>
      </c>
      <c r="O4016">
        <f>IF(L4016="", "Pending", IF(N4016&lt;=30, "Met", "Breached"))</f>
        <v/>
      </c>
    </row>
    <row r="4017">
      <c r="M4017" s="11">
        <f>B4017+30</f>
        <v/>
      </c>
      <c r="N4017">
        <f>IF(L4017="", "", L4017-B4017)</f>
        <v/>
      </c>
      <c r="O4017">
        <f>IF(L4017="", "Pending", IF(N4017&lt;=30, "Met", "Breached"))</f>
        <v/>
      </c>
    </row>
    <row r="4018">
      <c r="M4018" s="11">
        <f>B4018+30</f>
        <v/>
      </c>
      <c r="N4018">
        <f>IF(L4018="", "", L4018-B4018)</f>
        <v/>
      </c>
      <c r="O4018">
        <f>IF(L4018="", "Pending", IF(N4018&lt;=30, "Met", "Breached"))</f>
        <v/>
      </c>
    </row>
    <row r="4019">
      <c r="M4019" s="11">
        <f>B4019+30</f>
        <v/>
      </c>
      <c r="N4019">
        <f>IF(L4019="", "", L4019-B4019)</f>
        <v/>
      </c>
      <c r="O4019">
        <f>IF(L4019="", "Pending", IF(N4019&lt;=30, "Met", "Breached"))</f>
        <v/>
      </c>
    </row>
    <row r="4020">
      <c r="M4020" s="11">
        <f>B4020+30</f>
        <v/>
      </c>
      <c r="N4020">
        <f>IF(L4020="", "", L4020-B4020)</f>
        <v/>
      </c>
      <c r="O4020">
        <f>IF(L4020="", "Pending", IF(N4020&lt;=30, "Met", "Breached"))</f>
        <v/>
      </c>
    </row>
    <row r="4021">
      <c r="M4021" s="11">
        <f>B4021+30</f>
        <v/>
      </c>
      <c r="N4021">
        <f>IF(L4021="", "", L4021-B4021)</f>
        <v/>
      </c>
      <c r="O4021">
        <f>IF(L4021="", "Pending", IF(N4021&lt;=30, "Met", "Breached"))</f>
        <v/>
      </c>
    </row>
    <row r="4022">
      <c r="M4022" s="11">
        <f>B4022+30</f>
        <v/>
      </c>
      <c r="N4022">
        <f>IF(L4022="", "", L4022-B4022)</f>
        <v/>
      </c>
      <c r="O4022">
        <f>IF(L4022="", "Pending", IF(N4022&lt;=30, "Met", "Breached"))</f>
        <v/>
      </c>
    </row>
    <row r="4023">
      <c r="M4023" s="11">
        <f>B4023+30</f>
        <v/>
      </c>
      <c r="N4023">
        <f>IF(L4023="", "", L4023-B4023)</f>
        <v/>
      </c>
      <c r="O4023">
        <f>IF(L4023="", "Pending", IF(N4023&lt;=30, "Met", "Breached"))</f>
        <v/>
      </c>
    </row>
    <row r="4024">
      <c r="M4024" s="11">
        <f>B4024+30</f>
        <v/>
      </c>
      <c r="N4024">
        <f>IF(L4024="", "", L4024-B4024)</f>
        <v/>
      </c>
      <c r="O4024">
        <f>IF(L4024="", "Pending", IF(N4024&lt;=30, "Met", "Breached"))</f>
        <v/>
      </c>
    </row>
    <row r="4025">
      <c r="M4025" s="11">
        <f>B4025+30</f>
        <v/>
      </c>
      <c r="N4025">
        <f>IF(L4025="", "", L4025-B4025)</f>
        <v/>
      </c>
      <c r="O4025">
        <f>IF(L4025="", "Pending", IF(N4025&lt;=30, "Met", "Breached"))</f>
        <v/>
      </c>
    </row>
    <row r="4026">
      <c r="M4026" s="11">
        <f>B4026+30</f>
        <v/>
      </c>
      <c r="N4026">
        <f>IF(L4026="", "", L4026-B4026)</f>
        <v/>
      </c>
      <c r="O4026">
        <f>IF(L4026="", "Pending", IF(N4026&lt;=30, "Met", "Breached"))</f>
        <v/>
      </c>
    </row>
    <row r="4027">
      <c r="M4027" s="11">
        <f>B4027+30</f>
        <v/>
      </c>
      <c r="N4027">
        <f>IF(L4027="", "", L4027-B4027)</f>
        <v/>
      </c>
      <c r="O4027">
        <f>IF(L4027="", "Pending", IF(N4027&lt;=30, "Met", "Breached"))</f>
        <v/>
      </c>
    </row>
    <row r="4028">
      <c r="M4028" s="11">
        <f>B4028+30</f>
        <v/>
      </c>
      <c r="N4028">
        <f>IF(L4028="", "", L4028-B4028)</f>
        <v/>
      </c>
      <c r="O4028">
        <f>IF(L4028="", "Pending", IF(N4028&lt;=30, "Met", "Breached"))</f>
        <v/>
      </c>
    </row>
    <row r="4029">
      <c r="M4029" s="11">
        <f>B4029+30</f>
        <v/>
      </c>
      <c r="N4029">
        <f>IF(L4029="", "", L4029-B4029)</f>
        <v/>
      </c>
      <c r="O4029">
        <f>IF(L4029="", "Pending", IF(N4029&lt;=30, "Met", "Breached"))</f>
        <v/>
      </c>
    </row>
    <row r="4030">
      <c r="M4030" s="11">
        <f>B4030+30</f>
        <v/>
      </c>
      <c r="N4030">
        <f>IF(L4030="", "", L4030-B4030)</f>
        <v/>
      </c>
      <c r="O4030">
        <f>IF(L4030="", "Pending", IF(N4030&lt;=30, "Met", "Breached"))</f>
        <v/>
      </c>
    </row>
    <row r="4031">
      <c r="M4031" s="11">
        <f>B4031+30</f>
        <v/>
      </c>
      <c r="N4031">
        <f>IF(L4031="", "", L4031-B4031)</f>
        <v/>
      </c>
      <c r="O4031">
        <f>IF(L4031="", "Pending", IF(N4031&lt;=30, "Met", "Breached"))</f>
        <v/>
      </c>
    </row>
    <row r="4032">
      <c r="M4032" s="11">
        <f>B4032+30</f>
        <v/>
      </c>
      <c r="N4032">
        <f>IF(L4032="", "", L4032-B4032)</f>
        <v/>
      </c>
      <c r="O4032">
        <f>IF(L4032="", "Pending", IF(N4032&lt;=30, "Met", "Breached"))</f>
        <v/>
      </c>
    </row>
    <row r="4033">
      <c r="M4033" s="11">
        <f>B4033+30</f>
        <v/>
      </c>
      <c r="N4033">
        <f>IF(L4033="", "", L4033-B4033)</f>
        <v/>
      </c>
      <c r="O4033">
        <f>IF(L4033="", "Pending", IF(N4033&lt;=30, "Met", "Breached"))</f>
        <v/>
      </c>
    </row>
    <row r="4034">
      <c r="M4034" s="11">
        <f>B4034+30</f>
        <v/>
      </c>
      <c r="N4034">
        <f>IF(L4034="", "", L4034-B4034)</f>
        <v/>
      </c>
      <c r="O4034">
        <f>IF(L4034="", "Pending", IF(N4034&lt;=30, "Met", "Breached"))</f>
        <v/>
      </c>
    </row>
    <row r="4035">
      <c r="M4035" s="11">
        <f>B4035+30</f>
        <v/>
      </c>
      <c r="N4035">
        <f>IF(L4035="", "", L4035-B4035)</f>
        <v/>
      </c>
      <c r="O4035">
        <f>IF(L4035="", "Pending", IF(N4035&lt;=30, "Met", "Breached"))</f>
        <v/>
      </c>
    </row>
    <row r="4036">
      <c r="M4036" s="11">
        <f>B4036+30</f>
        <v/>
      </c>
      <c r="N4036">
        <f>IF(L4036="", "", L4036-B4036)</f>
        <v/>
      </c>
      <c r="O4036">
        <f>IF(L4036="", "Pending", IF(N4036&lt;=30, "Met", "Breached"))</f>
        <v/>
      </c>
    </row>
    <row r="4037">
      <c r="M4037" s="11">
        <f>B4037+30</f>
        <v/>
      </c>
      <c r="N4037">
        <f>IF(L4037="", "", L4037-B4037)</f>
        <v/>
      </c>
      <c r="O4037">
        <f>IF(L4037="", "Pending", IF(N4037&lt;=30, "Met", "Breached"))</f>
        <v/>
      </c>
    </row>
    <row r="4038">
      <c r="M4038" s="11">
        <f>B4038+30</f>
        <v/>
      </c>
      <c r="N4038">
        <f>IF(L4038="", "", L4038-B4038)</f>
        <v/>
      </c>
      <c r="O4038">
        <f>IF(L4038="", "Pending", IF(N4038&lt;=30, "Met", "Breached"))</f>
        <v/>
      </c>
    </row>
    <row r="4039">
      <c r="M4039" s="11">
        <f>B4039+30</f>
        <v/>
      </c>
      <c r="N4039">
        <f>IF(L4039="", "", L4039-B4039)</f>
        <v/>
      </c>
      <c r="O4039">
        <f>IF(L4039="", "Pending", IF(N4039&lt;=30, "Met", "Breached"))</f>
        <v/>
      </c>
    </row>
    <row r="4040">
      <c r="M4040" s="11">
        <f>B4040+30</f>
        <v/>
      </c>
      <c r="N4040">
        <f>IF(L4040="", "", L4040-B4040)</f>
        <v/>
      </c>
      <c r="O4040">
        <f>IF(L4040="", "Pending", IF(N4040&lt;=30, "Met", "Breached"))</f>
        <v/>
      </c>
    </row>
    <row r="4041">
      <c r="M4041" s="11">
        <f>B4041+30</f>
        <v/>
      </c>
      <c r="N4041">
        <f>IF(L4041="", "", L4041-B4041)</f>
        <v/>
      </c>
      <c r="O4041">
        <f>IF(L4041="", "Pending", IF(N4041&lt;=30, "Met", "Breached"))</f>
        <v/>
      </c>
    </row>
    <row r="4042">
      <c r="M4042" s="11">
        <f>B4042+30</f>
        <v/>
      </c>
      <c r="N4042">
        <f>IF(L4042="", "", L4042-B4042)</f>
        <v/>
      </c>
      <c r="O4042">
        <f>IF(L4042="", "Pending", IF(N4042&lt;=30, "Met", "Breached"))</f>
        <v/>
      </c>
    </row>
    <row r="4043">
      <c r="M4043" s="11">
        <f>B4043+30</f>
        <v/>
      </c>
      <c r="N4043">
        <f>IF(L4043="", "", L4043-B4043)</f>
        <v/>
      </c>
      <c r="O4043">
        <f>IF(L4043="", "Pending", IF(N4043&lt;=30, "Met", "Breached"))</f>
        <v/>
      </c>
    </row>
    <row r="4044">
      <c r="M4044" s="11">
        <f>B4044+30</f>
        <v/>
      </c>
      <c r="N4044">
        <f>IF(L4044="", "", L4044-B4044)</f>
        <v/>
      </c>
      <c r="O4044">
        <f>IF(L4044="", "Pending", IF(N4044&lt;=30, "Met", "Breached"))</f>
        <v/>
      </c>
    </row>
    <row r="4045">
      <c r="M4045" s="11">
        <f>B4045+30</f>
        <v/>
      </c>
      <c r="N4045">
        <f>IF(L4045="", "", L4045-B4045)</f>
        <v/>
      </c>
      <c r="O4045">
        <f>IF(L4045="", "Pending", IF(N4045&lt;=30, "Met", "Breached"))</f>
        <v/>
      </c>
    </row>
    <row r="4046">
      <c r="M4046" s="11">
        <f>B4046+30</f>
        <v/>
      </c>
      <c r="N4046">
        <f>IF(L4046="", "", L4046-B4046)</f>
        <v/>
      </c>
      <c r="O4046">
        <f>IF(L4046="", "Pending", IF(N4046&lt;=30, "Met", "Breached"))</f>
        <v/>
      </c>
    </row>
    <row r="4047">
      <c r="M4047" s="11">
        <f>B4047+30</f>
        <v/>
      </c>
      <c r="N4047">
        <f>IF(L4047="", "", L4047-B4047)</f>
        <v/>
      </c>
      <c r="O4047">
        <f>IF(L4047="", "Pending", IF(N4047&lt;=30, "Met", "Breached"))</f>
        <v/>
      </c>
    </row>
    <row r="4048">
      <c r="M4048" s="11">
        <f>B4048+30</f>
        <v/>
      </c>
      <c r="N4048">
        <f>IF(L4048="", "", L4048-B4048)</f>
        <v/>
      </c>
      <c r="O4048">
        <f>IF(L4048="", "Pending", IF(N4048&lt;=30, "Met", "Breached"))</f>
        <v/>
      </c>
    </row>
    <row r="4049">
      <c r="M4049" s="11">
        <f>B4049+30</f>
        <v/>
      </c>
      <c r="N4049">
        <f>IF(L4049="", "", L4049-B4049)</f>
        <v/>
      </c>
      <c r="O4049">
        <f>IF(L4049="", "Pending", IF(N4049&lt;=30, "Met", "Breached"))</f>
        <v/>
      </c>
    </row>
    <row r="4050">
      <c r="M4050" s="11">
        <f>B4050+30</f>
        <v/>
      </c>
      <c r="N4050">
        <f>IF(L4050="", "", L4050-B4050)</f>
        <v/>
      </c>
      <c r="O4050">
        <f>IF(L4050="", "Pending", IF(N4050&lt;=30, "Met", "Breached"))</f>
        <v/>
      </c>
    </row>
    <row r="4051">
      <c r="M4051" s="11">
        <f>B4051+30</f>
        <v/>
      </c>
      <c r="N4051">
        <f>IF(L4051="", "", L4051-B4051)</f>
        <v/>
      </c>
      <c r="O4051">
        <f>IF(L4051="", "Pending", IF(N4051&lt;=30, "Met", "Breached"))</f>
        <v/>
      </c>
    </row>
    <row r="4052">
      <c r="M4052" s="11">
        <f>B4052+30</f>
        <v/>
      </c>
      <c r="N4052">
        <f>IF(L4052="", "", L4052-B4052)</f>
        <v/>
      </c>
      <c r="O4052">
        <f>IF(L4052="", "Pending", IF(N4052&lt;=30, "Met", "Breached"))</f>
        <v/>
      </c>
    </row>
    <row r="4053">
      <c r="M4053" s="11">
        <f>B4053+30</f>
        <v/>
      </c>
      <c r="N4053">
        <f>IF(L4053="", "", L4053-B4053)</f>
        <v/>
      </c>
      <c r="O4053">
        <f>IF(L4053="", "Pending", IF(N4053&lt;=30, "Met", "Breached"))</f>
        <v/>
      </c>
    </row>
    <row r="4054">
      <c r="M4054" s="11">
        <f>B4054+30</f>
        <v/>
      </c>
      <c r="N4054">
        <f>IF(L4054="", "", L4054-B4054)</f>
        <v/>
      </c>
      <c r="O4054">
        <f>IF(L4054="", "Pending", IF(N4054&lt;=30, "Met", "Breached"))</f>
        <v/>
      </c>
    </row>
    <row r="4055">
      <c r="M4055" s="11">
        <f>B4055+30</f>
        <v/>
      </c>
      <c r="N4055">
        <f>IF(L4055="", "", L4055-B4055)</f>
        <v/>
      </c>
      <c r="O4055">
        <f>IF(L4055="", "Pending", IF(N4055&lt;=30, "Met", "Breached"))</f>
        <v/>
      </c>
    </row>
    <row r="4056">
      <c r="M4056" s="11">
        <f>B4056+30</f>
        <v/>
      </c>
      <c r="N4056">
        <f>IF(L4056="", "", L4056-B4056)</f>
        <v/>
      </c>
      <c r="O4056">
        <f>IF(L4056="", "Pending", IF(N4056&lt;=30, "Met", "Breached"))</f>
        <v/>
      </c>
    </row>
    <row r="4057">
      <c r="M4057" s="11">
        <f>B4057+30</f>
        <v/>
      </c>
      <c r="N4057">
        <f>IF(L4057="", "", L4057-B4057)</f>
        <v/>
      </c>
      <c r="O4057">
        <f>IF(L4057="", "Pending", IF(N4057&lt;=30, "Met", "Breached"))</f>
        <v/>
      </c>
    </row>
    <row r="4058">
      <c r="M4058" s="11">
        <f>B4058+30</f>
        <v/>
      </c>
      <c r="N4058">
        <f>IF(L4058="", "", L4058-B4058)</f>
        <v/>
      </c>
      <c r="O4058">
        <f>IF(L4058="", "Pending", IF(N4058&lt;=30, "Met", "Breached"))</f>
        <v/>
      </c>
    </row>
    <row r="4059">
      <c r="M4059" s="11">
        <f>B4059+30</f>
        <v/>
      </c>
      <c r="N4059">
        <f>IF(L4059="", "", L4059-B4059)</f>
        <v/>
      </c>
      <c r="O4059">
        <f>IF(L4059="", "Pending", IF(N4059&lt;=30, "Met", "Breached"))</f>
        <v/>
      </c>
    </row>
    <row r="4060">
      <c r="M4060" s="11">
        <f>B4060+30</f>
        <v/>
      </c>
      <c r="N4060">
        <f>IF(L4060="", "", L4060-B4060)</f>
        <v/>
      </c>
      <c r="O4060">
        <f>IF(L4060="", "Pending", IF(N4060&lt;=30, "Met", "Breached"))</f>
        <v/>
      </c>
    </row>
    <row r="4061">
      <c r="M4061" s="11">
        <f>B4061+30</f>
        <v/>
      </c>
      <c r="N4061">
        <f>IF(L4061="", "", L4061-B4061)</f>
        <v/>
      </c>
      <c r="O4061">
        <f>IF(L4061="", "Pending", IF(N4061&lt;=30, "Met", "Breached"))</f>
        <v/>
      </c>
    </row>
    <row r="4062">
      <c r="M4062" s="11">
        <f>B4062+30</f>
        <v/>
      </c>
      <c r="N4062">
        <f>IF(L4062="", "", L4062-B4062)</f>
        <v/>
      </c>
      <c r="O4062">
        <f>IF(L4062="", "Pending", IF(N4062&lt;=30, "Met", "Breached"))</f>
        <v/>
      </c>
    </row>
    <row r="4063">
      <c r="M4063" s="11">
        <f>B4063+30</f>
        <v/>
      </c>
      <c r="N4063">
        <f>IF(L4063="", "", L4063-B4063)</f>
        <v/>
      </c>
      <c r="O4063">
        <f>IF(L4063="", "Pending", IF(N4063&lt;=30, "Met", "Breached"))</f>
        <v/>
      </c>
    </row>
    <row r="4064">
      <c r="M4064" s="11">
        <f>B4064+30</f>
        <v/>
      </c>
      <c r="N4064">
        <f>IF(L4064="", "", L4064-B4064)</f>
        <v/>
      </c>
      <c r="O4064">
        <f>IF(L4064="", "Pending", IF(N4064&lt;=30, "Met", "Breached"))</f>
        <v/>
      </c>
    </row>
    <row r="4065">
      <c r="M4065" s="11">
        <f>B4065+30</f>
        <v/>
      </c>
      <c r="N4065">
        <f>IF(L4065="", "", L4065-B4065)</f>
        <v/>
      </c>
      <c r="O4065">
        <f>IF(L4065="", "Pending", IF(N4065&lt;=30, "Met", "Breached"))</f>
        <v/>
      </c>
    </row>
    <row r="4066">
      <c r="M4066" s="11">
        <f>B4066+30</f>
        <v/>
      </c>
      <c r="N4066">
        <f>IF(L4066="", "", L4066-B4066)</f>
        <v/>
      </c>
      <c r="O4066">
        <f>IF(L4066="", "Pending", IF(N4066&lt;=30, "Met", "Breached"))</f>
        <v/>
      </c>
    </row>
    <row r="4067">
      <c r="M4067" s="11">
        <f>B4067+30</f>
        <v/>
      </c>
      <c r="N4067">
        <f>IF(L4067="", "", L4067-B4067)</f>
        <v/>
      </c>
      <c r="O4067">
        <f>IF(L4067="", "Pending", IF(N4067&lt;=30, "Met", "Breached"))</f>
        <v/>
      </c>
    </row>
    <row r="4068">
      <c r="M4068" s="11">
        <f>B4068+30</f>
        <v/>
      </c>
      <c r="N4068">
        <f>IF(L4068="", "", L4068-B4068)</f>
        <v/>
      </c>
      <c r="O4068">
        <f>IF(L4068="", "Pending", IF(N4068&lt;=30, "Met", "Breached"))</f>
        <v/>
      </c>
    </row>
    <row r="4069">
      <c r="M4069" s="11">
        <f>B4069+30</f>
        <v/>
      </c>
      <c r="N4069">
        <f>IF(L4069="", "", L4069-B4069)</f>
        <v/>
      </c>
      <c r="O4069">
        <f>IF(L4069="", "Pending", IF(N4069&lt;=30, "Met", "Breached"))</f>
        <v/>
      </c>
    </row>
    <row r="4070">
      <c r="M4070" s="11">
        <f>B4070+30</f>
        <v/>
      </c>
      <c r="N4070">
        <f>IF(L4070="", "", L4070-B4070)</f>
        <v/>
      </c>
      <c r="O4070">
        <f>IF(L4070="", "Pending", IF(N4070&lt;=30, "Met", "Breached"))</f>
        <v/>
      </c>
    </row>
    <row r="4071">
      <c r="M4071" s="11">
        <f>B4071+30</f>
        <v/>
      </c>
      <c r="N4071">
        <f>IF(L4071="", "", L4071-B4071)</f>
        <v/>
      </c>
      <c r="O4071">
        <f>IF(L4071="", "Pending", IF(N4071&lt;=30, "Met", "Breached"))</f>
        <v/>
      </c>
    </row>
    <row r="4072">
      <c r="M4072" s="11">
        <f>B4072+30</f>
        <v/>
      </c>
      <c r="N4072">
        <f>IF(L4072="", "", L4072-B4072)</f>
        <v/>
      </c>
      <c r="O4072">
        <f>IF(L4072="", "Pending", IF(N4072&lt;=30, "Met", "Breached"))</f>
        <v/>
      </c>
    </row>
    <row r="4073">
      <c r="M4073" s="11">
        <f>B4073+30</f>
        <v/>
      </c>
      <c r="N4073">
        <f>IF(L4073="", "", L4073-B4073)</f>
        <v/>
      </c>
      <c r="O4073">
        <f>IF(L4073="", "Pending", IF(N4073&lt;=30, "Met", "Breached"))</f>
        <v/>
      </c>
    </row>
    <row r="4074">
      <c r="M4074" s="11">
        <f>B4074+30</f>
        <v/>
      </c>
      <c r="N4074">
        <f>IF(L4074="", "", L4074-B4074)</f>
        <v/>
      </c>
      <c r="O4074">
        <f>IF(L4074="", "Pending", IF(N4074&lt;=30, "Met", "Breached"))</f>
        <v/>
      </c>
    </row>
    <row r="4075">
      <c r="M4075" s="11">
        <f>B4075+30</f>
        <v/>
      </c>
      <c r="N4075">
        <f>IF(L4075="", "", L4075-B4075)</f>
        <v/>
      </c>
      <c r="O4075">
        <f>IF(L4075="", "Pending", IF(N4075&lt;=30, "Met", "Breached"))</f>
        <v/>
      </c>
    </row>
    <row r="4076">
      <c r="M4076" s="11">
        <f>B4076+30</f>
        <v/>
      </c>
      <c r="N4076">
        <f>IF(L4076="", "", L4076-B4076)</f>
        <v/>
      </c>
      <c r="O4076">
        <f>IF(L4076="", "Pending", IF(N4076&lt;=30, "Met", "Breached"))</f>
        <v/>
      </c>
    </row>
    <row r="4077">
      <c r="M4077" s="11">
        <f>B4077+30</f>
        <v/>
      </c>
      <c r="N4077">
        <f>IF(L4077="", "", L4077-B4077)</f>
        <v/>
      </c>
      <c r="O4077">
        <f>IF(L4077="", "Pending", IF(N4077&lt;=30, "Met", "Breached"))</f>
        <v/>
      </c>
    </row>
    <row r="4078">
      <c r="M4078" s="11">
        <f>B4078+30</f>
        <v/>
      </c>
      <c r="N4078">
        <f>IF(L4078="", "", L4078-B4078)</f>
        <v/>
      </c>
      <c r="O4078">
        <f>IF(L4078="", "Pending", IF(N4078&lt;=30, "Met", "Breached"))</f>
        <v/>
      </c>
    </row>
    <row r="4079">
      <c r="M4079" s="11">
        <f>B4079+30</f>
        <v/>
      </c>
      <c r="N4079">
        <f>IF(L4079="", "", L4079-B4079)</f>
        <v/>
      </c>
      <c r="O4079">
        <f>IF(L4079="", "Pending", IF(N4079&lt;=30, "Met", "Breached"))</f>
        <v/>
      </c>
    </row>
    <row r="4080">
      <c r="M4080" s="11">
        <f>B4080+30</f>
        <v/>
      </c>
      <c r="N4080">
        <f>IF(L4080="", "", L4080-B4080)</f>
        <v/>
      </c>
      <c r="O4080">
        <f>IF(L4080="", "Pending", IF(N4080&lt;=30, "Met", "Breached"))</f>
        <v/>
      </c>
    </row>
    <row r="4081">
      <c r="M4081" s="11">
        <f>B4081+30</f>
        <v/>
      </c>
      <c r="N4081">
        <f>IF(L4081="", "", L4081-B4081)</f>
        <v/>
      </c>
      <c r="O4081">
        <f>IF(L4081="", "Pending", IF(N4081&lt;=30, "Met", "Breached"))</f>
        <v/>
      </c>
    </row>
    <row r="4082">
      <c r="M4082" s="11">
        <f>B4082+30</f>
        <v/>
      </c>
      <c r="N4082">
        <f>IF(L4082="", "", L4082-B4082)</f>
        <v/>
      </c>
      <c r="O4082">
        <f>IF(L4082="", "Pending", IF(N4082&lt;=30, "Met", "Breached"))</f>
        <v/>
      </c>
    </row>
    <row r="4083">
      <c r="M4083" s="11">
        <f>B4083+30</f>
        <v/>
      </c>
      <c r="N4083">
        <f>IF(L4083="", "", L4083-B4083)</f>
        <v/>
      </c>
      <c r="O4083">
        <f>IF(L4083="", "Pending", IF(N4083&lt;=30, "Met", "Breached"))</f>
        <v/>
      </c>
    </row>
    <row r="4084">
      <c r="M4084" s="11">
        <f>B4084+30</f>
        <v/>
      </c>
      <c r="N4084">
        <f>IF(L4084="", "", L4084-B4084)</f>
        <v/>
      </c>
      <c r="O4084">
        <f>IF(L4084="", "Pending", IF(N4084&lt;=30, "Met", "Breached"))</f>
        <v/>
      </c>
    </row>
    <row r="4085">
      <c r="M4085" s="11">
        <f>B4085+30</f>
        <v/>
      </c>
      <c r="N4085">
        <f>IF(L4085="", "", L4085-B4085)</f>
        <v/>
      </c>
      <c r="O4085">
        <f>IF(L4085="", "Pending", IF(N4085&lt;=30, "Met", "Breached"))</f>
        <v/>
      </c>
    </row>
    <row r="4086">
      <c r="M4086" s="11">
        <f>B4086+30</f>
        <v/>
      </c>
      <c r="N4086">
        <f>IF(L4086="", "", L4086-B4086)</f>
        <v/>
      </c>
      <c r="O4086">
        <f>IF(L4086="", "Pending", IF(N4086&lt;=30, "Met", "Breached"))</f>
        <v/>
      </c>
    </row>
    <row r="4087">
      <c r="M4087" s="11">
        <f>B4087+30</f>
        <v/>
      </c>
      <c r="N4087">
        <f>IF(L4087="", "", L4087-B4087)</f>
        <v/>
      </c>
      <c r="O4087">
        <f>IF(L4087="", "Pending", IF(N4087&lt;=30, "Met", "Breached"))</f>
        <v/>
      </c>
    </row>
    <row r="4088">
      <c r="M4088" s="11">
        <f>B4088+30</f>
        <v/>
      </c>
      <c r="N4088">
        <f>IF(L4088="", "", L4088-B4088)</f>
        <v/>
      </c>
      <c r="O4088">
        <f>IF(L4088="", "Pending", IF(N4088&lt;=30, "Met", "Breached"))</f>
        <v/>
      </c>
    </row>
    <row r="4089">
      <c r="M4089" s="11">
        <f>B4089+30</f>
        <v/>
      </c>
      <c r="N4089">
        <f>IF(L4089="", "", L4089-B4089)</f>
        <v/>
      </c>
      <c r="O4089">
        <f>IF(L4089="", "Pending", IF(N4089&lt;=30, "Met", "Breached"))</f>
        <v/>
      </c>
    </row>
    <row r="4090">
      <c r="M4090" s="11">
        <f>B4090+30</f>
        <v/>
      </c>
      <c r="N4090">
        <f>IF(L4090="", "", L4090-B4090)</f>
        <v/>
      </c>
      <c r="O4090">
        <f>IF(L4090="", "Pending", IF(N4090&lt;=30, "Met", "Breached"))</f>
        <v/>
      </c>
    </row>
    <row r="4091">
      <c r="M4091" s="11">
        <f>B4091+30</f>
        <v/>
      </c>
      <c r="N4091">
        <f>IF(L4091="", "", L4091-B4091)</f>
        <v/>
      </c>
      <c r="O4091">
        <f>IF(L4091="", "Pending", IF(N4091&lt;=30, "Met", "Breached"))</f>
        <v/>
      </c>
    </row>
    <row r="4092">
      <c r="M4092" s="11">
        <f>B4092+30</f>
        <v/>
      </c>
      <c r="N4092">
        <f>IF(L4092="", "", L4092-B4092)</f>
        <v/>
      </c>
      <c r="O4092">
        <f>IF(L4092="", "Pending", IF(N4092&lt;=30, "Met", "Breached"))</f>
        <v/>
      </c>
    </row>
    <row r="4093">
      <c r="M4093" s="11">
        <f>B4093+30</f>
        <v/>
      </c>
      <c r="N4093">
        <f>IF(L4093="", "", L4093-B4093)</f>
        <v/>
      </c>
      <c r="O4093">
        <f>IF(L4093="", "Pending", IF(N4093&lt;=30, "Met", "Breached"))</f>
        <v/>
      </c>
    </row>
    <row r="4094">
      <c r="M4094" s="11">
        <f>B4094+30</f>
        <v/>
      </c>
      <c r="N4094">
        <f>IF(L4094="", "", L4094-B4094)</f>
        <v/>
      </c>
      <c r="O4094">
        <f>IF(L4094="", "Pending", IF(N4094&lt;=30, "Met", "Breached"))</f>
        <v/>
      </c>
    </row>
    <row r="4095">
      <c r="M4095" s="11">
        <f>B4095+30</f>
        <v/>
      </c>
      <c r="N4095">
        <f>IF(L4095="", "", L4095-B4095)</f>
        <v/>
      </c>
      <c r="O4095">
        <f>IF(L4095="", "Pending", IF(N4095&lt;=30, "Met", "Breached"))</f>
        <v/>
      </c>
    </row>
    <row r="4096">
      <c r="M4096" s="11">
        <f>B4096+30</f>
        <v/>
      </c>
      <c r="N4096">
        <f>IF(L4096="", "", L4096-B4096)</f>
        <v/>
      </c>
      <c r="O4096">
        <f>IF(L4096="", "Pending", IF(N4096&lt;=30, "Met", "Breached"))</f>
        <v/>
      </c>
    </row>
    <row r="4097">
      <c r="M4097" s="11">
        <f>B4097+30</f>
        <v/>
      </c>
      <c r="N4097">
        <f>IF(L4097="", "", L4097-B4097)</f>
        <v/>
      </c>
      <c r="O4097">
        <f>IF(L4097="", "Pending", IF(N4097&lt;=30, "Met", "Breached"))</f>
        <v/>
      </c>
    </row>
    <row r="4098">
      <c r="M4098" s="11">
        <f>B4098+30</f>
        <v/>
      </c>
      <c r="N4098">
        <f>IF(L4098="", "", L4098-B4098)</f>
        <v/>
      </c>
      <c r="O4098">
        <f>IF(L4098="", "Pending", IF(N4098&lt;=30, "Met", "Breached"))</f>
        <v/>
      </c>
    </row>
    <row r="4099">
      <c r="M4099" s="11">
        <f>B4099+30</f>
        <v/>
      </c>
      <c r="N4099">
        <f>IF(L4099="", "", L4099-B4099)</f>
        <v/>
      </c>
      <c r="O4099">
        <f>IF(L4099="", "Pending", IF(N4099&lt;=30, "Met", "Breached"))</f>
        <v/>
      </c>
    </row>
    <row r="4100">
      <c r="M4100" s="11">
        <f>B4100+30</f>
        <v/>
      </c>
      <c r="N4100">
        <f>IF(L4100="", "", L4100-B4100)</f>
        <v/>
      </c>
      <c r="O4100">
        <f>IF(L4100="", "Pending", IF(N4100&lt;=30, "Met", "Breached"))</f>
        <v/>
      </c>
    </row>
    <row r="4101">
      <c r="M4101" s="11">
        <f>B4101+30</f>
        <v/>
      </c>
      <c r="N4101">
        <f>IF(L4101="", "", L4101-B4101)</f>
        <v/>
      </c>
      <c r="O4101">
        <f>IF(L4101="", "Pending", IF(N4101&lt;=30, "Met", "Breached"))</f>
        <v/>
      </c>
    </row>
    <row r="4102">
      <c r="M4102" s="11">
        <f>B4102+30</f>
        <v/>
      </c>
      <c r="N4102">
        <f>IF(L4102="", "", L4102-B4102)</f>
        <v/>
      </c>
      <c r="O4102">
        <f>IF(L4102="", "Pending", IF(N4102&lt;=30, "Met", "Breached"))</f>
        <v/>
      </c>
    </row>
    <row r="4103">
      <c r="M4103" s="11">
        <f>B4103+30</f>
        <v/>
      </c>
      <c r="N4103">
        <f>IF(L4103="", "", L4103-B4103)</f>
        <v/>
      </c>
      <c r="O4103">
        <f>IF(L4103="", "Pending", IF(N4103&lt;=30, "Met", "Breached"))</f>
        <v/>
      </c>
    </row>
    <row r="4104">
      <c r="M4104" s="11">
        <f>B4104+30</f>
        <v/>
      </c>
      <c r="N4104">
        <f>IF(L4104="", "", L4104-B4104)</f>
        <v/>
      </c>
      <c r="O4104">
        <f>IF(L4104="", "Pending", IF(N4104&lt;=30, "Met", "Breached"))</f>
        <v/>
      </c>
    </row>
    <row r="4105">
      <c r="M4105" s="11">
        <f>B4105+30</f>
        <v/>
      </c>
      <c r="N4105">
        <f>IF(L4105="", "", L4105-B4105)</f>
        <v/>
      </c>
      <c r="O4105">
        <f>IF(L4105="", "Pending", IF(N4105&lt;=30, "Met", "Breached"))</f>
        <v/>
      </c>
    </row>
    <row r="4106">
      <c r="M4106" s="11">
        <f>B4106+30</f>
        <v/>
      </c>
      <c r="N4106">
        <f>IF(L4106="", "", L4106-B4106)</f>
        <v/>
      </c>
      <c r="O4106">
        <f>IF(L4106="", "Pending", IF(N4106&lt;=30, "Met", "Breached"))</f>
        <v/>
      </c>
    </row>
    <row r="4107">
      <c r="M4107" s="11">
        <f>B4107+30</f>
        <v/>
      </c>
      <c r="N4107">
        <f>IF(L4107="", "", L4107-B4107)</f>
        <v/>
      </c>
      <c r="O4107">
        <f>IF(L4107="", "Pending", IF(N4107&lt;=30, "Met", "Breached"))</f>
        <v/>
      </c>
    </row>
    <row r="4108">
      <c r="M4108" s="11">
        <f>B4108+30</f>
        <v/>
      </c>
      <c r="N4108">
        <f>IF(L4108="", "", L4108-B4108)</f>
        <v/>
      </c>
      <c r="O4108">
        <f>IF(L4108="", "Pending", IF(N4108&lt;=30, "Met", "Breached"))</f>
        <v/>
      </c>
    </row>
    <row r="4109">
      <c r="M4109" s="11">
        <f>B4109+30</f>
        <v/>
      </c>
      <c r="N4109">
        <f>IF(L4109="", "", L4109-B4109)</f>
        <v/>
      </c>
      <c r="O4109">
        <f>IF(L4109="", "Pending", IF(N4109&lt;=30, "Met", "Breached"))</f>
        <v/>
      </c>
    </row>
    <row r="4110">
      <c r="M4110" s="11">
        <f>B4110+30</f>
        <v/>
      </c>
      <c r="N4110">
        <f>IF(L4110="", "", L4110-B4110)</f>
        <v/>
      </c>
      <c r="O4110">
        <f>IF(L4110="", "Pending", IF(N4110&lt;=30, "Met", "Breached"))</f>
        <v/>
      </c>
    </row>
    <row r="4111">
      <c r="M4111" s="11">
        <f>B4111+30</f>
        <v/>
      </c>
      <c r="N4111">
        <f>IF(L4111="", "", L4111-B4111)</f>
        <v/>
      </c>
      <c r="O4111">
        <f>IF(L4111="", "Pending", IF(N4111&lt;=30, "Met", "Breached"))</f>
        <v/>
      </c>
    </row>
    <row r="4112">
      <c r="M4112" s="11">
        <f>B4112+30</f>
        <v/>
      </c>
      <c r="N4112">
        <f>IF(L4112="", "", L4112-B4112)</f>
        <v/>
      </c>
      <c r="O4112">
        <f>IF(L4112="", "Pending", IF(N4112&lt;=30, "Met", "Breached"))</f>
        <v/>
      </c>
    </row>
    <row r="4113">
      <c r="M4113" s="11">
        <f>B4113+30</f>
        <v/>
      </c>
      <c r="N4113">
        <f>IF(L4113="", "", L4113-B4113)</f>
        <v/>
      </c>
      <c r="O4113">
        <f>IF(L4113="", "Pending", IF(N4113&lt;=30, "Met", "Breached"))</f>
        <v/>
      </c>
    </row>
    <row r="4114">
      <c r="M4114" s="11">
        <f>B4114+30</f>
        <v/>
      </c>
      <c r="N4114">
        <f>IF(L4114="", "", L4114-B4114)</f>
        <v/>
      </c>
      <c r="O4114">
        <f>IF(L4114="", "Pending", IF(N4114&lt;=30, "Met", "Breached"))</f>
        <v/>
      </c>
    </row>
    <row r="4115">
      <c r="M4115" s="11">
        <f>B4115+30</f>
        <v/>
      </c>
      <c r="N4115">
        <f>IF(L4115="", "", L4115-B4115)</f>
        <v/>
      </c>
      <c r="O4115">
        <f>IF(L4115="", "Pending", IF(N4115&lt;=30, "Met", "Breached"))</f>
        <v/>
      </c>
    </row>
    <row r="4116">
      <c r="M4116" s="11">
        <f>B4116+30</f>
        <v/>
      </c>
      <c r="N4116">
        <f>IF(L4116="", "", L4116-B4116)</f>
        <v/>
      </c>
      <c r="O4116">
        <f>IF(L4116="", "Pending", IF(N4116&lt;=30, "Met", "Breached"))</f>
        <v/>
      </c>
    </row>
    <row r="4117">
      <c r="M4117" s="11">
        <f>B4117+30</f>
        <v/>
      </c>
      <c r="N4117">
        <f>IF(L4117="", "", L4117-B4117)</f>
        <v/>
      </c>
      <c r="O4117">
        <f>IF(L4117="", "Pending", IF(N4117&lt;=30, "Met", "Breached"))</f>
        <v/>
      </c>
    </row>
    <row r="4118">
      <c r="M4118" s="11">
        <f>B4118+30</f>
        <v/>
      </c>
      <c r="N4118">
        <f>IF(L4118="", "", L4118-B4118)</f>
        <v/>
      </c>
      <c r="O4118">
        <f>IF(L4118="", "Pending", IF(N4118&lt;=30, "Met", "Breached"))</f>
        <v/>
      </c>
    </row>
    <row r="4119">
      <c r="M4119" s="11">
        <f>B4119+30</f>
        <v/>
      </c>
      <c r="N4119">
        <f>IF(L4119="", "", L4119-B4119)</f>
        <v/>
      </c>
      <c r="O4119">
        <f>IF(L4119="", "Pending", IF(N4119&lt;=30, "Met", "Breached"))</f>
        <v/>
      </c>
    </row>
    <row r="4120">
      <c r="M4120" s="11">
        <f>B4120+30</f>
        <v/>
      </c>
      <c r="N4120">
        <f>IF(L4120="", "", L4120-B4120)</f>
        <v/>
      </c>
      <c r="O4120">
        <f>IF(L4120="", "Pending", IF(N4120&lt;=30, "Met", "Breached"))</f>
        <v/>
      </c>
    </row>
    <row r="4121">
      <c r="M4121" s="11">
        <f>B4121+30</f>
        <v/>
      </c>
      <c r="N4121">
        <f>IF(L4121="", "", L4121-B4121)</f>
        <v/>
      </c>
      <c r="O4121">
        <f>IF(L4121="", "Pending", IF(N4121&lt;=30, "Met", "Breached"))</f>
        <v/>
      </c>
    </row>
    <row r="4122">
      <c r="M4122" s="11">
        <f>B4122+30</f>
        <v/>
      </c>
      <c r="N4122">
        <f>IF(L4122="", "", L4122-B4122)</f>
        <v/>
      </c>
      <c r="O4122">
        <f>IF(L4122="", "Pending", IF(N4122&lt;=30, "Met", "Breached"))</f>
        <v/>
      </c>
    </row>
    <row r="4123">
      <c r="M4123" s="11">
        <f>B4123+30</f>
        <v/>
      </c>
      <c r="N4123">
        <f>IF(L4123="", "", L4123-B4123)</f>
        <v/>
      </c>
      <c r="O4123">
        <f>IF(L4123="", "Pending", IF(N4123&lt;=30, "Met", "Breached"))</f>
        <v/>
      </c>
    </row>
    <row r="4124">
      <c r="M4124" s="11">
        <f>B4124+30</f>
        <v/>
      </c>
      <c r="N4124">
        <f>IF(L4124="", "", L4124-B4124)</f>
        <v/>
      </c>
      <c r="O4124">
        <f>IF(L4124="", "Pending", IF(N4124&lt;=30, "Met", "Breached"))</f>
        <v/>
      </c>
    </row>
    <row r="4125">
      <c r="M4125" s="11">
        <f>B4125+30</f>
        <v/>
      </c>
      <c r="N4125">
        <f>IF(L4125="", "", L4125-B4125)</f>
        <v/>
      </c>
      <c r="O4125">
        <f>IF(L4125="", "Pending", IF(N4125&lt;=30, "Met", "Breached"))</f>
        <v/>
      </c>
    </row>
    <row r="4126">
      <c r="M4126" s="11">
        <f>B4126+30</f>
        <v/>
      </c>
      <c r="N4126">
        <f>IF(L4126="", "", L4126-B4126)</f>
        <v/>
      </c>
      <c r="O4126">
        <f>IF(L4126="", "Pending", IF(N4126&lt;=30, "Met", "Breached"))</f>
        <v/>
      </c>
    </row>
    <row r="4127">
      <c r="M4127" s="11">
        <f>B4127+30</f>
        <v/>
      </c>
      <c r="N4127">
        <f>IF(L4127="", "", L4127-B4127)</f>
        <v/>
      </c>
      <c r="O4127">
        <f>IF(L4127="", "Pending", IF(N4127&lt;=30, "Met", "Breached"))</f>
        <v/>
      </c>
    </row>
    <row r="4128">
      <c r="M4128" s="11">
        <f>B4128+30</f>
        <v/>
      </c>
      <c r="N4128">
        <f>IF(L4128="", "", L4128-B4128)</f>
        <v/>
      </c>
      <c r="O4128">
        <f>IF(L4128="", "Pending", IF(N4128&lt;=30, "Met", "Breached"))</f>
        <v/>
      </c>
    </row>
    <row r="4129">
      <c r="M4129" s="11">
        <f>B4129+30</f>
        <v/>
      </c>
      <c r="N4129">
        <f>IF(L4129="", "", L4129-B4129)</f>
        <v/>
      </c>
      <c r="O4129">
        <f>IF(L4129="", "Pending", IF(N4129&lt;=30, "Met", "Breached"))</f>
        <v/>
      </c>
    </row>
    <row r="4130">
      <c r="M4130" s="11">
        <f>B4130+30</f>
        <v/>
      </c>
      <c r="N4130">
        <f>IF(L4130="", "", L4130-B4130)</f>
        <v/>
      </c>
      <c r="O4130">
        <f>IF(L4130="", "Pending", IF(N4130&lt;=30, "Met", "Breached"))</f>
        <v/>
      </c>
    </row>
    <row r="4131">
      <c r="M4131" s="11">
        <f>B4131+30</f>
        <v/>
      </c>
      <c r="N4131">
        <f>IF(L4131="", "", L4131-B4131)</f>
        <v/>
      </c>
      <c r="O4131">
        <f>IF(L4131="", "Pending", IF(N4131&lt;=30, "Met", "Breached"))</f>
        <v/>
      </c>
    </row>
    <row r="4132">
      <c r="M4132" s="11">
        <f>B4132+30</f>
        <v/>
      </c>
      <c r="N4132">
        <f>IF(L4132="", "", L4132-B4132)</f>
        <v/>
      </c>
      <c r="O4132">
        <f>IF(L4132="", "Pending", IF(N4132&lt;=30, "Met", "Breached"))</f>
        <v/>
      </c>
    </row>
    <row r="4133">
      <c r="M4133" s="11">
        <f>B4133+30</f>
        <v/>
      </c>
      <c r="N4133">
        <f>IF(L4133="", "", L4133-B4133)</f>
        <v/>
      </c>
      <c r="O4133">
        <f>IF(L4133="", "Pending", IF(N4133&lt;=30, "Met", "Breached"))</f>
        <v/>
      </c>
    </row>
    <row r="4134">
      <c r="M4134" s="11">
        <f>B4134+30</f>
        <v/>
      </c>
      <c r="N4134">
        <f>IF(L4134="", "", L4134-B4134)</f>
        <v/>
      </c>
      <c r="O4134">
        <f>IF(L4134="", "Pending", IF(N4134&lt;=30, "Met", "Breached"))</f>
        <v/>
      </c>
    </row>
    <row r="4135">
      <c r="M4135" s="11">
        <f>B4135+30</f>
        <v/>
      </c>
      <c r="N4135">
        <f>IF(L4135="", "", L4135-B4135)</f>
        <v/>
      </c>
      <c r="O4135">
        <f>IF(L4135="", "Pending", IF(N4135&lt;=30, "Met", "Breached"))</f>
        <v/>
      </c>
    </row>
    <row r="4136">
      <c r="M4136" s="11">
        <f>B4136+30</f>
        <v/>
      </c>
      <c r="N4136">
        <f>IF(L4136="", "", L4136-B4136)</f>
        <v/>
      </c>
      <c r="O4136">
        <f>IF(L4136="", "Pending", IF(N4136&lt;=30, "Met", "Breached"))</f>
        <v/>
      </c>
    </row>
    <row r="4137">
      <c r="M4137" s="11">
        <f>B4137+30</f>
        <v/>
      </c>
      <c r="N4137">
        <f>IF(L4137="", "", L4137-B4137)</f>
        <v/>
      </c>
      <c r="O4137">
        <f>IF(L4137="", "Pending", IF(N4137&lt;=30, "Met", "Breached"))</f>
        <v/>
      </c>
    </row>
    <row r="4138">
      <c r="M4138" s="11">
        <f>B4138+30</f>
        <v/>
      </c>
      <c r="N4138">
        <f>IF(L4138="", "", L4138-B4138)</f>
        <v/>
      </c>
      <c r="O4138">
        <f>IF(L4138="", "Pending", IF(N4138&lt;=30, "Met", "Breached"))</f>
        <v/>
      </c>
    </row>
    <row r="4139">
      <c r="M4139" s="11">
        <f>B4139+30</f>
        <v/>
      </c>
      <c r="N4139">
        <f>IF(L4139="", "", L4139-B4139)</f>
        <v/>
      </c>
      <c r="O4139">
        <f>IF(L4139="", "Pending", IF(N4139&lt;=30, "Met", "Breached"))</f>
        <v/>
      </c>
    </row>
    <row r="4140">
      <c r="M4140" s="11">
        <f>B4140+30</f>
        <v/>
      </c>
      <c r="N4140">
        <f>IF(L4140="", "", L4140-B4140)</f>
        <v/>
      </c>
      <c r="O4140">
        <f>IF(L4140="", "Pending", IF(N4140&lt;=30, "Met", "Breached"))</f>
        <v/>
      </c>
    </row>
    <row r="4141">
      <c r="M4141" s="11">
        <f>B4141+30</f>
        <v/>
      </c>
      <c r="N4141">
        <f>IF(L4141="", "", L4141-B4141)</f>
        <v/>
      </c>
      <c r="O4141">
        <f>IF(L4141="", "Pending", IF(N4141&lt;=30, "Met", "Breached"))</f>
        <v/>
      </c>
    </row>
    <row r="4142">
      <c r="M4142" s="11">
        <f>B4142+30</f>
        <v/>
      </c>
      <c r="N4142">
        <f>IF(L4142="", "", L4142-B4142)</f>
        <v/>
      </c>
      <c r="O4142">
        <f>IF(L4142="", "Pending", IF(N4142&lt;=30, "Met", "Breached"))</f>
        <v/>
      </c>
    </row>
    <row r="4143">
      <c r="M4143" s="11">
        <f>B4143+30</f>
        <v/>
      </c>
      <c r="N4143">
        <f>IF(L4143="", "", L4143-B4143)</f>
        <v/>
      </c>
      <c r="O4143">
        <f>IF(L4143="", "Pending", IF(N4143&lt;=30, "Met", "Breached"))</f>
        <v/>
      </c>
    </row>
    <row r="4144">
      <c r="M4144" s="11">
        <f>B4144+30</f>
        <v/>
      </c>
      <c r="N4144">
        <f>IF(L4144="", "", L4144-B4144)</f>
        <v/>
      </c>
      <c r="O4144">
        <f>IF(L4144="", "Pending", IF(N4144&lt;=30, "Met", "Breached"))</f>
        <v/>
      </c>
    </row>
    <row r="4145">
      <c r="M4145" s="11">
        <f>B4145+30</f>
        <v/>
      </c>
      <c r="N4145">
        <f>IF(L4145="", "", L4145-B4145)</f>
        <v/>
      </c>
      <c r="O4145">
        <f>IF(L4145="", "Pending", IF(N4145&lt;=30, "Met", "Breached"))</f>
        <v/>
      </c>
    </row>
    <row r="4146">
      <c r="M4146" s="11">
        <f>B4146+30</f>
        <v/>
      </c>
      <c r="N4146">
        <f>IF(L4146="", "", L4146-B4146)</f>
        <v/>
      </c>
      <c r="O4146">
        <f>IF(L4146="", "Pending", IF(N4146&lt;=30, "Met", "Breached"))</f>
        <v/>
      </c>
    </row>
    <row r="4147">
      <c r="M4147" s="11">
        <f>B4147+30</f>
        <v/>
      </c>
      <c r="N4147">
        <f>IF(L4147="", "", L4147-B4147)</f>
        <v/>
      </c>
      <c r="O4147">
        <f>IF(L4147="", "Pending", IF(N4147&lt;=30, "Met", "Breached"))</f>
        <v/>
      </c>
    </row>
    <row r="4148">
      <c r="M4148" s="11">
        <f>B4148+30</f>
        <v/>
      </c>
      <c r="N4148">
        <f>IF(L4148="", "", L4148-B4148)</f>
        <v/>
      </c>
      <c r="O4148">
        <f>IF(L4148="", "Pending", IF(N4148&lt;=30, "Met", "Breached"))</f>
        <v/>
      </c>
    </row>
    <row r="4149">
      <c r="M4149" s="11">
        <f>B4149+30</f>
        <v/>
      </c>
      <c r="N4149">
        <f>IF(L4149="", "", L4149-B4149)</f>
        <v/>
      </c>
      <c r="O4149">
        <f>IF(L4149="", "Pending", IF(N4149&lt;=30, "Met", "Breached"))</f>
        <v/>
      </c>
    </row>
    <row r="4150">
      <c r="M4150" s="11">
        <f>B4150+30</f>
        <v/>
      </c>
      <c r="N4150">
        <f>IF(L4150="", "", L4150-B4150)</f>
        <v/>
      </c>
      <c r="O4150">
        <f>IF(L4150="", "Pending", IF(N4150&lt;=30, "Met", "Breached"))</f>
        <v/>
      </c>
    </row>
    <row r="4151">
      <c r="M4151" s="11">
        <f>B4151+30</f>
        <v/>
      </c>
      <c r="N4151">
        <f>IF(L4151="", "", L4151-B4151)</f>
        <v/>
      </c>
      <c r="O4151">
        <f>IF(L4151="", "Pending", IF(N4151&lt;=30, "Met", "Breached"))</f>
        <v/>
      </c>
    </row>
    <row r="4152">
      <c r="M4152" s="11">
        <f>B4152+30</f>
        <v/>
      </c>
      <c r="N4152">
        <f>IF(L4152="", "", L4152-B4152)</f>
        <v/>
      </c>
      <c r="O4152">
        <f>IF(L4152="", "Pending", IF(N4152&lt;=30, "Met", "Breached"))</f>
        <v/>
      </c>
    </row>
    <row r="4153">
      <c r="M4153" s="11">
        <f>B4153+30</f>
        <v/>
      </c>
      <c r="N4153">
        <f>IF(L4153="", "", L4153-B4153)</f>
        <v/>
      </c>
      <c r="O4153">
        <f>IF(L4153="", "Pending", IF(N4153&lt;=30, "Met", "Breached"))</f>
        <v/>
      </c>
    </row>
    <row r="4154">
      <c r="M4154" s="11">
        <f>B4154+30</f>
        <v/>
      </c>
      <c r="N4154">
        <f>IF(L4154="", "", L4154-B4154)</f>
        <v/>
      </c>
      <c r="O4154">
        <f>IF(L4154="", "Pending", IF(N4154&lt;=30, "Met", "Breached"))</f>
        <v/>
      </c>
    </row>
    <row r="4155">
      <c r="M4155" s="11">
        <f>B4155+30</f>
        <v/>
      </c>
      <c r="N4155">
        <f>IF(L4155="", "", L4155-B4155)</f>
        <v/>
      </c>
      <c r="O4155">
        <f>IF(L4155="", "Pending", IF(N4155&lt;=30, "Met", "Breached"))</f>
        <v/>
      </c>
    </row>
    <row r="4156">
      <c r="M4156" s="11">
        <f>B4156+30</f>
        <v/>
      </c>
      <c r="N4156">
        <f>IF(L4156="", "", L4156-B4156)</f>
        <v/>
      </c>
      <c r="O4156">
        <f>IF(L4156="", "Pending", IF(N4156&lt;=30, "Met", "Breached"))</f>
        <v/>
      </c>
    </row>
    <row r="4157">
      <c r="M4157" s="11">
        <f>B4157+30</f>
        <v/>
      </c>
      <c r="N4157">
        <f>IF(L4157="", "", L4157-B4157)</f>
        <v/>
      </c>
      <c r="O4157">
        <f>IF(L4157="", "Pending", IF(N4157&lt;=30, "Met", "Breached"))</f>
        <v/>
      </c>
    </row>
    <row r="4158">
      <c r="M4158" s="11">
        <f>B4158+30</f>
        <v/>
      </c>
      <c r="N4158">
        <f>IF(L4158="", "", L4158-B4158)</f>
        <v/>
      </c>
      <c r="O4158">
        <f>IF(L4158="", "Pending", IF(N4158&lt;=30, "Met", "Breached"))</f>
        <v/>
      </c>
    </row>
    <row r="4159">
      <c r="M4159" s="11">
        <f>B4159+30</f>
        <v/>
      </c>
      <c r="N4159">
        <f>IF(L4159="", "", L4159-B4159)</f>
        <v/>
      </c>
      <c r="O4159">
        <f>IF(L4159="", "Pending", IF(N4159&lt;=30, "Met", "Breached"))</f>
        <v/>
      </c>
    </row>
    <row r="4160">
      <c r="M4160" s="11">
        <f>B4160+30</f>
        <v/>
      </c>
      <c r="N4160">
        <f>IF(L4160="", "", L4160-B4160)</f>
        <v/>
      </c>
      <c r="O4160">
        <f>IF(L4160="", "Pending", IF(N4160&lt;=30, "Met", "Breached"))</f>
        <v/>
      </c>
    </row>
    <row r="4161">
      <c r="M4161" s="11">
        <f>B4161+30</f>
        <v/>
      </c>
      <c r="N4161">
        <f>IF(L4161="", "", L4161-B4161)</f>
        <v/>
      </c>
      <c r="O4161">
        <f>IF(L4161="", "Pending", IF(N4161&lt;=30, "Met", "Breached"))</f>
        <v/>
      </c>
    </row>
    <row r="4162">
      <c r="M4162" s="11">
        <f>B4162+30</f>
        <v/>
      </c>
      <c r="N4162">
        <f>IF(L4162="", "", L4162-B4162)</f>
        <v/>
      </c>
      <c r="O4162">
        <f>IF(L4162="", "Pending", IF(N4162&lt;=30, "Met", "Breached"))</f>
        <v/>
      </c>
    </row>
    <row r="4163">
      <c r="M4163" s="11">
        <f>B4163+30</f>
        <v/>
      </c>
      <c r="N4163">
        <f>IF(L4163="", "", L4163-B4163)</f>
        <v/>
      </c>
      <c r="O4163">
        <f>IF(L4163="", "Pending", IF(N4163&lt;=30, "Met", "Breached"))</f>
        <v/>
      </c>
    </row>
    <row r="4164">
      <c r="M4164" s="11">
        <f>B4164+30</f>
        <v/>
      </c>
      <c r="N4164">
        <f>IF(L4164="", "", L4164-B4164)</f>
        <v/>
      </c>
      <c r="O4164">
        <f>IF(L4164="", "Pending", IF(N4164&lt;=30, "Met", "Breached"))</f>
        <v/>
      </c>
    </row>
    <row r="4165">
      <c r="M4165" s="11">
        <f>B4165+30</f>
        <v/>
      </c>
      <c r="N4165">
        <f>IF(L4165="", "", L4165-B4165)</f>
        <v/>
      </c>
      <c r="O4165">
        <f>IF(L4165="", "Pending", IF(N4165&lt;=30, "Met", "Breached"))</f>
        <v/>
      </c>
    </row>
    <row r="4166">
      <c r="M4166" s="11">
        <f>B4166+30</f>
        <v/>
      </c>
      <c r="N4166">
        <f>IF(L4166="", "", L4166-B4166)</f>
        <v/>
      </c>
      <c r="O4166">
        <f>IF(L4166="", "Pending", IF(N4166&lt;=30, "Met", "Breached"))</f>
        <v/>
      </c>
    </row>
    <row r="4167">
      <c r="M4167" s="11">
        <f>B4167+30</f>
        <v/>
      </c>
      <c r="N4167">
        <f>IF(L4167="", "", L4167-B4167)</f>
        <v/>
      </c>
      <c r="O4167">
        <f>IF(L4167="", "Pending", IF(N4167&lt;=30, "Met", "Breached"))</f>
        <v/>
      </c>
    </row>
    <row r="4168">
      <c r="M4168" s="11">
        <f>B4168+30</f>
        <v/>
      </c>
      <c r="N4168">
        <f>IF(L4168="", "", L4168-B4168)</f>
        <v/>
      </c>
      <c r="O4168">
        <f>IF(L4168="", "Pending", IF(N4168&lt;=30, "Met", "Breached"))</f>
        <v/>
      </c>
    </row>
    <row r="4169">
      <c r="M4169" s="11">
        <f>B4169+30</f>
        <v/>
      </c>
      <c r="N4169">
        <f>IF(L4169="", "", L4169-B4169)</f>
        <v/>
      </c>
      <c r="O4169">
        <f>IF(L4169="", "Pending", IF(N4169&lt;=30, "Met", "Breached"))</f>
        <v/>
      </c>
    </row>
    <row r="4170">
      <c r="M4170" s="11">
        <f>B4170+30</f>
        <v/>
      </c>
      <c r="N4170">
        <f>IF(L4170="", "", L4170-B4170)</f>
        <v/>
      </c>
      <c r="O4170">
        <f>IF(L4170="", "Pending", IF(N4170&lt;=30, "Met", "Breached"))</f>
        <v/>
      </c>
    </row>
    <row r="4171">
      <c r="M4171" s="11">
        <f>B4171+30</f>
        <v/>
      </c>
      <c r="N4171">
        <f>IF(L4171="", "", L4171-B4171)</f>
        <v/>
      </c>
      <c r="O4171">
        <f>IF(L4171="", "Pending", IF(N4171&lt;=30, "Met", "Breached"))</f>
        <v/>
      </c>
    </row>
    <row r="4172">
      <c r="M4172" s="11">
        <f>B4172+30</f>
        <v/>
      </c>
      <c r="N4172">
        <f>IF(L4172="", "", L4172-B4172)</f>
        <v/>
      </c>
      <c r="O4172">
        <f>IF(L4172="", "Pending", IF(N4172&lt;=30, "Met", "Breached"))</f>
        <v/>
      </c>
    </row>
    <row r="4173">
      <c r="M4173" s="11">
        <f>B4173+30</f>
        <v/>
      </c>
      <c r="N4173">
        <f>IF(L4173="", "", L4173-B4173)</f>
        <v/>
      </c>
      <c r="O4173">
        <f>IF(L4173="", "Pending", IF(N4173&lt;=30, "Met", "Breached"))</f>
        <v/>
      </c>
    </row>
    <row r="4174">
      <c r="M4174" s="11">
        <f>B4174+30</f>
        <v/>
      </c>
      <c r="N4174">
        <f>IF(L4174="", "", L4174-B4174)</f>
        <v/>
      </c>
      <c r="O4174">
        <f>IF(L4174="", "Pending", IF(N4174&lt;=30, "Met", "Breached"))</f>
        <v/>
      </c>
    </row>
    <row r="4175">
      <c r="M4175" s="11">
        <f>B4175+30</f>
        <v/>
      </c>
      <c r="N4175">
        <f>IF(L4175="", "", L4175-B4175)</f>
        <v/>
      </c>
      <c r="O4175">
        <f>IF(L4175="", "Pending", IF(N4175&lt;=30, "Met", "Breached"))</f>
        <v/>
      </c>
    </row>
    <row r="4176">
      <c r="M4176" s="11">
        <f>B4176+30</f>
        <v/>
      </c>
      <c r="N4176">
        <f>IF(L4176="", "", L4176-B4176)</f>
        <v/>
      </c>
      <c r="O4176">
        <f>IF(L4176="", "Pending", IF(N4176&lt;=30, "Met", "Breached"))</f>
        <v/>
      </c>
    </row>
    <row r="4177">
      <c r="M4177" s="11">
        <f>B4177+30</f>
        <v/>
      </c>
      <c r="N4177">
        <f>IF(L4177="", "", L4177-B4177)</f>
        <v/>
      </c>
      <c r="O4177">
        <f>IF(L4177="", "Pending", IF(N4177&lt;=30, "Met", "Breached"))</f>
        <v/>
      </c>
    </row>
    <row r="4178">
      <c r="M4178" s="11">
        <f>B4178+30</f>
        <v/>
      </c>
      <c r="N4178">
        <f>IF(L4178="", "", L4178-B4178)</f>
        <v/>
      </c>
      <c r="O4178">
        <f>IF(L4178="", "Pending", IF(N4178&lt;=30, "Met", "Breached"))</f>
        <v/>
      </c>
    </row>
    <row r="4179">
      <c r="M4179" s="11">
        <f>B4179+30</f>
        <v/>
      </c>
      <c r="N4179">
        <f>IF(L4179="", "", L4179-B4179)</f>
        <v/>
      </c>
      <c r="O4179">
        <f>IF(L4179="", "Pending", IF(N4179&lt;=30, "Met", "Breached"))</f>
        <v/>
      </c>
    </row>
    <row r="4180">
      <c r="M4180" s="11">
        <f>B4180+30</f>
        <v/>
      </c>
      <c r="N4180">
        <f>IF(L4180="", "", L4180-B4180)</f>
        <v/>
      </c>
      <c r="O4180">
        <f>IF(L4180="", "Pending", IF(N4180&lt;=30, "Met", "Breached"))</f>
        <v/>
      </c>
    </row>
    <row r="4181">
      <c r="M4181" s="11">
        <f>B4181+30</f>
        <v/>
      </c>
      <c r="N4181">
        <f>IF(L4181="", "", L4181-B4181)</f>
        <v/>
      </c>
      <c r="O4181">
        <f>IF(L4181="", "Pending", IF(N4181&lt;=30, "Met", "Breached"))</f>
        <v/>
      </c>
    </row>
    <row r="4182">
      <c r="M4182" s="11">
        <f>B4182+30</f>
        <v/>
      </c>
      <c r="N4182">
        <f>IF(L4182="", "", L4182-B4182)</f>
        <v/>
      </c>
      <c r="O4182">
        <f>IF(L4182="", "Pending", IF(N4182&lt;=30, "Met", "Breached"))</f>
        <v/>
      </c>
    </row>
    <row r="4183">
      <c r="M4183" s="11">
        <f>B4183+30</f>
        <v/>
      </c>
      <c r="N4183">
        <f>IF(L4183="", "", L4183-B4183)</f>
        <v/>
      </c>
      <c r="O4183">
        <f>IF(L4183="", "Pending", IF(N4183&lt;=30, "Met", "Breached"))</f>
        <v/>
      </c>
    </row>
    <row r="4184">
      <c r="M4184" s="11">
        <f>B4184+30</f>
        <v/>
      </c>
      <c r="N4184">
        <f>IF(L4184="", "", L4184-B4184)</f>
        <v/>
      </c>
      <c r="O4184">
        <f>IF(L4184="", "Pending", IF(N4184&lt;=30, "Met", "Breached"))</f>
        <v/>
      </c>
    </row>
    <row r="4185">
      <c r="M4185" s="11">
        <f>B4185+30</f>
        <v/>
      </c>
      <c r="N4185">
        <f>IF(L4185="", "", L4185-B4185)</f>
        <v/>
      </c>
      <c r="O4185">
        <f>IF(L4185="", "Pending", IF(N4185&lt;=30, "Met", "Breached"))</f>
        <v/>
      </c>
    </row>
    <row r="4186">
      <c r="M4186" s="11">
        <f>B4186+30</f>
        <v/>
      </c>
      <c r="N4186">
        <f>IF(L4186="", "", L4186-B4186)</f>
        <v/>
      </c>
      <c r="O4186">
        <f>IF(L4186="", "Pending", IF(N4186&lt;=30, "Met", "Breached"))</f>
        <v/>
      </c>
    </row>
    <row r="4187">
      <c r="M4187" s="11">
        <f>B4187+30</f>
        <v/>
      </c>
      <c r="N4187">
        <f>IF(L4187="", "", L4187-B4187)</f>
        <v/>
      </c>
      <c r="O4187">
        <f>IF(L4187="", "Pending", IF(N4187&lt;=30, "Met", "Breached"))</f>
        <v/>
      </c>
    </row>
    <row r="4188">
      <c r="M4188" s="11">
        <f>B4188+30</f>
        <v/>
      </c>
      <c r="N4188">
        <f>IF(L4188="", "", L4188-B4188)</f>
        <v/>
      </c>
      <c r="O4188">
        <f>IF(L4188="", "Pending", IF(N4188&lt;=30, "Met", "Breached"))</f>
        <v/>
      </c>
    </row>
    <row r="4189">
      <c r="M4189" s="11">
        <f>B4189+30</f>
        <v/>
      </c>
      <c r="N4189">
        <f>IF(L4189="", "", L4189-B4189)</f>
        <v/>
      </c>
      <c r="O4189">
        <f>IF(L4189="", "Pending", IF(N4189&lt;=30, "Met", "Breached"))</f>
        <v/>
      </c>
    </row>
    <row r="4190">
      <c r="M4190" s="11">
        <f>B4190+30</f>
        <v/>
      </c>
      <c r="N4190">
        <f>IF(L4190="", "", L4190-B4190)</f>
        <v/>
      </c>
      <c r="O4190">
        <f>IF(L4190="", "Pending", IF(N4190&lt;=30, "Met", "Breached"))</f>
        <v/>
      </c>
    </row>
    <row r="4191">
      <c r="M4191" s="11">
        <f>B4191+30</f>
        <v/>
      </c>
      <c r="N4191">
        <f>IF(L4191="", "", L4191-B4191)</f>
        <v/>
      </c>
      <c r="O4191">
        <f>IF(L4191="", "Pending", IF(N4191&lt;=30, "Met", "Breached"))</f>
        <v/>
      </c>
    </row>
    <row r="4192">
      <c r="M4192" s="11">
        <f>B4192+30</f>
        <v/>
      </c>
      <c r="N4192">
        <f>IF(L4192="", "", L4192-B4192)</f>
        <v/>
      </c>
      <c r="O4192">
        <f>IF(L4192="", "Pending", IF(N4192&lt;=30, "Met", "Breached"))</f>
        <v/>
      </c>
    </row>
    <row r="4193">
      <c r="M4193" s="11">
        <f>B4193+30</f>
        <v/>
      </c>
      <c r="N4193">
        <f>IF(L4193="", "", L4193-B4193)</f>
        <v/>
      </c>
      <c r="O4193">
        <f>IF(L4193="", "Pending", IF(N4193&lt;=30, "Met", "Breached"))</f>
        <v/>
      </c>
    </row>
    <row r="4194">
      <c r="M4194" s="11">
        <f>B4194+30</f>
        <v/>
      </c>
      <c r="N4194">
        <f>IF(L4194="", "", L4194-B4194)</f>
        <v/>
      </c>
      <c r="O4194">
        <f>IF(L4194="", "Pending", IF(N4194&lt;=30, "Met", "Breached"))</f>
        <v/>
      </c>
    </row>
    <row r="4195">
      <c r="M4195" s="11">
        <f>B4195+30</f>
        <v/>
      </c>
      <c r="N4195">
        <f>IF(L4195="", "", L4195-B4195)</f>
        <v/>
      </c>
      <c r="O4195">
        <f>IF(L4195="", "Pending", IF(N4195&lt;=30, "Met", "Breached"))</f>
        <v/>
      </c>
    </row>
    <row r="4196">
      <c r="M4196" s="11">
        <f>B4196+30</f>
        <v/>
      </c>
      <c r="N4196">
        <f>IF(L4196="", "", L4196-B4196)</f>
        <v/>
      </c>
      <c r="O4196">
        <f>IF(L4196="", "Pending", IF(N4196&lt;=30, "Met", "Breached"))</f>
        <v/>
      </c>
    </row>
    <row r="4197">
      <c r="M4197" s="11">
        <f>B4197+30</f>
        <v/>
      </c>
      <c r="N4197">
        <f>IF(L4197="", "", L4197-B4197)</f>
        <v/>
      </c>
      <c r="O4197">
        <f>IF(L4197="", "Pending", IF(N4197&lt;=30, "Met", "Breached"))</f>
        <v/>
      </c>
    </row>
    <row r="4198">
      <c r="M4198" s="11">
        <f>B4198+30</f>
        <v/>
      </c>
      <c r="N4198">
        <f>IF(L4198="", "", L4198-B4198)</f>
        <v/>
      </c>
      <c r="O4198">
        <f>IF(L4198="", "Pending", IF(N4198&lt;=30, "Met", "Breached"))</f>
        <v/>
      </c>
    </row>
    <row r="4199">
      <c r="M4199" s="11">
        <f>B4199+30</f>
        <v/>
      </c>
      <c r="N4199">
        <f>IF(L4199="", "", L4199-B4199)</f>
        <v/>
      </c>
      <c r="O4199">
        <f>IF(L4199="", "Pending", IF(N4199&lt;=30, "Met", "Breached"))</f>
        <v/>
      </c>
    </row>
    <row r="4200">
      <c r="M4200" s="11">
        <f>B4200+30</f>
        <v/>
      </c>
      <c r="N4200">
        <f>IF(L4200="", "", L4200-B4200)</f>
        <v/>
      </c>
      <c r="O4200">
        <f>IF(L4200="", "Pending", IF(N4200&lt;=30, "Met", "Breached"))</f>
        <v/>
      </c>
    </row>
    <row r="4201">
      <c r="M4201" s="11">
        <f>B4201+30</f>
        <v/>
      </c>
      <c r="N4201">
        <f>IF(L4201="", "", L4201-B4201)</f>
        <v/>
      </c>
      <c r="O4201">
        <f>IF(L4201="", "Pending", IF(N4201&lt;=30, "Met", "Breached"))</f>
        <v/>
      </c>
    </row>
    <row r="4202">
      <c r="M4202" s="11">
        <f>B4202+30</f>
        <v/>
      </c>
      <c r="N4202">
        <f>IF(L4202="", "", L4202-B4202)</f>
        <v/>
      </c>
      <c r="O4202">
        <f>IF(L4202="", "Pending", IF(N4202&lt;=30, "Met", "Breached"))</f>
        <v/>
      </c>
    </row>
    <row r="4203">
      <c r="M4203" s="11">
        <f>B4203+30</f>
        <v/>
      </c>
      <c r="N4203">
        <f>IF(L4203="", "", L4203-B4203)</f>
        <v/>
      </c>
      <c r="O4203">
        <f>IF(L4203="", "Pending", IF(N4203&lt;=30, "Met", "Breached"))</f>
        <v/>
      </c>
    </row>
    <row r="4204">
      <c r="M4204" s="11">
        <f>B4204+30</f>
        <v/>
      </c>
      <c r="N4204">
        <f>IF(L4204="", "", L4204-B4204)</f>
        <v/>
      </c>
      <c r="O4204">
        <f>IF(L4204="", "Pending", IF(N4204&lt;=30, "Met", "Breached"))</f>
        <v/>
      </c>
    </row>
    <row r="4205">
      <c r="M4205" s="11">
        <f>B4205+30</f>
        <v/>
      </c>
      <c r="N4205">
        <f>IF(L4205="", "", L4205-B4205)</f>
        <v/>
      </c>
      <c r="O4205">
        <f>IF(L4205="", "Pending", IF(N4205&lt;=30, "Met", "Breached"))</f>
        <v/>
      </c>
    </row>
    <row r="4206">
      <c r="M4206" s="11">
        <f>B4206+30</f>
        <v/>
      </c>
      <c r="N4206">
        <f>IF(L4206="", "", L4206-B4206)</f>
        <v/>
      </c>
      <c r="O4206">
        <f>IF(L4206="", "Pending", IF(N4206&lt;=30, "Met", "Breached"))</f>
        <v/>
      </c>
    </row>
    <row r="4207">
      <c r="M4207" s="11">
        <f>B4207+30</f>
        <v/>
      </c>
      <c r="N4207">
        <f>IF(L4207="", "", L4207-B4207)</f>
        <v/>
      </c>
      <c r="O4207">
        <f>IF(L4207="", "Pending", IF(N4207&lt;=30, "Met", "Breached"))</f>
        <v/>
      </c>
    </row>
    <row r="4208">
      <c r="M4208" s="11">
        <f>B4208+30</f>
        <v/>
      </c>
      <c r="N4208">
        <f>IF(L4208="", "", L4208-B4208)</f>
        <v/>
      </c>
      <c r="O4208">
        <f>IF(L4208="", "Pending", IF(N4208&lt;=30, "Met", "Breached"))</f>
        <v/>
      </c>
    </row>
    <row r="4209">
      <c r="M4209" s="11">
        <f>B4209+30</f>
        <v/>
      </c>
      <c r="N4209">
        <f>IF(L4209="", "", L4209-B4209)</f>
        <v/>
      </c>
      <c r="O4209">
        <f>IF(L4209="", "Pending", IF(N4209&lt;=30, "Met", "Breached"))</f>
        <v/>
      </c>
    </row>
    <row r="4210">
      <c r="M4210" s="11">
        <f>B4210+30</f>
        <v/>
      </c>
      <c r="N4210">
        <f>IF(L4210="", "", L4210-B4210)</f>
        <v/>
      </c>
      <c r="O4210">
        <f>IF(L4210="", "Pending", IF(N4210&lt;=30, "Met", "Breached"))</f>
        <v/>
      </c>
    </row>
    <row r="4211">
      <c r="M4211" s="11">
        <f>B4211+30</f>
        <v/>
      </c>
      <c r="N4211">
        <f>IF(L4211="", "", L4211-B4211)</f>
        <v/>
      </c>
      <c r="O4211">
        <f>IF(L4211="", "Pending", IF(N4211&lt;=30, "Met", "Breached"))</f>
        <v/>
      </c>
    </row>
    <row r="4212">
      <c r="M4212" s="11">
        <f>B4212+30</f>
        <v/>
      </c>
      <c r="N4212">
        <f>IF(L4212="", "", L4212-B4212)</f>
        <v/>
      </c>
      <c r="O4212">
        <f>IF(L4212="", "Pending", IF(N4212&lt;=30, "Met", "Breached"))</f>
        <v/>
      </c>
    </row>
    <row r="4213">
      <c r="M4213" s="11">
        <f>B4213+30</f>
        <v/>
      </c>
      <c r="N4213">
        <f>IF(L4213="", "", L4213-B4213)</f>
        <v/>
      </c>
      <c r="O4213">
        <f>IF(L4213="", "Pending", IF(N4213&lt;=30, "Met", "Breached"))</f>
        <v/>
      </c>
    </row>
    <row r="4214">
      <c r="M4214" s="11">
        <f>B4214+30</f>
        <v/>
      </c>
      <c r="N4214">
        <f>IF(L4214="", "", L4214-B4214)</f>
        <v/>
      </c>
      <c r="O4214">
        <f>IF(L4214="", "Pending", IF(N4214&lt;=30, "Met", "Breached"))</f>
        <v/>
      </c>
    </row>
    <row r="4215">
      <c r="M4215" s="11">
        <f>B4215+30</f>
        <v/>
      </c>
      <c r="N4215">
        <f>IF(L4215="", "", L4215-B4215)</f>
        <v/>
      </c>
      <c r="O4215">
        <f>IF(L4215="", "Pending", IF(N4215&lt;=30, "Met", "Breached"))</f>
        <v/>
      </c>
    </row>
    <row r="4216">
      <c r="M4216" s="11">
        <f>B4216+30</f>
        <v/>
      </c>
      <c r="N4216">
        <f>IF(L4216="", "", L4216-B4216)</f>
        <v/>
      </c>
      <c r="O4216">
        <f>IF(L4216="", "Pending", IF(N4216&lt;=30, "Met", "Breached"))</f>
        <v/>
      </c>
    </row>
    <row r="4217">
      <c r="M4217" s="11">
        <f>B4217+30</f>
        <v/>
      </c>
      <c r="N4217">
        <f>IF(L4217="", "", L4217-B4217)</f>
        <v/>
      </c>
      <c r="O4217">
        <f>IF(L4217="", "Pending", IF(N4217&lt;=30, "Met", "Breached"))</f>
        <v/>
      </c>
    </row>
    <row r="4218">
      <c r="M4218" s="11">
        <f>B4218+30</f>
        <v/>
      </c>
      <c r="N4218">
        <f>IF(L4218="", "", L4218-B4218)</f>
        <v/>
      </c>
      <c r="O4218">
        <f>IF(L4218="", "Pending", IF(N4218&lt;=30, "Met", "Breached"))</f>
        <v/>
      </c>
    </row>
    <row r="4219">
      <c r="M4219" s="11">
        <f>B4219+30</f>
        <v/>
      </c>
      <c r="N4219">
        <f>IF(L4219="", "", L4219-B4219)</f>
        <v/>
      </c>
      <c r="O4219">
        <f>IF(L4219="", "Pending", IF(N4219&lt;=30, "Met", "Breached"))</f>
        <v/>
      </c>
    </row>
    <row r="4220">
      <c r="M4220" s="11">
        <f>B4220+30</f>
        <v/>
      </c>
      <c r="N4220">
        <f>IF(L4220="", "", L4220-B4220)</f>
        <v/>
      </c>
      <c r="O4220">
        <f>IF(L4220="", "Pending", IF(N4220&lt;=30, "Met", "Breached"))</f>
        <v/>
      </c>
    </row>
    <row r="4221">
      <c r="M4221" s="11">
        <f>B4221+30</f>
        <v/>
      </c>
      <c r="N4221">
        <f>IF(L4221="", "", L4221-B4221)</f>
        <v/>
      </c>
      <c r="O4221">
        <f>IF(L4221="", "Pending", IF(N4221&lt;=30, "Met", "Breached"))</f>
        <v/>
      </c>
    </row>
    <row r="4222">
      <c r="M4222" s="11">
        <f>B4222+30</f>
        <v/>
      </c>
      <c r="N4222">
        <f>IF(L4222="", "", L4222-B4222)</f>
        <v/>
      </c>
      <c r="O4222">
        <f>IF(L4222="", "Pending", IF(N4222&lt;=30, "Met", "Breached"))</f>
        <v/>
      </c>
    </row>
    <row r="4223">
      <c r="M4223" s="11">
        <f>B4223+30</f>
        <v/>
      </c>
      <c r="N4223">
        <f>IF(L4223="", "", L4223-B4223)</f>
        <v/>
      </c>
      <c r="O4223">
        <f>IF(L4223="", "Pending", IF(N4223&lt;=30, "Met", "Breached"))</f>
        <v/>
      </c>
    </row>
    <row r="4224">
      <c r="M4224" s="11">
        <f>B4224+30</f>
        <v/>
      </c>
      <c r="N4224">
        <f>IF(L4224="", "", L4224-B4224)</f>
        <v/>
      </c>
      <c r="O4224">
        <f>IF(L4224="", "Pending", IF(N4224&lt;=30, "Met", "Breached"))</f>
        <v/>
      </c>
    </row>
    <row r="4225">
      <c r="M4225" s="11">
        <f>B4225+30</f>
        <v/>
      </c>
      <c r="N4225">
        <f>IF(L4225="", "", L4225-B4225)</f>
        <v/>
      </c>
      <c r="O4225">
        <f>IF(L4225="", "Pending", IF(N4225&lt;=30, "Met", "Breached"))</f>
        <v/>
      </c>
    </row>
    <row r="4226">
      <c r="M4226" s="11">
        <f>B4226+30</f>
        <v/>
      </c>
      <c r="N4226">
        <f>IF(L4226="", "", L4226-B4226)</f>
        <v/>
      </c>
      <c r="O4226">
        <f>IF(L4226="", "Pending", IF(N4226&lt;=30, "Met", "Breached"))</f>
        <v/>
      </c>
    </row>
    <row r="4227">
      <c r="M4227" s="11">
        <f>B4227+30</f>
        <v/>
      </c>
      <c r="N4227">
        <f>IF(L4227="", "", L4227-B4227)</f>
        <v/>
      </c>
      <c r="O4227">
        <f>IF(L4227="", "Pending", IF(N4227&lt;=30, "Met", "Breached"))</f>
        <v/>
      </c>
    </row>
    <row r="4228">
      <c r="M4228" s="11">
        <f>B4228+30</f>
        <v/>
      </c>
      <c r="N4228">
        <f>IF(L4228="", "", L4228-B4228)</f>
        <v/>
      </c>
      <c r="O4228">
        <f>IF(L4228="", "Pending", IF(N4228&lt;=30, "Met", "Breached"))</f>
        <v/>
      </c>
    </row>
    <row r="4229">
      <c r="M4229" s="11">
        <f>B4229+30</f>
        <v/>
      </c>
      <c r="N4229">
        <f>IF(L4229="", "", L4229-B4229)</f>
        <v/>
      </c>
      <c r="O4229">
        <f>IF(L4229="", "Pending", IF(N4229&lt;=30, "Met", "Breached"))</f>
        <v/>
      </c>
    </row>
    <row r="4230">
      <c r="M4230" s="11">
        <f>B4230+30</f>
        <v/>
      </c>
      <c r="N4230">
        <f>IF(L4230="", "", L4230-B4230)</f>
        <v/>
      </c>
      <c r="O4230">
        <f>IF(L4230="", "Pending", IF(N4230&lt;=30, "Met", "Breached"))</f>
        <v/>
      </c>
    </row>
    <row r="4231">
      <c r="M4231" s="11">
        <f>B4231+30</f>
        <v/>
      </c>
      <c r="N4231">
        <f>IF(L4231="", "", L4231-B4231)</f>
        <v/>
      </c>
      <c r="O4231">
        <f>IF(L4231="", "Pending", IF(N4231&lt;=30, "Met", "Breached"))</f>
        <v/>
      </c>
    </row>
    <row r="4232">
      <c r="M4232" s="11">
        <f>B4232+30</f>
        <v/>
      </c>
      <c r="N4232">
        <f>IF(L4232="", "", L4232-B4232)</f>
        <v/>
      </c>
      <c r="O4232">
        <f>IF(L4232="", "Pending", IF(N4232&lt;=30, "Met", "Breached"))</f>
        <v/>
      </c>
    </row>
    <row r="4233">
      <c r="M4233" s="11">
        <f>B4233+30</f>
        <v/>
      </c>
      <c r="N4233">
        <f>IF(L4233="", "", L4233-B4233)</f>
        <v/>
      </c>
      <c r="O4233">
        <f>IF(L4233="", "Pending", IF(N4233&lt;=30, "Met", "Breached"))</f>
        <v/>
      </c>
    </row>
    <row r="4234">
      <c r="M4234" s="11">
        <f>B4234+30</f>
        <v/>
      </c>
      <c r="N4234">
        <f>IF(L4234="", "", L4234-B4234)</f>
        <v/>
      </c>
      <c r="O4234">
        <f>IF(L4234="", "Pending", IF(N4234&lt;=30, "Met", "Breached"))</f>
        <v/>
      </c>
    </row>
    <row r="4235">
      <c r="M4235" s="11">
        <f>B4235+30</f>
        <v/>
      </c>
      <c r="N4235">
        <f>IF(L4235="", "", L4235-B4235)</f>
        <v/>
      </c>
      <c r="O4235">
        <f>IF(L4235="", "Pending", IF(N4235&lt;=30, "Met", "Breached"))</f>
        <v/>
      </c>
    </row>
    <row r="4236">
      <c r="M4236" s="11">
        <f>B4236+30</f>
        <v/>
      </c>
      <c r="N4236">
        <f>IF(L4236="", "", L4236-B4236)</f>
        <v/>
      </c>
      <c r="O4236">
        <f>IF(L4236="", "Pending", IF(N4236&lt;=30, "Met", "Breached"))</f>
        <v/>
      </c>
    </row>
    <row r="4237">
      <c r="M4237" s="11">
        <f>B4237+30</f>
        <v/>
      </c>
      <c r="N4237">
        <f>IF(L4237="", "", L4237-B4237)</f>
        <v/>
      </c>
      <c r="O4237">
        <f>IF(L4237="", "Pending", IF(N4237&lt;=30, "Met", "Breached"))</f>
        <v/>
      </c>
    </row>
    <row r="4238">
      <c r="M4238" s="11">
        <f>B4238+30</f>
        <v/>
      </c>
      <c r="N4238">
        <f>IF(L4238="", "", L4238-B4238)</f>
        <v/>
      </c>
      <c r="O4238">
        <f>IF(L4238="", "Pending", IF(N4238&lt;=30, "Met", "Breached"))</f>
        <v/>
      </c>
    </row>
    <row r="4239">
      <c r="M4239" s="11">
        <f>B4239+30</f>
        <v/>
      </c>
      <c r="N4239">
        <f>IF(L4239="", "", L4239-B4239)</f>
        <v/>
      </c>
      <c r="O4239">
        <f>IF(L4239="", "Pending", IF(N4239&lt;=30, "Met", "Breached"))</f>
        <v/>
      </c>
    </row>
    <row r="4240">
      <c r="M4240" s="11">
        <f>B4240+30</f>
        <v/>
      </c>
      <c r="N4240">
        <f>IF(L4240="", "", L4240-B4240)</f>
        <v/>
      </c>
      <c r="O4240">
        <f>IF(L4240="", "Pending", IF(N4240&lt;=30, "Met", "Breached"))</f>
        <v/>
      </c>
    </row>
    <row r="4241">
      <c r="M4241" s="11">
        <f>B4241+30</f>
        <v/>
      </c>
      <c r="N4241">
        <f>IF(L4241="", "", L4241-B4241)</f>
        <v/>
      </c>
      <c r="O4241">
        <f>IF(L4241="", "Pending", IF(N4241&lt;=30, "Met", "Breached"))</f>
        <v/>
      </c>
    </row>
    <row r="4242">
      <c r="M4242" s="11">
        <f>B4242+30</f>
        <v/>
      </c>
      <c r="N4242">
        <f>IF(L4242="", "", L4242-B4242)</f>
        <v/>
      </c>
      <c r="O4242">
        <f>IF(L4242="", "Pending", IF(N4242&lt;=30, "Met", "Breached"))</f>
        <v/>
      </c>
    </row>
    <row r="4243">
      <c r="M4243" s="11">
        <f>B4243+30</f>
        <v/>
      </c>
      <c r="N4243">
        <f>IF(L4243="", "", L4243-B4243)</f>
        <v/>
      </c>
      <c r="O4243">
        <f>IF(L4243="", "Pending", IF(N4243&lt;=30, "Met", "Breached"))</f>
        <v/>
      </c>
    </row>
    <row r="4244">
      <c r="M4244" s="11">
        <f>B4244+30</f>
        <v/>
      </c>
      <c r="N4244">
        <f>IF(L4244="", "", L4244-B4244)</f>
        <v/>
      </c>
      <c r="O4244">
        <f>IF(L4244="", "Pending", IF(N4244&lt;=30, "Met", "Breached"))</f>
        <v/>
      </c>
    </row>
    <row r="4245">
      <c r="M4245" s="11">
        <f>B4245+30</f>
        <v/>
      </c>
      <c r="N4245">
        <f>IF(L4245="", "", L4245-B4245)</f>
        <v/>
      </c>
      <c r="O4245">
        <f>IF(L4245="", "Pending", IF(N4245&lt;=30, "Met", "Breached"))</f>
        <v/>
      </c>
    </row>
    <row r="4246">
      <c r="M4246" s="11">
        <f>B4246+30</f>
        <v/>
      </c>
      <c r="N4246">
        <f>IF(L4246="", "", L4246-B4246)</f>
        <v/>
      </c>
      <c r="O4246">
        <f>IF(L4246="", "Pending", IF(N4246&lt;=30, "Met", "Breached"))</f>
        <v/>
      </c>
    </row>
    <row r="4247">
      <c r="M4247" s="11">
        <f>B4247+30</f>
        <v/>
      </c>
      <c r="N4247">
        <f>IF(L4247="", "", L4247-B4247)</f>
        <v/>
      </c>
      <c r="O4247">
        <f>IF(L4247="", "Pending", IF(N4247&lt;=30, "Met", "Breached"))</f>
        <v/>
      </c>
    </row>
    <row r="4248">
      <c r="M4248" s="11">
        <f>B4248+30</f>
        <v/>
      </c>
      <c r="N4248">
        <f>IF(L4248="", "", L4248-B4248)</f>
        <v/>
      </c>
      <c r="O4248">
        <f>IF(L4248="", "Pending", IF(N4248&lt;=30, "Met", "Breached"))</f>
        <v/>
      </c>
    </row>
    <row r="4249">
      <c r="M4249" s="11">
        <f>B4249+30</f>
        <v/>
      </c>
      <c r="N4249">
        <f>IF(L4249="", "", L4249-B4249)</f>
        <v/>
      </c>
      <c r="O4249">
        <f>IF(L4249="", "Pending", IF(N4249&lt;=30, "Met", "Breached"))</f>
        <v/>
      </c>
    </row>
    <row r="4250">
      <c r="M4250" s="11">
        <f>B4250+30</f>
        <v/>
      </c>
      <c r="N4250">
        <f>IF(L4250="", "", L4250-B4250)</f>
        <v/>
      </c>
      <c r="O4250">
        <f>IF(L4250="", "Pending", IF(N4250&lt;=30, "Met", "Breached"))</f>
        <v/>
      </c>
    </row>
    <row r="4251">
      <c r="M4251" s="11">
        <f>B4251+30</f>
        <v/>
      </c>
      <c r="N4251">
        <f>IF(L4251="", "", L4251-B4251)</f>
        <v/>
      </c>
      <c r="O4251">
        <f>IF(L4251="", "Pending", IF(N4251&lt;=30, "Met", "Breached"))</f>
        <v/>
      </c>
    </row>
    <row r="4252">
      <c r="M4252" s="11">
        <f>B4252+30</f>
        <v/>
      </c>
      <c r="N4252">
        <f>IF(L4252="", "", L4252-B4252)</f>
        <v/>
      </c>
      <c r="O4252">
        <f>IF(L4252="", "Pending", IF(N4252&lt;=30, "Met", "Breached"))</f>
        <v/>
      </c>
    </row>
    <row r="4253">
      <c r="M4253" s="11">
        <f>B4253+30</f>
        <v/>
      </c>
      <c r="N4253">
        <f>IF(L4253="", "", L4253-B4253)</f>
        <v/>
      </c>
      <c r="O4253">
        <f>IF(L4253="", "Pending", IF(N4253&lt;=30, "Met", "Breached"))</f>
        <v/>
      </c>
    </row>
    <row r="4254">
      <c r="M4254" s="11">
        <f>B4254+30</f>
        <v/>
      </c>
      <c r="N4254">
        <f>IF(L4254="", "", L4254-B4254)</f>
        <v/>
      </c>
      <c r="O4254">
        <f>IF(L4254="", "Pending", IF(N4254&lt;=30, "Met", "Breached"))</f>
        <v/>
      </c>
    </row>
    <row r="4255">
      <c r="M4255" s="11">
        <f>B4255+30</f>
        <v/>
      </c>
      <c r="N4255">
        <f>IF(L4255="", "", L4255-B4255)</f>
        <v/>
      </c>
      <c r="O4255">
        <f>IF(L4255="", "Pending", IF(N4255&lt;=30, "Met", "Breached"))</f>
        <v/>
      </c>
    </row>
    <row r="4256">
      <c r="M4256" s="11">
        <f>B4256+30</f>
        <v/>
      </c>
      <c r="N4256">
        <f>IF(L4256="", "", L4256-B4256)</f>
        <v/>
      </c>
      <c r="O4256">
        <f>IF(L4256="", "Pending", IF(N4256&lt;=30, "Met", "Breached"))</f>
        <v/>
      </c>
    </row>
    <row r="4257">
      <c r="M4257" s="11">
        <f>B4257+30</f>
        <v/>
      </c>
      <c r="N4257">
        <f>IF(L4257="", "", L4257-B4257)</f>
        <v/>
      </c>
      <c r="O4257">
        <f>IF(L4257="", "Pending", IF(N4257&lt;=30, "Met", "Breached"))</f>
        <v/>
      </c>
    </row>
    <row r="4258">
      <c r="M4258" s="11">
        <f>B4258+30</f>
        <v/>
      </c>
      <c r="N4258">
        <f>IF(L4258="", "", L4258-B4258)</f>
        <v/>
      </c>
      <c r="O4258">
        <f>IF(L4258="", "Pending", IF(N4258&lt;=30, "Met", "Breached"))</f>
        <v/>
      </c>
    </row>
    <row r="4259">
      <c r="M4259" s="11">
        <f>B4259+30</f>
        <v/>
      </c>
      <c r="N4259">
        <f>IF(L4259="", "", L4259-B4259)</f>
        <v/>
      </c>
      <c r="O4259">
        <f>IF(L4259="", "Pending", IF(N4259&lt;=30, "Met", "Breached"))</f>
        <v/>
      </c>
    </row>
    <row r="4260">
      <c r="M4260" s="11">
        <f>B4260+30</f>
        <v/>
      </c>
      <c r="N4260">
        <f>IF(L4260="", "", L4260-B4260)</f>
        <v/>
      </c>
      <c r="O4260">
        <f>IF(L4260="", "Pending", IF(N4260&lt;=30, "Met", "Breached"))</f>
        <v/>
      </c>
    </row>
    <row r="4261">
      <c r="M4261" s="11">
        <f>B4261+30</f>
        <v/>
      </c>
      <c r="N4261">
        <f>IF(L4261="", "", L4261-B4261)</f>
        <v/>
      </c>
      <c r="O4261">
        <f>IF(L4261="", "Pending", IF(N4261&lt;=30, "Met", "Breached"))</f>
        <v/>
      </c>
    </row>
    <row r="4262">
      <c r="M4262" s="11">
        <f>B4262+30</f>
        <v/>
      </c>
      <c r="N4262">
        <f>IF(L4262="", "", L4262-B4262)</f>
        <v/>
      </c>
      <c r="O4262">
        <f>IF(L4262="", "Pending", IF(N4262&lt;=30, "Met", "Breached"))</f>
        <v/>
      </c>
    </row>
    <row r="4263">
      <c r="M4263" s="11">
        <f>B4263+30</f>
        <v/>
      </c>
      <c r="N4263">
        <f>IF(L4263="", "", L4263-B4263)</f>
        <v/>
      </c>
      <c r="O4263">
        <f>IF(L4263="", "Pending", IF(N4263&lt;=30, "Met", "Breached"))</f>
        <v/>
      </c>
    </row>
    <row r="4264">
      <c r="M4264" s="11">
        <f>B4264+30</f>
        <v/>
      </c>
      <c r="N4264">
        <f>IF(L4264="", "", L4264-B4264)</f>
        <v/>
      </c>
      <c r="O4264">
        <f>IF(L4264="", "Pending", IF(N4264&lt;=30, "Met", "Breached"))</f>
        <v/>
      </c>
    </row>
    <row r="4265">
      <c r="M4265" s="11">
        <f>B4265+30</f>
        <v/>
      </c>
      <c r="N4265">
        <f>IF(L4265="", "", L4265-B4265)</f>
        <v/>
      </c>
      <c r="O4265">
        <f>IF(L4265="", "Pending", IF(N4265&lt;=30, "Met", "Breached"))</f>
        <v/>
      </c>
    </row>
    <row r="4266">
      <c r="M4266" s="11">
        <f>B4266+30</f>
        <v/>
      </c>
      <c r="N4266">
        <f>IF(L4266="", "", L4266-B4266)</f>
        <v/>
      </c>
      <c r="O4266">
        <f>IF(L4266="", "Pending", IF(N4266&lt;=30, "Met", "Breached"))</f>
        <v/>
      </c>
    </row>
    <row r="4267">
      <c r="M4267" s="11">
        <f>B4267+30</f>
        <v/>
      </c>
      <c r="N4267">
        <f>IF(L4267="", "", L4267-B4267)</f>
        <v/>
      </c>
      <c r="O4267">
        <f>IF(L4267="", "Pending", IF(N4267&lt;=30, "Met", "Breached"))</f>
        <v/>
      </c>
    </row>
    <row r="4268">
      <c r="M4268" s="11">
        <f>B4268+30</f>
        <v/>
      </c>
      <c r="N4268">
        <f>IF(L4268="", "", L4268-B4268)</f>
        <v/>
      </c>
      <c r="O4268">
        <f>IF(L4268="", "Pending", IF(N4268&lt;=30, "Met", "Breached"))</f>
        <v/>
      </c>
    </row>
    <row r="4269">
      <c r="M4269" s="11">
        <f>B4269+30</f>
        <v/>
      </c>
      <c r="N4269">
        <f>IF(L4269="", "", L4269-B4269)</f>
        <v/>
      </c>
      <c r="O4269">
        <f>IF(L4269="", "Pending", IF(N4269&lt;=30, "Met", "Breached"))</f>
        <v/>
      </c>
    </row>
    <row r="4270">
      <c r="M4270" s="11">
        <f>B4270+30</f>
        <v/>
      </c>
      <c r="N4270">
        <f>IF(L4270="", "", L4270-B4270)</f>
        <v/>
      </c>
      <c r="O4270">
        <f>IF(L4270="", "Pending", IF(N4270&lt;=30, "Met", "Breached"))</f>
        <v/>
      </c>
    </row>
    <row r="4271">
      <c r="M4271" s="11">
        <f>B4271+30</f>
        <v/>
      </c>
      <c r="N4271">
        <f>IF(L4271="", "", L4271-B4271)</f>
        <v/>
      </c>
      <c r="O4271">
        <f>IF(L4271="", "Pending", IF(N4271&lt;=30, "Met", "Breached"))</f>
        <v/>
      </c>
    </row>
    <row r="4272">
      <c r="M4272" s="11">
        <f>B4272+30</f>
        <v/>
      </c>
      <c r="N4272">
        <f>IF(L4272="", "", L4272-B4272)</f>
        <v/>
      </c>
      <c r="O4272">
        <f>IF(L4272="", "Pending", IF(N4272&lt;=30, "Met", "Breached"))</f>
        <v/>
      </c>
    </row>
    <row r="4273">
      <c r="M4273" s="11">
        <f>B4273+30</f>
        <v/>
      </c>
      <c r="N4273">
        <f>IF(L4273="", "", L4273-B4273)</f>
        <v/>
      </c>
      <c r="O4273">
        <f>IF(L4273="", "Pending", IF(N4273&lt;=30, "Met", "Breached"))</f>
        <v/>
      </c>
    </row>
    <row r="4274">
      <c r="M4274" s="11">
        <f>B4274+30</f>
        <v/>
      </c>
      <c r="N4274">
        <f>IF(L4274="", "", L4274-B4274)</f>
        <v/>
      </c>
      <c r="O4274">
        <f>IF(L4274="", "Pending", IF(N4274&lt;=30, "Met", "Breached"))</f>
        <v/>
      </c>
    </row>
    <row r="4275">
      <c r="M4275" s="11">
        <f>B4275+30</f>
        <v/>
      </c>
      <c r="N4275">
        <f>IF(L4275="", "", L4275-B4275)</f>
        <v/>
      </c>
      <c r="O4275">
        <f>IF(L4275="", "Pending", IF(N4275&lt;=30, "Met", "Breached"))</f>
        <v/>
      </c>
    </row>
    <row r="4276">
      <c r="M4276" s="11">
        <f>B4276+30</f>
        <v/>
      </c>
      <c r="N4276">
        <f>IF(L4276="", "", L4276-B4276)</f>
        <v/>
      </c>
      <c r="O4276">
        <f>IF(L4276="", "Pending", IF(N4276&lt;=30, "Met", "Breached"))</f>
        <v/>
      </c>
    </row>
    <row r="4277">
      <c r="M4277" s="11">
        <f>B4277+30</f>
        <v/>
      </c>
      <c r="N4277">
        <f>IF(L4277="", "", L4277-B4277)</f>
        <v/>
      </c>
      <c r="O4277">
        <f>IF(L4277="", "Pending", IF(N4277&lt;=30, "Met", "Breached"))</f>
        <v/>
      </c>
    </row>
    <row r="4278">
      <c r="M4278" s="11">
        <f>B4278+30</f>
        <v/>
      </c>
      <c r="N4278">
        <f>IF(L4278="", "", L4278-B4278)</f>
        <v/>
      </c>
      <c r="O4278">
        <f>IF(L4278="", "Pending", IF(N4278&lt;=30, "Met", "Breached"))</f>
        <v/>
      </c>
    </row>
    <row r="4279">
      <c r="M4279" s="11">
        <f>B4279+30</f>
        <v/>
      </c>
      <c r="N4279">
        <f>IF(L4279="", "", L4279-B4279)</f>
        <v/>
      </c>
      <c r="O4279">
        <f>IF(L4279="", "Pending", IF(N4279&lt;=30, "Met", "Breached"))</f>
        <v/>
      </c>
    </row>
    <row r="4280">
      <c r="M4280" s="11">
        <f>B4280+30</f>
        <v/>
      </c>
      <c r="N4280">
        <f>IF(L4280="", "", L4280-B4280)</f>
        <v/>
      </c>
      <c r="O4280">
        <f>IF(L4280="", "Pending", IF(N4280&lt;=30, "Met", "Breached"))</f>
        <v/>
      </c>
    </row>
    <row r="4281">
      <c r="M4281" s="11">
        <f>B4281+30</f>
        <v/>
      </c>
      <c r="N4281">
        <f>IF(L4281="", "", L4281-B4281)</f>
        <v/>
      </c>
      <c r="O4281">
        <f>IF(L4281="", "Pending", IF(N4281&lt;=30, "Met", "Breached"))</f>
        <v/>
      </c>
    </row>
    <row r="4282">
      <c r="M4282" s="11">
        <f>B4282+30</f>
        <v/>
      </c>
      <c r="N4282">
        <f>IF(L4282="", "", L4282-B4282)</f>
        <v/>
      </c>
      <c r="O4282">
        <f>IF(L4282="", "Pending", IF(N4282&lt;=30, "Met", "Breached"))</f>
        <v/>
      </c>
    </row>
    <row r="4283">
      <c r="M4283" s="11">
        <f>B4283+30</f>
        <v/>
      </c>
      <c r="N4283">
        <f>IF(L4283="", "", L4283-B4283)</f>
        <v/>
      </c>
      <c r="O4283">
        <f>IF(L4283="", "Pending", IF(N4283&lt;=30, "Met", "Breached"))</f>
        <v/>
      </c>
    </row>
    <row r="4284">
      <c r="M4284" s="11">
        <f>B4284+30</f>
        <v/>
      </c>
      <c r="N4284">
        <f>IF(L4284="", "", L4284-B4284)</f>
        <v/>
      </c>
      <c r="O4284">
        <f>IF(L4284="", "Pending", IF(N4284&lt;=30, "Met", "Breached"))</f>
        <v/>
      </c>
    </row>
    <row r="4285">
      <c r="M4285" s="11">
        <f>B4285+30</f>
        <v/>
      </c>
      <c r="N4285">
        <f>IF(L4285="", "", L4285-B4285)</f>
        <v/>
      </c>
      <c r="O4285">
        <f>IF(L4285="", "Pending", IF(N4285&lt;=30, "Met", "Breached"))</f>
        <v/>
      </c>
    </row>
    <row r="4286">
      <c r="M4286" s="11">
        <f>B4286+30</f>
        <v/>
      </c>
      <c r="N4286">
        <f>IF(L4286="", "", L4286-B4286)</f>
        <v/>
      </c>
      <c r="O4286">
        <f>IF(L4286="", "Pending", IF(N4286&lt;=30, "Met", "Breached"))</f>
        <v/>
      </c>
    </row>
    <row r="4287">
      <c r="M4287" s="11">
        <f>B4287+30</f>
        <v/>
      </c>
      <c r="N4287">
        <f>IF(L4287="", "", L4287-B4287)</f>
        <v/>
      </c>
      <c r="O4287">
        <f>IF(L4287="", "Pending", IF(N4287&lt;=30, "Met", "Breached"))</f>
        <v/>
      </c>
    </row>
    <row r="4288">
      <c r="M4288" s="11">
        <f>B4288+30</f>
        <v/>
      </c>
      <c r="N4288">
        <f>IF(L4288="", "", L4288-B4288)</f>
        <v/>
      </c>
      <c r="O4288">
        <f>IF(L4288="", "Pending", IF(N4288&lt;=30, "Met", "Breached"))</f>
        <v/>
      </c>
    </row>
    <row r="4289">
      <c r="M4289" s="11">
        <f>B4289+30</f>
        <v/>
      </c>
      <c r="N4289">
        <f>IF(L4289="", "", L4289-B4289)</f>
        <v/>
      </c>
      <c r="O4289">
        <f>IF(L4289="", "Pending", IF(N4289&lt;=30, "Met", "Breached"))</f>
        <v/>
      </c>
    </row>
    <row r="4290">
      <c r="M4290" s="11">
        <f>B4290+30</f>
        <v/>
      </c>
      <c r="N4290">
        <f>IF(L4290="", "", L4290-B4290)</f>
        <v/>
      </c>
      <c r="O4290">
        <f>IF(L4290="", "Pending", IF(N4290&lt;=30, "Met", "Breached"))</f>
        <v/>
      </c>
    </row>
    <row r="4291">
      <c r="M4291" s="11">
        <f>B4291+30</f>
        <v/>
      </c>
      <c r="N4291">
        <f>IF(L4291="", "", L4291-B4291)</f>
        <v/>
      </c>
      <c r="O4291">
        <f>IF(L4291="", "Pending", IF(N4291&lt;=30, "Met", "Breached"))</f>
        <v/>
      </c>
    </row>
    <row r="4292">
      <c r="M4292" s="11">
        <f>B4292+30</f>
        <v/>
      </c>
      <c r="N4292">
        <f>IF(L4292="", "", L4292-B4292)</f>
        <v/>
      </c>
      <c r="O4292">
        <f>IF(L4292="", "Pending", IF(N4292&lt;=30, "Met", "Breached"))</f>
        <v/>
      </c>
    </row>
    <row r="4293">
      <c r="M4293" s="11">
        <f>B4293+30</f>
        <v/>
      </c>
      <c r="N4293">
        <f>IF(L4293="", "", L4293-B4293)</f>
        <v/>
      </c>
      <c r="O4293">
        <f>IF(L4293="", "Pending", IF(N4293&lt;=30, "Met", "Breached"))</f>
        <v/>
      </c>
    </row>
    <row r="4294">
      <c r="M4294" s="11">
        <f>B4294+30</f>
        <v/>
      </c>
      <c r="N4294">
        <f>IF(L4294="", "", L4294-B4294)</f>
        <v/>
      </c>
      <c r="O4294">
        <f>IF(L4294="", "Pending", IF(N4294&lt;=30, "Met", "Breached"))</f>
        <v/>
      </c>
    </row>
    <row r="4295">
      <c r="M4295" s="11">
        <f>B4295+30</f>
        <v/>
      </c>
      <c r="N4295">
        <f>IF(L4295="", "", L4295-B4295)</f>
        <v/>
      </c>
      <c r="O4295">
        <f>IF(L4295="", "Pending", IF(N4295&lt;=30, "Met", "Breached"))</f>
        <v/>
      </c>
    </row>
    <row r="4296">
      <c r="M4296" s="11">
        <f>B4296+30</f>
        <v/>
      </c>
      <c r="N4296">
        <f>IF(L4296="", "", L4296-B4296)</f>
        <v/>
      </c>
      <c r="O4296">
        <f>IF(L4296="", "Pending", IF(N4296&lt;=30, "Met", "Breached"))</f>
        <v/>
      </c>
    </row>
    <row r="4297">
      <c r="M4297" s="11">
        <f>B4297+30</f>
        <v/>
      </c>
      <c r="N4297">
        <f>IF(L4297="", "", L4297-B4297)</f>
        <v/>
      </c>
      <c r="O4297">
        <f>IF(L4297="", "Pending", IF(N4297&lt;=30, "Met", "Breached"))</f>
        <v/>
      </c>
    </row>
    <row r="4298">
      <c r="M4298" s="11">
        <f>B4298+30</f>
        <v/>
      </c>
      <c r="N4298">
        <f>IF(L4298="", "", L4298-B4298)</f>
        <v/>
      </c>
      <c r="O4298">
        <f>IF(L4298="", "Pending", IF(N4298&lt;=30, "Met", "Breached"))</f>
        <v/>
      </c>
    </row>
    <row r="4299">
      <c r="M4299" s="11">
        <f>B4299+30</f>
        <v/>
      </c>
      <c r="N4299">
        <f>IF(L4299="", "", L4299-B4299)</f>
        <v/>
      </c>
      <c r="O4299">
        <f>IF(L4299="", "Pending", IF(N4299&lt;=30, "Met", "Breached"))</f>
        <v/>
      </c>
    </row>
    <row r="4300">
      <c r="M4300" s="11">
        <f>B4300+30</f>
        <v/>
      </c>
      <c r="N4300">
        <f>IF(L4300="", "", L4300-B4300)</f>
        <v/>
      </c>
      <c r="O4300">
        <f>IF(L4300="", "Pending", IF(N4300&lt;=30, "Met", "Breached"))</f>
        <v/>
      </c>
    </row>
    <row r="4301">
      <c r="M4301" s="11">
        <f>B4301+30</f>
        <v/>
      </c>
      <c r="N4301">
        <f>IF(L4301="", "", L4301-B4301)</f>
        <v/>
      </c>
      <c r="O4301">
        <f>IF(L4301="", "Pending", IF(N4301&lt;=30, "Met", "Breached"))</f>
        <v/>
      </c>
    </row>
    <row r="4302">
      <c r="M4302" s="11">
        <f>B4302+30</f>
        <v/>
      </c>
      <c r="N4302">
        <f>IF(L4302="", "", L4302-B4302)</f>
        <v/>
      </c>
      <c r="O4302">
        <f>IF(L4302="", "Pending", IF(N4302&lt;=30, "Met", "Breached"))</f>
        <v/>
      </c>
    </row>
    <row r="4303">
      <c r="M4303" s="11">
        <f>B4303+30</f>
        <v/>
      </c>
      <c r="N4303">
        <f>IF(L4303="", "", L4303-B4303)</f>
        <v/>
      </c>
      <c r="O4303">
        <f>IF(L4303="", "Pending", IF(N4303&lt;=30, "Met", "Breached"))</f>
        <v/>
      </c>
    </row>
    <row r="4304">
      <c r="M4304" s="11">
        <f>B4304+30</f>
        <v/>
      </c>
      <c r="N4304">
        <f>IF(L4304="", "", L4304-B4304)</f>
        <v/>
      </c>
      <c r="O4304">
        <f>IF(L4304="", "Pending", IF(N4304&lt;=30, "Met", "Breached"))</f>
        <v/>
      </c>
    </row>
    <row r="4305">
      <c r="M4305" s="11">
        <f>B4305+30</f>
        <v/>
      </c>
      <c r="N4305">
        <f>IF(L4305="", "", L4305-B4305)</f>
        <v/>
      </c>
      <c r="O4305">
        <f>IF(L4305="", "Pending", IF(N4305&lt;=30, "Met", "Breached"))</f>
        <v/>
      </c>
    </row>
    <row r="4306">
      <c r="M4306" s="11">
        <f>B4306+30</f>
        <v/>
      </c>
      <c r="N4306">
        <f>IF(L4306="", "", L4306-B4306)</f>
        <v/>
      </c>
      <c r="O4306">
        <f>IF(L4306="", "Pending", IF(N4306&lt;=30, "Met", "Breached"))</f>
        <v/>
      </c>
    </row>
    <row r="4307">
      <c r="M4307" s="11">
        <f>B4307+30</f>
        <v/>
      </c>
      <c r="N4307">
        <f>IF(L4307="", "", L4307-B4307)</f>
        <v/>
      </c>
      <c r="O4307">
        <f>IF(L4307="", "Pending", IF(N4307&lt;=30, "Met", "Breached"))</f>
        <v/>
      </c>
    </row>
    <row r="4308">
      <c r="M4308" s="11">
        <f>B4308+30</f>
        <v/>
      </c>
      <c r="N4308">
        <f>IF(L4308="", "", L4308-B4308)</f>
        <v/>
      </c>
      <c r="O4308">
        <f>IF(L4308="", "Pending", IF(N4308&lt;=30, "Met", "Breached"))</f>
        <v/>
      </c>
    </row>
    <row r="4309">
      <c r="M4309" s="11">
        <f>B4309+30</f>
        <v/>
      </c>
      <c r="N4309">
        <f>IF(L4309="", "", L4309-B4309)</f>
        <v/>
      </c>
      <c r="O4309">
        <f>IF(L4309="", "Pending", IF(N4309&lt;=30, "Met", "Breached"))</f>
        <v/>
      </c>
    </row>
    <row r="4310">
      <c r="M4310" s="11">
        <f>B4310+30</f>
        <v/>
      </c>
      <c r="N4310">
        <f>IF(L4310="", "", L4310-B4310)</f>
        <v/>
      </c>
      <c r="O4310">
        <f>IF(L4310="", "Pending", IF(N4310&lt;=30, "Met", "Breached"))</f>
        <v/>
      </c>
    </row>
    <row r="4311">
      <c r="M4311" s="11">
        <f>B4311+30</f>
        <v/>
      </c>
      <c r="N4311">
        <f>IF(L4311="", "", L4311-B4311)</f>
        <v/>
      </c>
      <c r="O4311">
        <f>IF(L4311="", "Pending", IF(N4311&lt;=30, "Met", "Breached"))</f>
        <v/>
      </c>
    </row>
    <row r="4312">
      <c r="M4312" s="11">
        <f>B4312+30</f>
        <v/>
      </c>
      <c r="N4312">
        <f>IF(L4312="", "", L4312-B4312)</f>
        <v/>
      </c>
      <c r="O4312">
        <f>IF(L4312="", "Pending", IF(N4312&lt;=30, "Met", "Breached"))</f>
        <v/>
      </c>
    </row>
    <row r="4313">
      <c r="M4313" s="11">
        <f>B4313+30</f>
        <v/>
      </c>
      <c r="N4313">
        <f>IF(L4313="", "", L4313-B4313)</f>
        <v/>
      </c>
      <c r="O4313">
        <f>IF(L4313="", "Pending", IF(N4313&lt;=30, "Met", "Breached"))</f>
        <v/>
      </c>
    </row>
    <row r="4314">
      <c r="M4314" s="11">
        <f>B4314+30</f>
        <v/>
      </c>
      <c r="N4314">
        <f>IF(L4314="", "", L4314-B4314)</f>
        <v/>
      </c>
      <c r="O4314">
        <f>IF(L4314="", "Pending", IF(N4314&lt;=30, "Met", "Breached"))</f>
        <v/>
      </c>
    </row>
    <row r="4315">
      <c r="M4315" s="11">
        <f>B4315+30</f>
        <v/>
      </c>
      <c r="N4315">
        <f>IF(L4315="", "", L4315-B4315)</f>
        <v/>
      </c>
      <c r="O4315">
        <f>IF(L4315="", "Pending", IF(N4315&lt;=30, "Met", "Breached"))</f>
        <v/>
      </c>
    </row>
    <row r="4316">
      <c r="M4316" s="11">
        <f>B4316+30</f>
        <v/>
      </c>
      <c r="N4316">
        <f>IF(L4316="", "", L4316-B4316)</f>
        <v/>
      </c>
      <c r="O4316">
        <f>IF(L4316="", "Pending", IF(N4316&lt;=30, "Met", "Breached"))</f>
        <v/>
      </c>
    </row>
    <row r="4317">
      <c r="M4317" s="11">
        <f>B4317+30</f>
        <v/>
      </c>
      <c r="N4317">
        <f>IF(L4317="", "", L4317-B4317)</f>
        <v/>
      </c>
      <c r="O4317">
        <f>IF(L4317="", "Pending", IF(N4317&lt;=30, "Met", "Breached"))</f>
        <v/>
      </c>
    </row>
    <row r="4318">
      <c r="M4318" s="11">
        <f>B4318+30</f>
        <v/>
      </c>
      <c r="N4318">
        <f>IF(L4318="", "", L4318-B4318)</f>
        <v/>
      </c>
      <c r="O4318">
        <f>IF(L4318="", "Pending", IF(N4318&lt;=30, "Met", "Breached"))</f>
        <v/>
      </c>
    </row>
    <row r="4319">
      <c r="M4319" s="11">
        <f>B4319+30</f>
        <v/>
      </c>
      <c r="N4319">
        <f>IF(L4319="", "", L4319-B4319)</f>
        <v/>
      </c>
      <c r="O4319">
        <f>IF(L4319="", "Pending", IF(N4319&lt;=30, "Met", "Breached"))</f>
        <v/>
      </c>
    </row>
    <row r="4320">
      <c r="M4320" s="11">
        <f>B4320+30</f>
        <v/>
      </c>
      <c r="N4320">
        <f>IF(L4320="", "", L4320-B4320)</f>
        <v/>
      </c>
      <c r="O4320">
        <f>IF(L4320="", "Pending", IF(N4320&lt;=30, "Met", "Breached"))</f>
        <v/>
      </c>
    </row>
    <row r="4321">
      <c r="M4321" s="11">
        <f>B4321+30</f>
        <v/>
      </c>
      <c r="N4321">
        <f>IF(L4321="", "", L4321-B4321)</f>
        <v/>
      </c>
      <c r="O4321">
        <f>IF(L4321="", "Pending", IF(N4321&lt;=30, "Met", "Breached"))</f>
        <v/>
      </c>
    </row>
    <row r="4322">
      <c r="M4322" s="11">
        <f>B4322+30</f>
        <v/>
      </c>
      <c r="N4322">
        <f>IF(L4322="", "", L4322-B4322)</f>
        <v/>
      </c>
      <c r="O4322">
        <f>IF(L4322="", "Pending", IF(N4322&lt;=30, "Met", "Breached"))</f>
        <v/>
      </c>
    </row>
    <row r="4323">
      <c r="M4323" s="11">
        <f>B4323+30</f>
        <v/>
      </c>
      <c r="N4323">
        <f>IF(L4323="", "", L4323-B4323)</f>
        <v/>
      </c>
      <c r="O4323">
        <f>IF(L4323="", "Pending", IF(N4323&lt;=30, "Met", "Breached"))</f>
        <v/>
      </c>
    </row>
    <row r="4324">
      <c r="M4324" s="11">
        <f>B4324+30</f>
        <v/>
      </c>
      <c r="N4324">
        <f>IF(L4324="", "", L4324-B4324)</f>
        <v/>
      </c>
      <c r="O4324">
        <f>IF(L4324="", "Pending", IF(N4324&lt;=30, "Met", "Breached"))</f>
        <v/>
      </c>
    </row>
    <row r="4325">
      <c r="M4325" s="11">
        <f>B4325+30</f>
        <v/>
      </c>
      <c r="N4325">
        <f>IF(L4325="", "", L4325-B4325)</f>
        <v/>
      </c>
      <c r="O4325">
        <f>IF(L4325="", "Pending", IF(N4325&lt;=30, "Met", "Breached"))</f>
        <v/>
      </c>
    </row>
    <row r="4326">
      <c r="M4326" s="11">
        <f>B4326+30</f>
        <v/>
      </c>
      <c r="N4326">
        <f>IF(L4326="", "", L4326-B4326)</f>
        <v/>
      </c>
      <c r="O4326">
        <f>IF(L4326="", "Pending", IF(N4326&lt;=30, "Met", "Breached"))</f>
        <v/>
      </c>
    </row>
    <row r="4327">
      <c r="M4327" s="11">
        <f>B4327+30</f>
        <v/>
      </c>
      <c r="N4327">
        <f>IF(L4327="", "", L4327-B4327)</f>
        <v/>
      </c>
      <c r="O4327">
        <f>IF(L4327="", "Pending", IF(N4327&lt;=30, "Met", "Breached"))</f>
        <v/>
      </c>
    </row>
    <row r="4328">
      <c r="M4328" s="11">
        <f>B4328+30</f>
        <v/>
      </c>
      <c r="N4328">
        <f>IF(L4328="", "", L4328-B4328)</f>
        <v/>
      </c>
      <c r="O4328">
        <f>IF(L4328="", "Pending", IF(N4328&lt;=30, "Met", "Breached"))</f>
        <v/>
      </c>
    </row>
    <row r="4329">
      <c r="M4329" s="11">
        <f>B4329+30</f>
        <v/>
      </c>
      <c r="N4329">
        <f>IF(L4329="", "", L4329-B4329)</f>
        <v/>
      </c>
      <c r="O4329">
        <f>IF(L4329="", "Pending", IF(N4329&lt;=30, "Met", "Breached"))</f>
        <v/>
      </c>
    </row>
    <row r="4330">
      <c r="M4330" s="11">
        <f>B4330+30</f>
        <v/>
      </c>
      <c r="N4330">
        <f>IF(L4330="", "", L4330-B4330)</f>
        <v/>
      </c>
      <c r="O4330">
        <f>IF(L4330="", "Pending", IF(N4330&lt;=30, "Met", "Breached"))</f>
        <v/>
      </c>
    </row>
    <row r="4331">
      <c r="M4331" s="11">
        <f>B4331+30</f>
        <v/>
      </c>
      <c r="N4331">
        <f>IF(L4331="", "", L4331-B4331)</f>
        <v/>
      </c>
      <c r="O4331">
        <f>IF(L4331="", "Pending", IF(N4331&lt;=30, "Met", "Breached"))</f>
        <v/>
      </c>
    </row>
    <row r="4332">
      <c r="M4332" s="11">
        <f>B4332+30</f>
        <v/>
      </c>
      <c r="N4332">
        <f>IF(L4332="", "", L4332-B4332)</f>
        <v/>
      </c>
      <c r="O4332">
        <f>IF(L4332="", "Pending", IF(N4332&lt;=30, "Met", "Breached"))</f>
        <v/>
      </c>
    </row>
    <row r="4333">
      <c r="M4333" s="11">
        <f>B4333+30</f>
        <v/>
      </c>
      <c r="N4333">
        <f>IF(L4333="", "", L4333-B4333)</f>
        <v/>
      </c>
      <c r="O4333">
        <f>IF(L4333="", "Pending", IF(N4333&lt;=30, "Met", "Breached"))</f>
        <v/>
      </c>
    </row>
    <row r="4334">
      <c r="M4334" s="11">
        <f>B4334+30</f>
        <v/>
      </c>
      <c r="N4334">
        <f>IF(L4334="", "", L4334-B4334)</f>
        <v/>
      </c>
      <c r="O4334">
        <f>IF(L4334="", "Pending", IF(N4334&lt;=30, "Met", "Breached"))</f>
        <v/>
      </c>
    </row>
    <row r="4335">
      <c r="M4335" s="11">
        <f>B4335+30</f>
        <v/>
      </c>
      <c r="N4335">
        <f>IF(L4335="", "", L4335-B4335)</f>
        <v/>
      </c>
      <c r="O4335">
        <f>IF(L4335="", "Pending", IF(N4335&lt;=30, "Met", "Breached"))</f>
        <v/>
      </c>
    </row>
    <row r="4336">
      <c r="M4336" s="11">
        <f>B4336+30</f>
        <v/>
      </c>
      <c r="N4336">
        <f>IF(L4336="", "", L4336-B4336)</f>
        <v/>
      </c>
      <c r="O4336">
        <f>IF(L4336="", "Pending", IF(N4336&lt;=30, "Met", "Breached"))</f>
        <v/>
      </c>
    </row>
    <row r="4337">
      <c r="M4337" s="11">
        <f>B4337+30</f>
        <v/>
      </c>
      <c r="N4337">
        <f>IF(L4337="", "", L4337-B4337)</f>
        <v/>
      </c>
      <c r="O4337">
        <f>IF(L4337="", "Pending", IF(N4337&lt;=30, "Met", "Breached"))</f>
        <v/>
      </c>
    </row>
    <row r="4338">
      <c r="M4338" s="11">
        <f>B4338+30</f>
        <v/>
      </c>
      <c r="N4338">
        <f>IF(L4338="", "", L4338-B4338)</f>
        <v/>
      </c>
      <c r="O4338">
        <f>IF(L4338="", "Pending", IF(N4338&lt;=30, "Met", "Breached"))</f>
        <v/>
      </c>
    </row>
    <row r="4339">
      <c r="M4339" s="11">
        <f>B4339+30</f>
        <v/>
      </c>
      <c r="N4339">
        <f>IF(L4339="", "", L4339-B4339)</f>
        <v/>
      </c>
      <c r="O4339">
        <f>IF(L4339="", "Pending", IF(N4339&lt;=30, "Met", "Breached"))</f>
        <v/>
      </c>
    </row>
    <row r="4340">
      <c r="M4340" s="11">
        <f>B4340+30</f>
        <v/>
      </c>
      <c r="N4340">
        <f>IF(L4340="", "", L4340-B4340)</f>
        <v/>
      </c>
      <c r="O4340">
        <f>IF(L4340="", "Pending", IF(N4340&lt;=30, "Met", "Breached"))</f>
        <v/>
      </c>
    </row>
    <row r="4341">
      <c r="M4341" s="11">
        <f>B4341+30</f>
        <v/>
      </c>
      <c r="N4341">
        <f>IF(L4341="", "", L4341-B4341)</f>
        <v/>
      </c>
      <c r="O4341">
        <f>IF(L4341="", "Pending", IF(N4341&lt;=30, "Met", "Breached"))</f>
        <v/>
      </c>
    </row>
    <row r="4342">
      <c r="M4342" s="11">
        <f>B4342+30</f>
        <v/>
      </c>
      <c r="N4342">
        <f>IF(L4342="", "", L4342-B4342)</f>
        <v/>
      </c>
      <c r="O4342">
        <f>IF(L4342="", "Pending", IF(N4342&lt;=30, "Met", "Breached"))</f>
        <v/>
      </c>
    </row>
    <row r="4343">
      <c r="M4343" s="11">
        <f>B4343+30</f>
        <v/>
      </c>
      <c r="N4343">
        <f>IF(L4343="", "", L4343-B4343)</f>
        <v/>
      </c>
      <c r="O4343">
        <f>IF(L4343="", "Pending", IF(N4343&lt;=30, "Met", "Breached"))</f>
        <v/>
      </c>
    </row>
    <row r="4344">
      <c r="M4344" s="11">
        <f>B4344+30</f>
        <v/>
      </c>
      <c r="N4344">
        <f>IF(L4344="", "", L4344-B4344)</f>
        <v/>
      </c>
      <c r="O4344">
        <f>IF(L4344="", "Pending", IF(N4344&lt;=30, "Met", "Breached"))</f>
        <v/>
      </c>
    </row>
    <row r="4345">
      <c r="M4345" s="11">
        <f>B4345+30</f>
        <v/>
      </c>
      <c r="N4345">
        <f>IF(L4345="", "", L4345-B4345)</f>
        <v/>
      </c>
      <c r="O4345">
        <f>IF(L4345="", "Pending", IF(N4345&lt;=30, "Met", "Breached"))</f>
        <v/>
      </c>
    </row>
    <row r="4346">
      <c r="M4346" s="11">
        <f>B4346+30</f>
        <v/>
      </c>
      <c r="N4346">
        <f>IF(L4346="", "", L4346-B4346)</f>
        <v/>
      </c>
      <c r="O4346">
        <f>IF(L4346="", "Pending", IF(N4346&lt;=30, "Met", "Breached"))</f>
        <v/>
      </c>
    </row>
    <row r="4347">
      <c r="M4347" s="11">
        <f>B4347+30</f>
        <v/>
      </c>
      <c r="N4347">
        <f>IF(L4347="", "", L4347-B4347)</f>
        <v/>
      </c>
      <c r="O4347">
        <f>IF(L4347="", "Pending", IF(N4347&lt;=30, "Met", "Breached"))</f>
        <v/>
      </c>
    </row>
    <row r="4348">
      <c r="M4348" s="11">
        <f>B4348+30</f>
        <v/>
      </c>
      <c r="N4348">
        <f>IF(L4348="", "", L4348-B4348)</f>
        <v/>
      </c>
      <c r="O4348">
        <f>IF(L4348="", "Pending", IF(N4348&lt;=30, "Met", "Breached"))</f>
        <v/>
      </c>
    </row>
    <row r="4349">
      <c r="M4349" s="11">
        <f>B4349+30</f>
        <v/>
      </c>
      <c r="N4349">
        <f>IF(L4349="", "", L4349-B4349)</f>
        <v/>
      </c>
      <c r="O4349">
        <f>IF(L4349="", "Pending", IF(N4349&lt;=30, "Met", "Breached"))</f>
        <v/>
      </c>
    </row>
    <row r="4350">
      <c r="M4350" s="11">
        <f>B4350+30</f>
        <v/>
      </c>
      <c r="N4350">
        <f>IF(L4350="", "", L4350-B4350)</f>
        <v/>
      </c>
      <c r="O4350">
        <f>IF(L4350="", "Pending", IF(N4350&lt;=30, "Met", "Breached"))</f>
        <v/>
      </c>
    </row>
    <row r="4351">
      <c r="M4351" s="11">
        <f>B4351+30</f>
        <v/>
      </c>
      <c r="N4351">
        <f>IF(L4351="", "", L4351-B4351)</f>
        <v/>
      </c>
      <c r="O4351">
        <f>IF(L4351="", "Pending", IF(N4351&lt;=30, "Met", "Breached"))</f>
        <v/>
      </c>
    </row>
    <row r="4352">
      <c r="M4352" s="11">
        <f>B4352+30</f>
        <v/>
      </c>
      <c r="N4352">
        <f>IF(L4352="", "", L4352-B4352)</f>
        <v/>
      </c>
      <c r="O4352">
        <f>IF(L4352="", "Pending", IF(N4352&lt;=30, "Met", "Breached"))</f>
        <v/>
      </c>
    </row>
    <row r="4353">
      <c r="M4353" s="11">
        <f>B4353+30</f>
        <v/>
      </c>
      <c r="N4353">
        <f>IF(L4353="", "", L4353-B4353)</f>
        <v/>
      </c>
      <c r="O4353">
        <f>IF(L4353="", "Pending", IF(N4353&lt;=30, "Met", "Breached"))</f>
        <v/>
      </c>
    </row>
    <row r="4354">
      <c r="M4354" s="11">
        <f>B4354+30</f>
        <v/>
      </c>
      <c r="N4354">
        <f>IF(L4354="", "", L4354-B4354)</f>
        <v/>
      </c>
      <c r="O4354">
        <f>IF(L4354="", "Pending", IF(N4354&lt;=30, "Met", "Breached"))</f>
        <v/>
      </c>
    </row>
    <row r="4355">
      <c r="M4355" s="11">
        <f>B4355+30</f>
        <v/>
      </c>
      <c r="N4355">
        <f>IF(L4355="", "", L4355-B4355)</f>
        <v/>
      </c>
      <c r="O4355">
        <f>IF(L4355="", "Pending", IF(N4355&lt;=30, "Met", "Breached"))</f>
        <v/>
      </c>
    </row>
    <row r="4356">
      <c r="M4356" s="11">
        <f>B4356+30</f>
        <v/>
      </c>
      <c r="N4356">
        <f>IF(L4356="", "", L4356-B4356)</f>
        <v/>
      </c>
      <c r="O4356">
        <f>IF(L4356="", "Pending", IF(N4356&lt;=30, "Met", "Breached"))</f>
        <v/>
      </c>
    </row>
    <row r="4357">
      <c r="M4357" s="11">
        <f>B4357+30</f>
        <v/>
      </c>
      <c r="N4357">
        <f>IF(L4357="", "", L4357-B4357)</f>
        <v/>
      </c>
      <c r="O4357">
        <f>IF(L4357="", "Pending", IF(N4357&lt;=30, "Met", "Breached"))</f>
        <v/>
      </c>
    </row>
    <row r="4358">
      <c r="M4358" s="11">
        <f>B4358+30</f>
        <v/>
      </c>
      <c r="N4358">
        <f>IF(L4358="", "", L4358-B4358)</f>
        <v/>
      </c>
      <c r="O4358">
        <f>IF(L4358="", "Pending", IF(N4358&lt;=30, "Met", "Breached"))</f>
        <v/>
      </c>
    </row>
    <row r="4359">
      <c r="M4359" s="11">
        <f>B4359+30</f>
        <v/>
      </c>
      <c r="N4359">
        <f>IF(L4359="", "", L4359-B4359)</f>
        <v/>
      </c>
      <c r="O4359">
        <f>IF(L4359="", "Pending", IF(N4359&lt;=30, "Met", "Breached"))</f>
        <v/>
      </c>
    </row>
    <row r="4360">
      <c r="M4360" s="11">
        <f>B4360+30</f>
        <v/>
      </c>
      <c r="N4360">
        <f>IF(L4360="", "", L4360-B4360)</f>
        <v/>
      </c>
      <c r="O4360">
        <f>IF(L4360="", "Pending", IF(N4360&lt;=30, "Met", "Breached"))</f>
        <v/>
      </c>
    </row>
    <row r="4361">
      <c r="M4361" s="11">
        <f>B4361+30</f>
        <v/>
      </c>
      <c r="N4361">
        <f>IF(L4361="", "", L4361-B4361)</f>
        <v/>
      </c>
      <c r="O4361">
        <f>IF(L4361="", "Pending", IF(N4361&lt;=30, "Met", "Breached"))</f>
        <v/>
      </c>
    </row>
    <row r="4362">
      <c r="M4362" s="11">
        <f>B4362+30</f>
        <v/>
      </c>
      <c r="N4362">
        <f>IF(L4362="", "", L4362-B4362)</f>
        <v/>
      </c>
      <c r="O4362">
        <f>IF(L4362="", "Pending", IF(N4362&lt;=30, "Met", "Breached"))</f>
        <v/>
      </c>
    </row>
    <row r="4363">
      <c r="M4363" s="11">
        <f>B4363+30</f>
        <v/>
      </c>
      <c r="N4363">
        <f>IF(L4363="", "", L4363-B4363)</f>
        <v/>
      </c>
      <c r="O4363">
        <f>IF(L4363="", "Pending", IF(N4363&lt;=30, "Met", "Breached"))</f>
        <v/>
      </c>
    </row>
    <row r="4364">
      <c r="M4364" s="11">
        <f>B4364+30</f>
        <v/>
      </c>
      <c r="N4364">
        <f>IF(L4364="", "", L4364-B4364)</f>
        <v/>
      </c>
      <c r="O4364">
        <f>IF(L4364="", "Pending", IF(N4364&lt;=30, "Met", "Breached"))</f>
        <v/>
      </c>
    </row>
    <row r="4365">
      <c r="M4365" s="11">
        <f>B4365+30</f>
        <v/>
      </c>
      <c r="N4365">
        <f>IF(L4365="", "", L4365-B4365)</f>
        <v/>
      </c>
      <c r="O4365">
        <f>IF(L4365="", "Pending", IF(N4365&lt;=30, "Met", "Breached"))</f>
        <v/>
      </c>
    </row>
    <row r="4366">
      <c r="M4366" s="11">
        <f>B4366+30</f>
        <v/>
      </c>
      <c r="N4366">
        <f>IF(L4366="", "", L4366-B4366)</f>
        <v/>
      </c>
      <c r="O4366">
        <f>IF(L4366="", "Pending", IF(N4366&lt;=30, "Met", "Breached"))</f>
        <v/>
      </c>
    </row>
    <row r="4367">
      <c r="M4367" s="11">
        <f>B4367+30</f>
        <v/>
      </c>
      <c r="N4367">
        <f>IF(L4367="", "", L4367-B4367)</f>
        <v/>
      </c>
      <c r="O4367">
        <f>IF(L4367="", "Pending", IF(N4367&lt;=30, "Met", "Breached"))</f>
        <v/>
      </c>
    </row>
    <row r="4368">
      <c r="M4368" s="11">
        <f>B4368+30</f>
        <v/>
      </c>
      <c r="N4368">
        <f>IF(L4368="", "", L4368-B4368)</f>
        <v/>
      </c>
      <c r="O4368">
        <f>IF(L4368="", "Pending", IF(N4368&lt;=30, "Met", "Breached"))</f>
        <v/>
      </c>
    </row>
    <row r="4369">
      <c r="M4369" s="11">
        <f>B4369+30</f>
        <v/>
      </c>
      <c r="N4369">
        <f>IF(L4369="", "", L4369-B4369)</f>
        <v/>
      </c>
      <c r="O4369">
        <f>IF(L4369="", "Pending", IF(N4369&lt;=30, "Met", "Breached"))</f>
        <v/>
      </c>
    </row>
    <row r="4370">
      <c r="M4370" s="11">
        <f>B4370+30</f>
        <v/>
      </c>
      <c r="N4370">
        <f>IF(L4370="", "", L4370-B4370)</f>
        <v/>
      </c>
      <c r="O4370">
        <f>IF(L4370="", "Pending", IF(N4370&lt;=30, "Met", "Breached"))</f>
        <v/>
      </c>
    </row>
    <row r="4371">
      <c r="M4371" s="11">
        <f>B4371+30</f>
        <v/>
      </c>
      <c r="N4371">
        <f>IF(L4371="", "", L4371-B4371)</f>
        <v/>
      </c>
      <c r="O4371">
        <f>IF(L4371="", "Pending", IF(N4371&lt;=30, "Met", "Breached"))</f>
        <v/>
      </c>
    </row>
    <row r="4372">
      <c r="M4372" s="11">
        <f>B4372+30</f>
        <v/>
      </c>
      <c r="N4372">
        <f>IF(L4372="", "", L4372-B4372)</f>
        <v/>
      </c>
      <c r="O4372">
        <f>IF(L4372="", "Pending", IF(N4372&lt;=30, "Met", "Breached"))</f>
        <v/>
      </c>
    </row>
    <row r="4373">
      <c r="M4373" s="11">
        <f>B4373+30</f>
        <v/>
      </c>
      <c r="N4373">
        <f>IF(L4373="", "", L4373-B4373)</f>
        <v/>
      </c>
      <c r="O4373">
        <f>IF(L4373="", "Pending", IF(N4373&lt;=30, "Met", "Breached"))</f>
        <v/>
      </c>
    </row>
    <row r="4374">
      <c r="M4374" s="11">
        <f>B4374+30</f>
        <v/>
      </c>
      <c r="N4374">
        <f>IF(L4374="", "", L4374-B4374)</f>
        <v/>
      </c>
      <c r="O4374">
        <f>IF(L4374="", "Pending", IF(N4374&lt;=30, "Met", "Breached"))</f>
        <v/>
      </c>
    </row>
    <row r="4375">
      <c r="M4375" s="11">
        <f>B4375+30</f>
        <v/>
      </c>
      <c r="N4375">
        <f>IF(L4375="", "", L4375-B4375)</f>
        <v/>
      </c>
      <c r="O4375">
        <f>IF(L4375="", "Pending", IF(N4375&lt;=30, "Met", "Breached"))</f>
        <v/>
      </c>
    </row>
    <row r="4376">
      <c r="M4376" s="11">
        <f>B4376+30</f>
        <v/>
      </c>
      <c r="N4376">
        <f>IF(L4376="", "", L4376-B4376)</f>
        <v/>
      </c>
      <c r="O4376">
        <f>IF(L4376="", "Pending", IF(N4376&lt;=30, "Met", "Breached"))</f>
        <v/>
      </c>
    </row>
    <row r="4377">
      <c r="M4377" s="11">
        <f>B4377+30</f>
        <v/>
      </c>
      <c r="N4377">
        <f>IF(L4377="", "", L4377-B4377)</f>
        <v/>
      </c>
      <c r="O4377">
        <f>IF(L4377="", "Pending", IF(N4377&lt;=30, "Met", "Breached"))</f>
        <v/>
      </c>
    </row>
    <row r="4378">
      <c r="M4378" s="11">
        <f>B4378+30</f>
        <v/>
      </c>
      <c r="N4378">
        <f>IF(L4378="", "", L4378-B4378)</f>
        <v/>
      </c>
      <c r="O4378">
        <f>IF(L4378="", "Pending", IF(N4378&lt;=30, "Met", "Breached"))</f>
        <v/>
      </c>
    </row>
    <row r="4379">
      <c r="M4379" s="11">
        <f>B4379+30</f>
        <v/>
      </c>
      <c r="N4379">
        <f>IF(L4379="", "", L4379-B4379)</f>
        <v/>
      </c>
      <c r="O4379">
        <f>IF(L4379="", "Pending", IF(N4379&lt;=30, "Met", "Breached"))</f>
        <v/>
      </c>
    </row>
    <row r="4380">
      <c r="M4380" s="11">
        <f>B4380+30</f>
        <v/>
      </c>
      <c r="N4380">
        <f>IF(L4380="", "", L4380-B4380)</f>
        <v/>
      </c>
      <c r="O4380">
        <f>IF(L4380="", "Pending", IF(N4380&lt;=30, "Met", "Breached"))</f>
        <v/>
      </c>
    </row>
    <row r="4381">
      <c r="M4381" s="11">
        <f>B4381+30</f>
        <v/>
      </c>
      <c r="N4381">
        <f>IF(L4381="", "", L4381-B4381)</f>
        <v/>
      </c>
      <c r="O4381">
        <f>IF(L4381="", "Pending", IF(N4381&lt;=30, "Met", "Breached"))</f>
        <v/>
      </c>
    </row>
    <row r="4382">
      <c r="M4382" s="11">
        <f>B4382+30</f>
        <v/>
      </c>
      <c r="N4382">
        <f>IF(L4382="", "", L4382-B4382)</f>
        <v/>
      </c>
      <c r="O4382">
        <f>IF(L4382="", "Pending", IF(N4382&lt;=30, "Met", "Breached"))</f>
        <v/>
      </c>
    </row>
    <row r="4383">
      <c r="M4383" s="11">
        <f>B4383+30</f>
        <v/>
      </c>
      <c r="N4383">
        <f>IF(L4383="", "", L4383-B4383)</f>
        <v/>
      </c>
      <c r="O4383">
        <f>IF(L4383="", "Pending", IF(N4383&lt;=30, "Met", "Breached"))</f>
        <v/>
      </c>
    </row>
    <row r="4384">
      <c r="M4384" s="11">
        <f>B4384+30</f>
        <v/>
      </c>
      <c r="N4384">
        <f>IF(L4384="", "", L4384-B4384)</f>
        <v/>
      </c>
      <c r="O4384">
        <f>IF(L4384="", "Pending", IF(N4384&lt;=30, "Met", "Breached"))</f>
        <v/>
      </c>
    </row>
    <row r="4385">
      <c r="M4385" s="11">
        <f>B4385+30</f>
        <v/>
      </c>
      <c r="N4385">
        <f>IF(L4385="", "", L4385-B4385)</f>
        <v/>
      </c>
      <c r="O4385">
        <f>IF(L4385="", "Pending", IF(N4385&lt;=30, "Met", "Breached"))</f>
        <v/>
      </c>
    </row>
    <row r="4386">
      <c r="M4386" s="11">
        <f>B4386+30</f>
        <v/>
      </c>
      <c r="N4386">
        <f>IF(L4386="", "", L4386-B4386)</f>
        <v/>
      </c>
      <c r="O4386">
        <f>IF(L4386="", "Pending", IF(N4386&lt;=30, "Met", "Breached"))</f>
        <v/>
      </c>
    </row>
    <row r="4387">
      <c r="M4387" s="11">
        <f>B4387+30</f>
        <v/>
      </c>
      <c r="N4387">
        <f>IF(L4387="", "", L4387-B4387)</f>
        <v/>
      </c>
      <c r="O4387">
        <f>IF(L4387="", "Pending", IF(N4387&lt;=30, "Met", "Breached"))</f>
        <v/>
      </c>
    </row>
    <row r="4388">
      <c r="M4388" s="11">
        <f>B4388+30</f>
        <v/>
      </c>
      <c r="N4388">
        <f>IF(L4388="", "", L4388-B4388)</f>
        <v/>
      </c>
      <c r="O4388">
        <f>IF(L4388="", "Pending", IF(N4388&lt;=30, "Met", "Breached"))</f>
        <v/>
      </c>
    </row>
    <row r="4389">
      <c r="M4389" s="11">
        <f>B4389+30</f>
        <v/>
      </c>
      <c r="N4389">
        <f>IF(L4389="", "", L4389-B4389)</f>
        <v/>
      </c>
      <c r="O4389">
        <f>IF(L4389="", "Pending", IF(N4389&lt;=30, "Met", "Breached"))</f>
        <v/>
      </c>
    </row>
    <row r="4390">
      <c r="M4390" s="11">
        <f>B4390+30</f>
        <v/>
      </c>
      <c r="N4390">
        <f>IF(L4390="", "", L4390-B4390)</f>
        <v/>
      </c>
      <c r="O4390">
        <f>IF(L4390="", "Pending", IF(N4390&lt;=30, "Met", "Breached"))</f>
        <v/>
      </c>
    </row>
    <row r="4391">
      <c r="M4391" s="11">
        <f>B4391+30</f>
        <v/>
      </c>
      <c r="N4391">
        <f>IF(L4391="", "", L4391-B4391)</f>
        <v/>
      </c>
      <c r="O4391">
        <f>IF(L4391="", "Pending", IF(N4391&lt;=30, "Met", "Breached"))</f>
        <v/>
      </c>
    </row>
    <row r="4392">
      <c r="M4392" s="11">
        <f>B4392+30</f>
        <v/>
      </c>
      <c r="N4392">
        <f>IF(L4392="", "", L4392-B4392)</f>
        <v/>
      </c>
      <c r="O4392">
        <f>IF(L4392="", "Pending", IF(N4392&lt;=30, "Met", "Breached"))</f>
        <v/>
      </c>
    </row>
    <row r="4393">
      <c r="M4393" s="11">
        <f>B4393+30</f>
        <v/>
      </c>
      <c r="N4393">
        <f>IF(L4393="", "", L4393-B4393)</f>
        <v/>
      </c>
      <c r="O4393">
        <f>IF(L4393="", "Pending", IF(N4393&lt;=30, "Met", "Breached"))</f>
        <v/>
      </c>
    </row>
    <row r="4394">
      <c r="M4394" s="11">
        <f>B4394+30</f>
        <v/>
      </c>
      <c r="N4394">
        <f>IF(L4394="", "", L4394-B4394)</f>
        <v/>
      </c>
      <c r="O4394">
        <f>IF(L4394="", "Pending", IF(N4394&lt;=30, "Met", "Breached"))</f>
        <v/>
      </c>
    </row>
    <row r="4395">
      <c r="M4395" s="11">
        <f>B4395+30</f>
        <v/>
      </c>
      <c r="N4395">
        <f>IF(L4395="", "", L4395-B4395)</f>
        <v/>
      </c>
      <c r="O4395">
        <f>IF(L4395="", "Pending", IF(N4395&lt;=30, "Met", "Breached"))</f>
        <v/>
      </c>
    </row>
    <row r="4396">
      <c r="M4396" s="11">
        <f>B4396+30</f>
        <v/>
      </c>
      <c r="N4396">
        <f>IF(L4396="", "", L4396-B4396)</f>
        <v/>
      </c>
      <c r="O4396">
        <f>IF(L4396="", "Pending", IF(N4396&lt;=30, "Met", "Breached"))</f>
        <v/>
      </c>
    </row>
    <row r="4397">
      <c r="M4397" s="11">
        <f>B4397+30</f>
        <v/>
      </c>
      <c r="N4397">
        <f>IF(L4397="", "", L4397-B4397)</f>
        <v/>
      </c>
      <c r="O4397">
        <f>IF(L4397="", "Pending", IF(N4397&lt;=30, "Met", "Breached"))</f>
        <v/>
      </c>
    </row>
    <row r="4398">
      <c r="M4398" s="11">
        <f>B4398+30</f>
        <v/>
      </c>
      <c r="N4398">
        <f>IF(L4398="", "", L4398-B4398)</f>
        <v/>
      </c>
      <c r="O4398">
        <f>IF(L4398="", "Pending", IF(N4398&lt;=30, "Met", "Breached"))</f>
        <v/>
      </c>
    </row>
    <row r="4399">
      <c r="M4399" s="11">
        <f>B4399+30</f>
        <v/>
      </c>
      <c r="N4399">
        <f>IF(L4399="", "", L4399-B4399)</f>
        <v/>
      </c>
      <c r="O4399">
        <f>IF(L4399="", "Pending", IF(N4399&lt;=30, "Met", "Breached"))</f>
        <v/>
      </c>
    </row>
    <row r="4400">
      <c r="M4400" s="11">
        <f>B4400+30</f>
        <v/>
      </c>
      <c r="N4400">
        <f>IF(L4400="", "", L4400-B4400)</f>
        <v/>
      </c>
      <c r="O4400">
        <f>IF(L4400="", "Pending", IF(N4400&lt;=30, "Met", "Breached"))</f>
        <v/>
      </c>
    </row>
    <row r="4401">
      <c r="M4401" s="11">
        <f>B4401+30</f>
        <v/>
      </c>
      <c r="N4401">
        <f>IF(L4401="", "", L4401-B4401)</f>
        <v/>
      </c>
      <c r="O4401">
        <f>IF(L4401="", "Pending", IF(N4401&lt;=30, "Met", "Breached"))</f>
        <v/>
      </c>
    </row>
    <row r="4402">
      <c r="M4402" s="11">
        <f>B4402+30</f>
        <v/>
      </c>
      <c r="N4402">
        <f>IF(L4402="", "", L4402-B4402)</f>
        <v/>
      </c>
      <c r="O4402">
        <f>IF(L4402="", "Pending", IF(N4402&lt;=30, "Met", "Breached"))</f>
        <v/>
      </c>
    </row>
    <row r="4403">
      <c r="M4403" s="11">
        <f>B4403+30</f>
        <v/>
      </c>
      <c r="N4403">
        <f>IF(L4403="", "", L4403-B4403)</f>
        <v/>
      </c>
      <c r="O4403">
        <f>IF(L4403="", "Pending", IF(N4403&lt;=30, "Met", "Breached"))</f>
        <v/>
      </c>
    </row>
    <row r="4404">
      <c r="M4404" s="11">
        <f>B4404+30</f>
        <v/>
      </c>
      <c r="N4404">
        <f>IF(L4404="", "", L4404-B4404)</f>
        <v/>
      </c>
      <c r="O4404">
        <f>IF(L4404="", "Pending", IF(N4404&lt;=30, "Met", "Breached"))</f>
        <v/>
      </c>
    </row>
    <row r="4405">
      <c r="M4405" s="11">
        <f>B4405+30</f>
        <v/>
      </c>
      <c r="N4405">
        <f>IF(L4405="", "", L4405-B4405)</f>
        <v/>
      </c>
      <c r="O4405">
        <f>IF(L4405="", "Pending", IF(N4405&lt;=30, "Met", "Breached"))</f>
        <v/>
      </c>
    </row>
    <row r="4406">
      <c r="M4406" s="11">
        <f>B4406+30</f>
        <v/>
      </c>
      <c r="N4406">
        <f>IF(L4406="", "", L4406-B4406)</f>
        <v/>
      </c>
      <c r="O4406">
        <f>IF(L4406="", "Pending", IF(N4406&lt;=30, "Met", "Breached"))</f>
        <v/>
      </c>
    </row>
    <row r="4407">
      <c r="M4407" s="11">
        <f>B4407+30</f>
        <v/>
      </c>
      <c r="N4407">
        <f>IF(L4407="", "", L4407-B4407)</f>
        <v/>
      </c>
      <c r="O4407">
        <f>IF(L4407="", "Pending", IF(N4407&lt;=30, "Met", "Breached"))</f>
        <v/>
      </c>
    </row>
    <row r="4408">
      <c r="M4408" s="11">
        <f>B4408+30</f>
        <v/>
      </c>
      <c r="N4408">
        <f>IF(L4408="", "", L4408-B4408)</f>
        <v/>
      </c>
      <c r="O4408">
        <f>IF(L4408="", "Pending", IF(N4408&lt;=30, "Met", "Breached"))</f>
        <v/>
      </c>
    </row>
    <row r="4409">
      <c r="M4409" s="11">
        <f>B4409+30</f>
        <v/>
      </c>
      <c r="N4409">
        <f>IF(L4409="", "", L4409-B4409)</f>
        <v/>
      </c>
      <c r="O4409">
        <f>IF(L4409="", "Pending", IF(N4409&lt;=30, "Met", "Breached"))</f>
        <v/>
      </c>
    </row>
    <row r="4410">
      <c r="M4410" s="11">
        <f>B4410+30</f>
        <v/>
      </c>
      <c r="N4410">
        <f>IF(L4410="", "", L4410-B4410)</f>
        <v/>
      </c>
      <c r="O4410">
        <f>IF(L4410="", "Pending", IF(N4410&lt;=30, "Met", "Breached"))</f>
        <v/>
      </c>
    </row>
    <row r="4411">
      <c r="M4411" s="11">
        <f>B4411+30</f>
        <v/>
      </c>
      <c r="N4411">
        <f>IF(L4411="", "", L4411-B4411)</f>
        <v/>
      </c>
      <c r="O4411">
        <f>IF(L4411="", "Pending", IF(N4411&lt;=30, "Met", "Breached"))</f>
        <v/>
      </c>
    </row>
    <row r="4412">
      <c r="M4412" s="11">
        <f>B4412+30</f>
        <v/>
      </c>
      <c r="N4412">
        <f>IF(L4412="", "", L4412-B4412)</f>
        <v/>
      </c>
      <c r="O4412">
        <f>IF(L4412="", "Pending", IF(N4412&lt;=30, "Met", "Breached"))</f>
        <v/>
      </c>
    </row>
    <row r="4413">
      <c r="M4413" s="11">
        <f>B4413+30</f>
        <v/>
      </c>
      <c r="N4413">
        <f>IF(L4413="", "", L4413-B4413)</f>
        <v/>
      </c>
      <c r="O4413">
        <f>IF(L4413="", "Pending", IF(N4413&lt;=30, "Met", "Breached"))</f>
        <v/>
      </c>
    </row>
    <row r="4414">
      <c r="M4414" s="11">
        <f>B4414+30</f>
        <v/>
      </c>
      <c r="N4414">
        <f>IF(L4414="", "", L4414-B4414)</f>
        <v/>
      </c>
      <c r="O4414">
        <f>IF(L4414="", "Pending", IF(N4414&lt;=30, "Met", "Breached"))</f>
        <v/>
      </c>
    </row>
    <row r="4415">
      <c r="M4415" s="11">
        <f>B4415+30</f>
        <v/>
      </c>
      <c r="N4415">
        <f>IF(L4415="", "", L4415-B4415)</f>
        <v/>
      </c>
      <c r="O4415">
        <f>IF(L4415="", "Pending", IF(N4415&lt;=30, "Met", "Breached"))</f>
        <v/>
      </c>
    </row>
    <row r="4416">
      <c r="M4416" s="11">
        <f>B4416+30</f>
        <v/>
      </c>
      <c r="N4416">
        <f>IF(L4416="", "", L4416-B4416)</f>
        <v/>
      </c>
      <c r="O4416">
        <f>IF(L4416="", "Pending", IF(N4416&lt;=30, "Met", "Breached"))</f>
        <v/>
      </c>
    </row>
    <row r="4417">
      <c r="M4417" s="11">
        <f>B4417+30</f>
        <v/>
      </c>
      <c r="N4417">
        <f>IF(L4417="", "", L4417-B4417)</f>
        <v/>
      </c>
      <c r="O4417">
        <f>IF(L4417="", "Pending", IF(N4417&lt;=30, "Met", "Breached"))</f>
        <v/>
      </c>
    </row>
    <row r="4418">
      <c r="M4418" s="11">
        <f>B4418+30</f>
        <v/>
      </c>
      <c r="N4418">
        <f>IF(L4418="", "", L4418-B4418)</f>
        <v/>
      </c>
      <c r="O4418">
        <f>IF(L4418="", "Pending", IF(N4418&lt;=30, "Met", "Breached"))</f>
        <v/>
      </c>
    </row>
    <row r="4419">
      <c r="M4419" s="11">
        <f>B4419+30</f>
        <v/>
      </c>
      <c r="N4419">
        <f>IF(L4419="", "", L4419-B4419)</f>
        <v/>
      </c>
      <c r="O4419">
        <f>IF(L4419="", "Pending", IF(N4419&lt;=30, "Met", "Breached"))</f>
        <v/>
      </c>
    </row>
    <row r="4420">
      <c r="M4420" s="11">
        <f>B4420+30</f>
        <v/>
      </c>
      <c r="N4420">
        <f>IF(L4420="", "", L4420-B4420)</f>
        <v/>
      </c>
      <c r="O4420">
        <f>IF(L4420="", "Pending", IF(N4420&lt;=30, "Met", "Breached"))</f>
        <v/>
      </c>
    </row>
    <row r="4421">
      <c r="M4421" s="11">
        <f>B4421+30</f>
        <v/>
      </c>
      <c r="N4421">
        <f>IF(L4421="", "", L4421-B4421)</f>
        <v/>
      </c>
      <c r="O4421">
        <f>IF(L4421="", "Pending", IF(N4421&lt;=30, "Met", "Breached"))</f>
        <v/>
      </c>
    </row>
    <row r="4422">
      <c r="M4422" s="11">
        <f>B4422+30</f>
        <v/>
      </c>
      <c r="N4422">
        <f>IF(L4422="", "", L4422-B4422)</f>
        <v/>
      </c>
      <c r="O4422">
        <f>IF(L4422="", "Pending", IF(N4422&lt;=30, "Met", "Breached"))</f>
        <v/>
      </c>
    </row>
    <row r="4423">
      <c r="M4423" s="11">
        <f>B4423+30</f>
        <v/>
      </c>
      <c r="N4423">
        <f>IF(L4423="", "", L4423-B4423)</f>
        <v/>
      </c>
      <c r="O4423">
        <f>IF(L4423="", "Pending", IF(N4423&lt;=30, "Met", "Breached"))</f>
        <v/>
      </c>
    </row>
    <row r="4424">
      <c r="M4424" s="11">
        <f>B4424+30</f>
        <v/>
      </c>
      <c r="N4424">
        <f>IF(L4424="", "", L4424-B4424)</f>
        <v/>
      </c>
      <c r="O4424">
        <f>IF(L4424="", "Pending", IF(N4424&lt;=30, "Met", "Breached"))</f>
        <v/>
      </c>
    </row>
    <row r="4425">
      <c r="M4425" s="11">
        <f>B4425+30</f>
        <v/>
      </c>
      <c r="N4425">
        <f>IF(L4425="", "", L4425-B4425)</f>
        <v/>
      </c>
      <c r="O4425">
        <f>IF(L4425="", "Pending", IF(N4425&lt;=30, "Met", "Breached"))</f>
        <v/>
      </c>
    </row>
    <row r="4426">
      <c r="M4426" s="11">
        <f>B4426+30</f>
        <v/>
      </c>
      <c r="N4426">
        <f>IF(L4426="", "", L4426-B4426)</f>
        <v/>
      </c>
      <c r="O4426">
        <f>IF(L4426="", "Pending", IF(N4426&lt;=30, "Met", "Breached"))</f>
        <v/>
      </c>
    </row>
    <row r="4427">
      <c r="M4427" s="11">
        <f>B4427+30</f>
        <v/>
      </c>
      <c r="N4427">
        <f>IF(L4427="", "", L4427-B4427)</f>
        <v/>
      </c>
      <c r="O4427">
        <f>IF(L4427="", "Pending", IF(N4427&lt;=30, "Met", "Breached"))</f>
        <v/>
      </c>
    </row>
    <row r="4428">
      <c r="M4428" s="11">
        <f>B4428+30</f>
        <v/>
      </c>
      <c r="N4428">
        <f>IF(L4428="", "", L4428-B4428)</f>
        <v/>
      </c>
      <c r="O4428">
        <f>IF(L4428="", "Pending", IF(N4428&lt;=30, "Met", "Breached"))</f>
        <v/>
      </c>
    </row>
    <row r="4429">
      <c r="M4429" s="11">
        <f>B4429+30</f>
        <v/>
      </c>
      <c r="N4429">
        <f>IF(L4429="", "", L4429-B4429)</f>
        <v/>
      </c>
      <c r="O4429">
        <f>IF(L4429="", "Pending", IF(N4429&lt;=30, "Met", "Breached"))</f>
        <v/>
      </c>
    </row>
    <row r="4430">
      <c r="M4430" s="11">
        <f>B4430+30</f>
        <v/>
      </c>
      <c r="N4430">
        <f>IF(L4430="", "", L4430-B4430)</f>
        <v/>
      </c>
      <c r="O4430">
        <f>IF(L4430="", "Pending", IF(N4430&lt;=30, "Met", "Breached"))</f>
        <v/>
      </c>
    </row>
    <row r="4431">
      <c r="M4431" s="11">
        <f>B4431+30</f>
        <v/>
      </c>
      <c r="N4431">
        <f>IF(L4431="", "", L4431-B4431)</f>
        <v/>
      </c>
      <c r="O4431">
        <f>IF(L4431="", "Pending", IF(N4431&lt;=30, "Met", "Breached"))</f>
        <v/>
      </c>
    </row>
    <row r="4432">
      <c r="M4432" s="11">
        <f>B4432+30</f>
        <v/>
      </c>
      <c r="N4432">
        <f>IF(L4432="", "", L4432-B4432)</f>
        <v/>
      </c>
      <c r="O4432">
        <f>IF(L4432="", "Pending", IF(N4432&lt;=30, "Met", "Breached"))</f>
        <v/>
      </c>
    </row>
    <row r="4433">
      <c r="M4433" s="11">
        <f>B4433+30</f>
        <v/>
      </c>
      <c r="N4433">
        <f>IF(L4433="", "", L4433-B4433)</f>
        <v/>
      </c>
      <c r="O4433">
        <f>IF(L4433="", "Pending", IF(N4433&lt;=30, "Met", "Breached"))</f>
        <v/>
      </c>
    </row>
    <row r="4434">
      <c r="M4434" s="11">
        <f>B4434+30</f>
        <v/>
      </c>
      <c r="N4434">
        <f>IF(L4434="", "", L4434-B4434)</f>
        <v/>
      </c>
      <c r="O4434">
        <f>IF(L4434="", "Pending", IF(N4434&lt;=30, "Met", "Breached"))</f>
        <v/>
      </c>
    </row>
    <row r="4435">
      <c r="M4435" s="11">
        <f>B4435+30</f>
        <v/>
      </c>
      <c r="N4435">
        <f>IF(L4435="", "", L4435-B4435)</f>
        <v/>
      </c>
      <c r="O4435">
        <f>IF(L4435="", "Pending", IF(N4435&lt;=30, "Met", "Breached"))</f>
        <v/>
      </c>
    </row>
    <row r="4436">
      <c r="M4436" s="11">
        <f>B4436+30</f>
        <v/>
      </c>
      <c r="N4436">
        <f>IF(L4436="", "", L4436-B4436)</f>
        <v/>
      </c>
      <c r="O4436">
        <f>IF(L4436="", "Pending", IF(N4436&lt;=30, "Met", "Breached"))</f>
        <v/>
      </c>
    </row>
    <row r="4437">
      <c r="M4437" s="11">
        <f>B4437+30</f>
        <v/>
      </c>
      <c r="N4437">
        <f>IF(L4437="", "", L4437-B4437)</f>
        <v/>
      </c>
      <c r="O4437">
        <f>IF(L4437="", "Pending", IF(N4437&lt;=30, "Met", "Breached"))</f>
        <v/>
      </c>
    </row>
    <row r="4438">
      <c r="M4438" s="11">
        <f>B4438+30</f>
        <v/>
      </c>
      <c r="N4438">
        <f>IF(L4438="", "", L4438-B4438)</f>
        <v/>
      </c>
      <c r="O4438">
        <f>IF(L4438="", "Pending", IF(N4438&lt;=30, "Met", "Breached"))</f>
        <v/>
      </c>
    </row>
    <row r="4439">
      <c r="M4439" s="11">
        <f>B4439+30</f>
        <v/>
      </c>
      <c r="N4439">
        <f>IF(L4439="", "", L4439-B4439)</f>
        <v/>
      </c>
      <c r="O4439">
        <f>IF(L4439="", "Pending", IF(N4439&lt;=30, "Met", "Breached"))</f>
        <v/>
      </c>
    </row>
    <row r="4440">
      <c r="M4440" s="11">
        <f>B4440+30</f>
        <v/>
      </c>
      <c r="N4440">
        <f>IF(L4440="", "", L4440-B4440)</f>
        <v/>
      </c>
      <c r="O4440">
        <f>IF(L4440="", "Pending", IF(N4440&lt;=30, "Met", "Breached"))</f>
        <v/>
      </c>
    </row>
    <row r="4441">
      <c r="M4441" s="11">
        <f>B4441+30</f>
        <v/>
      </c>
      <c r="N4441">
        <f>IF(L4441="", "", L4441-B4441)</f>
        <v/>
      </c>
      <c r="O4441">
        <f>IF(L4441="", "Pending", IF(N4441&lt;=30, "Met", "Breached"))</f>
        <v/>
      </c>
    </row>
    <row r="4442">
      <c r="M4442" s="11">
        <f>B4442+30</f>
        <v/>
      </c>
      <c r="N4442">
        <f>IF(L4442="", "", L4442-B4442)</f>
        <v/>
      </c>
      <c r="O4442">
        <f>IF(L4442="", "Pending", IF(N4442&lt;=30, "Met", "Breached"))</f>
        <v/>
      </c>
    </row>
    <row r="4443">
      <c r="M4443" s="11">
        <f>B4443+30</f>
        <v/>
      </c>
      <c r="N4443">
        <f>IF(L4443="", "", L4443-B4443)</f>
        <v/>
      </c>
      <c r="O4443">
        <f>IF(L4443="", "Pending", IF(N4443&lt;=30, "Met", "Breached"))</f>
        <v/>
      </c>
    </row>
    <row r="4444">
      <c r="M4444" s="11">
        <f>B4444+30</f>
        <v/>
      </c>
      <c r="N4444">
        <f>IF(L4444="", "", L4444-B4444)</f>
        <v/>
      </c>
      <c r="O4444">
        <f>IF(L4444="", "Pending", IF(N4444&lt;=30, "Met", "Breached"))</f>
        <v/>
      </c>
    </row>
    <row r="4445">
      <c r="M4445" s="11">
        <f>B4445+30</f>
        <v/>
      </c>
      <c r="N4445">
        <f>IF(L4445="", "", L4445-B4445)</f>
        <v/>
      </c>
      <c r="O4445">
        <f>IF(L4445="", "Pending", IF(N4445&lt;=30, "Met", "Breached"))</f>
        <v/>
      </c>
    </row>
    <row r="4446">
      <c r="M4446" s="11">
        <f>B4446+30</f>
        <v/>
      </c>
      <c r="N4446">
        <f>IF(L4446="", "", L4446-B4446)</f>
        <v/>
      </c>
      <c r="O4446">
        <f>IF(L4446="", "Pending", IF(N4446&lt;=30, "Met", "Breached"))</f>
        <v/>
      </c>
    </row>
    <row r="4447">
      <c r="M4447" s="11">
        <f>B4447+30</f>
        <v/>
      </c>
      <c r="N4447">
        <f>IF(L4447="", "", L4447-B4447)</f>
        <v/>
      </c>
      <c r="O4447">
        <f>IF(L4447="", "Pending", IF(N4447&lt;=30, "Met", "Breached"))</f>
        <v/>
      </c>
    </row>
    <row r="4448">
      <c r="M4448" s="11">
        <f>B4448+30</f>
        <v/>
      </c>
      <c r="N4448">
        <f>IF(L4448="", "", L4448-B4448)</f>
        <v/>
      </c>
      <c r="O4448">
        <f>IF(L4448="", "Pending", IF(N4448&lt;=30, "Met", "Breached"))</f>
        <v/>
      </c>
    </row>
    <row r="4449">
      <c r="M4449" s="11">
        <f>B4449+30</f>
        <v/>
      </c>
      <c r="N4449">
        <f>IF(L4449="", "", L4449-B4449)</f>
        <v/>
      </c>
      <c r="O4449">
        <f>IF(L4449="", "Pending", IF(N4449&lt;=30, "Met", "Breached"))</f>
        <v/>
      </c>
    </row>
    <row r="4450">
      <c r="M4450" s="11">
        <f>B4450+30</f>
        <v/>
      </c>
      <c r="N4450">
        <f>IF(L4450="", "", L4450-B4450)</f>
        <v/>
      </c>
      <c r="O4450">
        <f>IF(L4450="", "Pending", IF(N4450&lt;=30, "Met", "Breached"))</f>
        <v/>
      </c>
    </row>
    <row r="4451">
      <c r="M4451" s="11">
        <f>B4451+30</f>
        <v/>
      </c>
      <c r="N4451">
        <f>IF(L4451="", "", L4451-B4451)</f>
        <v/>
      </c>
      <c r="O4451">
        <f>IF(L4451="", "Pending", IF(N4451&lt;=30, "Met", "Breached"))</f>
        <v/>
      </c>
    </row>
    <row r="4452">
      <c r="M4452" s="11">
        <f>B4452+30</f>
        <v/>
      </c>
      <c r="N4452">
        <f>IF(L4452="", "", L4452-B4452)</f>
        <v/>
      </c>
      <c r="O4452">
        <f>IF(L4452="", "Pending", IF(N4452&lt;=30, "Met", "Breached"))</f>
        <v/>
      </c>
    </row>
    <row r="4453">
      <c r="M4453" s="11">
        <f>B4453+30</f>
        <v/>
      </c>
      <c r="N4453">
        <f>IF(L4453="", "", L4453-B4453)</f>
        <v/>
      </c>
      <c r="O4453">
        <f>IF(L4453="", "Pending", IF(N4453&lt;=30, "Met", "Breached"))</f>
        <v/>
      </c>
    </row>
    <row r="4454">
      <c r="M4454" s="11">
        <f>B4454+30</f>
        <v/>
      </c>
      <c r="N4454">
        <f>IF(L4454="", "", L4454-B4454)</f>
        <v/>
      </c>
      <c r="O4454">
        <f>IF(L4454="", "Pending", IF(N4454&lt;=30, "Met", "Breached"))</f>
        <v/>
      </c>
    </row>
    <row r="4455">
      <c r="M4455" s="11">
        <f>B4455+30</f>
        <v/>
      </c>
      <c r="N4455">
        <f>IF(L4455="", "", L4455-B4455)</f>
        <v/>
      </c>
      <c r="O4455">
        <f>IF(L4455="", "Pending", IF(N4455&lt;=30, "Met", "Breached"))</f>
        <v/>
      </c>
    </row>
    <row r="4456">
      <c r="M4456" s="11">
        <f>B4456+30</f>
        <v/>
      </c>
      <c r="N4456">
        <f>IF(L4456="", "", L4456-B4456)</f>
        <v/>
      </c>
      <c r="O4456">
        <f>IF(L4456="", "Pending", IF(N4456&lt;=30, "Met", "Breached"))</f>
        <v/>
      </c>
    </row>
    <row r="4457">
      <c r="M4457" s="11">
        <f>B4457+30</f>
        <v/>
      </c>
      <c r="N4457">
        <f>IF(L4457="", "", L4457-B4457)</f>
        <v/>
      </c>
      <c r="O4457">
        <f>IF(L4457="", "Pending", IF(N4457&lt;=30, "Met", "Breached"))</f>
        <v/>
      </c>
    </row>
    <row r="4458">
      <c r="M4458" s="11">
        <f>B4458+30</f>
        <v/>
      </c>
      <c r="N4458">
        <f>IF(L4458="", "", L4458-B4458)</f>
        <v/>
      </c>
      <c r="O4458">
        <f>IF(L4458="", "Pending", IF(N4458&lt;=30, "Met", "Breached"))</f>
        <v/>
      </c>
    </row>
    <row r="4459">
      <c r="M4459" s="11">
        <f>B4459+30</f>
        <v/>
      </c>
      <c r="N4459">
        <f>IF(L4459="", "", L4459-B4459)</f>
        <v/>
      </c>
      <c r="O4459">
        <f>IF(L4459="", "Pending", IF(N4459&lt;=30, "Met", "Breached"))</f>
        <v/>
      </c>
    </row>
    <row r="4460">
      <c r="M4460" s="11">
        <f>B4460+30</f>
        <v/>
      </c>
      <c r="N4460">
        <f>IF(L4460="", "", L4460-B4460)</f>
        <v/>
      </c>
      <c r="O4460">
        <f>IF(L4460="", "Pending", IF(N4460&lt;=30, "Met", "Breached"))</f>
        <v/>
      </c>
    </row>
    <row r="4461">
      <c r="M4461" s="11">
        <f>B4461+30</f>
        <v/>
      </c>
      <c r="N4461">
        <f>IF(L4461="", "", L4461-B4461)</f>
        <v/>
      </c>
      <c r="O4461">
        <f>IF(L4461="", "Pending", IF(N4461&lt;=30, "Met", "Breached"))</f>
        <v/>
      </c>
    </row>
    <row r="4462">
      <c r="M4462" s="11">
        <f>B4462+30</f>
        <v/>
      </c>
      <c r="N4462">
        <f>IF(L4462="", "", L4462-B4462)</f>
        <v/>
      </c>
      <c r="O4462">
        <f>IF(L4462="", "Pending", IF(N4462&lt;=30, "Met", "Breached"))</f>
        <v/>
      </c>
    </row>
    <row r="4463">
      <c r="M4463" s="11">
        <f>B4463+30</f>
        <v/>
      </c>
      <c r="N4463">
        <f>IF(L4463="", "", L4463-B4463)</f>
        <v/>
      </c>
      <c r="O4463">
        <f>IF(L4463="", "Pending", IF(N4463&lt;=30, "Met", "Breached"))</f>
        <v/>
      </c>
    </row>
    <row r="4464">
      <c r="M4464" s="11">
        <f>B4464+30</f>
        <v/>
      </c>
      <c r="N4464">
        <f>IF(L4464="", "", L4464-B4464)</f>
        <v/>
      </c>
      <c r="O4464">
        <f>IF(L4464="", "Pending", IF(N4464&lt;=30, "Met", "Breached"))</f>
        <v/>
      </c>
    </row>
    <row r="4465">
      <c r="M4465" s="11">
        <f>B4465+30</f>
        <v/>
      </c>
      <c r="N4465">
        <f>IF(L4465="", "", L4465-B4465)</f>
        <v/>
      </c>
      <c r="O4465">
        <f>IF(L4465="", "Pending", IF(N4465&lt;=30, "Met", "Breached"))</f>
        <v/>
      </c>
    </row>
    <row r="4466">
      <c r="M4466" s="11">
        <f>B4466+30</f>
        <v/>
      </c>
      <c r="N4466">
        <f>IF(L4466="", "", L4466-B4466)</f>
        <v/>
      </c>
      <c r="O4466">
        <f>IF(L4466="", "Pending", IF(N4466&lt;=30, "Met", "Breached"))</f>
        <v/>
      </c>
    </row>
    <row r="4467">
      <c r="M4467" s="11">
        <f>B4467+30</f>
        <v/>
      </c>
      <c r="N4467">
        <f>IF(L4467="", "", L4467-B4467)</f>
        <v/>
      </c>
      <c r="O4467">
        <f>IF(L4467="", "Pending", IF(N4467&lt;=30, "Met", "Breached"))</f>
        <v/>
      </c>
    </row>
    <row r="4468">
      <c r="M4468" s="11">
        <f>B4468+30</f>
        <v/>
      </c>
      <c r="N4468">
        <f>IF(L4468="", "", L4468-B4468)</f>
        <v/>
      </c>
      <c r="O4468">
        <f>IF(L4468="", "Pending", IF(N4468&lt;=30, "Met", "Breached"))</f>
        <v/>
      </c>
    </row>
    <row r="4469">
      <c r="M4469" s="11">
        <f>B4469+30</f>
        <v/>
      </c>
      <c r="N4469">
        <f>IF(L4469="", "", L4469-B4469)</f>
        <v/>
      </c>
      <c r="O4469">
        <f>IF(L4469="", "Pending", IF(N4469&lt;=30, "Met", "Breached"))</f>
        <v/>
      </c>
    </row>
    <row r="4470">
      <c r="M4470" s="11">
        <f>B4470+30</f>
        <v/>
      </c>
      <c r="N4470">
        <f>IF(L4470="", "", L4470-B4470)</f>
        <v/>
      </c>
      <c r="O4470">
        <f>IF(L4470="", "Pending", IF(N4470&lt;=30, "Met", "Breached"))</f>
        <v/>
      </c>
    </row>
    <row r="4471">
      <c r="M4471" s="11">
        <f>B4471+30</f>
        <v/>
      </c>
      <c r="N4471">
        <f>IF(L4471="", "", L4471-B4471)</f>
        <v/>
      </c>
      <c r="O4471">
        <f>IF(L4471="", "Pending", IF(N4471&lt;=30, "Met", "Breached"))</f>
        <v/>
      </c>
    </row>
    <row r="4472">
      <c r="M4472" s="11">
        <f>B4472+30</f>
        <v/>
      </c>
      <c r="N4472">
        <f>IF(L4472="", "", L4472-B4472)</f>
        <v/>
      </c>
      <c r="O4472">
        <f>IF(L4472="", "Pending", IF(N4472&lt;=30, "Met", "Breached"))</f>
        <v/>
      </c>
    </row>
    <row r="4473">
      <c r="M4473" s="11">
        <f>B4473+30</f>
        <v/>
      </c>
      <c r="N4473">
        <f>IF(L4473="", "", L4473-B4473)</f>
        <v/>
      </c>
      <c r="O4473">
        <f>IF(L4473="", "Pending", IF(N4473&lt;=30, "Met", "Breached"))</f>
        <v/>
      </c>
    </row>
    <row r="4474">
      <c r="M4474" s="11">
        <f>B4474+30</f>
        <v/>
      </c>
      <c r="N4474">
        <f>IF(L4474="", "", L4474-B4474)</f>
        <v/>
      </c>
      <c r="O4474">
        <f>IF(L4474="", "Pending", IF(N4474&lt;=30, "Met", "Breached"))</f>
        <v/>
      </c>
    </row>
    <row r="4475">
      <c r="M4475" s="11">
        <f>B4475+30</f>
        <v/>
      </c>
      <c r="N4475">
        <f>IF(L4475="", "", L4475-B4475)</f>
        <v/>
      </c>
      <c r="O4475">
        <f>IF(L4475="", "Pending", IF(N4475&lt;=30, "Met", "Breached"))</f>
        <v/>
      </c>
    </row>
    <row r="4476">
      <c r="M4476" s="11">
        <f>B4476+30</f>
        <v/>
      </c>
      <c r="N4476">
        <f>IF(L4476="", "", L4476-B4476)</f>
        <v/>
      </c>
      <c r="O4476">
        <f>IF(L4476="", "Pending", IF(N4476&lt;=30, "Met", "Breached"))</f>
        <v/>
      </c>
    </row>
    <row r="4477">
      <c r="M4477" s="11">
        <f>B4477+30</f>
        <v/>
      </c>
      <c r="N4477">
        <f>IF(L4477="", "", L4477-B4477)</f>
        <v/>
      </c>
      <c r="O4477">
        <f>IF(L4477="", "Pending", IF(N4477&lt;=30, "Met", "Breached"))</f>
        <v/>
      </c>
    </row>
    <row r="4478">
      <c r="M4478" s="11">
        <f>B4478+30</f>
        <v/>
      </c>
      <c r="N4478">
        <f>IF(L4478="", "", L4478-B4478)</f>
        <v/>
      </c>
      <c r="O4478">
        <f>IF(L4478="", "Pending", IF(N4478&lt;=30, "Met", "Breached"))</f>
        <v/>
      </c>
    </row>
    <row r="4479">
      <c r="M4479" s="11">
        <f>B4479+30</f>
        <v/>
      </c>
      <c r="N4479">
        <f>IF(L4479="", "", L4479-B4479)</f>
        <v/>
      </c>
      <c r="O4479">
        <f>IF(L4479="", "Pending", IF(N4479&lt;=30, "Met", "Breached"))</f>
        <v/>
      </c>
    </row>
    <row r="4480">
      <c r="M4480" s="11">
        <f>B4480+30</f>
        <v/>
      </c>
      <c r="N4480">
        <f>IF(L4480="", "", L4480-B4480)</f>
        <v/>
      </c>
      <c r="O4480">
        <f>IF(L4480="", "Pending", IF(N4480&lt;=30, "Met", "Breached"))</f>
        <v/>
      </c>
    </row>
    <row r="4481">
      <c r="M4481" s="11">
        <f>B4481+30</f>
        <v/>
      </c>
      <c r="N4481">
        <f>IF(L4481="", "", L4481-B4481)</f>
        <v/>
      </c>
      <c r="O4481">
        <f>IF(L4481="", "Pending", IF(N4481&lt;=30, "Met", "Breached"))</f>
        <v/>
      </c>
    </row>
    <row r="4482">
      <c r="M4482" s="11">
        <f>B4482+30</f>
        <v/>
      </c>
      <c r="N4482">
        <f>IF(L4482="", "", L4482-B4482)</f>
        <v/>
      </c>
      <c r="O4482">
        <f>IF(L4482="", "Pending", IF(N4482&lt;=30, "Met", "Breached"))</f>
        <v/>
      </c>
    </row>
    <row r="4483">
      <c r="M4483" s="11">
        <f>B4483+30</f>
        <v/>
      </c>
      <c r="N4483">
        <f>IF(L4483="", "", L4483-B4483)</f>
        <v/>
      </c>
      <c r="O4483">
        <f>IF(L4483="", "Pending", IF(N4483&lt;=30, "Met", "Breached"))</f>
        <v/>
      </c>
    </row>
    <row r="4484">
      <c r="M4484" s="11">
        <f>B4484+30</f>
        <v/>
      </c>
      <c r="N4484">
        <f>IF(L4484="", "", L4484-B4484)</f>
        <v/>
      </c>
      <c r="O4484">
        <f>IF(L4484="", "Pending", IF(N4484&lt;=30, "Met", "Breached"))</f>
        <v/>
      </c>
    </row>
    <row r="4485">
      <c r="M4485" s="11">
        <f>B4485+30</f>
        <v/>
      </c>
      <c r="N4485">
        <f>IF(L4485="", "", L4485-B4485)</f>
        <v/>
      </c>
      <c r="O4485">
        <f>IF(L4485="", "Pending", IF(N4485&lt;=30, "Met", "Breached"))</f>
        <v/>
      </c>
    </row>
    <row r="4486">
      <c r="M4486" s="11">
        <f>B4486+30</f>
        <v/>
      </c>
      <c r="N4486">
        <f>IF(L4486="", "", L4486-B4486)</f>
        <v/>
      </c>
      <c r="O4486">
        <f>IF(L4486="", "Pending", IF(N4486&lt;=30, "Met", "Breached"))</f>
        <v/>
      </c>
    </row>
    <row r="4487">
      <c r="M4487" s="11">
        <f>B4487+30</f>
        <v/>
      </c>
      <c r="N4487">
        <f>IF(L4487="", "", L4487-B4487)</f>
        <v/>
      </c>
      <c r="O4487">
        <f>IF(L4487="", "Pending", IF(N4487&lt;=30, "Met", "Breached"))</f>
        <v/>
      </c>
    </row>
    <row r="4488">
      <c r="M4488" s="11">
        <f>B4488+30</f>
        <v/>
      </c>
      <c r="N4488">
        <f>IF(L4488="", "", L4488-B4488)</f>
        <v/>
      </c>
      <c r="O4488">
        <f>IF(L4488="", "Pending", IF(N4488&lt;=30, "Met", "Breached"))</f>
        <v/>
      </c>
    </row>
    <row r="4489">
      <c r="M4489" s="11">
        <f>B4489+30</f>
        <v/>
      </c>
      <c r="N4489">
        <f>IF(L4489="", "", L4489-B4489)</f>
        <v/>
      </c>
      <c r="O4489">
        <f>IF(L4489="", "Pending", IF(N4489&lt;=30, "Met", "Breached"))</f>
        <v/>
      </c>
    </row>
    <row r="4490">
      <c r="M4490" s="11">
        <f>B4490+30</f>
        <v/>
      </c>
      <c r="N4490">
        <f>IF(L4490="", "", L4490-B4490)</f>
        <v/>
      </c>
      <c r="O4490">
        <f>IF(L4490="", "Pending", IF(N4490&lt;=30, "Met", "Breached"))</f>
        <v/>
      </c>
    </row>
    <row r="4491">
      <c r="M4491" s="11">
        <f>B4491+30</f>
        <v/>
      </c>
      <c r="N4491">
        <f>IF(L4491="", "", L4491-B4491)</f>
        <v/>
      </c>
      <c r="O4491">
        <f>IF(L4491="", "Pending", IF(N4491&lt;=30, "Met", "Breached"))</f>
        <v/>
      </c>
    </row>
    <row r="4492">
      <c r="M4492" s="11">
        <f>B4492+30</f>
        <v/>
      </c>
      <c r="N4492">
        <f>IF(L4492="", "", L4492-B4492)</f>
        <v/>
      </c>
      <c r="O4492">
        <f>IF(L4492="", "Pending", IF(N4492&lt;=30, "Met", "Breached"))</f>
        <v/>
      </c>
    </row>
    <row r="4493">
      <c r="M4493" s="11">
        <f>B4493+30</f>
        <v/>
      </c>
      <c r="N4493">
        <f>IF(L4493="", "", L4493-B4493)</f>
        <v/>
      </c>
      <c r="O4493">
        <f>IF(L4493="", "Pending", IF(N4493&lt;=30, "Met", "Breached"))</f>
        <v/>
      </c>
    </row>
    <row r="4494">
      <c r="M4494" s="11">
        <f>B4494+30</f>
        <v/>
      </c>
      <c r="N4494">
        <f>IF(L4494="", "", L4494-B4494)</f>
        <v/>
      </c>
      <c r="O4494">
        <f>IF(L4494="", "Pending", IF(N4494&lt;=30, "Met", "Breached"))</f>
        <v/>
      </c>
    </row>
    <row r="4495">
      <c r="M4495" s="11">
        <f>B4495+30</f>
        <v/>
      </c>
      <c r="N4495">
        <f>IF(L4495="", "", L4495-B4495)</f>
        <v/>
      </c>
      <c r="O4495">
        <f>IF(L4495="", "Pending", IF(N4495&lt;=30, "Met", "Breached"))</f>
        <v/>
      </c>
    </row>
    <row r="4496">
      <c r="M4496" s="11">
        <f>B4496+30</f>
        <v/>
      </c>
      <c r="N4496">
        <f>IF(L4496="", "", L4496-B4496)</f>
        <v/>
      </c>
      <c r="O4496">
        <f>IF(L4496="", "Pending", IF(N4496&lt;=30, "Met", "Breached"))</f>
        <v/>
      </c>
    </row>
    <row r="4497">
      <c r="M4497" s="11">
        <f>B4497+30</f>
        <v/>
      </c>
      <c r="N4497">
        <f>IF(L4497="", "", L4497-B4497)</f>
        <v/>
      </c>
      <c r="O4497">
        <f>IF(L4497="", "Pending", IF(N4497&lt;=30, "Met", "Breached"))</f>
        <v/>
      </c>
    </row>
    <row r="4498">
      <c r="M4498" s="11">
        <f>B4498+30</f>
        <v/>
      </c>
      <c r="N4498">
        <f>IF(L4498="", "", L4498-B4498)</f>
        <v/>
      </c>
      <c r="O4498">
        <f>IF(L4498="", "Pending", IF(N4498&lt;=30, "Met", "Breached"))</f>
        <v/>
      </c>
    </row>
    <row r="4499">
      <c r="M4499" s="11">
        <f>B4499+30</f>
        <v/>
      </c>
      <c r="N4499">
        <f>IF(L4499="", "", L4499-B4499)</f>
        <v/>
      </c>
      <c r="O4499">
        <f>IF(L4499="", "Pending", IF(N4499&lt;=30, "Met", "Breached"))</f>
        <v/>
      </c>
    </row>
    <row r="4500">
      <c r="M4500" s="11">
        <f>B4500+30</f>
        <v/>
      </c>
      <c r="N4500">
        <f>IF(L4500="", "", L4500-B4500)</f>
        <v/>
      </c>
      <c r="O4500">
        <f>IF(L4500="", "Pending", IF(N4500&lt;=30, "Met", "Breached"))</f>
        <v/>
      </c>
    </row>
    <row r="4501">
      <c r="M4501" s="11">
        <f>B4501+30</f>
        <v/>
      </c>
      <c r="N4501">
        <f>IF(L4501="", "", L4501-B4501)</f>
        <v/>
      </c>
      <c r="O4501">
        <f>IF(L4501="", "Pending", IF(N4501&lt;=30, "Met", "Breached"))</f>
        <v/>
      </c>
    </row>
    <row r="4502">
      <c r="M4502" s="11">
        <f>B4502+30</f>
        <v/>
      </c>
      <c r="N4502">
        <f>IF(L4502="", "", L4502-B4502)</f>
        <v/>
      </c>
      <c r="O4502">
        <f>IF(L4502="", "Pending", IF(N4502&lt;=30, "Met", "Breached"))</f>
        <v/>
      </c>
    </row>
    <row r="4503">
      <c r="M4503" s="11">
        <f>B4503+30</f>
        <v/>
      </c>
      <c r="N4503">
        <f>IF(L4503="", "", L4503-B4503)</f>
        <v/>
      </c>
      <c r="O4503">
        <f>IF(L4503="", "Pending", IF(N4503&lt;=30, "Met", "Breached"))</f>
        <v/>
      </c>
    </row>
    <row r="4504">
      <c r="M4504" s="11">
        <f>B4504+30</f>
        <v/>
      </c>
      <c r="N4504">
        <f>IF(L4504="", "", L4504-B4504)</f>
        <v/>
      </c>
      <c r="O4504">
        <f>IF(L4504="", "Pending", IF(N4504&lt;=30, "Met", "Breached"))</f>
        <v/>
      </c>
    </row>
    <row r="4505">
      <c r="M4505" s="11">
        <f>B4505+30</f>
        <v/>
      </c>
      <c r="N4505">
        <f>IF(L4505="", "", L4505-B4505)</f>
        <v/>
      </c>
      <c r="O4505">
        <f>IF(L4505="", "Pending", IF(N4505&lt;=30, "Met", "Breached"))</f>
        <v/>
      </c>
    </row>
    <row r="4506">
      <c r="M4506" s="11">
        <f>B4506+30</f>
        <v/>
      </c>
      <c r="N4506">
        <f>IF(L4506="", "", L4506-B4506)</f>
        <v/>
      </c>
      <c r="O4506">
        <f>IF(L4506="", "Pending", IF(N4506&lt;=30, "Met", "Breached"))</f>
        <v/>
      </c>
    </row>
    <row r="4507">
      <c r="M4507" s="11">
        <f>B4507+30</f>
        <v/>
      </c>
      <c r="N4507">
        <f>IF(L4507="", "", L4507-B4507)</f>
        <v/>
      </c>
      <c r="O4507">
        <f>IF(L4507="", "Pending", IF(N4507&lt;=30, "Met", "Breached"))</f>
        <v/>
      </c>
    </row>
    <row r="4508">
      <c r="M4508" s="11">
        <f>B4508+30</f>
        <v/>
      </c>
      <c r="N4508">
        <f>IF(L4508="", "", L4508-B4508)</f>
        <v/>
      </c>
      <c r="O4508">
        <f>IF(L4508="", "Pending", IF(N4508&lt;=30, "Met", "Breached"))</f>
        <v/>
      </c>
    </row>
    <row r="4509">
      <c r="M4509" s="11">
        <f>B4509+30</f>
        <v/>
      </c>
      <c r="N4509">
        <f>IF(L4509="", "", L4509-B4509)</f>
        <v/>
      </c>
      <c r="O4509">
        <f>IF(L4509="", "Pending", IF(N4509&lt;=30, "Met", "Breached"))</f>
        <v/>
      </c>
    </row>
    <row r="4510">
      <c r="M4510" s="11">
        <f>B4510+30</f>
        <v/>
      </c>
      <c r="N4510">
        <f>IF(L4510="", "", L4510-B4510)</f>
        <v/>
      </c>
      <c r="O4510">
        <f>IF(L4510="", "Pending", IF(N4510&lt;=30, "Met", "Breached"))</f>
        <v/>
      </c>
    </row>
    <row r="4511">
      <c r="M4511" s="11">
        <f>B4511+30</f>
        <v/>
      </c>
      <c r="N4511">
        <f>IF(L4511="", "", L4511-B4511)</f>
        <v/>
      </c>
      <c r="O4511">
        <f>IF(L4511="", "Pending", IF(N4511&lt;=30, "Met", "Breached"))</f>
        <v/>
      </c>
    </row>
    <row r="4512">
      <c r="M4512" s="11">
        <f>B4512+30</f>
        <v/>
      </c>
      <c r="N4512">
        <f>IF(L4512="", "", L4512-B4512)</f>
        <v/>
      </c>
      <c r="O4512">
        <f>IF(L4512="", "Pending", IF(N4512&lt;=30, "Met", "Breached"))</f>
        <v/>
      </c>
    </row>
    <row r="4513">
      <c r="M4513" s="11">
        <f>B4513+30</f>
        <v/>
      </c>
      <c r="N4513">
        <f>IF(L4513="", "", L4513-B4513)</f>
        <v/>
      </c>
      <c r="O4513">
        <f>IF(L4513="", "Pending", IF(N4513&lt;=30, "Met", "Breached"))</f>
        <v/>
      </c>
    </row>
    <row r="4514">
      <c r="M4514" s="11">
        <f>B4514+30</f>
        <v/>
      </c>
      <c r="N4514">
        <f>IF(L4514="", "", L4514-B4514)</f>
        <v/>
      </c>
      <c r="O4514">
        <f>IF(L4514="", "Pending", IF(N4514&lt;=30, "Met", "Breached"))</f>
        <v/>
      </c>
    </row>
    <row r="4515">
      <c r="M4515" s="11">
        <f>B4515+30</f>
        <v/>
      </c>
      <c r="N4515">
        <f>IF(L4515="", "", L4515-B4515)</f>
        <v/>
      </c>
      <c r="O4515">
        <f>IF(L4515="", "Pending", IF(N4515&lt;=30, "Met", "Breached"))</f>
        <v/>
      </c>
    </row>
    <row r="4516">
      <c r="M4516" s="11">
        <f>B4516+30</f>
        <v/>
      </c>
      <c r="N4516">
        <f>IF(L4516="", "", L4516-B4516)</f>
        <v/>
      </c>
      <c r="O4516">
        <f>IF(L4516="", "Pending", IF(N4516&lt;=30, "Met", "Breached"))</f>
        <v/>
      </c>
    </row>
    <row r="4517">
      <c r="M4517" s="11">
        <f>B4517+30</f>
        <v/>
      </c>
      <c r="N4517">
        <f>IF(L4517="", "", L4517-B4517)</f>
        <v/>
      </c>
      <c r="O4517">
        <f>IF(L4517="", "Pending", IF(N4517&lt;=30, "Met", "Breached"))</f>
        <v/>
      </c>
    </row>
    <row r="4518">
      <c r="M4518" s="11">
        <f>B4518+30</f>
        <v/>
      </c>
      <c r="N4518">
        <f>IF(L4518="", "", L4518-B4518)</f>
        <v/>
      </c>
      <c r="O4518">
        <f>IF(L4518="", "Pending", IF(N4518&lt;=30, "Met", "Breached"))</f>
        <v/>
      </c>
    </row>
    <row r="4519">
      <c r="M4519" s="11">
        <f>B4519+30</f>
        <v/>
      </c>
      <c r="N4519">
        <f>IF(L4519="", "", L4519-B4519)</f>
        <v/>
      </c>
      <c r="O4519">
        <f>IF(L4519="", "Pending", IF(N4519&lt;=30, "Met", "Breached"))</f>
        <v/>
      </c>
    </row>
    <row r="4520">
      <c r="M4520" s="11">
        <f>B4520+30</f>
        <v/>
      </c>
      <c r="N4520">
        <f>IF(L4520="", "", L4520-B4520)</f>
        <v/>
      </c>
      <c r="O4520">
        <f>IF(L4520="", "Pending", IF(N4520&lt;=30, "Met", "Breached"))</f>
        <v/>
      </c>
    </row>
    <row r="4521">
      <c r="M4521" s="11">
        <f>B4521+30</f>
        <v/>
      </c>
      <c r="N4521">
        <f>IF(L4521="", "", L4521-B4521)</f>
        <v/>
      </c>
      <c r="O4521">
        <f>IF(L4521="", "Pending", IF(N4521&lt;=30, "Met", "Breached"))</f>
        <v/>
      </c>
    </row>
    <row r="4522">
      <c r="M4522" s="11">
        <f>B4522+30</f>
        <v/>
      </c>
      <c r="N4522">
        <f>IF(L4522="", "", L4522-B4522)</f>
        <v/>
      </c>
      <c r="O4522">
        <f>IF(L4522="", "Pending", IF(N4522&lt;=30, "Met", "Breached"))</f>
        <v/>
      </c>
    </row>
    <row r="4523">
      <c r="M4523" s="11">
        <f>B4523+30</f>
        <v/>
      </c>
      <c r="N4523">
        <f>IF(L4523="", "", L4523-B4523)</f>
        <v/>
      </c>
      <c r="O4523">
        <f>IF(L4523="", "Pending", IF(N4523&lt;=30, "Met", "Breached"))</f>
        <v/>
      </c>
    </row>
    <row r="4524">
      <c r="M4524" s="11">
        <f>B4524+30</f>
        <v/>
      </c>
      <c r="N4524">
        <f>IF(L4524="", "", L4524-B4524)</f>
        <v/>
      </c>
      <c r="O4524">
        <f>IF(L4524="", "Pending", IF(N4524&lt;=30, "Met", "Breached"))</f>
        <v/>
      </c>
    </row>
    <row r="4525">
      <c r="M4525" s="11">
        <f>B4525+30</f>
        <v/>
      </c>
      <c r="N4525">
        <f>IF(L4525="", "", L4525-B4525)</f>
        <v/>
      </c>
      <c r="O4525">
        <f>IF(L4525="", "Pending", IF(N4525&lt;=30, "Met", "Breached"))</f>
        <v/>
      </c>
    </row>
    <row r="4526">
      <c r="M4526" s="11">
        <f>B4526+30</f>
        <v/>
      </c>
      <c r="N4526">
        <f>IF(L4526="", "", L4526-B4526)</f>
        <v/>
      </c>
      <c r="O4526">
        <f>IF(L4526="", "Pending", IF(N4526&lt;=30, "Met", "Breached"))</f>
        <v/>
      </c>
    </row>
    <row r="4527">
      <c r="M4527" s="11">
        <f>B4527+30</f>
        <v/>
      </c>
      <c r="N4527">
        <f>IF(L4527="", "", L4527-B4527)</f>
        <v/>
      </c>
      <c r="O4527">
        <f>IF(L4527="", "Pending", IF(N4527&lt;=30, "Met", "Breached"))</f>
        <v/>
      </c>
    </row>
    <row r="4528">
      <c r="M4528" s="11">
        <f>B4528+30</f>
        <v/>
      </c>
      <c r="N4528">
        <f>IF(L4528="", "", L4528-B4528)</f>
        <v/>
      </c>
      <c r="O4528">
        <f>IF(L4528="", "Pending", IF(N4528&lt;=30, "Met", "Breached"))</f>
        <v/>
      </c>
    </row>
    <row r="4529">
      <c r="M4529" s="11">
        <f>B4529+30</f>
        <v/>
      </c>
      <c r="N4529">
        <f>IF(L4529="", "", L4529-B4529)</f>
        <v/>
      </c>
      <c r="O4529">
        <f>IF(L4529="", "Pending", IF(N4529&lt;=30, "Met", "Breached"))</f>
        <v/>
      </c>
    </row>
    <row r="4530">
      <c r="M4530" s="11">
        <f>B4530+30</f>
        <v/>
      </c>
      <c r="N4530">
        <f>IF(L4530="", "", L4530-B4530)</f>
        <v/>
      </c>
      <c r="O4530">
        <f>IF(L4530="", "Pending", IF(N4530&lt;=30, "Met", "Breached"))</f>
        <v/>
      </c>
    </row>
    <row r="4531">
      <c r="M4531" s="11">
        <f>B4531+30</f>
        <v/>
      </c>
      <c r="N4531">
        <f>IF(L4531="", "", L4531-B4531)</f>
        <v/>
      </c>
      <c r="O4531">
        <f>IF(L4531="", "Pending", IF(N4531&lt;=30, "Met", "Breached"))</f>
        <v/>
      </c>
    </row>
    <row r="4532">
      <c r="M4532" s="11">
        <f>B4532+30</f>
        <v/>
      </c>
      <c r="N4532">
        <f>IF(L4532="", "", L4532-B4532)</f>
        <v/>
      </c>
      <c r="O4532">
        <f>IF(L4532="", "Pending", IF(N4532&lt;=30, "Met", "Breached"))</f>
        <v/>
      </c>
    </row>
    <row r="4533">
      <c r="M4533" s="11">
        <f>B4533+30</f>
        <v/>
      </c>
      <c r="N4533">
        <f>IF(L4533="", "", L4533-B4533)</f>
        <v/>
      </c>
      <c r="O4533">
        <f>IF(L4533="", "Pending", IF(N4533&lt;=30, "Met", "Breached"))</f>
        <v/>
      </c>
    </row>
    <row r="4534">
      <c r="M4534" s="11">
        <f>B4534+30</f>
        <v/>
      </c>
      <c r="N4534">
        <f>IF(L4534="", "", L4534-B4534)</f>
        <v/>
      </c>
      <c r="O4534">
        <f>IF(L4534="", "Pending", IF(N4534&lt;=30, "Met", "Breached"))</f>
        <v/>
      </c>
    </row>
    <row r="4535">
      <c r="M4535" s="11">
        <f>B4535+30</f>
        <v/>
      </c>
      <c r="N4535">
        <f>IF(L4535="", "", L4535-B4535)</f>
        <v/>
      </c>
      <c r="O4535">
        <f>IF(L4535="", "Pending", IF(N4535&lt;=30, "Met", "Breached"))</f>
        <v/>
      </c>
    </row>
    <row r="4536">
      <c r="M4536" s="11">
        <f>B4536+30</f>
        <v/>
      </c>
      <c r="N4536">
        <f>IF(L4536="", "", L4536-B4536)</f>
        <v/>
      </c>
      <c r="O4536">
        <f>IF(L4536="", "Pending", IF(N4536&lt;=30, "Met", "Breached"))</f>
        <v/>
      </c>
    </row>
    <row r="4537">
      <c r="M4537" s="11">
        <f>B4537+30</f>
        <v/>
      </c>
      <c r="N4537">
        <f>IF(L4537="", "", L4537-B4537)</f>
        <v/>
      </c>
      <c r="O4537">
        <f>IF(L4537="", "Pending", IF(N4537&lt;=30, "Met", "Breached"))</f>
        <v/>
      </c>
    </row>
    <row r="4538">
      <c r="M4538" s="11">
        <f>B4538+30</f>
        <v/>
      </c>
      <c r="N4538">
        <f>IF(L4538="", "", L4538-B4538)</f>
        <v/>
      </c>
      <c r="O4538">
        <f>IF(L4538="", "Pending", IF(N4538&lt;=30, "Met", "Breached"))</f>
        <v/>
      </c>
    </row>
    <row r="4539">
      <c r="M4539" s="11">
        <f>B4539+30</f>
        <v/>
      </c>
      <c r="N4539">
        <f>IF(L4539="", "", L4539-B4539)</f>
        <v/>
      </c>
      <c r="O4539">
        <f>IF(L4539="", "Pending", IF(N4539&lt;=30, "Met", "Breached"))</f>
        <v/>
      </c>
    </row>
    <row r="4540">
      <c r="M4540" s="11">
        <f>B4540+30</f>
        <v/>
      </c>
      <c r="N4540">
        <f>IF(L4540="", "", L4540-B4540)</f>
        <v/>
      </c>
      <c r="O4540">
        <f>IF(L4540="", "Pending", IF(N4540&lt;=30, "Met", "Breached"))</f>
        <v/>
      </c>
    </row>
    <row r="4541">
      <c r="M4541" s="11">
        <f>B4541+30</f>
        <v/>
      </c>
      <c r="N4541">
        <f>IF(L4541="", "", L4541-B4541)</f>
        <v/>
      </c>
      <c r="O4541">
        <f>IF(L4541="", "Pending", IF(N4541&lt;=30, "Met", "Breached"))</f>
        <v/>
      </c>
    </row>
    <row r="4542">
      <c r="M4542" s="11">
        <f>B4542+30</f>
        <v/>
      </c>
      <c r="N4542">
        <f>IF(L4542="", "", L4542-B4542)</f>
        <v/>
      </c>
      <c r="O4542">
        <f>IF(L4542="", "Pending", IF(N4542&lt;=30, "Met", "Breached"))</f>
        <v/>
      </c>
    </row>
    <row r="4543">
      <c r="M4543" s="11">
        <f>B4543+30</f>
        <v/>
      </c>
      <c r="N4543">
        <f>IF(L4543="", "", L4543-B4543)</f>
        <v/>
      </c>
      <c r="O4543">
        <f>IF(L4543="", "Pending", IF(N4543&lt;=30, "Met", "Breached"))</f>
        <v/>
      </c>
    </row>
    <row r="4544">
      <c r="M4544" s="11">
        <f>B4544+30</f>
        <v/>
      </c>
      <c r="N4544">
        <f>IF(L4544="", "", L4544-B4544)</f>
        <v/>
      </c>
      <c r="O4544">
        <f>IF(L4544="", "Pending", IF(N4544&lt;=30, "Met", "Breached"))</f>
        <v/>
      </c>
    </row>
    <row r="4545">
      <c r="M4545" s="11">
        <f>B4545+30</f>
        <v/>
      </c>
      <c r="N4545">
        <f>IF(L4545="", "", L4545-B4545)</f>
        <v/>
      </c>
      <c r="O4545">
        <f>IF(L4545="", "Pending", IF(N4545&lt;=30, "Met", "Breached"))</f>
        <v/>
      </c>
    </row>
    <row r="4546">
      <c r="M4546" s="11">
        <f>B4546+30</f>
        <v/>
      </c>
      <c r="N4546">
        <f>IF(L4546="", "", L4546-B4546)</f>
        <v/>
      </c>
      <c r="O4546">
        <f>IF(L4546="", "Pending", IF(N4546&lt;=30, "Met", "Breached"))</f>
        <v/>
      </c>
    </row>
    <row r="4547">
      <c r="M4547" s="11">
        <f>B4547+30</f>
        <v/>
      </c>
      <c r="N4547">
        <f>IF(L4547="", "", L4547-B4547)</f>
        <v/>
      </c>
      <c r="O4547">
        <f>IF(L4547="", "Pending", IF(N4547&lt;=30, "Met", "Breached"))</f>
        <v/>
      </c>
    </row>
    <row r="4548">
      <c r="M4548" s="11">
        <f>B4548+30</f>
        <v/>
      </c>
      <c r="N4548">
        <f>IF(L4548="", "", L4548-B4548)</f>
        <v/>
      </c>
      <c r="O4548">
        <f>IF(L4548="", "Pending", IF(N4548&lt;=30, "Met", "Breached"))</f>
        <v/>
      </c>
    </row>
    <row r="4549">
      <c r="M4549" s="11">
        <f>B4549+30</f>
        <v/>
      </c>
      <c r="N4549">
        <f>IF(L4549="", "", L4549-B4549)</f>
        <v/>
      </c>
      <c r="O4549">
        <f>IF(L4549="", "Pending", IF(N4549&lt;=30, "Met", "Breached"))</f>
        <v/>
      </c>
    </row>
    <row r="4550">
      <c r="M4550" s="11">
        <f>B4550+30</f>
        <v/>
      </c>
      <c r="N4550">
        <f>IF(L4550="", "", L4550-B4550)</f>
        <v/>
      </c>
      <c r="O4550">
        <f>IF(L4550="", "Pending", IF(N4550&lt;=30, "Met", "Breached"))</f>
        <v/>
      </c>
    </row>
    <row r="4551">
      <c r="M4551" s="11">
        <f>B4551+30</f>
        <v/>
      </c>
      <c r="N4551">
        <f>IF(L4551="", "", L4551-B4551)</f>
        <v/>
      </c>
      <c r="O4551">
        <f>IF(L4551="", "Pending", IF(N4551&lt;=30, "Met", "Breached"))</f>
        <v/>
      </c>
    </row>
    <row r="4552">
      <c r="M4552" s="11">
        <f>B4552+30</f>
        <v/>
      </c>
      <c r="N4552">
        <f>IF(L4552="", "", L4552-B4552)</f>
        <v/>
      </c>
      <c r="O4552">
        <f>IF(L4552="", "Pending", IF(N4552&lt;=30, "Met", "Breached"))</f>
        <v/>
      </c>
    </row>
    <row r="4553">
      <c r="M4553" s="11">
        <f>B4553+30</f>
        <v/>
      </c>
      <c r="N4553">
        <f>IF(L4553="", "", L4553-B4553)</f>
        <v/>
      </c>
      <c r="O4553">
        <f>IF(L4553="", "Pending", IF(N4553&lt;=30, "Met", "Breached"))</f>
        <v/>
      </c>
    </row>
    <row r="4554">
      <c r="M4554" s="11">
        <f>B4554+30</f>
        <v/>
      </c>
      <c r="N4554">
        <f>IF(L4554="", "", L4554-B4554)</f>
        <v/>
      </c>
      <c r="O4554">
        <f>IF(L4554="", "Pending", IF(N4554&lt;=30, "Met", "Breached"))</f>
        <v/>
      </c>
    </row>
    <row r="4555">
      <c r="M4555" s="11">
        <f>B4555+30</f>
        <v/>
      </c>
      <c r="N4555">
        <f>IF(L4555="", "", L4555-B4555)</f>
        <v/>
      </c>
      <c r="O4555">
        <f>IF(L4555="", "Pending", IF(N4555&lt;=30, "Met", "Breached"))</f>
        <v/>
      </c>
    </row>
    <row r="4556">
      <c r="M4556" s="11">
        <f>B4556+30</f>
        <v/>
      </c>
      <c r="N4556">
        <f>IF(L4556="", "", L4556-B4556)</f>
        <v/>
      </c>
      <c r="O4556">
        <f>IF(L4556="", "Pending", IF(N4556&lt;=30, "Met", "Breached"))</f>
        <v/>
      </c>
    </row>
    <row r="4557">
      <c r="M4557" s="11">
        <f>B4557+30</f>
        <v/>
      </c>
      <c r="N4557">
        <f>IF(L4557="", "", L4557-B4557)</f>
        <v/>
      </c>
      <c r="O4557">
        <f>IF(L4557="", "Pending", IF(N4557&lt;=30, "Met", "Breached"))</f>
        <v/>
      </c>
    </row>
    <row r="4558">
      <c r="M4558" s="11">
        <f>B4558+30</f>
        <v/>
      </c>
      <c r="N4558">
        <f>IF(L4558="", "", L4558-B4558)</f>
        <v/>
      </c>
      <c r="O4558">
        <f>IF(L4558="", "Pending", IF(N4558&lt;=30, "Met", "Breached"))</f>
        <v/>
      </c>
    </row>
    <row r="4559">
      <c r="M4559" s="11">
        <f>B4559+30</f>
        <v/>
      </c>
      <c r="N4559">
        <f>IF(L4559="", "", L4559-B4559)</f>
        <v/>
      </c>
      <c r="O4559">
        <f>IF(L4559="", "Pending", IF(N4559&lt;=30, "Met", "Breached"))</f>
        <v/>
      </c>
    </row>
    <row r="4560">
      <c r="M4560" s="11">
        <f>B4560+30</f>
        <v/>
      </c>
      <c r="N4560">
        <f>IF(L4560="", "", L4560-B4560)</f>
        <v/>
      </c>
      <c r="O4560">
        <f>IF(L4560="", "Pending", IF(N4560&lt;=30, "Met", "Breached"))</f>
        <v/>
      </c>
    </row>
    <row r="4561">
      <c r="M4561" s="11">
        <f>B4561+30</f>
        <v/>
      </c>
      <c r="N4561">
        <f>IF(L4561="", "", L4561-B4561)</f>
        <v/>
      </c>
      <c r="O4561">
        <f>IF(L4561="", "Pending", IF(N4561&lt;=30, "Met", "Breached"))</f>
        <v/>
      </c>
    </row>
    <row r="4562">
      <c r="M4562" s="11">
        <f>B4562+30</f>
        <v/>
      </c>
      <c r="N4562">
        <f>IF(L4562="", "", L4562-B4562)</f>
        <v/>
      </c>
      <c r="O4562">
        <f>IF(L4562="", "Pending", IF(N4562&lt;=30, "Met", "Breached"))</f>
        <v/>
      </c>
    </row>
    <row r="4563">
      <c r="M4563" s="11">
        <f>B4563+30</f>
        <v/>
      </c>
      <c r="N4563">
        <f>IF(L4563="", "", L4563-B4563)</f>
        <v/>
      </c>
      <c r="O4563">
        <f>IF(L4563="", "Pending", IF(N4563&lt;=30, "Met", "Breached"))</f>
        <v/>
      </c>
    </row>
    <row r="4564">
      <c r="M4564" s="11">
        <f>B4564+30</f>
        <v/>
      </c>
      <c r="N4564">
        <f>IF(L4564="", "", L4564-B4564)</f>
        <v/>
      </c>
      <c r="O4564">
        <f>IF(L4564="", "Pending", IF(N4564&lt;=30, "Met", "Breached"))</f>
        <v/>
      </c>
    </row>
    <row r="4565">
      <c r="M4565" s="11">
        <f>B4565+30</f>
        <v/>
      </c>
      <c r="N4565">
        <f>IF(L4565="", "", L4565-B4565)</f>
        <v/>
      </c>
      <c r="O4565">
        <f>IF(L4565="", "Pending", IF(N4565&lt;=30, "Met", "Breached"))</f>
        <v/>
      </c>
    </row>
    <row r="4566">
      <c r="M4566" s="11">
        <f>B4566+30</f>
        <v/>
      </c>
      <c r="N4566">
        <f>IF(L4566="", "", L4566-B4566)</f>
        <v/>
      </c>
      <c r="O4566">
        <f>IF(L4566="", "Pending", IF(N4566&lt;=30, "Met", "Breached"))</f>
        <v/>
      </c>
    </row>
    <row r="4567">
      <c r="M4567" s="11">
        <f>B4567+30</f>
        <v/>
      </c>
      <c r="N4567">
        <f>IF(L4567="", "", L4567-B4567)</f>
        <v/>
      </c>
      <c r="O4567">
        <f>IF(L4567="", "Pending", IF(N4567&lt;=30, "Met", "Breached"))</f>
        <v/>
      </c>
    </row>
    <row r="4568">
      <c r="M4568" s="11">
        <f>B4568+30</f>
        <v/>
      </c>
      <c r="N4568">
        <f>IF(L4568="", "", L4568-B4568)</f>
        <v/>
      </c>
      <c r="O4568">
        <f>IF(L4568="", "Pending", IF(N4568&lt;=30, "Met", "Breached"))</f>
        <v/>
      </c>
    </row>
    <row r="4569">
      <c r="M4569" s="11">
        <f>B4569+30</f>
        <v/>
      </c>
      <c r="N4569">
        <f>IF(L4569="", "", L4569-B4569)</f>
        <v/>
      </c>
      <c r="O4569">
        <f>IF(L4569="", "Pending", IF(N4569&lt;=30, "Met", "Breached"))</f>
        <v/>
      </c>
    </row>
    <row r="4570">
      <c r="M4570" s="11">
        <f>B4570+30</f>
        <v/>
      </c>
      <c r="N4570">
        <f>IF(L4570="", "", L4570-B4570)</f>
        <v/>
      </c>
      <c r="O4570">
        <f>IF(L4570="", "Pending", IF(N4570&lt;=30, "Met", "Breached"))</f>
        <v/>
      </c>
    </row>
    <row r="4571">
      <c r="M4571" s="11">
        <f>B4571+30</f>
        <v/>
      </c>
      <c r="N4571">
        <f>IF(L4571="", "", L4571-B4571)</f>
        <v/>
      </c>
      <c r="O4571">
        <f>IF(L4571="", "Pending", IF(N4571&lt;=30, "Met", "Breached"))</f>
        <v/>
      </c>
    </row>
    <row r="4572">
      <c r="M4572" s="11">
        <f>B4572+30</f>
        <v/>
      </c>
      <c r="N4572">
        <f>IF(L4572="", "", L4572-B4572)</f>
        <v/>
      </c>
      <c r="O4572">
        <f>IF(L4572="", "Pending", IF(N4572&lt;=30, "Met", "Breached"))</f>
        <v/>
      </c>
    </row>
    <row r="4573">
      <c r="M4573" s="11">
        <f>B4573+30</f>
        <v/>
      </c>
      <c r="N4573">
        <f>IF(L4573="", "", L4573-B4573)</f>
        <v/>
      </c>
      <c r="O4573">
        <f>IF(L4573="", "Pending", IF(N4573&lt;=30, "Met", "Breached"))</f>
        <v/>
      </c>
    </row>
    <row r="4574">
      <c r="M4574" s="11">
        <f>B4574+30</f>
        <v/>
      </c>
      <c r="N4574">
        <f>IF(L4574="", "", L4574-B4574)</f>
        <v/>
      </c>
      <c r="O4574">
        <f>IF(L4574="", "Pending", IF(N4574&lt;=30, "Met", "Breached"))</f>
        <v/>
      </c>
    </row>
    <row r="4575">
      <c r="M4575" s="11">
        <f>B4575+30</f>
        <v/>
      </c>
      <c r="N4575">
        <f>IF(L4575="", "", L4575-B4575)</f>
        <v/>
      </c>
      <c r="O4575">
        <f>IF(L4575="", "Pending", IF(N4575&lt;=30, "Met", "Breached"))</f>
        <v/>
      </c>
    </row>
    <row r="4576">
      <c r="M4576" s="11">
        <f>B4576+30</f>
        <v/>
      </c>
      <c r="N4576">
        <f>IF(L4576="", "", L4576-B4576)</f>
        <v/>
      </c>
      <c r="O4576">
        <f>IF(L4576="", "Pending", IF(N4576&lt;=30, "Met", "Breached"))</f>
        <v/>
      </c>
    </row>
    <row r="4577">
      <c r="M4577" s="11">
        <f>B4577+30</f>
        <v/>
      </c>
      <c r="N4577">
        <f>IF(L4577="", "", L4577-B4577)</f>
        <v/>
      </c>
      <c r="O4577">
        <f>IF(L4577="", "Pending", IF(N4577&lt;=30, "Met", "Breached"))</f>
        <v/>
      </c>
    </row>
    <row r="4578">
      <c r="M4578" s="11">
        <f>B4578+30</f>
        <v/>
      </c>
      <c r="N4578">
        <f>IF(L4578="", "", L4578-B4578)</f>
        <v/>
      </c>
      <c r="O4578">
        <f>IF(L4578="", "Pending", IF(N4578&lt;=30, "Met", "Breached"))</f>
        <v/>
      </c>
    </row>
    <row r="4579">
      <c r="M4579" s="11">
        <f>B4579+30</f>
        <v/>
      </c>
      <c r="N4579">
        <f>IF(L4579="", "", L4579-B4579)</f>
        <v/>
      </c>
      <c r="O4579">
        <f>IF(L4579="", "Pending", IF(N4579&lt;=30, "Met", "Breached"))</f>
        <v/>
      </c>
    </row>
    <row r="4580">
      <c r="M4580" s="11">
        <f>B4580+30</f>
        <v/>
      </c>
      <c r="N4580">
        <f>IF(L4580="", "", L4580-B4580)</f>
        <v/>
      </c>
      <c r="O4580">
        <f>IF(L4580="", "Pending", IF(N4580&lt;=30, "Met", "Breached"))</f>
        <v/>
      </c>
    </row>
    <row r="4581">
      <c r="M4581" s="11">
        <f>B4581+30</f>
        <v/>
      </c>
      <c r="N4581">
        <f>IF(L4581="", "", L4581-B4581)</f>
        <v/>
      </c>
      <c r="O4581">
        <f>IF(L4581="", "Pending", IF(N4581&lt;=30, "Met", "Breached"))</f>
        <v/>
      </c>
    </row>
    <row r="4582">
      <c r="M4582" s="11">
        <f>B4582+30</f>
        <v/>
      </c>
      <c r="N4582">
        <f>IF(L4582="", "", L4582-B4582)</f>
        <v/>
      </c>
      <c r="O4582">
        <f>IF(L4582="", "Pending", IF(N4582&lt;=30, "Met", "Breached"))</f>
        <v/>
      </c>
    </row>
    <row r="4583">
      <c r="M4583" s="11">
        <f>B4583+30</f>
        <v/>
      </c>
      <c r="N4583">
        <f>IF(L4583="", "", L4583-B4583)</f>
        <v/>
      </c>
      <c r="O4583">
        <f>IF(L4583="", "Pending", IF(N4583&lt;=30, "Met", "Breached"))</f>
        <v/>
      </c>
    </row>
    <row r="4584">
      <c r="M4584" s="11">
        <f>B4584+30</f>
        <v/>
      </c>
      <c r="N4584">
        <f>IF(L4584="", "", L4584-B4584)</f>
        <v/>
      </c>
      <c r="O4584">
        <f>IF(L4584="", "Pending", IF(N4584&lt;=30, "Met", "Breached"))</f>
        <v/>
      </c>
    </row>
    <row r="4585">
      <c r="M4585" s="11">
        <f>B4585+30</f>
        <v/>
      </c>
      <c r="N4585">
        <f>IF(L4585="", "", L4585-B4585)</f>
        <v/>
      </c>
      <c r="O4585">
        <f>IF(L4585="", "Pending", IF(N4585&lt;=30, "Met", "Breached"))</f>
        <v/>
      </c>
    </row>
    <row r="4586">
      <c r="M4586" s="11">
        <f>B4586+30</f>
        <v/>
      </c>
      <c r="N4586">
        <f>IF(L4586="", "", L4586-B4586)</f>
        <v/>
      </c>
      <c r="O4586">
        <f>IF(L4586="", "Pending", IF(N4586&lt;=30, "Met", "Breached"))</f>
        <v/>
      </c>
    </row>
    <row r="4587">
      <c r="M4587" s="11">
        <f>B4587+30</f>
        <v/>
      </c>
      <c r="N4587">
        <f>IF(L4587="", "", L4587-B4587)</f>
        <v/>
      </c>
      <c r="O4587">
        <f>IF(L4587="", "Pending", IF(N4587&lt;=30, "Met", "Breached"))</f>
        <v/>
      </c>
    </row>
    <row r="4588">
      <c r="M4588" s="11">
        <f>B4588+30</f>
        <v/>
      </c>
      <c r="N4588">
        <f>IF(L4588="", "", L4588-B4588)</f>
        <v/>
      </c>
      <c r="O4588">
        <f>IF(L4588="", "Pending", IF(N4588&lt;=30, "Met", "Breached"))</f>
        <v/>
      </c>
    </row>
    <row r="4589">
      <c r="M4589" s="11">
        <f>B4589+30</f>
        <v/>
      </c>
      <c r="N4589">
        <f>IF(L4589="", "", L4589-B4589)</f>
        <v/>
      </c>
      <c r="O4589">
        <f>IF(L4589="", "Pending", IF(N4589&lt;=30, "Met", "Breached"))</f>
        <v/>
      </c>
    </row>
    <row r="4590">
      <c r="M4590" s="11">
        <f>B4590+30</f>
        <v/>
      </c>
      <c r="N4590">
        <f>IF(L4590="", "", L4590-B4590)</f>
        <v/>
      </c>
      <c r="O4590">
        <f>IF(L4590="", "Pending", IF(N4590&lt;=30, "Met", "Breached"))</f>
        <v/>
      </c>
    </row>
    <row r="4591">
      <c r="M4591" s="11">
        <f>B4591+30</f>
        <v/>
      </c>
      <c r="N4591">
        <f>IF(L4591="", "", L4591-B4591)</f>
        <v/>
      </c>
      <c r="O4591">
        <f>IF(L4591="", "Pending", IF(N4591&lt;=30, "Met", "Breached"))</f>
        <v/>
      </c>
    </row>
    <row r="4592">
      <c r="M4592" s="11">
        <f>B4592+30</f>
        <v/>
      </c>
      <c r="N4592">
        <f>IF(L4592="", "", L4592-B4592)</f>
        <v/>
      </c>
      <c r="O4592">
        <f>IF(L4592="", "Pending", IF(N4592&lt;=30, "Met", "Breached"))</f>
        <v/>
      </c>
    </row>
    <row r="4593">
      <c r="M4593" s="11">
        <f>B4593+30</f>
        <v/>
      </c>
      <c r="N4593">
        <f>IF(L4593="", "", L4593-B4593)</f>
        <v/>
      </c>
      <c r="O4593">
        <f>IF(L4593="", "Pending", IF(N4593&lt;=30, "Met", "Breached"))</f>
        <v/>
      </c>
    </row>
    <row r="4594">
      <c r="M4594" s="11">
        <f>B4594+30</f>
        <v/>
      </c>
      <c r="N4594">
        <f>IF(L4594="", "", L4594-B4594)</f>
        <v/>
      </c>
      <c r="O4594">
        <f>IF(L4594="", "Pending", IF(N4594&lt;=30, "Met", "Breached"))</f>
        <v/>
      </c>
    </row>
    <row r="4595">
      <c r="M4595" s="11">
        <f>B4595+30</f>
        <v/>
      </c>
      <c r="N4595">
        <f>IF(L4595="", "", L4595-B4595)</f>
        <v/>
      </c>
      <c r="O4595">
        <f>IF(L4595="", "Pending", IF(N4595&lt;=30, "Met", "Breached"))</f>
        <v/>
      </c>
    </row>
    <row r="4596">
      <c r="M4596" s="11">
        <f>B4596+30</f>
        <v/>
      </c>
      <c r="N4596">
        <f>IF(L4596="", "", L4596-B4596)</f>
        <v/>
      </c>
      <c r="O4596">
        <f>IF(L4596="", "Pending", IF(N4596&lt;=30, "Met", "Breached"))</f>
        <v/>
      </c>
    </row>
    <row r="4597">
      <c r="M4597" s="11">
        <f>B4597+30</f>
        <v/>
      </c>
      <c r="N4597">
        <f>IF(L4597="", "", L4597-B4597)</f>
        <v/>
      </c>
      <c r="O4597">
        <f>IF(L4597="", "Pending", IF(N4597&lt;=30, "Met", "Breached"))</f>
        <v/>
      </c>
    </row>
    <row r="4598">
      <c r="M4598" s="11">
        <f>B4598+30</f>
        <v/>
      </c>
      <c r="N4598">
        <f>IF(L4598="", "", L4598-B4598)</f>
        <v/>
      </c>
      <c r="O4598">
        <f>IF(L4598="", "Pending", IF(N4598&lt;=30, "Met", "Breached"))</f>
        <v/>
      </c>
    </row>
    <row r="4599">
      <c r="M4599" s="11">
        <f>B4599+30</f>
        <v/>
      </c>
      <c r="N4599">
        <f>IF(L4599="", "", L4599-B4599)</f>
        <v/>
      </c>
      <c r="O4599">
        <f>IF(L4599="", "Pending", IF(N4599&lt;=30, "Met", "Breached"))</f>
        <v/>
      </c>
    </row>
    <row r="4600">
      <c r="M4600" s="11">
        <f>B4600+30</f>
        <v/>
      </c>
      <c r="N4600">
        <f>IF(L4600="", "", L4600-B4600)</f>
        <v/>
      </c>
      <c r="O4600">
        <f>IF(L4600="", "Pending", IF(N4600&lt;=30, "Met", "Breached"))</f>
        <v/>
      </c>
    </row>
    <row r="4601">
      <c r="M4601" s="11">
        <f>B4601+30</f>
        <v/>
      </c>
      <c r="N4601">
        <f>IF(L4601="", "", L4601-B4601)</f>
        <v/>
      </c>
      <c r="O4601">
        <f>IF(L4601="", "Pending", IF(N4601&lt;=30, "Met", "Breached"))</f>
        <v/>
      </c>
    </row>
    <row r="4602">
      <c r="M4602" s="11">
        <f>B4602+30</f>
        <v/>
      </c>
      <c r="N4602">
        <f>IF(L4602="", "", L4602-B4602)</f>
        <v/>
      </c>
      <c r="O4602">
        <f>IF(L4602="", "Pending", IF(N4602&lt;=30, "Met", "Breached"))</f>
        <v/>
      </c>
    </row>
    <row r="4603">
      <c r="M4603" s="11">
        <f>B4603+30</f>
        <v/>
      </c>
      <c r="N4603">
        <f>IF(L4603="", "", L4603-B4603)</f>
        <v/>
      </c>
      <c r="O4603">
        <f>IF(L4603="", "Pending", IF(N4603&lt;=30, "Met", "Breached"))</f>
        <v/>
      </c>
    </row>
    <row r="4604">
      <c r="M4604" s="11">
        <f>B4604+30</f>
        <v/>
      </c>
      <c r="N4604">
        <f>IF(L4604="", "", L4604-B4604)</f>
        <v/>
      </c>
      <c r="O4604">
        <f>IF(L4604="", "Pending", IF(N4604&lt;=30, "Met", "Breached"))</f>
        <v/>
      </c>
    </row>
    <row r="4605">
      <c r="M4605" s="11">
        <f>B4605+30</f>
        <v/>
      </c>
      <c r="N4605">
        <f>IF(L4605="", "", L4605-B4605)</f>
        <v/>
      </c>
      <c r="O4605">
        <f>IF(L4605="", "Pending", IF(N4605&lt;=30, "Met", "Breached"))</f>
        <v/>
      </c>
    </row>
    <row r="4606">
      <c r="M4606" s="11">
        <f>B4606+30</f>
        <v/>
      </c>
      <c r="N4606">
        <f>IF(L4606="", "", L4606-B4606)</f>
        <v/>
      </c>
      <c r="O4606">
        <f>IF(L4606="", "Pending", IF(N4606&lt;=30, "Met", "Breached"))</f>
        <v/>
      </c>
    </row>
    <row r="4607">
      <c r="M4607" s="11">
        <f>B4607+30</f>
        <v/>
      </c>
      <c r="N4607">
        <f>IF(L4607="", "", L4607-B4607)</f>
        <v/>
      </c>
      <c r="O4607">
        <f>IF(L4607="", "Pending", IF(N4607&lt;=30, "Met", "Breached"))</f>
        <v/>
      </c>
    </row>
    <row r="4608">
      <c r="M4608" s="11">
        <f>B4608+30</f>
        <v/>
      </c>
      <c r="N4608">
        <f>IF(L4608="", "", L4608-B4608)</f>
        <v/>
      </c>
      <c r="O4608">
        <f>IF(L4608="", "Pending", IF(N4608&lt;=30, "Met", "Breached"))</f>
        <v/>
      </c>
    </row>
    <row r="4609">
      <c r="M4609" s="11">
        <f>B4609+30</f>
        <v/>
      </c>
      <c r="N4609">
        <f>IF(L4609="", "", L4609-B4609)</f>
        <v/>
      </c>
      <c r="O4609">
        <f>IF(L4609="", "Pending", IF(N4609&lt;=30, "Met", "Breached"))</f>
        <v/>
      </c>
    </row>
    <row r="4610">
      <c r="M4610" s="11">
        <f>B4610+30</f>
        <v/>
      </c>
      <c r="N4610">
        <f>IF(L4610="", "", L4610-B4610)</f>
        <v/>
      </c>
      <c r="O4610">
        <f>IF(L4610="", "Pending", IF(N4610&lt;=30, "Met", "Breached"))</f>
        <v/>
      </c>
    </row>
    <row r="4611">
      <c r="M4611" s="11">
        <f>B4611+30</f>
        <v/>
      </c>
      <c r="N4611">
        <f>IF(L4611="", "", L4611-B4611)</f>
        <v/>
      </c>
      <c r="O4611">
        <f>IF(L4611="", "Pending", IF(N4611&lt;=30, "Met", "Breached"))</f>
        <v/>
      </c>
    </row>
    <row r="4612">
      <c r="M4612" s="11">
        <f>B4612+30</f>
        <v/>
      </c>
      <c r="N4612">
        <f>IF(L4612="", "", L4612-B4612)</f>
        <v/>
      </c>
      <c r="O4612">
        <f>IF(L4612="", "Pending", IF(N4612&lt;=30, "Met", "Breached"))</f>
        <v/>
      </c>
    </row>
    <row r="4613">
      <c r="M4613" s="11">
        <f>B4613+30</f>
        <v/>
      </c>
      <c r="N4613">
        <f>IF(L4613="", "", L4613-B4613)</f>
        <v/>
      </c>
      <c r="O4613">
        <f>IF(L4613="", "Pending", IF(N4613&lt;=30, "Met", "Breached"))</f>
        <v/>
      </c>
    </row>
    <row r="4614">
      <c r="M4614" s="11">
        <f>B4614+30</f>
        <v/>
      </c>
      <c r="N4614">
        <f>IF(L4614="", "", L4614-B4614)</f>
        <v/>
      </c>
      <c r="O4614">
        <f>IF(L4614="", "Pending", IF(N4614&lt;=30, "Met", "Breached"))</f>
        <v/>
      </c>
    </row>
    <row r="4615">
      <c r="M4615" s="11">
        <f>B4615+30</f>
        <v/>
      </c>
      <c r="N4615">
        <f>IF(L4615="", "", L4615-B4615)</f>
        <v/>
      </c>
      <c r="O4615">
        <f>IF(L4615="", "Pending", IF(N4615&lt;=30, "Met", "Breached"))</f>
        <v/>
      </c>
    </row>
    <row r="4616">
      <c r="M4616" s="11">
        <f>B4616+30</f>
        <v/>
      </c>
      <c r="N4616">
        <f>IF(L4616="", "", L4616-B4616)</f>
        <v/>
      </c>
      <c r="O4616">
        <f>IF(L4616="", "Pending", IF(N4616&lt;=30, "Met", "Breached"))</f>
        <v/>
      </c>
    </row>
    <row r="4617">
      <c r="M4617" s="11">
        <f>B4617+30</f>
        <v/>
      </c>
      <c r="N4617">
        <f>IF(L4617="", "", L4617-B4617)</f>
        <v/>
      </c>
      <c r="O4617">
        <f>IF(L4617="", "Pending", IF(N4617&lt;=30, "Met", "Breached"))</f>
        <v/>
      </c>
    </row>
    <row r="4618">
      <c r="M4618" s="11">
        <f>B4618+30</f>
        <v/>
      </c>
      <c r="N4618">
        <f>IF(L4618="", "", L4618-B4618)</f>
        <v/>
      </c>
      <c r="O4618">
        <f>IF(L4618="", "Pending", IF(N4618&lt;=30, "Met", "Breached"))</f>
        <v/>
      </c>
    </row>
    <row r="4619">
      <c r="M4619" s="11">
        <f>B4619+30</f>
        <v/>
      </c>
      <c r="N4619">
        <f>IF(L4619="", "", L4619-B4619)</f>
        <v/>
      </c>
      <c r="O4619">
        <f>IF(L4619="", "Pending", IF(N4619&lt;=30, "Met", "Breached"))</f>
        <v/>
      </c>
    </row>
    <row r="4620">
      <c r="M4620" s="11">
        <f>B4620+30</f>
        <v/>
      </c>
      <c r="N4620">
        <f>IF(L4620="", "", L4620-B4620)</f>
        <v/>
      </c>
      <c r="O4620">
        <f>IF(L4620="", "Pending", IF(N4620&lt;=30, "Met", "Breached"))</f>
        <v/>
      </c>
    </row>
    <row r="4621">
      <c r="M4621" s="11">
        <f>B4621+30</f>
        <v/>
      </c>
      <c r="N4621">
        <f>IF(L4621="", "", L4621-B4621)</f>
        <v/>
      </c>
      <c r="O4621">
        <f>IF(L4621="", "Pending", IF(N4621&lt;=30, "Met", "Breached"))</f>
        <v/>
      </c>
    </row>
    <row r="4622">
      <c r="M4622" s="11">
        <f>B4622+30</f>
        <v/>
      </c>
      <c r="N4622">
        <f>IF(L4622="", "", L4622-B4622)</f>
        <v/>
      </c>
      <c r="O4622">
        <f>IF(L4622="", "Pending", IF(N4622&lt;=30, "Met", "Breached"))</f>
        <v/>
      </c>
    </row>
    <row r="4623">
      <c r="M4623" s="11">
        <f>B4623+30</f>
        <v/>
      </c>
      <c r="N4623">
        <f>IF(L4623="", "", L4623-B4623)</f>
        <v/>
      </c>
      <c r="O4623">
        <f>IF(L4623="", "Pending", IF(N4623&lt;=30, "Met", "Breached"))</f>
        <v/>
      </c>
    </row>
    <row r="4624">
      <c r="M4624" s="11">
        <f>B4624+30</f>
        <v/>
      </c>
      <c r="N4624">
        <f>IF(L4624="", "", L4624-B4624)</f>
        <v/>
      </c>
      <c r="O4624">
        <f>IF(L4624="", "Pending", IF(N4624&lt;=30, "Met", "Breached"))</f>
        <v/>
      </c>
    </row>
    <row r="4625">
      <c r="M4625" s="11">
        <f>B4625+30</f>
        <v/>
      </c>
      <c r="N4625">
        <f>IF(L4625="", "", L4625-B4625)</f>
        <v/>
      </c>
      <c r="O4625">
        <f>IF(L4625="", "Pending", IF(N4625&lt;=30, "Met", "Breached"))</f>
        <v/>
      </c>
    </row>
    <row r="4626">
      <c r="M4626" s="11">
        <f>B4626+30</f>
        <v/>
      </c>
      <c r="N4626">
        <f>IF(L4626="", "", L4626-B4626)</f>
        <v/>
      </c>
      <c r="O4626">
        <f>IF(L4626="", "Pending", IF(N4626&lt;=30, "Met", "Breached"))</f>
        <v/>
      </c>
    </row>
    <row r="4627">
      <c r="M4627" s="11">
        <f>B4627+30</f>
        <v/>
      </c>
      <c r="N4627">
        <f>IF(L4627="", "", L4627-B4627)</f>
        <v/>
      </c>
      <c r="O4627">
        <f>IF(L4627="", "Pending", IF(N4627&lt;=30, "Met", "Breached"))</f>
        <v/>
      </c>
    </row>
    <row r="4628">
      <c r="M4628" s="11">
        <f>B4628+30</f>
        <v/>
      </c>
      <c r="N4628">
        <f>IF(L4628="", "", L4628-B4628)</f>
        <v/>
      </c>
      <c r="O4628">
        <f>IF(L4628="", "Pending", IF(N4628&lt;=30, "Met", "Breached"))</f>
        <v/>
      </c>
    </row>
    <row r="4629">
      <c r="M4629" s="11">
        <f>B4629+30</f>
        <v/>
      </c>
      <c r="N4629">
        <f>IF(L4629="", "", L4629-B4629)</f>
        <v/>
      </c>
      <c r="O4629">
        <f>IF(L4629="", "Pending", IF(N4629&lt;=30, "Met", "Breached"))</f>
        <v/>
      </c>
    </row>
    <row r="4630">
      <c r="M4630" s="11">
        <f>B4630+30</f>
        <v/>
      </c>
      <c r="N4630">
        <f>IF(L4630="", "", L4630-B4630)</f>
        <v/>
      </c>
      <c r="O4630">
        <f>IF(L4630="", "Pending", IF(N4630&lt;=30, "Met", "Breached"))</f>
        <v/>
      </c>
    </row>
    <row r="4631">
      <c r="M4631" s="11">
        <f>B4631+30</f>
        <v/>
      </c>
      <c r="N4631">
        <f>IF(L4631="", "", L4631-B4631)</f>
        <v/>
      </c>
      <c r="O4631">
        <f>IF(L4631="", "Pending", IF(N4631&lt;=30, "Met", "Breached"))</f>
        <v/>
      </c>
    </row>
    <row r="4632">
      <c r="M4632" s="11">
        <f>B4632+30</f>
        <v/>
      </c>
      <c r="N4632">
        <f>IF(L4632="", "", L4632-B4632)</f>
        <v/>
      </c>
      <c r="O4632">
        <f>IF(L4632="", "Pending", IF(N4632&lt;=30, "Met", "Breached"))</f>
        <v/>
      </c>
    </row>
    <row r="4633">
      <c r="M4633" s="11">
        <f>B4633+30</f>
        <v/>
      </c>
      <c r="N4633">
        <f>IF(L4633="", "", L4633-B4633)</f>
        <v/>
      </c>
      <c r="O4633">
        <f>IF(L4633="", "Pending", IF(N4633&lt;=30, "Met", "Breached"))</f>
        <v/>
      </c>
    </row>
    <row r="4634">
      <c r="M4634" s="11">
        <f>B4634+30</f>
        <v/>
      </c>
      <c r="N4634">
        <f>IF(L4634="", "", L4634-B4634)</f>
        <v/>
      </c>
      <c r="O4634">
        <f>IF(L4634="", "Pending", IF(N4634&lt;=30, "Met", "Breached"))</f>
        <v/>
      </c>
    </row>
    <row r="4635">
      <c r="M4635" s="11">
        <f>B4635+30</f>
        <v/>
      </c>
      <c r="N4635">
        <f>IF(L4635="", "", L4635-B4635)</f>
        <v/>
      </c>
      <c r="O4635">
        <f>IF(L4635="", "Pending", IF(N4635&lt;=30, "Met", "Breached"))</f>
        <v/>
      </c>
    </row>
    <row r="4636">
      <c r="M4636" s="11">
        <f>B4636+30</f>
        <v/>
      </c>
      <c r="N4636">
        <f>IF(L4636="", "", L4636-B4636)</f>
        <v/>
      </c>
      <c r="O4636">
        <f>IF(L4636="", "Pending", IF(N4636&lt;=30, "Met", "Breached"))</f>
        <v/>
      </c>
    </row>
    <row r="4637">
      <c r="M4637" s="11">
        <f>B4637+30</f>
        <v/>
      </c>
      <c r="N4637">
        <f>IF(L4637="", "", L4637-B4637)</f>
        <v/>
      </c>
      <c r="O4637">
        <f>IF(L4637="", "Pending", IF(N4637&lt;=30, "Met", "Breached"))</f>
        <v/>
      </c>
    </row>
    <row r="4638">
      <c r="M4638" s="11">
        <f>B4638+30</f>
        <v/>
      </c>
      <c r="N4638">
        <f>IF(L4638="", "", L4638-B4638)</f>
        <v/>
      </c>
      <c r="O4638">
        <f>IF(L4638="", "Pending", IF(N4638&lt;=30, "Met", "Breached"))</f>
        <v/>
      </c>
    </row>
    <row r="4639">
      <c r="M4639" s="11">
        <f>B4639+30</f>
        <v/>
      </c>
      <c r="N4639">
        <f>IF(L4639="", "", L4639-B4639)</f>
        <v/>
      </c>
      <c r="O4639">
        <f>IF(L4639="", "Pending", IF(N4639&lt;=30, "Met", "Breached"))</f>
        <v/>
      </c>
    </row>
    <row r="4640">
      <c r="M4640" s="11">
        <f>B4640+30</f>
        <v/>
      </c>
      <c r="N4640">
        <f>IF(L4640="", "", L4640-B4640)</f>
        <v/>
      </c>
      <c r="O4640">
        <f>IF(L4640="", "Pending", IF(N4640&lt;=30, "Met", "Breached"))</f>
        <v/>
      </c>
    </row>
    <row r="4641">
      <c r="M4641" s="11">
        <f>B4641+30</f>
        <v/>
      </c>
      <c r="N4641">
        <f>IF(L4641="", "", L4641-B4641)</f>
        <v/>
      </c>
      <c r="O4641">
        <f>IF(L4641="", "Pending", IF(N4641&lt;=30, "Met", "Breached"))</f>
        <v/>
      </c>
    </row>
    <row r="4642">
      <c r="M4642" s="11">
        <f>B4642+30</f>
        <v/>
      </c>
      <c r="N4642">
        <f>IF(L4642="", "", L4642-B4642)</f>
        <v/>
      </c>
      <c r="O4642">
        <f>IF(L4642="", "Pending", IF(N4642&lt;=30, "Met", "Breached"))</f>
        <v/>
      </c>
    </row>
    <row r="4643">
      <c r="M4643" s="11">
        <f>B4643+30</f>
        <v/>
      </c>
      <c r="N4643">
        <f>IF(L4643="", "", L4643-B4643)</f>
        <v/>
      </c>
      <c r="O4643">
        <f>IF(L4643="", "Pending", IF(N4643&lt;=30, "Met", "Breached"))</f>
        <v/>
      </c>
    </row>
    <row r="4644">
      <c r="M4644" s="11">
        <f>B4644+30</f>
        <v/>
      </c>
      <c r="N4644">
        <f>IF(L4644="", "", L4644-B4644)</f>
        <v/>
      </c>
      <c r="O4644">
        <f>IF(L4644="", "Pending", IF(N4644&lt;=30, "Met", "Breached"))</f>
        <v/>
      </c>
    </row>
    <row r="4645">
      <c r="M4645" s="11">
        <f>B4645+30</f>
        <v/>
      </c>
      <c r="N4645">
        <f>IF(L4645="", "", L4645-B4645)</f>
        <v/>
      </c>
      <c r="O4645">
        <f>IF(L4645="", "Pending", IF(N4645&lt;=30, "Met", "Breached"))</f>
        <v/>
      </c>
    </row>
    <row r="4646">
      <c r="M4646" s="11">
        <f>B4646+30</f>
        <v/>
      </c>
      <c r="N4646">
        <f>IF(L4646="", "", L4646-B4646)</f>
        <v/>
      </c>
      <c r="O4646">
        <f>IF(L4646="", "Pending", IF(N4646&lt;=30, "Met", "Breached"))</f>
        <v/>
      </c>
    </row>
    <row r="4647">
      <c r="M4647" s="11">
        <f>B4647+30</f>
        <v/>
      </c>
      <c r="N4647">
        <f>IF(L4647="", "", L4647-B4647)</f>
        <v/>
      </c>
      <c r="O4647">
        <f>IF(L4647="", "Pending", IF(N4647&lt;=30, "Met", "Breached"))</f>
        <v/>
      </c>
    </row>
    <row r="4648">
      <c r="M4648" s="11">
        <f>B4648+30</f>
        <v/>
      </c>
      <c r="N4648">
        <f>IF(L4648="", "", L4648-B4648)</f>
        <v/>
      </c>
      <c r="O4648">
        <f>IF(L4648="", "Pending", IF(N4648&lt;=30, "Met", "Breached"))</f>
        <v/>
      </c>
    </row>
    <row r="4649">
      <c r="M4649" s="11">
        <f>B4649+30</f>
        <v/>
      </c>
      <c r="N4649">
        <f>IF(L4649="", "", L4649-B4649)</f>
        <v/>
      </c>
      <c r="O4649">
        <f>IF(L4649="", "Pending", IF(N4649&lt;=30, "Met", "Breached"))</f>
        <v/>
      </c>
    </row>
    <row r="4650">
      <c r="M4650" s="11">
        <f>B4650+30</f>
        <v/>
      </c>
      <c r="N4650">
        <f>IF(L4650="", "", L4650-B4650)</f>
        <v/>
      </c>
      <c r="O4650">
        <f>IF(L4650="", "Pending", IF(N4650&lt;=30, "Met", "Breached"))</f>
        <v/>
      </c>
    </row>
    <row r="4651">
      <c r="M4651" s="11">
        <f>B4651+30</f>
        <v/>
      </c>
      <c r="N4651">
        <f>IF(L4651="", "", L4651-B4651)</f>
        <v/>
      </c>
      <c r="O4651">
        <f>IF(L4651="", "Pending", IF(N4651&lt;=30, "Met", "Breached"))</f>
        <v/>
      </c>
    </row>
    <row r="4652">
      <c r="M4652" s="11">
        <f>B4652+30</f>
        <v/>
      </c>
      <c r="N4652">
        <f>IF(L4652="", "", L4652-B4652)</f>
        <v/>
      </c>
      <c r="O4652">
        <f>IF(L4652="", "Pending", IF(N4652&lt;=30, "Met", "Breached"))</f>
        <v/>
      </c>
    </row>
    <row r="4653">
      <c r="M4653" s="11">
        <f>B4653+30</f>
        <v/>
      </c>
      <c r="N4653">
        <f>IF(L4653="", "", L4653-B4653)</f>
        <v/>
      </c>
      <c r="O4653">
        <f>IF(L4653="", "Pending", IF(N4653&lt;=30, "Met", "Breached"))</f>
        <v/>
      </c>
    </row>
    <row r="4654">
      <c r="M4654" s="11">
        <f>B4654+30</f>
        <v/>
      </c>
      <c r="N4654">
        <f>IF(L4654="", "", L4654-B4654)</f>
        <v/>
      </c>
      <c r="O4654">
        <f>IF(L4654="", "Pending", IF(N4654&lt;=30, "Met", "Breached"))</f>
        <v/>
      </c>
    </row>
    <row r="4655">
      <c r="M4655" s="11">
        <f>B4655+30</f>
        <v/>
      </c>
      <c r="N4655">
        <f>IF(L4655="", "", L4655-B4655)</f>
        <v/>
      </c>
      <c r="O4655">
        <f>IF(L4655="", "Pending", IF(N4655&lt;=30, "Met", "Breached"))</f>
        <v/>
      </c>
    </row>
    <row r="4656">
      <c r="M4656" s="11">
        <f>B4656+30</f>
        <v/>
      </c>
      <c r="N4656">
        <f>IF(L4656="", "", L4656-B4656)</f>
        <v/>
      </c>
      <c r="O4656">
        <f>IF(L4656="", "Pending", IF(N4656&lt;=30, "Met", "Breached"))</f>
        <v/>
      </c>
    </row>
    <row r="4657">
      <c r="M4657" s="11">
        <f>B4657+30</f>
        <v/>
      </c>
      <c r="N4657">
        <f>IF(L4657="", "", L4657-B4657)</f>
        <v/>
      </c>
      <c r="O4657">
        <f>IF(L4657="", "Pending", IF(N4657&lt;=30, "Met", "Breached"))</f>
        <v/>
      </c>
    </row>
    <row r="4658">
      <c r="M4658" s="11">
        <f>B4658+30</f>
        <v/>
      </c>
      <c r="N4658">
        <f>IF(L4658="", "", L4658-B4658)</f>
        <v/>
      </c>
      <c r="O4658">
        <f>IF(L4658="", "Pending", IF(N4658&lt;=30, "Met", "Breached"))</f>
        <v/>
      </c>
    </row>
    <row r="4659">
      <c r="M4659" s="11">
        <f>B4659+30</f>
        <v/>
      </c>
      <c r="N4659">
        <f>IF(L4659="", "", L4659-B4659)</f>
        <v/>
      </c>
      <c r="O4659">
        <f>IF(L4659="", "Pending", IF(N4659&lt;=30, "Met", "Breached"))</f>
        <v/>
      </c>
    </row>
    <row r="4660">
      <c r="M4660" s="11">
        <f>B4660+30</f>
        <v/>
      </c>
      <c r="N4660">
        <f>IF(L4660="", "", L4660-B4660)</f>
        <v/>
      </c>
      <c r="O4660">
        <f>IF(L4660="", "Pending", IF(N4660&lt;=30, "Met", "Breached"))</f>
        <v/>
      </c>
    </row>
    <row r="4661">
      <c r="M4661" s="11">
        <f>B4661+30</f>
        <v/>
      </c>
      <c r="N4661">
        <f>IF(L4661="", "", L4661-B4661)</f>
        <v/>
      </c>
      <c r="O4661">
        <f>IF(L4661="", "Pending", IF(N4661&lt;=30, "Met", "Breached"))</f>
        <v/>
      </c>
    </row>
    <row r="4662">
      <c r="M4662" s="11">
        <f>B4662+30</f>
        <v/>
      </c>
      <c r="N4662">
        <f>IF(L4662="", "", L4662-B4662)</f>
        <v/>
      </c>
      <c r="O4662">
        <f>IF(L4662="", "Pending", IF(N4662&lt;=30, "Met", "Breached"))</f>
        <v/>
      </c>
    </row>
    <row r="4663">
      <c r="M4663" s="11">
        <f>B4663+30</f>
        <v/>
      </c>
      <c r="N4663">
        <f>IF(L4663="", "", L4663-B4663)</f>
        <v/>
      </c>
      <c r="O4663">
        <f>IF(L4663="", "Pending", IF(N4663&lt;=30, "Met", "Breached"))</f>
        <v/>
      </c>
    </row>
    <row r="4664">
      <c r="M4664" s="11">
        <f>B4664+30</f>
        <v/>
      </c>
      <c r="N4664">
        <f>IF(L4664="", "", L4664-B4664)</f>
        <v/>
      </c>
      <c r="O4664">
        <f>IF(L4664="", "Pending", IF(N4664&lt;=30, "Met", "Breached"))</f>
        <v/>
      </c>
    </row>
    <row r="4665">
      <c r="M4665" s="11">
        <f>B4665+30</f>
        <v/>
      </c>
      <c r="N4665">
        <f>IF(L4665="", "", L4665-B4665)</f>
        <v/>
      </c>
      <c r="O4665">
        <f>IF(L4665="", "Pending", IF(N4665&lt;=30, "Met", "Breached"))</f>
        <v/>
      </c>
    </row>
    <row r="4666">
      <c r="M4666" s="11">
        <f>B4666+30</f>
        <v/>
      </c>
      <c r="N4666">
        <f>IF(L4666="", "", L4666-B4666)</f>
        <v/>
      </c>
      <c r="O4666">
        <f>IF(L4666="", "Pending", IF(N4666&lt;=30, "Met", "Breached"))</f>
        <v/>
      </c>
    </row>
    <row r="4667">
      <c r="M4667" s="11">
        <f>B4667+30</f>
        <v/>
      </c>
      <c r="N4667">
        <f>IF(L4667="", "", L4667-B4667)</f>
        <v/>
      </c>
      <c r="O4667">
        <f>IF(L4667="", "Pending", IF(N4667&lt;=30, "Met", "Breached"))</f>
        <v/>
      </c>
    </row>
    <row r="4668">
      <c r="M4668" s="11">
        <f>B4668+30</f>
        <v/>
      </c>
      <c r="N4668">
        <f>IF(L4668="", "", L4668-B4668)</f>
        <v/>
      </c>
      <c r="O4668">
        <f>IF(L4668="", "Pending", IF(N4668&lt;=30, "Met", "Breached"))</f>
        <v/>
      </c>
    </row>
    <row r="4669">
      <c r="M4669" s="11">
        <f>B4669+30</f>
        <v/>
      </c>
      <c r="N4669">
        <f>IF(L4669="", "", L4669-B4669)</f>
        <v/>
      </c>
      <c r="O4669">
        <f>IF(L4669="", "Pending", IF(N4669&lt;=30, "Met", "Breached"))</f>
        <v/>
      </c>
    </row>
    <row r="4670">
      <c r="M4670" s="11">
        <f>B4670+30</f>
        <v/>
      </c>
      <c r="N4670">
        <f>IF(L4670="", "", L4670-B4670)</f>
        <v/>
      </c>
      <c r="O4670">
        <f>IF(L4670="", "Pending", IF(N4670&lt;=30, "Met", "Breached"))</f>
        <v/>
      </c>
    </row>
    <row r="4671">
      <c r="M4671" s="11">
        <f>B4671+30</f>
        <v/>
      </c>
      <c r="N4671">
        <f>IF(L4671="", "", L4671-B4671)</f>
        <v/>
      </c>
      <c r="O4671">
        <f>IF(L4671="", "Pending", IF(N4671&lt;=30, "Met", "Breached"))</f>
        <v/>
      </c>
    </row>
    <row r="4672">
      <c r="M4672" s="11">
        <f>B4672+30</f>
        <v/>
      </c>
      <c r="N4672">
        <f>IF(L4672="", "", L4672-B4672)</f>
        <v/>
      </c>
      <c r="O4672">
        <f>IF(L4672="", "Pending", IF(N4672&lt;=30, "Met", "Breached"))</f>
        <v/>
      </c>
    </row>
    <row r="4673">
      <c r="M4673" s="11">
        <f>B4673+30</f>
        <v/>
      </c>
      <c r="N4673">
        <f>IF(L4673="", "", L4673-B4673)</f>
        <v/>
      </c>
      <c r="O4673">
        <f>IF(L4673="", "Pending", IF(N4673&lt;=30, "Met", "Breached"))</f>
        <v/>
      </c>
    </row>
    <row r="4674">
      <c r="M4674" s="11">
        <f>B4674+30</f>
        <v/>
      </c>
      <c r="N4674">
        <f>IF(L4674="", "", L4674-B4674)</f>
        <v/>
      </c>
      <c r="O4674">
        <f>IF(L4674="", "Pending", IF(N4674&lt;=30, "Met", "Breached"))</f>
        <v/>
      </c>
    </row>
    <row r="4675">
      <c r="M4675" s="11">
        <f>B4675+30</f>
        <v/>
      </c>
      <c r="N4675">
        <f>IF(L4675="", "", L4675-B4675)</f>
        <v/>
      </c>
      <c r="O4675">
        <f>IF(L4675="", "Pending", IF(N4675&lt;=30, "Met", "Breached"))</f>
        <v/>
      </c>
    </row>
    <row r="4676">
      <c r="M4676" s="11">
        <f>B4676+30</f>
        <v/>
      </c>
      <c r="N4676">
        <f>IF(L4676="", "", L4676-B4676)</f>
        <v/>
      </c>
      <c r="O4676">
        <f>IF(L4676="", "Pending", IF(N4676&lt;=30, "Met", "Breached"))</f>
        <v/>
      </c>
    </row>
    <row r="4677">
      <c r="M4677" s="11">
        <f>B4677+30</f>
        <v/>
      </c>
      <c r="N4677">
        <f>IF(L4677="", "", L4677-B4677)</f>
        <v/>
      </c>
      <c r="O4677">
        <f>IF(L4677="", "Pending", IF(N4677&lt;=30, "Met", "Breached"))</f>
        <v/>
      </c>
    </row>
    <row r="4678">
      <c r="M4678" s="11">
        <f>B4678+30</f>
        <v/>
      </c>
      <c r="N4678">
        <f>IF(L4678="", "", L4678-B4678)</f>
        <v/>
      </c>
      <c r="O4678">
        <f>IF(L4678="", "Pending", IF(N4678&lt;=30, "Met", "Breached"))</f>
        <v/>
      </c>
    </row>
    <row r="4679">
      <c r="M4679" s="11">
        <f>B4679+30</f>
        <v/>
      </c>
      <c r="N4679">
        <f>IF(L4679="", "", L4679-B4679)</f>
        <v/>
      </c>
      <c r="O4679">
        <f>IF(L4679="", "Pending", IF(N4679&lt;=30, "Met", "Breached"))</f>
        <v/>
      </c>
    </row>
    <row r="4680">
      <c r="M4680" s="11">
        <f>B4680+30</f>
        <v/>
      </c>
      <c r="N4680">
        <f>IF(L4680="", "", L4680-B4680)</f>
        <v/>
      </c>
      <c r="O4680">
        <f>IF(L4680="", "Pending", IF(N4680&lt;=30, "Met", "Breached"))</f>
        <v/>
      </c>
    </row>
    <row r="4681">
      <c r="M4681" s="11">
        <f>B4681+30</f>
        <v/>
      </c>
      <c r="N4681">
        <f>IF(L4681="", "", L4681-B4681)</f>
        <v/>
      </c>
      <c r="O4681">
        <f>IF(L4681="", "Pending", IF(N4681&lt;=30, "Met", "Breached"))</f>
        <v/>
      </c>
    </row>
    <row r="4682">
      <c r="M4682" s="11">
        <f>B4682+30</f>
        <v/>
      </c>
      <c r="N4682">
        <f>IF(L4682="", "", L4682-B4682)</f>
        <v/>
      </c>
      <c r="O4682">
        <f>IF(L4682="", "Pending", IF(N4682&lt;=30, "Met", "Breached"))</f>
        <v/>
      </c>
    </row>
    <row r="4683">
      <c r="M4683" s="11">
        <f>B4683+30</f>
        <v/>
      </c>
      <c r="N4683">
        <f>IF(L4683="", "", L4683-B4683)</f>
        <v/>
      </c>
      <c r="O4683">
        <f>IF(L4683="", "Pending", IF(N4683&lt;=30, "Met", "Breached"))</f>
        <v/>
      </c>
    </row>
    <row r="4684">
      <c r="M4684" s="11">
        <f>B4684+30</f>
        <v/>
      </c>
      <c r="N4684">
        <f>IF(L4684="", "", L4684-B4684)</f>
        <v/>
      </c>
      <c r="O4684">
        <f>IF(L4684="", "Pending", IF(N4684&lt;=30, "Met", "Breached"))</f>
        <v/>
      </c>
    </row>
    <row r="4685">
      <c r="M4685" s="11">
        <f>B4685+30</f>
        <v/>
      </c>
      <c r="N4685">
        <f>IF(L4685="", "", L4685-B4685)</f>
        <v/>
      </c>
      <c r="O4685">
        <f>IF(L4685="", "Pending", IF(N4685&lt;=30, "Met", "Breached"))</f>
        <v/>
      </c>
    </row>
    <row r="4686">
      <c r="M4686" s="11">
        <f>B4686+30</f>
        <v/>
      </c>
      <c r="N4686">
        <f>IF(L4686="", "", L4686-B4686)</f>
        <v/>
      </c>
      <c r="O4686">
        <f>IF(L4686="", "Pending", IF(N4686&lt;=30, "Met", "Breached"))</f>
        <v/>
      </c>
    </row>
    <row r="4687">
      <c r="M4687" s="11">
        <f>B4687+30</f>
        <v/>
      </c>
      <c r="N4687">
        <f>IF(L4687="", "", L4687-B4687)</f>
        <v/>
      </c>
      <c r="O4687">
        <f>IF(L4687="", "Pending", IF(N4687&lt;=30, "Met", "Breached"))</f>
        <v/>
      </c>
    </row>
    <row r="4688">
      <c r="M4688" s="11">
        <f>B4688+30</f>
        <v/>
      </c>
      <c r="N4688">
        <f>IF(L4688="", "", L4688-B4688)</f>
        <v/>
      </c>
      <c r="O4688">
        <f>IF(L4688="", "Pending", IF(N4688&lt;=30, "Met", "Breached"))</f>
        <v/>
      </c>
    </row>
    <row r="4689">
      <c r="M4689" s="11">
        <f>B4689+30</f>
        <v/>
      </c>
      <c r="N4689">
        <f>IF(L4689="", "", L4689-B4689)</f>
        <v/>
      </c>
      <c r="O4689">
        <f>IF(L4689="", "Pending", IF(N4689&lt;=30, "Met", "Breached"))</f>
        <v/>
      </c>
    </row>
    <row r="4690">
      <c r="M4690" s="11">
        <f>B4690+30</f>
        <v/>
      </c>
      <c r="N4690">
        <f>IF(L4690="", "", L4690-B4690)</f>
        <v/>
      </c>
      <c r="O4690">
        <f>IF(L4690="", "Pending", IF(N4690&lt;=30, "Met", "Breached"))</f>
        <v/>
      </c>
    </row>
    <row r="4691">
      <c r="M4691" s="11">
        <f>B4691+30</f>
        <v/>
      </c>
      <c r="N4691">
        <f>IF(L4691="", "", L4691-B4691)</f>
        <v/>
      </c>
      <c r="O4691">
        <f>IF(L4691="", "Pending", IF(N4691&lt;=30, "Met", "Breached"))</f>
        <v/>
      </c>
    </row>
    <row r="4692">
      <c r="M4692" s="11">
        <f>B4692+30</f>
        <v/>
      </c>
      <c r="N4692">
        <f>IF(L4692="", "", L4692-B4692)</f>
        <v/>
      </c>
      <c r="O4692">
        <f>IF(L4692="", "Pending", IF(N4692&lt;=30, "Met", "Breached"))</f>
        <v/>
      </c>
    </row>
    <row r="4693">
      <c r="M4693" s="11">
        <f>B4693+30</f>
        <v/>
      </c>
      <c r="N4693">
        <f>IF(L4693="", "", L4693-B4693)</f>
        <v/>
      </c>
      <c r="O4693">
        <f>IF(L4693="", "Pending", IF(N4693&lt;=30, "Met", "Breached"))</f>
        <v/>
      </c>
    </row>
    <row r="4694">
      <c r="M4694" s="11">
        <f>B4694+30</f>
        <v/>
      </c>
      <c r="N4694">
        <f>IF(L4694="", "", L4694-B4694)</f>
        <v/>
      </c>
      <c r="O4694">
        <f>IF(L4694="", "Pending", IF(N4694&lt;=30, "Met", "Breached"))</f>
        <v/>
      </c>
    </row>
    <row r="4695">
      <c r="M4695" s="11">
        <f>B4695+30</f>
        <v/>
      </c>
      <c r="N4695">
        <f>IF(L4695="", "", L4695-B4695)</f>
        <v/>
      </c>
      <c r="O4695">
        <f>IF(L4695="", "Pending", IF(N4695&lt;=30, "Met", "Breached"))</f>
        <v/>
      </c>
    </row>
    <row r="4696">
      <c r="M4696" s="11">
        <f>B4696+30</f>
        <v/>
      </c>
      <c r="N4696">
        <f>IF(L4696="", "", L4696-B4696)</f>
        <v/>
      </c>
      <c r="O4696">
        <f>IF(L4696="", "Pending", IF(N4696&lt;=30, "Met", "Breached"))</f>
        <v/>
      </c>
    </row>
    <row r="4697">
      <c r="M4697" s="11">
        <f>B4697+30</f>
        <v/>
      </c>
      <c r="N4697">
        <f>IF(L4697="", "", L4697-B4697)</f>
        <v/>
      </c>
      <c r="O4697">
        <f>IF(L4697="", "Pending", IF(N4697&lt;=30, "Met", "Breached"))</f>
        <v/>
      </c>
    </row>
    <row r="4698">
      <c r="M4698" s="11">
        <f>B4698+30</f>
        <v/>
      </c>
      <c r="N4698">
        <f>IF(L4698="", "", L4698-B4698)</f>
        <v/>
      </c>
      <c r="O4698">
        <f>IF(L4698="", "Pending", IF(N4698&lt;=30, "Met", "Breached"))</f>
        <v/>
      </c>
    </row>
    <row r="4699">
      <c r="M4699" s="11">
        <f>B4699+30</f>
        <v/>
      </c>
      <c r="N4699">
        <f>IF(L4699="", "", L4699-B4699)</f>
        <v/>
      </c>
      <c r="O4699">
        <f>IF(L4699="", "Pending", IF(N4699&lt;=30, "Met", "Breached"))</f>
        <v/>
      </c>
    </row>
    <row r="4700">
      <c r="M4700" s="11">
        <f>B4700+30</f>
        <v/>
      </c>
      <c r="N4700">
        <f>IF(L4700="", "", L4700-B4700)</f>
        <v/>
      </c>
      <c r="O4700">
        <f>IF(L4700="", "Pending", IF(N4700&lt;=30, "Met", "Breached"))</f>
        <v/>
      </c>
    </row>
    <row r="4701">
      <c r="M4701" s="11">
        <f>B4701+30</f>
        <v/>
      </c>
      <c r="N4701">
        <f>IF(L4701="", "", L4701-B4701)</f>
        <v/>
      </c>
      <c r="O4701">
        <f>IF(L4701="", "Pending", IF(N4701&lt;=30, "Met", "Breached"))</f>
        <v/>
      </c>
    </row>
    <row r="4702">
      <c r="M4702" s="11">
        <f>B4702+30</f>
        <v/>
      </c>
      <c r="N4702">
        <f>IF(L4702="", "", L4702-B4702)</f>
        <v/>
      </c>
      <c r="O4702">
        <f>IF(L4702="", "Pending", IF(N4702&lt;=30, "Met", "Breached"))</f>
        <v/>
      </c>
    </row>
    <row r="4703">
      <c r="M4703" s="11">
        <f>B4703+30</f>
        <v/>
      </c>
      <c r="N4703">
        <f>IF(L4703="", "", L4703-B4703)</f>
        <v/>
      </c>
      <c r="O4703">
        <f>IF(L4703="", "Pending", IF(N4703&lt;=30, "Met", "Breached"))</f>
        <v/>
      </c>
    </row>
    <row r="4704">
      <c r="M4704" s="11">
        <f>B4704+30</f>
        <v/>
      </c>
      <c r="N4704">
        <f>IF(L4704="", "", L4704-B4704)</f>
        <v/>
      </c>
      <c r="O4704">
        <f>IF(L4704="", "Pending", IF(N4704&lt;=30, "Met", "Breached"))</f>
        <v/>
      </c>
    </row>
    <row r="4705">
      <c r="M4705" s="11">
        <f>B4705+30</f>
        <v/>
      </c>
      <c r="N4705">
        <f>IF(L4705="", "", L4705-B4705)</f>
        <v/>
      </c>
      <c r="O4705">
        <f>IF(L4705="", "Pending", IF(N4705&lt;=30, "Met", "Breached"))</f>
        <v/>
      </c>
    </row>
    <row r="4706">
      <c r="M4706" s="11">
        <f>B4706+30</f>
        <v/>
      </c>
      <c r="N4706">
        <f>IF(L4706="", "", L4706-B4706)</f>
        <v/>
      </c>
      <c r="O4706">
        <f>IF(L4706="", "Pending", IF(N4706&lt;=30, "Met", "Breached"))</f>
        <v/>
      </c>
    </row>
    <row r="4707">
      <c r="M4707" s="11">
        <f>B4707+30</f>
        <v/>
      </c>
      <c r="N4707">
        <f>IF(L4707="", "", L4707-B4707)</f>
        <v/>
      </c>
      <c r="O4707">
        <f>IF(L4707="", "Pending", IF(N4707&lt;=30, "Met", "Breached"))</f>
        <v/>
      </c>
    </row>
    <row r="4708">
      <c r="M4708" s="11">
        <f>B4708+30</f>
        <v/>
      </c>
      <c r="N4708">
        <f>IF(L4708="", "", L4708-B4708)</f>
        <v/>
      </c>
      <c r="O4708">
        <f>IF(L4708="", "Pending", IF(N4708&lt;=30, "Met", "Breached"))</f>
        <v/>
      </c>
    </row>
    <row r="4709">
      <c r="M4709" s="11">
        <f>B4709+30</f>
        <v/>
      </c>
      <c r="N4709">
        <f>IF(L4709="", "", L4709-B4709)</f>
        <v/>
      </c>
      <c r="O4709">
        <f>IF(L4709="", "Pending", IF(N4709&lt;=30, "Met", "Breached"))</f>
        <v/>
      </c>
    </row>
    <row r="4710">
      <c r="M4710" s="11">
        <f>B4710+30</f>
        <v/>
      </c>
      <c r="N4710">
        <f>IF(L4710="", "", L4710-B4710)</f>
        <v/>
      </c>
      <c r="O4710">
        <f>IF(L4710="", "Pending", IF(N4710&lt;=30, "Met", "Breached"))</f>
        <v/>
      </c>
    </row>
    <row r="4711">
      <c r="M4711" s="11">
        <f>B4711+30</f>
        <v/>
      </c>
      <c r="N4711">
        <f>IF(L4711="", "", L4711-B4711)</f>
        <v/>
      </c>
      <c r="O4711">
        <f>IF(L4711="", "Pending", IF(N4711&lt;=30, "Met", "Breached"))</f>
        <v/>
      </c>
    </row>
    <row r="4712">
      <c r="M4712" s="11">
        <f>B4712+30</f>
        <v/>
      </c>
      <c r="N4712">
        <f>IF(L4712="", "", L4712-B4712)</f>
        <v/>
      </c>
      <c r="O4712">
        <f>IF(L4712="", "Pending", IF(N4712&lt;=30, "Met", "Breached"))</f>
        <v/>
      </c>
    </row>
    <row r="4713">
      <c r="M4713" s="11">
        <f>B4713+30</f>
        <v/>
      </c>
      <c r="N4713">
        <f>IF(L4713="", "", L4713-B4713)</f>
        <v/>
      </c>
      <c r="O4713">
        <f>IF(L4713="", "Pending", IF(N4713&lt;=30, "Met", "Breached"))</f>
        <v/>
      </c>
    </row>
    <row r="4714">
      <c r="M4714" s="11">
        <f>B4714+30</f>
        <v/>
      </c>
      <c r="N4714">
        <f>IF(L4714="", "", L4714-B4714)</f>
        <v/>
      </c>
      <c r="O4714">
        <f>IF(L4714="", "Pending", IF(N4714&lt;=30, "Met", "Breached"))</f>
        <v/>
      </c>
    </row>
    <row r="4715">
      <c r="M4715" s="11">
        <f>B4715+30</f>
        <v/>
      </c>
      <c r="N4715">
        <f>IF(L4715="", "", L4715-B4715)</f>
        <v/>
      </c>
      <c r="O4715">
        <f>IF(L4715="", "Pending", IF(N4715&lt;=30, "Met", "Breached"))</f>
        <v/>
      </c>
    </row>
    <row r="4716">
      <c r="M4716" s="11">
        <f>B4716+30</f>
        <v/>
      </c>
      <c r="N4716">
        <f>IF(L4716="", "", L4716-B4716)</f>
        <v/>
      </c>
      <c r="O4716">
        <f>IF(L4716="", "Pending", IF(N4716&lt;=30, "Met", "Breached"))</f>
        <v/>
      </c>
    </row>
    <row r="4717">
      <c r="M4717" s="11">
        <f>B4717+30</f>
        <v/>
      </c>
      <c r="N4717">
        <f>IF(L4717="", "", L4717-B4717)</f>
        <v/>
      </c>
      <c r="O4717">
        <f>IF(L4717="", "Pending", IF(N4717&lt;=30, "Met", "Breached"))</f>
        <v/>
      </c>
    </row>
    <row r="4718">
      <c r="M4718" s="11">
        <f>B4718+30</f>
        <v/>
      </c>
      <c r="N4718">
        <f>IF(L4718="", "", L4718-B4718)</f>
        <v/>
      </c>
      <c r="O4718">
        <f>IF(L4718="", "Pending", IF(N4718&lt;=30, "Met", "Breached"))</f>
        <v/>
      </c>
    </row>
    <row r="4719">
      <c r="M4719" s="11">
        <f>B4719+30</f>
        <v/>
      </c>
      <c r="N4719">
        <f>IF(L4719="", "", L4719-B4719)</f>
        <v/>
      </c>
      <c r="O4719">
        <f>IF(L4719="", "Pending", IF(N4719&lt;=30, "Met", "Breached"))</f>
        <v/>
      </c>
    </row>
    <row r="4720">
      <c r="M4720" s="11">
        <f>B4720+30</f>
        <v/>
      </c>
      <c r="N4720">
        <f>IF(L4720="", "", L4720-B4720)</f>
        <v/>
      </c>
      <c r="O4720">
        <f>IF(L4720="", "Pending", IF(N4720&lt;=30, "Met", "Breached"))</f>
        <v/>
      </c>
    </row>
    <row r="4721">
      <c r="M4721" s="11">
        <f>B4721+30</f>
        <v/>
      </c>
      <c r="N4721">
        <f>IF(L4721="", "", L4721-B4721)</f>
        <v/>
      </c>
      <c r="O4721">
        <f>IF(L4721="", "Pending", IF(N4721&lt;=30, "Met", "Breached"))</f>
        <v/>
      </c>
    </row>
    <row r="4722">
      <c r="M4722" s="11">
        <f>B4722+30</f>
        <v/>
      </c>
      <c r="N4722">
        <f>IF(L4722="", "", L4722-B4722)</f>
        <v/>
      </c>
      <c r="O4722">
        <f>IF(L4722="", "Pending", IF(N4722&lt;=30, "Met", "Breached"))</f>
        <v/>
      </c>
    </row>
    <row r="4723">
      <c r="M4723" s="11">
        <f>B4723+30</f>
        <v/>
      </c>
      <c r="N4723">
        <f>IF(L4723="", "", L4723-B4723)</f>
        <v/>
      </c>
      <c r="O4723">
        <f>IF(L4723="", "Pending", IF(N4723&lt;=30, "Met", "Breached"))</f>
        <v/>
      </c>
    </row>
    <row r="4724">
      <c r="M4724" s="11">
        <f>B4724+30</f>
        <v/>
      </c>
      <c r="N4724">
        <f>IF(L4724="", "", L4724-B4724)</f>
        <v/>
      </c>
      <c r="O4724">
        <f>IF(L4724="", "Pending", IF(N4724&lt;=30, "Met", "Breached"))</f>
        <v/>
      </c>
    </row>
    <row r="4725">
      <c r="M4725" s="11">
        <f>B4725+30</f>
        <v/>
      </c>
      <c r="N4725">
        <f>IF(L4725="", "", L4725-B4725)</f>
        <v/>
      </c>
      <c r="O4725">
        <f>IF(L4725="", "Pending", IF(N4725&lt;=30, "Met", "Breached"))</f>
        <v/>
      </c>
    </row>
    <row r="4726">
      <c r="M4726" s="11">
        <f>B4726+30</f>
        <v/>
      </c>
      <c r="N4726">
        <f>IF(L4726="", "", L4726-B4726)</f>
        <v/>
      </c>
      <c r="O4726">
        <f>IF(L4726="", "Pending", IF(N4726&lt;=30, "Met", "Breached"))</f>
        <v/>
      </c>
    </row>
    <row r="4727">
      <c r="M4727" s="11">
        <f>B4727+30</f>
        <v/>
      </c>
      <c r="N4727">
        <f>IF(L4727="", "", L4727-B4727)</f>
        <v/>
      </c>
      <c r="O4727">
        <f>IF(L4727="", "Pending", IF(N4727&lt;=30, "Met", "Breached"))</f>
        <v/>
      </c>
    </row>
    <row r="4728">
      <c r="M4728" s="11">
        <f>B4728+30</f>
        <v/>
      </c>
      <c r="N4728">
        <f>IF(L4728="", "", L4728-B4728)</f>
        <v/>
      </c>
      <c r="O4728">
        <f>IF(L4728="", "Pending", IF(N4728&lt;=30, "Met", "Breached"))</f>
        <v/>
      </c>
    </row>
    <row r="4729">
      <c r="M4729" s="11">
        <f>B4729+30</f>
        <v/>
      </c>
      <c r="N4729">
        <f>IF(L4729="", "", L4729-B4729)</f>
        <v/>
      </c>
      <c r="O4729">
        <f>IF(L4729="", "Pending", IF(N4729&lt;=30, "Met", "Breached"))</f>
        <v/>
      </c>
    </row>
    <row r="4730">
      <c r="M4730" s="11">
        <f>B4730+30</f>
        <v/>
      </c>
      <c r="N4730">
        <f>IF(L4730="", "", L4730-B4730)</f>
        <v/>
      </c>
      <c r="O4730">
        <f>IF(L4730="", "Pending", IF(N4730&lt;=30, "Met", "Breached"))</f>
        <v/>
      </c>
    </row>
    <row r="4731">
      <c r="M4731" s="11">
        <f>B4731+30</f>
        <v/>
      </c>
      <c r="N4731">
        <f>IF(L4731="", "", L4731-B4731)</f>
        <v/>
      </c>
      <c r="O4731">
        <f>IF(L4731="", "Pending", IF(N4731&lt;=30, "Met", "Breached"))</f>
        <v/>
      </c>
    </row>
    <row r="4732">
      <c r="M4732" s="11">
        <f>B4732+30</f>
        <v/>
      </c>
      <c r="N4732">
        <f>IF(L4732="", "", L4732-B4732)</f>
        <v/>
      </c>
      <c r="O4732">
        <f>IF(L4732="", "Pending", IF(N4732&lt;=30, "Met", "Breached"))</f>
        <v/>
      </c>
    </row>
    <row r="4733">
      <c r="M4733" s="11">
        <f>B4733+30</f>
        <v/>
      </c>
      <c r="N4733">
        <f>IF(L4733="", "", L4733-B4733)</f>
        <v/>
      </c>
      <c r="O4733">
        <f>IF(L4733="", "Pending", IF(N4733&lt;=30, "Met", "Breached"))</f>
        <v/>
      </c>
    </row>
    <row r="4734">
      <c r="M4734" s="11">
        <f>B4734+30</f>
        <v/>
      </c>
      <c r="N4734">
        <f>IF(L4734="", "", L4734-B4734)</f>
        <v/>
      </c>
      <c r="O4734">
        <f>IF(L4734="", "Pending", IF(N4734&lt;=30, "Met", "Breached"))</f>
        <v/>
      </c>
    </row>
    <row r="4735">
      <c r="M4735" s="11">
        <f>B4735+30</f>
        <v/>
      </c>
      <c r="N4735">
        <f>IF(L4735="", "", L4735-B4735)</f>
        <v/>
      </c>
      <c r="O4735">
        <f>IF(L4735="", "Pending", IF(N4735&lt;=30, "Met", "Breached"))</f>
        <v/>
      </c>
    </row>
    <row r="4736">
      <c r="M4736" s="11">
        <f>B4736+30</f>
        <v/>
      </c>
      <c r="N4736">
        <f>IF(L4736="", "", L4736-B4736)</f>
        <v/>
      </c>
      <c r="O4736">
        <f>IF(L4736="", "Pending", IF(N4736&lt;=30, "Met", "Breached"))</f>
        <v/>
      </c>
    </row>
    <row r="4737">
      <c r="M4737" s="11">
        <f>B4737+30</f>
        <v/>
      </c>
      <c r="N4737">
        <f>IF(L4737="", "", L4737-B4737)</f>
        <v/>
      </c>
      <c r="O4737">
        <f>IF(L4737="", "Pending", IF(N4737&lt;=30, "Met", "Breached"))</f>
        <v/>
      </c>
    </row>
    <row r="4738">
      <c r="M4738" s="11">
        <f>B4738+30</f>
        <v/>
      </c>
      <c r="N4738">
        <f>IF(L4738="", "", L4738-B4738)</f>
        <v/>
      </c>
      <c r="O4738">
        <f>IF(L4738="", "Pending", IF(N4738&lt;=30, "Met", "Breached"))</f>
        <v/>
      </c>
    </row>
    <row r="4739">
      <c r="M4739" s="11">
        <f>B4739+30</f>
        <v/>
      </c>
      <c r="N4739">
        <f>IF(L4739="", "", L4739-B4739)</f>
        <v/>
      </c>
      <c r="O4739">
        <f>IF(L4739="", "Pending", IF(N4739&lt;=30, "Met", "Breached"))</f>
        <v/>
      </c>
    </row>
    <row r="4740">
      <c r="M4740" s="11">
        <f>B4740+30</f>
        <v/>
      </c>
      <c r="N4740">
        <f>IF(L4740="", "", L4740-B4740)</f>
        <v/>
      </c>
      <c r="O4740">
        <f>IF(L4740="", "Pending", IF(N4740&lt;=30, "Met", "Breached"))</f>
        <v/>
      </c>
    </row>
    <row r="4741">
      <c r="M4741" s="11">
        <f>B4741+30</f>
        <v/>
      </c>
      <c r="N4741">
        <f>IF(L4741="", "", L4741-B4741)</f>
        <v/>
      </c>
      <c r="O4741">
        <f>IF(L4741="", "Pending", IF(N4741&lt;=30, "Met", "Breached"))</f>
        <v/>
      </c>
    </row>
    <row r="4742">
      <c r="M4742" s="11">
        <f>B4742+30</f>
        <v/>
      </c>
      <c r="N4742">
        <f>IF(L4742="", "", L4742-B4742)</f>
        <v/>
      </c>
      <c r="O4742">
        <f>IF(L4742="", "Pending", IF(N4742&lt;=30, "Met", "Breached"))</f>
        <v/>
      </c>
    </row>
    <row r="4743">
      <c r="M4743" s="11">
        <f>B4743+30</f>
        <v/>
      </c>
      <c r="N4743">
        <f>IF(L4743="", "", L4743-B4743)</f>
        <v/>
      </c>
      <c r="O4743">
        <f>IF(L4743="", "Pending", IF(N4743&lt;=30, "Met", "Breached"))</f>
        <v/>
      </c>
    </row>
    <row r="4744">
      <c r="M4744" s="11">
        <f>B4744+30</f>
        <v/>
      </c>
      <c r="N4744">
        <f>IF(L4744="", "", L4744-B4744)</f>
        <v/>
      </c>
      <c r="O4744">
        <f>IF(L4744="", "Pending", IF(N4744&lt;=30, "Met", "Breached"))</f>
        <v/>
      </c>
    </row>
    <row r="4745">
      <c r="M4745" s="11">
        <f>B4745+30</f>
        <v/>
      </c>
      <c r="N4745">
        <f>IF(L4745="", "", L4745-B4745)</f>
        <v/>
      </c>
      <c r="O4745">
        <f>IF(L4745="", "Pending", IF(N4745&lt;=30, "Met", "Breached"))</f>
        <v/>
      </c>
    </row>
    <row r="4746">
      <c r="M4746" s="11">
        <f>B4746+30</f>
        <v/>
      </c>
      <c r="N4746">
        <f>IF(L4746="", "", L4746-B4746)</f>
        <v/>
      </c>
      <c r="O4746">
        <f>IF(L4746="", "Pending", IF(N4746&lt;=30, "Met", "Breached"))</f>
        <v/>
      </c>
    </row>
    <row r="4747">
      <c r="M4747" s="11">
        <f>B4747+30</f>
        <v/>
      </c>
      <c r="N4747">
        <f>IF(L4747="", "", L4747-B4747)</f>
        <v/>
      </c>
      <c r="O4747">
        <f>IF(L4747="", "Pending", IF(N4747&lt;=30, "Met", "Breached"))</f>
        <v/>
      </c>
    </row>
    <row r="4748">
      <c r="M4748" s="11">
        <f>B4748+30</f>
        <v/>
      </c>
      <c r="N4748">
        <f>IF(L4748="", "", L4748-B4748)</f>
        <v/>
      </c>
      <c r="O4748">
        <f>IF(L4748="", "Pending", IF(N4748&lt;=30, "Met", "Breached"))</f>
        <v/>
      </c>
    </row>
    <row r="4749">
      <c r="M4749" s="11">
        <f>B4749+30</f>
        <v/>
      </c>
      <c r="N4749">
        <f>IF(L4749="", "", L4749-B4749)</f>
        <v/>
      </c>
      <c r="O4749">
        <f>IF(L4749="", "Pending", IF(N4749&lt;=30, "Met", "Breached"))</f>
        <v/>
      </c>
    </row>
    <row r="4750">
      <c r="M4750" s="11">
        <f>B4750+30</f>
        <v/>
      </c>
      <c r="N4750">
        <f>IF(L4750="", "", L4750-B4750)</f>
        <v/>
      </c>
      <c r="O4750">
        <f>IF(L4750="", "Pending", IF(N4750&lt;=30, "Met", "Breached"))</f>
        <v/>
      </c>
    </row>
    <row r="4751">
      <c r="M4751" s="11">
        <f>B4751+30</f>
        <v/>
      </c>
      <c r="N4751">
        <f>IF(L4751="", "", L4751-B4751)</f>
        <v/>
      </c>
      <c r="O4751">
        <f>IF(L4751="", "Pending", IF(N4751&lt;=30, "Met", "Breached"))</f>
        <v/>
      </c>
    </row>
    <row r="4752">
      <c r="M4752" s="11">
        <f>B4752+30</f>
        <v/>
      </c>
      <c r="N4752">
        <f>IF(L4752="", "", L4752-B4752)</f>
        <v/>
      </c>
      <c r="O4752">
        <f>IF(L4752="", "Pending", IF(N4752&lt;=30, "Met", "Breached"))</f>
        <v/>
      </c>
    </row>
    <row r="4753">
      <c r="M4753" s="11">
        <f>B4753+30</f>
        <v/>
      </c>
      <c r="N4753">
        <f>IF(L4753="", "", L4753-B4753)</f>
        <v/>
      </c>
      <c r="O4753">
        <f>IF(L4753="", "Pending", IF(N4753&lt;=30, "Met", "Breached"))</f>
        <v/>
      </c>
    </row>
    <row r="4754">
      <c r="M4754" s="11">
        <f>B4754+30</f>
        <v/>
      </c>
      <c r="N4754">
        <f>IF(L4754="", "", L4754-B4754)</f>
        <v/>
      </c>
      <c r="O4754">
        <f>IF(L4754="", "Pending", IF(N4754&lt;=30, "Met", "Breached"))</f>
        <v/>
      </c>
    </row>
    <row r="4755">
      <c r="M4755" s="11">
        <f>B4755+30</f>
        <v/>
      </c>
      <c r="N4755">
        <f>IF(L4755="", "", L4755-B4755)</f>
        <v/>
      </c>
      <c r="O4755">
        <f>IF(L4755="", "Pending", IF(N4755&lt;=30, "Met", "Breached"))</f>
        <v/>
      </c>
    </row>
    <row r="4756">
      <c r="M4756" s="11">
        <f>B4756+30</f>
        <v/>
      </c>
      <c r="N4756">
        <f>IF(L4756="", "", L4756-B4756)</f>
        <v/>
      </c>
      <c r="O4756">
        <f>IF(L4756="", "Pending", IF(N4756&lt;=30, "Met", "Breached"))</f>
        <v/>
      </c>
    </row>
    <row r="4757">
      <c r="M4757" s="11">
        <f>B4757+30</f>
        <v/>
      </c>
      <c r="N4757">
        <f>IF(L4757="", "", L4757-B4757)</f>
        <v/>
      </c>
      <c r="O4757">
        <f>IF(L4757="", "Pending", IF(N4757&lt;=30, "Met", "Breached"))</f>
        <v/>
      </c>
    </row>
    <row r="4758">
      <c r="M4758" s="11">
        <f>B4758+30</f>
        <v/>
      </c>
      <c r="N4758">
        <f>IF(L4758="", "", L4758-B4758)</f>
        <v/>
      </c>
      <c r="O4758">
        <f>IF(L4758="", "Pending", IF(N4758&lt;=30, "Met", "Breached"))</f>
        <v/>
      </c>
    </row>
    <row r="4759">
      <c r="M4759" s="11">
        <f>B4759+30</f>
        <v/>
      </c>
      <c r="N4759">
        <f>IF(L4759="", "", L4759-B4759)</f>
        <v/>
      </c>
      <c r="O4759">
        <f>IF(L4759="", "Pending", IF(N4759&lt;=30, "Met", "Breached"))</f>
        <v/>
      </c>
    </row>
    <row r="4760">
      <c r="M4760" s="11">
        <f>B4760+30</f>
        <v/>
      </c>
      <c r="N4760">
        <f>IF(L4760="", "", L4760-B4760)</f>
        <v/>
      </c>
      <c r="O4760">
        <f>IF(L4760="", "Pending", IF(N4760&lt;=30, "Met", "Breached"))</f>
        <v/>
      </c>
    </row>
    <row r="4761">
      <c r="M4761" s="11">
        <f>B4761+30</f>
        <v/>
      </c>
      <c r="N4761">
        <f>IF(L4761="", "", L4761-B4761)</f>
        <v/>
      </c>
      <c r="O4761">
        <f>IF(L4761="", "Pending", IF(N4761&lt;=30, "Met", "Breached"))</f>
        <v/>
      </c>
    </row>
    <row r="4762">
      <c r="M4762" s="11">
        <f>B4762+30</f>
        <v/>
      </c>
      <c r="N4762">
        <f>IF(L4762="", "", L4762-B4762)</f>
        <v/>
      </c>
      <c r="O4762">
        <f>IF(L4762="", "Pending", IF(N4762&lt;=30, "Met", "Breached"))</f>
        <v/>
      </c>
    </row>
    <row r="4763">
      <c r="M4763" s="11">
        <f>B4763+30</f>
        <v/>
      </c>
      <c r="N4763">
        <f>IF(L4763="", "", L4763-B4763)</f>
        <v/>
      </c>
      <c r="O4763">
        <f>IF(L4763="", "Pending", IF(N4763&lt;=30, "Met", "Breached"))</f>
        <v/>
      </c>
    </row>
    <row r="4764">
      <c r="M4764" s="11">
        <f>B4764+30</f>
        <v/>
      </c>
      <c r="N4764">
        <f>IF(L4764="", "", L4764-B4764)</f>
        <v/>
      </c>
      <c r="O4764">
        <f>IF(L4764="", "Pending", IF(N4764&lt;=30, "Met", "Breached"))</f>
        <v/>
      </c>
    </row>
    <row r="4765">
      <c r="M4765" s="11">
        <f>B4765+30</f>
        <v/>
      </c>
      <c r="N4765">
        <f>IF(L4765="", "", L4765-B4765)</f>
        <v/>
      </c>
      <c r="O4765">
        <f>IF(L4765="", "Pending", IF(N4765&lt;=30, "Met", "Breached"))</f>
        <v/>
      </c>
    </row>
    <row r="4766">
      <c r="M4766" s="11">
        <f>B4766+30</f>
        <v/>
      </c>
      <c r="N4766">
        <f>IF(L4766="", "", L4766-B4766)</f>
        <v/>
      </c>
      <c r="O4766">
        <f>IF(L4766="", "Pending", IF(N4766&lt;=30, "Met", "Breached"))</f>
        <v/>
      </c>
    </row>
    <row r="4767">
      <c r="M4767" s="11">
        <f>B4767+30</f>
        <v/>
      </c>
      <c r="N4767">
        <f>IF(L4767="", "", L4767-B4767)</f>
        <v/>
      </c>
      <c r="O4767">
        <f>IF(L4767="", "Pending", IF(N4767&lt;=30, "Met", "Breached"))</f>
        <v/>
      </c>
    </row>
    <row r="4768">
      <c r="M4768" s="11">
        <f>B4768+30</f>
        <v/>
      </c>
      <c r="N4768">
        <f>IF(L4768="", "", L4768-B4768)</f>
        <v/>
      </c>
      <c r="O4768">
        <f>IF(L4768="", "Pending", IF(N4768&lt;=30, "Met", "Breached"))</f>
        <v/>
      </c>
    </row>
    <row r="4769">
      <c r="M4769" s="11">
        <f>B4769+30</f>
        <v/>
      </c>
      <c r="N4769">
        <f>IF(L4769="", "", L4769-B4769)</f>
        <v/>
      </c>
      <c r="O4769">
        <f>IF(L4769="", "Pending", IF(N4769&lt;=30, "Met", "Breached"))</f>
        <v/>
      </c>
    </row>
    <row r="4770">
      <c r="M4770" s="11">
        <f>B4770+30</f>
        <v/>
      </c>
      <c r="N4770">
        <f>IF(L4770="", "", L4770-B4770)</f>
        <v/>
      </c>
      <c r="O4770">
        <f>IF(L4770="", "Pending", IF(N4770&lt;=30, "Met", "Breached"))</f>
        <v/>
      </c>
    </row>
    <row r="4771">
      <c r="M4771" s="11">
        <f>B4771+30</f>
        <v/>
      </c>
      <c r="N4771">
        <f>IF(L4771="", "", L4771-B4771)</f>
        <v/>
      </c>
      <c r="O4771">
        <f>IF(L4771="", "Pending", IF(N4771&lt;=30, "Met", "Breached"))</f>
        <v/>
      </c>
    </row>
    <row r="4772">
      <c r="M4772" s="11">
        <f>B4772+30</f>
        <v/>
      </c>
      <c r="N4772">
        <f>IF(L4772="", "", L4772-B4772)</f>
        <v/>
      </c>
      <c r="O4772">
        <f>IF(L4772="", "Pending", IF(N4772&lt;=30, "Met", "Breached"))</f>
        <v/>
      </c>
    </row>
    <row r="4773">
      <c r="M4773" s="11">
        <f>B4773+30</f>
        <v/>
      </c>
      <c r="N4773">
        <f>IF(L4773="", "", L4773-B4773)</f>
        <v/>
      </c>
      <c r="O4773">
        <f>IF(L4773="", "Pending", IF(N4773&lt;=30, "Met", "Breached"))</f>
        <v/>
      </c>
    </row>
    <row r="4774">
      <c r="M4774" s="11">
        <f>B4774+30</f>
        <v/>
      </c>
      <c r="N4774">
        <f>IF(L4774="", "", L4774-B4774)</f>
        <v/>
      </c>
      <c r="O4774">
        <f>IF(L4774="", "Pending", IF(N4774&lt;=30, "Met", "Breached"))</f>
        <v/>
      </c>
    </row>
    <row r="4775">
      <c r="M4775" s="11">
        <f>B4775+30</f>
        <v/>
      </c>
      <c r="N4775">
        <f>IF(L4775="", "", L4775-B4775)</f>
        <v/>
      </c>
      <c r="O4775">
        <f>IF(L4775="", "Pending", IF(N4775&lt;=30, "Met", "Breached"))</f>
        <v/>
      </c>
    </row>
    <row r="4776">
      <c r="M4776" s="11">
        <f>B4776+30</f>
        <v/>
      </c>
      <c r="N4776">
        <f>IF(L4776="", "", L4776-B4776)</f>
        <v/>
      </c>
      <c r="O4776">
        <f>IF(L4776="", "Pending", IF(N4776&lt;=30, "Met", "Breached"))</f>
        <v/>
      </c>
    </row>
    <row r="4777">
      <c r="M4777" s="11">
        <f>B4777+30</f>
        <v/>
      </c>
      <c r="N4777">
        <f>IF(L4777="", "", L4777-B4777)</f>
        <v/>
      </c>
      <c r="O4777">
        <f>IF(L4777="", "Pending", IF(N4777&lt;=30, "Met", "Breached"))</f>
        <v/>
      </c>
    </row>
    <row r="4778">
      <c r="M4778" s="11">
        <f>B4778+30</f>
        <v/>
      </c>
      <c r="N4778">
        <f>IF(L4778="", "", L4778-B4778)</f>
        <v/>
      </c>
      <c r="O4778">
        <f>IF(L4778="", "Pending", IF(N4778&lt;=30, "Met", "Breached"))</f>
        <v/>
      </c>
    </row>
    <row r="4779">
      <c r="M4779" s="11">
        <f>B4779+30</f>
        <v/>
      </c>
      <c r="N4779">
        <f>IF(L4779="", "", L4779-B4779)</f>
        <v/>
      </c>
      <c r="O4779">
        <f>IF(L4779="", "Pending", IF(N4779&lt;=30, "Met", "Breached"))</f>
        <v/>
      </c>
    </row>
    <row r="4780">
      <c r="M4780" s="11">
        <f>B4780+30</f>
        <v/>
      </c>
      <c r="N4780">
        <f>IF(L4780="", "", L4780-B4780)</f>
        <v/>
      </c>
      <c r="O4780">
        <f>IF(L4780="", "Pending", IF(N4780&lt;=30, "Met", "Breached"))</f>
        <v/>
      </c>
    </row>
    <row r="4781">
      <c r="M4781" s="11">
        <f>B4781+30</f>
        <v/>
      </c>
      <c r="N4781">
        <f>IF(L4781="", "", L4781-B4781)</f>
        <v/>
      </c>
      <c r="O4781">
        <f>IF(L4781="", "Pending", IF(N4781&lt;=30, "Met", "Breached"))</f>
        <v/>
      </c>
    </row>
    <row r="4782">
      <c r="M4782" s="11">
        <f>B4782+30</f>
        <v/>
      </c>
      <c r="N4782">
        <f>IF(L4782="", "", L4782-B4782)</f>
        <v/>
      </c>
      <c r="O4782">
        <f>IF(L4782="", "Pending", IF(N4782&lt;=30, "Met", "Breached"))</f>
        <v/>
      </c>
    </row>
    <row r="4783">
      <c r="M4783" s="11">
        <f>B4783+30</f>
        <v/>
      </c>
      <c r="N4783">
        <f>IF(L4783="", "", L4783-B4783)</f>
        <v/>
      </c>
      <c r="O4783">
        <f>IF(L4783="", "Pending", IF(N4783&lt;=30, "Met", "Breached"))</f>
        <v/>
      </c>
    </row>
    <row r="4784">
      <c r="M4784" s="11">
        <f>B4784+30</f>
        <v/>
      </c>
      <c r="N4784">
        <f>IF(L4784="", "", L4784-B4784)</f>
        <v/>
      </c>
      <c r="O4784">
        <f>IF(L4784="", "Pending", IF(N4784&lt;=30, "Met", "Breached"))</f>
        <v/>
      </c>
    </row>
    <row r="4785">
      <c r="M4785" s="11">
        <f>B4785+30</f>
        <v/>
      </c>
      <c r="N4785">
        <f>IF(L4785="", "", L4785-B4785)</f>
        <v/>
      </c>
      <c r="O4785">
        <f>IF(L4785="", "Pending", IF(N4785&lt;=30, "Met", "Breached"))</f>
        <v/>
      </c>
    </row>
    <row r="4786">
      <c r="M4786" s="11">
        <f>B4786+30</f>
        <v/>
      </c>
      <c r="N4786">
        <f>IF(L4786="", "", L4786-B4786)</f>
        <v/>
      </c>
      <c r="O4786">
        <f>IF(L4786="", "Pending", IF(N4786&lt;=30, "Met", "Breached"))</f>
        <v/>
      </c>
    </row>
    <row r="4787">
      <c r="M4787" s="11">
        <f>B4787+30</f>
        <v/>
      </c>
      <c r="N4787">
        <f>IF(L4787="", "", L4787-B4787)</f>
        <v/>
      </c>
      <c r="O4787">
        <f>IF(L4787="", "Pending", IF(N4787&lt;=30, "Met", "Breached"))</f>
        <v/>
      </c>
    </row>
    <row r="4788">
      <c r="M4788" s="11">
        <f>B4788+30</f>
        <v/>
      </c>
      <c r="N4788">
        <f>IF(L4788="", "", L4788-B4788)</f>
        <v/>
      </c>
      <c r="O4788">
        <f>IF(L4788="", "Pending", IF(N4788&lt;=30, "Met", "Breached"))</f>
        <v/>
      </c>
    </row>
    <row r="4789">
      <c r="M4789" s="11">
        <f>B4789+30</f>
        <v/>
      </c>
      <c r="N4789">
        <f>IF(L4789="", "", L4789-B4789)</f>
        <v/>
      </c>
      <c r="O4789">
        <f>IF(L4789="", "Pending", IF(N4789&lt;=30, "Met", "Breached"))</f>
        <v/>
      </c>
    </row>
    <row r="4790">
      <c r="M4790" s="11">
        <f>B4790+30</f>
        <v/>
      </c>
      <c r="N4790">
        <f>IF(L4790="", "", L4790-B4790)</f>
        <v/>
      </c>
      <c r="O4790">
        <f>IF(L4790="", "Pending", IF(N4790&lt;=30, "Met", "Breached"))</f>
        <v/>
      </c>
    </row>
    <row r="4791">
      <c r="M4791" s="11">
        <f>B4791+30</f>
        <v/>
      </c>
      <c r="N4791">
        <f>IF(L4791="", "", L4791-B4791)</f>
        <v/>
      </c>
      <c r="O4791">
        <f>IF(L4791="", "Pending", IF(N4791&lt;=30, "Met", "Breached"))</f>
        <v/>
      </c>
    </row>
    <row r="4792">
      <c r="M4792" s="11">
        <f>B4792+30</f>
        <v/>
      </c>
      <c r="N4792">
        <f>IF(L4792="", "", L4792-B4792)</f>
        <v/>
      </c>
      <c r="O4792">
        <f>IF(L4792="", "Pending", IF(N4792&lt;=30, "Met", "Breached"))</f>
        <v/>
      </c>
    </row>
    <row r="4793">
      <c r="M4793" s="11">
        <f>B4793+30</f>
        <v/>
      </c>
      <c r="N4793">
        <f>IF(L4793="", "", L4793-B4793)</f>
        <v/>
      </c>
      <c r="O4793">
        <f>IF(L4793="", "Pending", IF(N4793&lt;=30, "Met", "Breached"))</f>
        <v/>
      </c>
    </row>
    <row r="4794">
      <c r="M4794" s="11">
        <f>B4794+30</f>
        <v/>
      </c>
      <c r="N4794">
        <f>IF(L4794="", "", L4794-B4794)</f>
        <v/>
      </c>
      <c r="O4794">
        <f>IF(L4794="", "Pending", IF(N4794&lt;=30, "Met", "Breached"))</f>
        <v/>
      </c>
    </row>
    <row r="4795">
      <c r="M4795" s="11">
        <f>B4795+30</f>
        <v/>
      </c>
      <c r="N4795">
        <f>IF(L4795="", "", L4795-B4795)</f>
        <v/>
      </c>
      <c r="O4795">
        <f>IF(L4795="", "Pending", IF(N4795&lt;=30, "Met", "Breached"))</f>
        <v/>
      </c>
    </row>
    <row r="4796">
      <c r="M4796" s="11">
        <f>B4796+30</f>
        <v/>
      </c>
      <c r="N4796">
        <f>IF(L4796="", "", L4796-B4796)</f>
        <v/>
      </c>
      <c r="O4796">
        <f>IF(L4796="", "Pending", IF(N4796&lt;=30, "Met", "Breached"))</f>
        <v/>
      </c>
    </row>
    <row r="4797">
      <c r="M4797" s="11">
        <f>B4797+30</f>
        <v/>
      </c>
      <c r="N4797">
        <f>IF(L4797="", "", L4797-B4797)</f>
        <v/>
      </c>
      <c r="O4797">
        <f>IF(L4797="", "Pending", IF(N4797&lt;=30, "Met", "Breached"))</f>
        <v/>
      </c>
    </row>
    <row r="4798">
      <c r="M4798" s="11">
        <f>B4798+30</f>
        <v/>
      </c>
      <c r="N4798">
        <f>IF(L4798="", "", L4798-B4798)</f>
        <v/>
      </c>
      <c r="O4798">
        <f>IF(L4798="", "Pending", IF(N4798&lt;=30, "Met", "Breached"))</f>
        <v/>
      </c>
    </row>
    <row r="4799">
      <c r="M4799" s="11">
        <f>B4799+30</f>
        <v/>
      </c>
      <c r="N4799">
        <f>IF(L4799="", "", L4799-B4799)</f>
        <v/>
      </c>
      <c r="O4799">
        <f>IF(L4799="", "Pending", IF(N4799&lt;=30, "Met", "Breached"))</f>
        <v/>
      </c>
    </row>
    <row r="4800">
      <c r="M4800" s="11">
        <f>B4800+30</f>
        <v/>
      </c>
      <c r="N4800">
        <f>IF(L4800="", "", L4800-B4800)</f>
        <v/>
      </c>
      <c r="O4800">
        <f>IF(L4800="", "Pending", IF(N4800&lt;=30, "Met", "Breached"))</f>
        <v/>
      </c>
    </row>
    <row r="4801">
      <c r="M4801" s="11">
        <f>B4801+30</f>
        <v/>
      </c>
      <c r="N4801">
        <f>IF(L4801="", "", L4801-B4801)</f>
        <v/>
      </c>
      <c r="O4801">
        <f>IF(L4801="", "Pending", IF(N4801&lt;=30, "Met", "Breached"))</f>
        <v/>
      </c>
    </row>
    <row r="4802">
      <c r="M4802" s="11">
        <f>B4802+30</f>
        <v/>
      </c>
      <c r="N4802">
        <f>IF(L4802="", "", L4802-B4802)</f>
        <v/>
      </c>
      <c r="O4802">
        <f>IF(L4802="", "Pending", IF(N4802&lt;=30, "Met", "Breached"))</f>
        <v/>
      </c>
    </row>
    <row r="4803">
      <c r="M4803" s="11">
        <f>B4803+30</f>
        <v/>
      </c>
      <c r="N4803">
        <f>IF(L4803="", "", L4803-B4803)</f>
        <v/>
      </c>
      <c r="O4803">
        <f>IF(L4803="", "Pending", IF(N4803&lt;=30, "Met", "Breached"))</f>
        <v/>
      </c>
    </row>
    <row r="4804">
      <c r="M4804" s="11">
        <f>B4804+30</f>
        <v/>
      </c>
      <c r="N4804">
        <f>IF(L4804="", "", L4804-B4804)</f>
        <v/>
      </c>
      <c r="O4804">
        <f>IF(L4804="", "Pending", IF(N4804&lt;=30, "Met", "Breached"))</f>
        <v/>
      </c>
    </row>
    <row r="4805">
      <c r="M4805" s="11">
        <f>B4805+30</f>
        <v/>
      </c>
      <c r="N4805">
        <f>IF(L4805="", "", L4805-B4805)</f>
        <v/>
      </c>
      <c r="O4805">
        <f>IF(L4805="", "Pending", IF(N4805&lt;=30, "Met", "Breached"))</f>
        <v/>
      </c>
    </row>
    <row r="4806">
      <c r="M4806" s="11">
        <f>B4806+30</f>
        <v/>
      </c>
      <c r="N4806">
        <f>IF(L4806="", "", L4806-B4806)</f>
        <v/>
      </c>
      <c r="O4806">
        <f>IF(L4806="", "Pending", IF(N4806&lt;=30, "Met", "Breached"))</f>
        <v/>
      </c>
    </row>
    <row r="4807">
      <c r="M4807" s="11">
        <f>B4807+30</f>
        <v/>
      </c>
      <c r="N4807">
        <f>IF(L4807="", "", L4807-B4807)</f>
        <v/>
      </c>
      <c r="O4807">
        <f>IF(L4807="", "Pending", IF(N4807&lt;=30, "Met", "Breached"))</f>
        <v/>
      </c>
    </row>
    <row r="4808">
      <c r="M4808" s="11">
        <f>B4808+30</f>
        <v/>
      </c>
      <c r="N4808">
        <f>IF(L4808="", "", L4808-B4808)</f>
        <v/>
      </c>
      <c r="O4808">
        <f>IF(L4808="", "Pending", IF(N4808&lt;=30, "Met", "Breached"))</f>
        <v/>
      </c>
    </row>
    <row r="4809">
      <c r="M4809" s="11">
        <f>B4809+30</f>
        <v/>
      </c>
      <c r="N4809">
        <f>IF(L4809="", "", L4809-B4809)</f>
        <v/>
      </c>
      <c r="O4809">
        <f>IF(L4809="", "Pending", IF(N4809&lt;=30, "Met", "Breached"))</f>
        <v/>
      </c>
    </row>
    <row r="4810">
      <c r="M4810" s="11">
        <f>B4810+30</f>
        <v/>
      </c>
      <c r="N4810">
        <f>IF(L4810="", "", L4810-B4810)</f>
        <v/>
      </c>
      <c r="O4810">
        <f>IF(L4810="", "Pending", IF(N4810&lt;=30, "Met", "Breached"))</f>
        <v/>
      </c>
    </row>
    <row r="4811">
      <c r="M4811" s="11">
        <f>B4811+30</f>
        <v/>
      </c>
      <c r="N4811">
        <f>IF(L4811="", "", L4811-B4811)</f>
        <v/>
      </c>
      <c r="O4811">
        <f>IF(L4811="", "Pending", IF(N4811&lt;=30, "Met", "Breached"))</f>
        <v/>
      </c>
    </row>
    <row r="4812">
      <c r="M4812" s="11">
        <f>B4812+30</f>
        <v/>
      </c>
      <c r="N4812">
        <f>IF(L4812="", "", L4812-B4812)</f>
        <v/>
      </c>
      <c r="O4812">
        <f>IF(L4812="", "Pending", IF(N4812&lt;=30, "Met", "Breached"))</f>
        <v/>
      </c>
    </row>
    <row r="4813">
      <c r="M4813" s="11">
        <f>B4813+30</f>
        <v/>
      </c>
      <c r="N4813">
        <f>IF(L4813="", "", L4813-B4813)</f>
        <v/>
      </c>
      <c r="O4813">
        <f>IF(L4813="", "Pending", IF(N4813&lt;=30, "Met", "Breached"))</f>
        <v/>
      </c>
    </row>
    <row r="4814">
      <c r="M4814" s="11">
        <f>B4814+30</f>
        <v/>
      </c>
      <c r="N4814">
        <f>IF(L4814="", "", L4814-B4814)</f>
        <v/>
      </c>
      <c r="O4814">
        <f>IF(L4814="", "Pending", IF(N4814&lt;=30, "Met", "Breached"))</f>
        <v/>
      </c>
    </row>
    <row r="4815">
      <c r="M4815" s="11">
        <f>B4815+30</f>
        <v/>
      </c>
      <c r="N4815">
        <f>IF(L4815="", "", L4815-B4815)</f>
        <v/>
      </c>
      <c r="O4815">
        <f>IF(L4815="", "Pending", IF(N4815&lt;=30, "Met", "Breached"))</f>
        <v/>
      </c>
    </row>
    <row r="4816">
      <c r="M4816" s="11">
        <f>B4816+30</f>
        <v/>
      </c>
      <c r="N4816">
        <f>IF(L4816="", "", L4816-B4816)</f>
        <v/>
      </c>
      <c r="O4816">
        <f>IF(L4816="", "Pending", IF(N4816&lt;=30, "Met", "Breached"))</f>
        <v/>
      </c>
    </row>
    <row r="4817">
      <c r="M4817" s="11">
        <f>B4817+30</f>
        <v/>
      </c>
      <c r="N4817">
        <f>IF(L4817="", "", L4817-B4817)</f>
        <v/>
      </c>
      <c r="O4817">
        <f>IF(L4817="", "Pending", IF(N4817&lt;=30, "Met", "Breached"))</f>
        <v/>
      </c>
    </row>
    <row r="4818">
      <c r="M4818" s="11">
        <f>B4818+30</f>
        <v/>
      </c>
      <c r="N4818">
        <f>IF(L4818="", "", L4818-B4818)</f>
        <v/>
      </c>
      <c r="O4818">
        <f>IF(L4818="", "Pending", IF(N4818&lt;=30, "Met", "Breached"))</f>
        <v/>
      </c>
    </row>
    <row r="4819">
      <c r="M4819" s="11">
        <f>B4819+30</f>
        <v/>
      </c>
      <c r="N4819">
        <f>IF(L4819="", "", L4819-B4819)</f>
        <v/>
      </c>
      <c r="O4819">
        <f>IF(L4819="", "Pending", IF(N4819&lt;=30, "Met", "Breached"))</f>
        <v/>
      </c>
    </row>
    <row r="4820">
      <c r="M4820" s="11">
        <f>B4820+30</f>
        <v/>
      </c>
      <c r="N4820">
        <f>IF(L4820="", "", L4820-B4820)</f>
        <v/>
      </c>
      <c r="O4820">
        <f>IF(L4820="", "Pending", IF(N4820&lt;=30, "Met", "Breached"))</f>
        <v/>
      </c>
    </row>
    <row r="4821">
      <c r="M4821" s="11">
        <f>B4821+30</f>
        <v/>
      </c>
      <c r="N4821">
        <f>IF(L4821="", "", L4821-B4821)</f>
        <v/>
      </c>
      <c r="O4821">
        <f>IF(L4821="", "Pending", IF(N4821&lt;=30, "Met", "Breached"))</f>
        <v/>
      </c>
    </row>
    <row r="4822">
      <c r="M4822" s="11">
        <f>B4822+30</f>
        <v/>
      </c>
      <c r="N4822">
        <f>IF(L4822="", "", L4822-B4822)</f>
        <v/>
      </c>
      <c r="O4822">
        <f>IF(L4822="", "Pending", IF(N4822&lt;=30, "Met", "Breached"))</f>
        <v/>
      </c>
    </row>
    <row r="4823">
      <c r="M4823" s="11">
        <f>B4823+30</f>
        <v/>
      </c>
      <c r="N4823">
        <f>IF(L4823="", "", L4823-B4823)</f>
        <v/>
      </c>
      <c r="O4823">
        <f>IF(L4823="", "Pending", IF(N4823&lt;=30, "Met", "Breached"))</f>
        <v/>
      </c>
    </row>
    <row r="4824">
      <c r="M4824" s="11">
        <f>B4824+30</f>
        <v/>
      </c>
      <c r="N4824">
        <f>IF(L4824="", "", L4824-B4824)</f>
        <v/>
      </c>
      <c r="O4824">
        <f>IF(L4824="", "Pending", IF(N4824&lt;=30, "Met", "Breached"))</f>
        <v/>
      </c>
    </row>
    <row r="4825">
      <c r="M4825" s="11">
        <f>B4825+30</f>
        <v/>
      </c>
      <c r="N4825">
        <f>IF(L4825="", "", L4825-B4825)</f>
        <v/>
      </c>
      <c r="O4825">
        <f>IF(L4825="", "Pending", IF(N4825&lt;=30, "Met", "Breached"))</f>
        <v/>
      </c>
    </row>
    <row r="4826">
      <c r="M4826" s="11">
        <f>B4826+30</f>
        <v/>
      </c>
      <c r="N4826">
        <f>IF(L4826="", "", L4826-B4826)</f>
        <v/>
      </c>
      <c r="O4826">
        <f>IF(L4826="", "Pending", IF(N4826&lt;=30, "Met", "Breached"))</f>
        <v/>
      </c>
    </row>
    <row r="4827">
      <c r="M4827" s="11">
        <f>B4827+30</f>
        <v/>
      </c>
      <c r="N4827">
        <f>IF(L4827="", "", L4827-B4827)</f>
        <v/>
      </c>
      <c r="O4827">
        <f>IF(L4827="", "Pending", IF(N4827&lt;=30, "Met", "Breached"))</f>
        <v/>
      </c>
    </row>
    <row r="4828">
      <c r="M4828" s="11">
        <f>B4828+30</f>
        <v/>
      </c>
      <c r="N4828">
        <f>IF(L4828="", "", L4828-B4828)</f>
        <v/>
      </c>
      <c r="O4828">
        <f>IF(L4828="", "Pending", IF(N4828&lt;=30, "Met", "Breached"))</f>
        <v/>
      </c>
    </row>
    <row r="4829">
      <c r="M4829" s="11">
        <f>B4829+30</f>
        <v/>
      </c>
      <c r="N4829">
        <f>IF(L4829="", "", L4829-B4829)</f>
        <v/>
      </c>
      <c r="O4829">
        <f>IF(L4829="", "Pending", IF(N4829&lt;=30, "Met", "Breached"))</f>
        <v/>
      </c>
    </row>
    <row r="4830">
      <c r="M4830" s="11">
        <f>B4830+30</f>
        <v/>
      </c>
      <c r="N4830">
        <f>IF(L4830="", "", L4830-B4830)</f>
        <v/>
      </c>
      <c r="O4830">
        <f>IF(L4830="", "Pending", IF(N4830&lt;=30, "Met", "Breached"))</f>
        <v/>
      </c>
    </row>
    <row r="4831">
      <c r="M4831" s="11">
        <f>B4831+30</f>
        <v/>
      </c>
      <c r="N4831">
        <f>IF(L4831="", "", L4831-B4831)</f>
        <v/>
      </c>
      <c r="O4831">
        <f>IF(L4831="", "Pending", IF(N4831&lt;=30, "Met", "Breached"))</f>
        <v/>
      </c>
    </row>
    <row r="4832">
      <c r="M4832" s="11">
        <f>B4832+30</f>
        <v/>
      </c>
      <c r="N4832">
        <f>IF(L4832="", "", L4832-B4832)</f>
        <v/>
      </c>
      <c r="O4832">
        <f>IF(L4832="", "Pending", IF(N4832&lt;=30, "Met", "Breached"))</f>
        <v/>
      </c>
    </row>
    <row r="4833">
      <c r="M4833" s="11">
        <f>B4833+30</f>
        <v/>
      </c>
      <c r="N4833">
        <f>IF(L4833="", "", L4833-B4833)</f>
        <v/>
      </c>
      <c r="O4833">
        <f>IF(L4833="", "Pending", IF(N4833&lt;=30, "Met", "Breached"))</f>
        <v/>
      </c>
    </row>
    <row r="4834">
      <c r="M4834" s="11">
        <f>B4834+30</f>
        <v/>
      </c>
      <c r="N4834">
        <f>IF(L4834="", "", L4834-B4834)</f>
        <v/>
      </c>
      <c r="O4834">
        <f>IF(L4834="", "Pending", IF(N4834&lt;=30, "Met", "Breached"))</f>
        <v/>
      </c>
    </row>
    <row r="4835">
      <c r="M4835" s="11">
        <f>B4835+30</f>
        <v/>
      </c>
      <c r="N4835">
        <f>IF(L4835="", "", L4835-B4835)</f>
        <v/>
      </c>
      <c r="O4835">
        <f>IF(L4835="", "Pending", IF(N4835&lt;=30, "Met", "Breached"))</f>
        <v/>
      </c>
    </row>
    <row r="4836">
      <c r="M4836" s="11">
        <f>B4836+30</f>
        <v/>
      </c>
      <c r="N4836">
        <f>IF(L4836="", "", L4836-B4836)</f>
        <v/>
      </c>
      <c r="O4836">
        <f>IF(L4836="", "Pending", IF(N4836&lt;=30, "Met", "Breached"))</f>
        <v/>
      </c>
    </row>
    <row r="4837">
      <c r="M4837" s="11">
        <f>B4837+30</f>
        <v/>
      </c>
      <c r="N4837">
        <f>IF(L4837="", "", L4837-B4837)</f>
        <v/>
      </c>
      <c r="O4837">
        <f>IF(L4837="", "Pending", IF(N4837&lt;=30, "Met", "Breached"))</f>
        <v/>
      </c>
    </row>
    <row r="4838">
      <c r="M4838" s="11">
        <f>B4838+30</f>
        <v/>
      </c>
      <c r="N4838">
        <f>IF(L4838="", "", L4838-B4838)</f>
        <v/>
      </c>
      <c r="O4838">
        <f>IF(L4838="", "Pending", IF(N4838&lt;=30, "Met", "Breached"))</f>
        <v/>
      </c>
    </row>
    <row r="4839">
      <c r="M4839" s="11">
        <f>B4839+30</f>
        <v/>
      </c>
      <c r="N4839">
        <f>IF(L4839="", "", L4839-B4839)</f>
        <v/>
      </c>
      <c r="O4839">
        <f>IF(L4839="", "Pending", IF(N4839&lt;=30, "Met", "Breached"))</f>
        <v/>
      </c>
    </row>
    <row r="4840">
      <c r="M4840" s="11">
        <f>B4840+30</f>
        <v/>
      </c>
      <c r="N4840">
        <f>IF(L4840="", "", L4840-B4840)</f>
        <v/>
      </c>
      <c r="O4840">
        <f>IF(L4840="", "Pending", IF(N4840&lt;=30, "Met", "Breached"))</f>
        <v/>
      </c>
    </row>
    <row r="4841">
      <c r="M4841" s="11">
        <f>B4841+30</f>
        <v/>
      </c>
      <c r="N4841">
        <f>IF(L4841="", "", L4841-B4841)</f>
        <v/>
      </c>
      <c r="O4841">
        <f>IF(L4841="", "Pending", IF(N4841&lt;=30, "Met", "Breached"))</f>
        <v/>
      </c>
    </row>
    <row r="4842">
      <c r="M4842" s="11">
        <f>B4842+30</f>
        <v/>
      </c>
      <c r="N4842">
        <f>IF(L4842="", "", L4842-B4842)</f>
        <v/>
      </c>
      <c r="O4842">
        <f>IF(L4842="", "Pending", IF(N4842&lt;=30, "Met", "Breached"))</f>
        <v/>
      </c>
    </row>
    <row r="4843">
      <c r="M4843" s="11">
        <f>B4843+30</f>
        <v/>
      </c>
      <c r="N4843">
        <f>IF(L4843="", "", L4843-B4843)</f>
        <v/>
      </c>
      <c r="O4843">
        <f>IF(L4843="", "Pending", IF(N4843&lt;=30, "Met", "Breached"))</f>
        <v/>
      </c>
    </row>
    <row r="4844">
      <c r="M4844" s="11">
        <f>B4844+30</f>
        <v/>
      </c>
      <c r="N4844">
        <f>IF(L4844="", "", L4844-B4844)</f>
        <v/>
      </c>
      <c r="O4844">
        <f>IF(L4844="", "Pending", IF(N4844&lt;=30, "Met", "Breached"))</f>
        <v/>
      </c>
    </row>
    <row r="4845">
      <c r="M4845" s="11">
        <f>B4845+30</f>
        <v/>
      </c>
      <c r="N4845">
        <f>IF(L4845="", "", L4845-B4845)</f>
        <v/>
      </c>
      <c r="O4845">
        <f>IF(L4845="", "Pending", IF(N4845&lt;=30, "Met", "Breached"))</f>
        <v/>
      </c>
    </row>
    <row r="4846">
      <c r="M4846" s="11">
        <f>B4846+30</f>
        <v/>
      </c>
      <c r="N4846">
        <f>IF(L4846="", "", L4846-B4846)</f>
        <v/>
      </c>
      <c r="O4846">
        <f>IF(L4846="", "Pending", IF(N4846&lt;=30, "Met", "Breached"))</f>
        <v/>
      </c>
    </row>
    <row r="4847">
      <c r="M4847" s="11">
        <f>B4847+30</f>
        <v/>
      </c>
      <c r="N4847">
        <f>IF(L4847="", "", L4847-B4847)</f>
        <v/>
      </c>
      <c r="O4847">
        <f>IF(L4847="", "Pending", IF(N4847&lt;=30, "Met", "Breached"))</f>
        <v/>
      </c>
    </row>
    <row r="4848">
      <c r="M4848" s="11">
        <f>B4848+30</f>
        <v/>
      </c>
      <c r="N4848">
        <f>IF(L4848="", "", L4848-B4848)</f>
        <v/>
      </c>
      <c r="O4848">
        <f>IF(L4848="", "Pending", IF(N4848&lt;=30, "Met", "Breached"))</f>
        <v/>
      </c>
    </row>
    <row r="4849">
      <c r="M4849" s="11">
        <f>B4849+30</f>
        <v/>
      </c>
      <c r="N4849">
        <f>IF(L4849="", "", L4849-B4849)</f>
        <v/>
      </c>
      <c r="O4849">
        <f>IF(L4849="", "Pending", IF(N4849&lt;=30, "Met", "Breached"))</f>
        <v/>
      </c>
    </row>
    <row r="4850">
      <c r="M4850" s="11">
        <f>B4850+30</f>
        <v/>
      </c>
      <c r="N4850">
        <f>IF(L4850="", "", L4850-B4850)</f>
        <v/>
      </c>
      <c r="O4850">
        <f>IF(L4850="", "Pending", IF(N4850&lt;=30, "Met", "Breached"))</f>
        <v/>
      </c>
    </row>
    <row r="4851">
      <c r="M4851" s="11">
        <f>B4851+30</f>
        <v/>
      </c>
      <c r="N4851">
        <f>IF(L4851="", "", L4851-B4851)</f>
        <v/>
      </c>
      <c r="O4851">
        <f>IF(L4851="", "Pending", IF(N4851&lt;=30, "Met", "Breached"))</f>
        <v/>
      </c>
    </row>
    <row r="4852">
      <c r="M4852" s="11">
        <f>B4852+30</f>
        <v/>
      </c>
      <c r="N4852">
        <f>IF(L4852="", "", L4852-B4852)</f>
        <v/>
      </c>
      <c r="O4852">
        <f>IF(L4852="", "Pending", IF(N4852&lt;=30, "Met", "Breached"))</f>
        <v/>
      </c>
    </row>
    <row r="4853">
      <c r="M4853" s="11">
        <f>B4853+30</f>
        <v/>
      </c>
      <c r="N4853">
        <f>IF(L4853="", "", L4853-B4853)</f>
        <v/>
      </c>
      <c r="O4853">
        <f>IF(L4853="", "Pending", IF(N4853&lt;=30, "Met", "Breached"))</f>
        <v/>
      </c>
    </row>
    <row r="4854">
      <c r="M4854" s="11">
        <f>B4854+30</f>
        <v/>
      </c>
      <c r="N4854">
        <f>IF(L4854="", "", L4854-B4854)</f>
        <v/>
      </c>
      <c r="O4854">
        <f>IF(L4854="", "Pending", IF(N4854&lt;=30, "Met", "Breached"))</f>
        <v/>
      </c>
    </row>
    <row r="4855">
      <c r="M4855" s="11">
        <f>B4855+30</f>
        <v/>
      </c>
      <c r="N4855">
        <f>IF(L4855="", "", L4855-B4855)</f>
        <v/>
      </c>
      <c r="O4855">
        <f>IF(L4855="", "Pending", IF(N4855&lt;=30, "Met", "Breached"))</f>
        <v/>
      </c>
    </row>
    <row r="4856">
      <c r="M4856" s="11">
        <f>B4856+30</f>
        <v/>
      </c>
      <c r="N4856">
        <f>IF(L4856="", "", L4856-B4856)</f>
        <v/>
      </c>
      <c r="O4856">
        <f>IF(L4856="", "Pending", IF(N4856&lt;=30, "Met", "Breached"))</f>
        <v/>
      </c>
    </row>
    <row r="4857">
      <c r="M4857" s="11">
        <f>B4857+30</f>
        <v/>
      </c>
      <c r="N4857">
        <f>IF(L4857="", "", L4857-B4857)</f>
        <v/>
      </c>
      <c r="O4857">
        <f>IF(L4857="", "Pending", IF(N4857&lt;=30, "Met", "Breached"))</f>
        <v/>
      </c>
    </row>
    <row r="4858">
      <c r="M4858" s="11">
        <f>B4858+30</f>
        <v/>
      </c>
      <c r="N4858">
        <f>IF(L4858="", "", L4858-B4858)</f>
        <v/>
      </c>
      <c r="O4858">
        <f>IF(L4858="", "Pending", IF(N4858&lt;=30, "Met", "Breached"))</f>
        <v/>
      </c>
    </row>
    <row r="4859">
      <c r="M4859" s="11">
        <f>B4859+30</f>
        <v/>
      </c>
      <c r="N4859">
        <f>IF(L4859="", "", L4859-B4859)</f>
        <v/>
      </c>
      <c r="O4859">
        <f>IF(L4859="", "Pending", IF(N4859&lt;=30, "Met", "Breached"))</f>
        <v/>
      </c>
    </row>
    <row r="4860">
      <c r="M4860" s="11">
        <f>B4860+30</f>
        <v/>
      </c>
      <c r="N4860">
        <f>IF(L4860="", "", L4860-B4860)</f>
        <v/>
      </c>
      <c r="O4860">
        <f>IF(L4860="", "Pending", IF(N4860&lt;=30, "Met", "Breached"))</f>
        <v/>
      </c>
    </row>
    <row r="4861">
      <c r="M4861" s="11">
        <f>B4861+30</f>
        <v/>
      </c>
      <c r="N4861">
        <f>IF(L4861="", "", L4861-B4861)</f>
        <v/>
      </c>
      <c r="O4861">
        <f>IF(L4861="", "Pending", IF(N4861&lt;=30, "Met", "Breached"))</f>
        <v/>
      </c>
    </row>
    <row r="4862">
      <c r="M4862" s="11">
        <f>B4862+30</f>
        <v/>
      </c>
      <c r="N4862">
        <f>IF(L4862="", "", L4862-B4862)</f>
        <v/>
      </c>
      <c r="O4862">
        <f>IF(L4862="", "Pending", IF(N4862&lt;=30, "Met", "Breached"))</f>
        <v/>
      </c>
    </row>
    <row r="4863">
      <c r="M4863" s="11">
        <f>B4863+30</f>
        <v/>
      </c>
      <c r="N4863">
        <f>IF(L4863="", "", L4863-B4863)</f>
        <v/>
      </c>
      <c r="O4863">
        <f>IF(L4863="", "Pending", IF(N4863&lt;=30, "Met", "Breached"))</f>
        <v/>
      </c>
    </row>
    <row r="4864">
      <c r="M4864" s="11">
        <f>B4864+30</f>
        <v/>
      </c>
      <c r="N4864">
        <f>IF(L4864="", "", L4864-B4864)</f>
        <v/>
      </c>
      <c r="O4864">
        <f>IF(L4864="", "Pending", IF(N4864&lt;=30, "Met", "Breached"))</f>
        <v/>
      </c>
    </row>
    <row r="4865">
      <c r="M4865" s="11">
        <f>B4865+30</f>
        <v/>
      </c>
      <c r="N4865">
        <f>IF(L4865="", "", L4865-B4865)</f>
        <v/>
      </c>
      <c r="O4865">
        <f>IF(L4865="", "Pending", IF(N4865&lt;=30, "Met", "Breached"))</f>
        <v/>
      </c>
    </row>
    <row r="4866">
      <c r="M4866" s="11">
        <f>B4866+30</f>
        <v/>
      </c>
      <c r="N4866">
        <f>IF(L4866="", "", L4866-B4866)</f>
        <v/>
      </c>
      <c r="O4866">
        <f>IF(L4866="", "Pending", IF(N4866&lt;=30, "Met", "Breached"))</f>
        <v/>
      </c>
    </row>
    <row r="4867">
      <c r="M4867" s="11">
        <f>B4867+30</f>
        <v/>
      </c>
      <c r="N4867">
        <f>IF(L4867="", "", L4867-B4867)</f>
        <v/>
      </c>
      <c r="O4867">
        <f>IF(L4867="", "Pending", IF(N4867&lt;=30, "Met", "Breached"))</f>
        <v/>
      </c>
    </row>
    <row r="4868">
      <c r="M4868" s="11">
        <f>B4868+30</f>
        <v/>
      </c>
      <c r="N4868">
        <f>IF(L4868="", "", L4868-B4868)</f>
        <v/>
      </c>
      <c r="O4868">
        <f>IF(L4868="", "Pending", IF(N4868&lt;=30, "Met", "Breached"))</f>
        <v/>
      </c>
    </row>
    <row r="4869">
      <c r="M4869" s="11">
        <f>B4869+30</f>
        <v/>
      </c>
      <c r="N4869">
        <f>IF(L4869="", "", L4869-B4869)</f>
        <v/>
      </c>
      <c r="O4869">
        <f>IF(L4869="", "Pending", IF(N4869&lt;=30, "Met", "Breached"))</f>
        <v/>
      </c>
    </row>
    <row r="4870">
      <c r="M4870" s="11">
        <f>B4870+30</f>
        <v/>
      </c>
      <c r="N4870">
        <f>IF(L4870="", "", L4870-B4870)</f>
        <v/>
      </c>
      <c r="O4870">
        <f>IF(L4870="", "Pending", IF(N4870&lt;=30, "Met", "Breached"))</f>
        <v/>
      </c>
    </row>
    <row r="4871">
      <c r="M4871" s="11">
        <f>B4871+30</f>
        <v/>
      </c>
      <c r="N4871">
        <f>IF(L4871="", "", L4871-B4871)</f>
        <v/>
      </c>
      <c r="O4871">
        <f>IF(L4871="", "Pending", IF(N4871&lt;=30, "Met", "Breached"))</f>
        <v/>
      </c>
    </row>
    <row r="4872">
      <c r="M4872" s="11">
        <f>B4872+30</f>
        <v/>
      </c>
      <c r="N4872">
        <f>IF(L4872="", "", L4872-B4872)</f>
        <v/>
      </c>
      <c r="O4872">
        <f>IF(L4872="", "Pending", IF(N4872&lt;=30, "Met", "Breached"))</f>
        <v/>
      </c>
    </row>
    <row r="4873">
      <c r="M4873" s="11">
        <f>B4873+30</f>
        <v/>
      </c>
      <c r="N4873">
        <f>IF(L4873="", "", L4873-B4873)</f>
        <v/>
      </c>
      <c r="O4873">
        <f>IF(L4873="", "Pending", IF(N4873&lt;=30, "Met", "Breached"))</f>
        <v/>
      </c>
    </row>
    <row r="4874">
      <c r="M4874" s="11">
        <f>B4874+30</f>
        <v/>
      </c>
      <c r="N4874">
        <f>IF(L4874="", "", L4874-B4874)</f>
        <v/>
      </c>
      <c r="O4874">
        <f>IF(L4874="", "Pending", IF(N4874&lt;=30, "Met", "Breached"))</f>
        <v/>
      </c>
    </row>
    <row r="4875">
      <c r="M4875" s="11">
        <f>B4875+30</f>
        <v/>
      </c>
      <c r="N4875">
        <f>IF(L4875="", "", L4875-B4875)</f>
        <v/>
      </c>
      <c r="O4875">
        <f>IF(L4875="", "Pending", IF(N4875&lt;=30, "Met", "Breached"))</f>
        <v/>
      </c>
    </row>
    <row r="4876">
      <c r="M4876" s="11">
        <f>B4876+30</f>
        <v/>
      </c>
      <c r="N4876">
        <f>IF(L4876="", "", L4876-B4876)</f>
        <v/>
      </c>
      <c r="O4876">
        <f>IF(L4876="", "Pending", IF(N4876&lt;=30, "Met", "Breached"))</f>
        <v/>
      </c>
    </row>
    <row r="4877">
      <c r="M4877" s="11">
        <f>B4877+30</f>
        <v/>
      </c>
      <c r="N4877">
        <f>IF(L4877="", "", L4877-B4877)</f>
        <v/>
      </c>
      <c r="O4877">
        <f>IF(L4877="", "Pending", IF(N4877&lt;=30, "Met", "Breached"))</f>
        <v/>
      </c>
    </row>
    <row r="4878">
      <c r="M4878" s="11">
        <f>B4878+30</f>
        <v/>
      </c>
      <c r="N4878">
        <f>IF(L4878="", "", L4878-B4878)</f>
        <v/>
      </c>
      <c r="O4878">
        <f>IF(L4878="", "Pending", IF(N4878&lt;=30, "Met", "Breached"))</f>
        <v/>
      </c>
    </row>
    <row r="4879">
      <c r="M4879" s="11">
        <f>B4879+30</f>
        <v/>
      </c>
      <c r="N4879">
        <f>IF(L4879="", "", L4879-B4879)</f>
        <v/>
      </c>
      <c r="O4879">
        <f>IF(L4879="", "Pending", IF(N4879&lt;=30, "Met", "Breached"))</f>
        <v/>
      </c>
    </row>
    <row r="4880">
      <c r="M4880" s="11">
        <f>B4880+30</f>
        <v/>
      </c>
      <c r="N4880">
        <f>IF(L4880="", "", L4880-B4880)</f>
        <v/>
      </c>
      <c r="O4880">
        <f>IF(L4880="", "Pending", IF(N4880&lt;=30, "Met", "Breached"))</f>
        <v/>
      </c>
    </row>
    <row r="4881">
      <c r="M4881" s="11">
        <f>B4881+30</f>
        <v/>
      </c>
      <c r="N4881">
        <f>IF(L4881="", "", L4881-B4881)</f>
        <v/>
      </c>
      <c r="O4881">
        <f>IF(L4881="", "Pending", IF(N4881&lt;=30, "Met", "Breached"))</f>
        <v/>
      </c>
    </row>
    <row r="4882">
      <c r="M4882" s="11">
        <f>B4882+30</f>
        <v/>
      </c>
      <c r="N4882">
        <f>IF(L4882="", "", L4882-B4882)</f>
        <v/>
      </c>
      <c r="O4882">
        <f>IF(L4882="", "Pending", IF(N4882&lt;=30, "Met", "Breached"))</f>
        <v/>
      </c>
    </row>
    <row r="4883">
      <c r="M4883" s="11">
        <f>B4883+30</f>
        <v/>
      </c>
      <c r="N4883">
        <f>IF(L4883="", "", L4883-B4883)</f>
        <v/>
      </c>
      <c r="O4883">
        <f>IF(L4883="", "Pending", IF(N4883&lt;=30, "Met", "Breached"))</f>
        <v/>
      </c>
    </row>
    <row r="4884">
      <c r="M4884" s="11">
        <f>B4884+30</f>
        <v/>
      </c>
      <c r="N4884">
        <f>IF(L4884="", "", L4884-B4884)</f>
        <v/>
      </c>
      <c r="O4884">
        <f>IF(L4884="", "Pending", IF(N4884&lt;=30, "Met", "Breached"))</f>
        <v/>
      </c>
    </row>
    <row r="4885">
      <c r="M4885" s="11">
        <f>B4885+30</f>
        <v/>
      </c>
      <c r="N4885">
        <f>IF(L4885="", "", L4885-B4885)</f>
        <v/>
      </c>
      <c r="O4885">
        <f>IF(L4885="", "Pending", IF(N4885&lt;=30, "Met", "Breached"))</f>
        <v/>
      </c>
    </row>
    <row r="4886">
      <c r="M4886" s="11">
        <f>B4886+30</f>
        <v/>
      </c>
      <c r="N4886">
        <f>IF(L4886="", "", L4886-B4886)</f>
        <v/>
      </c>
      <c r="O4886">
        <f>IF(L4886="", "Pending", IF(N4886&lt;=30, "Met", "Breached"))</f>
        <v/>
      </c>
    </row>
    <row r="4887">
      <c r="M4887" s="11">
        <f>B4887+30</f>
        <v/>
      </c>
      <c r="N4887">
        <f>IF(L4887="", "", L4887-B4887)</f>
        <v/>
      </c>
      <c r="O4887">
        <f>IF(L4887="", "Pending", IF(N4887&lt;=30, "Met", "Breached"))</f>
        <v/>
      </c>
    </row>
    <row r="4888">
      <c r="M4888" s="11">
        <f>B4888+30</f>
        <v/>
      </c>
      <c r="N4888">
        <f>IF(L4888="", "", L4888-B4888)</f>
        <v/>
      </c>
      <c r="O4888">
        <f>IF(L4888="", "Pending", IF(N4888&lt;=30, "Met", "Breached"))</f>
        <v/>
      </c>
    </row>
    <row r="4889">
      <c r="M4889" s="11">
        <f>B4889+30</f>
        <v/>
      </c>
      <c r="N4889">
        <f>IF(L4889="", "", L4889-B4889)</f>
        <v/>
      </c>
      <c r="O4889">
        <f>IF(L4889="", "Pending", IF(N4889&lt;=30, "Met", "Breached"))</f>
        <v/>
      </c>
    </row>
    <row r="4890">
      <c r="M4890" s="11">
        <f>B4890+30</f>
        <v/>
      </c>
      <c r="N4890">
        <f>IF(L4890="", "", L4890-B4890)</f>
        <v/>
      </c>
      <c r="O4890">
        <f>IF(L4890="", "Pending", IF(N4890&lt;=30, "Met", "Breached"))</f>
        <v/>
      </c>
    </row>
    <row r="4891">
      <c r="M4891" s="11">
        <f>B4891+30</f>
        <v/>
      </c>
      <c r="N4891">
        <f>IF(L4891="", "", L4891-B4891)</f>
        <v/>
      </c>
      <c r="O4891">
        <f>IF(L4891="", "Pending", IF(N4891&lt;=30, "Met", "Breached"))</f>
        <v/>
      </c>
    </row>
    <row r="4892">
      <c r="M4892" s="11">
        <f>B4892+30</f>
        <v/>
      </c>
      <c r="N4892">
        <f>IF(L4892="", "", L4892-B4892)</f>
        <v/>
      </c>
      <c r="O4892">
        <f>IF(L4892="", "Pending", IF(N4892&lt;=30, "Met", "Breached"))</f>
        <v/>
      </c>
    </row>
    <row r="4893">
      <c r="M4893" s="11">
        <f>B4893+30</f>
        <v/>
      </c>
      <c r="N4893">
        <f>IF(L4893="", "", L4893-B4893)</f>
        <v/>
      </c>
      <c r="O4893">
        <f>IF(L4893="", "Pending", IF(N4893&lt;=30, "Met", "Breached"))</f>
        <v/>
      </c>
    </row>
    <row r="4894">
      <c r="M4894" s="11">
        <f>B4894+30</f>
        <v/>
      </c>
      <c r="N4894">
        <f>IF(L4894="", "", L4894-B4894)</f>
        <v/>
      </c>
      <c r="O4894">
        <f>IF(L4894="", "Pending", IF(N4894&lt;=30, "Met", "Breached"))</f>
        <v/>
      </c>
    </row>
    <row r="4895">
      <c r="M4895" s="11">
        <f>B4895+30</f>
        <v/>
      </c>
      <c r="N4895">
        <f>IF(L4895="", "", L4895-B4895)</f>
        <v/>
      </c>
      <c r="O4895">
        <f>IF(L4895="", "Pending", IF(N4895&lt;=30, "Met", "Breached"))</f>
        <v/>
      </c>
    </row>
    <row r="4896">
      <c r="M4896" s="11">
        <f>B4896+30</f>
        <v/>
      </c>
      <c r="N4896">
        <f>IF(L4896="", "", L4896-B4896)</f>
        <v/>
      </c>
      <c r="O4896">
        <f>IF(L4896="", "Pending", IF(N4896&lt;=30, "Met", "Breached"))</f>
        <v/>
      </c>
    </row>
    <row r="4897">
      <c r="M4897" s="11">
        <f>B4897+30</f>
        <v/>
      </c>
      <c r="N4897">
        <f>IF(L4897="", "", L4897-B4897)</f>
        <v/>
      </c>
      <c r="O4897">
        <f>IF(L4897="", "Pending", IF(N4897&lt;=30, "Met", "Breached"))</f>
        <v/>
      </c>
    </row>
    <row r="4898">
      <c r="M4898" s="11">
        <f>B4898+30</f>
        <v/>
      </c>
      <c r="N4898">
        <f>IF(L4898="", "", L4898-B4898)</f>
        <v/>
      </c>
      <c r="O4898">
        <f>IF(L4898="", "Pending", IF(N4898&lt;=30, "Met", "Breached"))</f>
        <v/>
      </c>
    </row>
    <row r="4899">
      <c r="M4899" s="11">
        <f>B4899+30</f>
        <v/>
      </c>
      <c r="N4899">
        <f>IF(L4899="", "", L4899-B4899)</f>
        <v/>
      </c>
      <c r="O4899">
        <f>IF(L4899="", "Pending", IF(N4899&lt;=30, "Met", "Breached"))</f>
        <v/>
      </c>
    </row>
    <row r="4900">
      <c r="M4900" s="11">
        <f>B4900+30</f>
        <v/>
      </c>
      <c r="N4900">
        <f>IF(L4900="", "", L4900-B4900)</f>
        <v/>
      </c>
      <c r="O4900">
        <f>IF(L4900="", "Pending", IF(N4900&lt;=30, "Met", "Breached"))</f>
        <v/>
      </c>
    </row>
    <row r="4901">
      <c r="M4901" s="11">
        <f>B4901+30</f>
        <v/>
      </c>
      <c r="N4901">
        <f>IF(L4901="", "", L4901-B4901)</f>
        <v/>
      </c>
      <c r="O4901">
        <f>IF(L4901="", "Pending", IF(N4901&lt;=30, "Met", "Breached"))</f>
        <v/>
      </c>
    </row>
    <row r="4902">
      <c r="M4902" s="11">
        <f>B4902+30</f>
        <v/>
      </c>
      <c r="N4902">
        <f>IF(L4902="", "", L4902-B4902)</f>
        <v/>
      </c>
      <c r="O4902">
        <f>IF(L4902="", "Pending", IF(N4902&lt;=30, "Met", "Breached"))</f>
        <v/>
      </c>
    </row>
    <row r="4903">
      <c r="M4903" s="11">
        <f>B4903+30</f>
        <v/>
      </c>
      <c r="N4903">
        <f>IF(L4903="", "", L4903-B4903)</f>
        <v/>
      </c>
      <c r="O4903">
        <f>IF(L4903="", "Pending", IF(N4903&lt;=30, "Met", "Breached"))</f>
        <v/>
      </c>
    </row>
    <row r="4904">
      <c r="M4904" s="11">
        <f>B4904+30</f>
        <v/>
      </c>
      <c r="N4904">
        <f>IF(L4904="", "", L4904-B4904)</f>
        <v/>
      </c>
      <c r="O4904">
        <f>IF(L4904="", "Pending", IF(N4904&lt;=30, "Met", "Breached"))</f>
        <v/>
      </c>
    </row>
    <row r="4905">
      <c r="M4905" s="11">
        <f>B4905+30</f>
        <v/>
      </c>
      <c r="N4905">
        <f>IF(L4905="", "", L4905-B4905)</f>
        <v/>
      </c>
      <c r="O4905">
        <f>IF(L4905="", "Pending", IF(N4905&lt;=30, "Met", "Breached"))</f>
        <v/>
      </c>
    </row>
    <row r="4906">
      <c r="M4906" s="11">
        <f>B4906+30</f>
        <v/>
      </c>
      <c r="N4906">
        <f>IF(L4906="", "", L4906-B4906)</f>
        <v/>
      </c>
      <c r="O4906">
        <f>IF(L4906="", "Pending", IF(N4906&lt;=30, "Met", "Breached"))</f>
        <v/>
      </c>
    </row>
    <row r="4907">
      <c r="M4907" s="11">
        <f>B4907+30</f>
        <v/>
      </c>
      <c r="N4907">
        <f>IF(L4907="", "", L4907-B4907)</f>
        <v/>
      </c>
      <c r="O4907">
        <f>IF(L4907="", "Pending", IF(N4907&lt;=30, "Met", "Breached"))</f>
        <v/>
      </c>
    </row>
    <row r="4908">
      <c r="M4908" s="11">
        <f>B4908+30</f>
        <v/>
      </c>
      <c r="N4908">
        <f>IF(L4908="", "", L4908-B4908)</f>
        <v/>
      </c>
      <c r="O4908">
        <f>IF(L4908="", "Pending", IF(N4908&lt;=30, "Met", "Breached"))</f>
        <v/>
      </c>
    </row>
    <row r="4909">
      <c r="M4909" s="11">
        <f>B4909+30</f>
        <v/>
      </c>
      <c r="N4909">
        <f>IF(L4909="", "", L4909-B4909)</f>
        <v/>
      </c>
      <c r="O4909">
        <f>IF(L4909="", "Pending", IF(N4909&lt;=30, "Met", "Breached"))</f>
        <v/>
      </c>
    </row>
    <row r="4910">
      <c r="M4910" s="11">
        <f>B4910+30</f>
        <v/>
      </c>
      <c r="N4910">
        <f>IF(L4910="", "", L4910-B4910)</f>
        <v/>
      </c>
      <c r="O4910">
        <f>IF(L4910="", "Pending", IF(N4910&lt;=30, "Met", "Breached"))</f>
        <v/>
      </c>
    </row>
    <row r="4911">
      <c r="M4911" s="11">
        <f>B4911+30</f>
        <v/>
      </c>
      <c r="N4911">
        <f>IF(L4911="", "", L4911-B4911)</f>
        <v/>
      </c>
      <c r="O4911">
        <f>IF(L4911="", "Pending", IF(N4911&lt;=30, "Met", "Breached"))</f>
        <v/>
      </c>
    </row>
    <row r="4912">
      <c r="M4912" s="11">
        <f>B4912+30</f>
        <v/>
      </c>
      <c r="N4912">
        <f>IF(L4912="", "", L4912-B4912)</f>
        <v/>
      </c>
      <c r="O4912">
        <f>IF(L4912="", "Pending", IF(N4912&lt;=30, "Met", "Breached"))</f>
        <v/>
      </c>
    </row>
    <row r="4913">
      <c r="M4913" s="11">
        <f>B4913+30</f>
        <v/>
      </c>
      <c r="N4913">
        <f>IF(L4913="", "", L4913-B4913)</f>
        <v/>
      </c>
      <c r="O4913">
        <f>IF(L4913="", "Pending", IF(N4913&lt;=30, "Met", "Breached"))</f>
        <v/>
      </c>
    </row>
    <row r="4914">
      <c r="M4914" s="11">
        <f>B4914+30</f>
        <v/>
      </c>
      <c r="N4914">
        <f>IF(L4914="", "", L4914-B4914)</f>
        <v/>
      </c>
      <c r="O4914">
        <f>IF(L4914="", "Pending", IF(N4914&lt;=30, "Met", "Breached"))</f>
        <v/>
      </c>
    </row>
    <row r="4915">
      <c r="M4915" s="11">
        <f>B4915+30</f>
        <v/>
      </c>
      <c r="N4915">
        <f>IF(L4915="", "", L4915-B4915)</f>
        <v/>
      </c>
      <c r="O4915">
        <f>IF(L4915="", "Pending", IF(N4915&lt;=30, "Met", "Breached"))</f>
        <v/>
      </c>
    </row>
    <row r="4916">
      <c r="M4916" s="11">
        <f>B4916+30</f>
        <v/>
      </c>
      <c r="N4916">
        <f>IF(L4916="", "", L4916-B4916)</f>
        <v/>
      </c>
      <c r="O4916">
        <f>IF(L4916="", "Pending", IF(N4916&lt;=30, "Met", "Breached"))</f>
        <v/>
      </c>
    </row>
    <row r="4917">
      <c r="M4917" s="11">
        <f>B4917+30</f>
        <v/>
      </c>
      <c r="N4917">
        <f>IF(L4917="", "", L4917-B4917)</f>
        <v/>
      </c>
      <c r="O4917">
        <f>IF(L4917="", "Pending", IF(N4917&lt;=30, "Met", "Breached"))</f>
        <v/>
      </c>
    </row>
    <row r="4918">
      <c r="M4918" s="11">
        <f>B4918+30</f>
        <v/>
      </c>
      <c r="N4918">
        <f>IF(L4918="", "", L4918-B4918)</f>
        <v/>
      </c>
      <c r="O4918">
        <f>IF(L4918="", "Pending", IF(N4918&lt;=30, "Met", "Breached"))</f>
        <v/>
      </c>
    </row>
    <row r="4919">
      <c r="M4919" s="11">
        <f>B4919+30</f>
        <v/>
      </c>
      <c r="N4919">
        <f>IF(L4919="", "", L4919-B4919)</f>
        <v/>
      </c>
      <c r="O4919">
        <f>IF(L4919="", "Pending", IF(N4919&lt;=30, "Met", "Breached"))</f>
        <v/>
      </c>
    </row>
    <row r="4920">
      <c r="M4920" s="11">
        <f>B4920+30</f>
        <v/>
      </c>
      <c r="N4920">
        <f>IF(L4920="", "", L4920-B4920)</f>
        <v/>
      </c>
      <c r="O4920">
        <f>IF(L4920="", "Pending", IF(N4920&lt;=30, "Met", "Breached"))</f>
        <v/>
      </c>
    </row>
    <row r="4921">
      <c r="M4921" s="11">
        <f>B4921+30</f>
        <v/>
      </c>
      <c r="N4921">
        <f>IF(L4921="", "", L4921-B4921)</f>
        <v/>
      </c>
      <c r="O4921">
        <f>IF(L4921="", "Pending", IF(N4921&lt;=30, "Met", "Breached"))</f>
        <v/>
      </c>
    </row>
    <row r="4922">
      <c r="M4922" s="11">
        <f>B4922+30</f>
        <v/>
      </c>
      <c r="N4922">
        <f>IF(L4922="", "", L4922-B4922)</f>
        <v/>
      </c>
      <c r="O4922">
        <f>IF(L4922="", "Pending", IF(N4922&lt;=30, "Met", "Breached"))</f>
        <v/>
      </c>
    </row>
    <row r="4923">
      <c r="M4923" s="11">
        <f>B4923+30</f>
        <v/>
      </c>
      <c r="N4923">
        <f>IF(L4923="", "", L4923-B4923)</f>
        <v/>
      </c>
      <c r="O4923">
        <f>IF(L4923="", "Pending", IF(N4923&lt;=30, "Met", "Breached"))</f>
        <v/>
      </c>
    </row>
    <row r="4924">
      <c r="M4924" s="11">
        <f>B4924+30</f>
        <v/>
      </c>
      <c r="N4924">
        <f>IF(L4924="", "", L4924-B4924)</f>
        <v/>
      </c>
      <c r="O4924">
        <f>IF(L4924="", "Pending", IF(N4924&lt;=30, "Met", "Breached"))</f>
        <v/>
      </c>
    </row>
    <row r="4925">
      <c r="M4925" s="11">
        <f>B4925+30</f>
        <v/>
      </c>
      <c r="N4925">
        <f>IF(L4925="", "", L4925-B4925)</f>
        <v/>
      </c>
      <c r="O4925">
        <f>IF(L4925="", "Pending", IF(N4925&lt;=30, "Met", "Breached"))</f>
        <v/>
      </c>
    </row>
    <row r="4926">
      <c r="M4926" s="11">
        <f>B4926+30</f>
        <v/>
      </c>
      <c r="N4926">
        <f>IF(L4926="", "", L4926-B4926)</f>
        <v/>
      </c>
      <c r="O4926">
        <f>IF(L4926="", "Pending", IF(N4926&lt;=30, "Met", "Breached"))</f>
        <v/>
      </c>
    </row>
    <row r="4927">
      <c r="M4927" s="11">
        <f>B4927+30</f>
        <v/>
      </c>
      <c r="N4927">
        <f>IF(L4927="", "", L4927-B4927)</f>
        <v/>
      </c>
      <c r="O4927">
        <f>IF(L4927="", "Pending", IF(N4927&lt;=30, "Met", "Breached"))</f>
        <v/>
      </c>
    </row>
    <row r="4928">
      <c r="M4928" s="11">
        <f>B4928+30</f>
        <v/>
      </c>
      <c r="N4928">
        <f>IF(L4928="", "", L4928-B4928)</f>
        <v/>
      </c>
      <c r="O4928">
        <f>IF(L4928="", "Pending", IF(N4928&lt;=30, "Met", "Breached"))</f>
        <v/>
      </c>
    </row>
    <row r="4929">
      <c r="M4929" s="11">
        <f>B4929+30</f>
        <v/>
      </c>
      <c r="N4929">
        <f>IF(L4929="", "", L4929-B4929)</f>
        <v/>
      </c>
      <c r="O4929">
        <f>IF(L4929="", "Pending", IF(N4929&lt;=30, "Met", "Breached"))</f>
        <v/>
      </c>
    </row>
    <row r="4930">
      <c r="M4930" s="11">
        <f>B4930+30</f>
        <v/>
      </c>
      <c r="N4930">
        <f>IF(L4930="", "", L4930-B4930)</f>
        <v/>
      </c>
      <c r="O4930">
        <f>IF(L4930="", "Pending", IF(N4930&lt;=30, "Met", "Breached"))</f>
        <v/>
      </c>
    </row>
    <row r="4931">
      <c r="M4931" s="11">
        <f>B4931+30</f>
        <v/>
      </c>
      <c r="N4931">
        <f>IF(L4931="", "", L4931-B4931)</f>
        <v/>
      </c>
      <c r="O4931">
        <f>IF(L4931="", "Pending", IF(N4931&lt;=30, "Met", "Breached"))</f>
        <v/>
      </c>
    </row>
    <row r="4932">
      <c r="M4932" s="11">
        <f>B4932+30</f>
        <v/>
      </c>
      <c r="N4932">
        <f>IF(L4932="", "", L4932-B4932)</f>
        <v/>
      </c>
      <c r="O4932">
        <f>IF(L4932="", "Pending", IF(N4932&lt;=30, "Met", "Breached"))</f>
        <v/>
      </c>
    </row>
    <row r="4933">
      <c r="M4933" s="11">
        <f>B4933+30</f>
        <v/>
      </c>
      <c r="N4933">
        <f>IF(L4933="", "", L4933-B4933)</f>
        <v/>
      </c>
      <c r="O4933">
        <f>IF(L4933="", "Pending", IF(N4933&lt;=30, "Met", "Breached"))</f>
        <v/>
      </c>
    </row>
    <row r="4934">
      <c r="M4934" s="11">
        <f>B4934+30</f>
        <v/>
      </c>
      <c r="N4934">
        <f>IF(L4934="", "", L4934-B4934)</f>
        <v/>
      </c>
      <c r="O4934">
        <f>IF(L4934="", "Pending", IF(N4934&lt;=30, "Met", "Breached"))</f>
        <v/>
      </c>
    </row>
    <row r="4935">
      <c r="M4935" s="11">
        <f>B4935+30</f>
        <v/>
      </c>
      <c r="N4935">
        <f>IF(L4935="", "", L4935-B4935)</f>
        <v/>
      </c>
      <c r="O4935">
        <f>IF(L4935="", "Pending", IF(N4935&lt;=30, "Met", "Breached"))</f>
        <v/>
      </c>
    </row>
    <row r="4936">
      <c r="M4936" s="11">
        <f>B4936+30</f>
        <v/>
      </c>
      <c r="N4936">
        <f>IF(L4936="", "", L4936-B4936)</f>
        <v/>
      </c>
      <c r="O4936">
        <f>IF(L4936="", "Pending", IF(N4936&lt;=30, "Met", "Breached"))</f>
        <v/>
      </c>
    </row>
    <row r="4937">
      <c r="M4937" s="11">
        <f>B4937+30</f>
        <v/>
      </c>
      <c r="N4937">
        <f>IF(L4937="", "", L4937-B4937)</f>
        <v/>
      </c>
      <c r="O4937">
        <f>IF(L4937="", "Pending", IF(N4937&lt;=30, "Met", "Breached"))</f>
        <v/>
      </c>
    </row>
    <row r="4938">
      <c r="M4938" s="11">
        <f>B4938+30</f>
        <v/>
      </c>
      <c r="N4938">
        <f>IF(L4938="", "", L4938-B4938)</f>
        <v/>
      </c>
      <c r="O4938">
        <f>IF(L4938="", "Pending", IF(N4938&lt;=30, "Met", "Breached"))</f>
        <v/>
      </c>
    </row>
    <row r="4939">
      <c r="M4939" s="11">
        <f>B4939+30</f>
        <v/>
      </c>
      <c r="N4939">
        <f>IF(L4939="", "", L4939-B4939)</f>
        <v/>
      </c>
      <c r="O4939">
        <f>IF(L4939="", "Pending", IF(N4939&lt;=30, "Met", "Breached"))</f>
        <v/>
      </c>
    </row>
    <row r="4940">
      <c r="M4940" s="11">
        <f>B4940+30</f>
        <v/>
      </c>
      <c r="N4940">
        <f>IF(L4940="", "", L4940-B4940)</f>
        <v/>
      </c>
      <c r="O4940">
        <f>IF(L4940="", "Pending", IF(N4940&lt;=30, "Met", "Breached"))</f>
        <v/>
      </c>
    </row>
    <row r="4941">
      <c r="M4941" s="11">
        <f>B4941+30</f>
        <v/>
      </c>
      <c r="N4941">
        <f>IF(L4941="", "", L4941-B4941)</f>
        <v/>
      </c>
      <c r="O4941">
        <f>IF(L4941="", "Pending", IF(N4941&lt;=30, "Met", "Breached"))</f>
        <v/>
      </c>
    </row>
    <row r="4942">
      <c r="M4942" s="11">
        <f>B4942+30</f>
        <v/>
      </c>
      <c r="N4942">
        <f>IF(L4942="", "", L4942-B4942)</f>
        <v/>
      </c>
      <c r="O4942">
        <f>IF(L4942="", "Pending", IF(N4942&lt;=30, "Met", "Breached"))</f>
        <v/>
      </c>
    </row>
    <row r="4943">
      <c r="M4943" s="11">
        <f>B4943+30</f>
        <v/>
      </c>
      <c r="N4943">
        <f>IF(L4943="", "", L4943-B4943)</f>
        <v/>
      </c>
      <c r="O4943">
        <f>IF(L4943="", "Pending", IF(N4943&lt;=30, "Met", "Breached"))</f>
        <v/>
      </c>
    </row>
    <row r="4944">
      <c r="M4944" s="11">
        <f>B4944+30</f>
        <v/>
      </c>
      <c r="N4944">
        <f>IF(L4944="", "", L4944-B4944)</f>
        <v/>
      </c>
      <c r="O4944">
        <f>IF(L4944="", "Pending", IF(N4944&lt;=30, "Met", "Breached"))</f>
        <v/>
      </c>
    </row>
    <row r="4945">
      <c r="M4945" s="11">
        <f>B4945+30</f>
        <v/>
      </c>
      <c r="N4945">
        <f>IF(L4945="", "", L4945-B4945)</f>
        <v/>
      </c>
      <c r="O4945">
        <f>IF(L4945="", "Pending", IF(N4945&lt;=30, "Met", "Breached"))</f>
        <v/>
      </c>
    </row>
    <row r="4946">
      <c r="M4946" s="11">
        <f>B4946+30</f>
        <v/>
      </c>
      <c r="N4946">
        <f>IF(L4946="", "", L4946-B4946)</f>
        <v/>
      </c>
      <c r="O4946">
        <f>IF(L4946="", "Pending", IF(N4946&lt;=30, "Met", "Breached"))</f>
        <v/>
      </c>
    </row>
    <row r="4947">
      <c r="M4947" s="11">
        <f>B4947+30</f>
        <v/>
      </c>
      <c r="N4947">
        <f>IF(L4947="", "", L4947-B4947)</f>
        <v/>
      </c>
      <c r="O4947">
        <f>IF(L4947="", "Pending", IF(N4947&lt;=30, "Met", "Breached"))</f>
        <v/>
      </c>
    </row>
    <row r="4948">
      <c r="M4948" s="11">
        <f>B4948+30</f>
        <v/>
      </c>
      <c r="N4948">
        <f>IF(L4948="", "", L4948-B4948)</f>
        <v/>
      </c>
      <c r="O4948">
        <f>IF(L4948="", "Pending", IF(N4948&lt;=30, "Met", "Breached"))</f>
        <v/>
      </c>
    </row>
    <row r="4949">
      <c r="M4949" s="11">
        <f>B4949+30</f>
        <v/>
      </c>
      <c r="N4949">
        <f>IF(L4949="", "", L4949-B4949)</f>
        <v/>
      </c>
      <c r="O4949">
        <f>IF(L4949="", "Pending", IF(N4949&lt;=30, "Met", "Breached"))</f>
        <v/>
      </c>
    </row>
    <row r="4950">
      <c r="M4950" s="11">
        <f>B4950+30</f>
        <v/>
      </c>
      <c r="N4950">
        <f>IF(L4950="", "", L4950-B4950)</f>
        <v/>
      </c>
      <c r="O4950">
        <f>IF(L4950="", "Pending", IF(N4950&lt;=30, "Met", "Breached"))</f>
        <v/>
      </c>
    </row>
    <row r="4951">
      <c r="M4951" s="11">
        <f>B4951+30</f>
        <v/>
      </c>
      <c r="N4951">
        <f>IF(L4951="", "", L4951-B4951)</f>
        <v/>
      </c>
      <c r="O4951">
        <f>IF(L4951="", "Pending", IF(N4951&lt;=30, "Met", "Breached"))</f>
        <v/>
      </c>
    </row>
    <row r="4952">
      <c r="M4952" s="11">
        <f>B4952+30</f>
        <v/>
      </c>
      <c r="N4952">
        <f>IF(L4952="", "", L4952-B4952)</f>
        <v/>
      </c>
      <c r="O4952">
        <f>IF(L4952="", "Pending", IF(N4952&lt;=30, "Met", "Breached"))</f>
        <v/>
      </c>
    </row>
    <row r="4953">
      <c r="M4953" s="11">
        <f>B4953+30</f>
        <v/>
      </c>
      <c r="N4953">
        <f>IF(L4953="", "", L4953-B4953)</f>
        <v/>
      </c>
      <c r="O4953">
        <f>IF(L4953="", "Pending", IF(N4953&lt;=30, "Met", "Breached"))</f>
        <v/>
      </c>
    </row>
    <row r="4954">
      <c r="M4954" s="11">
        <f>B4954+30</f>
        <v/>
      </c>
      <c r="N4954">
        <f>IF(L4954="", "", L4954-B4954)</f>
        <v/>
      </c>
      <c r="O4954">
        <f>IF(L4954="", "Pending", IF(N4954&lt;=30, "Met", "Breached"))</f>
        <v/>
      </c>
    </row>
    <row r="4955">
      <c r="M4955" s="11">
        <f>B4955+30</f>
        <v/>
      </c>
      <c r="N4955">
        <f>IF(L4955="", "", L4955-B4955)</f>
        <v/>
      </c>
      <c r="O4955">
        <f>IF(L4955="", "Pending", IF(N4955&lt;=30, "Met", "Breached"))</f>
        <v/>
      </c>
    </row>
    <row r="4956">
      <c r="M4956" s="11">
        <f>B4956+30</f>
        <v/>
      </c>
      <c r="N4956">
        <f>IF(L4956="", "", L4956-B4956)</f>
        <v/>
      </c>
      <c r="O4956">
        <f>IF(L4956="", "Pending", IF(N4956&lt;=30, "Met", "Breached"))</f>
        <v/>
      </c>
    </row>
    <row r="4957">
      <c r="M4957" s="11">
        <f>B4957+30</f>
        <v/>
      </c>
      <c r="N4957">
        <f>IF(L4957="", "", L4957-B4957)</f>
        <v/>
      </c>
      <c r="O4957">
        <f>IF(L4957="", "Pending", IF(N4957&lt;=30, "Met", "Breached"))</f>
        <v/>
      </c>
    </row>
    <row r="4958">
      <c r="M4958" s="11">
        <f>B4958+30</f>
        <v/>
      </c>
      <c r="N4958">
        <f>IF(L4958="", "", L4958-B4958)</f>
        <v/>
      </c>
      <c r="O4958">
        <f>IF(L4958="", "Pending", IF(N4958&lt;=30, "Met", "Breached"))</f>
        <v/>
      </c>
    </row>
    <row r="4959">
      <c r="M4959" s="11">
        <f>B4959+30</f>
        <v/>
      </c>
      <c r="N4959">
        <f>IF(L4959="", "", L4959-B4959)</f>
        <v/>
      </c>
      <c r="O4959">
        <f>IF(L4959="", "Pending", IF(N4959&lt;=30, "Met", "Breached"))</f>
        <v/>
      </c>
    </row>
    <row r="4960">
      <c r="M4960" s="11">
        <f>B4960+30</f>
        <v/>
      </c>
      <c r="N4960">
        <f>IF(L4960="", "", L4960-B4960)</f>
        <v/>
      </c>
      <c r="O4960">
        <f>IF(L4960="", "Pending", IF(N4960&lt;=30, "Met", "Breached"))</f>
        <v/>
      </c>
    </row>
    <row r="4961">
      <c r="M4961" s="11">
        <f>B4961+30</f>
        <v/>
      </c>
      <c r="N4961">
        <f>IF(L4961="", "", L4961-B4961)</f>
        <v/>
      </c>
      <c r="O4961">
        <f>IF(L4961="", "Pending", IF(N4961&lt;=30, "Met", "Breached"))</f>
        <v/>
      </c>
    </row>
    <row r="4962">
      <c r="M4962" s="11">
        <f>B4962+30</f>
        <v/>
      </c>
      <c r="N4962">
        <f>IF(L4962="", "", L4962-B4962)</f>
        <v/>
      </c>
      <c r="O4962">
        <f>IF(L4962="", "Pending", IF(N4962&lt;=30, "Met", "Breached"))</f>
        <v/>
      </c>
    </row>
    <row r="4963">
      <c r="M4963" s="11">
        <f>B4963+30</f>
        <v/>
      </c>
      <c r="N4963">
        <f>IF(L4963="", "", L4963-B4963)</f>
        <v/>
      </c>
      <c r="O4963">
        <f>IF(L4963="", "Pending", IF(N4963&lt;=30, "Met", "Breached"))</f>
        <v/>
      </c>
    </row>
    <row r="4964">
      <c r="M4964" s="11">
        <f>B4964+30</f>
        <v/>
      </c>
      <c r="N4964">
        <f>IF(L4964="", "", L4964-B4964)</f>
        <v/>
      </c>
      <c r="O4964">
        <f>IF(L4964="", "Pending", IF(N4964&lt;=30, "Met", "Breached"))</f>
        <v/>
      </c>
    </row>
    <row r="4965">
      <c r="M4965" s="11">
        <f>B4965+30</f>
        <v/>
      </c>
      <c r="N4965">
        <f>IF(L4965="", "", L4965-B4965)</f>
        <v/>
      </c>
      <c r="O4965">
        <f>IF(L4965="", "Pending", IF(N4965&lt;=30, "Met", "Breached"))</f>
        <v/>
      </c>
    </row>
    <row r="4966">
      <c r="M4966" s="11">
        <f>B4966+30</f>
        <v/>
      </c>
      <c r="N4966">
        <f>IF(L4966="", "", L4966-B4966)</f>
        <v/>
      </c>
      <c r="O4966">
        <f>IF(L4966="", "Pending", IF(N4966&lt;=30, "Met", "Breached"))</f>
        <v/>
      </c>
    </row>
    <row r="4967">
      <c r="M4967" s="11">
        <f>B4967+30</f>
        <v/>
      </c>
      <c r="N4967">
        <f>IF(L4967="", "", L4967-B4967)</f>
        <v/>
      </c>
      <c r="O4967">
        <f>IF(L4967="", "Pending", IF(N4967&lt;=30, "Met", "Breached"))</f>
        <v/>
      </c>
    </row>
    <row r="4968">
      <c r="M4968" s="11">
        <f>B4968+30</f>
        <v/>
      </c>
      <c r="N4968">
        <f>IF(L4968="", "", L4968-B4968)</f>
        <v/>
      </c>
      <c r="O4968">
        <f>IF(L4968="", "Pending", IF(N4968&lt;=30, "Met", "Breached"))</f>
        <v/>
      </c>
    </row>
    <row r="4969">
      <c r="M4969" s="11">
        <f>B4969+30</f>
        <v/>
      </c>
      <c r="N4969">
        <f>IF(L4969="", "", L4969-B4969)</f>
        <v/>
      </c>
      <c r="O4969">
        <f>IF(L4969="", "Pending", IF(N4969&lt;=30, "Met", "Breached"))</f>
        <v/>
      </c>
    </row>
    <row r="4970">
      <c r="M4970" s="11">
        <f>B4970+30</f>
        <v/>
      </c>
      <c r="N4970">
        <f>IF(L4970="", "", L4970-B4970)</f>
        <v/>
      </c>
      <c r="O4970">
        <f>IF(L4970="", "Pending", IF(N4970&lt;=30, "Met", "Breached"))</f>
        <v/>
      </c>
    </row>
    <row r="4971">
      <c r="M4971" s="11">
        <f>B4971+30</f>
        <v/>
      </c>
      <c r="N4971">
        <f>IF(L4971="", "", L4971-B4971)</f>
        <v/>
      </c>
      <c r="O4971">
        <f>IF(L4971="", "Pending", IF(N4971&lt;=30, "Met", "Breached"))</f>
        <v/>
      </c>
    </row>
    <row r="4972">
      <c r="M4972" s="11">
        <f>B4972+30</f>
        <v/>
      </c>
      <c r="N4972">
        <f>IF(L4972="", "", L4972-B4972)</f>
        <v/>
      </c>
      <c r="O4972">
        <f>IF(L4972="", "Pending", IF(N4972&lt;=30, "Met", "Breached"))</f>
        <v/>
      </c>
    </row>
    <row r="4973">
      <c r="M4973" s="11">
        <f>B4973+30</f>
        <v/>
      </c>
      <c r="N4973">
        <f>IF(L4973="", "", L4973-B4973)</f>
        <v/>
      </c>
      <c r="O4973">
        <f>IF(L4973="", "Pending", IF(N4973&lt;=30, "Met", "Breached"))</f>
        <v/>
      </c>
    </row>
    <row r="4974">
      <c r="M4974" s="11">
        <f>B4974+30</f>
        <v/>
      </c>
      <c r="N4974">
        <f>IF(L4974="", "", L4974-B4974)</f>
        <v/>
      </c>
      <c r="O4974">
        <f>IF(L4974="", "Pending", IF(N4974&lt;=30, "Met", "Breached"))</f>
        <v/>
      </c>
    </row>
    <row r="4975">
      <c r="M4975" s="11">
        <f>B4975+30</f>
        <v/>
      </c>
      <c r="N4975">
        <f>IF(L4975="", "", L4975-B4975)</f>
        <v/>
      </c>
      <c r="O4975">
        <f>IF(L4975="", "Pending", IF(N4975&lt;=30, "Met", "Breached"))</f>
        <v/>
      </c>
    </row>
    <row r="4976">
      <c r="M4976" s="11">
        <f>B4976+30</f>
        <v/>
      </c>
      <c r="N4976">
        <f>IF(L4976="", "", L4976-B4976)</f>
        <v/>
      </c>
      <c r="O4976">
        <f>IF(L4976="", "Pending", IF(N4976&lt;=30, "Met", "Breached"))</f>
        <v/>
      </c>
    </row>
    <row r="4977">
      <c r="M4977" s="11">
        <f>B4977+30</f>
        <v/>
      </c>
      <c r="N4977">
        <f>IF(L4977="", "", L4977-B4977)</f>
        <v/>
      </c>
      <c r="O4977">
        <f>IF(L4977="", "Pending", IF(N4977&lt;=30, "Met", "Breached"))</f>
        <v/>
      </c>
    </row>
    <row r="4978">
      <c r="M4978" s="11">
        <f>B4978+30</f>
        <v/>
      </c>
      <c r="N4978">
        <f>IF(L4978="", "", L4978-B4978)</f>
        <v/>
      </c>
      <c r="O4978">
        <f>IF(L4978="", "Pending", IF(N4978&lt;=30, "Met", "Breached"))</f>
        <v/>
      </c>
    </row>
    <row r="4979">
      <c r="M4979" s="11">
        <f>B4979+30</f>
        <v/>
      </c>
      <c r="N4979">
        <f>IF(L4979="", "", L4979-B4979)</f>
        <v/>
      </c>
      <c r="O4979">
        <f>IF(L4979="", "Pending", IF(N4979&lt;=30, "Met", "Breached"))</f>
        <v/>
      </c>
    </row>
    <row r="4980">
      <c r="M4980" s="11">
        <f>B4980+30</f>
        <v/>
      </c>
      <c r="N4980">
        <f>IF(L4980="", "", L4980-B4980)</f>
        <v/>
      </c>
      <c r="O4980">
        <f>IF(L4980="", "Pending", IF(N4980&lt;=30, "Met", "Breached"))</f>
        <v/>
      </c>
    </row>
    <row r="4981">
      <c r="M4981" s="11">
        <f>B4981+30</f>
        <v/>
      </c>
      <c r="N4981">
        <f>IF(L4981="", "", L4981-B4981)</f>
        <v/>
      </c>
      <c r="O4981">
        <f>IF(L4981="", "Pending", IF(N4981&lt;=30, "Met", "Breached"))</f>
        <v/>
      </c>
    </row>
    <row r="4982">
      <c r="M4982" s="11">
        <f>B4982+30</f>
        <v/>
      </c>
      <c r="N4982">
        <f>IF(L4982="", "", L4982-B4982)</f>
        <v/>
      </c>
      <c r="O4982">
        <f>IF(L4982="", "Pending", IF(N4982&lt;=30, "Met", "Breached"))</f>
        <v/>
      </c>
    </row>
    <row r="4983">
      <c r="M4983" s="11">
        <f>B4983+30</f>
        <v/>
      </c>
      <c r="N4983">
        <f>IF(L4983="", "", L4983-B4983)</f>
        <v/>
      </c>
      <c r="O4983">
        <f>IF(L4983="", "Pending", IF(N4983&lt;=30, "Met", "Breached"))</f>
        <v/>
      </c>
    </row>
    <row r="4984">
      <c r="M4984" s="11">
        <f>B4984+30</f>
        <v/>
      </c>
      <c r="N4984">
        <f>IF(L4984="", "", L4984-B4984)</f>
        <v/>
      </c>
      <c r="O4984">
        <f>IF(L4984="", "Pending", IF(N4984&lt;=30, "Met", "Breached"))</f>
        <v/>
      </c>
    </row>
    <row r="4985">
      <c r="M4985" s="11">
        <f>B4985+30</f>
        <v/>
      </c>
      <c r="N4985">
        <f>IF(L4985="", "", L4985-B4985)</f>
        <v/>
      </c>
      <c r="O4985">
        <f>IF(L4985="", "Pending", IF(N4985&lt;=30, "Met", "Breached"))</f>
        <v/>
      </c>
    </row>
    <row r="4986">
      <c r="M4986" s="11">
        <f>B4986+30</f>
        <v/>
      </c>
      <c r="N4986">
        <f>IF(L4986="", "", L4986-B4986)</f>
        <v/>
      </c>
      <c r="O4986">
        <f>IF(L4986="", "Pending", IF(N4986&lt;=30, "Met", "Breached"))</f>
        <v/>
      </c>
    </row>
    <row r="4987">
      <c r="M4987" s="11">
        <f>B4987+30</f>
        <v/>
      </c>
      <c r="N4987">
        <f>IF(L4987="", "", L4987-B4987)</f>
        <v/>
      </c>
      <c r="O4987">
        <f>IF(L4987="", "Pending", IF(N4987&lt;=30, "Met", "Breached"))</f>
        <v/>
      </c>
    </row>
    <row r="4988">
      <c r="M4988" s="11">
        <f>B4988+30</f>
        <v/>
      </c>
      <c r="N4988">
        <f>IF(L4988="", "", L4988-B4988)</f>
        <v/>
      </c>
      <c r="O4988">
        <f>IF(L4988="", "Pending", IF(N4988&lt;=30, "Met", "Breached"))</f>
        <v/>
      </c>
    </row>
    <row r="4989">
      <c r="M4989" s="11">
        <f>B4989+30</f>
        <v/>
      </c>
      <c r="N4989">
        <f>IF(L4989="", "", L4989-B4989)</f>
        <v/>
      </c>
      <c r="O4989">
        <f>IF(L4989="", "Pending", IF(N4989&lt;=30, "Met", "Breached"))</f>
        <v/>
      </c>
    </row>
    <row r="4990">
      <c r="M4990" s="11">
        <f>B4990+30</f>
        <v/>
      </c>
      <c r="N4990">
        <f>IF(L4990="", "", L4990-B4990)</f>
        <v/>
      </c>
      <c r="O4990">
        <f>IF(L4990="", "Pending", IF(N4990&lt;=30, "Met", "Breached"))</f>
        <v/>
      </c>
    </row>
    <row r="4991">
      <c r="M4991" s="11">
        <f>B4991+30</f>
        <v/>
      </c>
      <c r="N4991">
        <f>IF(L4991="", "", L4991-B4991)</f>
        <v/>
      </c>
      <c r="O4991">
        <f>IF(L4991="", "Pending", IF(N4991&lt;=30, "Met", "Breached"))</f>
        <v/>
      </c>
    </row>
    <row r="4992">
      <c r="M4992" s="11">
        <f>B4992+30</f>
        <v/>
      </c>
      <c r="N4992">
        <f>IF(L4992="", "", L4992-B4992)</f>
        <v/>
      </c>
      <c r="O4992">
        <f>IF(L4992="", "Pending", IF(N4992&lt;=30, "Met", "Breached"))</f>
        <v/>
      </c>
    </row>
    <row r="4993">
      <c r="M4993" s="11">
        <f>B4993+30</f>
        <v/>
      </c>
      <c r="N4993">
        <f>IF(L4993="", "", L4993-B4993)</f>
        <v/>
      </c>
      <c r="O4993">
        <f>IF(L4993="", "Pending", IF(N4993&lt;=30, "Met", "Breached"))</f>
        <v/>
      </c>
    </row>
    <row r="4994">
      <c r="M4994" s="11">
        <f>B4994+30</f>
        <v/>
      </c>
      <c r="N4994">
        <f>IF(L4994="", "", L4994-B4994)</f>
        <v/>
      </c>
      <c r="O4994">
        <f>IF(L4994="", "Pending", IF(N4994&lt;=30, "Met", "Breached"))</f>
        <v/>
      </c>
    </row>
    <row r="4995">
      <c r="M4995" s="11">
        <f>B4995+30</f>
        <v/>
      </c>
      <c r="N4995">
        <f>IF(L4995="", "", L4995-B4995)</f>
        <v/>
      </c>
      <c r="O4995">
        <f>IF(L4995="", "Pending", IF(N4995&lt;=30, "Met", "Breached"))</f>
        <v/>
      </c>
    </row>
    <row r="4996">
      <c r="M4996" s="11">
        <f>B4996+30</f>
        <v/>
      </c>
      <c r="N4996">
        <f>IF(L4996="", "", L4996-B4996)</f>
        <v/>
      </c>
      <c r="O4996">
        <f>IF(L4996="", "Pending", IF(N4996&lt;=30, "Met", "Breached"))</f>
        <v/>
      </c>
    </row>
    <row r="4997">
      <c r="M4997" s="11">
        <f>B4997+30</f>
        <v/>
      </c>
      <c r="N4997">
        <f>IF(L4997="", "", L4997-B4997)</f>
        <v/>
      </c>
      <c r="O4997">
        <f>IF(L4997="", "Pending", IF(N4997&lt;=30, "Met", "Breached"))</f>
        <v/>
      </c>
    </row>
    <row r="4998">
      <c r="M4998" s="11">
        <f>B4998+30</f>
        <v/>
      </c>
      <c r="N4998">
        <f>IF(L4998="", "", L4998-B4998)</f>
        <v/>
      </c>
      <c r="O4998">
        <f>IF(L4998="", "Pending", IF(N4998&lt;=30, "Met", "Breached"))</f>
        <v/>
      </c>
    </row>
    <row r="4999">
      <c r="M4999" s="11">
        <f>B4999+30</f>
        <v/>
      </c>
      <c r="N4999">
        <f>IF(L4999="", "", L4999-B4999)</f>
        <v/>
      </c>
      <c r="O4999">
        <f>IF(L4999="", "Pending", IF(N4999&lt;=30, "Met", "Breached"))</f>
        <v/>
      </c>
    </row>
    <row r="5000">
      <c r="M5000" s="11">
        <f>B5000+30</f>
        <v/>
      </c>
      <c r="N5000">
        <f>IF(L5000="", "", L5000-B5000)</f>
        <v/>
      </c>
      <c r="O5000">
        <f>IF(L5000="", "Pending", IF(N5000&lt;=30, "Met", "Breached"))</f>
        <v/>
      </c>
    </row>
    <row r="5001">
      <c r="M5001" s="11">
        <f>B5001+30</f>
        <v/>
      </c>
      <c r="N5001">
        <f>IF(L5001="", "", L5001-B5001)</f>
        <v/>
      </c>
      <c r="O5001">
        <f>IF(L5001="", "Pending", IF(N5001&lt;=30, "Met", "Breached"))</f>
        <v/>
      </c>
    </row>
    <row r="5002">
      <c r="M5002" s="11">
        <f>B5002+30</f>
        <v/>
      </c>
      <c r="N5002">
        <f>IF(L5002="", "", L5002-B5002)</f>
        <v/>
      </c>
      <c r="O5002">
        <f>IF(L5002="", "Pending", IF(N5002&lt;=30, "Met", "Breached"))</f>
        <v/>
      </c>
    </row>
    <row r="5003">
      <c r="M5003" s="11">
        <f>B5003+30</f>
        <v/>
      </c>
      <c r="N5003">
        <f>IF(L5003="", "", L5003-B5003)</f>
        <v/>
      </c>
      <c r="O5003">
        <f>IF(L5003="", "Pending", IF(N5003&lt;=30, "Met", "Breached"))</f>
        <v/>
      </c>
    </row>
    <row r="5004">
      <c r="M5004" s="11">
        <f>B5004+30</f>
        <v/>
      </c>
      <c r="N5004">
        <f>IF(L5004="", "", L5004-B5004)</f>
        <v/>
      </c>
      <c r="O5004">
        <f>IF(L5004="", "Pending", IF(N5004&lt;=30, "Met", "Breached"))</f>
        <v/>
      </c>
    </row>
    <row r="5005">
      <c r="M5005" s="11">
        <f>B5005+30</f>
        <v/>
      </c>
      <c r="N5005">
        <f>IF(L5005="", "", L5005-B5005)</f>
        <v/>
      </c>
      <c r="O5005">
        <f>IF(L5005="", "Pending", IF(N5005&lt;=30, "Met", "Breached"))</f>
        <v/>
      </c>
    </row>
    <row r="5006">
      <c r="M5006" s="11">
        <f>B5006+30</f>
        <v/>
      </c>
      <c r="N5006">
        <f>IF(L5006="", "", L5006-B5006)</f>
        <v/>
      </c>
      <c r="O5006">
        <f>IF(L5006="", "Pending", IF(N5006&lt;=30, "Met", "Breached"))</f>
        <v/>
      </c>
    </row>
    <row r="5007">
      <c r="M5007" s="11">
        <f>B5007+30</f>
        <v/>
      </c>
      <c r="N5007">
        <f>IF(L5007="", "", L5007-B5007)</f>
        <v/>
      </c>
      <c r="O5007">
        <f>IF(L5007="", "Pending", IF(N5007&lt;=30, "Met", "Breached"))</f>
        <v/>
      </c>
    </row>
    <row r="5008">
      <c r="M5008" s="11">
        <f>B5008+30</f>
        <v/>
      </c>
      <c r="N5008">
        <f>IF(L5008="", "", L5008-B5008)</f>
        <v/>
      </c>
      <c r="O5008">
        <f>IF(L5008="", "Pending", IF(N5008&lt;=30, "Met", "Breached"))</f>
        <v/>
      </c>
    </row>
    <row r="5009">
      <c r="M5009" s="11">
        <f>B5009+30</f>
        <v/>
      </c>
      <c r="N5009">
        <f>IF(L5009="", "", L5009-B5009)</f>
        <v/>
      </c>
      <c r="O5009">
        <f>IF(L5009="", "Pending", IF(N5009&lt;=30, "Met", "Breached"))</f>
        <v/>
      </c>
    </row>
    <row r="5010">
      <c r="M5010" s="11">
        <f>B5010+30</f>
        <v/>
      </c>
      <c r="N5010">
        <f>IF(L5010="", "", L5010-B5010)</f>
        <v/>
      </c>
      <c r="O5010">
        <f>IF(L5010="", "Pending", IF(N5010&lt;=30, "Met", "Breached"))</f>
        <v/>
      </c>
    </row>
    <row r="5011">
      <c r="M5011" s="11">
        <f>B5011+30</f>
        <v/>
      </c>
      <c r="N5011">
        <f>IF(L5011="", "", L5011-B5011)</f>
        <v/>
      </c>
      <c r="O5011">
        <f>IF(L5011="", "Pending", IF(N5011&lt;=30, "Met", "Breached"))</f>
        <v/>
      </c>
    </row>
    <row r="5012">
      <c r="M5012" s="11">
        <f>B5012+30</f>
        <v/>
      </c>
      <c r="N5012">
        <f>IF(L5012="", "", L5012-B5012)</f>
        <v/>
      </c>
      <c r="O5012">
        <f>IF(L5012="", "Pending", IF(N5012&lt;=30, "Met", "Breached"))</f>
        <v/>
      </c>
    </row>
    <row r="5013">
      <c r="M5013" s="11">
        <f>B5013+30</f>
        <v/>
      </c>
      <c r="N5013">
        <f>IF(L5013="", "", L5013-B5013)</f>
        <v/>
      </c>
      <c r="O5013">
        <f>IF(L5013="", "Pending", IF(N5013&lt;=30, "Met", "Breached"))</f>
        <v/>
      </c>
    </row>
    <row r="5014">
      <c r="M5014" s="11">
        <f>B5014+30</f>
        <v/>
      </c>
      <c r="N5014">
        <f>IF(L5014="", "", L5014-B5014)</f>
        <v/>
      </c>
      <c r="O5014">
        <f>IF(L5014="", "Pending", IF(N5014&lt;=30, "Met", "Breached"))</f>
        <v/>
      </c>
    </row>
    <row r="5015">
      <c r="M5015" s="11">
        <f>B5015+30</f>
        <v/>
      </c>
      <c r="N5015">
        <f>IF(L5015="", "", L5015-B5015)</f>
        <v/>
      </c>
      <c r="O5015">
        <f>IF(L5015="", "Pending", IF(N5015&lt;=30, "Met", "Breached"))</f>
        <v/>
      </c>
    </row>
    <row r="5016">
      <c r="M5016" s="11">
        <f>B5016+30</f>
        <v/>
      </c>
      <c r="N5016">
        <f>IF(L5016="", "", L5016-B5016)</f>
        <v/>
      </c>
      <c r="O5016">
        <f>IF(L5016="", "Pending", IF(N5016&lt;=30, "Met", "Breached"))</f>
        <v/>
      </c>
    </row>
    <row r="5017">
      <c r="M5017" s="11">
        <f>B5017+30</f>
        <v/>
      </c>
      <c r="N5017">
        <f>IF(L5017="", "", L5017-B5017)</f>
        <v/>
      </c>
      <c r="O5017">
        <f>IF(L5017="", "Pending", IF(N5017&lt;=30, "Met", "Breached"))</f>
        <v/>
      </c>
    </row>
    <row r="5018">
      <c r="M5018" s="11">
        <f>B5018+30</f>
        <v/>
      </c>
      <c r="N5018">
        <f>IF(L5018="", "", L5018-B5018)</f>
        <v/>
      </c>
      <c r="O5018">
        <f>IF(L5018="", "Pending", IF(N5018&lt;=30, "Met", "Breached"))</f>
        <v/>
      </c>
    </row>
    <row r="5019">
      <c r="M5019" s="11">
        <f>B5019+30</f>
        <v/>
      </c>
      <c r="N5019">
        <f>IF(L5019="", "", L5019-B5019)</f>
        <v/>
      </c>
      <c r="O5019">
        <f>IF(L5019="", "Pending", IF(N5019&lt;=30, "Met", "Breached"))</f>
        <v/>
      </c>
    </row>
    <row r="5020">
      <c r="M5020" s="11">
        <f>B5020+30</f>
        <v/>
      </c>
      <c r="N5020">
        <f>IF(L5020="", "", L5020-B5020)</f>
        <v/>
      </c>
      <c r="O5020">
        <f>IF(L5020="", "Pending", IF(N5020&lt;=30, "Met", "Breached"))</f>
        <v/>
      </c>
    </row>
    <row r="5021">
      <c r="M5021" s="11">
        <f>B5021+30</f>
        <v/>
      </c>
      <c r="N5021">
        <f>IF(L5021="", "", L5021-B5021)</f>
        <v/>
      </c>
      <c r="O5021">
        <f>IF(L5021="", "Pending", IF(N5021&lt;=30, "Met", "Breached"))</f>
        <v/>
      </c>
    </row>
    <row r="5022">
      <c r="M5022" s="11">
        <f>B5022+30</f>
        <v/>
      </c>
      <c r="N5022">
        <f>IF(L5022="", "", L5022-B5022)</f>
        <v/>
      </c>
      <c r="O5022">
        <f>IF(L5022="", "Pending", IF(N5022&lt;=30, "Met", "Breached"))</f>
        <v/>
      </c>
    </row>
    <row r="5023">
      <c r="M5023" s="11">
        <f>B5023+30</f>
        <v/>
      </c>
      <c r="N5023">
        <f>IF(L5023="", "", L5023-B5023)</f>
        <v/>
      </c>
      <c r="O5023">
        <f>IF(L5023="", "Pending", IF(N5023&lt;=30, "Met", "Breached"))</f>
        <v/>
      </c>
    </row>
    <row r="5024">
      <c r="M5024" s="11">
        <f>B5024+30</f>
        <v/>
      </c>
      <c r="N5024">
        <f>IF(L5024="", "", L5024-B5024)</f>
        <v/>
      </c>
      <c r="O5024">
        <f>IF(L5024="", "Pending", IF(N5024&lt;=30, "Met", "Breached"))</f>
        <v/>
      </c>
    </row>
    <row r="5025">
      <c r="M5025" s="11">
        <f>B5025+30</f>
        <v/>
      </c>
      <c r="N5025">
        <f>IF(L5025="", "", L5025-B5025)</f>
        <v/>
      </c>
      <c r="O5025">
        <f>IF(L5025="", "Pending", IF(N5025&lt;=30, "Met", "Breached"))</f>
        <v/>
      </c>
    </row>
    <row r="5026">
      <c r="M5026" s="11">
        <f>B5026+30</f>
        <v/>
      </c>
      <c r="N5026">
        <f>IF(L5026="", "", L5026-B5026)</f>
        <v/>
      </c>
      <c r="O5026">
        <f>IF(L5026="", "Pending", IF(N5026&lt;=30, "Met", "Breached"))</f>
        <v/>
      </c>
    </row>
    <row r="5027">
      <c r="M5027" s="11">
        <f>B5027+30</f>
        <v/>
      </c>
      <c r="N5027">
        <f>IF(L5027="", "", L5027-B5027)</f>
        <v/>
      </c>
      <c r="O5027">
        <f>IF(L5027="", "Pending", IF(N5027&lt;=30, "Met", "Breached"))</f>
        <v/>
      </c>
    </row>
    <row r="5028">
      <c r="M5028" s="11">
        <f>B5028+30</f>
        <v/>
      </c>
      <c r="N5028">
        <f>IF(L5028="", "", L5028-B5028)</f>
        <v/>
      </c>
      <c r="O5028">
        <f>IF(L5028="", "Pending", IF(N5028&lt;=30, "Met", "Breached"))</f>
        <v/>
      </c>
    </row>
    <row r="5029">
      <c r="M5029" s="11">
        <f>B5029+30</f>
        <v/>
      </c>
      <c r="N5029">
        <f>IF(L5029="", "", L5029-B5029)</f>
        <v/>
      </c>
      <c r="O5029">
        <f>IF(L5029="", "Pending", IF(N5029&lt;=30, "Met", "Breached"))</f>
        <v/>
      </c>
    </row>
    <row r="5030">
      <c r="M5030" s="11">
        <f>B5030+30</f>
        <v/>
      </c>
      <c r="N5030">
        <f>IF(L5030="", "", L5030-B5030)</f>
        <v/>
      </c>
      <c r="O5030">
        <f>IF(L5030="", "Pending", IF(N5030&lt;=30, "Met", "Breached"))</f>
        <v/>
      </c>
    </row>
    <row r="5031">
      <c r="M5031" s="11">
        <f>B5031+30</f>
        <v/>
      </c>
      <c r="N5031">
        <f>IF(L5031="", "", L5031-B5031)</f>
        <v/>
      </c>
      <c r="O5031">
        <f>IF(L5031="", "Pending", IF(N5031&lt;=30, "Met", "Breached"))</f>
        <v/>
      </c>
    </row>
    <row r="5032">
      <c r="M5032" s="11">
        <f>B5032+30</f>
        <v/>
      </c>
      <c r="N5032">
        <f>IF(L5032="", "", L5032-B5032)</f>
        <v/>
      </c>
      <c r="O5032">
        <f>IF(L5032="", "Pending", IF(N5032&lt;=30, "Met", "Breached"))</f>
        <v/>
      </c>
    </row>
    <row r="5033">
      <c r="M5033" s="11">
        <f>B5033+30</f>
        <v/>
      </c>
      <c r="N5033">
        <f>IF(L5033="", "", L5033-B5033)</f>
        <v/>
      </c>
      <c r="O5033">
        <f>IF(L5033="", "Pending", IF(N5033&lt;=30, "Met", "Breached"))</f>
        <v/>
      </c>
    </row>
    <row r="5034">
      <c r="M5034" s="11">
        <f>B5034+30</f>
        <v/>
      </c>
      <c r="N5034">
        <f>IF(L5034="", "", L5034-B5034)</f>
        <v/>
      </c>
      <c r="O5034">
        <f>IF(L5034="", "Pending", IF(N5034&lt;=30, "Met", "Breached"))</f>
        <v/>
      </c>
    </row>
    <row r="5035">
      <c r="M5035" s="11">
        <f>B5035+30</f>
        <v/>
      </c>
      <c r="N5035">
        <f>IF(L5035="", "", L5035-B5035)</f>
        <v/>
      </c>
      <c r="O5035">
        <f>IF(L5035="", "Pending", IF(N5035&lt;=30, "Met", "Breached"))</f>
        <v/>
      </c>
    </row>
    <row r="5036">
      <c r="M5036" s="11">
        <f>B5036+30</f>
        <v/>
      </c>
      <c r="N5036">
        <f>IF(L5036="", "", L5036-B5036)</f>
        <v/>
      </c>
      <c r="O5036">
        <f>IF(L5036="", "Pending", IF(N5036&lt;=30, "Met", "Breached"))</f>
        <v/>
      </c>
    </row>
    <row r="5037">
      <c r="M5037" s="11">
        <f>B5037+30</f>
        <v/>
      </c>
      <c r="N5037">
        <f>IF(L5037="", "", L5037-B5037)</f>
        <v/>
      </c>
      <c r="O5037">
        <f>IF(L5037="", "Pending", IF(N5037&lt;=30, "Met", "Breached"))</f>
        <v/>
      </c>
    </row>
    <row r="5038">
      <c r="M5038" s="11">
        <f>B5038+30</f>
        <v/>
      </c>
      <c r="N5038">
        <f>IF(L5038="", "", L5038-B5038)</f>
        <v/>
      </c>
      <c r="O5038">
        <f>IF(L5038="", "Pending", IF(N5038&lt;=30, "Met", "Breached"))</f>
        <v/>
      </c>
    </row>
    <row r="5039">
      <c r="M5039" s="11">
        <f>B5039+30</f>
        <v/>
      </c>
      <c r="N5039">
        <f>IF(L5039="", "", L5039-B5039)</f>
        <v/>
      </c>
      <c r="O5039">
        <f>IF(L5039="", "Pending", IF(N5039&lt;=30, "Met", "Breached"))</f>
        <v/>
      </c>
    </row>
    <row r="5040">
      <c r="M5040" s="11">
        <f>B5040+30</f>
        <v/>
      </c>
      <c r="N5040">
        <f>IF(L5040="", "", L5040-B5040)</f>
        <v/>
      </c>
      <c r="O5040">
        <f>IF(L5040="", "Pending", IF(N5040&lt;=30, "Met", "Breached"))</f>
        <v/>
      </c>
    </row>
    <row r="5041">
      <c r="M5041" s="11">
        <f>B5041+30</f>
        <v/>
      </c>
      <c r="N5041">
        <f>IF(L5041="", "", L5041-B5041)</f>
        <v/>
      </c>
      <c r="O5041">
        <f>IF(L5041="", "Pending", IF(N5041&lt;=30, "Met", "Breached"))</f>
        <v/>
      </c>
    </row>
    <row r="5042">
      <c r="M5042" s="11">
        <f>B5042+30</f>
        <v/>
      </c>
      <c r="N5042">
        <f>IF(L5042="", "", L5042-B5042)</f>
        <v/>
      </c>
      <c r="O5042">
        <f>IF(L5042="", "Pending", IF(N5042&lt;=30, "Met", "Breached"))</f>
        <v/>
      </c>
    </row>
    <row r="5043">
      <c r="M5043" s="11">
        <f>B5043+30</f>
        <v/>
      </c>
      <c r="N5043">
        <f>IF(L5043="", "", L5043-B5043)</f>
        <v/>
      </c>
      <c r="O5043">
        <f>IF(L5043="", "Pending", IF(N5043&lt;=30, "Met", "Breached"))</f>
        <v/>
      </c>
    </row>
    <row r="5044">
      <c r="M5044" s="11">
        <f>B5044+30</f>
        <v/>
      </c>
      <c r="N5044">
        <f>IF(L5044="", "", L5044-B5044)</f>
        <v/>
      </c>
      <c r="O5044">
        <f>IF(L5044="", "Pending", IF(N5044&lt;=30, "Met", "Breached"))</f>
        <v/>
      </c>
    </row>
    <row r="5045">
      <c r="M5045" s="11">
        <f>B5045+30</f>
        <v/>
      </c>
      <c r="N5045">
        <f>IF(L5045="", "", L5045-B5045)</f>
        <v/>
      </c>
      <c r="O5045">
        <f>IF(L5045="", "Pending", IF(N5045&lt;=30, "Met", "Breached"))</f>
        <v/>
      </c>
    </row>
    <row r="5046">
      <c r="M5046" s="11">
        <f>B5046+30</f>
        <v/>
      </c>
      <c r="N5046">
        <f>IF(L5046="", "", L5046-B5046)</f>
        <v/>
      </c>
      <c r="O5046">
        <f>IF(L5046="", "Pending", IF(N5046&lt;=30, "Met", "Breached"))</f>
        <v/>
      </c>
    </row>
    <row r="5047">
      <c r="M5047" s="11">
        <f>B5047+30</f>
        <v/>
      </c>
      <c r="N5047">
        <f>IF(L5047="", "", L5047-B5047)</f>
        <v/>
      </c>
      <c r="O5047">
        <f>IF(L5047="", "Pending", IF(N5047&lt;=30, "Met", "Breached"))</f>
        <v/>
      </c>
    </row>
    <row r="5048">
      <c r="M5048" s="11">
        <f>B5048+30</f>
        <v/>
      </c>
      <c r="N5048">
        <f>IF(L5048="", "", L5048-B5048)</f>
        <v/>
      </c>
      <c r="O5048">
        <f>IF(L5048="", "Pending", IF(N5048&lt;=30, "Met", "Breached"))</f>
        <v/>
      </c>
    </row>
    <row r="5049">
      <c r="M5049" s="11">
        <f>B5049+30</f>
        <v/>
      </c>
      <c r="N5049">
        <f>IF(L5049="", "", L5049-B5049)</f>
        <v/>
      </c>
      <c r="O5049">
        <f>IF(L5049="", "Pending", IF(N5049&lt;=30, "Met", "Breached"))</f>
        <v/>
      </c>
    </row>
    <row r="5050">
      <c r="M5050" s="11">
        <f>B5050+30</f>
        <v/>
      </c>
      <c r="N5050">
        <f>IF(L5050="", "", L5050-B5050)</f>
        <v/>
      </c>
      <c r="O5050">
        <f>IF(L5050="", "Pending", IF(N5050&lt;=30, "Met", "Breached"))</f>
        <v/>
      </c>
    </row>
    <row r="5051">
      <c r="M5051" s="11">
        <f>B5051+30</f>
        <v/>
      </c>
      <c r="N5051">
        <f>IF(L5051="", "", L5051-B5051)</f>
        <v/>
      </c>
      <c r="O5051">
        <f>IF(L5051="", "Pending", IF(N5051&lt;=30, "Met", "Breached"))</f>
        <v/>
      </c>
    </row>
    <row r="5052">
      <c r="M5052" s="11">
        <f>B5052+30</f>
        <v/>
      </c>
      <c r="N5052">
        <f>IF(L5052="", "", L5052-B5052)</f>
        <v/>
      </c>
      <c r="O5052">
        <f>IF(L5052="", "Pending", IF(N5052&lt;=30, "Met", "Breached"))</f>
        <v/>
      </c>
    </row>
    <row r="5053">
      <c r="M5053" s="11">
        <f>B5053+30</f>
        <v/>
      </c>
      <c r="N5053">
        <f>IF(L5053="", "", L5053-B5053)</f>
        <v/>
      </c>
      <c r="O5053">
        <f>IF(L5053="", "Pending", IF(N5053&lt;=30, "Met", "Breached"))</f>
        <v/>
      </c>
    </row>
    <row r="5054">
      <c r="M5054" s="11">
        <f>B5054+30</f>
        <v/>
      </c>
      <c r="N5054">
        <f>IF(L5054="", "", L5054-B5054)</f>
        <v/>
      </c>
      <c r="O5054">
        <f>IF(L5054="", "Pending", IF(N5054&lt;=30, "Met", "Breached"))</f>
        <v/>
      </c>
    </row>
    <row r="5055">
      <c r="M5055" s="11">
        <f>B5055+30</f>
        <v/>
      </c>
      <c r="N5055">
        <f>IF(L5055="", "", L5055-B5055)</f>
        <v/>
      </c>
      <c r="O5055">
        <f>IF(L5055="", "Pending", IF(N5055&lt;=30, "Met", "Breached"))</f>
        <v/>
      </c>
    </row>
    <row r="5056">
      <c r="M5056" s="11">
        <f>B5056+30</f>
        <v/>
      </c>
      <c r="N5056">
        <f>IF(L5056="", "", L5056-B5056)</f>
        <v/>
      </c>
      <c r="O5056">
        <f>IF(L5056="", "Pending", IF(N5056&lt;=30, "Met", "Breached"))</f>
        <v/>
      </c>
    </row>
    <row r="5057">
      <c r="M5057" s="11">
        <f>B5057+30</f>
        <v/>
      </c>
      <c r="N5057">
        <f>IF(L5057="", "", L5057-B5057)</f>
        <v/>
      </c>
      <c r="O5057">
        <f>IF(L5057="", "Pending", IF(N5057&lt;=30, "Met", "Breached"))</f>
        <v/>
      </c>
    </row>
    <row r="5058">
      <c r="M5058" s="11">
        <f>B5058+30</f>
        <v/>
      </c>
      <c r="N5058">
        <f>IF(L5058="", "", L5058-B5058)</f>
        <v/>
      </c>
      <c r="O5058">
        <f>IF(L5058="", "Pending", IF(N5058&lt;=30, "Met", "Breached"))</f>
        <v/>
      </c>
    </row>
    <row r="5059">
      <c r="M5059" s="11">
        <f>B5059+30</f>
        <v/>
      </c>
      <c r="N5059">
        <f>IF(L5059="", "", L5059-B5059)</f>
        <v/>
      </c>
      <c r="O5059">
        <f>IF(L5059="", "Pending", IF(N5059&lt;=30, "Met", "Breached"))</f>
        <v/>
      </c>
    </row>
    <row r="5060">
      <c r="M5060" s="11">
        <f>B5060+30</f>
        <v/>
      </c>
      <c r="N5060">
        <f>IF(L5060="", "", L5060-B5060)</f>
        <v/>
      </c>
      <c r="O5060">
        <f>IF(L5060="", "Pending", IF(N5060&lt;=30, "Met", "Breached"))</f>
        <v/>
      </c>
    </row>
    <row r="5061">
      <c r="M5061" s="11">
        <f>B5061+30</f>
        <v/>
      </c>
      <c r="N5061">
        <f>IF(L5061="", "", L5061-B5061)</f>
        <v/>
      </c>
      <c r="O5061">
        <f>IF(L5061="", "Pending", IF(N5061&lt;=30, "Met", "Breached"))</f>
        <v/>
      </c>
    </row>
    <row r="5062">
      <c r="M5062" s="11">
        <f>B5062+30</f>
        <v/>
      </c>
      <c r="N5062">
        <f>IF(L5062="", "", L5062-B5062)</f>
        <v/>
      </c>
      <c r="O5062">
        <f>IF(L5062="", "Pending", IF(N5062&lt;=30, "Met", "Breached"))</f>
        <v/>
      </c>
    </row>
    <row r="5063">
      <c r="M5063" s="11">
        <f>B5063+30</f>
        <v/>
      </c>
      <c r="N5063">
        <f>IF(L5063="", "", L5063-B5063)</f>
        <v/>
      </c>
      <c r="O5063">
        <f>IF(L5063="", "Pending", IF(N5063&lt;=30, "Met", "Breached"))</f>
        <v/>
      </c>
    </row>
    <row r="5064">
      <c r="M5064" s="11">
        <f>B5064+30</f>
        <v/>
      </c>
      <c r="N5064">
        <f>IF(L5064="", "", L5064-B5064)</f>
        <v/>
      </c>
      <c r="O5064">
        <f>IF(L5064="", "Pending", IF(N5064&lt;=30, "Met", "Breached"))</f>
        <v/>
      </c>
    </row>
    <row r="5065">
      <c r="M5065" s="11">
        <f>B5065+30</f>
        <v/>
      </c>
      <c r="N5065">
        <f>IF(L5065="", "", L5065-B5065)</f>
        <v/>
      </c>
      <c r="O5065">
        <f>IF(L5065="", "Pending", IF(N5065&lt;=30, "Met", "Breached"))</f>
        <v/>
      </c>
    </row>
    <row r="5066">
      <c r="M5066" s="11">
        <f>B5066+30</f>
        <v/>
      </c>
      <c r="N5066">
        <f>IF(L5066="", "", L5066-B5066)</f>
        <v/>
      </c>
      <c r="O5066">
        <f>IF(L5066="", "Pending", IF(N5066&lt;=30, "Met", "Breached"))</f>
        <v/>
      </c>
    </row>
    <row r="5067">
      <c r="M5067" s="11">
        <f>B5067+30</f>
        <v/>
      </c>
      <c r="N5067">
        <f>IF(L5067="", "", L5067-B5067)</f>
        <v/>
      </c>
      <c r="O5067">
        <f>IF(L5067="", "Pending", IF(N5067&lt;=30, "Met", "Breached"))</f>
        <v/>
      </c>
    </row>
    <row r="5068">
      <c r="M5068" s="11">
        <f>B5068+30</f>
        <v/>
      </c>
      <c r="N5068">
        <f>IF(L5068="", "", L5068-B5068)</f>
        <v/>
      </c>
      <c r="O5068">
        <f>IF(L5068="", "Pending", IF(N5068&lt;=30, "Met", "Breached"))</f>
        <v/>
      </c>
    </row>
    <row r="5069">
      <c r="M5069" s="11">
        <f>B5069+30</f>
        <v/>
      </c>
      <c r="N5069">
        <f>IF(L5069="", "", L5069-B5069)</f>
        <v/>
      </c>
      <c r="O5069">
        <f>IF(L5069="", "Pending", IF(N5069&lt;=30, "Met", "Breached"))</f>
        <v/>
      </c>
    </row>
    <row r="5070">
      <c r="M5070" s="11">
        <f>B5070+30</f>
        <v/>
      </c>
      <c r="N5070">
        <f>IF(L5070="", "", L5070-B5070)</f>
        <v/>
      </c>
      <c r="O5070">
        <f>IF(L5070="", "Pending", IF(N5070&lt;=30, "Met", "Breached"))</f>
        <v/>
      </c>
    </row>
    <row r="5071">
      <c r="M5071" s="11">
        <f>B5071+30</f>
        <v/>
      </c>
      <c r="N5071">
        <f>IF(L5071="", "", L5071-B5071)</f>
        <v/>
      </c>
      <c r="O5071">
        <f>IF(L5071="", "Pending", IF(N5071&lt;=30, "Met", "Breached"))</f>
        <v/>
      </c>
    </row>
    <row r="5072">
      <c r="M5072" s="11">
        <f>B5072+30</f>
        <v/>
      </c>
      <c r="N5072">
        <f>IF(L5072="", "", L5072-B5072)</f>
        <v/>
      </c>
      <c r="O5072">
        <f>IF(L5072="", "Pending", IF(N5072&lt;=30, "Met", "Breached"))</f>
        <v/>
      </c>
    </row>
    <row r="5073">
      <c r="M5073" s="11">
        <f>B5073+30</f>
        <v/>
      </c>
      <c r="N5073">
        <f>IF(L5073="", "", L5073-B5073)</f>
        <v/>
      </c>
      <c r="O5073">
        <f>IF(L5073="", "Pending", IF(N5073&lt;=30, "Met", "Breached"))</f>
        <v/>
      </c>
    </row>
    <row r="5074">
      <c r="M5074" s="11">
        <f>B5074+30</f>
        <v/>
      </c>
      <c r="N5074">
        <f>IF(L5074="", "", L5074-B5074)</f>
        <v/>
      </c>
      <c r="O5074">
        <f>IF(L5074="", "Pending", IF(N5074&lt;=30, "Met", "Breached"))</f>
        <v/>
      </c>
    </row>
    <row r="5075">
      <c r="M5075" s="11">
        <f>B5075+30</f>
        <v/>
      </c>
      <c r="N5075">
        <f>IF(L5075="", "", L5075-B5075)</f>
        <v/>
      </c>
      <c r="O5075">
        <f>IF(L5075="", "Pending", IF(N5075&lt;=30, "Met", "Breached"))</f>
        <v/>
      </c>
    </row>
    <row r="5076">
      <c r="M5076" s="11">
        <f>B5076+30</f>
        <v/>
      </c>
      <c r="N5076">
        <f>IF(L5076="", "", L5076-B5076)</f>
        <v/>
      </c>
      <c r="O5076">
        <f>IF(L5076="", "Pending", IF(N5076&lt;=30, "Met", "Breached"))</f>
        <v/>
      </c>
    </row>
    <row r="5077">
      <c r="M5077" s="11">
        <f>B5077+30</f>
        <v/>
      </c>
      <c r="N5077">
        <f>IF(L5077="", "", L5077-B5077)</f>
        <v/>
      </c>
      <c r="O5077">
        <f>IF(L5077="", "Pending", IF(N5077&lt;=30, "Met", "Breached"))</f>
        <v/>
      </c>
    </row>
    <row r="5078">
      <c r="M5078" s="11">
        <f>B5078+30</f>
        <v/>
      </c>
      <c r="N5078">
        <f>IF(L5078="", "", L5078-B5078)</f>
        <v/>
      </c>
      <c r="O5078">
        <f>IF(L5078="", "Pending", IF(N5078&lt;=30, "Met", "Breached"))</f>
        <v/>
      </c>
    </row>
    <row r="5079">
      <c r="M5079" s="11">
        <f>B5079+30</f>
        <v/>
      </c>
      <c r="N5079">
        <f>IF(L5079="", "", L5079-B5079)</f>
        <v/>
      </c>
      <c r="O5079">
        <f>IF(L5079="", "Pending", IF(N5079&lt;=30, "Met", "Breached"))</f>
        <v/>
      </c>
    </row>
    <row r="5080">
      <c r="M5080" s="11">
        <f>B5080+30</f>
        <v/>
      </c>
      <c r="N5080">
        <f>IF(L5080="", "", L5080-B5080)</f>
        <v/>
      </c>
      <c r="O5080">
        <f>IF(L5080="", "Pending", IF(N5080&lt;=30, "Met", "Breached"))</f>
        <v/>
      </c>
    </row>
    <row r="5081">
      <c r="M5081" s="11">
        <f>B5081+30</f>
        <v/>
      </c>
      <c r="N5081">
        <f>IF(L5081="", "", L5081-B5081)</f>
        <v/>
      </c>
      <c r="O5081">
        <f>IF(L5081="", "Pending", IF(N5081&lt;=30, "Met", "Breached"))</f>
        <v/>
      </c>
    </row>
    <row r="5082">
      <c r="M5082" s="11">
        <f>B5082+30</f>
        <v/>
      </c>
      <c r="N5082">
        <f>IF(L5082="", "", L5082-B5082)</f>
        <v/>
      </c>
      <c r="O5082">
        <f>IF(L5082="", "Pending", IF(N5082&lt;=30, "Met", "Breached"))</f>
        <v/>
      </c>
    </row>
    <row r="5083">
      <c r="M5083" s="11">
        <f>B5083+30</f>
        <v/>
      </c>
      <c r="N5083">
        <f>IF(L5083="", "", L5083-B5083)</f>
        <v/>
      </c>
      <c r="O5083">
        <f>IF(L5083="", "Pending", IF(N5083&lt;=30, "Met", "Breached"))</f>
        <v/>
      </c>
    </row>
    <row r="5084">
      <c r="M5084" s="11">
        <f>B5084+30</f>
        <v/>
      </c>
      <c r="N5084">
        <f>IF(L5084="", "", L5084-B5084)</f>
        <v/>
      </c>
      <c r="O5084">
        <f>IF(L5084="", "Pending", IF(N5084&lt;=30, "Met", "Breached"))</f>
        <v/>
      </c>
    </row>
    <row r="5085">
      <c r="M5085" s="11">
        <f>B5085+30</f>
        <v/>
      </c>
      <c r="N5085">
        <f>IF(L5085="", "", L5085-B5085)</f>
        <v/>
      </c>
      <c r="O5085">
        <f>IF(L5085="", "Pending", IF(N5085&lt;=30, "Met", "Breached"))</f>
        <v/>
      </c>
    </row>
    <row r="5086">
      <c r="M5086" s="11">
        <f>B5086+30</f>
        <v/>
      </c>
      <c r="N5086">
        <f>IF(L5086="", "", L5086-B5086)</f>
        <v/>
      </c>
      <c r="O5086">
        <f>IF(L5086="", "Pending", IF(N5086&lt;=30, "Met", "Breached"))</f>
        <v/>
      </c>
    </row>
    <row r="5087">
      <c r="M5087" s="11">
        <f>B5087+30</f>
        <v/>
      </c>
      <c r="N5087">
        <f>IF(L5087="", "", L5087-B5087)</f>
        <v/>
      </c>
      <c r="O5087">
        <f>IF(L5087="", "Pending", IF(N5087&lt;=30, "Met", "Breached"))</f>
        <v/>
      </c>
    </row>
    <row r="5088">
      <c r="M5088" s="11">
        <f>B5088+30</f>
        <v/>
      </c>
      <c r="N5088">
        <f>IF(L5088="", "", L5088-B5088)</f>
        <v/>
      </c>
      <c r="O5088">
        <f>IF(L5088="", "Pending", IF(N5088&lt;=30, "Met", "Breached"))</f>
        <v/>
      </c>
    </row>
    <row r="5089">
      <c r="M5089" s="11">
        <f>B5089+30</f>
        <v/>
      </c>
      <c r="N5089">
        <f>IF(L5089="", "", L5089-B5089)</f>
        <v/>
      </c>
      <c r="O5089">
        <f>IF(L5089="", "Pending", IF(N5089&lt;=30, "Met", "Breached"))</f>
        <v/>
      </c>
    </row>
    <row r="5090">
      <c r="M5090" s="11">
        <f>B5090+30</f>
        <v/>
      </c>
      <c r="N5090">
        <f>IF(L5090="", "", L5090-B5090)</f>
        <v/>
      </c>
      <c r="O5090">
        <f>IF(L5090="", "Pending", IF(N5090&lt;=30, "Met", "Breached"))</f>
        <v/>
      </c>
    </row>
    <row r="5091">
      <c r="M5091" s="11">
        <f>B5091+30</f>
        <v/>
      </c>
      <c r="N5091">
        <f>IF(L5091="", "", L5091-B5091)</f>
        <v/>
      </c>
      <c r="O5091">
        <f>IF(L5091="", "Pending", IF(N5091&lt;=30, "Met", "Breached"))</f>
        <v/>
      </c>
    </row>
    <row r="5092">
      <c r="M5092" s="11">
        <f>B5092+30</f>
        <v/>
      </c>
      <c r="N5092">
        <f>IF(L5092="", "", L5092-B5092)</f>
        <v/>
      </c>
      <c r="O5092">
        <f>IF(L5092="", "Pending", IF(N5092&lt;=30, "Met", "Breached"))</f>
        <v/>
      </c>
    </row>
    <row r="5093">
      <c r="M5093" s="11">
        <f>B5093+30</f>
        <v/>
      </c>
      <c r="N5093">
        <f>IF(L5093="", "", L5093-B5093)</f>
        <v/>
      </c>
      <c r="O5093">
        <f>IF(L5093="", "Pending", IF(N5093&lt;=30, "Met", "Breached"))</f>
        <v/>
      </c>
    </row>
    <row r="5094">
      <c r="M5094" s="11">
        <f>B5094+30</f>
        <v/>
      </c>
      <c r="N5094">
        <f>IF(L5094="", "", L5094-B5094)</f>
        <v/>
      </c>
      <c r="O5094">
        <f>IF(L5094="", "Pending", IF(N5094&lt;=30, "Met", "Breached"))</f>
        <v/>
      </c>
    </row>
    <row r="5095">
      <c r="M5095" s="11">
        <f>B5095+30</f>
        <v/>
      </c>
      <c r="N5095">
        <f>IF(L5095="", "", L5095-B5095)</f>
        <v/>
      </c>
      <c r="O5095">
        <f>IF(L5095="", "Pending", IF(N5095&lt;=30, "Met", "Breached"))</f>
        <v/>
      </c>
    </row>
    <row r="5096">
      <c r="M5096" s="11">
        <f>B5096+30</f>
        <v/>
      </c>
      <c r="N5096">
        <f>IF(L5096="", "", L5096-B5096)</f>
        <v/>
      </c>
      <c r="O5096">
        <f>IF(L5096="", "Pending", IF(N5096&lt;=30, "Met", "Breached"))</f>
        <v/>
      </c>
    </row>
    <row r="5097">
      <c r="M5097" s="11">
        <f>B5097+30</f>
        <v/>
      </c>
      <c r="N5097">
        <f>IF(L5097="", "", L5097-B5097)</f>
        <v/>
      </c>
      <c r="O5097">
        <f>IF(L5097="", "Pending", IF(N5097&lt;=30, "Met", "Breached"))</f>
        <v/>
      </c>
    </row>
    <row r="5098">
      <c r="M5098" s="11">
        <f>B5098+30</f>
        <v/>
      </c>
      <c r="N5098">
        <f>IF(L5098="", "", L5098-B5098)</f>
        <v/>
      </c>
      <c r="O5098">
        <f>IF(L5098="", "Pending", IF(N5098&lt;=30, "Met", "Breached"))</f>
        <v/>
      </c>
    </row>
    <row r="5099">
      <c r="M5099" s="11">
        <f>B5099+30</f>
        <v/>
      </c>
      <c r="N5099">
        <f>IF(L5099="", "", L5099-B5099)</f>
        <v/>
      </c>
      <c r="O5099">
        <f>IF(L5099="", "Pending", IF(N5099&lt;=30, "Met", "Breached"))</f>
        <v/>
      </c>
    </row>
    <row r="5100">
      <c r="M5100" s="11">
        <f>B5100+30</f>
        <v/>
      </c>
      <c r="N5100">
        <f>IF(L5100="", "", L5100-B5100)</f>
        <v/>
      </c>
      <c r="O5100">
        <f>IF(L5100="", "Pending", IF(N5100&lt;=30, "Met", "Breached"))</f>
        <v/>
      </c>
    </row>
    <row r="5101">
      <c r="M5101" s="11">
        <f>B5101+30</f>
        <v/>
      </c>
      <c r="N5101">
        <f>IF(L5101="", "", L5101-B5101)</f>
        <v/>
      </c>
      <c r="O5101">
        <f>IF(L5101="", "Pending", IF(N5101&lt;=30, "Met", "Breached"))</f>
        <v/>
      </c>
    </row>
    <row r="5102">
      <c r="M5102" s="11">
        <f>B5102+30</f>
        <v/>
      </c>
      <c r="N5102">
        <f>IF(L5102="", "", L5102-B5102)</f>
        <v/>
      </c>
      <c r="O5102">
        <f>IF(L5102="", "Pending", IF(N5102&lt;=30, "Met", "Breached"))</f>
        <v/>
      </c>
    </row>
    <row r="5103">
      <c r="M5103" s="11">
        <f>B5103+30</f>
        <v/>
      </c>
      <c r="N5103">
        <f>IF(L5103="", "", L5103-B5103)</f>
        <v/>
      </c>
      <c r="O5103">
        <f>IF(L5103="", "Pending", IF(N5103&lt;=30, "Met", "Breached"))</f>
        <v/>
      </c>
    </row>
    <row r="5104">
      <c r="M5104" s="11">
        <f>B5104+30</f>
        <v/>
      </c>
      <c r="N5104">
        <f>IF(L5104="", "", L5104-B5104)</f>
        <v/>
      </c>
      <c r="O5104">
        <f>IF(L5104="", "Pending", IF(N5104&lt;=30, "Met", "Breached"))</f>
        <v/>
      </c>
    </row>
    <row r="5105">
      <c r="M5105" s="11">
        <f>B5105+30</f>
        <v/>
      </c>
      <c r="N5105">
        <f>IF(L5105="", "", L5105-B5105)</f>
        <v/>
      </c>
      <c r="O5105">
        <f>IF(L5105="", "Pending", IF(N5105&lt;=30, "Met", "Breached"))</f>
        <v/>
      </c>
    </row>
    <row r="5106">
      <c r="M5106" s="11">
        <f>B5106+30</f>
        <v/>
      </c>
      <c r="N5106">
        <f>IF(L5106="", "", L5106-B5106)</f>
        <v/>
      </c>
      <c r="O5106">
        <f>IF(L5106="", "Pending", IF(N5106&lt;=30, "Met", "Breached"))</f>
        <v/>
      </c>
    </row>
    <row r="5107">
      <c r="M5107" s="11">
        <f>B5107+30</f>
        <v/>
      </c>
      <c r="N5107">
        <f>IF(L5107="", "", L5107-B5107)</f>
        <v/>
      </c>
      <c r="O5107">
        <f>IF(L5107="", "Pending", IF(N5107&lt;=30, "Met", "Breached"))</f>
        <v/>
      </c>
    </row>
    <row r="5108">
      <c r="M5108" s="11">
        <f>B5108+30</f>
        <v/>
      </c>
      <c r="N5108">
        <f>IF(L5108="", "", L5108-B5108)</f>
        <v/>
      </c>
      <c r="O5108">
        <f>IF(L5108="", "Pending", IF(N5108&lt;=30, "Met", "Breached"))</f>
        <v/>
      </c>
    </row>
    <row r="5109">
      <c r="M5109" s="11">
        <f>B5109+30</f>
        <v/>
      </c>
      <c r="N5109">
        <f>IF(L5109="", "", L5109-B5109)</f>
        <v/>
      </c>
      <c r="O5109">
        <f>IF(L5109="", "Pending", IF(N5109&lt;=30, "Met", "Breached"))</f>
        <v/>
      </c>
    </row>
    <row r="5110">
      <c r="M5110" s="11">
        <f>B5110+30</f>
        <v/>
      </c>
      <c r="N5110">
        <f>IF(L5110="", "", L5110-B5110)</f>
        <v/>
      </c>
      <c r="O5110">
        <f>IF(L5110="", "Pending", IF(N5110&lt;=30, "Met", "Breached"))</f>
        <v/>
      </c>
    </row>
    <row r="5111">
      <c r="M5111" s="11">
        <f>B5111+30</f>
        <v/>
      </c>
      <c r="N5111">
        <f>IF(L5111="", "", L5111-B5111)</f>
        <v/>
      </c>
      <c r="O5111">
        <f>IF(L5111="", "Pending", IF(N5111&lt;=30, "Met", "Breached"))</f>
        <v/>
      </c>
    </row>
    <row r="5112">
      <c r="M5112" s="11">
        <f>B5112+30</f>
        <v/>
      </c>
      <c r="N5112">
        <f>IF(L5112="", "", L5112-B5112)</f>
        <v/>
      </c>
      <c r="O5112">
        <f>IF(L5112="", "Pending", IF(N5112&lt;=30, "Met", "Breached"))</f>
        <v/>
      </c>
    </row>
    <row r="5113">
      <c r="M5113" s="11">
        <f>B5113+30</f>
        <v/>
      </c>
      <c r="N5113">
        <f>IF(L5113="", "", L5113-B5113)</f>
        <v/>
      </c>
      <c r="O5113">
        <f>IF(L5113="", "Pending", IF(N5113&lt;=30, "Met", "Breached"))</f>
        <v/>
      </c>
    </row>
    <row r="5114">
      <c r="M5114" s="11">
        <f>B5114+30</f>
        <v/>
      </c>
      <c r="N5114">
        <f>IF(L5114="", "", L5114-B5114)</f>
        <v/>
      </c>
      <c r="O5114">
        <f>IF(L5114="", "Pending", IF(N5114&lt;=30, "Met", "Breached"))</f>
        <v/>
      </c>
    </row>
    <row r="5115">
      <c r="M5115" s="11">
        <f>B5115+30</f>
        <v/>
      </c>
      <c r="N5115">
        <f>IF(L5115="", "", L5115-B5115)</f>
        <v/>
      </c>
      <c r="O5115">
        <f>IF(L5115="", "Pending", IF(N5115&lt;=30, "Met", "Breached"))</f>
        <v/>
      </c>
    </row>
    <row r="5116">
      <c r="M5116" s="11">
        <f>B5116+30</f>
        <v/>
      </c>
      <c r="N5116">
        <f>IF(L5116="", "", L5116-B5116)</f>
        <v/>
      </c>
      <c r="O5116">
        <f>IF(L5116="", "Pending", IF(N5116&lt;=30, "Met", "Breached"))</f>
        <v/>
      </c>
    </row>
    <row r="5117">
      <c r="M5117" s="11">
        <f>B5117+30</f>
        <v/>
      </c>
      <c r="N5117">
        <f>IF(L5117="", "", L5117-B5117)</f>
        <v/>
      </c>
      <c r="O5117">
        <f>IF(L5117="", "Pending", IF(N5117&lt;=30, "Met", "Breached"))</f>
        <v/>
      </c>
    </row>
    <row r="5118">
      <c r="M5118" s="11">
        <f>B5118+30</f>
        <v/>
      </c>
      <c r="N5118">
        <f>IF(L5118="", "", L5118-B5118)</f>
        <v/>
      </c>
      <c r="O5118">
        <f>IF(L5118="", "Pending", IF(N5118&lt;=30, "Met", "Breached"))</f>
        <v/>
      </c>
    </row>
    <row r="5119">
      <c r="M5119" s="11">
        <f>B5119+30</f>
        <v/>
      </c>
      <c r="N5119">
        <f>IF(L5119="", "", L5119-B5119)</f>
        <v/>
      </c>
      <c r="O5119">
        <f>IF(L5119="", "Pending", IF(N5119&lt;=30, "Met", "Breached"))</f>
        <v/>
      </c>
    </row>
    <row r="5120">
      <c r="M5120" s="11">
        <f>B5120+30</f>
        <v/>
      </c>
      <c r="N5120">
        <f>IF(L5120="", "", L5120-B5120)</f>
        <v/>
      </c>
      <c r="O5120">
        <f>IF(L5120="", "Pending", IF(N5120&lt;=30, "Met", "Breached"))</f>
        <v/>
      </c>
    </row>
    <row r="5121">
      <c r="M5121" s="11">
        <f>B5121+30</f>
        <v/>
      </c>
      <c r="N5121">
        <f>IF(L5121="", "", L5121-B5121)</f>
        <v/>
      </c>
      <c r="O5121">
        <f>IF(L5121="", "Pending", IF(N5121&lt;=30, "Met", "Breached"))</f>
        <v/>
      </c>
    </row>
    <row r="5122">
      <c r="M5122" s="11">
        <f>B5122+30</f>
        <v/>
      </c>
      <c r="N5122">
        <f>IF(L5122="", "", L5122-B5122)</f>
        <v/>
      </c>
      <c r="O5122">
        <f>IF(L5122="", "Pending", IF(N5122&lt;=30, "Met", "Breached"))</f>
        <v/>
      </c>
    </row>
    <row r="5123">
      <c r="M5123" s="11">
        <f>B5123+30</f>
        <v/>
      </c>
      <c r="N5123">
        <f>IF(L5123="", "", L5123-B5123)</f>
        <v/>
      </c>
      <c r="O5123">
        <f>IF(L5123="", "Pending", IF(N5123&lt;=30, "Met", "Breached"))</f>
        <v/>
      </c>
    </row>
    <row r="5124">
      <c r="M5124" s="11">
        <f>B5124+30</f>
        <v/>
      </c>
      <c r="N5124">
        <f>IF(L5124="", "", L5124-B5124)</f>
        <v/>
      </c>
      <c r="O5124">
        <f>IF(L5124="", "Pending", IF(N5124&lt;=30, "Met", "Breached"))</f>
        <v/>
      </c>
    </row>
    <row r="5125">
      <c r="M5125" s="11">
        <f>B5125+30</f>
        <v/>
      </c>
      <c r="N5125">
        <f>IF(L5125="", "", L5125-B5125)</f>
        <v/>
      </c>
      <c r="O5125">
        <f>IF(L5125="", "Pending", IF(N5125&lt;=30, "Met", "Breached"))</f>
        <v/>
      </c>
    </row>
    <row r="5126">
      <c r="M5126" s="11">
        <f>B5126+30</f>
        <v/>
      </c>
      <c r="N5126">
        <f>IF(L5126="", "", L5126-B5126)</f>
        <v/>
      </c>
      <c r="O5126">
        <f>IF(L5126="", "Pending", IF(N5126&lt;=30, "Met", "Breached"))</f>
        <v/>
      </c>
    </row>
    <row r="5127">
      <c r="M5127" s="11">
        <f>B5127+30</f>
        <v/>
      </c>
      <c r="N5127">
        <f>IF(L5127="", "", L5127-B5127)</f>
        <v/>
      </c>
      <c r="O5127">
        <f>IF(L5127="", "Pending", IF(N5127&lt;=30, "Met", "Breached"))</f>
        <v/>
      </c>
    </row>
    <row r="5128">
      <c r="M5128" s="11">
        <f>B5128+30</f>
        <v/>
      </c>
      <c r="N5128">
        <f>IF(L5128="", "", L5128-B5128)</f>
        <v/>
      </c>
      <c r="O5128">
        <f>IF(L5128="", "Pending", IF(N5128&lt;=30, "Met", "Breached"))</f>
        <v/>
      </c>
    </row>
    <row r="5129">
      <c r="M5129" s="11">
        <f>B5129+30</f>
        <v/>
      </c>
      <c r="N5129">
        <f>IF(L5129="", "", L5129-B5129)</f>
        <v/>
      </c>
      <c r="O5129">
        <f>IF(L5129="", "Pending", IF(N5129&lt;=30, "Met", "Breached"))</f>
        <v/>
      </c>
    </row>
    <row r="5130">
      <c r="M5130" s="11">
        <f>B5130+30</f>
        <v/>
      </c>
      <c r="N5130">
        <f>IF(L5130="", "", L5130-B5130)</f>
        <v/>
      </c>
      <c r="O5130">
        <f>IF(L5130="", "Pending", IF(N5130&lt;=30, "Met", "Breached"))</f>
        <v/>
      </c>
    </row>
    <row r="5131">
      <c r="M5131" s="11">
        <f>B5131+30</f>
        <v/>
      </c>
      <c r="N5131">
        <f>IF(L5131="", "", L5131-B5131)</f>
        <v/>
      </c>
      <c r="O5131">
        <f>IF(L5131="", "Pending", IF(N5131&lt;=30, "Met", "Breached"))</f>
        <v/>
      </c>
    </row>
    <row r="5132">
      <c r="M5132" s="11">
        <f>B5132+30</f>
        <v/>
      </c>
      <c r="N5132">
        <f>IF(L5132="", "", L5132-B5132)</f>
        <v/>
      </c>
      <c r="O5132">
        <f>IF(L5132="", "Pending", IF(N5132&lt;=30, "Met", "Breached"))</f>
        <v/>
      </c>
    </row>
    <row r="5133">
      <c r="M5133" s="11">
        <f>B5133+30</f>
        <v/>
      </c>
      <c r="N5133">
        <f>IF(L5133="", "", L5133-B5133)</f>
        <v/>
      </c>
      <c r="O5133">
        <f>IF(L5133="", "Pending", IF(N5133&lt;=30, "Met", "Breached"))</f>
        <v/>
      </c>
    </row>
    <row r="5134">
      <c r="M5134" s="11">
        <f>B5134+30</f>
        <v/>
      </c>
      <c r="N5134">
        <f>IF(L5134="", "", L5134-B5134)</f>
        <v/>
      </c>
      <c r="O5134">
        <f>IF(L5134="", "Pending", IF(N5134&lt;=30, "Met", "Breached"))</f>
        <v/>
      </c>
    </row>
    <row r="5135">
      <c r="M5135" s="11">
        <f>B5135+30</f>
        <v/>
      </c>
      <c r="N5135">
        <f>IF(L5135="", "", L5135-B5135)</f>
        <v/>
      </c>
      <c r="O5135">
        <f>IF(L5135="", "Pending", IF(N5135&lt;=30, "Met", "Breached"))</f>
        <v/>
      </c>
    </row>
    <row r="5136">
      <c r="M5136" s="11">
        <f>B5136+30</f>
        <v/>
      </c>
      <c r="N5136">
        <f>IF(L5136="", "", L5136-B5136)</f>
        <v/>
      </c>
      <c r="O5136">
        <f>IF(L5136="", "Pending", IF(N5136&lt;=30, "Met", "Breached"))</f>
        <v/>
      </c>
    </row>
    <row r="5137">
      <c r="M5137" s="11">
        <f>B5137+30</f>
        <v/>
      </c>
      <c r="N5137">
        <f>IF(L5137="", "", L5137-B5137)</f>
        <v/>
      </c>
      <c r="O5137">
        <f>IF(L5137="", "Pending", IF(N5137&lt;=30, "Met", "Breached"))</f>
        <v/>
      </c>
    </row>
    <row r="5138">
      <c r="M5138" s="11">
        <f>B5138+30</f>
        <v/>
      </c>
      <c r="N5138">
        <f>IF(L5138="", "", L5138-B5138)</f>
        <v/>
      </c>
      <c r="O5138">
        <f>IF(L5138="", "Pending", IF(N5138&lt;=30, "Met", "Breached"))</f>
        <v/>
      </c>
    </row>
    <row r="5139">
      <c r="M5139" s="11">
        <f>B5139+30</f>
        <v/>
      </c>
      <c r="N5139">
        <f>IF(L5139="", "", L5139-B5139)</f>
        <v/>
      </c>
      <c r="O5139">
        <f>IF(L5139="", "Pending", IF(N5139&lt;=30, "Met", "Breached"))</f>
        <v/>
      </c>
    </row>
    <row r="5140">
      <c r="M5140" s="11">
        <f>B5140+30</f>
        <v/>
      </c>
      <c r="N5140">
        <f>IF(L5140="", "", L5140-B5140)</f>
        <v/>
      </c>
      <c r="O5140">
        <f>IF(L5140="", "Pending", IF(N5140&lt;=30, "Met", "Breached"))</f>
        <v/>
      </c>
    </row>
    <row r="5141">
      <c r="M5141" s="11">
        <f>B5141+30</f>
        <v/>
      </c>
      <c r="N5141">
        <f>IF(L5141="", "", L5141-B5141)</f>
        <v/>
      </c>
      <c r="O5141">
        <f>IF(L5141="", "Pending", IF(N5141&lt;=30, "Met", "Breached"))</f>
        <v/>
      </c>
    </row>
    <row r="5142">
      <c r="M5142" s="11">
        <f>B5142+30</f>
        <v/>
      </c>
      <c r="N5142">
        <f>IF(L5142="", "", L5142-B5142)</f>
        <v/>
      </c>
      <c r="O5142">
        <f>IF(L5142="", "Pending", IF(N5142&lt;=30, "Met", "Breached"))</f>
        <v/>
      </c>
    </row>
    <row r="5143">
      <c r="M5143" s="11">
        <f>B5143+30</f>
        <v/>
      </c>
      <c r="N5143">
        <f>IF(L5143="", "", L5143-B5143)</f>
        <v/>
      </c>
      <c r="O5143">
        <f>IF(L5143="", "Pending", IF(N5143&lt;=30, "Met", "Breached"))</f>
        <v/>
      </c>
    </row>
    <row r="5144">
      <c r="M5144" s="11">
        <f>B5144+30</f>
        <v/>
      </c>
      <c r="N5144">
        <f>IF(L5144="", "", L5144-B5144)</f>
        <v/>
      </c>
      <c r="O5144">
        <f>IF(L5144="", "Pending", IF(N5144&lt;=30, "Met", "Breached"))</f>
        <v/>
      </c>
    </row>
    <row r="5145">
      <c r="M5145" s="11">
        <f>B5145+30</f>
        <v/>
      </c>
      <c r="N5145">
        <f>IF(L5145="", "", L5145-B5145)</f>
        <v/>
      </c>
      <c r="O5145">
        <f>IF(L5145="", "Pending", IF(N5145&lt;=30, "Met", "Breached"))</f>
        <v/>
      </c>
    </row>
    <row r="5146">
      <c r="M5146" s="11">
        <f>B5146+30</f>
        <v/>
      </c>
      <c r="N5146">
        <f>IF(L5146="", "", L5146-B5146)</f>
        <v/>
      </c>
      <c r="O5146">
        <f>IF(L5146="", "Pending", IF(N5146&lt;=30, "Met", "Breached"))</f>
        <v/>
      </c>
    </row>
    <row r="5147">
      <c r="M5147" s="11">
        <f>B5147+30</f>
        <v/>
      </c>
      <c r="N5147">
        <f>IF(L5147="", "", L5147-B5147)</f>
        <v/>
      </c>
      <c r="O5147">
        <f>IF(L5147="", "Pending", IF(N5147&lt;=30, "Met", "Breached"))</f>
        <v/>
      </c>
    </row>
    <row r="5148">
      <c r="M5148" s="11">
        <f>B5148+30</f>
        <v/>
      </c>
      <c r="N5148">
        <f>IF(L5148="", "", L5148-B5148)</f>
        <v/>
      </c>
      <c r="O5148">
        <f>IF(L5148="", "Pending", IF(N5148&lt;=30, "Met", "Breached"))</f>
        <v/>
      </c>
    </row>
    <row r="5149">
      <c r="M5149" s="11">
        <f>B5149+30</f>
        <v/>
      </c>
      <c r="N5149">
        <f>IF(L5149="", "", L5149-B5149)</f>
        <v/>
      </c>
      <c r="O5149">
        <f>IF(L5149="", "Pending", IF(N5149&lt;=30, "Met", "Breached"))</f>
        <v/>
      </c>
    </row>
    <row r="5150">
      <c r="M5150" s="11">
        <f>B5150+30</f>
        <v/>
      </c>
      <c r="N5150">
        <f>IF(L5150="", "", L5150-B5150)</f>
        <v/>
      </c>
      <c r="O5150">
        <f>IF(L5150="", "Pending", IF(N5150&lt;=30, "Met", "Breached"))</f>
        <v/>
      </c>
    </row>
    <row r="5151">
      <c r="M5151" s="11">
        <f>B5151+30</f>
        <v/>
      </c>
      <c r="N5151">
        <f>IF(L5151="", "", L5151-B5151)</f>
        <v/>
      </c>
      <c r="O5151">
        <f>IF(L5151="", "Pending", IF(N5151&lt;=30, "Met", "Breached"))</f>
        <v/>
      </c>
    </row>
    <row r="5152">
      <c r="M5152" s="11">
        <f>B5152+30</f>
        <v/>
      </c>
      <c r="N5152">
        <f>IF(L5152="", "", L5152-B5152)</f>
        <v/>
      </c>
      <c r="O5152">
        <f>IF(L5152="", "Pending", IF(N5152&lt;=30, "Met", "Breached"))</f>
        <v/>
      </c>
    </row>
    <row r="5153">
      <c r="M5153" s="11">
        <f>B5153+30</f>
        <v/>
      </c>
      <c r="N5153">
        <f>IF(L5153="", "", L5153-B5153)</f>
        <v/>
      </c>
      <c r="O5153">
        <f>IF(L5153="", "Pending", IF(N5153&lt;=30, "Met", "Breached"))</f>
        <v/>
      </c>
    </row>
    <row r="5154">
      <c r="M5154" s="11">
        <f>B5154+30</f>
        <v/>
      </c>
      <c r="N5154">
        <f>IF(L5154="", "", L5154-B5154)</f>
        <v/>
      </c>
      <c r="O5154">
        <f>IF(L5154="", "Pending", IF(N5154&lt;=30, "Met", "Breached"))</f>
        <v/>
      </c>
    </row>
    <row r="5155">
      <c r="M5155" s="11">
        <f>B5155+30</f>
        <v/>
      </c>
      <c r="N5155">
        <f>IF(L5155="", "", L5155-B5155)</f>
        <v/>
      </c>
      <c r="O5155">
        <f>IF(L5155="", "Pending", IF(N5155&lt;=30, "Met", "Breached"))</f>
        <v/>
      </c>
    </row>
    <row r="5156">
      <c r="M5156" s="11">
        <f>B5156+30</f>
        <v/>
      </c>
      <c r="N5156">
        <f>IF(L5156="", "", L5156-B5156)</f>
        <v/>
      </c>
      <c r="O5156">
        <f>IF(L5156="", "Pending", IF(N5156&lt;=30, "Met", "Breached"))</f>
        <v/>
      </c>
    </row>
    <row r="5157">
      <c r="M5157" s="11">
        <f>B5157+30</f>
        <v/>
      </c>
      <c r="N5157">
        <f>IF(L5157="", "", L5157-B5157)</f>
        <v/>
      </c>
      <c r="O5157">
        <f>IF(L5157="", "Pending", IF(N5157&lt;=30, "Met", "Breached"))</f>
        <v/>
      </c>
    </row>
    <row r="5158">
      <c r="M5158" s="11">
        <f>B5158+30</f>
        <v/>
      </c>
      <c r="N5158">
        <f>IF(L5158="", "", L5158-B5158)</f>
        <v/>
      </c>
      <c r="O5158">
        <f>IF(L5158="", "Pending", IF(N5158&lt;=30, "Met", "Breached"))</f>
        <v/>
      </c>
    </row>
    <row r="5159">
      <c r="M5159" s="11">
        <f>B5159+30</f>
        <v/>
      </c>
      <c r="N5159">
        <f>IF(L5159="", "", L5159-B5159)</f>
        <v/>
      </c>
      <c r="O5159">
        <f>IF(L5159="", "Pending", IF(N5159&lt;=30, "Met", "Breached"))</f>
        <v/>
      </c>
    </row>
    <row r="5160">
      <c r="M5160" s="11">
        <f>B5160+30</f>
        <v/>
      </c>
      <c r="N5160">
        <f>IF(L5160="", "", L5160-B5160)</f>
        <v/>
      </c>
      <c r="O5160">
        <f>IF(L5160="", "Pending", IF(N5160&lt;=30, "Met", "Breached"))</f>
        <v/>
      </c>
    </row>
    <row r="5161">
      <c r="M5161" s="11">
        <f>B5161+30</f>
        <v/>
      </c>
      <c r="N5161">
        <f>IF(L5161="", "", L5161-B5161)</f>
        <v/>
      </c>
      <c r="O5161">
        <f>IF(L5161="", "Pending", IF(N5161&lt;=30, "Met", "Breached"))</f>
        <v/>
      </c>
    </row>
    <row r="5162">
      <c r="M5162" s="11">
        <f>B5162+30</f>
        <v/>
      </c>
      <c r="N5162">
        <f>IF(L5162="", "", L5162-B5162)</f>
        <v/>
      </c>
      <c r="O5162">
        <f>IF(L5162="", "Pending", IF(N5162&lt;=30, "Met", "Breached"))</f>
        <v/>
      </c>
    </row>
    <row r="5163">
      <c r="M5163" s="11">
        <f>B5163+30</f>
        <v/>
      </c>
      <c r="N5163">
        <f>IF(L5163="", "", L5163-B5163)</f>
        <v/>
      </c>
      <c r="O5163">
        <f>IF(L5163="", "Pending", IF(N5163&lt;=30, "Met", "Breached"))</f>
        <v/>
      </c>
    </row>
    <row r="5164">
      <c r="M5164" s="11">
        <f>B5164+30</f>
        <v/>
      </c>
      <c r="N5164">
        <f>IF(L5164="", "", L5164-B5164)</f>
        <v/>
      </c>
      <c r="O5164">
        <f>IF(L5164="", "Pending", IF(N5164&lt;=30, "Met", "Breached"))</f>
        <v/>
      </c>
    </row>
    <row r="5165">
      <c r="M5165" s="11">
        <f>B5165+30</f>
        <v/>
      </c>
      <c r="N5165">
        <f>IF(L5165="", "", L5165-B5165)</f>
        <v/>
      </c>
      <c r="O5165">
        <f>IF(L5165="", "Pending", IF(N5165&lt;=30, "Met", "Breached"))</f>
        <v/>
      </c>
    </row>
    <row r="5166">
      <c r="M5166" s="11">
        <f>B5166+30</f>
        <v/>
      </c>
      <c r="N5166">
        <f>IF(L5166="", "", L5166-B5166)</f>
        <v/>
      </c>
      <c r="O5166">
        <f>IF(L5166="", "Pending", IF(N5166&lt;=30, "Met", "Breached"))</f>
        <v/>
      </c>
    </row>
    <row r="5167">
      <c r="M5167" s="11">
        <f>B5167+30</f>
        <v/>
      </c>
      <c r="N5167">
        <f>IF(L5167="", "", L5167-B5167)</f>
        <v/>
      </c>
      <c r="O5167">
        <f>IF(L5167="", "Pending", IF(N5167&lt;=30, "Met", "Breached"))</f>
        <v/>
      </c>
    </row>
    <row r="5168">
      <c r="M5168" s="11">
        <f>B5168+30</f>
        <v/>
      </c>
      <c r="N5168">
        <f>IF(L5168="", "", L5168-B5168)</f>
        <v/>
      </c>
      <c r="O5168">
        <f>IF(L5168="", "Pending", IF(N5168&lt;=30, "Met", "Breached"))</f>
        <v/>
      </c>
    </row>
    <row r="5169">
      <c r="M5169" s="11">
        <f>B5169+30</f>
        <v/>
      </c>
      <c r="N5169">
        <f>IF(L5169="", "", L5169-B5169)</f>
        <v/>
      </c>
      <c r="O5169">
        <f>IF(L5169="", "Pending", IF(N5169&lt;=30, "Met", "Breached"))</f>
        <v/>
      </c>
    </row>
    <row r="5170">
      <c r="M5170" s="11">
        <f>B5170+30</f>
        <v/>
      </c>
      <c r="N5170">
        <f>IF(L5170="", "", L5170-B5170)</f>
        <v/>
      </c>
      <c r="O5170">
        <f>IF(L5170="", "Pending", IF(N5170&lt;=30, "Met", "Breached"))</f>
        <v/>
      </c>
    </row>
    <row r="5171">
      <c r="M5171" s="11">
        <f>B5171+30</f>
        <v/>
      </c>
      <c r="N5171">
        <f>IF(L5171="", "", L5171-B5171)</f>
        <v/>
      </c>
      <c r="O5171">
        <f>IF(L5171="", "Pending", IF(N5171&lt;=30, "Met", "Breached"))</f>
        <v/>
      </c>
    </row>
    <row r="5172">
      <c r="M5172" s="11">
        <f>B5172+30</f>
        <v/>
      </c>
      <c r="N5172">
        <f>IF(L5172="", "", L5172-B5172)</f>
        <v/>
      </c>
      <c r="O5172">
        <f>IF(L5172="", "Pending", IF(N5172&lt;=30, "Met", "Breached"))</f>
        <v/>
      </c>
    </row>
    <row r="5173">
      <c r="M5173" s="11">
        <f>B5173+30</f>
        <v/>
      </c>
      <c r="N5173">
        <f>IF(L5173="", "", L5173-B5173)</f>
        <v/>
      </c>
      <c r="O5173">
        <f>IF(L5173="", "Pending", IF(N5173&lt;=30, "Met", "Breached"))</f>
        <v/>
      </c>
    </row>
    <row r="5174">
      <c r="M5174" s="11">
        <f>B5174+30</f>
        <v/>
      </c>
      <c r="N5174">
        <f>IF(L5174="", "", L5174-B5174)</f>
        <v/>
      </c>
      <c r="O5174">
        <f>IF(L5174="", "Pending", IF(N5174&lt;=30, "Met", "Breached"))</f>
        <v/>
      </c>
    </row>
    <row r="5175">
      <c r="M5175" s="11">
        <f>B5175+30</f>
        <v/>
      </c>
      <c r="N5175">
        <f>IF(L5175="", "", L5175-B5175)</f>
        <v/>
      </c>
      <c r="O5175">
        <f>IF(L5175="", "Pending", IF(N5175&lt;=30, "Met", "Breached"))</f>
        <v/>
      </c>
    </row>
    <row r="5176">
      <c r="M5176" s="11">
        <f>B5176+30</f>
        <v/>
      </c>
      <c r="N5176">
        <f>IF(L5176="", "", L5176-B5176)</f>
        <v/>
      </c>
      <c r="O5176">
        <f>IF(L5176="", "Pending", IF(N5176&lt;=30, "Met", "Breached"))</f>
        <v/>
      </c>
    </row>
    <row r="5177">
      <c r="M5177" s="11">
        <f>B5177+30</f>
        <v/>
      </c>
      <c r="N5177">
        <f>IF(L5177="", "", L5177-B5177)</f>
        <v/>
      </c>
      <c r="O5177">
        <f>IF(L5177="", "Pending", IF(N5177&lt;=30, "Met", "Breached"))</f>
        <v/>
      </c>
    </row>
    <row r="5178">
      <c r="M5178" s="11">
        <f>B5178+30</f>
        <v/>
      </c>
      <c r="N5178">
        <f>IF(L5178="", "", L5178-B5178)</f>
        <v/>
      </c>
      <c r="O5178">
        <f>IF(L5178="", "Pending", IF(N5178&lt;=30, "Met", "Breached"))</f>
        <v/>
      </c>
    </row>
    <row r="5179">
      <c r="M5179" s="11">
        <f>B5179+30</f>
        <v/>
      </c>
      <c r="N5179">
        <f>IF(L5179="", "", L5179-B5179)</f>
        <v/>
      </c>
      <c r="O5179">
        <f>IF(L5179="", "Pending", IF(N5179&lt;=30, "Met", "Breached"))</f>
        <v/>
      </c>
    </row>
    <row r="5180">
      <c r="M5180" s="11">
        <f>B5180+30</f>
        <v/>
      </c>
      <c r="N5180">
        <f>IF(L5180="", "", L5180-B5180)</f>
        <v/>
      </c>
      <c r="O5180">
        <f>IF(L5180="", "Pending", IF(N5180&lt;=30, "Met", "Breached"))</f>
        <v/>
      </c>
    </row>
    <row r="5181">
      <c r="M5181" s="11">
        <f>B5181+30</f>
        <v/>
      </c>
      <c r="N5181">
        <f>IF(L5181="", "", L5181-B5181)</f>
        <v/>
      </c>
      <c r="O5181">
        <f>IF(L5181="", "Pending", IF(N5181&lt;=30, "Met", "Breached"))</f>
        <v/>
      </c>
    </row>
    <row r="5182">
      <c r="M5182" s="11">
        <f>B5182+30</f>
        <v/>
      </c>
      <c r="N5182">
        <f>IF(L5182="", "", L5182-B5182)</f>
        <v/>
      </c>
      <c r="O5182">
        <f>IF(L5182="", "Pending", IF(N5182&lt;=30, "Met", "Breached"))</f>
        <v/>
      </c>
    </row>
    <row r="5183">
      <c r="M5183" s="11">
        <f>B5183+30</f>
        <v/>
      </c>
      <c r="N5183">
        <f>IF(L5183="", "", L5183-B5183)</f>
        <v/>
      </c>
      <c r="O5183">
        <f>IF(L5183="", "Pending", IF(N5183&lt;=30, "Met", "Breached"))</f>
        <v/>
      </c>
    </row>
    <row r="5184">
      <c r="M5184" s="11">
        <f>B5184+30</f>
        <v/>
      </c>
      <c r="N5184">
        <f>IF(L5184="", "", L5184-B5184)</f>
        <v/>
      </c>
      <c r="O5184">
        <f>IF(L5184="", "Pending", IF(N5184&lt;=30, "Met", "Breached"))</f>
        <v/>
      </c>
    </row>
    <row r="5185">
      <c r="M5185" s="11">
        <f>B5185+30</f>
        <v/>
      </c>
      <c r="N5185">
        <f>IF(L5185="", "", L5185-B5185)</f>
        <v/>
      </c>
      <c r="O5185">
        <f>IF(L5185="", "Pending", IF(N5185&lt;=30, "Met", "Breached"))</f>
        <v/>
      </c>
    </row>
    <row r="5186">
      <c r="M5186" s="11">
        <f>B5186+30</f>
        <v/>
      </c>
      <c r="N5186">
        <f>IF(L5186="", "", L5186-B5186)</f>
        <v/>
      </c>
      <c r="O5186">
        <f>IF(L5186="", "Pending", IF(N5186&lt;=30, "Met", "Breached"))</f>
        <v/>
      </c>
    </row>
    <row r="5187">
      <c r="M5187" s="11">
        <f>B5187+30</f>
        <v/>
      </c>
      <c r="N5187">
        <f>IF(L5187="", "", L5187-B5187)</f>
        <v/>
      </c>
      <c r="O5187">
        <f>IF(L5187="", "Pending", IF(N5187&lt;=30, "Met", "Breached"))</f>
        <v/>
      </c>
    </row>
    <row r="5188">
      <c r="M5188" s="11">
        <f>B5188+30</f>
        <v/>
      </c>
      <c r="N5188">
        <f>IF(L5188="", "", L5188-B5188)</f>
        <v/>
      </c>
      <c r="O5188">
        <f>IF(L5188="", "Pending", IF(N5188&lt;=30, "Met", "Breached"))</f>
        <v/>
      </c>
    </row>
    <row r="5189">
      <c r="M5189" s="11">
        <f>B5189+30</f>
        <v/>
      </c>
      <c r="N5189">
        <f>IF(L5189="", "", L5189-B5189)</f>
        <v/>
      </c>
      <c r="O5189">
        <f>IF(L5189="", "Pending", IF(N5189&lt;=30, "Met", "Breached"))</f>
        <v/>
      </c>
    </row>
    <row r="5190">
      <c r="M5190" s="11">
        <f>B5190+30</f>
        <v/>
      </c>
      <c r="N5190">
        <f>IF(L5190="", "", L5190-B5190)</f>
        <v/>
      </c>
      <c r="O5190">
        <f>IF(L5190="", "Pending", IF(N5190&lt;=30, "Met", "Breached"))</f>
        <v/>
      </c>
    </row>
    <row r="5191">
      <c r="M5191" s="11">
        <f>B5191+30</f>
        <v/>
      </c>
      <c r="N5191">
        <f>IF(L5191="", "", L5191-B5191)</f>
        <v/>
      </c>
      <c r="O5191">
        <f>IF(L5191="", "Pending", IF(N5191&lt;=30, "Met", "Breached"))</f>
        <v/>
      </c>
    </row>
    <row r="5192">
      <c r="M5192" s="11">
        <f>B5192+30</f>
        <v/>
      </c>
      <c r="N5192">
        <f>IF(L5192="", "", L5192-B5192)</f>
        <v/>
      </c>
      <c r="O5192">
        <f>IF(L5192="", "Pending", IF(N5192&lt;=30, "Met", "Breached"))</f>
        <v/>
      </c>
    </row>
    <row r="5193">
      <c r="M5193" s="11">
        <f>B5193+30</f>
        <v/>
      </c>
      <c r="N5193">
        <f>IF(L5193="", "", L5193-B5193)</f>
        <v/>
      </c>
      <c r="O5193">
        <f>IF(L5193="", "Pending", IF(N5193&lt;=30, "Met", "Breached"))</f>
        <v/>
      </c>
    </row>
    <row r="5194">
      <c r="M5194" s="11">
        <f>B5194+30</f>
        <v/>
      </c>
      <c r="N5194">
        <f>IF(L5194="", "", L5194-B5194)</f>
        <v/>
      </c>
      <c r="O5194">
        <f>IF(L5194="", "Pending", IF(N5194&lt;=30, "Met", "Breached"))</f>
        <v/>
      </c>
    </row>
    <row r="5195">
      <c r="M5195" s="11">
        <f>B5195+30</f>
        <v/>
      </c>
      <c r="N5195">
        <f>IF(L5195="", "", L5195-B5195)</f>
        <v/>
      </c>
      <c r="O5195">
        <f>IF(L5195="", "Pending", IF(N5195&lt;=30, "Met", "Breached"))</f>
        <v/>
      </c>
    </row>
    <row r="5196">
      <c r="M5196" s="11">
        <f>B5196+30</f>
        <v/>
      </c>
      <c r="N5196">
        <f>IF(L5196="", "", L5196-B5196)</f>
        <v/>
      </c>
      <c r="O5196">
        <f>IF(L5196="", "Pending", IF(N5196&lt;=30, "Met", "Breached"))</f>
        <v/>
      </c>
    </row>
    <row r="5197">
      <c r="M5197" s="11">
        <f>B5197+30</f>
        <v/>
      </c>
      <c r="N5197">
        <f>IF(L5197="", "", L5197-B5197)</f>
        <v/>
      </c>
      <c r="O5197">
        <f>IF(L5197="", "Pending", IF(N5197&lt;=30, "Met", "Breached"))</f>
        <v/>
      </c>
    </row>
    <row r="5198">
      <c r="M5198" s="11">
        <f>B5198+30</f>
        <v/>
      </c>
      <c r="N5198">
        <f>IF(L5198="", "", L5198-B5198)</f>
        <v/>
      </c>
      <c r="O5198">
        <f>IF(L5198="", "Pending", IF(N5198&lt;=30, "Met", "Breached"))</f>
        <v/>
      </c>
    </row>
    <row r="5199">
      <c r="M5199" s="11">
        <f>B5199+30</f>
        <v/>
      </c>
      <c r="N5199">
        <f>IF(L5199="", "", L5199-B5199)</f>
        <v/>
      </c>
      <c r="O5199">
        <f>IF(L5199="", "Pending", IF(N5199&lt;=30, "Met", "Breached"))</f>
        <v/>
      </c>
    </row>
    <row r="5200">
      <c r="M5200" s="11">
        <f>B5200+30</f>
        <v/>
      </c>
      <c r="N5200">
        <f>IF(L5200="", "", L5200-B5200)</f>
        <v/>
      </c>
      <c r="O5200">
        <f>IF(L5200="", "Pending", IF(N5200&lt;=30, "Met", "Breached"))</f>
        <v/>
      </c>
    </row>
    <row r="5201">
      <c r="M5201" s="11">
        <f>B5201+30</f>
        <v/>
      </c>
      <c r="N5201">
        <f>IF(L5201="", "", L5201-B5201)</f>
        <v/>
      </c>
      <c r="O5201">
        <f>IF(L5201="", "Pending", IF(N5201&lt;=30, "Met", "Breached"))</f>
        <v/>
      </c>
    </row>
    <row r="5202">
      <c r="M5202" s="11">
        <f>B5202+30</f>
        <v/>
      </c>
      <c r="N5202">
        <f>IF(L5202="", "", L5202-B5202)</f>
        <v/>
      </c>
      <c r="O5202">
        <f>IF(L5202="", "Pending", IF(N5202&lt;=30, "Met", "Breached"))</f>
        <v/>
      </c>
    </row>
    <row r="5203">
      <c r="M5203" s="11">
        <f>B5203+30</f>
        <v/>
      </c>
      <c r="N5203">
        <f>IF(L5203="", "", L5203-B5203)</f>
        <v/>
      </c>
      <c r="O5203">
        <f>IF(L5203="", "Pending", IF(N5203&lt;=30, "Met", "Breached"))</f>
        <v/>
      </c>
    </row>
    <row r="5204">
      <c r="M5204" s="11">
        <f>B5204+30</f>
        <v/>
      </c>
      <c r="N5204">
        <f>IF(L5204="", "", L5204-B5204)</f>
        <v/>
      </c>
      <c r="O5204">
        <f>IF(L5204="", "Pending", IF(N5204&lt;=30, "Met", "Breached"))</f>
        <v/>
      </c>
    </row>
    <row r="5205">
      <c r="M5205" s="11">
        <f>B5205+30</f>
        <v/>
      </c>
      <c r="N5205">
        <f>IF(L5205="", "", L5205-B5205)</f>
        <v/>
      </c>
      <c r="O5205">
        <f>IF(L5205="", "Pending", IF(N5205&lt;=30, "Met", "Breached"))</f>
        <v/>
      </c>
    </row>
    <row r="5206">
      <c r="M5206" s="11">
        <f>B5206+30</f>
        <v/>
      </c>
      <c r="N5206">
        <f>IF(L5206="", "", L5206-B5206)</f>
        <v/>
      </c>
      <c r="O5206">
        <f>IF(L5206="", "Pending", IF(N5206&lt;=30, "Met", "Breached"))</f>
        <v/>
      </c>
    </row>
    <row r="5207">
      <c r="M5207" s="11">
        <f>B5207+30</f>
        <v/>
      </c>
      <c r="N5207">
        <f>IF(L5207="", "", L5207-B5207)</f>
        <v/>
      </c>
      <c r="O5207">
        <f>IF(L5207="", "Pending", IF(N5207&lt;=30, "Met", "Breached"))</f>
        <v/>
      </c>
    </row>
    <row r="5208">
      <c r="M5208" s="11">
        <f>B5208+30</f>
        <v/>
      </c>
      <c r="N5208">
        <f>IF(L5208="", "", L5208-B5208)</f>
        <v/>
      </c>
      <c r="O5208">
        <f>IF(L5208="", "Pending", IF(N5208&lt;=30, "Met", "Breached"))</f>
        <v/>
      </c>
    </row>
    <row r="5209">
      <c r="M5209" s="11">
        <f>B5209+30</f>
        <v/>
      </c>
      <c r="N5209">
        <f>IF(L5209="", "", L5209-B5209)</f>
        <v/>
      </c>
      <c r="O5209">
        <f>IF(L5209="", "Pending", IF(N5209&lt;=30, "Met", "Breached"))</f>
        <v/>
      </c>
    </row>
    <row r="5210">
      <c r="M5210" s="11">
        <f>B5210+30</f>
        <v/>
      </c>
      <c r="N5210">
        <f>IF(L5210="", "", L5210-B5210)</f>
        <v/>
      </c>
      <c r="O5210">
        <f>IF(L5210="", "Pending", IF(N5210&lt;=30, "Met", "Breached"))</f>
        <v/>
      </c>
    </row>
    <row r="5211">
      <c r="M5211" s="11">
        <f>B5211+30</f>
        <v/>
      </c>
      <c r="N5211">
        <f>IF(L5211="", "", L5211-B5211)</f>
        <v/>
      </c>
      <c r="O5211">
        <f>IF(L5211="", "Pending", IF(N5211&lt;=30, "Met", "Breached"))</f>
        <v/>
      </c>
    </row>
    <row r="5212">
      <c r="M5212" s="11">
        <f>B5212+30</f>
        <v/>
      </c>
      <c r="N5212">
        <f>IF(L5212="", "", L5212-B5212)</f>
        <v/>
      </c>
      <c r="O5212">
        <f>IF(L5212="", "Pending", IF(N5212&lt;=30, "Met", "Breached"))</f>
        <v/>
      </c>
    </row>
    <row r="5213">
      <c r="M5213" s="11">
        <f>B5213+30</f>
        <v/>
      </c>
      <c r="N5213">
        <f>IF(L5213="", "", L5213-B5213)</f>
        <v/>
      </c>
      <c r="O5213">
        <f>IF(L5213="", "Pending", IF(N5213&lt;=30, "Met", "Breached"))</f>
        <v/>
      </c>
    </row>
    <row r="5214">
      <c r="M5214" s="11">
        <f>B5214+30</f>
        <v/>
      </c>
      <c r="N5214">
        <f>IF(L5214="", "", L5214-B5214)</f>
        <v/>
      </c>
      <c r="O5214">
        <f>IF(L5214="", "Pending", IF(N5214&lt;=30, "Met", "Breached"))</f>
        <v/>
      </c>
    </row>
    <row r="5215">
      <c r="M5215" s="11">
        <f>B5215+30</f>
        <v/>
      </c>
      <c r="N5215">
        <f>IF(L5215="", "", L5215-B5215)</f>
        <v/>
      </c>
      <c r="O5215">
        <f>IF(L5215="", "Pending", IF(N5215&lt;=30, "Met", "Breached"))</f>
        <v/>
      </c>
    </row>
    <row r="5216">
      <c r="M5216" s="11">
        <f>B5216+30</f>
        <v/>
      </c>
      <c r="N5216">
        <f>IF(L5216="", "", L5216-B5216)</f>
        <v/>
      </c>
      <c r="O5216">
        <f>IF(L5216="", "Pending", IF(N5216&lt;=30, "Met", "Breached"))</f>
        <v/>
      </c>
    </row>
    <row r="5217">
      <c r="M5217" s="11">
        <f>B5217+30</f>
        <v/>
      </c>
      <c r="N5217">
        <f>IF(L5217="", "", L5217-B5217)</f>
        <v/>
      </c>
      <c r="O5217">
        <f>IF(L5217="", "Pending", IF(N5217&lt;=30, "Met", "Breached"))</f>
        <v/>
      </c>
    </row>
    <row r="5218">
      <c r="M5218" s="11">
        <f>B5218+30</f>
        <v/>
      </c>
      <c r="N5218">
        <f>IF(L5218="", "", L5218-B5218)</f>
        <v/>
      </c>
      <c r="O5218">
        <f>IF(L5218="", "Pending", IF(N5218&lt;=30, "Met", "Breached"))</f>
        <v/>
      </c>
    </row>
    <row r="5219">
      <c r="M5219" s="11">
        <f>B5219+30</f>
        <v/>
      </c>
      <c r="N5219">
        <f>IF(L5219="", "", L5219-B5219)</f>
        <v/>
      </c>
      <c r="O5219">
        <f>IF(L5219="", "Pending", IF(N5219&lt;=30, "Met", "Breached"))</f>
        <v/>
      </c>
    </row>
    <row r="5220">
      <c r="M5220" s="11">
        <f>B5220+30</f>
        <v/>
      </c>
      <c r="N5220">
        <f>IF(L5220="", "", L5220-B5220)</f>
        <v/>
      </c>
      <c r="O5220">
        <f>IF(L5220="", "Pending", IF(N5220&lt;=30, "Met", "Breached"))</f>
        <v/>
      </c>
    </row>
    <row r="5221">
      <c r="M5221" s="11">
        <f>B5221+30</f>
        <v/>
      </c>
      <c r="N5221">
        <f>IF(L5221="", "", L5221-B5221)</f>
        <v/>
      </c>
      <c r="O5221">
        <f>IF(L5221="", "Pending", IF(N5221&lt;=30, "Met", "Breached"))</f>
        <v/>
      </c>
    </row>
    <row r="5222">
      <c r="M5222" s="11">
        <f>B5222+30</f>
        <v/>
      </c>
      <c r="N5222">
        <f>IF(L5222="", "", L5222-B5222)</f>
        <v/>
      </c>
      <c r="O5222">
        <f>IF(L5222="", "Pending", IF(N5222&lt;=30, "Met", "Breached"))</f>
        <v/>
      </c>
    </row>
    <row r="5223">
      <c r="M5223" s="11">
        <f>B5223+30</f>
        <v/>
      </c>
      <c r="N5223">
        <f>IF(L5223="", "", L5223-B5223)</f>
        <v/>
      </c>
      <c r="O5223">
        <f>IF(L5223="", "Pending", IF(N5223&lt;=30, "Met", "Breached"))</f>
        <v/>
      </c>
    </row>
    <row r="5224">
      <c r="M5224" s="11">
        <f>B5224+30</f>
        <v/>
      </c>
      <c r="N5224">
        <f>IF(L5224="", "", L5224-B5224)</f>
        <v/>
      </c>
      <c r="O5224">
        <f>IF(L5224="", "Pending", IF(N5224&lt;=30, "Met", "Breached"))</f>
        <v/>
      </c>
    </row>
    <row r="5225">
      <c r="M5225" s="11">
        <f>B5225+30</f>
        <v/>
      </c>
      <c r="N5225">
        <f>IF(L5225="", "", L5225-B5225)</f>
        <v/>
      </c>
      <c r="O5225">
        <f>IF(L5225="", "Pending", IF(N5225&lt;=30, "Met", "Breached"))</f>
        <v/>
      </c>
    </row>
    <row r="5226">
      <c r="M5226" s="11">
        <f>B5226+30</f>
        <v/>
      </c>
      <c r="N5226">
        <f>IF(L5226="", "", L5226-B5226)</f>
        <v/>
      </c>
      <c r="O5226">
        <f>IF(L5226="", "Pending", IF(N5226&lt;=30, "Met", "Breached"))</f>
        <v/>
      </c>
    </row>
    <row r="5227">
      <c r="M5227" s="11">
        <f>B5227+30</f>
        <v/>
      </c>
      <c r="N5227">
        <f>IF(L5227="", "", L5227-B5227)</f>
        <v/>
      </c>
      <c r="O5227">
        <f>IF(L5227="", "Pending", IF(N5227&lt;=30, "Met", "Breached"))</f>
        <v/>
      </c>
    </row>
    <row r="5228">
      <c r="M5228" s="11">
        <f>B5228+30</f>
        <v/>
      </c>
      <c r="N5228">
        <f>IF(L5228="", "", L5228-B5228)</f>
        <v/>
      </c>
      <c r="O5228">
        <f>IF(L5228="", "Pending", IF(N5228&lt;=30, "Met", "Breached"))</f>
        <v/>
      </c>
    </row>
    <row r="5229">
      <c r="M5229" s="11">
        <f>B5229+30</f>
        <v/>
      </c>
      <c r="N5229">
        <f>IF(L5229="", "", L5229-B5229)</f>
        <v/>
      </c>
      <c r="O5229">
        <f>IF(L5229="", "Pending", IF(N5229&lt;=30, "Met", "Breached"))</f>
        <v/>
      </c>
    </row>
    <row r="5230">
      <c r="M5230" s="11">
        <f>B5230+30</f>
        <v/>
      </c>
      <c r="N5230">
        <f>IF(L5230="", "", L5230-B5230)</f>
        <v/>
      </c>
      <c r="O5230">
        <f>IF(L5230="", "Pending", IF(N5230&lt;=30, "Met", "Breached"))</f>
        <v/>
      </c>
    </row>
    <row r="5231">
      <c r="M5231" s="11">
        <f>B5231+30</f>
        <v/>
      </c>
      <c r="N5231">
        <f>IF(L5231="", "", L5231-B5231)</f>
        <v/>
      </c>
      <c r="O5231">
        <f>IF(L5231="", "Pending", IF(N5231&lt;=30, "Met", "Breached"))</f>
        <v/>
      </c>
    </row>
    <row r="5232">
      <c r="M5232" s="11">
        <f>B5232+30</f>
        <v/>
      </c>
      <c r="N5232">
        <f>IF(L5232="", "", L5232-B5232)</f>
        <v/>
      </c>
      <c r="O5232">
        <f>IF(L5232="", "Pending", IF(N5232&lt;=30, "Met", "Breached"))</f>
        <v/>
      </c>
    </row>
    <row r="5233">
      <c r="M5233" s="11">
        <f>B5233+30</f>
        <v/>
      </c>
      <c r="N5233">
        <f>IF(L5233="", "", L5233-B5233)</f>
        <v/>
      </c>
      <c r="O5233">
        <f>IF(L5233="", "Pending", IF(N5233&lt;=30, "Met", "Breached"))</f>
        <v/>
      </c>
    </row>
    <row r="5234">
      <c r="M5234" s="11">
        <f>B5234+30</f>
        <v/>
      </c>
      <c r="N5234">
        <f>IF(L5234="", "", L5234-B5234)</f>
        <v/>
      </c>
      <c r="O5234">
        <f>IF(L5234="", "Pending", IF(N5234&lt;=30, "Met", "Breached"))</f>
        <v/>
      </c>
    </row>
    <row r="5235">
      <c r="M5235" s="11">
        <f>B5235+30</f>
        <v/>
      </c>
      <c r="N5235">
        <f>IF(L5235="", "", L5235-B5235)</f>
        <v/>
      </c>
      <c r="O5235">
        <f>IF(L5235="", "Pending", IF(N5235&lt;=30, "Met", "Breached"))</f>
        <v/>
      </c>
    </row>
    <row r="5236">
      <c r="M5236" s="11">
        <f>B5236+30</f>
        <v/>
      </c>
      <c r="N5236">
        <f>IF(L5236="", "", L5236-B5236)</f>
        <v/>
      </c>
      <c r="O5236">
        <f>IF(L5236="", "Pending", IF(N5236&lt;=30, "Met", "Breached"))</f>
        <v/>
      </c>
    </row>
    <row r="5237">
      <c r="M5237" s="11">
        <f>B5237+30</f>
        <v/>
      </c>
      <c r="N5237">
        <f>IF(L5237="", "", L5237-B5237)</f>
        <v/>
      </c>
      <c r="O5237">
        <f>IF(L5237="", "Pending", IF(N5237&lt;=30, "Met", "Breached"))</f>
        <v/>
      </c>
    </row>
    <row r="5238">
      <c r="M5238" s="11">
        <f>B5238+30</f>
        <v/>
      </c>
      <c r="N5238">
        <f>IF(L5238="", "", L5238-B5238)</f>
        <v/>
      </c>
      <c r="O5238">
        <f>IF(L5238="", "Pending", IF(N5238&lt;=30, "Met", "Breached"))</f>
        <v/>
      </c>
    </row>
    <row r="5239">
      <c r="M5239" s="11">
        <f>B5239+30</f>
        <v/>
      </c>
      <c r="N5239">
        <f>IF(L5239="", "", L5239-B5239)</f>
        <v/>
      </c>
      <c r="O5239">
        <f>IF(L5239="", "Pending", IF(N5239&lt;=30, "Met", "Breached"))</f>
        <v/>
      </c>
    </row>
    <row r="5240">
      <c r="M5240" s="11">
        <f>B5240+30</f>
        <v/>
      </c>
      <c r="N5240">
        <f>IF(L5240="", "", L5240-B5240)</f>
        <v/>
      </c>
      <c r="O5240">
        <f>IF(L5240="", "Pending", IF(N5240&lt;=30, "Met", "Breached"))</f>
        <v/>
      </c>
    </row>
    <row r="5241">
      <c r="M5241" s="11">
        <f>B5241+30</f>
        <v/>
      </c>
      <c r="N5241">
        <f>IF(L5241="", "", L5241-B5241)</f>
        <v/>
      </c>
      <c r="O5241">
        <f>IF(L5241="", "Pending", IF(N5241&lt;=30, "Met", "Breached"))</f>
        <v/>
      </c>
    </row>
    <row r="5242">
      <c r="M5242" s="11">
        <f>B5242+30</f>
        <v/>
      </c>
      <c r="N5242">
        <f>IF(L5242="", "", L5242-B5242)</f>
        <v/>
      </c>
      <c r="O5242">
        <f>IF(L5242="", "Pending", IF(N5242&lt;=30, "Met", "Breached"))</f>
        <v/>
      </c>
    </row>
    <row r="5243">
      <c r="M5243" s="11">
        <f>B5243+30</f>
        <v/>
      </c>
      <c r="N5243">
        <f>IF(L5243="", "", L5243-B5243)</f>
        <v/>
      </c>
      <c r="O5243">
        <f>IF(L5243="", "Pending", IF(N5243&lt;=30, "Met", "Breached"))</f>
        <v/>
      </c>
    </row>
    <row r="5244">
      <c r="M5244" s="11">
        <f>B5244+30</f>
        <v/>
      </c>
      <c r="N5244">
        <f>IF(L5244="", "", L5244-B5244)</f>
        <v/>
      </c>
      <c r="O5244">
        <f>IF(L5244="", "Pending", IF(N5244&lt;=30, "Met", "Breached"))</f>
        <v/>
      </c>
    </row>
    <row r="5245">
      <c r="M5245" s="11">
        <f>B5245+30</f>
        <v/>
      </c>
      <c r="N5245">
        <f>IF(L5245="", "", L5245-B5245)</f>
        <v/>
      </c>
      <c r="O5245">
        <f>IF(L5245="", "Pending", IF(N5245&lt;=30, "Met", "Breached"))</f>
        <v/>
      </c>
    </row>
    <row r="5246">
      <c r="M5246" s="11">
        <f>B5246+30</f>
        <v/>
      </c>
      <c r="N5246">
        <f>IF(L5246="", "", L5246-B5246)</f>
        <v/>
      </c>
      <c r="O5246">
        <f>IF(L5246="", "Pending", IF(N5246&lt;=30, "Met", "Breached"))</f>
        <v/>
      </c>
    </row>
    <row r="5247">
      <c r="M5247" s="11">
        <f>B5247+30</f>
        <v/>
      </c>
      <c r="N5247">
        <f>IF(L5247="", "", L5247-B5247)</f>
        <v/>
      </c>
      <c r="O5247">
        <f>IF(L5247="", "Pending", IF(N5247&lt;=30, "Met", "Breached"))</f>
        <v/>
      </c>
    </row>
    <row r="5248">
      <c r="M5248" s="11">
        <f>B5248+30</f>
        <v/>
      </c>
      <c r="N5248">
        <f>IF(L5248="", "", L5248-B5248)</f>
        <v/>
      </c>
      <c r="O5248">
        <f>IF(L5248="", "Pending", IF(N5248&lt;=30, "Met", "Breached"))</f>
        <v/>
      </c>
    </row>
    <row r="5249">
      <c r="M5249" s="11">
        <f>B5249+30</f>
        <v/>
      </c>
      <c r="N5249">
        <f>IF(L5249="", "", L5249-B5249)</f>
        <v/>
      </c>
      <c r="O5249">
        <f>IF(L5249="", "Pending", IF(N5249&lt;=30, "Met", "Breached"))</f>
        <v/>
      </c>
    </row>
    <row r="5250">
      <c r="M5250" s="11">
        <f>B5250+30</f>
        <v/>
      </c>
      <c r="N5250">
        <f>IF(L5250="", "", L5250-B5250)</f>
        <v/>
      </c>
      <c r="O5250">
        <f>IF(L5250="", "Pending", IF(N5250&lt;=30, "Met", "Breached"))</f>
        <v/>
      </c>
    </row>
    <row r="5251">
      <c r="M5251" s="11">
        <f>B5251+30</f>
        <v/>
      </c>
      <c r="N5251">
        <f>IF(L5251="", "", L5251-B5251)</f>
        <v/>
      </c>
      <c r="O5251">
        <f>IF(L5251="", "Pending", IF(N5251&lt;=30, "Met", "Breached"))</f>
        <v/>
      </c>
    </row>
    <row r="5252">
      <c r="M5252" s="11">
        <f>B5252+30</f>
        <v/>
      </c>
      <c r="N5252">
        <f>IF(L5252="", "", L5252-B5252)</f>
        <v/>
      </c>
      <c r="O5252">
        <f>IF(L5252="", "Pending", IF(N5252&lt;=30, "Met", "Breached"))</f>
        <v/>
      </c>
    </row>
    <row r="5253">
      <c r="M5253" s="11">
        <f>B5253+30</f>
        <v/>
      </c>
      <c r="N5253">
        <f>IF(L5253="", "", L5253-B5253)</f>
        <v/>
      </c>
      <c r="O5253">
        <f>IF(L5253="", "Pending", IF(N5253&lt;=30, "Met", "Breached"))</f>
        <v/>
      </c>
    </row>
    <row r="5254">
      <c r="M5254" s="11">
        <f>B5254+30</f>
        <v/>
      </c>
      <c r="N5254">
        <f>IF(L5254="", "", L5254-B5254)</f>
        <v/>
      </c>
      <c r="O5254">
        <f>IF(L5254="", "Pending", IF(N5254&lt;=30, "Met", "Breached"))</f>
        <v/>
      </c>
    </row>
    <row r="5255">
      <c r="M5255" s="11">
        <f>B5255+30</f>
        <v/>
      </c>
      <c r="N5255">
        <f>IF(L5255="", "", L5255-B5255)</f>
        <v/>
      </c>
      <c r="O5255">
        <f>IF(L5255="", "Pending", IF(N5255&lt;=30, "Met", "Breached"))</f>
        <v/>
      </c>
    </row>
    <row r="5256">
      <c r="M5256" s="11">
        <f>B5256+30</f>
        <v/>
      </c>
      <c r="N5256">
        <f>IF(L5256="", "", L5256-B5256)</f>
        <v/>
      </c>
      <c r="O5256">
        <f>IF(L5256="", "Pending", IF(N5256&lt;=30, "Met", "Breached"))</f>
        <v/>
      </c>
    </row>
    <row r="5257">
      <c r="M5257" s="11">
        <f>B5257+30</f>
        <v/>
      </c>
      <c r="N5257">
        <f>IF(L5257="", "", L5257-B5257)</f>
        <v/>
      </c>
      <c r="O5257">
        <f>IF(L5257="", "Pending", IF(N5257&lt;=30, "Met", "Breached"))</f>
        <v/>
      </c>
    </row>
    <row r="5258">
      <c r="M5258" s="11">
        <f>B5258+30</f>
        <v/>
      </c>
      <c r="N5258">
        <f>IF(L5258="", "", L5258-B5258)</f>
        <v/>
      </c>
      <c r="O5258">
        <f>IF(L5258="", "Pending", IF(N5258&lt;=30, "Met", "Breached"))</f>
        <v/>
      </c>
    </row>
    <row r="5259">
      <c r="M5259" s="11">
        <f>B5259+30</f>
        <v/>
      </c>
      <c r="N5259">
        <f>IF(L5259="", "", L5259-B5259)</f>
        <v/>
      </c>
      <c r="O5259">
        <f>IF(L5259="", "Pending", IF(N5259&lt;=30, "Met", "Breached"))</f>
        <v/>
      </c>
    </row>
    <row r="5260">
      <c r="M5260" s="11">
        <f>B5260+30</f>
        <v/>
      </c>
      <c r="N5260">
        <f>IF(L5260="", "", L5260-B5260)</f>
        <v/>
      </c>
      <c r="O5260">
        <f>IF(L5260="", "Pending", IF(N5260&lt;=30, "Met", "Breached"))</f>
        <v/>
      </c>
    </row>
    <row r="5261">
      <c r="M5261" s="11">
        <f>B5261+30</f>
        <v/>
      </c>
      <c r="N5261">
        <f>IF(L5261="", "", L5261-B5261)</f>
        <v/>
      </c>
      <c r="O5261">
        <f>IF(L5261="", "Pending", IF(N5261&lt;=30, "Met", "Breached"))</f>
        <v/>
      </c>
    </row>
    <row r="5262">
      <c r="M5262" s="11">
        <f>B5262+30</f>
        <v/>
      </c>
      <c r="N5262">
        <f>IF(L5262="", "", L5262-B5262)</f>
        <v/>
      </c>
      <c r="O5262">
        <f>IF(L5262="", "Pending", IF(N5262&lt;=30, "Met", "Breached"))</f>
        <v/>
      </c>
    </row>
    <row r="5263">
      <c r="M5263" s="11">
        <f>B5263+30</f>
        <v/>
      </c>
      <c r="N5263">
        <f>IF(L5263="", "", L5263-B5263)</f>
        <v/>
      </c>
      <c r="O5263">
        <f>IF(L5263="", "Pending", IF(N5263&lt;=30, "Met", "Breached"))</f>
        <v/>
      </c>
    </row>
    <row r="5264">
      <c r="M5264" s="11">
        <f>B5264+30</f>
        <v/>
      </c>
      <c r="N5264">
        <f>IF(L5264="", "", L5264-B5264)</f>
        <v/>
      </c>
      <c r="O5264">
        <f>IF(L5264="", "Pending", IF(N5264&lt;=30, "Met", "Breached"))</f>
        <v/>
      </c>
    </row>
    <row r="5265">
      <c r="M5265" s="11">
        <f>B5265+30</f>
        <v/>
      </c>
      <c r="N5265">
        <f>IF(L5265="", "", L5265-B5265)</f>
        <v/>
      </c>
      <c r="O5265">
        <f>IF(L5265="", "Pending", IF(N5265&lt;=30, "Met", "Breached"))</f>
        <v/>
      </c>
    </row>
    <row r="5266">
      <c r="M5266" s="11">
        <f>B5266+30</f>
        <v/>
      </c>
      <c r="N5266">
        <f>IF(L5266="", "", L5266-B5266)</f>
        <v/>
      </c>
      <c r="O5266">
        <f>IF(L5266="", "Pending", IF(N5266&lt;=30, "Met", "Breached"))</f>
        <v/>
      </c>
    </row>
    <row r="5267">
      <c r="M5267" s="11">
        <f>B5267+30</f>
        <v/>
      </c>
      <c r="N5267">
        <f>IF(L5267="", "", L5267-B5267)</f>
        <v/>
      </c>
      <c r="O5267">
        <f>IF(L5267="", "Pending", IF(N5267&lt;=30, "Met", "Breached"))</f>
        <v/>
      </c>
    </row>
    <row r="5268">
      <c r="M5268" s="11">
        <f>B5268+30</f>
        <v/>
      </c>
      <c r="N5268">
        <f>IF(L5268="", "", L5268-B5268)</f>
        <v/>
      </c>
      <c r="O5268">
        <f>IF(L5268="", "Pending", IF(N5268&lt;=30, "Met", "Breached"))</f>
        <v/>
      </c>
    </row>
    <row r="5269">
      <c r="M5269" s="11">
        <f>B5269+30</f>
        <v/>
      </c>
      <c r="N5269">
        <f>IF(L5269="", "", L5269-B5269)</f>
        <v/>
      </c>
      <c r="O5269">
        <f>IF(L5269="", "Pending", IF(N5269&lt;=30, "Met", "Breached"))</f>
        <v/>
      </c>
    </row>
    <row r="5270">
      <c r="M5270" s="11">
        <f>B5270+30</f>
        <v/>
      </c>
      <c r="N5270">
        <f>IF(L5270="", "", L5270-B5270)</f>
        <v/>
      </c>
      <c r="O5270">
        <f>IF(L5270="", "Pending", IF(N5270&lt;=30, "Met", "Breached"))</f>
        <v/>
      </c>
    </row>
    <row r="5271">
      <c r="M5271" s="11">
        <f>B5271+30</f>
        <v/>
      </c>
      <c r="N5271">
        <f>IF(L5271="", "", L5271-B5271)</f>
        <v/>
      </c>
      <c r="O5271">
        <f>IF(L5271="", "Pending", IF(N5271&lt;=30, "Met", "Breached"))</f>
        <v/>
      </c>
    </row>
    <row r="5272">
      <c r="M5272" s="11">
        <f>B5272+30</f>
        <v/>
      </c>
      <c r="N5272">
        <f>IF(L5272="", "", L5272-B5272)</f>
        <v/>
      </c>
      <c r="O5272">
        <f>IF(L5272="", "Pending", IF(N5272&lt;=30, "Met", "Breached"))</f>
        <v/>
      </c>
    </row>
    <row r="5273">
      <c r="M5273" s="11">
        <f>B5273+30</f>
        <v/>
      </c>
      <c r="N5273">
        <f>IF(L5273="", "", L5273-B5273)</f>
        <v/>
      </c>
      <c r="O5273">
        <f>IF(L5273="", "Pending", IF(N5273&lt;=30, "Met", "Breached"))</f>
        <v/>
      </c>
    </row>
    <row r="5274">
      <c r="M5274" s="11">
        <f>B5274+30</f>
        <v/>
      </c>
      <c r="N5274">
        <f>IF(L5274="", "", L5274-B5274)</f>
        <v/>
      </c>
      <c r="O5274">
        <f>IF(L5274="", "Pending", IF(N5274&lt;=30, "Met", "Breached"))</f>
        <v/>
      </c>
    </row>
    <row r="5275">
      <c r="M5275" s="11">
        <f>B5275+30</f>
        <v/>
      </c>
      <c r="N5275">
        <f>IF(L5275="", "", L5275-B5275)</f>
        <v/>
      </c>
      <c r="O5275">
        <f>IF(L5275="", "Pending", IF(N5275&lt;=30, "Met", "Breached"))</f>
        <v/>
      </c>
    </row>
    <row r="5276">
      <c r="M5276" s="11">
        <f>B5276+30</f>
        <v/>
      </c>
      <c r="N5276">
        <f>IF(L5276="", "", L5276-B5276)</f>
        <v/>
      </c>
      <c r="O5276">
        <f>IF(L5276="", "Pending", IF(N5276&lt;=30, "Met", "Breached"))</f>
        <v/>
      </c>
    </row>
    <row r="5277">
      <c r="M5277" s="11">
        <f>B5277+30</f>
        <v/>
      </c>
      <c r="N5277">
        <f>IF(L5277="", "", L5277-B5277)</f>
        <v/>
      </c>
      <c r="O5277">
        <f>IF(L5277="", "Pending", IF(N5277&lt;=30, "Met", "Breached"))</f>
        <v/>
      </c>
    </row>
    <row r="5278">
      <c r="M5278" s="11">
        <f>B5278+30</f>
        <v/>
      </c>
      <c r="N5278">
        <f>IF(L5278="", "", L5278-B5278)</f>
        <v/>
      </c>
      <c r="O5278">
        <f>IF(L5278="", "Pending", IF(N5278&lt;=30, "Met", "Breached"))</f>
        <v/>
      </c>
    </row>
    <row r="5279">
      <c r="M5279" s="11">
        <f>B5279+30</f>
        <v/>
      </c>
      <c r="N5279">
        <f>IF(L5279="", "", L5279-B5279)</f>
        <v/>
      </c>
      <c r="O5279">
        <f>IF(L5279="", "Pending", IF(N5279&lt;=30, "Met", "Breached"))</f>
        <v/>
      </c>
    </row>
    <row r="5280">
      <c r="M5280" s="11">
        <f>B5280+30</f>
        <v/>
      </c>
      <c r="N5280">
        <f>IF(L5280="", "", L5280-B5280)</f>
        <v/>
      </c>
      <c r="O5280">
        <f>IF(L5280="", "Pending", IF(N5280&lt;=30, "Met", "Breached"))</f>
        <v/>
      </c>
    </row>
    <row r="5281">
      <c r="M5281" s="11">
        <f>B5281+30</f>
        <v/>
      </c>
      <c r="N5281">
        <f>IF(L5281="", "", L5281-B5281)</f>
        <v/>
      </c>
      <c r="O5281">
        <f>IF(L5281="", "Pending", IF(N5281&lt;=30, "Met", "Breached"))</f>
        <v/>
      </c>
    </row>
    <row r="5282">
      <c r="M5282" s="11">
        <f>B5282+30</f>
        <v/>
      </c>
      <c r="N5282">
        <f>IF(L5282="", "", L5282-B5282)</f>
        <v/>
      </c>
      <c r="O5282">
        <f>IF(L5282="", "Pending", IF(N5282&lt;=30, "Met", "Breached"))</f>
        <v/>
      </c>
    </row>
    <row r="5283">
      <c r="M5283" s="11">
        <f>B5283+30</f>
        <v/>
      </c>
      <c r="N5283">
        <f>IF(L5283="", "", L5283-B5283)</f>
        <v/>
      </c>
      <c r="O5283">
        <f>IF(L5283="", "Pending", IF(N5283&lt;=30, "Met", "Breached"))</f>
        <v/>
      </c>
    </row>
    <row r="5284">
      <c r="M5284" s="11">
        <f>B5284+30</f>
        <v/>
      </c>
      <c r="N5284">
        <f>IF(L5284="", "", L5284-B5284)</f>
        <v/>
      </c>
      <c r="O5284">
        <f>IF(L5284="", "Pending", IF(N5284&lt;=30, "Met", "Breached"))</f>
        <v/>
      </c>
    </row>
    <row r="5285">
      <c r="M5285" s="11">
        <f>B5285+30</f>
        <v/>
      </c>
      <c r="N5285">
        <f>IF(L5285="", "", L5285-B5285)</f>
        <v/>
      </c>
      <c r="O5285">
        <f>IF(L5285="", "Pending", IF(N5285&lt;=30, "Met", "Breached"))</f>
        <v/>
      </c>
    </row>
    <row r="5286">
      <c r="M5286" s="11">
        <f>B5286+30</f>
        <v/>
      </c>
      <c r="N5286">
        <f>IF(L5286="", "", L5286-B5286)</f>
        <v/>
      </c>
      <c r="O5286">
        <f>IF(L5286="", "Pending", IF(N5286&lt;=30, "Met", "Breached"))</f>
        <v/>
      </c>
    </row>
    <row r="5287">
      <c r="M5287" s="11">
        <f>B5287+30</f>
        <v/>
      </c>
      <c r="N5287">
        <f>IF(L5287="", "", L5287-B5287)</f>
        <v/>
      </c>
      <c r="O5287">
        <f>IF(L5287="", "Pending", IF(N5287&lt;=30, "Met", "Breached"))</f>
        <v/>
      </c>
    </row>
    <row r="5288">
      <c r="M5288" s="11">
        <f>B5288+30</f>
        <v/>
      </c>
      <c r="N5288">
        <f>IF(L5288="", "", L5288-B5288)</f>
        <v/>
      </c>
      <c r="O5288">
        <f>IF(L5288="", "Pending", IF(N5288&lt;=30, "Met", "Breached"))</f>
        <v/>
      </c>
    </row>
    <row r="5289">
      <c r="M5289" s="11">
        <f>B5289+30</f>
        <v/>
      </c>
      <c r="N5289">
        <f>IF(L5289="", "", L5289-B5289)</f>
        <v/>
      </c>
      <c r="O5289">
        <f>IF(L5289="", "Pending", IF(N5289&lt;=30, "Met", "Breached"))</f>
        <v/>
      </c>
    </row>
    <row r="5290">
      <c r="M5290" s="11">
        <f>B5290+30</f>
        <v/>
      </c>
      <c r="N5290">
        <f>IF(L5290="", "", L5290-B5290)</f>
        <v/>
      </c>
      <c r="O5290">
        <f>IF(L5290="", "Pending", IF(N5290&lt;=30, "Met", "Breached"))</f>
        <v/>
      </c>
    </row>
    <row r="5291">
      <c r="M5291" s="11">
        <f>B5291+30</f>
        <v/>
      </c>
      <c r="N5291">
        <f>IF(L5291="", "", L5291-B5291)</f>
        <v/>
      </c>
      <c r="O5291">
        <f>IF(L5291="", "Pending", IF(N5291&lt;=30, "Met", "Breached"))</f>
        <v/>
      </c>
    </row>
    <row r="5292">
      <c r="M5292" s="11">
        <f>B5292+30</f>
        <v/>
      </c>
      <c r="N5292">
        <f>IF(L5292="", "", L5292-B5292)</f>
        <v/>
      </c>
      <c r="O5292">
        <f>IF(L5292="", "Pending", IF(N5292&lt;=30, "Met", "Breached"))</f>
        <v/>
      </c>
    </row>
    <row r="5293">
      <c r="M5293" s="11">
        <f>B5293+30</f>
        <v/>
      </c>
      <c r="N5293">
        <f>IF(L5293="", "", L5293-B5293)</f>
        <v/>
      </c>
      <c r="O5293">
        <f>IF(L5293="", "Pending", IF(N5293&lt;=30, "Met", "Breached"))</f>
        <v/>
      </c>
    </row>
    <row r="5294">
      <c r="M5294" s="11">
        <f>B5294+30</f>
        <v/>
      </c>
      <c r="N5294">
        <f>IF(L5294="", "", L5294-B5294)</f>
        <v/>
      </c>
      <c r="O5294">
        <f>IF(L5294="", "Pending", IF(N5294&lt;=30, "Met", "Breached"))</f>
        <v/>
      </c>
    </row>
    <row r="5295">
      <c r="M5295" s="11">
        <f>B5295+30</f>
        <v/>
      </c>
      <c r="N5295">
        <f>IF(L5295="", "", L5295-B5295)</f>
        <v/>
      </c>
      <c r="O5295">
        <f>IF(L5295="", "Pending", IF(N5295&lt;=30, "Met", "Breached"))</f>
        <v/>
      </c>
    </row>
    <row r="5296">
      <c r="M5296" s="11">
        <f>B5296+30</f>
        <v/>
      </c>
      <c r="N5296">
        <f>IF(L5296="", "", L5296-B5296)</f>
        <v/>
      </c>
      <c r="O5296">
        <f>IF(L5296="", "Pending", IF(N5296&lt;=30, "Met", "Breached"))</f>
        <v/>
      </c>
    </row>
    <row r="5297">
      <c r="M5297" s="11">
        <f>B5297+30</f>
        <v/>
      </c>
      <c r="N5297">
        <f>IF(L5297="", "", L5297-B5297)</f>
        <v/>
      </c>
      <c r="O5297">
        <f>IF(L5297="", "Pending", IF(N5297&lt;=30, "Met", "Breached"))</f>
        <v/>
      </c>
    </row>
    <row r="5298">
      <c r="M5298" s="11">
        <f>B5298+30</f>
        <v/>
      </c>
      <c r="N5298">
        <f>IF(L5298="", "", L5298-B5298)</f>
        <v/>
      </c>
      <c r="O5298">
        <f>IF(L5298="", "Pending", IF(N5298&lt;=30, "Met", "Breached"))</f>
        <v/>
      </c>
    </row>
    <row r="5299">
      <c r="M5299" s="11">
        <f>B5299+30</f>
        <v/>
      </c>
      <c r="N5299">
        <f>IF(L5299="", "", L5299-B5299)</f>
        <v/>
      </c>
      <c r="O5299">
        <f>IF(L5299="", "Pending", IF(N5299&lt;=30, "Met", "Breached"))</f>
        <v/>
      </c>
    </row>
    <row r="5300">
      <c r="M5300" s="11">
        <f>B5300+30</f>
        <v/>
      </c>
      <c r="N5300">
        <f>IF(L5300="", "", L5300-B5300)</f>
        <v/>
      </c>
      <c r="O5300">
        <f>IF(L5300="", "Pending", IF(N5300&lt;=30, "Met", "Breached"))</f>
        <v/>
      </c>
    </row>
    <row r="5301">
      <c r="M5301" s="11">
        <f>B5301+30</f>
        <v/>
      </c>
      <c r="N5301">
        <f>IF(L5301="", "", L5301-B5301)</f>
        <v/>
      </c>
      <c r="O5301">
        <f>IF(L5301="", "Pending", IF(N5301&lt;=30, "Met", "Breached"))</f>
        <v/>
      </c>
    </row>
    <row r="5302">
      <c r="M5302" s="11">
        <f>B5302+30</f>
        <v/>
      </c>
      <c r="N5302">
        <f>IF(L5302="", "", L5302-B5302)</f>
        <v/>
      </c>
      <c r="O5302">
        <f>IF(L5302="", "Pending", IF(N5302&lt;=30, "Met", "Breached"))</f>
        <v/>
      </c>
    </row>
    <row r="5303">
      <c r="M5303" s="11">
        <f>B5303+30</f>
        <v/>
      </c>
      <c r="N5303">
        <f>IF(L5303="", "", L5303-B5303)</f>
        <v/>
      </c>
      <c r="O5303">
        <f>IF(L5303="", "Pending", IF(N5303&lt;=30, "Met", "Breached"))</f>
        <v/>
      </c>
    </row>
    <row r="5304">
      <c r="M5304" s="11">
        <f>B5304+30</f>
        <v/>
      </c>
      <c r="N5304">
        <f>IF(L5304="", "", L5304-B5304)</f>
        <v/>
      </c>
      <c r="O5304">
        <f>IF(L5304="", "Pending", IF(N5304&lt;=30, "Met", "Breached"))</f>
        <v/>
      </c>
    </row>
    <row r="5305">
      <c r="M5305" s="11">
        <f>B5305+30</f>
        <v/>
      </c>
      <c r="N5305">
        <f>IF(L5305="", "", L5305-B5305)</f>
        <v/>
      </c>
      <c r="O5305">
        <f>IF(L5305="", "Pending", IF(N5305&lt;=30, "Met", "Breached"))</f>
        <v/>
      </c>
    </row>
    <row r="5306">
      <c r="M5306" s="11">
        <f>B5306+30</f>
        <v/>
      </c>
      <c r="N5306">
        <f>IF(L5306="", "", L5306-B5306)</f>
        <v/>
      </c>
      <c r="O5306">
        <f>IF(L5306="", "Pending", IF(N5306&lt;=30, "Met", "Breached"))</f>
        <v/>
      </c>
    </row>
    <row r="5307">
      <c r="M5307" s="11">
        <f>B5307+30</f>
        <v/>
      </c>
      <c r="N5307">
        <f>IF(L5307="", "", L5307-B5307)</f>
        <v/>
      </c>
      <c r="O5307">
        <f>IF(L5307="", "Pending", IF(N5307&lt;=30, "Met", "Breached"))</f>
        <v/>
      </c>
    </row>
    <row r="5308">
      <c r="M5308" s="11">
        <f>B5308+30</f>
        <v/>
      </c>
      <c r="N5308">
        <f>IF(L5308="", "", L5308-B5308)</f>
        <v/>
      </c>
      <c r="O5308">
        <f>IF(L5308="", "Pending", IF(N5308&lt;=30, "Met", "Breached"))</f>
        <v/>
      </c>
    </row>
    <row r="5309">
      <c r="M5309" s="11">
        <f>B5309+30</f>
        <v/>
      </c>
      <c r="N5309">
        <f>IF(L5309="", "", L5309-B5309)</f>
        <v/>
      </c>
      <c r="O5309">
        <f>IF(L5309="", "Pending", IF(N5309&lt;=30, "Met", "Breached"))</f>
        <v/>
      </c>
    </row>
    <row r="5310">
      <c r="M5310" s="11">
        <f>B5310+30</f>
        <v/>
      </c>
      <c r="N5310">
        <f>IF(L5310="", "", L5310-B5310)</f>
        <v/>
      </c>
      <c r="O5310">
        <f>IF(L5310="", "Pending", IF(N5310&lt;=30, "Met", "Breached"))</f>
        <v/>
      </c>
    </row>
    <row r="5311">
      <c r="M5311" s="11">
        <f>B5311+30</f>
        <v/>
      </c>
      <c r="N5311">
        <f>IF(L5311="", "", L5311-B5311)</f>
        <v/>
      </c>
      <c r="O5311">
        <f>IF(L5311="", "Pending", IF(N5311&lt;=30, "Met", "Breached"))</f>
        <v/>
      </c>
    </row>
    <row r="5312">
      <c r="M5312" s="11">
        <f>B5312+30</f>
        <v/>
      </c>
      <c r="N5312">
        <f>IF(L5312="", "", L5312-B5312)</f>
        <v/>
      </c>
      <c r="O5312">
        <f>IF(L5312="", "Pending", IF(N5312&lt;=30, "Met", "Breached"))</f>
        <v/>
      </c>
    </row>
    <row r="5313">
      <c r="M5313" s="11">
        <f>B5313+30</f>
        <v/>
      </c>
      <c r="N5313">
        <f>IF(L5313="", "", L5313-B5313)</f>
        <v/>
      </c>
      <c r="O5313">
        <f>IF(L5313="", "Pending", IF(N5313&lt;=30, "Met", "Breached"))</f>
        <v/>
      </c>
    </row>
    <row r="5314">
      <c r="M5314" s="11">
        <f>B5314+30</f>
        <v/>
      </c>
      <c r="N5314">
        <f>IF(L5314="", "", L5314-B5314)</f>
        <v/>
      </c>
      <c r="O5314">
        <f>IF(L5314="", "Pending", IF(N5314&lt;=30, "Met", "Breached"))</f>
        <v/>
      </c>
    </row>
    <row r="5315">
      <c r="M5315" s="11">
        <f>B5315+30</f>
        <v/>
      </c>
      <c r="N5315">
        <f>IF(L5315="", "", L5315-B5315)</f>
        <v/>
      </c>
      <c r="O5315">
        <f>IF(L5315="", "Pending", IF(N5315&lt;=30, "Met", "Breached"))</f>
        <v/>
      </c>
    </row>
    <row r="5316">
      <c r="M5316" s="11">
        <f>B5316+30</f>
        <v/>
      </c>
      <c r="N5316">
        <f>IF(L5316="", "", L5316-B5316)</f>
        <v/>
      </c>
      <c r="O5316">
        <f>IF(L5316="", "Pending", IF(N5316&lt;=30, "Met", "Breached"))</f>
        <v/>
      </c>
    </row>
    <row r="5317">
      <c r="M5317" s="11">
        <f>B5317+30</f>
        <v/>
      </c>
      <c r="N5317">
        <f>IF(L5317="", "", L5317-B5317)</f>
        <v/>
      </c>
      <c r="O5317">
        <f>IF(L5317="", "Pending", IF(N5317&lt;=30, "Met", "Breached"))</f>
        <v/>
      </c>
    </row>
    <row r="5318">
      <c r="M5318" s="11">
        <f>B5318+30</f>
        <v/>
      </c>
      <c r="N5318">
        <f>IF(L5318="", "", L5318-B5318)</f>
        <v/>
      </c>
      <c r="O5318">
        <f>IF(L5318="", "Pending", IF(N5318&lt;=30, "Met", "Breached"))</f>
        <v/>
      </c>
    </row>
    <row r="5319">
      <c r="M5319" s="11">
        <f>B5319+30</f>
        <v/>
      </c>
      <c r="N5319">
        <f>IF(L5319="", "", L5319-B5319)</f>
        <v/>
      </c>
      <c r="O5319">
        <f>IF(L5319="", "Pending", IF(N5319&lt;=30, "Met", "Breached"))</f>
        <v/>
      </c>
    </row>
    <row r="5320">
      <c r="M5320" s="11">
        <f>B5320+30</f>
        <v/>
      </c>
      <c r="N5320">
        <f>IF(L5320="", "", L5320-B5320)</f>
        <v/>
      </c>
      <c r="O5320">
        <f>IF(L5320="", "Pending", IF(N5320&lt;=30, "Met", "Breached"))</f>
        <v/>
      </c>
    </row>
    <row r="5321">
      <c r="M5321" s="11">
        <f>B5321+30</f>
        <v/>
      </c>
      <c r="N5321">
        <f>IF(L5321="", "", L5321-B5321)</f>
        <v/>
      </c>
      <c r="O5321">
        <f>IF(L5321="", "Pending", IF(N5321&lt;=30, "Met", "Breached"))</f>
        <v/>
      </c>
    </row>
    <row r="5322">
      <c r="M5322" s="11">
        <f>B5322+30</f>
        <v/>
      </c>
      <c r="N5322">
        <f>IF(L5322="", "", L5322-B5322)</f>
        <v/>
      </c>
      <c r="O5322">
        <f>IF(L5322="", "Pending", IF(N5322&lt;=30, "Met", "Breached"))</f>
        <v/>
      </c>
    </row>
    <row r="5323">
      <c r="M5323" s="11">
        <f>B5323+30</f>
        <v/>
      </c>
      <c r="N5323">
        <f>IF(L5323="", "", L5323-B5323)</f>
        <v/>
      </c>
      <c r="O5323">
        <f>IF(L5323="", "Pending", IF(N5323&lt;=30, "Met", "Breached"))</f>
        <v/>
      </c>
    </row>
    <row r="5324">
      <c r="M5324" s="11">
        <f>B5324+30</f>
        <v/>
      </c>
      <c r="N5324">
        <f>IF(L5324="", "", L5324-B5324)</f>
        <v/>
      </c>
      <c r="O5324">
        <f>IF(L5324="", "Pending", IF(N5324&lt;=30, "Met", "Breached"))</f>
        <v/>
      </c>
    </row>
    <row r="5325">
      <c r="M5325" s="11">
        <f>B5325+30</f>
        <v/>
      </c>
      <c r="N5325">
        <f>IF(L5325="", "", L5325-B5325)</f>
        <v/>
      </c>
      <c r="O5325">
        <f>IF(L5325="", "Pending", IF(N5325&lt;=30, "Met", "Breached"))</f>
        <v/>
      </c>
    </row>
    <row r="5326">
      <c r="M5326" s="11">
        <f>B5326+30</f>
        <v/>
      </c>
      <c r="N5326">
        <f>IF(L5326="", "", L5326-B5326)</f>
        <v/>
      </c>
      <c r="O5326">
        <f>IF(L5326="", "Pending", IF(N5326&lt;=30, "Met", "Breached"))</f>
        <v/>
      </c>
    </row>
    <row r="5327">
      <c r="M5327" s="11">
        <f>B5327+30</f>
        <v/>
      </c>
      <c r="N5327">
        <f>IF(L5327="", "", L5327-B5327)</f>
        <v/>
      </c>
      <c r="O5327">
        <f>IF(L5327="", "Pending", IF(N5327&lt;=30, "Met", "Breached"))</f>
        <v/>
      </c>
    </row>
    <row r="5328">
      <c r="M5328" s="11">
        <f>B5328+30</f>
        <v/>
      </c>
      <c r="N5328">
        <f>IF(L5328="", "", L5328-B5328)</f>
        <v/>
      </c>
      <c r="O5328">
        <f>IF(L5328="", "Pending", IF(N5328&lt;=30, "Met", "Breached"))</f>
        <v/>
      </c>
    </row>
    <row r="5329">
      <c r="M5329" s="11">
        <f>B5329+30</f>
        <v/>
      </c>
      <c r="N5329">
        <f>IF(L5329="", "", L5329-B5329)</f>
        <v/>
      </c>
      <c r="O5329">
        <f>IF(L5329="", "Pending", IF(N5329&lt;=30, "Met", "Breached"))</f>
        <v/>
      </c>
    </row>
    <row r="5330">
      <c r="M5330" s="11">
        <f>B5330+30</f>
        <v/>
      </c>
      <c r="N5330">
        <f>IF(L5330="", "", L5330-B5330)</f>
        <v/>
      </c>
      <c r="O5330">
        <f>IF(L5330="", "Pending", IF(N5330&lt;=30, "Met", "Breached"))</f>
        <v/>
      </c>
    </row>
    <row r="5331">
      <c r="M5331" s="11">
        <f>B5331+30</f>
        <v/>
      </c>
      <c r="N5331">
        <f>IF(L5331="", "", L5331-B5331)</f>
        <v/>
      </c>
      <c r="O5331">
        <f>IF(L5331="", "Pending", IF(N5331&lt;=30, "Met", "Breached"))</f>
        <v/>
      </c>
    </row>
    <row r="5332">
      <c r="M5332" s="11">
        <f>B5332+30</f>
        <v/>
      </c>
      <c r="N5332">
        <f>IF(L5332="", "", L5332-B5332)</f>
        <v/>
      </c>
      <c r="O5332">
        <f>IF(L5332="", "Pending", IF(N5332&lt;=30, "Met", "Breached"))</f>
        <v/>
      </c>
    </row>
    <row r="5333">
      <c r="M5333" s="11">
        <f>B5333+30</f>
        <v/>
      </c>
      <c r="N5333">
        <f>IF(L5333="", "", L5333-B5333)</f>
        <v/>
      </c>
      <c r="O5333">
        <f>IF(L5333="", "Pending", IF(N5333&lt;=30, "Met", "Breached"))</f>
        <v/>
      </c>
    </row>
    <row r="5334">
      <c r="M5334" s="11">
        <f>B5334+30</f>
        <v/>
      </c>
      <c r="N5334">
        <f>IF(L5334="", "", L5334-B5334)</f>
        <v/>
      </c>
      <c r="O5334">
        <f>IF(L5334="", "Pending", IF(N5334&lt;=30, "Met", "Breached"))</f>
        <v/>
      </c>
    </row>
    <row r="5335">
      <c r="M5335" s="11">
        <f>B5335+30</f>
        <v/>
      </c>
      <c r="N5335">
        <f>IF(L5335="", "", L5335-B5335)</f>
        <v/>
      </c>
      <c r="O5335">
        <f>IF(L5335="", "Pending", IF(N5335&lt;=30, "Met", "Breached"))</f>
        <v/>
      </c>
    </row>
    <row r="5336">
      <c r="M5336" s="11">
        <f>B5336+30</f>
        <v/>
      </c>
      <c r="N5336">
        <f>IF(L5336="", "", L5336-B5336)</f>
        <v/>
      </c>
      <c r="O5336">
        <f>IF(L5336="", "Pending", IF(N5336&lt;=30, "Met", "Breached"))</f>
        <v/>
      </c>
    </row>
    <row r="5337">
      <c r="M5337" s="11">
        <f>B5337+30</f>
        <v/>
      </c>
      <c r="N5337">
        <f>IF(L5337="", "", L5337-B5337)</f>
        <v/>
      </c>
      <c r="O5337">
        <f>IF(L5337="", "Pending", IF(N5337&lt;=30, "Met", "Breached"))</f>
        <v/>
      </c>
    </row>
    <row r="5338">
      <c r="M5338" s="11">
        <f>B5338+30</f>
        <v/>
      </c>
      <c r="N5338">
        <f>IF(L5338="", "", L5338-B5338)</f>
        <v/>
      </c>
      <c r="O5338">
        <f>IF(L5338="", "Pending", IF(N5338&lt;=30, "Met", "Breached"))</f>
        <v/>
      </c>
    </row>
    <row r="5339">
      <c r="M5339" s="11">
        <f>B5339+30</f>
        <v/>
      </c>
      <c r="N5339">
        <f>IF(L5339="", "", L5339-B5339)</f>
        <v/>
      </c>
      <c r="O5339">
        <f>IF(L5339="", "Pending", IF(N5339&lt;=30, "Met", "Breached"))</f>
        <v/>
      </c>
    </row>
    <row r="5340">
      <c r="M5340" s="11">
        <f>B5340+30</f>
        <v/>
      </c>
      <c r="N5340">
        <f>IF(L5340="", "", L5340-B5340)</f>
        <v/>
      </c>
      <c r="O5340">
        <f>IF(L5340="", "Pending", IF(N5340&lt;=30, "Met", "Breached"))</f>
        <v/>
      </c>
    </row>
    <row r="5341">
      <c r="M5341" s="11">
        <f>B5341+30</f>
        <v/>
      </c>
      <c r="N5341">
        <f>IF(L5341="", "", L5341-B5341)</f>
        <v/>
      </c>
      <c r="O5341">
        <f>IF(L5341="", "Pending", IF(N5341&lt;=30, "Met", "Breached"))</f>
        <v/>
      </c>
    </row>
    <row r="5342">
      <c r="M5342" s="11">
        <f>B5342+30</f>
        <v/>
      </c>
      <c r="N5342">
        <f>IF(L5342="", "", L5342-B5342)</f>
        <v/>
      </c>
      <c r="O5342">
        <f>IF(L5342="", "Pending", IF(N5342&lt;=30, "Met", "Breached"))</f>
        <v/>
      </c>
    </row>
    <row r="5343">
      <c r="M5343" s="11">
        <f>B5343+30</f>
        <v/>
      </c>
      <c r="N5343">
        <f>IF(L5343="", "", L5343-B5343)</f>
        <v/>
      </c>
      <c r="O5343">
        <f>IF(L5343="", "Pending", IF(N5343&lt;=30, "Met", "Breached"))</f>
        <v/>
      </c>
    </row>
    <row r="5344">
      <c r="M5344" s="11">
        <f>B5344+30</f>
        <v/>
      </c>
      <c r="N5344">
        <f>IF(L5344="", "", L5344-B5344)</f>
        <v/>
      </c>
      <c r="O5344">
        <f>IF(L5344="", "Pending", IF(N5344&lt;=30, "Met", "Breached"))</f>
        <v/>
      </c>
    </row>
    <row r="5345">
      <c r="M5345" s="11">
        <f>B5345+30</f>
        <v/>
      </c>
      <c r="N5345">
        <f>IF(L5345="", "", L5345-B5345)</f>
        <v/>
      </c>
      <c r="O5345">
        <f>IF(L5345="", "Pending", IF(N5345&lt;=30, "Met", "Breached"))</f>
        <v/>
      </c>
    </row>
    <row r="5346">
      <c r="M5346" s="11">
        <f>B5346+30</f>
        <v/>
      </c>
      <c r="N5346">
        <f>IF(L5346="", "", L5346-B5346)</f>
        <v/>
      </c>
      <c r="O5346">
        <f>IF(L5346="", "Pending", IF(N5346&lt;=30, "Met", "Breached"))</f>
        <v/>
      </c>
    </row>
    <row r="5347">
      <c r="M5347" s="11">
        <f>B5347+30</f>
        <v/>
      </c>
      <c r="N5347">
        <f>IF(L5347="", "", L5347-B5347)</f>
        <v/>
      </c>
      <c r="O5347">
        <f>IF(L5347="", "Pending", IF(N5347&lt;=30, "Met", "Breached"))</f>
        <v/>
      </c>
    </row>
    <row r="5348">
      <c r="M5348" s="11">
        <f>B5348+30</f>
        <v/>
      </c>
      <c r="N5348">
        <f>IF(L5348="", "", L5348-B5348)</f>
        <v/>
      </c>
      <c r="O5348">
        <f>IF(L5348="", "Pending", IF(N5348&lt;=30, "Met", "Breached"))</f>
        <v/>
      </c>
    </row>
    <row r="5349">
      <c r="M5349" s="11">
        <f>B5349+30</f>
        <v/>
      </c>
      <c r="N5349">
        <f>IF(L5349="", "", L5349-B5349)</f>
        <v/>
      </c>
      <c r="O5349">
        <f>IF(L5349="", "Pending", IF(N5349&lt;=30, "Met", "Breached"))</f>
        <v/>
      </c>
    </row>
    <row r="5350">
      <c r="M5350" s="11">
        <f>B5350+30</f>
        <v/>
      </c>
      <c r="N5350">
        <f>IF(L5350="", "", L5350-B5350)</f>
        <v/>
      </c>
      <c r="O5350">
        <f>IF(L5350="", "Pending", IF(N5350&lt;=30, "Met", "Breached"))</f>
        <v/>
      </c>
    </row>
    <row r="5351">
      <c r="M5351" s="11">
        <f>B5351+30</f>
        <v/>
      </c>
      <c r="N5351">
        <f>IF(L5351="", "", L5351-B5351)</f>
        <v/>
      </c>
      <c r="O5351">
        <f>IF(L5351="", "Pending", IF(N5351&lt;=30, "Met", "Breached"))</f>
        <v/>
      </c>
    </row>
    <row r="5352">
      <c r="M5352" s="11">
        <f>B5352+30</f>
        <v/>
      </c>
      <c r="N5352">
        <f>IF(L5352="", "", L5352-B5352)</f>
        <v/>
      </c>
      <c r="O5352">
        <f>IF(L5352="", "Pending", IF(N5352&lt;=30, "Met", "Breached"))</f>
        <v/>
      </c>
    </row>
    <row r="5353">
      <c r="M5353" s="11">
        <f>B5353+30</f>
        <v/>
      </c>
      <c r="N5353">
        <f>IF(L5353="", "", L5353-B5353)</f>
        <v/>
      </c>
      <c r="O5353">
        <f>IF(L5353="", "Pending", IF(N5353&lt;=30, "Met", "Breached"))</f>
        <v/>
      </c>
    </row>
    <row r="5354">
      <c r="M5354" s="11">
        <f>B5354+30</f>
        <v/>
      </c>
      <c r="N5354">
        <f>IF(L5354="", "", L5354-B5354)</f>
        <v/>
      </c>
      <c r="O5354">
        <f>IF(L5354="", "Pending", IF(N5354&lt;=30, "Met", "Breached"))</f>
        <v/>
      </c>
    </row>
    <row r="5355">
      <c r="M5355" s="11">
        <f>B5355+30</f>
        <v/>
      </c>
      <c r="N5355">
        <f>IF(L5355="", "", L5355-B5355)</f>
        <v/>
      </c>
      <c r="O5355">
        <f>IF(L5355="", "Pending", IF(N5355&lt;=30, "Met", "Breached"))</f>
        <v/>
      </c>
    </row>
    <row r="5356">
      <c r="M5356" s="11">
        <f>B5356+30</f>
        <v/>
      </c>
      <c r="N5356">
        <f>IF(L5356="", "", L5356-B5356)</f>
        <v/>
      </c>
      <c r="O5356">
        <f>IF(L5356="", "Pending", IF(N5356&lt;=30, "Met", "Breached"))</f>
        <v/>
      </c>
    </row>
    <row r="5357">
      <c r="M5357" s="11">
        <f>B5357+30</f>
        <v/>
      </c>
      <c r="N5357">
        <f>IF(L5357="", "", L5357-B5357)</f>
        <v/>
      </c>
      <c r="O5357">
        <f>IF(L5357="", "Pending", IF(N5357&lt;=30, "Met", "Breached"))</f>
        <v/>
      </c>
    </row>
    <row r="5358">
      <c r="M5358" s="11">
        <f>B5358+30</f>
        <v/>
      </c>
      <c r="N5358">
        <f>IF(L5358="", "", L5358-B5358)</f>
        <v/>
      </c>
      <c r="O5358">
        <f>IF(L5358="", "Pending", IF(N5358&lt;=30, "Met", "Breached"))</f>
        <v/>
      </c>
    </row>
    <row r="5359">
      <c r="M5359" s="11">
        <f>B5359+30</f>
        <v/>
      </c>
      <c r="N5359">
        <f>IF(L5359="", "", L5359-B5359)</f>
        <v/>
      </c>
      <c r="O5359">
        <f>IF(L5359="", "Pending", IF(N5359&lt;=30, "Met", "Breached"))</f>
        <v/>
      </c>
    </row>
    <row r="5360">
      <c r="M5360" s="11">
        <f>B5360+30</f>
        <v/>
      </c>
      <c r="N5360">
        <f>IF(L5360="", "", L5360-B5360)</f>
        <v/>
      </c>
      <c r="O5360">
        <f>IF(L5360="", "Pending", IF(N5360&lt;=30, "Met", "Breached"))</f>
        <v/>
      </c>
    </row>
    <row r="5361">
      <c r="M5361" s="11">
        <f>B5361+30</f>
        <v/>
      </c>
      <c r="N5361">
        <f>IF(L5361="", "", L5361-B5361)</f>
        <v/>
      </c>
      <c r="O5361">
        <f>IF(L5361="", "Pending", IF(N5361&lt;=30, "Met", "Breached"))</f>
        <v/>
      </c>
    </row>
    <row r="5362">
      <c r="M5362" s="11">
        <f>B5362+30</f>
        <v/>
      </c>
      <c r="N5362">
        <f>IF(L5362="", "", L5362-B5362)</f>
        <v/>
      </c>
      <c r="O5362">
        <f>IF(L5362="", "Pending", IF(N5362&lt;=30, "Met", "Breached"))</f>
        <v/>
      </c>
    </row>
    <row r="5363">
      <c r="M5363" s="11">
        <f>B5363+30</f>
        <v/>
      </c>
      <c r="N5363">
        <f>IF(L5363="", "", L5363-B5363)</f>
        <v/>
      </c>
      <c r="O5363">
        <f>IF(L5363="", "Pending", IF(N5363&lt;=30, "Met", "Breached"))</f>
        <v/>
      </c>
    </row>
    <row r="5364">
      <c r="M5364" s="11">
        <f>B5364+30</f>
        <v/>
      </c>
      <c r="N5364">
        <f>IF(L5364="", "", L5364-B5364)</f>
        <v/>
      </c>
      <c r="O5364">
        <f>IF(L5364="", "Pending", IF(N5364&lt;=30, "Met", "Breached"))</f>
        <v/>
      </c>
    </row>
    <row r="5365">
      <c r="M5365" s="11">
        <f>B5365+30</f>
        <v/>
      </c>
      <c r="N5365">
        <f>IF(L5365="", "", L5365-B5365)</f>
        <v/>
      </c>
      <c r="O5365">
        <f>IF(L5365="", "Pending", IF(N5365&lt;=30, "Met", "Breached"))</f>
        <v/>
      </c>
    </row>
    <row r="5366">
      <c r="M5366" s="11">
        <f>B5366+30</f>
        <v/>
      </c>
      <c r="N5366">
        <f>IF(L5366="", "", L5366-B5366)</f>
        <v/>
      </c>
      <c r="O5366">
        <f>IF(L5366="", "Pending", IF(N5366&lt;=30, "Met", "Breached"))</f>
        <v/>
      </c>
    </row>
    <row r="5367">
      <c r="M5367" s="11">
        <f>B5367+30</f>
        <v/>
      </c>
      <c r="N5367">
        <f>IF(L5367="", "", L5367-B5367)</f>
        <v/>
      </c>
      <c r="O5367">
        <f>IF(L5367="", "Pending", IF(N5367&lt;=30, "Met", "Breached"))</f>
        <v/>
      </c>
    </row>
    <row r="5368">
      <c r="M5368" s="11">
        <f>B5368+30</f>
        <v/>
      </c>
      <c r="N5368">
        <f>IF(L5368="", "", L5368-B5368)</f>
        <v/>
      </c>
      <c r="O5368">
        <f>IF(L5368="", "Pending", IF(N5368&lt;=30, "Met", "Breached"))</f>
        <v/>
      </c>
    </row>
    <row r="5369">
      <c r="M5369" s="11">
        <f>B5369+30</f>
        <v/>
      </c>
      <c r="N5369">
        <f>IF(L5369="", "", L5369-B5369)</f>
        <v/>
      </c>
      <c r="O5369">
        <f>IF(L5369="", "Pending", IF(N5369&lt;=30, "Met", "Breached"))</f>
        <v/>
      </c>
    </row>
    <row r="5370">
      <c r="M5370" s="11">
        <f>B5370+30</f>
        <v/>
      </c>
      <c r="N5370">
        <f>IF(L5370="", "", L5370-B5370)</f>
        <v/>
      </c>
      <c r="O5370">
        <f>IF(L5370="", "Pending", IF(N5370&lt;=30, "Met", "Breached"))</f>
        <v/>
      </c>
    </row>
    <row r="5371">
      <c r="M5371" s="11">
        <f>B5371+30</f>
        <v/>
      </c>
      <c r="N5371">
        <f>IF(L5371="", "", L5371-B5371)</f>
        <v/>
      </c>
      <c r="O5371">
        <f>IF(L5371="", "Pending", IF(N5371&lt;=30, "Met", "Breached"))</f>
        <v/>
      </c>
    </row>
    <row r="5372">
      <c r="M5372" s="11">
        <f>B5372+30</f>
        <v/>
      </c>
      <c r="N5372">
        <f>IF(L5372="", "", L5372-B5372)</f>
        <v/>
      </c>
      <c r="O5372">
        <f>IF(L5372="", "Pending", IF(N5372&lt;=30, "Met", "Breached"))</f>
        <v/>
      </c>
    </row>
    <row r="5373">
      <c r="M5373" s="11">
        <f>B5373+30</f>
        <v/>
      </c>
      <c r="N5373">
        <f>IF(L5373="", "", L5373-B5373)</f>
        <v/>
      </c>
      <c r="O5373">
        <f>IF(L5373="", "Pending", IF(N5373&lt;=30, "Met", "Breached"))</f>
        <v/>
      </c>
    </row>
    <row r="5374">
      <c r="M5374" s="11">
        <f>B5374+30</f>
        <v/>
      </c>
      <c r="N5374">
        <f>IF(L5374="", "", L5374-B5374)</f>
        <v/>
      </c>
      <c r="O5374">
        <f>IF(L5374="", "Pending", IF(N5374&lt;=30, "Met", "Breached"))</f>
        <v/>
      </c>
    </row>
    <row r="5375">
      <c r="M5375" s="11">
        <f>B5375+30</f>
        <v/>
      </c>
      <c r="N5375">
        <f>IF(L5375="", "", L5375-B5375)</f>
        <v/>
      </c>
      <c r="O5375">
        <f>IF(L5375="", "Pending", IF(N5375&lt;=30, "Met", "Breached"))</f>
        <v/>
      </c>
    </row>
    <row r="5376">
      <c r="M5376" s="11">
        <f>B5376+30</f>
        <v/>
      </c>
      <c r="N5376">
        <f>IF(L5376="", "", L5376-B5376)</f>
        <v/>
      </c>
      <c r="O5376">
        <f>IF(L5376="", "Pending", IF(N5376&lt;=30, "Met", "Breached"))</f>
        <v/>
      </c>
    </row>
    <row r="5377">
      <c r="M5377" s="11">
        <f>B5377+30</f>
        <v/>
      </c>
      <c r="N5377">
        <f>IF(L5377="", "", L5377-B5377)</f>
        <v/>
      </c>
      <c r="O5377">
        <f>IF(L5377="", "Pending", IF(N5377&lt;=30, "Met", "Breached"))</f>
        <v/>
      </c>
    </row>
    <row r="5378">
      <c r="M5378" s="11">
        <f>B5378+30</f>
        <v/>
      </c>
      <c r="N5378">
        <f>IF(L5378="", "", L5378-B5378)</f>
        <v/>
      </c>
      <c r="O5378">
        <f>IF(L5378="", "Pending", IF(N5378&lt;=30, "Met", "Breached"))</f>
        <v/>
      </c>
    </row>
    <row r="5379">
      <c r="M5379" s="11">
        <f>B5379+30</f>
        <v/>
      </c>
      <c r="N5379">
        <f>IF(L5379="", "", L5379-B5379)</f>
        <v/>
      </c>
      <c r="O5379">
        <f>IF(L5379="", "Pending", IF(N5379&lt;=30, "Met", "Breached"))</f>
        <v/>
      </c>
    </row>
    <row r="5380">
      <c r="M5380" s="11">
        <f>B5380+30</f>
        <v/>
      </c>
      <c r="N5380">
        <f>IF(L5380="", "", L5380-B5380)</f>
        <v/>
      </c>
      <c r="O5380">
        <f>IF(L5380="", "Pending", IF(N5380&lt;=30, "Met", "Breached"))</f>
        <v/>
      </c>
    </row>
    <row r="5381">
      <c r="M5381" s="11">
        <f>B5381+30</f>
        <v/>
      </c>
      <c r="N5381">
        <f>IF(L5381="", "", L5381-B5381)</f>
        <v/>
      </c>
      <c r="O5381">
        <f>IF(L5381="", "Pending", IF(N5381&lt;=30, "Met", "Breached"))</f>
        <v/>
      </c>
    </row>
    <row r="5382">
      <c r="M5382" s="11">
        <f>B5382+30</f>
        <v/>
      </c>
      <c r="N5382">
        <f>IF(L5382="", "", L5382-B5382)</f>
        <v/>
      </c>
      <c r="O5382">
        <f>IF(L5382="", "Pending", IF(N5382&lt;=30, "Met", "Breached"))</f>
        <v/>
      </c>
    </row>
    <row r="5383">
      <c r="M5383" s="11">
        <f>B5383+30</f>
        <v/>
      </c>
      <c r="N5383">
        <f>IF(L5383="", "", L5383-B5383)</f>
        <v/>
      </c>
      <c r="O5383">
        <f>IF(L5383="", "Pending", IF(N5383&lt;=30, "Met", "Breached"))</f>
        <v/>
      </c>
    </row>
    <row r="5384">
      <c r="M5384" s="11">
        <f>B5384+30</f>
        <v/>
      </c>
      <c r="N5384">
        <f>IF(L5384="", "", L5384-B5384)</f>
        <v/>
      </c>
      <c r="O5384">
        <f>IF(L5384="", "Pending", IF(N5384&lt;=30, "Met", "Breached"))</f>
        <v/>
      </c>
    </row>
    <row r="5385">
      <c r="M5385" s="11">
        <f>B5385+30</f>
        <v/>
      </c>
      <c r="N5385">
        <f>IF(L5385="", "", L5385-B5385)</f>
        <v/>
      </c>
      <c r="O5385">
        <f>IF(L5385="", "Pending", IF(N5385&lt;=30, "Met", "Breached"))</f>
        <v/>
      </c>
    </row>
    <row r="5386">
      <c r="M5386" s="11">
        <f>B5386+30</f>
        <v/>
      </c>
      <c r="N5386">
        <f>IF(L5386="", "", L5386-B5386)</f>
        <v/>
      </c>
      <c r="O5386">
        <f>IF(L5386="", "Pending", IF(N5386&lt;=30, "Met", "Breached"))</f>
        <v/>
      </c>
    </row>
    <row r="5387">
      <c r="M5387" s="11">
        <f>B5387+30</f>
        <v/>
      </c>
      <c r="N5387">
        <f>IF(L5387="", "", L5387-B5387)</f>
        <v/>
      </c>
      <c r="O5387">
        <f>IF(L5387="", "Pending", IF(N5387&lt;=30, "Met", "Breached"))</f>
        <v/>
      </c>
    </row>
    <row r="5388">
      <c r="M5388" s="11">
        <f>B5388+30</f>
        <v/>
      </c>
      <c r="N5388">
        <f>IF(L5388="", "", L5388-B5388)</f>
        <v/>
      </c>
      <c r="O5388">
        <f>IF(L5388="", "Pending", IF(N5388&lt;=30, "Met", "Breached"))</f>
        <v/>
      </c>
    </row>
    <row r="5389">
      <c r="M5389" s="11">
        <f>B5389+30</f>
        <v/>
      </c>
      <c r="N5389">
        <f>IF(L5389="", "", L5389-B5389)</f>
        <v/>
      </c>
      <c r="O5389">
        <f>IF(L5389="", "Pending", IF(N5389&lt;=30, "Met", "Breached"))</f>
        <v/>
      </c>
    </row>
    <row r="5390">
      <c r="M5390" s="11">
        <f>B5390+30</f>
        <v/>
      </c>
      <c r="N5390">
        <f>IF(L5390="", "", L5390-B5390)</f>
        <v/>
      </c>
      <c r="O5390">
        <f>IF(L5390="", "Pending", IF(N5390&lt;=30, "Met", "Breached"))</f>
        <v/>
      </c>
    </row>
    <row r="5391">
      <c r="M5391" s="11">
        <f>B5391+30</f>
        <v/>
      </c>
      <c r="N5391">
        <f>IF(L5391="", "", L5391-B5391)</f>
        <v/>
      </c>
      <c r="O5391">
        <f>IF(L5391="", "Pending", IF(N5391&lt;=30, "Met", "Breached"))</f>
        <v/>
      </c>
    </row>
    <row r="5392">
      <c r="M5392" s="11">
        <f>B5392+30</f>
        <v/>
      </c>
      <c r="N5392">
        <f>IF(L5392="", "", L5392-B5392)</f>
        <v/>
      </c>
      <c r="O5392">
        <f>IF(L5392="", "Pending", IF(N5392&lt;=30, "Met", "Breached"))</f>
        <v/>
      </c>
    </row>
    <row r="5393">
      <c r="M5393" s="11">
        <f>B5393+30</f>
        <v/>
      </c>
      <c r="N5393">
        <f>IF(L5393="", "", L5393-B5393)</f>
        <v/>
      </c>
      <c r="O5393">
        <f>IF(L5393="", "Pending", IF(N5393&lt;=30, "Met", "Breached"))</f>
        <v/>
      </c>
    </row>
    <row r="5394">
      <c r="M5394" s="11">
        <f>B5394+30</f>
        <v/>
      </c>
      <c r="N5394">
        <f>IF(L5394="", "", L5394-B5394)</f>
        <v/>
      </c>
      <c r="O5394">
        <f>IF(L5394="", "Pending", IF(N5394&lt;=30, "Met", "Breached"))</f>
        <v/>
      </c>
    </row>
    <row r="5395">
      <c r="M5395" s="11">
        <f>B5395+30</f>
        <v/>
      </c>
      <c r="N5395">
        <f>IF(L5395="", "", L5395-B5395)</f>
        <v/>
      </c>
      <c r="O5395">
        <f>IF(L5395="", "Pending", IF(N5395&lt;=30, "Met", "Breached"))</f>
        <v/>
      </c>
    </row>
    <row r="5396">
      <c r="M5396" s="11">
        <f>B5396+30</f>
        <v/>
      </c>
      <c r="N5396">
        <f>IF(L5396="", "", L5396-B5396)</f>
        <v/>
      </c>
      <c r="O5396">
        <f>IF(L5396="", "Pending", IF(N5396&lt;=30, "Met", "Breached"))</f>
        <v/>
      </c>
    </row>
    <row r="5397">
      <c r="M5397" s="11">
        <f>B5397+30</f>
        <v/>
      </c>
      <c r="N5397">
        <f>IF(L5397="", "", L5397-B5397)</f>
        <v/>
      </c>
      <c r="O5397">
        <f>IF(L5397="", "Pending", IF(N5397&lt;=30, "Met", "Breached"))</f>
        <v/>
      </c>
    </row>
    <row r="5398">
      <c r="M5398" s="11">
        <f>B5398+30</f>
        <v/>
      </c>
      <c r="N5398">
        <f>IF(L5398="", "", L5398-B5398)</f>
        <v/>
      </c>
      <c r="O5398">
        <f>IF(L5398="", "Pending", IF(N5398&lt;=30, "Met", "Breached"))</f>
        <v/>
      </c>
    </row>
    <row r="5399">
      <c r="M5399" s="11">
        <f>B5399+30</f>
        <v/>
      </c>
      <c r="N5399">
        <f>IF(L5399="", "", L5399-B5399)</f>
        <v/>
      </c>
      <c r="O5399">
        <f>IF(L5399="", "Pending", IF(N5399&lt;=30, "Met", "Breached"))</f>
        <v/>
      </c>
    </row>
    <row r="5400">
      <c r="M5400" s="11">
        <f>B5400+30</f>
        <v/>
      </c>
      <c r="N5400">
        <f>IF(L5400="", "", L5400-B5400)</f>
        <v/>
      </c>
      <c r="O5400">
        <f>IF(L5400="", "Pending", IF(N5400&lt;=30, "Met", "Breached"))</f>
        <v/>
      </c>
    </row>
    <row r="5401">
      <c r="M5401" s="11">
        <f>B5401+30</f>
        <v/>
      </c>
      <c r="N5401">
        <f>IF(L5401="", "", L5401-B5401)</f>
        <v/>
      </c>
      <c r="O5401">
        <f>IF(L5401="", "Pending", IF(N5401&lt;=30, "Met", "Breached"))</f>
        <v/>
      </c>
    </row>
    <row r="5402">
      <c r="M5402" s="11">
        <f>B5402+30</f>
        <v/>
      </c>
      <c r="N5402">
        <f>IF(L5402="", "", L5402-B5402)</f>
        <v/>
      </c>
      <c r="O5402">
        <f>IF(L5402="", "Pending", IF(N5402&lt;=30, "Met", "Breached"))</f>
        <v/>
      </c>
    </row>
    <row r="5403">
      <c r="M5403" s="11">
        <f>B5403+30</f>
        <v/>
      </c>
      <c r="N5403">
        <f>IF(L5403="", "", L5403-B5403)</f>
        <v/>
      </c>
      <c r="O5403">
        <f>IF(L5403="", "Pending", IF(N5403&lt;=30, "Met", "Breached"))</f>
        <v/>
      </c>
    </row>
    <row r="5404">
      <c r="M5404" s="11">
        <f>B5404+30</f>
        <v/>
      </c>
      <c r="N5404">
        <f>IF(L5404="", "", L5404-B5404)</f>
        <v/>
      </c>
      <c r="O5404">
        <f>IF(L5404="", "Pending", IF(N5404&lt;=30, "Met", "Breached"))</f>
        <v/>
      </c>
    </row>
    <row r="5405">
      <c r="M5405" s="11">
        <f>B5405+30</f>
        <v/>
      </c>
      <c r="N5405">
        <f>IF(L5405="", "", L5405-B5405)</f>
        <v/>
      </c>
      <c r="O5405">
        <f>IF(L5405="", "Pending", IF(N5405&lt;=30, "Met", "Breached"))</f>
        <v/>
      </c>
    </row>
    <row r="5406">
      <c r="M5406" s="11">
        <f>B5406+30</f>
        <v/>
      </c>
      <c r="N5406">
        <f>IF(L5406="", "", L5406-B5406)</f>
        <v/>
      </c>
      <c r="O5406">
        <f>IF(L5406="", "Pending", IF(N5406&lt;=30, "Met", "Breached"))</f>
        <v/>
      </c>
    </row>
    <row r="5407">
      <c r="M5407" s="11">
        <f>B5407+30</f>
        <v/>
      </c>
      <c r="N5407">
        <f>IF(L5407="", "", L5407-B5407)</f>
        <v/>
      </c>
      <c r="O5407">
        <f>IF(L5407="", "Pending", IF(N5407&lt;=30, "Met", "Breached"))</f>
        <v/>
      </c>
    </row>
    <row r="5408">
      <c r="M5408" s="11">
        <f>B5408+30</f>
        <v/>
      </c>
      <c r="N5408">
        <f>IF(L5408="", "", L5408-B5408)</f>
        <v/>
      </c>
      <c r="O5408">
        <f>IF(L5408="", "Pending", IF(N5408&lt;=30, "Met", "Breached"))</f>
        <v/>
      </c>
    </row>
    <row r="5409">
      <c r="M5409" s="11">
        <f>B5409+30</f>
        <v/>
      </c>
      <c r="N5409">
        <f>IF(L5409="", "", L5409-B5409)</f>
        <v/>
      </c>
      <c r="O5409">
        <f>IF(L5409="", "Pending", IF(N5409&lt;=30, "Met", "Breached"))</f>
        <v/>
      </c>
    </row>
    <row r="5410">
      <c r="M5410" s="11">
        <f>B5410+30</f>
        <v/>
      </c>
      <c r="N5410">
        <f>IF(L5410="", "", L5410-B5410)</f>
        <v/>
      </c>
      <c r="O5410">
        <f>IF(L5410="", "Pending", IF(N5410&lt;=30, "Met", "Breached"))</f>
        <v/>
      </c>
    </row>
    <row r="5411">
      <c r="M5411" s="11">
        <f>B5411+30</f>
        <v/>
      </c>
      <c r="N5411">
        <f>IF(L5411="", "", L5411-B5411)</f>
        <v/>
      </c>
      <c r="O5411">
        <f>IF(L5411="", "Pending", IF(N5411&lt;=30, "Met", "Breached"))</f>
        <v/>
      </c>
    </row>
    <row r="5412">
      <c r="M5412" s="11">
        <f>B5412+30</f>
        <v/>
      </c>
      <c r="N5412">
        <f>IF(L5412="", "", L5412-B5412)</f>
        <v/>
      </c>
      <c r="O5412">
        <f>IF(L5412="", "Pending", IF(N5412&lt;=30, "Met", "Breached"))</f>
        <v/>
      </c>
    </row>
    <row r="5413">
      <c r="M5413" s="11">
        <f>B5413+30</f>
        <v/>
      </c>
      <c r="N5413">
        <f>IF(L5413="", "", L5413-B5413)</f>
        <v/>
      </c>
      <c r="O5413">
        <f>IF(L5413="", "Pending", IF(N5413&lt;=30, "Met", "Breached"))</f>
        <v/>
      </c>
    </row>
    <row r="5414">
      <c r="M5414" s="11">
        <f>B5414+30</f>
        <v/>
      </c>
      <c r="N5414">
        <f>IF(L5414="", "", L5414-B5414)</f>
        <v/>
      </c>
      <c r="O5414">
        <f>IF(L5414="", "Pending", IF(N5414&lt;=30, "Met", "Breached"))</f>
        <v/>
      </c>
    </row>
    <row r="5415">
      <c r="M5415" s="11">
        <f>B5415+30</f>
        <v/>
      </c>
      <c r="N5415">
        <f>IF(L5415="", "", L5415-B5415)</f>
        <v/>
      </c>
      <c r="O5415">
        <f>IF(L5415="", "Pending", IF(N5415&lt;=30, "Met", "Breached"))</f>
        <v/>
      </c>
    </row>
    <row r="5416">
      <c r="M5416" s="11">
        <f>B5416+30</f>
        <v/>
      </c>
      <c r="N5416">
        <f>IF(L5416="", "", L5416-B5416)</f>
        <v/>
      </c>
      <c r="O5416">
        <f>IF(L5416="", "Pending", IF(N5416&lt;=30, "Met", "Breached"))</f>
        <v/>
      </c>
    </row>
    <row r="5417">
      <c r="M5417" s="11">
        <f>B5417+30</f>
        <v/>
      </c>
      <c r="N5417">
        <f>IF(L5417="", "", L5417-B5417)</f>
        <v/>
      </c>
      <c r="O5417">
        <f>IF(L5417="", "Pending", IF(N5417&lt;=30, "Met", "Breached"))</f>
        <v/>
      </c>
    </row>
    <row r="5418">
      <c r="M5418" s="11">
        <f>B5418+30</f>
        <v/>
      </c>
      <c r="N5418">
        <f>IF(L5418="", "", L5418-B5418)</f>
        <v/>
      </c>
      <c r="O5418">
        <f>IF(L5418="", "Pending", IF(N5418&lt;=30, "Met", "Breached"))</f>
        <v/>
      </c>
    </row>
    <row r="5419">
      <c r="M5419" s="11">
        <f>B5419+30</f>
        <v/>
      </c>
      <c r="N5419">
        <f>IF(L5419="", "", L5419-B5419)</f>
        <v/>
      </c>
      <c r="O5419">
        <f>IF(L5419="", "Pending", IF(N5419&lt;=30, "Met", "Breached"))</f>
        <v/>
      </c>
    </row>
    <row r="5420">
      <c r="M5420" s="11">
        <f>B5420+30</f>
        <v/>
      </c>
      <c r="N5420">
        <f>IF(L5420="", "", L5420-B5420)</f>
        <v/>
      </c>
      <c r="O5420">
        <f>IF(L5420="", "Pending", IF(N5420&lt;=30, "Met", "Breached"))</f>
        <v/>
      </c>
    </row>
    <row r="5421">
      <c r="M5421" s="11">
        <f>B5421+30</f>
        <v/>
      </c>
      <c r="N5421">
        <f>IF(L5421="", "", L5421-B5421)</f>
        <v/>
      </c>
      <c r="O5421">
        <f>IF(L5421="", "Pending", IF(N5421&lt;=30, "Met", "Breached"))</f>
        <v/>
      </c>
    </row>
    <row r="5422">
      <c r="M5422" s="11">
        <f>B5422+30</f>
        <v/>
      </c>
      <c r="N5422">
        <f>IF(L5422="", "", L5422-B5422)</f>
        <v/>
      </c>
      <c r="O5422">
        <f>IF(L5422="", "Pending", IF(N5422&lt;=30, "Met", "Breached"))</f>
        <v/>
      </c>
    </row>
    <row r="5423">
      <c r="M5423" s="11">
        <f>B5423+30</f>
        <v/>
      </c>
      <c r="N5423">
        <f>IF(L5423="", "", L5423-B5423)</f>
        <v/>
      </c>
      <c r="O5423">
        <f>IF(L5423="", "Pending", IF(N5423&lt;=30, "Met", "Breached"))</f>
        <v/>
      </c>
    </row>
    <row r="5424">
      <c r="M5424" s="11">
        <f>B5424+30</f>
        <v/>
      </c>
      <c r="N5424">
        <f>IF(L5424="", "", L5424-B5424)</f>
        <v/>
      </c>
      <c r="O5424">
        <f>IF(L5424="", "Pending", IF(N5424&lt;=30, "Met", "Breached"))</f>
        <v/>
      </c>
    </row>
    <row r="5425">
      <c r="M5425" s="11">
        <f>B5425+30</f>
        <v/>
      </c>
      <c r="N5425">
        <f>IF(L5425="", "", L5425-B5425)</f>
        <v/>
      </c>
      <c r="O5425">
        <f>IF(L5425="", "Pending", IF(N5425&lt;=30, "Met", "Breached"))</f>
        <v/>
      </c>
    </row>
    <row r="5426">
      <c r="M5426" s="11">
        <f>B5426+30</f>
        <v/>
      </c>
      <c r="N5426">
        <f>IF(L5426="", "", L5426-B5426)</f>
        <v/>
      </c>
      <c r="O5426">
        <f>IF(L5426="", "Pending", IF(N5426&lt;=30, "Met", "Breached"))</f>
        <v/>
      </c>
    </row>
    <row r="5427">
      <c r="M5427" s="11">
        <f>B5427+30</f>
        <v/>
      </c>
      <c r="N5427">
        <f>IF(L5427="", "", L5427-B5427)</f>
        <v/>
      </c>
      <c r="O5427">
        <f>IF(L5427="", "Pending", IF(N5427&lt;=30, "Met", "Breached"))</f>
        <v/>
      </c>
    </row>
    <row r="5428">
      <c r="M5428" s="11">
        <f>B5428+30</f>
        <v/>
      </c>
      <c r="N5428">
        <f>IF(L5428="", "", L5428-B5428)</f>
        <v/>
      </c>
      <c r="O5428">
        <f>IF(L5428="", "Pending", IF(N5428&lt;=30, "Met", "Breached"))</f>
        <v/>
      </c>
    </row>
    <row r="5429">
      <c r="M5429" s="11">
        <f>B5429+30</f>
        <v/>
      </c>
      <c r="N5429">
        <f>IF(L5429="", "", L5429-B5429)</f>
        <v/>
      </c>
      <c r="O5429">
        <f>IF(L5429="", "Pending", IF(N5429&lt;=30, "Met", "Breached"))</f>
        <v/>
      </c>
    </row>
    <row r="5430">
      <c r="M5430" s="11">
        <f>B5430+30</f>
        <v/>
      </c>
      <c r="N5430">
        <f>IF(L5430="", "", L5430-B5430)</f>
        <v/>
      </c>
      <c r="O5430">
        <f>IF(L5430="", "Pending", IF(N5430&lt;=30, "Met", "Breached"))</f>
        <v/>
      </c>
    </row>
    <row r="5431">
      <c r="M5431" s="11">
        <f>B5431+30</f>
        <v/>
      </c>
      <c r="N5431">
        <f>IF(L5431="", "", L5431-B5431)</f>
        <v/>
      </c>
      <c r="O5431">
        <f>IF(L5431="", "Pending", IF(N5431&lt;=30, "Met", "Breached"))</f>
        <v/>
      </c>
    </row>
    <row r="5432">
      <c r="M5432" s="11">
        <f>B5432+30</f>
        <v/>
      </c>
      <c r="N5432">
        <f>IF(L5432="", "", L5432-B5432)</f>
        <v/>
      </c>
      <c r="O5432">
        <f>IF(L5432="", "Pending", IF(N5432&lt;=30, "Met", "Breached"))</f>
        <v/>
      </c>
    </row>
    <row r="5433">
      <c r="M5433" s="11">
        <f>B5433+30</f>
        <v/>
      </c>
      <c r="N5433">
        <f>IF(L5433="", "", L5433-B5433)</f>
        <v/>
      </c>
      <c r="O5433">
        <f>IF(L5433="", "Pending", IF(N5433&lt;=30, "Met", "Breached"))</f>
        <v/>
      </c>
    </row>
    <row r="5434">
      <c r="M5434" s="11">
        <f>B5434+30</f>
        <v/>
      </c>
      <c r="N5434">
        <f>IF(L5434="", "", L5434-B5434)</f>
        <v/>
      </c>
      <c r="O5434">
        <f>IF(L5434="", "Pending", IF(N5434&lt;=30, "Met", "Breached"))</f>
        <v/>
      </c>
    </row>
    <row r="5435">
      <c r="M5435" s="11">
        <f>B5435+30</f>
        <v/>
      </c>
      <c r="N5435">
        <f>IF(L5435="", "", L5435-B5435)</f>
        <v/>
      </c>
      <c r="O5435">
        <f>IF(L5435="", "Pending", IF(N5435&lt;=30, "Met", "Breached"))</f>
        <v/>
      </c>
    </row>
    <row r="5436">
      <c r="M5436" s="11">
        <f>B5436+30</f>
        <v/>
      </c>
      <c r="N5436">
        <f>IF(L5436="", "", L5436-B5436)</f>
        <v/>
      </c>
      <c r="O5436">
        <f>IF(L5436="", "Pending", IF(N5436&lt;=30, "Met", "Breached"))</f>
        <v/>
      </c>
    </row>
    <row r="5437">
      <c r="M5437" s="11">
        <f>B5437+30</f>
        <v/>
      </c>
      <c r="N5437">
        <f>IF(L5437="", "", L5437-B5437)</f>
        <v/>
      </c>
      <c r="O5437">
        <f>IF(L5437="", "Pending", IF(N5437&lt;=30, "Met", "Breached"))</f>
        <v/>
      </c>
    </row>
    <row r="5438">
      <c r="M5438" s="11">
        <f>B5438+30</f>
        <v/>
      </c>
      <c r="N5438">
        <f>IF(L5438="", "", L5438-B5438)</f>
        <v/>
      </c>
      <c r="O5438">
        <f>IF(L5438="", "Pending", IF(N5438&lt;=30, "Met", "Breached"))</f>
        <v/>
      </c>
    </row>
    <row r="5439">
      <c r="M5439" s="11">
        <f>B5439+30</f>
        <v/>
      </c>
      <c r="N5439">
        <f>IF(L5439="", "", L5439-B5439)</f>
        <v/>
      </c>
      <c r="O5439">
        <f>IF(L5439="", "Pending", IF(N5439&lt;=30, "Met", "Breached"))</f>
        <v/>
      </c>
    </row>
    <row r="5440">
      <c r="M5440" s="11">
        <f>B5440+30</f>
        <v/>
      </c>
      <c r="N5440">
        <f>IF(L5440="", "", L5440-B5440)</f>
        <v/>
      </c>
      <c r="O5440">
        <f>IF(L5440="", "Pending", IF(N5440&lt;=30, "Met", "Breached"))</f>
        <v/>
      </c>
    </row>
    <row r="5441">
      <c r="M5441" s="11">
        <f>B5441+30</f>
        <v/>
      </c>
      <c r="N5441">
        <f>IF(L5441="", "", L5441-B5441)</f>
        <v/>
      </c>
      <c r="O5441">
        <f>IF(L5441="", "Pending", IF(N5441&lt;=30, "Met", "Breached"))</f>
        <v/>
      </c>
    </row>
    <row r="5442">
      <c r="M5442" s="11">
        <f>B5442+30</f>
        <v/>
      </c>
      <c r="N5442">
        <f>IF(L5442="", "", L5442-B5442)</f>
        <v/>
      </c>
      <c r="O5442">
        <f>IF(L5442="", "Pending", IF(N5442&lt;=30, "Met", "Breached"))</f>
        <v/>
      </c>
    </row>
    <row r="5443">
      <c r="M5443" s="11">
        <f>B5443+30</f>
        <v/>
      </c>
      <c r="N5443">
        <f>IF(L5443="", "", L5443-B5443)</f>
        <v/>
      </c>
      <c r="O5443">
        <f>IF(L5443="", "Pending", IF(N5443&lt;=30, "Met", "Breached"))</f>
        <v/>
      </c>
    </row>
    <row r="5444">
      <c r="M5444" s="11">
        <f>B5444+30</f>
        <v/>
      </c>
      <c r="N5444">
        <f>IF(L5444="", "", L5444-B5444)</f>
        <v/>
      </c>
      <c r="O5444">
        <f>IF(L5444="", "Pending", IF(N5444&lt;=30, "Met", "Breached"))</f>
        <v/>
      </c>
    </row>
    <row r="5445">
      <c r="M5445" s="11">
        <f>B5445+30</f>
        <v/>
      </c>
      <c r="N5445">
        <f>IF(L5445="", "", L5445-B5445)</f>
        <v/>
      </c>
      <c r="O5445">
        <f>IF(L5445="", "Pending", IF(N5445&lt;=30, "Met", "Breached"))</f>
        <v/>
      </c>
    </row>
    <row r="5446">
      <c r="M5446" s="11">
        <f>B5446+30</f>
        <v/>
      </c>
      <c r="N5446">
        <f>IF(L5446="", "", L5446-B5446)</f>
        <v/>
      </c>
      <c r="O5446">
        <f>IF(L5446="", "Pending", IF(N5446&lt;=30, "Met", "Breached"))</f>
        <v/>
      </c>
    </row>
    <row r="5447">
      <c r="M5447" s="11">
        <f>B5447+30</f>
        <v/>
      </c>
      <c r="N5447">
        <f>IF(L5447="", "", L5447-B5447)</f>
        <v/>
      </c>
      <c r="O5447">
        <f>IF(L5447="", "Pending", IF(N5447&lt;=30, "Met", "Breached"))</f>
        <v/>
      </c>
    </row>
    <row r="5448">
      <c r="M5448" s="11">
        <f>B5448+30</f>
        <v/>
      </c>
      <c r="N5448">
        <f>IF(L5448="", "", L5448-B5448)</f>
        <v/>
      </c>
      <c r="O5448">
        <f>IF(L5448="", "Pending", IF(N5448&lt;=30, "Met", "Breached"))</f>
        <v/>
      </c>
    </row>
    <row r="5449">
      <c r="M5449" s="11">
        <f>B5449+30</f>
        <v/>
      </c>
      <c r="N5449">
        <f>IF(L5449="", "", L5449-B5449)</f>
        <v/>
      </c>
      <c r="O5449">
        <f>IF(L5449="", "Pending", IF(N5449&lt;=30, "Met", "Breached"))</f>
        <v/>
      </c>
    </row>
    <row r="5450">
      <c r="M5450" s="11">
        <f>B5450+30</f>
        <v/>
      </c>
      <c r="N5450">
        <f>IF(L5450="", "", L5450-B5450)</f>
        <v/>
      </c>
      <c r="O5450">
        <f>IF(L5450="", "Pending", IF(N5450&lt;=30, "Met", "Breached"))</f>
        <v/>
      </c>
    </row>
    <row r="5451">
      <c r="M5451" s="11">
        <f>B5451+30</f>
        <v/>
      </c>
      <c r="N5451">
        <f>IF(L5451="", "", L5451-B5451)</f>
        <v/>
      </c>
      <c r="O5451">
        <f>IF(L5451="", "Pending", IF(N5451&lt;=30, "Met", "Breached"))</f>
        <v/>
      </c>
    </row>
    <row r="5452">
      <c r="M5452" s="11">
        <f>B5452+30</f>
        <v/>
      </c>
      <c r="N5452">
        <f>IF(L5452="", "", L5452-B5452)</f>
        <v/>
      </c>
      <c r="O5452">
        <f>IF(L5452="", "Pending", IF(N5452&lt;=30, "Met", "Breached"))</f>
        <v/>
      </c>
    </row>
    <row r="5453">
      <c r="M5453" s="11">
        <f>B5453+30</f>
        <v/>
      </c>
      <c r="N5453">
        <f>IF(L5453="", "", L5453-B5453)</f>
        <v/>
      </c>
      <c r="O5453">
        <f>IF(L5453="", "Pending", IF(N5453&lt;=30, "Met", "Breached"))</f>
        <v/>
      </c>
    </row>
    <row r="5454">
      <c r="M5454" s="11">
        <f>B5454+30</f>
        <v/>
      </c>
      <c r="N5454">
        <f>IF(L5454="", "", L5454-B5454)</f>
        <v/>
      </c>
      <c r="O5454">
        <f>IF(L5454="", "Pending", IF(N5454&lt;=30, "Met", "Breached"))</f>
        <v/>
      </c>
    </row>
    <row r="5455">
      <c r="M5455" s="11">
        <f>B5455+30</f>
        <v/>
      </c>
      <c r="N5455">
        <f>IF(L5455="", "", L5455-B5455)</f>
        <v/>
      </c>
      <c r="O5455">
        <f>IF(L5455="", "Pending", IF(N5455&lt;=30, "Met", "Breached"))</f>
        <v/>
      </c>
    </row>
    <row r="5456">
      <c r="M5456" s="11">
        <f>B5456+30</f>
        <v/>
      </c>
      <c r="N5456">
        <f>IF(L5456="", "", L5456-B5456)</f>
        <v/>
      </c>
      <c r="O5456">
        <f>IF(L5456="", "Pending", IF(N5456&lt;=30, "Met", "Breached"))</f>
        <v/>
      </c>
    </row>
    <row r="5457">
      <c r="M5457" s="11">
        <f>B5457+30</f>
        <v/>
      </c>
      <c r="N5457">
        <f>IF(L5457="", "", L5457-B5457)</f>
        <v/>
      </c>
      <c r="O5457">
        <f>IF(L5457="", "Pending", IF(N5457&lt;=30, "Met", "Breached"))</f>
        <v/>
      </c>
    </row>
    <row r="5458">
      <c r="M5458" s="11">
        <f>B5458+30</f>
        <v/>
      </c>
      <c r="N5458">
        <f>IF(L5458="", "", L5458-B5458)</f>
        <v/>
      </c>
      <c r="O5458">
        <f>IF(L5458="", "Pending", IF(N5458&lt;=30, "Met", "Breached"))</f>
        <v/>
      </c>
    </row>
    <row r="5459">
      <c r="M5459" s="11">
        <f>B5459+30</f>
        <v/>
      </c>
      <c r="N5459">
        <f>IF(L5459="", "", L5459-B5459)</f>
        <v/>
      </c>
      <c r="O5459">
        <f>IF(L5459="", "Pending", IF(N5459&lt;=30, "Met", "Breached"))</f>
        <v/>
      </c>
    </row>
    <row r="5460">
      <c r="M5460" s="11">
        <f>B5460+30</f>
        <v/>
      </c>
      <c r="N5460">
        <f>IF(L5460="", "", L5460-B5460)</f>
        <v/>
      </c>
      <c r="O5460">
        <f>IF(L5460="", "Pending", IF(N5460&lt;=30, "Met", "Breached"))</f>
        <v/>
      </c>
    </row>
    <row r="5461">
      <c r="M5461" s="11">
        <f>B5461+30</f>
        <v/>
      </c>
      <c r="N5461">
        <f>IF(L5461="", "", L5461-B5461)</f>
        <v/>
      </c>
      <c r="O5461">
        <f>IF(L5461="", "Pending", IF(N5461&lt;=30, "Met", "Breached"))</f>
        <v/>
      </c>
    </row>
    <row r="5462">
      <c r="M5462" s="11">
        <f>B5462+30</f>
        <v/>
      </c>
      <c r="N5462">
        <f>IF(L5462="", "", L5462-B5462)</f>
        <v/>
      </c>
      <c r="O5462">
        <f>IF(L5462="", "Pending", IF(N5462&lt;=30, "Met", "Breached"))</f>
        <v/>
      </c>
    </row>
    <row r="5463">
      <c r="M5463" s="11">
        <f>B5463+30</f>
        <v/>
      </c>
      <c r="N5463">
        <f>IF(L5463="", "", L5463-B5463)</f>
        <v/>
      </c>
      <c r="O5463">
        <f>IF(L5463="", "Pending", IF(N5463&lt;=30, "Met", "Breached"))</f>
        <v/>
      </c>
    </row>
    <row r="5464">
      <c r="M5464" s="11">
        <f>B5464+30</f>
        <v/>
      </c>
      <c r="N5464">
        <f>IF(L5464="", "", L5464-B5464)</f>
        <v/>
      </c>
      <c r="O5464">
        <f>IF(L5464="", "Pending", IF(N5464&lt;=30, "Met", "Breached"))</f>
        <v/>
      </c>
    </row>
    <row r="5465">
      <c r="M5465" s="11">
        <f>B5465+30</f>
        <v/>
      </c>
      <c r="N5465">
        <f>IF(L5465="", "", L5465-B5465)</f>
        <v/>
      </c>
      <c r="O5465">
        <f>IF(L5465="", "Pending", IF(N5465&lt;=30, "Met", "Breached"))</f>
        <v/>
      </c>
    </row>
    <row r="5466">
      <c r="M5466" s="11">
        <f>B5466+30</f>
        <v/>
      </c>
      <c r="N5466">
        <f>IF(L5466="", "", L5466-B5466)</f>
        <v/>
      </c>
      <c r="O5466">
        <f>IF(L5466="", "Pending", IF(N5466&lt;=30, "Met", "Breached"))</f>
        <v/>
      </c>
    </row>
    <row r="5467">
      <c r="M5467" s="11">
        <f>B5467+30</f>
        <v/>
      </c>
      <c r="N5467">
        <f>IF(L5467="", "", L5467-B5467)</f>
        <v/>
      </c>
      <c r="O5467">
        <f>IF(L5467="", "Pending", IF(N5467&lt;=30, "Met", "Breached"))</f>
        <v/>
      </c>
    </row>
    <row r="5468">
      <c r="M5468" s="11">
        <f>B5468+30</f>
        <v/>
      </c>
      <c r="N5468">
        <f>IF(L5468="", "", L5468-B5468)</f>
        <v/>
      </c>
      <c r="O5468">
        <f>IF(L5468="", "Pending", IF(N5468&lt;=30, "Met", "Breached"))</f>
        <v/>
      </c>
    </row>
    <row r="5469">
      <c r="M5469" s="11">
        <f>B5469+30</f>
        <v/>
      </c>
      <c r="N5469">
        <f>IF(L5469="", "", L5469-B5469)</f>
        <v/>
      </c>
      <c r="O5469">
        <f>IF(L5469="", "Pending", IF(N5469&lt;=30, "Met", "Breached"))</f>
        <v/>
      </c>
    </row>
    <row r="5470">
      <c r="M5470" s="11">
        <f>B5470+30</f>
        <v/>
      </c>
      <c r="N5470">
        <f>IF(L5470="", "", L5470-B5470)</f>
        <v/>
      </c>
      <c r="O5470">
        <f>IF(L5470="", "Pending", IF(N5470&lt;=30, "Met", "Breached"))</f>
        <v/>
      </c>
    </row>
    <row r="5471">
      <c r="M5471" s="11">
        <f>B5471+30</f>
        <v/>
      </c>
      <c r="N5471">
        <f>IF(L5471="", "", L5471-B5471)</f>
        <v/>
      </c>
      <c r="O5471">
        <f>IF(L5471="", "Pending", IF(N5471&lt;=30, "Met", "Breached"))</f>
        <v/>
      </c>
    </row>
    <row r="5472">
      <c r="M5472" s="11">
        <f>B5472+30</f>
        <v/>
      </c>
      <c r="N5472">
        <f>IF(L5472="", "", L5472-B5472)</f>
        <v/>
      </c>
      <c r="O5472">
        <f>IF(L5472="", "Pending", IF(N5472&lt;=30, "Met", "Breached"))</f>
        <v/>
      </c>
    </row>
    <row r="5473">
      <c r="M5473" s="11">
        <f>B5473+30</f>
        <v/>
      </c>
      <c r="N5473">
        <f>IF(L5473="", "", L5473-B5473)</f>
        <v/>
      </c>
      <c r="O5473">
        <f>IF(L5473="", "Pending", IF(N5473&lt;=30, "Met", "Breached"))</f>
        <v/>
      </c>
    </row>
    <row r="5474">
      <c r="M5474" s="11">
        <f>B5474+30</f>
        <v/>
      </c>
      <c r="N5474">
        <f>IF(L5474="", "", L5474-B5474)</f>
        <v/>
      </c>
      <c r="O5474">
        <f>IF(L5474="", "Pending", IF(N5474&lt;=30, "Met", "Breached"))</f>
        <v/>
      </c>
    </row>
    <row r="5475">
      <c r="M5475" s="11">
        <f>B5475+30</f>
        <v/>
      </c>
      <c r="N5475">
        <f>IF(L5475="", "", L5475-B5475)</f>
        <v/>
      </c>
      <c r="O5475">
        <f>IF(L5475="", "Pending", IF(N5475&lt;=30, "Met", "Breached"))</f>
        <v/>
      </c>
    </row>
    <row r="5476">
      <c r="M5476" s="11">
        <f>B5476+30</f>
        <v/>
      </c>
      <c r="N5476">
        <f>IF(L5476="", "", L5476-B5476)</f>
        <v/>
      </c>
      <c r="O5476">
        <f>IF(L5476="", "Pending", IF(N5476&lt;=30, "Met", "Breached"))</f>
        <v/>
      </c>
    </row>
    <row r="5477">
      <c r="M5477" s="11">
        <f>B5477+30</f>
        <v/>
      </c>
      <c r="N5477">
        <f>IF(L5477="", "", L5477-B5477)</f>
        <v/>
      </c>
      <c r="O5477">
        <f>IF(L5477="", "Pending", IF(N5477&lt;=30, "Met", "Breached"))</f>
        <v/>
      </c>
    </row>
    <row r="5478">
      <c r="M5478" s="11">
        <f>B5478+30</f>
        <v/>
      </c>
      <c r="N5478">
        <f>IF(L5478="", "", L5478-B5478)</f>
        <v/>
      </c>
      <c r="O5478">
        <f>IF(L5478="", "Pending", IF(N5478&lt;=30, "Met", "Breached"))</f>
        <v/>
      </c>
    </row>
    <row r="5479">
      <c r="M5479" s="11">
        <f>B5479+30</f>
        <v/>
      </c>
      <c r="N5479">
        <f>IF(L5479="", "", L5479-B5479)</f>
        <v/>
      </c>
      <c r="O5479">
        <f>IF(L5479="", "Pending", IF(N5479&lt;=30, "Met", "Breached"))</f>
        <v/>
      </c>
    </row>
    <row r="5480">
      <c r="M5480" s="11">
        <f>B5480+30</f>
        <v/>
      </c>
      <c r="N5480">
        <f>IF(L5480="", "", L5480-B5480)</f>
        <v/>
      </c>
      <c r="O5480">
        <f>IF(L5480="", "Pending", IF(N5480&lt;=30, "Met", "Breached"))</f>
        <v/>
      </c>
    </row>
    <row r="5481">
      <c r="M5481" s="11">
        <f>B5481+30</f>
        <v/>
      </c>
      <c r="N5481">
        <f>IF(L5481="", "", L5481-B5481)</f>
        <v/>
      </c>
      <c r="O5481">
        <f>IF(L5481="", "Pending", IF(N5481&lt;=30, "Met", "Breached"))</f>
        <v/>
      </c>
    </row>
    <row r="5482">
      <c r="M5482" s="11">
        <f>B5482+30</f>
        <v/>
      </c>
      <c r="N5482">
        <f>IF(L5482="", "", L5482-B5482)</f>
        <v/>
      </c>
      <c r="O5482">
        <f>IF(L5482="", "Pending", IF(N5482&lt;=30, "Met", "Breached"))</f>
        <v/>
      </c>
    </row>
    <row r="5483">
      <c r="M5483" s="11">
        <f>B5483+30</f>
        <v/>
      </c>
      <c r="N5483">
        <f>IF(L5483="", "", L5483-B5483)</f>
        <v/>
      </c>
      <c r="O5483">
        <f>IF(L5483="", "Pending", IF(N5483&lt;=30, "Met", "Breached"))</f>
        <v/>
      </c>
    </row>
    <row r="5484">
      <c r="M5484" s="11">
        <f>B5484+30</f>
        <v/>
      </c>
      <c r="N5484">
        <f>IF(L5484="", "", L5484-B5484)</f>
        <v/>
      </c>
      <c r="O5484">
        <f>IF(L5484="", "Pending", IF(N5484&lt;=30, "Met", "Breached"))</f>
        <v/>
      </c>
    </row>
    <row r="5485">
      <c r="M5485" s="11">
        <f>B5485+30</f>
        <v/>
      </c>
      <c r="N5485">
        <f>IF(L5485="", "", L5485-B5485)</f>
        <v/>
      </c>
      <c r="O5485">
        <f>IF(L5485="", "Pending", IF(N5485&lt;=30, "Met", "Breached"))</f>
        <v/>
      </c>
    </row>
    <row r="5486">
      <c r="M5486" s="11">
        <f>B5486+30</f>
        <v/>
      </c>
      <c r="N5486">
        <f>IF(L5486="", "", L5486-B5486)</f>
        <v/>
      </c>
      <c r="O5486">
        <f>IF(L5486="", "Pending", IF(N5486&lt;=30, "Met", "Breached"))</f>
        <v/>
      </c>
    </row>
    <row r="5487">
      <c r="M5487" s="11">
        <f>B5487+30</f>
        <v/>
      </c>
      <c r="N5487">
        <f>IF(L5487="", "", L5487-B5487)</f>
        <v/>
      </c>
      <c r="O5487">
        <f>IF(L5487="", "Pending", IF(N5487&lt;=30, "Met", "Breached"))</f>
        <v/>
      </c>
    </row>
    <row r="5488">
      <c r="M5488" s="11">
        <f>B5488+30</f>
        <v/>
      </c>
      <c r="N5488">
        <f>IF(L5488="", "", L5488-B5488)</f>
        <v/>
      </c>
      <c r="O5488">
        <f>IF(L5488="", "Pending", IF(N5488&lt;=30, "Met", "Breached"))</f>
        <v/>
      </c>
    </row>
    <row r="5489">
      <c r="M5489" s="11">
        <f>B5489+30</f>
        <v/>
      </c>
      <c r="N5489">
        <f>IF(L5489="", "", L5489-B5489)</f>
        <v/>
      </c>
      <c r="O5489">
        <f>IF(L5489="", "Pending", IF(N5489&lt;=30, "Met", "Breached"))</f>
        <v/>
      </c>
    </row>
    <row r="5490">
      <c r="M5490" s="11">
        <f>B5490+30</f>
        <v/>
      </c>
      <c r="N5490">
        <f>IF(L5490="", "", L5490-B5490)</f>
        <v/>
      </c>
      <c r="O5490">
        <f>IF(L5490="", "Pending", IF(N5490&lt;=30, "Met", "Breached"))</f>
        <v/>
      </c>
    </row>
    <row r="5491">
      <c r="M5491" s="11">
        <f>B5491+30</f>
        <v/>
      </c>
      <c r="N5491">
        <f>IF(L5491="", "", L5491-B5491)</f>
        <v/>
      </c>
      <c r="O5491">
        <f>IF(L5491="", "Pending", IF(N5491&lt;=30, "Met", "Breached"))</f>
        <v/>
      </c>
    </row>
    <row r="5492">
      <c r="M5492" s="11">
        <f>B5492+30</f>
        <v/>
      </c>
      <c r="N5492">
        <f>IF(L5492="", "", L5492-B5492)</f>
        <v/>
      </c>
      <c r="O5492">
        <f>IF(L5492="", "Pending", IF(N5492&lt;=30, "Met", "Breached"))</f>
        <v/>
      </c>
    </row>
    <row r="5493">
      <c r="M5493" s="11">
        <f>B5493+30</f>
        <v/>
      </c>
      <c r="N5493">
        <f>IF(L5493="", "", L5493-B5493)</f>
        <v/>
      </c>
      <c r="O5493">
        <f>IF(L5493="", "Pending", IF(N5493&lt;=30, "Met", "Breached"))</f>
        <v/>
      </c>
    </row>
    <row r="5494">
      <c r="M5494" s="11">
        <f>B5494+30</f>
        <v/>
      </c>
      <c r="N5494">
        <f>IF(L5494="", "", L5494-B5494)</f>
        <v/>
      </c>
      <c r="O5494">
        <f>IF(L5494="", "Pending", IF(N5494&lt;=30, "Met", "Breached"))</f>
        <v/>
      </c>
    </row>
    <row r="5495">
      <c r="M5495" s="11">
        <f>B5495+30</f>
        <v/>
      </c>
      <c r="N5495">
        <f>IF(L5495="", "", L5495-B5495)</f>
        <v/>
      </c>
      <c r="O5495">
        <f>IF(L5495="", "Pending", IF(N5495&lt;=30, "Met", "Breached"))</f>
        <v/>
      </c>
    </row>
    <row r="5496">
      <c r="M5496" s="11">
        <f>B5496+30</f>
        <v/>
      </c>
      <c r="N5496">
        <f>IF(L5496="", "", L5496-B5496)</f>
        <v/>
      </c>
      <c r="O5496">
        <f>IF(L5496="", "Pending", IF(N5496&lt;=30, "Met", "Breached"))</f>
        <v/>
      </c>
    </row>
    <row r="5497">
      <c r="M5497" s="11">
        <f>B5497+30</f>
        <v/>
      </c>
      <c r="N5497">
        <f>IF(L5497="", "", L5497-B5497)</f>
        <v/>
      </c>
      <c r="O5497">
        <f>IF(L5497="", "Pending", IF(N5497&lt;=30, "Met", "Breached"))</f>
        <v/>
      </c>
    </row>
    <row r="5498">
      <c r="M5498" s="11">
        <f>B5498+30</f>
        <v/>
      </c>
      <c r="N5498">
        <f>IF(L5498="", "", L5498-B5498)</f>
        <v/>
      </c>
      <c r="O5498">
        <f>IF(L5498="", "Pending", IF(N5498&lt;=30, "Met", "Breached"))</f>
        <v/>
      </c>
    </row>
    <row r="5499">
      <c r="M5499" s="11">
        <f>B5499+30</f>
        <v/>
      </c>
      <c r="N5499">
        <f>IF(L5499="", "", L5499-B5499)</f>
        <v/>
      </c>
      <c r="O5499">
        <f>IF(L5499="", "Pending", IF(N5499&lt;=30, "Met", "Breached"))</f>
        <v/>
      </c>
    </row>
    <row r="5500">
      <c r="M5500" s="11">
        <f>B5500+30</f>
        <v/>
      </c>
      <c r="N5500">
        <f>IF(L5500="", "", L5500-B5500)</f>
        <v/>
      </c>
      <c r="O5500">
        <f>IF(L5500="", "Pending", IF(N5500&lt;=30, "Met", "Breached"))</f>
        <v/>
      </c>
    </row>
    <row r="5501">
      <c r="M5501" s="11">
        <f>B5501+30</f>
        <v/>
      </c>
      <c r="N5501">
        <f>IF(L5501="", "", L5501-B5501)</f>
        <v/>
      </c>
      <c r="O5501">
        <f>IF(L5501="", "Pending", IF(N5501&lt;=30, "Met", "Breached"))</f>
        <v/>
      </c>
    </row>
    <row r="5502">
      <c r="M5502" s="11">
        <f>B5502+30</f>
        <v/>
      </c>
      <c r="N5502">
        <f>IF(L5502="", "", L5502-B5502)</f>
        <v/>
      </c>
      <c r="O5502">
        <f>IF(L5502="", "Pending", IF(N5502&lt;=30, "Met", "Breached"))</f>
        <v/>
      </c>
    </row>
    <row r="5503">
      <c r="M5503" s="11">
        <f>B5503+30</f>
        <v/>
      </c>
      <c r="N5503">
        <f>IF(L5503="", "", L5503-B5503)</f>
        <v/>
      </c>
      <c r="O5503">
        <f>IF(L5503="", "Pending", IF(N5503&lt;=30, "Met", "Breached"))</f>
        <v/>
      </c>
    </row>
    <row r="5504">
      <c r="M5504" s="11">
        <f>B5504+30</f>
        <v/>
      </c>
      <c r="N5504">
        <f>IF(L5504="", "", L5504-B5504)</f>
        <v/>
      </c>
      <c r="O5504">
        <f>IF(L5504="", "Pending", IF(N5504&lt;=30, "Met", "Breached"))</f>
        <v/>
      </c>
    </row>
    <row r="5505">
      <c r="M5505" s="11">
        <f>B5505+30</f>
        <v/>
      </c>
      <c r="N5505">
        <f>IF(L5505="", "", L5505-B5505)</f>
        <v/>
      </c>
      <c r="O5505">
        <f>IF(L5505="", "Pending", IF(N5505&lt;=30, "Met", "Breached"))</f>
        <v/>
      </c>
    </row>
    <row r="5506">
      <c r="M5506" s="11">
        <f>B5506+30</f>
        <v/>
      </c>
      <c r="N5506">
        <f>IF(L5506="", "", L5506-B5506)</f>
        <v/>
      </c>
      <c r="O5506">
        <f>IF(L5506="", "Pending", IF(N5506&lt;=30, "Met", "Breached"))</f>
        <v/>
      </c>
    </row>
    <row r="5507">
      <c r="M5507" s="11">
        <f>B5507+30</f>
        <v/>
      </c>
      <c r="N5507">
        <f>IF(L5507="", "", L5507-B5507)</f>
        <v/>
      </c>
      <c r="O5507">
        <f>IF(L5507="", "Pending", IF(N5507&lt;=30, "Met", "Breached"))</f>
        <v/>
      </c>
    </row>
    <row r="5508">
      <c r="M5508" s="11">
        <f>B5508+30</f>
        <v/>
      </c>
      <c r="N5508">
        <f>IF(L5508="", "", L5508-B5508)</f>
        <v/>
      </c>
      <c r="O5508">
        <f>IF(L5508="", "Pending", IF(N5508&lt;=30, "Met", "Breached"))</f>
        <v/>
      </c>
    </row>
    <row r="5509">
      <c r="M5509" s="11">
        <f>B5509+30</f>
        <v/>
      </c>
      <c r="N5509">
        <f>IF(L5509="", "", L5509-B5509)</f>
        <v/>
      </c>
      <c r="O5509">
        <f>IF(L5509="", "Pending", IF(N5509&lt;=30, "Met", "Breached"))</f>
        <v/>
      </c>
    </row>
    <row r="5510">
      <c r="M5510" s="11">
        <f>B5510+30</f>
        <v/>
      </c>
      <c r="N5510">
        <f>IF(L5510="", "", L5510-B5510)</f>
        <v/>
      </c>
      <c r="O5510">
        <f>IF(L5510="", "Pending", IF(N5510&lt;=30, "Met", "Breached"))</f>
        <v/>
      </c>
    </row>
    <row r="5511">
      <c r="M5511" s="11">
        <f>B5511+30</f>
        <v/>
      </c>
      <c r="N5511">
        <f>IF(L5511="", "", L5511-B5511)</f>
        <v/>
      </c>
      <c r="O5511">
        <f>IF(L5511="", "Pending", IF(N5511&lt;=30, "Met", "Breached"))</f>
        <v/>
      </c>
    </row>
    <row r="5512">
      <c r="M5512" s="11">
        <f>B5512+30</f>
        <v/>
      </c>
      <c r="N5512">
        <f>IF(L5512="", "", L5512-B5512)</f>
        <v/>
      </c>
      <c r="O5512">
        <f>IF(L5512="", "Pending", IF(N5512&lt;=30, "Met", "Breached"))</f>
        <v/>
      </c>
    </row>
    <row r="5513">
      <c r="M5513" s="11">
        <f>B5513+30</f>
        <v/>
      </c>
      <c r="N5513">
        <f>IF(L5513="", "", L5513-B5513)</f>
        <v/>
      </c>
      <c r="O5513">
        <f>IF(L5513="", "Pending", IF(N5513&lt;=30, "Met", "Breached"))</f>
        <v/>
      </c>
    </row>
    <row r="5514">
      <c r="M5514" s="11">
        <f>B5514+30</f>
        <v/>
      </c>
      <c r="N5514">
        <f>IF(L5514="", "", L5514-B5514)</f>
        <v/>
      </c>
      <c r="O5514">
        <f>IF(L5514="", "Pending", IF(N5514&lt;=30, "Met", "Breached"))</f>
        <v/>
      </c>
    </row>
    <row r="5515">
      <c r="M5515" s="11">
        <f>B5515+30</f>
        <v/>
      </c>
      <c r="N5515">
        <f>IF(L5515="", "", L5515-B5515)</f>
        <v/>
      </c>
      <c r="O5515">
        <f>IF(L5515="", "Pending", IF(N5515&lt;=30, "Met", "Breached"))</f>
        <v/>
      </c>
    </row>
    <row r="5516">
      <c r="M5516" s="11">
        <f>B5516+30</f>
        <v/>
      </c>
      <c r="N5516">
        <f>IF(L5516="", "", L5516-B5516)</f>
        <v/>
      </c>
      <c r="O5516">
        <f>IF(L5516="", "Pending", IF(N5516&lt;=30, "Met", "Breached"))</f>
        <v/>
      </c>
    </row>
    <row r="5517">
      <c r="M5517" s="11">
        <f>B5517+30</f>
        <v/>
      </c>
      <c r="N5517">
        <f>IF(L5517="", "", L5517-B5517)</f>
        <v/>
      </c>
      <c r="O5517">
        <f>IF(L5517="", "Pending", IF(N5517&lt;=30, "Met", "Breached"))</f>
        <v/>
      </c>
    </row>
    <row r="5518">
      <c r="M5518" s="11">
        <f>B5518+30</f>
        <v/>
      </c>
      <c r="N5518">
        <f>IF(L5518="", "", L5518-B5518)</f>
        <v/>
      </c>
      <c r="O5518">
        <f>IF(L5518="", "Pending", IF(N5518&lt;=30, "Met", "Breached"))</f>
        <v/>
      </c>
    </row>
    <row r="5519">
      <c r="M5519" s="11">
        <f>B5519+30</f>
        <v/>
      </c>
      <c r="N5519">
        <f>IF(L5519="", "", L5519-B5519)</f>
        <v/>
      </c>
      <c r="O5519">
        <f>IF(L5519="", "Pending", IF(N5519&lt;=30, "Met", "Breached"))</f>
        <v/>
      </c>
    </row>
    <row r="5520">
      <c r="M5520" s="11">
        <f>B5520+30</f>
        <v/>
      </c>
      <c r="N5520">
        <f>IF(L5520="", "", L5520-B5520)</f>
        <v/>
      </c>
      <c r="O5520">
        <f>IF(L5520="", "Pending", IF(N5520&lt;=30, "Met", "Breached"))</f>
        <v/>
      </c>
    </row>
    <row r="5521">
      <c r="M5521" s="11">
        <f>B5521+30</f>
        <v/>
      </c>
      <c r="N5521">
        <f>IF(L5521="", "", L5521-B5521)</f>
        <v/>
      </c>
      <c r="O5521">
        <f>IF(L5521="", "Pending", IF(N5521&lt;=30, "Met", "Breached"))</f>
        <v/>
      </c>
    </row>
    <row r="5522">
      <c r="M5522" s="11">
        <f>B5522+30</f>
        <v/>
      </c>
      <c r="N5522">
        <f>IF(L5522="", "", L5522-B5522)</f>
        <v/>
      </c>
      <c r="O5522">
        <f>IF(L5522="", "Pending", IF(N5522&lt;=30, "Met", "Breached"))</f>
        <v/>
      </c>
    </row>
    <row r="5523">
      <c r="M5523" s="11">
        <f>B5523+30</f>
        <v/>
      </c>
      <c r="N5523">
        <f>IF(L5523="", "", L5523-B5523)</f>
        <v/>
      </c>
      <c r="O5523">
        <f>IF(L5523="", "Pending", IF(N5523&lt;=30, "Met", "Breached"))</f>
        <v/>
      </c>
    </row>
    <row r="5524">
      <c r="M5524" s="11">
        <f>B5524+30</f>
        <v/>
      </c>
      <c r="N5524">
        <f>IF(L5524="", "", L5524-B5524)</f>
        <v/>
      </c>
      <c r="O5524">
        <f>IF(L5524="", "Pending", IF(N5524&lt;=30, "Met", "Breached"))</f>
        <v/>
      </c>
    </row>
    <row r="5525">
      <c r="M5525" s="11">
        <f>B5525+30</f>
        <v/>
      </c>
      <c r="N5525">
        <f>IF(L5525="", "", L5525-B5525)</f>
        <v/>
      </c>
      <c r="O5525">
        <f>IF(L5525="", "Pending", IF(N5525&lt;=30, "Met", "Breached"))</f>
        <v/>
      </c>
    </row>
    <row r="5526">
      <c r="M5526" s="11">
        <f>B5526+30</f>
        <v/>
      </c>
      <c r="N5526">
        <f>IF(L5526="", "", L5526-B5526)</f>
        <v/>
      </c>
      <c r="O5526">
        <f>IF(L5526="", "Pending", IF(N5526&lt;=30, "Met", "Breached"))</f>
        <v/>
      </c>
    </row>
    <row r="5527">
      <c r="M5527" s="11">
        <f>B5527+30</f>
        <v/>
      </c>
      <c r="N5527">
        <f>IF(L5527="", "", L5527-B5527)</f>
        <v/>
      </c>
      <c r="O5527">
        <f>IF(L5527="", "Pending", IF(N5527&lt;=30, "Met", "Breached"))</f>
        <v/>
      </c>
    </row>
    <row r="5528">
      <c r="M5528" s="11">
        <f>B5528+30</f>
        <v/>
      </c>
      <c r="N5528">
        <f>IF(L5528="", "", L5528-B5528)</f>
        <v/>
      </c>
      <c r="O5528">
        <f>IF(L5528="", "Pending", IF(N5528&lt;=30, "Met", "Breached"))</f>
        <v/>
      </c>
    </row>
    <row r="5529">
      <c r="M5529" s="11">
        <f>B5529+30</f>
        <v/>
      </c>
      <c r="N5529">
        <f>IF(L5529="", "", L5529-B5529)</f>
        <v/>
      </c>
      <c r="O5529">
        <f>IF(L5529="", "Pending", IF(N5529&lt;=30, "Met", "Breached"))</f>
        <v/>
      </c>
    </row>
    <row r="5530">
      <c r="M5530" s="11">
        <f>B5530+30</f>
        <v/>
      </c>
      <c r="N5530">
        <f>IF(L5530="", "", L5530-B5530)</f>
        <v/>
      </c>
      <c r="O5530">
        <f>IF(L5530="", "Pending", IF(N5530&lt;=30, "Met", "Breached"))</f>
        <v/>
      </c>
    </row>
    <row r="5531">
      <c r="M5531" s="11">
        <f>B5531+30</f>
        <v/>
      </c>
      <c r="N5531">
        <f>IF(L5531="", "", L5531-B5531)</f>
        <v/>
      </c>
      <c r="O5531">
        <f>IF(L5531="", "Pending", IF(N5531&lt;=30, "Met", "Breached"))</f>
        <v/>
      </c>
    </row>
    <row r="5532">
      <c r="M5532" s="11">
        <f>B5532+30</f>
        <v/>
      </c>
      <c r="N5532">
        <f>IF(L5532="", "", L5532-B5532)</f>
        <v/>
      </c>
      <c r="O5532">
        <f>IF(L5532="", "Pending", IF(N5532&lt;=30, "Met", "Breached"))</f>
        <v/>
      </c>
    </row>
    <row r="5533">
      <c r="M5533" s="11">
        <f>B5533+30</f>
        <v/>
      </c>
      <c r="N5533">
        <f>IF(L5533="", "", L5533-B5533)</f>
        <v/>
      </c>
      <c r="O5533">
        <f>IF(L5533="", "Pending", IF(N5533&lt;=30, "Met", "Breached"))</f>
        <v/>
      </c>
    </row>
    <row r="5534">
      <c r="M5534" s="11">
        <f>B5534+30</f>
        <v/>
      </c>
      <c r="N5534">
        <f>IF(L5534="", "", L5534-B5534)</f>
        <v/>
      </c>
      <c r="O5534">
        <f>IF(L5534="", "Pending", IF(N5534&lt;=30, "Met", "Breached"))</f>
        <v/>
      </c>
    </row>
    <row r="5535">
      <c r="M5535" s="11">
        <f>B5535+30</f>
        <v/>
      </c>
      <c r="N5535">
        <f>IF(L5535="", "", L5535-B5535)</f>
        <v/>
      </c>
      <c r="O5535">
        <f>IF(L5535="", "Pending", IF(N5535&lt;=30, "Met", "Breached"))</f>
        <v/>
      </c>
    </row>
    <row r="5536">
      <c r="M5536" s="11">
        <f>B5536+30</f>
        <v/>
      </c>
      <c r="N5536">
        <f>IF(L5536="", "", L5536-B5536)</f>
        <v/>
      </c>
      <c r="O5536">
        <f>IF(L5536="", "Pending", IF(N5536&lt;=30, "Met", "Breached"))</f>
        <v/>
      </c>
    </row>
    <row r="5537">
      <c r="M5537" s="11">
        <f>B5537+30</f>
        <v/>
      </c>
      <c r="N5537">
        <f>IF(L5537="", "", L5537-B5537)</f>
        <v/>
      </c>
      <c r="O5537">
        <f>IF(L5537="", "Pending", IF(N5537&lt;=30, "Met", "Breached"))</f>
        <v/>
      </c>
    </row>
    <row r="5538">
      <c r="M5538" s="11">
        <f>B5538+30</f>
        <v/>
      </c>
      <c r="N5538">
        <f>IF(L5538="", "", L5538-B5538)</f>
        <v/>
      </c>
      <c r="O5538">
        <f>IF(L5538="", "Pending", IF(N5538&lt;=30, "Met", "Breached"))</f>
        <v/>
      </c>
    </row>
    <row r="5539">
      <c r="M5539" s="11">
        <f>B5539+30</f>
        <v/>
      </c>
      <c r="N5539">
        <f>IF(L5539="", "", L5539-B5539)</f>
        <v/>
      </c>
      <c r="O5539">
        <f>IF(L5539="", "Pending", IF(N5539&lt;=30, "Met", "Breached"))</f>
        <v/>
      </c>
    </row>
    <row r="5540">
      <c r="M5540" s="11">
        <f>B5540+30</f>
        <v/>
      </c>
      <c r="N5540">
        <f>IF(L5540="", "", L5540-B5540)</f>
        <v/>
      </c>
      <c r="O5540">
        <f>IF(L5540="", "Pending", IF(N5540&lt;=30, "Met", "Breached"))</f>
        <v/>
      </c>
    </row>
    <row r="5541">
      <c r="M5541" s="11">
        <f>B5541+30</f>
        <v/>
      </c>
      <c r="N5541">
        <f>IF(L5541="", "", L5541-B5541)</f>
        <v/>
      </c>
      <c r="O5541">
        <f>IF(L5541="", "Pending", IF(N5541&lt;=30, "Met", "Breached"))</f>
        <v/>
      </c>
    </row>
    <row r="5542">
      <c r="M5542" s="11">
        <f>B5542+30</f>
        <v/>
      </c>
      <c r="N5542">
        <f>IF(L5542="", "", L5542-B5542)</f>
        <v/>
      </c>
      <c r="O5542">
        <f>IF(L5542="", "Pending", IF(N5542&lt;=30, "Met", "Breached"))</f>
        <v/>
      </c>
    </row>
    <row r="5543">
      <c r="M5543" s="11">
        <f>B5543+30</f>
        <v/>
      </c>
      <c r="N5543">
        <f>IF(L5543="", "", L5543-B5543)</f>
        <v/>
      </c>
      <c r="O5543">
        <f>IF(L5543="", "Pending", IF(N5543&lt;=30, "Met", "Breached"))</f>
        <v/>
      </c>
    </row>
    <row r="5544">
      <c r="M5544" s="11">
        <f>B5544+30</f>
        <v/>
      </c>
      <c r="N5544">
        <f>IF(L5544="", "", L5544-B5544)</f>
        <v/>
      </c>
      <c r="O5544">
        <f>IF(L5544="", "Pending", IF(N5544&lt;=30, "Met", "Breached"))</f>
        <v/>
      </c>
    </row>
    <row r="5545">
      <c r="M5545" s="11">
        <f>B5545+30</f>
        <v/>
      </c>
      <c r="N5545">
        <f>IF(L5545="", "", L5545-B5545)</f>
        <v/>
      </c>
      <c r="O5545">
        <f>IF(L5545="", "Pending", IF(N5545&lt;=30, "Met", "Breached"))</f>
        <v/>
      </c>
    </row>
    <row r="5546">
      <c r="M5546" s="11">
        <f>B5546+30</f>
        <v/>
      </c>
      <c r="N5546">
        <f>IF(L5546="", "", L5546-B5546)</f>
        <v/>
      </c>
      <c r="O5546">
        <f>IF(L5546="", "Pending", IF(N5546&lt;=30, "Met", "Breached"))</f>
        <v/>
      </c>
    </row>
    <row r="5547">
      <c r="M5547" s="11">
        <f>B5547+30</f>
        <v/>
      </c>
      <c r="N5547">
        <f>IF(L5547="", "", L5547-B5547)</f>
        <v/>
      </c>
      <c r="O5547">
        <f>IF(L5547="", "Pending", IF(N5547&lt;=30, "Met", "Breached"))</f>
        <v/>
      </c>
    </row>
    <row r="5548">
      <c r="M5548" s="11">
        <f>B5548+30</f>
        <v/>
      </c>
      <c r="N5548">
        <f>IF(L5548="", "", L5548-B5548)</f>
        <v/>
      </c>
      <c r="O5548">
        <f>IF(L5548="", "Pending", IF(N5548&lt;=30, "Met", "Breached"))</f>
        <v/>
      </c>
    </row>
    <row r="5549">
      <c r="M5549" s="11">
        <f>B5549+30</f>
        <v/>
      </c>
      <c r="N5549">
        <f>IF(L5549="", "", L5549-B5549)</f>
        <v/>
      </c>
      <c r="O5549">
        <f>IF(L5549="", "Pending", IF(N5549&lt;=30, "Met", "Breached"))</f>
        <v/>
      </c>
    </row>
    <row r="5550">
      <c r="M5550" s="11">
        <f>B5550+30</f>
        <v/>
      </c>
      <c r="N5550">
        <f>IF(L5550="", "", L5550-B5550)</f>
        <v/>
      </c>
      <c r="O5550">
        <f>IF(L5550="", "Pending", IF(N5550&lt;=30, "Met", "Breached"))</f>
        <v/>
      </c>
    </row>
    <row r="5551">
      <c r="M5551" s="11">
        <f>B5551+30</f>
        <v/>
      </c>
      <c r="N5551">
        <f>IF(L5551="", "", L5551-B5551)</f>
        <v/>
      </c>
      <c r="O5551">
        <f>IF(L5551="", "Pending", IF(N5551&lt;=30, "Met", "Breached"))</f>
        <v/>
      </c>
    </row>
    <row r="5552">
      <c r="M5552" s="11">
        <f>B5552+30</f>
        <v/>
      </c>
      <c r="N5552">
        <f>IF(L5552="", "", L5552-B5552)</f>
        <v/>
      </c>
      <c r="O5552">
        <f>IF(L5552="", "Pending", IF(N5552&lt;=30, "Met", "Breached"))</f>
        <v/>
      </c>
    </row>
    <row r="5553">
      <c r="M5553" s="11">
        <f>B5553+30</f>
        <v/>
      </c>
      <c r="N5553">
        <f>IF(L5553="", "", L5553-B5553)</f>
        <v/>
      </c>
      <c r="O5553">
        <f>IF(L5553="", "Pending", IF(N5553&lt;=30, "Met", "Breached"))</f>
        <v/>
      </c>
    </row>
    <row r="5554">
      <c r="M5554" s="11">
        <f>B5554+30</f>
        <v/>
      </c>
      <c r="N5554">
        <f>IF(L5554="", "", L5554-B5554)</f>
        <v/>
      </c>
      <c r="O5554">
        <f>IF(L5554="", "Pending", IF(N5554&lt;=30, "Met", "Breached"))</f>
        <v/>
      </c>
    </row>
    <row r="5555">
      <c r="M5555" s="11">
        <f>B5555+30</f>
        <v/>
      </c>
      <c r="N5555">
        <f>IF(L5555="", "", L5555-B5555)</f>
        <v/>
      </c>
      <c r="O5555">
        <f>IF(L5555="", "Pending", IF(N5555&lt;=30, "Met", "Breached"))</f>
        <v/>
      </c>
    </row>
    <row r="5556">
      <c r="M5556" s="11">
        <f>B5556+30</f>
        <v/>
      </c>
      <c r="N5556">
        <f>IF(L5556="", "", L5556-B5556)</f>
        <v/>
      </c>
      <c r="O5556">
        <f>IF(L5556="", "Pending", IF(N5556&lt;=30, "Met", "Breached"))</f>
        <v/>
      </c>
    </row>
    <row r="5557">
      <c r="M5557" s="11">
        <f>B5557+30</f>
        <v/>
      </c>
      <c r="N5557">
        <f>IF(L5557="", "", L5557-B5557)</f>
        <v/>
      </c>
      <c r="O5557">
        <f>IF(L5557="", "Pending", IF(N5557&lt;=30, "Met", "Breached"))</f>
        <v/>
      </c>
    </row>
    <row r="5558">
      <c r="M5558" s="11">
        <f>B5558+30</f>
        <v/>
      </c>
      <c r="N5558">
        <f>IF(L5558="", "", L5558-B5558)</f>
        <v/>
      </c>
      <c r="O5558">
        <f>IF(L5558="", "Pending", IF(N5558&lt;=30, "Met", "Breached"))</f>
        <v/>
      </c>
    </row>
    <row r="5559">
      <c r="M5559" s="11">
        <f>B5559+30</f>
        <v/>
      </c>
      <c r="N5559">
        <f>IF(L5559="", "", L5559-B5559)</f>
        <v/>
      </c>
      <c r="O5559">
        <f>IF(L5559="", "Pending", IF(N5559&lt;=30, "Met", "Breached"))</f>
        <v/>
      </c>
    </row>
    <row r="5560">
      <c r="M5560" s="11">
        <f>B5560+30</f>
        <v/>
      </c>
      <c r="N5560">
        <f>IF(L5560="", "", L5560-B5560)</f>
        <v/>
      </c>
      <c r="O5560">
        <f>IF(L5560="", "Pending", IF(N5560&lt;=30, "Met", "Breached"))</f>
        <v/>
      </c>
    </row>
    <row r="5561">
      <c r="M5561" s="11">
        <f>B5561+30</f>
        <v/>
      </c>
      <c r="N5561">
        <f>IF(L5561="", "", L5561-B5561)</f>
        <v/>
      </c>
      <c r="O5561">
        <f>IF(L5561="", "Pending", IF(N5561&lt;=30, "Met", "Breached"))</f>
        <v/>
      </c>
    </row>
    <row r="5562">
      <c r="M5562" s="11">
        <f>B5562+30</f>
        <v/>
      </c>
      <c r="N5562">
        <f>IF(L5562="", "", L5562-B5562)</f>
        <v/>
      </c>
      <c r="O5562">
        <f>IF(L5562="", "Pending", IF(N5562&lt;=30, "Met", "Breached"))</f>
        <v/>
      </c>
    </row>
    <row r="5563">
      <c r="M5563" s="11">
        <f>B5563+30</f>
        <v/>
      </c>
      <c r="N5563">
        <f>IF(L5563="", "", L5563-B5563)</f>
        <v/>
      </c>
      <c r="O5563">
        <f>IF(L5563="", "Pending", IF(N5563&lt;=30, "Met", "Breached"))</f>
        <v/>
      </c>
    </row>
    <row r="5564">
      <c r="M5564" s="11">
        <f>B5564+30</f>
        <v/>
      </c>
      <c r="N5564">
        <f>IF(L5564="", "", L5564-B5564)</f>
        <v/>
      </c>
      <c r="O5564">
        <f>IF(L5564="", "Pending", IF(N5564&lt;=30, "Met", "Breached"))</f>
        <v/>
      </c>
    </row>
    <row r="5565">
      <c r="M5565" s="11">
        <f>B5565+30</f>
        <v/>
      </c>
      <c r="N5565">
        <f>IF(L5565="", "", L5565-B5565)</f>
        <v/>
      </c>
      <c r="O5565">
        <f>IF(L5565="", "Pending", IF(N5565&lt;=30, "Met", "Breached"))</f>
        <v/>
      </c>
    </row>
    <row r="5566">
      <c r="M5566" s="11">
        <f>B5566+30</f>
        <v/>
      </c>
      <c r="N5566">
        <f>IF(L5566="", "", L5566-B5566)</f>
        <v/>
      </c>
      <c r="O5566">
        <f>IF(L5566="", "Pending", IF(N5566&lt;=30, "Met", "Breached"))</f>
        <v/>
      </c>
    </row>
    <row r="5567">
      <c r="M5567" s="11">
        <f>B5567+30</f>
        <v/>
      </c>
      <c r="N5567">
        <f>IF(L5567="", "", L5567-B5567)</f>
        <v/>
      </c>
      <c r="O5567">
        <f>IF(L5567="", "Pending", IF(N5567&lt;=30, "Met", "Breached"))</f>
        <v/>
      </c>
    </row>
    <row r="5568">
      <c r="M5568" s="11">
        <f>B5568+30</f>
        <v/>
      </c>
      <c r="N5568">
        <f>IF(L5568="", "", L5568-B5568)</f>
        <v/>
      </c>
      <c r="O5568">
        <f>IF(L5568="", "Pending", IF(N5568&lt;=30, "Met", "Breached"))</f>
        <v/>
      </c>
    </row>
    <row r="5569">
      <c r="M5569" s="11">
        <f>B5569+30</f>
        <v/>
      </c>
      <c r="N5569">
        <f>IF(L5569="", "", L5569-B5569)</f>
        <v/>
      </c>
      <c r="O5569">
        <f>IF(L5569="", "Pending", IF(N5569&lt;=30, "Met", "Breached"))</f>
        <v/>
      </c>
    </row>
    <row r="5570">
      <c r="M5570" s="11">
        <f>B5570+30</f>
        <v/>
      </c>
      <c r="N5570">
        <f>IF(L5570="", "", L5570-B5570)</f>
        <v/>
      </c>
      <c r="O5570">
        <f>IF(L5570="", "Pending", IF(N5570&lt;=30, "Met", "Breached"))</f>
        <v/>
      </c>
    </row>
    <row r="5571">
      <c r="M5571" s="11">
        <f>B5571+30</f>
        <v/>
      </c>
      <c r="N5571">
        <f>IF(L5571="", "", L5571-B5571)</f>
        <v/>
      </c>
      <c r="O5571">
        <f>IF(L5571="", "Pending", IF(N5571&lt;=30, "Met", "Breached"))</f>
        <v/>
      </c>
    </row>
    <row r="5572">
      <c r="M5572" s="11">
        <f>B5572+30</f>
        <v/>
      </c>
      <c r="N5572">
        <f>IF(L5572="", "", L5572-B5572)</f>
        <v/>
      </c>
      <c r="O5572">
        <f>IF(L5572="", "Pending", IF(N5572&lt;=30, "Met", "Breached"))</f>
        <v/>
      </c>
    </row>
    <row r="5573">
      <c r="M5573" s="11">
        <f>B5573+30</f>
        <v/>
      </c>
      <c r="N5573">
        <f>IF(L5573="", "", L5573-B5573)</f>
        <v/>
      </c>
      <c r="O5573">
        <f>IF(L5573="", "Pending", IF(N5573&lt;=30, "Met", "Breached"))</f>
        <v/>
      </c>
    </row>
    <row r="5574">
      <c r="M5574" s="11">
        <f>B5574+30</f>
        <v/>
      </c>
      <c r="N5574">
        <f>IF(L5574="", "", L5574-B5574)</f>
        <v/>
      </c>
      <c r="O5574">
        <f>IF(L5574="", "Pending", IF(N5574&lt;=30, "Met", "Breached"))</f>
        <v/>
      </c>
    </row>
    <row r="5575">
      <c r="M5575" s="11">
        <f>B5575+30</f>
        <v/>
      </c>
      <c r="N5575">
        <f>IF(L5575="", "", L5575-B5575)</f>
        <v/>
      </c>
      <c r="O5575">
        <f>IF(L5575="", "Pending", IF(N5575&lt;=30, "Met", "Breached"))</f>
        <v/>
      </c>
    </row>
    <row r="5576">
      <c r="M5576" s="11">
        <f>B5576+30</f>
        <v/>
      </c>
      <c r="N5576">
        <f>IF(L5576="", "", L5576-B5576)</f>
        <v/>
      </c>
      <c r="O5576">
        <f>IF(L5576="", "Pending", IF(N5576&lt;=30, "Met", "Breached"))</f>
        <v/>
      </c>
    </row>
    <row r="5577">
      <c r="M5577" s="11">
        <f>B5577+30</f>
        <v/>
      </c>
      <c r="N5577">
        <f>IF(L5577="", "", L5577-B5577)</f>
        <v/>
      </c>
      <c r="O5577">
        <f>IF(L5577="", "Pending", IF(N5577&lt;=30, "Met", "Breached"))</f>
        <v/>
      </c>
    </row>
    <row r="5578">
      <c r="M5578" s="11">
        <f>B5578+30</f>
        <v/>
      </c>
      <c r="N5578">
        <f>IF(L5578="", "", L5578-B5578)</f>
        <v/>
      </c>
      <c r="O5578">
        <f>IF(L5578="", "Pending", IF(N5578&lt;=30, "Met", "Breached"))</f>
        <v/>
      </c>
    </row>
    <row r="5579">
      <c r="M5579" s="11">
        <f>B5579+30</f>
        <v/>
      </c>
      <c r="N5579">
        <f>IF(L5579="", "", L5579-B5579)</f>
        <v/>
      </c>
      <c r="O5579">
        <f>IF(L5579="", "Pending", IF(N5579&lt;=30, "Met", "Breached"))</f>
        <v/>
      </c>
    </row>
    <row r="5580">
      <c r="M5580" s="11">
        <f>B5580+30</f>
        <v/>
      </c>
      <c r="N5580">
        <f>IF(L5580="", "", L5580-B5580)</f>
        <v/>
      </c>
      <c r="O5580">
        <f>IF(L5580="", "Pending", IF(N5580&lt;=30, "Met", "Breached"))</f>
        <v/>
      </c>
    </row>
    <row r="5581">
      <c r="M5581" s="11">
        <f>B5581+30</f>
        <v/>
      </c>
      <c r="N5581">
        <f>IF(L5581="", "", L5581-B5581)</f>
        <v/>
      </c>
      <c r="O5581">
        <f>IF(L5581="", "Pending", IF(N5581&lt;=30, "Met", "Breached"))</f>
        <v/>
      </c>
    </row>
    <row r="5582">
      <c r="M5582" s="11">
        <f>B5582+30</f>
        <v/>
      </c>
      <c r="N5582">
        <f>IF(L5582="", "", L5582-B5582)</f>
        <v/>
      </c>
      <c r="O5582">
        <f>IF(L5582="", "Pending", IF(N5582&lt;=30, "Met", "Breached"))</f>
        <v/>
      </c>
    </row>
    <row r="5583">
      <c r="M5583" s="11">
        <f>B5583+30</f>
        <v/>
      </c>
      <c r="N5583">
        <f>IF(L5583="", "", L5583-B5583)</f>
        <v/>
      </c>
      <c r="O5583">
        <f>IF(L5583="", "Pending", IF(N5583&lt;=30, "Met", "Breached"))</f>
        <v/>
      </c>
    </row>
    <row r="5584">
      <c r="M5584" s="11">
        <f>B5584+30</f>
        <v/>
      </c>
      <c r="N5584">
        <f>IF(L5584="", "", L5584-B5584)</f>
        <v/>
      </c>
      <c r="O5584">
        <f>IF(L5584="", "Pending", IF(N5584&lt;=30, "Met", "Breached"))</f>
        <v/>
      </c>
    </row>
    <row r="5585">
      <c r="M5585" s="11">
        <f>B5585+30</f>
        <v/>
      </c>
      <c r="N5585">
        <f>IF(L5585="", "", L5585-B5585)</f>
        <v/>
      </c>
      <c r="O5585">
        <f>IF(L5585="", "Pending", IF(N5585&lt;=30, "Met", "Breached"))</f>
        <v/>
      </c>
    </row>
    <row r="5586">
      <c r="M5586" s="11">
        <f>B5586+30</f>
        <v/>
      </c>
      <c r="N5586">
        <f>IF(L5586="", "", L5586-B5586)</f>
        <v/>
      </c>
      <c r="O5586">
        <f>IF(L5586="", "Pending", IF(N5586&lt;=30, "Met", "Breached"))</f>
        <v/>
      </c>
    </row>
    <row r="5587">
      <c r="M5587" s="11">
        <f>B5587+30</f>
        <v/>
      </c>
      <c r="N5587">
        <f>IF(L5587="", "", L5587-B5587)</f>
        <v/>
      </c>
      <c r="O5587">
        <f>IF(L5587="", "Pending", IF(N5587&lt;=30, "Met", "Breached"))</f>
        <v/>
      </c>
    </row>
    <row r="5588">
      <c r="M5588" s="11">
        <f>B5588+30</f>
        <v/>
      </c>
      <c r="N5588">
        <f>IF(L5588="", "", L5588-B5588)</f>
        <v/>
      </c>
      <c r="O5588">
        <f>IF(L5588="", "Pending", IF(N5588&lt;=30, "Met", "Breached"))</f>
        <v/>
      </c>
    </row>
    <row r="5589">
      <c r="M5589" s="11">
        <f>B5589+30</f>
        <v/>
      </c>
      <c r="N5589">
        <f>IF(L5589="", "", L5589-B5589)</f>
        <v/>
      </c>
      <c r="O5589">
        <f>IF(L5589="", "Pending", IF(N5589&lt;=30, "Met", "Breached"))</f>
        <v/>
      </c>
    </row>
    <row r="5590">
      <c r="M5590" s="11">
        <f>B5590+30</f>
        <v/>
      </c>
      <c r="N5590">
        <f>IF(L5590="", "", L5590-B5590)</f>
        <v/>
      </c>
      <c r="O5590">
        <f>IF(L5590="", "Pending", IF(N5590&lt;=30, "Met", "Breached"))</f>
        <v/>
      </c>
    </row>
    <row r="5591">
      <c r="M5591" s="11">
        <f>B5591+30</f>
        <v/>
      </c>
      <c r="N5591">
        <f>IF(L5591="", "", L5591-B5591)</f>
        <v/>
      </c>
      <c r="O5591">
        <f>IF(L5591="", "Pending", IF(N5591&lt;=30, "Met", "Breached"))</f>
        <v/>
      </c>
    </row>
    <row r="5592">
      <c r="M5592" s="11">
        <f>B5592+30</f>
        <v/>
      </c>
      <c r="N5592">
        <f>IF(L5592="", "", L5592-B5592)</f>
        <v/>
      </c>
      <c r="O5592">
        <f>IF(L5592="", "Pending", IF(N5592&lt;=30, "Met", "Breached"))</f>
        <v/>
      </c>
    </row>
    <row r="5593">
      <c r="M5593" s="11">
        <f>B5593+30</f>
        <v/>
      </c>
      <c r="N5593">
        <f>IF(L5593="", "", L5593-B5593)</f>
        <v/>
      </c>
      <c r="O5593">
        <f>IF(L5593="", "Pending", IF(N5593&lt;=30, "Met", "Breached"))</f>
        <v/>
      </c>
    </row>
    <row r="5594">
      <c r="M5594" s="11">
        <f>B5594+30</f>
        <v/>
      </c>
      <c r="N5594">
        <f>IF(L5594="", "", L5594-B5594)</f>
        <v/>
      </c>
      <c r="O5594">
        <f>IF(L5594="", "Pending", IF(N5594&lt;=30, "Met", "Breached"))</f>
        <v/>
      </c>
    </row>
    <row r="5595">
      <c r="M5595" s="11">
        <f>B5595+30</f>
        <v/>
      </c>
      <c r="N5595">
        <f>IF(L5595="", "", L5595-B5595)</f>
        <v/>
      </c>
      <c r="O5595">
        <f>IF(L5595="", "Pending", IF(N5595&lt;=30, "Met", "Breached"))</f>
        <v/>
      </c>
    </row>
    <row r="5596">
      <c r="M5596" s="11">
        <f>B5596+30</f>
        <v/>
      </c>
      <c r="N5596">
        <f>IF(L5596="", "", L5596-B5596)</f>
        <v/>
      </c>
      <c r="O5596">
        <f>IF(L5596="", "Pending", IF(N5596&lt;=30, "Met", "Breached"))</f>
        <v/>
      </c>
    </row>
    <row r="5597">
      <c r="M5597" s="11">
        <f>B5597+30</f>
        <v/>
      </c>
      <c r="N5597">
        <f>IF(L5597="", "", L5597-B5597)</f>
        <v/>
      </c>
      <c r="O5597">
        <f>IF(L5597="", "Pending", IF(N5597&lt;=30, "Met", "Breached"))</f>
        <v/>
      </c>
    </row>
    <row r="5598">
      <c r="M5598" s="11">
        <f>B5598+30</f>
        <v/>
      </c>
      <c r="N5598">
        <f>IF(L5598="", "", L5598-B5598)</f>
        <v/>
      </c>
      <c r="O5598">
        <f>IF(L5598="", "Pending", IF(N5598&lt;=30, "Met", "Breached"))</f>
        <v/>
      </c>
    </row>
    <row r="5599">
      <c r="M5599" s="11">
        <f>B5599+30</f>
        <v/>
      </c>
      <c r="N5599">
        <f>IF(L5599="", "", L5599-B5599)</f>
        <v/>
      </c>
      <c r="O5599">
        <f>IF(L5599="", "Pending", IF(N5599&lt;=30, "Met", "Breached"))</f>
        <v/>
      </c>
    </row>
    <row r="5600">
      <c r="M5600" s="11">
        <f>B5600+30</f>
        <v/>
      </c>
      <c r="N5600">
        <f>IF(L5600="", "", L5600-B5600)</f>
        <v/>
      </c>
      <c r="O5600">
        <f>IF(L5600="", "Pending", IF(N5600&lt;=30, "Met", "Breached"))</f>
        <v/>
      </c>
    </row>
    <row r="5601">
      <c r="M5601" s="11">
        <f>B5601+30</f>
        <v/>
      </c>
      <c r="N5601">
        <f>IF(L5601="", "", L5601-B5601)</f>
        <v/>
      </c>
      <c r="O5601">
        <f>IF(L5601="", "Pending", IF(N5601&lt;=30, "Met", "Breached"))</f>
        <v/>
      </c>
    </row>
    <row r="5602">
      <c r="M5602" s="11">
        <f>B5602+30</f>
        <v/>
      </c>
      <c r="N5602">
        <f>IF(L5602="", "", L5602-B5602)</f>
        <v/>
      </c>
      <c r="O5602">
        <f>IF(L5602="", "Pending", IF(N5602&lt;=30, "Met", "Breached"))</f>
        <v/>
      </c>
    </row>
    <row r="5603">
      <c r="M5603" s="11">
        <f>B5603+30</f>
        <v/>
      </c>
      <c r="N5603">
        <f>IF(L5603="", "", L5603-B5603)</f>
        <v/>
      </c>
      <c r="O5603">
        <f>IF(L5603="", "Pending", IF(N5603&lt;=30, "Met", "Breached"))</f>
        <v/>
      </c>
    </row>
    <row r="5604">
      <c r="M5604" s="11">
        <f>B5604+30</f>
        <v/>
      </c>
      <c r="N5604">
        <f>IF(L5604="", "", L5604-B5604)</f>
        <v/>
      </c>
      <c r="O5604">
        <f>IF(L5604="", "Pending", IF(N5604&lt;=30, "Met", "Breached"))</f>
        <v/>
      </c>
    </row>
    <row r="5605">
      <c r="M5605" s="11">
        <f>B5605+30</f>
        <v/>
      </c>
      <c r="N5605">
        <f>IF(L5605="", "", L5605-B5605)</f>
        <v/>
      </c>
      <c r="O5605">
        <f>IF(L5605="", "Pending", IF(N5605&lt;=30, "Met", "Breached"))</f>
        <v/>
      </c>
    </row>
    <row r="5606">
      <c r="M5606" s="11">
        <f>B5606+30</f>
        <v/>
      </c>
      <c r="N5606">
        <f>IF(L5606="", "", L5606-B5606)</f>
        <v/>
      </c>
      <c r="O5606">
        <f>IF(L5606="", "Pending", IF(N5606&lt;=30, "Met", "Breached"))</f>
        <v/>
      </c>
    </row>
    <row r="5607">
      <c r="M5607" s="11">
        <f>B5607+30</f>
        <v/>
      </c>
      <c r="N5607">
        <f>IF(L5607="", "", L5607-B5607)</f>
        <v/>
      </c>
      <c r="O5607">
        <f>IF(L5607="", "Pending", IF(N5607&lt;=30, "Met", "Breached"))</f>
        <v/>
      </c>
    </row>
    <row r="5608">
      <c r="M5608" s="11">
        <f>B5608+30</f>
        <v/>
      </c>
      <c r="N5608">
        <f>IF(L5608="", "", L5608-B5608)</f>
        <v/>
      </c>
      <c r="O5608">
        <f>IF(L5608="", "Pending", IF(N5608&lt;=30, "Met", "Breached"))</f>
        <v/>
      </c>
    </row>
    <row r="5609">
      <c r="M5609" s="11">
        <f>B5609+30</f>
        <v/>
      </c>
      <c r="N5609">
        <f>IF(L5609="", "", L5609-B5609)</f>
        <v/>
      </c>
      <c r="O5609">
        <f>IF(L5609="", "Pending", IF(N5609&lt;=30, "Met", "Breached"))</f>
        <v/>
      </c>
    </row>
    <row r="5610">
      <c r="M5610" s="11">
        <f>B5610+30</f>
        <v/>
      </c>
      <c r="N5610">
        <f>IF(L5610="", "", L5610-B5610)</f>
        <v/>
      </c>
      <c r="O5610">
        <f>IF(L5610="", "Pending", IF(N5610&lt;=30, "Met", "Breached"))</f>
        <v/>
      </c>
    </row>
    <row r="5611">
      <c r="M5611" s="11">
        <f>B5611+30</f>
        <v/>
      </c>
      <c r="N5611">
        <f>IF(L5611="", "", L5611-B5611)</f>
        <v/>
      </c>
      <c r="O5611">
        <f>IF(L5611="", "Pending", IF(N5611&lt;=30, "Met", "Breached"))</f>
        <v/>
      </c>
    </row>
    <row r="5612">
      <c r="M5612" s="11">
        <f>B5612+30</f>
        <v/>
      </c>
      <c r="N5612">
        <f>IF(L5612="", "", L5612-B5612)</f>
        <v/>
      </c>
      <c r="O5612">
        <f>IF(L5612="", "Pending", IF(N5612&lt;=30, "Met", "Breached"))</f>
        <v/>
      </c>
    </row>
    <row r="5613">
      <c r="M5613" s="11">
        <f>B5613+30</f>
        <v/>
      </c>
      <c r="N5613">
        <f>IF(L5613="", "", L5613-B5613)</f>
        <v/>
      </c>
      <c r="O5613">
        <f>IF(L5613="", "Pending", IF(N5613&lt;=30, "Met", "Breached"))</f>
        <v/>
      </c>
    </row>
    <row r="5614">
      <c r="M5614" s="11">
        <f>B5614+30</f>
        <v/>
      </c>
      <c r="N5614">
        <f>IF(L5614="", "", L5614-B5614)</f>
        <v/>
      </c>
      <c r="O5614">
        <f>IF(L5614="", "Pending", IF(N5614&lt;=30, "Met", "Breached"))</f>
        <v/>
      </c>
    </row>
    <row r="5615">
      <c r="M5615" s="11">
        <f>B5615+30</f>
        <v/>
      </c>
      <c r="N5615">
        <f>IF(L5615="", "", L5615-B5615)</f>
        <v/>
      </c>
      <c r="O5615">
        <f>IF(L5615="", "Pending", IF(N5615&lt;=30, "Met", "Breached"))</f>
        <v/>
      </c>
    </row>
    <row r="5616">
      <c r="M5616" s="11">
        <f>B5616+30</f>
        <v/>
      </c>
      <c r="N5616">
        <f>IF(L5616="", "", L5616-B5616)</f>
        <v/>
      </c>
      <c r="O5616">
        <f>IF(L5616="", "Pending", IF(N5616&lt;=30, "Met", "Breached"))</f>
        <v/>
      </c>
    </row>
    <row r="5617">
      <c r="M5617" s="11">
        <f>B5617+30</f>
        <v/>
      </c>
      <c r="N5617">
        <f>IF(L5617="", "", L5617-B5617)</f>
        <v/>
      </c>
      <c r="O5617">
        <f>IF(L5617="", "Pending", IF(N5617&lt;=30, "Met", "Breached"))</f>
        <v/>
      </c>
    </row>
    <row r="5618">
      <c r="M5618" s="11">
        <f>B5618+30</f>
        <v/>
      </c>
      <c r="N5618">
        <f>IF(L5618="", "", L5618-B5618)</f>
        <v/>
      </c>
      <c r="O5618">
        <f>IF(L5618="", "Pending", IF(N5618&lt;=30, "Met", "Breached"))</f>
        <v/>
      </c>
    </row>
    <row r="5619">
      <c r="M5619" s="11">
        <f>B5619+30</f>
        <v/>
      </c>
      <c r="N5619">
        <f>IF(L5619="", "", L5619-B5619)</f>
        <v/>
      </c>
      <c r="O5619">
        <f>IF(L5619="", "Pending", IF(N5619&lt;=30, "Met", "Breached"))</f>
        <v/>
      </c>
    </row>
    <row r="5620">
      <c r="M5620" s="11">
        <f>B5620+30</f>
        <v/>
      </c>
      <c r="N5620">
        <f>IF(L5620="", "", L5620-B5620)</f>
        <v/>
      </c>
      <c r="O5620">
        <f>IF(L5620="", "Pending", IF(N5620&lt;=30, "Met", "Breached"))</f>
        <v/>
      </c>
    </row>
    <row r="5621">
      <c r="M5621" s="11">
        <f>B5621+30</f>
        <v/>
      </c>
      <c r="N5621">
        <f>IF(L5621="", "", L5621-B5621)</f>
        <v/>
      </c>
      <c r="O5621">
        <f>IF(L5621="", "Pending", IF(N5621&lt;=30, "Met", "Breached"))</f>
        <v/>
      </c>
    </row>
    <row r="5622">
      <c r="M5622" s="11">
        <f>B5622+30</f>
        <v/>
      </c>
      <c r="N5622">
        <f>IF(L5622="", "", L5622-B5622)</f>
        <v/>
      </c>
      <c r="O5622">
        <f>IF(L5622="", "Pending", IF(N5622&lt;=30, "Met", "Breached"))</f>
        <v/>
      </c>
    </row>
    <row r="5623">
      <c r="M5623" s="11">
        <f>B5623+30</f>
        <v/>
      </c>
      <c r="N5623">
        <f>IF(L5623="", "", L5623-B5623)</f>
        <v/>
      </c>
      <c r="O5623">
        <f>IF(L5623="", "Pending", IF(N5623&lt;=30, "Met", "Breached"))</f>
        <v/>
      </c>
    </row>
    <row r="5624">
      <c r="M5624" s="11">
        <f>B5624+30</f>
        <v/>
      </c>
      <c r="N5624">
        <f>IF(L5624="", "", L5624-B5624)</f>
        <v/>
      </c>
      <c r="O5624">
        <f>IF(L5624="", "Pending", IF(N5624&lt;=30, "Met", "Breached"))</f>
        <v/>
      </c>
    </row>
    <row r="5625">
      <c r="M5625" s="11">
        <f>B5625+30</f>
        <v/>
      </c>
      <c r="N5625">
        <f>IF(L5625="", "", L5625-B5625)</f>
        <v/>
      </c>
      <c r="O5625">
        <f>IF(L5625="", "Pending", IF(N5625&lt;=30, "Met", "Breached"))</f>
        <v/>
      </c>
    </row>
    <row r="5626">
      <c r="M5626" s="11">
        <f>B5626+30</f>
        <v/>
      </c>
      <c r="N5626">
        <f>IF(L5626="", "", L5626-B5626)</f>
        <v/>
      </c>
      <c r="O5626">
        <f>IF(L5626="", "Pending", IF(N5626&lt;=30, "Met", "Breached"))</f>
        <v/>
      </c>
    </row>
    <row r="5627">
      <c r="M5627" s="11">
        <f>B5627+30</f>
        <v/>
      </c>
      <c r="N5627">
        <f>IF(L5627="", "", L5627-B5627)</f>
        <v/>
      </c>
      <c r="O5627">
        <f>IF(L5627="", "Pending", IF(N5627&lt;=30, "Met", "Breached"))</f>
        <v/>
      </c>
    </row>
    <row r="5628">
      <c r="M5628" s="11">
        <f>B5628+30</f>
        <v/>
      </c>
      <c r="N5628">
        <f>IF(L5628="", "", L5628-B5628)</f>
        <v/>
      </c>
      <c r="O5628">
        <f>IF(L5628="", "Pending", IF(N5628&lt;=30, "Met", "Breached"))</f>
        <v/>
      </c>
    </row>
    <row r="5629">
      <c r="M5629" s="11">
        <f>B5629+30</f>
        <v/>
      </c>
      <c r="N5629">
        <f>IF(L5629="", "", L5629-B5629)</f>
        <v/>
      </c>
      <c r="O5629">
        <f>IF(L5629="", "Pending", IF(N5629&lt;=30, "Met", "Breached"))</f>
        <v/>
      </c>
    </row>
    <row r="5630">
      <c r="M5630" s="11">
        <f>B5630+30</f>
        <v/>
      </c>
      <c r="N5630">
        <f>IF(L5630="", "", L5630-B5630)</f>
        <v/>
      </c>
      <c r="O5630">
        <f>IF(L5630="", "Pending", IF(N5630&lt;=30, "Met", "Breached"))</f>
        <v/>
      </c>
    </row>
    <row r="5631">
      <c r="M5631" s="11">
        <f>B5631+30</f>
        <v/>
      </c>
      <c r="N5631">
        <f>IF(L5631="", "", L5631-B5631)</f>
        <v/>
      </c>
      <c r="O5631">
        <f>IF(L5631="", "Pending", IF(N5631&lt;=30, "Met", "Breached"))</f>
        <v/>
      </c>
    </row>
    <row r="5632">
      <c r="M5632" s="11">
        <f>B5632+30</f>
        <v/>
      </c>
      <c r="N5632">
        <f>IF(L5632="", "", L5632-B5632)</f>
        <v/>
      </c>
      <c r="O5632">
        <f>IF(L5632="", "Pending", IF(N5632&lt;=30, "Met", "Breached"))</f>
        <v/>
      </c>
    </row>
    <row r="5633">
      <c r="M5633" s="11">
        <f>B5633+30</f>
        <v/>
      </c>
      <c r="N5633">
        <f>IF(L5633="", "", L5633-B5633)</f>
        <v/>
      </c>
      <c r="O5633">
        <f>IF(L5633="", "Pending", IF(N5633&lt;=30, "Met", "Breached"))</f>
        <v/>
      </c>
    </row>
    <row r="5634">
      <c r="M5634" s="11">
        <f>B5634+30</f>
        <v/>
      </c>
      <c r="N5634">
        <f>IF(L5634="", "", L5634-B5634)</f>
        <v/>
      </c>
      <c r="O5634">
        <f>IF(L5634="", "Pending", IF(N5634&lt;=30, "Met", "Breached"))</f>
        <v/>
      </c>
    </row>
    <row r="5635">
      <c r="M5635" s="11">
        <f>B5635+30</f>
        <v/>
      </c>
      <c r="N5635">
        <f>IF(L5635="", "", L5635-B5635)</f>
        <v/>
      </c>
      <c r="O5635">
        <f>IF(L5635="", "Pending", IF(N5635&lt;=30, "Met", "Breached"))</f>
        <v/>
      </c>
    </row>
    <row r="5636">
      <c r="M5636" s="11">
        <f>B5636+30</f>
        <v/>
      </c>
      <c r="N5636">
        <f>IF(L5636="", "", L5636-B5636)</f>
        <v/>
      </c>
      <c r="O5636">
        <f>IF(L5636="", "Pending", IF(N5636&lt;=30, "Met", "Breached"))</f>
        <v/>
      </c>
    </row>
    <row r="5637">
      <c r="M5637" s="11">
        <f>B5637+30</f>
        <v/>
      </c>
      <c r="N5637">
        <f>IF(L5637="", "", L5637-B5637)</f>
        <v/>
      </c>
      <c r="O5637">
        <f>IF(L5637="", "Pending", IF(N5637&lt;=30, "Met", "Breached"))</f>
        <v/>
      </c>
    </row>
    <row r="5638">
      <c r="M5638" s="11">
        <f>B5638+30</f>
        <v/>
      </c>
      <c r="N5638">
        <f>IF(L5638="", "", L5638-B5638)</f>
        <v/>
      </c>
      <c r="O5638">
        <f>IF(L5638="", "Pending", IF(N5638&lt;=30, "Met", "Breached"))</f>
        <v/>
      </c>
    </row>
    <row r="5639">
      <c r="M5639" s="11">
        <f>B5639+30</f>
        <v/>
      </c>
      <c r="N5639">
        <f>IF(L5639="", "", L5639-B5639)</f>
        <v/>
      </c>
      <c r="O5639">
        <f>IF(L5639="", "Pending", IF(N5639&lt;=30, "Met", "Breached"))</f>
        <v/>
      </c>
    </row>
    <row r="5640">
      <c r="M5640" s="11">
        <f>B5640+30</f>
        <v/>
      </c>
      <c r="N5640">
        <f>IF(L5640="", "", L5640-B5640)</f>
        <v/>
      </c>
      <c r="O5640">
        <f>IF(L5640="", "Pending", IF(N5640&lt;=30, "Met", "Breached"))</f>
        <v/>
      </c>
    </row>
    <row r="5641">
      <c r="M5641" s="11">
        <f>B5641+30</f>
        <v/>
      </c>
      <c r="N5641">
        <f>IF(L5641="", "", L5641-B5641)</f>
        <v/>
      </c>
      <c r="O5641">
        <f>IF(L5641="", "Pending", IF(N5641&lt;=30, "Met", "Breached"))</f>
        <v/>
      </c>
    </row>
    <row r="5642">
      <c r="M5642" s="11">
        <f>B5642+30</f>
        <v/>
      </c>
      <c r="N5642">
        <f>IF(L5642="", "", L5642-B5642)</f>
        <v/>
      </c>
      <c r="O5642">
        <f>IF(L5642="", "Pending", IF(N5642&lt;=30, "Met", "Breached"))</f>
        <v/>
      </c>
    </row>
    <row r="5643">
      <c r="M5643" s="11">
        <f>B5643+30</f>
        <v/>
      </c>
      <c r="N5643">
        <f>IF(L5643="", "", L5643-B5643)</f>
        <v/>
      </c>
      <c r="O5643">
        <f>IF(L5643="", "Pending", IF(N5643&lt;=30, "Met", "Breached"))</f>
        <v/>
      </c>
    </row>
    <row r="5644">
      <c r="M5644" s="11">
        <f>B5644+30</f>
        <v/>
      </c>
      <c r="N5644">
        <f>IF(L5644="", "", L5644-B5644)</f>
        <v/>
      </c>
      <c r="O5644">
        <f>IF(L5644="", "Pending", IF(N5644&lt;=30, "Met", "Breached"))</f>
        <v/>
      </c>
    </row>
    <row r="5645">
      <c r="M5645" s="11">
        <f>B5645+30</f>
        <v/>
      </c>
      <c r="N5645">
        <f>IF(L5645="", "", L5645-B5645)</f>
        <v/>
      </c>
      <c r="O5645">
        <f>IF(L5645="", "Pending", IF(N5645&lt;=30, "Met", "Breached"))</f>
        <v/>
      </c>
    </row>
    <row r="5646">
      <c r="M5646" s="11">
        <f>B5646+30</f>
        <v/>
      </c>
      <c r="N5646">
        <f>IF(L5646="", "", L5646-B5646)</f>
        <v/>
      </c>
      <c r="O5646">
        <f>IF(L5646="", "Pending", IF(N5646&lt;=30, "Met", "Breached"))</f>
        <v/>
      </c>
    </row>
    <row r="5647">
      <c r="M5647" s="11">
        <f>B5647+30</f>
        <v/>
      </c>
      <c r="N5647">
        <f>IF(L5647="", "", L5647-B5647)</f>
        <v/>
      </c>
      <c r="O5647">
        <f>IF(L5647="", "Pending", IF(N5647&lt;=30, "Met", "Breached"))</f>
        <v/>
      </c>
    </row>
    <row r="5648">
      <c r="M5648" s="11">
        <f>B5648+30</f>
        <v/>
      </c>
      <c r="N5648">
        <f>IF(L5648="", "", L5648-B5648)</f>
        <v/>
      </c>
      <c r="O5648">
        <f>IF(L5648="", "Pending", IF(N5648&lt;=30, "Met", "Breached"))</f>
        <v/>
      </c>
    </row>
    <row r="5649">
      <c r="M5649" s="11">
        <f>B5649+30</f>
        <v/>
      </c>
      <c r="N5649">
        <f>IF(L5649="", "", L5649-B5649)</f>
        <v/>
      </c>
      <c r="O5649">
        <f>IF(L5649="", "Pending", IF(N5649&lt;=30, "Met", "Breached"))</f>
        <v/>
      </c>
    </row>
    <row r="5650">
      <c r="M5650" s="11">
        <f>B5650+30</f>
        <v/>
      </c>
      <c r="N5650">
        <f>IF(L5650="", "", L5650-B5650)</f>
        <v/>
      </c>
      <c r="O5650">
        <f>IF(L5650="", "Pending", IF(N5650&lt;=30, "Met", "Breached"))</f>
        <v/>
      </c>
    </row>
    <row r="5651">
      <c r="M5651" s="11">
        <f>B5651+30</f>
        <v/>
      </c>
      <c r="N5651">
        <f>IF(L5651="", "", L5651-B5651)</f>
        <v/>
      </c>
      <c r="O5651">
        <f>IF(L5651="", "Pending", IF(N5651&lt;=30, "Met", "Breached"))</f>
        <v/>
      </c>
    </row>
    <row r="5652">
      <c r="M5652" s="11">
        <f>B5652+30</f>
        <v/>
      </c>
      <c r="N5652">
        <f>IF(L5652="", "", L5652-B5652)</f>
        <v/>
      </c>
      <c r="O5652">
        <f>IF(L5652="", "Pending", IF(N5652&lt;=30, "Met", "Breached"))</f>
        <v/>
      </c>
    </row>
    <row r="5653">
      <c r="M5653" s="11">
        <f>B5653+30</f>
        <v/>
      </c>
      <c r="N5653">
        <f>IF(L5653="", "", L5653-B5653)</f>
        <v/>
      </c>
      <c r="O5653">
        <f>IF(L5653="", "Pending", IF(N5653&lt;=30, "Met", "Breached"))</f>
        <v/>
      </c>
    </row>
    <row r="5654">
      <c r="M5654" s="11">
        <f>B5654+30</f>
        <v/>
      </c>
      <c r="N5654">
        <f>IF(L5654="", "", L5654-B5654)</f>
        <v/>
      </c>
      <c r="O5654">
        <f>IF(L5654="", "Pending", IF(N5654&lt;=30, "Met", "Breached"))</f>
        <v/>
      </c>
    </row>
    <row r="5655">
      <c r="M5655" s="11">
        <f>B5655+30</f>
        <v/>
      </c>
      <c r="N5655">
        <f>IF(L5655="", "", L5655-B5655)</f>
        <v/>
      </c>
      <c r="O5655">
        <f>IF(L5655="", "Pending", IF(N5655&lt;=30, "Met", "Breached"))</f>
        <v/>
      </c>
    </row>
    <row r="5656">
      <c r="M5656" s="11">
        <f>B5656+30</f>
        <v/>
      </c>
      <c r="N5656">
        <f>IF(L5656="", "", L5656-B5656)</f>
        <v/>
      </c>
      <c r="O5656">
        <f>IF(L5656="", "Pending", IF(N5656&lt;=30, "Met", "Breached"))</f>
        <v/>
      </c>
    </row>
    <row r="5657">
      <c r="M5657" s="11">
        <f>B5657+30</f>
        <v/>
      </c>
      <c r="N5657">
        <f>IF(L5657="", "", L5657-B5657)</f>
        <v/>
      </c>
      <c r="O5657">
        <f>IF(L5657="", "Pending", IF(N5657&lt;=30, "Met", "Breached"))</f>
        <v/>
      </c>
    </row>
    <row r="5658">
      <c r="M5658" s="11">
        <f>B5658+30</f>
        <v/>
      </c>
      <c r="N5658">
        <f>IF(L5658="", "", L5658-B5658)</f>
        <v/>
      </c>
      <c r="O5658">
        <f>IF(L5658="", "Pending", IF(N5658&lt;=30, "Met", "Breached"))</f>
        <v/>
      </c>
    </row>
    <row r="5659">
      <c r="M5659" s="11">
        <f>B5659+30</f>
        <v/>
      </c>
      <c r="N5659">
        <f>IF(L5659="", "", L5659-B5659)</f>
        <v/>
      </c>
      <c r="O5659">
        <f>IF(L5659="", "Pending", IF(N5659&lt;=30, "Met", "Breached"))</f>
        <v/>
      </c>
    </row>
    <row r="5660">
      <c r="M5660" s="11">
        <f>B5660+30</f>
        <v/>
      </c>
      <c r="N5660">
        <f>IF(L5660="", "", L5660-B5660)</f>
        <v/>
      </c>
      <c r="O5660">
        <f>IF(L5660="", "Pending", IF(N5660&lt;=30, "Met", "Breached"))</f>
        <v/>
      </c>
    </row>
    <row r="5661">
      <c r="M5661" s="11">
        <f>B5661+30</f>
        <v/>
      </c>
      <c r="N5661">
        <f>IF(L5661="", "", L5661-B5661)</f>
        <v/>
      </c>
      <c r="O5661">
        <f>IF(L5661="", "Pending", IF(N5661&lt;=30, "Met", "Breached"))</f>
        <v/>
      </c>
    </row>
    <row r="5662">
      <c r="M5662" s="11">
        <f>B5662+30</f>
        <v/>
      </c>
      <c r="N5662">
        <f>IF(L5662="", "", L5662-B5662)</f>
        <v/>
      </c>
      <c r="O5662">
        <f>IF(L5662="", "Pending", IF(N5662&lt;=30, "Met", "Breached"))</f>
        <v/>
      </c>
    </row>
    <row r="5663">
      <c r="M5663" s="11">
        <f>B5663+30</f>
        <v/>
      </c>
      <c r="N5663">
        <f>IF(L5663="", "", L5663-B5663)</f>
        <v/>
      </c>
      <c r="O5663">
        <f>IF(L5663="", "Pending", IF(N5663&lt;=30, "Met", "Breached"))</f>
        <v/>
      </c>
    </row>
    <row r="5664">
      <c r="M5664" s="11">
        <f>B5664+30</f>
        <v/>
      </c>
      <c r="N5664">
        <f>IF(L5664="", "", L5664-B5664)</f>
        <v/>
      </c>
      <c r="O5664">
        <f>IF(L5664="", "Pending", IF(N5664&lt;=30, "Met", "Breached"))</f>
        <v/>
      </c>
    </row>
    <row r="5665">
      <c r="M5665" s="11">
        <f>B5665+30</f>
        <v/>
      </c>
      <c r="N5665">
        <f>IF(L5665="", "", L5665-B5665)</f>
        <v/>
      </c>
      <c r="O5665">
        <f>IF(L5665="", "Pending", IF(N5665&lt;=30, "Met", "Breached"))</f>
        <v/>
      </c>
    </row>
    <row r="5666">
      <c r="M5666" s="11">
        <f>B5666+30</f>
        <v/>
      </c>
      <c r="N5666">
        <f>IF(L5666="", "", L5666-B5666)</f>
        <v/>
      </c>
      <c r="O5666">
        <f>IF(L5666="", "Pending", IF(N5666&lt;=30, "Met", "Breached"))</f>
        <v/>
      </c>
    </row>
    <row r="5667">
      <c r="M5667" s="11">
        <f>B5667+30</f>
        <v/>
      </c>
      <c r="N5667">
        <f>IF(L5667="", "", L5667-B5667)</f>
        <v/>
      </c>
      <c r="O5667">
        <f>IF(L5667="", "Pending", IF(N5667&lt;=30, "Met", "Breached"))</f>
        <v/>
      </c>
    </row>
    <row r="5668">
      <c r="M5668" s="11">
        <f>B5668+30</f>
        <v/>
      </c>
      <c r="N5668">
        <f>IF(L5668="", "", L5668-B5668)</f>
        <v/>
      </c>
      <c r="O5668">
        <f>IF(L5668="", "Pending", IF(N5668&lt;=30, "Met", "Breached"))</f>
        <v/>
      </c>
    </row>
    <row r="5669">
      <c r="M5669" s="11">
        <f>B5669+30</f>
        <v/>
      </c>
      <c r="N5669">
        <f>IF(L5669="", "", L5669-B5669)</f>
        <v/>
      </c>
      <c r="O5669">
        <f>IF(L5669="", "Pending", IF(N5669&lt;=30, "Met", "Breached"))</f>
        <v/>
      </c>
    </row>
    <row r="5670">
      <c r="M5670" s="11">
        <f>B5670+30</f>
        <v/>
      </c>
      <c r="N5670">
        <f>IF(L5670="", "", L5670-B5670)</f>
        <v/>
      </c>
      <c r="O5670">
        <f>IF(L5670="", "Pending", IF(N5670&lt;=30, "Met", "Breached"))</f>
        <v/>
      </c>
    </row>
    <row r="5671">
      <c r="M5671" s="11">
        <f>B5671+30</f>
        <v/>
      </c>
      <c r="N5671">
        <f>IF(L5671="", "", L5671-B5671)</f>
        <v/>
      </c>
      <c r="O5671">
        <f>IF(L5671="", "Pending", IF(N5671&lt;=30, "Met", "Breached"))</f>
        <v/>
      </c>
    </row>
    <row r="5672">
      <c r="M5672" s="11">
        <f>B5672+30</f>
        <v/>
      </c>
      <c r="N5672">
        <f>IF(L5672="", "", L5672-B5672)</f>
        <v/>
      </c>
      <c r="O5672">
        <f>IF(L5672="", "Pending", IF(N5672&lt;=30, "Met", "Breached"))</f>
        <v/>
      </c>
    </row>
    <row r="5673">
      <c r="M5673" s="11">
        <f>B5673+30</f>
        <v/>
      </c>
      <c r="N5673">
        <f>IF(L5673="", "", L5673-B5673)</f>
        <v/>
      </c>
      <c r="O5673">
        <f>IF(L5673="", "Pending", IF(N5673&lt;=30, "Met", "Breached"))</f>
        <v/>
      </c>
    </row>
    <row r="5674">
      <c r="M5674" s="11">
        <f>B5674+30</f>
        <v/>
      </c>
      <c r="N5674">
        <f>IF(L5674="", "", L5674-B5674)</f>
        <v/>
      </c>
      <c r="O5674">
        <f>IF(L5674="", "Pending", IF(N5674&lt;=30, "Met", "Breached"))</f>
        <v/>
      </c>
    </row>
    <row r="5675">
      <c r="M5675" s="11">
        <f>B5675+30</f>
        <v/>
      </c>
      <c r="N5675">
        <f>IF(L5675="", "", L5675-B5675)</f>
        <v/>
      </c>
      <c r="O5675">
        <f>IF(L5675="", "Pending", IF(N5675&lt;=30, "Met", "Breached"))</f>
        <v/>
      </c>
    </row>
    <row r="5676">
      <c r="M5676" s="11">
        <f>B5676+30</f>
        <v/>
      </c>
      <c r="N5676">
        <f>IF(L5676="", "", L5676-B5676)</f>
        <v/>
      </c>
      <c r="O5676">
        <f>IF(L5676="", "Pending", IF(N5676&lt;=30, "Met", "Breached"))</f>
        <v/>
      </c>
    </row>
    <row r="5677">
      <c r="M5677" s="11">
        <f>B5677+30</f>
        <v/>
      </c>
      <c r="N5677">
        <f>IF(L5677="", "", L5677-B5677)</f>
        <v/>
      </c>
      <c r="O5677">
        <f>IF(L5677="", "Pending", IF(N5677&lt;=30, "Met", "Breached"))</f>
        <v/>
      </c>
    </row>
    <row r="5678">
      <c r="M5678" s="11">
        <f>B5678+30</f>
        <v/>
      </c>
      <c r="N5678">
        <f>IF(L5678="", "", L5678-B5678)</f>
        <v/>
      </c>
      <c r="O5678">
        <f>IF(L5678="", "Pending", IF(N5678&lt;=30, "Met", "Breached"))</f>
        <v/>
      </c>
    </row>
    <row r="5679">
      <c r="M5679" s="11">
        <f>B5679+30</f>
        <v/>
      </c>
      <c r="N5679">
        <f>IF(L5679="", "", L5679-B5679)</f>
        <v/>
      </c>
      <c r="O5679">
        <f>IF(L5679="", "Pending", IF(N5679&lt;=30, "Met", "Breached"))</f>
        <v/>
      </c>
    </row>
    <row r="5680">
      <c r="M5680" s="11">
        <f>B5680+30</f>
        <v/>
      </c>
      <c r="N5680">
        <f>IF(L5680="", "", L5680-B5680)</f>
        <v/>
      </c>
      <c r="O5680">
        <f>IF(L5680="", "Pending", IF(N5680&lt;=30, "Met", "Breached"))</f>
        <v/>
      </c>
    </row>
    <row r="5681">
      <c r="M5681" s="11">
        <f>B5681+30</f>
        <v/>
      </c>
      <c r="N5681">
        <f>IF(L5681="", "", L5681-B5681)</f>
        <v/>
      </c>
      <c r="O5681">
        <f>IF(L5681="", "Pending", IF(N5681&lt;=30, "Met", "Breached"))</f>
        <v/>
      </c>
    </row>
    <row r="5682">
      <c r="M5682" s="11">
        <f>B5682+30</f>
        <v/>
      </c>
      <c r="N5682">
        <f>IF(L5682="", "", L5682-B5682)</f>
        <v/>
      </c>
      <c r="O5682">
        <f>IF(L5682="", "Pending", IF(N5682&lt;=30, "Met", "Breached"))</f>
        <v/>
      </c>
    </row>
    <row r="5683">
      <c r="M5683" s="11">
        <f>B5683+30</f>
        <v/>
      </c>
      <c r="N5683">
        <f>IF(L5683="", "", L5683-B5683)</f>
        <v/>
      </c>
      <c r="O5683">
        <f>IF(L5683="", "Pending", IF(N5683&lt;=30, "Met", "Breached"))</f>
        <v/>
      </c>
    </row>
    <row r="5684">
      <c r="M5684" s="11">
        <f>B5684+30</f>
        <v/>
      </c>
      <c r="N5684">
        <f>IF(L5684="", "", L5684-B5684)</f>
        <v/>
      </c>
      <c r="O5684">
        <f>IF(L5684="", "Pending", IF(N5684&lt;=30, "Met", "Breached"))</f>
        <v/>
      </c>
    </row>
    <row r="5685">
      <c r="M5685" s="11">
        <f>B5685+30</f>
        <v/>
      </c>
      <c r="N5685">
        <f>IF(L5685="", "", L5685-B5685)</f>
        <v/>
      </c>
      <c r="O5685">
        <f>IF(L5685="", "Pending", IF(N5685&lt;=30, "Met", "Breached"))</f>
        <v/>
      </c>
    </row>
    <row r="5686">
      <c r="M5686" s="11">
        <f>B5686+30</f>
        <v/>
      </c>
      <c r="N5686">
        <f>IF(L5686="", "", L5686-B5686)</f>
        <v/>
      </c>
      <c r="O5686">
        <f>IF(L5686="", "Pending", IF(N5686&lt;=30, "Met", "Breached"))</f>
        <v/>
      </c>
    </row>
    <row r="5687">
      <c r="M5687" s="11">
        <f>B5687+30</f>
        <v/>
      </c>
      <c r="N5687">
        <f>IF(L5687="", "", L5687-B5687)</f>
        <v/>
      </c>
      <c r="O5687">
        <f>IF(L5687="", "Pending", IF(N5687&lt;=30, "Met", "Breached"))</f>
        <v/>
      </c>
    </row>
    <row r="5688">
      <c r="M5688" s="11">
        <f>B5688+30</f>
        <v/>
      </c>
      <c r="N5688">
        <f>IF(L5688="", "", L5688-B5688)</f>
        <v/>
      </c>
      <c r="O5688">
        <f>IF(L5688="", "Pending", IF(N5688&lt;=30, "Met", "Breached"))</f>
        <v/>
      </c>
    </row>
    <row r="5689">
      <c r="M5689" s="11">
        <f>B5689+30</f>
        <v/>
      </c>
      <c r="N5689">
        <f>IF(L5689="", "", L5689-B5689)</f>
        <v/>
      </c>
      <c r="O5689">
        <f>IF(L5689="", "Pending", IF(N5689&lt;=30, "Met", "Breached"))</f>
        <v/>
      </c>
    </row>
    <row r="5690">
      <c r="M5690" s="11">
        <f>B5690+30</f>
        <v/>
      </c>
      <c r="N5690">
        <f>IF(L5690="", "", L5690-B5690)</f>
        <v/>
      </c>
      <c r="O5690">
        <f>IF(L5690="", "Pending", IF(N5690&lt;=30, "Met", "Breached"))</f>
        <v/>
      </c>
    </row>
    <row r="5691">
      <c r="M5691" s="11">
        <f>B5691+30</f>
        <v/>
      </c>
      <c r="N5691">
        <f>IF(L5691="", "", L5691-B5691)</f>
        <v/>
      </c>
      <c r="O5691">
        <f>IF(L5691="", "Pending", IF(N5691&lt;=30, "Met", "Breached"))</f>
        <v/>
      </c>
    </row>
    <row r="5692">
      <c r="M5692" s="11">
        <f>B5692+30</f>
        <v/>
      </c>
      <c r="N5692">
        <f>IF(L5692="", "", L5692-B5692)</f>
        <v/>
      </c>
      <c r="O5692">
        <f>IF(L5692="", "Pending", IF(N5692&lt;=30, "Met", "Breached"))</f>
        <v/>
      </c>
    </row>
    <row r="5693">
      <c r="M5693" s="11">
        <f>B5693+30</f>
        <v/>
      </c>
      <c r="N5693">
        <f>IF(L5693="", "", L5693-B5693)</f>
        <v/>
      </c>
      <c r="O5693">
        <f>IF(L5693="", "Pending", IF(N5693&lt;=30, "Met", "Breached"))</f>
        <v/>
      </c>
    </row>
    <row r="5694">
      <c r="M5694" s="11">
        <f>B5694+30</f>
        <v/>
      </c>
      <c r="N5694">
        <f>IF(L5694="", "", L5694-B5694)</f>
        <v/>
      </c>
      <c r="O5694">
        <f>IF(L5694="", "Pending", IF(N5694&lt;=30, "Met", "Breached"))</f>
        <v/>
      </c>
    </row>
    <row r="5695">
      <c r="M5695" s="11">
        <f>B5695+30</f>
        <v/>
      </c>
      <c r="N5695">
        <f>IF(L5695="", "", L5695-B5695)</f>
        <v/>
      </c>
      <c r="O5695">
        <f>IF(L5695="", "Pending", IF(N5695&lt;=30, "Met", "Breached"))</f>
        <v/>
      </c>
    </row>
    <row r="5696">
      <c r="M5696" s="11">
        <f>B5696+30</f>
        <v/>
      </c>
      <c r="N5696">
        <f>IF(L5696="", "", L5696-B5696)</f>
        <v/>
      </c>
      <c r="O5696">
        <f>IF(L5696="", "Pending", IF(N5696&lt;=30, "Met", "Breached"))</f>
        <v/>
      </c>
    </row>
    <row r="5697">
      <c r="M5697" s="11">
        <f>B5697+30</f>
        <v/>
      </c>
      <c r="N5697">
        <f>IF(L5697="", "", L5697-B5697)</f>
        <v/>
      </c>
      <c r="O5697">
        <f>IF(L5697="", "Pending", IF(N5697&lt;=30, "Met", "Breached"))</f>
        <v/>
      </c>
    </row>
    <row r="5698">
      <c r="M5698" s="11">
        <f>B5698+30</f>
        <v/>
      </c>
      <c r="N5698">
        <f>IF(L5698="", "", L5698-B5698)</f>
        <v/>
      </c>
      <c r="O5698">
        <f>IF(L5698="", "Pending", IF(N5698&lt;=30, "Met", "Breached"))</f>
        <v/>
      </c>
    </row>
    <row r="5699">
      <c r="M5699" s="11">
        <f>B5699+30</f>
        <v/>
      </c>
      <c r="N5699">
        <f>IF(L5699="", "", L5699-B5699)</f>
        <v/>
      </c>
      <c r="O5699">
        <f>IF(L5699="", "Pending", IF(N5699&lt;=30, "Met", "Breached"))</f>
        <v/>
      </c>
    </row>
    <row r="5700">
      <c r="M5700" s="11">
        <f>B5700+30</f>
        <v/>
      </c>
      <c r="N5700">
        <f>IF(L5700="", "", L5700-B5700)</f>
        <v/>
      </c>
      <c r="O5700">
        <f>IF(L5700="", "Pending", IF(N5700&lt;=30, "Met", "Breached"))</f>
        <v/>
      </c>
    </row>
    <row r="5701">
      <c r="M5701" s="11">
        <f>B5701+30</f>
        <v/>
      </c>
      <c r="N5701">
        <f>IF(L5701="", "", L5701-B5701)</f>
        <v/>
      </c>
      <c r="O5701">
        <f>IF(L5701="", "Pending", IF(N5701&lt;=30, "Met", "Breached"))</f>
        <v/>
      </c>
    </row>
    <row r="5702">
      <c r="M5702" s="11">
        <f>B5702+30</f>
        <v/>
      </c>
      <c r="N5702">
        <f>IF(L5702="", "", L5702-B5702)</f>
        <v/>
      </c>
      <c r="O5702">
        <f>IF(L5702="", "Pending", IF(N5702&lt;=30, "Met", "Breached"))</f>
        <v/>
      </c>
    </row>
    <row r="5703">
      <c r="M5703" s="11">
        <f>B5703+30</f>
        <v/>
      </c>
      <c r="N5703">
        <f>IF(L5703="", "", L5703-B5703)</f>
        <v/>
      </c>
      <c r="O5703">
        <f>IF(L5703="", "Pending", IF(N5703&lt;=30, "Met", "Breached"))</f>
        <v/>
      </c>
    </row>
    <row r="5704">
      <c r="M5704" s="11">
        <f>B5704+30</f>
        <v/>
      </c>
      <c r="N5704">
        <f>IF(L5704="", "", L5704-B5704)</f>
        <v/>
      </c>
      <c r="O5704">
        <f>IF(L5704="", "Pending", IF(N5704&lt;=30, "Met", "Breached"))</f>
        <v/>
      </c>
    </row>
    <row r="5705">
      <c r="M5705" s="11">
        <f>B5705+30</f>
        <v/>
      </c>
      <c r="N5705">
        <f>IF(L5705="", "", L5705-B5705)</f>
        <v/>
      </c>
      <c r="O5705">
        <f>IF(L5705="", "Pending", IF(N5705&lt;=30, "Met", "Breached"))</f>
        <v/>
      </c>
    </row>
    <row r="5706">
      <c r="M5706" s="11">
        <f>B5706+30</f>
        <v/>
      </c>
      <c r="N5706">
        <f>IF(L5706="", "", L5706-B5706)</f>
        <v/>
      </c>
      <c r="O5706">
        <f>IF(L5706="", "Pending", IF(N5706&lt;=30, "Met", "Breached"))</f>
        <v/>
      </c>
    </row>
    <row r="5707">
      <c r="M5707" s="11">
        <f>B5707+30</f>
        <v/>
      </c>
      <c r="N5707">
        <f>IF(L5707="", "", L5707-B5707)</f>
        <v/>
      </c>
      <c r="O5707">
        <f>IF(L5707="", "Pending", IF(N5707&lt;=30, "Met", "Breached"))</f>
        <v/>
      </c>
    </row>
    <row r="5708">
      <c r="M5708" s="11">
        <f>B5708+30</f>
        <v/>
      </c>
      <c r="N5708">
        <f>IF(L5708="", "", L5708-B5708)</f>
        <v/>
      </c>
      <c r="O5708">
        <f>IF(L5708="", "Pending", IF(N5708&lt;=30, "Met", "Breached"))</f>
        <v/>
      </c>
    </row>
    <row r="5709">
      <c r="M5709" s="11">
        <f>B5709+30</f>
        <v/>
      </c>
      <c r="N5709">
        <f>IF(L5709="", "", L5709-B5709)</f>
        <v/>
      </c>
      <c r="O5709">
        <f>IF(L5709="", "Pending", IF(N5709&lt;=30, "Met", "Breached"))</f>
        <v/>
      </c>
    </row>
    <row r="5710">
      <c r="M5710" s="11">
        <f>B5710+30</f>
        <v/>
      </c>
      <c r="N5710">
        <f>IF(L5710="", "", L5710-B5710)</f>
        <v/>
      </c>
      <c r="O5710">
        <f>IF(L5710="", "Pending", IF(N5710&lt;=30, "Met", "Breached"))</f>
        <v/>
      </c>
    </row>
    <row r="5711">
      <c r="M5711" s="11">
        <f>B5711+30</f>
        <v/>
      </c>
      <c r="N5711">
        <f>IF(L5711="", "", L5711-B5711)</f>
        <v/>
      </c>
      <c r="O5711">
        <f>IF(L5711="", "Pending", IF(N5711&lt;=30, "Met", "Breached"))</f>
        <v/>
      </c>
    </row>
    <row r="5712">
      <c r="M5712" s="11">
        <f>B5712+30</f>
        <v/>
      </c>
      <c r="N5712">
        <f>IF(L5712="", "", L5712-B5712)</f>
        <v/>
      </c>
      <c r="O5712">
        <f>IF(L5712="", "Pending", IF(N5712&lt;=30, "Met", "Breached"))</f>
        <v/>
      </c>
    </row>
    <row r="5713">
      <c r="M5713" s="11">
        <f>B5713+30</f>
        <v/>
      </c>
      <c r="N5713">
        <f>IF(L5713="", "", L5713-B5713)</f>
        <v/>
      </c>
      <c r="O5713">
        <f>IF(L5713="", "Pending", IF(N5713&lt;=30, "Met", "Breached"))</f>
        <v/>
      </c>
    </row>
    <row r="5714">
      <c r="M5714" s="11">
        <f>B5714+30</f>
        <v/>
      </c>
      <c r="N5714">
        <f>IF(L5714="", "", L5714-B5714)</f>
        <v/>
      </c>
      <c r="O5714">
        <f>IF(L5714="", "Pending", IF(N5714&lt;=30, "Met", "Breached"))</f>
        <v/>
      </c>
    </row>
    <row r="5715">
      <c r="M5715" s="11">
        <f>B5715+30</f>
        <v/>
      </c>
      <c r="N5715">
        <f>IF(L5715="", "", L5715-B5715)</f>
        <v/>
      </c>
      <c r="O5715">
        <f>IF(L5715="", "Pending", IF(N5715&lt;=30, "Met", "Breached"))</f>
        <v/>
      </c>
    </row>
    <row r="5716">
      <c r="M5716" s="11">
        <f>B5716+30</f>
        <v/>
      </c>
      <c r="N5716">
        <f>IF(L5716="", "", L5716-B5716)</f>
        <v/>
      </c>
      <c r="O5716">
        <f>IF(L5716="", "Pending", IF(N5716&lt;=30, "Met", "Breached"))</f>
        <v/>
      </c>
    </row>
    <row r="5717">
      <c r="M5717" s="11">
        <f>B5717+30</f>
        <v/>
      </c>
      <c r="N5717">
        <f>IF(L5717="", "", L5717-B5717)</f>
        <v/>
      </c>
      <c r="O5717">
        <f>IF(L5717="", "Pending", IF(N5717&lt;=30, "Met", "Breached"))</f>
        <v/>
      </c>
    </row>
    <row r="5718">
      <c r="M5718" s="11">
        <f>B5718+30</f>
        <v/>
      </c>
      <c r="N5718">
        <f>IF(L5718="", "", L5718-B5718)</f>
        <v/>
      </c>
      <c r="O5718">
        <f>IF(L5718="", "Pending", IF(N5718&lt;=30, "Met", "Breached"))</f>
        <v/>
      </c>
    </row>
    <row r="5719">
      <c r="M5719" s="11">
        <f>B5719+30</f>
        <v/>
      </c>
      <c r="N5719">
        <f>IF(L5719="", "", L5719-B5719)</f>
        <v/>
      </c>
      <c r="O5719">
        <f>IF(L5719="", "Pending", IF(N5719&lt;=30, "Met", "Breached"))</f>
        <v/>
      </c>
    </row>
    <row r="5720">
      <c r="M5720" s="11">
        <f>B5720+30</f>
        <v/>
      </c>
      <c r="N5720">
        <f>IF(L5720="", "", L5720-B5720)</f>
        <v/>
      </c>
      <c r="O5720">
        <f>IF(L5720="", "Pending", IF(N5720&lt;=30, "Met", "Breached"))</f>
        <v/>
      </c>
    </row>
    <row r="5721">
      <c r="M5721" s="11">
        <f>B5721+30</f>
        <v/>
      </c>
      <c r="N5721">
        <f>IF(L5721="", "", L5721-B5721)</f>
        <v/>
      </c>
      <c r="O5721">
        <f>IF(L5721="", "Pending", IF(N5721&lt;=30, "Met", "Breached"))</f>
        <v/>
      </c>
    </row>
    <row r="5722">
      <c r="M5722" s="11">
        <f>B5722+30</f>
        <v/>
      </c>
      <c r="N5722">
        <f>IF(L5722="", "", L5722-B5722)</f>
        <v/>
      </c>
      <c r="O5722">
        <f>IF(L5722="", "Pending", IF(N5722&lt;=30, "Met", "Breached"))</f>
        <v/>
      </c>
    </row>
    <row r="5723">
      <c r="M5723" s="11">
        <f>B5723+30</f>
        <v/>
      </c>
      <c r="N5723">
        <f>IF(L5723="", "", L5723-B5723)</f>
        <v/>
      </c>
      <c r="O5723">
        <f>IF(L5723="", "Pending", IF(N5723&lt;=30, "Met", "Breached"))</f>
        <v/>
      </c>
    </row>
    <row r="5724">
      <c r="M5724" s="11">
        <f>B5724+30</f>
        <v/>
      </c>
      <c r="N5724">
        <f>IF(L5724="", "", L5724-B5724)</f>
        <v/>
      </c>
      <c r="O5724">
        <f>IF(L5724="", "Pending", IF(N5724&lt;=30, "Met", "Breached"))</f>
        <v/>
      </c>
    </row>
    <row r="5725">
      <c r="M5725" s="11">
        <f>B5725+30</f>
        <v/>
      </c>
      <c r="N5725">
        <f>IF(L5725="", "", L5725-B5725)</f>
        <v/>
      </c>
      <c r="O5725">
        <f>IF(L5725="", "Pending", IF(N5725&lt;=30, "Met", "Breached"))</f>
        <v/>
      </c>
    </row>
    <row r="5726">
      <c r="M5726" s="11">
        <f>B5726+30</f>
        <v/>
      </c>
      <c r="N5726">
        <f>IF(L5726="", "", L5726-B5726)</f>
        <v/>
      </c>
      <c r="O5726">
        <f>IF(L5726="", "Pending", IF(N5726&lt;=30, "Met", "Breached"))</f>
        <v/>
      </c>
    </row>
    <row r="5727">
      <c r="M5727" s="11">
        <f>B5727+30</f>
        <v/>
      </c>
      <c r="N5727">
        <f>IF(L5727="", "", L5727-B5727)</f>
        <v/>
      </c>
      <c r="O5727">
        <f>IF(L5727="", "Pending", IF(N5727&lt;=30, "Met", "Breached"))</f>
        <v/>
      </c>
    </row>
    <row r="5728">
      <c r="M5728" s="11">
        <f>B5728+30</f>
        <v/>
      </c>
      <c r="N5728">
        <f>IF(L5728="", "", L5728-B5728)</f>
        <v/>
      </c>
      <c r="O5728">
        <f>IF(L5728="", "Pending", IF(N5728&lt;=30, "Met", "Breached"))</f>
        <v/>
      </c>
    </row>
    <row r="5729">
      <c r="M5729" s="11">
        <f>B5729+30</f>
        <v/>
      </c>
      <c r="N5729">
        <f>IF(L5729="", "", L5729-B5729)</f>
        <v/>
      </c>
      <c r="O5729">
        <f>IF(L5729="", "Pending", IF(N5729&lt;=30, "Met", "Breached"))</f>
        <v/>
      </c>
    </row>
    <row r="5730">
      <c r="M5730" s="11">
        <f>B5730+30</f>
        <v/>
      </c>
      <c r="N5730">
        <f>IF(L5730="", "", L5730-B5730)</f>
        <v/>
      </c>
      <c r="O5730">
        <f>IF(L5730="", "Pending", IF(N5730&lt;=30, "Met", "Breached"))</f>
        <v/>
      </c>
    </row>
    <row r="5731">
      <c r="M5731" s="11">
        <f>B5731+30</f>
        <v/>
      </c>
      <c r="N5731">
        <f>IF(L5731="", "", L5731-B5731)</f>
        <v/>
      </c>
      <c r="O5731">
        <f>IF(L5731="", "Pending", IF(N5731&lt;=30, "Met", "Breached"))</f>
        <v/>
      </c>
    </row>
    <row r="5732">
      <c r="M5732" s="11">
        <f>B5732+30</f>
        <v/>
      </c>
      <c r="N5732">
        <f>IF(L5732="", "", L5732-B5732)</f>
        <v/>
      </c>
      <c r="O5732">
        <f>IF(L5732="", "Pending", IF(N5732&lt;=30, "Met", "Breached"))</f>
        <v/>
      </c>
    </row>
    <row r="5733">
      <c r="M5733" s="11">
        <f>B5733+30</f>
        <v/>
      </c>
      <c r="N5733">
        <f>IF(L5733="", "", L5733-B5733)</f>
        <v/>
      </c>
      <c r="O5733">
        <f>IF(L5733="", "Pending", IF(N5733&lt;=30, "Met", "Breached"))</f>
        <v/>
      </c>
    </row>
    <row r="5734">
      <c r="M5734" s="11">
        <f>B5734+30</f>
        <v/>
      </c>
      <c r="N5734">
        <f>IF(L5734="", "", L5734-B5734)</f>
        <v/>
      </c>
      <c r="O5734">
        <f>IF(L5734="", "Pending", IF(N5734&lt;=30, "Met", "Breached"))</f>
        <v/>
      </c>
    </row>
    <row r="5735">
      <c r="M5735" s="11">
        <f>B5735+30</f>
        <v/>
      </c>
      <c r="N5735">
        <f>IF(L5735="", "", L5735-B5735)</f>
        <v/>
      </c>
      <c r="O5735">
        <f>IF(L5735="", "Pending", IF(N5735&lt;=30, "Met", "Breached"))</f>
        <v/>
      </c>
    </row>
    <row r="5736">
      <c r="M5736" s="11">
        <f>B5736+30</f>
        <v/>
      </c>
      <c r="N5736">
        <f>IF(L5736="", "", L5736-B5736)</f>
        <v/>
      </c>
      <c r="O5736">
        <f>IF(L5736="", "Pending", IF(N5736&lt;=30, "Met", "Breached"))</f>
        <v/>
      </c>
    </row>
    <row r="5737">
      <c r="M5737" s="11">
        <f>B5737+30</f>
        <v/>
      </c>
      <c r="N5737">
        <f>IF(L5737="", "", L5737-B5737)</f>
        <v/>
      </c>
      <c r="O5737">
        <f>IF(L5737="", "Pending", IF(N5737&lt;=30, "Met", "Breached"))</f>
        <v/>
      </c>
    </row>
    <row r="5738">
      <c r="M5738" s="11">
        <f>B5738+30</f>
        <v/>
      </c>
      <c r="N5738">
        <f>IF(L5738="", "", L5738-B5738)</f>
        <v/>
      </c>
      <c r="O5738">
        <f>IF(L5738="", "Pending", IF(N5738&lt;=30, "Met", "Breached"))</f>
        <v/>
      </c>
    </row>
    <row r="5739">
      <c r="M5739" s="11">
        <f>B5739+30</f>
        <v/>
      </c>
      <c r="N5739">
        <f>IF(L5739="", "", L5739-B5739)</f>
        <v/>
      </c>
      <c r="O5739">
        <f>IF(L5739="", "Pending", IF(N5739&lt;=30, "Met", "Breached"))</f>
        <v/>
      </c>
    </row>
    <row r="5740">
      <c r="M5740" s="11">
        <f>B5740+30</f>
        <v/>
      </c>
      <c r="N5740">
        <f>IF(L5740="", "", L5740-B5740)</f>
        <v/>
      </c>
      <c r="O5740">
        <f>IF(L5740="", "Pending", IF(N5740&lt;=30, "Met", "Breached"))</f>
        <v/>
      </c>
    </row>
    <row r="5741">
      <c r="M5741" s="11">
        <f>B5741+30</f>
        <v/>
      </c>
      <c r="N5741">
        <f>IF(L5741="", "", L5741-B5741)</f>
        <v/>
      </c>
      <c r="O5741">
        <f>IF(L5741="", "Pending", IF(N5741&lt;=30, "Met", "Breached"))</f>
        <v/>
      </c>
    </row>
    <row r="5742">
      <c r="M5742" s="11">
        <f>B5742+30</f>
        <v/>
      </c>
      <c r="N5742">
        <f>IF(L5742="", "", L5742-B5742)</f>
        <v/>
      </c>
      <c r="O5742">
        <f>IF(L5742="", "Pending", IF(N5742&lt;=30, "Met", "Breached"))</f>
        <v/>
      </c>
    </row>
    <row r="5743">
      <c r="M5743" s="11">
        <f>B5743+30</f>
        <v/>
      </c>
      <c r="N5743">
        <f>IF(L5743="", "", L5743-B5743)</f>
        <v/>
      </c>
      <c r="O5743">
        <f>IF(L5743="", "Pending", IF(N5743&lt;=30, "Met", "Breached"))</f>
        <v/>
      </c>
    </row>
    <row r="5744">
      <c r="M5744" s="11">
        <f>B5744+30</f>
        <v/>
      </c>
      <c r="N5744">
        <f>IF(L5744="", "", L5744-B5744)</f>
        <v/>
      </c>
      <c r="O5744">
        <f>IF(L5744="", "Pending", IF(N5744&lt;=30, "Met", "Breached"))</f>
        <v/>
      </c>
    </row>
    <row r="5745">
      <c r="M5745" s="11">
        <f>B5745+30</f>
        <v/>
      </c>
      <c r="N5745">
        <f>IF(L5745="", "", L5745-B5745)</f>
        <v/>
      </c>
      <c r="O5745">
        <f>IF(L5745="", "Pending", IF(N5745&lt;=30, "Met", "Breached"))</f>
        <v/>
      </c>
    </row>
    <row r="5746">
      <c r="M5746" s="11">
        <f>B5746+30</f>
        <v/>
      </c>
      <c r="N5746">
        <f>IF(L5746="", "", L5746-B5746)</f>
        <v/>
      </c>
      <c r="O5746">
        <f>IF(L5746="", "Pending", IF(N5746&lt;=30, "Met", "Breached"))</f>
        <v/>
      </c>
    </row>
    <row r="5747">
      <c r="M5747" s="11">
        <f>B5747+30</f>
        <v/>
      </c>
      <c r="N5747">
        <f>IF(L5747="", "", L5747-B5747)</f>
        <v/>
      </c>
      <c r="O5747">
        <f>IF(L5747="", "Pending", IF(N5747&lt;=30, "Met", "Breached"))</f>
        <v/>
      </c>
    </row>
    <row r="5748">
      <c r="M5748" s="11">
        <f>B5748+30</f>
        <v/>
      </c>
      <c r="N5748">
        <f>IF(L5748="", "", L5748-B5748)</f>
        <v/>
      </c>
      <c r="O5748">
        <f>IF(L5748="", "Pending", IF(N5748&lt;=30, "Met", "Breached"))</f>
        <v/>
      </c>
    </row>
    <row r="5749">
      <c r="M5749" s="11">
        <f>B5749+30</f>
        <v/>
      </c>
      <c r="N5749">
        <f>IF(L5749="", "", L5749-B5749)</f>
        <v/>
      </c>
      <c r="O5749">
        <f>IF(L5749="", "Pending", IF(N5749&lt;=30, "Met", "Breached"))</f>
        <v/>
      </c>
    </row>
    <row r="5750">
      <c r="M5750" s="11">
        <f>B5750+30</f>
        <v/>
      </c>
      <c r="N5750">
        <f>IF(L5750="", "", L5750-B5750)</f>
        <v/>
      </c>
      <c r="O5750">
        <f>IF(L5750="", "Pending", IF(N5750&lt;=30, "Met", "Breached"))</f>
        <v/>
      </c>
    </row>
    <row r="5751">
      <c r="M5751" s="11">
        <f>B5751+30</f>
        <v/>
      </c>
      <c r="N5751">
        <f>IF(L5751="", "", L5751-B5751)</f>
        <v/>
      </c>
      <c r="O5751">
        <f>IF(L5751="", "Pending", IF(N5751&lt;=30, "Met", "Breached"))</f>
        <v/>
      </c>
    </row>
    <row r="5752">
      <c r="M5752" s="11">
        <f>B5752+30</f>
        <v/>
      </c>
      <c r="N5752">
        <f>IF(L5752="", "", L5752-B5752)</f>
        <v/>
      </c>
      <c r="O5752">
        <f>IF(L5752="", "Pending", IF(N5752&lt;=30, "Met", "Breached"))</f>
        <v/>
      </c>
    </row>
    <row r="5753">
      <c r="M5753" s="11">
        <f>B5753+30</f>
        <v/>
      </c>
      <c r="N5753">
        <f>IF(L5753="", "", L5753-B5753)</f>
        <v/>
      </c>
      <c r="O5753">
        <f>IF(L5753="", "Pending", IF(N5753&lt;=30, "Met", "Breached"))</f>
        <v/>
      </c>
    </row>
    <row r="5754">
      <c r="M5754" s="11">
        <f>B5754+30</f>
        <v/>
      </c>
      <c r="N5754">
        <f>IF(L5754="", "", L5754-B5754)</f>
        <v/>
      </c>
      <c r="O5754">
        <f>IF(L5754="", "Pending", IF(N5754&lt;=30, "Met", "Breached"))</f>
        <v/>
      </c>
    </row>
    <row r="5755">
      <c r="M5755" s="11">
        <f>B5755+30</f>
        <v/>
      </c>
      <c r="N5755">
        <f>IF(L5755="", "", L5755-B5755)</f>
        <v/>
      </c>
      <c r="O5755">
        <f>IF(L5755="", "Pending", IF(N5755&lt;=30, "Met", "Breached"))</f>
        <v/>
      </c>
    </row>
    <row r="5756">
      <c r="M5756" s="11">
        <f>B5756+30</f>
        <v/>
      </c>
      <c r="N5756">
        <f>IF(L5756="", "", L5756-B5756)</f>
        <v/>
      </c>
      <c r="O5756">
        <f>IF(L5756="", "Pending", IF(N5756&lt;=30, "Met", "Breached"))</f>
        <v/>
      </c>
    </row>
    <row r="5757">
      <c r="M5757" s="11">
        <f>B5757+30</f>
        <v/>
      </c>
      <c r="N5757">
        <f>IF(L5757="", "", L5757-B5757)</f>
        <v/>
      </c>
      <c r="O5757">
        <f>IF(L5757="", "Pending", IF(N5757&lt;=30, "Met", "Breached"))</f>
        <v/>
      </c>
    </row>
    <row r="5758">
      <c r="M5758" s="11">
        <f>B5758+30</f>
        <v/>
      </c>
      <c r="N5758">
        <f>IF(L5758="", "", L5758-B5758)</f>
        <v/>
      </c>
      <c r="O5758">
        <f>IF(L5758="", "Pending", IF(N5758&lt;=30, "Met", "Breached"))</f>
        <v/>
      </c>
    </row>
    <row r="5759">
      <c r="M5759" s="11">
        <f>B5759+30</f>
        <v/>
      </c>
      <c r="N5759">
        <f>IF(L5759="", "", L5759-B5759)</f>
        <v/>
      </c>
      <c r="O5759">
        <f>IF(L5759="", "Pending", IF(N5759&lt;=30, "Met", "Breached"))</f>
        <v/>
      </c>
    </row>
    <row r="5760">
      <c r="M5760" s="11">
        <f>B5760+30</f>
        <v/>
      </c>
      <c r="N5760">
        <f>IF(L5760="", "", L5760-B5760)</f>
        <v/>
      </c>
      <c r="O5760">
        <f>IF(L5760="", "Pending", IF(N5760&lt;=30, "Met", "Breached"))</f>
        <v/>
      </c>
    </row>
    <row r="5761">
      <c r="M5761" s="11">
        <f>B5761+30</f>
        <v/>
      </c>
      <c r="N5761">
        <f>IF(L5761="", "", L5761-B5761)</f>
        <v/>
      </c>
      <c r="O5761">
        <f>IF(L5761="", "Pending", IF(N5761&lt;=30, "Met", "Breached"))</f>
        <v/>
      </c>
    </row>
    <row r="5762">
      <c r="M5762" s="11">
        <f>B5762+30</f>
        <v/>
      </c>
      <c r="N5762">
        <f>IF(L5762="", "", L5762-B5762)</f>
        <v/>
      </c>
      <c r="O5762">
        <f>IF(L5762="", "Pending", IF(N5762&lt;=30, "Met", "Breached"))</f>
        <v/>
      </c>
    </row>
    <row r="5763">
      <c r="M5763" s="11">
        <f>B5763+30</f>
        <v/>
      </c>
      <c r="N5763">
        <f>IF(L5763="", "", L5763-B5763)</f>
        <v/>
      </c>
      <c r="O5763">
        <f>IF(L5763="", "Pending", IF(N5763&lt;=30, "Met", "Breached"))</f>
        <v/>
      </c>
    </row>
    <row r="5764">
      <c r="M5764" s="11">
        <f>B5764+30</f>
        <v/>
      </c>
      <c r="N5764">
        <f>IF(L5764="", "", L5764-B5764)</f>
        <v/>
      </c>
      <c r="O5764">
        <f>IF(L5764="", "Pending", IF(N5764&lt;=30, "Met", "Breached"))</f>
        <v/>
      </c>
    </row>
    <row r="5765">
      <c r="M5765" s="11">
        <f>B5765+30</f>
        <v/>
      </c>
      <c r="N5765">
        <f>IF(L5765="", "", L5765-B5765)</f>
        <v/>
      </c>
      <c r="O5765">
        <f>IF(L5765="", "Pending", IF(N5765&lt;=30, "Met", "Breached"))</f>
        <v/>
      </c>
    </row>
    <row r="5766">
      <c r="M5766" s="11">
        <f>B5766+30</f>
        <v/>
      </c>
      <c r="N5766">
        <f>IF(L5766="", "", L5766-B5766)</f>
        <v/>
      </c>
      <c r="O5766">
        <f>IF(L5766="", "Pending", IF(N5766&lt;=30, "Met", "Breached"))</f>
        <v/>
      </c>
    </row>
    <row r="5767">
      <c r="M5767" s="11">
        <f>B5767+30</f>
        <v/>
      </c>
      <c r="N5767">
        <f>IF(L5767="", "", L5767-B5767)</f>
        <v/>
      </c>
      <c r="O5767">
        <f>IF(L5767="", "Pending", IF(N5767&lt;=30, "Met", "Breached"))</f>
        <v/>
      </c>
    </row>
    <row r="5768">
      <c r="M5768" s="11">
        <f>B5768+30</f>
        <v/>
      </c>
      <c r="N5768">
        <f>IF(L5768="", "", L5768-B5768)</f>
        <v/>
      </c>
      <c r="O5768">
        <f>IF(L5768="", "Pending", IF(N5768&lt;=30, "Met", "Breached"))</f>
        <v/>
      </c>
    </row>
    <row r="5769">
      <c r="M5769" s="11">
        <f>B5769+30</f>
        <v/>
      </c>
      <c r="N5769">
        <f>IF(L5769="", "", L5769-B5769)</f>
        <v/>
      </c>
      <c r="O5769">
        <f>IF(L5769="", "Pending", IF(N5769&lt;=30, "Met", "Breached"))</f>
        <v/>
      </c>
    </row>
    <row r="5770">
      <c r="M5770" s="11">
        <f>B5770+30</f>
        <v/>
      </c>
      <c r="N5770">
        <f>IF(L5770="", "", L5770-B5770)</f>
        <v/>
      </c>
      <c r="O5770">
        <f>IF(L5770="", "Pending", IF(N5770&lt;=30, "Met", "Breached"))</f>
        <v/>
      </c>
    </row>
    <row r="5771">
      <c r="M5771" s="11">
        <f>B5771+30</f>
        <v/>
      </c>
      <c r="N5771">
        <f>IF(L5771="", "", L5771-B5771)</f>
        <v/>
      </c>
      <c r="O5771">
        <f>IF(L5771="", "Pending", IF(N5771&lt;=30, "Met", "Breached"))</f>
        <v/>
      </c>
    </row>
    <row r="5772">
      <c r="M5772" s="11">
        <f>B5772+30</f>
        <v/>
      </c>
      <c r="N5772">
        <f>IF(L5772="", "", L5772-B5772)</f>
        <v/>
      </c>
      <c r="O5772">
        <f>IF(L5772="", "Pending", IF(N5772&lt;=30, "Met", "Breached"))</f>
        <v/>
      </c>
    </row>
    <row r="5773">
      <c r="M5773" s="11">
        <f>B5773+30</f>
        <v/>
      </c>
      <c r="N5773">
        <f>IF(L5773="", "", L5773-B5773)</f>
        <v/>
      </c>
      <c r="O5773">
        <f>IF(L5773="", "Pending", IF(N5773&lt;=30, "Met", "Breached"))</f>
        <v/>
      </c>
    </row>
    <row r="5774">
      <c r="M5774" s="11">
        <f>B5774+30</f>
        <v/>
      </c>
      <c r="N5774">
        <f>IF(L5774="", "", L5774-B5774)</f>
        <v/>
      </c>
      <c r="O5774">
        <f>IF(L5774="", "Pending", IF(N5774&lt;=30, "Met", "Breached"))</f>
        <v/>
      </c>
    </row>
    <row r="5775">
      <c r="M5775" s="11">
        <f>B5775+30</f>
        <v/>
      </c>
      <c r="N5775">
        <f>IF(L5775="", "", L5775-B5775)</f>
        <v/>
      </c>
      <c r="O5775">
        <f>IF(L5775="", "Pending", IF(N5775&lt;=30, "Met", "Breached"))</f>
        <v/>
      </c>
    </row>
    <row r="5776">
      <c r="M5776" s="11">
        <f>B5776+30</f>
        <v/>
      </c>
      <c r="N5776">
        <f>IF(L5776="", "", L5776-B5776)</f>
        <v/>
      </c>
      <c r="O5776">
        <f>IF(L5776="", "Pending", IF(N5776&lt;=30, "Met", "Breached"))</f>
        <v/>
      </c>
    </row>
    <row r="5777">
      <c r="M5777" s="11">
        <f>B5777+30</f>
        <v/>
      </c>
      <c r="N5777">
        <f>IF(L5777="", "", L5777-B5777)</f>
        <v/>
      </c>
      <c r="O5777">
        <f>IF(L5777="", "Pending", IF(N5777&lt;=30, "Met", "Breached"))</f>
        <v/>
      </c>
    </row>
    <row r="5778">
      <c r="M5778" s="11">
        <f>B5778+30</f>
        <v/>
      </c>
      <c r="N5778">
        <f>IF(L5778="", "", L5778-B5778)</f>
        <v/>
      </c>
      <c r="O5778">
        <f>IF(L5778="", "Pending", IF(N5778&lt;=30, "Met", "Breached"))</f>
        <v/>
      </c>
    </row>
    <row r="5779">
      <c r="M5779" s="11">
        <f>B5779+30</f>
        <v/>
      </c>
      <c r="N5779">
        <f>IF(L5779="", "", L5779-B5779)</f>
        <v/>
      </c>
      <c r="O5779">
        <f>IF(L5779="", "Pending", IF(N5779&lt;=30, "Met", "Breached"))</f>
        <v/>
      </c>
    </row>
    <row r="5780">
      <c r="M5780" s="11">
        <f>B5780+30</f>
        <v/>
      </c>
      <c r="N5780">
        <f>IF(L5780="", "", L5780-B5780)</f>
        <v/>
      </c>
      <c r="O5780">
        <f>IF(L5780="", "Pending", IF(N5780&lt;=30, "Met", "Breached"))</f>
        <v/>
      </c>
    </row>
    <row r="5781">
      <c r="M5781" s="11">
        <f>B5781+30</f>
        <v/>
      </c>
      <c r="N5781">
        <f>IF(L5781="", "", L5781-B5781)</f>
        <v/>
      </c>
      <c r="O5781">
        <f>IF(L5781="", "Pending", IF(N5781&lt;=30, "Met", "Breached"))</f>
        <v/>
      </c>
    </row>
    <row r="5782">
      <c r="M5782" s="11">
        <f>B5782+30</f>
        <v/>
      </c>
      <c r="N5782">
        <f>IF(L5782="", "", L5782-B5782)</f>
        <v/>
      </c>
      <c r="O5782">
        <f>IF(L5782="", "Pending", IF(N5782&lt;=30, "Met", "Breached"))</f>
        <v/>
      </c>
    </row>
    <row r="5783">
      <c r="M5783" s="11">
        <f>B5783+30</f>
        <v/>
      </c>
      <c r="N5783">
        <f>IF(L5783="", "", L5783-B5783)</f>
        <v/>
      </c>
      <c r="O5783">
        <f>IF(L5783="", "Pending", IF(N5783&lt;=30, "Met", "Breached"))</f>
        <v/>
      </c>
    </row>
    <row r="5784">
      <c r="M5784" s="11">
        <f>B5784+30</f>
        <v/>
      </c>
      <c r="N5784">
        <f>IF(L5784="", "", L5784-B5784)</f>
        <v/>
      </c>
      <c r="O5784">
        <f>IF(L5784="", "Pending", IF(N5784&lt;=30, "Met", "Breached"))</f>
        <v/>
      </c>
    </row>
    <row r="5785">
      <c r="M5785" s="11">
        <f>B5785+30</f>
        <v/>
      </c>
      <c r="N5785">
        <f>IF(L5785="", "", L5785-B5785)</f>
        <v/>
      </c>
      <c r="O5785">
        <f>IF(L5785="", "Pending", IF(N5785&lt;=30, "Met", "Breached"))</f>
        <v/>
      </c>
    </row>
    <row r="5786">
      <c r="M5786" s="11">
        <f>B5786+30</f>
        <v/>
      </c>
      <c r="N5786">
        <f>IF(L5786="", "", L5786-B5786)</f>
        <v/>
      </c>
      <c r="O5786">
        <f>IF(L5786="", "Pending", IF(N5786&lt;=30, "Met", "Breached"))</f>
        <v/>
      </c>
    </row>
    <row r="5787">
      <c r="M5787" s="11">
        <f>B5787+30</f>
        <v/>
      </c>
      <c r="N5787">
        <f>IF(L5787="", "", L5787-B5787)</f>
        <v/>
      </c>
      <c r="O5787">
        <f>IF(L5787="", "Pending", IF(N5787&lt;=30, "Met", "Breached"))</f>
        <v/>
      </c>
    </row>
    <row r="5788">
      <c r="M5788" s="11">
        <f>B5788+30</f>
        <v/>
      </c>
      <c r="N5788">
        <f>IF(L5788="", "", L5788-B5788)</f>
        <v/>
      </c>
      <c r="O5788">
        <f>IF(L5788="", "Pending", IF(N5788&lt;=30, "Met", "Breached"))</f>
        <v/>
      </c>
    </row>
    <row r="5789">
      <c r="M5789" s="11">
        <f>B5789+30</f>
        <v/>
      </c>
      <c r="N5789">
        <f>IF(L5789="", "", L5789-B5789)</f>
        <v/>
      </c>
      <c r="O5789">
        <f>IF(L5789="", "Pending", IF(N5789&lt;=30, "Met", "Breached"))</f>
        <v/>
      </c>
    </row>
    <row r="5790">
      <c r="M5790" s="11">
        <f>B5790+30</f>
        <v/>
      </c>
      <c r="N5790">
        <f>IF(L5790="", "", L5790-B5790)</f>
        <v/>
      </c>
      <c r="O5790">
        <f>IF(L5790="", "Pending", IF(N5790&lt;=30, "Met", "Breached"))</f>
        <v/>
      </c>
    </row>
    <row r="5791">
      <c r="M5791" s="11">
        <f>B5791+30</f>
        <v/>
      </c>
      <c r="N5791">
        <f>IF(L5791="", "", L5791-B5791)</f>
        <v/>
      </c>
      <c r="O5791">
        <f>IF(L5791="", "Pending", IF(N5791&lt;=30, "Met", "Breached"))</f>
        <v/>
      </c>
    </row>
    <row r="5792">
      <c r="M5792" s="11">
        <f>B5792+30</f>
        <v/>
      </c>
      <c r="N5792">
        <f>IF(L5792="", "", L5792-B5792)</f>
        <v/>
      </c>
      <c r="O5792">
        <f>IF(L5792="", "Pending", IF(N5792&lt;=30, "Met", "Breached"))</f>
        <v/>
      </c>
    </row>
    <row r="5793">
      <c r="M5793" s="11">
        <f>B5793+30</f>
        <v/>
      </c>
      <c r="N5793">
        <f>IF(L5793="", "", L5793-B5793)</f>
        <v/>
      </c>
      <c r="O5793">
        <f>IF(L5793="", "Pending", IF(N5793&lt;=30, "Met", "Breached"))</f>
        <v/>
      </c>
    </row>
    <row r="5794">
      <c r="M5794" s="11">
        <f>B5794+30</f>
        <v/>
      </c>
      <c r="N5794">
        <f>IF(L5794="", "", L5794-B5794)</f>
        <v/>
      </c>
      <c r="O5794">
        <f>IF(L5794="", "Pending", IF(N5794&lt;=30, "Met", "Breached"))</f>
        <v/>
      </c>
    </row>
    <row r="5795">
      <c r="M5795" s="11">
        <f>B5795+30</f>
        <v/>
      </c>
      <c r="N5795">
        <f>IF(L5795="", "", L5795-B5795)</f>
        <v/>
      </c>
      <c r="O5795">
        <f>IF(L5795="", "Pending", IF(N5795&lt;=30, "Met", "Breached"))</f>
        <v/>
      </c>
    </row>
    <row r="5796">
      <c r="M5796" s="11">
        <f>B5796+30</f>
        <v/>
      </c>
      <c r="N5796">
        <f>IF(L5796="", "", L5796-B5796)</f>
        <v/>
      </c>
      <c r="O5796">
        <f>IF(L5796="", "Pending", IF(N5796&lt;=30, "Met", "Breached"))</f>
        <v/>
      </c>
    </row>
    <row r="5797">
      <c r="M5797" s="11">
        <f>B5797+30</f>
        <v/>
      </c>
      <c r="N5797">
        <f>IF(L5797="", "", L5797-B5797)</f>
        <v/>
      </c>
      <c r="O5797">
        <f>IF(L5797="", "Pending", IF(N5797&lt;=30, "Met", "Breached"))</f>
        <v/>
      </c>
    </row>
    <row r="5798">
      <c r="M5798" s="11">
        <f>B5798+30</f>
        <v/>
      </c>
      <c r="N5798">
        <f>IF(L5798="", "", L5798-B5798)</f>
        <v/>
      </c>
      <c r="O5798">
        <f>IF(L5798="", "Pending", IF(N5798&lt;=30, "Met", "Breached"))</f>
        <v/>
      </c>
    </row>
    <row r="5799">
      <c r="M5799" s="11">
        <f>B5799+30</f>
        <v/>
      </c>
      <c r="N5799">
        <f>IF(L5799="", "", L5799-B5799)</f>
        <v/>
      </c>
      <c r="O5799">
        <f>IF(L5799="", "Pending", IF(N5799&lt;=30, "Met", "Breached"))</f>
        <v/>
      </c>
    </row>
    <row r="5800">
      <c r="M5800" s="11">
        <f>B5800+30</f>
        <v/>
      </c>
      <c r="N5800">
        <f>IF(L5800="", "", L5800-B5800)</f>
        <v/>
      </c>
      <c r="O5800">
        <f>IF(L5800="", "Pending", IF(N5800&lt;=30, "Met", "Breached"))</f>
        <v/>
      </c>
    </row>
    <row r="5801">
      <c r="M5801" s="11">
        <f>B5801+30</f>
        <v/>
      </c>
      <c r="N5801">
        <f>IF(L5801="", "", L5801-B5801)</f>
        <v/>
      </c>
      <c r="O5801">
        <f>IF(L5801="", "Pending", IF(N5801&lt;=30, "Met", "Breached"))</f>
        <v/>
      </c>
    </row>
    <row r="5802">
      <c r="M5802" s="11">
        <f>B5802+30</f>
        <v/>
      </c>
      <c r="N5802">
        <f>IF(L5802="", "", L5802-B5802)</f>
        <v/>
      </c>
      <c r="O5802">
        <f>IF(L5802="", "Pending", IF(N5802&lt;=30, "Met", "Breached"))</f>
        <v/>
      </c>
    </row>
    <row r="5803">
      <c r="M5803" s="11">
        <f>B5803+30</f>
        <v/>
      </c>
      <c r="N5803">
        <f>IF(L5803="", "", L5803-B5803)</f>
        <v/>
      </c>
      <c r="O5803">
        <f>IF(L5803="", "Pending", IF(N5803&lt;=30, "Met", "Breached"))</f>
        <v/>
      </c>
    </row>
    <row r="5804">
      <c r="M5804" s="11">
        <f>B5804+30</f>
        <v/>
      </c>
      <c r="N5804">
        <f>IF(L5804="", "", L5804-B5804)</f>
        <v/>
      </c>
      <c r="O5804">
        <f>IF(L5804="", "Pending", IF(N5804&lt;=30, "Met", "Breached"))</f>
        <v/>
      </c>
    </row>
    <row r="5805">
      <c r="M5805" s="11">
        <f>B5805+30</f>
        <v/>
      </c>
      <c r="N5805">
        <f>IF(L5805="", "", L5805-B5805)</f>
        <v/>
      </c>
      <c r="O5805">
        <f>IF(L5805="", "Pending", IF(N5805&lt;=30, "Met", "Breached"))</f>
        <v/>
      </c>
    </row>
    <row r="5806">
      <c r="M5806" s="11">
        <f>B5806+30</f>
        <v/>
      </c>
      <c r="N5806">
        <f>IF(L5806="", "", L5806-B5806)</f>
        <v/>
      </c>
      <c r="O5806">
        <f>IF(L5806="", "Pending", IF(N5806&lt;=30, "Met", "Breached"))</f>
        <v/>
      </c>
    </row>
    <row r="5807">
      <c r="M5807" s="11">
        <f>B5807+30</f>
        <v/>
      </c>
      <c r="N5807">
        <f>IF(L5807="", "", L5807-B5807)</f>
        <v/>
      </c>
      <c r="O5807">
        <f>IF(L5807="", "Pending", IF(N5807&lt;=30, "Met", "Breached"))</f>
        <v/>
      </c>
    </row>
    <row r="5808">
      <c r="M5808" s="11">
        <f>B5808+30</f>
        <v/>
      </c>
      <c r="N5808">
        <f>IF(L5808="", "", L5808-B5808)</f>
        <v/>
      </c>
      <c r="O5808">
        <f>IF(L5808="", "Pending", IF(N5808&lt;=30, "Met", "Breached"))</f>
        <v/>
      </c>
    </row>
    <row r="5809">
      <c r="M5809" s="11">
        <f>B5809+30</f>
        <v/>
      </c>
      <c r="N5809">
        <f>IF(L5809="", "", L5809-B5809)</f>
        <v/>
      </c>
      <c r="O5809">
        <f>IF(L5809="", "Pending", IF(N5809&lt;=30, "Met", "Breached"))</f>
        <v/>
      </c>
    </row>
    <row r="5810">
      <c r="M5810" s="11">
        <f>B5810+30</f>
        <v/>
      </c>
      <c r="N5810">
        <f>IF(L5810="", "", L5810-B5810)</f>
        <v/>
      </c>
      <c r="O5810">
        <f>IF(L5810="", "Pending", IF(N5810&lt;=30, "Met", "Breached"))</f>
        <v/>
      </c>
    </row>
    <row r="5811">
      <c r="M5811" s="11">
        <f>B5811+30</f>
        <v/>
      </c>
      <c r="N5811">
        <f>IF(L5811="", "", L5811-B5811)</f>
        <v/>
      </c>
      <c r="O5811">
        <f>IF(L5811="", "Pending", IF(N5811&lt;=30, "Met", "Breached"))</f>
        <v/>
      </c>
    </row>
    <row r="5812">
      <c r="M5812" s="11">
        <f>B5812+30</f>
        <v/>
      </c>
      <c r="N5812">
        <f>IF(L5812="", "", L5812-B5812)</f>
        <v/>
      </c>
      <c r="O5812">
        <f>IF(L5812="", "Pending", IF(N5812&lt;=30, "Met", "Breached"))</f>
        <v/>
      </c>
    </row>
    <row r="5813">
      <c r="M5813" s="11">
        <f>B5813+30</f>
        <v/>
      </c>
      <c r="N5813">
        <f>IF(L5813="", "", L5813-B5813)</f>
        <v/>
      </c>
      <c r="O5813">
        <f>IF(L5813="", "Pending", IF(N5813&lt;=30, "Met", "Breached"))</f>
        <v/>
      </c>
    </row>
    <row r="5814">
      <c r="M5814" s="11">
        <f>B5814+30</f>
        <v/>
      </c>
      <c r="N5814">
        <f>IF(L5814="", "", L5814-B5814)</f>
        <v/>
      </c>
      <c r="O5814">
        <f>IF(L5814="", "Pending", IF(N5814&lt;=30, "Met", "Breached"))</f>
        <v/>
      </c>
    </row>
    <row r="5815">
      <c r="M5815" s="11">
        <f>B5815+30</f>
        <v/>
      </c>
      <c r="N5815">
        <f>IF(L5815="", "", L5815-B5815)</f>
        <v/>
      </c>
      <c r="O5815">
        <f>IF(L5815="", "Pending", IF(N5815&lt;=30, "Met", "Breached"))</f>
        <v/>
      </c>
    </row>
    <row r="5816">
      <c r="M5816" s="11">
        <f>B5816+30</f>
        <v/>
      </c>
      <c r="N5816">
        <f>IF(L5816="", "", L5816-B5816)</f>
        <v/>
      </c>
      <c r="O5816">
        <f>IF(L5816="", "Pending", IF(N5816&lt;=30, "Met", "Breached"))</f>
        <v/>
      </c>
    </row>
    <row r="5817">
      <c r="M5817" s="11">
        <f>B5817+30</f>
        <v/>
      </c>
      <c r="N5817">
        <f>IF(L5817="", "", L5817-B5817)</f>
        <v/>
      </c>
      <c r="O5817">
        <f>IF(L5817="", "Pending", IF(N5817&lt;=30, "Met", "Breached"))</f>
        <v/>
      </c>
    </row>
    <row r="5818">
      <c r="M5818" s="11">
        <f>B5818+30</f>
        <v/>
      </c>
      <c r="N5818">
        <f>IF(L5818="", "", L5818-B5818)</f>
        <v/>
      </c>
      <c r="O5818">
        <f>IF(L5818="", "Pending", IF(N5818&lt;=30, "Met", "Breached"))</f>
        <v/>
      </c>
    </row>
    <row r="5819">
      <c r="M5819" s="11">
        <f>B5819+30</f>
        <v/>
      </c>
      <c r="N5819">
        <f>IF(L5819="", "", L5819-B5819)</f>
        <v/>
      </c>
      <c r="O5819">
        <f>IF(L5819="", "Pending", IF(N5819&lt;=30, "Met", "Breached"))</f>
        <v/>
      </c>
    </row>
    <row r="5820">
      <c r="M5820" s="11">
        <f>B5820+30</f>
        <v/>
      </c>
      <c r="N5820">
        <f>IF(L5820="", "", L5820-B5820)</f>
        <v/>
      </c>
      <c r="O5820">
        <f>IF(L5820="", "Pending", IF(N5820&lt;=30, "Met", "Breached"))</f>
        <v/>
      </c>
    </row>
    <row r="5821">
      <c r="M5821" s="11">
        <f>B5821+30</f>
        <v/>
      </c>
      <c r="N5821">
        <f>IF(L5821="", "", L5821-B5821)</f>
        <v/>
      </c>
      <c r="O5821">
        <f>IF(L5821="", "Pending", IF(N5821&lt;=30, "Met", "Breached"))</f>
        <v/>
      </c>
    </row>
    <row r="5822">
      <c r="M5822" s="11">
        <f>B5822+30</f>
        <v/>
      </c>
      <c r="N5822">
        <f>IF(L5822="", "", L5822-B5822)</f>
        <v/>
      </c>
      <c r="O5822">
        <f>IF(L5822="", "Pending", IF(N5822&lt;=30, "Met", "Breached"))</f>
        <v/>
      </c>
    </row>
    <row r="5823">
      <c r="M5823" s="11">
        <f>B5823+30</f>
        <v/>
      </c>
      <c r="N5823">
        <f>IF(L5823="", "", L5823-B5823)</f>
        <v/>
      </c>
      <c r="O5823">
        <f>IF(L5823="", "Pending", IF(N5823&lt;=30, "Met", "Breached"))</f>
        <v/>
      </c>
    </row>
    <row r="5824">
      <c r="M5824" s="11">
        <f>B5824+30</f>
        <v/>
      </c>
      <c r="N5824">
        <f>IF(L5824="", "", L5824-B5824)</f>
        <v/>
      </c>
      <c r="O5824">
        <f>IF(L5824="", "Pending", IF(N5824&lt;=30, "Met", "Breached"))</f>
        <v/>
      </c>
    </row>
    <row r="5825">
      <c r="M5825" s="11">
        <f>B5825+30</f>
        <v/>
      </c>
      <c r="N5825">
        <f>IF(L5825="", "", L5825-B5825)</f>
        <v/>
      </c>
      <c r="O5825">
        <f>IF(L5825="", "Pending", IF(N5825&lt;=30, "Met", "Breached"))</f>
        <v/>
      </c>
    </row>
    <row r="5826">
      <c r="M5826" s="11">
        <f>B5826+30</f>
        <v/>
      </c>
      <c r="N5826">
        <f>IF(L5826="", "", L5826-B5826)</f>
        <v/>
      </c>
      <c r="O5826">
        <f>IF(L5826="", "Pending", IF(N5826&lt;=30, "Met", "Breached"))</f>
        <v/>
      </c>
    </row>
    <row r="5827">
      <c r="M5827" s="11">
        <f>B5827+30</f>
        <v/>
      </c>
      <c r="N5827">
        <f>IF(L5827="", "", L5827-B5827)</f>
        <v/>
      </c>
      <c r="O5827">
        <f>IF(L5827="", "Pending", IF(N5827&lt;=30, "Met", "Breached"))</f>
        <v/>
      </c>
    </row>
    <row r="5828">
      <c r="M5828" s="11">
        <f>B5828+30</f>
        <v/>
      </c>
      <c r="N5828">
        <f>IF(L5828="", "", L5828-B5828)</f>
        <v/>
      </c>
      <c r="O5828">
        <f>IF(L5828="", "Pending", IF(N5828&lt;=30, "Met", "Breached"))</f>
        <v/>
      </c>
    </row>
    <row r="5829">
      <c r="M5829" s="11">
        <f>B5829+30</f>
        <v/>
      </c>
      <c r="N5829">
        <f>IF(L5829="", "", L5829-B5829)</f>
        <v/>
      </c>
      <c r="O5829">
        <f>IF(L5829="", "Pending", IF(N5829&lt;=30, "Met", "Breached"))</f>
        <v/>
      </c>
    </row>
    <row r="5830">
      <c r="M5830" s="11">
        <f>B5830+30</f>
        <v/>
      </c>
      <c r="N5830">
        <f>IF(L5830="", "", L5830-B5830)</f>
        <v/>
      </c>
      <c r="O5830">
        <f>IF(L5830="", "Pending", IF(N5830&lt;=30, "Met", "Breached"))</f>
        <v/>
      </c>
    </row>
    <row r="5831">
      <c r="M5831" s="11">
        <f>B5831+30</f>
        <v/>
      </c>
      <c r="N5831">
        <f>IF(L5831="", "", L5831-B5831)</f>
        <v/>
      </c>
      <c r="O5831">
        <f>IF(L5831="", "Pending", IF(N5831&lt;=30, "Met", "Breached"))</f>
        <v/>
      </c>
    </row>
    <row r="5832">
      <c r="M5832" s="11">
        <f>B5832+30</f>
        <v/>
      </c>
      <c r="N5832">
        <f>IF(L5832="", "", L5832-B5832)</f>
        <v/>
      </c>
      <c r="O5832">
        <f>IF(L5832="", "Pending", IF(N5832&lt;=30, "Met", "Breached"))</f>
        <v/>
      </c>
    </row>
    <row r="5833">
      <c r="M5833" s="11">
        <f>B5833+30</f>
        <v/>
      </c>
      <c r="N5833">
        <f>IF(L5833="", "", L5833-B5833)</f>
        <v/>
      </c>
      <c r="O5833">
        <f>IF(L5833="", "Pending", IF(N5833&lt;=30, "Met", "Breached"))</f>
        <v/>
      </c>
    </row>
    <row r="5834">
      <c r="M5834" s="11">
        <f>B5834+30</f>
        <v/>
      </c>
      <c r="N5834">
        <f>IF(L5834="", "", L5834-B5834)</f>
        <v/>
      </c>
      <c r="O5834">
        <f>IF(L5834="", "Pending", IF(N5834&lt;=30, "Met", "Breached"))</f>
        <v/>
      </c>
    </row>
    <row r="5835">
      <c r="M5835" s="11">
        <f>B5835+30</f>
        <v/>
      </c>
      <c r="N5835">
        <f>IF(L5835="", "", L5835-B5835)</f>
        <v/>
      </c>
      <c r="O5835">
        <f>IF(L5835="", "Pending", IF(N5835&lt;=30, "Met", "Breached"))</f>
        <v/>
      </c>
    </row>
    <row r="5836">
      <c r="M5836" s="11">
        <f>B5836+30</f>
        <v/>
      </c>
      <c r="N5836">
        <f>IF(L5836="", "", L5836-B5836)</f>
        <v/>
      </c>
      <c r="O5836">
        <f>IF(L5836="", "Pending", IF(N5836&lt;=30, "Met", "Breached"))</f>
        <v/>
      </c>
    </row>
    <row r="5837">
      <c r="M5837" s="11">
        <f>B5837+30</f>
        <v/>
      </c>
      <c r="N5837">
        <f>IF(L5837="", "", L5837-B5837)</f>
        <v/>
      </c>
      <c r="O5837">
        <f>IF(L5837="", "Pending", IF(N5837&lt;=30, "Met", "Breached"))</f>
        <v/>
      </c>
    </row>
    <row r="5838">
      <c r="M5838" s="11">
        <f>B5838+30</f>
        <v/>
      </c>
      <c r="N5838">
        <f>IF(L5838="", "", L5838-B5838)</f>
        <v/>
      </c>
      <c r="O5838">
        <f>IF(L5838="", "Pending", IF(N5838&lt;=30, "Met", "Breached"))</f>
        <v/>
      </c>
    </row>
    <row r="5839">
      <c r="M5839" s="11">
        <f>B5839+30</f>
        <v/>
      </c>
      <c r="N5839">
        <f>IF(L5839="", "", L5839-B5839)</f>
        <v/>
      </c>
      <c r="O5839">
        <f>IF(L5839="", "Pending", IF(N5839&lt;=30, "Met", "Breached"))</f>
        <v/>
      </c>
    </row>
    <row r="5840">
      <c r="M5840" s="11">
        <f>B5840+30</f>
        <v/>
      </c>
      <c r="N5840">
        <f>IF(L5840="", "", L5840-B5840)</f>
        <v/>
      </c>
      <c r="O5840">
        <f>IF(L5840="", "Pending", IF(N5840&lt;=30, "Met", "Breached"))</f>
        <v/>
      </c>
    </row>
    <row r="5841">
      <c r="M5841" s="11">
        <f>B5841+30</f>
        <v/>
      </c>
      <c r="N5841">
        <f>IF(L5841="", "", L5841-B5841)</f>
        <v/>
      </c>
      <c r="O5841">
        <f>IF(L5841="", "Pending", IF(N5841&lt;=30, "Met", "Breached"))</f>
        <v/>
      </c>
    </row>
    <row r="5842">
      <c r="M5842" s="11">
        <f>B5842+30</f>
        <v/>
      </c>
      <c r="N5842">
        <f>IF(L5842="", "", L5842-B5842)</f>
        <v/>
      </c>
      <c r="O5842">
        <f>IF(L5842="", "Pending", IF(N5842&lt;=30, "Met", "Breached"))</f>
        <v/>
      </c>
    </row>
    <row r="5843">
      <c r="M5843" s="11">
        <f>B5843+30</f>
        <v/>
      </c>
      <c r="N5843">
        <f>IF(L5843="", "", L5843-B5843)</f>
        <v/>
      </c>
      <c r="O5843">
        <f>IF(L5843="", "Pending", IF(N5843&lt;=30, "Met", "Breached"))</f>
        <v/>
      </c>
    </row>
    <row r="5844">
      <c r="M5844" s="11">
        <f>B5844+30</f>
        <v/>
      </c>
      <c r="N5844">
        <f>IF(L5844="", "", L5844-B5844)</f>
        <v/>
      </c>
      <c r="O5844">
        <f>IF(L5844="", "Pending", IF(N5844&lt;=30, "Met", "Breached"))</f>
        <v/>
      </c>
    </row>
    <row r="5845">
      <c r="M5845" s="11">
        <f>B5845+30</f>
        <v/>
      </c>
      <c r="N5845">
        <f>IF(L5845="", "", L5845-B5845)</f>
        <v/>
      </c>
      <c r="O5845">
        <f>IF(L5845="", "Pending", IF(N5845&lt;=30, "Met", "Breached"))</f>
        <v/>
      </c>
    </row>
    <row r="5846">
      <c r="M5846" s="11">
        <f>B5846+30</f>
        <v/>
      </c>
      <c r="N5846">
        <f>IF(L5846="", "", L5846-B5846)</f>
        <v/>
      </c>
      <c r="O5846">
        <f>IF(L5846="", "Pending", IF(N5846&lt;=30, "Met", "Breached"))</f>
        <v/>
      </c>
    </row>
    <row r="5847">
      <c r="M5847" s="11">
        <f>B5847+30</f>
        <v/>
      </c>
      <c r="N5847">
        <f>IF(L5847="", "", L5847-B5847)</f>
        <v/>
      </c>
      <c r="O5847">
        <f>IF(L5847="", "Pending", IF(N5847&lt;=30, "Met", "Breached"))</f>
        <v/>
      </c>
    </row>
    <row r="5848">
      <c r="M5848" s="11">
        <f>B5848+30</f>
        <v/>
      </c>
      <c r="N5848">
        <f>IF(L5848="", "", L5848-B5848)</f>
        <v/>
      </c>
      <c r="O5848">
        <f>IF(L5848="", "Pending", IF(N5848&lt;=30, "Met", "Breached"))</f>
        <v/>
      </c>
    </row>
    <row r="5849">
      <c r="M5849" s="11">
        <f>B5849+30</f>
        <v/>
      </c>
      <c r="N5849">
        <f>IF(L5849="", "", L5849-B5849)</f>
        <v/>
      </c>
      <c r="O5849">
        <f>IF(L5849="", "Pending", IF(N5849&lt;=30, "Met", "Breached"))</f>
        <v/>
      </c>
    </row>
    <row r="5850">
      <c r="M5850" s="11">
        <f>B5850+30</f>
        <v/>
      </c>
      <c r="N5850">
        <f>IF(L5850="", "", L5850-B5850)</f>
        <v/>
      </c>
      <c r="O5850">
        <f>IF(L5850="", "Pending", IF(N5850&lt;=30, "Met", "Breached"))</f>
        <v/>
      </c>
    </row>
    <row r="5851">
      <c r="M5851" s="11">
        <f>B5851+30</f>
        <v/>
      </c>
      <c r="N5851">
        <f>IF(L5851="", "", L5851-B5851)</f>
        <v/>
      </c>
      <c r="O5851">
        <f>IF(L5851="", "Pending", IF(N5851&lt;=30, "Met", "Breached"))</f>
        <v/>
      </c>
    </row>
    <row r="5852">
      <c r="M5852" s="11">
        <f>B5852+30</f>
        <v/>
      </c>
      <c r="N5852">
        <f>IF(L5852="", "", L5852-B5852)</f>
        <v/>
      </c>
      <c r="O5852">
        <f>IF(L5852="", "Pending", IF(N5852&lt;=30, "Met", "Breached"))</f>
        <v/>
      </c>
    </row>
    <row r="5853">
      <c r="M5853" s="11">
        <f>B5853+30</f>
        <v/>
      </c>
      <c r="N5853">
        <f>IF(L5853="", "", L5853-B5853)</f>
        <v/>
      </c>
      <c r="O5853">
        <f>IF(L5853="", "Pending", IF(N5853&lt;=30, "Met", "Breached"))</f>
        <v/>
      </c>
    </row>
    <row r="5854">
      <c r="M5854" s="11">
        <f>B5854+30</f>
        <v/>
      </c>
      <c r="N5854">
        <f>IF(L5854="", "", L5854-B5854)</f>
        <v/>
      </c>
      <c r="O5854">
        <f>IF(L5854="", "Pending", IF(N5854&lt;=30, "Met", "Breached"))</f>
        <v/>
      </c>
    </row>
    <row r="5855">
      <c r="M5855" s="11">
        <f>B5855+30</f>
        <v/>
      </c>
      <c r="N5855">
        <f>IF(L5855="", "", L5855-B5855)</f>
        <v/>
      </c>
      <c r="O5855">
        <f>IF(L5855="", "Pending", IF(N5855&lt;=30, "Met", "Breached"))</f>
        <v/>
      </c>
    </row>
    <row r="5856">
      <c r="M5856" s="11">
        <f>B5856+30</f>
        <v/>
      </c>
      <c r="N5856">
        <f>IF(L5856="", "", L5856-B5856)</f>
        <v/>
      </c>
      <c r="O5856">
        <f>IF(L5856="", "Pending", IF(N5856&lt;=30, "Met", "Breached"))</f>
        <v/>
      </c>
    </row>
    <row r="5857">
      <c r="M5857" s="11">
        <f>B5857+30</f>
        <v/>
      </c>
      <c r="N5857">
        <f>IF(L5857="", "", L5857-B5857)</f>
        <v/>
      </c>
      <c r="O5857">
        <f>IF(L5857="", "Pending", IF(N5857&lt;=30, "Met", "Breached"))</f>
        <v/>
      </c>
    </row>
    <row r="5858">
      <c r="M5858" s="11">
        <f>B5858+30</f>
        <v/>
      </c>
      <c r="N5858">
        <f>IF(L5858="", "", L5858-B5858)</f>
        <v/>
      </c>
      <c r="O5858">
        <f>IF(L5858="", "Pending", IF(N5858&lt;=30, "Met", "Breached"))</f>
        <v/>
      </c>
    </row>
    <row r="5859">
      <c r="M5859" s="11">
        <f>B5859+30</f>
        <v/>
      </c>
      <c r="N5859">
        <f>IF(L5859="", "", L5859-B5859)</f>
        <v/>
      </c>
      <c r="O5859">
        <f>IF(L5859="", "Pending", IF(N5859&lt;=30, "Met", "Breached"))</f>
        <v/>
      </c>
    </row>
    <row r="5860">
      <c r="M5860" s="11">
        <f>B5860+30</f>
        <v/>
      </c>
      <c r="N5860">
        <f>IF(L5860="", "", L5860-B5860)</f>
        <v/>
      </c>
      <c r="O5860">
        <f>IF(L5860="", "Pending", IF(N5860&lt;=30, "Met", "Breached"))</f>
        <v/>
      </c>
    </row>
    <row r="5861">
      <c r="M5861" s="11">
        <f>B5861+30</f>
        <v/>
      </c>
      <c r="N5861">
        <f>IF(L5861="", "", L5861-B5861)</f>
        <v/>
      </c>
      <c r="O5861">
        <f>IF(L5861="", "Pending", IF(N5861&lt;=30, "Met", "Breached"))</f>
        <v/>
      </c>
    </row>
    <row r="5862">
      <c r="M5862" s="11">
        <f>B5862+30</f>
        <v/>
      </c>
      <c r="N5862">
        <f>IF(L5862="", "", L5862-B5862)</f>
        <v/>
      </c>
      <c r="O5862">
        <f>IF(L5862="", "Pending", IF(N5862&lt;=30, "Met", "Breached"))</f>
        <v/>
      </c>
    </row>
    <row r="5863">
      <c r="M5863" s="11">
        <f>B5863+30</f>
        <v/>
      </c>
      <c r="N5863">
        <f>IF(L5863="", "", L5863-B5863)</f>
        <v/>
      </c>
      <c r="O5863">
        <f>IF(L5863="", "Pending", IF(N5863&lt;=30, "Met", "Breached"))</f>
        <v/>
      </c>
    </row>
    <row r="5864">
      <c r="M5864" s="11">
        <f>B5864+30</f>
        <v/>
      </c>
      <c r="N5864">
        <f>IF(L5864="", "", L5864-B5864)</f>
        <v/>
      </c>
      <c r="O5864">
        <f>IF(L5864="", "Pending", IF(N5864&lt;=30, "Met", "Breached"))</f>
        <v/>
      </c>
    </row>
    <row r="5865">
      <c r="M5865" s="11">
        <f>B5865+30</f>
        <v/>
      </c>
      <c r="N5865">
        <f>IF(L5865="", "", L5865-B5865)</f>
        <v/>
      </c>
      <c r="O5865">
        <f>IF(L5865="", "Pending", IF(N5865&lt;=30, "Met", "Breached"))</f>
        <v/>
      </c>
    </row>
    <row r="5866">
      <c r="M5866" s="11">
        <f>B5866+30</f>
        <v/>
      </c>
      <c r="N5866">
        <f>IF(L5866="", "", L5866-B5866)</f>
        <v/>
      </c>
      <c r="O5866">
        <f>IF(L5866="", "Pending", IF(N5866&lt;=30, "Met", "Breached"))</f>
        <v/>
      </c>
    </row>
    <row r="5867">
      <c r="M5867" s="11">
        <f>B5867+30</f>
        <v/>
      </c>
      <c r="N5867">
        <f>IF(L5867="", "", L5867-B5867)</f>
        <v/>
      </c>
      <c r="O5867">
        <f>IF(L5867="", "Pending", IF(N5867&lt;=30, "Met", "Breached"))</f>
        <v/>
      </c>
    </row>
    <row r="5868">
      <c r="M5868" s="11">
        <f>B5868+30</f>
        <v/>
      </c>
      <c r="N5868">
        <f>IF(L5868="", "", L5868-B5868)</f>
        <v/>
      </c>
      <c r="O5868">
        <f>IF(L5868="", "Pending", IF(N5868&lt;=30, "Met", "Breached"))</f>
        <v/>
      </c>
    </row>
    <row r="5869">
      <c r="M5869" s="11">
        <f>B5869+30</f>
        <v/>
      </c>
      <c r="N5869">
        <f>IF(L5869="", "", L5869-B5869)</f>
        <v/>
      </c>
      <c r="O5869">
        <f>IF(L5869="", "Pending", IF(N5869&lt;=30, "Met", "Breached"))</f>
        <v/>
      </c>
    </row>
    <row r="5870">
      <c r="M5870" s="11">
        <f>B5870+30</f>
        <v/>
      </c>
      <c r="N5870">
        <f>IF(L5870="", "", L5870-B5870)</f>
        <v/>
      </c>
      <c r="O5870">
        <f>IF(L5870="", "Pending", IF(N5870&lt;=30, "Met", "Breached"))</f>
        <v/>
      </c>
    </row>
    <row r="5871">
      <c r="M5871" s="11">
        <f>B5871+30</f>
        <v/>
      </c>
      <c r="N5871">
        <f>IF(L5871="", "", L5871-B5871)</f>
        <v/>
      </c>
      <c r="O5871">
        <f>IF(L5871="", "Pending", IF(N5871&lt;=30, "Met", "Breached"))</f>
        <v/>
      </c>
    </row>
    <row r="5872">
      <c r="M5872" s="11">
        <f>B5872+30</f>
        <v/>
      </c>
      <c r="N5872">
        <f>IF(L5872="", "", L5872-B5872)</f>
        <v/>
      </c>
      <c r="O5872">
        <f>IF(L5872="", "Pending", IF(N5872&lt;=30, "Met", "Breached"))</f>
        <v/>
      </c>
    </row>
    <row r="5873">
      <c r="M5873" s="11">
        <f>B5873+30</f>
        <v/>
      </c>
      <c r="N5873">
        <f>IF(L5873="", "", L5873-B5873)</f>
        <v/>
      </c>
      <c r="O5873">
        <f>IF(L5873="", "Pending", IF(N5873&lt;=30, "Met", "Breached"))</f>
        <v/>
      </c>
    </row>
    <row r="5874">
      <c r="M5874" s="11">
        <f>B5874+30</f>
        <v/>
      </c>
      <c r="N5874">
        <f>IF(L5874="", "", L5874-B5874)</f>
        <v/>
      </c>
      <c r="O5874">
        <f>IF(L5874="", "Pending", IF(N5874&lt;=30, "Met", "Breached"))</f>
        <v/>
      </c>
    </row>
    <row r="5875">
      <c r="M5875" s="11">
        <f>B5875+30</f>
        <v/>
      </c>
      <c r="N5875">
        <f>IF(L5875="", "", L5875-B5875)</f>
        <v/>
      </c>
      <c r="O5875">
        <f>IF(L5875="", "Pending", IF(N5875&lt;=30, "Met", "Breached"))</f>
        <v/>
      </c>
    </row>
    <row r="5876">
      <c r="M5876" s="11">
        <f>B5876+30</f>
        <v/>
      </c>
      <c r="N5876">
        <f>IF(L5876="", "", L5876-B5876)</f>
        <v/>
      </c>
      <c r="O5876">
        <f>IF(L5876="", "Pending", IF(N5876&lt;=30, "Met", "Breached"))</f>
        <v/>
      </c>
    </row>
    <row r="5877">
      <c r="M5877" s="11">
        <f>B5877+30</f>
        <v/>
      </c>
      <c r="N5877">
        <f>IF(L5877="", "", L5877-B5877)</f>
        <v/>
      </c>
      <c r="O5877">
        <f>IF(L5877="", "Pending", IF(N5877&lt;=30, "Met", "Breached"))</f>
        <v/>
      </c>
    </row>
    <row r="5878">
      <c r="M5878" s="11">
        <f>B5878+30</f>
        <v/>
      </c>
      <c r="N5878">
        <f>IF(L5878="", "", L5878-B5878)</f>
        <v/>
      </c>
      <c r="O5878">
        <f>IF(L5878="", "Pending", IF(N5878&lt;=30, "Met", "Breached"))</f>
        <v/>
      </c>
    </row>
    <row r="5879">
      <c r="M5879" s="11">
        <f>B5879+30</f>
        <v/>
      </c>
      <c r="N5879">
        <f>IF(L5879="", "", L5879-B5879)</f>
        <v/>
      </c>
      <c r="O5879">
        <f>IF(L5879="", "Pending", IF(N5879&lt;=30, "Met", "Breached"))</f>
        <v/>
      </c>
    </row>
    <row r="5880">
      <c r="M5880" s="11">
        <f>B5880+30</f>
        <v/>
      </c>
      <c r="N5880">
        <f>IF(L5880="", "", L5880-B5880)</f>
        <v/>
      </c>
      <c r="O5880">
        <f>IF(L5880="", "Pending", IF(N5880&lt;=30, "Met", "Breached"))</f>
        <v/>
      </c>
    </row>
    <row r="5881">
      <c r="M5881" s="11">
        <f>B5881+30</f>
        <v/>
      </c>
      <c r="N5881">
        <f>IF(L5881="", "", L5881-B5881)</f>
        <v/>
      </c>
      <c r="O5881">
        <f>IF(L5881="", "Pending", IF(N5881&lt;=30, "Met", "Breached"))</f>
        <v/>
      </c>
    </row>
    <row r="5882">
      <c r="M5882" s="11">
        <f>B5882+30</f>
        <v/>
      </c>
      <c r="N5882">
        <f>IF(L5882="", "", L5882-B5882)</f>
        <v/>
      </c>
      <c r="O5882">
        <f>IF(L5882="", "Pending", IF(N5882&lt;=30, "Met", "Breached"))</f>
        <v/>
      </c>
    </row>
    <row r="5883">
      <c r="M5883" s="11">
        <f>B5883+30</f>
        <v/>
      </c>
      <c r="N5883">
        <f>IF(L5883="", "", L5883-B5883)</f>
        <v/>
      </c>
      <c r="O5883">
        <f>IF(L5883="", "Pending", IF(N5883&lt;=30, "Met", "Breached"))</f>
        <v/>
      </c>
    </row>
    <row r="5884">
      <c r="M5884" s="11">
        <f>B5884+30</f>
        <v/>
      </c>
      <c r="N5884">
        <f>IF(L5884="", "", L5884-B5884)</f>
        <v/>
      </c>
      <c r="O5884">
        <f>IF(L5884="", "Pending", IF(N5884&lt;=30, "Met", "Breached"))</f>
        <v/>
      </c>
    </row>
    <row r="5885">
      <c r="M5885" s="11">
        <f>B5885+30</f>
        <v/>
      </c>
      <c r="N5885">
        <f>IF(L5885="", "", L5885-B5885)</f>
        <v/>
      </c>
      <c r="O5885">
        <f>IF(L5885="", "Pending", IF(N5885&lt;=30, "Met", "Breached"))</f>
        <v/>
      </c>
    </row>
    <row r="5886">
      <c r="M5886" s="11">
        <f>B5886+30</f>
        <v/>
      </c>
      <c r="N5886">
        <f>IF(L5886="", "", L5886-B5886)</f>
        <v/>
      </c>
      <c r="O5886">
        <f>IF(L5886="", "Pending", IF(N5886&lt;=30, "Met", "Breached"))</f>
        <v/>
      </c>
    </row>
    <row r="5887">
      <c r="M5887" s="11">
        <f>B5887+30</f>
        <v/>
      </c>
      <c r="N5887">
        <f>IF(L5887="", "", L5887-B5887)</f>
        <v/>
      </c>
      <c r="O5887">
        <f>IF(L5887="", "Pending", IF(N5887&lt;=30, "Met", "Breached"))</f>
        <v/>
      </c>
    </row>
    <row r="5888">
      <c r="M5888" s="11">
        <f>B5888+30</f>
        <v/>
      </c>
      <c r="N5888">
        <f>IF(L5888="", "", L5888-B5888)</f>
        <v/>
      </c>
      <c r="O5888">
        <f>IF(L5888="", "Pending", IF(N5888&lt;=30, "Met", "Breached"))</f>
        <v/>
      </c>
    </row>
    <row r="5889">
      <c r="M5889" s="11">
        <f>B5889+30</f>
        <v/>
      </c>
      <c r="N5889">
        <f>IF(L5889="", "", L5889-B5889)</f>
        <v/>
      </c>
      <c r="O5889">
        <f>IF(L5889="", "Pending", IF(N5889&lt;=30, "Met", "Breached"))</f>
        <v/>
      </c>
    </row>
    <row r="5890">
      <c r="M5890" s="11">
        <f>B5890+30</f>
        <v/>
      </c>
      <c r="N5890">
        <f>IF(L5890="", "", L5890-B5890)</f>
        <v/>
      </c>
      <c r="O5890">
        <f>IF(L5890="", "Pending", IF(N5890&lt;=30, "Met", "Breached"))</f>
        <v/>
      </c>
    </row>
    <row r="5891">
      <c r="M5891" s="11">
        <f>B5891+30</f>
        <v/>
      </c>
      <c r="N5891">
        <f>IF(L5891="", "", L5891-B5891)</f>
        <v/>
      </c>
      <c r="O5891">
        <f>IF(L5891="", "Pending", IF(N5891&lt;=30, "Met", "Breached"))</f>
        <v/>
      </c>
    </row>
    <row r="5892">
      <c r="M5892" s="11">
        <f>B5892+30</f>
        <v/>
      </c>
      <c r="N5892">
        <f>IF(L5892="", "", L5892-B5892)</f>
        <v/>
      </c>
      <c r="O5892">
        <f>IF(L5892="", "Pending", IF(N5892&lt;=30, "Met", "Breached"))</f>
        <v/>
      </c>
    </row>
    <row r="5893">
      <c r="M5893" s="11">
        <f>B5893+30</f>
        <v/>
      </c>
      <c r="N5893">
        <f>IF(L5893="", "", L5893-B5893)</f>
        <v/>
      </c>
      <c r="O5893">
        <f>IF(L5893="", "Pending", IF(N5893&lt;=30, "Met", "Breached"))</f>
        <v/>
      </c>
    </row>
    <row r="5894">
      <c r="M5894" s="11">
        <f>B5894+30</f>
        <v/>
      </c>
      <c r="N5894">
        <f>IF(L5894="", "", L5894-B5894)</f>
        <v/>
      </c>
      <c r="O5894">
        <f>IF(L5894="", "Pending", IF(N5894&lt;=30, "Met", "Breached"))</f>
        <v/>
      </c>
    </row>
    <row r="5895">
      <c r="M5895" s="11">
        <f>B5895+30</f>
        <v/>
      </c>
      <c r="N5895">
        <f>IF(L5895="", "", L5895-B5895)</f>
        <v/>
      </c>
      <c r="O5895">
        <f>IF(L5895="", "Pending", IF(N5895&lt;=30, "Met", "Breached"))</f>
        <v/>
      </c>
    </row>
    <row r="5896">
      <c r="M5896" s="11">
        <f>B5896+30</f>
        <v/>
      </c>
      <c r="N5896">
        <f>IF(L5896="", "", L5896-B5896)</f>
        <v/>
      </c>
      <c r="O5896">
        <f>IF(L5896="", "Pending", IF(N5896&lt;=30, "Met", "Breached"))</f>
        <v/>
      </c>
    </row>
    <row r="5897">
      <c r="M5897" s="11">
        <f>B5897+30</f>
        <v/>
      </c>
      <c r="N5897">
        <f>IF(L5897="", "", L5897-B5897)</f>
        <v/>
      </c>
      <c r="O5897">
        <f>IF(L5897="", "Pending", IF(N5897&lt;=30, "Met", "Breached"))</f>
        <v/>
      </c>
    </row>
    <row r="5898">
      <c r="M5898" s="11">
        <f>B5898+30</f>
        <v/>
      </c>
      <c r="N5898">
        <f>IF(L5898="", "", L5898-B5898)</f>
        <v/>
      </c>
      <c r="O5898">
        <f>IF(L5898="", "Pending", IF(N5898&lt;=30, "Met", "Breached"))</f>
        <v/>
      </c>
    </row>
    <row r="5899">
      <c r="M5899" s="11">
        <f>B5899+30</f>
        <v/>
      </c>
      <c r="N5899">
        <f>IF(L5899="", "", L5899-B5899)</f>
        <v/>
      </c>
      <c r="O5899">
        <f>IF(L5899="", "Pending", IF(N5899&lt;=30, "Met", "Breached"))</f>
        <v/>
      </c>
    </row>
    <row r="5900">
      <c r="M5900" s="11">
        <f>B5900+30</f>
        <v/>
      </c>
      <c r="N5900">
        <f>IF(L5900="", "", L5900-B5900)</f>
        <v/>
      </c>
      <c r="O5900">
        <f>IF(L5900="", "Pending", IF(N5900&lt;=30, "Met", "Breached"))</f>
        <v/>
      </c>
    </row>
    <row r="5901">
      <c r="M5901" s="11">
        <f>B5901+30</f>
        <v/>
      </c>
      <c r="N5901">
        <f>IF(L5901="", "", L5901-B5901)</f>
        <v/>
      </c>
      <c r="O5901">
        <f>IF(L5901="", "Pending", IF(N5901&lt;=30, "Met", "Breached"))</f>
        <v/>
      </c>
    </row>
    <row r="5902">
      <c r="M5902" s="11">
        <f>B5902+30</f>
        <v/>
      </c>
      <c r="N5902">
        <f>IF(L5902="", "", L5902-B5902)</f>
        <v/>
      </c>
      <c r="O5902">
        <f>IF(L5902="", "Pending", IF(N5902&lt;=30, "Met", "Breached"))</f>
        <v/>
      </c>
    </row>
    <row r="5903">
      <c r="M5903" s="11">
        <f>B5903+30</f>
        <v/>
      </c>
      <c r="N5903">
        <f>IF(L5903="", "", L5903-B5903)</f>
        <v/>
      </c>
      <c r="O5903">
        <f>IF(L5903="", "Pending", IF(N5903&lt;=30, "Met", "Breached"))</f>
        <v/>
      </c>
    </row>
    <row r="5904">
      <c r="M5904" s="11">
        <f>B5904+30</f>
        <v/>
      </c>
      <c r="N5904">
        <f>IF(L5904="", "", L5904-B5904)</f>
        <v/>
      </c>
      <c r="O5904">
        <f>IF(L5904="", "Pending", IF(N5904&lt;=30, "Met", "Breached"))</f>
        <v/>
      </c>
    </row>
    <row r="5905">
      <c r="M5905" s="11">
        <f>B5905+30</f>
        <v/>
      </c>
      <c r="N5905">
        <f>IF(L5905="", "", L5905-B5905)</f>
        <v/>
      </c>
      <c r="O5905">
        <f>IF(L5905="", "Pending", IF(N5905&lt;=30, "Met", "Breached"))</f>
        <v/>
      </c>
    </row>
    <row r="5906">
      <c r="M5906" s="11">
        <f>B5906+30</f>
        <v/>
      </c>
      <c r="N5906">
        <f>IF(L5906="", "", L5906-B5906)</f>
        <v/>
      </c>
      <c r="O5906">
        <f>IF(L5906="", "Pending", IF(N5906&lt;=30, "Met", "Breached"))</f>
        <v/>
      </c>
    </row>
    <row r="5907">
      <c r="M5907" s="11">
        <f>B5907+30</f>
        <v/>
      </c>
      <c r="N5907">
        <f>IF(L5907="", "", L5907-B5907)</f>
        <v/>
      </c>
      <c r="O5907">
        <f>IF(L5907="", "Pending", IF(N5907&lt;=30, "Met", "Breached"))</f>
        <v/>
      </c>
    </row>
    <row r="5908">
      <c r="M5908" s="11">
        <f>B5908+30</f>
        <v/>
      </c>
      <c r="N5908">
        <f>IF(L5908="", "", L5908-B5908)</f>
        <v/>
      </c>
      <c r="O5908">
        <f>IF(L5908="", "Pending", IF(N5908&lt;=30, "Met", "Breached"))</f>
        <v/>
      </c>
    </row>
    <row r="5909">
      <c r="M5909" s="11">
        <f>B5909+30</f>
        <v/>
      </c>
      <c r="N5909">
        <f>IF(L5909="", "", L5909-B5909)</f>
        <v/>
      </c>
      <c r="O5909">
        <f>IF(L5909="", "Pending", IF(N5909&lt;=30, "Met", "Breached"))</f>
        <v/>
      </c>
    </row>
    <row r="5910">
      <c r="M5910" s="11">
        <f>B5910+30</f>
        <v/>
      </c>
      <c r="N5910">
        <f>IF(L5910="", "", L5910-B5910)</f>
        <v/>
      </c>
      <c r="O5910">
        <f>IF(L5910="", "Pending", IF(N5910&lt;=30, "Met", "Breached"))</f>
        <v/>
      </c>
    </row>
    <row r="5911">
      <c r="M5911" s="11">
        <f>B5911+30</f>
        <v/>
      </c>
      <c r="N5911">
        <f>IF(L5911="", "", L5911-B5911)</f>
        <v/>
      </c>
      <c r="O5911">
        <f>IF(L5911="", "Pending", IF(N5911&lt;=30, "Met", "Breached"))</f>
        <v/>
      </c>
    </row>
    <row r="5912">
      <c r="M5912" s="11">
        <f>B5912+30</f>
        <v/>
      </c>
      <c r="N5912">
        <f>IF(L5912="", "", L5912-B5912)</f>
        <v/>
      </c>
      <c r="O5912">
        <f>IF(L5912="", "Pending", IF(N5912&lt;=30, "Met", "Breached"))</f>
        <v/>
      </c>
    </row>
    <row r="5913">
      <c r="M5913" s="11">
        <f>B5913+30</f>
        <v/>
      </c>
      <c r="N5913">
        <f>IF(L5913="", "", L5913-B5913)</f>
        <v/>
      </c>
      <c r="O5913">
        <f>IF(L5913="", "Pending", IF(N5913&lt;=30, "Met", "Breached"))</f>
        <v/>
      </c>
    </row>
    <row r="5914">
      <c r="M5914" s="11">
        <f>B5914+30</f>
        <v/>
      </c>
      <c r="N5914">
        <f>IF(L5914="", "", L5914-B5914)</f>
        <v/>
      </c>
      <c r="O5914">
        <f>IF(L5914="", "Pending", IF(N5914&lt;=30, "Met", "Breached"))</f>
        <v/>
      </c>
    </row>
    <row r="5915">
      <c r="M5915" s="11">
        <f>B5915+30</f>
        <v/>
      </c>
      <c r="N5915">
        <f>IF(L5915="", "", L5915-B5915)</f>
        <v/>
      </c>
      <c r="O5915">
        <f>IF(L5915="", "Pending", IF(N5915&lt;=30, "Met", "Breached"))</f>
        <v/>
      </c>
    </row>
    <row r="5916">
      <c r="M5916" s="11">
        <f>B5916+30</f>
        <v/>
      </c>
      <c r="N5916">
        <f>IF(L5916="", "", L5916-B5916)</f>
        <v/>
      </c>
      <c r="O5916">
        <f>IF(L5916="", "Pending", IF(N5916&lt;=30, "Met", "Breached"))</f>
        <v/>
      </c>
    </row>
    <row r="5917">
      <c r="M5917" s="11">
        <f>B5917+30</f>
        <v/>
      </c>
      <c r="N5917">
        <f>IF(L5917="", "", L5917-B5917)</f>
        <v/>
      </c>
      <c r="O5917">
        <f>IF(L5917="", "Pending", IF(N5917&lt;=30, "Met", "Breached"))</f>
        <v/>
      </c>
    </row>
    <row r="5918">
      <c r="M5918" s="11">
        <f>B5918+30</f>
        <v/>
      </c>
      <c r="N5918">
        <f>IF(L5918="", "", L5918-B5918)</f>
        <v/>
      </c>
      <c r="O5918">
        <f>IF(L5918="", "Pending", IF(N5918&lt;=30, "Met", "Breached"))</f>
        <v/>
      </c>
    </row>
    <row r="5919">
      <c r="M5919" s="11">
        <f>B5919+30</f>
        <v/>
      </c>
      <c r="N5919">
        <f>IF(L5919="", "", L5919-B5919)</f>
        <v/>
      </c>
      <c r="O5919">
        <f>IF(L5919="", "Pending", IF(N5919&lt;=30, "Met", "Breached"))</f>
        <v/>
      </c>
    </row>
    <row r="5920">
      <c r="M5920" s="11">
        <f>B5920+30</f>
        <v/>
      </c>
      <c r="N5920">
        <f>IF(L5920="", "", L5920-B5920)</f>
        <v/>
      </c>
      <c r="O5920">
        <f>IF(L5920="", "Pending", IF(N5920&lt;=30, "Met", "Breached"))</f>
        <v/>
      </c>
    </row>
    <row r="5921">
      <c r="M5921" s="11">
        <f>B5921+30</f>
        <v/>
      </c>
      <c r="N5921">
        <f>IF(L5921="", "", L5921-B5921)</f>
        <v/>
      </c>
      <c r="O5921">
        <f>IF(L5921="", "Pending", IF(N5921&lt;=30, "Met", "Breached"))</f>
        <v/>
      </c>
    </row>
    <row r="5922">
      <c r="M5922" s="11">
        <f>B5922+30</f>
        <v/>
      </c>
      <c r="N5922">
        <f>IF(L5922="", "", L5922-B5922)</f>
        <v/>
      </c>
      <c r="O5922">
        <f>IF(L5922="", "Pending", IF(N5922&lt;=30, "Met", "Breached"))</f>
        <v/>
      </c>
    </row>
    <row r="5923">
      <c r="M5923" s="11">
        <f>B5923+30</f>
        <v/>
      </c>
      <c r="N5923">
        <f>IF(L5923="", "", L5923-B5923)</f>
        <v/>
      </c>
      <c r="O5923">
        <f>IF(L5923="", "Pending", IF(N5923&lt;=30, "Met", "Breached"))</f>
        <v/>
      </c>
    </row>
    <row r="5924">
      <c r="M5924" s="11">
        <f>B5924+30</f>
        <v/>
      </c>
      <c r="N5924">
        <f>IF(L5924="", "", L5924-B5924)</f>
        <v/>
      </c>
      <c r="O5924">
        <f>IF(L5924="", "Pending", IF(N5924&lt;=30, "Met", "Breached"))</f>
        <v/>
      </c>
    </row>
    <row r="5925">
      <c r="M5925" s="11">
        <f>B5925+30</f>
        <v/>
      </c>
      <c r="N5925">
        <f>IF(L5925="", "", L5925-B5925)</f>
        <v/>
      </c>
      <c r="O5925">
        <f>IF(L5925="", "Pending", IF(N5925&lt;=30, "Met", "Breached"))</f>
        <v/>
      </c>
    </row>
    <row r="5926">
      <c r="M5926" s="11">
        <f>B5926+30</f>
        <v/>
      </c>
      <c r="N5926">
        <f>IF(L5926="", "", L5926-B5926)</f>
        <v/>
      </c>
      <c r="O5926">
        <f>IF(L5926="", "Pending", IF(N5926&lt;=30, "Met", "Breached"))</f>
        <v/>
      </c>
    </row>
    <row r="5927">
      <c r="M5927" s="11">
        <f>B5927+30</f>
        <v/>
      </c>
      <c r="N5927">
        <f>IF(L5927="", "", L5927-B5927)</f>
        <v/>
      </c>
      <c r="O5927">
        <f>IF(L5927="", "Pending", IF(N5927&lt;=30, "Met", "Breached"))</f>
        <v/>
      </c>
    </row>
    <row r="5928">
      <c r="M5928" s="11">
        <f>B5928+30</f>
        <v/>
      </c>
      <c r="N5928">
        <f>IF(L5928="", "", L5928-B5928)</f>
        <v/>
      </c>
      <c r="O5928">
        <f>IF(L5928="", "Pending", IF(N5928&lt;=30, "Met", "Breached"))</f>
        <v/>
      </c>
    </row>
    <row r="5929">
      <c r="M5929" s="11">
        <f>B5929+30</f>
        <v/>
      </c>
      <c r="N5929">
        <f>IF(L5929="", "", L5929-B5929)</f>
        <v/>
      </c>
      <c r="O5929">
        <f>IF(L5929="", "Pending", IF(N5929&lt;=30, "Met", "Breached"))</f>
        <v/>
      </c>
    </row>
    <row r="5930">
      <c r="M5930" s="11">
        <f>B5930+30</f>
        <v/>
      </c>
      <c r="N5930">
        <f>IF(L5930="", "", L5930-B5930)</f>
        <v/>
      </c>
      <c r="O5930">
        <f>IF(L5930="", "Pending", IF(N5930&lt;=30, "Met", "Breached"))</f>
        <v/>
      </c>
    </row>
    <row r="5931">
      <c r="M5931" s="11">
        <f>B5931+30</f>
        <v/>
      </c>
      <c r="N5931">
        <f>IF(L5931="", "", L5931-B5931)</f>
        <v/>
      </c>
      <c r="O5931">
        <f>IF(L5931="", "Pending", IF(N5931&lt;=30, "Met", "Breached"))</f>
        <v/>
      </c>
    </row>
    <row r="5932">
      <c r="M5932" s="11">
        <f>B5932+30</f>
        <v/>
      </c>
      <c r="N5932">
        <f>IF(L5932="", "", L5932-B5932)</f>
        <v/>
      </c>
      <c r="O5932">
        <f>IF(L5932="", "Pending", IF(N5932&lt;=30, "Met", "Breached"))</f>
        <v/>
      </c>
    </row>
    <row r="5933">
      <c r="M5933" s="11">
        <f>B5933+30</f>
        <v/>
      </c>
      <c r="N5933">
        <f>IF(L5933="", "", L5933-B5933)</f>
        <v/>
      </c>
      <c r="O5933">
        <f>IF(L5933="", "Pending", IF(N5933&lt;=30, "Met", "Breached"))</f>
        <v/>
      </c>
    </row>
    <row r="5934">
      <c r="M5934" s="11">
        <f>B5934+30</f>
        <v/>
      </c>
      <c r="N5934">
        <f>IF(L5934="", "", L5934-B5934)</f>
        <v/>
      </c>
      <c r="O5934">
        <f>IF(L5934="", "Pending", IF(N5934&lt;=30, "Met", "Breached"))</f>
        <v/>
      </c>
    </row>
    <row r="5935">
      <c r="M5935" s="11">
        <f>B5935+30</f>
        <v/>
      </c>
      <c r="N5935">
        <f>IF(L5935="", "", L5935-B5935)</f>
        <v/>
      </c>
      <c r="O5935">
        <f>IF(L5935="", "Pending", IF(N5935&lt;=30, "Met", "Breached"))</f>
        <v/>
      </c>
    </row>
    <row r="5936">
      <c r="M5936" s="11">
        <f>B5936+30</f>
        <v/>
      </c>
      <c r="N5936">
        <f>IF(L5936="", "", L5936-B5936)</f>
        <v/>
      </c>
      <c r="O5936">
        <f>IF(L5936="", "Pending", IF(N5936&lt;=30, "Met", "Breached"))</f>
        <v/>
      </c>
    </row>
    <row r="5937">
      <c r="M5937" s="11">
        <f>B5937+30</f>
        <v/>
      </c>
      <c r="N5937">
        <f>IF(L5937="", "", L5937-B5937)</f>
        <v/>
      </c>
      <c r="O5937">
        <f>IF(L5937="", "Pending", IF(N5937&lt;=30, "Met", "Breached"))</f>
        <v/>
      </c>
    </row>
    <row r="5938">
      <c r="M5938" s="11">
        <f>B5938+30</f>
        <v/>
      </c>
      <c r="N5938">
        <f>IF(L5938="", "", L5938-B5938)</f>
        <v/>
      </c>
      <c r="O5938">
        <f>IF(L5938="", "Pending", IF(N5938&lt;=30, "Met", "Breached"))</f>
        <v/>
      </c>
    </row>
    <row r="5939">
      <c r="M5939" s="11">
        <f>B5939+30</f>
        <v/>
      </c>
      <c r="N5939">
        <f>IF(L5939="", "", L5939-B5939)</f>
        <v/>
      </c>
      <c r="O5939">
        <f>IF(L5939="", "Pending", IF(N5939&lt;=30, "Met", "Breached"))</f>
        <v/>
      </c>
    </row>
    <row r="5940">
      <c r="M5940" s="11">
        <f>B5940+30</f>
        <v/>
      </c>
      <c r="N5940">
        <f>IF(L5940="", "", L5940-B5940)</f>
        <v/>
      </c>
      <c r="O5940">
        <f>IF(L5940="", "Pending", IF(N5940&lt;=30, "Met", "Breached"))</f>
        <v/>
      </c>
    </row>
    <row r="5941">
      <c r="M5941" s="11">
        <f>B5941+30</f>
        <v/>
      </c>
      <c r="N5941">
        <f>IF(L5941="", "", L5941-B5941)</f>
        <v/>
      </c>
      <c r="O5941">
        <f>IF(L5941="", "Pending", IF(N5941&lt;=30, "Met", "Breached"))</f>
        <v/>
      </c>
    </row>
    <row r="5942">
      <c r="M5942" s="11">
        <f>B5942+30</f>
        <v/>
      </c>
      <c r="N5942">
        <f>IF(L5942="", "", L5942-B5942)</f>
        <v/>
      </c>
      <c r="O5942">
        <f>IF(L5942="", "Pending", IF(N5942&lt;=30, "Met", "Breached"))</f>
        <v/>
      </c>
    </row>
    <row r="5943">
      <c r="M5943" s="11">
        <f>B5943+30</f>
        <v/>
      </c>
      <c r="N5943">
        <f>IF(L5943="", "", L5943-B5943)</f>
        <v/>
      </c>
      <c r="O5943">
        <f>IF(L5943="", "Pending", IF(N5943&lt;=30, "Met", "Breached"))</f>
        <v/>
      </c>
    </row>
    <row r="5944">
      <c r="M5944" s="11">
        <f>B5944+30</f>
        <v/>
      </c>
      <c r="N5944">
        <f>IF(L5944="", "", L5944-B5944)</f>
        <v/>
      </c>
      <c r="O5944">
        <f>IF(L5944="", "Pending", IF(N5944&lt;=30, "Met", "Breached"))</f>
        <v/>
      </c>
    </row>
    <row r="5945">
      <c r="M5945" s="11">
        <f>B5945+30</f>
        <v/>
      </c>
      <c r="N5945">
        <f>IF(L5945="", "", L5945-B5945)</f>
        <v/>
      </c>
      <c r="O5945">
        <f>IF(L5945="", "Pending", IF(N5945&lt;=30, "Met", "Breached"))</f>
        <v/>
      </c>
    </row>
    <row r="5946">
      <c r="M5946" s="11">
        <f>B5946+30</f>
        <v/>
      </c>
      <c r="N5946">
        <f>IF(L5946="", "", L5946-B5946)</f>
        <v/>
      </c>
      <c r="O5946">
        <f>IF(L5946="", "Pending", IF(N5946&lt;=30, "Met", "Breached"))</f>
        <v/>
      </c>
    </row>
    <row r="5947">
      <c r="M5947" s="11">
        <f>B5947+30</f>
        <v/>
      </c>
      <c r="N5947">
        <f>IF(L5947="", "", L5947-B5947)</f>
        <v/>
      </c>
      <c r="O5947">
        <f>IF(L5947="", "Pending", IF(N5947&lt;=30, "Met", "Breached"))</f>
        <v/>
      </c>
    </row>
    <row r="5948">
      <c r="M5948" s="11">
        <f>B5948+30</f>
        <v/>
      </c>
      <c r="N5948">
        <f>IF(L5948="", "", L5948-B5948)</f>
        <v/>
      </c>
      <c r="O5948">
        <f>IF(L5948="", "Pending", IF(N5948&lt;=30, "Met", "Breached"))</f>
        <v/>
      </c>
    </row>
    <row r="5949">
      <c r="M5949" s="11">
        <f>B5949+30</f>
        <v/>
      </c>
      <c r="N5949">
        <f>IF(L5949="", "", L5949-B5949)</f>
        <v/>
      </c>
      <c r="O5949">
        <f>IF(L5949="", "Pending", IF(N5949&lt;=30, "Met", "Breached"))</f>
        <v/>
      </c>
    </row>
    <row r="5950">
      <c r="M5950" s="11">
        <f>B5950+30</f>
        <v/>
      </c>
      <c r="N5950">
        <f>IF(L5950="", "", L5950-B5950)</f>
        <v/>
      </c>
      <c r="O5950">
        <f>IF(L5950="", "Pending", IF(N5950&lt;=30, "Met", "Breached"))</f>
        <v/>
      </c>
    </row>
    <row r="5951">
      <c r="M5951" s="11">
        <f>B5951+30</f>
        <v/>
      </c>
      <c r="N5951">
        <f>IF(L5951="", "", L5951-B5951)</f>
        <v/>
      </c>
      <c r="O5951">
        <f>IF(L5951="", "Pending", IF(N5951&lt;=30, "Met", "Breached"))</f>
        <v/>
      </c>
    </row>
    <row r="5952">
      <c r="M5952" s="11">
        <f>B5952+30</f>
        <v/>
      </c>
      <c r="N5952">
        <f>IF(L5952="", "", L5952-B5952)</f>
        <v/>
      </c>
      <c r="O5952">
        <f>IF(L5952="", "Pending", IF(N5952&lt;=30, "Met", "Breached"))</f>
        <v/>
      </c>
    </row>
    <row r="5953">
      <c r="M5953" s="11">
        <f>B5953+30</f>
        <v/>
      </c>
      <c r="N5953">
        <f>IF(L5953="", "", L5953-B5953)</f>
        <v/>
      </c>
      <c r="O5953">
        <f>IF(L5953="", "Pending", IF(N5953&lt;=30, "Met", "Breached"))</f>
        <v/>
      </c>
    </row>
    <row r="5954">
      <c r="M5954" s="11">
        <f>B5954+30</f>
        <v/>
      </c>
      <c r="N5954">
        <f>IF(L5954="", "", L5954-B5954)</f>
        <v/>
      </c>
      <c r="O5954">
        <f>IF(L5954="", "Pending", IF(N5954&lt;=30, "Met", "Breached"))</f>
        <v/>
      </c>
    </row>
    <row r="5955">
      <c r="M5955" s="11">
        <f>B5955+30</f>
        <v/>
      </c>
      <c r="N5955">
        <f>IF(L5955="", "", L5955-B5955)</f>
        <v/>
      </c>
      <c r="O5955">
        <f>IF(L5955="", "Pending", IF(N5955&lt;=30, "Met", "Breached"))</f>
        <v/>
      </c>
    </row>
    <row r="5956">
      <c r="M5956" s="11">
        <f>B5956+30</f>
        <v/>
      </c>
      <c r="N5956">
        <f>IF(L5956="", "", L5956-B5956)</f>
        <v/>
      </c>
      <c r="O5956">
        <f>IF(L5956="", "Pending", IF(N5956&lt;=30, "Met", "Breached"))</f>
        <v/>
      </c>
    </row>
    <row r="5957">
      <c r="M5957" s="11">
        <f>B5957+30</f>
        <v/>
      </c>
      <c r="N5957">
        <f>IF(L5957="", "", L5957-B5957)</f>
        <v/>
      </c>
      <c r="O5957">
        <f>IF(L5957="", "Pending", IF(N5957&lt;=30, "Met", "Breached"))</f>
        <v/>
      </c>
    </row>
    <row r="5958">
      <c r="M5958" s="11">
        <f>B5958+30</f>
        <v/>
      </c>
      <c r="N5958">
        <f>IF(L5958="", "", L5958-B5958)</f>
        <v/>
      </c>
      <c r="O5958">
        <f>IF(L5958="", "Pending", IF(N5958&lt;=30, "Met", "Breached"))</f>
        <v/>
      </c>
    </row>
    <row r="5959">
      <c r="M5959" s="11">
        <f>B5959+30</f>
        <v/>
      </c>
      <c r="N5959">
        <f>IF(L5959="", "", L5959-B5959)</f>
        <v/>
      </c>
      <c r="O5959">
        <f>IF(L5959="", "Pending", IF(N5959&lt;=30, "Met", "Breached"))</f>
        <v/>
      </c>
    </row>
    <row r="5960">
      <c r="M5960" s="11">
        <f>B5960+30</f>
        <v/>
      </c>
      <c r="N5960">
        <f>IF(L5960="", "", L5960-B5960)</f>
        <v/>
      </c>
      <c r="O5960">
        <f>IF(L5960="", "Pending", IF(N5960&lt;=30, "Met", "Breached"))</f>
        <v/>
      </c>
    </row>
    <row r="5961">
      <c r="M5961" s="11">
        <f>B5961+30</f>
        <v/>
      </c>
      <c r="N5961">
        <f>IF(L5961="", "", L5961-B5961)</f>
        <v/>
      </c>
      <c r="O5961">
        <f>IF(L5961="", "Pending", IF(N5961&lt;=30, "Met", "Breached"))</f>
        <v/>
      </c>
    </row>
    <row r="5962">
      <c r="M5962" s="11">
        <f>B5962+30</f>
        <v/>
      </c>
      <c r="N5962">
        <f>IF(L5962="", "", L5962-B5962)</f>
        <v/>
      </c>
      <c r="O5962">
        <f>IF(L5962="", "Pending", IF(N5962&lt;=30, "Met", "Breached"))</f>
        <v/>
      </c>
    </row>
    <row r="5963">
      <c r="M5963" s="11">
        <f>B5963+30</f>
        <v/>
      </c>
      <c r="N5963">
        <f>IF(L5963="", "", L5963-B5963)</f>
        <v/>
      </c>
      <c r="O5963">
        <f>IF(L5963="", "Pending", IF(N5963&lt;=30, "Met", "Breached"))</f>
        <v/>
      </c>
    </row>
    <row r="5964">
      <c r="M5964" s="11">
        <f>B5964+30</f>
        <v/>
      </c>
      <c r="N5964">
        <f>IF(L5964="", "", L5964-B5964)</f>
        <v/>
      </c>
      <c r="O5964">
        <f>IF(L5964="", "Pending", IF(N5964&lt;=30, "Met", "Breached"))</f>
        <v/>
      </c>
    </row>
    <row r="5965">
      <c r="M5965" s="11">
        <f>B5965+30</f>
        <v/>
      </c>
      <c r="N5965">
        <f>IF(L5965="", "", L5965-B5965)</f>
        <v/>
      </c>
      <c r="O5965">
        <f>IF(L5965="", "Pending", IF(N5965&lt;=30, "Met", "Breached"))</f>
        <v/>
      </c>
    </row>
    <row r="5966">
      <c r="M5966" s="11">
        <f>B5966+30</f>
        <v/>
      </c>
      <c r="N5966">
        <f>IF(L5966="", "", L5966-B5966)</f>
        <v/>
      </c>
      <c r="O5966">
        <f>IF(L5966="", "Pending", IF(N5966&lt;=30, "Met", "Breached"))</f>
        <v/>
      </c>
    </row>
    <row r="5967">
      <c r="M5967" s="11">
        <f>B5967+30</f>
        <v/>
      </c>
      <c r="N5967">
        <f>IF(L5967="", "", L5967-B5967)</f>
        <v/>
      </c>
      <c r="O5967">
        <f>IF(L5967="", "Pending", IF(N5967&lt;=30, "Met", "Breached"))</f>
        <v/>
      </c>
    </row>
    <row r="5968">
      <c r="M5968" s="11">
        <f>B5968+30</f>
        <v/>
      </c>
      <c r="N5968">
        <f>IF(L5968="", "", L5968-B5968)</f>
        <v/>
      </c>
      <c r="O5968">
        <f>IF(L5968="", "Pending", IF(N5968&lt;=30, "Met", "Breached"))</f>
        <v/>
      </c>
    </row>
    <row r="5969">
      <c r="M5969" s="11">
        <f>B5969+30</f>
        <v/>
      </c>
      <c r="N5969">
        <f>IF(L5969="", "", L5969-B5969)</f>
        <v/>
      </c>
      <c r="O5969">
        <f>IF(L5969="", "Pending", IF(N5969&lt;=30, "Met", "Breached"))</f>
        <v/>
      </c>
    </row>
    <row r="5970">
      <c r="M5970" s="11">
        <f>B5970+30</f>
        <v/>
      </c>
      <c r="N5970">
        <f>IF(L5970="", "", L5970-B5970)</f>
        <v/>
      </c>
      <c r="O5970">
        <f>IF(L5970="", "Pending", IF(N5970&lt;=30, "Met", "Breached"))</f>
        <v/>
      </c>
    </row>
    <row r="5971">
      <c r="M5971" s="11">
        <f>B5971+30</f>
        <v/>
      </c>
      <c r="N5971">
        <f>IF(L5971="", "", L5971-B5971)</f>
        <v/>
      </c>
      <c r="O5971">
        <f>IF(L5971="", "Pending", IF(N5971&lt;=30, "Met", "Breached"))</f>
        <v/>
      </c>
    </row>
    <row r="5972">
      <c r="M5972" s="11">
        <f>B5972+30</f>
        <v/>
      </c>
      <c r="N5972">
        <f>IF(L5972="", "", L5972-B5972)</f>
        <v/>
      </c>
      <c r="O5972">
        <f>IF(L5972="", "Pending", IF(N5972&lt;=30, "Met", "Breached"))</f>
        <v/>
      </c>
    </row>
    <row r="5973">
      <c r="M5973" s="11">
        <f>B5973+30</f>
        <v/>
      </c>
      <c r="N5973">
        <f>IF(L5973="", "", L5973-B5973)</f>
        <v/>
      </c>
      <c r="O5973">
        <f>IF(L5973="", "Pending", IF(N5973&lt;=30, "Met", "Breached"))</f>
        <v/>
      </c>
    </row>
    <row r="5974">
      <c r="M5974" s="11">
        <f>B5974+30</f>
        <v/>
      </c>
      <c r="N5974">
        <f>IF(L5974="", "", L5974-B5974)</f>
        <v/>
      </c>
      <c r="O5974">
        <f>IF(L5974="", "Pending", IF(N5974&lt;=30, "Met", "Breached"))</f>
        <v/>
      </c>
    </row>
    <row r="5975">
      <c r="M5975" s="11">
        <f>B5975+30</f>
        <v/>
      </c>
      <c r="N5975">
        <f>IF(L5975="", "", L5975-B5975)</f>
        <v/>
      </c>
      <c r="O5975">
        <f>IF(L5975="", "Pending", IF(N5975&lt;=30, "Met", "Breached"))</f>
        <v/>
      </c>
    </row>
    <row r="5976">
      <c r="M5976" s="11">
        <f>B5976+30</f>
        <v/>
      </c>
      <c r="N5976">
        <f>IF(L5976="", "", L5976-B5976)</f>
        <v/>
      </c>
      <c r="O5976">
        <f>IF(L5976="", "Pending", IF(N5976&lt;=30, "Met", "Breached"))</f>
        <v/>
      </c>
    </row>
    <row r="5977">
      <c r="M5977" s="11">
        <f>B5977+30</f>
        <v/>
      </c>
      <c r="N5977">
        <f>IF(L5977="", "", L5977-B5977)</f>
        <v/>
      </c>
      <c r="O5977">
        <f>IF(L5977="", "Pending", IF(N5977&lt;=30, "Met", "Breached"))</f>
        <v/>
      </c>
    </row>
    <row r="5978">
      <c r="M5978" s="11">
        <f>B5978+30</f>
        <v/>
      </c>
      <c r="N5978">
        <f>IF(L5978="", "", L5978-B5978)</f>
        <v/>
      </c>
      <c r="O5978">
        <f>IF(L5978="", "Pending", IF(N5978&lt;=30, "Met", "Breached"))</f>
        <v/>
      </c>
    </row>
    <row r="5979">
      <c r="M5979" s="11">
        <f>B5979+30</f>
        <v/>
      </c>
      <c r="N5979">
        <f>IF(L5979="", "", L5979-B5979)</f>
        <v/>
      </c>
      <c r="O5979">
        <f>IF(L5979="", "Pending", IF(N5979&lt;=30, "Met", "Breached"))</f>
        <v/>
      </c>
    </row>
    <row r="5980">
      <c r="M5980" s="11">
        <f>B5980+30</f>
        <v/>
      </c>
      <c r="N5980">
        <f>IF(L5980="", "", L5980-B5980)</f>
        <v/>
      </c>
      <c r="O5980">
        <f>IF(L5980="", "Pending", IF(N5980&lt;=30, "Met", "Breached"))</f>
        <v/>
      </c>
    </row>
    <row r="5981">
      <c r="M5981" s="11">
        <f>B5981+30</f>
        <v/>
      </c>
      <c r="N5981">
        <f>IF(L5981="", "", L5981-B5981)</f>
        <v/>
      </c>
      <c r="O5981">
        <f>IF(L5981="", "Pending", IF(N5981&lt;=30, "Met", "Breached"))</f>
        <v/>
      </c>
    </row>
    <row r="5982">
      <c r="M5982" s="11">
        <f>B5982+30</f>
        <v/>
      </c>
      <c r="N5982">
        <f>IF(L5982="", "", L5982-B5982)</f>
        <v/>
      </c>
      <c r="O5982">
        <f>IF(L5982="", "Pending", IF(N5982&lt;=30, "Met", "Breached"))</f>
        <v/>
      </c>
    </row>
    <row r="5983">
      <c r="M5983" s="11">
        <f>B5983+30</f>
        <v/>
      </c>
      <c r="N5983">
        <f>IF(L5983="", "", L5983-B5983)</f>
        <v/>
      </c>
      <c r="O5983">
        <f>IF(L5983="", "Pending", IF(N5983&lt;=30, "Met", "Breached"))</f>
        <v/>
      </c>
    </row>
    <row r="5984">
      <c r="M5984" s="11">
        <f>B5984+30</f>
        <v/>
      </c>
      <c r="N5984">
        <f>IF(L5984="", "", L5984-B5984)</f>
        <v/>
      </c>
      <c r="O5984">
        <f>IF(L5984="", "Pending", IF(N5984&lt;=30, "Met", "Breached"))</f>
        <v/>
      </c>
    </row>
    <row r="5985">
      <c r="M5985" s="11">
        <f>B5985+30</f>
        <v/>
      </c>
      <c r="N5985">
        <f>IF(L5985="", "", L5985-B5985)</f>
        <v/>
      </c>
      <c r="O5985">
        <f>IF(L5985="", "Pending", IF(N5985&lt;=30, "Met", "Breached"))</f>
        <v/>
      </c>
    </row>
    <row r="5986">
      <c r="M5986" s="11">
        <f>B5986+30</f>
        <v/>
      </c>
      <c r="N5986">
        <f>IF(L5986="", "", L5986-B5986)</f>
        <v/>
      </c>
      <c r="O5986">
        <f>IF(L5986="", "Pending", IF(N5986&lt;=30, "Met", "Breached"))</f>
        <v/>
      </c>
    </row>
    <row r="5987">
      <c r="M5987" s="11">
        <f>B5987+30</f>
        <v/>
      </c>
      <c r="N5987">
        <f>IF(L5987="", "", L5987-B5987)</f>
        <v/>
      </c>
      <c r="O5987">
        <f>IF(L5987="", "Pending", IF(N5987&lt;=30, "Met", "Breached"))</f>
        <v/>
      </c>
    </row>
    <row r="5988">
      <c r="M5988" s="11">
        <f>B5988+30</f>
        <v/>
      </c>
      <c r="N5988">
        <f>IF(L5988="", "", L5988-B5988)</f>
        <v/>
      </c>
      <c r="O5988">
        <f>IF(L5988="", "Pending", IF(N5988&lt;=30, "Met", "Breached"))</f>
        <v/>
      </c>
    </row>
    <row r="5989">
      <c r="M5989" s="11">
        <f>B5989+30</f>
        <v/>
      </c>
      <c r="N5989">
        <f>IF(L5989="", "", L5989-B5989)</f>
        <v/>
      </c>
      <c r="O5989">
        <f>IF(L5989="", "Pending", IF(N5989&lt;=30, "Met", "Breached"))</f>
        <v/>
      </c>
    </row>
    <row r="5990">
      <c r="M5990" s="11">
        <f>B5990+30</f>
        <v/>
      </c>
      <c r="N5990">
        <f>IF(L5990="", "", L5990-B5990)</f>
        <v/>
      </c>
      <c r="O5990">
        <f>IF(L5990="", "Pending", IF(N5990&lt;=30, "Met", "Breached"))</f>
        <v/>
      </c>
    </row>
    <row r="5991">
      <c r="M5991" s="11">
        <f>B5991+30</f>
        <v/>
      </c>
      <c r="N5991">
        <f>IF(L5991="", "", L5991-B5991)</f>
        <v/>
      </c>
      <c r="O5991">
        <f>IF(L5991="", "Pending", IF(N5991&lt;=30, "Met", "Breached"))</f>
        <v/>
      </c>
    </row>
    <row r="5992">
      <c r="M5992" s="11">
        <f>B5992+30</f>
        <v/>
      </c>
      <c r="N5992">
        <f>IF(L5992="", "", L5992-B5992)</f>
        <v/>
      </c>
      <c r="O5992">
        <f>IF(L5992="", "Pending", IF(N5992&lt;=30, "Met", "Breached"))</f>
        <v/>
      </c>
    </row>
    <row r="5993">
      <c r="M5993" s="11">
        <f>B5993+30</f>
        <v/>
      </c>
      <c r="N5993">
        <f>IF(L5993="", "", L5993-B5993)</f>
        <v/>
      </c>
      <c r="O5993">
        <f>IF(L5993="", "Pending", IF(N5993&lt;=30, "Met", "Breached"))</f>
        <v/>
      </c>
    </row>
    <row r="5994">
      <c r="M5994" s="11">
        <f>B5994+30</f>
        <v/>
      </c>
      <c r="N5994">
        <f>IF(L5994="", "", L5994-B5994)</f>
        <v/>
      </c>
      <c r="O5994">
        <f>IF(L5994="", "Pending", IF(N5994&lt;=30, "Met", "Breached"))</f>
        <v/>
      </c>
    </row>
    <row r="5995">
      <c r="M5995" s="11">
        <f>B5995+30</f>
        <v/>
      </c>
      <c r="N5995">
        <f>IF(L5995="", "", L5995-B5995)</f>
        <v/>
      </c>
      <c r="O5995">
        <f>IF(L5995="", "Pending", IF(N5995&lt;=30, "Met", "Breached"))</f>
        <v/>
      </c>
    </row>
    <row r="5996">
      <c r="M5996" s="11">
        <f>B5996+30</f>
        <v/>
      </c>
      <c r="N5996">
        <f>IF(L5996="", "", L5996-B5996)</f>
        <v/>
      </c>
      <c r="O5996">
        <f>IF(L5996="", "Pending", IF(N5996&lt;=30, "Met", "Breached"))</f>
        <v/>
      </c>
    </row>
    <row r="5997">
      <c r="M5997" s="11">
        <f>B5997+30</f>
        <v/>
      </c>
      <c r="N5997">
        <f>IF(L5997="", "", L5997-B5997)</f>
        <v/>
      </c>
      <c r="O5997">
        <f>IF(L5997="", "Pending", IF(N5997&lt;=30, "Met", "Breached"))</f>
        <v/>
      </c>
    </row>
    <row r="5998">
      <c r="M5998" s="11">
        <f>B5998+30</f>
        <v/>
      </c>
      <c r="N5998">
        <f>IF(L5998="", "", L5998-B5998)</f>
        <v/>
      </c>
      <c r="O5998">
        <f>IF(L5998="", "Pending", IF(N5998&lt;=30, "Met", "Breached"))</f>
        <v/>
      </c>
    </row>
    <row r="5999">
      <c r="M5999" s="11">
        <f>B5999+30</f>
        <v/>
      </c>
      <c r="N5999">
        <f>IF(L5999="", "", L5999-B5999)</f>
        <v/>
      </c>
      <c r="O5999">
        <f>IF(L5999="", "Pending", IF(N5999&lt;=30, "Met", "Breached"))</f>
        <v/>
      </c>
    </row>
    <row r="6000">
      <c r="M6000" s="11">
        <f>B6000+30</f>
        <v/>
      </c>
      <c r="N6000">
        <f>IF(L6000="", "", L6000-B6000)</f>
        <v/>
      </c>
      <c r="O6000">
        <f>IF(L6000="", "Pending", IF(N6000&lt;=30, "Met", "Breached"))</f>
        <v/>
      </c>
    </row>
    <row r="6001">
      <c r="M6001" s="11">
        <f>B6001+30</f>
        <v/>
      </c>
      <c r="N6001">
        <f>IF(L6001="", "", L6001-B6001)</f>
        <v/>
      </c>
      <c r="O6001">
        <f>IF(L6001="", "Pending", IF(N6001&lt;=30, "Met", "Breached"))</f>
        <v/>
      </c>
    </row>
    <row r="6002">
      <c r="M6002" s="11">
        <f>B6002+30</f>
        <v/>
      </c>
      <c r="N6002">
        <f>IF(L6002="", "", L6002-B6002)</f>
        <v/>
      </c>
      <c r="O6002">
        <f>IF(L6002="", "Pending", IF(N6002&lt;=30, "Met", "Breached"))</f>
        <v/>
      </c>
    </row>
    <row r="6003">
      <c r="M6003" s="11">
        <f>B6003+30</f>
        <v/>
      </c>
      <c r="N6003">
        <f>IF(L6003="", "", L6003-B6003)</f>
        <v/>
      </c>
      <c r="O6003">
        <f>IF(L6003="", "Pending", IF(N6003&lt;=30, "Met", "Breached"))</f>
        <v/>
      </c>
    </row>
    <row r="6004">
      <c r="M6004" s="11">
        <f>B6004+30</f>
        <v/>
      </c>
      <c r="N6004">
        <f>IF(L6004="", "", L6004-B6004)</f>
        <v/>
      </c>
      <c r="O6004">
        <f>IF(L6004="", "Pending", IF(N6004&lt;=30, "Met", "Breached"))</f>
        <v/>
      </c>
    </row>
    <row r="6005">
      <c r="M6005" s="11">
        <f>B6005+30</f>
        <v/>
      </c>
      <c r="N6005">
        <f>IF(L6005="", "", L6005-B6005)</f>
        <v/>
      </c>
      <c r="O6005">
        <f>IF(L6005="", "Pending", IF(N6005&lt;=30, "Met", "Breached"))</f>
        <v/>
      </c>
    </row>
    <row r="6006">
      <c r="M6006" s="11">
        <f>B6006+30</f>
        <v/>
      </c>
      <c r="N6006">
        <f>IF(L6006="", "", L6006-B6006)</f>
        <v/>
      </c>
      <c r="O6006">
        <f>IF(L6006="", "Pending", IF(N6006&lt;=30, "Met", "Breached"))</f>
        <v/>
      </c>
    </row>
    <row r="6007">
      <c r="M6007" s="11">
        <f>B6007+30</f>
        <v/>
      </c>
      <c r="N6007">
        <f>IF(L6007="", "", L6007-B6007)</f>
        <v/>
      </c>
      <c r="O6007">
        <f>IF(L6007="", "Pending", IF(N6007&lt;=30, "Met", "Breached"))</f>
        <v/>
      </c>
    </row>
    <row r="6008">
      <c r="M6008" s="11">
        <f>B6008+30</f>
        <v/>
      </c>
      <c r="N6008">
        <f>IF(L6008="", "", L6008-B6008)</f>
        <v/>
      </c>
      <c r="O6008">
        <f>IF(L6008="", "Pending", IF(N6008&lt;=30, "Met", "Breached"))</f>
        <v/>
      </c>
    </row>
    <row r="6009">
      <c r="M6009" s="11">
        <f>B6009+30</f>
        <v/>
      </c>
      <c r="N6009">
        <f>IF(L6009="", "", L6009-B6009)</f>
        <v/>
      </c>
      <c r="O6009">
        <f>IF(L6009="", "Pending", IF(N6009&lt;=30, "Met", "Breached"))</f>
        <v/>
      </c>
    </row>
    <row r="6010">
      <c r="M6010" s="11">
        <f>B6010+30</f>
        <v/>
      </c>
      <c r="N6010">
        <f>IF(L6010="", "", L6010-B6010)</f>
        <v/>
      </c>
      <c r="O6010">
        <f>IF(L6010="", "Pending", IF(N6010&lt;=30, "Met", "Breached"))</f>
        <v/>
      </c>
    </row>
    <row r="6011">
      <c r="M6011" s="11">
        <f>B6011+30</f>
        <v/>
      </c>
      <c r="N6011">
        <f>IF(L6011="", "", L6011-B6011)</f>
        <v/>
      </c>
      <c r="O6011">
        <f>IF(L6011="", "Pending", IF(N6011&lt;=30, "Met", "Breached"))</f>
        <v/>
      </c>
    </row>
    <row r="6012">
      <c r="M6012" s="11">
        <f>B6012+30</f>
        <v/>
      </c>
      <c r="N6012">
        <f>IF(L6012="", "", L6012-B6012)</f>
        <v/>
      </c>
      <c r="O6012">
        <f>IF(L6012="", "Pending", IF(N6012&lt;=30, "Met", "Breached"))</f>
        <v/>
      </c>
    </row>
    <row r="6013">
      <c r="M6013" s="11">
        <f>B6013+30</f>
        <v/>
      </c>
      <c r="N6013">
        <f>IF(L6013="", "", L6013-B6013)</f>
        <v/>
      </c>
      <c r="O6013">
        <f>IF(L6013="", "Pending", IF(N6013&lt;=30, "Met", "Breached"))</f>
        <v/>
      </c>
    </row>
    <row r="6014">
      <c r="M6014" s="11">
        <f>B6014+30</f>
        <v/>
      </c>
      <c r="N6014">
        <f>IF(L6014="", "", L6014-B6014)</f>
        <v/>
      </c>
      <c r="O6014">
        <f>IF(L6014="", "Pending", IF(N6014&lt;=30, "Met", "Breached"))</f>
        <v/>
      </c>
    </row>
    <row r="6015">
      <c r="M6015" s="11">
        <f>B6015+30</f>
        <v/>
      </c>
      <c r="N6015">
        <f>IF(L6015="", "", L6015-B6015)</f>
        <v/>
      </c>
      <c r="O6015">
        <f>IF(L6015="", "Pending", IF(N6015&lt;=30, "Met", "Breached"))</f>
        <v/>
      </c>
    </row>
    <row r="6016">
      <c r="M6016" s="11">
        <f>B6016+30</f>
        <v/>
      </c>
      <c r="N6016">
        <f>IF(L6016="", "", L6016-B6016)</f>
        <v/>
      </c>
      <c r="O6016">
        <f>IF(L6016="", "Pending", IF(N6016&lt;=30, "Met", "Breached"))</f>
        <v/>
      </c>
    </row>
    <row r="6017">
      <c r="M6017" s="11">
        <f>B6017+30</f>
        <v/>
      </c>
      <c r="N6017">
        <f>IF(L6017="", "", L6017-B6017)</f>
        <v/>
      </c>
      <c r="O6017">
        <f>IF(L6017="", "Pending", IF(N6017&lt;=30, "Met", "Breached"))</f>
        <v/>
      </c>
    </row>
    <row r="6018">
      <c r="M6018" s="11">
        <f>B6018+30</f>
        <v/>
      </c>
      <c r="N6018">
        <f>IF(L6018="", "", L6018-B6018)</f>
        <v/>
      </c>
      <c r="O6018">
        <f>IF(L6018="", "Pending", IF(N6018&lt;=30, "Met", "Breached"))</f>
        <v/>
      </c>
    </row>
    <row r="6019">
      <c r="M6019" s="11">
        <f>B6019+30</f>
        <v/>
      </c>
      <c r="N6019">
        <f>IF(L6019="", "", L6019-B6019)</f>
        <v/>
      </c>
      <c r="O6019">
        <f>IF(L6019="", "Pending", IF(N6019&lt;=30, "Met", "Breached"))</f>
        <v/>
      </c>
    </row>
    <row r="6020">
      <c r="M6020" s="11">
        <f>B6020+30</f>
        <v/>
      </c>
      <c r="N6020">
        <f>IF(L6020="", "", L6020-B6020)</f>
        <v/>
      </c>
      <c r="O6020">
        <f>IF(L6020="", "Pending", IF(N6020&lt;=30, "Met", "Breached"))</f>
        <v/>
      </c>
    </row>
    <row r="6021">
      <c r="M6021" s="11">
        <f>B6021+30</f>
        <v/>
      </c>
      <c r="N6021">
        <f>IF(L6021="", "", L6021-B6021)</f>
        <v/>
      </c>
      <c r="O6021">
        <f>IF(L6021="", "Pending", IF(N6021&lt;=30, "Met", "Breached"))</f>
        <v/>
      </c>
    </row>
    <row r="6022">
      <c r="M6022" s="11">
        <f>B6022+30</f>
        <v/>
      </c>
      <c r="N6022">
        <f>IF(L6022="", "", L6022-B6022)</f>
        <v/>
      </c>
      <c r="O6022">
        <f>IF(L6022="", "Pending", IF(N6022&lt;=30, "Met", "Breached"))</f>
        <v/>
      </c>
    </row>
    <row r="6023">
      <c r="M6023" s="11">
        <f>B6023+30</f>
        <v/>
      </c>
      <c r="N6023">
        <f>IF(L6023="", "", L6023-B6023)</f>
        <v/>
      </c>
      <c r="O6023">
        <f>IF(L6023="", "Pending", IF(N6023&lt;=30, "Met", "Breached"))</f>
        <v/>
      </c>
    </row>
    <row r="6024">
      <c r="M6024" s="11">
        <f>B6024+30</f>
        <v/>
      </c>
      <c r="N6024">
        <f>IF(L6024="", "", L6024-B6024)</f>
        <v/>
      </c>
      <c r="O6024">
        <f>IF(L6024="", "Pending", IF(N6024&lt;=30, "Met", "Breached"))</f>
        <v/>
      </c>
    </row>
    <row r="6025">
      <c r="M6025" s="11">
        <f>B6025+30</f>
        <v/>
      </c>
      <c r="N6025">
        <f>IF(L6025="", "", L6025-B6025)</f>
        <v/>
      </c>
      <c r="O6025">
        <f>IF(L6025="", "Pending", IF(N6025&lt;=30, "Met", "Breached"))</f>
        <v/>
      </c>
    </row>
    <row r="6026">
      <c r="M6026" s="11">
        <f>B6026+30</f>
        <v/>
      </c>
      <c r="N6026">
        <f>IF(L6026="", "", L6026-B6026)</f>
        <v/>
      </c>
      <c r="O6026">
        <f>IF(L6026="", "Pending", IF(N6026&lt;=30, "Met", "Breached"))</f>
        <v/>
      </c>
    </row>
    <row r="6027">
      <c r="M6027" s="11">
        <f>B6027+30</f>
        <v/>
      </c>
      <c r="N6027">
        <f>IF(L6027="", "", L6027-B6027)</f>
        <v/>
      </c>
      <c r="O6027">
        <f>IF(L6027="", "Pending", IF(N6027&lt;=30, "Met", "Breached"))</f>
        <v/>
      </c>
    </row>
    <row r="6028">
      <c r="M6028" s="11">
        <f>B6028+30</f>
        <v/>
      </c>
      <c r="N6028">
        <f>IF(L6028="", "", L6028-B6028)</f>
        <v/>
      </c>
      <c r="O6028">
        <f>IF(L6028="", "Pending", IF(N6028&lt;=30, "Met", "Breached"))</f>
        <v/>
      </c>
    </row>
    <row r="6029">
      <c r="M6029" s="11">
        <f>B6029+30</f>
        <v/>
      </c>
      <c r="N6029">
        <f>IF(L6029="", "", L6029-B6029)</f>
        <v/>
      </c>
      <c r="O6029">
        <f>IF(L6029="", "Pending", IF(N6029&lt;=30, "Met", "Breached"))</f>
        <v/>
      </c>
    </row>
    <row r="6030">
      <c r="M6030" s="11">
        <f>B6030+30</f>
        <v/>
      </c>
      <c r="N6030">
        <f>IF(L6030="", "", L6030-B6030)</f>
        <v/>
      </c>
      <c r="O6030">
        <f>IF(L6030="", "Pending", IF(N6030&lt;=30, "Met", "Breached"))</f>
        <v/>
      </c>
    </row>
    <row r="6031">
      <c r="M6031" s="11">
        <f>B6031+30</f>
        <v/>
      </c>
      <c r="N6031">
        <f>IF(L6031="", "", L6031-B6031)</f>
        <v/>
      </c>
      <c r="O6031">
        <f>IF(L6031="", "Pending", IF(N6031&lt;=30, "Met", "Breached"))</f>
        <v/>
      </c>
    </row>
    <row r="6032">
      <c r="M6032" s="11">
        <f>B6032+30</f>
        <v/>
      </c>
      <c r="N6032">
        <f>IF(L6032="", "", L6032-B6032)</f>
        <v/>
      </c>
      <c r="O6032">
        <f>IF(L6032="", "Pending", IF(N6032&lt;=30, "Met", "Breached"))</f>
        <v/>
      </c>
    </row>
    <row r="6033">
      <c r="M6033" s="11">
        <f>B6033+30</f>
        <v/>
      </c>
      <c r="N6033">
        <f>IF(L6033="", "", L6033-B6033)</f>
        <v/>
      </c>
      <c r="O6033">
        <f>IF(L6033="", "Pending", IF(N6033&lt;=30, "Met", "Breached"))</f>
        <v/>
      </c>
    </row>
    <row r="6034">
      <c r="M6034" s="11">
        <f>B6034+30</f>
        <v/>
      </c>
      <c r="N6034">
        <f>IF(L6034="", "", L6034-B6034)</f>
        <v/>
      </c>
      <c r="O6034">
        <f>IF(L6034="", "Pending", IF(N6034&lt;=30, "Met", "Breached"))</f>
        <v/>
      </c>
    </row>
    <row r="6035">
      <c r="M6035" s="11">
        <f>B6035+30</f>
        <v/>
      </c>
      <c r="N6035">
        <f>IF(L6035="", "", L6035-B6035)</f>
        <v/>
      </c>
      <c r="O6035">
        <f>IF(L6035="", "Pending", IF(N6035&lt;=30, "Met", "Breached"))</f>
        <v/>
      </c>
    </row>
    <row r="6036">
      <c r="M6036" s="11">
        <f>B6036+30</f>
        <v/>
      </c>
      <c r="N6036">
        <f>IF(L6036="", "", L6036-B6036)</f>
        <v/>
      </c>
      <c r="O6036">
        <f>IF(L6036="", "Pending", IF(N6036&lt;=30, "Met", "Breached"))</f>
        <v/>
      </c>
    </row>
    <row r="6037">
      <c r="M6037" s="11">
        <f>B6037+30</f>
        <v/>
      </c>
      <c r="N6037">
        <f>IF(L6037="", "", L6037-B6037)</f>
        <v/>
      </c>
      <c r="O6037">
        <f>IF(L6037="", "Pending", IF(N6037&lt;=30, "Met", "Breached"))</f>
        <v/>
      </c>
    </row>
    <row r="6038">
      <c r="M6038" s="11">
        <f>B6038+30</f>
        <v/>
      </c>
      <c r="N6038">
        <f>IF(L6038="", "", L6038-B6038)</f>
        <v/>
      </c>
      <c r="O6038">
        <f>IF(L6038="", "Pending", IF(N6038&lt;=30, "Met", "Breached"))</f>
        <v/>
      </c>
    </row>
    <row r="6039">
      <c r="M6039" s="11">
        <f>B6039+30</f>
        <v/>
      </c>
      <c r="N6039">
        <f>IF(L6039="", "", L6039-B6039)</f>
        <v/>
      </c>
      <c r="O6039">
        <f>IF(L6039="", "Pending", IF(N6039&lt;=30, "Met", "Breached"))</f>
        <v/>
      </c>
    </row>
    <row r="6040">
      <c r="M6040" s="11">
        <f>B6040+30</f>
        <v/>
      </c>
      <c r="N6040">
        <f>IF(L6040="", "", L6040-B6040)</f>
        <v/>
      </c>
      <c r="O6040">
        <f>IF(L6040="", "Pending", IF(N6040&lt;=30, "Met", "Breached"))</f>
        <v/>
      </c>
    </row>
    <row r="6041">
      <c r="M6041" s="11">
        <f>B6041+30</f>
        <v/>
      </c>
      <c r="N6041">
        <f>IF(L6041="", "", L6041-B6041)</f>
        <v/>
      </c>
      <c r="O6041">
        <f>IF(L6041="", "Pending", IF(N6041&lt;=30, "Met", "Breached"))</f>
        <v/>
      </c>
    </row>
    <row r="6042">
      <c r="M6042" s="11">
        <f>B6042+30</f>
        <v/>
      </c>
      <c r="N6042">
        <f>IF(L6042="", "", L6042-B6042)</f>
        <v/>
      </c>
      <c r="O6042">
        <f>IF(L6042="", "Pending", IF(N6042&lt;=30, "Met", "Breached"))</f>
        <v/>
      </c>
    </row>
    <row r="6043">
      <c r="M6043" s="11">
        <f>B6043+30</f>
        <v/>
      </c>
      <c r="N6043">
        <f>IF(L6043="", "", L6043-B6043)</f>
        <v/>
      </c>
      <c r="O6043">
        <f>IF(L6043="", "Pending", IF(N6043&lt;=30, "Met", "Breached"))</f>
        <v/>
      </c>
    </row>
    <row r="6044">
      <c r="M6044" s="11">
        <f>B6044+30</f>
        <v/>
      </c>
      <c r="N6044">
        <f>IF(L6044="", "", L6044-B6044)</f>
        <v/>
      </c>
      <c r="O6044">
        <f>IF(L6044="", "Pending", IF(N6044&lt;=30, "Met", "Breached"))</f>
        <v/>
      </c>
    </row>
    <row r="6045">
      <c r="M6045" s="11">
        <f>B6045+30</f>
        <v/>
      </c>
      <c r="N6045">
        <f>IF(L6045="", "", L6045-B6045)</f>
        <v/>
      </c>
      <c r="O6045">
        <f>IF(L6045="", "Pending", IF(N6045&lt;=30, "Met", "Breached"))</f>
        <v/>
      </c>
    </row>
    <row r="6046">
      <c r="M6046" s="11">
        <f>B6046+30</f>
        <v/>
      </c>
      <c r="N6046">
        <f>IF(L6046="", "", L6046-B6046)</f>
        <v/>
      </c>
      <c r="O6046">
        <f>IF(L6046="", "Pending", IF(N6046&lt;=30, "Met", "Breached"))</f>
        <v/>
      </c>
    </row>
    <row r="6047">
      <c r="M6047" s="11">
        <f>B6047+30</f>
        <v/>
      </c>
      <c r="N6047">
        <f>IF(L6047="", "", L6047-B6047)</f>
        <v/>
      </c>
      <c r="O6047">
        <f>IF(L6047="", "Pending", IF(N6047&lt;=30, "Met", "Breached"))</f>
        <v/>
      </c>
    </row>
    <row r="6048">
      <c r="M6048" s="11">
        <f>B6048+30</f>
        <v/>
      </c>
      <c r="N6048">
        <f>IF(L6048="", "", L6048-B6048)</f>
        <v/>
      </c>
      <c r="O6048">
        <f>IF(L6048="", "Pending", IF(N6048&lt;=30, "Met", "Breached"))</f>
        <v/>
      </c>
    </row>
    <row r="6049">
      <c r="M6049" s="11">
        <f>B6049+30</f>
        <v/>
      </c>
      <c r="N6049">
        <f>IF(L6049="", "", L6049-B6049)</f>
        <v/>
      </c>
      <c r="O6049">
        <f>IF(L6049="", "Pending", IF(N6049&lt;=30, "Met", "Breached"))</f>
        <v/>
      </c>
    </row>
    <row r="6050">
      <c r="M6050" s="11">
        <f>B6050+30</f>
        <v/>
      </c>
      <c r="N6050">
        <f>IF(L6050="", "", L6050-B6050)</f>
        <v/>
      </c>
      <c r="O6050">
        <f>IF(L6050="", "Pending", IF(N6050&lt;=30, "Met", "Breached"))</f>
        <v/>
      </c>
    </row>
    <row r="6051">
      <c r="M6051" s="11">
        <f>B6051+30</f>
        <v/>
      </c>
      <c r="N6051">
        <f>IF(L6051="", "", L6051-B6051)</f>
        <v/>
      </c>
      <c r="O6051">
        <f>IF(L6051="", "Pending", IF(N6051&lt;=30, "Met", "Breached"))</f>
        <v/>
      </c>
    </row>
    <row r="6052">
      <c r="M6052" s="11">
        <f>B6052+30</f>
        <v/>
      </c>
      <c r="N6052">
        <f>IF(L6052="", "", L6052-B6052)</f>
        <v/>
      </c>
      <c r="O6052">
        <f>IF(L6052="", "Pending", IF(N6052&lt;=30, "Met", "Breached"))</f>
        <v/>
      </c>
    </row>
    <row r="6053">
      <c r="M6053" s="11">
        <f>B6053+30</f>
        <v/>
      </c>
      <c r="N6053">
        <f>IF(L6053="", "", L6053-B6053)</f>
        <v/>
      </c>
      <c r="O6053">
        <f>IF(L6053="", "Pending", IF(N6053&lt;=30, "Met", "Breached"))</f>
        <v/>
      </c>
    </row>
    <row r="6054">
      <c r="M6054" s="11">
        <f>B6054+30</f>
        <v/>
      </c>
      <c r="N6054">
        <f>IF(L6054="", "", L6054-B6054)</f>
        <v/>
      </c>
      <c r="O6054">
        <f>IF(L6054="", "Pending", IF(N6054&lt;=30, "Met", "Breached"))</f>
        <v/>
      </c>
    </row>
    <row r="6055">
      <c r="M6055" s="11">
        <f>B6055+30</f>
        <v/>
      </c>
      <c r="N6055">
        <f>IF(L6055="", "", L6055-B6055)</f>
        <v/>
      </c>
      <c r="O6055">
        <f>IF(L6055="", "Pending", IF(N6055&lt;=30, "Met", "Breached"))</f>
        <v/>
      </c>
    </row>
    <row r="6056">
      <c r="M6056" s="11">
        <f>B6056+30</f>
        <v/>
      </c>
      <c r="N6056">
        <f>IF(L6056="", "", L6056-B6056)</f>
        <v/>
      </c>
      <c r="O6056">
        <f>IF(L6056="", "Pending", IF(N6056&lt;=30, "Met", "Breached"))</f>
        <v/>
      </c>
    </row>
    <row r="6057">
      <c r="M6057" s="11">
        <f>B6057+30</f>
        <v/>
      </c>
      <c r="N6057">
        <f>IF(L6057="", "", L6057-B6057)</f>
        <v/>
      </c>
      <c r="O6057">
        <f>IF(L6057="", "Pending", IF(N6057&lt;=30, "Met", "Breached"))</f>
        <v/>
      </c>
    </row>
    <row r="6058">
      <c r="M6058" s="11">
        <f>B6058+30</f>
        <v/>
      </c>
      <c r="N6058">
        <f>IF(L6058="", "", L6058-B6058)</f>
        <v/>
      </c>
      <c r="O6058">
        <f>IF(L6058="", "Pending", IF(N6058&lt;=30, "Met", "Breached"))</f>
        <v/>
      </c>
    </row>
    <row r="6059">
      <c r="M6059" s="11">
        <f>B6059+30</f>
        <v/>
      </c>
      <c r="N6059">
        <f>IF(L6059="", "", L6059-B6059)</f>
        <v/>
      </c>
      <c r="O6059">
        <f>IF(L6059="", "Pending", IF(N6059&lt;=30, "Met", "Breached"))</f>
        <v/>
      </c>
    </row>
    <row r="6060">
      <c r="M6060" s="11">
        <f>B6060+30</f>
        <v/>
      </c>
      <c r="N6060">
        <f>IF(L6060="", "", L6060-B6060)</f>
        <v/>
      </c>
      <c r="O6060">
        <f>IF(L6060="", "Pending", IF(N6060&lt;=30, "Met", "Breached"))</f>
        <v/>
      </c>
    </row>
    <row r="6061">
      <c r="M6061" s="11">
        <f>B6061+30</f>
        <v/>
      </c>
      <c r="N6061">
        <f>IF(L6061="", "", L6061-B6061)</f>
        <v/>
      </c>
      <c r="O6061">
        <f>IF(L6061="", "Pending", IF(N6061&lt;=30, "Met", "Breached"))</f>
        <v/>
      </c>
    </row>
    <row r="6062">
      <c r="M6062" s="11">
        <f>B6062+30</f>
        <v/>
      </c>
      <c r="N6062">
        <f>IF(L6062="", "", L6062-B6062)</f>
        <v/>
      </c>
      <c r="O6062">
        <f>IF(L6062="", "Pending", IF(N6062&lt;=30, "Met", "Breached"))</f>
        <v/>
      </c>
    </row>
    <row r="6063">
      <c r="M6063" s="11">
        <f>B6063+30</f>
        <v/>
      </c>
      <c r="N6063">
        <f>IF(L6063="", "", L6063-B6063)</f>
        <v/>
      </c>
      <c r="O6063">
        <f>IF(L6063="", "Pending", IF(N6063&lt;=30, "Met", "Breached"))</f>
        <v/>
      </c>
    </row>
    <row r="6064">
      <c r="M6064" s="11">
        <f>B6064+30</f>
        <v/>
      </c>
      <c r="N6064">
        <f>IF(L6064="", "", L6064-B6064)</f>
        <v/>
      </c>
      <c r="O6064">
        <f>IF(L6064="", "Pending", IF(N6064&lt;=30, "Met", "Breached"))</f>
        <v/>
      </c>
    </row>
    <row r="6065">
      <c r="M6065" s="11">
        <f>B6065+30</f>
        <v/>
      </c>
      <c r="N6065">
        <f>IF(L6065="", "", L6065-B6065)</f>
        <v/>
      </c>
      <c r="O6065">
        <f>IF(L6065="", "Pending", IF(N6065&lt;=30, "Met", "Breached"))</f>
        <v/>
      </c>
    </row>
    <row r="6066">
      <c r="M6066" s="11">
        <f>B6066+30</f>
        <v/>
      </c>
      <c r="N6066">
        <f>IF(L6066="", "", L6066-B6066)</f>
        <v/>
      </c>
      <c r="O6066">
        <f>IF(L6066="", "Pending", IF(N6066&lt;=30, "Met", "Breached"))</f>
        <v/>
      </c>
    </row>
    <row r="6067">
      <c r="M6067" s="11">
        <f>B6067+30</f>
        <v/>
      </c>
      <c r="N6067">
        <f>IF(L6067="", "", L6067-B6067)</f>
        <v/>
      </c>
      <c r="O6067">
        <f>IF(L6067="", "Pending", IF(N6067&lt;=30, "Met", "Breached"))</f>
        <v/>
      </c>
    </row>
    <row r="6068">
      <c r="M6068" s="11">
        <f>B6068+30</f>
        <v/>
      </c>
      <c r="N6068">
        <f>IF(L6068="", "", L6068-B6068)</f>
        <v/>
      </c>
      <c r="O6068">
        <f>IF(L6068="", "Pending", IF(N6068&lt;=30, "Met", "Breached"))</f>
        <v/>
      </c>
    </row>
    <row r="6069">
      <c r="M6069" s="11">
        <f>B6069+30</f>
        <v/>
      </c>
      <c r="N6069">
        <f>IF(L6069="", "", L6069-B6069)</f>
        <v/>
      </c>
      <c r="O6069">
        <f>IF(L6069="", "Pending", IF(N6069&lt;=30, "Met", "Breached"))</f>
        <v/>
      </c>
    </row>
    <row r="6070">
      <c r="M6070" s="11">
        <f>B6070+30</f>
        <v/>
      </c>
      <c r="N6070">
        <f>IF(L6070="", "", L6070-B6070)</f>
        <v/>
      </c>
      <c r="O6070">
        <f>IF(L6070="", "Pending", IF(N6070&lt;=30, "Met", "Breached"))</f>
        <v/>
      </c>
    </row>
    <row r="6071">
      <c r="M6071" s="11">
        <f>B6071+30</f>
        <v/>
      </c>
      <c r="N6071">
        <f>IF(L6071="", "", L6071-B6071)</f>
        <v/>
      </c>
      <c r="O6071">
        <f>IF(L6071="", "Pending", IF(N6071&lt;=30, "Met", "Breached"))</f>
        <v/>
      </c>
    </row>
    <row r="6072">
      <c r="M6072" s="11">
        <f>B6072+30</f>
        <v/>
      </c>
      <c r="N6072">
        <f>IF(L6072="", "", L6072-B6072)</f>
        <v/>
      </c>
      <c r="O6072">
        <f>IF(L6072="", "Pending", IF(N6072&lt;=30, "Met", "Breached"))</f>
        <v/>
      </c>
    </row>
    <row r="6073">
      <c r="M6073" s="11">
        <f>B6073+30</f>
        <v/>
      </c>
      <c r="N6073">
        <f>IF(L6073="", "", L6073-B6073)</f>
        <v/>
      </c>
      <c r="O6073">
        <f>IF(L6073="", "Pending", IF(N6073&lt;=30, "Met", "Breached"))</f>
        <v/>
      </c>
    </row>
    <row r="6074">
      <c r="M6074" s="11">
        <f>B6074+30</f>
        <v/>
      </c>
      <c r="N6074">
        <f>IF(L6074="", "", L6074-B6074)</f>
        <v/>
      </c>
      <c r="O6074">
        <f>IF(L6074="", "Pending", IF(N6074&lt;=30, "Met", "Breached"))</f>
        <v/>
      </c>
    </row>
    <row r="6075">
      <c r="M6075" s="11">
        <f>B6075+30</f>
        <v/>
      </c>
      <c r="N6075">
        <f>IF(L6075="", "", L6075-B6075)</f>
        <v/>
      </c>
      <c r="O6075">
        <f>IF(L6075="", "Pending", IF(N6075&lt;=30, "Met", "Breached"))</f>
        <v/>
      </c>
    </row>
    <row r="6076">
      <c r="M6076" s="11">
        <f>B6076+30</f>
        <v/>
      </c>
      <c r="N6076">
        <f>IF(L6076="", "", L6076-B6076)</f>
        <v/>
      </c>
      <c r="O6076">
        <f>IF(L6076="", "Pending", IF(N6076&lt;=30, "Met", "Breached"))</f>
        <v/>
      </c>
    </row>
    <row r="6077">
      <c r="M6077" s="11">
        <f>B6077+30</f>
        <v/>
      </c>
      <c r="N6077">
        <f>IF(L6077="", "", L6077-B6077)</f>
        <v/>
      </c>
      <c r="O6077">
        <f>IF(L6077="", "Pending", IF(N6077&lt;=30, "Met", "Breached"))</f>
        <v/>
      </c>
    </row>
    <row r="6078">
      <c r="M6078" s="11">
        <f>B6078+30</f>
        <v/>
      </c>
      <c r="N6078">
        <f>IF(L6078="", "", L6078-B6078)</f>
        <v/>
      </c>
      <c r="O6078">
        <f>IF(L6078="", "Pending", IF(N6078&lt;=30, "Met", "Breached"))</f>
        <v/>
      </c>
    </row>
    <row r="6079">
      <c r="M6079" s="11">
        <f>B6079+30</f>
        <v/>
      </c>
      <c r="N6079">
        <f>IF(L6079="", "", L6079-B6079)</f>
        <v/>
      </c>
      <c r="O6079">
        <f>IF(L6079="", "Pending", IF(N6079&lt;=30, "Met", "Breached"))</f>
        <v/>
      </c>
    </row>
    <row r="6080">
      <c r="M6080" s="11">
        <f>B6080+30</f>
        <v/>
      </c>
      <c r="N6080">
        <f>IF(L6080="", "", L6080-B6080)</f>
        <v/>
      </c>
      <c r="O6080">
        <f>IF(L6080="", "Pending", IF(N6080&lt;=30, "Met", "Breached"))</f>
        <v/>
      </c>
    </row>
    <row r="6081">
      <c r="M6081" s="11">
        <f>B6081+30</f>
        <v/>
      </c>
      <c r="N6081">
        <f>IF(L6081="", "", L6081-B6081)</f>
        <v/>
      </c>
      <c r="O6081">
        <f>IF(L6081="", "Pending", IF(N6081&lt;=30, "Met", "Breached"))</f>
        <v/>
      </c>
    </row>
    <row r="6082">
      <c r="M6082" s="11">
        <f>B6082+30</f>
        <v/>
      </c>
      <c r="N6082">
        <f>IF(L6082="", "", L6082-B6082)</f>
        <v/>
      </c>
      <c r="O6082">
        <f>IF(L6082="", "Pending", IF(N6082&lt;=30, "Met", "Breached"))</f>
        <v/>
      </c>
    </row>
    <row r="6083">
      <c r="M6083" s="11">
        <f>B6083+30</f>
        <v/>
      </c>
      <c r="N6083">
        <f>IF(L6083="", "", L6083-B6083)</f>
        <v/>
      </c>
      <c r="O6083">
        <f>IF(L6083="", "Pending", IF(N6083&lt;=30, "Met", "Breached"))</f>
        <v/>
      </c>
    </row>
    <row r="6084">
      <c r="M6084" s="11">
        <f>B6084+30</f>
        <v/>
      </c>
      <c r="N6084">
        <f>IF(L6084="", "", L6084-B6084)</f>
        <v/>
      </c>
      <c r="O6084">
        <f>IF(L6084="", "Pending", IF(N6084&lt;=30, "Met", "Breached"))</f>
        <v/>
      </c>
    </row>
    <row r="6085">
      <c r="M6085" s="11">
        <f>B6085+30</f>
        <v/>
      </c>
      <c r="N6085">
        <f>IF(L6085="", "", L6085-B6085)</f>
        <v/>
      </c>
      <c r="O6085">
        <f>IF(L6085="", "Pending", IF(N6085&lt;=30, "Met", "Breached"))</f>
        <v/>
      </c>
    </row>
    <row r="6086">
      <c r="M6086" s="11">
        <f>B6086+30</f>
        <v/>
      </c>
      <c r="N6086">
        <f>IF(L6086="", "", L6086-B6086)</f>
        <v/>
      </c>
      <c r="O6086">
        <f>IF(L6086="", "Pending", IF(N6086&lt;=30, "Met", "Breached"))</f>
        <v/>
      </c>
    </row>
    <row r="6087">
      <c r="M6087" s="11">
        <f>B6087+30</f>
        <v/>
      </c>
      <c r="N6087">
        <f>IF(L6087="", "", L6087-B6087)</f>
        <v/>
      </c>
      <c r="O6087">
        <f>IF(L6087="", "Pending", IF(N6087&lt;=30, "Met", "Breached"))</f>
        <v/>
      </c>
    </row>
    <row r="6088">
      <c r="M6088" s="11">
        <f>B6088+30</f>
        <v/>
      </c>
      <c r="N6088">
        <f>IF(L6088="", "", L6088-B6088)</f>
        <v/>
      </c>
      <c r="O6088">
        <f>IF(L6088="", "Pending", IF(N6088&lt;=30, "Met", "Breached"))</f>
        <v/>
      </c>
    </row>
    <row r="6089">
      <c r="M6089" s="11">
        <f>B6089+30</f>
        <v/>
      </c>
      <c r="N6089">
        <f>IF(L6089="", "", L6089-B6089)</f>
        <v/>
      </c>
      <c r="O6089">
        <f>IF(L6089="", "Pending", IF(N6089&lt;=30, "Met", "Breached"))</f>
        <v/>
      </c>
    </row>
    <row r="6090">
      <c r="M6090" s="11">
        <f>B6090+30</f>
        <v/>
      </c>
      <c r="N6090">
        <f>IF(L6090="", "", L6090-B6090)</f>
        <v/>
      </c>
      <c r="O6090">
        <f>IF(L6090="", "Pending", IF(N6090&lt;=30, "Met", "Breached"))</f>
        <v/>
      </c>
    </row>
    <row r="6091">
      <c r="M6091" s="11">
        <f>B6091+30</f>
        <v/>
      </c>
      <c r="N6091">
        <f>IF(L6091="", "", L6091-B6091)</f>
        <v/>
      </c>
      <c r="O6091">
        <f>IF(L6091="", "Pending", IF(N6091&lt;=30, "Met", "Breached"))</f>
        <v/>
      </c>
    </row>
    <row r="6092">
      <c r="M6092" s="11">
        <f>B6092+30</f>
        <v/>
      </c>
      <c r="N6092">
        <f>IF(L6092="", "", L6092-B6092)</f>
        <v/>
      </c>
      <c r="O6092">
        <f>IF(L6092="", "Pending", IF(N6092&lt;=30, "Met", "Breached"))</f>
        <v/>
      </c>
    </row>
    <row r="6093">
      <c r="M6093" s="11">
        <f>B6093+30</f>
        <v/>
      </c>
      <c r="N6093">
        <f>IF(L6093="", "", L6093-B6093)</f>
        <v/>
      </c>
      <c r="O6093">
        <f>IF(L6093="", "Pending", IF(N6093&lt;=30, "Met", "Breached"))</f>
        <v/>
      </c>
    </row>
    <row r="6094">
      <c r="M6094" s="11">
        <f>B6094+30</f>
        <v/>
      </c>
      <c r="N6094">
        <f>IF(L6094="", "", L6094-B6094)</f>
        <v/>
      </c>
      <c r="O6094">
        <f>IF(L6094="", "Pending", IF(N6094&lt;=30, "Met", "Breached"))</f>
        <v/>
      </c>
    </row>
    <row r="6095">
      <c r="M6095" s="11">
        <f>B6095+30</f>
        <v/>
      </c>
      <c r="N6095">
        <f>IF(L6095="", "", L6095-B6095)</f>
        <v/>
      </c>
      <c r="O6095">
        <f>IF(L6095="", "Pending", IF(N6095&lt;=30, "Met", "Breached"))</f>
        <v/>
      </c>
    </row>
    <row r="6096">
      <c r="M6096" s="11">
        <f>B6096+30</f>
        <v/>
      </c>
      <c r="N6096">
        <f>IF(L6096="", "", L6096-B6096)</f>
        <v/>
      </c>
      <c r="O6096">
        <f>IF(L6096="", "Pending", IF(N6096&lt;=30, "Met", "Breached"))</f>
        <v/>
      </c>
    </row>
    <row r="6097">
      <c r="M6097" s="11">
        <f>B6097+30</f>
        <v/>
      </c>
      <c r="N6097">
        <f>IF(L6097="", "", L6097-B6097)</f>
        <v/>
      </c>
      <c r="O6097">
        <f>IF(L6097="", "Pending", IF(N6097&lt;=30, "Met", "Breached"))</f>
        <v/>
      </c>
    </row>
    <row r="6098">
      <c r="M6098" s="11">
        <f>B6098+30</f>
        <v/>
      </c>
      <c r="N6098">
        <f>IF(L6098="", "", L6098-B6098)</f>
        <v/>
      </c>
      <c r="O6098">
        <f>IF(L6098="", "Pending", IF(N6098&lt;=30, "Met", "Breached"))</f>
        <v/>
      </c>
    </row>
    <row r="6099">
      <c r="M6099" s="11">
        <f>B6099+30</f>
        <v/>
      </c>
      <c r="N6099">
        <f>IF(L6099="", "", L6099-B6099)</f>
        <v/>
      </c>
      <c r="O6099">
        <f>IF(L6099="", "Pending", IF(N6099&lt;=30, "Met", "Breached"))</f>
        <v/>
      </c>
    </row>
    <row r="6100">
      <c r="M6100" s="11">
        <f>B6100+30</f>
        <v/>
      </c>
      <c r="N6100">
        <f>IF(L6100="", "", L6100-B6100)</f>
        <v/>
      </c>
      <c r="O6100">
        <f>IF(L6100="", "Pending", IF(N6100&lt;=30, "Met", "Breached"))</f>
        <v/>
      </c>
    </row>
    <row r="6101">
      <c r="M6101" s="11">
        <f>B6101+30</f>
        <v/>
      </c>
      <c r="N6101">
        <f>IF(L6101="", "", L6101-B6101)</f>
        <v/>
      </c>
      <c r="O6101">
        <f>IF(L6101="", "Pending", IF(N6101&lt;=30, "Met", "Breached"))</f>
        <v/>
      </c>
    </row>
    <row r="6102">
      <c r="M6102" s="11">
        <f>B6102+30</f>
        <v/>
      </c>
      <c r="N6102">
        <f>IF(L6102="", "", L6102-B6102)</f>
        <v/>
      </c>
      <c r="O6102">
        <f>IF(L6102="", "Pending", IF(N6102&lt;=30, "Met", "Breached"))</f>
        <v/>
      </c>
    </row>
    <row r="6103">
      <c r="M6103" s="11">
        <f>B6103+30</f>
        <v/>
      </c>
      <c r="N6103">
        <f>IF(L6103="", "", L6103-B6103)</f>
        <v/>
      </c>
      <c r="O6103">
        <f>IF(L6103="", "Pending", IF(N6103&lt;=30, "Met", "Breached"))</f>
        <v/>
      </c>
    </row>
    <row r="6104">
      <c r="M6104" s="11">
        <f>B6104+30</f>
        <v/>
      </c>
      <c r="N6104">
        <f>IF(L6104="", "", L6104-B6104)</f>
        <v/>
      </c>
      <c r="O6104">
        <f>IF(L6104="", "Pending", IF(N6104&lt;=30, "Met", "Breached"))</f>
        <v/>
      </c>
    </row>
    <row r="6105">
      <c r="M6105" s="11">
        <f>B6105+30</f>
        <v/>
      </c>
      <c r="N6105">
        <f>IF(L6105="", "", L6105-B6105)</f>
        <v/>
      </c>
      <c r="O6105">
        <f>IF(L6105="", "Pending", IF(N6105&lt;=30, "Met", "Breached"))</f>
        <v/>
      </c>
    </row>
    <row r="6106">
      <c r="M6106" s="11">
        <f>B6106+30</f>
        <v/>
      </c>
      <c r="N6106">
        <f>IF(L6106="", "", L6106-B6106)</f>
        <v/>
      </c>
      <c r="O6106">
        <f>IF(L6106="", "Pending", IF(N6106&lt;=30, "Met", "Breached"))</f>
        <v/>
      </c>
    </row>
    <row r="6107">
      <c r="M6107" s="11">
        <f>B6107+30</f>
        <v/>
      </c>
      <c r="N6107">
        <f>IF(L6107="", "", L6107-B6107)</f>
        <v/>
      </c>
      <c r="O6107">
        <f>IF(L6107="", "Pending", IF(N6107&lt;=30, "Met", "Breached"))</f>
        <v/>
      </c>
    </row>
    <row r="6108">
      <c r="M6108" s="11">
        <f>B6108+30</f>
        <v/>
      </c>
      <c r="N6108">
        <f>IF(L6108="", "", L6108-B6108)</f>
        <v/>
      </c>
      <c r="O6108">
        <f>IF(L6108="", "Pending", IF(N6108&lt;=30, "Met", "Breached"))</f>
        <v/>
      </c>
    </row>
    <row r="6109">
      <c r="M6109" s="11">
        <f>B6109+30</f>
        <v/>
      </c>
      <c r="N6109">
        <f>IF(L6109="", "", L6109-B6109)</f>
        <v/>
      </c>
      <c r="O6109">
        <f>IF(L6109="", "Pending", IF(N6109&lt;=30, "Met", "Breached"))</f>
        <v/>
      </c>
    </row>
    <row r="6110">
      <c r="M6110" s="11">
        <f>B6110+30</f>
        <v/>
      </c>
      <c r="N6110">
        <f>IF(L6110="", "", L6110-B6110)</f>
        <v/>
      </c>
      <c r="O6110">
        <f>IF(L6110="", "Pending", IF(N6110&lt;=30, "Met", "Breached"))</f>
        <v/>
      </c>
    </row>
    <row r="6111">
      <c r="M6111" s="11">
        <f>B6111+30</f>
        <v/>
      </c>
      <c r="N6111">
        <f>IF(L6111="", "", L6111-B6111)</f>
        <v/>
      </c>
      <c r="O6111">
        <f>IF(L6111="", "Pending", IF(N6111&lt;=30, "Met", "Breached"))</f>
        <v/>
      </c>
    </row>
    <row r="6112">
      <c r="M6112" s="11">
        <f>B6112+30</f>
        <v/>
      </c>
      <c r="N6112">
        <f>IF(L6112="", "", L6112-B6112)</f>
        <v/>
      </c>
      <c r="O6112">
        <f>IF(L6112="", "Pending", IF(N6112&lt;=30, "Met", "Breached"))</f>
        <v/>
      </c>
    </row>
    <row r="6113">
      <c r="M6113" s="11">
        <f>B6113+30</f>
        <v/>
      </c>
      <c r="N6113">
        <f>IF(L6113="", "", L6113-B6113)</f>
        <v/>
      </c>
      <c r="O6113">
        <f>IF(L6113="", "Pending", IF(N6113&lt;=30, "Met", "Breached"))</f>
        <v/>
      </c>
    </row>
    <row r="6114">
      <c r="M6114" s="11">
        <f>B6114+30</f>
        <v/>
      </c>
      <c r="N6114">
        <f>IF(L6114="", "", L6114-B6114)</f>
        <v/>
      </c>
      <c r="O6114">
        <f>IF(L6114="", "Pending", IF(N6114&lt;=30, "Met", "Breached"))</f>
        <v/>
      </c>
    </row>
    <row r="6115">
      <c r="M6115" s="11">
        <f>B6115+30</f>
        <v/>
      </c>
      <c r="N6115">
        <f>IF(L6115="", "", L6115-B6115)</f>
        <v/>
      </c>
      <c r="O6115">
        <f>IF(L6115="", "Pending", IF(N6115&lt;=30, "Met", "Breached"))</f>
        <v/>
      </c>
    </row>
    <row r="6116">
      <c r="M6116" s="11">
        <f>B6116+30</f>
        <v/>
      </c>
      <c r="N6116">
        <f>IF(L6116="", "", L6116-B6116)</f>
        <v/>
      </c>
      <c r="O6116">
        <f>IF(L6116="", "Pending", IF(N6116&lt;=30, "Met", "Breached"))</f>
        <v/>
      </c>
    </row>
    <row r="6117">
      <c r="M6117" s="11">
        <f>B6117+30</f>
        <v/>
      </c>
      <c r="N6117">
        <f>IF(L6117="", "", L6117-B6117)</f>
        <v/>
      </c>
      <c r="O6117">
        <f>IF(L6117="", "Pending", IF(N6117&lt;=30, "Met", "Breached"))</f>
        <v/>
      </c>
    </row>
    <row r="6118">
      <c r="M6118" s="11">
        <f>B6118+30</f>
        <v/>
      </c>
      <c r="N6118">
        <f>IF(L6118="", "", L6118-B6118)</f>
        <v/>
      </c>
      <c r="O6118">
        <f>IF(L6118="", "Pending", IF(N6118&lt;=30, "Met", "Breached"))</f>
        <v/>
      </c>
    </row>
    <row r="6119">
      <c r="M6119" s="11">
        <f>B6119+30</f>
        <v/>
      </c>
      <c r="N6119">
        <f>IF(L6119="", "", L6119-B6119)</f>
        <v/>
      </c>
      <c r="O6119">
        <f>IF(L6119="", "Pending", IF(N6119&lt;=30, "Met", "Breached"))</f>
        <v/>
      </c>
    </row>
    <row r="6120">
      <c r="M6120" s="11">
        <f>B6120+30</f>
        <v/>
      </c>
      <c r="N6120">
        <f>IF(L6120="", "", L6120-B6120)</f>
        <v/>
      </c>
      <c r="O6120">
        <f>IF(L6120="", "Pending", IF(N6120&lt;=30, "Met", "Breached"))</f>
        <v/>
      </c>
    </row>
    <row r="6121">
      <c r="M6121" s="11">
        <f>B6121+30</f>
        <v/>
      </c>
      <c r="N6121">
        <f>IF(L6121="", "", L6121-B6121)</f>
        <v/>
      </c>
      <c r="O6121">
        <f>IF(L6121="", "Pending", IF(N6121&lt;=30, "Met", "Breached"))</f>
        <v/>
      </c>
    </row>
    <row r="6122">
      <c r="M6122" s="11">
        <f>B6122+30</f>
        <v/>
      </c>
      <c r="N6122">
        <f>IF(L6122="", "", L6122-B6122)</f>
        <v/>
      </c>
      <c r="O6122">
        <f>IF(L6122="", "Pending", IF(N6122&lt;=30, "Met", "Breached"))</f>
        <v/>
      </c>
    </row>
    <row r="6123">
      <c r="M6123" s="11">
        <f>B6123+30</f>
        <v/>
      </c>
      <c r="N6123">
        <f>IF(L6123="", "", L6123-B6123)</f>
        <v/>
      </c>
      <c r="O6123">
        <f>IF(L6123="", "Pending", IF(N6123&lt;=30, "Met", "Breached"))</f>
        <v/>
      </c>
    </row>
    <row r="6124">
      <c r="M6124" s="11">
        <f>B6124+30</f>
        <v/>
      </c>
      <c r="N6124">
        <f>IF(L6124="", "", L6124-B6124)</f>
        <v/>
      </c>
      <c r="O6124">
        <f>IF(L6124="", "Pending", IF(N6124&lt;=30, "Met", "Breached"))</f>
        <v/>
      </c>
    </row>
    <row r="6125">
      <c r="M6125" s="11">
        <f>B6125+30</f>
        <v/>
      </c>
      <c r="N6125">
        <f>IF(L6125="", "", L6125-B6125)</f>
        <v/>
      </c>
      <c r="O6125">
        <f>IF(L6125="", "Pending", IF(N6125&lt;=30, "Met", "Breached"))</f>
        <v/>
      </c>
    </row>
    <row r="6126">
      <c r="M6126" s="11">
        <f>B6126+30</f>
        <v/>
      </c>
      <c r="N6126">
        <f>IF(L6126="", "", L6126-B6126)</f>
        <v/>
      </c>
      <c r="O6126">
        <f>IF(L6126="", "Pending", IF(N6126&lt;=30, "Met", "Breached"))</f>
        <v/>
      </c>
    </row>
    <row r="6127">
      <c r="M6127" s="11">
        <f>B6127+30</f>
        <v/>
      </c>
      <c r="N6127">
        <f>IF(L6127="", "", L6127-B6127)</f>
        <v/>
      </c>
      <c r="O6127">
        <f>IF(L6127="", "Pending", IF(N6127&lt;=30, "Met", "Breached"))</f>
        <v/>
      </c>
    </row>
    <row r="6128">
      <c r="M6128" s="11">
        <f>B6128+30</f>
        <v/>
      </c>
      <c r="N6128">
        <f>IF(L6128="", "", L6128-B6128)</f>
        <v/>
      </c>
      <c r="O6128">
        <f>IF(L6128="", "Pending", IF(N6128&lt;=30, "Met", "Breached"))</f>
        <v/>
      </c>
    </row>
    <row r="6129">
      <c r="M6129" s="11">
        <f>B6129+30</f>
        <v/>
      </c>
      <c r="N6129">
        <f>IF(L6129="", "", L6129-B6129)</f>
        <v/>
      </c>
      <c r="O6129">
        <f>IF(L6129="", "Pending", IF(N6129&lt;=30, "Met", "Breached"))</f>
        <v/>
      </c>
    </row>
    <row r="6130">
      <c r="M6130" s="11">
        <f>B6130+30</f>
        <v/>
      </c>
      <c r="N6130">
        <f>IF(L6130="", "", L6130-B6130)</f>
        <v/>
      </c>
      <c r="O6130">
        <f>IF(L6130="", "Pending", IF(N6130&lt;=30, "Met", "Breached"))</f>
        <v/>
      </c>
    </row>
    <row r="6131">
      <c r="M6131" s="11">
        <f>B6131+30</f>
        <v/>
      </c>
      <c r="N6131">
        <f>IF(L6131="", "", L6131-B6131)</f>
        <v/>
      </c>
      <c r="O6131">
        <f>IF(L6131="", "Pending", IF(N6131&lt;=30, "Met", "Breached"))</f>
        <v/>
      </c>
    </row>
    <row r="6132">
      <c r="M6132" s="11">
        <f>B6132+30</f>
        <v/>
      </c>
      <c r="N6132">
        <f>IF(L6132="", "", L6132-B6132)</f>
        <v/>
      </c>
      <c r="O6132">
        <f>IF(L6132="", "Pending", IF(N6132&lt;=30, "Met", "Breached"))</f>
        <v/>
      </c>
    </row>
    <row r="6133">
      <c r="M6133" s="11">
        <f>B6133+30</f>
        <v/>
      </c>
      <c r="N6133">
        <f>IF(L6133="", "", L6133-B6133)</f>
        <v/>
      </c>
      <c r="O6133">
        <f>IF(L6133="", "Pending", IF(N6133&lt;=30, "Met", "Breached"))</f>
        <v/>
      </c>
    </row>
    <row r="6134">
      <c r="M6134" s="11">
        <f>B6134+30</f>
        <v/>
      </c>
      <c r="N6134">
        <f>IF(L6134="", "", L6134-B6134)</f>
        <v/>
      </c>
      <c r="O6134">
        <f>IF(L6134="", "Pending", IF(N6134&lt;=30, "Met", "Breached"))</f>
        <v/>
      </c>
    </row>
    <row r="6135">
      <c r="M6135" s="11">
        <f>B6135+30</f>
        <v/>
      </c>
      <c r="N6135">
        <f>IF(L6135="", "", L6135-B6135)</f>
        <v/>
      </c>
      <c r="O6135">
        <f>IF(L6135="", "Pending", IF(N6135&lt;=30, "Met", "Breached"))</f>
        <v/>
      </c>
    </row>
    <row r="6136">
      <c r="M6136" s="11">
        <f>B6136+30</f>
        <v/>
      </c>
      <c r="N6136">
        <f>IF(L6136="", "", L6136-B6136)</f>
        <v/>
      </c>
      <c r="O6136">
        <f>IF(L6136="", "Pending", IF(N6136&lt;=30, "Met", "Breached"))</f>
        <v/>
      </c>
    </row>
    <row r="6137">
      <c r="M6137" s="11">
        <f>B6137+30</f>
        <v/>
      </c>
      <c r="N6137">
        <f>IF(L6137="", "", L6137-B6137)</f>
        <v/>
      </c>
      <c r="O6137">
        <f>IF(L6137="", "Pending", IF(N6137&lt;=30, "Met", "Breached"))</f>
        <v/>
      </c>
    </row>
    <row r="6138">
      <c r="M6138" s="11">
        <f>B6138+30</f>
        <v/>
      </c>
      <c r="N6138">
        <f>IF(L6138="", "", L6138-B6138)</f>
        <v/>
      </c>
      <c r="O6138">
        <f>IF(L6138="", "Pending", IF(N6138&lt;=30, "Met", "Breached"))</f>
        <v/>
      </c>
    </row>
    <row r="6139">
      <c r="M6139" s="11">
        <f>B6139+30</f>
        <v/>
      </c>
      <c r="N6139">
        <f>IF(L6139="", "", L6139-B6139)</f>
        <v/>
      </c>
      <c r="O6139">
        <f>IF(L6139="", "Pending", IF(N6139&lt;=30, "Met", "Breached"))</f>
        <v/>
      </c>
    </row>
    <row r="6140">
      <c r="M6140" s="11">
        <f>B6140+30</f>
        <v/>
      </c>
      <c r="N6140">
        <f>IF(L6140="", "", L6140-B6140)</f>
        <v/>
      </c>
      <c r="O6140">
        <f>IF(L6140="", "Pending", IF(N6140&lt;=30, "Met", "Breached"))</f>
        <v/>
      </c>
    </row>
    <row r="6141">
      <c r="M6141" s="11">
        <f>B6141+30</f>
        <v/>
      </c>
      <c r="N6141">
        <f>IF(L6141="", "", L6141-B6141)</f>
        <v/>
      </c>
      <c r="O6141">
        <f>IF(L6141="", "Pending", IF(N6141&lt;=30, "Met", "Breached"))</f>
        <v/>
      </c>
    </row>
    <row r="6142">
      <c r="M6142" s="11">
        <f>B6142+30</f>
        <v/>
      </c>
      <c r="N6142">
        <f>IF(L6142="", "", L6142-B6142)</f>
        <v/>
      </c>
      <c r="O6142">
        <f>IF(L6142="", "Pending", IF(N6142&lt;=30, "Met", "Breached"))</f>
        <v/>
      </c>
    </row>
    <row r="6143">
      <c r="M6143" s="11">
        <f>B6143+30</f>
        <v/>
      </c>
      <c r="N6143">
        <f>IF(L6143="", "", L6143-B6143)</f>
        <v/>
      </c>
      <c r="O6143">
        <f>IF(L6143="", "Pending", IF(N6143&lt;=30, "Met", "Breached"))</f>
        <v/>
      </c>
    </row>
    <row r="6144">
      <c r="M6144" s="11">
        <f>B6144+30</f>
        <v/>
      </c>
      <c r="N6144">
        <f>IF(L6144="", "", L6144-B6144)</f>
        <v/>
      </c>
      <c r="O6144">
        <f>IF(L6144="", "Pending", IF(N6144&lt;=30, "Met", "Breached"))</f>
        <v/>
      </c>
    </row>
    <row r="6145">
      <c r="M6145" s="11">
        <f>B6145+30</f>
        <v/>
      </c>
      <c r="N6145">
        <f>IF(L6145="", "", L6145-B6145)</f>
        <v/>
      </c>
      <c r="O6145">
        <f>IF(L6145="", "Pending", IF(N6145&lt;=30, "Met", "Breached"))</f>
        <v/>
      </c>
    </row>
    <row r="6146">
      <c r="M6146" s="11">
        <f>B6146+30</f>
        <v/>
      </c>
      <c r="N6146">
        <f>IF(L6146="", "", L6146-B6146)</f>
        <v/>
      </c>
      <c r="O6146">
        <f>IF(L6146="", "Pending", IF(N6146&lt;=30, "Met", "Breached"))</f>
        <v/>
      </c>
    </row>
    <row r="6147">
      <c r="M6147" s="11">
        <f>B6147+30</f>
        <v/>
      </c>
      <c r="N6147">
        <f>IF(L6147="", "", L6147-B6147)</f>
        <v/>
      </c>
      <c r="O6147">
        <f>IF(L6147="", "Pending", IF(N6147&lt;=30, "Met", "Breached"))</f>
        <v/>
      </c>
    </row>
    <row r="6148">
      <c r="M6148" s="11">
        <f>B6148+30</f>
        <v/>
      </c>
      <c r="N6148">
        <f>IF(L6148="", "", L6148-B6148)</f>
        <v/>
      </c>
      <c r="O6148">
        <f>IF(L6148="", "Pending", IF(N6148&lt;=30, "Met", "Breached"))</f>
        <v/>
      </c>
    </row>
    <row r="6149">
      <c r="M6149" s="11">
        <f>B6149+30</f>
        <v/>
      </c>
      <c r="N6149">
        <f>IF(L6149="", "", L6149-B6149)</f>
        <v/>
      </c>
      <c r="O6149">
        <f>IF(L6149="", "Pending", IF(N6149&lt;=30, "Met", "Breached"))</f>
        <v/>
      </c>
    </row>
    <row r="6150">
      <c r="M6150" s="11">
        <f>B6150+30</f>
        <v/>
      </c>
      <c r="N6150">
        <f>IF(L6150="", "", L6150-B6150)</f>
        <v/>
      </c>
      <c r="O6150">
        <f>IF(L6150="", "Pending", IF(N6150&lt;=30, "Met", "Breached"))</f>
        <v/>
      </c>
    </row>
    <row r="6151">
      <c r="M6151" s="11">
        <f>B6151+30</f>
        <v/>
      </c>
      <c r="N6151">
        <f>IF(L6151="", "", L6151-B6151)</f>
        <v/>
      </c>
      <c r="O6151">
        <f>IF(L6151="", "Pending", IF(N6151&lt;=30, "Met", "Breached"))</f>
        <v/>
      </c>
    </row>
    <row r="6152">
      <c r="M6152" s="11">
        <f>B6152+30</f>
        <v/>
      </c>
      <c r="N6152">
        <f>IF(L6152="", "", L6152-B6152)</f>
        <v/>
      </c>
      <c r="O6152">
        <f>IF(L6152="", "Pending", IF(N6152&lt;=30, "Met", "Breached"))</f>
        <v/>
      </c>
    </row>
    <row r="6153">
      <c r="M6153" s="11">
        <f>B6153+30</f>
        <v/>
      </c>
      <c r="N6153">
        <f>IF(L6153="", "", L6153-B6153)</f>
        <v/>
      </c>
      <c r="O6153">
        <f>IF(L6153="", "Pending", IF(N6153&lt;=30, "Met", "Breached"))</f>
        <v/>
      </c>
    </row>
    <row r="6154">
      <c r="M6154" s="11">
        <f>B6154+30</f>
        <v/>
      </c>
      <c r="N6154">
        <f>IF(L6154="", "", L6154-B6154)</f>
        <v/>
      </c>
      <c r="O6154">
        <f>IF(L6154="", "Pending", IF(N6154&lt;=30, "Met", "Breached"))</f>
        <v/>
      </c>
    </row>
    <row r="6155">
      <c r="M6155" s="11">
        <f>B6155+30</f>
        <v/>
      </c>
      <c r="N6155">
        <f>IF(L6155="", "", L6155-B6155)</f>
        <v/>
      </c>
      <c r="O6155">
        <f>IF(L6155="", "Pending", IF(N6155&lt;=30, "Met", "Breached"))</f>
        <v/>
      </c>
    </row>
    <row r="6156">
      <c r="M6156" s="11">
        <f>B6156+30</f>
        <v/>
      </c>
      <c r="N6156">
        <f>IF(L6156="", "", L6156-B6156)</f>
        <v/>
      </c>
      <c r="O6156">
        <f>IF(L6156="", "Pending", IF(N6156&lt;=30, "Met", "Breached"))</f>
        <v/>
      </c>
    </row>
    <row r="6157">
      <c r="M6157" s="11">
        <f>B6157+30</f>
        <v/>
      </c>
      <c r="N6157">
        <f>IF(L6157="", "", L6157-B6157)</f>
        <v/>
      </c>
      <c r="O6157">
        <f>IF(L6157="", "Pending", IF(N6157&lt;=30, "Met", "Breached"))</f>
        <v/>
      </c>
    </row>
    <row r="6158">
      <c r="M6158" s="11">
        <f>B6158+30</f>
        <v/>
      </c>
      <c r="N6158">
        <f>IF(L6158="", "", L6158-B6158)</f>
        <v/>
      </c>
      <c r="O6158">
        <f>IF(L6158="", "Pending", IF(N6158&lt;=30, "Met", "Breached"))</f>
        <v/>
      </c>
    </row>
    <row r="6159">
      <c r="M6159" s="11">
        <f>B6159+30</f>
        <v/>
      </c>
      <c r="N6159">
        <f>IF(L6159="", "", L6159-B6159)</f>
        <v/>
      </c>
      <c r="O6159">
        <f>IF(L6159="", "Pending", IF(N6159&lt;=30, "Met", "Breached"))</f>
        <v/>
      </c>
    </row>
    <row r="6160">
      <c r="M6160" s="11">
        <f>B6160+30</f>
        <v/>
      </c>
      <c r="N6160">
        <f>IF(L6160="", "", L6160-B6160)</f>
        <v/>
      </c>
      <c r="O6160">
        <f>IF(L6160="", "Pending", IF(N6160&lt;=30, "Met", "Breached"))</f>
        <v/>
      </c>
    </row>
    <row r="6161">
      <c r="M6161" s="11">
        <f>B6161+30</f>
        <v/>
      </c>
      <c r="N6161">
        <f>IF(L6161="", "", L6161-B6161)</f>
        <v/>
      </c>
      <c r="O6161">
        <f>IF(L6161="", "Pending", IF(N6161&lt;=30, "Met", "Breached"))</f>
        <v/>
      </c>
    </row>
    <row r="6162">
      <c r="M6162" s="11">
        <f>B6162+30</f>
        <v/>
      </c>
      <c r="N6162">
        <f>IF(L6162="", "", L6162-B6162)</f>
        <v/>
      </c>
      <c r="O6162">
        <f>IF(L6162="", "Pending", IF(N6162&lt;=30, "Met", "Breached"))</f>
        <v/>
      </c>
    </row>
    <row r="6163">
      <c r="M6163" s="11">
        <f>B6163+30</f>
        <v/>
      </c>
      <c r="N6163">
        <f>IF(L6163="", "", L6163-B6163)</f>
        <v/>
      </c>
      <c r="O6163">
        <f>IF(L6163="", "Pending", IF(N6163&lt;=30, "Met", "Breached"))</f>
        <v/>
      </c>
    </row>
    <row r="6164">
      <c r="M6164" s="11">
        <f>B6164+30</f>
        <v/>
      </c>
      <c r="N6164">
        <f>IF(L6164="", "", L6164-B6164)</f>
        <v/>
      </c>
      <c r="O6164">
        <f>IF(L6164="", "Pending", IF(N6164&lt;=30, "Met", "Breached"))</f>
        <v/>
      </c>
    </row>
    <row r="6165">
      <c r="M6165" s="11">
        <f>B6165+30</f>
        <v/>
      </c>
      <c r="N6165">
        <f>IF(L6165="", "", L6165-B6165)</f>
        <v/>
      </c>
      <c r="O6165">
        <f>IF(L6165="", "Pending", IF(N6165&lt;=30, "Met", "Breached"))</f>
        <v/>
      </c>
    </row>
    <row r="6166">
      <c r="M6166" s="11">
        <f>B6166+30</f>
        <v/>
      </c>
      <c r="N6166">
        <f>IF(L6166="", "", L6166-B6166)</f>
        <v/>
      </c>
      <c r="O6166">
        <f>IF(L6166="", "Pending", IF(N6166&lt;=30, "Met", "Breached"))</f>
        <v/>
      </c>
    </row>
    <row r="6167">
      <c r="M6167" s="11">
        <f>B6167+30</f>
        <v/>
      </c>
      <c r="N6167">
        <f>IF(L6167="", "", L6167-B6167)</f>
        <v/>
      </c>
      <c r="O6167">
        <f>IF(L6167="", "Pending", IF(N6167&lt;=30, "Met", "Breached"))</f>
        <v/>
      </c>
    </row>
    <row r="6168">
      <c r="M6168" s="11">
        <f>B6168+30</f>
        <v/>
      </c>
      <c r="N6168">
        <f>IF(L6168="", "", L6168-B6168)</f>
        <v/>
      </c>
      <c r="O6168">
        <f>IF(L6168="", "Pending", IF(N6168&lt;=30, "Met", "Breached"))</f>
        <v/>
      </c>
    </row>
    <row r="6169">
      <c r="M6169" s="11">
        <f>B6169+30</f>
        <v/>
      </c>
      <c r="N6169">
        <f>IF(L6169="", "", L6169-B6169)</f>
        <v/>
      </c>
      <c r="O6169">
        <f>IF(L6169="", "Pending", IF(N6169&lt;=30, "Met", "Breached"))</f>
        <v/>
      </c>
    </row>
    <row r="6170">
      <c r="M6170" s="11">
        <f>B6170+30</f>
        <v/>
      </c>
      <c r="N6170">
        <f>IF(L6170="", "", L6170-B6170)</f>
        <v/>
      </c>
      <c r="O6170">
        <f>IF(L6170="", "Pending", IF(N6170&lt;=30, "Met", "Breached"))</f>
        <v/>
      </c>
    </row>
    <row r="6171">
      <c r="M6171" s="11">
        <f>B6171+30</f>
        <v/>
      </c>
      <c r="N6171">
        <f>IF(L6171="", "", L6171-B6171)</f>
        <v/>
      </c>
      <c r="O6171">
        <f>IF(L6171="", "Pending", IF(N6171&lt;=30, "Met", "Breached"))</f>
        <v/>
      </c>
    </row>
    <row r="6172">
      <c r="M6172" s="11">
        <f>B6172+30</f>
        <v/>
      </c>
      <c r="N6172">
        <f>IF(L6172="", "", L6172-B6172)</f>
        <v/>
      </c>
      <c r="O6172">
        <f>IF(L6172="", "Pending", IF(N6172&lt;=30, "Met", "Breached"))</f>
        <v/>
      </c>
    </row>
    <row r="6173">
      <c r="M6173" s="11">
        <f>B6173+30</f>
        <v/>
      </c>
      <c r="N6173">
        <f>IF(L6173="", "", L6173-B6173)</f>
        <v/>
      </c>
      <c r="O6173">
        <f>IF(L6173="", "Pending", IF(N6173&lt;=30, "Met", "Breached"))</f>
        <v/>
      </c>
    </row>
    <row r="6174">
      <c r="M6174" s="11">
        <f>B6174+30</f>
        <v/>
      </c>
      <c r="N6174">
        <f>IF(L6174="", "", L6174-B6174)</f>
        <v/>
      </c>
      <c r="O6174">
        <f>IF(L6174="", "Pending", IF(N6174&lt;=30, "Met", "Breached"))</f>
        <v/>
      </c>
    </row>
    <row r="6175">
      <c r="M6175" s="11">
        <f>B6175+30</f>
        <v/>
      </c>
      <c r="N6175">
        <f>IF(L6175="", "", L6175-B6175)</f>
        <v/>
      </c>
      <c r="O6175">
        <f>IF(L6175="", "Pending", IF(N6175&lt;=30, "Met", "Breached"))</f>
        <v/>
      </c>
    </row>
    <row r="6176">
      <c r="M6176" s="11">
        <f>B6176+30</f>
        <v/>
      </c>
      <c r="N6176">
        <f>IF(L6176="", "", L6176-B6176)</f>
        <v/>
      </c>
      <c r="O6176">
        <f>IF(L6176="", "Pending", IF(N6176&lt;=30, "Met", "Breached"))</f>
        <v/>
      </c>
    </row>
    <row r="6177">
      <c r="M6177" s="11">
        <f>B6177+30</f>
        <v/>
      </c>
      <c r="N6177">
        <f>IF(L6177="", "", L6177-B6177)</f>
        <v/>
      </c>
      <c r="O6177">
        <f>IF(L6177="", "Pending", IF(N6177&lt;=30, "Met", "Breached"))</f>
        <v/>
      </c>
    </row>
    <row r="6178">
      <c r="M6178" s="11">
        <f>B6178+30</f>
        <v/>
      </c>
      <c r="N6178">
        <f>IF(L6178="", "", L6178-B6178)</f>
        <v/>
      </c>
      <c r="O6178">
        <f>IF(L6178="", "Pending", IF(N6178&lt;=30, "Met", "Breached"))</f>
        <v/>
      </c>
    </row>
    <row r="6179">
      <c r="M6179" s="11">
        <f>B6179+30</f>
        <v/>
      </c>
      <c r="N6179">
        <f>IF(L6179="", "", L6179-B6179)</f>
        <v/>
      </c>
      <c r="O6179">
        <f>IF(L6179="", "Pending", IF(N6179&lt;=30, "Met", "Breached"))</f>
        <v/>
      </c>
    </row>
    <row r="6180">
      <c r="M6180" s="11">
        <f>B6180+30</f>
        <v/>
      </c>
      <c r="N6180">
        <f>IF(L6180="", "", L6180-B6180)</f>
        <v/>
      </c>
      <c r="O6180">
        <f>IF(L6180="", "Pending", IF(N6180&lt;=30, "Met", "Breached"))</f>
        <v/>
      </c>
    </row>
    <row r="6181">
      <c r="M6181" s="11">
        <f>B6181+30</f>
        <v/>
      </c>
      <c r="N6181">
        <f>IF(L6181="", "", L6181-B6181)</f>
        <v/>
      </c>
      <c r="O6181">
        <f>IF(L6181="", "Pending", IF(N6181&lt;=30, "Met", "Breached"))</f>
        <v/>
      </c>
    </row>
    <row r="6182">
      <c r="M6182" s="11">
        <f>B6182+30</f>
        <v/>
      </c>
      <c r="N6182">
        <f>IF(L6182="", "", L6182-B6182)</f>
        <v/>
      </c>
      <c r="O6182">
        <f>IF(L6182="", "Pending", IF(N6182&lt;=30, "Met", "Breached"))</f>
        <v/>
      </c>
    </row>
    <row r="6183">
      <c r="M6183" s="11">
        <f>B6183+30</f>
        <v/>
      </c>
      <c r="N6183">
        <f>IF(L6183="", "", L6183-B6183)</f>
        <v/>
      </c>
      <c r="O6183">
        <f>IF(L6183="", "Pending", IF(N6183&lt;=30, "Met", "Breached"))</f>
        <v/>
      </c>
    </row>
    <row r="6184">
      <c r="M6184" s="11">
        <f>B6184+30</f>
        <v/>
      </c>
      <c r="N6184">
        <f>IF(L6184="", "", L6184-B6184)</f>
        <v/>
      </c>
      <c r="O6184">
        <f>IF(L6184="", "Pending", IF(N6184&lt;=30, "Met", "Breached"))</f>
        <v/>
      </c>
    </row>
    <row r="6185">
      <c r="M6185" s="11">
        <f>B6185+30</f>
        <v/>
      </c>
      <c r="N6185">
        <f>IF(L6185="", "", L6185-B6185)</f>
        <v/>
      </c>
      <c r="O6185">
        <f>IF(L6185="", "Pending", IF(N6185&lt;=30, "Met", "Breached"))</f>
        <v/>
      </c>
    </row>
    <row r="6186">
      <c r="M6186" s="11">
        <f>B6186+30</f>
        <v/>
      </c>
      <c r="N6186">
        <f>IF(L6186="", "", L6186-B6186)</f>
        <v/>
      </c>
      <c r="O6186">
        <f>IF(L6186="", "Pending", IF(N6186&lt;=30, "Met", "Breached"))</f>
        <v/>
      </c>
    </row>
    <row r="6187">
      <c r="M6187" s="11">
        <f>B6187+30</f>
        <v/>
      </c>
      <c r="N6187">
        <f>IF(L6187="", "", L6187-B6187)</f>
        <v/>
      </c>
      <c r="O6187">
        <f>IF(L6187="", "Pending", IF(N6187&lt;=30, "Met", "Breached"))</f>
        <v/>
      </c>
    </row>
    <row r="6188">
      <c r="M6188" s="11">
        <f>B6188+30</f>
        <v/>
      </c>
      <c r="N6188">
        <f>IF(L6188="", "", L6188-B6188)</f>
        <v/>
      </c>
      <c r="O6188">
        <f>IF(L6188="", "Pending", IF(N6188&lt;=30, "Met", "Breached"))</f>
        <v/>
      </c>
    </row>
    <row r="6189">
      <c r="M6189" s="11">
        <f>B6189+30</f>
        <v/>
      </c>
      <c r="N6189">
        <f>IF(L6189="", "", L6189-B6189)</f>
        <v/>
      </c>
      <c r="O6189">
        <f>IF(L6189="", "Pending", IF(N6189&lt;=30, "Met", "Breached"))</f>
        <v/>
      </c>
    </row>
    <row r="6190">
      <c r="M6190" s="11">
        <f>B6190+30</f>
        <v/>
      </c>
      <c r="N6190">
        <f>IF(L6190="", "", L6190-B6190)</f>
        <v/>
      </c>
      <c r="O6190">
        <f>IF(L6190="", "Pending", IF(N6190&lt;=30, "Met", "Breached"))</f>
        <v/>
      </c>
    </row>
    <row r="6191">
      <c r="M6191" s="11">
        <f>B6191+30</f>
        <v/>
      </c>
      <c r="N6191">
        <f>IF(L6191="", "", L6191-B6191)</f>
        <v/>
      </c>
      <c r="O6191">
        <f>IF(L6191="", "Pending", IF(N6191&lt;=30, "Met", "Breached"))</f>
        <v/>
      </c>
    </row>
    <row r="6192">
      <c r="M6192" s="11">
        <f>B6192+30</f>
        <v/>
      </c>
      <c r="N6192">
        <f>IF(L6192="", "", L6192-B6192)</f>
        <v/>
      </c>
      <c r="O6192">
        <f>IF(L6192="", "Pending", IF(N6192&lt;=30, "Met", "Breached"))</f>
        <v/>
      </c>
    </row>
    <row r="6193">
      <c r="M6193" s="11">
        <f>B6193+30</f>
        <v/>
      </c>
      <c r="N6193">
        <f>IF(L6193="", "", L6193-B6193)</f>
        <v/>
      </c>
      <c r="O6193">
        <f>IF(L6193="", "Pending", IF(N6193&lt;=30, "Met", "Breached"))</f>
        <v/>
      </c>
    </row>
    <row r="6194">
      <c r="M6194" s="11">
        <f>B6194+30</f>
        <v/>
      </c>
      <c r="N6194">
        <f>IF(L6194="", "", L6194-B6194)</f>
        <v/>
      </c>
      <c r="O6194">
        <f>IF(L6194="", "Pending", IF(N6194&lt;=30, "Met", "Breached"))</f>
        <v/>
      </c>
    </row>
    <row r="6195">
      <c r="M6195" s="11">
        <f>B6195+30</f>
        <v/>
      </c>
      <c r="N6195">
        <f>IF(L6195="", "", L6195-B6195)</f>
        <v/>
      </c>
      <c r="O6195">
        <f>IF(L6195="", "Pending", IF(N6195&lt;=30, "Met", "Breached"))</f>
        <v/>
      </c>
    </row>
    <row r="6196">
      <c r="M6196" s="11">
        <f>B6196+30</f>
        <v/>
      </c>
      <c r="N6196">
        <f>IF(L6196="", "", L6196-B6196)</f>
        <v/>
      </c>
      <c r="O6196">
        <f>IF(L6196="", "Pending", IF(N6196&lt;=30, "Met", "Breached"))</f>
        <v/>
      </c>
    </row>
    <row r="6197">
      <c r="M6197" s="11">
        <f>B6197+30</f>
        <v/>
      </c>
      <c r="N6197">
        <f>IF(L6197="", "", L6197-B6197)</f>
        <v/>
      </c>
      <c r="O6197">
        <f>IF(L6197="", "Pending", IF(N6197&lt;=30, "Met", "Breached"))</f>
        <v/>
      </c>
    </row>
    <row r="6198">
      <c r="M6198" s="11">
        <f>B6198+30</f>
        <v/>
      </c>
      <c r="N6198">
        <f>IF(L6198="", "", L6198-B6198)</f>
        <v/>
      </c>
      <c r="O6198">
        <f>IF(L6198="", "Pending", IF(N6198&lt;=30, "Met", "Breached"))</f>
        <v/>
      </c>
    </row>
    <row r="6199">
      <c r="M6199" s="11">
        <f>B6199+30</f>
        <v/>
      </c>
      <c r="N6199">
        <f>IF(L6199="", "", L6199-B6199)</f>
        <v/>
      </c>
      <c r="O6199">
        <f>IF(L6199="", "Pending", IF(N6199&lt;=30, "Met", "Breached"))</f>
        <v/>
      </c>
    </row>
    <row r="6200">
      <c r="M6200" s="11">
        <f>B6200+30</f>
        <v/>
      </c>
      <c r="N6200">
        <f>IF(L6200="", "", L6200-B6200)</f>
        <v/>
      </c>
      <c r="O6200">
        <f>IF(L6200="", "Pending", IF(N6200&lt;=30, "Met", "Breached"))</f>
        <v/>
      </c>
    </row>
    <row r="6201">
      <c r="M6201" s="11">
        <f>B6201+30</f>
        <v/>
      </c>
      <c r="N6201">
        <f>IF(L6201="", "", L6201-B6201)</f>
        <v/>
      </c>
      <c r="O6201">
        <f>IF(L6201="", "Pending", IF(N6201&lt;=30, "Met", "Breached"))</f>
        <v/>
      </c>
    </row>
    <row r="6202">
      <c r="M6202" s="11">
        <f>B6202+30</f>
        <v/>
      </c>
      <c r="N6202">
        <f>IF(L6202="", "", L6202-B6202)</f>
        <v/>
      </c>
      <c r="O6202">
        <f>IF(L6202="", "Pending", IF(N6202&lt;=30, "Met", "Breached"))</f>
        <v/>
      </c>
    </row>
    <row r="6203">
      <c r="M6203" s="11">
        <f>B6203+30</f>
        <v/>
      </c>
      <c r="N6203">
        <f>IF(L6203="", "", L6203-B6203)</f>
        <v/>
      </c>
      <c r="O6203">
        <f>IF(L6203="", "Pending", IF(N6203&lt;=30, "Met", "Breached"))</f>
        <v/>
      </c>
    </row>
    <row r="6204">
      <c r="M6204" s="11">
        <f>B6204+30</f>
        <v/>
      </c>
      <c r="N6204">
        <f>IF(L6204="", "", L6204-B6204)</f>
        <v/>
      </c>
      <c r="O6204">
        <f>IF(L6204="", "Pending", IF(N6204&lt;=30, "Met", "Breached"))</f>
        <v/>
      </c>
    </row>
    <row r="6205">
      <c r="M6205" s="11">
        <f>B6205+30</f>
        <v/>
      </c>
      <c r="N6205">
        <f>IF(L6205="", "", L6205-B6205)</f>
        <v/>
      </c>
      <c r="O6205">
        <f>IF(L6205="", "Pending", IF(N6205&lt;=30, "Met", "Breached"))</f>
        <v/>
      </c>
    </row>
    <row r="6206">
      <c r="M6206" s="11">
        <f>B6206+30</f>
        <v/>
      </c>
      <c r="N6206">
        <f>IF(L6206="", "", L6206-B6206)</f>
        <v/>
      </c>
      <c r="O6206">
        <f>IF(L6206="", "Pending", IF(N6206&lt;=30, "Met", "Breached"))</f>
        <v/>
      </c>
    </row>
    <row r="6207">
      <c r="M6207" s="11">
        <f>B6207+30</f>
        <v/>
      </c>
      <c r="N6207">
        <f>IF(L6207="", "", L6207-B6207)</f>
        <v/>
      </c>
      <c r="O6207">
        <f>IF(L6207="", "Pending", IF(N6207&lt;=30, "Met", "Breached"))</f>
        <v/>
      </c>
    </row>
    <row r="6208">
      <c r="M6208" s="11">
        <f>B6208+30</f>
        <v/>
      </c>
      <c r="N6208">
        <f>IF(L6208="", "", L6208-B6208)</f>
        <v/>
      </c>
      <c r="O6208">
        <f>IF(L6208="", "Pending", IF(N6208&lt;=30, "Met", "Breached"))</f>
        <v/>
      </c>
    </row>
    <row r="6209">
      <c r="M6209" s="11">
        <f>B6209+30</f>
        <v/>
      </c>
      <c r="N6209">
        <f>IF(L6209="", "", L6209-B6209)</f>
        <v/>
      </c>
      <c r="O6209">
        <f>IF(L6209="", "Pending", IF(N6209&lt;=30, "Met", "Breached"))</f>
        <v/>
      </c>
    </row>
    <row r="6210">
      <c r="M6210" s="11">
        <f>B6210+30</f>
        <v/>
      </c>
      <c r="N6210">
        <f>IF(L6210="", "", L6210-B6210)</f>
        <v/>
      </c>
      <c r="O6210">
        <f>IF(L6210="", "Pending", IF(N6210&lt;=30, "Met", "Breached"))</f>
        <v/>
      </c>
    </row>
    <row r="6211">
      <c r="M6211" s="11">
        <f>B6211+30</f>
        <v/>
      </c>
      <c r="N6211">
        <f>IF(L6211="", "", L6211-B6211)</f>
        <v/>
      </c>
      <c r="O6211">
        <f>IF(L6211="", "Pending", IF(N6211&lt;=30, "Met", "Breached"))</f>
        <v/>
      </c>
    </row>
    <row r="6212">
      <c r="M6212" s="11">
        <f>B6212+30</f>
        <v/>
      </c>
      <c r="N6212">
        <f>IF(L6212="", "", L6212-B6212)</f>
        <v/>
      </c>
      <c r="O6212">
        <f>IF(L6212="", "Pending", IF(N6212&lt;=30, "Met", "Breached"))</f>
        <v/>
      </c>
    </row>
    <row r="6213">
      <c r="M6213" s="11">
        <f>B6213+30</f>
        <v/>
      </c>
      <c r="N6213">
        <f>IF(L6213="", "", L6213-B6213)</f>
        <v/>
      </c>
      <c r="O6213">
        <f>IF(L6213="", "Pending", IF(N6213&lt;=30, "Met", "Breached"))</f>
        <v/>
      </c>
    </row>
    <row r="6214">
      <c r="M6214" s="11">
        <f>B6214+30</f>
        <v/>
      </c>
      <c r="N6214">
        <f>IF(L6214="", "", L6214-B6214)</f>
        <v/>
      </c>
      <c r="O6214">
        <f>IF(L6214="", "Pending", IF(N6214&lt;=30, "Met", "Breached"))</f>
        <v/>
      </c>
    </row>
    <row r="6215">
      <c r="M6215" s="11">
        <f>B6215+30</f>
        <v/>
      </c>
      <c r="N6215">
        <f>IF(L6215="", "", L6215-B6215)</f>
        <v/>
      </c>
      <c r="O6215">
        <f>IF(L6215="", "Pending", IF(N6215&lt;=30, "Met", "Breached"))</f>
        <v/>
      </c>
    </row>
    <row r="6216">
      <c r="M6216" s="11">
        <f>B6216+30</f>
        <v/>
      </c>
      <c r="N6216">
        <f>IF(L6216="", "", L6216-B6216)</f>
        <v/>
      </c>
      <c r="O6216">
        <f>IF(L6216="", "Pending", IF(N6216&lt;=30, "Met", "Breached"))</f>
        <v/>
      </c>
    </row>
    <row r="6217">
      <c r="M6217" s="11">
        <f>B6217+30</f>
        <v/>
      </c>
      <c r="N6217">
        <f>IF(L6217="", "", L6217-B6217)</f>
        <v/>
      </c>
      <c r="O6217">
        <f>IF(L6217="", "Pending", IF(N6217&lt;=30, "Met", "Breached"))</f>
        <v/>
      </c>
    </row>
    <row r="6218">
      <c r="M6218" s="11">
        <f>B6218+30</f>
        <v/>
      </c>
      <c r="N6218">
        <f>IF(L6218="", "", L6218-B6218)</f>
        <v/>
      </c>
      <c r="O6218">
        <f>IF(L6218="", "Pending", IF(N6218&lt;=30, "Met", "Breached"))</f>
        <v/>
      </c>
    </row>
    <row r="6219">
      <c r="M6219" s="11">
        <f>B6219+30</f>
        <v/>
      </c>
      <c r="N6219">
        <f>IF(L6219="", "", L6219-B6219)</f>
        <v/>
      </c>
      <c r="O6219">
        <f>IF(L6219="", "Pending", IF(N6219&lt;=30, "Met", "Breached"))</f>
        <v/>
      </c>
    </row>
    <row r="6220">
      <c r="M6220" s="11">
        <f>B6220+30</f>
        <v/>
      </c>
      <c r="N6220">
        <f>IF(L6220="", "", L6220-B6220)</f>
        <v/>
      </c>
      <c r="O6220">
        <f>IF(L6220="", "Pending", IF(N6220&lt;=30, "Met", "Breached"))</f>
        <v/>
      </c>
    </row>
    <row r="6221">
      <c r="M6221" s="11">
        <f>B6221+30</f>
        <v/>
      </c>
      <c r="N6221">
        <f>IF(L6221="", "", L6221-B6221)</f>
        <v/>
      </c>
      <c r="O6221">
        <f>IF(L6221="", "Pending", IF(N6221&lt;=30, "Met", "Breached"))</f>
        <v/>
      </c>
    </row>
    <row r="6222">
      <c r="M6222" s="11">
        <f>B6222+30</f>
        <v/>
      </c>
      <c r="N6222">
        <f>IF(L6222="", "", L6222-B6222)</f>
        <v/>
      </c>
      <c r="O6222">
        <f>IF(L6222="", "Pending", IF(N6222&lt;=30, "Met", "Breached"))</f>
        <v/>
      </c>
    </row>
    <row r="6223">
      <c r="M6223" s="11">
        <f>B6223+30</f>
        <v/>
      </c>
      <c r="N6223">
        <f>IF(L6223="", "", L6223-B6223)</f>
        <v/>
      </c>
      <c r="O6223">
        <f>IF(L6223="", "Pending", IF(N6223&lt;=30, "Met", "Breached"))</f>
        <v/>
      </c>
    </row>
    <row r="6224">
      <c r="M6224" s="11">
        <f>B6224+30</f>
        <v/>
      </c>
      <c r="N6224">
        <f>IF(L6224="", "", L6224-B6224)</f>
        <v/>
      </c>
      <c r="O6224">
        <f>IF(L6224="", "Pending", IF(N6224&lt;=30, "Met", "Breached"))</f>
        <v/>
      </c>
    </row>
    <row r="6225">
      <c r="M6225" s="11">
        <f>B6225+30</f>
        <v/>
      </c>
      <c r="N6225">
        <f>IF(L6225="", "", L6225-B6225)</f>
        <v/>
      </c>
      <c r="O6225">
        <f>IF(L6225="", "Pending", IF(N6225&lt;=30, "Met", "Breached"))</f>
        <v/>
      </c>
    </row>
    <row r="6226">
      <c r="M6226" s="11">
        <f>B6226+30</f>
        <v/>
      </c>
      <c r="N6226">
        <f>IF(L6226="", "", L6226-B6226)</f>
        <v/>
      </c>
      <c r="O6226">
        <f>IF(L6226="", "Pending", IF(N6226&lt;=30, "Met", "Breached"))</f>
        <v/>
      </c>
    </row>
    <row r="6227">
      <c r="M6227" s="11">
        <f>B6227+30</f>
        <v/>
      </c>
      <c r="N6227">
        <f>IF(L6227="", "", L6227-B6227)</f>
        <v/>
      </c>
      <c r="O6227">
        <f>IF(L6227="", "Pending", IF(N6227&lt;=30, "Met", "Breached"))</f>
        <v/>
      </c>
    </row>
    <row r="6228">
      <c r="M6228" s="11">
        <f>B6228+30</f>
        <v/>
      </c>
      <c r="N6228">
        <f>IF(L6228="", "", L6228-B6228)</f>
        <v/>
      </c>
      <c r="O6228">
        <f>IF(L6228="", "Pending", IF(N6228&lt;=30, "Met", "Breached"))</f>
        <v/>
      </c>
    </row>
    <row r="6229">
      <c r="M6229" s="11">
        <f>B6229+30</f>
        <v/>
      </c>
      <c r="N6229">
        <f>IF(L6229="", "", L6229-B6229)</f>
        <v/>
      </c>
      <c r="O6229">
        <f>IF(L6229="", "Pending", IF(N6229&lt;=30, "Met", "Breached"))</f>
        <v/>
      </c>
    </row>
    <row r="6230">
      <c r="M6230" s="11">
        <f>B6230+30</f>
        <v/>
      </c>
      <c r="N6230">
        <f>IF(L6230="", "", L6230-B6230)</f>
        <v/>
      </c>
      <c r="O6230">
        <f>IF(L6230="", "Pending", IF(N6230&lt;=30, "Met", "Breached"))</f>
        <v/>
      </c>
    </row>
    <row r="6231">
      <c r="M6231" s="11">
        <f>B6231+30</f>
        <v/>
      </c>
      <c r="N6231">
        <f>IF(L6231="", "", L6231-B6231)</f>
        <v/>
      </c>
      <c r="O6231">
        <f>IF(L6231="", "Pending", IF(N6231&lt;=30, "Met", "Breached"))</f>
        <v/>
      </c>
    </row>
    <row r="6232">
      <c r="M6232" s="11">
        <f>B6232+30</f>
        <v/>
      </c>
      <c r="N6232">
        <f>IF(L6232="", "", L6232-B6232)</f>
        <v/>
      </c>
      <c r="O6232">
        <f>IF(L6232="", "Pending", IF(N6232&lt;=30, "Met", "Breached"))</f>
        <v/>
      </c>
    </row>
    <row r="6233">
      <c r="M6233" s="11">
        <f>B6233+30</f>
        <v/>
      </c>
      <c r="N6233">
        <f>IF(L6233="", "", L6233-B6233)</f>
        <v/>
      </c>
      <c r="O6233">
        <f>IF(L6233="", "Pending", IF(N6233&lt;=30, "Met", "Breached"))</f>
        <v/>
      </c>
    </row>
    <row r="6234">
      <c r="M6234" s="11">
        <f>B6234+30</f>
        <v/>
      </c>
      <c r="N6234">
        <f>IF(L6234="", "", L6234-B6234)</f>
        <v/>
      </c>
      <c r="O6234">
        <f>IF(L6234="", "Pending", IF(N6234&lt;=30, "Met", "Breached"))</f>
        <v/>
      </c>
    </row>
    <row r="6235">
      <c r="M6235" s="11">
        <f>B6235+30</f>
        <v/>
      </c>
      <c r="N6235">
        <f>IF(L6235="", "", L6235-B6235)</f>
        <v/>
      </c>
      <c r="O6235">
        <f>IF(L6235="", "Pending", IF(N6235&lt;=30, "Met", "Breached"))</f>
        <v/>
      </c>
    </row>
    <row r="6236">
      <c r="M6236" s="11">
        <f>B6236+30</f>
        <v/>
      </c>
      <c r="N6236">
        <f>IF(L6236="", "", L6236-B6236)</f>
        <v/>
      </c>
      <c r="O6236">
        <f>IF(L6236="", "Pending", IF(N6236&lt;=30, "Met", "Breached"))</f>
        <v/>
      </c>
    </row>
    <row r="6237">
      <c r="M6237" s="11">
        <f>B6237+30</f>
        <v/>
      </c>
      <c r="N6237">
        <f>IF(L6237="", "", L6237-B6237)</f>
        <v/>
      </c>
      <c r="O6237">
        <f>IF(L6237="", "Pending", IF(N6237&lt;=30, "Met", "Breached"))</f>
        <v/>
      </c>
    </row>
    <row r="6238">
      <c r="M6238" s="11">
        <f>B6238+30</f>
        <v/>
      </c>
      <c r="N6238">
        <f>IF(L6238="", "", L6238-B6238)</f>
        <v/>
      </c>
      <c r="O6238">
        <f>IF(L6238="", "Pending", IF(N6238&lt;=30, "Met", "Breached"))</f>
        <v/>
      </c>
    </row>
    <row r="6239">
      <c r="M6239" s="11">
        <f>B6239+30</f>
        <v/>
      </c>
      <c r="N6239">
        <f>IF(L6239="", "", L6239-B6239)</f>
        <v/>
      </c>
      <c r="O6239">
        <f>IF(L6239="", "Pending", IF(N6239&lt;=30, "Met", "Breached"))</f>
        <v/>
      </c>
    </row>
    <row r="6240">
      <c r="M6240" s="11">
        <f>B6240+30</f>
        <v/>
      </c>
      <c r="N6240">
        <f>IF(L6240="", "", L6240-B6240)</f>
        <v/>
      </c>
      <c r="O6240">
        <f>IF(L6240="", "Pending", IF(N6240&lt;=30, "Met", "Breached"))</f>
        <v/>
      </c>
    </row>
    <row r="6241">
      <c r="M6241" s="11">
        <f>B6241+30</f>
        <v/>
      </c>
      <c r="N6241">
        <f>IF(L6241="", "", L6241-B6241)</f>
        <v/>
      </c>
      <c r="O6241">
        <f>IF(L6241="", "Pending", IF(N6241&lt;=30, "Met", "Breached"))</f>
        <v/>
      </c>
    </row>
    <row r="6242">
      <c r="M6242" s="11">
        <f>B6242+30</f>
        <v/>
      </c>
      <c r="N6242">
        <f>IF(L6242="", "", L6242-B6242)</f>
        <v/>
      </c>
      <c r="O6242">
        <f>IF(L6242="", "Pending", IF(N6242&lt;=30, "Met", "Breached"))</f>
        <v/>
      </c>
    </row>
    <row r="6243">
      <c r="M6243" s="11">
        <f>B6243+30</f>
        <v/>
      </c>
      <c r="N6243">
        <f>IF(L6243="", "", L6243-B6243)</f>
        <v/>
      </c>
      <c r="O6243">
        <f>IF(L6243="", "Pending", IF(N6243&lt;=30, "Met", "Breached"))</f>
        <v/>
      </c>
    </row>
    <row r="6244">
      <c r="M6244" s="11">
        <f>B6244+30</f>
        <v/>
      </c>
      <c r="N6244">
        <f>IF(L6244="", "", L6244-B6244)</f>
        <v/>
      </c>
      <c r="O6244">
        <f>IF(L6244="", "Pending", IF(N6244&lt;=30, "Met", "Breached"))</f>
        <v/>
      </c>
    </row>
    <row r="6245">
      <c r="M6245" s="11">
        <f>B6245+30</f>
        <v/>
      </c>
      <c r="N6245">
        <f>IF(L6245="", "", L6245-B6245)</f>
        <v/>
      </c>
      <c r="O6245">
        <f>IF(L6245="", "Pending", IF(N6245&lt;=30, "Met", "Breached"))</f>
        <v/>
      </c>
    </row>
    <row r="6246">
      <c r="M6246" s="11">
        <f>B6246+30</f>
        <v/>
      </c>
      <c r="N6246">
        <f>IF(L6246="", "", L6246-B6246)</f>
        <v/>
      </c>
      <c r="O6246">
        <f>IF(L6246="", "Pending", IF(N6246&lt;=30, "Met", "Breached"))</f>
        <v/>
      </c>
    </row>
    <row r="6247">
      <c r="M6247" s="11">
        <f>B6247+30</f>
        <v/>
      </c>
      <c r="N6247">
        <f>IF(L6247="", "", L6247-B6247)</f>
        <v/>
      </c>
      <c r="O6247">
        <f>IF(L6247="", "Pending", IF(N6247&lt;=30, "Met", "Breached"))</f>
        <v/>
      </c>
    </row>
    <row r="6248">
      <c r="M6248" s="11">
        <f>B6248+30</f>
        <v/>
      </c>
      <c r="N6248">
        <f>IF(L6248="", "", L6248-B6248)</f>
        <v/>
      </c>
      <c r="O6248">
        <f>IF(L6248="", "Pending", IF(N6248&lt;=30, "Met", "Breached"))</f>
        <v/>
      </c>
    </row>
    <row r="6249">
      <c r="M6249" s="11">
        <f>B6249+30</f>
        <v/>
      </c>
      <c r="N6249">
        <f>IF(L6249="", "", L6249-B6249)</f>
        <v/>
      </c>
      <c r="O6249">
        <f>IF(L6249="", "Pending", IF(N6249&lt;=30, "Met", "Breached"))</f>
        <v/>
      </c>
    </row>
    <row r="6250">
      <c r="M6250" s="11">
        <f>B6250+30</f>
        <v/>
      </c>
      <c r="N6250">
        <f>IF(L6250="", "", L6250-B6250)</f>
        <v/>
      </c>
      <c r="O6250">
        <f>IF(L6250="", "Pending", IF(N6250&lt;=30, "Met", "Breached"))</f>
        <v/>
      </c>
    </row>
    <row r="6251">
      <c r="M6251" s="11">
        <f>B6251+30</f>
        <v/>
      </c>
      <c r="N6251">
        <f>IF(L6251="", "", L6251-B6251)</f>
        <v/>
      </c>
      <c r="O6251">
        <f>IF(L6251="", "Pending", IF(N6251&lt;=30, "Met", "Breached"))</f>
        <v/>
      </c>
    </row>
    <row r="6252">
      <c r="M6252" s="11">
        <f>B6252+30</f>
        <v/>
      </c>
      <c r="N6252">
        <f>IF(L6252="", "", L6252-B6252)</f>
        <v/>
      </c>
      <c r="O6252">
        <f>IF(L6252="", "Pending", IF(N6252&lt;=30, "Met", "Breached"))</f>
        <v/>
      </c>
    </row>
    <row r="6253">
      <c r="M6253" s="11">
        <f>B6253+30</f>
        <v/>
      </c>
      <c r="N6253">
        <f>IF(L6253="", "", L6253-B6253)</f>
        <v/>
      </c>
      <c r="O6253">
        <f>IF(L6253="", "Pending", IF(N6253&lt;=30, "Met", "Breached"))</f>
        <v/>
      </c>
    </row>
    <row r="6254">
      <c r="M6254" s="11">
        <f>B6254+30</f>
        <v/>
      </c>
      <c r="N6254">
        <f>IF(L6254="", "", L6254-B6254)</f>
        <v/>
      </c>
      <c r="O6254">
        <f>IF(L6254="", "Pending", IF(N6254&lt;=30, "Met", "Breached"))</f>
        <v/>
      </c>
    </row>
    <row r="6255">
      <c r="M6255" s="11">
        <f>B6255+30</f>
        <v/>
      </c>
      <c r="N6255">
        <f>IF(L6255="", "", L6255-B6255)</f>
        <v/>
      </c>
      <c r="O6255">
        <f>IF(L6255="", "Pending", IF(N6255&lt;=30, "Met", "Breached"))</f>
        <v/>
      </c>
    </row>
    <row r="6256">
      <c r="M6256" s="11">
        <f>B6256+30</f>
        <v/>
      </c>
      <c r="N6256">
        <f>IF(L6256="", "", L6256-B6256)</f>
        <v/>
      </c>
      <c r="O6256">
        <f>IF(L6256="", "Pending", IF(N6256&lt;=30, "Met", "Breached"))</f>
        <v/>
      </c>
    </row>
    <row r="6257">
      <c r="M6257" s="11">
        <f>B6257+30</f>
        <v/>
      </c>
      <c r="N6257">
        <f>IF(L6257="", "", L6257-B6257)</f>
        <v/>
      </c>
      <c r="O6257">
        <f>IF(L6257="", "Pending", IF(N6257&lt;=30, "Met", "Breached"))</f>
        <v/>
      </c>
    </row>
    <row r="6258">
      <c r="M6258" s="11">
        <f>B6258+30</f>
        <v/>
      </c>
      <c r="N6258">
        <f>IF(L6258="", "", L6258-B6258)</f>
        <v/>
      </c>
      <c r="O6258">
        <f>IF(L6258="", "Pending", IF(N6258&lt;=30, "Met", "Breached"))</f>
        <v/>
      </c>
    </row>
    <row r="6259">
      <c r="M6259" s="11">
        <f>B6259+30</f>
        <v/>
      </c>
      <c r="N6259">
        <f>IF(L6259="", "", L6259-B6259)</f>
        <v/>
      </c>
      <c r="O6259">
        <f>IF(L6259="", "Pending", IF(N6259&lt;=30, "Met", "Breached"))</f>
        <v/>
      </c>
    </row>
    <row r="6260">
      <c r="M6260" s="11">
        <f>B6260+30</f>
        <v/>
      </c>
      <c r="N6260">
        <f>IF(L6260="", "", L6260-B6260)</f>
        <v/>
      </c>
      <c r="O6260">
        <f>IF(L6260="", "Pending", IF(N6260&lt;=30, "Met", "Breached"))</f>
        <v/>
      </c>
    </row>
    <row r="6261">
      <c r="M6261" s="11">
        <f>B6261+30</f>
        <v/>
      </c>
      <c r="N6261">
        <f>IF(L6261="", "", L6261-B6261)</f>
        <v/>
      </c>
      <c r="O6261">
        <f>IF(L6261="", "Pending", IF(N6261&lt;=30, "Met", "Breached"))</f>
        <v/>
      </c>
    </row>
    <row r="6262">
      <c r="M6262" s="11">
        <f>B6262+30</f>
        <v/>
      </c>
      <c r="N6262">
        <f>IF(L6262="", "", L6262-B6262)</f>
        <v/>
      </c>
      <c r="O6262">
        <f>IF(L6262="", "Pending", IF(N6262&lt;=30, "Met", "Breached"))</f>
        <v/>
      </c>
    </row>
    <row r="6263">
      <c r="M6263" s="11">
        <f>B6263+30</f>
        <v/>
      </c>
      <c r="N6263">
        <f>IF(L6263="", "", L6263-B6263)</f>
        <v/>
      </c>
      <c r="O6263">
        <f>IF(L6263="", "Pending", IF(N6263&lt;=30, "Met", "Breached"))</f>
        <v/>
      </c>
    </row>
    <row r="6264">
      <c r="M6264" s="11">
        <f>B6264+30</f>
        <v/>
      </c>
      <c r="N6264">
        <f>IF(L6264="", "", L6264-B6264)</f>
        <v/>
      </c>
      <c r="O6264">
        <f>IF(L6264="", "Pending", IF(N6264&lt;=30, "Met", "Breached"))</f>
        <v/>
      </c>
    </row>
    <row r="6265">
      <c r="M6265" s="11">
        <f>B6265+30</f>
        <v/>
      </c>
      <c r="N6265">
        <f>IF(L6265="", "", L6265-B6265)</f>
        <v/>
      </c>
      <c r="O6265">
        <f>IF(L6265="", "Pending", IF(N6265&lt;=30, "Met", "Breached"))</f>
        <v/>
      </c>
    </row>
    <row r="6266">
      <c r="M6266" s="11">
        <f>B6266+30</f>
        <v/>
      </c>
      <c r="N6266">
        <f>IF(L6266="", "", L6266-B6266)</f>
        <v/>
      </c>
      <c r="O6266">
        <f>IF(L6266="", "Pending", IF(N6266&lt;=30, "Met", "Breached"))</f>
        <v/>
      </c>
    </row>
    <row r="6267">
      <c r="M6267" s="11">
        <f>B6267+30</f>
        <v/>
      </c>
      <c r="N6267">
        <f>IF(L6267="", "", L6267-B6267)</f>
        <v/>
      </c>
      <c r="O6267">
        <f>IF(L6267="", "Pending", IF(N6267&lt;=30, "Met", "Breached"))</f>
        <v/>
      </c>
    </row>
    <row r="6268">
      <c r="M6268" s="11">
        <f>B6268+30</f>
        <v/>
      </c>
      <c r="N6268">
        <f>IF(L6268="", "", L6268-B6268)</f>
        <v/>
      </c>
      <c r="O6268">
        <f>IF(L6268="", "Pending", IF(N6268&lt;=30, "Met", "Breached"))</f>
        <v/>
      </c>
    </row>
    <row r="6269">
      <c r="M6269" s="11">
        <f>B6269+30</f>
        <v/>
      </c>
      <c r="N6269">
        <f>IF(L6269="", "", L6269-B6269)</f>
        <v/>
      </c>
      <c r="O6269">
        <f>IF(L6269="", "Pending", IF(N6269&lt;=30, "Met", "Breached"))</f>
        <v/>
      </c>
    </row>
    <row r="6270">
      <c r="M6270" s="11">
        <f>B6270+30</f>
        <v/>
      </c>
      <c r="N6270">
        <f>IF(L6270="", "", L6270-B6270)</f>
        <v/>
      </c>
      <c r="O6270">
        <f>IF(L6270="", "Pending", IF(N6270&lt;=30, "Met", "Breached"))</f>
        <v/>
      </c>
    </row>
    <row r="6271">
      <c r="M6271" s="11">
        <f>B6271+30</f>
        <v/>
      </c>
      <c r="N6271">
        <f>IF(L6271="", "", L6271-B6271)</f>
        <v/>
      </c>
      <c r="O6271">
        <f>IF(L6271="", "Pending", IF(N6271&lt;=30, "Met", "Breached"))</f>
        <v/>
      </c>
    </row>
    <row r="6272">
      <c r="M6272" s="11">
        <f>B6272+30</f>
        <v/>
      </c>
      <c r="N6272">
        <f>IF(L6272="", "", L6272-B6272)</f>
        <v/>
      </c>
      <c r="O6272">
        <f>IF(L6272="", "Pending", IF(N6272&lt;=30, "Met", "Breached"))</f>
        <v/>
      </c>
    </row>
    <row r="6273">
      <c r="M6273" s="11">
        <f>B6273+30</f>
        <v/>
      </c>
      <c r="N6273">
        <f>IF(L6273="", "", L6273-B6273)</f>
        <v/>
      </c>
      <c r="O6273">
        <f>IF(L6273="", "Pending", IF(N6273&lt;=30, "Met", "Breached"))</f>
        <v/>
      </c>
    </row>
    <row r="6274">
      <c r="M6274" s="11">
        <f>B6274+30</f>
        <v/>
      </c>
      <c r="N6274">
        <f>IF(L6274="", "", L6274-B6274)</f>
        <v/>
      </c>
      <c r="O6274">
        <f>IF(L6274="", "Pending", IF(N6274&lt;=30, "Met", "Breached"))</f>
        <v/>
      </c>
    </row>
    <row r="6275">
      <c r="M6275" s="11">
        <f>B6275+30</f>
        <v/>
      </c>
      <c r="N6275">
        <f>IF(L6275="", "", L6275-B6275)</f>
        <v/>
      </c>
      <c r="O6275">
        <f>IF(L6275="", "Pending", IF(N6275&lt;=30, "Met", "Breached"))</f>
        <v/>
      </c>
    </row>
    <row r="6276">
      <c r="M6276" s="11">
        <f>B6276+30</f>
        <v/>
      </c>
      <c r="N6276">
        <f>IF(L6276="", "", L6276-B6276)</f>
        <v/>
      </c>
      <c r="O6276">
        <f>IF(L6276="", "Pending", IF(N6276&lt;=30, "Met", "Breached"))</f>
        <v/>
      </c>
    </row>
    <row r="6277">
      <c r="M6277" s="11">
        <f>B6277+30</f>
        <v/>
      </c>
      <c r="N6277">
        <f>IF(L6277="", "", L6277-B6277)</f>
        <v/>
      </c>
      <c r="O6277">
        <f>IF(L6277="", "Pending", IF(N6277&lt;=30, "Met", "Breached"))</f>
        <v/>
      </c>
    </row>
    <row r="6278">
      <c r="M6278" s="11">
        <f>B6278+30</f>
        <v/>
      </c>
      <c r="N6278">
        <f>IF(L6278="", "", L6278-B6278)</f>
        <v/>
      </c>
      <c r="O6278">
        <f>IF(L6278="", "Pending", IF(N6278&lt;=30, "Met", "Breached"))</f>
        <v/>
      </c>
    </row>
    <row r="6279">
      <c r="M6279" s="11">
        <f>B6279+30</f>
        <v/>
      </c>
      <c r="N6279">
        <f>IF(L6279="", "", L6279-B6279)</f>
        <v/>
      </c>
      <c r="O6279">
        <f>IF(L6279="", "Pending", IF(N6279&lt;=30, "Met", "Breached"))</f>
        <v/>
      </c>
    </row>
    <row r="6280">
      <c r="M6280" s="11">
        <f>B6280+30</f>
        <v/>
      </c>
      <c r="N6280">
        <f>IF(L6280="", "", L6280-B6280)</f>
        <v/>
      </c>
      <c r="O6280">
        <f>IF(L6280="", "Pending", IF(N6280&lt;=30, "Met", "Breached"))</f>
        <v/>
      </c>
    </row>
    <row r="6281">
      <c r="M6281" s="11">
        <f>B6281+30</f>
        <v/>
      </c>
      <c r="N6281">
        <f>IF(L6281="", "", L6281-B6281)</f>
        <v/>
      </c>
      <c r="O6281">
        <f>IF(L6281="", "Pending", IF(N6281&lt;=30, "Met", "Breached"))</f>
        <v/>
      </c>
    </row>
    <row r="6282">
      <c r="M6282" s="11">
        <f>B6282+30</f>
        <v/>
      </c>
      <c r="N6282">
        <f>IF(L6282="", "", L6282-B6282)</f>
        <v/>
      </c>
      <c r="O6282">
        <f>IF(L6282="", "Pending", IF(N6282&lt;=30, "Met", "Breached"))</f>
        <v/>
      </c>
    </row>
    <row r="6283">
      <c r="M6283" s="11">
        <f>B6283+30</f>
        <v/>
      </c>
      <c r="N6283">
        <f>IF(L6283="", "", L6283-B6283)</f>
        <v/>
      </c>
      <c r="O6283">
        <f>IF(L6283="", "Pending", IF(N6283&lt;=30, "Met", "Breached"))</f>
        <v/>
      </c>
    </row>
    <row r="6284">
      <c r="M6284" s="11">
        <f>B6284+30</f>
        <v/>
      </c>
      <c r="N6284">
        <f>IF(L6284="", "", L6284-B6284)</f>
        <v/>
      </c>
      <c r="O6284">
        <f>IF(L6284="", "Pending", IF(N6284&lt;=30, "Met", "Breached"))</f>
        <v/>
      </c>
    </row>
    <row r="6285">
      <c r="M6285" s="11">
        <f>B6285+30</f>
        <v/>
      </c>
      <c r="N6285">
        <f>IF(L6285="", "", L6285-B6285)</f>
        <v/>
      </c>
      <c r="O6285">
        <f>IF(L6285="", "Pending", IF(N6285&lt;=30, "Met", "Breached"))</f>
        <v/>
      </c>
    </row>
    <row r="6286">
      <c r="M6286" s="11">
        <f>B6286+30</f>
        <v/>
      </c>
      <c r="N6286">
        <f>IF(L6286="", "", L6286-B6286)</f>
        <v/>
      </c>
      <c r="O6286">
        <f>IF(L6286="", "Pending", IF(N6286&lt;=30, "Met", "Breached"))</f>
        <v/>
      </c>
    </row>
    <row r="6287">
      <c r="M6287" s="11">
        <f>B6287+30</f>
        <v/>
      </c>
      <c r="N6287">
        <f>IF(L6287="", "", L6287-B6287)</f>
        <v/>
      </c>
      <c r="O6287">
        <f>IF(L6287="", "Pending", IF(N6287&lt;=30, "Met", "Breached"))</f>
        <v/>
      </c>
    </row>
    <row r="6288">
      <c r="M6288" s="11">
        <f>B6288+30</f>
        <v/>
      </c>
      <c r="N6288">
        <f>IF(L6288="", "", L6288-B6288)</f>
        <v/>
      </c>
      <c r="O6288">
        <f>IF(L6288="", "Pending", IF(N6288&lt;=30, "Met", "Breached"))</f>
        <v/>
      </c>
    </row>
    <row r="6289">
      <c r="M6289" s="11">
        <f>B6289+30</f>
        <v/>
      </c>
      <c r="N6289">
        <f>IF(L6289="", "", L6289-B6289)</f>
        <v/>
      </c>
      <c r="O6289">
        <f>IF(L6289="", "Pending", IF(N6289&lt;=30, "Met", "Breached"))</f>
        <v/>
      </c>
    </row>
    <row r="6290">
      <c r="M6290" s="11">
        <f>B6290+30</f>
        <v/>
      </c>
      <c r="N6290">
        <f>IF(L6290="", "", L6290-B6290)</f>
        <v/>
      </c>
      <c r="O6290">
        <f>IF(L6290="", "Pending", IF(N6290&lt;=30, "Met", "Breached"))</f>
        <v/>
      </c>
    </row>
    <row r="6291">
      <c r="M6291" s="11">
        <f>B6291+30</f>
        <v/>
      </c>
      <c r="N6291">
        <f>IF(L6291="", "", L6291-B6291)</f>
        <v/>
      </c>
      <c r="O6291">
        <f>IF(L6291="", "Pending", IF(N6291&lt;=30, "Met", "Breached"))</f>
        <v/>
      </c>
    </row>
    <row r="6292">
      <c r="M6292" s="11">
        <f>B6292+30</f>
        <v/>
      </c>
      <c r="N6292">
        <f>IF(L6292="", "", L6292-B6292)</f>
        <v/>
      </c>
      <c r="O6292">
        <f>IF(L6292="", "Pending", IF(N6292&lt;=30, "Met", "Breached"))</f>
        <v/>
      </c>
    </row>
    <row r="6293">
      <c r="M6293" s="11">
        <f>B6293+30</f>
        <v/>
      </c>
      <c r="N6293">
        <f>IF(L6293="", "", L6293-B6293)</f>
        <v/>
      </c>
      <c r="O6293">
        <f>IF(L6293="", "Pending", IF(N6293&lt;=30, "Met", "Breached"))</f>
        <v/>
      </c>
    </row>
    <row r="6294">
      <c r="M6294" s="11">
        <f>B6294+30</f>
        <v/>
      </c>
      <c r="N6294">
        <f>IF(L6294="", "", L6294-B6294)</f>
        <v/>
      </c>
      <c r="O6294">
        <f>IF(L6294="", "Pending", IF(N6294&lt;=30, "Met", "Breached"))</f>
        <v/>
      </c>
    </row>
    <row r="6295">
      <c r="M6295" s="11">
        <f>B6295+30</f>
        <v/>
      </c>
      <c r="N6295">
        <f>IF(L6295="", "", L6295-B6295)</f>
        <v/>
      </c>
      <c r="O6295">
        <f>IF(L6295="", "Pending", IF(N6295&lt;=30, "Met", "Breached"))</f>
        <v/>
      </c>
    </row>
    <row r="6296">
      <c r="M6296" s="11">
        <f>B6296+30</f>
        <v/>
      </c>
      <c r="N6296">
        <f>IF(L6296="", "", L6296-B6296)</f>
        <v/>
      </c>
      <c r="O6296">
        <f>IF(L6296="", "Pending", IF(N6296&lt;=30, "Met", "Breached"))</f>
        <v/>
      </c>
    </row>
    <row r="6297">
      <c r="M6297" s="11">
        <f>B6297+30</f>
        <v/>
      </c>
      <c r="N6297">
        <f>IF(L6297="", "", L6297-B6297)</f>
        <v/>
      </c>
      <c r="O6297">
        <f>IF(L6297="", "Pending", IF(N6297&lt;=30, "Met", "Breached"))</f>
        <v/>
      </c>
    </row>
    <row r="6298">
      <c r="M6298" s="11">
        <f>B6298+30</f>
        <v/>
      </c>
      <c r="N6298">
        <f>IF(L6298="", "", L6298-B6298)</f>
        <v/>
      </c>
      <c r="O6298">
        <f>IF(L6298="", "Pending", IF(N6298&lt;=30, "Met", "Breached"))</f>
        <v/>
      </c>
    </row>
    <row r="6299">
      <c r="M6299" s="11">
        <f>B6299+30</f>
        <v/>
      </c>
      <c r="N6299">
        <f>IF(L6299="", "", L6299-B6299)</f>
        <v/>
      </c>
      <c r="O6299">
        <f>IF(L6299="", "Pending", IF(N6299&lt;=30, "Met", "Breached"))</f>
        <v/>
      </c>
    </row>
    <row r="6300">
      <c r="M6300" s="11">
        <f>B6300+30</f>
        <v/>
      </c>
      <c r="N6300">
        <f>IF(L6300="", "", L6300-B6300)</f>
        <v/>
      </c>
      <c r="O6300">
        <f>IF(L6300="", "Pending", IF(N6300&lt;=30, "Met", "Breached"))</f>
        <v/>
      </c>
    </row>
    <row r="6301">
      <c r="M6301" s="11">
        <f>B6301+30</f>
        <v/>
      </c>
      <c r="N6301">
        <f>IF(L6301="", "", L6301-B6301)</f>
        <v/>
      </c>
      <c r="O6301">
        <f>IF(L6301="", "Pending", IF(N6301&lt;=30, "Met", "Breached"))</f>
        <v/>
      </c>
    </row>
    <row r="6302">
      <c r="M6302" s="11">
        <f>B6302+30</f>
        <v/>
      </c>
      <c r="N6302">
        <f>IF(L6302="", "", L6302-B6302)</f>
        <v/>
      </c>
      <c r="O6302">
        <f>IF(L6302="", "Pending", IF(N6302&lt;=30, "Met", "Breached"))</f>
        <v/>
      </c>
    </row>
    <row r="6303">
      <c r="M6303" s="11">
        <f>B6303+30</f>
        <v/>
      </c>
      <c r="N6303">
        <f>IF(L6303="", "", L6303-B6303)</f>
        <v/>
      </c>
      <c r="O6303">
        <f>IF(L6303="", "Pending", IF(N6303&lt;=30, "Met", "Breached"))</f>
        <v/>
      </c>
    </row>
    <row r="6304">
      <c r="M6304" s="11">
        <f>B6304+30</f>
        <v/>
      </c>
      <c r="N6304">
        <f>IF(L6304="", "", L6304-B6304)</f>
        <v/>
      </c>
      <c r="O6304">
        <f>IF(L6304="", "Pending", IF(N6304&lt;=30, "Met", "Breached"))</f>
        <v/>
      </c>
    </row>
    <row r="6305">
      <c r="M6305" s="11">
        <f>B6305+30</f>
        <v/>
      </c>
      <c r="N6305">
        <f>IF(L6305="", "", L6305-B6305)</f>
        <v/>
      </c>
      <c r="O6305">
        <f>IF(L6305="", "Pending", IF(N6305&lt;=30, "Met", "Breached"))</f>
        <v/>
      </c>
    </row>
    <row r="6306">
      <c r="M6306" s="11">
        <f>B6306+30</f>
        <v/>
      </c>
      <c r="N6306">
        <f>IF(L6306="", "", L6306-B6306)</f>
        <v/>
      </c>
      <c r="O6306">
        <f>IF(L6306="", "Pending", IF(N6306&lt;=30, "Met", "Breached"))</f>
        <v/>
      </c>
    </row>
    <row r="6307">
      <c r="M6307" s="11">
        <f>B6307+30</f>
        <v/>
      </c>
      <c r="N6307">
        <f>IF(L6307="", "", L6307-B6307)</f>
        <v/>
      </c>
      <c r="O6307">
        <f>IF(L6307="", "Pending", IF(N6307&lt;=30, "Met", "Breached"))</f>
        <v/>
      </c>
    </row>
    <row r="6308">
      <c r="M6308" s="11">
        <f>B6308+30</f>
        <v/>
      </c>
      <c r="N6308">
        <f>IF(L6308="", "", L6308-B6308)</f>
        <v/>
      </c>
      <c r="O6308">
        <f>IF(L6308="", "Pending", IF(N6308&lt;=30, "Met", "Breached"))</f>
        <v/>
      </c>
    </row>
    <row r="6309">
      <c r="M6309" s="11">
        <f>B6309+30</f>
        <v/>
      </c>
      <c r="N6309">
        <f>IF(L6309="", "", L6309-B6309)</f>
        <v/>
      </c>
      <c r="O6309">
        <f>IF(L6309="", "Pending", IF(N6309&lt;=30, "Met", "Breached"))</f>
        <v/>
      </c>
    </row>
    <row r="6310">
      <c r="M6310" s="11">
        <f>B6310+30</f>
        <v/>
      </c>
      <c r="N6310">
        <f>IF(L6310="", "", L6310-B6310)</f>
        <v/>
      </c>
      <c r="O6310">
        <f>IF(L6310="", "Pending", IF(N6310&lt;=30, "Met", "Breached"))</f>
        <v/>
      </c>
    </row>
    <row r="6311">
      <c r="M6311" s="11">
        <f>B6311+30</f>
        <v/>
      </c>
      <c r="N6311">
        <f>IF(L6311="", "", L6311-B6311)</f>
        <v/>
      </c>
      <c r="O6311">
        <f>IF(L6311="", "Pending", IF(N6311&lt;=30, "Met", "Breached"))</f>
        <v/>
      </c>
    </row>
    <row r="6312">
      <c r="M6312" s="11">
        <f>B6312+30</f>
        <v/>
      </c>
      <c r="N6312">
        <f>IF(L6312="", "", L6312-B6312)</f>
        <v/>
      </c>
      <c r="O6312">
        <f>IF(L6312="", "Pending", IF(N6312&lt;=30, "Met", "Breached"))</f>
        <v/>
      </c>
    </row>
    <row r="6313">
      <c r="M6313" s="11">
        <f>B6313+30</f>
        <v/>
      </c>
      <c r="N6313">
        <f>IF(L6313="", "", L6313-B6313)</f>
        <v/>
      </c>
      <c r="O6313">
        <f>IF(L6313="", "Pending", IF(N6313&lt;=30, "Met", "Breached"))</f>
        <v/>
      </c>
    </row>
    <row r="6314">
      <c r="M6314" s="11">
        <f>B6314+30</f>
        <v/>
      </c>
      <c r="N6314">
        <f>IF(L6314="", "", L6314-B6314)</f>
        <v/>
      </c>
      <c r="O6314">
        <f>IF(L6314="", "Pending", IF(N6314&lt;=30, "Met", "Breached"))</f>
        <v/>
      </c>
    </row>
    <row r="6315">
      <c r="M6315" s="11">
        <f>B6315+30</f>
        <v/>
      </c>
      <c r="N6315">
        <f>IF(L6315="", "", L6315-B6315)</f>
        <v/>
      </c>
      <c r="O6315">
        <f>IF(L6315="", "Pending", IF(N6315&lt;=30, "Met", "Breached"))</f>
        <v/>
      </c>
    </row>
    <row r="6316">
      <c r="M6316" s="11">
        <f>B6316+30</f>
        <v/>
      </c>
      <c r="N6316">
        <f>IF(L6316="", "", L6316-B6316)</f>
        <v/>
      </c>
      <c r="O6316">
        <f>IF(L6316="", "Pending", IF(N6316&lt;=30, "Met", "Breached"))</f>
        <v/>
      </c>
    </row>
    <row r="6317">
      <c r="M6317" s="11">
        <f>B6317+30</f>
        <v/>
      </c>
      <c r="N6317">
        <f>IF(L6317="", "", L6317-B6317)</f>
        <v/>
      </c>
      <c r="O6317">
        <f>IF(L6317="", "Pending", IF(N6317&lt;=30, "Met", "Breached"))</f>
        <v/>
      </c>
    </row>
    <row r="6318">
      <c r="M6318" s="11">
        <f>B6318+30</f>
        <v/>
      </c>
      <c r="N6318">
        <f>IF(L6318="", "", L6318-B6318)</f>
        <v/>
      </c>
      <c r="O6318">
        <f>IF(L6318="", "Pending", IF(N6318&lt;=30, "Met", "Breached"))</f>
        <v/>
      </c>
    </row>
    <row r="6319">
      <c r="M6319" s="11">
        <f>B6319+30</f>
        <v/>
      </c>
      <c r="N6319">
        <f>IF(L6319="", "", L6319-B6319)</f>
        <v/>
      </c>
      <c r="O6319">
        <f>IF(L6319="", "Pending", IF(N6319&lt;=30, "Met", "Breached"))</f>
        <v/>
      </c>
    </row>
    <row r="6320">
      <c r="M6320" s="11">
        <f>B6320+30</f>
        <v/>
      </c>
      <c r="N6320">
        <f>IF(L6320="", "", L6320-B6320)</f>
        <v/>
      </c>
      <c r="O6320">
        <f>IF(L6320="", "Pending", IF(N6320&lt;=30, "Met", "Breached"))</f>
        <v/>
      </c>
    </row>
    <row r="6321">
      <c r="M6321" s="11">
        <f>B6321+30</f>
        <v/>
      </c>
      <c r="N6321">
        <f>IF(L6321="", "", L6321-B6321)</f>
        <v/>
      </c>
      <c r="O6321">
        <f>IF(L6321="", "Pending", IF(N6321&lt;=30, "Met", "Breached"))</f>
        <v/>
      </c>
    </row>
    <row r="6322">
      <c r="M6322" s="11">
        <f>B6322+30</f>
        <v/>
      </c>
      <c r="N6322">
        <f>IF(L6322="", "", L6322-B6322)</f>
        <v/>
      </c>
      <c r="O6322">
        <f>IF(L6322="", "Pending", IF(N6322&lt;=30, "Met", "Breached"))</f>
        <v/>
      </c>
    </row>
    <row r="6323">
      <c r="M6323" s="11">
        <f>B6323+30</f>
        <v/>
      </c>
      <c r="N6323">
        <f>IF(L6323="", "", L6323-B6323)</f>
        <v/>
      </c>
      <c r="O6323">
        <f>IF(L6323="", "Pending", IF(N6323&lt;=30, "Met", "Breached"))</f>
        <v/>
      </c>
    </row>
    <row r="6324">
      <c r="M6324" s="11">
        <f>B6324+30</f>
        <v/>
      </c>
      <c r="N6324">
        <f>IF(L6324="", "", L6324-B6324)</f>
        <v/>
      </c>
      <c r="O6324">
        <f>IF(L6324="", "Pending", IF(N6324&lt;=30, "Met", "Breached"))</f>
        <v/>
      </c>
    </row>
    <row r="6325">
      <c r="M6325" s="11">
        <f>B6325+30</f>
        <v/>
      </c>
      <c r="N6325">
        <f>IF(L6325="", "", L6325-B6325)</f>
        <v/>
      </c>
      <c r="O6325">
        <f>IF(L6325="", "Pending", IF(N6325&lt;=30, "Met", "Breached"))</f>
        <v/>
      </c>
    </row>
    <row r="6326">
      <c r="M6326" s="11">
        <f>B6326+30</f>
        <v/>
      </c>
      <c r="N6326">
        <f>IF(L6326="", "", L6326-B6326)</f>
        <v/>
      </c>
      <c r="O6326">
        <f>IF(L6326="", "Pending", IF(N6326&lt;=30, "Met", "Breached"))</f>
        <v/>
      </c>
    </row>
    <row r="6327">
      <c r="M6327" s="11">
        <f>B6327+30</f>
        <v/>
      </c>
      <c r="N6327">
        <f>IF(L6327="", "", L6327-B6327)</f>
        <v/>
      </c>
      <c r="O6327">
        <f>IF(L6327="", "Pending", IF(N6327&lt;=30, "Met", "Breached"))</f>
        <v/>
      </c>
    </row>
    <row r="6328">
      <c r="M6328" s="11">
        <f>B6328+30</f>
        <v/>
      </c>
      <c r="N6328">
        <f>IF(L6328="", "", L6328-B6328)</f>
        <v/>
      </c>
      <c r="O6328">
        <f>IF(L6328="", "Pending", IF(N6328&lt;=30, "Met", "Breached"))</f>
        <v/>
      </c>
    </row>
    <row r="6329">
      <c r="M6329" s="11">
        <f>B6329+30</f>
        <v/>
      </c>
      <c r="N6329">
        <f>IF(L6329="", "", L6329-B6329)</f>
        <v/>
      </c>
      <c r="O6329">
        <f>IF(L6329="", "Pending", IF(N6329&lt;=30, "Met", "Breached"))</f>
        <v/>
      </c>
    </row>
    <row r="6330">
      <c r="M6330" s="11">
        <f>B6330+30</f>
        <v/>
      </c>
      <c r="N6330">
        <f>IF(L6330="", "", L6330-B6330)</f>
        <v/>
      </c>
      <c r="O6330">
        <f>IF(L6330="", "Pending", IF(N6330&lt;=30, "Met", "Breached"))</f>
        <v/>
      </c>
    </row>
    <row r="6331">
      <c r="M6331" s="11">
        <f>B6331+30</f>
        <v/>
      </c>
      <c r="N6331">
        <f>IF(L6331="", "", L6331-B6331)</f>
        <v/>
      </c>
      <c r="O6331">
        <f>IF(L6331="", "Pending", IF(N6331&lt;=30, "Met", "Breached"))</f>
        <v/>
      </c>
    </row>
    <row r="6332">
      <c r="M6332" s="11">
        <f>B6332+30</f>
        <v/>
      </c>
      <c r="N6332">
        <f>IF(L6332="", "", L6332-B6332)</f>
        <v/>
      </c>
      <c r="O6332">
        <f>IF(L6332="", "Pending", IF(N6332&lt;=30, "Met", "Breached"))</f>
        <v/>
      </c>
    </row>
    <row r="6333">
      <c r="M6333" s="11">
        <f>B6333+30</f>
        <v/>
      </c>
      <c r="N6333">
        <f>IF(L6333="", "", L6333-B6333)</f>
        <v/>
      </c>
      <c r="O6333">
        <f>IF(L6333="", "Pending", IF(N6333&lt;=30, "Met", "Breached"))</f>
        <v/>
      </c>
    </row>
    <row r="6334">
      <c r="M6334" s="11">
        <f>B6334+30</f>
        <v/>
      </c>
      <c r="N6334">
        <f>IF(L6334="", "", L6334-B6334)</f>
        <v/>
      </c>
      <c r="O6334">
        <f>IF(L6334="", "Pending", IF(N6334&lt;=30, "Met", "Breached"))</f>
        <v/>
      </c>
    </row>
    <row r="6335">
      <c r="M6335" s="11">
        <f>B6335+30</f>
        <v/>
      </c>
      <c r="N6335">
        <f>IF(L6335="", "", L6335-B6335)</f>
        <v/>
      </c>
      <c r="O6335">
        <f>IF(L6335="", "Pending", IF(N6335&lt;=30, "Met", "Breached"))</f>
        <v/>
      </c>
    </row>
    <row r="6336">
      <c r="M6336" s="11">
        <f>B6336+30</f>
        <v/>
      </c>
      <c r="N6336">
        <f>IF(L6336="", "", L6336-B6336)</f>
        <v/>
      </c>
      <c r="O6336">
        <f>IF(L6336="", "Pending", IF(N6336&lt;=30, "Met", "Breached"))</f>
        <v/>
      </c>
    </row>
    <row r="6337">
      <c r="M6337" s="11">
        <f>B6337+30</f>
        <v/>
      </c>
      <c r="N6337">
        <f>IF(L6337="", "", L6337-B6337)</f>
        <v/>
      </c>
      <c r="O6337">
        <f>IF(L6337="", "Pending", IF(N6337&lt;=30, "Met", "Breached"))</f>
        <v/>
      </c>
    </row>
    <row r="6338">
      <c r="M6338" s="11">
        <f>B6338+30</f>
        <v/>
      </c>
      <c r="N6338">
        <f>IF(L6338="", "", L6338-B6338)</f>
        <v/>
      </c>
      <c r="O6338">
        <f>IF(L6338="", "Pending", IF(N6338&lt;=30, "Met", "Breached"))</f>
        <v/>
      </c>
    </row>
    <row r="6339">
      <c r="M6339" s="11">
        <f>B6339+30</f>
        <v/>
      </c>
      <c r="N6339">
        <f>IF(L6339="", "", L6339-B6339)</f>
        <v/>
      </c>
      <c r="O6339">
        <f>IF(L6339="", "Pending", IF(N6339&lt;=30, "Met", "Breached"))</f>
        <v/>
      </c>
    </row>
    <row r="6340">
      <c r="M6340" s="11">
        <f>B6340+30</f>
        <v/>
      </c>
      <c r="N6340">
        <f>IF(L6340="", "", L6340-B6340)</f>
        <v/>
      </c>
      <c r="O6340">
        <f>IF(L6340="", "Pending", IF(N6340&lt;=30, "Met", "Breached"))</f>
        <v/>
      </c>
    </row>
    <row r="6341">
      <c r="M6341" s="11">
        <f>B6341+30</f>
        <v/>
      </c>
      <c r="N6341">
        <f>IF(L6341="", "", L6341-B6341)</f>
        <v/>
      </c>
      <c r="O6341">
        <f>IF(L6341="", "Pending", IF(N6341&lt;=30, "Met", "Breached"))</f>
        <v/>
      </c>
    </row>
    <row r="6342">
      <c r="M6342" s="11">
        <f>B6342+30</f>
        <v/>
      </c>
      <c r="N6342">
        <f>IF(L6342="", "", L6342-B6342)</f>
        <v/>
      </c>
      <c r="O6342">
        <f>IF(L6342="", "Pending", IF(N6342&lt;=30, "Met", "Breached"))</f>
        <v/>
      </c>
    </row>
    <row r="6343">
      <c r="M6343" s="11">
        <f>B6343+30</f>
        <v/>
      </c>
      <c r="N6343">
        <f>IF(L6343="", "", L6343-B6343)</f>
        <v/>
      </c>
      <c r="O6343">
        <f>IF(L6343="", "Pending", IF(N6343&lt;=30, "Met", "Breached"))</f>
        <v/>
      </c>
    </row>
    <row r="6344">
      <c r="M6344" s="11">
        <f>B6344+30</f>
        <v/>
      </c>
      <c r="N6344">
        <f>IF(L6344="", "", L6344-B6344)</f>
        <v/>
      </c>
      <c r="O6344">
        <f>IF(L6344="", "Pending", IF(N6344&lt;=30, "Met", "Breached"))</f>
        <v/>
      </c>
    </row>
    <row r="6345">
      <c r="M6345" s="11">
        <f>B6345+30</f>
        <v/>
      </c>
      <c r="N6345">
        <f>IF(L6345="", "", L6345-B6345)</f>
        <v/>
      </c>
      <c r="O6345">
        <f>IF(L6345="", "Pending", IF(N6345&lt;=30, "Met", "Breached"))</f>
        <v/>
      </c>
    </row>
    <row r="6346">
      <c r="M6346" s="11">
        <f>B6346+30</f>
        <v/>
      </c>
      <c r="N6346">
        <f>IF(L6346="", "", L6346-B6346)</f>
        <v/>
      </c>
      <c r="O6346">
        <f>IF(L6346="", "Pending", IF(N6346&lt;=30, "Met", "Breached"))</f>
        <v/>
      </c>
    </row>
    <row r="6347">
      <c r="M6347" s="11">
        <f>B6347+30</f>
        <v/>
      </c>
      <c r="N6347">
        <f>IF(L6347="", "", L6347-B6347)</f>
        <v/>
      </c>
      <c r="O6347">
        <f>IF(L6347="", "Pending", IF(N6347&lt;=30, "Met", "Breached"))</f>
        <v/>
      </c>
    </row>
    <row r="6348">
      <c r="M6348" s="11">
        <f>B6348+30</f>
        <v/>
      </c>
      <c r="N6348">
        <f>IF(L6348="", "", L6348-B6348)</f>
        <v/>
      </c>
      <c r="O6348">
        <f>IF(L6348="", "Pending", IF(N6348&lt;=30, "Met", "Breached"))</f>
        <v/>
      </c>
    </row>
    <row r="6349">
      <c r="M6349" s="11">
        <f>B6349+30</f>
        <v/>
      </c>
      <c r="N6349">
        <f>IF(L6349="", "", L6349-B6349)</f>
        <v/>
      </c>
      <c r="O6349">
        <f>IF(L6349="", "Pending", IF(N6349&lt;=30, "Met", "Breached"))</f>
        <v/>
      </c>
    </row>
    <row r="6350">
      <c r="M6350" s="11">
        <f>B6350+30</f>
        <v/>
      </c>
      <c r="N6350">
        <f>IF(L6350="", "", L6350-B6350)</f>
        <v/>
      </c>
      <c r="O6350">
        <f>IF(L6350="", "Pending", IF(N6350&lt;=30, "Met", "Breached"))</f>
        <v/>
      </c>
    </row>
    <row r="6351">
      <c r="M6351" s="11">
        <f>B6351+30</f>
        <v/>
      </c>
      <c r="N6351">
        <f>IF(L6351="", "", L6351-B6351)</f>
        <v/>
      </c>
      <c r="O6351">
        <f>IF(L6351="", "Pending", IF(N6351&lt;=30, "Met", "Breached"))</f>
        <v/>
      </c>
    </row>
    <row r="6352">
      <c r="M6352" s="11">
        <f>B6352+30</f>
        <v/>
      </c>
      <c r="N6352">
        <f>IF(L6352="", "", L6352-B6352)</f>
        <v/>
      </c>
      <c r="O6352">
        <f>IF(L6352="", "Pending", IF(N6352&lt;=30, "Met", "Breached"))</f>
        <v/>
      </c>
    </row>
    <row r="6353">
      <c r="M6353" s="11">
        <f>B6353+30</f>
        <v/>
      </c>
      <c r="N6353">
        <f>IF(L6353="", "", L6353-B6353)</f>
        <v/>
      </c>
      <c r="O6353">
        <f>IF(L6353="", "Pending", IF(N6353&lt;=30, "Met", "Breached"))</f>
        <v/>
      </c>
    </row>
    <row r="6354">
      <c r="M6354" s="11">
        <f>B6354+30</f>
        <v/>
      </c>
      <c r="N6354">
        <f>IF(L6354="", "", L6354-B6354)</f>
        <v/>
      </c>
      <c r="O6354">
        <f>IF(L6354="", "Pending", IF(N6354&lt;=30, "Met", "Breached"))</f>
        <v/>
      </c>
    </row>
    <row r="6355">
      <c r="M6355" s="11">
        <f>B6355+30</f>
        <v/>
      </c>
      <c r="N6355">
        <f>IF(L6355="", "", L6355-B6355)</f>
        <v/>
      </c>
      <c r="O6355">
        <f>IF(L6355="", "Pending", IF(N6355&lt;=30, "Met", "Breached"))</f>
        <v/>
      </c>
    </row>
    <row r="6356">
      <c r="M6356" s="11">
        <f>B6356+30</f>
        <v/>
      </c>
      <c r="N6356">
        <f>IF(L6356="", "", L6356-B6356)</f>
        <v/>
      </c>
      <c r="O6356">
        <f>IF(L6356="", "Pending", IF(N6356&lt;=30, "Met", "Breached"))</f>
        <v/>
      </c>
    </row>
    <row r="6357">
      <c r="M6357" s="11">
        <f>B6357+30</f>
        <v/>
      </c>
      <c r="N6357">
        <f>IF(L6357="", "", L6357-B6357)</f>
        <v/>
      </c>
      <c r="O6357">
        <f>IF(L6357="", "Pending", IF(N6357&lt;=30, "Met", "Breached"))</f>
        <v/>
      </c>
    </row>
    <row r="6358">
      <c r="M6358" s="11">
        <f>B6358+30</f>
        <v/>
      </c>
      <c r="N6358">
        <f>IF(L6358="", "", L6358-B6358)</f>
        <v/>
      </c>
      <c r="O6358">
        <f>IF(L6358="", "Pending", IF(N6358&lt;=30, "Met", "Breached"))</f>
        <v/>
      </c>
    </row>
    <row r="6359">
      <c r="M6359" s="11">
        <f>B6359+30</f>
        <v/>
      </c>
      <c r="N6359">
        <f>IF(L6359="", "", L6359-B6359)</f>
        <v/>
      </c>
      <c r="O6359">
        <f>IF(L6359="", "Pending", IF(N6359&lt;=30, "Met", "Breached"))</f>
        <v/>
      </c>
    </row>
    <row r="6360">
      <c r="M6360" s="11">
        <f>B6360+30</f>
        <v/>
      </c>
      <c r="N6360">
        <f>IF(L6360="", "", L6360-B6360)</f>
        <v/>
      </c>
      <c r="O6360">
        <f>IF(L6360="", "Pending", IF(N6360&lt;=30, "Met", "Breached"))</f>
        <v/>
      </c>
    </row>
    <row r="6361">
      <c r="M6361" s="11">
        <f>B6361+30</f>
        <v/>
      </c>
      <c r="N6361">
        <f>IF(L6361="", "", L6361-B6361)</f>
        <v/>
      </c>
      <c r="O6361">
        <f>IF(L6361="", "Pending", IF(N6361&lt;=30, "Met", "Breached"))</f>
        <v/>
      </c>
    </row>
    <row r="6362">
      <c r="M6362" s="11">
        <f>B6362+30</f>
        <v/>
      </c>
      <c r="N6362">
        <f>IF(L6362="", "", L6362-B6362)</f>
        <v/>
      </c>
      <c r="O6362">
        <f>IF(L6362="", "Pending", IF(N6362&lt;=30, "Met", "Breached"))</f>
        <v/>
      </c>
    </row>
    <row r="6363">
      <c r="M6363" s="11">
        <f>B6363+30</f>
        <v/>
      </c>
      <c r="N6363">
        <f>IF(L6363="", "", L6363-B6363)</f>
        <v/>
      </c>
      <c r="O6363">
        <f>IF(L6363="", "Pending", IF(N6363&lt;=30, "Met", "Breached"))</f>
        <v/>
      </c>
    </row>
    <row r="6364">
      <c r="M6364" s="11">
        <f>B6364+30</f>
        <v/>
      </c>
      <c r="N6364">
        <f>IF(L6364="", "", L6364-B6364)</f>
        <v/>
      </c>
      <c r="O6364">
        <f>IF(L6364="", "Pending", IF(N6364&lt;=30, "Met", "Breached"))</f>
        <v/>
      </c>
    </row>
    <row r="6365">
      <c r="M6365" s="11">
        <f>B6365+30</f>
        <v/>
      </c>
      <c r="N6365">
        <f>IF(L6365="", "", L6365-B6365)</f>
        <v/>
      </c>
      <c r="O6365">
        <f>IF(L6365="", "Pending", IF(N6365&lt;=30, "Met", "Breached"))</f>
        <v/>
      </c>
    </row>
    <row r="6366">
      <c r="M6366" s="11">
        <f>B6366+30</f>
        <v/>
      </c>
      <c r="N6366">
        <f>IF(L6366="", "", L6366-B6366)</f>
        <v/>
      </c>
      <c r="O6366">
        <f>IF(L6366="", "Pending", IF(N6366&lt;=30, "Met", "Breached"))</f>
        <v/>
      </c>
    </row>
    <row r="6367">
      <c r="M6367" s="11">
        <f>B6367+30</f>
        <v/>
      </c>
      <c r="N6367">
        <f>IF(L6367="", "", L6367-B6367)</f>
        <v/>
      </c>
      <c r="O6367">
        <f>IF(L6367="", "Pending", IF(N6367&lt;=30, "Met", "Breached"))</f>
        <v/>
      </c>
    </row>
    <row r="6368">
      <c r="M6368" s="11">
        <f>B6368+30</f>
        <v/>
      </c>
      <c r="N6368">
        <f>IF(L6368="", "", L6368-B6368)</f>
        <v/>
      </c>
      <c r="O6368">
        <f>IF(L6368="", "Pending", IF(N6368&lt;=30, "Met", "Breached"))</f>
        <v/>
      </c>
    </row>
    <row r="6369">
      <c r="M6369" s="11">
        <f>B6369+30</f>
        <v/>
      </c>
      <c r="N6369">
        <f>IF(L6369="", "", L6369-B6369)</f>
        <v/>
      </c>
      <c r="O6369">
        <f>IF(L6369="", "Pending", IF(N6369&lt;=30, "Met", "Breached"))</f>
        <v/>
      </c>
    </row>
    <row r="6370">
      <c r="M6370" s="11">
        <f>B6370+30</f>
        <v/>
      </c>
      <c r="N6370">
        <f>IF(L6370="", "", L6370-B6370)</f>
        <v/>
      </c>
      <c r="O6370">
        <f>IF(L6370="", "Pending", IF(N6370&lt;=30, "Met", "Breached"))</f>
        <v/>
      </c>
    </row>
    <row r="6371">
      <c r="M6371" s="11">
        <f>B6371+30</f>
        <v/>
      </c>
      <c r="N6371">
        <f>IF(L6371="", "", L6371-B6371)</f>
        <v/>
      </c>
      <c r="O6371">
        <f>IF(L6371="", "Pending", IF(N6371&lt;=30, "Met", "Breached"))</f>
        <v/>
      </c>
    </row>
    <row r="6372">
      <c r="M6372" s="11">
        <f>B6372+30</f>
        <v/>
      </c>
      <c r="N6372">
        <f>IF(L6372="", "", L6372-B6372)</f>
        <v/>
      </c>
      <c r="O6372">
        <f>IF(L6372="", "Pending", IF(N6372&lt;=30, "Met", "Breached"))</f>
        <v/>
      </c>
    </row>
    <row r="6373">
      <c r="M6373" s="11">
        <f>B6373+30</f>
        <v/>
      </c>
      <c r="N6373">
        <f>IF(L6373="", "", L6373-B6373)</f>
        <v/>
      </c>
      <c r="O6373">
        <f>IF(L6373="", "Pending", IF(N6373&lt;=30, "Met", "Breached"))</f>
        <v/>
      </c>
    </row>
    <row r="6374">
      <c r="M6374" s="11">
        <f>B6374+30</f>
        <v/>
      </c>
      <c r="N6374">
        <f>IF(L6374="", "", L6374-B6374)</f>
        <v/>
      </c>
      <c r="O6374">
        <f>IF(L6374="", "Pending", IF(N6374&lt;=30, "Met", "Breached"))</f>
        <v/>
      </c>
    </row>
    <row r="6375">
      <c r="M6375" s="11">
        <f>B6375+30</f>
        <v/>
      </c>
      <c r="N6375">
        <f>IF(L6375="", "", L6375-B6375)</f>
        <v/>
      </c>
      <c r="O6375">
        <f>IF(L6375="", "Pending", IF(N6375&lt;=30, "Met", "Breached"))</f>
        <v/>
      </c>
    </row>
    <row r="6376">
      <c r="M6376" s="11">
        <f>B6376+30</f>
        <v/>
      </c>
      <c r="N6376">
        <f>IF(L6376="", "", L6376-B6376)</f>
        <v/>
      </c>
      <c r="O6376">
        <f>IF(L6376="", "Pending", IF(N6376&lt;=30, "Met", "Breached"))</f>
        <v/>
      </c>
    </row>
    <row r="6377">
      <c r="M6377" s="11">
        <f>B6377+30</f>
        <v/>
      </c>
      <c r="N6377">
        <f>IF(L6377="", "", L6377-B6377)</f>
        <v/>
      </c>
      <c r="O6377">
        <f>IF(L6377="", "Pending", IF(N6377&lt;=30, "Met", "Breached"))</f>
        <v/>
      </c>
    </row>
    <row r="6378">
      <c r="M6378" s="11">
        <f>B6378+30</f>
        <v/>
      </c>
      <c r="N6378">
        <f>IF(L6378="", "", L6378-B6378)</f>
        <v/>
      </c>
      <c r="O6378">
        <f>IF(L6378="", "Pending", IF(N6378&lt;=30, "Met", "Breached"))</f>
        <v/>
      </c>
    </row>
    <row r="6379">
      <c r="M6379" s="11">
        <f>B6379+30</f>
        <v/>
      </c>
      <c r="N6379">
        <f>IF(L6379="", "", L6379-B6379)</f>
        <v/>
      </c>
      <c r="O6379">
        <f>IF(L6379="", "Pending", IF(N6379&lt;=30, "Met", "Breached"))</f>
        <v/>
      </c>
    </row>
    <row r="6380">
      <c r="M6380" s="11">
        <f>B6380+30</f>
        <v/>
      </c>
      <c r="N6380">
        <f>IF(L6380="", "", L6380-B6380)</f>
        <v/>
      </c>
      <c r="O6380">
        <f>IF(L6380="", "Pending", IF(N6380&lt;=30, "Met", "Breached"))</f>
        <v/>
      </c>
    </row>
    <row r="6381">
      <c r="M6381" s="11">
        <f>B6381+30</f>
        <v/>
      </c>
      <c r="N6381">
        <f>IF(L6381="", "", L6381-B6381)</f>
        <v/>
      </c>
      <c r="O6381">
        <f>IF(L6381="", "Pending", IF(N6381&lt;=30, "Met", "Breached"))</f>
        <v/>
      </c>
    </row>
    <row r="6382">
      <c r="M6382" s="11">
        <f>B6382+30</f>
        <v/>
      </c>
      <c r="N6382">
        <f>IF(L6382="", "", L6382-B6382)</f>
        <v/>
      </c>
      <c r="O6382">
        <f>IF(L6382="", "Pending", IF(N6382&lt;=30, "Met", "Breached"))</f>
        <v/>
      </c>
    </row>
    <row r="6383">
      <c r="M6383" s="11">
        <f>B6383+30</f>
        <v/>
      </c>
      <c r="N6383">
        <f>IF(L6383="", "", L6383-B6383)</f>
        <v/>
      </c>
      <c r="O6383">
        <f>IF(L6383="", "Pending", IF(N6383&lt;=30, "Met", "Breached"))</f>
        <v/>
      </c>
    </row>
    <row r="6384">
      <c r="M6384" s="11">
        <f>B6384+30</f>
        <v/>
      </c>
      <c r="N6384">
        <f>IF(L6384="", "", L6384-B6384)</f>
        <v/>
      </c>
      <c r="O6384">
        <f>IF(L6384="", "Pending", IF(N6384&lt;=30, "Met", "Breached"))</f>
        <v/>
      </c>
    </row>
    <row r="6385">
      <c r="M6385" s="11">
        <f>B6385+30</f>
        <v/>
      </c>
      <c r="N6385">
        <f>IF(L6385="", "", L6385-B6385)</f>
        <v/>
      </c>
      <c r="O6385">
        <f>IF(L6385="", "Pending", IF(N6385&lt;=30, "Met", "Breached"))</f>
        <v/>
      </c>
    </row>
    <row r="6386">
      <c r="M6386" s="11">
        <f>B6386+30</f>
        <v/>
      </c>
      <c r="N6386">
        <f>IF(L6386="", "", L6386-B6386)</f>
        <v/>
      </c>
      <c r="O6386">
        <f>IF(L6386="", "Pending", IF(N6386&lt;=30, "Met", "Breached"))</f>
        <v/>
      </c>
    </row>
    <row r="6387">
      <c r="M6387" s="11">
        <f>B6387+30</f>
        <v/>
      </c>
      <c r="N6387">
        <f>IF(L6387="", "", L6387-B6387)</f>
        <v/>
      </c>
      <c r="O6387">
        <f>IF(L6387="", "Pending", IF(N6387&lt;=30, "Met", "Breached"))</f>
        <v/>
      </c>
    </row>
    <row r="6388">
      <c r="M6388" s="11">
        <f>B6388+30</f>
        <v/>
      </c>
      <c r="N6388">
        <f>IF(L6388="", "", L6388-B6388)</f>
        <v/>
      </c>
      <c r="O6388">
        <f>IF(L6388="", "Pending", IF(N6388&lt;=30, "Met", "Breached"))</f>
        <v/>
      </c>
    </row>
    <row r="6389">
      <c r="M6389" s="11">
        <f>B6389+30</f>
        <v/>
      </c>
      <c r="N6389">
        <f>IF(L6389="", "", L6389-B6389)</f>
        <v/>
      </c>
      <c r="O6389">
        <f>IF(L6389="", "Pending", IF(N6389&lt;=30, "Met", "Breached"))</f>
        <v/>
      </c>
    </row>
    <row r="6390">
      <c r="M6390" s="11">
        <f>B6390+30</f>
        <v/>
      </c>
      <c r="N6390">
        <f>IF(L6390="", "", L6390-B6390)</f>
        <v/>
      </c>
      <c r="O6390">
        <f>IF(L6390="", "Pending", IF(N6390&lt;=30, "Met", "Breached"))</f>
        <v/>
      </c>
    </row>
    <row r="6391">
      <c r="M6391" s="11">
        <f>B6391+30</f>
        <v/>
      </c>
      <c r="N6391">
        <f>IF(L6391="", "", L6391-B6391)</f>
        <v/>
      </c>
      <c r="O6391">
        <f>IF(L6391="", "Pending", IF(N6391&lt;=30, "Met", "Breached"))</f>
        <v/>
      </c>
    </row>
    <row r="6392">
      <c r="M6392" s="11">
        <f>B6392+30</f>
        <v/>
      </c>
      <c r="N6392">
        <f>IF(L6392="", "", L6392-B6392)</f>
        <v/>
      </c>
      <c r="O6392">
        <f>IF(L6392="", "Pending", IF(N6392&lt;=30, "Met", "Breached"))</f>
        <v/>
      </c>
    </row>
    <row r="6393">
      <c r="M6393" s="11">
        <f>B6393+30</f>
        <v/>
      </c>
      <c r="N6393">
        <f>IF(L6393="", "", L6393-B6393)</f>
        <v/>
      </c>
      <c r="O6393">
        <f>IF(L6393="", "Pending", IF(N6393&lt;=30, "Met", "Breached"))</f>
        <v/>
      </c>
    </row>
    <row r="6394">
      <c r="M6394" s="11">
        <f>B6394+30</f>
        <v/>
      </c>
      <c r="N6394">
        <f>IF(L6394="", "", L6394-B6394)</f>
        <v/>
      </c>
      <c r="O6394">
        <f>IF(L6394="", "Pending", IF(N6394&lt;=30, "Met", "Breached"))</f>
        <v/>
      </c>
    </row>
    <row r="6395">
      <c r="M6395" s="11">
        <f>B6395+30</f>
        <v/>
      </c>
      <c r="N6395">
        <f>IF(L6395="", "", L6395-B6395)</f>
        <v/>
      </c>
      <c r="O6395">
        <f>IF(L6395="", "Pending", IF(N6395&lt;=30, "Met", "Breached"))</f>
        <v/>
      </c>
    </row>
    <row r="6396">
      <c r="M6396" s="11">
        <f>B6396+30</f>
        <v/>
      </c>
      <c r="N6396">
        <f>IF(L6396="", "", L6396-B6396)</f>
        <v/>
      </c>
      <c r="O6396">
        <f>IF(L6396="", "Pending", IF(N6396&lt;=30, "Met", "Breached"))</f>
        <v/>
      </c>
    </row>
    <row r="6397">
      <c r="M6397" s="11">
        <f>B6397+30</f>
        <v/>
      </c>
      <c r="N6397">
        <f>IF(L6397="", "", L6397-B6397)</f>
        <v/>
      </c>
      <c r="O6397">
        <f>IF(L6397="", "Pending", IF(N6397&lt;=30, "Met", "Breached"))</f>
        <v/>
      </c>
    </row>
    <row r="6398">
      <c r="M6398" s="11">
        <f>B6398+30</f>
        <v/>
      </c>
      <c r="N6398">
        <f>IF(L6398="", "", L6398-B6398)</f>
        <v/>
      </c>
      <c r="O6398">
        <f>IF(L6398="", "Pending", IF(N6398&lt;=30, "Met", "Breached"))</f>
        <v/>
      </c>
    </row>
    <row r="6399">
      <c r="M6399" s="11">
        <f>B6399+30</f>
        <v/>
      </c>
      <c r="N6399">
        <f>IF(L6399="", "", L6399-B6399)</f>
        <v/>
      </c>
      <c r="O6399">
        <f>IF(L6399="", "Pending", IF(N6399&lt;=30, "Met", "Breached"))</f>
        <v/>
      </c>
    </row>
    <row r="6400">
      <c r="M6400" s="11">
        <f>B6400+30</f>
        <v/>
      </c>
      <c r="N6400">
        <f>IF(L6400="", "", L6400-B6400)</f>
        <v/>
      </c>
      <c r="O6400">
        <f>IF(L6400="", "Pending", IF(N6400&lt;=30, "Met", "Breached"))</f>
        <v/>
      </c>
    </row>
    <row r="6401">
      <c r="M6401" s="11">
        <f>B6401+30</f>
        <v/>
      </c>
      <c r="N6401">
        <f>IF(L6401="", "", L6401-B6401)</f>
        <v/>
      </c>
      <c r="O6401">
        <f>IF(L6401="", "Pending", IF(N6401&lt;=30, "Met", "Breached"))</f>
        <v/>
      </c>
    </row>
    <row r="6402">
      <c r="M6402" s="11">
        <f>B6402+30</f>
        <v/>
      </c>
      <c r="N6402">
        <f>IF(L6402="", "", L6402-B6402)</f>
        <v/>
      </c>
      <c r="O6402">
        <f>IF(L6402="", "Pending", IF(N6402&lt;=30, "Met", "Breached"))</f>
        <v/>
      </c>
    </row>
    <row r="6403">
      <c r="M6403" s="11">
        <f>B6403+30</f>
        <v/>
      </c>
      <c r="N6403">
        <f>IF(L6403="", "", L6403-B6403)</f>
        <v/>
      </c>
      <c r="O6403">
        <f>IF(L6403="", "Pending", IF(N6403&lt;=30, "Met", "Breached"))</f>
        <v/>
      </c>
    </row>
    <row r="6404">
      <c r="M6404" s="11">
        <f>B6404+30</f>
        <v/>
      </c>
      <c r="N6404">
        <f>IF(L6404="", "", L6404-B6404)</f>
        <v/>
      </c>
      <c r="O6404">
        <f>IF(L6404="", "Pending", IF(N6404&lt;=30, "Met", "Breached"))</f>
        <v/>
      </c>
    </row>
    <row r="6405">
      <c r="M6405" s="11">
        <f>B6405+30</f>
        <v/>
      </c>
      <c r="N6405">
        <f>IF(L6405="", "", L6405-B6405)</f>
        <v/>
      </c>
      <c r="O6405">
        <f>IF(L6405="", "Pending", IF(N6405&lt;=30, "Met", "Breached"))</f>
        <v/>
      </c>
    </row>
    <row r="6406">
      <c r="M6406" s="11">
        <f>B6406+30</f>
        <v/>
      </c>
      <c r="N6406">
        <f>IF(L6406="", "", L6406-B6406)</f>
        <v/>
      </c>
      <c r="O6406">
        <f>IF(L6406="", "Pending", IF(N6406&lt;=30, "Met", "Breached"))</f>
        <v/>
      </c>
    </row>
    <row r="6407">
      <c r="M6407" s="11">
        <f>B6407+30</f>
        <v/>
      </c>
      <c r="N6407">
        <f>IF(L6407="", "", L6407-B6407)</f>
        <v/>
      </c>
      <c r="O6407">
        <f>IF(L6407="", "Pending", IF(N6407&lt;=30, "Met", "Breached"))</f>
        <v/>
      </c>
    </row>
    <row r="6408">
      <c r="M6408" s="11">
        <f>B6408+30</f>
        <v/>
      </c>
      <c r="N6408">
        <f>IF(L6408="", "", L6408-B6408)</f>
        <v/>
      </c>
      <c r="O6408">
        <f>IF(L6408="", "Pending", IF(N6408&lt;=30, "Met", "Breached"))</f>
        <v/>
      </c>
    </row>
    <row r="6409">
      <c r="M6409" s="11">
        <f>B6409+30</f>
        <v/>
      </c>
      <c r="N6409">
        <f>IF(L6409="", "", L6409-B6409)</f>
        <v/>
      </c>
      <c r="O6409">
        <f>IF(L6409="", "Pending", IF(N6409&lt;=30, "Met", "Breached"))</f>
        <v/>
      </c>
    </row>
    <row r="6410">
      <c r="M6410" s="11">
        <f>B6410+30</f>
        <v/>
      </c>
      <c r="N6410">
        <f>IF(L6410="", "", L6410-B6410)</f>
        <v/>
      </c>
      <c r="O6410">
        <f>IF(L6410="", "Pending", IF(N6410&lt;=30, "Met", "Breached"))</f>
        <v/>
      </c>
    </row>
    <row r="6411">
      <c r="M6411" s="11">
        <f>B6411+30</f>
        <v/>
      </c>
      <c r="N6411">
        <f>IF(L6411="", "", L6411-B6411)</f>
        <v/>
      </c>
      <c r="O6411">
        <f>IF(L6411="", "Pending", IF(N6411&lt;=30, "Met", "Breached"))</f>
        <v/>
      </c>
    </row>
    <row r="6412">
      <c r="M6412" s="11">
        <f>B6412+30</f>
        <v/>
      </c>
      <c r="N6412">
        <f>IF(L6412="", "", L6412-B6412)</f>
        <v/>
      </c>
      <c r="O6412">
        <f>IF(L6412="", "Pending", IF(N6412&lt;=30, "Met", "Breached"))</f>
        <v/>
      </c>
    </row>
    <row r="6413">
      <c r="M6413" s="11">
        <f>B6413+30</f>
        <v/>
      </c>
      <c r="N6413">
        <f>IF(L6413="", "", L6413-B6413)</f>
        <v/>
      </c>
      <c r="O6413">
        <f>IF(L6413="", "Pending", IF(N6413&lt;=30, "Met", "Breached"))</f>
        <v/>
      </c>
    </row>
    <row r="6414">
      <c r="M6414" s="11">
        <f>B6414+30</f>
        <v/>
      </c>
      <c r="N6414">
        <f>IF(L6414="", "", L6414-B6414)</f>
        <v/>
      </c>
      <c r="O6414">
        <f>IF(L6414="", "Pending", IF(N6414&lt;=30, "Met", "Breached"))</f>
        <v/>
      </c>
    </row>
    <row r="6415">
      <c r="M6415" s="11">
        <f>B6415+30</f>
        <v/>
      </c>
      <c r="N6415">
        <f>IF(L6415="", "", L6415-B6415)</f>
        <v/>
      </c>
      <c r="O6415">
        <f>IF(L6415="", "Pending", IF(N6415&lt;=30, "Met", "Breached"))</f>
        <v/>
      </c>
    </row>
    <row r="6416">
      <c r="M6416" s="11">
        <f>B6416+30</f>
        <v/>
      </c>
      <c r="N6416">
        <f>IF(L6416="", "", L6416-B6416)</f>
        <v/>
      </c>
      <c r="O6416">
        <f>IF(L6416="", "Pending", IF(N6416&lt;=30, "Met", "Breached"))</f>
        <v/>
      </c>
    </row>
    <row r="6417">
      <c r="M6417" s="11">
        <f>B6417+30</f>
        <v/>
      </c>
      <c r="N6417">
        <f>IF(L6417="", "", L6417-B6417)</f>
        <v/>
      </c>
      <c r="O6417">
        <f>IF(L6417="", "Pending", IF(N6417&lt;=30, "Met", "Breached"))</f>
        <v/>
      </c>
    </row>
    <row r="6418">
      <c r="M6418" s="11">
        <f>B6418+30</f>
        <v/>
      </c>
      <c r="N6418">
        <f>IF(L6418="", "", L6418-B6418)</f>
        <v/>
      </c>
      <c r="O6418">
        <f>IF(L6418="", "Pending", IF(N6418&lt;=30, "Met", "Breached"))</f>
        <v/>
      </c>
    </row>
    <row r="6419">
      <c r="M6419" s="11">
        <f>B6419+30</f>
        <v/>
      </c>
      <c r="N6419">
        <f>IF(L6419="", "", L6419-B6419)</f>
        <v/>
      </c>
      <c r="O6419">
        <f>IF(L6419="", "Pending", IF(N6419&lt;=30, "Met", "Breached"))</f>
        <v/>
      </c>
    </row>
    <row r="6420">
      <c r="M6420" s="11">
        <f>B6420+30</f>
        <v/>
      </c>
      <c r="N6420">
        <f>IF(L6420="", "", L6420-B6420)</f>
        <v/>
      </c>
      <c r="O6420">
        <f>IF(L6420="", "Pending", IF(N6420&lt;=30, "Met", "Breached"))</f>
        <v/>
      </c>
    </row>
    <row r="6421">
      <c r="M6421" s="11">
        <f>B6421+30</f>
        <v/>
      </c>
      <c r="N6421">
        <f>IF(L6421="", "", L6421-B6421)</f>
        <v/>
      </c>
      <c r="O6421">
        <f>IF(L6421="", "Pending", IF(N6421&lt;=30, "Met", "Breached"))</f>
        <v/>
      </c>
    </row>
    <row r="6422">
      <c r="M6422" s="11">
        <f>B6422+30</f>
        <v/>
      </c>
      <c r="N6422">
        <f>IF(L6422="", "", L6422-B6422)</f>
        <v/>
      </c>
      <c r="O6422">
        <f>IF(L6422="", "Pending", IF(N6422&lt;=30, "Met", "Breached"))</f>
        <v/>
      </c>
    </row>
    <row r="6423">
      <c r="M6423" s="11">
        <f>B6423+30</f>
        <v/>
      </c>
      <c r="N6423">
        <f>IF(L6423="", "", L6423-B6423)</f>
        <v/>
      </c>
      <c r="O6423">
        <f>IF(L6423="", "Pending", IF(N6423&lt;=30, "Met", "Breached"))</f>
        <v/>
      </c>
    </row>
    <row r="6424">
      <c r="M6424" s="11">
        <f>B6424+30</f>
        <v/>
      </c>
      <c r="N6424">
        <f>IF(L6424="", "", L6424-B6424)</f>
        <v/>
      </c>
      <c r="O6424">
        <f>IF(L6424="", "Pending", IF(N6424&lt;=30, "Met", "Breached"))</f>
        <v/>
      </c>
    </row>
    <row r="6425">
      <c r="M6425" s="11">
        <f>B6425+30</f>
        <v/>
      </c>
      <c r="N6425">
        <f>IF(L6425="", "", L6425-B6425)</f>
        <v/>
      </c>
      <c r="O6425">
        <f>IF(L6425="", "Pending", IF(N6425&lt;=30, "Met", "Breached"))</f>
        <v/>
      </c>
    </row>
    <row r="6426">
      <c r="M6426" s="11">
        <f>B6426+30</f>
        <v/>
      </c>
      <c r="N6426">
        <f>IF(L6426="", "", L6426-B6426)</f>
        <v/>
      </c>
      <c r="O6426">
        <f>IF(L6426="", "Pending", IF(N6426&lt;=30, "Met", "Breached"))</f>
        <v/>
      </c>
    </row>
    <row r="6427">
      <c r="M6427" s="11">
        <f>B6427+30</f>
        <v/>
      </c>
      <c r="N6427">
        <f>IF(L6427="", "", L6427-B6427)</f>
        <v/>
      </c>
      <c r="O6427">
        <f>IF(L6427="", "Pending", IF(N6427&lt;=30, "Met", "Breached"))</f>
        <v/>
      </c>
    </row>
    <row r="6428">
      <c r="M6428" s="11">
        <f>B6428+30</f>
        <v/>
      </c>
      <c r="N6428">
        <f>IF(L6428="", "", L6428-B6428)</f>
        <v/>
      </c>
      <c r="O6428">
        <f>IF(L6428="", "Pending", IF(N6428&lt;=30, "Met", "Breached"))</f>
        <v/>
      </c>
    </row>
    <row r="6429">
      <c r="M6429" s="11">
        <f>B6429+30</f>
        <v/>
      </c>
      <c r="N6429">
        <f>IF(L6429="", "", L6429-B6429)</f>
        <v/>
      </c>
      <c r="O6429">
        <f>IF(L6429="", "Pending", IF(N6429&lt;=30, "Met", "Breached"))</f>
        <v/>
      </c>
    </row>
    <row r="6430">
      <c r="M6430" s="11">
        <f>B6430+30</f>
        <v/>
      </c>
      <c r="N6430">
        <f>IF(L6430="", "", L6430-B6430)</f>
        <v/>
      </c>
      <c r="O6430">
        <f>IF(L6430="", "Pending", IF(N6430&lt;=30, "Met", "Breached"))</f>
        <v/>
      </c>
    </row>
    <row r="6431">
      <c r="M6431" s="11">
        <f>B6431+30</f>
        <v/>
      </c>
      <c r="N6431">
        <f>IF(L6431="", "", L6431-B6431)</f>
        <v/>
      </c>
      <c r="O6431">
        <f>IF(L6431="", "Pending", IF(N6431&lt;=30, "Met", "Breached"))</f>
        <v/>
      </c>
    </row>
    <row r="6432">
      <c r="M6432" s="11">
        <f>B6432+30</f>
        <v/>
      </c>
      <c r="N6432">
        <f>IF(L6432="", "", L6432-B6432)</f>
        <v/>
      </c>
      <c r="O6432">
        <f>IF(L6432="", "Pending", IF(N6432&lt;=30, "Met", "Breached"))</f>
        <v/>
      </c>
    </row>
    <row r="6433">
      <c r="M6433" s="11">
        <f>B6433+30</f>
        <v/>
      </c>
      <c r="N6433">
        <f>IF(L6433="", "", L6433-B6433)</f>
        <v/>
      </c>
      <c r="O6433">
        <f>IF(L6433="", "Pending", IF(N6433&lt;=30, "Met", "Breached"))</f>
        <v/>
      </c>
    </row>
    <row r="6434">
      <c r="M6434" s="11">
        <f>B6434+30</f>
        <v/>
      </c>
      <c r="N6434">
        <f>IF(L6434="", "", L6434-B6434)</f>
        <v/>
      </c>
      <c r="O6434">
        <f>IF(L6434="", "Pending", IF(N6434&lt;=30, "Met", "Breached"))</f>
        <v/>
      </c>
    </row>
    <row r="6435">
      <c r="M6435" s="11">
        <f>B6435+30</f>
        <v/>
      </c>
      <c r="N6435">
        <f>IF(L6435="", "", L6435-B6435)</f>
        <v/>
      </c>
      <c r="O6435">
        <f>IF(L6435="", "Pending", IF(N6435&lt;=30, "Met", "Breached"))</f>
        <v/>
      </c>
    </row>
    <row r="6436">
      <c r="M6436" s="11">
        <f>B6436+30</f>
        <v/>
      </c>
      <c r="N6436">
        <f>IF(L6436="", "", L6436-B6436)</f>
        <v/>
      </c>
      <c r="O6436">
        <f>IF(L6436="", "Pending", IF(N6436&lt;=30, "Met", "Breached"))</f>
        <v/>
      </c>
    </row>
    <row r="6437">
      <c r="M6437" s="11">
        <f>B6437+30</f>
        <v/>
      </c>
      <c r="N6437">
        <f>IF(L6437="", "", L6437-B6437)</f>
        <v/>
      </c>
      <c r="O6437">
        <f>IF(L6437="", "Pending", IF(N6437&lt;=30, "Met", "Breached"))</f>
        <v/>
      </c>
    </row>
    <row r="6438">
      <c r="M6438" s="11">
        <f>B6438+30</f>
        <v/>
      </c>
      <c r="N6438">
        <f>IF(L6438="", "", L6438-B6438)</f>
        <v/>
      </c>
      <c r="O6438">
        <f>IF(L6438="", "Pending", IF(N6438&lt;=30, "Met", "Breached"))</f>
        <v/>
      </c>
    </row>
    <row r="6439">
      <c r="M6439" s="11">
        <f>B6439+30</f>
        <v/>
      </c>
      <c r="N6439">
        <f>IF(L6439="", "", L6439-B6439)</f>
        <v/>
      </c>
      <c r="O6439">
        <f>IF(L6439="", "Pending", IF(N6439&lt;=30, "Met", "Breached"))</f>
        <v/>
      </c>
    </row>
    <row r="6440">
      <c r="M6440" s="11">
        <f>B6440+30</f>
        <v/>
      </c>
      <c r="N6440">
        <f>IF(L6440="", "", L6440-B6440)</f>
        <v/>
      </c>
      <c r="O6440">
        <f>IF(L6440="", "Pending", IF(N6440&lt;=30, "Met", "Breached"))</f>
        <v/>
      </c>
    </row>
    <row r="6441">
      <c r="M6441" s="11">
        <f>B6441+30</f>
        <v/>
      </c>
      <c r="N6441">
        <f>IF(L6441="", "", L6441-B6441)</f>
        <v/>
      </c>
      <c r="O6441">
        <f>IF(L6441="", "Pending", IF(N6441&lt;=30, "Met", "Breached"))</f>
        <v/>
      </c>
    </row>
    <row r="6442">
      <c r="M6442" s="11">
        <f>B6442+30</f>
        <v/>
      </c>
      <c r="N6442">
        <f>IF(L6442="", "", L6442-B6442)</f>
        <v/>
      </c>
      <c r="O6442">
        <f>IF(L6442="", "Pending", IF(N6442&lt;=30, "Met", "Breached"))</f>
        <v/>
      </c>
    </row>
    <row r="6443">
      <c r="M6443" s="11">
        <f>B6443+30</f>
        <v/>
      </c>
      <c r="N6443">
        <f>IF(L6443="", "", L6443-B6443)</f>
        <v/>
      </c>
      <c r="O6443">
        <f>IF(L6443="", "Pending", IF(N6443&lt;=30, "Met", "Breached"))</f>
        <v/>
      </c>
    </row>
    <row r="6444">
      <c r="M6444" s="11">
        <f>B6444+30</f>
        <v/>
      </c>
      <c r="N6444">
        <f>IF(L6444="", "", L6444-B6444)</f>
        <v/>
      </c>
      <c r="O6444">
        <f>IF(L6444="", "Pending", IF(N6444&lt;=30, "Met", "Breached"))</f>
        <v/>
      </c>
    </row>
    <row r="6445">
      <c r="M6445" s="11">
        <f>B6445+30</f>
        <v/>
      </c>
      <c r="N6445">
        <f>IF(L6445="", "", L6445-B6445)</f>
        <v/>
      </c>
      <c r="O6445">
        <f>IF(L6445="", "Pending", IF(N6445&lt;=30, "Met", "Breached"))</f>
        <v/>
      </c>
    </row>
    <row r="6446">
      <c r="M6446" s="11">
        <f>B6446+30</f>
        <v/>
      </c>
      <c r="N6446">
        <f>IF(L6446="", "", L6446-B6446)</f>
        <v/>
      </c>
      <c r="O6446">
        <f>IF(L6446="", "Pending", IF(N6446&lt;=30, "Met", "Breached"))</f>
        <v/>
      </c>
    </row>
    <row r="6447">
      <c r="M6447" s="11">
        <f>B6447+30</f>
        <v/>
      </c>
      <c r="N6447">
        <f>IF(L6447="", "", L6447-B6447)</f>
        <v/>
      </c>
      <c r="O6447">
        <f>IF(L6447="", "Pending", IF(N6447&lt;=30, "Met", "Breached"))</f>
        <v/>
      </c>
    </row>
    <row r="6448">
      <c r="M6448" s="11">
        <f>B6448+30</f>
        <v/>
      </c>
      <c r="N6448">
        <f>IF(L6448="", "", L6448-B6448)</f>
        <v/>
      </c>
      <c r="O6448">
        <f>IF(L6448="", "Pending", IF(N6448&lt;=30, "Met", "Breached"))</f>
        <v/>
      </c>
    </row>
    <row r="6449">
      <c r="M6449" s="11">
        <f>B6449+30</f>
        <v/>
      </c>
      <c r="N6449">
        <f>IF(L6449="", "", L6449-B6449)</f>
        <v/>
      </c>
      <c r="O6449">
        <f>IF(L6449="", "Pending", IF(N6449&lt;=30, "Met", "Breached"))</f>
        <v/>
      </c>
    </row>
    <row r="6450">
      <c r="M6450" s="11">
        <f>B6450+30</f>
        <v/>
      </c>
      <c r="N6450">
        <f>IF(L6450="", "", L6450-B6450)</f>
        <v/>
      </c>
      <c r="O6450">
        <f>IF(L6450="", "Pending", IF(N6450&lt;=30, "Met", "Breached"))</f>
        <v/>
      </c>
    </row>
    <row r="6451">
      <c r="M6451" s="11">
        <f>B6451+30</f>
        <v/>
      </c>
      <c r="N6451">
        <f>IF(L6451="", "", L6451-B6451)</f>
        <v/>
      </c>
      <c r="O6451">
        <f>IF(L6451="", "Pending", IF(N6451&lt;=30, "Met", "Breached"))</f>
        <v/>
      </c>
    </row>
    <row r="6452">
      <c r="M6452" s="11">
        <f>B6452+30</f>
        <v/>
      </c>
      <c r="N6452">
        <f>IF(L6452="", "", L6452-B6452)</f>
        <v/>
      </c>
      <c r="O6452">
        <f>IF(L6452="", "Pending", IF(N6452&lt;=30, "Met", "Breached"))</f>
        <v/>
      </c>
    </row>
    <row r="6453">
      <c r="M6453" s="11">
        <f>B6453+30</f>
        <v/>
      </c>
      <c r="N6453">
        <f>IF(L6453="", "", L6453-B6453)</f>
        <v/>
      </c>
      <c r="O6453">
        <f>IF(L6453="", "Pending", IF(N6453&lt;=30, "Met", "Breached"))</f>
        <v/>
      </c>
    </row>
    <row r="6454">
      <c r="M6454" s="11">
        <f>B6454+30</f>
        <v/>
      </c>
      <c r="N6454">
        <f>IF(L6454="", "", L6454-B6454)</f>
        <v/>
      </c>
      <c r="O6454">
        <f>IF(L6454="", "Pending", IF(N6454&lt;=30, "Met", "Breached"))</f>
        <v/>
      </c>
    </row>
    <row r="6455">
      <c r="M6455" s="11">
        <f>B6455+30</f>
        <v/>
      </c>
      <c r="N6455">
        <f>IF(L6455="", "", L6455-B6455)</f>
        <v/>
      </c>
      <c r="O6455">
        <f>IF(L6455="", "Pending", IF(N6455&lt;=30, "Met", "Breached"))</f>
        <v/>
      </c>
    </row>
    <row r="6456">
      <c r="M6456" s="11">
        <f>B6456+30</f>
        <v/>
      </c>
      <c r="N6456">
        <f>IF(L6456="", "", L6456-B6456)</f>
        <v/>
      </c>
      <c r="O6456">
        <f>IF(L6456="", "Pending", IF(N6456&lt;=30, "Met", "Breached"))</f>
        <v/>
      </c>
    </row>
    <row r="6457">
      <c r="M6457" s="11">
        <f>B6457+30</f>
        <v/>
      </c>
      <c r="N6457">
        <f>IF(L6457="", "", L6457-B6457)</f>
        <v/>
      </c>
      <c r="O6457">
        <f>IF(L6457="", "Pending", IF(N6457&lt;=30, "Met", "Breached"))</f>
        <v/>
      </c>
    </row>
    <row r="6458">
      <c r="M6458" s="11">
        <f>B6458+30</f>
        <v/>
      </c>
      <c r="N6458">
        <f>IF(L6458="", "", L6458-B6458)</f>
        <v/>
      </c>
      <c r="O6458">
        <f>IF(L6458="", "Pending", IF(N6458&lt;=30, "Met", "Breached"))</f>
        <v/>
      </c>
    </row>
    <row r="6459">
      <c r="M6459" s="11">
        <f>B6459+30</f>
        <v/>
      </c>
      <c r="N6459">
        <f>IF(L6459="", "", L6459-B6459)</f>
        <v/>
      </c>
      <c r="O6459">
        <f>IF(L6459="", "Pending", IF(N6459&lt;=30, "Met", "Breached"))</f>
        <v/>
      </c>
    </row>
    <row r="6460">
      <c r="M6460" s="11">
        <f>B6460+30</f>
        <v/>
      </c>
      <c r="N6460">
        <f>IF(L6460="", "", L6460-B6460)</f>
        <v/>
      </c>
      <c r="O6460">
        <f>IF(L6460="", "Pending", IF(N6460&lt;=30, "Met", "Breached"))</f>
        <v/>
      </c>
    </row>
    <row r="6461">
      <c r="M6461" s="11">
        <f>B6461+30</f>
        <v/>
      </c>
      <c r="N6461">
        <f>IF(L6461="", "", L6461-B6461)</f>
        <v/>
      </c>
      <c r="O6461">
        <f>IF(L6461="", "Pending", IF(N6461&lt;=30, "Met", "Breached"))</f>
        <v/>
      </c>
    </row>
    <row r="6462">
      <c r="M6462" s="11">
        <f>B6462+30</f>
        <v/>
      </c>
      <c r="N6462">
        <f>IF(L6462="", "", L6462-B6462)</f>
        <v/>
      </c>
      <c r="O6462">
        <f>IF(L6462="", "Pending", IF(N6462&lt;=30, "Met", "Breached"))</f>
        <v/>
      </c>
    </row>
    <row r="6463">
      <c r="M6463" s="11">
        <f>B6463+30</f>
        <v/>
      </c>
      <c r="N6463">
        <f>IF(L6463="", "", L6463-B6463)</f>
        <v/>
      </c>
      <c r="O6463">
        <f>IF(L6463="", "Pending", IF(N6463&lt;=30, "Met", "Breached"))</f>
        <v/>
      </c>
    </row>
    <row r="6464">
      <c r="M6464" s="11">
        <f>B6464+30</f>
        <v/>
      </c>
      <c r="N6464">
        <f>IF(L6464="", "", L6464-B6464)</f>
        <v/>
      </c>
      <c r="O6464">
        <f>IF(L6464="", "Pending", IF(N6464&lt;=30, "Met", "Breached"))</f>
        <v/>
      </c>
    </row>
    <row r="6465">
      <c r="M6465" s="11">
        <f>B6465+30</f>
        <v/>
      </c>
      <c r="N6465">
        <f>IF(L6465="", "", L6465-B6465)</f>
        <v/>
      </c>
      <c r="O6465">
        <f>IF(L6465="", "Pending", IF(N6465&lt;=30, "Met", "Breached"))</f>
        <v/>
      </c>
    </row>
    <row r="6466">
      <c r="M6466" s="11">
        <f>B6466+30</f>
        <v/>
      </c>
      <c r="N6466">
        <f>IF(L6466="", "", L6466-B6466)</f>
        <v/>
      </c>
      <c r="O6466">
        <f>IF(L6466="", "Pending", IF(N6466&lt;=30, "Met", "Breached"))</f>
        <v/>
      </c>
    </row>
    <row r="6467">
      <c r="M6467" s="11">
        <f>B6467+30</f>
        <v/>
      </c>
      <c r="N6467">
        <f>IF(L6467="", "", L6467-B6467)</f>
        <v/>
      </c>
      <c r="O6467">
        <f>IF(L6467="", "Pending", IF(N6467&lt;=30, "Met", "Breached"))</f>
        <v/>
      </c>
    </row>
    <row r="6468">
      <c r="M6468" s="11">
        <f>B6468+30</f>
        <v/>
      </c>
      <c r="N6468">
        <f>IF(L6468="", "", L6468-B6468)</f>
        <v/>
      </c>
      <c r="O6468">
        <f>IF(L6468="", "Pending", IF(N6468&lt;=30, "Met", "Breached"))</f>
        <v/>
      </c>
    </row>
    <row r="6469">
      <c r="M6469" s="11">
        <f>B6469+30</f>
        <v/>
      </c>
      <c r="N6469">
        <f>IF(L6469="", "", L6469-B6469)</f>
        <v/>
      </c>
      <c r="O6469">
        <f>IF(L6469="", "Pending", IF(N6469&lt;=30, "Met", "Breached"))</f>
        <v/>
      </c>
    </row>
    <row r="6470">
      <c r="M6470" s="11">
        <f>B6470+30</f>
        <v/>
      </c>
      <c r="N6470">
        <f>IF(L6470="", "", L6470-B6470)</f>
        <v/>
      </c>
      <c r="O6470">
        <f>IF(L6470="", "Pending", IF(N6470&lt;=30, "Met", "Breached"))</f>
        <v/>
      </c>
    </row>
    <row r="6471">
      <c r="M6471" s="11">
        <f>B6471+30</f>
        <v/>
      </c>
      <c r="N6471">
        <f>IF(L6471="", "", L6471-B6471)</f>
        <v/>
      </c>
      <c r="O6471">
        <f>IF(L6471="", "Pending", IF(N6471&lt;=30, "Met", "Breached"))</f>
        <v/>
      </c>
    </row>
    <row r="6472">
      <c r="M6472" s="11">
        <f>B6472+30</f>
        <v/>
      </c>
      <c r="N6472">
        <f>IF(L6472="", "", L6472-B6472)</f>
        <v/>
      </c>
      <c r="O6472">
        <f>IF(L6472="", "Pending", IF(N6472&lt;=30, "Met", "Breached"))</f>
        <v/>
      </c>
    </row>
    <row r="6473">
      <c r="M6473" s="11">
        <f>B6473+30</f>
        <v/>
      </c>
      <c r="N6473">
        <f>IF(L6473="", "", L6473-B6473)</f>
        <v/>
      </c>
      <c r="O6473">
        <f>IF(L6473="", "Pending", IF(N6473&lt;=30, "Met", "Breached"))</f>
        <v/>
      </c>
    </row>
    <row r="6474">
      <c r="M6474" s="11">
        <f>B6474+30</f>
        <v/>
      </c>
      <c r="N6474">
        <f>IF(L6474="", "", L6474-B6474)</f>
        <v/>
      </c>
      <c r="O6474">
        <f>IF(L6474="", "Pending", IF(N6474&lt;=30, "Met", "Breached"))</f>
        <v/>
      </c>
    </row>
    <row r="6475">
      <c r="M6475" s="11">
        <f>B6475+30</f>
        <v/>
      </c>
      <c r="N6475">
        <f>IF(L6475="", "", L6475-B6475)</f>
        <v/>
      </c>
      <c r="O6475">
        <f>IF(L6475="", "Pending", IF(N6475&lt;=30, "Met", "Breached"))</f>
        <v/>
      </c>
    </row>
    <row r="6476">
      <c r="M6476" s="11">
        <f>B6476+30</f>
        <v/>
      </c>
      <c r="N6476">
        <f>IF(L6476="", "", L6476-B6476)</f>
        <v/>
      </c>
      <c r="O6476">
        <f>IF(L6476="", "Pending", IF(N6476&lt;=30, "Met", "Breached"))</f>
        <v/>
      </c>
    </row>
    <row r="6477">
      <c r="M6477" s="11">
        <f>B6477+30</f>
        <v/>
      </c>
      <c r="N6477">
        <f>IF(L6477="", "", L6477-B6477)</f>
        <v/>
      </c>
      <c r="O6477">
        <f>IF(L6477="", "Pending", IF(N6477&lt;=30, "Met", "Breached"))</f>
        <v/>
      </c>
    </row>
    <row r="6478">
      <c r="M6478" s="11">
        <f>B6478+30</f>
        <v/>
      </c>
      <c r="N6478">
        <f>IF(L6478="", "", L6478-B6478)</f>
        <v/>
      </c>
      <c r="O6478">
        <f>IF(L6478="", "Pending", IF(N6478&lt;=30, "Met", "Breached"))</f>
        <v/>
      </c>
    </row>
    <row r="6479">
      <c r="M6479" s="11">
        <f>B6479+30</f>
        <v/>
      </c>
      <c r="N6479">
        <f>IF(L6479="", "", L6479-B6479)</f>
        <v/>
      </c>
      <c r="O6479">
        <f>IF(L6479="", "Pending", IF(N6479&lt;=30, "Met", "Breached"))</f>
        <v/>
      </c>
    </row>
    <row r="6480">
      <c r="M6480" s="11">
        <f>B6480+30</f>
        <v/>
      </c>
      <c r="N6480">
        <f>IF(L6480="", "", L6480-B6480)</f>
        <v/>
      </c>
      <c r="O6480">
        <f>IF(L6480="", "Pending", IF(N6480&lt;=30, "Met", "Breached"))</f>
        <v/>
      </c>
    </row>
    <row r="6481">
      <c r="M6481" s="11">
        <f>B6481+30</f>
        <v/>
      </c>
      <c r="N6481">
        <f>IF(L6481="", "", L6481-B6481)</f>
        <v/>
      </c>
      <c r="O6481">
        <f>IF(L6481="", "Pending", IF(N6481&lt;=30, "Met", "Breached"))</f>
        <v/>
      </c>
    </row>
    <row r="6482">
      <c r="M6482" s="11">
        <f>B6482+30</f>
        <v/>
      </c>
      <c r="N6482">
        <f>IF(L6482="", "", L6482-B6482)</f>
        <v/>
      </c>
      <c r="O6482">
        <f>IF(L6482="", "Pending", IF(N6482&lt;=30, "Met", "Breached"))</f>
        <v/>
      </c>
    </row>
    <row r="6483">
      <c r="M6483" s="11">
        <f>B6483+30</f>
        <v/>
      </c>
      <c r="N6483">
        <f>IF(L6483="", "", L6483-B6483)</f>
        <v/>
      </c>
      <c r="O6483">
        <f>IF(L6483="", "Pending", IF(N6483&lt;=30, "Met", "Breached"))</f>
        <v/>
      </c>
    </row>
    <row r="6484">
      <c r="M6484" s="11">
        <f>B6484+30</f>
        <v/>
      </c>
      <c r="N6484">
        <f>IF(L6484="", "", L6484-B6484)</f>
        <v/>
      </c>
      <c r="O6484">
        <f>IF(L6484="", "Pending", IF(N6484&lt;=30, "Met", "Breached"))</f>
        <v/>
      </c>
    </row>
    <row r="6485">
      <c r="M6485" s="11">
        <f>B6485+30</f>
        <v/>
      </c>
      <c r="N6485">
        <f>IF(L6485="", "", L6485-B6485)</f>
        <v/>
      </c>
      <c r="O6485">
        <f>IF(L6485="", "Pending", IF(N6485&lt;=30, "Met", "Breached"))</f>
        <v/>
      </c>
    </row>
    <row r="6486">
      <c r="M6486" s="11">
        <f>B6486+30</f>
        <v/>
      </c>
      <c r="N6486">
        <f>IF(L6486="", "", L6486-B6486)</f>
        <v/>
      </c>
      <c r="O6486">
        <f>IF(L6486="", "Pending", IF(N6486&lt;=30, "Met", "Breached"))</f>
        <v/>
      </c>
    </row>
    <row r="6487">
      <c r="M6487" s="11">
        <f>B6487+30</f>
        <v/>
      </c>
      <c r="N6487">
        <f>IF(L6487="", "", L6487-B6487)</f>
        <v/>
      </c>
      <c r="O6487">
        <f>IF(L6487="", "Pending", IF(N6487&lt;=30, "Met", "Breached"))</f>
        <v/>
      </c>
    </row>
    <row r="6488">
      <c r="M6488" s="11">
        <f>B6488+30</f>
        <v/>
      </c>
      <c r="N6488">
        <f>IF(L6488="", "", L6488-B6488)</f>
        <v/>
      </c>
      <c r="O6488">
        <f>IF(L6488="", "Pending", IF(N6488&lt;=30, "Met", "Breached"))</f>
        <v/>
      </c>
    </row>
    <row r="6489">
      <c r="M6489" s="11">
        <f>B6489+30</f>
        <v/>
      </c>
      <c r="N6489">
        <f>IF(L6489="", "", L6489-B6489)</f>
        <v/>
      </c>
      <c r="O6489">
        <f>IF(L6489="", "Pending", IF(N6489&lt;=30, "Met", "Breached"))</f>
        <v/>
      </c>
    </row>
    <row r="6490">
      <c r="M6490" s="11">
        <f>B6490+30</f>
        <v/>
      </c>
      <c r="N6490">
        <f>IF(L6490="", "", L6490-B6490)</f>
        <v/>
      </c>
      <c r="O6490">
        <f>IF(L6490="", "Pending", IF(N6490&lt;=30, "Met", "Breached"))</f>
        <v/>
      </c>
    </row>
    <row r="6491">
      <c r="M6491" s="11">
        <f>B6491+30</f>
        <v/>
      </c>
      <c r="N6491">
        <f>IF(L6491="", "", L6491-B6491)</f>
        <v/>
      </c>
      <c r="O6491">
        <f>IF(L6491="", "Pending", IF(N6491&lt;=30, "Met", "Breached"))</f>
        <v/>
      </c>
    </row>
    <row r="6492">
      <c r="M6492" s="11">
        <f>B6492+30</f>
        <v/>
      </c>
      <c r="N6492">
        <f>IF(L6492="", "", L6492-B6492)</f>
        <v/>
      </c>
      <c r="O6492">
        <f>IF(L6492="", "Pending", IF(N6492&lt;=30, "Met", "Breached"))</f>
        <v/>
      </c>
    </row>
    <row r="6493">
      <c r="M6493" s="11">
        <f>B6493+30</f>
        <v/>
      </c>
      <c r="N6493">
        <f>IF(L6493="", "", L6493-B6493)</f>
        <v/>
      </c>
      <c r="O6493">
        <f>IF(L6493="", "Pending", IF(N6493&lt;=30, "Met", "Breached"))</f>
        <v/>
      </c>
    </row>
    <row r="6494">
      <c r="M6494" s="11">
        <f>B6494+30</f>
        <v/>
      </c>
      <c r="N6494">
        <f>IF(L6494="", "", L6494-B6494)</f>
        <v/>
      </c>
      <c r="O6494">
        <f>IF(L6494="", "Pending", IF(N6494&lt;=30, "Met", "Breached"))</f>
        <v/>
      </c>
    </row>
    <row r="6495">
      <c r="M6495" s="11">
        <f>B6495+30</f>
        <v/>
      </c>
      <c r="N6495">
        <f>IF(L6495="", "", L6495-B6495)</f>
        <v/>
      </c>
      <c r="O6495">
        <f>IF(L6495="", "Pending", IF(N6495&lt;=30, "Met", "Breached"))</f>
        <v/>
      </c>
    </row>
    <row r="6496">
      <c r="M6496" s="11">
        <f>B6496+30</f>
        <v/>
      </c>
      <c r="N6496">
        <f>IF(L6496="", "", L6496-B6496)</f>
        <v/>
      </c>
      <c r="O6496">
        <f>IF(L6496="", "Pending", IF(N6496&lt;=30, "Met", "Breached"))</f>
        <v/>
      </c>
    </row>
    <row r="6497">
      <c r="M6497" s="11">
        <f>B6497+30</f>
        <v/>
      </c>
      <c r="N6497">
        <f>IF(L6497="", "", L6497-B6497)</f>
        <v/>
      </c>
      <c r="O6497">
        <f>IF(L6497="", "Pending", IF(N6497&lt;=30, "Met", "Breached"))</f>
        <v/>
      </c>
    </row>
    <row r="6498">
      <c r="M6498" s="11">
        <f>B6498+30</f>
        <v/>
      </c>
      <c r="N6498">
        <f>IF(L6498="", "", L6498-B6498)</f>
        <v/>
      </c>
      <c r="O6498">
        <f>IF(L6498="", "Pending", IF(N6498&lt;=30, "Met", "Breached"))</f>
        <v/>
      </c>
    </row>
    <row r="6499">
      <c r="M6499" s="11">
        <f>B6499+30</f>
        <v/>
      </c>
      <c r="N6499">
        <f>IF(L6499="", "", L6499-B6499)</f>
        <v/>
      </c>
      <c r="O6499">
        <f>IF(L6499="", "Pending", IF(N6499&lt;=30, "Met", "Breached"))</f>
        <v/>
      </c>
    </row>
    <row r="6500">
      <c r="M6500" s="11">
        <f>B6500+30</f>
        <v/>
      </c>
      <c r="N6500">
        <f>IF(L6500="", "", L6500-B6500)</f>
        <v/>
      </c>
      <c r="O6500">
        <f>IF(L6500="", "Pending", IF(N6500&lt;=30, "Met", "Breached"))</f>
        <v/>
      </c>
    </row>
    <row r="6501">
      <c r="M6501" s="11">
        <f>B6501+30</f>
        <v/>
      </c>
      <c r="N6501">
        <f>IF(L6501="", "", L6501-B6501)</f>
        <v/>
      </c>
      <c r="O6501">
        <f>IF(L6501="", "Pending", IF(N6501&lt;=30, "Met", "Breached"))</f>
        <v/>
      </c>
    </row>
    <row r="6502">
      <c r="M6502" s="11">
        <f>B6502+30</f>
        <v/>
      </c>
      <c r="N6502">
        <f>IF(L6502="", "", L6502-B6502)</f>
        <v/>
      </c>
      <c r="O6502">
        <f>IF(L6502="", "Pending", IF(N6502&lt;=30, "Met", "Breached"))</f>
        <v/>
      </c>
    </row>
    <row r="6503">
      <c r="M6503" s="11">
        <f>B6503+30</f>
        <v/>
      </c>
      <c r="N6503">
        <f>IF(L6503="", "", L6503-B6503)</f>
        <v/>
      </c>
      <c r="O6503">
        <f>IF(L6503="", "Pending", IF(N6503&lt;=30, "Met", "Breached"))</f>
        <v/>
      </c>
    </row>
    <row r="6504">
      <c r="M6504" s="11">
        <f>B6504+30</f>
        <v/>
      </c>
      <c r="N6504">
        <f>IF(L6504="", "", L6504-B6504)</f>
        <v/>
      </c>
      <c r="O6504">
        <f>IF(L6504="", "Pending", IF(N6504&lt;=30, "Met", "Breached"))</f>
        <v/>
      </c>
    </row>
    <row r="6505">
      <c r="M6505" s="11">
        <f>B6505+30</f>
        <v/>
      </c>
      <c r="N6505">
        <f>IF(L6505="", "", L6505-B6505)</f>
        <v/>
      </c>
      <c r="O6505">
        <f>IF(L6505="", "Pending", IF(N6505&lt;=30, "Met", "Breached"))</f>
        <v/>
      </c>
    </row>
    <row r="6506">
      <c r="M6506" s="11">
        <f>B6506+30</f>
        <v/>
      </c>
      <c r="N6506">
        <f>IF(L6506="", "", L6506-B6506)</f>
        <v/>
      </c>
      <c r="O6506">
        <f>IF(L6506="", "Pending", IF(N6506&lt;=30, "Met", "Breached"))</f>
        <v/>
      </c>
    </row>
    <row r="6507">
      <c r="M6507" s="11">
        <f>B6507+30</f>
        <v/>
      </c>
      <c r="N6507">
        <f>IF(L6507="", "", L6507-B6507)</f>
        <v/>
      </c>
      <c r="O6507">
        <f>IF(L6507="", "Pending", IF(N6507&lt;=30, "Met", "Breached"))</f>
        <v/>
      </c>
    </row>
    <row r="6508">
      <c r="M6508" s="11">
        <f>B6508+30</f>
        <v/>
      </c>
      <c r="N6508">
        <f>IF(L6508="", "", L6508-B6508)</f>
        <v/>
      </c>
      <c r="O6508">
        <f>IF(L6508="", "Pending", IF(N6508&lt;=30, "Met", "Breached"))</f>
        <v/>
      </c>
    </row>
    <row r="6509">
      <c r="M6509" s="11">
        <f>B6509+30</f>
        <v/>
      </c>
      <c r="N6509">
        <f>IF(L6509="", "", L6509-B6509)</f>
        <v/>
      </c>
      <c r="O6509">
        <f>IF(L6509="", "Pending", IF(N6509&lt;=30, "Met", "Breached"))</f>
        <v/>
      </c>
    </row>
    <row r="6510">
      <c r="M6510" s="11">
        <f>B6510+30</f>
        <v/>
      </c>
      <c r="N6510">
        <f>IF(L6510="", "", L6510-B6510)</f>
        <v/>
      </c>
      <c r="O6510">
        <f>IF(L6510="", "Pending", IF(N6510&lt;=30, "Met", "Breached"))</f>
        <v/>
      </c>
    </row>
    <row r="6511">
      <c r="M6511" s="11">
        <f>B6511+30</f>
        <v/>
      </c>
      <c r="N6511">
        <f>IF(L6511="", "", L6511-B6511)</f>
        <v/>
      </c>
      <c r="O6511">
        <f>IF(L6511="", "Pending", IF(N6511&lt;=30, "Met", "Breached"))</f>
        <v/>
      </c>
    </row>
    <row r="6512">
      <c r="M6512" s="11">
        <f>B6512+30</f>
        <v/>
      </c>
      <c r="N6512">
        <f>IF(L6512="", "", L6512-B6512)</f>
        <v/>
      </c>
      <c r="O6512">
        <f>IF(L6512="", "Pending", IF(N6512&lt;=30, "Met", "Breached"))</f>
        <v/>
      </c>
    </row>
    <row r="6513">
      <c r="M6513" s="11">
        <f>B6513+30</f>
        <v/>
      </c>
      <c r="N6513">
        <f>IF(L6513="", "", L6513-B6513)</f>
        <v/>
      </c>
      <c r="O6513">
        <f>IF(L6513="", "Pending", IF(N6513&lt;=30, "Met", "Breached"))</f>
        <v/>
      </c>
    </row>
    <row r="6514">
      <c r="M6514" s="11">
        <f>B6514+30</f>
        <v/>
      </c>
      <c r="N6514">
        <f>IF(L6514="", "", L6514-B6514)</f>
        <v/>
      </c>
      <c r="O6514">
        <f>IF(L6514="", "Pending", IF(N6514&lt;=30, "Met", "Breached"))</f>
        <v/>
      </c>
    </row>
    <row r="6515">
      <c r="M6515" s="11">
        <f>B6515+30</f>
        <v/>
      </c>
      <c r="N6515">
        <f>IF(L6515="", "", L6515-B6515)</f>
        <v/>
      </c>
      <c r="O6515">
        <f>IF(L6515="", "Pending", IF(N6515&lt;=30, "Met", "Breached"))</f>
        <v/>
      </c>
    </row>
    <row r="6516">
      <c r="M6516" s="11">
        <f>B6516+30</f>
        <v/>
      </c>
      <c r="N6516">
        <f>IF(L6516="", "", L6516-B6516)</f>
        <v/>
      </c>
      <c r="O6516">
        <f>IF(L6516="", "Pending", IF(N6516&lt;=30, "Met", "Breached"))</f>
        <v/>
      </c>
    </row>
    <row r="6517">
      <c r="M6517" s="11">
        <f>B6517+30</f>
        <v/>
      </c>
      <c r="N6517">
        <f>IF(L6517="", "", L6517-B6517)</f>
        <v/>
      </c>
      <c r="O6517">
        <f>IF(L6517="", "Pending", IF(N6517&lt;=30, "Met", "Breached"))</f>
        <v/>
      </c>
    </row>
    <row r="6518">
      <c r="M6518" s="11">
        <f>B6518+30</f>
        <v/>
      </c>
      <c r="N6518">
        <f>IF(L6518="", "", L6518-B6518)</f>
        <v/>
      </c>
      <c r="O6518">
        <f>IF(L6518="", "Pending", IF(N6518&lt;=30, "Met", "Breached"))</f>
        <v/>
      </c>
    </row>
    <row r="6519">
      <c r="M6519" s="11">
        <f>B6519+30</f>
        <v/>
      </c>
      <c r="N6519">
        <f>IF(L6519="", "", L6519-B6519)</f>
        <v/>
      </c>
      <c r="O6519">
        <f>IF(L6519="", "Pending", IF(N6519&lt;=30, "Met", "Breached"))</f>
        <v/>
      </c>
    </row>
    <row r="6520">
      <c r="M6520" s="11">
        <f>B6520+30</f>
        <v/>
      </c>
      <c r="N6520">
        <f>IF(L6520="", "", L6520-B6520)</f>
        <v/>
      </c>
      <c r="O6520">
        <f>IF(L6520="", "Pending", IF(N6520&lt;=30, "Met", "Breached"))</f>
        <v/>
      </c>
    </row>
    <row r="6521">
      <c r="M6521" s="11">
        <f>B6521+30</f>
        <v/>
      </c>
      <c r="N6521">
        <f>IF(L6521="", "", L6521-B6521)</f>
        <v/>
      </c>
      <c r="O6521">
        <f>IF(L6521="", "Pending", IF(N6521&lt;=30, "Met", "Breached"))</f>
        <v/>
      </c>
    </row>
    <row r="6522">
      <c r="M6522" s="11">
        <f>B6522+30</f>
        <v/>
      </c>
      <c r="N6522">
        <f>IF(L6522="", "", L6522-B6522)</f>
        <v/>
      </c>
      <c r="O6522">
        <f>IF(L6522="", "Pending", IF(N6522&lt;=30, "Met", "Breached"))</f>
        <v/>
      </c>
    </row>
    <row r="6523">
      <c r="M6523" s="11">
        <f>B6523+30</f>
        <v/>
      </c>
      <c r="N6523">
        <f>IF(L6523="", "", L6523-B6523)</f>
        <v/>
      </c>
      <c r="O6523">
        <f>IF(L6523="", "Pending", IF(N6523&lt;=30, "Met", "Breached"))</f>
        <v/>
      </c>
    </row>
    <row r="6524">
      <c r="M6524" s="11">
        <f>B6524+30</f>
        <v/>
      </c>
      <c r="N6524">
        <f>IF(L6524="", "", L6524-B6524)</f>
        <v/>
      </c>
      <c r="O6524">
        <f>IF(L6524="", "Pending", IF(N6524&lt;=30, "Met", "Breached"))</f>
        <v/>
      </c>
    </row>
    <row r="6525">
      <c r="M6525" s="11">
        <f>B6525+30</f>
        <v/>
      </c>
      <c r="N6525">
        <f>IF(L6525="", "", L6525-B6525)</f>
        <v/>
      </c>
      <c r="O6525">
        <f>IF(L6525="", "Pending", IF(N6525&lt;=30, "Met", "Breached"))</f>
        <v/>
      </c>
    </row>
    <row r="6526">
      <c r="M6526" s="11">
        <f>B6526+30</f>
        <v/>
      </c>
      <c r="N6526">
        <f>IF(L6526="", "", L6526-B6526)</f>
        <v/>
      </c>
      <c r="O6526">
        <f>IF(L6526="", "Pending", IF(N6526&lt;=30, "Met", "Breached"))</f>
        <v/>
      </c>
    </row>
    <row r="6527">
      <c r="M6527" s="11">
        <f>B6527+30</f>
        <v/>
      </c>
      <c r="N6527">
        <f>IF(L6527="", "", L6527-B6527)</f>
        <v/>
      </c>
      <c r="O6527">
        <f>IF(L6527="", "Pending", IF(N6527&lt;=30, "Met", "Breached"))</f>
        <v/>
      </c>
    </row>
    <row r="6528">
      <c r="M6528" s="11">
        <f>B6528+30</f>
        <v/>
      </c>
      <c r="N6528">
        <f>IF(L6528="", "", L6528-B6528)</f>
        <v/>
      </c>
      <c r="O6528">
        <f>IF(L6528="", "Pending", IF(N6528&lt;=30, "Met", "Breached"))</f>
        <v/>
      </c>
    </row>
    <row r="6529">
      <c r="M6529" s="11">
        <f>B6529+30</f>
        <v/>
      </c>
      <c r="N6529">
        <f>IF(L6529="", "", L6529-B6529)</f>
        <v/>
      </c>
      <c r="O6529">
        <f>IF(L6529="", "Pending", IF(N6529&lt;=30, "Met", "Breached"))</f>
        <v/>
      </c>
    </row>
    <row r="6530">
      <c r="M6530" s="11">
        <f>B6530+30</f>
        <v/>
      </c>
      <c r="N6530">
        <f>IF(L6530="", "", L6530-B6530)</f>
        <v/>
      </c>
      <c r="O6530">
        <f>IF(L6530="", "Pending", IF(N6530&lt;=30, "Met", "Breached"))</f>
        <v/>
      </c>
    </row>
    <row r="6531">
      <c r="M6531" s="11">
        <f>B6531+30</f>
        <v/>
      </c>
      <c r="N6531">
        <f>IF(L6531="", "", L6531-B6531)</f>
        <v/>
      </c>
      <c r="O6531">
        <f>IF(L6531="", "Pending", IF(N6531&lt;=30, "Met", "Breached"))</f>
        <v/>
      </c>
    </row>
    <row r="6532">
      <c r="M6532" s="11">
        <f>B6532+30</f>
        <v/>
      </c>
      <c r="N6532">
        <f>IF(L6532="", "", L6532-B6532)</f>
        <v/>
      </c>
      <c r="O6532">
        <f>IF(L6532="", "Pending", IF(N6532&lt;=30, "Met", "Breached"))</f>
        <v/>
      </c>
    </row>
    <row r="6533">
      <c r="M6533" s="11">
        <f>B6533+30</f>
        <v/>
      </c>
      <c r="N6533">
        <f>IF(L6533="", "", L6533-B6533)</f>
        <v/>
      </c>
      <c r="O6533">
        <f>IF(L6533="", "Pending", IF(N6533&lt;=30, "Met", "Breached"))</f>
        <v/>
      </c>
    </row>
    <row r="6534">
      <c r="M6534" s="11">
        <f>B6534+30</f>
        <v/>
      </c>
      <c r="N6534">
        <f>IF(L6534="", "", L6534-B6534)</f>
        <v/>
      </c>
      <c r="O6534">
        <f>IF(L6534="", "Pending", IF(N6534&lt;=30, "Met", "Breached"))</f>
        <v/>
      </c>
    </row>
    <row r="6535">
      <c r="M6535" s="11">
        <f>B6535+30</f>
        <v/>
      </c>
      <c r="N6535">
        <f>IF(L6535="", "", L6535-B6535)</f>
        <v/>
      </c>
      <c r="O6535">
        <f>IF(L6535="", "Pending", IF(N6535&lt;=30, "Met", "Breached"))</f>
        <v/>
      </c>
    </row>
    <row r="6536">
      <c r="M6536" s="11">
        <f>B6536+30</f>
        <v/>
      </c>
      <c r="N6536">
        <f>IF(L6536="", "", L6536-B6536)</f>
        <v/>
      </c>
      <c r="O6536">
        <f>IF(L6536="", "Pending", IF(N6536&lt;=30, "Met", "Breached"))</f>
        <v/>
      </c>
    </row>
    <row r="6537">
      <c r="M6537" s="11">
        <f>B6537+30</f>
        <v/>
      </c>
      <c r="N6537">
        <f>IF(L6537="", "", L6537-B6537)</f>
        <v/>
      </c>
      <c r="O6537">
        <f>IF(L6537="", "Pending", IF(N6537&lt;=30, "Met", "Breached"))</f>
        <v/>
      </c>
    </row>
    <row r="6538">
      <c r="M6538" s="11">
        <f>B6538+30</f>
        <v/>
      </c>
      <c r="N6538">
        <f>IF(L6538="", "", L6538-B6538)</f>
        <v/>
      </c>
      <c r="O6538">
        <f>IF(L6538="", "Pending", IF(N6538&lt;=30, "Met", "Breached"))</f>
        <v/>
      </c>
    </row>
    <row r="6539">
      <c r="M6539" s="11">
        <f>B6539+30</f>
        <v/>
      </c>
      <c r="N6539">
        <f>IF(L6539="", "", L6539-B6539)</f>
        <v/>
      </c>
      <c r="O6539">
        <f>IF(L6539="", "Pending", IF(N6539&lt;=30, "Met", "Breached"))</f>
        <v/>
      </c>
    </row>
    <row r="6540">
      <c r="M6540" s="11">
        <f>B6540+30</f>
        <v/>
      </c>
      <c r="N6540">
        <f>IF(L6540="", "", L6540-B6540)</f>
        <v/>
      </c>
      <c r="O6540">
        <f>IF(L6540="", "Pending", IF(N6540&lt;=30, "Met", "Breached"))</f>
        <v/>
      </c>
    </row>
    <row r="6541">
      <c r="M6541" s="11">
        <f>B6541+30</f>
        <v/>
      </c>
      <c r="N6541">
        <f>IF(L6541="", "", L6541-B6541)</f>
        <v/>
      </c>
      <c r="O6541">
        <f>IF(L6541="", "Pending", IF(N6541&lt;=30, "Met", "Breached"))</f>
        <v/>
      </c>
    </row>
    <row r="6542">
      <c r="M6542" s="11">
        <f>B6542+30</f>
        <v/>
      </c>
      <c r="N6542">
        <f>IF(L6542="", "", L6542-B6542)</f>
        <v/>
      </c>
      <c r="O6542">
        <f>IF(L6542="", "Pending", IF(N6542&lt;=30, "Met", "Breached"))</f>
        <v/>
      </c>
    </row>
    <row r="6543">
      <c r="M6543" s="11">
        <f>B6543+30</f>
        <v/>
      </c>
      <c r="N6543">
        <f>IF(L6543="", "", L6543-B6543)</f>
        <v/>
      </c>
      <c r="O6543">
        <f>IF(L6543="", "Pending", IF(N6543&lt;=30, "Met", "Breached"))</f>
        <v/>
      </c>
    </row>
    <row r="6544">
      <c r="M6544" s="11">
        <f>B6544+30</f>
        <v/>
      </c>
      <c r="N6544">
        <f>IF(L6544="", "", L6544-B6544)</f>
        <v/>
      </c>
      <c r="O6544">
        <f>IF(L6544="", "Pending", IF(N6544&lt;=30, "Met", "Breached"))</f>
        <v/>
      </c>
    </row>
    <row r="6545">
      <c r="M6545" s="11">
        <f>B6545+30</f>
        <v/>
      </c>
      <c r="N6545">
        <f>IF(L6545="", "", L6545-B6545)</f>
        <v/>
      </c>
      <c r="O6545">
        <f>IF(L6545="", "Pending", IF(N6545&lt;=30, "Met", "Breached"))</f>
        <v/>
      </c>
    </row>
    <row r="6546">
      <c r="M6546" s="11">
        <f>B6546+30</f>
        <v/>
      </c>
      <c r="N6546">
        <f>IF(L6546="", "", L6546-B6546)</f>
        <v/>
      </c>
      <c r="O6546">
        <f>IF(L6546="", "Pending", IF(N6546&lt;=30, "Met", "Breached"))</f>
        <v/>
      </c>
    </row>
    <row r="6547">
      <c r="M6547" s="11">
        <f>B6547+30</f>
        <v/>
      </c>
      <c r="N6547">
        <f>IF(L6547="", "", L6547-B6547)</f>
        <v/>
      </c>
      <c r="O6547">
        <f>IF(L6547="", "Pending", IF(N6547&lt;=30, "Met", "Breached"))</f>
        <v/>
      </c>
    </row>
    <row r="6548">
      <c r="M6548" s="11">
        <f>B6548+30</f>
        <v/>
      </c>
      <c r="N6548">
        <f>IF(L6548="", "", L6548-B6548)</f>
        <v/>
      </c>
      <c r="O6548">
        <f>IF(L6548="", "Pending", IF(N6548&lt;=30, "Met", "Breached"))</f>
        <v/>
      </c>
    </row>
    <row r="6549">
      <c r="M6549" s="11">
        <f>B6549+30</f>
        <v/>
      </c>
      <c r="N6549">
        <f>IF(L6549="", "", L6549-B6549)</f>
        <v/>
      </c>
      <c r="O6549">
        <f>IF(L6549="", "Pending", IF(N6549&lt;=30, "Met", "Breached"))</f>
        <v/>
      </c>
    </row>
    <row r="6550">
      <c r="M6550" s="11">
        <f>B6550+30</f>
        <v/>
      </c>
      <c r="N6550">
        <f>IF(L6550="", "", L6550-B6550)</f>
        <v/>
      </c>
      <c r="O6550">
        <f>IF(L6550="", "Pending", IF(N6550&lt;=30, "Met", "Breached"))</f>
        <v/>
      </c>
    </row>
    <row r="6551">
      <c r="M6551" s="11">
        <f>B6551+30</f>
        <v/>
      </c>
      <c r="N6551">
        <f>IF(L6551="", "", L6551-B6551)</f>
        <v/>
      </c>
      <c r="O6551">
        <f>IF(L6551="", "Pending", IF(N6551&lt;=30, "Met", "Breached"))</f>
        <v/>
      </c>
    </row>
    <row r="6552">
      <c r="M6552" s="11">
        <f>B6552+30</f>
        <v/>
      </c>
      <c r="N6552">
        <f>IF(L6552="", "", L6552-B6552)</f>
        <v/>
      </c>
      <c r="O6552">
        <f>IF(L6552="", "Pending", IF(N6552&lt;=30, "Met", "Breached"))</f>
        <v/>
      </c>
    </row>
    <row r="6553">
      <c r="M6553" s="11">
        <f>B6553+30</f>
        <v/>
      </c>
      <c r="N6553">
        <f>IF(L6553="", "", L6553-B6553)</f>
        <v/>
      </c>
      <c r="O6553">
        <f>IF(L6553="", "Pending", IF(N6553&lt;=30, "Met", "Breached"))</f>
        <v/>
      </c>
    </row>
    <row r="6554">
      <c r="M6554" s="11">
        <f>B6554+30</f>
        <v/>
      </c>
      <c r="N6554">
        <f>IF(L6554="", "", L6554-B6554)</f>
        <v/>
      </c>
      <c r="O6554">
        <f>IF(L6554="", "Pending", IF(N6554&lt;=30, "Met", "Breached"))</f>
        <v/>
      </c>
    </row>
    <row r="6555">
      <c r="M6555" s="11">
        <f>B6555+30</f>
        <v/>
      </c>
      <c r="N6555">
        <f>IF(L6555="", "", L6555-B6555)</f>
        <v/>
      </c>
      <c r="O6555">
        <f>IF(L6555="", "Pending", IF(N6555&lt;=30, "Met", "Breached"))</f>
        <v/>
      </c>
    </row>
    <row r="6556">
      <c r="M6556" s="11">
        <f>B6556+30</f>
        <v/>
      </c>
      <c r="N6556">
        <f>IF(L6556="", "", L6556-B6556)</f>
        <v/>
      </c>
      <c r="O6556">
        <f>IF(L6556="", "Pending", IF(N6556&lt;=30, "Met", "Breached"))</f>
        <v/>
      </c>
    </row>
    <row r="6557">
      <c r="M6557" s="11">
        <f>B6557+30</f>
        <v/>
      </c>
      <c r="N6557">
        <f>IF(L6557="", "", L6557-B6557)</f>
        <v/>
      </c>
      <c r="O6557">
        <f>IF(L6557="", "Pending", IF(N6557&lt;=30, "Met", "Breached"))</f>
        <v/>
      </c>
    </row>
    <row r="6558">
      <c r="M6558" s="11">
        <f>B6558+30</f>
        <v/>
      </c>
      <c r="N6558">
        <f>IF(L6558="", "", L6558-B6558)</f>
        <v/>
      </c>
      <c r="O6558">
        <f>IF(L6558="", "Pending", IF(N6558&lt;=30, "Met", "Breached"))</f>
        <v/>
      </c>
    </row>
    <row r="6559">
      <c r="M6559" s="11">
        <f>B6559+30</f>
        <v/>
      </c>
      <c r="N6559">
        <f>IF(L6559="", "", L6559-B6559)</f>
        <v/>
      </c>
      <c r="O6559">
        <f>IF(L6559="", "Pending", IF(N6559&lt;=30, "Met", "Breached"))</f>
        <v/>
      </c>
    </row>
    <row r="6560">
      <c r="M6560" s="11">
        <f>B6560+30</f>
        <v/>
      </c>
      <c r="N6560">
        <f>IF(L6560="", "", L6560-B6560)</f>
        <v/>
      </c>
      <c r="O6560">
        <f>IF(L6560="", "Pending", IF(N6560&lt;=30, "Met", "Breached"))</f>
        <v/>
      </c>
    </row>
    <row r="6561">
      <c r="M6561" s="11">
        <f>B6561+30</f>
        <v/>
      </c>
      <c r="N6561">
        <f>IF(L6561="", "", L6561-B6561)</f>
        <v/>
      </c>
      <c r="O6561">
        <f>IF(L6561="", "Pending", IF(N6561&lt;=30, "Met", "Breached"))</f>
        <v/>
      </c>
    </row>
    <row r="6562">
      <c r="M6562" s="11">
        <f>B6562+30</f>
        <v/>
      </c>
      <c r="N6562">
        <f>IF(L6562="", "", L6562-B6562)</f>
        <v/>
      </c>
      <c r="O6562">
        <f>IF(L6562="", "Pending", IF(N6562&lt;=30, "Met", "Breached"))</f>
        <v/>
      </c>
    </row>
    <row r="6563">
      <c r="M6563" s="11">
        <f>B6563+30</f>
        <v/>
      </c>
      <c r="N6563">
        <f>IF(L6563="", "", L6563-B6563)</f>
        <v/>
      </c>
      <c r="O6563">
        <f>IF(L6563="", "Pending", IF(N6563&lt;=30, "Met", "Breached"))</f>
        <v/>
      </c>
    </row>
    <row r="6564">
      <c r="M6564" s="11">
        <f>B6564+30</f>
        <v/>
      </c>
      <c r="N6564">
        <f>IF(L6564="", "", L6564-B6564)</f>
        <v/>
      </c>
      <c r="O6564">
        <f>IF(L6564="", "Pending", IF(N6564&lt;=30, "Met", "Breached"))</f>
        <v/>
      </c>
    </row>
    <row r="6565">
      <c r="M6565" s="11">
        <f>B6565+30</f>
        <v/>
      </c>
      <c r="N6565">
        <f>IF(L6565="", "", L6565-B6565)</f>
        <v/>
      </c>
      <c r="O6565">
        <f>IF(L6565="", "Pending", IF(N6565&lt;=30, "Met", "Breached"))</f>
        <v/>
      </c>
    </row>
    <row r="6566">
      <c r="M6566" s="11">
        <f>B6566+30</f>
        <v/>
      </c>
      <c r="N6566">
        <f>IF(L6566="", "", L6566-B6566)</f>
        <v/>
      </c>
      <c r="O6566">
        <f>IF(L6566="", "Pending", IF(N6566&lt;=30, "Met", "Breached"))</f>
        <v/>
      </c>
    </row>
    <row r="6567">
      <c r="M6567" s="11">
        <f>B6567+30</f>
        <v/>
      </c>
      <c r="N6567">
        <f>IF(L6567="", "", L6567-B6567)</f>
        <v/>
      </c>
      <c r="O6567">
        <f>IF(L6567="", "Pending", IF(N6567&lt;=30, "Met", "Breached"))</f>
        <v/>
      </c>
    </row>
    <row r="6568">
      <c r="M6568" s="11">
        <f>B6568+30</f>
        <v/>
      </c>
      <c r="N6568">
        <f>IF(L6568="", "", L6568-B6568)</f>
        <v/>
      </c>
      <c r="O6568">
        <f>IF(L6568="", "Pending", IF(N6568&lt;=30, "Met", "Breached"))</f>
        <v/>
      </c>
    </row>
    <row r="6569">
      <c r="M6569" s="11">
        <f>B6569+30</f>
        <v/>
      </c>
      <c r="N6569">
        <f>IF(L6569="", "", L6569-B6569)</f>
        <v/>
      </c>
      <c r="O6569">
        <f>IF(L6569="", "Pending", IF(N6569&lt;=30, "Met", "Breached"))</f>
        <v/>
      </c>
    </row>
    <row r="6570">
      <c r="M6570" s="11">
        <f>B6570+30</f>
        <v/>
      </c>
      <c r="N6570">
        <f>IF(L6570="", "", L6570-B6570)</f>
        <v/>
      </c>
      <c r="O6570">
        <f>IF(L6570="", "Pending", IF(N6570&lt;=30, "Met", "Breached"))</f>
        <v/>
      </c>
    </row>
    <row r="6571">
      <c r="M6571" s="11">
        <f>B6571+30</f>
        <v/>
      </c>
      <c r="N6571">
        <f>IF(L6571="", "", L6571-B6571)</f>
        <v/>
      </c>
      <c r="O6571">
        <f>IF(L6571="", "Pending", IF(N6571&lt;=30, "Met", "Breached"))</f>
        <v/>
      </c>
    </row>
    <row r="6572">
      <c r="M6572" s="11">
        <f>B6572+30</f>
        <v/>
      </c>
      <c r="N6572">
        <f>IF(L6572="", "", L6572-B6572)</f>
        <v/>
      </c>
      <c r="O6572">
        <f>IF(L6572="", "Pending", IF(N6572&lt;=30, "Met", "Breached"))</f>
        <v/>
      </c>
    </row>
    <row r="6573">
      <c r="M6573" s="11">
        <f>B6573+30</f>
        <v/>
      </c>
      <c r="N6573">
        <f>IF(L6573="", "", L6573-B6573)</f>
        <v/>
      </c>
      <c r="O6573">
        <f>IF(L6573="", "Pending", IF(N6573&lt;=30, "Met", "Breached"))</f>
        <v/>
      </c>
    </row>
    <row r="6574">
      <c r="M6574" s="11">
        <f>B6574+30</f>
        <v/>
      </c>
      <c r="N6574">
        <f>IF(L6574="", "", L6574-B6574)</f>
        <v/>
      </c>
      <c r="O6574">
        <f>IF(L6574="", "Pending", IF(N6574&lt;=30, "Met", "Breached"))</f>
        <v/>
      </c>
    </row>
    <row r="6575">
      <c r="M6575" s="11">
        <f>B6575+30</f>
        <v/>
      </c>
      <c r="N6575">
        <f>IF(L6575="", "", L6575-B6575)</f>
        <v/>
      </c>
      <c r="O6575">
        <f>IF(L6575="", "Pending", IF(N6575&lt;=30, "Met", "Breached"))</f>
        <v/>
      </c>
    </row>
    <row r="6576">
      <c r="M6576" s="11">
        <f>B6576+30</f>
        <v/>
      </c>
      <c r="N6576">
        <f>IF(L6576="", "", L6576-B6576)</f>
        <v/>
      </c>
      <c r="O6576">
        <f>IF(L6576="", "Pending", IF(N6576&lt;=30, "Met", "Breached"))</f>
        <v/>
      </c>
    </row>
    <row r="6577">
      <c r="M6577" s="11">
        <f>B6577+30</f>
        <v/>
      </c>
      <c r="N6577">
        <f>IF(L6577="", "", L6577-B6577)</f>
        <v/>
      </c>
      <c r="O6577">
        <f>IF(L6577="", "Pending", IF(N6577&lt;=30, "Met", "Breached"))</f>
        <v/>
      </c>
    </row>
    <row r="6578">
      <c r="M6578" s="11">
        <f>B6578+30</f>
        <v/>
      </c>
      <c r="N6578">
        <f>IF(L6578="", "", L6578-B6578)</f>
        <v/>
      </c>
      <c r="O6578">
        <f>IF(L6578="", "Pending", IF(N6578&lt;=30, "Met", "Breached"))</f>
        <v/>
      </c>
    </row>
    <row r="6579">
      <c r="M6579" s="11">
        <f>B6579+30</f>
        <v/>
      </c>
      <c r="N6579">
        <f>IF(L6579="", "", L6579-B6579)</f>
        <v/>
      </c>
      <c r="O6579">
        <f>IF(L6579="", "Pending", IF(N6579&lt;=30, "Met", "Breached"))</f>
        <v/>
      </c>
    </row>
    <row r="6580">
      <c r="M6580" s="11">
        <f>B6580+30</f>
        <v/>
      </c>
      <c r="N6580">
        <f>IF(L6580="", "", L6580-B6580)</f>
        <v/>
      </c>
      <c r="O6580">
        <f>IF(L6580="", "Pending", IF(N6580&lt;=30, "Met", "Breached"))</f>
        <v/>
      </c>
    </row>
    <row r="6581">
      <c r="M6581" s="11">
        <f>B6581+30</f>
        <v/>
      </c>
      <c r="N6581">
        <f>IF(L6581="", "", L6581-B6581)</f>
        <v/>
      </c>
      <c r="O6581">
        <f>IF(L6581="", "Pending", IF(N6581&lt;=30, "Met", "Breached"))</f>
        <v/>
      </c>
    </row>
    <row r="6582">
      <c r="M6582" s="11">
        <f>B6582+30</f>
        <v/>
      </c>
      <c r="N6582">
        <f>IF(L6582="", "", L6582-B6582)</f>
        <v/>
      </c>
      <c r="O6582">
        <f>IF(L6582="", "Pending", IF(N6582&lt;=30, "Met", "Breached"))</f>
        <v/>
      </c>
    </row>
    <row r="6583">
      <c r="M6583" s="11">
        <f>B6583+30</f>
        <v/>
      </c>
      <c r="N6583">
        <f>IF(L6583="", "", L6583-B6583)</f>
        <v/>
      </c>
      <c r="O6583">
        <f>IF(L6583="", "Pending", IF(N6583&lt;=30, "Met", "Breached"))</f>
        <v/>
      </c>
    </row>
    <row r="6584">
      <c r="M6584" s="11">
        <f>B6584+30</f>
        <v/>
      </c>
      <c r="N6584">
        <f>IF(L6584="", "", L6584-B6584)</f>
        <v/>
      </c>
      <c r="O6584">
        <f>IF(L6584="", "Pending", IF(N6584&lt;=30, "Met", "Breached"))</f>
        <v/>
      </c>
    </row>
    <row r="6585">
      <c r="M6585" s="11">
        <f>B6585+30</f>
        <v/>
      </c>
      <c r="N6585">
        <f>IF(L6585="", "", L6585-B6585)</f>
        <v/>
      </c>
      <c r="O6585">
        <f>IF(L6585="", "Pending", IF(N6585&lt;=30, "Met", "Breached"))</f>
        <v/>
      </c>
    </row>
    <row r="6586">
      <c r="M6586" s="11">
        <f>B6586+30</f>
        <v/>
      </c>
      <c r="N6586">
        <f>IF(L6586="", "", L6586-B6586)</f>
        <v/>
      </c>
      <c r="O6586">
        <f>IF(L6586="", "Pending", IF(N6586&lt;=30, "Met", "Breached"))</f>
        <v/>
      </c>
    </row>
    <row r="6587">
      <c r="M6587" s="11">
        <f>B6587+30</f>
        <v/>
      </c>
      <c r="N6587">
        <f>IF(L6587="", "", L6587-B6587)</f>
        <v/>
      </c>
      <c r="O6587">
        <f>IF(L6587="", "Pending", IF(N6587&lt;=30, "Met", "Breached"))</f>
        <v/>
      </c>
    </row>
    <row r="6588">
      <c r="M6588" s="11">
        <f>B6588+30</f>
        <v/>
      </c>
      <c r="N6588">
        <f>IF(L6588="", "", L6588-B6588)</f>
        <v/>
      </c>
      <c r="O6588">
        <f>IF(L6588="", "Pending", IF(N6588&lt;=30, "Met", "Breached"))</f>
        <v/>
      </c>
    </row>
    <row r="6589">
      <c r="M6589" s="11">
        <f>B6589+30</f>
        <v/>
      </c>
      <c r="N6589">
        <f>IF(L6589="", "", L6589-B6589)</f>
        <v/>
      </c>
      <c r="O6589">
        <f>IF(L6589="", "Pending", IF(N6589&lt;=30, "Met", "Breached"))</f>
        <v/>
      </c>
    </row>
    <row r="6590">
      <c r="M6590" s="11">
        <f>B6590+30</f>
        <v/>
      </c>
      <c r="N6590">
        <f>IF(L6590="", "", L6590-B6590)</f>
        <v/>
      </c>
      <c r="O6590">
        <f>IF(L6590="", "Pending", IF(N6590&lt;=30, "Met", "Breached"))</f>
        <v/>
      </c>
    </row>
    <row r="6591">
      <c r="M6591" s="11">
        <f>B6591+30</f>
        <v/>
      </c>
      <c r="N6591">
        <f>IF(L6591="", "", L6591-B6591)</f>
        <v/>
      </c>
      <c r="O6591">
        <f>IF(L6591="", "Pending", IF(N6591&lt;=30, "Met", "Breached"))</f>
        <v/>
      </c>
    </row>
    <row r="6592">
      <c r="M6592" s="11">
        <f>B6592+30</f>
        <v/>
      </c>
      <c r="N6592">
        <f>IF(L6592="", "", L6592-B6592)</f>
        <v/>
      </c>
      <c r="O6592">
        <f>IF(L6592="", "Pending", IF(N6592&lt;=30, "Met", "Breached"))</f>
        <v/>
      </c>
    </row>
    <row r="6593">
      <c r="M6593" s="11">
        <f>B6593+30</f>
        <v/>
      </c>
      <c r="N6593">
        <f>IF(L6593="", "", L6593-B6593)</f>
        <v/>
      </c>
      <c r="O6593">
        <f>IF(L6593="", "Pending", IF(N6593&lt;=30, "Met", "Breached"))</f>
        <v/>
      </c>
    </row>
    <row r="6594">
      <c r="M6594" s="11">
        <f>B6594+30</f>
        <v/>
      </c>
      <c r="N6594">
        <f>IF(L6594="", "", L6594-B6594)</f>
        <v/>
      </c>
      <c r="O6594">
        <f>IF(L6594="", "Pending", IF(N6594&lt;=30, "Met", "Breached"))</f>
        <v/>
      </c>
    </row>
    <row r="6595">
      <c r="M6595" s="11">
        <f>B6595+30</f>
        <v/>
      </c>
      <c r="N6595">
        <f>IF(L6595="", "", L6595-B6595)</f>
        <v/>
      </c>
      <c r="O6595">
        <f>IF(L6595="", "Pending", IF(N6595&lt;=30, "Met", "Breached"))</f>
        <v/>
      </c>
    </row>
    <row r="6596">
      <c r="M6596" s="11">
        <f>B6596+30</f>
        <v/>
      </c>
      <c r="N6596">
        <f>IF(L6596="", "", L6596-B6596)</f>
        <v/>
      </c>
      <c r="O6596">
        <f>IF(L6596="", "Pending", IF(N6596&lt;=30, "Met", "Breached"))</f>
        <v/>
      </c>
    </row>
    <row r="6597">
      <c r="M6597" s="11">
        <f>B6597+30</f>
        <v/>
      </c>
      <c r="N6597">
        <f>IF(L6597="", "", L6597-B6597)</f>
        <v/>
      </c>
      <c r="O6597">
        <f>IF(L6597="", "Pending", IF(N6597&lt;=30, "Met", "Breached"))</f>
        <v/>
      </c>
    </row>
    <row r="6598">
      <c r="M6598" s="11">
        <f>B6598+30</f>
        <v/>
      </c>
      <c r="N6598">
        <f>IF(L6598="", "", L6598-B6598)</f>
        <v/>
      </c>
      <c r="O6598">
        <f>IF(L6598="", "Pending", IF(N6598&lt;=30, "Met", "Breached"))</f>
        <v/>
      </c>
    </row>
    <row r="6599">
      <c r="M6599" s="11">
        <f>B6599+30</f>
        <v/>
      </c>
      <c r="N6599">
        <f>IF(L6599="", "", L6599-B6599)</f>
        <v/>
      </c>
      <c r="O6599">
        <f>IF(L6599="", "Pending", IF(N6599&lt;=30, "Met", "Breached"))</f>
        <v/>
      </c>
    </row>
    <row r="6600">
      <c r="M6600" s="11">
        <f>B6600+30</f>
        <v/>
      </c>
      <c r="N6600">
        <f>IF(L6600="", "", L6600-B6600)</f>
        <v/>
      </c>
      <c r="O6600">
        <f>IF(L6600="", "Pending", IF(N6600&lt;=30, "Met", "Breached"))</f>
        <v/>
      </c>
    </row>
    <row r="6601">
      <c r="M6601" s="11">
        <f>B6601+30</f>
        <v/>
      </c>
      <c r="N6601">
        <f>IF(L6601="", "", L6601-B6601)</f>
        <v/>
      </c>
      <c r="O6601">
        <f>IF(L6601="", "Pending", IF(N6601&lt;=30, "Met", "Breached"))</f>
        <v/>
      </c>
    </row>
    <row r="6602">
      <c r="M6602" s="11">
        <f>B6602+30</f>
        <v/>
      </c>
      <c r="N6602">
        <f>IF(L6602="", "", L6602-B6602)</f>
        <v/>
      </c>
      <c r="O6602">
        <f>IF(L6602="", "Pending", IF(N6602&lt;=30, "Met", "Breached"))</f>
        <v/>
      </c>
    </row>
    <row r="6603">
      <c r="M6603" s="11">
        <f>B6603+30</f>
        <v/>
      </c>
      <c r="N6603">
        <f>IF(L6603="", "", L6603-B6603)</f>
        <v/>
      </c>
      <c r="O6603">
        <f>IF(L6603="", "Pending", IF(N6603&lt;=30, "Met", "Breached"))</f>
        <v/>
      </c>
    </row>
    <row r="6604">
      <c r="M6604" s="11">
        <f>B6604+30</f>
        <v/>
      </c>
      <c r="N6604">
        <f>IF(L6604="", "", L6604-B6604)</f>
        <v/>
      </c>
      <c r="O6604">
        <f>IF(L6604="", "Pending", IF(N6604&lt;=30, "Met", "Breached"))</f>
        <v/>
      </c>
    </row>
    <row r="6605">
      <c r="M6605" s="11">
        <f>B6605+30</f>
        <v/>
      </c>
      <c r="N6605">
        <f>IF(L6605="", "", L6605-B6605)</f>
        <v/>
      </c>
      <c r="O6605">
        <f>IF(L6605="", "Pending", IF(N6605&lt;=30, "Met", "Breached"))</f>
        <v/>
      </c>
    </row>
    <row r="6606">
      <c r="M6606" s="11">
        <f>B6606+30</f>
        <v/>
      </c>
      <c r="N6606">
        <f>IF(L6606="", "", L6606-B6606)</f>
        <v/>
      </c>
      <c r="O6606">
        <f>IF(L6606="", "Pending", IF(N6606&lt;=30, "Met", "Breached"))</f>
        <v/>
      </c>
    </row>
    <row r="6607">
      <c r="M6607" s="11">
        <f>B6607+30</f>
        <v/>
      </c>
      <c r="N6607">
        <f>IF(L6607="", "", L6607-B6607)</f>
        <v/>
      </c>
      <c r="O6607">
        <f>IF(L6607="", "Pending", IF(N6607&lt;=30, "Met", "Breached"))</f>
        <v/>
      </c>
    </row>
    <row r="6608">
      <c r="M6608" s="11">
        <f>B6608+30</f>
        <v/>
      </c>
      <c r="N6608">
        <f>IF(L6608="", "", L6608-B6608)</f>
        <v/>
      </c>
      <c r="O6608">
        <f>IF(L6608="", "Pending", IF(N6608&lt;=30, "Met", "Breached"))</f>
        <v/>
      </c>
    </row>
    <row r="6609">
      <c r="M6609" s="11">
        <f>B6609+30</f>
        <v/>
      </c>
      <c r="N6609">
        <f>IF(L6609="", "", L6609-B6609)</f>
        <v/>
      </c>
      <c r="O6609">
        <f>IF(L6609="", "Pending", IF(N6609&lt;=30, "Met", "Breached"))</f>
        <v/>
      </c>
    </row>
    <row r="6610">
      <c r="M6610" s="11">
        <f>B6610+30</f>
        <v/>
      </c>
      <c r="N6610">
        <f>IF(L6610="", "", L6610-B6610)</f>
        <v/>
      </c>
      <c r="O6610">
        <f>IF(L6610="", "Pending", IF(N6610&lt;=30, "Met", "Breached"))</f>
        <v/>
      </c>
    </row>
    <row r="6611">
      <c r="M6611" s="11">
        <f>B6611+30</f>
        <v/>
      </c>
      <c r="N6611">
        <f>IF(L6611="", "", L6611-B6611)</f>
        <v/>
      </c>
      <c r="O6611">
        <f>IF(L6611="", "Pending", IF(N6611&lt;=30, "Met", "Breached"))</f>
        <v/>
      </c>
    </row>
    <row r="6612">
      <c r="M6612" s="11">
        <f>B6612+30</f>
        <v/>
      </c>
      <c r="N6612">
        <f>IF(L6612="", "", L6612-B6612)</f>
        <v/>
      </c>
      <c r="O6612">
        <f>IF(L6612="", "Pending", IF(N6612&lt;=30, "Met", "Breached"))</f>
        <v/>
      </c>
    </row>
    <row r="6613">
      <c r="M6613" s="11">
        <f>B6613+30</f>
        <v/>
      </c>
      <c r="N6613">
        <f>IF(L6613="", "", L6613-B6613)</f>
        <v/>
      </c>
      <c r="O6613">
        <f>IF(L6613="", "Pending", IF(N6613&lt;=30, "Met", "Breached"))</f>
        <v/>
      </c>
    </row>
    <row r="6614">
      <c r="M6614" s="11">
        <f>B6614+30</f>
        <v/>
      </c>
      <c r="N6614">
        <f>IF(L6614="", "", L6614-B6614)</f>
        <v/>
      </c>
      <c r="O6614">
        <f>IF(L6614="", "Pending", IF(N6614&lt;=30, "Met", "Breached"))</f>
        <v/>
      </c>
    </row>
    <row r="6615">
      <c r="M6615" s="11">
        <f>B6615+30</f>
        <v/>
      </c>
      <c r="N6615">
        <f>IF(L6615="", "", L6615-B6615)</f>
        <v/>
      </c>
      <c r="O6615">
        <f>IF(L6615="", "Pending", IF(N6615&lt;=30, "Met", "Breached"))</f>
        <v/>
      </c>
    </row>
    <row r="6616">
      <c r="M6616" s="11">
        <f>B6616+30</f>
        <v/>
      </c>
      <c r="N6616">
        <f>IF(L6616="", "", L6616-B6616)</f>
        <v/>
      </c>
      <c r="O6616">
        <f>IF(L6616="", "Pending", IF(N6616&lt;=30, "Met", "Breached"))</f>
        <v/>
      </c>
    </row>
    <row r="6617">
      <c r="M6617" s="11">
        <f>B6617+30</f>
        <v/>
      </c>
      <c r="N6617">
        <f>IF(L6617="", "", L6617-B6617)</f>
        <v/>
      </c>
      <c r="O6617">
        <f>IF(L6617="", "Pending", IF(N6617&lt;=30, "Met", "Breached"))</f>
        <v/>
      </c>
    </row>
    <row r="6618">
      <c r="M6618" s="11">
        <f>B6618+30</f>
        <v/>
      </c>
      <c r="N6618">
        <f>IF(L6618="", "", L6618-B6618)</f>
        <v/>
      </c>
      <c r="O6618">
        <f>IF(L6618="", "Pending", IF(N6618&lt;=30, "Met", "Breached"))</f>
        <v/>
      </c>
    </row>
    <row r="6619">
      <c r="M6619" s="11">
        <f>B6619+30</f>
        <v/>
      </c>
      <c r="N6619">
        <f>IF(L6619="", "", L6619-B6619)</f>
        <v/>
      </c>
      <c r="O6619">
        <f>IF(L6619="", "Pending", IF(N6619&lt;=30, "Met", "Breached"))</f>
        <v/>
      </c>
    </row>
    <row r="6620">
      <c r="M6620" s="11">
        <f>B6620+30</f>
        <v/>
      </c>
      <c r="N6620">
        <f>IF(L6620="", "", L6620-B6620)</f>
        <v/>
      </c>
      <c r="O6620">
        <f>IF(L6620="", "Pending", IF(N6620&lt;=30, "Met", "Breached"))</f>
        <v/>
      </c>
    </row>
    <row r="6621">
      <c r="M6621" s="11">
        <f>B6621+30</f>
        <v/>
      </c>
      <c r="N6621">
        <f>IF(L6621="", "", L6621-B6621)</f>
        <v/>
      </c>
      <c r="O6621">
        <f>IF(L6621="", "Pending", IF(N6621&lt;=30, "Met", "Breached"))</f>
        <v/>
      </c>
    </row>
    <row r="6622">
      <c r="M6622" s="11">
        <f>B6622+30</f>
        <v/>
      </c>
      <c r="N6622">
        <f>IF(L6622="", "", L6622-B6622)</f>
        <v/>
      </c>
      <c r="O6622">
        <f>IF(L6622="", "Pending", IF(N6622&lt;=30, "Met", "Breached"))</f>
        <v/>
      </c>
    </row>
    <row r="6623">
      <c r="M6623" s="11">
        <f>B6623+30</f>
        <v/>
      </c>
      <c r="N6623">
        <f>IF(L6623="", "", L6623-B6623)</f>
        <v/>
      </c>
      <c r="O6623">
        <f>IF(L6623="", "Pending", IF(N6623&lt;=30, "Met", "Breached"))</f>
        <v/>
      </c>
    </row>
    <row r="6624">
      <c r="M6624" s="11">
        <f>B6624+30</f>
        <v/>
      </c>
      <c r="N6624">
        <f>IF(L6624="", "", L6624-B6624)</f>
        <v/>
      </c>
      <c r="O6624">
        <f>IF(L6624="", "Pending", IF(N6624&lt;=30, "Met", "Breached"))</f>
        <v/>
      </c>
    </row>
    <row r="6625">
      <c r="M6625" s="11">
        <f>B6625+30</f>
        <v/>
      </c>
      <c r="N6625">
        <f>IF(L6625="", "", L6625-B6625)</f>
        <v/>
      </c>
      <c r="O6625">
        <f>IF(L6625="", "Pending", IF(N6625&lt;=30, "Met", "Breached"))</f>
        <v/>
      </c>
    </row>
    <row r="6626">
      <c r="M6626" s="11">
        <f>B6626+30</f>
        <v/>
      </c>
      <c r="N6626">
        <f>IF(L6626="", "", L6626-B6626)</f>
        <v/>
      </c>
      <c r="O6626">
        <f>IF(L6626="", "Pending", IF(N6626&lt;=30, "Met", "Breached"))</f>
        <v/>
      </c>
    </row>
    <row r="6627">
      <c r="M6627" s="11">
        <f>B6627+30</f>
        <v/>
      </c>
      <c r="N6627">
        <f>IF(L6627="", "", L6627-B6627)</f>
        <v/>
      </c>
      <c r="O6627">
        <f>IF(L6627="", "Pending", IF(N6627&lt;=30, "Met", "Breached"))</f>
        <v/>
      </c>
    </row>
    <row r="6628">
      <c r="M6628" s="11">
        <f>B6628+30</f>
        <v/>
      </c>
      <c r="N6628">
        <f>IF(L6628="", "", L6628-B6628)</f>
        <v/>
      </c>
      <c r="O6628">
        <f>IF(L6628="", "Pending", IF(N6628&lt;=30, "Met", "Breached"))</f>
        <v/>
      </c>
    </row>
    <row r="6629">
      <c r="M6629" s="11">
        <f>B6629+30</f>
        <v/>
      </c>
      <c r="N6629">
        <f>IF(L6629="", "", L6629-B6629)</f>
        <v/>
      </c>
      <c r="O6629">
        <f>IF(L6629="", "Pending", IF(N6629&lt;=30, "Met", "Breached"))</f>
        <v/>
      </c>
    </row>
    <row r="6630">
      <c r="M6630" s="11">
        <f>B6630+30</f>
        <v/>
      </c>
      <c r="N6630">
        <f>IF(L6630="", "", L6630-B6630)</f>
        <v/>
      </c>
      <c r="O6630">
        <f>IF(L6630="", "Pending", IF(N6630&lt;=30, "Met", "Breached"))</f>
        <v/>
      </c>
    </row>
    <row r="6631">
      <c r="M6631" s="11">
        <f>B6631+30</f>
        <v/>
      </c>
      <c r="N6631">
        <f>IF(L6631="", "", L6631-B6631)</f>
        <v/>
      </c>
      <c r="O6631">
        <f>IF(L6631="", "Pending", IF(N6631&lt;=30, "Met", "Breached"))</f>
        <v/>
      </c>
    </row>
    <row r="6632">
      <c r="M6632" s="11">
        <f>B6632+30</f>
        <v/>
      </c>
      <c r="N6632">
        <f>IF(L6632="", "", L6632-B6632)</f>
        <v/>
      </c>
      <c r="O6632">
        <f>IF(L6632="", "Pending", IF(N6632&lt;=30, "Met", "Breached"))</f>
        <v/>
      </c>
    </row>
    <row r="6633">
      <c r="M6633" s="11">
        <f>B6633+30</f>
        <v/>
      </c>
      <c r="N6633">
        <f>IF(L6633="", "", L6633-B6633)</f>
        <v/>
      </c>
      <c r="O6633">
        <f>IF(L6633="", "Pending", IF(N6633&lt;=30, "Met", "Breached"))</f>
        <v/>
      </c>
    </row>
    <row r="6634">
      <c r="M6634" s="11">
        <f>B6634+30</f>
        <v/>
      </c>
      <c r="N6634">
        <f>IF(L6634="", "", L6634-B6634)</f>
        <v/>
      </c>
      <c r="O6634">
        <f>IF(L6634="", "Pending", IF(N6634&lt;=30, "Met", "Breached"))</f>
        <v/>
      </c>
    </row>
    <row r="6635">
      <c r="M6635" s="11">
        <f>B6635+30</f>
        <v/>
      </c>
      <c r="N6635">
        <f>IF(L6635="", "", L6635-B6635)</f>
        <v/>
      </c>
      <c r="O6635">
        <f>IF(L6635="", "Pending", IF(N6635&lt;=30, "Met", "Breached"))</f>
        <v/>
      </c>
    </row>
    <row r="6636">
      <c r="M6636" s="11">
        <f>B6636+30</f>
        <v/>
      </c>
      <c r="N6636">
        <f>IF(L6636="", "", L6636-B6636)</f>
        <v/>
      </c>
      <c r="O6636">
        <f>IF(L6636="", "Pending", IF(N6636&lt;=30, "Met", "Breached"))</f>
        <v/>
      </c>
    </row>
    <row r="6637">
      <c r="M6637" s="11">
        <f>B6637+30</f>
        <v/>
      </c>
      <c r="N6637">
        <f>IF(L6637="", "", L6637-B6637)</f>
        <v/>
      </c>
      <c r="O6637">
        <f>IF(L6637="", "Pending", IF(N6637&lt;=30, "Met", "Breached"))</f>
        <v/>
      </c>
    </row>
    <row r="6638">
      <c r="M6638" s="11">
        <f>B6638+30</f>
        <v/>
      </c>
      <c r="N6638">
        <f>IF(L6638="", "", L6638-B6638)</f>
        <v/>
      </c>
      <c r="O6638">
        <f>IF(L6638="", "Pending", IF(N6638&lt;=30, "Met", "Breached"))</f>
        <v/>
      </c>
    </row>
    <row r="6639">
      <c r="M6639" s="11">
        <f>B6639+30</f>
        <v/>
      </c>
      <c r="N6639">
        <f>IF(L6639="", "", L6639-B6639)</f>
        <v/>
      </c>
      <c r="O6639">
        <f>IF(L6639="", "Pending", IF(N6639&lt;=30, "Met", "Breached"))</f>
        <v/>
      </c>
    </row>
    <row r="6640">
      <c r="M6640" s="11">
        <f>B6640+30</f>
        <v/>
      </c>
      <c r="N6640">
        <f>IF(L6640="", "", L6640-B6640)</f>
        <v/>
      </c>
      <c r="O6640">
        <f>IF(L6640="", "Pending", IF(N6640&lt;=30, "Met", "Breached"))</f>
        <v/>
      </c>
    </row>
    <row r="6641">
      <c r="M6641" s="11">
        <f>B6641+30</f>
        <v/>
      </c>
      <c r="N6641">
        <f>IF(L6641="", "", L6641-B6641)</f>
        <v/>
      </c>
      <c r="O6641">
        <f>IF(L6641="", "Pending", IF(N6641&lt;=30, "Met", "Breached"))</f>
        <v/>
      </c>
    </row>
    <row r="6642">
      <c r="M6642" s="11">
        <f>B6642+30</f>
        <v/>
      </c>
      <c r="N6642">
        <f>IF(L6642="", "", L6642-B6642)</f>
        <v/>
      </c>
      <c r="O6642">
        <f>IF(L6642="", "Pending", IF(N6642&lt;=30, "Met", "Breached"))</f>
        <v/>
      </c>
    </row>
    <row r="6643">
      <c r="M6643" s="11">
        <f>B6643+30</f>
        <v/>
      </c>
      <c r="N6643">
        <f>IF(L6643="", "", L6643-B6643)</f>
        <v/>
      </c>
      <c r="O6643">
        <f>IF(L6643="", "Pending", IF(N6643&lt;=30, "Met", "Breached"))</f>
        <v/>
      </c>
    </row>
    <row r="6644">
      <c r="M6644" s="11">
        <f>B6644+30</f>
        <v/>
      </c>
      <c r="N6644">
        <f>IF(L6644="", "", L6644-B6644)</f>
        <v/>
      </c>
      <c r="O6644">
        <f>IF(L6644="", "Pending", IF(N6644&lt;=30, "Met", "Breached"))</f>
        <v/>
      </c>
    </row>
    <row r="6645">
      <c r="M6645" s="11">
        <f>B6645+30</f>
        <v/>
      </c>
      <c r="N6645">
        <f>IF(L6645="", "", L6645-B6645)</f>
        <v/>
      </c>
      <c r="O6645">
        <f>IF(L6645="", "Pending", IF(N6645&lt;=30, "Met", "Breached"))</f>
        <v/>
      </c>
    </row>
    <row r="6646">
      <c r="M6646" s="11">
        <f>B6646+30</f>
        <v/>
      </c>
      <c r="N6646">
        <f>IF(L6646="", "", L6646-B6646)</f>
        <v/>
      </c>
      <c r="O6646">
        <f>IF(L6646="", "Pending", IF(N6646&lt;=30, "Met", "Breached"))</f>
        <v/>
      </c>
    </row>
    <row r="6647">
      <c r="M6647" s="11">
        <f>B6647+30</f>
        <v/>
      </c>
      <c r="N6647">
        <f>IF(L6647="", "", L6647-B6647)</f>
        <v/>
      </c>
      <c r="O6647">
        <f>IF(L6647="", "Pending", IF(N6647&lt;=30, "Met", "Breached"))</f>
        <v/>
      </c>
    </row>
    <row r="6648">
      <c r="M6648" s="11">
        <f>B6648+30</f>
        <v/>
      </c>
      <c r="N6648">
        <f>IF(L6648="", "", L6648-B6648)</f>
        <v/>
      </c>
      <c r="O6648">
        <f>IF(L6648="", "Pending", IF(N6648&lt;=30, "Met", "Breached"))</f>
        <v/>
      </c>
    </row>
    <row r="6649">
      <c r="M6649" s="11">
        <f>B6649+30</f>
        <v/>
      </c>
      <c r="N6649">
        <f>IF(L6649="", "", L6649-B6649)</f>
        <v/>
      </c>
      <c r="O6649">
        <f>IF(L6649="", "Pending", IF(N6649&lt;=30, "Met", "Breached"))</f>
        <v/>
      </c>
    </row>
    <row r="6650">
      <c r="M6650" s="11">
        <f>B6650+30</f>
        <v/>
      </c>
      <c r="N6650">
        <f>IF(L6650="", "", L6650-B6650)</f>
        <v/>
      </c>
      <c r="O6650">
        <f>IF(L6650="", "Pending", IF(N6650&lt;=30, "Met", "Breached"))</f>
        <v/>
      </c>
    </row>
    <row r="6651">
      <c r="M6651" s="11">
        <f>B6651+30</f>
        <v/>
      </c>
      <c r="N6651">
        <f>IF(L6651="", "", L6651-B6651)</f>
        <v/>
      </c>
      <c r="O6651">
        <f>IF(L6651="", "Pending", IF(N6651&lt;=30, "Met", "Breached"))</f>
        <v/>
      </c>
    </row>
    <row r="6652">
      <c r="M6652" s="11">
        <f>B6652+30</f>
        <v/>
      </c>
      <c r="N6652">
        <f>IF(L6652="", "", L6652-B6652)</f>
        <v/>
      </c>
      <c r="O6652">
        <f>IF(L6652="", "Pending", IF(N6652&lt;=30, "Met", "Breached"))</f>
        <v/>
      </c>
    </row>
    <row r="6653">
      <c r="M6653" s="11">
        <f>B6653+30</f>
        <v/>
      </c>
      <c r="N6653">
        <f>IF(L6653="", "", L6653-B6653)</f>
        <v/>
      </c>
      <c r="O6653">
        <f>IF(L6653="", "Pending", IF(N6653&lt;=30, "Met", "Breached"))</f>
        <v/>
      </c>
    </row>
    <row r="6654">
      <c r="M6654" s="11">
        <f>B6654+30</f>
        <v/>
      </c>
      <c r="N6654">
        <f>IF(L6654="", "", L6654-B6654)</f>
        <v/>
      </c>
      <c r="O6654">
        <f>IF(L6654="", "Pending", IF(N6654&lt;=30, "Met", "Breached"))</f>
        <v/>
      </c>
    </row>
    <row r="6655">
      <c r="M6655" s="11">
        <f>B6655+30</f>
        <v/>
      </c>
      <c r="N6655">
        <f>IF(L6655="", "", L6655-B6655)</f>
        <v/>
      </c>
      <c r="O6655">
        <f>IF(L6655="", "Pending", IF(N6655&lt;=30, "Met", "Breached"))</f>
        <v/>
      </c>
    </row>
    <row r="6656">
      <c r="M6656" s="11">
        <f>B6656+30</f>
        <v/>
      </c>
      <c r="N6656">
        <f>IF(L6656="", "", L6656-B6656)</f>
        <v/>
      </c>
      <c r="O6656">
        <f>IF(L6656="", "Pending", IF(N6656&lt;=30, "Met", "Breached"))</f>
        <v/>
      </c>
    </row>
    <row r="6657">
      <c r="M6657" s="11">
        <f>B6657+30</f>
        <v/>
      </c>
      <c r="N6657">
        <f>IF(L6657="", "", L6657-B6657)</f>
        <v/>
      </c>
      <c r="O6657">
        <f>IF(L6657="", "Pending", IF(N6657&lt;=30, "Met", "Breached"))</f>
        <v/>
      </c>
    </row>
    <row r="6658">
      <c r="M6658" s="11">
        <f>B6658+30</f>
        <v/>
      </c>
      <c r="N6658">
        <f>IF(L6658="", "", L6658-B6658)</f>
        <v/>
      </c>
      <c r="O6658">
        <f>IF(L6658="", "Pending", IF(N6658&lt;=30, "Met", "Breached"))</f>
        <v/>
      </c>
    </row>
    <row r="6659">
      <c r="M6659" s="11">
        <f>B6659+30</f>
        <v/>
      </c>
      <c r="N6659">
        <f>IF(L6659="", "", L6659-B6659)</f>
        <v/>
      </c>
      <c r="O6659">
        <f>IF(L6659="", "Pending", IF(N6659&lt;=30, "Met", "Breached"))</f>
        <v/>
      </c>
    </row>
    <row r="6660">
      <c r="M6660" s="11">
        <f>B6660+30</f>
        <v/>
      </c>
      <c r="N6660">
        <f>IF(L6660="", "", L6660-B6660)</f>
        <v/>
      </c>
      <c r="O6660">
        <f>IF(L6660="", "Pending", IF(N6660&lt;=30, "Met", "Breached"))</f>
        <v/>
      </c>
    </row>
    <row r="6661">
      <c r="M6661" s="11">
        <f>B6661+30</f>
        <v/>
      </c>
      <c r="N6661">
        <f>IF(L6661="", "", L6661-B6661)</f>
        <v/>
      </c>
      <c r="O6661">
        <f>IF(L6661="", "Pending", IF(N6661&lt;=30, "Met", "Breached"))</f>
        <v/>
      </c>
    </row>
    <row r="6662">
      <c r="M6662" s="11">
        <f>B6662+30</f>
        <v/>
      </c>
      <c r="N6662">
        <f>IF(L6662="", "", L6662-B6662)</f>
        <v/>
      </c>
      <c r="O6662">
        <f>IF(L6662="", "Pending", IF(N6662&lt;=30, "Met", "Breached"))</f>
        <v/>
      </c>
    </row>
    <row r="6663">
      <c r="M6663" s="11">
        <f>B6663+30</f>
        <v/>
      </c>
      <c r="N6663">
        <f>IF(L6663="", "", L6663-B6663)</f>
        <v/>
      </c>
      <c r="O6663">
        <f>IF(L6663="", "Pending", IF(N6663&lt;=30, "Met", "Breached"))</f>
        <v/>
      </c>
    </row>
    <row r="6664">
      <c r="M6664" s="11">
        <f>B6664+30</f>
        <v/>
      </c>
      <c r="N6664">
        <f>IF(L6664="", "", L6664-B6664)</f>
        <v/>
      </c>
      <c r="O6664">
        <f>IF(L6664="", "Pending", IF(N6664&lt;=30, "Met", "Breached"))</f>
        <v/>
      </c>
    </row>
    <row r="6665">
      <c r="M6665" s="11">
        <f>B6665+30</f>
        <v/>
      </c>
      <c r="N6665">
        <f>IF(L6665="", "", L6665-B6665)</f>
        <v/>
      </c>
      <c r="O6665">
        <f>IF(L6665="", "Pending", IF(N6665&lt;=30, "Met", "Breached"))</f>
        <v/>
      </c>
    </row>
    <row r="6666">
      <c r="M6666" s="11">
        <f>B6666+30</f>
        <v/>
      </c>
      <c r="N6666">
        <f>IF(L6666="", "", L6666-B6666)</f>
        <v/>
      </c>
      <c r="O6666">
        <f>IF(L6666="", "Pending", IF(N6666&lt;=30, "Met", "Breached"))</f>
        <v/>
      </c>
    </row>
    <row r="6667">
      <c r="M6667" s="11">
        <f>B6667+30</f>
        <v/>
      </c>
      <c r="N6667">
        <f>IF(L6667="", "", L6667-B6667)</f>
        <v/>
      </c>
      <c r="O6667">
        <f>IF(L6667="", "Pending", IF(N6667&lt;=30, "Met", "Breached"))</f>
        <v/>
      </c>
    </row>
    <row r="6668">
      <c r="M6668" s="11">
        <f>B6668+30</f>
        <v/>
      </c>
      <c r="N6668">
        <f>IF(L6668="", "", L6668-B6668)</f>
        <v/>
      </c>
      <c r="O6668">
        <f>IF(L6668="", "Pending", IF(N6668&lt;=30, "Met", "Breached"))</f>
        <v/>
      </c>
    </row>
    <row r="6669">
      <c r="M6669" s="11">
        <f>B6669+30</f>
        <v/>
      </c>
      <c r="N6669">
        <f>IF(L6669="", "", L6669-B6669)</f>
        <v/>
      </c>
      <c r="O6669">
        <f>IF(L6669="", "Pending", IF(N6669&lt;=30, "Met", "Breached"))</f>
        <v/>
      </c>
    </row>
    <row r="6670">
      <c r="M6670" s="11">
        <f>B6670+30</f>
        <v/>
      </c>
      <c r="N6670">
        <f>IF(L6670="", "", L6670-B6670)</f>
        <v/>
      </c>
      <c r="O6670">
        <f>IF(L6670="", "Pending", IF(N6670&lt;=30, "Met", "Breached"))</f>
        <v/>
      </c>
    </row>
    <row r="6671">
      <c r="M6671" s="11">
        <f>B6671+30</f>
        <v/>
      </c>
      <c r="N6671">
        <f>IF(L6671="", "", L6671-B6671)</f>
        <v/>
      </c>
      <c r="O6671">
        <f>IF(L6671="", "Pending", IF(N6671&lt;=30, "Met", "Breached"))</f>
        <v/>
      </c>
    </row>
    <row r="6672">
      <c r="M6672" s="11">
        <f>B6672+30</f>
        <v/>
      </c>
      <c r="N6672">
        <f>IF(L6672="", "", L6672-B6672)</f>
        <v/>
      </c>
      <c r="O6672">
        <f>IF(L6672="", "Pending", IF(N6672&lt;=30, "Met", "Breached"))</f>
        <v/>
      </c>
    </row>
    <row r="6673">
      <c r="M6673" s="11">
        <f>B6673+30</f>
        <v/>
      </c>
      <c r="N6673">
        <f>IF(L6673="", "", L6673-B6673)</f>
        <v/>
      </c>
      <c r="O6673">
        <f>IF(L6673="", "Pending", IF(N6673&lt;=30, "Met", "Breached"))</f>
        <v/>
      </c>
    </row>
    <row r="6674">
      <c r="M6674" s="11">
        <f>B6674+30</f>
        <v/>
      </c>
      <c r="N6674">
        <f>IF(L6674="", "", L6674-B6674)</f>
        <v/>
      </c>
      <c r="O6674">
        <f>IF(L6674="", "Pending", IF(N6674&lt;=30, "Met", "Breached"))</f>
        <v/>
      </c>
    </row>
    <row r="6675">
      <c r="M6675" s="11">
        <f>B6675+30</f>
        <v/>
      </c>
      <c r="N6675">
        <f>IF(L6675="", "", L6675-B6675)</f>
        <v/>
      </c>
      <c r="O6675">
        <f>IF(L6675="", "Pending", IF(N6675&lt;=30, "Met", "Breached"))</f>
        <v/>
      </c>
    </row>
    <row r="6676">
      <c r="M6676" s="11">
        <f>B6676+30</f>
        <v/>
      </c>
      <c r="N6676">
        <f>IF(L6676="", "", L6676-B6676)</f>
        <v/>
      </c>
      <c r="O6676">
        <f>IF(L6676="", "Pending", IF(N6676&lt;=30, "Met", "Breached"))</f>
        <v/>
      </c>
    </row>
    <row r="6677">
      <c r="M6677" s="11">
        <f>B6677+30</f>
        <v/>
      </c>
      <c r="N6677">
        <f>IF(L6677="", "", L6677-B6677)</f>
        <v/>
      </c>
      <c r="O6677">
        <f>IF(L6677="", "Pending", IF(N6677&lt;=30, "Met", "Breached"))</f>
        <v/>
      </c>
    </row>
    <row r="6678">
      <c r="M6678" s="11">
        <f>B6678+30</f>
        <v/>
      </c>
      <c r="N6678">
        <f>IF(L6678="", "", L6678-B6678)</f>
        <v/>
      </c>
      <c r="O6678">
        <f>IF(L6678="", "Pending", IF(N6678&lt;=30, "Met", "Breached"))</f>
        <v/>
      </c>
    </row>
    <row r="6679">
      <c r="M6679" s="11">
        <f>B6679+30</f>
        <v/>
      </c>
      <c r="N6679">
        <f>IF(L6679="", "", L6679-B6679)</f>
        <v/>
      </c>
      <c r="O6679">
        <f>IF(L6679="", "Pending", IF(N6679&lt;=30, "Met", "Breached"))</f>
        <v/>
      </c>
    </row>
    <row r="6680">
      <c r="M6680" s="11">
        <f>B6680+30</f>
        <v/>
      </c>
      <c r="N6680">
        <f>IF(L6680="", "", L6680-B6680)</f>
        <v/>
      </c>
      <c r="O6680">
        <f>IF(L6680="", "Pending", IF(N6680&lt;=30, "Met", "Breached"))</f>
        <v/>
      </c>
    </row>
    <row r="6681">
      <c r="M6681" s="11">
        <f>B6681+30</f>
        <v/>
      </c>
      <c r="N6681">
        <f>IF(L6681="", "", L6681-B6681)</f>
        <v/>
      </c>
      <c r="O6681">
        <f>IF(L6681="", "Pending", IF(N6681&lt;=30, "Met", "Breached"))</f>
        <v/>
      </c>
    </row>
    <row r="6682">
      <c r="M6682" s="11">
        <f>B6682+30</f>
        <v/>
      </c>
      <c r="N6682">
        <f>IF(L6682="", "", L6682-B6682)</f>
        <v/>
      </c>
      <c r="O6682">
        <f>IF(L6682="", "Pending", IF(N6682&lt;=30, "Met", "Breached"))</f>
        <v/>
      </c>
    </row>
    <row r="6683">
      <c r="M6683" s="11">
        <f>B6683+30</f>
        <v/>
      </c>
      <c r="N6683">
        <f>IF(L6683="", "", L6683-B6683)</f>
        <v/>
      </c>
      <c r="O6683">
        <f>IF(L6683="", "Pending", IF(N6683&lt;=30, "Met", "Breached"))</f>
        <v/>
      </c>
    </row>
    <row r="6684">
      <c r="M6684" s="11">
        <f>B6684+30</f>
        <v/>
      </c>
      <c r="N6684">
        <f>IF(L6684="", "", L6684-B6684)</f>
        <v/>
      </c>
      <c r="O6684">
        <f>IF(L6684="", "Pending", IF(N6684&lt;=30, "Met", "Breached"))</f>
        <v/>
      </c>
    </row>
    <row r="6685">
      <c r="M6685" s="11">
        <f>B6685+30</f>
        <v/>
      </c>
      <c r="N6685">
        <f>IF(L6685="", "", L6685-B6685)</f>
        <v/>
      </c>
      <c r="O6685">
        <f>IF(L6685="", "Pending", IF(N6685&lt;=30, "Met", "Breached"))</f>
        <v/>
      </c>
    </row>
    <row r="6686">
      <c r="M6686" s="11">
        <f>B6686+30</f>
        <v/>
      </c>
      <c r="N6686">
        <f>IF(L6686="", "", L6686-B6686)</f>
        <v/>
      </c>
      <c r="O6686">
        <f>IF(L6686="", "Pending", IF(N6686&lt;=30, "Met", "Breached"))</f>
        <v/>
      </c>
    </row>
    <row r="6687">
      <c r="M6687" s="11">
        <f>B6687+30</f>
        <v/>
      </c>
      <c r="N6687">
        <f>IF(L6687="", "", L6687-B6687)</f>
        <v/>
      </c>
      <c r="O6687">
        <f>IF(L6687="", "Pending", IF(N6687&lt;=30, "Met", "Breached"))</f>
        <v/>
      </c>
    </row>
    <row r="6688">
      <c r="M6688" s="11">
        <f>B6688+30</f>
        <v/>
      </c>
      <c r="N6688">
        <f>IF(L6688="", "", L6688-B6688)</f>
        <v/>
      </c>
      <c r="O6688">
        <f>IF(L6688="", "Pending", IF(N6688&lt;=30, "Met", "Breached"))</f>
        <v/>
      </c>
    </row>
    <row r="6689">
      <c r="M6689" s="11">
        <f>B6689+30</f>
        <v/>
      </c>
      <c r="N6689">
        <f>IF(L6689="", "", L6689-B6689)</f>
        <v/>
      </c>
      <c r="O6689">
        <f>IF(L6689="", "Pending", IF(N6689&lt;=30, "Met", "Breached"))</f>
        <v/>
      </c>
    </row>
    <row r="6690">
      <c r="M6690" s="11">
        <f>B6690+30</f>
        <v/>
      </c>
      <c r="N6690">
        <f>IF(L6690="", "", L6690-B6690)</f>
        <v/>
      </c>
      <c r="O6690">
        <f>IF(L6690="", "Pending", IF(N6690&lt;=30, "Met", "Breached"))</f>
        <v/>
      </c>
    </row>
    <row r="6691">
      <c r="M6691" s="11">
        <f>B6691+30</f>
        <v/>
      </c>
      <c r="N6691">
        <f>IF(L6691="", "", L6691-B6691)</f>
        <v/>
      </c>
      <c r="O6691">
        <f>IF(L6691="", "Pending", IF(N6691&lt;=30, "Met", "Breached"))</f>
        <v/>
      </c>
    </row>
    <row r="6692">
      <c r="M6692" s="11">
        <f>B6692+30</f>
        <v/>
      </c>
      <c r="N6692">
        <f>IF(L6692="", "", L6692-B6692)</f>
        <v/>
      </c>
      <c r="O6692">
        <f>IF(L6692="", "Pending", IF(N6692&lt;=30, "Met", "Breached"))</f>
        <v/>
      </c>
    </row>
    <row r="6693">
      <c r="M6693" s="11">
        <f>B6693+30</f>
        <v/>
      </c>
      <c r="N6693">
        <f>IF(L6693="", "", L6693-B6693)</f>
        <v/>
      </c>
      <c r="O6693">
        <f>IF(L6693="", "Pending", IF(N6693&lt;=30, "Met", "Breached"))</f>
        <v/>
      </c>
    </row>
    <row r="6694">
      <c r="M6694" s="11">
        <f>B6694+30</f>
        <v/>
      </c>
      <c r="N6694">
        <f>IF(L6694="", "", L6694-B6694)</f>
        <v/>
      </c>
      <c r="O6694">
        <f>IF(L6694="", "Pending", IF(N6694&lt;=30, "Met", "Breached"))</f>
        <v/>
      </c>
    </row>
    <row r="6695">
      <c r="M6695" s="11">
        <f>B6695+30</f>
        <v/>
      </c>
      <c r="N6695">
        <f>IF(L6695="", "", L6695-B6695)</f>
        <v/>
      </c>
      <c r="O6695">
        <f>IF(L6695="", "Pending", IF(N6695&lt;=30, "Met", "Breached"))</f>
        <v/>
      </c>
    </row>
    <row r="6696">
      <c r="M6696" s="11">
        <f>B6696+30</f>
        <v/>
      </c>
      <c r="N6696">
        <f>IF(L6696="", "", L6696-B6696)</f>
        <v/>
      </c>
      <c r="O6696">
        <f>IF(L6696="", "Pending", IF(N6696&lt;=30, "Met", "Breached"))</f>
        <v/>
      </c>
    </row>
    <row r="6697">
      <c r="M6697" s="11">
        <f>B6697+30</f>
        <v/>
      </c>
      <c r="N6697">
        <f>IF(L6697="", "", L6697-B6697)</f>
        <v/>
      </c>
      <c r="O6697">
        <f>IF(L6697="", "Pending", IF(N6697&lt;=30, "Met", "Breached"))</f>
        <v/>
      </c>
    </row>
    <row r="6698">
      <c r="M6698" s="11">
        <f>B6698+30</f>
        <v/>
      </c>
      <c r="N6698">
        <f>IF(L6698="", "", L6698-B6698)</f>
        <v/>
      </c>
      <c r="O6698">
        <f>IF(L6698="", "Pending", IF(N6698&lt;=30, "Met", "Breached"))</f>
        <v/>
      </c>
    </row>
    <row r="6699">
      <c r="M6699" s="11">
        <f>B6699+30</f>
        <v/>
      </c>
      <c r="N6699">
        <f>IF(L6699="", "", L6699-B6699)</f>
        <v/>
      </c>
      <c r="O6699">
        <f>IF(L6699="", "Pending", IF(N6699&lt;=30, "Met", "Breached"))</f>
        <v/>
      </c>
    </row>
    <row r="6700">
      <c r="M6700" s="11">
        <f>B6700+30</f>
        <v/>
      </c>
      <c r="N6700">
        <f>IF(L6700="", "", L6700-B6700)</f>
        <v/>
      </c>
      <c r="O6700">
        <f>IF(L6700="", "Pending", IF(N6700&lt;=30, "Met", "Breached"))</f>
        <v/>
      </c>
    </row>
    <row r="6701">
      <c r="M6701" s="11">
        <f>B6701+30</f>
        <v/>
      </c>
      <c r="N6701">
        <f>IF(L6701="", "", L6701-B6701)</f>
        <v/>
      </c>
      <c r="O6701">
        <f>IF(L6701="", "Pending", IF(N6701&lt;=30, "Met", "Breached"))</f>
        <v/>
      </c>
    </row>
    <row r="6702">
      <c r="M6702" s="11">
        <f>B6702+30</f>
        <v/>
      </c>
      <c r="N6702">
        <f>IF(L6702="", "", L6702-B6702)</f>
        <v/>
      </c>
      <c r="O6702">
        <f>IF(L6702="", "Pending", IF(N6702&lt;=30, "Met", "Breached"))</f>
        <v/>
      </c>
    </row>
    <row r="6703">
      <c r="M6703" s="11">
        <f>B6703+30</f>
        <v/>
      </c>
      <c r="N6703">
        <f>IF(L6703="", "", L6703-B6703)</f>
        <v/>
      </c>
      <c r="O6703">
        <f>IF(L6703="", "Pending", IF(N6703&lt;=30, "Met", "Breached"))</f>
        <v/>
      </c>
    </row>
    <row r="6704">
      <c r="M6704" s="11">
        <f>B6704+30</f>
        <v/>
      </c>
      <c r="N6704">
        <f>IF(L6704="", "", L6704-B6704)</f>
        <v/>
      </c>
      <c r="O6704">
        <f>IF(L6704="", "Pending", IF(N6704&lt;=30, "Met", "Breached"))</f>
        <v/>
      </c>
    </row>
    <row r="6705">
      <c r="M6705" s="11">
        <f>B6705+30</f>
        <v/>
      </c>
      <c r="N6705">
        <f>IF(L6705="", "", L6705-B6705)</f>
        <v/>
      </c>
      <c r="O6705">
        <f>IF(L6705="", "Pending", IF(N6705&lt;=30, "Met", "Breached"))</f>
        <v/>
      </c>
    </row>
    <row r="6706">
      <c r="M6706" s="11">
        <f>B6706+30</f>
        <v/>
      </c>
      <c r="N6706">
        <f>IF(L6706="", "", L6706-B6706)</f>
        <v/>
      </c>
      <c r="O6706">
        <f>IF(L6706="", "Pending", IF(N6706&lt;=30, "Met", "Breached"))</f>
        <v/>
      </c>
    </row>
    <row r="6707">
      <c r="M6707" s="11">
        <f>B6707+30</f>
        <v/>
      </c>
      <c r="N6707">
        <f>IF(L6707="", "", L6707-B6707)</f>
        <v/>
      </c>
      <c r="O6707">
        <f>IF(L6707="", "Pending", IF(N6707&lt;=30, "Met", "Breached"))</f>
        <v/>
      </c>
    </row>
    <row r="6708">
      <c r="M6708" s="11">
        <f>B6708+30</f>
        <v/>
      </c>
      <c r="N6708">
        <f>IF(L6708="", "", L6708-B6708)</f>
        <v/>
      </c>
      <c r="O6708">
        <f>IF(L6708="", "Pending", IF(N6708&lt;=30, "Met", "Breached"))</f>
        <v/>
      </c>
    </row>
    <row r="6709">
      <c r="M6709" s="11">
        <f>B6709+30</f>
        <v/>
      </c>
      <c r="N6709">
        <f>IF(L6709="", "", L6709-B6709)</f>
        <v/>
      </c>
      <c r="O6709">
        <f>IF(L6709="", "Pending", IF(N6709&lt;=30, "Met", "Breached"))</f>
        <v/>
      </c>
    </row>
    <row r="6710">
      <c r="M6710" s="11">
        <f>B6710+30</f>
        <v/>
      </c>
      <c r="N6710">
        <f>IF(L6710="", "", L6710-B6710)</f>
        <v/>
      </c>
      <c r="O6710">
        <f>IF(L6710="", "Pending", IF(N6710&lt;=30, "Met", "Breached"))</f>
        <v/>
      </c>
    </row>
    <row r="6711">
      <c r="M6711" s="11">
        <f>B6711+30</f>
        <v/>
      </c>
      <c r="N6711">
        <f>IF(L6711="", "", L6711-B6711)</f>
        <v/>
      </c>
      <c r="O6711">
        <f>IF(L6711="", "Pending", IF(N6711&lt;=30, "Met", "Breached"))</f>
        <v/>
      </c>
    </row>
    <row r="6712">
      <c r="M6712" s="11">
        <f>B6712+30</f>
        <v/>
      </c>
      <c r="N6712">
        <f>IF(L6712="", "", L6712-B6712)</f>
        <v/>
      </c>
      <c r="O6712">
        <f>IF(L6712="", "Pending", IF(N6712&lt;=30, "Met", "Breached"))</f>
        <v/>
      </c>
    </row>
    <row r="6713">
      <c r="M6713" s="11">
        <f>B6713+30</f>
        <v/>
      </c>
      <c r="N6713">
        <f>IF(L6713="", "", L6713-B6713)</f>
        <v/>
      </c>
      <c r="O6713">
        <f>IF(L6713="", "Pending", IF(N6713&lt;=30, "Met", "Breached"))</f>
        <v/>
      </c>
    </row>
    <row r="6714">
      <c r="M6714" s="11">
        <f>B6714+30</f>
        <v/>
      </c>
      <c r="N6714">
        <f>IF(L6714="", "", L6714-B6714)</f>
        <v/>
      </c>
      <c r="O6714">
        <f>IF(L6714="", "Pending", IF(N6714&lt;=30, "Met", "Breached"))</f>
        <v/>
      </c>
    </row>
    <row r="6715">
      <c r="M6715" s="11">
        <f>B6715+30</f>
        <v/>
      </c>
      <c r="N6715">
        <f>IF(L6715="", "", L6715-B6715)</f>
        <v/>
      </c>
      <c r="O6715">
        <f>IF(L6715="", "Pending", IF(N6715&lt;=30, "Met", "Breached"))</f>
        <v/>
      </c>
    </row>
    <row r="6716">
      <c r="M6716" s="11">
        <f>B6716+30</f>
        <v/>
      </c>
      <c r="N6716">
        <f>IF(L6716="", "", L6716-B6716)</f>
        <v/>
      </c>
      <c r="O6716">
        <f>IF(L6716="", "Pending", IF(N6716&lt;=30, "Met", "Breached"))</f>
        <v/>
      </c>
    </row>
    <row r="6717">
      <c r="M6717" s="11">
        <f>B6717+30</f>
        <v/>
      </c>
      <c r="N6717">
        <f>IF(L6717="", "", L6717-B6717)</f>
        <v/>
      </c>
      <c r="O6717">
        <f>IF(L6717="", "Pending", IF(N6717&lt;=30, "Met", "Breached"))</f>
        <v/>
      </c>
    </row>
    <row r="6718">
      <c r="M6718" s="11">
        <f>B6718+30</f>
        <v/>
      </c>
      <c r="N6718">
        <f>IF(L6718="", "", L6718-B6718)</f>
        <v/>
      </c>
      <c r="O6718">
        <f>IF(L6718="", "Pending", IF(N6718&lt;=30, "Met", "Breached"))</f>
        <v/>
      </c>
    </row>
    <row r="6719">
      <c r="M6719" s="11">
        <f>B6719+30</f>
        <v/>
      </c>
      <c r="N6719">
        <f>IF(L6719="", "", L6719-B6719)</f>
        <v/>
      </c>
      <c r="O6719">
        <f>IF(L6719="", "Pending", IF(N6719&lt;=30, "Met", "Breached"))</f>
        <v/>
      </c>
    </row>
    <row r="6720">
      <c r="M6720" s="11">
        <f>B6720+30</f>
        <v/>
      </c>
      <c r="N6720">
        <f>IF(L6720="", "", L6720-B6720)</f>
        <v/>
      </c>
      <c r="O6720">
        <f>IF(L6720="", "Pending", IF(N6720&lt;=30, "Met", "Breached"))</f>
        <v/>
      </c>
    </row>
    <row r="6721">
      <c r="M6721" s="11">
        <f>B6721+30</f>
        <v/>
      </c>
      <c r="N6721">
        <f>IF(L6721="", "", L6721-B6721)</f>
        <v/>
      </c>
      <c r="O6721">
        <f>IF(L6721="", "Pending", IF(N6721&lt;=30, "Met", "Breached"))</f>
        <v/>
      </c>
    </row>
    <row r="6722">
      <c r="M6722" s="11">
        <f>B6722+30</f>
        <v/>
      </c>
      <c r="N6722">
        <f>IF(L6722="", "", L6722-B6722)</f>
        <v/>
      </c>
      <c r="O6722">
        <f>IF(L6722="", "Pending", IF(N6722&lt;=30, "Met", "Breached"))</f>
        <v/>
      </c>
    </row>
    <row r="6723">
      <c r="M6723" s="11">
        <f>B6723+30</f>
        <v/>
      </c>
      <c r="N6723">
        <f>IF(L6723="", "", L6723-B6723)</f>
        <v/>
      </c>
      <c r="O6723">
        <f>IF(L6723="", "Pending", IF(N6723&lt;=30, "Met", "Breached"))</f>
        <v/>
      </c>
    </row>
    <row r="6724">
      <c r="M6724" s="11">
        <f>B6724+30</f>
        <v/>
      </c>
      <c r="N6724">
        <f>IF(L6724="", "", L6724-B6724)</f>
        <v/>
      </c>
      <c r="O6724">
        <f>IF(L6724="", "Pending", IF(N6724&lt;=30, "Met", "Breached"))</f>
        <v/>
      </c>
    </row>
    <row r="6725">
      <c r="M6725" s="11">
        <f>B6725+30</f>
        <v/>
      </c>
      <c r="N6725">
        <f>IF(L6725="", "", L6725-B6725)</f>
        <v/>
      </c>
      <c r="O6725">
        <f>IF(L6725="", "Pending", IF(N6725&lt;=30, "Met", "Breached"))</f>
        <v/>
      </c>
    </row>
    <row r="6726">
      <c r="M6726" s="11">
        <f>B6726+30</f>
        <v/>
      </c>
      <c r="N6726">
        <f>IF(L6726="", "", L6726-B6726)</f>
        <v/>
      </c>
      <c r="O6726">
        <f>IF(L6726="", "Pending", IF(N6726&lt;=30, "Met", "Breached"))</f>
        <v/>
      </c>
    </row>
    <row r="6727">
      <c r="M6727" s="11">
        <f>B6727+30</f>
        <v/>
      </c>
      <c r="N6727">
        <f>IF(L6727="", "", L6727-B6727)</f>
        <v/>
      </c>
      <c r="O6727">
        <f>IF(L6727="", "Pending", IF(N6727&lt;=30, "Met", "Breached"))</f>
        <v/>
      </c>
    </row>
    <row r="6728">
      <c r="M6728" s="11">
        <f>B6728+30</f>
        <v/>
      </c>
      <c r="N6728">
        <f>IF(L6728="", "", L6728-B6728)</f>
        <v/>
      </c>
      <c r="O6728">
        <f>IF(L6728="", "Pending", IF(N6728&lt;=30, "Met", "Breached"))</f>
        <v/>
      </c>
    </row>
    <row r="6729">
      <c r="M6729" s="11">
        <f>B6729+30</f>
        <v/>
      </c>
      <c r="N6729">
        <f>IF(L6729="", "", L6729-B6729)</f>
        <v/>
      </c>
      <c r="O6729">
        <f>IF(L6729="", "Pending", IF(N6729&lt;=30, "Met", "Breached"))</f>
        <v/>
      </c>
    </row>
    <row r="6730">
      <c r="M6730" s="11">
        <f>B6730+30</f>
        <v/>
      </c>
      <c r="N6730">
        <f>IF(L6730="", "", L6730-B6730)</f>
        <v/>
      </c>
      <c r="O6730">
        <f>IF(L6730="", "Pending", IF(N6730&lt;=30, "Met", "Breached"))</f>
        <v/>
      </c>
    </row>
    <row r="6731">
      <c r="M6731" s="11">
        <f>B6731+30</f>
        <v/>
      </c>
      <c r="N6731">
        <f>IF(L6731="", "", L6731-B6731)</f>
        <v/>
      </c>
      <c r="O6731">
        <f>IF(L6731="", "Pending", IF(N6731&lt;=30, "Met", "Breached"))</f>
        <v/>
      </c>
    </row>
    <row r="6732">
      <c r="M6732" s="11">
        <f>B6732+30</f>
        <v/>
      </c>
      <c r="N6732">
        <f>IF(L6732="", "", L6732-B6732)</f>
        <v/>
      </c>
      <c r="O6732">
        <f>IF(L6732="", "Pending", IF(N6732&lt;=30, "Met", "Breached"))</f>
        <v/>
      </c>
    </row>
    <row r="6733">
      <c r="M6733" s="11">
        <f>B6733+30</f>
        <v/>
      </c>
      <c r="N6733">
        <f>IF(L6733="", "", L6733-B6733)</f>
        <v/>
      </c>
      <c r="O6733">
        <f>IF(L6733="", "Pending", IF(N6733&lt;=30, "Met", "Breached"))</f>
        <v/>
      </c>
    </row>
    <row r="6734">
      <c r="M6734" s="11">
        <f>B6734+30</f>
        <v/>
      </c>
      <c r="N6734">
        <f>IF(L6734="", "", L6734-B6734)</f>
        <v/>
      </c>
      <c r="O6734">
        <f>IF(L6734="", "Pending", IF(N6734&lt;=30, "Met", "Breached"))</f>
        <v/>
      </c>
    </row>
    <row r="6735">
      <c r="M6735" s="11">
        <f>B6735+30</f>
        <v/>
      </c>
      <c r="N6735">
        <f>IF(L6735="", "", L6735-B6735)</f>
        <v/>
      </c>
      <c r="O6735">
        <f>IF(L6735="", "Pending", IF(N6735&lt;=30, "Met", "Breached"))</f>
        <v/>
      </c>
    </row>
    <row r="6736">
      <c r="M6736" s="11">
        <f>B6736+30</f>
        <v/>
      </c>
      <c r="N6736">
        <f>IF(L6736="", "", L6736-B6736)</f>
        <v/>
      </c>
      <c r="O6736">
        <f>IF(L6736="", "Pending", IF(N6736&lt;=30, "Met", "Breached"))</f>
        <v/>
      </c>
    </row>
    <row r="6737">
      <c r="M6737" s="11">
        <f>B6737+30</f>
        <v/>
      </c>
      <c r="N6737">
        <f>IF(L6737="", "", L6737-B6737)</f>
        <v/>
      </c>
      <c r="O6737">
        <f>IF(L6737="", "Pending", IF(N6737&lt;=30, "Met", "Breached"))</f>
        <v/>
      </c>
    </row>
    <row r="6738">
      <c r="M6738" s="11">
        <f>B6738+30</f>
        <v/>
      </c>
      <c r="N6738">
        <f>IF(L6738="", "", L6738-B6738)</f>
        <v/>
      </c>
      <c r="O6738">
        <f>IF(L6738="", "Pending", IF(N6738&lt;=30, "Met", "Breached"))</f>
        <v/>
      </c>
    </row>
    <row r="6739">
      <c r="M6739" s="11">
        <f>B6739+30</f>
        <v/>
      </c>
      <c r="N6739">
        <f>IF(L6739="", "", L6739-B6739)</f>
        <v/>
      </c>
      <c r="O6739">
        <f>IF(L6739="", "Pending", IF(N6739&lt;=30, "Met", "Breached"))</f>
        <v/>
      </c>
    </row>
    <row r="6740">
      <c r="M6740" s="11">
        <f>B6740+30</f>
        <v/>
      </c>
      <c r="N6740">
        <f>IF(L6740="", "", L6740-B6740)</f>
        <v/>
      </c>
      <c r="O6740">
        <f>IF(L6740="", "Pending", IF(N6740&lt;=30, "Met", "Breached"))</f>
        <v/>
      </c>
    </row>
    <row r="6741">
      <c r="M6741" s="11">
        <f>B6741+30</f>
        <v/>
      </c>
      <c r="N6741">
        <f>IF(L6741="", "", L6741-B6741)</f>
        <v/>
      </c>
      <c r="O6741">
        <f>IF(L6741="", "Pending", IF(N6741&lt;=30, "Met", "Breached"))</f>
        <v/>
      </c>
    </row>
    <row r="6742">
      <c r="M6742" s="11">
        <f>B6742+30</f>
        <v/>
      </c>
      <c r="N6742">
        <f>IF(L6742="", "", L6742-B6742)</f>
        <v/>
      </c>
      <c r="O6742">
        <f>IF(L6742="", "Pending", IF(N6742&lt;=30, "Met", "Breached"))</f>
        <v/>
      </c>
    </row>
    <row r="6743">
      <c r="M6743" s="11">
        <f>B6743+30</f>
        <v/>
      </c>
      <c r="N6743">
        <f>IF(L6743="", "", L6743-B6743)</f>
        <v/>
      </c>
      <c r="O6743">
        <f>IF(L6743="", "Pending", IF(N6743&lt;=30, "Met", "Breached"))</f>
        <v/>
      </c>
    </row>
    <row r="6744">
      <c r="M6744" s="11">
        <f>B6744+30</f>
        <v/>
      </c>
      <c r="N6744">
        <f>IF(L6744="", "", L6744-B6744)</f>
        <v/>
      </c>
      <c r="O6744">
        <f>IF(L6744="", "Pending", IF(N6744&lt;=30, "Met", "Breached"))</f>
        <v/>
      </c>
    </row>
    <row r="6745">
      <c r="M6745" s="11">
        <f>B6745+30</f>
        <v/>
      </c>
      <c r="N6745">
        <f>IF(L6745="", "", L6745-B6745)</f>
        <v/>
      </c>
      <c r="O6745">
        <f>IF(L6745="", "Pending", IF(N6745&lt;=30, "Met", "Breached"))</f>
        <v/>
      </c>
    </row>
    <row r="6746">
      <c r="M6746" s="11">
        <f>B6746+30</f>
        <v/>
      </c>
      <c r="N6746">
        <f>IF(L6746="", "", L6746-B6746)</f>
        <v/>
      </c>
      <c r="O6746">
        <f>IF(L6746="", "Pending", IF(N6746&lt;=30, "Met", "Breached"))</f>
        <v/>
      </c>
    </row>
    <row r="6747">
      <c r="M6747" s="11">
        <f>B6747+30</f>
        <v/>
      </c>
      <c r="N6747">
        <f>IF(L6747="", "", L6747-B6747)</f>
        <v/>
      </c>
      <c r="O6747">
        <f>IF(L6747="", "Pending", IF(N6747&lt;=30, "Met", "Breached"))</f>
        <v/>
      </c>
    </row>
    <row r="6748">
      <c r="M6748" s="11">
        <f>B6748+30</f>
        <v/>
      </c>
      <c r="N6748">
        <f>IF(L6748="", "", L6748-B6748)</f>
        <v/>
      </c>
      <c r="O6748">
        <f>IF(L6748="", "Pending", IF(N6748&lt;=30, "Met", "Breached"))</f>
        <v/>
      </c>
    </row>
    <row r="6749">
      <c r="M6749" s="11">
        <f>B6749+30</f>
        <v/>
      </c>
      <c r="N6749">
        <f>IF(L6749="", "", L6749-B6749)</f>
        <v/>
      </c>
      <c r="O6749">
        <f>IF(L6749="", "Pending", IF(N6749&lt;=30, "Met", "Breached"))</f>
        <v/>
      </c>
    </row>
    <row r="6750">
      <c r="M6750" s="11">
        <f>B6750+30</f>
        <v/>
      </c>
      <c r="N6750">
        <f>IF(L6750="", "", L6750-B6750)</f>
        <v/>
      </c>
      <c r="O6750">
        <f>IF(L6750="", "Pending", IF(N6750&lt;=30, "Met", "Breached"))</f>
        <v/>
      </c>
    </row>
    <row r="6751">
      <c r="M6751" s="11">
        <f>B6751+30</f>
        <v/>
      </c>
      <c r="N6751">
        <f>IF(L6751="", "", L6751-B6751)</f>
        <v/>
      </c>
      <c r="O6751">
        <f>IF(L6751="", "Pending", IF(N6751&lt;=30, "Met", "Breached"))</f>
        <v/>
      </c>
    </row>
    <row r="6752">
      <c r="M6752" s="11">
        <f>B6752+30</f>
        <v/>
      </c>
      <c r="N6752">
        <f>IF(L6752="", "", L6752-B6752)</f>
        <v/>
      </c>
      <c r="O6752">
        <f>IF(L6752="", "Pending", IF(N6752&lt;=30, "Met", "Breached"))</f>
        <v/>
      </c>
    </row>
    <row r="6753">
      <c r="M6753" s="11">
        <f>B6753+30</f>
        <v/>
      </c>
      <c r="N6753">
        <f>IF(L6753="", "", L6753-B6753)</f>
        <v/>
      </c>
      <c r="O6753">
        <f>IF(L6753="", "Pending", IF(N6753&lt;=30, "Met", "Breached"))</f>
        <v/>
      </c>
    </row>
    <row r="6754">
      <c r="M6754" s="11">
        <f>B6754+30</f>
        <v/>
      </c>
      <c r="N6754">
        <f>IF(L6754="", "", L6754-B6754)</f>
        <v/>
      </c>
      <c r="O6754">
        <f>IF(L6754="", "Pending", IF(N6754&lt;=30, "Met", "Breached"))</f>
        <v/>
      </c>
    </row>
    <row r="6755">
      <c r="M6755" s="11">
        <f>B6755+30</f>
        <v/>
      </c>
      <c r="N6755">
        <f>IF(L6755="", "", L6755-B6755)</f>
        <v/>
      </c>
      <c r="O6755">
        <f>IF(L6755="", "Pending", IF(N6755&lt;=30, "Met", "Breached"))</f>
        <v/>
      </c>
    </row>
    <row r="6756">
      <c r="M6756" s="11">
        <f>B6756+30</f>
        <v/>
      </c>
      <c r="N6756">
        <f>IF(L6756="", "", L6756-B6756)</f>
        <v/>
      </c>
      <c r="O6756">
        <f>IF(L6756="", "Pending", IF(N6756&lt;=30, "Met", "Breached"))</f>
        <v/>
      </c>
    </row>
    <row r="6757">
      <c r="M6757" s="11">
        <f>B6757+30</f>
        <v/>
      </c>
      <c r="N6757">
        <f>IF(L6757="", "", L6757-B6757)</f>
        <v/>
      </c>
      <c r="O6757">
        <f>IF(L6757="", "Pending", IF(N6757&lt;=30, "Met", "Breached"))</f>
        <v/>
      </c>
    </row>
    <row r="6758">
      <c r="M6758" s="11">
        <f>B6758+30</f>
        <v/>
      </c>
      <c r="N6758">
        <f>IF(L6758="", "", L6758-B6758)</f>
        <v/>
      </c>
      <c r="O6758">
        <f>IF(L6758="", "Pending", IF(N6758&lt;=30, "Met", "Breached"))</f>
        <v/>
      </c>
    </row>
    <row r="6759">
      <c r="M6759" s="11">
        <f>B6759+30</f>
        <v/>
      </c>
      <c r="N6759">
        <f>IF(L6759="", "", L6759-B6759)</f>
        <v/>
      </c>
      <c r="O6759">
        <f>IF(L6759="", "Pending", IF(N6759&lt;=30, "Met", "Breached"))</f>
        <v/>
      </c>
    </row>
    <row r="6760">
      <c r="M6760" s="11">
        <f>B6760+30</f>
        <v/>
      </c>
      <c r="N6760">
        <f>IF(L6760="", "", L6760-B6760)</f>
        <v/>
      </c>
      <c r="O6760">
        <f>IF(L6760="", "Pending", IF(N6760&lt;=30, "Met", "Breached"))</f>
        <v/>
      </c>
    </row>
    <row r="6761">
      <c r="M6761" s="11">
        <f>B6761+30</f>
        <v/>
      </c>
      <c r="N6761">
        <f>IF(L6761="", "", L6761-B6761)</f>
        <v/>
      </c>
      <c r="O6761">
        <f>IF(L6761="", "Pending", IF(N6761&lt;=30, "Met", "Breached"))</f>
        <v/>
      </c>
    </row>
    <row r="6762">
      <c r="M6762" s="11">
        <f>B6762+30</f>
        <v/>
      </c>
      <c r="N6762">
        <f>IF(L6762="", "", L6762-B6762)</f>
        <v/>
      </c>
      <c r="O6762">
        <f>IF(L6762="", "Pending", IF(N6762&lt;=30, "Met", "Breached"))</f>
        <v/>
      </c>
    </row>
    <row r="6763">
      <c r="M6763" s="11">
        <f>B6763+30</f>
        <v/>
      </c>
      <c r="N6763">
        <f>IF(L6763="", "", L6763-B6763)</f>
        <v/>
      </c>
      <c r="O6763">
        <f>IF(L6763="", "Pending", IF(N6763&lt;=30, "Met", "Breached"))</f>
        <v/>
      </c>
    </row>
    <row r="6764">
      <c r="M6764" s="11">
        <f>B6764+30</f>
        <v/>
      </c>
      <c r="N6764">
        <f>IF(L6764="", "", L6764-B6764)</f>
        <v/>
      </c>
      <c r="O6764">
        <f>IF(L6764="", "Pending", IF(N6764&lt;=30, "Met", "Breached"))</f>
        <v/>
      </c>
    </row>
    <row r="6765">
      <c r="M6765" s="11">
        <f>B6765+30</f>
        <v/>
      </c>
      <c r="N6765">
        <f>IF(L6765="", "", L6765-B6765)</f>
        <v/>
      </c>
      <c r="O6765">
        <f>IF(L6765="", "Pending", IF(N6765&lt;=30, "Met", "Breached"))</f>
        <v/>
      </c>
    </row>
    <row r="6766">
      <c r="M6766" s="11">
        <f>B6766+30</f>
        <v/>
      </c>
      <c r="N6766">
        <f>IF(L6766="", "", L6766-B6766)</f>
        <v/>
      </c>
      <c r="O6766">
        <f>IF(L6766="", "Pending", IF(N6766&lt;=30, "Met", "Breached"))</f>
        <v/>
      </c>
    </row>
    <row r="6767">
      <c r="M6767" s="11">
        <f>B6767+30</f>
        <v/>
      </c>
      <c r="N6767">
        <f>IF(L6767="", "", L6767-B6767)</f>
        <v/>
      </c>
      <c r="O6767">
        <f>IF(L6767="", "Pending", IF(N6767&lt;=30, "Met", "Breached"))</f>
        <v/>
      </c>
    </row>
    <row r="6768">
      <c r="M6768" s="11">
        <f>B6768+30</f>
        <v/>
      </c>
      <c r="N6768">
        <f>IF(L6768="", "", L6768-B6768)</f>
        <v/>
      </c>
      <c r="O6768">
        <f>IF(L6768="", "Pending", IF(N6768&lt;=30, "Met", "Breached"))</f>
        <v/>
      </c>
    </row>
    <row r="6769">
      <c r="M6769" s="11">
        <f>B6769+30</f>
        <v/>
      </c>
      <c r="N6769">
        <f>IF(L6769="", "", L6769-B6769)</f>
        <v/>
      </c>
      <c r="O6769">
        <f>IF(L6769="", "Pending", IF(N6769&lt;=30, "Met", "Breached"))</f>
        <v/>
      </c>
    </row>
    <row r="6770">
      <c r="M6770" s="11">
        <f>B6770+30</f>
        <v/>
      </c>
      <c r="N6770">
        <f>IF(L6770="", "", L6770-B6770)</f>
        <v/>
      </c>
      <c r="O6770">
        <f>IF(L6770="", "Pending", IF(N6770&lt;=30, "Met", "Breached"))</f>
        <v/>
      </c>
    </row>
    <row r="6771">
      <c r="M6771" s="11">
        <f>B6771+30</f>
        <v/>
      </c>
      <c r="N6771">
        <f>IF(L6771="", "", L6771-B6771)</f>
        <v/>
      </c>
      <c r="O6771">
        <f>IF(L6771="", "Pending", IF(N6771&lt;=30, "Met", "Breached"))</f>
        <v/>
      </c>
    </row>
    <row r="6772">
      <c r="M6772" s="11">
        <f>B6772+30</f>
        <v/>
      </c>
      <c r="N6772">
        <f>IF(L6772="", "", L6772-B6772)</f>
        <v/>
      </c>
      <c r="O6772">
        <f>IF(L6772="", "Pending", IF(N6772&lt;=30, "Met", "Breached"))</f>
        <v/>
      </c>
    </row>
    <row r="6773">
      <c r="M6773" s="11">
        <f>B6773+30</f>
        <v/>
      </c>
      <c r="N6773">
        <f>IF(L6773="", "", L6773-B6773)</f>
        <v/>
      </c>
      <c r="O6773">
        <f>IF(L6773="", "Pending", IF(N6773&lt;=30, "Met", "Breached"))</f>
        <v/>
      </c>
    </row>
    <row r="6774">
      <c r="M6774" s="11">
        <f>B6774+30</f>
        <v/>
      </c>
      <c r="N6774">
        <f>IF(L6774="", "", L6774-B6774)</f>
        <v/>
      </c>
      <c r="O6774">
        <f>IF(L6774="", "Pending", IF(N6774&lt;=30, "Met", "Breached"))</f>
        <v/>
      </c>
    </row>
    <row r="6775">
      <c r="M6775" s="11">
        <f>B6775+30</f>
        <v/>
      </c>
      <c r="N6775">
        <f>IF(L6775="", "", L6775-B6775)</f>
        <v/>
      </c>
      <c r="O6775">
        <f>IF(L6775="", "Pending", IF(N6775&lt;=30, "Met", "Breached"))</f>
        <v/>
      </c>
    </row>
    <row r="6776">
      <c r="M6776" s="11">
        <f>B6776+30</f>
        <v/>
      </c>
      <c r="N6776">
        <f>IF(L6776="", "", L6776-B6776)</f>
        <v/>
      </c>
      <c r="O6776">
        <f>IF(L6776="", "Pending", IF(N6776&lt;=30, "Met", "Breached"))</f>
        <v/>
      </c>
    </row>
    <row r="6777">
      <c r="M6777" s="11">
        <f>B6777+30</f>
        <v/>
      </c>
      <c r="N6777">
        <f>IF(L6777="", "", L6777-B6777)</f>
        <v/>
      </c>
      <c r="O6777">
        <f>IF(L6777="", "Pending", IF(N6777&lt;=30, "Met", "Breached"))</f>
        <v/>
      </c>
    </row>
    <row r="6778">
      <c r="M6778" s="11">
        <f>B6778+30</f>
        <v/>
      </c>
      <c r="N6778">
        <f>IF(L6778="", "", L6778-B6778)</f>
        <v/>
      </c>
      <c r="O6778">
        <f>IF(L6778="", "Pending", IF(N6778&lt;=30, "Met", "Breached"))</f>
        <v/>
      </c>
    </row>
    <row r="6779">
      <c r="M6779" s="11">
        <f>B6779+30</f>
        <v/>
      </c>
      <c r="N6779">
        <f>IF(L6779="", "", L6779-B6779)</f>
        <v/>
      </c>
      <c r="O6779">
        <f>IF(L6779="", "Pending", IF(N6779&lt;=30, "Met", "Breached"))</f>
        <v/>
      </c>
    </row>
    <row r="6780">
      <c r="M6780" s="11">
        <f>B6780+30</f>
        <v/>
      </c>
      <c r="N6780">
        <f>IF(L6780="", "", L6780-B6780)</f>
        <v/>
      </c>
      <c r="O6780">
        <f>IF(L6780="", "Pending", IF(N6780&lt;=30, "Met", "Breached"))</f>
        <v/>
      </c>
    </row>
    <row r="6781">
      <c r="M6781" s="11">
        <f>B6781+30</f>
        <v/>
      </c>
      <c r="N6781">
        <f>IF(L6781="", "", L6781-B6781)</f>
        <v/>
      </c>
      <c r="O6781">
        <f>IF(L6781="", "Pending", IF(N6781&lt;=30, "Met", "Breached"))</f>
        <v/>
      </c>
    </row>
    <row r="6782">
      <c r="M6782" s="11">
        <f>B6782+30</f>
        <v/>
      </c>
      <c r="N6782">
        <f>IF(L6782="", "", L6782-B6782)</f>
        <v/>
      </c>
      <c r="O6782">
        <f>IF(L6782="", "Pending", IF(N6782&lt;=30, "Met", "Breached"))</f>
        <v/>
      </c>
    </row>
    <row r="6783">
      <c r="M6783" s="11">
        <f>B6783+30</f>
        <v/>
      </c>
      <c r="N6783">
        <f>IF(L6783="", "", L6783-B6783)</f>
        <v/>
      </c>
      <c r="O6783">
        <f>IF(L6783="", "Pending", IF(N6783&lt;=30, "Met", "Breached"))</f>
        <v/>
      </c>
    </row>
    <row r="6784">
      <c r="M6784" s="11">
        <f>B6784+30</f>
        <v/>
      </c>
      <c r="N6784">
        <f>IF(L6784="", "", L6784-B6784)</f>
        <v/>
      </c>
      <c r="O6784">
        <f>IF(L6784="", "Pending", IF(N6784&lt;=30, "Met", "Breached"))</f>
        <v/>
      </c>
    </row>
    <row r="6785">
      <c r="M6785" s="11">
        <f>B6785+30</f>
        <v/>
      </c>
      <c r="N6785">
        <f>IF(L6785="", "", L6785-B6785)</f>
        <v/>
      </c>
      <c r="O6785">
        <f>IF(L6785="", "Pending", IF(N6785&lt;=30, "Met", "Breached"))</f>
        <v/>
      </c>
    </row>
    <row r="6786">
      <c r="M6786" s="11">
        <f>B6786+30</f>
        <v/>
      </c>
      <c r="N6786">
        <f>IF(L6786="", "", L6786-B6786)</f>
        <v/>
      </c>
      <c r="O6786">
        <f>IF(L6786="", "Pending", IF(N6786&lt;=30, "Met", "Breached"))</f>
        <v/>
      </c>
    </row>
    <row r="6787">
      <c r="M6787" s="11">
        <f>B6787+30</f>
        <v/>
      </c>
      <c r="N6787">
        <f>IF(L6787="", "", L6787-B6787)</f>
        <v/>
      </c>
      <c r="O6787">
        <f>IF(L6787="", "Pending", IF(N6787&lt;=30, "Met", "Breached"))</f>
        <v/>
      </c>
    </row>
    <row r="6788">
      <c r="M6788" s="11">
        <f>B6788+30</f>
        <v/>
      </c>
      <c r="N6788">
        <f>IF(L6788="", "", L6788-B6788)</f>
        <v/>
      </c>
      <c r="O6788">
        <f>IF(L6788="", "Pending", IF(N6788&lt;=30, "Met", "Breached"))</f>
        <v/>
      </c>
    </row>
    <row r="6789">
      <c r="M6789" s="11">
        <f>B6789+30</f>
        <v/>
      </c>
      <c r="N6789">
        <f>IF(L6789="", "", L6789-B6789)</f>
        <v/>
      </c>
      <c r="O6789">
        <f>IF(L6789="", "Pending", IF(N6789&lt;=30, "Met", "Breached"))</f>
        <v/>
      </c>
    </row>
    <row r="6790">
      <c r="M6790" s="11">
        <f>B6790+30</f>
        <v/>
      </c>
      <c r="N6790">
        <f>IF(L6790="", "", L6790-B6790)</f>
        <v/>
      </c>
      <c r="O6790">
        <f>IF(L6790="", "Pending", IF(N6790&lt;=30, "Met", "Breached"))</f>
        <v/>
      </c>
    </row>
    <row r="6791">
      <c r="M6791" s="11">
        <f>B6791+30</f>
        <v/>
      </c>
      <c r="N6791">
        <f>IF(L6791="", "", L6791-B6791)</f>
        <v/>
      </c>
      <c r="O6791">
        <f>IF(L6791="", "Pending", IF(N6791&lt;=30, "Met", "Breached"))</f>
        <v/>
      </c>
    </row>
    <row r="6792">
      <c r="M6792" s="11">
        <f>B6792+30</f>
        <v/>
      </c>
      <c r="N6792">
        <f>IF(L6792="", "", L6792-B6792)</f>
        <v/>
      </c>
      <c r="O6792">
        <f>IF(L6792="", "Pending", IF(N6792&lt;=30, "Met", "Breached"))</f>
        <v/>
      </c>
    </row>
    <row r="6793">
      <c r="M6793" s="11">
        <f>B6793+30</f>
        <v/>
      </c>
      <c r="N6793">
        <f>IF(L6793="", "", L6793-B6793)</f>
        <v/>
      </c>
      <c r="O6793">
        <f>IF(L6793="", "Pending", IF(N6793&lt;=30, "Met", "Breached"))</f>
        <v/>
      </c>
    </row>
    <row r="6794">
      <c r="M6794" s="11">
        <f>B6794+30</f>
        <v/>
      </c>
      <c r="N6794">
        <f>IF(L6794="", "", L6794-B6794)</f>
        <v/>
      </c>
      <c r="O6794">
        <f>IF(L6794="", "Pending", IF(N6794&lt;=30, "Met", "Breached"))</f>
        <v/>
      </c>
    </row>
    <row r="6795">
      <c r="M6795" s="11">
        <f>B6795+30</f>
        <v/>
      </c>
      <c r="N6795">
        <f>IF(L6795="", "", L6795-B6795)</f>
        <v/>
      </c>
      <c r="O6795">
        <f>IF(L6795="", "Pending", IF(N6795&lt;=30, "Met", "Breached"))</f>
        <v/>
      </c>
    </row>
    <row r="6796">
      <c r="M6796" s="11">
        <f>B6796+30</f>
        <v/>
      </c>
      <c r="N6796">
        <f>IF(L6796="", "", L6796-B6796)</f>
        <v/>
      </c>
      <c r="O6796">
        <f>IF(L6796="", "Pending", IF(N6796&lt;=30, "Met", "Breached"))</f>
        <v/>
      </c>
    </row>
    <row r="6797">
      <c r="M6797" s="11">
        <f>B6797+30</f>
        <v/>
      </c>
      <c r="N6797">
        <f>IF(L6797="", "", L6797-B6797)</f>
        <v/>
      </c>
      <c r="O6797">
        <f>IF(L6797="", "Pending", IF(N6797&lt;=30, "Met", "Breached"))</f>
        <v/>
      </c>
    </row>
    <row r="6798">
      <c r="M6798" s="11">
        <f>B6798+30</f>
        <v/>
      </c>
      <c r="N6798">
        <f>IF(L6798="", "", L6798-B6798)</f>
        <v/>
      </c>
      <c r="O6798">
        <f>IF(L6798="", "Pending", IF(N6798&lt;=30, "Met", "Breached"))</f>
        <v/>
      </c>
    </row>
    <row r="6799">
      <c r="M6799" s="11">
        <f>B6799+30</f>
        <v/>
      </c>
      <c r="N6799">
        <f>IF(L6799="", "", L6799-B6799)</f>
        <v/>
      </c>
      <c r="O6799">
        <f>IF(L6799="", "Pending", IF(N6799&lt;=30, "Met", "Breached"))</f>
        <v/>
      </c>
    </row>
    <row r="6800">
      <c r="M6800" s="11">
        <f>B6800+30</f>
        <v/>
      </c>
      <c r="N6800">
        <f>IF(L6800="", "", L6800-B6800)</f>
        <v/>
      </c>
      <c r="O6800">
        <f>IF(L6800="", "Pending", IF(N6800&lt;=30, "Met", "Breached"))</f>
        <v/>
      </c>
    </row>
    <row r="6801">
      <c r="M6801" s="11">
        <f>B6801+30</f>
        <v/>
      </c>
      <c r="N6801">
        <f>IF(L6801="", "", L6801-B6801)</f>
        <v/>
      </c>
      <c r="O6801">
        <f>IF(L6801="", "Pending", IF(N6801&lt;=30, "Met", "Breached"))</f>
        <v/>
      </c>
    </row>
    <row r="6802">
      <c r="M6802" s="11">
        <f>B6802+30</f>
        <v/>
      </c>
      <c r="N6802">
        <f>IF(L6802="", "", L6802-B6802)</f>
        <v/>
      </c>
      <c r="O6802">
        <f>IF(L6802="", "Pending", IF(N6802&lt;=30, "Met", "Breached"))</f>
        <v/>
      </c>
    </row>
    <row r="6803">
      <c r="M6803" s="11">
        <f>B6803+30</f>
        <v/>
      </c>
      <c r="N6803">
        <f>IF(L6803="", "", L6803-B6803)</f>
        <v/>
      </c>
      <c r="O6803">
        <f>IF(L6803="", "Pending", IF(N6803&lt;=30, "Met", "Breached"))</f>
        <v/>
      </c>
    </row>
    <row r="6804">
      <c r="M6804" s="11">
        <f>B6804+30</f>
        <v/>
      </c>
      <c r="N6804">
        <f>IF(L6804="", "", L6804-B6804)</f>
        <v/>
      </c>
      <c r="O6804">
        <f>IF(L6804="", "Pending", IF(N6804&lt;=30, "Met", "Breached"))</f>
        <v/>
      </c>
    </row>
    <row r="6805">
      <c r="M6805" s="11">
        <f>B6805+30</f>
        <v/>
      </c>
      <c r="N6805">
        <f>IF(L6805="", "", L6805-B6805)</f>
        <v/>
      </c>
      <c r="O6805">
        <f>IF(L6805="", "Pending", IF(N6805&lt;=30, "Met", "Breached"))</f>
        <v/>
      </c>
    </row>
    <row r="6806">
      <c r="M6806" s="11">
        <f>B6806+30</f>
        <v/>
      </c>
      <c r="N6806">
        <f>IF(L6806="", "", L6806-B6806)</f>
        <v/>
      </c>
      <c r="O6806">
        <f>IF(L6806="", "Pending", IF(N6806&lt;=30, "Met", "Breached"))</f>
        <v/>
      </c>
    </row>
    <row r="6807">
      <c r="M6807" s="11">
        <f>B6807+30</f>
        <v/>
      </c>
      <c r="N6807">
        <f>IF(L6807="", "", L6807-B6807)</f>
        <v/>
      </c>
      <c r="O6807">
        <f>IF(L6807="", "Pending", IF(N6807&lt;=30, "Met", "Breached"))</f>
        <v/>
      </c>
    </row>
    <row r="6808">
      <c r="M6808" s="11">
        <f>B6808+30</f>
        <v/>
      </c>
      <c r="N6808">
        <f>IF(L6808="", "", L6808-B6808)</f>
        <v/>
      </c>
      <c r="O6808">
        <f>IF(L6808="", "Pending", IF(N6808&lt;=30, "Met", "Breached"))</f>
        <v/>
      </c>
    </row>
    <row r="6809">
      <c r="M6809" s="11">
        <f>B6809+30</f>
        <v/>
      </c>
      <c r="N6809">
        <f>IF(L6809="", "", L6809-B6809)</f>
        <v/>
      </c>
      <c r="O6809">
        <f>IF(L6809="", "Pending", IF(N6809&lt;=30, "Met", "Breached"))</f>
        <v/>
      </c>
    </row>
    <row r="6810">
      <c r="M6810" s="11">
        <f>B6810+30</f>
        <v/>
      </c>
      <c r="N6810">
        <f>IF(L6810="", "", L6810-B6810)</f>
        <v/>
      </c>
      <c r="O6810">
        <f>IF(L6810="", "Pending", IF(N6810&lt;=30, "Met", "Breached"))</f>
        <v/>
      </c>
    </row>
    <row r="6811">
      <c r="M6811" s="11">
        <f>B6811+30</f>
        <v/>
      </c>
      <c r="N6811">
        <f>IF(L6811="", "", L6811-B6811)</f>
        <v/>
      </c>
      <c r="O6811">
        <f>IF(L6811="", "Pending", IF(N6811&lt;=30, "Met", "Breached"))</f>
        <v/>
      </c>
    </row>
    <row r="6812">
      <c r="M6812" s="11">
        <f>B6812+30</f>
        <v/>
      </c>
      <c r="N6812">
        <f>IF(L6812="", "", L6812-B6812)</f>
        <v/>
      </c>
      <c r="O6812">
        <f>IF(L6812="", "Pending", IF(N6812&lt;=30, "Met", "Breached"))</f>
        <v/>
      </c>
    </row>
    <row r="6813">
      <c r="M6813" s="11">
        <f>B6813+30</f>
        <v/>
      </c>
      <c r="N6813">
        <f>IF(L6813="", "", L6813-B6813)</f>
        <v/>
      </c>
      <c r="O6813">
        <f>IF(L6813="", "Pending", IF(N6813&lt;=30, "Met", "Breached"))</f>
        <v/>
      </c>
    </row>
    <row r="6814">
      <c r="M6814" s="11">
        <f>B6814+30</f>
        <v/>
      </c>
      <c r="N6814">
        <f>IF(L6814="", "", L6814-B6814)</f>
        <v/>
      </c>
      <c r="O6814">
        <f>IF(L6814="", "Pending", IF(N6814&lt;=30, "Met", "Breached"))</f>
        <v/>
      </c>
    </row>
    <row r="6815">
      <c r="M6815" s="11">
        <f>B6815+30</f>
        <v/>
      </c>
      <c r="N6815">
        <f>IF(L6815="", "", L6815-B6815)</f>
        <v/>
      </c>
      <c r="O6815">
        <f>IF(L6815="", "Pending", IF(N6815&lt;=30, "Met", "Breached"))</f>
        <v/>
      </c>
    </row>
    <row r="6816">
      <c r="M6816" s="11">
        <f>B6816+30</f>
        <v/>
      </c>
      <c r="N6816">
        <f>IF(L6816="", "", L6816-B6816)</f>
        <v/>
      </c>
      <c r="O6816">
        <f>IF(L6816="", "Pending", IF(N6816&lt;=30, "Met", "Breached"))</f>
        <v/>
      </c>
    </row>
    <row r="6817">
      <c r="M6817" s="11">
        <f>B6817+30</f>
        <v/>
      </c>
      <c r="N6817">
        <f>IF(L6817="", "", L6817-B6817)</f>
        <v/>
      </c>
      <c r="O6817">
        <f>IF(L6817="", "Pending", IF(N6817&lt;=30, "Met", "Breached"))</f>
        <v/>
      </c>
    </row>
    <row r="6818">
      <c r="M6818" s="11">
        <f>B6818+30</f>
        <v/>
      </c>
      <c r="N6818">
        <f>IF(L6818="", "", L6818-B6818)</f>
        <v/>
      </c>
      <c r="O6818">
        <f>IF(L6818="", "Pending", IF(N6818&lt;=30, "Met", "Breached"))</f>
        <v/>
      </c>
    </row>
    <row r="6819">
      <c r="M6819" s="11">
        <f>B6819+30</f>
        <v/>
      </c>
      <c r="N6819">
        <f>IF(L6819="", "", L6819-B6819)</f>
        <v/>
      </c>
      <c r="O6819">
        <f>IF(L6819="", "Pending", IF(N6819&lt;=30, "Met", "Breached"))</f>
        <v/>
      </c>
    </row>
    <row r="6820">
      <c r="M6820" s="11">
        <f>B6820+30</f>
        <v/>
      </c>
      <c r="N6820">
        <f>IF(L6820="", "", L6820-B6820)</f>
        <v/>
      </c>
      <c r="O6820">
        <f>IF(L6820="", "Pending", IF(N6820&lt;=30, "Met", "Breached"))</f>
        <v/>
      </c>
    </row>
    <row r="6821">
      <c r="M6821" s="11">
        <f>B6821+30</f>
        <v/>
      </c>
      <c r="N6821">
        <f>IF(L6821="", "", L6821-B6821)</f>
        <v/>
      </c>
      <c r="O6821">
        <f>IF(L6821="", "Pending", IF(N6821&lt;=30, "Met", "Breached"))</f>
        <v/>
      </c>
    </row>
    <row r="6822">
      <c r="M6822" s="11">
        <f>B6822+30</f>
        <v/>
      </c>
      <c r="N6822">
        <f>IF(L6822="", "", L6822-B6822)</f>
        <v/>
      </c>
      <c r="O6822">
        <f>IF(L6822="", "Pending", IF(N6822&lt;=30, "Met", "Breached"))</f>
        <v/>
      </c>
    </row>
    <row r="6823">
      <c r="M6823" s="11">
        <f>B6823+30</f>
        <v/>
      </c>
      <c r="N6823">
        <f>IF(L6823="", "", L6823-B6823)</f>
        <v/>
      </c>
      <c r="O6823">
        <f>IF(L6823="", "Pending", IF(N6823&lt;=30, "Met", "Breached"))</f>
        <v/>
      </c>
    </row>
    <row r="6824">
      <c r="M6824" s="11">
        <f>B6824+30</f>
        <v/>
      </c>
      <c r="N6824">
        <f>IF(L6824="", "", L6824-B6824)</f>
        <v/>
      </c>
      <c r="O6824">
        <f>IF(L6824="", "Pending", IF(N6824&lt;=30, "Met", "Breached"))</f>
        <v/>
      </c>
    </row>
    <row r="6825">
      <c r="M6825" s="11">
        <f>B6825+30</f>
        <v/>
      </c>
      <c r="N6825">
        <f>IF(L6825="", "", L6825-B6825)</f>
        <v/>
      </c>
      <c r="O6825">
        <f>IF(L6825="", "Pending", IF(N6825&lt;=30, "Met", "Breached"))</f>
        <v/>
      </c>
    </row>
    <row r="6826">
      <c r="M6826" s="11">
        <f>B6826+30</f>
        <v/>
      </c>
      <c r="N6826">
        <f>IF(L6826="", "", L6826-B6826)</f>
        <v/>
      </c>
      <c r="O6826">
        <f>IF(L6826="", "Pending", IF(N6826&lt;=30, "Met", "Breached"))</f>
        <v/>
      </c>
    </row>
    <row r="6827">
      <c r="M6827" s="11">
        <f>B6827+30</f>
        <v/>
      </c>
      <c r="N6827">
        <f>IF(L6827="", "", L6827-B6827)</f>
        <v/>
      </c>
      <c r="O6827">
        <f>IF(L6827="", "Pending", IF(N6827&lt;=30, "Met", "Breached"))</f>
        <v/>
      </c>
    </row>
    <row r="6828">
      <c r="M6828" s="11">
        <f>B6828+30</f>
        <v/>
      </c>
      <c r="N6828">
        <f>IF(L6828="", "", L6828-B6828)</f>
        <v/>
      </c>
      <c r="O6828">
        <f>IF(L6828="", "Pending", IF(N6828&lt;=30, "Met", "Breached"))</f>
        <v/>
      </c>
    </row>
    <row r="6829">
      <c r="M6829" s="11">
        <f>B6829+30</f>
        <v/>
      </c>
      <c r="N6829">
        <f>IF(L6829="", "", L6829-B6829)</f>
        <v/>
      </c>
      <c r="O6829">
        <f>IF(L6829="", "Pending", IF(N6829&lt;=30, "Met", "Breached"))</f>
        <v/>
      </c>
    </row>
    <row r="6830">
      <c r="M6830" s="11">
        <f>B6830+30</f>
        <v/>
      </c>
      <c r="N6830">
        <f>IF(L6830="", "", L6830-B6830)</f>
        <v/>
      </c>
      <c r="O6830">
        <f>IF(L6830="", "Pending", IF(N6830&lt;=30, "Met", "Breached"))</f>
        <v/>
      </c>
    </row>
    <row r="6831">
      <c r="M6831" s="11">
        <f>B6831+30</f>
        <v/>
      </c>
      <c r="N6831">
        <f>IF(L6831="", "", L6831-B6831)</f>
        <v/>
      </c>
      <c r="O6831">
        <f>IF(L6831="", "Pending", IF(N6831&lt;=30, "Met", "Breached"))</f>
        <v/>
      </c>
    </row>
    <row r="6832">
      <c r="M6832" s="11">
        <f>B6832+30</f>
        <v/>
      </c>
      <c r="N6832">
        <f>IF(L6832="", "", L6832-B6832)</f>
        <v/>
      </c>
      <c r="O6832">
        <f>IF(L6832="", "Pending", IF(N6832&lt;=30, "Met", "Breached"))</f>
        <v/>
      </c>
    </row>
    <row r="6833">
      <c r="M6833" s="11">
        <f>B6833+30</f>
        <v/>
      </c>
      <c r="N6833">
        <f>IF(L6833="", "", L6833-B6833)</f>
        <v/>
      </c>
      <c r="O6833">
        <f>IF(L6833="", "Pending", IF(N6833&lt;=30, "Met", "Breached"))</f>
        <v/>
      </c>
    </row>
    <row r="6834">
      <c r="M6834" s="11">
        <f>B6834+30</f>
        <v/>
      </c>
      <c r="N6834">
        <f>IF(L6834="", "", L6834-B6834)</f>
        <v/>
      </c>
      <c r="O6834">
        <f>IF(L6834="", "Pending", IF(N6834&lt;=30, "Met", "Breached"))</f>
        <v/>
      </c>
    </row>
    <row r="6835">
      <c r="M6835" s="11">
        <f>B6835+30</f>
        <v/>
      </c>
      <c r="N6835">
        <f>IF(L6835="", "", L6835-B6835)</f>
        <v/>
      </c>
      <c r="O6835">
        <f>IF(L6835="", "Pending", IF(N6835&lt;=30, "Met", "Breached"))</f>
        <v/>
      </c>
    </row>
    <row r="6836">
      <c r="M6836" s="11">
        <f>B6836+30</f>
        <v/>
      </c>
      <c r="N6836">
        <f>IF(L6836="", "", L6836-B6836)</f>
        <v/>
      </c>
      <c r="O6836">
        <f>IF(L6836="", "Pending", IF(N6836&lt;=30, "Met", "Breached"))</f>
        <v/>
      </c>
    </row>
    <row r="6837">
      <c r="M6837" s="11">
        <f>B6837+30</f>
        <v/>
      </c>
      <c r="N6837">
        <f>IF(L6837="", "", L6837-B6837)</f>
        <v/>
      </c>
      <c r="O6837">
        <f>IF(L6837="", "Pending", IF(N6837&lt;=30, "Met", "Breached"))</f>
        <v/>
      </c>
    </row>
    <row r="6838">
      <c r="M6838" s="11">
        <f>B6838+30</f>
        <v/>
      </c>
      <c r="N6838">
        <f>IF(L6838="", "", L6838-B6838)</f>
        <v/>
      </c>
      <c r="O6838">
        <f>IF(L6838="", "Pending", IF(N6838&lt;=30, "Met", "Breached"))</f>
        <v/>
      </c>
    </row>
    <row r="6839">
      <c r="M6839" s="11">
        <f>B6839+30</f>
        <v/>
      </c>
      <c r="N6839">
        <f>IF(L6839="", "", L6839-B6839)</f>
        <v/>
      </c>
      <c r="O6839">
        <f>IF(L6839="", "Pending", IF(N6839&lt;=30, "Met", "Breached"))</f>
        <v/>
      </c>
    </row>
    <row r="6840">
      <c r="M6840" s="11">
        <f>B6840+30</f>
        <v/>
      </c>
      <c r="N6840">
        <f>IF(L6840="", "", L6840-B6840)</f>
        <v/>
      </c>
      <c r="O6840">
        <f>IF(L6840="", "Pending", IF(N6840&lt;=30, "Met", "Breached"))</f>
        <v/>
      </c>
    </row>
    <row r="6841">
      <c r="M6841" s="11">
        <f>B6841+30</f>
        <v/>
      </c>
      <c r="N6841">
        <f>IF(L6841="", "", L6841-B6841)</f>
        <v/>
      </c>
      <c r="O6841">
        <f>IF(L6841="", "Pending", IF(N6841&lt;=30, "Met", "Breached"))</f>
        <v/>
      </c>
    </row>
    <row r="6842">
      <c r="M6842" s="11">
        <f>B6842+30</f>
        <v/>
      </c>
      <c r="N6842">
        <f>IF(L6842="", "", L6842-B6842)</f>
        <v/>
      </c>
      <c r="O6842">
        <f>IF(L6842="", "Pending", IF(N6842&lt;=30, "Met", "Breached"))</f>
        <v/>
      </c>
    </row>
    <row r="6843">
      <c r="M6843" s="11">
        <f>B6843+30</f>
        <v/>
      </c>
      <c r="N6843">
        <f>IF(L6843="", "", L6843-B6843)</f>
        <v/>
      </c>
      <c r="O6843">
        <f>IF(L6843="", "Pending", IF(N6843&lt;=30, "Met", "Breached"))</f>
        <v/>
      </c>
    </row>
    <row r="6844">
      <c r="M6844" s="11">
        <f>B6844+30</f>
        <v/>
      </c>
      <c r="N6844">
        <f>IF(L6844="", "", L6844-B6844)</f>
        <v/>
      </c>
      <c r="O6844">
        <f>IF(L6844="", "Pending", IF(N6844&lt;=30, "Met", "Breached"))</f>
        <v/>
      </c>
    </row>
    <row r="6845">
      <c r="M6845" s="11">
        <f>B6845+30</f>
        <v/>
      </c>
      <c r="N6845">
        <f>IF(L6845="", "", L6845-B6845)</f>
        <v/>
      </c>
      <c r="O6845">
        <f>IF(L6845="", "Pending", IF(N6845&lt;=30, "Met", "Breached"))</f>
        <v/>
      </c>
    </row>
    <row r="6846">
      <c r="M6846" s="11">
        <f>B6846+30</f>
        <v/>
      </c>
      <c r="N6846">
        <f>IF(L6846="", "", L6846-B6846)</f>
        <v/>
      </c>
      <c r="O6846">
        <f>IF(L6846="", "Pending", IF(N6846&lt;=30, "Met", "Breached"))</f>
        <v/>
      </c>
    </row>
    <row r="6847">
      <c r="M6847" s="11">
        <f>B6847+30</f>
        <v/>
      </c>
      <c r="N6847">
        <f>IF(L6847="", "", L6847-B6847)</f>
        <v/>
      </c>
      <c r="O6847">
        <f>IF(L6847="", "Pending", IF(N6847&lt;=30, "Met", "Breached"))</f>
        <v/>
      </c>
    </row>
    <row r="6848">
      <c r="M6848" s="11">
        <f>B6848+30</f>
        <v/>
      </c>
      <c r="N6848">
        <f>IF(L6848="", "", L6848-B6848)</f>
        <v/>
      </c>
      <c r="O6848">
        <f>IF(L6848="", "Pending", IF(N6848&lt;=30, "Met", "Breached"))</f>
        <v/>
      </c>
    </row>
    <row r="6849">
      <c r="M6849" s="11">
        <f>B6849+30</f>
        <v/>
      </c>
      <c r="N6849">
        <f>IF(L6849="", "", L6849-B6849)</f>
        <v/>
      </c>
      <c r="O6849">
        <f>IF(L6849="", "Pending", IF(N6849&lt;=30, "Met", "Breached"))</f>
        <v/>
      </c>
    </row>
    <row r="6850">
      <c r="M6850" s="11">
        <f>B6850+30</f>
        <v/>
      </c>
      <c r="N6850">
        <f>IF(L6850="", "", L6850-B6850)</f>
        <v/>
      </c>
      <c r="O6850">
        <f>IF(L6850="", "Pending", IF(N6850&lt;=30, "Met", "Breached"))</f>
        <v/>
      </c>
    </row>
    <row r="6851">
      <c r="M6851" s="11">
        <f>B6851+30</f>
        <v/>
      </c>
      <c r="N6851">
        <f>IF(L6851="", "", L6851-B6851)</f>
        <v/>
      </c>
      <c r="O6851">
        <f>IF(L6851="", "Pending", IF(N6851&lt;=30, "Met", "Breached"))</f>
        <v/>
      </c>
    </row>
    <row r="6852">
      <c r="M6852" s="11">
        <f>B6852+30</f>
        <v/>
      </c>
      <c r="N6852">
        <f>IF(L6852="", "", L6852-B6852)</f>
        <v/>
      </c>
      <c r="O6852">
        <f>IF(L6852="", "Pending", IF(N6852&lt;=30, "Met", "Breached"))</f>
        <v/>
      </c>
    </row>
    <row r="6853">
      <c r="M6853" s="11">
        <f>B6853+30</f>
        <v/>
      </c>
      <c r="N6853">
        <f>IF(L6853="", "", L6853-B6853)</f>
        <v/>
      </c>
      <c r="O6853">
        <f>IF(L6853="", "Pending", IF(N6853&lt;=30, "Met", "Breached"))</f>
        <v/>
      </c>
    </row>
    <row r="6854">
      <c r="M6854" s="11">
        <f>B6854+30</f>
        <v/>
      </c>
      <c r="N6854">
        <f>IF(L6854="", "", L6854-B6854)</f>
        <v/>
      </c>
      <c r="O6854">
        <f>IF(L6854="", "Pending", IF(N6854&lt;=30, "Met", "Breached"))</f>
        <v/>
      </c>
    </row>
    <row r="6855">
      <c r="M6855" s="11">
        <f>B6855+30</f>
        <v/>
      </c>
      <c r="N6855">
        <f>IF(L6855="", "", L6855-B6855)</f>
        <v/>
      </c>
      <c r="O6855">
        <f>IF(L6855="", "Pending", IF(N6855&lt;=30, "Met", "Breached"))</f>
        <v/>
      </c>
    </row>
    <row r="6856">
      <c r="M6856" s="11">
        <f>B6856+30</f>
        <v/>
      </c>
      <c r="N6856">
        <f>IF(L6856="", "", L6856-B6856)</f>
        <v/>
      </c>
      <c r="O6856">
        <f>IF(L6856="", "Pending", IF(N6856&lt;=30, "Met", "Breached"))</f>
        <v/>
      </c>
    </row>
    <row r="6857">
      <c r="M6857" s="11">
        <f>B6857+30</f>
        <v/>
      </c>
      <c r="N6857">
        <f>IF(L6857="", "", L6857-B6857)</f>
        <v/>
      </c>
      <c r="O6857">
        <f>IF(L6857="", "Pending", IF(N6857&lt;=30, "Met", "Breached"))</f>
        <v/>
      </c>
    </row>
    <row r="6858">
      <c r="M6858" s="11">
        <f>B6858+30</f>
        <v/>
      </c>
      <c r="N6858">
        <f>IF(L6858="", "", L6858-B6858)</f>
        <v/>
      </c>
      <c r="O6858">
        <f>IF(L6858="", "Pending", IF(N6858&lt;=30, "Met", "Breached"))</f>
        <v/>
      </c>
    </row>
    <row r="6859">
      <c r="M6859" s="11">
        <f>B6859+30</f>
        <v/>
      </c>
      <c r="N6859">
        <f>IF(L6859="", "", L6859-B6859)</f>
        <v/>
      </c>
      <c r="O6859">
        <f>IF(L6859="", "Pending", IF(N6859&lt;=30, "Met", "Breached"))</f>
        <v/>
      </c>
    </row>
    <row r="6860">
      <c r="M6860" s="11">
        <f>B6860+30</f>
        <v/>
      </c>
      <c r="N6860">
        <f>IF(L6860="", "", L6860-B6860)</f>
        <v/>
      </c>
      <c r="O6860">
        <f>IF(L6860="", "Pending", IF(N6860&lt;=30, "Met", "Breached"))</f>
        <v/>
      </c>
    </row>
    <row r="6861">
      <c r="M6861" s="11">
        <f>B6861+30</f>
        <v/>
      </c>
      <c r="N6861">
        <f>IF(L6861="", "", L6861-B6861)</f>
        <v/>
      </c>
      <c r="O6861">
        <f>IF(L6861="", "Pending", IF(N6861&lt;=30, "Met", "Breached"))</f>
        <v/>
      </c>
    </row>
    <row r="6862">
      <c r="M6862" s="11">
        <f>B6862+30</f>
        <v/>
      </c>
      <c r="N6862">
        <f>IF(L6862="", "", L6862-B6862)</f>
        <v/>
      </c>
      <c r="O6862">
        <f>IF(L6862="", "Pending", IF(N6862&lt;=30, "Met", "Breached"))</f>
        <v/>
      </c>
    </row>
    <row r="6863">
      <c r="M6863" s="11">
        <f>B6863+30</f>
        <v/>
      </c>
      <c r="N6863">
        <f>IF(L6863="", "", L6863-B6863)</f>
        <v/>
      </c>
      <c r="O6863">
        <f>IF(L6863="", "Pending", IF(N6863&lt;=30, "Met", "Breached"))</f>
        <v/>
      </c>
    </row>
    <row r="6864">
      <c r="M6864" s="11">
        <f>B6864+30</f>
        <v/>
      </c>
      <c r="N6864">
        <f>IF(L6864="", "", L6864-B6864)</f>
        <v/>
      </c>
      <c r="O6864">
        <f>IF(L6864="", "Pending", IF(N6864&lt;=30, "Met", "Breached"))</f>
        <v/>
      </c>
    </row>
    <row r="6865">
      <c r="M6865" s="11">
        <f>B6865+30</f>
        <v/>
      </c>
      <c r="N6865">
        <f>IF(L6865="", "", L6865-B6865)</f>
        <v/>
      </c>
      <c r="O6865">
        <f>IF(L6865="", "Pending", IF(N6865&lt;=30, "Met", "Breached"))</f>
        <v/>
      </c>
    </row>
    <row r="6866">
      <c r="M6866" s="11">
        <f>B6866+30</f>
        <v/>
      </c>
      <c r="N6866">
        <f>IF(L6866="", "", L6866-B6866)</f>
        <v/>
      </c>
      <c r="O6866">
        <f>IF(L6866="", "Pending", IF(N6866&lt;=30, "Met", "Breached"))</f>
        <v/>
      </c>
    </row>
    <row r="6867">
      <c r="M6867" s="11">
        <f>B6867+30</f>
        <v/>
      </c>
      <c r="N6867">
        <f>IF(L6867="", "", L6867-B6867)</f>
        <v/>
      </c>
      <c r="O6867">
        <f>IF(L6867="", "Pending", IF(N6867&lt;=30, "Met", "Breached"))</f>
        <v/>
      </c>
    </row>
    <row r="6868">
      <c r="M6868" s="11">
        <f>B6868+30</f>
        <v/>
      </c>
      <c r="N6868">
        <f>IF(L6868="", "", L6868-B6868)</f>
        <v/>
      </c>
      <c r="O6868">
        <f>IF(L6868="", "Pending", IF(N6868&lt;=30, "Met", "Breached"))</f>
        <v/>
      </c>
    </row>
    <row r="6869">
      <c r="M6869" s="11">
        <f>B6869+30</f>
        <v/>
      </c>
      <c r="N6869">
        <f>IF(L6869="", "", L6869-B6869)</f>
        <v/>
      </c>
      <c r="O6869">
        <f>IF(L6869="", "Pending", IF(N6869&lt;=30, "Met", "Breached"))</f>
        <v/>
      </c>
    </row>
    <row r="6870">
      <c r="M6870" s="11">
        <f>B6870+30</f>
        <v/>
      </c>
      <c r="N6870">
        <f>IF(L6870="", "", L6870-B6870)</f>
        <v/>
      </c>
      <c r="O6870">
        <f>IF(L6870="", "Pending", IF(N6870&lt;=30, "Met", "Breached"))</f>
        <v/>
      </c>
    </row>
    <row r="6871">
      <c r="M6871" s="11">
        <f>B6871+30</f>
        <v/>
      </c>
      <c r="N6871">
        <f>IF(L6871="", "", L6871-B6871)</f>
        <v/>
      </c>
      <c r="O6871">
        <f>IF(L6871="", "Pending", IF(N6871&lt;=30, "Met", "Breached"))</f>
        <v/>
      </c>
    </row>
    <row r="6872">
      <c r="M6872" s="11">
        <f>B6872+30</f>
        <v/>
      </c>
      <c r="N6872">
        <f>IF(L6872="", "", L6872-B6872)</f>
        <v/>
      </c>
      <c r="O6872">
        <f>IF(L6872="", "Pending", IF(N6872&lt;=30, "Met", "Breached"))</f>
        <v/>
      </c>
    </row>
    <row r="6873">
      <c r="M6873" s="11">
        <f>B6873+30</f>
        <v/>
      </c>
      <c r="N6873">
        <f>IF(L6873="", "", L6873-B6873)</f>
        <v/>
      </c>
      <c r="O6873">
        <f>IF(L6873="", "Pending", IF(N6873&lt;=30, "Met", "Breached"))</f>
        <v/>
      </c>
    </row>
    <row r="6874">
      <c r="M6874" s="11">
        <f>B6874+30</f>
        <v/>
      </c>
      <c r="N6874">
        <f>IF(L6874="", "", L6874-B6874)</f>
        <v/>
      </c>
      <c r="O6874">
        <f>IF(L6874="", "Pending", IF(N6874&lt;=30, "Met", "Breached"))</f>
        <v/>
      </c>
    </row>
    <row r="6875">
      <c r="M6875" s="11">
        <f>B6875+30</f>
        <v/>
      </c>
      <c r="N6875">
        <f>IF(L6875="", "", L6875-B6875)</f>
        <v/>
      </c>
      <c r="O6875">
        <f>IF(L6875="", "Pending", IF(N6875&lt;=30, "Met", "Breached"))</f>
        <v/>
      </c>
    </row>
    <row r="6876">
      <c r="M6876" s="11">
        <f>B6876+30</f>
        <v/>
      </c>
      <c r="N6876">
        <f>IF(L6876="", "", L6876-B6876)</f>
        <v/>
      </c>
      <c r="O6876">
        <f>IF(L6876="", "Pending", IF(N6876&lt;=30, "Met", "Breached"))</f>
        <v/>
      </c>
    </row>
    <row r="6877">
      <c r="M6877" s="11">
        <f>B6877+30</f>
        <v/>
      </c>
      <c r="N6877">
        <f>IF(L6877="", "", L6877-B6877)</f>
        <v/>
      </c>
      <c r="O6877">
        <f>IF(L6877="", "Pending", IF(N6877&lt;=30, "Met", "Breached"))</f>
        <v/>
      </c>
    </row>
    <row r="6878">
      <c r="M6878" s="11">
        <f>B6878+30</f>
        <v/>
      </c>
      <c r="N6878">
        <f>IF(L6878="", "", L6878-B6878)</f>
        <v/>
      </c>
      <c r="O6878">
        <f>IF(L6878="", "Pending", IF(N6878&lt;=30, "Met", "Breached"))</f>
        <v/>
      </c>
    </row>
    <row r="6879">
      <c r="M6879" s="11">
        <f>B6879+30</f>
        <v/>
      </c>
      <c r="N6879">
        <f>IF(L6879="", "", L6879-B6879)</f>
        <v/>
      </c>
      <c r="O6879">
        <f>IF(L6879="", "Pending", IF(N6879&lt;=30, "Met", "Breached"))</f>
        <v/>
      </c>
    </row>
    <row r="6880">
      <c r="M6880" s="11">
        <f>B6880+30</f>
        <v/>
      </c>
      <c r="N6880">
        <f>IF(L6880="", "", L6880-B6880)</f>
        <v/>
      </c>
      <c r="O6880">
        <f>IF(L6880="", "Pending", IF(N6880&lt;=30, "Met", "Breached"))</f>
        <v/>
      </c>
    </row>
    <row r="6881">
      <c r="M6881" s="11">
        <f>B6881+30</f>
        <v/>
      </c>
      <c r="N6881">
        <f>IF(L6881="", "", L6881-B6881)</f>
        <v/>
      </c>
      <c r="O6881">
        <f>IF(L6881="", "Pending", IF(N6881&lt;=30, "Met", "Breached"))</f>
        <v/>
      </c>
    </row>
    <row r="6882">
      <c r="M6882" s="11">
        <f>B6882+30</f>
        <v/>
      </c>
      <c r="N6882">
        <f>IF(L6882="", "", L6882-B6882)</f>
        <v/>
      </c>
      <c r="O6882">
        <f>IF(L6882="", "Pending", IF(N6882&lt;=30, "Met", "Breached"))</f>
        <v/>
      </c>
    </row>
    <row r="6883">
      <c r="M6883" s="11">
        <f>B6883+30</f>
        <v/>
      </c>
      <c r="N6883">
        <f>IF(L6883="", "", L6883-B6883)</f>
        <v/>
      </c>
      <c r="O6883">
        <f>IF(L6883="", "Pending", IF(N6883&lt;=30, "Met", "Breached"))</f>
        <v/>
      </c>
    </row>
    <row r="6884">
      <c r="M6884" s="11">
        <f>B6884+30</f>
        <v/>
      </c>
      <c r="N6884">
        <f>IF(L6884="", "", L6884-B6884)</f>
        <v/>
      </c>
      <c r="O6884">
        <f>IF(L6884="", "Pending", IF(N6884&lt;=30, "Met", "Breached"))</f>
        <v/>
      </c>
    </row>
    <row r="6885">
      <c r="M6885" s="11">
        <f>B6885+30</f>
        <v/>
      </c>
      <c r="N6885">
        <f>IF(L6885="", "", L6885-B6885)</f>
        <v/>
      </c>
      <c r="O6885">
        <f>IF(L6885="", "Pending", IF(N6885&lt;=30, "Met", "Breached"))</f>
        <v/>
      </c>
    </row>
    <row r="6886">
      <c r="M6886" s="11">
        <f>B6886+30</f>
        <v/>
      </c>
      <c r="N6886">
        <f>IF(L6886="", "", L6886-B6886)</f>
        <v/>
      </c>
      <c r="O6886">
        <f>IF(L6886="", "Pending", IF(N6886&lt;=30, "Met", "Breached"))</f>
        <v/>
      </c>
    </row>
    <row r="6887">
      <c r="M6887" s="11">
        <f>B6887+30</f>
        <v/>
      </c>
      <c r="N6887">
        <f>IF(L6887="", "", L6887-B6887)</f>
        <v/>
      </c>
      <c r="O6887">
        <f>IF(L6887="", "Pending", IF(N6887&lt;=30, "Met", "Breached"))</f>
        <v/>
      </c>
    </row>
    <row r="6888">
      <c r="M6888" s="11">
        <f>B6888+30</f>
        <v/>
      </c>
      <c r="N6888">
        <f>IF(L6888="", "", L6888-B6888)</f>
        <v/>
      </c>
      <c r="O6888">
        <f>IF(L6888="", "Pending", IF(N6888&lt;=30, "Met", "Breached"))</f>
        <v/>
      </c>
    </row>
    <row r="6889">
      <c r="M6889" s="11">
        <f>B6889+30</f>
        <v/>
      </c>
      <c r="N6889">
        <f>IF(L6889="", "", L6889-B6889)</f>
        <v/>
      </c>
      <c r="O6889">
        <f>IF(L6889="", "Pending", IF(N6889&lt;=30, "Met", "Breached"))</f>
        <v/>
      </c>
    </row>
    <row r="6890">
      <c r="M6890" s="11">
        <f>B6890+30</f>
        <v/>
      </c>
      <c r="N6890">
        <f>IF(L6890="", "", L6890-B6890)</f>
        <v/>
      </c>
      <c r="O6890">
        <f>IF(L6890="", "Pending", IF(N6890&lt;=30, "Met", "Breached"))</f>
        <v/>
      </c>
    </row>
    <row r="6891">
      <c r="M6891" s="11">
        <f>B6891+30</f>
        <v/>
      </c>
      <c r="N6891">
        <f>IF(L6891="", "", L6891-B6891)</f>
        <v/>
      </c>
      <c r="O6891">
        <f>IF(L6891="", "Pending", IF(N6891&lt;=30, "Met", "Breached"))</f>
        <v/>
      </c>
    </row>
    <row r="6892">
      <c r="M6892" s="11">
        <f>B6892+30</f>
        <v/>
      </c>
      <c r="N6892">
        <f>IF(L6892="", "", L6892-B6892)</f>
        <v/>
      </c>
      <c r="O6892">
        <f>IF(L6892="", "Pending", IF(N6892&lt;=30, "Met", "Breached"))</f>
        <v/>
      </c>
    </row>
    <row r="6893">
      <c r="M6893" s="11">
        <f>B6893+30</f>
        <v/>
      </c>
      <c r="N6893">
        <f>IF(L6893="", "", L6893-B6893)</f>
        <v/>
      </c>
      <c r="O6893">
        <f>IF(L6893="", "Pending", IF(N6893&lt;=30, "Met", "Breached"))</f>
        <v/>
      </c>
    </row>
    <row r="6894">
      <c r="M6894" s="11">
        <f>B6894+30</f>
        <v/>
      </c>
      <c r="N6894">
        <f>IF(L6894="", "", L6894-B6894)</f>
        <v/>
      </c>
      <c r="O6894">
        <f>IF(L6894="", "Pending", IF(N6894&lt;=30, "Met", "Breached"))</f>
        <v/>
      </c>
    </row>
    <row r="6895">
      <c r="M6895" s="11">
        <f>B6895+30</f>
        <v/>
      </c>
      <c r="N6895">
        <f>IF(L6895="", "", L6895-B6895)</f>
        <v/>
      </c>
      <c r="O6895">
        <f>IF(L6895="", "Pending", IF(N6895&lt;=30, "Met", "Breached"))</f>
        <v/>
      </c>
    </row>
    <row r="6896">
      <c r="M6896" s="11">
        <f>B6896+30</f>
        <v/>
      </c>
      <c r="N6896">
        <f>IF(L6896="", "", L6896-B6896)</f>
        <v/>
      </c>
      <c r="O6896">
        <f>IF(L6896="", "Pending", IF(N6896&lt;=30, "Met", "Breached"))</f>
        <v/>
      </c>
    </row>
    <row r="6897">
      <c r="M6897" s="11">
        <f>B6897+30</f>
        <v/>
      </c>
      <c r="N6897">
        <f>IF(L6897="", "", L6897-B6897)</f>
        <v/>
      </c>
      <c r="O6897">
        <f>IF(L6897="", "Pending", IF(N6897&lt;=30, "Met", "Breached"))</f>
        <v/>
      </c>
    </row>
    <row r="6898">
      <c r="M6898" s="11">
        <f>B6898+30</f>
        <v/>
      </c>
      <c r="N6898">
        <f>IF(L6898="", "", L6898-B6898)</f>
        <v/>
      </c>
      <c r="O6898">
        <f>IF(L6898="", "Pending", IF(N6898&lt;=30, "Met", "Breached"))</f>
        <v/>
      </c>
    </row>
    <row r="6899">
      <c r="M6899" s="11">
        <f>B6899+30</f>
        <v/>
      </c>
      <c r="N6899">
        <f>IF(L6899="", "", L6899-B6899)</f>
        <v/>
      </c>
      <c r="O6899">
        <f>IF(L6899="", "Pending", IF(N6899&lt;=30, "Met", "Breached"))</f>
        <v/>
      </c>
    </row>
    <row r="6900">
      <c r="M6900" s="11">
        <f>B6900+30</f>
        <v/>
      </c>
      <c r="N6900">
        <f>IF(L6900="", "", L6900-B6900)</f>
        <v/>
      </c>
      <c r="O6900">
        <f>IF(L6900="", "Pending", IF(N6900&lt;=30, "Met", "Breached"))</f>
        <v/>
      </c>
    </row>
    <row r="6901">
      <c r="M6901" s="11">
        <f>B6901+30</f>
        <v/>
      </c>
      <c r="N6901">
        <f>IF(L6901="", "", L6901-B6901)</f>
        <v/>
      </c>
      <c r="O6901">
        <f>IF(L6901="", "Pending", IF(N6901&lt;=30, "Met", "Breached"))</f>
        <v/>
      </c>
    </row>
    <row r="6902">
      <c r="M6902" s="11">
        <f>B6902+30</f>
        <v/>
      </c>
      <c r="N6902">
        <f>IF(L6902="", "", L6902-B6902)</f>
        <v/>
      </c>
      <c r="O6902">
        <f>IF(L6902="", "Pending", IF(N6902&lt;=30, "Met", "Breached"))</f>
        <v/>
      </c>
    </row>
    <row r="6903">
      <c r="M6903" s="11">
        <f>B6903+30</f>
        <v/>
      </c>
      <c r="N6903">
        <f>IF(L6903="", "", L6903-B6903)</f>
        <v/>
      </c>
      <c r="O6903">
        <f>IF(L6903="", "Pending", IF(N6903&lt;=30, "Met", "Breached"))</f>
        <v/>
      </c>
    </row>
    <row r="6904">
      <c r="M6904" s="11">
        <f>B6904+30</f>
        <v/>
      </c>
      <c r="N6904">
        <f>IF(L6904="", "", L6904-B6904)</f>
        <v/>
      </c>
      <c r="O6904">
        <f>IF(L6904="", "Pending", IF(N6904&lt;=30, "Met", "Breached"))</f>
        <v/>
      </c>
    </row>
    <row r="6905">
      <c r="M6905" s="11">
        <f>B6905+30</f>
        <v/>
      </c>
      <c r="N6905">
        <f>IF(L6905="", "", L6905-B6905)</f>
        <v/>
      </c>
      <c r="O6905">
        <f>IF(L6905="", "Pending", IF(N6905&lt;=30, "Met", "Breached"))</f>
        <v/>
      </c>
    </row>
    <row r="6906">
      <c r="M6906" s="11">
        <f>B6906+30</f>
        <v/>
      </c>
      <c r="N6906">
        <f>IF(L6906="", "", L6906-B6906)</f>
        <v/>
      </c>
      <c r="O6906">
        <f>IF(L6906="", "Pending", IF(N6906&lt;=30, "Met", "Breached"))</f>
        <v/>
      </c>
    </row>
    <row r="6907">
      <c r="M6907" s="11">
        <f>B6907+30</f>
        <v/>
      </c>
      <c r="N6907">
        <f>IF(L6907="", "", L6907-B6907)</f>
        <v/>
      </c>
      <c r="O6907">
        <f>IF(L6907="", "Pending", IF(N6907&lt;=30, "Met", "Breached"))</f>
        <v/>
      </c>
    </row>
    <row r="6908">
      <c r="M6908" s="11">
        <f>B6908+30</f>
        <v/>
      </c>
      <c r="N6908">
        <f>IF(L6908="", "", L6908-B6908)</f>
        <v/>
      </c>
      <c r="O6908">
        <f>IF(L6908="", "Pending", IF(N6908&lt;=30, "Met", "Breached"))</f>
        <v/>
      </c>
    </row>
    <row r="6909">
      <c r="M6909" s="11">
        <f>B6909+30</f>
        <v/>
      </c>
      <c r="N6909">
        <f>IF(L6909="", "", L6909-B6909)</f>
        <v/>
      </c>
      <c r="O6909">
        <f>IF(L6909="", "Pending", IF(N6909&lt;=30, "Met", "Breached"))</f>
        <v/>
      </c>
    </row>
    <row r="6910">
      <c r="M6910" s="11">
        <f>B6910+30</f>
        <v/>
      </c>
      <c r="N6910">
        <f>IF(L6910="", "", L6910-B6910)</f>
        <v/>
      </c>
      <c r="O6910">
        <f>IF(L6910="", "Pending", IF(N6910&lt;=30, "Met", "Breached"))</f>
        <v/>
      </c>
    </row>
    <row r="6911">
      <c r="M6911" s="11">
        <f>B6911+30</f>
        <v/>
      </c>
      <c r="N6911">
        <f>IF(L6911="", "", L6911-B6911)</f>
        <v/>
      </c>
      <c r="O6911">
        <f>IF(L6911="", "Pending", IF(N6911&lt;=30, "Met", "Breached"))</f>
        <v/>
      </c>
    </row>
    <row r="6912">
      <c r="M6912" s="11">
        <f>B6912+30</f>
        <v/>
      </c>
      <c r="N6912">
        <f>IF(L6912="", "", L6912-B6912)</f>
        <v/>
      </c>
      <c r="O6912">
        <f>IF(L6912="", "Pending", IF(N6912&lt;=30, "Met", "Breached"))</f>
        <v/>
      </c>
    </row>
    <row r="6913">
      <c r="M6913" s="11">
        <f>B6913+30</f>
        <v/>
      </c>
      <c r="N6913">
        <f>IF(L6913="", "", L6913-B6913)</f>
        <v/>
      </c>
      <c r="O6913">
        <f>IF(L6913="", "Pending", IF(N6913&lt;=30, "Met", "Breached"))</f>
        <v/>
      </c>
    </row>
    <row r="6914">
      <c r="M6914" s="11">
        <f>B6914+30</f>
        <v/>
      </c>
      <c r="N6914">
        <f>IF(L6914="", "", L6914-B6914)</f>
        <v/>
      </c>
      <c r="O6914">
        <f>IF(L6914="", "Pending", IF(N6914&lt;=30, "Met", "Breached"))</f>
        <v/>
      </c>
    </row>
    <row r="6915">
      <c r="M6915" s="11">
        <f>B6915+30</f>
        <v/>
      </c>
      <c r="N6915">
        <f>IF(L6915="", "", L6915-B6915)</f>
        <v/>
      </c>
      <c r="O6915">
        <f>IF(L6915="", "Pending", IF(N6915&lt;=30, "Met", "Breached"))</f>
        <v/>
      </c>
    </row>
    <row r="6916">
      <c r="M6916" s="11">
        <f>B6916+30</f>
        <v/>
      </c>
      <c r="N6916">
        <f>IF(L6916="", "", L6916-B6916)</f>
        <v/>
      </c>
      <c r="O6916">
        <f>IF(L6916="", "Pending", IF(N6916&lt;=30, "Met", "Breached"))</f>
        <v/>
      </c>
    </row>
    <row r="6917">
      <c r="M6917" s="11">
        <f>B6917+30</f>
        <v/>
      </c>
      <c r="N6917">
        <f>IF(L6917="", "", L6917-B6917)</f>
        <v/>
      </c>
      <c r="O6917">
        <f>IF(L6917="", "Pending", IF(N6917&lt;=30, "Met", "Breached"))</f>
        <v/>
      </c>
    </row>
    <row r="6918">
      <c r="M6918" s="11">
        <f>B6918+30</f>
        <v/>
      </c>
      <c r="N6918">
        <f>IF(L6918="", "", L6918-B6918)</f>
        <v/>
      </c>
      <c r="O6918">
        <f>IF(L6918="", "Pending", IF(N6918&lt;=30, "Met", "Breached"))</f>
        <v/>
      </c>
    </row>
    <row r="6919">
      <c r="M6919" s="11">
        <f>B6919+30</f>
        <v/>
      </c>
      <c r="N6919">
        <f>IF(L6919="", "", L6919-B6919)</f>
        <v/>
      </c>
      <c r="O6919">
        <f>IF(L6919="", "Pending", IF(N6919&lt;=30, "Met", "Breached"))</f>
        <v/>
      </c>
    </row>
    <row r="6920">
      <c r="M6920" s="11">
        <f>B6920+30</f>
        <v/>
      </c>
      <c r="N6920">
        <f>IF(L6920="", "", L6920-B6920)</f>
        <v/>
      </c>
      <c r="O6920">
        <f>IF(L6920="", "Pending", IF(N6920&lt;=30, "Met", "Breached"))</f>
        <v/>
      </c>
    </row>
    <row r="6921">
      <c r="M6921" s="11">
        <f>B6921+30</f>
        <v/>
      </c>
      <c r="N6921">
        <f>IF(L6921="", "", L6921-B6921)</f>
        <v/>
      </c>
      <c r="O6921">
        <f>IF(L6921="", "Pending", IF(N6921&lt;=30, "Met", "Breached"))</f>
        <v/>
      </c>
    </row>
    <row r="6922">
      <c r="M6922" s="11">
        <f>B6922+30</f>
        <v/>
      </c>
      <c r="N6922">
        <f>IF(L6922="", "", L6922-B6922)</f>
        <v/>
      </c>
      <c r="O6922">
        <f>IF(L6922="", "Pending", IF(N6922&lt;=30, "Met", "Breached"))</f>
        <v/>
      </c>
    </row>
    <row r="6923">
      <c r="M6923" s="11">
        <f>B6923+30</f>
        <v/>
      </c>
      <c r="N6923">
        <f>IF(L6923="", "", L6923-B6923)</f>
        <v/>
      </c>
      <c r="O6923">
        <f>IF(L6923="", "Pending", IF(N6923&lt;=30, "Met", "Breached"))</f>
        <v/>
      </c>
    </row>
    <row r="6924">
      <c r="M6924" s="11">
        <f>B6924+30</f>
        <v/>
      </c>
      <c r="N6924">
        <f>IF(L6924="", "", L6924-B6924)</f>
        <v/>
      </c>
      <c r="O6924">
        <f>IF(L6924="", "Pending", IF(N6924&lt;=30, "Met", "Breached"))</f>
        <v/>
      </c>
    </row>
    <row r="6925">
      <c r="M6925" s="11">
        <f>B6925+30</f>
        <v/>
      </c>
      <c r="N6925">
        <f>IF(L6925="", "", L6925-B6925)</f>
        <v/>
      </c>
      <c r="O6925">
        <f>IF(L6925="", "Pending", IF(N6925&lt;=30, "Met", "Breached"))</f>
        <v/>
      </c>
    </row>
    <row r="6926">
      <c r="M6926" s="11">
        <f>B6926+30</f>
        <v/>
      </c>
      <c r="N6926">
        <f>IF(L6926="", "", L6926-B6926)</f>
        <v/>
      </c>
      <c r="O6926">
        <f>IF(L6926="", "Pending", IF(N6926&lt;=30, "Met", "Breached"))</f>
        <v/>
      </c>
    </row>
    <row r="6927">
      <c r="M6927" s="11">
        <f>B6927+30</f>
        <v/>
      </c>
      <c r="N6927">
        <f>IF(L6927="", "", L6927-B6927)</f>
        <v/>
      </c>
      <c r="O6927">
        <f>IF(L6927="", "Pending", IF(N6927&lt;=30, "Met", "Breached"))</f>
        <v/>
      </c>
    </row>
    <row r="6928">
      <c r="M6928" s="11">
        <f>B6928+30</f>
        <v/>
      </c>
      <c r="N6928">
        <f>IF(L6928="", "", L6928-B6928)</f>
        <v/>
      </c>
      <c r="O6928">
        <f>IF(L6928="", "Pending", IF(N6928&lt;=30, "Met", "Breached"))</f>
        <v/>
      </c>
    </row>
    <row r="6929">
      <c r="M6929" s="11">
        <f>B6929+30</f>
        <v/>
      </c>
      <c r="N6929">
        <f>IF(L6929="", "", L6929-B6929)</f>
        <v/>
      </c>
      <c r="O6929">
        <f>IF(L6929="", "Pending", IF(N6929&lt;=30, "Met", "Breached"))</f>
        <v/>
      </c>
    </row>
    <row r="6930">
      <c r="M6930" s="11">
        <f>B6930+30</f>
        <v/>
      </c>
      <c r="N6930">
        <f>IF(L6930="", "", L6930-B6930)</f>
        <v/>
      </c>
      <c r="O6930">
        <f>IF(L6930="", "Pending", IF(N6930&lt;=30, "Met", "Breached"))</f>
        <v/>
      </c>
    </row>
    <row r="6931">
      <c r="M6931" s="11">
        <f>B6931+30</f>
        <v/>
      </c>
      <c r="N6931">
        <f>IF(L6931="", "", L6931-B6931)</f>
        <v/>
      </c>
      <c r="O6931">
        <f>IF(L6931="", "Pending", IF(N6931&lt;=30, "Met", "Breached"))</f>
        <v/>
      </c>
    </row>
    <row r="6932">
      <c r="M6932" s="11">
        <f>B6932+30</f>
        <v/>
      </c>
      <c r="N6932">
        <f>IF(L6932="", "", L6932-B6932)</f>
        <v/>
      </c>
      <c r="O6932">
        <f>IF(L6932="", "Pending", IF(N6932&lt;=30, "Met", "Breached"))</f>
        <v/>
      </c>
    </row>
    <row r="6933">
      <c r="M6933" s="11">
        <f>B6933+30</f>
        <v/>
      </c>
      <c r="N6933">
        <f>IF(L6933="", "", L6933-B6933)</f>
        <v/>
      </c>
      <c r="O6933">
        <f>IF(L6933="", "Pending", IF(N6933&lt;=30, "Met", "Breached"))</f>
        <v/>
      </c>
    </row>
    <row r="6934">
      <c r="M6934" s="11">
        <f>B6934+30</f>
        <v/>
      </c>
      <c r="N6934">
        <f>IF(L6934="", "", L6934-B6934)</f>
        <v/>
      </c>
      <c r="O6934">
        <f>IF(L6934="", "Pending", IF(N6934&lt;=30, "Met", "Breached"))</f>
        <v/>
      </c>
    </row>
    <row r="6935">
      <c r="M6935" s="11">
        <f>B6935+30</f>
        <v/>
      </c>
      <c r="N6935">
        <f>IF(L6935="", "", L6935-B6935)</f>
        <v/>
      </c>
      <c r="O6935">
        <f>IF(L6935="", "Pending", IF(N6935&lt;=30, "Met", "Breached"))</f>
        <v/>
      </c>
    </row>
    <row r="6936">
      <c r="M6936" s="11">
        <f>B6936+30</f>
        <v/>
      </c>
      <c r="N6936">
        <f>IF(L6936="", "", L6936-B6936)</f>
        <v/>
      </c>
      <c r="O6936">
        <f>IF(L6936="", "Pending", IF(N6936&lt;=30, "Met", "Breached"))</f>
        <v/>
      </c>
    </row>
    <row r="6937">
      <c r="M6937" s="11">
        <f>B6937+30</f>
        <v/>
      </c>
      <c r="N6937">
        <f>IF(L6937="", "", L6937-B6937)</f>
        <v/>
      </c>
      <c r="O6937">
        <f>IF(L6937="", "Pending", IF(N6937&lt;=30, "Met", "Breached"))</f>
        <v/>
      </c>
    </row>
    <row r="6938">
      <c r="M6938" s="11">
        <f>B6938+30</f>
        <v/>
      </c>
      <c r="N6938">
        <f>IF(L6938="", "", L6938-B6938)</f>
        <v/>
      </c>
      <c r="O6938">
        <f>IF(L6938="", "Pending", IF(N6938&lt;=30, "Met", "Breached"))</f>
        <v/>
      </c>
    </row>
    <row r="6939">
      <c r="M6939" s="11">
        <f>B6939+30</f>
        <v/>
      </c>
      <c r="N6939">
        <f>IF(L6939="", "", L6939-B6939)</f>
        <v/>
      </c>
      <c r="O6939">
        <f>IF(L6939="", "Pending", IF(N6939&lt;=30, "Met", "Breached"))</f>
        <v/>
      </c>
    </row>
    <row r="6940">
      <c r="M6940" s="11">
        <f>B6940+30</f>
        <v/>
      </c>
      <c r="N6940">
        <f>IF(L6940="", "", L6940-B6940)</f>
        <v/>
      </c>
      <c r="O6940">
        <f>IF(L6940="", "Pending", IF(N6940&lt;=30, "Met", "Breached"))</f>
        <v/>
      </c>
    </row>
    <row r="6941">
      <c r="M6941" s="11">
        <f>B6941+30</f>
        <v/>
      </c>
      <c r="N6941">
        <f>IF(L6941="", "", L6941-B6941)</f>
        <v/>
      </c>
      <c r="O6941">
        <f>IF(L6941="", "Pending", IF(N6941&lt;=30, "Met", "Breached"))</f>
        <v/>
      </c>
    </row>
    <row r="6942">
      <c r="M6942" s="11">
        <f>B6942+30</f>
        <v/>
      </c>
      <c r="N6942">
        <f>IF(L6942="", "", L6942-B6942)</f>
        <v/>
      </c>
      <c r="O6942">
        <f>IF(L6942="", "Pending", IF(N6942&lt;=30, "Met", "Breached"))</f>
        <v/>
      </c>
    </row>
    <row r="6943">
      <c r="M6943" s="11">
        <f>B6943+30</f>
        <v/>
      </c>
      <c r="N6943">
        <f>IF(L6943="", "", L6943-B6943)</f>
        <v/>
      </c>
      <c r="O6943">
        <f>IF(L6943="", "Pending", IF(N6943&lt;=30, "Met", "Breached"))</f>
        <v/>
      </c>
    </row>
    <row r="6944">
      <c r="M6944" s="11">
        <f>B6944+30</f>
        <v/>
      </c>
      <c r="N6944">
        <f>IF(L6944="", "", L6944-B6944)</f>
        <v/>
      </c>
      <c r="O6944">
        <f>IF(L6944="", "Pending", IF(N6944&lt;=30, "Met", "Breached"))</f>
        <v/>
      </c>
    </row>
    <row r="6945">
      <c r="M6945" s="11">
        <f>B6945+30</f>
        <v/>
      </c>
      <c r="N6945">
        <f>IF(L6945="", "", L6945-B6945)</f>
        <v/>
      </c>
      <c r="O6945">
        <f>IF(L6945="", "Pending", IF(N6945&lt;=30, "Met", "Breached"))</f>
        <v/>
      </c>
    </row>
    <row r="6946">
      <c r="M6946" s="11">
        <f>B6946+30</f>
        <v/>
      </c>
      <c r="N6946">
        <f>IF(L6946="", "", L6946-B6946)</f>
        <v/>
      </c>
      <c r="O6946">
        <f>IF(L6946="", "Pending", IF(N6946&lt;=30, "Met", "Breached"))</f>
        <v/>
      </c>
    </row>
    <row r="6947">
      <c r="M6947" s="11">
        <f>B6947+30</f>
        <v/>
      </c>
      <c r="N6947">
        <f>IF(L6947="", "", L6947-B6947)</f>
        <v/>
      </c>
      <c r="O6947">
        <f>IF(L6947="", "Pending", IF(N6947&lt;=30, "Met", "Breached"))</f>
        <v/>
      </c>
    </row>
    <row r="6948">
      <c r="M6948" s="11">
        <f>B6948+30</f>
        <v/>
      </c>
      <c r="N6948">
        <f>IF(L6948="", "", L6948-B6948)</f>
        <v/>
      </c>
      <c r="O6948">
        <f>IF(L6948="", "Pending", IF(N6948&lt;=30, "Met", "Breached"))</f>
        <v/>
      </c>
    </row>
    <row r="6949">
      <c r="M6949" s="11">
        <f>B6949+30</f>
        <v/>
      </c>
      <c r="N6949">
        <f>IF(L6949="", "", L6949-B6949)</f>
        <v/>
      </c>
      <c r="O6949">
        <f>IF(L6949="", "Pending", IF(N6949&lt;=30, "Met", "Breached"))</f>
        <v/>
      </c>
    </row>
    <row r="6950">
      <c r="M6950" s="11">
        <f>B6950+30</f>
        <v/>
      </c>
      <c r="N6950">
        <f>IF(L6950="", "", L6950-B6950)</f>
        <v/>
      </c>
      <c r="O6950">
        <f>IF(L6950="", "Pending", IF(N6950&lt;=30, "Met", "Breached"))</f>
        <v/>
      </c>
    </row>
    <row r="6951">
      <c r="M6951" s="11">
        <f>B6951+30</f>
        <v/>
      </c>
      <c r="N6951">
        <f>IF(L6951="", "", L6951-B6951)</f>
        <v/>
      </c>
      <c r="O6951">
        <f>IF(L6951="", "Pending", IF(N6951&lt;=30, "Met", "Breached"))</f>
        <v/>
      </c>
    </row>
    <row r="6952">
      <c r="M6952" s="11">
        <f>B6952+30</f>
        <v/>
      </c>
      <c r="N6952">
        <f>IF(L6952="", "", L6952-B6952)</f>
        <v/>
      </c>
      <c r="O6952">
        <f>IF(L6952="", "Pending", IF(N6952&lt;=30, "Met", "Breached"))</f>
        <v/>
      </c>
    </row>
    <row r="6953">
      <c r="M6953" s="11">
        <f>B6953+30</f>
        <v/>
      </c>
      <c r="N6953">
        <f>IF(L6953="", "", L6953-B6953)</f>
        <v/>
      </c>
      <c r="O6953">
        <f>IF(L6953="", "Pending", IF(N6953&lt;=30, "Met", "Breached"))</f>
        <v/>
      </c>
    </row>
    <row r="6954">
      <c r="M6954" s="11">
        <f>B6954+30</f>
        <v/>
      </c>
      <c r="N6954">
        <f>IF(L6954="", "", L6954-B6954)</f>
        <v/>
      </c>
      <c r="O6954">
        <f>IF(L6954="", "Pending", IF(N6954&lt;=30, "Met", "Breached"))</f>
        <v/>
      </c>
    </row>
    <row r="6955">
      <c r="M6955" s="11">
        <f>B6955+30</f>
        <v/>
      </c>
      <c r="N6955">
        <f>IF(L6955="", "", L6955-B6955)</f>
        <v/>
      </c>
      <c r="O6955">
        <f>IF(L6955="", "Pending", IF(N6955&lt;=30, "Met", "Breached"))</f>
        <v/>
      </c>
    </row>
    <row r="6956">
      <c r="M6956" s="11">
        <f>B6956+30</f>
        <v/>
      </c>
      <c r="N6956">
        <f>IF(L6956="", "", L6956-B6956)</f>
        <v/>
      </c>
      <c r="O6956">
        <f>IF(L6956="", "Pending", IF(N6956&lt;=30, "Met", "Breached"))</f>
        <v/>
      </c>
    </row>
    <row r="6957">
      <c r="M6957" s="11">
        <f>B6957+30</f>
        <v/>
      </c>
      <c r="N6957">
        <f>IF(L6957="", "", L6957-B6957)</f>
        <v/>
      </c>
      <c r="O6957">
        <f>IF(L6957="", "Pending", IF(N6957&lt;=30, "Met", "Breached"))</f>
        <v/>
      </c>
    </row>
    <row r="6958">
      <c r="M6958" s="11">
        <f>B6958+30</f>
        <v/>
      </c>
      <c r="N6958">
        <f>IF(L6958="", "", L6958-B6958)</f>
        <v/>
      </c>
      <c r="O6958">
        <f>IF(L6958="", "Pending", IF(N6958&lt;=30, "Met", "Breached"))</f>
        <v/>
      </c>
    </row>
    <row r="6959">
      <c r="M6959" s="11">
        <f>B6959+30</f>
        <v/>
      </c>
      <c r="N6959">
        <f>IF(L6959="", "", L6959-B6959)</f>
        <v/>
      </c>
      <c r="O6959">
        <f>IF(L6959="", "Pending", IF(N6959&lt;=30, "Met", "Breached"))</f>
        <v/>
      </c>
    </row>
    <row r="6960">
      <c r="M6960" s="11">
        <f>B6960+30</f>
        <v/>
      </c>
      <c r="N6960">
        <f>IF(L6960="", "", L6960-B6960)</f>
        <v/>
      </c>
      <c r="O6960">
        <f>IF(L6960="", "Pending", IF(N6960&lt;=30, "Met", "Breached"))</f>
        <v/>
      </c>
    </row>
    <row r="6961">
      <c r="M6961" s="11">
        <f>B6961+30</f>
        <v/>
      </c>
      <c r="N6961">
        <f>IF(L6961="", "", L6961-B6961)</f>
        <v/>
      </c>
      <c r="O6961">
        <f>IF(L6961="", "Pending", IF(N6961&lt;=30, "Met", "Breached"))</f>
        <v/>
      </c>
    </row>
    <row r="6962">
      <c r="M6962" s="11">
        <f>B6962+30</f>
        <v/>
      </c>
      <c r="N6962">
        <f>IF(L6962="", "", L6962-B6962)</f>
        <v/>
      </c>
      <c r="O6962">
        <f>IF(L6962="", "Pending", IF(N6962&lt;=30, "Met", "Breached"))</f>
        <v/>
      </c>
    </row>
    <row r="6963">
      <c r="M6963" s="11">
        <f>B6963+30</f>
        <v/>
      </c>
      <c r="N6963">
        <f>IF(L6963="", "", L6963-B6963)</f>
        <v/>
      </c>
      <c r="O6963">
        <f>IF(L6963="", "Pending", IF(N6963&lt;=30, "Met", "Breached"))</f>
        <v/>
      </c>
    </row>
    <row r="6964">
      <c r="M6964" s="11">
        <f>B6964+30</f>
        <v/>
      </c>
      <c r="N6964">
        <f>IF(L6964="", "", L6964-B6964)</f>
        <v/>
      </c>
      <c r="O6964">
        <f>IF(L6964="", "Pending", IF(N6964&lt;=30, "Met", "Breached"))</f>
        <v/>
      </c>
    </row>
    <row r="6965">
      <c r="M6965" s="11">
        <f>B6965+30</f>
        <v/>
      </c>
      <c r="N6965">
        <f>IF(L6965="", "", L6965-B6965)</f>
        <v/>
      </c>
      <c r="O6965">
        <f>IF(L6965="", "Pending", IF(N6965&lt;=30, "Met", "Breached"))</f>
        <v/>
      </c>
    </row>
    <row r="6966">
      <c r="M6966" s="11">
        <f>B6966+30</f>
        <v/>
      </c>
      <c r="N6966">
        <f>IF(L6966="", "", L6966-B6966)</f>
        <v/>
      </c>
      <c r="O6966">
        <f>IF(L6966="", "Pending", IF(N6966&lt;=30, "Met", "Breached"))</f>
        <v/>
      </c>
    </row>
    <row r="6967">
      <c r="M6967" s="11">
        <f>B6967+30</f>
        <v/>
      </c>
      <c r="N6967">
        <f>IF(L6967="", "", L6967-B6967)</f>
        <v/>
      </c>
      <c r="O6967">
        <f>IF(L6967="", "Pending", IF(N6967&lt;=30, "Met", "Breached"))</f>
        <v/>
      </c>
    </row>
    <row r="6968">
      <c r="M6968" s="11">
        <f>B6968+30</f>
        <v/>
      </c>
      <c r="N6968">
        <f>IF(L6968="", "", L6968-B6968)</f>
        <v/>
      </c>
      <c r="O6968">
        <f>IF(L6968="", "Pending", IF(N6968&lt;=30, "Met", "Breached"))</f>
        <v/>
      </c>
    </row>
    <row r="6969">
      <c r="M6969" s="11">
        <f>B6969+30</f>
        <v/>
      </c>
      <c r="N6969">
        <f>IF(L6969="", "", L6969-B6969)</f>
        <v/>
      </c>
      <c r="O6969">
        <f>IF(L6969="", "Pending", IF(N6969&lt;=30, "Met", "Breached"))</f>
        <v/>
      </c>
    </row>
    <row r="6970">
      <c r="M6970" s="11">
        <f>B6970+30</f>
        <v/>
      </c>
      <c r="N6970">
        <f>IF(L6970="", "", L6970-B6970)</f>
        <v/>
      </c>
      <c r="O6970">
        <f>IF(L6970="", "Pending", IF(N6970&lt;=30, "Met", "Breached"))</f>
        <v/>
      </c>
    </row>
    <row r="6971">
      <c r="M6971" s="11">
        <f>B6971+30</f>
        <v/>
      </c>
      <c r="N6971">
        <f>IF(L6971="", "", L6971-B6971)</f>
        <v/>
      </c>
      <c r="O6971">
        <f>IF(L6971="", "Pending", IF(N6971&lt;=30, "Met", "Breached"))</f>
        <v/>
      </c>
    </row>
    <row r="6972">
      <c r="M6972" s="11">
        <f>B6972+30</f>
        <v/>
      </c>
      <c r="N6972">
        <f>IF(L6972="", "", L6972-B6972)</f>
        <v/>
      </c>
      <c r="O6972">
        <f>IF(L6972="", "Pending", IF(N6972&lt;=30, "Met", "Breached"))</f>
        <v/>
      </c>
    </row>
    <row r="6973">
      <c r="M6973" s="11">
        <f>B6973+30</f>
        <v/>
      </c>
      <c r="N6973">
        <f>IF(L6973="", "", L6973-B6973)</f>
        <v/>
      </c>
      <c r="O6973">
        <f>IF(L6973="", "Pending", IF(N6973&lt;=30, "Met", "Breached"))</f>
        <v/>
      </c>
    </row>
    <row r="6974">
      <c r="M6974" s="11">
        <f>B6974+30</f>
        <v/>
      </c>
      <c r="N6974">
        <f>IF(L6974="", "", L6974-B6974)</f>
        <v/>
      </c>
      <c r="O6974">
        <f>IF(L6974="", "Pending", IF(N6974&lt;=30, "Met", "Breached"))</f>
        <v/>
      </c>
    </row>
    <row r="6975">
      <c r="M6975" s="11">
        <f>B6975+30</f>
        <v/>
      </c>
      <c r="N6975">
        <f>IF(L6975="", "", L6975-B6975)</f>
        <v/>
      </c>
      <c r="O6975">
        <f>IF(L6975="", "Pending", IF(N6975&lt;=30, "Met", "Breached"))</f>
        <v/>
      </c>
    </row>
    <row r="6976">
      <c r="M6976" s="11">
        <f>B6976+30</f>
        <v/>
      </c>
      <c r="N6976">
        <f>IF(L6976="", "", L6976-B6976)</f>
        <v/>
      </c>
      <c r="O6976">
        <f>IF(L6976="", "Pending", IF(N6976&lt;=30, "Met", "Breached"))</f>
        <v/>
      </c>
    </row>
    <row r="6977">
      <c r="M6977" s="11">
        <f>B6977+30</f>
        <v/>
      </c>
      <c r="N6977">
        <f>IF(L6977="", "", L6977-B6977)</f>
        <v/>
      </c>
      <c r="O6977">
        <f>IF(L6977="", "Pending", IF(N6977&lt;=30, "Met", "Breached"))</f>
        <v/>
      </c>
    </row>
    <row r="6978">
      <c r="M6978" s="11">
        <f>B6978+30</f>
        <v/>
      </c>
      <c r="N6978">
        <f>IF(L6978="", "", L6978-B6978)</f>
        <v/>
      </c>
      <c r="O6978">
        <f>IF(L6978="", "Pending", IF(N6978&lt;=30, "Met", "Breached"))</f>
        <v/>
      </c>
    </row>
    <row r="6979">
      <c r="M6979" s="11">
        <f>B6979+30</f>
        <v/>
      </c>
      <c r="N6979">
        <f>IF(L6979="", "", L6979-B6979)</f>
        <v/>
      </c>
      <c r="O6979">
        <f>IF(L6979="", "Pending", IF(N6979&lt;=30, "Met", "Breached"))</f>
        <v/>
      </c>
    </row>
    <row r="6980">
      <c r="M6980" s="11">
        <f>B6980+30</f>
        <v/>
      </c>
      <c r="N6980">
        <f>IF(L6980="", "", L6980-B6980)</f>
        <v/>
      </c>
      <c r="O6980">
        <f>IF(L6980="", "Pending", IF(N6980&lt;=30, "Met", "Breached"))</f>
        <v/>
      </c>
    </row>
    <row r="6981">
      <c r="M6981" s="11">
        <f>B6981+30</f>
        <v/>
      </c>
      <c r="N6981">
        <f>IF(L6981="", "", L6981-B6981)</f>
        <v/>
      </c>
      <c r="O6981">
        <f>IF(L6981="", "Pending", IF(N6981&lt;=30, "Met", "Breached"))</f>
        <v/>
      </c>
    </row>
    <row r="6982">
      <c r="M6982" s="11">
        <f>B6982+30</f>
        <v/>
      </c>
      <c r="N6982">
        <f>IF(L6982="", "", L6982-B6982)</f>
        <v/>
      </c>
      <c r="O6982">
        <f>IF(L6982="", "Pending", IF(N6982&lt;=30, "Met", "Breached"))</f>
        <v/>
      </c>
    </row>
    <row r="6983">
      <c r="M6983" s="11">
        <f>B6983+30</f>
        <v/>
      </c>
      <c r="N6983">
        <f>IF(L6983="", "", L6983-B6983)</f>
        <v/>
      </c>
      <c r="O6983">
        <f>IF(L6983="", "Pending", IF(N6983&lt;=30, "Met", "Breached"))</f>
        <v/>
      </c>
    </row>
    <row r="6984">
      <c r="M6984" s="11">
        <f>B6984+30</f>
        <v/>
      </c>
      <c r="N6984">
        <f>IF(L6984="", "", L6984-B6984)</f>
        <v/>
      </c>
      <c r="O6984">
        <f>IF(L6984="", "Pending", IF(N6984&lt;=30, "Met", "Breached"))</f>
        <v/>
      </c>
    </row>
    <row r="6985">
      <c r="M6985" s="11">
        <f>B6985+30</f>
        <v/>
      </c>
      <c r="N6985">
        <f>IF(L6985="", "", L6985-B6985)</f>
        <v/>
      </c>
      <c r="O6985">
        <f>IF(L6985="", "Pending", IF(N6985&lt;=30, "Met", "Breached"))</f>
        <v/>
      </c>
    </row>
    <row r="6986">
      <c r="M6986" s="11">
        <f>B6986+30</f>
        <v/>
      </c>
      <c r="N6986">
        <f>IF(L6986="", "", L6986-B6986)</f>
        <v/>
      </c>
      <c r="O6986">
        <f>IF(L6986="", "Pending", IF(N6986&lt;=30, "Met", "Breached"))</f>
        <v/>
      </c>
    </row>
    <row r="6987">
      <c r="M6987" s="11">
        <f>B6987+30</f>
        <v/>
      </c>
      <c r="N6987">
        <f>IF(L6987="", "", L6987-B6987)</f>
        <v/>
      </c>
      <c r="O6987">
        <f>IF(L6987="", "Pending", IF(N6987&lt;=30, "Met", "Breached"))</f>
        <v/>
      </c>
    </row>
    <row r="6988">
      <c r="M6988" s="11">
        <f>B6988+30</f>
        <v/>
      </c>
      <c r="N6988">
        <f>IF(L6988="", "", L6988-B6988)</f>
        <v/>
      </c>
      <c r="O6988">
        <f>IF(L6988="", "Pending", IF(N6988&lt;=30, "Met", "Breached"))</f>
        <v/>
      </c>
    </row>
    <row r="6989">
      <c r="M6989" s="11">
        <f>B6989+30</f>
        <v/>
      </c>
      <c r="N6989">
        <f>IF(L6989="", "", L6989-B6989)</f>
        <v/>
      </c>
      <c r="O6989">
        <f>IF(L6989="", "Pending", IF(N6989&lt;=30, "Met", "Breached"))</f>
        <v/>
      </c>
    </row>
    <row r="6990">
      <c r="M6990" s="11">
        <f>B6990+30</f>
        <v/>
      </c>
      <c r="N6990">
        <f>IF(L6990="", "", L6990-B6990)</f>
        <v/>
      </c>
      <c r="O6990">
        <f>IF(L6990="", "Pending", IF(N6990&lt;=30, "Met", "Breached"))</f>
        <v/>
      </c>
    </row>
    <row r="6991">
      <c r="M6991" s="11">
        <f>B6991+30</f>
        <v/>
      </c>
      <c r="N6991">
        <f>IF(L6991="", "", L6991-B6991)</f>
        <v/>
      </c>
      <c r="O6991">
        <f>IF(L6991="", "Pending", IF(N6991&lt;=30, "Met", "Breached"))</f>
        <v/>
      </c>
    </row>
    <row r="6992">
      <c r="M6992" s="11">
        <f>B6992+30</f>
        <v/>
      </c>
      <c r="N6992">
        <f>IF(L6992="", "", L6992-B6992)</f>
        <v/>
      </c>
      <c r="O6992">
        <f>IF(L6992="", "Pending", IF(N6992&lt;=30, "Met", "Breached"))</f>
        <v/>
      </c>
    </row>
    <row r="6993">
      <c r="M6993" s="11">
        <f>B6993+30</f>
        <v/>
      </c>
      <c r="N6993">
        <f>IF(L6993="", "", L6993-B6993)</f>
        <v/>
      </c>
      <c r="O6993">
        <f>IF(L6993="", "Pending", IF(N6993&lt;=30, "Met", "Breached"))</f>
        <v/>
      </c>
    </row>
    <row r="6994">
      <c r="M6994" s="11">
        <f>B6994+30</f>
        <v/>
      </c>
      <c r="N6994">
        <f>IF(L6994="", "", L6994-B6994)</f>
        <v/>
      </c>
      <c r="O6994">
        <f>IF(L6994="", "Pending", IF(N6994&lt;=30, "Met", "Breached"))</f>
        <v/>
      </c>
    </row>
    <row r="6995">
      <c r="M6995" s="11">
        <f>B6995+30</f>
        <v/>
      </c>
      <c r="N6995">
        <f>IF(L6995="", "", L6995-B6995)</f>
        <v/>
      </c>
      <c r="O6995">
        <f>IF(L6995="", "Pending", IF(N6995&lt;=30, "Met", "Breached"))</f>
        <v/>
      </c>
    </row>
    <row r="6996">
      <c r="M6996" s="11">
        <f>B6996+30</f>
        <v/>
      </c>
      <c r="N6996">
        <f>IF(L6996="", "", L6996-B6996)</f>
        <v/>
      </c>
      <c r="O6996">
        <f>IF(L6996="", "Pending", IF(N6996&lt;=30, "Met", "Breached"))</f>
        <v/>
      </c>
    </row>
    <row r="6997">
      <c r="M6997" s="11">
        <f>B6997+30</f>
        <v/>
      </c>
      <c r="N6997">
        <f>IF(L6997="", "", L6997-B6997)</f>
        <v/>
      </c>
      <c r="O6997">
        <f>IF(L6997="", "Pending", IF(N6997&lt;=30, "Met", "Breached"))</f>
        <v/>
      </c>
    </row>
    <row r="6998">
      <c r="M6998" s="11">
        <f>B6998+30</f>
        <v/>
      </c>
      <c r="N6998">
        <f>IF(L6998="", "", L6998-B6998)</f>
        <v/>
      </c>
      <c r="O6998">
        <f>IF(L6998="", "Pending", IF(N6998&lt;=30, "Met", "Breached"))</f>
        <v/>
      </c>
    </row>
    <row r="6999">
      <c r="M6999" s="11">
        <f>B6999+30</f>
        <v/>
      </c>
      <c r="N6999">
        <f>IF(L6999="", "", L6999-B6999)</f>
        <v/>
      </c>
      <c r="O6999">
        <f>IF(L6999="", "Pending", IF(N6999&lt;=30, "Met", "Breached"))</f>
        <v/>
      </c>
    </row>
    <row r="7000">
      <c r="M7000" s="11">
        <f>B7000+30</f>
        <v/>
      </c>
      <c r="N7000">
        <f>IF(L7000="", "", L7000-B7000)</f>
        <v/>
      </c>
      <c r="O7000">
        <f>IF(L7000="", "Pending", IF(N7000&lt;=30, "Met", "Breached"))</f>
        <v/>
      </c>
    </row>
    <row r="7001">
      <c r="M7001" s="11">
        <f>B7001+30</f>
        <v/>
      </c>
      <c r="N7001">
        <f>IF(L7001="", "", L7001-B7001)</f>
        <v/>
      </c>
      <c r="O7001">
        <f>IF(L7001="", "Pending", IF(N7001&lt;=30, "Met", "Breached"))</f>
        <v/>
      </c>
    </row>
    <row r="7002">
      <c r="M7002" s="11">
        <f>B7002+30</f>
        <v/>
      </c>
      <c r="N7002">
        <f>IF(L7002="", "", L7002-B7002)</f>
        <v/>
      </c>
      <c r="O7002">
        <f>IF(L7002="", "Pending", IF(N7002&lt;=30, "Met", "Breached"))</f>
        <v/>
      </c>
    </row>
    <row r="7003">
      <c r="M7003" s="11">
        <f>B7003+30</f>
        <v/>
      </c>
      <c r="N7003">
        <f>IF(L7003="", "", L7003-B7003)</f>
        <v/>
      </c>
      <c r="O7003">
        <f>IF(L7003="", "Pending", IF(N7003&lt;=30, "Met", "Breached"))</f>
        <v/>
      </c>
    </row>
    <row r="7004">
      <c r="M7004" s="11">
        <f>B7004+30</f>
        <v/>
      </c>
      <c r="N7004">
        <f>IF(L7004="", "", L7004-B7004)</f>
        <v/>
      </c>
      <c r="O7004">
        <f>IF(L7004="", "Pending", IF(N7004&lt;=30, "Met", "Breached"))</f>
        <v/>
      </c>
    </row>
    <row r="7005">
      <c r="M7005" s="11">
        <f>B7005+30</f>
        <v/>
      </c>
      <c r="N7005">
        <f>IF(L7005="", "", L7005-B7005)</f>
        <v/>
      </c>
      <c r="O7005">
        <f>IF(L7005="", "Pending", IF(N7005&lt;=30, "Met", "Breached"))</f>
        <v/>
      </c>
    </row>
    <row r="7006">
      <c r="M7006" s="11">
        <f>B7006+30</f>
        <v/>
      </c>
      <c r="N7006">
        <f>IF(L7006="", "", L7006-B7006)</f>
        <v/>
      </c>
      <c r="O7006">
        <f>IF(L7006="", "Pending", IF(N7006&lt;=30, "Met", "Breached"))</f>
        <v/>
      </c>
    </row>
    <row r="7007">
      <c r="M7007" s="11">
        <f>B7007+30</f>
        <v/>
      </c>
      <c r="N7007">
        <f>IF(L7007="", "", L7007-B7007)</f>
        <v/>
      </c>
      <c r="O7007">
        <f>IF(L7007="", "Pending", IF(N7007&lt;=30, "Met", "Breached"))</f>
        <v/>
      </c>
    </row>
    <row r="7008">
      <c r="M7008" s="11">
        <f>B7008+30</f>
        <v/>
      </c>
      <c r="N7008">
        <f>IF(L7008="", "", L7008-B7008)</f>
        <v/>
      </c>
      <c r="O7008">
        <f>IF(L7008="", "Pending", IF(N7008&lt;=30, "Met", "Breached"))</f>
        <v/>
      </c>
    </row>
    <row r="7009">
      <c r="M7009" s="11">
        <f>B7009+30</f>
        <v/>
      </c>
      <c r="N7009">
        <f>IF(L7009="", "", L7009-B7009)</f>
        <v/>
      </c>
      <c r="O7009">
        <f>IF(L7009="", "Pending", IF(N7009&lt;=30, "Met", "Breached"))</f>
        <v/>
      </c>
    </row>
    <row r="7010">
      <c r="M7010" s="11">
        <f>B7010+30</f>
        <v/>
      </c>
      <c r="N7010">
        <f>IF(L7010="", "", L7010-B7010)</f>
        <v/>
      </c>
      <c r="O7010">
        <f>IF(L7010="", "Pending", IF(N7010&lt;=30, "Met", "Breached"))</f>
        <v/>
      </c>
    </row>
    <row r="7011">
      <c r="M7011" s="11">
        <f>B7011+30</f>
        <v/>
      </c>
      <c r="N7011">
        <f>IF(L7011="", "", L7011-B7011)</f>
        <v/>
      </c>
      <c r="O7011">
        <f>IF(L7011="", "Pending", IF(N7011&lt;=30, "Met", "Breached"))</f>
        <v/>
      </c>
    </row>
    <row r="7012">
      <c r="M7012" s="11">
        <f>B7012+30</f>
        <v/>
      </c>
      <c r="N7012">
        <f>IF(L7012="", "", L7012-B7012)</f>
        <v/>
      </c>
      <c r="O7012">
        <f>IF(L7012="", "Pending", IF(N7012&lt;=30, "Met", "Breached"))</f>
        <v/>
      </c>
    </row>
    <row r="7013">
      <c r="M7013" s="11">
        <f>B7013+30</f>
        <v/>
      </c>
      <c r="N7013">
        <f>IF(L7013="", "", L7013-B7013)</f>
        <v/>
      </c>
      <c r="O7013">
        <f>IF(L7013="", "Pending", IF(N7013&lt;=30, "Met", "Breached"))</f>
        <v/>
      </c>
    </row>
    <row r="7014">
      <c r="M7014" s="11">
        <f>B7014+30</f>
        <v/>
      </c>
      <c r="N7014">
        <f>IF(L7014="", "", L7014-B7014)</f>
        <v/>
      </c>
      <c r="O7014">
        <f>IF(L7014="", "Pending", IF(N7014&lt;=30, "Met", "Breached"))</f>
        <v/>
      </c>
    </row>
    <row r="7015">
      <c r="M7015" s="11">
        <f>B7015+30</f>
        <v/>
      </c>
      <c r="N7015">
        <f>IF(L7015="", "", L7015-B7015)</f>
        <v/>
      </c>
      <c r="O7015">
        <f>IF(L7015="", "Pending", IF(N7015&lt;=30, "Met", "Breached"))</f>
        <v/>
      </c>
    </row>
    <row r="7016">
      <c r="M7016" s="11">
        <f>B7016+30</f>
        <v/>
      </c>
      <c r="N7016">
        <f>IF(L7016="", "", L7016-B7016)</f>
        <v/>
      </c>
      <c r="O7016">
        <f>IF(L7016="", "Pending", IF(N7016&lt;=30, "Met", "Breached"))</f>
        <v/>
      </c>
    </row>
    <row r="7017">
      <c r="M7017" s="11">
        <f>B7017+30</f>
        <v/>
      </c>
      <c r="N7017">
        <f>IF(L7017="", "", L7017-B7017)</f>
        <v/>
      </c>
      <c r="O7017">
        <f>IF(L7017="", "Pending", IF(N7017&lt;=30, "Met", "Breached"))</f>
        <v/>
      </c>
    </row>
    <row r="7018">
      <c r="M7018" s="11">
        <f>B7018+30</f>
        <v/>
      </c>
      <c r="N7018">
        <f>IF(L7018="", "", L7018-B7018)</f>
        <v/>
      </c>
      <c r="O7018">
        <f>IF(L7018="", "Pending", IF(N7018&lt;=30, "Met", "Breached"))</f>
        <v/>
      </c>
    </row>
    <row r="7019">
      <c r="M7019" s="11">
        <f>B7019+30</f>
        <v/>
      </c>
      <c r="N7019">
        <f>IF(L7019="", "", L7019-B7019)</f>
        <v/>
      </c>
      <c r="O7019">
        <f>IF(L7019="", "Pending", IF(N7019&lt;=30, "Met", "Breached"))</f>
        <v/>
      </c>
    </row>
    <row r="7020">
      <c r="M7020" s="11">
        <f>B7020+30</f>
        <v/>
      </c>
      <c r="N7020">
        <f>IF(L7020="", "", L7020-B7020)</f>
        <v/>
      </c>
      <c r="O7020">
        <f>IF(L7020="", "Pending", IF(N7020&lt;=30, "Met", "Breached"))</f>
        <v/>
      </c>
    </row>
    <row r="7021">
      <c r="M7021" s="11">
        <f>B7021+30</f>
        <v/>
      </c>
      <c r="N7021">
        <f>IF(L7021="", "", L7021-B7021)</f>
        <v/>
      </c>
      <c r="O7021">
        <f>IF(L7021="", "Pending", IF(N7021&lt;=30, "Met", "Breached"))</f>
        <v/>
      </c>
    </row>
    <row r="7022">
      <c r="M7022" s="11">
        <f>B7022+30</f>
        <v/>
      </c>
      <c r="N7022">
        <f>IF(L7022="", "", L7022-B7022)</f>
        <v/>
      </c>
      <c r="O7022">
        <f>IF(L7022="", "Pending", IF(N7022&lt;=30, "Met", "Breached"))</f>
        <v/>
      </c>
    </row>
    <row r="7023">
      <c r="M7023" s="11">
        <f>B7023+30</f>
        <v/>
      </c>
      <c r="N7023">
        <f>IF(L7023="", "", L7023-B7023)</f>
        <v/>
      </c>
      <c r="O7023">
        <f>IF(L7023="", "Pending", IF(N7023&lt;=30, "Met", "Breached"))</f>
        <v/>
      </c>
    </row>
    <row r="7024">
      <c r="M7024" s="11">
        <f>B7024+30</f>
        <v/>
      </c>
      <c r="N7024">
        <f>IF(L7024="", "", L7024-B7024)</f>
        <v/>
      </c>
      <c r="O7024">
        <f>IF(L7024="", "Pending", IF(N7024&lt;=30, "Met", "Breached"))</f>
        <v/>
      </c>
    </row>
    <row r="7025">
      <c r="M7025" s="11">
        <f>B7025+30</f>
        <v/>
      </c>
      <c r="N7025">
        <f>IF(L7025="", "", L7025-B7025)</f>
        <v/>
      </c>
      <c r="O7025">
        <f>IF(L7025="", "Pending", IF(N7025&lt;=30, "Met", "Breached"))</f>
        <v/>
      </c>
    </row>
    <row r="7026">
      <c r="M7026" s="11">
        <f>B7026+30</f>
        <v/>
      </c>
      <c r="N7026">
        <f>IF(L7026="", "", L7026-B7026)</f>
        <v/>
      </c>
      <c r="O7026">
        <f>IF(L7026="", "Pending", IF(N7026&lt;=30, "Met", "Breached"))</f>
        <v/>
      </c>
    </row>
    <row r="7027">
      <c r="M7027" s="11">
        <f>B7027+30</f>
        <v/>
      </c>
      <c r="N7027">
        <f>IF(L7027="", "", L7027-B7027)</f>
        <v/>
      </c>
      <c r="O7027">
        <f>IF(L7027="", "Pending", IF(N7027&lt;=30, "Met", "Breached"))</f>
        <v/>
      </c>
    </row>
    <row r="7028">
      <c r="M7028" s="11">
        <f>B7028+30</f>
        <v/>
      </c>
      <c r="N7028">
        <f>IF(L7028="", "", L7028-B7028)</f>
        <v/>
      </c>
      <c r="O7028">
        <f>IF(L7028="", "Pending", IF(N7028&lt;=30, "Met", "Breached"))</f>
        <v/>
      </c>
    </row>
    <row r="7029">
      <c r="M7029" s="11">
        <f>B7029+30</f>
        <v/>
      </c>
      <c r="N7029">
        <f>IF(L7029="", "", L7029-B7029)</f>
        <v/>
      </c>
      <c r="O7029">
        <f>IF(L7029="", "Pending", IF(N7029&lt;=30, "Met", "Breached"))</f>
        <v/>
      </c>
    </row>
    <row r="7030">
      <c r="M7030" s="11">
        <f>B7030+30</f>
        <v/>
      </c>
      <c r="N7030">
        <f>IF(L7030="", "", L7030-B7030)</f>
        <v/>
      </c>
      <c r="O7030">
        <f>IF(L7030="", "Pending", IF(N7030&lt;=30, "Met", "Breached"))</f>
        <v/>
      </c>
    </row>
    <row r="7031">
      <c r="M7031" s="11">
        <f>B7031+30</f>
        <v/>
      </c>
      <c r="N7031">
        <f>IF(L7031="", "", L7031-B7031)</f>
        <v/>
      </c>
      <c r="O7031">
        <f>IF(L7031="", "Pending", IF(N7031&lt;=30, "Met", "Breached"))</f>
        <v/>
      </c>
    </row>
    <row r="7032">
      <c r="M7032" s="11">
        <f>B7032+30</f>
        <v/>
      </c>
      <c r="N7032">
        <f>IF(L7032="", "", L7032-B7032)</f>
        <v/>
      </c>
      <c r="O7032">
        <f>IF(L7032="", "Pending", IF(N7032&lt;=30, "Met", "Breached"))</f>
        <v/>
      </c>
    </row>
    <row r="7033">
      <c r="M7033" s="11">
        <f>B7033+30</f>
        <v/>
      </c>
      <c r="N7033">
        <f>IF(L7033="", "", L7033-B7033)</f>
        <v/>
      </c>
      <c r="O7033">
        <f>IF(L7033="", "Pending", IF(N7033&lt;=30, "Met", "Breached"))</f>
        <v/>
      </c>
    </row>
    <row r="7034">
      <c r="M7034" s="11">
        <f>B7034+30</f>
        <v/>
      </c>
      <c r="N7034">
        <f>IF(L7034="", "", L7034-B7034)</f>
        <v/>
      </c>
      <c r="O7034">
        <f>IF(L7034="", "Pending", IF(N7034&lt;=30, "Met", "Breached"))</f>
        <v/>
      </c>
    </row>
    <row r="7035">
      <c r="M7035" s="11">
        <f>B7035+30</f>
        <v/>
      </c>
      <c r="N7035">
        <f>IF(L7035="", "", L7035-B7035)</f>
        <v/>
      </c>
      <c r="O7035">
        <f>IF(L7035="", "Pending", IF(N7035&lt;=30, "Met", "Breached"))</f>
        <v/>
      </c>
    </row>
    <row r="7036">
      <c r="M7036" s="11">
        <f>B7036+30</f>
        <v/>
      </c>
      <c r="N7036">
        <f>IF(L7036="", "", L7036-B7036)</f>
        <v/>
      </c>
      <c r="O7036">
        <f>IF(L7036="", "Pending", IF(N7036&lt;=30, "Met", "Breached"))</f>
        <v/>
      </c>
    </row>
    <row r="7037">
      <c r="M7037" s="11">
        <f>B7037+30</f>
        <v/>
      </c>
      <c r="N7037">
        <f>IF(L7037="", "", L7037-B7037)</f>
        <v/>
      </c>
      <c r="O7037">
        <f>IF(L7037="", "Pending", IF(N7037&lt;=30, "Met", "Breached"))</f>
        <v/>
      </c>
    </row>
    <row r="7038">
      <c r="M7038" s="11">
        <f>B7038+30</f>
        <v/>
      </c>
      <c r="N7038">
        <f>IF(L7038="", "", L7038-B7038)</f>
        <v/>
      </c>
      <c r="O7038">
        <f>IF(L7038="", "Pending", IF(N7038&lt;=30, "Met", "Breached"))</f>
        <v/>
      </c>
    </row>
    <row r="7039">
      <c r="M7039" s="11">
        <f>B7039+30</f>
        <v/>
      </c>
      <c r="N7039">
        <f>IF(L7039="", "", L7039-B7039)</f>
        <v/>
      </c>
      <c r="O7039">
        <f>IF(L7039="", "Pending", IF(N7039&lt;=30, "Met", "Breached"))</f>
        <v/>
      </c>
    </row>
    <row r="7040">
      <c r="M7040" s="11">
        <f>B7040+30</f>
        <v/>
      </c>
      <c r="N7040">
        <f>IF(L7040="", "", L7040-B7040)</f>
        <v/>
      </c>
      <c r="O7040">
        <f>IF(L7040="", "Pending", IF(N7040&lt;=30, "Met", "Breached"))</f>
        <v/>
      </c>
    </row>
    <row r="7041">
      <c r="M7041" s="11">
        <f>B7041+30</f>
        <v/>
      </c>
      <c r="N7041">
        <f>IF(L7041="", "", L7041-B7041)</f>
        <v/>
      </c>
      <c r="O7041">
        <f>IF(L7041="", "Pending", IF(N7041&lt;=30, "Met", "Breached"))</f>
        <v/>
      </c>
    </row>
    <row r="7042">
      <c r="M7042" s="11">
        <f>B7042+30</f>
        <v/>
      </c>
      <c r="N7042">
        <f>IF(L7042="", "", L7042-B7042)</f>
        <v/>
      </c>
      <c r="O7042">
        <f>IF(L7042="", "Pending", IF(N7042&lt;=30, "Met", "Breached"))</f>
        <v/>
      </c>
    </row>
    <row r="7043">
      <c r="M7043" s="11">
        <f>B7043+30</f>
        <v/>
      </c>
      <c r="N7043">
        <f>IF(L7043="", "", L7043-B7043)</f>
        <v/>
      </c>
      <c r="O7043">
        <f>IF(L7043="", "Pending", IF(N7043&lt;=30, "Met", "Breached"))</f>
        <v/>
      </c>
    </row>
    <row r="7044">
      <c r="M7044" s="11">
        <f>B7044+30</f>
        <v/>
      </c>
      <c r="N7044">
        <f>IF(L7044="", "", L7044-B7044)</f>
        <v/>
      </c>
      <c r="O7044">
        <f>IF(L7044="", "Pending", IF(N7044&lt;=30, "Met", "Breached"))</f>
        <v/>
      </c>
    </row>
    <row r="7045">
      <c r="M7045" s="11">
        <f>B7045+30</f>
        <v/>
      </c>
      <c r="N7045">
        <f>IF(L7045="", "", L7045-B7045)</f>
        <v/>
      </c>
      <c r="O7045">
        <f>IF(L7045="", "Pending", IF(N7045&lt;=30, "Met", "Breached"))</f>
        <v/>
      </c>
    </row>
    <row r="7046">
      <c r="M7046" s="11">
        <f>B7046+30</f>
        <v/>
      </c>
      <c r="N7046">
        <f>IF(L7046="", "", L7046-B7046)</f>
        <v/>
      </c>
      <c r="O7046">
        <f>IF(L7046="", "Pending", IF(N7046&lt;=30, "Met", "Breached"))</f>
        <v/>
      </c>
    </row>
    <row r="7047">
      <c r="M7047" s="11">
        <f>B7047+30</f>
        <v/>
      </c>
      <c r="N7047">
        <f>IF(L7047="", "", L7047-B7047)</f>
        <v/>
      </c>
      <c r="O7047">
        <f>IF(L7047="", "Pending", IF(N7047&lt;=30, "Met", "Breached"))</f>
        <v/>
      </c>
    </row>
    <row r="7048">
      <c r="M7048" s="11">
        <f>B7048+30</f>
        <v/>
      </c>
      <c r="N7048">
        <f>IF(L7048="", "", L7048-B7048)</f>
        <v/>
      </c>
      <c r="O7048">
        <f>IF(L7048="", "Pending", IF(N7048&lt;=30, "Met", "Breached"))</f>
        <v/>
      </c>
    </row>
    <row r="7049">
      <c r="M7049" s="11">
        <f>B7049+30</f>
        <v/>
      </c>
      <c r="N7049">
        <f>IF(L7049="", "", L7049-B7049)</f>
        <v/>
      </c>
      <c r="O7049">
        <f>IF(L7049="", "Pending", IF(N7049&lt;=30, "Met", "Breached"))</f>
        <v/>
      </c>
    </row>
    <row r="7050">
      <c r="M7050" s="11">
        <f>B7050+30</f>
        <v/>
      </c>
      <c r="N7050">
        <f>IF(L7050="", "", L7050-B7050)</f>
        <v/>
      </c>
      <c r="O7050">
        <f>IF(L7050="", "Pending", IF(N7050&lt;=30, "Met", "Breached"))</f>
        <v/>
      </c>
    </row>
    <row r="7051">
      <c r="M7051" s="11">
        <f>B7051+30</f>
        <v/>
      </c>
      <c r="N7051">
        <f>IF(L7051="", "", L7051-B7051)</f>
        <v/>
      </c>
      <c r="O7051">
        <f>IF(L7051="", "Pending", IF(N7051&lt;=30, "Met", "Breached"))</f>
        <v/>
      </c>
    </row>
    <row r="7052">
      <c r="M7052" s="11">
        <f>B7052+30</f>
        <v/>
      </c>
      <c r="N7052">
        <f>IF(L7052="", "", L7052-B7052)</f>
        <v/>
      </c>
      <c r="O7052">
        <f>IF(L7052="", "Pending", IF(N7052&lt;=30, "Met", "Breached"))</f>
        <v/>
      </c>
    </row>
    <row r="7053">
      <c r="M7053" s="11">
        <f>B7053+30</f>
        <v/>
      </c>
      <c r="N7053">
        <f>IF(L7053="", "", L7053-B7053)</f>
        <v/>
      </c>
      <c r="O7053">
        <f>IF(L7053="", "Pending", IF(N7053&lt;=30, "Met", "Breached"))</f>
        <v/>
      </c>
    </row>
    <row r="7054">
      <c r="M7054" s="11">
        <f>B7054+30</f>
        <v/>
      </c>
      <c r="N7054">
        <f>IF(L7054="", "", L7054-B7054)</f>
        <v/>
      </c>
      <c r="O7054">
        <f>IF(L7054="", "Pending", IF(N7054&lt;=30, "Met", "Breached"))</f>
        <v/>
      </c>
    </row>
    <row r="7055">
      <c r="M7055" s="11">
        <f>B7055+30</f>
        <v/>
      </c>
      <c r="N7055">
        <f>IF(L7055="", "", L7055-B7055)</f>
        <v/>
      </c>
      <c r="O7055">
        <f>IF(L7055="", "Pending", IF(N7055&lt;=30, "Met", "Breached"))</f>
        <v/>
      </c>
    </row>
    <row r="7056">
      <c r="M7056" s="11">
        <f>B7056+30</f>
        <v/>
      </c>
      <c r="N7056">
        <f>IF(L7056="", "", L7056-B7056)</f>
        <v/>
      </c>
      <c r="O7056">
        <f>IF(L7056="", "Pending", IF(N7056&lt;=30, "Met", "Breached"))</f>
        <v/>
      </c>
    </row>
    <row r="7057">
      <c r="M7057" s="11">
        <f>B7057+30</f>
        <v/>
      </c>
      <c r="N7057">
        <f>IF(L7057="", "", L7057-B7057)</f>
        <v/>
      </c>
      <c r="O7057">
        <f>IF(L7057="", "Pending", IF(N7057&lt;=30, "Met", "Breached"))</f>
        <v/>
      </c>
    </row>
    <row r="7058">
      <c r="M7058" s="11">
        <f>B7058+30</f>
        <v/>
      </c>
      <c r="N7058">
        <f>IF(L7058="", "", L7058-B7058)</f>
        <v/>
      </c>
      <c r="O7058">
        <f>IF(L7058="", "Pending", IF(N7058&lt;=30, "Met", "Breached"))</f>
        <v/>
      </c>
    </row>
    <row r="7059">
      <c r="M7059" s="11">
        <f>B7059+30</f>
        <v/>
      </c>
      <c r="N7059">
        <f>IF(L7059="", "", L7059-B7059)</f>
        <v/>
      </c>
      <c r="O7059">
        <f>IF(L7059="", "Pending", IF(N7059&lt;=30, "Met", "Breached"))</f>
        <v/>
      </c>
    </row>
    <row r="7060">
      <c r="M7060" s="11">
        <f>B7060+30</f>
        <v/>
      </c>
      <c r="N7060">
        <f>IF(L7060="", "", L7060-B7060)</f>
        <v/>
      </c>
      <c r="O7060">
        <f>IF(L7060="", "Pending", IF(N7060&lt;=30, "Met", "Breached"))</f>
        <v/>
      </c>
    </row>
    <row r="7061">
      <c r="M7061" s="11">
        <f>B7061+30</f>
        <v/>
      </c>
      <c r="N7061">
        <f>IF(L7061="", "", L7061-B7061)</f>
        <v/>
      </c>
      <c r="O7061">
        <f>IF(L7061="", "Pending", IF(N7061&lt;=30, "Met", "Breached"))</f>
        <v/>
      </c>
    </row>
    <row r="7062">
      <c r="M7062" s="11">
        <f>B7062+30</f>
        <v/>
      </c>
      <c r="N7062">
        <f>IF(L7062="", "", L7062-B7062)</f>
        <v/>
      </c>
      <c r="O7062">
        <f>IF(L7062="", "Pending", IF(N7062&lt;=30, "Met", "Breached"))</f>
        <v/>
      </c>
    </row>
    <row r="7063">
      <c r="M7063" s="11">
        <f>B7063+30</f>
        <v/>
      </c>
      <c r="N7063">
        <f>IF(L7063="", "", L7063-B7063)</f>
        <v/>
      </c>
      <c r="O7063">
        <f>IF(L7063="", "Pending", IF(N7063&lt;=30, "Met", "Breached"))</f>
        <v/>
      </c>
    </row>
    <row r="7064">
      <c r="M7064" s="11">
        <f>B7064+30</f>
        <v/>
      </c>
      <c r="N7064">
        <f>IF(L7064="", "", L7064-B7064)</f>
        <v/>
      </c>
      <c r="O7064">
        <f>IF(L7064="", "Pending", IF(N7064&lt;=30, "Met", "Breached"))</f>
        <v/>
      </c>
    </row>
    <row r="7065">
      <c r="M7065" s="11">
        <f>B7065+30</f>
        <v/>
      </c>
      <c r="N7065">
        <f>IF(L7065="", "", L7065-B7065)</f>
        <v/>
      </c>
      <c r="O7065">
        <f>IF(L7065="", "Pending", IF(N7065&lt;=30, "Met", "Breached"))</f>
        <v/>
      </c>
    </row>
    <row r="7066">
      <c r="M7066" s="11">
        <f>B7066+30</f>
        <v/>
      </c>
      <c r="N7066">
        <f>IF(L7066="", "", L7066-B7066)</f>
        <v/>
      </c>
      <c r="O7066">
        <f>IF(L7066="", "Pending", IF(N7066&lt;=30, "Met", "Breached"))</f>
        <v/>
      </c>
    </row>
    <row r="7067">
      <c r="M7067" s="11">
        <f>B7067+30</f>
        <v/>
      </c>
      <c r="N7067">
        <f>IF(L7067="", "", L7067-B7067)</f>
        <v/>
      </c>
      <c r="O7067">
        <f>IF(L7067="", "Pending", IF(N7067&lt;=30, "Met", "Breached"))</f>
        <v/>
      </c>
    </row>
    <row r="7068">
      <c r="M7068" s="11">
        <f>B7068+30</f>
        <v/>
      </c>
      <c r="N7068">
        <f>IF(L7068="", "", L7068-B7068)</f>
        <v/>
      </c>
      <c r="O7068">
        <f>IF(L7068="", "Pending", IF(N7068&lt;=30, "Met", "Breached"))</f>
        <v/>
      </c>
    </row>
    <row r="7069">
      <c r="M7069" s="11">
        <f>B7069+30</f>
        <v/>
      </c>
      <c r="N7069">
        <f>IF(L7069="", "", L7069-B7069)</f>
        <v/>
      </c>
      <c r="O7069">
        <f>IF(L7069="", "Pending", IF(N7069&lt;=30, "Met", "Breached"))</f>
        <v/>
      </c>
    </row>
    <row r="7070">
      <c r="M7070" s="11">
        <f>B7070+30</f>
        <v/>
      </c>
      <c r="N7070">
        <f>IF(L7070="", "", L7070-B7070)</f>
        <v/>
      </c>
      <c r="O7070">
        <f>IF(L7070="", "Pending", IF(N7070&lt;=30, "Met", "Breached"))</f>
        <v/>
      </c>
    </row>
    <row r="7071">
      <c r="M7071" s="11">
        <f>B7071+30</f>
        <v/>
      </c>
      <c r="N7071">
        <f>IF(L7071="", "", L7071-B7071)</f>
        <v/>
      </c>
      <c r="O7071">
        <f>IF(L7071="", "Pending", IF(N7071&lt;=30, "Met", "Breached"))</f>
        <v/>
      </c>
    </row>
    <row r="7072">
      <c r="M7072" s="11">
        <f>B7072+30</f>
        <v/>
      </c>
      <c r="N7072">
        <f>IF(L7072="", "", L7072-B7072)</f>
        <v/>
      </c>
      <c r="O7072">
        <f>IF(L7072="", "Pending", IF(N7072&lt;=30, "Met", "Breached"))</f>
        <v/>
      </c>
    </row>
    <row r="7073">
      <c r="M7073" s="11">
        <f>B7073+30</f>
        <v/>
      </c>
      <c r="N7073">
        <f>IF(L7073="", "", L7073-B7073)</f>
        <v/>
      </c>
      <c r="O7073">
        <f>IF(L7073="", "Pending", IF(N7073&lt;=30, "Met", "Breached"))</f>
        <v/>
      </c>
    </row>
    <row r="7074">
      <c r="M7074" s="11">
        <f>B7074+30</f>
        <v/>
      </c>
      <c r="N7074">
        <f>IF(L7074="", "", L7074-B7074)</f>
        <v/>
      </c>
      <c r="O7074">
        <f>IF(L7074="", "Pending", IF(N7074&lt;=30, "Met", "Breached"))</f>
        <v/>
      </c>
    </row>
    <row r="7075">
      <c r="M7075" s="11">
        <f>B7075+30</f>
        <v/>
      </c>
      <c r="N7075">
        <f>IF(L7075="", "", L7075-B7075)</f>
        <v/>
      </c>
      <c r="O7075">
        <f>IF(L7075="", "Pending", IF(N7075&lt;=30, "Met", "Breached"))</f>
        <v/>
      </c>
    </row>
    <row r="7076">
      <c r="M7076" s="11">
        <f>B7076+30</f>
        <v/>
      </c>
      <c r="N7076">
        <f>IF(L7076="", "", L7076-B7076)</f>
        <v/>
      </c>
      <c r="O7076">
        <f>IF(L7076="", "Pending", IF(N7076&lt;=30, "Met", "Breached"))</f>
        <v/>
      </c>
    </row>
    <row r="7077">
      <c r="M7077" s="11">
        <f>B7077+30</f>
        <v/>
      </c>
      <c r="N7077">
        <f>IF(L7077="", "", L7077-B7077)</f>
        <v/>
      </c>
      <c r="O7077">
        <f>IF(L7077="", "Pending", IF(N7077&lt;=30, "Met", "Breached"))</f>
        <v/>
      </c>
    </row>
    <row r="7078">
      <c r="M7078" s="11">
        <f>B7078+30</f>
        <v/>
      </c>
      <c r="N7078">
        <f>IF(L7078="", "", L7078-B7078)</f>
        <v/>
      </c>
      <c r="O7078">
        <f>IF(L7078="", "Pending", IF(N7078&lt;=30, "Met", "Breached"))</f>
        <v/>
      </c>
    </row>
    <row r="7079">
      <c r="M7079" s="11">
        <f>B7079+30</f>
        <v/>
      </c>
      <c r="N7079">
        <f>IF(L7079="", "", L7079-B7079)</f>
        <v/>
      </c>
      <c r="O7079">
        <f>IF(L7079="", "Pending", IF(N7079&lt;=30, "Met", "Breached"))</f>
        <v/>
      </c>
    </row>
    <row r="7080">
      <c r="M7080" s="11">
        <f>B7080+30</f>
        <v/>
      </c>
      <c r="N7080">
        <f>IF(L7080="", "", L7080-B7080)</f>
        <v/>
      </c>
      <c r="O7080">
        <f>IF(L7080="", "Pending", IF(N7080&lt;=30, "Met", "Breached"))</f>
        <v/>
      </c>
    </row>
    <row r="7081">
      <c r="M7081" s="11">
        <f>B7081+30</f>
        <v/>
      </c>
      <c r="N7081">
        <f>IF(L7081="", "", L7081-B7081)</f>
        <v/>
      </c>
      <c r="O7081">
        <f>IF(L7081="", "Pending", IF(N7081&lt;=30, "Met", "Breached"))</f>
        <v/>
      </c>
    </row>
    <row r="7082">
      <c r="M7082" s="11">
        <f>B7082+30</f>
        <v/>
      </c>
      <c r="N7082">
        <f>IF(L7082="", "", L7082-B7082)</f>
        <v/>
      </c>
      <c r="O7082">
        <f>IF(L7082="", "Pending", IF(N7082&lt;=30, "Met", "Breached"))</f>
        <v/>
      </c>
    </row>
    <row r="7083">
      <c r="M7083" s="11">
        <f>B7083+30</f>
        <v/>
      </c>
      <c r="N7083">
        <f>IF(L7083="", "", L7083-B7083)</f>
        <v/>
      </c>
      <c r="O7083">
        <f>IF(L7083="", "Pending", IF(N7083&lt;=30, "Met", "Breached"))</f>
        <v/>
      </c>
    </row>
    <row r="7084">
      <c r="M7084" s="11">
        <f>B7084+30</f>
        <v/>
      </c>
      <c r="N7084">
        <f>IF(L7084="", "", L7084-B7084)</f>
        <v/>
      </c>
      <c r="O7084">
        <f>IF(L7084="", "Pending", IF(N7084&lt;=30, "Met", "Breached"))</f>
        <v/>
      </c>
    </row>
    <row r="7085">
      <c r="M7085" s="11">
        <f>B7085+30</f>
        <v/>
      </c>
      <c r="N7085">
        <f>IF(L7085="", "", L7085-B7085)</f>
        <v/>
      </c>
      <c r="O7085">
        <f>IF(L7085="", "Pending", IF(N7085&lt;=30, "Met", "Breached"))</f>
        <v/>
      </c>
    </row>
    <row r="7086">
      <c r="M7086" s="11">
        <f>B7086+30</f>
        <v/>
      </c>
      <c r="N7086">
        <f>IF(L7086="", "", L7086-B7086)</f>
        <v/>
      </c>
      <c r="O7086">
        <f>IF(L7086="", "Pending", IF(N7086&lt;=30, "Met", "Breached"))</f>
        <v/>
      </c>
    </row>
    <row r="7087">
      <c r="M7087" s="11">
        <f>B7087+30</f>
        <v/>
      </c>
      <c r="N7087">
        <f>IF(L7087="", "", L7087-B7087)</f>
        <v/>
      </c>
      <c r="O7087">
        <f>IF(L7087="", "Pending", IF(N7087&lt;=30, "Met", "Breached"))</f>
        <v/>
      </c>
    </row>
    <row r="7088">
      <c r="M7088" s="11">
        <f>B7088+30</f>
        <v/>
      </c>
      <c r="N7088">
        <f>IF(L7088="", "", L7088-B7088)</f>
        <v/>
      </c>
      <c r="O7088">
        <f>IF(L7088="", "Pending", IF(N7088&lt;=30, "Met", "Breached"))</f>
        <v/>
      </c>
    </row>
    <row r="7089">
      <c r="M7089" s="11">
        <f>B7089+30</f>
        <v/>
      </c>
      <c r="N7089">
        <f>IF(L7089="", "", L7089-B7089)</f>
        <v/>
      </c>
      <c r="O7089">
        <f>IF(L7089="", "Pending", IF(N7089&lt;=30, "Met", "Breached"))</f>
        <v/>
      </c>
    </row>
    <row r="7090">
      <c r="M7090" s="11">
        <f>B7090+30</f>
        <v/>
      </c>
      <c r="N7090">
        <f>IF(L7090="", "", L7090-B7090)</f>
        <v/>
      </c>
      <c r="O7090">
        <f>IF(L7090="", "Pending", IF(N7090&lt;=30, "Met", "Breached"))</f>
        <v/>
      </c>
    </row>
    <row r="7091">
      <c r="M7091" s="11">
        <f>B7091+30</f>
        <v/>
      </c>
      <c r="N7091">
        <f>IF(L7091="", "", L7091-B7091)</f>
        <v/>
      </c>
      <c r="O7091">
        <f>IF(L7091="", "Pending", IF(N7091&lt;=30, "Met", "Breached"))</f>
        <v/>
      </c>
    </row>
    <row r="7092">
      <c r="M7092" s="11">
        <f>B7092+30</f>
        <v/>
      </c>
      <c r="N7092">
        <f>IF(L7092="", "", L7092-B7092)</f>
        <v/>
      </c>
      <c r="O7092">
        <f>IF(L7092="", "Pending", IF(N7092&lt;=30, "Met", "Breached"))</f>
        <v/>
      </c>
    </row>
    <row r="7093">
      <c r="M7093" s="11">
        <f>B7093+30</f>
        <v/>
      </c>
      <c r="N7093">
        <f>IF(L7093="", "", L7093-B7093)</f>
        <v/>
      </c>
      <c r="O7093">
        <f>IF(L7093="", "Pending", IF(N7093&lt;=30, "Met", "Breached"))</f>
        <v/>
      </c>
    </row>
    <row r="7094">
      <c r="M7094" s="11">
        <f>B7094+30</f>
        <v/>
      </c>
      <c r="N7094">
        <f>IF(L7094="", "", L7094-B7094)</f>
        <v/>
      </c>
      <c r="O7094">
        <f>IF(L7094="", "Pending", IF(N7094&lt;=30, "Met", "Breached"))</f>
        <v/>
      </c>
    </row>
    <row r="7095">
      <c r="M7095" s="11">
        <f>B7095+30</f>
        <v/>
      </c>
      <c r="N7095">
        <f>IF(L7095="", "", L7095-B7095)</f>
        <v/>
      </c>
      <c r="O7095">
        <f>IF(L7095="", "Pending", IF(N7095&lt;=30, "Met", "Breached"))</f>
        <v/>
      </c>
    </row>
    <row r="7096">
      <c r="M7096" s="11">
        <f>B7096+30</f>
        <v/>
      </c>
      <c r="N7096">
        <f>IF(L7096="", "", L7096-B7096)</f>
        <v/>
      </c>
      <c r="O7096">
        <f>IF(L7096="", "Pending", IF(N7096&lt;=30, "Met", "Breached"))</f>
        <v/>
      </c>
    </row>
    <row r="7097">
      <c r="M7097" s="11">
        <f>B7097+30</f>
        <v/>
      </c>
      <c r="N7097">
        <f>IF(L7097="", "", L7097-B7097)</f>
        <v/>
      </c>
      <c r="O7097">
        <f>IF(L7097="", "Pending", IF(N7097&lt;=30, "Met", "Breached"))</f>
        <v/>
      </c>
    </row>
    <row r="7098">
      <c r="M7098" s="11">
        <f>B7098+30</f>
        <v/>
      </c>
      <c r="N7098">
        <f>IF(L7098="", "", L7098-B7098)</f>
        <v/>
      </c>
      <c r="O7098">
        <f>IF(L7098="", "Pending", IF(N7098&lt;=30, "Met", "Breached"))</f>
        <v/>
      </c>
    </row>
    <row r="7099">
      <c r="M7099" s="11">
        <f>B7099+30</f>
        <v/>
      </c>
      <c r="N7099">
        <f>IF(L7099="", "", L7099-B7099)</f>
        <v/>
      </c>
      <c r="O7099">
        <f>IF(L7099="", "Pending", IF(N7099&lt;=30, "Met", "Breached"))</f>
        <v/>
      </c>
    </row>
    <row r="7100">
      <c r="M7100" s="11">
        <f>B7100+30</f>
        <v/>
      </c>
      <c r="N7100">
        <f>IF(L7100="", "", L7100-B7100)</f>
        <v/>
      </c>
      <c r="O7100">
        <f>IF(L7100="", "Pending", IF(N7100&lt;=30, "Met", "Breached"))</f>
        <v/>
      </c>
    </row>
    <row r="7101">
      <c r="M7101" s="11">
        <f>B7101+30</f>
        <v/>
      </c>
      <c r="N7101">
        <f>IF(L7101="", "", L7101-B7101)</f>
        <v/>
      </c>
      <c r="O7101">
        <f>IF(L7101="", "Pending", IF(N7101&lt;=30, "Met", "Breached"))</f>
        <v/>
      </c>
    </row>
    <row r="7102">
      <c r="M7102" s="11">
        <f>B7102+30</f>
        <v/>
      </c>
      <c r="N7102">
        <f>IF(L7102="", "", L7102-B7102)</f>
        <v/>
      </c>
      <c r="O7102">
        <f>IF(L7102="", "Pending", IF(N7102&lt;=30, "Met", "Breached"))</f>
        <v/>
      </c>
    </row>
    <row r="7103">
      <c r="M7103" s="11">
        <f>B7103+30</f>
        <v/>
      </c>
      <c r="N7103">
        <f>IF(L7103="", "", L7103-B7103)</f>
        <v/>
      </c>
      <c r="O7103">
        <f>IF(L7103="", "Pending", IF(N7103&lt;=30, "Met", "Breached"))</f>
        <v/>
      </c>
    </row>
    <row r="7104">
      <c r="M7104" s="11">
        <f>B7104+30</f>
        <v/>
      </c>
      <c r="N7104">
        <f>IF(L7104="", "", L7104-B7104)</f>
        <v/>
      </c>
      <c r="O7104">
        <f>IF(L7104="", "Pending", IF(N7104&lt;=30, "Met", "Breached"))</f>
        <v/>
      </c>
    </row>
    <row r="7105">
      <c r="M7105" s="11">
        <f>B7105+30</f>
        <v/>
      </c>
      <c r="N7105">
        <f>IF(L7105="", "", L7105-B7105)</f>
        <v/>
      </c>
      <c r="O7105">
        <f>IF(L7105="", "Pending", IF(N7105&lt;=30, "Met", "Breached"))</f>
        <v/>
      </c>
    </row>
    <row r="7106">
      <c r="M7106" s="11">
        <f>B7106+30</f>
        <v/>
      </c>
      <c r="N7106">
        <f>IF(L7106="", "", L7106-B7106)</f>
        <v/>
      </c>
      <c r="O7106">
        <f>IF(L7106="", "Pending", IF(N7106&lt;=30, "Met", "Breached"))</f>
        <v/>
      </c>
    </row>
    <row r="7107">
      <c r="M7107" s="11">
        <f>B7107+30</f>
        <v/>
      </c>
      <c r="N7107">
        <f>IF(L7107="", "", L7107-B7107)</f>
        <v/>
      </c>
      <c r="O7107">
        <f>IF(L7107="", "Pending", IF(N7107&lt;=30, "Met", "Breached"))</f>
        <v/>
      </c>
    </row>
    <row r="7108">
      <c r="M7108" s="11">
        <f>B7108+30</f>
        <v/>
      </c>
      <c r="N7108">
        <f>IF(L7108="", "", L7108-B7108)</f>
        <v/>
      </c>
      <c r="O7108">
        <f>IF(L7108="", "Pending", IF(N7108&lt;=30, "Met", "Breached"))</f>
        <v/>
      </c>
    </row>
    <row r="7109">
      <c r="M7109" s="11">
        <f>B7109+30</f>
        <v/>
      </c>
      <c r="N7109">
        <f>IF(L7109="", "", L7109-B7109)</f>
        <v/>
      </c>
      <c r="O7109">
        <f>IF(L7109="", "Pending", IF(N7109&lt;=30, "Met", "Breached"))</f>
        <v/>
      </c>
    </row>
    <row r="7110">
      <c r="M7110" s="11">
        <f>B7110+30</f>
        <v/>
      </c>
      <c r="N7110">
        <f>IF(L7110="", "", L7110-B7110)</f>
        <v/>
      </c>
      <c r="O7110">
        <f>IF(L7110="", "Pending", IF(N7110&lt;=30, "Met", "Breached"))</f>
        <v/>
      </c>
    </row>
    <row r="7111">
      <c r="M7111" s="11">
        <f>B7111+30</f>
        <v/>
      </c>
      <c r="N7111">
        <f>IF(L7111="", "", L7111-B7111)</f>
        <v/>
      </c>
      <c r="O7111">
        <f>IF(L7111="", "Pending", IF(N7111&lt;=30, "Met", "Breached"))</f>
        <v/>
      </c>
    </row>
    <row r="7112">
      <c r="M7112" s="11">
        <f>B7112+30</f>
        <v/>
      </c>
      <c r="N7112">
        <f>IF(L7112="", "", L7112-B7112)</f>
        <v/>
      </c>
      <c r="O7112">
        <f>IF(L7112="", "Pending", IF(N7112&lt;=30, "Met", "Breached"))</f>
        <v/>
      </c>
    </row>
    <row r="7113">
      <c r="M7113" s="11">
        <f>B7113+30</f>
        <v/>
      </c>
      <c r="N7113">
        <f>IF(L7113="", "", L7113-B7113)</f>
        <v/>
      </c>
      <c r="O7113">
        <f>IF(L7113="", "Pending", IF(N7113&lt;=30, "Met", "Breached"))</f>
        <v/>
      </c>
    </row>
    <row r="7114">
      <c r="M7114" s="11">
        <f>B7114+30</f>
        <v/>
      </c>
      <c r="N7114">
        <f>IF(L7114="", "", L7114-B7114)</f>
        <v/>
      </c>
      <c r="O7114">
        <f>IF(L7114="", "Pending", IF(N7114&lt;=30, "Met", "Breached"))</f>
        <v/>
      </c>
    </row>
    <row r="7115">
      <c r="M7115" s="11">
        <f>B7115+30</f>
        <v/>
      </c>
      <c r="N7115">
        <f>IF(L7115="", "", L7115-B7115)</f>
        <v/>
      </c>
      <c r="O7115">
        <f>IF(L7115="", "Pending", IF(N7115&lt;=30, "Met", "Breached"))</f>
        <v/>
      </c>
    </row>
    <row r="7116">
      <c r="M7116" s="11">
        <f>B7116+30</f>
        <v/>
      </c>
      <c r="N7116">
        <f>IF(L7116="", "", L7116-B7116)</f>
        <v/>
      </c>
      <c r="O7116">
        <f>IF(L7116="", "Pending", IF(N7116&lt;=30, "Met", "Breached"))</f>
        <v/>
      </c>
    </row>
    <row r="7117">
      <c r="M7117" s="11">
        <f>B7117+30</f>
        <v/>
      </c>
      <c r="N7117">
        <f>IF(L7117="", "", L7117-B7117)</f>
        <v/>
      </c>
      <c r="O7117">
        <f>IF(L7117="", "Pending", IF(N7117&lt;=30, "Met", "Breached"))</f>
        <v/>
      </c>
    </row>
    <row r="7118">
      <c r="M7118" s="11">
        <f>B7118+30</f>
        <v/>
      </c>
      <c r="N7118">
        <f>IF(L7118="", "", L7118-B7118)</f>
        <v/>
      </c>
      <c r="O7118">
        <f>IF(L7118="", "Pending", IF(N7118&lt;=30, "Met", "Breached"))</f>
        <v/>
      </c>
    </row>
    <row r="7119">
      <c r="M7119" s="11">
        <f>B7119+30</f>
        <v/>
      </c>
      <c r="N7119">
        <f>IF(L7119="", "", L7119-B7119)</f>
        <v/>
      </c>
      <c r="O7119">
        <f>IF(L7119="", "Pending", IF(N7119&lt;=30, "Met", "Breached"))</f>
        <v/>
      </c>
    </row>
    <row r="7120">
      <c r="M7120" s="11">
        <f>B7120+30</f>
        <v/>
      </c>
      <c r="N7120">
        <f>IF(L7120="", "", L7120-B7120)</f>
        <v/>
      </c>
      <c r="O7120">
        <f>IF(L7120="", "Pending", IF(N7120&lt;=30, "Met", "Breached"))</f>
        <v/>
      </c>
    </row>
    <row r="7121">
      <c r="M7121" s="11">
        <f>B7121+30</f>
        <v/>
      </c>
      <c r="N7121">
        <f>IF(L7121="", "", L7121-B7121)</f>
        <v/>
      </c>
      <c r="O7121">
        <f>IF(L7121="", "Pending", IF(N7121&lt;=30, "Met", "Breached"))</f>
        <v/>
      </c>
    </row>
    <row r="7122">
      <c r="M7122" s="11">
        <f>B7122+30</f>
        <v/>
      </c>
      <c r="N7122">
        <f>IF(L7122="", "", L7122-B7122)</f>
        <v/>
      </c>
      <c r="O7122">
        <f>IF(L7122="", "Pending", IF(N7122&lt;=30, "Met", "Breached"))</f>
        <v/>
      </c>
    </row>
    <row r="7123">
      <c r="M7123" s="11">
        <f>B7123+30</f>
        <v/>
      </c>
      <c r="N7123">
        <f>IF(L7123="", "", L7123-B7123)</f>
        <v/>
      </c>
      <c r="O7123">
        <f>IF(L7123="", "Pending", IF(N7123&lt;=30, "Met", "Breached"))</f>
        <v/>
      </c>
    </row>
    <row r="7124">
      <c r="M7124" s="11">
        <f>B7124+30</f>
        <v/>
      </c>
      <c r="N7124">
        <f>IF(L7124="", "", L7124-B7124)</f>
        <v/>
      </c>
      <c r="O7124">
        <f>IF(L7124="", "Pending", IF(N7124&lt;=30, "Met", "Breached"))</f>
        <v/>
      </c>
    </row>
    <row r="7125">
      <c r="M7125" s="11">
        <f>B7125+30</f>
        <v/>
      </c>
      <c r="N7125">
        <f>IF(L7125="", "", L7125-B7125)</f>
        <v/>
      </c>
      <c r="O7125">
        <f>IF(L7125="", "Pending", IF(N7125&lt;=30, "Met", "Breached"))</f>
        <v/>
      </c>
    </row>
    <row r="7126">
      <c r="M7126" s="11">
        <f>B7126+30</f>
        <v/>
      </c>
      <c r="N7126">
        <f>IF(L7126="", "", L7126-B7126)</f>
        <v/>
      </c>
      <c r="O7126">
        <f>IF(L7126="", "Pending", IF(N7126&lt;=30, "Met", "Breached"))</f>
        <v/>
      </c>
    </row>
    <row r="7127">
      <c r="M7127" s="11">
        <f>B7127+30</f>
        <v/>
      </c>
      <c r="N7127">
        <f>IF(L7127="", "", L7127-B7127)</f>
        <v/>
      </c>
      <c r="O7127">
        <f>IF(L7127="", "Pending", IF(N7127&lt;=30, "Met", "Breached"))</f>
        <v/>
      </c>
    </row>
    <row r="7128">
      <c r="M7128" s="11">
        <f>B7128+30</f>
        <v/>
      </c>
      <c r="N7128">
        <f>IF(L7128="", "", L7128-B7128)</f>
        <v/>
      </c>
      <c r="O7128">
        <f>IF(L7128="", "Pending", IF(N7128&lt;=30, "Met", "Breached"))</f>
        <v/>
      </c>
    </row>
    <row r="7129">
      <c r="M7129" s="11">
        <f>B7129+30</f>
        <v/>
      </c>
      <c r="N7129">
        <f>IF(L7129="", "", L7129-B7129)</f>
        <v/>
      </c>
      <c r="O7129">
        <f>IF(L7129="", "Pending", IF(N7129&lt;=30, "Met", "Breached"))</f>
        <v/>
      </c>
    </row>
    <row r="7130">
      <c r="M7130" s="11">
        <f>B7130+30</f>
        <v/>
      </c>
      <c r="N7130">
        <f>IF(L7130="", "", L7130-B7130)</f>
        <v/>
      </c>
      <c r="O7130">
        <f>IF(L7130="", "Pending", IF(N7130&lt;=30, "Met", "Breached"))</f>
        <v/>
      </c>
    </row>
    <row r="7131">
      <c r="M7131" s="11">
        <f>B7131+30</f>
        <v/>
      </c>
      <c r="N7131">
        <f>IF(L7131="", "", L7131-B7131)</f>
        <v/>
      </c>
      <c r="O7131">
        <f>IF(L7131="", "Pending", IF(N7131&lt;=30, "Met", "Breached"))</f>
        <v/>
      </c>
    </row>
    <row r="7132">
      <c r="M7132" s="11">
        <f>B7132+30</f>
        <v/>
      </c>
      <c r="N7132">
        <f>IF(L7132="", "", L7132-B7132)</f>
        <v/>
      </c>
      <c r="O7132">
        <f>IF(L7132="", "Pending", IF(N7132&lt;=30, "Met", "Breached"))</f>
        <v/>
      </c>
    </row>
    <row r="7133">
      <c r="M7133" s="11">
        <f>B7133+30</f>
        <v/>
      </c>
      <c r="N7133">
        <f>IF(L7133="", "", L7133-B7133)</f>
        <v/>
      </c>
      <c r="O7133">
        <f>IF(L7133="", "Pending", IF(N7133&lt;=30, "Met", "Breached"))</f>
        <v/>
      </c>
    </row>
    <row r="7134">
      <c r="M7134" s="11">
        <f>B7134+30</f>
        <v/>
      </c>
      <c r="N7134">
        <f>IF(L7134="", "", L7134-B7134)</f>
        <v/>
      </c>
      <c r="O7134">
        <f>IF(L7134="", "Pending", IF(N7134&lt;=30, "Met", "Breached"))</f>
        <v/>
      </c>
    </row>
    <row r="7135">
      <c r="M7135" s="11">
        <f>B7135+30</f>
        <v/>
      </c>
      <c r="N7135">
        <f>IF(L7135="", "", L7135-B7135)</f>
        <v/>
      </c>
      <c r="O7135">
        <f>IF(L7135="", "Pending", IF(N7135&lt;=30, "Met", "Breached"))</f>
        <v/>
      </c>
    </row>
    <row r="7136">
      <c r="M7136" s="11">
        <f>B7136+30</f>
        <v/>
      </c>
      <c r="N7136">
        <f>IF(L7136="", "", L7136-B7136)</f>
        <v/>
      </c>
      <c r="O7136">
        <f>IF(L7136="", "Pending", IF(N7136&lt;=30, "Met", "Breached"))</f>
        <v/>
      </c>
    </row>
    <row r="7137">
      <c r="M7137" s="11">
        <f>B7137+30</f>
        <v/>
      </c>
      <c r="N7137">
        <f>IF(L7137="", "", L7137-B7137)</f>
        <v/>
      </c>
      <c r="O7137">
        <f>IF(L7137="", "Pending", IF(N7137&lt;=30, "Met", "Breached"))</f>
        <v/>
      </c>
    </row>
    <row r="7138">
      <c r="M7138" s="11">
        <f>B7138+30</f>
        <v/>
      </c>
      <c r="N7138">
        <f>IF(L7138="", "", L7138-B7138)</f>
        <v/>
      </c>
      <c r="O7138">
        <f>IF(L7138="", "Pending", IF(N7138&lt;=30, "Met", "Breached"))</f>
        <v/>
      </c>
    </row>
    <row r="7139">
      <c r="M7139" s="11">
        <f>B7139+30</f>
        <v/>
      </c>
      <c r="N7139">
        <f>IF(L7139="", "", L7139-B7139)</f>
        <v/>
      </c>
      <c r="O7139">
        <f>IF(L7139="", "Pending", IF(N7139&lt;=30, "Met", "Breached"))</f>
        <v/>
      </c>
    </row>
    <row r="7140">
      <c r="M7140" s="11">
        <f>B7140+30</f>
        <v/>
      </c>
      <c r="N7140">
        <f>IF(L7140="", "", L7140-B7140)</f>
        <v/>
      </c>
      <c r="O7140">
        <f>IF(L7140="", "Pending", IF(N7140&lt;=30, "Met", "Breached"))</f>
        <v/>
      </c>
    </row>
    <row r="7141">
      <c r="M7141" s="11">
        <f>B7141+30</f>
        <v/>
      </c>
      <c r="N7141">
        <f>IF(L7141="", "", L7141-B7141)</f>
        <v/>
      </c>
      <c r="O7141">
        <f>IF(L7141="", "Pending", IF(N7141&lt;=30, "Met", "Breached"))</f>
        <v/>
      </c>
    </row>
    <row r="7142">
      <c r="M7142" s="11">
        <f>B7142+30</f>
        <v/>
      </c>
      <c r="N7142">
        <f>IF(L7142="", "", L7142-B7142)</f>
        <v/>
      </c>
      <c r="O7142">
        <f>IF(L7142="", "Pending", IF(N7142&lt;=30, "Met", "Breached"))</f>
        <v/>
      </c>
    </row>
    <row r="7143">
      <c r="M7143" s="11">
        <f>B7143+30</f>
        <v/>
      </c>
      <c r="N7143">
        <f>IF(L7143="", "", L7143-B7143)</f>
        <v/>
      </c>
      <c r="O7143">
        <f>IF(L7143="", "Pending", IF(N7143&lt;=30, "Met", "Breached"))</f>
        <v/>
      </c>
    </row>
    <row r="7144">
      <c r="M7144" s="11">
        <f>B7144+30</f>
        <v/>
      </c>
      <c r="N7144">
        <f>IF(L7144="", "", L7144-B7144)</f>
        <v/>
      </c>
      <c r="O7144">
        <f>IF(L7144="", "Pending", IF(N7144&lt;=30, "Met", "Breached"))</f>
        <v/>
      </c>
    </row>
    <row r="7145">
      <c r="M7145" s="11">
        <f>B7145+30</f>
        <v/>
      </c>
      <c r="N7145">
        <f>IF(L7145="", "", L7145-B7145)</f>
        <v/>
      </c>
      <c r="O7145">
        <f>IF(L7145="", "Pending", IF(N7145&lt;=30, "Met", "Breached"))</f>
        <v/>
      </c>
    </row>
    <row r="7146">
      <c r="M7146" s="11">
        <f>B7146+30</f>
        <v/>
      </c>
      <c r="N7146">
        <f>IF(L7146="", "", L7146-B7146)</f>
        <v/>
      </c>
      <c r="O7146">
        <f>IF(L7146="", "Pending", IF(N7146&lt;=30, "Met", "Breached"))</f>
        <v/>
      </c>
    </row>
    <row r="7147">
      <c r="M7147" s="11">
        <f>B7147+30</f>
        <v/>
      </c>
      <c r="N7147">
        <f>IF(L7147="", "", L7147-B7147)</f>
        <v/>
      </c>
      <c r="O7147">
        <f>IF(L7147="", "Pending", IF(N7147&lt;=30, "Met", "Breached"))</f>
        <v/>
      </c>
    </row>
    <row r="7148">
      <c r="M7148" s="11">
        <f>B7148+30</f>
        <v/>
      </c>
      <c r="N7148">
        <f>IF(L7148="", "", L7148-B7148)</f>
        <v/>
      </c>
      <c r="O7148">
        <f>IF(L7148="", "Pending", IF(N7148&lt;=30, "Met", "Breached"))</f>
        <v/>
      </c>
    </row>
    <row r="7149">
      <c r="M7149" s="11">
        <f>B7149+30</f>
        <v/>
      </c>
      <c r="N7149">
        <f>IF(L7149="", "", L7149-B7149)</f>
        <v/>
      </c>
      <c r="O7149">
        <f>IF(L7149="", "Pending", IF(N7149&lt;=30, "Met", "Breached"))</f>
        <v/>
      </c>
    </row>
    <row r="7150">
      <c r="M7150" s="11">
        <f>B7150+30</f>
        <v/>
      </c>
      <c r="N7150">
        <f>IF(L7150="", "", L7150-B7150)</f>
        <v/>
      </c>
      <c r="O7150">
        <f>IF(L7150="", "Pending", IF(N7150&lt;=30, "Met", "Breached"))</f>
        <v/>
      </c>
    </row>
    <row r="7151">
      <c r="M7151" s="11">
        <f>B7151+30</f>
        <v/>
      </c>
      <c r="N7151">
        <f>IF(L7151="", "", L7151-B7151)</f>
        <v/>
      </c>
      <c r="O7151">
        <f>IF(L7151="", "Pending", IF(N7151&lt;=30, "Met", "Breached"))</f>
        <v/>
      </c>
    </row>
    <row r="7152">
      <c r="M7152" s="11">
        <f>B7152+30</f>
        <v/>
      </c>
      <c r="N7152">
        <f>IF(L7152="", "", L7152-B7152)</f>
        <v/>
      </c>
      <c r="O7152">
        <f>IF(L7152="", "Pending", IF(N7152&lt;=30, "Met", "Breached"))</f>
        <v/>
      </c>
    </row>
    <row r="7153">
      <c r="M7153" s="11">
        <f>B7153+30</f>
        <v/>
      </c>
      <c r="N7153">
        <f>IF(L7153="", "", L7153-B7153)</f>
        <v/>
      </c>
      <c r="O7153">
        <f>IF(L7153="", "Pending", IF(N7153&lt;=30, "Met", "Breached"))</f>
        <v/>
      </c>
    </row>
    <row r="7154">
      <c r="M7154" s="11">
        <f>B7154+30</f>
        <v/>
      </c>
      <c r="N7154">
        <f>IF(L7154="", "", L7154-B7154)</f>
        <v/>
      </c>
      <c r="O7154">
        <f>IF(L7154="", "Pending", IF(N7154&lt;=30, "Met", "Breached"))</f>
        <v/>
      </c>
    </row>
    <row r="7155">
      <c r="M7155" s="11">
        <f>B7155+30</f>
        <v/>
      </c>
      <c r="N7155">
        <f>IF(L7155="", "", L7155-B7155)</f>
        <v/>
      </c>
      <c r="O7155">
        <f>IF(L7155="", "Pending", IF(N7155&lt;=30, "Met", "Breached"))</f>
        <v/>
      </c>
    </row>
    <row r="7156">
      <c r="M7156" s="11">
        <f>B7156+30</f>
        <v/>
      </c>
      <c r="N7156">
        <f>IF(L7156="", "", L7156-B7156)</f>
        <v/>
      </c>
      <c r="O7156">
        <f>IF(L7156="", "Pending", IF(N7156&lt;=30, "Met", "Breached"))</f>
        <v/>
      </c>
    </row>
    <row r="7157">
      <c r="M7157" s="11">
        <f>B7157+30</f>
        <v/>
      </c>
      <c r="N7157">
        <f>IF(L7157="", "", L7157-B7157)</f>
        <v/>
      </c>
      <c r="O7157">
        <f>IF(L7157="", "Pending", IF(N7157&lt;=30, "Met", "Breached"))</f>
        <v/>
      </c>
    </row>
    <row r="7158">
      <c r="M7158" s="11">
        <f>B7158+30</f>
        <v/>
      </c>
      <c r="N7158">
        <f>IF(L7158="", "", L7158-B7158)</f>
        <v/>
      </c>
      <c r="O7158">
        <f>IF(L7158="", "Pending", IF(N7158&lt;=30, "Met", "Breached"))</f>
        <v/>
      </c>
    </row>
    <row r="7159">
      <c r="M7159" s="11">
        <f>B7159+30</f>
        <v/>
      </c>
      <c r="N7159">
        <f>IF(L7159="", "", L7159-B7159)</f>
        <v/>
      </c>
      <c r="O7159">
        <f>IF(L7159="", "Pending", IF(N7159&lt;=30, "Met", "Breached"))</f>
        <v/>
      </c>
    </row>
    <row r="7160">
      <c r="M7160" s="11">
        <f>B7160+30</f>
        <v/>
      </c>
      <c r="N7160">
        <f>IF(L7160="", "", L7160-B7160)</f>
        <v/>
      </c>
      <c r="O7160">
        <f>IF(L7160="", "Pending", IF(N7160&lt;=30, "Met", "Breached"))</f>
        <v/>
      </c>
    </row>
    <row r="7161">
      <c r="M7161" s="11">
        <f>B7161+30</f>
        <v/>
      </c>
      <c r="N7161">
        <f>IF(L7161="", "", L7161-B7161)</f>
        <v/>
      </c>
      <c r="O7161">
        <f>IF(L7161="", "Pending", IF(N7161&lt;=30, "Met", "Breached"))</f>
        <v/>
      </c>
    </row>
    <row r="7162">
      <c r="M7162" s="11">
        <f>B7162+30</f>
        <v/>
      </c>
      <c r="N7162">
        <f>IF(L7162="", "", L7162-B7162)</f>
        <v/>
      </c>
      <c r="O7162">
        <f>IF(L7162="", "Pending", IF(N7162&lt;=30, "Met", "Breached"))</f>
        <v/>
      </c>
    </row>
    <row r="7163">
      <c r="M7163" s="11">
        <f>B7163+30</f>
        <v/>
      </c>
      <c r="N7163">
        <f>IF(L7163="", "", L7163-B7163)</f>
        <v/>
      </c>
      <c r="O7163">
        <f>IF(L7163="", "Pending", IF(N7163&lt;=30, "Met", "Breached"))</f>
        <v/>
      </c>
    </row>
    <row r="7164">
      <c r="M7164" s="11">
        <f>B7164+30</f>
        <v/>
      </c>
      <c r="N7164">
        <f>IF(L7164="", "", L7164-B7164)</f>
        <v/>
      </c>
      <c r="O7164">
        <f>IF(L7164="", "Pending", IF(N7164&lt;=30, "Met", "Breached"))</f>
        <v/>
      </c>
    </row>
    <row r="7165">
      <c r="M7165" s="11">
        <f>B7165+30</f>
        <v/>
      </c>
      <c r="N7165">
        <f>IF(L7165="", "", L7165-B7165)</f>
        <v/>
      </c>
      <c r="O7165">
        <f>IF(L7165="", "Pending", IF(N7165&lt;=30, "Met", "Breached"))</f>
        <v/>
      </c>
    </row>
    <row r="7166">
      <c r="M7166" s="11">
        <f>B7166+30</f>
        <v/>
      </c>
      <c r="N7166">
        <f>IF(L7166="", "", L7166-B7166)</f>
        <v/>
      </c>
      <c r="O7166">
        <f>IF(L7166="", "Pending", IF(N7166&lt;=30, "Met", "Breached"))</f>
        <v/>
      </c>
    </row>
    <row r="7167">
      <c r="M7167" s="11">
        <f>B7167+30</f>
        <v/>
      </c>
      <c r="N7167">
        <f>IF(L7167="", "", L7167-B7167)</f>
        <v/>
      </c>
      <c r="O7167">
        <f>IF(L7167="", "Pending", IF(N7167&lt;=30, "Met", "Breached"))</f>
        <v/>
      </c>
    </row>
    <row r="7168">
      <c r="M7168" s="11">
        <f>B7168+30</f>
        <v/>
      </c>
      <c r="N7168">
        <f>IF(L7168="", "", L7168-B7168)</f>
        <v/>
      </c>
      <c r="O7168">
        <f>IF(L7168="", "Pending", IF(N7168&lt;=30, "Met", "Breached"))</f>
        <v/>
      </c>
    </row>
    <row r="7169">
      <c r="M7169" s="11">
        <f>B7169+30</f>
        <v/>
      </c>
      <c r="N7169">
        <f>IF(L7169="", "", L7169-B7169)</f>
        <v/>
      </c>
      <c r="O7169">
        <f>IF(L7169="", "Pending", IF(N7169&lt;=30, "Met", "Breached"))</f>
        <v/>
      </c>
    </row>
    <row r="7170">
      <c r="M7170" s="11">
        <f>B7170+30</f>
        <v/>
      </c>
      <c r="N7170">
        <f>IF(L7170="", "", L7170-B7170)</f>
        <v/>
      </c>
      <c r="O7170">
        <f>IF(L7170="", "Pending", IF(N7170&lt;=30, "Met", "Breached"))</f>
        <v/>
      </c>
    </row>
    <row r="7171">
      <c r="M7171" s="11">
        <f>B7171+30</f>
        <v/>
      </c>
      <c r="N7171">
        <f>IF(L7171="", "", L7171-B7171)</f>
        <v/>
      </c>
      <c r="O7171">
        <f>IF(L7171="", "Pending", IF(N7171&lt;=30, "Met", "Breached"))</f>
        <v/>
      </c>
    </row>
    <row r="7172">
      <c r="M7172" s="11">
        <f>B7172+30</f>
        <v/>
      </c>
      <c r="N7172">
        <f>IF(L7172="", "", L7172-B7172)</f>
        <v/>
      </c>
      <c r="O7172">
        <f>IF(L7172="", "Pending", IF(N7172&lt;=30, "Met", "Breached"))</f>
        <v/>
      </c>
    </row>
    <row r="7173">
      <c r="M7173" s="11">
        <f>B7173+30</f>
        <v/>
      </c>
      <c r="N7173">
        <f>IF(L7173="", "", L7173-B7173)</f>
        <v/>
      </c>
      <c r="O7173">
        <f>IF(L7173="", "Pending", IF(N7173&lt;=30, "Met", "Breached"))</f>
        <v/>
      </c>
    </row>
    <row r="7174">
      <c r="M7174" s="11">
        <f>B7174+30</f>
        <v/>
      </c>
      <c r="N7174">
        <f>IF(L7174="", "", L7174-B7174)</f>
        <v/>
      </c>
      <c r="O7174">
        <f>IF(L7174="", "Pending", IF(N7174&lt;=30, "Met", "Breached"))</f>
        <v/>
      </c>
    </row>
    <row r="7175">
      <c r="M7175" s="11">
        <f>B7175+30</f>
        <v/>
      </c>
      <c r="N7175">
        <f>IF(L7175="", "", L7175-B7175)</f>
        <v/>
      </c>
      <c r="O7175">
        <f>IF(L7175="", "Pending", IF(N7175&lt;=30, "Met", "Breached"))</f>
        <v/>
      </c>
    </row>
    <row r="7176">
      <c r="M7176" s="11">
        <f>B7176+30</f>
        <v/>
      </c>
      <c r="N7176">
        <f>IF(L7176="", "", L7176-B7176)</f>
        <v/>
      </c>
      <c r="O7176">
        <f>IF(L7176="", "Pending", IF(N7176&lt;=30, "Met", "Breached"))</f>
        <v/>
      </c>
    </row>
    <row r="7177">
      <c r="M7177" s="11">
        <f>B7177+30</f>
        <v/>
      </c>
      <c r="N7177">
        <f>IF(L7177="", "", L7177-B7177)</f>
        <v/>
      </c>
      <c r="O7177">
        <f>IF(L7177="", "Pending", IF(N7177&lt;=30, "Met", "Breached"))</f>
        <v/>
      </c>
    </row>
    <row r="7178">
      <c r="M7178" s="11">
        <f>B7178+30</f>
        <v/>
      </c>
      <c r="N7178">
        <f>IF(L7178="", "", L7178-B7178)</f>
        <v/>
      </c>
      <c r="O7178">
        <f>IF(L7178="", "Pending", IF(N7178&lt;=30, "Met", "Breached"))</f>
        <v/>
      </c>
    </row>
    <row r="7179">
      <c r="M7179" s="11">
        <f>B7179+30</f>
        <v/>
      </c>
      <c r="N7179">
        <f>IF(L7179="", "", L7179-B7179)</f>
        <v/>
      </c>
      <c r="O7179">
        <f>IF(L7179="", "Pending", IF(N7179&lt;=30, "Met", "Breached"))</f>
        <v/>
      </c>
    </row>
    <row r="7180">
      <c r="M7180" s="11">
        <f>B7180+30</f>
        <v/>
      </c>
      <c r="N7180">
        <f>IF(L7180="", "", L7180-B7180)</f>
        <v/>
      </c>
      <c r="O7180">
        <f>IF(L7180="", "Pending", IF(N7180&lt;=30, "Met", "Breached"))</f>
        <v/>
      </c>
    </row>
    <row r="7181">
      <c r="M7181" s="11">
        <f>B7181+30</f>
        <v/>
      </c>
      <c r="N7181">
        <f>IF(L7181="", "", L7181-B7181)</f>
        <v/>
      </c>
      <c r="O7181">
        <f>IF(L7181="", "Pending", IF(N7181&lt;=30, "Met", "Breached"))</f>
        <v/>
      </c>
    </row>
    <row r="7182">
      <c r="M7182" s="11">
        <f>B7182+30</f>
        <v/>
      </c>
      <c r="N7182">
        <f>IF(L7182="", "", L7182-B7182)</f>
        <v/>
      </c>
      <c r="O7182">
        <f>IF(L7182="", "Pending", IF(N7182&lt;=30, "Met", "Breached"))</f>
        <v/>
      </c>
    </row>
    <row r="7183">
      <c r="M7183" s="11">
        <f>B7183+30</f>
        <v/>
      </c>
      <c r="N7183">
        <f>IF(L7183="", "", L7183-B7183)</f>
        <v/>
      </c>
      <c r="O7183">
        <f>IF(L7183="", "Pending", IF(N7183&lt;=30, "Met", "Breached"))</f>
        <v/>
      </c>
    </row>
    <row r="7184">
      <c r="M7184" s="11">
        <f>B7184+30</f>
        <v/>
      </c>
      <c r="N7184">
        <f>IF(L7184="", "", L7184-B7184)</f>
        <v/>
      </c>
      <c r="O7184">
        <f>IF(L7184="", "Pending", IF(N7184&lt;=30, "Met", "Breached"))</f>
        <v/>
      </c>
    </row>
    <row r="7185">
      <c r="M7185" s="11">
        <f>B7185+30</f>
        <v/>
      </c>
      <c r="N7185">
        <f>IF(L7185="", "", L7185-B7185)</f>
        <v/>
      </c>
      <c r="O7185">
        <f>IF(L7185="", "Pending", IF(N7185&lt;=30, "Met", "Breached"))</f>
        <v/>
      </c>
    </row>
    <row r="7186">
      <c r="M7186" s="11">
        <f>B7186+30</f>
        <v/>
      </c>
      <c r="N7186">
        <f>IF(L7186="", "", L7186-B7186)</f>
        <v/>
      </c>
      <c r="O7186">
        <f>IF(L7186="", "Pending", IF(N7186&lt;=30, "Met", "Breached"))</f>
        <v/>
      </c>
    </row>
    <row r="7187">
      <c r="M7187" s="11">
        <f>B7187+30</f>
        <v/>
      </c>
      <c r="N7187">
        <f>IF(L7187="", "", L7187-B7187)</f>
        <v/>
      </c>
      <c r="O7187">
        <f>IF(L7187="", "Pending", IF(N7187&lt;=30, "Met", "Breached"))</f>
        <v/>
      </c>
    </row>
    <row r="7188">
      <c r="M7188" s="11">
        <f>B7188+30</f>
        <v/>
      </c>
      <c r="N7188">
        <f>IF(L7188="", "", L7188-B7188)</f>
        <v/>
      </c>
      <c r="O7188">
        <f>IF(L7188="", "Pending", IF(N7188&lt;=30, "Met", "Breached"))</f>
        <v/>
      </c>
    </row>
    <row r="7189">
      <c r="M7189" s="11">
        <f>B7189+30</f>
        <v/>
      </c>
      <c r="N7189">
        <f>IF(L7189="", "", L7189-B7189)</f>
        <v/>
      </c>
      <c r="O7189">
        <f>IF(L7189="", "Pending", IF(N7189&lt;=30, "Met", "Breached"))</f>
        <v/>
      </c>
    </row>
    <row r="7190">
      <c r="M7190" s="11">
        <f>B7190+30</f>
        <v/>
      </c>
      <c r="N7190">
        <f>IF(L7190="", "", L7190-B7190)</f>
        <v/>
      </c>
      <c r="O7190">
        <f>IF(L7190="", "Pending", IF(N7190&lt;=30, "Met", "Breached"))</f>
        <v/>
      </c>
    </row>
    <row r="7191">
      <c r="M7191" s="11">
        <f>B7191+30</f>
        <v/>
      </c>
      <c r="N7191">
        <f>IF(L7191="", "", L7191-B7191)</f>
        <v/>
      </c>
      <c r="O7191">
        <f>IF(L7191="", "Pending", IF(N7191&lt;=30, "Met", "Breached"))</f>
        <v/>
      </c>
    </row>
    <row r="7192">
      <c r="M7192" s="11">
        <f>B7192+30</f>
        <v/>
      </c>
      <c r="N7192">
        <f>IF(L7192="", "", L7192-B7192)</f>
        <v/>
      </c>
      <c r="O7192">
        <f>IF(L7192="", "Pending", IF(N7192&lt;=30, "Met", "Breached"))</f>
        <v/>
      </c>
    </row>
    <row r="7193">
      <c r="M7193" s="11">
        <f>B7193+30</f>
        <v/>
      </c>
      <c r="N7193">
        <f>IF(L7193="", "", L7193-B7193)</f>
        <v/>
      </c>
      <c r="O7193">
        <f>IF(L7193="", "Pending", IF(N7193&lt;=30, "Met", "Breached"))</f>
        <v/>
      </c>
    </row>
    <row r="7194">
      <c r="M7194" s="11">
        <f>B7194+30</f>
        <v/>
      </c>
      <c r="N7194">
        <f>IF(L7194="", "", L7194-B7194)</f>
        <v/>
      </c>
      <c r="O7194">
        <f>IF(L7194="", "Pending", IF(N7194&lt;=30, "Met", "Breached"))</f>
        <v/>
      </c>
    </row>
    <row r="7195">
      <c r="M7195" s="11">
        <f>B7195+30</f>
        <v/>
      </c>
      <c r="N7195">
        <f>IF(L7195="", "", L7195-B7195)</f>
        <v/>
      </c>
      <c r="O7195">
        <f>IF(L7195="", "Pending", IF(N7195&lt;=30, "Met", "Breached"))</f>
        <v/>
      </c>
    </row>
    <row r="7196">
      <c r="M7196" s="11">
        <f>B7196+30</f>
        <v/>
      </c>
      <c r="N7196">
        <f>IF(L7196="", "", L7196-B7196)</f>
        <v/>
      </c>
      <c r="O7196">
        <f>IF(L7196="", "Pending", IF(N7196&lt;=30, "Met", "Breached"))</f>
        <v/>
      </c>
    </row>
    <row r="7197">
      <c r="M7197" s="11">
        <f>B7197+30</f>
        <v/>
      </c>
      <c r="N7197">
        <f>IF(L7197="", "", L7197-B7197)</f>
        <v/>
      </c>
      <c r="O7197">
        <f>IF(L7197="", "Pending", IF(N7197&lt;=30, "Met", "Breached"))</f>
        <v/>
      </c>
    </row>
    <row r="7198">
      <c r="M7198" s="11">
        <f>B7198+30</f>
        <v/>
      </c>
      <c r="N7198">
        <f>IF(L7198="", "", L7198-B7198)</f>
        <v/>
      </c>
      <c r="O7198">
        <f>IF(L7198="", "Pending", IF(N7198&lt;=30, "Met", "Breached"))</f>
        <v/>
      </c>
    </row>
    <row r="7199">
      <c r="M7199" s="11">
        <f>B7199+30</f>
        <v/>
      </c>
      <c r="N7199">
        <f>IF(L7199="", "", L7199-B7199)</f>
        <v/>
      </c>
      <c r="O7199">
        <f>IF(L7199="", "Pending", IF(N7199&lt;=30, "Met", "Breached"))</f>
        <v/>
      </c>
    </row>
    <row r="7200">
      <c r="M7200" s="11">
        <f>B7200+30</f>
        <v/>
      </c>
      <c r="N7200">
        <f>IF(L7200="", "", L7200-B7200)</f>
        <v/>
      </c>
      <c r="O7200">
        <f>IF(L7200="", "Pending", IF(N7200&lt;=30, "Met", "Breached"))</f>
        <v/>
      </c>
    </row>
    <row r="7201">
      <c r="M7201" s="11">
        <f>B7201+30</f>
        <v/>
      </c>
      <c r="N7201">
        <f>IF(L7201="", "", L7201-B7201)</f>
        <v/>
      </c>
      <c r="O7201">
        <f>IF(L7201="", "Pending", IF(N7201&lt;=30, "Met", "Breached"))</f>
        <v/>
      </c>
    </row>
    <row r="7202">
      <c r="M7202" s="11">
        <f>B7202+30</f>
        <v/>
      </c>
      <c r="N7202">
        <f>IF(L7202="", "", L7202-B7202)</f>
        <v/>
      </c>
      <c r="O7202">
        <f>IF(L7202="", "Pending", IF(N7202&lt;=30, "Met", "Breached"))</f>
        <v/>
      </c>
    </row>
    <row r="7203">
      <c r="M7203" s="11">
        <f>B7203+30</f>
        <v/>
      </c>
      <c r="N7203">
        <f>IF(L7203="", "", L7203-B7203)</f>
        <v/>
      </c>
      <c r="O7203">
        <f>IF(L7203="", "Pending", IF(N7203&lt;=30, "Met", "Breached"))</f>
        <v/>
      </c>
    </row>
    <row r="7204">
      <c r="M7204" s="11">
        <f>B7204+30</f>
        <v/>
      </c>
      <c r="N7204">
        <f>IF(L7204="", "", L7204-B7204)</f>
        <v/>
      </c>
      <c r="O7204">
        <f>IF(L7204="", "Pending", IF(N7204&lt;=30, "Met", "Breached"))</f>
        <v/>
      </c>
    </row>
    <row r="7205">
      <c r="M7205" s="11">
        <f>B7205+30</f>
        <v/>
      </c>
      <c r="N7205">
        <f>IF(L7205="", "", L7205-B7205)</f>
        <v/>
      </c>
      <c r="O7205">
        <f>IF(L7205="", "Pending", IF(N7205&lt;=30, "Met", "Breached"))</f>
        <v/>
      </c>
    </row>
    <row r="7206">
      <c r="M7206" s="11">
        <f>B7206+30</f>
        <v/>
      </c>
      <c r="N7206">
        <f>IF(L7206="", "", L7206-B7206)</f>
        <v/>
      </c>
      <c r="O7206">
        <f>IF(L7206="", "Pending", IF(N7206&lt;=30, "Met", "Breached"))</f>
        <v/>
      </c>
    </row>
    <row r="7207">
      <c r="M7207" s="11">
        <f>B7207+30</f>
        <v/>
      </c>
      <c r="N7207">
        <f>IF(L7207="", "", L7207-B7207)</f>
        <v/>
      </c>
      <c r="O7207">
        <f>IF(L7207="", "Pending", IF(N7207&lt;=30, "Met", "Breached"))</f>
        <v/>
      </c>
    </row>
    <row r="7208">
      <c r="M7208" s="11">
        <f>B7208+30</f>
        <v/>
      </c>
      <c r="N7208">
        <f>IF(L7208="", "", L7208-B7208)</f>
        <v/>
      </c>
      <c r="O7208">
        <f>IF(L7208="", "Pending", IF(N7208&lt;=30, "Met", "Breached"))</f>
        <v/>
      </c>
    </row>
    <row r="7209">
      <c r="M7209" s="11">
        <f>B7209+30</f>
        <v/>
      </c>
      <c r="N7209">
        <f>IF(L7209="", "", L7209-B7209)</f>
        <v/>
      </c>
      <c r="O7209">
        <f>IF(L7209="", "Pending", IF(N7209&lt;=30, "Met", "Breached"))</f>
        <v/>
      </c>
    </row>
    <row r="7210">
      <c r="M7210" s="11">
        <f>B7210+30</f>
        <v/>
      </c>
      <c r="N7210">
        <f>IF(L7210="", "", L7210-B7210)</f>
        <v/>
      </c>
      <c r="O7210">
        <f>IF(L7210="", "Pending", IF(N7210&lt;=30, "Met", "Breached"))</f>
        <v/>
      </c>
    </row>
    <row r="7211">
      <c r="M7211" s="11">
        <f>B7211+30</f>
        <v/>
      </c>
      <c r="N7211">
        <f>IF(L7211="", "", L7211-B7211)</f>
        <v/>
      </c>
      <c r="O7211">
        <f>IF(L7211="", "Pending", IF(N7211&lt;=30, "Met", "Breached"))</f>
        <v/>
      </c>
    </row>
    <row r="7212">
      <c r="M7212" s="11">
        <f>B7212+30</f>
        <v/>
      </c>
      <c r="N7212">
        <f>IF(L7212="", "", L7212-B7212)</f>
        <v/>
      </c>
      <c r="O7212">
        <f>IF(L7212="", "Pending", IF(N7212&lt;=30, "Met", "Breached"))</f>
        <v/>
      </c>
    </row>
    <row r="7213">
      <c r="M7213" s="11">
        <f>B7213+30</f>
        <v/>
      </c>
      <c r="N7213">
        <f>IF(L7213="", "", L7213-B7213)</f>
        <v/>
      </c>
      <c r="O7213">
        <f>IF(L7213="", "Pending", IF(N7213&lt;=30, "Met", "Breached"))</f>
        <v/>
      </c>
    </row>
    <row r="7214">
      <c r="M7214" s="11">
        <f>B7214+30</f>
        <v/>
      </c>
      <c r="N7214">
        <f>IF(L7214="", "", L7214-B7214)</f>
        <v/>
      </c>
      <c r="O7214">
        <f>IF(L7214="", "Pending", IF(N7214&lt;=30, "Met", "Breached"))</f>
        <v/>
      </c>
    </row>
    <row r="7215">
      <c r="M7215" s="11">
        <f>B7215+30</f>
        <v/>
      </c>
      <c r="N7215">
        <f>IF(L7215="", "", L7215-B7215)</f>
        <v/>
      </c>
      <c r="O7215">
        <f>IF(L7215="", "Pending", IF(N7215&lt;=30, "Met", "Breached"))</f>
        <v/>
      </c>
    </row>
    <row r="7216">
      <c r="M7216" s="11">
        <f>B7216+30</f>
        <v/>
      </c>
      <c r="N7216">
        <f>IF(L7216="", "", L7216-B7216)</f>
        <v/>
      </c>
      <c r="O7216">
        <f>IF(L7216="", "Pending", IF(N7216&lt;=30, "Met", "Breached"))</f>
        <v/>
      </c>
    </row>
    <row r="7217">
      <c r="M7217" s="11">
        <f>B7217+30</f>
        <v/>
      </c>
      <c r="N7217">
        <f>IF(L7217="", "", L7217-B7217)</f>
        <v/>
      </c>
      <c r="O7217">
        <f>IF(L7217="", "Pending", IF(N7217&lt;=30, "Met", "Breached"))</f>
        <v/>
      </c>
    </row>
    <row r="7218">
      <c r="M7218" s="11">
        <f>B7218+30</f>
        <v/>
      </c>
      <c r="N7218">
        <f>IF(L7218="", "", L7218-B7218)</f>
        <v/>
      </c>
      <c r="O7218">
        <f>IF(L7218="", "Pending", IF(N7218&lt;=30, "Met", "Breached"))</f>
        <v/>
      </c>
    </row>
    <row r="7219">
      <c r="M7219" s="11">
        <f>B7219+30</f>
        <v/>
      </c>
      <c r="N7219">
        <f>IF(L7219="", "", L7219-B7219)</f>
        <v/>
      </c>
      <c r="O7219">
        <f>IF(L7219="", "Pending", IF(N7219&lt;=30, "Met", "Breached"))</f>
        <v/>
      </c>
    </row>
    <row r="7220">
      <c r="M7220" s="11">
        <f>B7220+30</f>
        <v/>
      </c>
      <c r="N7220">
        <f>IF(L7220="", "", L7220-B7220)</f>
        <v/>
      </c>
      <c r="O7220">
        <f>IF(L7220="", "Pending", IF(N7220&lt;=30, "Met", "Breached"))</f>
        <v/>
      </c>
    </row>
    <row r="7221">
      <c r="M7221" s="11">
        <f>B7221+30</f>
        <v/>
      </c>
      <c r="N7221">
        <f>IF(L7221="", "", L7221-B7221)</f>
        <v/>
      </c>
      <c r="O7221">
        <f>IF(L7221="", "Pending", IF(N7221&lt;=30, "Met", "Breached"))</f>
        <v/>
      </c>
    </row>
    <row r="7222">
      <c r="M7222" s="11">
        <f>B7222+30</f>
        <v/>
      </c>
      <c r="N7222">
        <f>IF(L7222="", "", L7222-B7222)</f>
        <v/>
      </c>
      <c r="O7222">
        <f>IF(L7222="", "Pending", IF(N7222&lt;=30, "Met", "Breached"))</f>
        <v/>
      </c>
    </row>
    <row r="7223">
      <c r="M7223" s="11">
        <f>B7223+30</f>
        <v/>
      </c>
      <c r="N7223">
        <f>IF(L7223="", "", L7223-B7223)</f>
        <v/>
      </c>
      <c r="O7223">
        <f>IF(L7223="", "Pending", IF(N7223&lt;=30, "Met", "Breached"))</f>
        <v/>
      </c>
    </row>
    <row r="7224">
      <c r="M7224" s="11">
        <f>B7224+30</f>
        <v/>
      </c>
      <c r="N7224">
        <f>IF(L7224="", "", L7224-B7224)</f>
        <v/>
      </c>
      <c r="O7224">
        <f>IF(L7224="", "Pending", IF(N7224&lt;=30, "Met", "Breached"))</f>
        <v/>
      </c>
    </row>
    <row r="7225">
      <c r="M7225" s="11">
        <f>B7225+30</f>
        <v/>
      </c>
      <c r="N7225">
        <f>IF(L7225="", "", L7225-B7225)</f>
        <v/>
      </c>
      <c r="O7225">
        <f>IF(L7225="", "Pending", IF(N7225&lt;=30, "Met", "Breached"))</f>
        <v/>
      </c>
    </row>
    <row r="7226">
      <c r="M7226" s="11">
        <f>B7226+30</f>
        <v/>
      </c>
      <c r="N7226">
        <f>IF(L7226="", "", L7226-B7226)</f>
        <v/>
      </c>
      <c r="O7226">
        <f>IF(L7226="", "Pending", IF(N7226&lt;=30, "Met", "Breached"))</f>
        <v/>
      </c>
    </row>
    <row r="7227">
      <c r="M7227" s="11">
        <f>B7227+30</f>
        <v/>
      </c>
      <c r="N7227">
        <f>IF(L7227="", "", L7227-B7227)</f>
        <v/>
      </c>
      <c r="O7227">
        <f>IF(L7227="", "Pending", IF(N7227&lt;=30, "Met", "Breached"))</f>
        <v/>
      </c>
    </row>
    <row r="7228">
      <c r="M7228" s="11">
        <f>B7228+30</f>
        <v/>
      </c>
      <c r="N7228">
        <f>IF(L7228="", "", L7228-B7228)</f>
        <v/>
      </c>
      <c r="O7228">
        <f>IF(L7228="", "Pending", IF(N7228&lt;=30, "Met", "Breached"))</f>
        <v/>
      </c>
    </row>
    <row r="7229">
      <c r="M7229" s="11">
        <f>B7229+30</f>
        <v/>
      </c>
      <c r="N7229">
        <f>IF(L7229="", "", L7229-B7229)</f>
        <v/>
      </c>
      <c r="O7229">
        <f>IF(L7229="", "Pending", IF(N7229&lt;=30, "Met", "Breached"))</f>
        <v/>
      </c>
    </row>
    <row r="7230">
      <c r="M7230" s="11">
        <f>B7230+30</f>
        <v/>
      </c>
      <c r="N7230">
        <f>IF(L7230="", "", L7230-B7230)</f>
        <v/>
      </c>
      <c r="O7230">
        <f>IF(L7230="", "Pending", IF(N7230&lt;=30, "Met", "Breached"))</f>
        <v/>
      </c>
    </row>
    <row r="7231">
      <c r="M7231" s="11">
        <f>B7231+30</f>
        <v/>
      </c>
      <c r="N7231">
        <f>IF(L7231="", "", L7231-B7231)</f>
        <v/>
      </c>
      <c r="O7231">
        <f>IF(L7231="", "Pending", IF(N7231&lt;=30, "Met", "Breached"))</f>
        <v/>
      </c>
    </row>
    <row r="7232">
      <c r="M7232" s="11">
        <f>B7232+30</f>
        <v/>
      </c>
      <c r="N7232">
        <f>IF(L7232="", "", L7232-B7232)</f>
        <v/>
      </c>
      <c r="O7232">
        <f>IF(L7232="", "Pending", IF(N7232&lt;=30, "Met", "Breached"))</f>
        <v/>
      </c>
    </row>
    <row r="7233">
      <c r="M7233" s="11">
        <f>B7233+30</f>
        <v/>
      </c>
      <c r="N7233">
        <f>IF(L7233="", "", L7233-B7233)</f>
        <v/>
      </c>
      <c r="O7233">
        <f>IF(L7233="", "Pending", IF(N7233&lt;=30, "Met", "Breached"))</f>
        <v/>
      </c>
    </row>
    <row r="7234">
      <c r="M7234" s="11">
        <f>B7234+30</f>
        <v/>
      </c>
      <c r="N7234">
        <f>IF(L7234="", "", L7234-B7234)</f>
        <v/>
      </c>
      <c r="O7234">
        <f>IF(L7234="", "Pending", IF(N7234&lt;=30, "Met", "Breached"))</f>
        <v/>
      </c>
    </row>
    <row r="7235">
      <c r="M7235" s="11">
        <f>B7235+30</f>
        <v/>
      </c>
      <c r="N7235">
        <f>IF(L7235="", "", L7235-B7235)</f>
        <v/>
      </c>
      <c r="O7235">
        <f>IF(L7235="", "Pending", IF(N7235&lt;=30, "Met", "Breached"))</f>
        <v/>
      </c>
    </row>
    <row r="7236">
      <c r="M7236" s="11">
        <f>B7236+30</f>
        <v/>
      </c>
      <c r="N7236">
        <f>IF(L7236="", "", L7236-B7236)</f>
        <v/>
      </c>
      <c r="O7236">
        <f>IF(L7236="", "Pending", IF(N7236&lt;=30, "Met", "Breached"))</f>
        <v/>
      </c>
    </row>
    <row r="7237">
      <c r="M7237" s="11">
        <f>B7237+30</f>
        <v/>
      </c>
      <c r="N7237">
        <f>IF(L7237="", "", L7237-B7237)</f>
        <v/>
      </c>
      <c r="O7237">
        <f>IF(L7237="", "Pending", IF(N7237&lt;=30, "Met", "Breached"))</f>
        <v/>
      </c>
    </row>
    <row r="7238">
      <c r="M7238" s="11">
        <f>B7238+30</f>
        <v/>
      </c>
      <c r="N7238">
        <f>IF(L7238="", "", L7238-B7238)</f>
        <v/>
      </c>
      <c r="O7238">
        <f>IF(L7238="", "Pending", IF(N7238&lt;=30, "Met", "Breached"))</f>
        <v/>
      </c>
    </row>
    <row r="7239">
      <c r="M7239" s="11">
        <f>B7239+30</f>
        <v/>
      </c>
      <c r="N7239">
        <f>IF(L7239="", "", L7239-B7239)</f>
        <v/>
      </c>
      <c r="O7239">
        <f>IF(L7239="", "Pending", IF(N7239&lt;=30, "Met", "Breached"))</f>
        <v/>
      </c>
    </row>
    <row r="7240">
      <c r="M7240" s="11">
        <f>B7240+30</f>
        <v/>
      </c>
      <c r="N7240">
        <f>IF(L7240="", "", L7240-B7240)</f>
        <v/>
      </c>
      <c r="O7240">
        <f>IF(L7240="", "Pending", IF(N7240&lt;=30, "Met", "Breached"))</f>
        <v/>
      </c>
    </row>
    <row r="7241">
      <c r="M7241" s="11">
        <f>B7241+30</f>
        <v/>
      </c>
      <c r="N7241">
        <f>IF(L7241="", "", L7241-B7241)</f>
        <v/>
      </c>
      <c r="O7241">
        <f>IF(L7241="", "Pending", IF(N7241&lt;=30, "Met", "Breached"))</f>
        <v/>
      </c>
    </row>
    <row r="7242">
      <c r="M7242" s="11">
        <f>B7242+30</f>
        <v/>
      </c>
      <c r="N7242">
        <f>IF(L7242="", "", L7242-B7242)</f>
        <v/>
      </c>
      <c r="O7242">
        <f>IF(L7242="", "Pending", IF(N7242&lt;=30, "Met", "Breached"))</f>
        <v/>
      </c>
    </row>
    <row r="7243">
      <c r="M7243" s="11">
        <f>B7243+30</f>
        <v/>
      </c>
      <c r="N7243">
        <f>IF(L7243="", "", L7243-B7243)</f>
        <v/>
      </c>
      <c r="O7243">
        <f>IF(L7243="", "Pending", IF(N7243&lt;=30, "Met", "Breached"))</f>
        <v/>
      </c>
    </row>
    <row r="7244">
      <c r="M7244" s="11">
        <f>B7244+30</f>
        <v/>
      </c>
      <c r="N7244">
        <f>IF(L7244="", "", L7244-B7244)</f>
        <v/>
      </c>
      <c r="O7244">
        <f>IF(L7244="", "Pending", IF(N7244&lt;=30, "Met", "Breached"))</f>
        <v/>
      </c>
    </row>
    <row r="7245">
      <c r="M7245" s="11">
        <f>B7245+30</f>
        <v/>
      </c>
      <c r="N7245">
        <f>IF(L7245="", "", L7245-B7245)</f>
        <v/>
      </c>
      <c r="O7245">
        <f>IF(L7245="", "Pending", IF(N7245&lt;=30, "Met", "Breached"))</f>
        <v/>
      </c>
    </row>
    <row r="7246">
      <c r="M7246" s="11">
        <f>B7246+30</f>
        <v/>
      </c>
      <c r="N7246">
        <f>IF(L7246="", "", L7246-B7246)</f>
        <v/>
      </c>
      <c r="O7246">
        <f>IF(L7246="", "Pending", IF(N7246&lt;=30, "Met", "Breached"))</f>
        <v/>
      </c>
    </row>
    <row r="7247">
      <c r="M7247" s="11">
        <f>B7247+30</f>
        <v/>
      </c>
      <c r="N7247">
        <f>IF(L7247="", "", L7247-B7247)</f>
        <v/>
      </c>
      <c r="O7247">
        <f>IF(L7247="", "Pending", IF(N7247&lt;=30, "Met", "Breached"))</f>
        <v/>
      </c>
    </row>
    <row r="7248">
      <c r="M7248" s="11">
        <f>B7248+30</f>
        <v/>
      </c>
      <c r="N7248">
        <f>IF(L7248="", "", L7248-B7248)</f>
        <v/>
      </c>
      <c r="O7248">
        <f>IF(L7248="", "Pending", IF(N7248&lt;=30, "Met", "Breached"))</f>
        <v/>
      </c>
    </row>
    <row r="7249">
      <c r="M7249" s="11">
        <f>B7249+30</f>
        <v/>
      </c>
      <c r="N7249">
        <f>IF(L7249="", "", L7249-B7249)</f>
        <v/>
      </c>
      <c r="O7249">
        <f>IF(L7249="", "Pending", IF(N7249&lt;=30, "Met", "Breached"))</f>
        <v/>
      </c>
    </row>
    <row r="7250">
      <c r="M7250" s="11">
        <f>B7250+30</f>
        <v/>
      </c>
      <c r="N7250">
        <f>IF(L7250="", "", L7250-B7250)</f>
        <v/>
      </c>
      <c r="O7250">
        <f>IF(L7250="", "Pending", IF(N7250&lt;=30, "Met", "Breached"))</f>
        <v/>
      </c>
    </row>
    <row r="7251">
      <c r="M7251" s="11">
        <f>B7251+30</f>
        <v/>
      </c>
      <c r="N7251">
        <f>IF(L7251="", "", L7251-B7251)</f>
        <v/>
      </c>
      <c r="O7251">
        <f>IF(L7251="", "Pending", IF(N7251&lt;=30, "Met", "Breached"))</f>
        <v/>
      </c>
    </row>
    <row r="7252">
      <c r="M7252" s="11">
        <f>B7252+30</f>
        <v/>
      </c>
      <c r="N7252">
        <f>IF(L7252="", "", L7252-B7252)</f>
        <v/>
      </c>
      <c r="O7252">
        <f>IF(L7252="", "Pending", IF(N7252&lt;=30, "Met", "Breached"))</f>
        <v/>
      </c>
    </row>
    <row r="7253">
      <c r="M7253" s="11">
        <f>B7253+30</f>
        <v/>
      </c>
      <c r="N7253">
        <f>IF(L7253="", "", L7253-B7253)</f>
        <v/>
      </c>
      <c r="O7253">
        <f>IF(L7253="", "Pending", IF(N7253&lt;=30, "Met", "Breached"))</f>
        <v/>
      </c>
    </row>
    <row r="7254">
      <c r="M7254" s="11">
        <f>B7254+30</f>
        <v/>
      </c>
      <c r="N7254">
        <f>IF(L7254="", "", L7254-B7254)</f>
        <v/>
      </c>
      <c r="O7254">
        <f>IF(L7254="", "Pending", IF(N7254&lt;=30, "Met", "Breached"))</f>
        <v/>
      </c>
    </row>
    <row r="7255">
      <c r="M7255" s="11">
        <f>B7255+30</f>
        <v/>
      </c>
      <c r="N7255">
        <f>IF(L7255="", "", L7255-B7255)</f>
        <v/>
      </c>
      <c r="O7255">
        <f>IF(L7255="", "Pending", IF(N7255&lt;=30, "Met", "Breached"))</f>
        <v/>
      </c>
    </row>
    <row r="7256">
      <c r="M7256" s="11">
        <f>B7256+30</f>
        <v/>
      </c>
      <c r="N7256">
        <f>IF(L7256="", "", L7256-B7256)</f>
        <v/>
      </c>
      <c r="O7256">
        <f>IF(L7256="", "Pending", IF(N7256&lt;=30, "Met", "Breached"))</f>
        <v/>
      </c>
    </row>
    <row r="7257">
      <c r="M7257" s="11">
        <f>B7257+30</f>
        <v/>
      </c>
      <c r="N7257">
        <f>IF(L7257="", "", L7257-B7257)</f>
        <v/>
      </c>
      <c r="O7257">
        <f>IF(L7257="", "Pending", IF(N7257&lt;=30, "Met", "Breached"))</f>
        <v/>
      </c>
    </row>
    <row r="7258">
      <c r="M7258" s="11">
        <f>B7258+30</f>
        <v/>
      </c>
      <c r="N7258">
        <f>IF(L7258="", "", L7258-B7258)</f>
        <v/>
      </c>
      <c r="O7258">
        <f>IF(L7258="", "Pending", IF(N7258&lt;=30, "Met", "Breached"))</f>
        <v/>
      </c>
    </row>
    <row r="7259">
      <c r="M7259" s="11">
        <f>B7259+30</f>
        <v/>
      </c>
      <c r="N7259">
        <f>IF(L7259="", "", L7259-B7259)</f>
        <v/>
      </c>
      <c r="O7259">
        <f>IF(L7259="", "Pending", IF(N7259&lt;=30, "Met", "Breached"))</f>
        <v/>
      </c>
    </row>
    <row r="7260">
      <c r="M7260" s="11">
        <f>B7260+30</f>
        <v/>
      </c>
      <c r="N7260">
        <f>IF(L7260="", "", L7260-B7260)</f>
        <v/>
      </c>
      <c r="O7260">
        <f>IF(L7260="", "Pending", IF(N7260&lt;=30, "Met", "Breached"))</f>
        <v/>
      </c>
    </row>
    <row r="7261">
      <c r="M7261" s="11">
        <f>B7261+30</f>
        <v/>
      </c>
      <c r="N7261">
        <f>IF(L7261="", "", L7261-B7261)</f>
        <v/>
      </c>
      <c r="O7261">
        <f>IF(L7261="", "Pending", IF(N7261&lt;=30, "Met", "Breached"))</f>
        <v/>
      </c>
    </row>
    <row r="7262">
      <c r="M7262" s="11">
        <f>B7262+30</f>
        <v/>
      </c>
      <c r="N7262">
        <f>IF(L7262="", "", L7262-B7262)</f>
        <v/>
      </c>
      <c r="O7262">
        <f>IF(L7262="", "Pending", IF(N7262&lt;=30, "Met", "Breached"))</f>
        <v/>
      </c>
    </row>
    <row r="7263">
      <c r="M7263" s="11">
        <f>B7263+30</f>
        <v/>
      </c>
      <c r="N7263">
        <f>IF(L7263="", "", L7263-B7263)</f>
        <v/>
      </c>
      <c r="O7263">
        <f>IF(L7263="", "Pending", IF(N7263&lt;=30, "Met", "Breached"))</f>
        <v/>
      </c>
    </row>
    <row r="7264">
      <c r="M7264" s="11">
        <f>B7264+30</f>
        <v/>
      </c>
      <c r="N7264">
        <f>IF(L7264="", "", L7264-B7264)</f>
        <v/>
      </c>
      <c r="O7264">
        <f>IF(L7264="", "Pending", IF(N7264&lt;=30, "Met", "Breached"))</f>
        <v/>
      </c>
    </row>
    <row r="7265">
      <c r="M7265" s="11">
        <f>B7265+30</f>
        <v/>
      </c>
      <c r="N7265">
        <f>IF(L7265="", "", L7265-B7265)</f>
        <v/>
      </c>
      <c r="O7265">
        <f>IF(L7265="", "Pending", IF(N7265&lt;=30, "Met", "Breached"))</f>
        <v/>
      </c>
    </row>
    <row r="7266">
      <c r="M7266" s="11">
        <f>B7266+30</f>
        <v/>
      </c>
      <c r="N7266">
        <f>IF(L7266="", "", L7266-B7266)</f>
        <v/>
      </c>
      <c r="O7266">
        <f>IF(L7266="", "Pending", IF(N7266&lt;=30, "Met", "Breached"))</f>
        <v/>
      </c>
    </row>
    <row r="7267">
      <c r="M7267" s="11">
        <f>B7267+30</f>
        <v/>
      </c>
      <c r="N7267">
        <f>IF(L7267="", "", L7267-B7267)</f>
        <v/>
      </c>
      <c r="O7267">
        <f>IF(L7267="", "Pending", IF(N7267&lt;=30, "Met", "Breached"))</f>
        <v/>
      </c>
    </row>
    <row r="7268">
      <c r="M7268" s="11">
        <f>B7268+30</f>
        <v/>
      </c>
      <c r="N7268">
        <f>IF(L7268="", "", L7268-B7268)</f>
        <v/>
      </c>
      <c r="O7268">
        <f>IF(L7268="", "Pending", IF(N7268&lt;=30, "Met", "Breached"))</f>
        <v/>
      </c>
    </row>
    <row r="7269">
      <c r="M7269" s="11">
        <f>B7269+30</f>
        <v/>
      </c>
      <c r="N7269">
        <f>IF(L7269="", "", L7269-B7269)</f>
        <v/>
      </c>
      <c r="O7269">
        <f>IF(L7269="", "Pending", IF(N7269&lt;=30, "Met", "Breached"))</f>
        <v/>
      </c>
    </row>
    <row r="7270">
      <c r="M7270" s="11">
        <f>B7270+30</f>
        <v/>
      </c>
      <c r="N7270">
        <f>IF(L7270="", "", L7270-B7270)</f>
        <v/>
      </c>
      <c r="O7270">
        <f>IF(L7270="", "Pending", IF(N7270&lt;=30, "Met", "Breached"))</f>
        <v/>
      </c>
    </row>
    <row r="7271">
      <c r="M7271" s="11">
        <f>B7271+30</f>
        <v/>
      </c>
      <c r="N7271">
        <f>IF(L7271="", "", L7271-B7271)</f>
        <v/>
      </c>
      <c r="O7271">
        <f>IF(L7271="", "Pending", IF(N7271&lt;=30, "Met", "Breached"))</f>
        <v/>
      </c>
    </row>
    <row r="7272">
      <c r="M7272" s="11">
        <f>B7272+30</f>
        <v/>
      </c>
      <c r="N7272">
        <f>IF(L7272="", "", L7272-B7272)</f>
        <v/>
      </c>
      <c r="O7272">
        <f>IF(L7272="", "Pending", IF(N7272&lt;=30, "Met", "Breached"))</f>
        <v/>
      </c>
    </row>
    <row r="7273">
      <c r="M7273" s="11">
        <f>B7273+30</f>
        <v/>
      </c>
      <c r="N7273">
        <f>IF(L7273="", "", L7273-B7273)</f>
        <v/>
      </c>
      <c r="O7273">
        <f>IF(L7273="", "Pending", IF(N7273&lt;=30, "Met", "Breached"))</f>
        <v/>
      </c>
    </row>
    <row r="7274">
      <c r="M7274" s="11">
        <f>B7274+30</f>
        <v/>
      </c>
      <c r="N7274">
        <f>IF(L7274="", "", L7274-B7274)</f>
        <v/>
      </c>
      <c r="O7274">
        <f>IF(L7274="", "Pending", IF(N7274&lt;=30, "Met", "Breached"))</f>
        <v/>
      </c>
    </row>
    <row r="7275">
      <c r="M7275" s="11">
        <f>B7275+30</f>
        <v/>
      </c>
      <c r="N7275">
        <f>IF(L7275="", "", L7275-B7275)</f>
        <v/>
      </c>
      <c r="O7275">
        <f>IF(L7275="", "Pending", IF(N7275&lt;=30, "Met", "Breached"))</f>
        <v/>
      </c>
    </row>
    <row r="7276">
      <c r="M7276" s="11">
        <f>B7276+30</f>
        <v/>
      </c>
      <c r="N7276">
        <f>IF(L7276="", "", L7276-B7276)</f>
        <v/>
      </c>
      <c r="O7276">
        <f>IF(L7276="", "Pending", IF(N7276&lt;=30, "Met", "Breached"))</f>
        <v/>
      </c>
    </row>
    <row r="7277">
      <c r="M7277" s="11">
        <f>B7277+30</f>
        <v/>
      </c>
      <c r="N7277">
        <f>IF(L7277="", "", L7277-B7277)</f>
        <v/>
      </c>
      <c r="O7277">
        <f>IF(L7277="", "Pending", IF(N7277&lt;=30, "Met", "Breached"))</f>
        <v/>
      </c>
    </row>
    <row r="7278">
      <c r="M7278" s="11">
        <f>B7278+30</f>
        <v/>
      </c>
      <c r="N7278">
        <f>IF(L7278="", "", L7278-B7278)</f>
        <v/>
      </c>
      <c r="O7278">
        <f>IF(L7278="", "Pending", IF(N7278&lt;=30, "Met", "Breached"))</f>
        <v/>
      </c>
    </row>
    <row r="7279">
      <c r="M7279" s="11">
        <f>B7279+30</f>
        <v/>
      </c>
      <c r="N7279">
        <f>IF(L7279="", "", L7279-B7279)</f>
        <v/>
      </c>
      <c r="O7279">
        <f>IF(L7279="", "Pending", IF(N7279&lt;=30, "Met", "Breached"))</f>
        <v/>
      </c>
    </row>
    <row r="7280">
      <c r="M7280" s="11">
        <f>B7280+30</f>
        <v/>
      </c>
      <c r="N7280">
        <f>IF(L7280="", "", L7280-B7280)</f>
        <v/>
      </c>
      <c r="O7280">
        <f>IF(L7280="", "Pending", IF(N7280&lt;=30, "Met", "Breached"))</f>
        <v/>
      </c>
    </row>
    <row r="7281">
      <c r="M7281" s="11">
        <f>B7281+30</f>
        <v/>
      </c>
      <c r="N7281">
        <f>IF(L7281="", "", L7281-B7281)</f>
        <v/>
      </c>
      <c r="O7281">
        <f>IF(L7281="", "Pending", IF(N7281&lt;=30, "Met", "Breached"))</f>
        <v/>
      </c>
    </row>
    <row r="7282">
      <c r="M7282" s="11">
        <f>B7282+30</f>
        <v/>
      </c>
      <c r="N7282">
        <f>IF(L7282="", "", L7282-B7282)</f>
        <v/>
      </c>
      <c r="O7282">
        <f>IF(L7282="", "Pending", IF(N7282&lt;=30, "Met", "Breached"))</f>
        <v/>
      </c>
    </row>
    <row r="7283">
      <c r="M7283" s="11">
        <f>B7283+30</f>
        <v/>
      </c>
      <c r="N7283">
        <f>IF(L7283="", "", L7283-B7283)</f>
        <v/>
      </c>
      <c r="O7283">
        <f>IF(L7283="", "Pending", IF(N7283&lt;=30, "Met", "Breached"))</f>
        <v/>
      </c>
    </row>
    <row r="7284">
      <c r="M7284" s="11">
        <f>B7284+30</f>
        <v/>
      </c>
      <c r="N7284">
        <f>IF(L7284="", "", L7284-B7284)</f>
        <v/>
      </c>
      <c r="O7284">
        <f>IF(L7284="", "Pending", IF(N7284&lt;=30, "Met", "Breached"))</f>
        <v/>
      </c>
    </row>
    <row r="7285">
      <c r="M7285" s="11">
        <f>B7285+30</f>
        <v/>
      </c>
      <c r="N7285">
        <f>IF(L7285="", "", L7285-B7285)</f>
        <v/>
      </c>
      <c r="O7285">
        <f>IF(L7285="", "Pending", IF(N7285&lt;=30, "Met", "Breached"))</f>
        <v/>
      </c>
    </row>
    <row r="7286">
      <c r="M7286" s="11">
        <f>B7286+30</f>
        <v/>
      </c>
      <c r="N7286">
        <f>IF(L7286="", "", L7286-B7286)</f>
        <v/>
      </c>
      <c r="O7286">
        <f>IF(L7286="", "Pending", IF(N7286&lt;=30, "Met", "Breached"))</f>
        <v/>
      </c>
    </row>
    <row r="7287">
      <c r="M7287" s="11">
        <f>B7287+30</f>
        <v/>
      </c>
      <c r="N7287">
        <f>IF(L7287="", "", L7287-B7287)</f>
        <v/>
      </c>
      <c r="O7287">
        <f>IF(L7287="", "Pending", IF(N7287&lt;=30, "Met", "Breached"))</f>
        <v/>
      </c>
    </row>
    <row r="7288">
      <c r="M7288" s="11">
        <f>B7288+30</f>
        <v/>
      </c>
      <c r="N7288">
        <f>IF(L7288="", "", L7288-B7288)</f>
        <v/>
      </c>
      <c r="O7288">
        <f>IF(L7288="", "Pending", IF(N7288&lt;=30, "Met", "Breached"))</f>
        <v/>
      </c>
    </row>
    <row r="7289">
      <c r="M7289" s="11">
        <f>B7289+30</f>
        <v/>
      </c>
      <c r="N7289">
        <f>IF(L7289="", "", L7289-B7289)</f>
        <v/>
      </c>
      <c r="O7289">
        <f>IF(L7289="", "Pending", IF(N7289&lt;=30, "Met", "Breached"))</f>
        <v/>
      </c>
    </row>
    <row r="7290">
      <c r="M7290" s="11">
        <f>B7290+30</f>
        <v/>
      </c>
      <c r="N7290">
        <f>IF(L7290="", "", L7290-B7290)</f>
        <v/>
      </c>
      <c r="O7290">
        <f>IF(L7290="", "Pending", IF(N7290&lt;=30, "Met", "Breached"))</f>
        <v/>
      </c>
    </row>
    <row r="7291">
      <c r="M7291" s="11">
        <f>B7291+30</f>
        <v/>
      </c>
      <c r="N7291">
        <f>IF(L7291="", "", L7291-B7291)</f>
        <v/>
      </c>
      <c r="O7291">
        <f>IF(L7291="", "Pending", IF(N7291&lt;=30, "Met", "Breached"))</f>
        <v/>
      </c>
    </row>
    <row r="7292">
      <c r="M7292" s="11">
        <f>B7292+30</f>
        <v/>
      </c>
      <c r="N7292">
        <f>IF(L7292="", "", L7292-B7292)</f>
        <v/>
      </c>
      <c r="O7292">
        <f>IF(L7292="", "Pending", IF(N7292&lt;=30, "Met", "Breached"))</f>
        <v/>
      </c>
    </row>
    <row r="7293">
      <c r="M7293" s="11">
        <f>B7293+30</f>
        <v/>
      </c>
      <c r="N7293">
        <f>IF(L7293="", "", L7293-B7293)</f>
        <v/>
      </c>
      <c r="O7293">
        <f>IF(L7293="", "Pending", IF(N7293&lt;=30, "Met", "Breached"))</f>
        <v/>
      </c>
    </row>
    <row r="7294">
      <c r="M7294" s="11">
        <f>B7294+30</f>
        <v/>
      </c>
      <c r="N7294">
        <f>IF(L7294="", "", L7294-B7294)</f>
        <v/>
      </c>
      <c r="O7294">
        <f>IF(L7294="", "Pending", IF(N7294&lt;=30, "Met", "Breached"))</f>
        <v/>
      </c>
    </row>
    <row r="7295">
      <c r="M7295" s="11">
        <f>B7295+30</f>
        <v/>
      </c>
      <c r="N7295">
        <f>IF(L7295="", "", L7295-B7295)</f>
        <v/>
      </c>
      <c r="O7295">
        <f>IF(L7295="", "Pending", IF(N7295&lt;=30, "Met", "Breached"))</f>
        <v/>
      </c>
    </row>
    <row r="7296">
      <c r="M7296" s="11">
        <f>B7296+30</f>
        <v/>
      </c>
      <c r="N7296">
        <f>IF(L7296="", "", L7296-B7296)</f>
        <v/>
      </c>
      <c r="O7296">
        <f>IF(L7296="", "Pending", IF(N7296&lt;=30, "Met", "Breached"))</f>
        <v/>
      </c>
    </row>
    <row r="7297">
      <c r="M7297" s="11">
        <f>B7297+30</f>
        <v/>
      </c>
      <c r="N7297">
        <f>IF(L7297="", "", L7297-B7297)</f>
        <v/>
      </c>
      <c r="O7297">
        <f>IF(L7297="", "Pending", IF(N7297&lt;=30, "Met", "Breached"))</f>
        <v/>
      </c>
    </row>
    <row r="7298">
      <c r="M7298" s="11">
        <f>B7298+30</f>
        <v/>
      </c>
      <c r="N7298">
        <f>IF(L7298="", "", L7298-B7298)</f>
        <v/>
      </c>
      <c r="O7298">
        <f>IF(L7298="", "Pending", IF(N7298&lt;=30, "Met", "Breached"))</f>
        <v/>
      </c>
    </row>
    <row r="7299">
      <c r="M7299" s="11">
        <f>B7299+30</f>
        <v/>
      </c>
      <c r="N7299">
        <f>IF(L7299="", "", L7299-B7299)</f>
        <v/>
      </c>
      <c r="O7299">
        <f>IF(L7299="", "Pending", IF(N7299&lt;=30, "Met", "Breached"))</f>
        <v/>
      </c>
    </row>
    <row r="7300">
      <c r="M7300" s="11">
        <f>B7300+30</f>
        <v/>
      </c>
      <c r="N7300">
        <f>IF(L7300="", "", L7300-B7300)</f>
        <v/>
      </c>
      <c r="O7300">
        <f>IF(L7300="", "Pending", IF(N7300&lt;=30, "Met", "Breached"))</f>
        <v/>
      </c>
    </row>
    <row r="7301">
      <c r="M7301" s="11">
        <f>B7301+30</f>
        <v/>
      </c>
      <c r="N7301">
        <f>IF(L7301="", "", L7301-B7301)</f>
        <v/>
      </c>
      <c r="O7301">
        <f>IF(L7301="", "Pending", IF(N7301&lt;=30, "Met", "Breached"))</f>
        <v/>
      </c>
    </row>
    <row r="7302">
      <c r="M7302" s="11">
        <f>B7302+30</f>
        <v/>
      </c>
      <c r="N7302">
        <f>IF(L7302="", "", L7302-B7302)</f>
        <v/>
      </c>
      <c r="O7302">
        <f>IF(L7302="", "Pending", IF(N7302&lt;=30, "Met", "Breached"))</f>
        <v/>
      </c>
    </row>
    <row r="7303">
      <c r="M7303" s="11">
        <f>B7303+30</f>
        <v/>
      </c>
      <c r="N7303">
        <f>IF(L7303="", "", L7303-B7303)</f>
        <v/>
      </c>
      <c r="O7303">
        <f>IF(L7303="", "Pending", IF(N7303&lt;=30, "Met", "Breached"))</f>
        <v/>
      </c>
    </row>
    <row r="7304">
      <c r="M7304" s="11">
        <f>B7304+30</f>
        <v/>
      </c>
      <c r="N7304">
        <f>IF(L7304="", "", L7304-B7304)</f>
        <v/>
      </c>
      <c r="O7304">
        <f>IF(L7304="", "Pending", IF(N7304&lt;=30, "Met", "Breached"))</f>
        <v/>
      </c>
    </row>
    <row r="7305">
      <c r="M7305" s="11">
        <f>B7305+30</f>
        <v/>
      </c>
      <c r="N7305">
        <f>IF(L7305="", "", L7305-B7305)</f>
        <v/>
      </c>
      <c r="O7305">
        <f>IF(L7305="", "Pending", IF(N7305&lt;=30, "Met", "Breached"))</f>
        <v/>
      </c>
    </row>
    <row r="7306">
      <c r="M7306" s="11">
        <f>B7306+30</f>
        <v/>
      </c>
      <c r="N7306">
        <f>IF(L7306="", "", L7306-B7306)</f>
        <v/>
      </c>
      <c r="O7306">
        <f>IF(L7306="", "Pending", IF(N7306&lt;=30, "Met", "Breached"))</f>
        <v/>
      </c>
    </row>
    <row r="7307">
      <c r="M7307" s="11">
        <f>B7307+30</f>
        <v/>
      </c>
      <c r="N7307">
        <f>IF(L7307="", "", L7307-B7307)</f>
        <v/>
      </c>
      <c r="O7307">
        <f>IF(L7307="", "Pending", IF(N7307&lt;=30, "Met", "Breached"))</f>
        <v/>
      </c>
    </row>
    <row r="7308">
      <c r="M7308" s="11">
        <f>B7308+30</f>
        <v/>
      </c>
      <c r="N7308">
        <f>IF(L7308="", "", L7308-B7308)</f>
        <v/>
      </c>
      <c r="O7308">
        <f>IF(L7308="", "Pending", IF(N7308&lt;=30, "Met", "Breached"))</f>
        <v/>
      </c>
    </row>
    <row r="7309">
      <c r="M7309" s="11">
        <f>B7309+30</f>
        <v/>
      </c>
      <c r="N7309">
        <f>IF(L7309="", "", L7309-B7309)</f>
        <v/>
      </c>
      <c r="O7309">
        <f>IF(L7309="", "Pending", IF(N7309&lt;=30, "Met", "Breached"))</f>
        <v/>
      </c>
    </row>
    <row r="7310">
      <c r="M7310" s="11">
        <f>B7310+30</f>
        <v/>
      </c>
      <c r="N7310">
        <f>IF(L7310="", "", L7310-B7310)</f>
        <v/>
      </c>
      <c r="O7310">
        <f>IF(L7310="", "Pending", IF(N7310&lt;=30, "Met", "Breached"))</f>
        <v/>
      </c>
    </row>
    <row r="7311">
      <c r="M7311" s="11">
        <f>B7311+30</f>
        <v/>
      </c>
      <c r="N7311">
        <f>IF(L7311="", "", L7311-B7311)</f>
        <v/>
      </c>
      <c r="O7311">
        <f>IF(L7311="", "Pending", IF(N7311&lt;=30, "Met", "Breached"))</f>
        <v/>
      </c>
    </row>
    <row r="7312">
      <c r="M7312" s="11">
        <f>B7312+30</f>
        <v/>
      </c>
      <c r="N7312">
        <f>IF(L7312="", "", L7312-B7312)</f>
        <v/>
      </c>
      <c r="O7312">
        <f>IF(L7312="", "Pending", IF(N7312&lt;=30, "Met", "Breached"))</f>
        <v/>
      </c>
    </row>
    <row r="7313">
      <c r="M7313" s="11">
        <f>B7313+30</f>
        <v/>
      </c>
      <c r="N7313">
        <f>IF(L7313="", "", L7313-B7313)</f>
        <v/>
      </c>
      <c r="O7313">
        <f>IF(L7313="", "Pending", IF(N7313&lt;=30, "Met", "Breached"))</f>
        <v/>
      </c>
    </row>
    <row r="7314">
      <c r="M7314" s="11">
        <f>B7314+30</f>
        <v/>
      </c>
      <c r="N7314">
        <f>IF(L7314="", "", L7314-B7314)</f>
        <v/>
      </c>
      <c r="O7314">
        <f>IF(L7314="", "Pending", IF(N7314&lt;=30, "Met", "Breached"))</f>
        <v/>
      </c>
    </row>
    <row r="7315">
      <c r="M7315" s="11">
        <f>B7315+30</f>
        <v/>
      </c>
      <c r="N7315">
        <f>IF(L7315="", "", L7315-B7315)</f>
        <v/>
      </c>
      <c r="O7315">
        <f>IF(L7315="", "Pending", IF(N7315&lt;=30, "Met", "Breached"))</f>
        <v/>
      </c>
    </row>
    <row r="7316">
      <c r="M7316" s="11">
        <f>B7316+30</f>
        <v/>
      </c>
      <c r="N7316">
        <f>IF(L7316="", "", L7316-B7316)</f>
        <v/>
      </c>
      <c r="O7316">
        <f>IF(L7316="", "Pending", IF(N7316&lt;=30, "Met", "Breached"))</f>
        <v/>
      </c>
    </row>
    <row r="7317">
      <c r="M7317" s="11">
        <f>B7317+30</f>
        <v/>
      </c>
      <c r="N7317">
        <f>IF(L7317="", "", L7317-B7317)</f>
        <v/>
      </c>
      <c r="O7317">
        <f>IF(L7317="", "Pending", IF(N7317&lt;=30, "Met", "Breached"))</f>
        <v/>
      </c>
    </row>
    <row r="7318">
      <c r="M7318" s="11">
        <f>B7318+30</f>
        <v/>
      </c>
      <c r="N7318">
        <f>IF(L7318="", "", L7318-B7318)</f>
        <v/>
      </c>
      <c r="O7318">
        <f>IF(L7318="", "Pending", IF(N7318&lt;=30, "Met", "Breached"))</f>
        <v/>
      </c>
    </row>
    <row r="7319">
      <c r="M7319" s="11">
        <f>B7319+30</f>
        <v/>
      </c>
      <c r="N7319">
        <f>IF(L7319="", "", L7319-B7319)</f>
        <v/>
      </c>
      <c r="O7319">
        <f>IF(L7319="", "Pending", IF(N7319&lt;=30, "Met", "Breached"))</f>
        <v/>
      </c>
    </row>
    <row r="7320">
      <c r="M7320" s="11">
        <f>B7320+30</f>
        <v/>
      </c>
      <c r="N7320">
        <f>IF(L7320="", "", L7320-B7320)</f>
        <v/>
      </c>
      <c r="O7320">
        <f>IF(L7320="", "Pending", IF(N7320&lt;=30, "Met", "Breached"))</f>
        <v/>
      </c>
    </row>
    <row r="7321">
      <c r="M7321" s="11">
        <f>B7321+30</f>
        <v/>
      </c>
      <c r="N7321">
        <f>IF(L7321="", "", L7321-B7321)</f>
        <v/>
      </c>
      <c r="O7321">
        <f>IF(L7321="", "Pending", IF(N7321&lt;=30, "Met", "Breached"))</f>
        <v/>
      </c>
    </row>
    <row r="7322">
      <c r="M7322" s="11">
        <f>B7322+30</f>
        <v/>
      </c>
      <c r="N7322">
        <f>IF(L7322="", "", L7322-B7322)</f>
        <v/>
      </c>
      <c r="O7322">
        <f>IF(L7322="", "Pending", IF(N7322&lt;=30, "Met", "Breached"))</f>
        <v/>
      </c>
    </row>
    <row r="7323">
      <c r="M7323" s="11">
        <f>B7323+30</f>
        <v/>
      </c>
      <c r="N7323">
        <f>IF(L7323="", "", L7323-B7323)</f>
        <v/>
      </c>
      <c r="O7323">
        <f>IF(L7323="", "Pending", IF(N7323&lt;=30, "Met", "Breached"))</f>
        <v/>
      </c>
    </row>
    <row r="7324">
      <c r="M7324" s="11">
        <f>B7324+30</f>
        <v/>
      </c>
      <c r="N7324">
        <f>IF(L7324="", "", L7324-B7324)</f>
        <v/>
      </c>
      <c r="O7324">
        <f>IF(L7324="", "Pending", IF(N7324&lt;=30, "Met", "Breached"))</f>
        <v/>
      </c>
    </row>
    <row r="7325">
      <c r="M7325" s="11">
        <f>B7325+30</f>
        <v/>
      </c>
      <c r="N7325">
        <f>IF(L7325="", "", L7325-B7325)</f>
        <v/>
      </c>
      <c r="O7325">
        <f>IF(L7325="", "Pending", IF(N7325&lt;=30, "Met", "Breached"))</f>
        <v/>
      </c>
    </row>
    <row r="7326">
      <c r="M7326" s="11">
        <f>B7326+30</f>
        <v/>
      </c>
      <c r="N7326">
        <f>IF(L7326="", "", L7326-B7326)</f>
        <v/>
      </c>
      <c r="O7326">
        <f>IF(L7326="", "Pending", IF(N7326&lt;=30, "Met", "Breached"))</f>
        <v/>
      </c>
    </row>
    <row r="7327">
      <c r="M7327" s="11">
        <f>B7327+30</f>
        <v/>
      </c>
      <c r="N7327">
        <f>IF(L7327="", "", L7327-B7327)</f>
        <v/>
      </c>
      <c r="O7327">
        <f>IF(L7327="", "Pending", IF(N7327&lt;=30, "Met", "Breached"))</f>
        <v/>
      </c>
    </row>
    <row r="7328">
      <c r="M7328" s="11">
        <f>B7328+30</f>
        <v/>
      </c>
      <c r="N7328">
        <f>IF(L7328="", "", L7328-B7328)</f>
        <v/>
      </c>
      <c r="O7328">
        <f>IF(L7328="", "Pending", IF(N7328&lt;=30, "Met", "Breached"))</f>
        <v/>
      </c>
    </row>
    <row r="7329">
      <c r="M7329" s="11">
        <f>B7329+30</f>
        <v/>
      </c>
      <c r="N7329">
        <f>IF(L7329="", "", L7329-B7329)</f>
        <v/>
      </c>
      <c r="O7329">
        <f>IF(L7329="", "Pending", IF(N7329&lt;=30, "Met", "Breached"))</f>
        <v/>
      </c>
    </row>
    <row r="7330">
      <c r="M7330" s="11">
        <f>B7330+30</f>
        <v/>
      </c>
      <c r="N7330">
        <f>IF(L7330="", "", L7330-B7330)</f>
        <v/>
      </c>
      <c r="O7330">
        <f>IF(L7330="", "Pending", IF(N7330&lt;=30, "Met", "Breached"))</f>
        <v/>
      </c>
    </row>
    <row r="7331">
      <c r="M7331" s="11">
        <f>B7331+30</f>
        <v/>
      </c>
      <c r="N7331">
        <f>IF(L7331="", "", L7331-B7331)</f>
        <v/>
      </c>
      <c r="O7331">
        <f>IF(L7331="", "Pending", IF(N7331&lt;=30, "Met", "Breached"))</f>
        <v/>
      </c>
    </row>
    <row r="7332">
      <c r="M7332" s="11">
        <f>B7332+30</f>
        <v/>
      </c>
      <c r="N7332">
        <f>IF(L7332="", "", L7332-B7332)</f>
        <v/>
      </c>
      <c r="O7332">
        <f>IF(L7332="", "Pending", IF(N7332&lt;=30, "Met", "Breached"))</f>
        <v/>
      </c>
    </row>
    <row r="7333">
      <c r="M7333" s="11">
        <f>B7333+30</f>
        <v/>
      </c>
      <c r="N7333">
        <f>IF(L7333="", "", L7333-B7333)</f>
        <v/>
      </c>
      <c r="O7333">
        <f>IF(L7333="", "Pending", IF(N7333&lt;=30, "Met", "Breached"))</f>
        <v/>
      </c>
    </row>
    <row r="7334">
      <c r="M7334" s="11">
        <f>B7334+30</f>
        <v/>
      </c>
      <c r="N7334">
        <f>IF(L7334="", "", L7334-B7334)</f>
        <v/>
      </c>
      <c r="O7334">
        <f>IF(L7334="", "Pending", IF(N7334&lt;=30, "Met", "Breached"))</f>
        <v/>
      </c>
    </row>
    <row r="7335">
      <c r="M7335" s="11">
        <f>B7335+30</f>
        <v/>
      </c>
      <c r="N7335">
        <f>IF(L7335="", "", L7335-B7335)</f>
        <v/>
      </c>
      <c r="O7335">
        <f>IF(L7335="", "Pending", IF(N7335&lt;=30, "Met", "Breached"))</f>
        <v/>
      </c>
    </row>
    <row r="7336">
      <c r="M7336" s="11">
        <f>B7336+30</f>
        <v/>
      </c>
      <c r="N7336">
        <f>IF(L7336="", "", L7336-B7336)</f>
        <v/>
      </c>
      <c r="O7336">
        <f>IF(L7336="", "Pending", IF(N7336&lt;=30, "Met", "Breached"))</f>
        <v/>
      </c>
    </row>
    <row r="7337">
      <c r="M7337" s="11">
        <f>B7337+30</f>
        <v/>
      </c>
      <c r="N7337">
        <f>IF(L7337="", "", L7337-B7337)</f>
        <v/>
      </c>
      <c r="O7337">
        <f>IF(L7337="", "Pending", IF(N7337&lt;=30, "Met", "Breached"))</f>
        <v/>
      </c>
    </row>
    <row r="7338">
      <c r="M7338" s="11">
        <f>B7338+30</f>
        <v/>
      </c>
      <c r="N7338">
        <f>IF(L7338="", "", L7338-B7338)</f>
        <v/>
      </c>
      <c r="O7338">
        <f>IF(L7338="", "Pending", IF(N7338&lt;=30, "Met", "Breached"))</f>
        <v/>
      </c>
    </row>
    <row r="7339">
      <c r="M7339" s="11">
        <f>B7339+30</f>
        <v/>
      </c>
      <c r="N7339">
        <f>IF(L7339="", "", L7339-B7339)</f>
        <v/>
      </c>
      <c r="O7339">
        <f>IF(L7339="", "Pending", IF(N7339&lt;=30, "Met", "Breached"))</f>
        <v/>
      </c>
    </row>
    <row r="7340">
      <c r="M7340" s="11">
        <f>B7340+30</f>
        <v/>
      </c>
      <c r="N7340">
        <f>IF(L7340="", "", L7340-B7340)</f>
        <v/>
      </c>
      <c r="O7340">
        <f>IF(L7340="", "Pending", IF(N7340&lt;=30, "Met", "Breached"))</f>
        <v/>
      </c>
    </row>
    <row r="7341">
      <c r="M7341" s="11">
        <f>B7341+30</f>
        <v/>
      </c>
      <c r="N7341">
        <f>IF(L7341="", "", L7341-B7341)</f>
        <v/>
      </c>
      <c r="O7341">
        <f>IF(L7341="", "Pending", IF(N7341&lt;=30, "Met", "Breached"))</f>
        <v/>
      </c>
    </row>
    <row r="7342">
      <c r="M7342" s="11">
        <f>B7342+30</f>
        <v/>
      </c>
      <c r="N7342">
        <f>IF(L7342="", "", L7342-B7342)</f>
        <v/>
      </c>
      <c r="O7342">
        <f>IF(L7342="", "Pending", IF(N7342&lt;=30, "Met", "Breached"))</f>
        <v/>
      </c>
    </row>
    <row r="7343">
      <c r="M7343" s="11">
        <f>B7343+30</f>
        <v/>
      </c>
      <c r="N7343">
        <f>IF(L7343="", "", L7343-B7343)</f>
        <v/>
      </c>
      <c r="O7343">
        <f>IF(L7343="", "Pending", IF(N7343&lt;=30, "Met", "Breached"))</f>
        <v/>
      </c>
    </row>
    <row r="7344">
      <c r="M7344" s="11">
        <f>B7344+30</f>
        <v/>
      </c>
      <c r="N7344">
        <f>IF(L7344="", "", L7344-B7344)</f>
        <v/>
      </c>
      <c r="O7344">
        <f>IF(L7344="", "Pending", IF(N7344&lt;=30, "Met", "Breached"))</f>
        <v/>
      </c>
    </row>
    <row r="7345">
      <c r="M7345" s="11">
        <f>B7345+30</f>
        <v/>
      </c>
      <c r="N7345">
        <f>IF(L7345="", "", L7345-B7345)</f>
        <v/>
      </c>
      <c r="O7345">
        <f>IF(L7345="", "Pending", IF(N7345&lt;=30, "Met", "Breached"))</f>
        <v/>
      </c>
    </row>
    <row r="7346">
      <c r="M7346" s="11">
        <f>B7346+30</f>
        <v/>
      </c>
      <c r="N7346">
        <f>IF(L7346="", "", L7346-B7346)</f>
        <v/>
      </c>
      <c r="O7346">
        <f>IF(L7346="", "Pending", IF(N7346&lt;=30, "Met", "Breached"))</f>
        <v/>
      </c>
    </row>
    <row r="7347">
      <c r="M7347" s="11">
        <f>B7347+30</f>
        <v/>
      </c>
      <c r="N7347">
        <f>IF(L7347="", "", L7347-B7347)</f>
        <v/>
      </c>
      <c r="O7347">
        <f>IF(L7347="", "Pending", IF(N7347&lt;=30, "Met", "Breached"))</f>
        <v/>
      </c>
    </row>
    <row r="7348">
      <c r="M7348" s="11">
        <f>B7348+30</f>
        <v/>
      </c>
      <c r="N7348">
        <f>IF(L7348="", "", L7348-B7348)</f>
        <v/>
      </c>
      <c r="O7348">
        <f>IF(L7348="", "Pending", IF(N7348&lt;=30, "Met", "Breached"))</f>
        <v/>
      </c>
    </row>
    <row r="7349">
      <c r="M7349" s="11">
        <f>B7349+30</f>
        <v/>
      </c>
      <c r="N7349">
        <f>IF(L7349="", "", L7349-B7349)</f>
        <v/>
      </c>
      <c r="O7349">
        <f>IF(L7349="", "Pending", IF(N7349&lt;=30, "Met", "Breached"))</f>
        <v/>
      </c>
    </row>
    <row r="7350">
      <c r="M7350" s="11">
        <f>B7350+30</f>
        <v/>
      </c>
      <c r="N7350">
        <f>IF(L7350="", "", L7350-B7350)</f>
        <v/>
      </c>
      <c r="O7350">
        <f>IF(L7350="", "Pending", IF(N7350&lt;=30, "Met", "Breached"))</f>
        <v/>
      </c>
    </row>
    <row r="7351">
      <c r="M7351" s="11">
        <f>B7351+30</f>
        <v/>
      </c>
      <c r="N7351">
        <f>IF(L7351="", "", L7351-B7351)</f>
        <v/>
      </c>
      <c r="O7351">
        <f>IF(L7351="", "Pending", IF(N7351&lt;=30, "Met", "Breached"))</f>
        <v/>
      </c>
    </row>
    <row r="7352">
      <c r="M7352" s="11">
        <f>B7352+30</f>
        <v/>
      </c>
      <c r="N7352">
        <f>IF(L7352="", "", L7352-B7352)</f>
        <v/>
      </c>
      <c r="O7352">
        <f>IF(L7352="", "Pending", IF(N7352&lt;=30, "Met", "Breached"))</f>
        <v/>
      </c>
    </row>
    <row r="7353">
      <c r="M7353" s="11">
        <f>B7353+30</f>
        <v/>
      </c>
      <c r="N7353">
        <f>IF(L7353="", "", L7353-B7353)</f>
        <v/>
      </c>
      <c r="O7353">
        <f>IF(L7353="", "Pending", IF(N7353&lt;=30, "Met", "Breached"))</f>
        <v/>
      </c>
    </row>
    <row r="7354">
      <c r="M7354" s="11">
        <f>B7354+30</f>
        <v/>
      </c>
      <c r="N7354">
        <f>IF(L7354="", "", L7354-B7354)</f>
        <v/>
      </c>
      <c r="O7354">
        <f>IF(L7354="", "Pending", IF(N7354&lt;=30, "Met", "Breached"))</f>
        <v/>
      </c>
    </row>
    <row r="7355">
      <c r="M7355" s="11">
        <f>B7355+30</f>
        <v/>
      </c>
      <c r="N7355">
        <f>IF(L7355="", "", L7355-B7355)</f>
        <v/>
      </c>
      <c r="O7355">
        <f>IF(L7355="", "Pending", IF(N7355&lt;=30, "Met", "Breached"))</f>
        <v/>
      </c>
    </row>
    <row r="7356">
      <c r="M7356" s="11">
        <f>B7356+30</f>
        <v/>
      </c>
      <c r="N7356">
        <f>IF(L7356="", "", L7356-B7356)</f>
        <v/>
      </c>
      <c r="O7356">
        <f>IF(L7356="", "Pending", IF(N7356&lt;=30, "Met", "Breached"))</f>
        <v/>
      </c>
    </row>
    <row r="7357">
      <c r="M7357" s="11">
        <f>B7357+30</f>
        <v/>
      </c>
      <c r="N7357">
        <f>IF(L7357="", "", L7357-B7357)</f>
        <v/>
      </c>
      <c r="O7357">
        <f>IF(L7357="", "Pending", IF(N7357&lt;=30, "Met", "Breached"))</f>
        <v/>
      </c>
    </row>
    <row r="7358">
      <c r="M7358" s="11">
        <f>B7358+30</f>
        <v/>
      </c>
      <c r="N7358">
        <f>IF(L7358="", "", L7358-B7358)</f>
        <v/>
      </c>
      <c r="O7358">
        <f>IF(L7358="", "Pending", IF(N7358&lt;=30, "Met", "Breached"))</f>
        <v/>
      </c>
    </row>
    <row r="7359">
      <c r="M7359" s="11">
        <f>B7359+30</f>
        <v/>
      </c>
      <c r="N7359">
        <f>IF(L7359="", "", L7359-B7359)</f>
        <v/>
      </c>
      <c r="O7359">
        <f>IF(L7359="", "Pending", IF(N7359&lt;=30, "Met", "Breached"))</f>
        <v/>
      </c>
    </row>
    <row r="7360">
      <c r="M7360" s="11">
        <f>B7360+30</f>
        <v/>
      </c>
      <c r="N7360">
        <f>IF(L7360="", "", L7360-B7360)</f>
        <v/>
      </c>
      <c r="O7360">
        <f>IF(L7360="", "Pending", IF(N7360&lt;=30, "Met", "Breached"))</f>
        <v/>
      </c>
    </row>
    <row r="7361">
      <c r="M7361" s="11">
        <f>B7361+30</f>
        <v/>
      </c>
      <c r="N7361">
        <f>IF(L7361="", "", L7361-B7361)</f>
        <v/>
      </c>
      <c r="O7361">
        <f>IF(L7361="", "Pending", IF(N7361&lt;=30, "Met", "Breached"))</f>
        <v/>
      </c>
    </row>
    <row r="7362">
      <c r="M7362" s="11">
        <f>B7362+30</f>
        <v/>
      </c>
      <c r="N7362">
        <f>IF(L7362="", "", L7362-B7362)</f>
        <v/>
      </c>
      <c r="O7362">
        <f>IF(L7362="", "Pending", IF(N7362&lt;=30, "Met", "Breached"))</f>
        <v/>
      </c>
    </row>
    <row r="7363">
      <c r="M7363" s="11">
        <f>B7363+30</f>
        <v/>
      </c>
      <c r="N7363">
        <f>IF(L7363="", "", L7363-B7363)</f>
        <v/>
      </c>
      <c r="O7363">
        <f>IF(L7363="", "Pending", IF(N7363&lt;=30, "Met", "Breached"))</f>
        <v/>
      </c>
    </row>
    <row r="7364">
      <c r="M7364" s="11">
        <f>B7364+30</f>
        <v/>
      </c>
      <c r="N7364">
        <f>IF(L7364="", "", L7364-B7364)</f>
        <v/>
      </c>
      <c r="O7364">
        <f>IF(L7364="", "Pending", IF(N7364&lt;=30, "Met", "Breached"))</f>
        <v/>
      </c>
    </row>
    <row r="7365">
      <c r="M7365" s="11">
        <f>B7365+30</f>
        <v/>
      </c>
      <c r="N7365">
        <f>IF(L7365="", "", L7365-B7365)</f>
        <v/>
      </c>
      <c r="O7365">
        <f>IF(L7365="", "Pending", IF(N7365&lt;=30, "Met", "Breached"))</f>
        <v/>
      </c>
    </row>
    <row r="7366">
      <c r="M7366" s="11">
        <f>B7366+30</f>
        <v/>
      </c>
      <c r="N7366">
        <f>IF(L7366="", "", L7366-B7366)</f>
        <v/>
      </c>
      <c r="O7366">
        <f>IF(L7366="", "Pending", IF(N7366&lt;=30, "Met", "Breached"))</f>
        <v/>
      </c>
    </row>
    <row r="7367">
      <c r="M7367" s="11">
        <f>B7367+30</f>
        <v/>
      </c>
      <c r="N7367">
        <f>IF(L7367="", "", L7367-B7367)</f>
        <v/>
      </c>
      <c r="O7367">
        <f>IF(L7367="", "Pending", IF(N7367&lt;=30, "Met", "Breached"))</f>
        <v/>
      </c>
    </row>
    <row r="7368">
      <c r="M7368" s="11">
        <f>B7368+30</f>
        <v/>
      </c>
      <c r="N7368">
        <f>IF(L7368="", "", L7368-B7368)</f>
        <v/>
      </c>
      <c r="O7368">
        <f>IF(L7368="", "Pending", IF(N7368&lt;=30, "Met", "Breached"))</f>
        <v/>
      </c>
    </row>
    <row r="7369">
      <c r="M7369" s="11">
        <f>B7369+30</f>
        <v/>
      </c>
      <c r="N7369">
        <f>IF(L7369="", "", L7369-B7369)</f>
        <v/>
      </c>
      <c r="O7369">
        <f>IF(L7369="", "Pending", IF(N7369&lt;=30, "Met", "Breached"))</f>
        <v/>
      </c>
    </row>
    <row r="7370">
      <c r="M7370" s="11">
        <f>B7370+30</f>
        <v/>
      </c>
      <c r="N7370">
        <f>IF(L7370="", "", L7370-B7370)</f>
        <v/>
      </c>
      <c r="O7370">
        <f>IF(L7370="", "Pending", IF(N7370&lt;=30, "Met", "Breached"))</f>
        <v/>
      </c>
    </row>
    <row r="7371">
      <c r="M7371" s="11">
        <f>B7371+30</f>
        <v/>
      </c>
      <c r="N7371">
        <f>IF(L7371="", "", L7371-B7371)</f>
        <v/>
      </c>
      <c r="O7371">
        <f>IF(L7371="", "Pending", IF(N7371&lt;=30, "Met", "Breached"))</f>
        <v/>
      </c>
    </row>
    <row r="7372">
      <c r="M7372" s="11">
        <f>B7372+30</f>
        <v/>
      </c>
      <c r="N7372">
        <f>IF(L7372="", "", L7372-B7372)</f>
        <v/>
      </c>
      <c r="O7372">
        <f>IF(L7372="", "Pending", IF(N7372&lt;=30, "Met", "Breached"))</f>
        <v/>
      </c>
    </row>
    <row r="7373">
      <c r="M7373" s="11">
        <f>B7373+30</f>
        <v/>
      </c>
      <c r="N7373">
        <f>IF(L7373="", "", L7373-B7373)</f>
        <v/>
      </c>
      <c r="O7373">
        <f>IF(L7373="", "Pending", IF(N7373&lt;=30, "Met", "Breached"))</f>
        <v/>
      </c>
    </row>
    <row r="7374">
      <c r="M7374" s="11">
        <f>B7374+30</f>
        <v/>
      </c>
      <c r="N7374">
        <f>IF(L7374="", "", L7374-B7374)</f>
        <v/>
      </c>
      <c r="O7374">
        <f>IF(L7374="", "Pending", IF(N7374&lt;=30, "Met", "Breached"))</f>
        <v/>
      </c>
    </row>
    <row r="7375">
      <c r="M7375" s="11">
        <f>B7375+30</f>
        <v/>
      </c>
      <c r="N7375">
        <f>IF(L7375="", "", L7375-B7375)</f>
        <v/>
      </c>
      <c r="O7375">
        <f>IF(L7375="", "Pending", IF(N7375&lt;=30, "Met", "Breached"))</f>
        <v/>
      </c>
    </row>
    <row r="7376">
      <c r="M7376" s="11">
        <f>B7376+30</f>
        <v/>
      </c>
      <c r="N7376">
        <f>IF(L7376="", "", L7376-B7376)</f>
        <v/>
      </c>
      <c r="O7376">
        <f>IF(L7376="", "Pending", IF(N7376&lt;=30, "Met", "Breached"))</f>
        <v/>
      </c>
    </row>
    <row r="7377">
      <c r="M7377" s="11">
        <f>B7377+30</f>
        <v/>
      </c>
      <c r="N7377">
        <f>IF(L7377="", "", L7377-B7377)</f>
        <v/>
      </c>
      <c r="O7377">
        <f>IF(L7377="", "Pending", IF(N7377&lt;=30, "Met", "Breached"))</f>
        <v/>
      </c>
    </row>
    <row r="7378">
      <c r="M7378" s="11">
        <f>B7378+30</f>
        <v/>
      </c>
      <c r="N7378">
        <f>IF(L7378="", "", L7378-B7378)</f>
        <v/>
      </c>
      <c r="O7378">
        <f>IF(L7378="", "Pending", IF(N7378&lt;=30, "Met", "Breached"))</f>
        <v/>
      </c>
    </row>
    <row r="7379">
      <c r="M7379" s="11">
        <f>B7379+30</f>
        <v/>
      </c>
      <c r="N7379">
        <f>IF(L7379="", "", L7379-B7379)</f>
        <v/>
      </c>
      <c r="O7379">
        <f>IF(L7379="", "Pending", IF(N7379&lt;=30, "Met", "Breached"))</f>
        <v/>
      </c>
    </row>
    <row r="7380">
      <c r="M7380" s="11">
        <f>B7380+30</f>
        <v/>
      </c>
      <c r="N7380">
        <f>IF(L7380="", "", L7380-B7380)</f>
        <v/>
      </c>
      <c r="O7380">
        <f>IF(L7380="", "Pending", IF(N7380&lt;=30, "Met", "Breached"))</f>
        <v/>
      </c>
    </row>
    <row r="7381">
      <c r="M7381" s="11">
        <f>B7381+30</f>
        <v/>
      </c>
      <c r="N7381">
        <f>IF(L7381="", "", L7381-B7381)</f>
        <v/>
      </c>
      <c r="O7381">
        <f>IF(L7381="", "Pending", IF(N7381&lt;=30, "Met", "Breached"))</f>
        <v/>
      </c>
    </row>
    <row r="7382">
      <c r="M7382" s="11">
        <f>B7382+30</f>
        <v/>
      </c>
      <c r="N7382">
        <f>IF(L7382="", "", L7382-B7382)</f>
        <v/>
      </c>
      <c r="O7382">
        <f>IF(L7382="", "Pending", IF(N7382&lt;=30, "Met", "Breached"))</f>
        <v/>
      </c>
    </row>
    <row r="7383">
      <c r="M7383" s="11">
        <f>B7383+30</f>
        <v/>
      </c>
      <c r="N7383">
        <f>IF(L7383="", "", L7383-B7383)</f>
        <v/>
      </c>
      <c r="O7383">
        <f>IF(L7383="", "Pending", IF(N7383&lt;=30, "Met", "Breached"))</f>
        <v/>
      </c>
    </row>
    <row r="7384">
      <c r="M7384" s="11">
        <f>B7384+30</f>
        <v/>
      </c>
      <c r="N7384">
        <f>IF(L7384="", "", L7384-B7384)</f>
        <v/>
      </c>
      <c r="O7384">
        <f>IF(L7384="", "Pending", IF(N7384&lt;=30, "Met", "Breached"))</f>
        <v/>
      </c>
    </row>
    <row r="7385">
      <c r="M7385" s="11">
        <f>B7385+30</f>
        <v/>
      </c>
      <c r="N7385">
        <f>IF(L7385="", "", L7385-B7385)</f>
        <v/>
      </c>
      <c r="O7385">
        <f>IF(L7385="", "Pending", IF(N7385&lt;=30, "Met", "Breached"))</f>
        <v/>
      </c>
    </row>
    <row r="7386">
      <c r="M7386" s="11">
        <f>B7386+30</f>
        <v/>
      </c>
      <c r="N7386">
        <f>IF(L7386="", "", L7386-B7386)</f>
        <v/>
      </c>
      <c r="O7386">
        <f>IF(L7386="", "Pending", IF(N7386&lt;=30, "Met", "Breached"))</f>
        <v/>
      </c>
    </row>
    <row r="7387">
      <c r="M7387" s="11">
        <f>B7387+30</f>
        <v/>
      </c>
      <c r="N7387">
        <f>IF(L7387="", "", L7387-B7387)</f>
        <v/>
      </c>
      <c r="O7387">
        <f>IF(L7387="", "Pending", IF(N7387&lt;=30, "Met", "Breached"))</f>
        <v/>
      </c>
    </row>
    <row r="7388">
      <c r="M7388" s="11">
        <f>B7388+30</f>
        <v/>
      </c>
      <c r="N7388">
        <f>IF(L7388="", "", L7388-B7388)</f>
        <v/>
      </c>
      <c r="O7388">
        <f>IF(L7388="", "Pending", IF(N7388&lt;=30, "Met", "Breached"))</f>
        <v/>
      </c>
    </row>
    <row r="7389">
      <c r="M7389" s="11">
        <f>B7389+30</f>
        <v/>
      </c>
      <c r="N7389">
        <f>IF(L7389="", "", L7389-B7389)</f>
        <v/>
      </c>
      <c r="O7389">
        <f>IF(L7389="", "Pending", IF(N7389&lt;=30, "Met", "Breached"))</f>
        <v/>
      </c>
    </row>
    <row r="7390">
      <c r="M7390" s="11">
        <f>B7390+30</f>
        <v/>
      </c>
      <c r="N7390">
        <f>IF(L7390="", "", L7390-B7390)</f>
        <v/>
      </c>
      <c r="O7390">
        <f>IF(L7390="", "Pending", IF(N7390&lt;=30, "Met", "Breached"))</f>
        <v/>
      </c>
    </row>
    <row r="7391">
      <c r="M7391" s="11">
        <f>B7391+30</f>
        <v/>
      </c>
      <c r="N7391">
        <f>IF(L7391="", "", L7391-B7391)</f>
        <v/>
      </c>
      <c r="O7391">
        <f>IF(L7391="", "Pending", IF(N7391&lt;=30, "Met", "Breached"))</f>
        <v/>
      </c>
    </row>
    <row r="7392">
      <c r="M7392" s="11">
        <f>B7392+30</f>
        <v/>
      </c>
      <c r="N7392">
        <f>IF(L7392="", "", L7392-B7392)</f>
        <v/>
      </c>
      <c r="O7392">
        <f>IF(L7392="", "Pending", IF(N7392&lt;=30, "Met", "Breached"))</f>
        <v/>
      </c>
    </row>
    <row r="7393">
      <c r="M7393" s="11">
        <f>B7393+30</f>
        <v/>
      </c>
      <c r="N7393">
        <f>IF(L7393="", "", L7393-B7393)</f>
        <v/>
      </c>
      <c r="O7393">
        <f>IF(L7393="", "Pending", IF(N7393&lt;=30, "Met", "Breached"))</f>
        <v/>
      </c>
    </row>
    <row r="7394">
      <c r="M7394" s="11">
        <f>B7394+30</f>
        <v/>
      </c>
      <c r="N7394">
        <f>IF(L7394="", "", L7394-B7394)</f>
        <v/>
      </c>
      <c r="O7394">
        <f>IF(L7394="", "Pending", IF(N7394&lt;=30, "Met", "Breached"))</f>
        <v/>
      </c>
    </row>
    <row r="7395">
      <c r="M7395" s="11">
        <f>B7395+30</f>
        <v/>
      </c>
      <c r="N7395">
        <f>IF(L7395="", "", L7395-B7395)</f>
        <v/>
      </c>
      <c r="O7395">
        <f>IF(L7395="", "Pending", IF(N7395&lt;=30, "Met", "Breached"))</f>
        <v/>
      </c>
    </row>
    <row r="7396">
      <c r="M7396" s="11">
        <f>B7396+30</f>
        <v/>
      </c>
      <c r="N7396">
        <f>IF(L7396="", "", L7396-B7396)</f>
        <v/>
      </c>
      <c r="O7396">
        <f>IF(L7396="", "Pending", IF(N7396&lt;=30, "Met", "Breached"))</f>
        <v/>
      </c>
    </row>
    <row r="7397">
      <c r="M7397" s="11">
        <f>B7397+30</f>
        <v/>
      </c>
      <c r="N7397">
        <f>IF(L7397="", "", L7397-B7397)</f>
        <v/>
      </c>
      <c r="O7397">
        <f>IF(L7397="", "Pending", IF(N7397&lt;=30, "Met", "Breached"))</f>
        <v/>
      </c>
    </row>
    <row r="7398">
      <c r="M7398" s="11">
        <f>B7398+30</f>
        <v/>
      </c>
      <c r="N7398">
        <f>IF(L7398="", "", L7398-B7398)</f>
        <v/>
      </c>
      <c r="O7398">
        <f>IF(L7398="", "Pending", IF(N7398&lt;=30, "Met", "Breached"))</f>
        <v/>
      </c>
    </row>
    <row r="7399">
      <c r="M7399" s="11">
        <f>B7399+30</f>
        <v/>
      </c>
      <c r="N7399">
        <f>IF(L7399="", "", L7399-B7399)</f>
        <v/>
      </c>
      <c r="O7399">
        <f>IF(L7399="", "Pending", IF(N7399&lt;=30, "Met", "Breached"))</f>
        <v/>
      </c>
    </row>
    <row r="7400">
      <c r="M7400" s="11">
        <f>B7400+30</f>
        <v/>
      </c>
      <c r="N7400">
        <f>IF(L7400="", "", L7400-B7400)</f>
        <v/>
      </c>
      <c r="O7400">
        <f>IF(L7400="", "Pending", IF(N7400&lt;=30, "Met", "Breached"))</f>
        <v/>
      </c>
    </row>
    <row r="7401">
      <c r="M7401" s="11">
        <f>B7401+30</f>
        <v/>
      </c>
      <c r="N7401">
        <f>IF(L7401="", "", L7401-B7401)</f>
        <v/>
      </c>
      <c r="O7401">
        <f>IF(L7401="", "Pending", IF(N7401&lt;=30, "Met", "Breached"))</f>
        <v/>
      </c>
    </row>
    <row r="7402">
      <c r="M7402" s="11">
        <f>B7402+30</f>
        <v/>
      </c>
      <c r="N7402">
        <f>IF(L7402="", "", L7402-B7402)</f>
        <v/>
      </c>
      <c r="O7402">
        <f>IF(L7402="", "Pending", IF(N7402&lt;=30, "Met", "Breached"))</f>
        <v/>
      </c>
    </row>
    <row r="7403">
      <c r="M7403" s="11">
        <f>B7403+30</f>
        <v/>
      </c>
      <c r="N7403">
        <f>IF(L7403="", "", L7403-B7403)</f>
        <v/>
      </c>
      <c r="O7403">
        <f>IF(L7403="", "Pending", IF(N7403&lt;=30, "Met", "Breached"))</f>
        <v/>
      </c>
    </row>
    <row r="7404">
      <c r="M7404" s="11">
        <f>B7404+30</f>
        <v/>
      </c>
      <c r="N7404">
        <f>IF(L7404="", "", L7404-B7404)</f>
        <v/>
      </c>
      <c r="O7404">
        <f>IF(L7404="", "Pending", IF(N7404&lt;=30, "Met", "Breached"))</f>
        <v/>
      </c>
    </row>
    <row r="7405">
      <c r="M7405" s="11">
        <f>B7405+30</f>
        <v/>
      </c>
      <c r="N7405">
        <f>IF(L7405="", "", L7405-B7405)</f>
        <v/>
      </c>
      <c r="O7405">
        <f>IF(L7405="", "Pending", IF(N7405&lt;=30, "Met", "Breached"))</f>
        <v/>
      </c>
    </row>
    <row r="7406">
      <c r="M7406" s="11">
        <f>B7406+30</f>
        <v/>
      </c>
      <c r="N7406">
        <f>IF(L7406="", "", L7406-B7406)</f>
        <v/>
      </c>
      <c r="O7406">
        <f>IF(L7406="", "Pending", IF(N7406&lt;=30, "Met", "Breached"))</f>
        <v/>
      </c>
    </row>
    <row r="7407">
      <c r="M7407" s="11">
        <f>B7407+30</f>
        <v/>
      </c>
      <c r="N7407">
        <f>IF(L7407="", "", L7407-B7407)</f>
        <v/>
      </c>
      <c r="O7407">
        <f>IF(L7407="", "Pending", IF(N7407&lt;=30, "Met", "Breached"))</f>
        <v/>
      </c>
    </row>
    <row r="7408">
      <c r="M7408" s="11">
        <f>B7408+30</f>
        <v/>
      </c>
      <c r="N7408">
        <f>IF(L7408="", "", L7408-B7408)</f>
        <v/>
      </c>
      <c r="O7408">
        <f>IF(L7408="", "Pending", IF(N7408&lt;=30, "Met", "Breached"))</f>
        <v/>
      </c>
    </row>
    <row r="7409">
      <c r="M7409" s="11">
        <f>B7409+30</f>
        <v/>
      </c>
      <c r="N7409">
        <f>IF(L7409="", "", L7409-B7409)</f>
        <v/>
      </c>
      <c r="O7409">
        <f>IF(L7409="", "Pending", IF(N7409&lt;=30, "Met", "Breached"))</f>
        <v/>
      </c>
    </row>
    <row r="7410">
      <c r="M7410" s="11">
        <f>B7410+30</f>
        <v/>
      </c>
      <c r="N7410">
        <f>IF(L7410="", "", L7410-B7410)</f>
        <v/>
      </c>
      <c r="O7410">
        <f>IF(L7410="", "Pending", IF(N7410&lt;=30, "Met", "Breached"))</f>
        <v/>
      </c>
    </row>
    <row r="7411">
      <c r="M7411" s="11">
        <f>B7411+30</f>
        <v/>
      </c>
      <c r="N7411">
        <f>IF(L7411="", "", L7411-B7411)</f>
        <v/>
      </c>
      <c r="O7411">
        <f>IF(L7411="", "Pending", IF(N7411&lt;=30, "Met", "Breached"))</f>
        <v/>
      </c>
    </row>
    <row r="7412">
      <c r="M7412" s="11">
        <f>B7412+30</f>
        <v/>
      </c>
      <c r="N7412">
        <f>IF(L7412="", "", L7412-B7412)</f>
        <v/>
      </c>
      <c r="O7412">
        <f>IF(L7412="", "Pending", IF(N7412&lt;=30, "Met", "Breached"))</f>
        <v/>
      </c>
    </row>
    <row r="7413">
      <c r="M7413" s="11">
        <f>B7413+30</f>
        <v/>
      </c>
      <c r="N7413">
        <f>IF(L7413="", "", L7413-B7413)</f>
        <v/>
      </c>
      <c r="O7413">
        <f>IF(L7413="", "Pending", IF(N7413&lt;=30, "Met", "Breached"))</f>
        <v/>
      </c>
    </row>
    <row r="7414">
      <c r="M7414" s="11">
        <f>B7414+30</f>
        <v/>
      </c>
      <c r="N7414">
        <f>IF(L7414="", "", L7414-B7414)</f>
        <v/>
      </c>
      <c r="O7414">
        <f>IF(L7414="", "Pending", IF(N7414&lt;=30, "Met", "Breached"))</f>
        <v/>
      </c>
    </row>
    <row r="7415">
      <c r="M7415" s="11">
        <f>B7415+30</f>
        <v/>
      </c>
      <c r="N7415">
        <f>IF(L7415="", "", L7415-B7415)</f>
        <v/>
      </c>
      <c r="O7415">
        <f>IF(L7415="", "Pending", IF(N7415&lt;=30, "Met", "Breached"))</f>
        <v/>
      </c>
    </row>
    <row r="7416">
      <c r="M7416" s="11">
        <f>B7416+30</f>
        <v/>
      </c>
      <c r="N7416">
        <f>IF(L7416="", "", L7416-B7416)</f>
        <v/>
      </c>
      <c r="O7416">
        <f>IF(L7416="", "Pending", IF(N7416&lt;=30, "Met", "Breached"))</f>
        <v/>
      </c>
    </row>
    <row r="7417">
      <c r="M7417" s="11">
        <f>B7417+30</f>
        <v/>
      </c>
      <c r="N7417">
        <f>IF(L7417="", "", L7417-B7417)</f>
        <v/>
      </c>
      <c r="O7417">
        <f>IF(L7417="", "Pending", IF(N7417&lt;=30, "Met", "Breached"))</f>
        <v/>
      </c>
    </row>
    <row r="7418">
      <c r="M7418" s="11">
        <f>B7418+30</f>
        <v/>
      </c>
      <c r="N7418">
        <f>IF(L7418="", "", L7418-B7418)</f>
        <v/>
      </c>
      <c r="O7418">
        <f>IF(L7418="", "Pending", IF(N7418&lt;=30, "Met", "Breached"))</f>
        <v/>
      </c>
    </row>
    <row r="7419">
      <c r="M7419" s="11">
        <f>B7419+30</f>
        <v/>
      </c>
      <c r="N7419">
        <f>IF(L7419="", "", L7419-B7419)</f>
        <v/>
      </c>
      <c r="O7419">
        <f>IF(L7419="", "Pending", IF(N7419&lt;=30, "Met", "Breached"))</f>
        <v/>
      </c>
    </row>
    <row r="7420">
      <c r="M7420" s="11">
        <f>B7420+30</f>
        <v/>
      </c>
      <c r="N7420">
        <f>IF(L7420="", "", L7420-B7420)</f>
        <v/>
      </c>
      <c r="O7420">
        <f>IF(L7420="", "Pending", IF(N7420&lt;=30, "Met", "Breached"))</f>
        <v/>
      </c>
    </row>
    <row r="7421">
      <c r="M7421" s="11">
        <f>B7421+30</f>
        <v/>
      </c>
      <c r="N7421">
        <f>IF(L7421="", "", L7421-B7421)</f>
        <v/>
      </c>
      <c r="O7421">
        <f>IF(L7421="", "Pending", IF(N7421&lt;=30, "Met", "Breached"))</f>
        <v/>
      </c>
    </row>
    <row r="7422">
      <c r="M7422" s="11">
        <f>B7422+30</f>
        <v/>
      </c>
      <c r="N7422">
        <f>IF(L7422="", "", L7422-B7422)</f>
        <v/>
      </c>
      <c r="O7422">
        <f>IF(L7422="", "Pending", IF(N7422&lt;=30, "Met", "Breached"))</f>
        <v/>
      </c>
    </row>
    <row r="7423">
      <c r="M7423" s="11">
        <f>B7423+30</f>
        <v/>
      </c>
      <c r="N7423">
        <f>IF(L7423="", "", L7423-B7423)</f>
        <v/>
      </c>
      <c r="O7423">
        <f>IF(L7423="", "Pending", IF(N7423&lt;=30, "Met", "Breached"))</f>
        <v/>
      </c>
    </row>
    <row r="7424">
      <c r="M7424" s="11">
        <f>B7424+30</f>
        <v/>
      </c>
      <c r="N7424">
        <f>IF(L7424="", "", L7424-B7424)</f>
        <v/>
      </c>
      <c r="O7424">
        <f>IF(L7424="", "Pending", IF(N7424&lt;=30, "Met", "Breached"))</f>
        <v/>
      </c>
    </row>
    <row r="7425">
      <c r="M7425" s="11">
        <f>B7425+30</f>
        <v/>
      </c>
      <c r="N7425">
        <f>IF(L7425="", "", L7425-B7425)</f>
        <v/>
      </c>
      <c r="O7425">
        <f>IF(L7425="", "Pending", IF(N7425&lt;=30, "Met", "Breached"))</f>
        <v/>
      </c>
    </row>
    <row r="7426">
      <c r="M7426" s="11">
        <f>B7426+30</f>
        <v/>
      </c>
      <c r="N7426">
        <f>IF(L7426="", "", L7426-B7426)</f>
        <v/>
      </c>
      <c r="O7426">
        <f>IF(L7426="", "Pending", IF(N7426&lt;=30, "Met", "Breached"))</f>
        <v/>
      </c>
    </row>
    <row r="7427">
      <c r="M7427" s="11">
        <f>B7427+30</f>
        <v/>
      </c>
      <c r="N7427">
        <f>IF(L7427="", "", L7427-B7427)</f>
        <v/>
      </c>
      <c r="O7427">
        <f>IF(L7427="", "Pending", IF(N7427&lt;=30, "Met", "Breached"))</f>
        <v/>
      </c>
    </row>
    <row r="7428">
      <c r="M7428" s="11">
        <f>B7428+30</f>
        <v/>
      </c>
      <c r="N7428">
        <f>IF(L7428="", "", L7428-B7428)</f>
        <v/>
      </c>
      <c r="O7428">
        <f>IF(L7428="", "Pending", IF(N7428&lt;=30, "Met", "Breached"))</f>
        <v/>
      </c>
    </row>
    <row r="7429">
      <c r="M7429" s="11">
        <f>B7429+30</f>
        <v/>
      </c>
      <c r="N7429">
        <f>IF(L7429="", "", L7429-B7429)</f>
        <v/>
      </c>
      <c r="O7429">
        <f>IF(L7429="", "Pending", IF(N7429&lt;=30, "Met", "Breached"))</f>
        <v/>
      </c>
    </row>
    <row r="7430">
      <c r="M7430" s="11">
        <f>B7430+30</f>
        <v/>
      </c>
      <c r="N7430">
        <f>IF(L7430="", "", L7430-B7430)</f>
        <v/>
      </c>
      <c r="O7430">
        <f>IF(L7430="", "Pending", IF(N7430&lt;=30, "Met", "Breached"))</f>
        <v/>
      </c>
    </row>
    <row r="7431">
      <c r="M7431" s="11">
        <f>B7431+30</f>
        <v/>
      </c>
      <c r="N7431">
        <f>IF(L7431="", "", L7431-B7431)</f>
        <v/>
      </c>
      <c r="O7431">
        <f>IF(L7431="", "Pending", IF(N7431&lt;=30, "Met", "Breached"))</f>
        <v/>
      </c>
    </row>
    <row r="7432">
      <c r="M7432" s="11">
        <f>B7432+30</f>
        <v/>
      </c>
      <c r="N7432">
        <f>IF(L7432="", "", L7432-B7432)</f>
        <v/>
      </c>
      <c r="O7432">
        <f>IF(L7432="", "Pending", IF(N7432&lt;=30, "Met", "Breached"))</f>
        <v/>
      </c>
    </row>
    <row r="7433">
      <c r="M7433" s="11">
        <f>B7433+30</f>
        <v/>
      </c>
      <c r="N7433">
        <f>IF(L7433="", "", L7433-B7433)</f>
        <v/>
      </c>
      <c r="O7433">
        <f>IF(L7433="", "Pending", IF(N7433&lt;=30, "Met", "Breached"))</f>
        <v/>
      </c>
    </row>
    <row r="7434">
      <c r="M7434" s="11">
        <f>B7434+30</f>
        <v/>
      </c>
      <c r="N7434">
        <f>IF(L7434="", "", L7434-B7434)</f>
        <v/>
      </c>
      <c r="O7434">
        <f>IF(L7434="", "Pending", IF(N7434&lt;=30, "Met", "Breached"))</f>
        <v/>
      </c>
    </row>
    <row r="7435">
      <c r="M7435" s="11">
        <f>B7435+30</f>
        <v/>
      </c>
      <c r="N7435">
        <f>IF(L7435="", "", L7435-B7435)</f>
        <v/>
      </c>
      <c r="O7435">
        <f>IF(L7435="", "Pending", IF(N7435&lt;=30, "Met", "Breached"))</f>
        <v/>
      </c>
    </row>
    <row r="7436">
      <c r="M7436" s="11">
        <f>B7436+30</f>
        <v/>
      </c>
      <c r="N7436">
        <f>IF(L7436="", "", L7436-B7436)</f>
        <v/>
      </c>
      <c r="O7436">
        <f>IF(L7436="", "Pending", IF(N7436&lt;=30, "Met", "Breached"))</f>
        <v/>
      </c>
    </row>
    <row r="7437">
      <c r="M7437" s="11">
        <f>B7437+30</f>
        <v/>
      </c>
      <c r="N7437">
        <f>IF(L7437="", "", L7437-B7437)</f>
        <v/>
      </c>
      <c r="O7437">
        <f>IF(L7437="", "Pending", IF(N7437&lt;=30, "Met", "Breached"))</f>
        <v/>
      </c>
    </row>
    <row r="7438">
      <c r="M7438" s="11">
        <f>B7438+30</f>
        <v/>
      </c>
      <c r="N7438">
        <f>IF(L7438="", "", L7438-B7438)</f>
        <v/>
      </c>
      <c r="O7438">
        <f>IF(L7438="", "Pending", IF(N7438&lt;=30, "Met", "Breached"))</f>
        <v/>
      </c>
    </row>
    <row r="7439">
      <c r="M7439" s="11">
        <f>B7439+30</f>
        <v/>
      </c>
      <c r="N7439">
        <f>IF(L7439="", "", L7439-B7439)</f>
        <v/>
      </c>
      <c r="O7439">
        <f>IF(L7439="", "Pending", IF(N7439&lt;=30, "Met", "Breached"))</f>
        <v/>
      </c>
    </row>
    <row r="7440">
      <c r="M7440" s="11">
        <f>B7440+30</f>
        <v/>
      </c>
      <c r="N7440">
        <f>IF(L7440="", "", L7440-B7440)</f>
        <v/>
      </c>
      <c r="O7440">
        <f>IF(L7440="", "Pending", IF(N7440&lt;=30, "Met", "Breached"))</f>
        <v/>
      </c>
    </row>
    <row r="7441">
      <c r="M7441" s="11">
        <f>B7441+30</f>
        <v/>
      </c>
      <c r="N7441">
        <f>IF(L7441="", "", L7441-B7441)</f>
        <v/>
      </c>
      <c r="O7441">
        <f>IF(L7441="", "Pending", IF(N7441&lt;=30, "Met", "Breached"))</f>
        <v/>
      </c>
    </row>
    <row r="7442">
      <c r="M7442" s="11">
        <f>B7442+30</f>
        <v/>
      </c>
      <c r="N7442">
        <f>IF(L7442="", "", L7442-B7442)</f>
        <v/>
      </c>
      <c r="O7442">
        <f>IF(L7442="", "Pending", IF(N7442&lt;=30, "Met", "Breached"))</f>
        <v/>
      </c>
    </row>
    <row r="7443">
      <c r="M7443" s="11">
        <f>B7443+30</f>
        <v/>
      </c>
      <c r="N7443">
        <f>IF(L7443="", "", L7443-B7443)</f>
        <v/>
      </c>
      <c r="O7443">
        <f>IF(L7443="", "Pending", IF(N7443&lt;=30, "Met", "Breached"))</f>
        <v/>
      </c>
    </row>
    <row r="7444">
      <c r="M7444" s="11">
        <f>B7444+30</f>
        <v/>
      </c>
      <c r="N7444">
        <f>IF(L7444="", "", L7444-B7444)</f>
        <v/>
      </c>
      <c r="O7444">
        <f>IF(L7444="", "Pending", IF(N7444&lt;=30, "Met", "Breached"))</f>
        <v/>
      </c>
    </row>
    <row r="7445">
      <c r="M7445" s="11">
        <f>B7445+30</f>
        <v/>
      </c>
      <c r="N7445">
        <f>IF(L7445="", "", L7445-B7445)</f>
        <v/>
      </c>
      <c r="O7445">
        <f>IF(L7445="", "Pending", IF(N7445&lt;=30, "Met", "Breached"))</f>
        <v/>
      </c>
    </row>
    <row r="7446">
      <c r="M7446" s="11">
        <f>B7446+30</f>
        <v/>
      </c>
      <c r="N7446">
        <f>IF(L7446="", "", L7446-B7446)</f>
        <v/>
      </c>
      <c r="O7446">
        <f>IF(L7446="", "Pending", IF(N7446&lt;=30, "Met", "Breached"))</f>
        <v/>
      </c>
    </row>
    <row r="7447">
      <c r="M7447" s="11">
        <f>B7447+30</f>
        <v/>
      </c>
      <c r="N7447">
        <f>IF(L7447="", "", L7447-B7447)</f>
        <v/>
      </c>
      <c r="O7447">
        <f>IF(L7447="", "Pending", IF(N7447&lt;=30, "Met", "Breached"))</f>
        <v/>
      </c>
    </row>
    <row r="7448">
      <c r="M7448" s="11">
        <f>B7448+30</f>
        <v/>
      </c>
      <c r="N7448">
        <f>IF(L7448="", "", L7448-B7448)</f>
        <v/>
      </c>
      <c r="O7448">
        <f>IF(L7448="", "Pending", IF(N7448&lt;=30, "Met", "Breached"))</f>
        <v/>
      </c>
    </row>
    <row r="7449">
      <c r="M7449" s="11">
        <f>B7449+30</f>
        <v/>
      </c>
      <c r="N7449">
        <f>IF(L7449="", "", L7449-B7449)</f>
        <v/>
      </c>
      <c r="O7449">
        <f>IF(L7449="", "Pending", IF(N7449&lt;=30, "Met", "Breached"))</f>
        <v/>
      </c>
    </row>
    <row r="7450">
      <c r="M7450" s="11">
        <f>B7450+30</f>
        <v/>
      </c>
      <c r="N7450">
        <f>IF(L7450="", "", L7450-B7450)</f>
        <v/>
      </c>
      <c r="O7450">
        <f>IF(L7450="", "Pending", IF(N7450&lt;=30, "Met", "Breached"))</f>
        <v/>
      </c>
    </row>
    <row r="7451">
      <c r="M7451" s="11">
        <f>B7451+30</f>
        <v/>
      </c>
      <c r="N7451">
        <f>IF(L7451="", "", L7451-B7451)</f>
        <v/>
      </c>
      <c r="O7451">
        <f>IF(L7451="", "Pending", IF(N7451&lt;=30, "Met", "Breached"))</f>
        <v/>
      </c>
    </row>
    <row r="7452">
      <c r="M7452" s="11">
        <f>B7452+30</f>
        <v/>
      </c>
      <c r="N7452">
        <f>IF(L7452="", "", L7452-B7452)</f>
        <v/>
      </c>
      <c r="O7452">
        <f>IF(L7452="", "Pending", IF(N7452&lt;=30, "Met", "Breached"))</f>
        <v/>
      </c>
    </row>
    <row r="7453">
      <c r="M7453" s="11">
        <f>B7453+30</f>
        <v/>
      </c>
      <c r="N7453">
        <f>IF(L7453="", "", L7453-B7453)</f>
        <v/>
      </c>
      <c r="O7453">
        <f>IF(L7453="", "Pending", IF(N7453&lt;=30, "Met", "Breached"))</f>
        <v/>
      </c>
    </row>
    <row r="7454">
      <c r="M7454" s="11">
        <f>B7454+30</f>
        <v/>
      </c>
      <c r="N7454">
        <f>IF(L7454="", "", L7454-B7454)</f>
        <v/>
      </c>
      <c r="O7454">
        <f>IF(L7454="", "Pending", IF(N7454&lt;=30, "Met", "Breached"))</f>
        <v/>
      </c>
    </row>
    <row r="7455">
      <c r="M7455" s="11">
        <f>B7455+30</f>
        <v/>
      </c>
      <c r="N7455">
        <f>IF(L7455="", "", L7455-B7455)</f>
        <v/>
      </c>
      <c r="O7455">
        <f>IF(L7455="", "Pending", IF(N7455&lt;=30, "Met", "Breached"))</f>
        <v/>
      </c>
    </row>
    <row r="7456">
      <c r="M7456" s="11">
        <f>B7456+30</f>
        <v/>
      </c>
      <c r="N7456">
        <f>IF(L7456="", "", L7456-B7456)</f>
        <v/>
      </c>
      <c r="O7456">
        <f>IF(L7456="", "Pending", IF(N7456&lt;=30, "Met", "Breached"))</f>
        <v/>
      </c>
    </row>
    <row r="7457">
      <c r="M7457" s="11">
        <f>B7457+30</f>
        <v/>
      </c>
      <c r="N7457">
        <f>IF(L7457="", "", L7457-B7457)</f>
        <v/>
      </c>
      <c r="O7457">
        <f>IF(L7457="", "Pending", IF(N7457&lt;=30, "Met", "Breached"))</f>
        <v/>
      </c>
    </row>
    <row r="7458">
      <c r="M7458" s="11">
        <f>B7458+30</f>
        <v/>
      </c>
      <c r="N7458">
        <f>IF(L7458="", "", L7458-B7458)</f>
        <v/>
      </c>
      <c r="O7458">
        <f>IF(L7458="", "Pending", IF(N7458&lt;=30, "Met", "Breached"))</f>
        <v/>
      </c>
    </row>
    <row r="7459">
      <c r="M7459" s="11">
        <f>B7459+30</f>
        <v/>
      </c>
      <c r="N7459">
        <f>IF(L7459="", "", L7459-B7459)</f>
        <v/>
      </c>
      <c r="O7459">
        <f>IF(L7459="", "Pending", IF(N7459&lt;=30, "Met", "Breached"))</f>
        <v/>
      </c>
    </row>
    <row r="7460">
      <c r="M7460" s="11">
        <f>B7460+30</f>
        <v/>
      </c>
      <c r="N7460">
        <f>IF(L7460="", "", L7460-B7460)</f>
        <v/>
      </c>
      <c r="O7460">
        <f>IF(L7460="", "Pending", IF(N7460&lt;=30, "Met", "Breached"))</f>
        <v/>
      </c>
    </row>
    <row r="7461">
      <c r="M7461" s="11">
        <f>B7461+30</f>
        <v/>
      </c>
      <c r="N7461">
        <f>IF(L7461="", "", L7461-B7461)</f>
        <v/>
      </c>
      <c r="O7461">
        <f>IF(L7461="", "Pending", IF(N7461&lt;=30, "Met", "Breached"))</f>
        <v/>
      </c>
    </row>
    <row r="7462">
      <c r="M7462" s="11">
        <f>B7462+30</f>
        <v/>
      </c>
      <c r="N7462">
        <f>IF(L7462="", "", L7462-B7462)</f>
        <v/>
      </c>
      <c r="O7462">
        <f>IF(L7462="", "Pending", IF(N7462&lt;=30, "Met", "Breached"))</f>
        <v/>
      </c>
    </row>
    <row r="7463">
      <c r="M7463" s="11">
        <f>B7463+30</f>
        <v/>
      </c>
      <c r="N7463">
        <f>IF(L7463="", "", L7463-B7463)</f>
        <v/>
      </c>
      <c r="O7463">
        <f>IF(L7463="", "Pending", IF(N7463&lt;=30, "Met", "Breached"))</f>
        <v/>
      </c>
    </row>
    <row r="7464">
      <c r="M7464" s="11">
        <f>B7464+30</f>
        <v/>
      </c>
      <c r="N7464">
        <f>IF(L7464="", "", L7464-B7464)</f>
        <v/>
      </c>
      <c r="O7464">
        <f>IF(L7464="", "Pending", IF(N7464&lt;=30, "Met", "Breached"))</f>
        <v/>
      </c>
    </row>
    <row r="7465">
      <c r="M7465" s="11">
        <f>B7465+30</f>
        <v/>
      </c>
      <c r="N7465">
        <f>IF(L7465="", "", L7465-B7465)</f>
        <v/>
      </c>
      <c r="O7465">
        <f>IF(L7465="", "Pending", IF(N7465&lt;=30, "Met", "Breached"))</f>
        <v/>
      </c>
    </row>
    <row r="7466">
      <c r="M7466" s="11">
        <f>B7466+30</f>
        <v/>
      </c>
      <c r="N7466">
        <f>IF(L7466="", "", L7466-B7466)</f>
        <v/>
      </c>
      <c r="O7466">
        <f>IF(L7466="", "Pending", IF(N7466&lt;=30, "Met", "Breached"))</f>
        <v/>
      </c>
    </row>
    <row r="7467">
      <c r="M7467" s="11">
        <f>B7467+30</f>
        <v/>
      </c>
      <c r="N7467">
        <f>IF(L7467="", "", L7467-B7467)</f>
        <v/>
      </c>
      <c r="O7467">
        <f>IF(L7467="", "Pending", IF(N7467&lt;=30, "Met", "Breached"))</f>
        <v/>
      </c>
    </row>
    <row r="7468">
      <c r="M7468" s="11">
        <f>B7468+30</f>
        <v/>
      </c>
      <c r="N7468">
        <f>IF(L7468="", "", L7468-B7468)</f>
        <v/>
      </c>
      <c r="O7468">
        <f>IF(L7468="", "Pending", IF(N7468&lt;=30, "Met", "Breached"))</f>
        <v/>
      </c>
    </row>
    <row r="7469">
      <c r="M7469" s="11">
        <f>B7469+30</f>
        <v/>
      </c>
      <c r="N7469">
        <f>IF(L7469="", "", L7469-B7469)</f>
        <v/>
      </c>
      <c r="O7469">
        <f>IF(L7469="", "Pending", IF(N7469&lt;=30, "Met", "Breached"))</f>
        <v/>
      </c>
    </row>
    <row r="7470">
      <c r="M7470" s="11">
        <f>B7470+30</f>
        <v/>
      </c>
      <c r="N7470">
        <f>IF(L7470="", "", L7470-B7470)</f>
        <v/>
      </c>
      <c r="O7470">
        <f>IF(L7470="", "Pending", IF(N7470&lt;=30, "Met", "Breached"))</f>
        <v/>
      </c>
    </row>
    <row r="7471">
      <c r="M7471" s="11">
        <f>B7471+30</f>
        <v/>
      </c>
      <c r="N7471">
        <f>IF(L7471="", "", L7471-B7471)</f>
        <v/>
      </c>
      <c r="O7471">
        <f>IF(L7471="", "Pending", IF(N7471&lt;=30, "Met", "Breached"))</f>
        <v/>
      </c>
    </row>
    <row r="7472">
      <c r="M7472" s="11">
        <f>B7472+30</f>
        <v/>
      </c>
      <c r="N7472">
        <f>IF(L7472="", "", L7472-B7472)</f>
        <v/>
      </c>
      <c r="O7472">
        <f>IF(L7472="", "Pending", IF(N7472&lt;=30, "Met", "Breached"))</f>
        <v/>
      </c>
    </row>
    <row r="7473">
      <c r="M7473" s="11">
        <f>B7473+30</f>
        <v/>
      </c>
      <c r="N7473">
        <f>IF(L7473="", "", L7473-B7473)</f>
        <v/>
      </c>
      <c r="O7473">
        <f>IF(L7473="", "Pending", IF(N7473&lt;=30, "Met", "Breached"))</f>
        <v/>
      </c>
    </row>
    <row r="7474">
      <c r="M7474" s="11">
        <f>B7474+30</f>
        <v/>
      </c>
      <c r="N7474">
        <f>IF(L7474="", "", L7474-B7474)</f>
        <v/>
      </c>
      <c r="O7474">
        <f>IF(L7474="", "Pending", IF(N7474&lt;=30, "Met", "Breached"))</f>
        <v/>
      </c>
    </row>
    <row r="7475">
      <c r="M7475" s="11">
        <f>B7475+30</f>
        <v/>
      </c>
      <c r="N7475">
        <f>IF(L7475="", "", L7475-B7475)</f>
        <v/>
      </c>
      <c r="O7475">
        <f>IF(L7475="", "Pending", IF(N7475&lt;=30, "Met", "Breached"))</f>
        <v/>
      </c>
    </row>
    <row r="7476">
      <c r="M7476" s="11">
        <f>B7476+30</f>
        <v/>
      </c>
      <c r="N7476">
        <f>IF(L7476="", "", L7476-B7476)</f>
        <v/>
      </c>
      <c r="O7476">
        <f>IF(L7476="", "Pending", IF(N7476&lt;=30, "Met", "Breached"))</f>
        <v/>
      </c>
    </row>
    <row r="7477">
      <c r="M7477" s="11">
        <f>B7477+30</f>
        <v/>
      </c>
      <c r="N7477">
        <f>IF(L7477="", "", L7477-B7477)</f>
        <v/>
      </c>
      <c r="O7477">
        <f>IF(L7477="", "Pending", IF(N7477&lt;=30, "Met", "Breached"))</f>
        <v/>
      </c>
    </row>
    <row r="7478">
      <c r="M7478" s="11">
        <f>B7478+30</f>
        <v/>
      </c>
      <c r="N7478">
        <f>IF(L7478="", "", L7478-B7478)</f>
        <v/>
      </c>
      <c r="O7478">
        <f>IF(L7478="", "Pending", IF(N7478&lt;=30, "Met", "Breached"))</f>
        <v/>
      </c>
    </row>
    <row r="7479">
      <c r="M7479" s="11">
        <f>B7479+30</f>
        <v/>
      </c>
      <c r="N7479">
        <f>IF(L7479="", "", L7479-B7479)</f>
        <v/>
      </c>
      <c r="O7479">
        <f>IF(L7479="", "Pending", IF(N7479&lt;=30, "Met", "Breached"))</f>
        <v/>
      </c>
    </row>
    <row r="7480">
      <c r="M7480" s="11">
        <f>B7480+30</f>
        <v/>
      </c>
      <c r="N7480">
        <f>IF(L7480="", "", L7480-B7480)</f>
        <v/>
      </c>
      <c r="O7480">
        <f>IF(L7480="", "Pending", IF(N7480&lt;=30, "Met", "Breached"))</f>
        <v/>
      </c>
    </row>
    <row r="7481">
      <c r="M7481" s="11">
        <f>B7481+30</f>
        <v/>
      </c>
      <c r="N7481">
        <f>IF(L7481="", "", L7481-B7481)</f>
        <v/>
      </c>
      <c r="O7481">
        <f>IF(L7481="", "Pending", IF(N7481&lt;=30, "Met", "Breached"))</f>
        <v/>
      </c>
    </row>
    <row r="7482">
      <c r="M7482" s="11">
        <f>B7482+30</f>
        <v/>
      </c>
      <c r="N7482">
        <f>IF(L7482="", "", L7482-B7482)</f>
        <v/>
      </c>
      <c r="O7482">
        <f>IF(L7482="", "Pending", IF(N7482&lt;=30, "Met", "Breached"))</f>
        <v/>
      </c>
    </row>
    <row r="7483">
      <c r="M7483" s="11">
        <f>B7483+30</f>
        <v/>
      </c>
      <c r="N7483">
        <f>IF(L7483="", "", L7483-B7483)</f>
        <v/>
      </c>
      <c r="O7483">
        <f>IF(L7483="", "Pending", IF(N7483&lt;=30, "Met", "Breached"))</f>
        <v/>
      </c>
    </row>
    <row r="7484">
      <c r="M7484" s="11">
        <f>B7484+30</f>
        <v/>
      </c>
      <c r="N7484">
        <f>IF(L7484="", "", L7484-B7484)</f>
        <v/>
      </c>
      <c r="O7484">
        <f>IF(L7484="", "Pending", IF(N7484&lt;=30, "Met", "Breached"))</f>
        <v/>
      </c>
    </row>
    <row r="7485">
      <c r="M7485" s="11">
        <f>B7485+30</f>
        <v/>
      </c>
      <c r="N7485">
        <f>IF(L7485="", "", L7485-B7485)</f>
        <v/>
      </c>
      <c r="O7485">
        <f>IF(L7485="", "Pending", IF(N7485&lt;=30, "Met", "Breached"))</f>
        <v/>
      </c>
    </row>
    <row r="7486">
      <c r="M7486" s="11">
        <f>B7486+30</f>
        <v/>
      </c>
      <c r="N7486">
        <f>IF(L7486="", "", L7486-B7486)</f>
        <v/>
      </c>
      <c r="O7486">
        <f>IF(L7486="", "Pending", IF(N7486&lt;=30, "Met", "Breached"))</f>
        <v/>
      </c>
    </row>
    <row r="7487">
      <c r="M7487" s="11">
        <f>B7487+30</f>
        <v/>
      </c>
      <c r="N7487">
        <f>IF(L7487="", "", L7487-B7487)</f>
        <v/>
      </c>
      <c r="O7487">
        <f>IF(L7487="", "Pending", IF(N7487&lt;=30, "Met", "Breached"))</f>
        <v/>
      </c>
    </row>
    <row r="7488">
      <c r="M7488" s="11">
        <f>B7488+30</f>
        <v/>
      </c>
      <c r="N7488">
        <f>IF(L7488="", "", L7488-B7488)</f>
        <v/>
      </c>
      <c r="O7488">
        <f>IF(L7488="", "Pending", IF(N7488&lt;=30, "Met", "Breached"))</f>
        <v/>
      </c>
    </row>
    <row r="7489">
      <c r="M7489" s="11">
        <f>B7489+30</f>
        <v/>
      </c>
      <c r="N7489">
        <f>IF(L7489="", "", L7489-B7489)</f>
        <v/>
      </c>
      <c r="O7489">
        <f>IF(L7489="", "Pending", IF(N7489&lt;=30, "Met", "Breached"))</f>
        <v/>
      </c>
    </row>
    <row r="7490">
      <c r="M7490" s="11">
        <f>B7490+30</f>
        <v/>
      </c>
      <c r="N7490">
        <f>IF(L7490="", "", L7490-B7490)</f>
        <v/>
      </c>
      <c r="O7490">
        <f>IF(L7490="", "Pending", IF(N7490&lt;=30, "Met", "Breached"))</f>
        <v/>
      </c>
    </row>
    <row r="7491">
      <c r="M7491" s="11">
        <f>B7491+30</f>
        <v/>
      </c>
      <c r="N7491">
        <f>IF(L7491="", "", L7491-B7491)</f>
        <v/>
      </c>
      <c r="O7491">
        <f>IF(L7491="", "Pending", IF(N7491&lt;=30, "Met", "Breached"))</f>
        <v/>
      </c>
    </row>
    <row r="7492">
      <c r="M7492" s="11">
        <f>B7492+30</f>
        <v/>
      </c>
      <c r="N7492">
        <f>IF(L7492="", "", L7492-B7492)</f>
        <v/>
      </c>
      <c r="O7492">
        <f>IF(L7492="", "Pending", IF(N7492&lt;=30, "Met", "Breached"))</f>
        <v/>
      </c>
    </row>
    <row r="7493">
      <c r="M7493" s="11">
        <f>B7493+30</f>
        <v/>
      </c>
      <c r="N7493">
        <f>IF(L7493="", "", L7493-B7493)</f>
        <v/>
      </c>
      <c r="O7493">
        <f>IF(L7493="", "Pending", IF(N7493&lt;=30, "Met", "Breached"))</f>
        <v/>
      </c>
    </row>
    <row r="7494">
      <c r="M7494" s="11">
        <f>B7494+30</f>
        <v/>
      </c>
      <c r="N7494">
        <f>IF(L7494="", "", L7494-B7494)</f>
        <v/>
      </c>
      <c r="O7494">
        <f>IF(L7494="", "Pending", IF(N7494&lt;=30, "Met", "Breached"))</f>
        <v/>
      </c>
    </row>
    <row r="7495">
      <c r="M7495" s="11">
        <f>B7495+30</f>
        <v/>
      </c>
      <c r="N7495">
        <f>IF(L7495="", "", L7495-B7495)</f>
        <v/>
      </c>
      <c r="O7495">
        <f>IF(L7495="", "Pending", IF(N7495&lt;=30, "Met", "Breached"))</f>
        <v/>
      </c>
    </row>
    <row r="7496">
      <c r="M7496" s="11">
        <f>B7496+30</f>
        <v/>
      </c>
      <c r="N7496">
        <f>IF(L7496="", "", L7496-B7496)</f>
        <v/>
      </c>
      <c r="O7496">
        <f>IF(L7496="", "Pending", IF(N7496&lt;=30, "Met", "Breached"))</f>
        <v/>
      </c>
    </row>
    <row r="7497">
      <c r="M7497" s="11">
        <f>B7497+30</f>
        <v/>
      </c>
      <c r="N7497">
        <f>IF(L7497="", "", L7497-B7497)</f>
        <v/>
      </c>
      <c r="O7497">
        <f>IF(L7497="", "Pending", IF(N7497&lt;=30, "Met", "Breached"))</f>
        <v/>
      </c>
    </row>
    <row r="7498">
      <c r="M7498" s="11">
        <f>B7498+30</f>
        <v/>
      </c>
      <c r="N7498">
        <f>IF(L7498="", "", L7498-B7498)</f>
        <v/>
      </c>
      <c r="O7498">
        <f>IF(L7498="", "Pending", IF(N7498&lt;=30, "Met", "Breached"))</f>
        <v/>
      </c>
    </row>
    <row r="7499">
      <c r="M7499" s="11">
        <f>B7499+30</f>
        <v/>
      </c>
      <c r="N7499">
        <f>IF(L7499="", "", L7499-B7499)</f>
        <v/>
      </c>
      <c r="O7499">
        <f>IF(L7499="", "Pending", IF(N7499&lt;=30, "Met", "Breached"))</f>
        <v/>
      </c>
    </row>
    <row r="7500">
      <c r="M7500" s="11">
        <f>B7500+30</f>
        <v/>
      </c>
      <c r="N7500">
        <f>IF(L7500="", "", L7500-B7500)</f>
        <v/>
      </c>
      <c r="O7500">
        <f>IF(L7500="", "Pending", IF(N7500&lt;=30, "Met", "Breached"))</f>
        <v/>
      </c>
    </row>
    <row r="7501">
      <c r="M7501" s="11">
        <f>B7501+30</f>
        <v/>
      </c>
      <c r="N7501">
        <f>IF(L7501="", "", L7501-B7501)</f>
        <v/>
      </c>
      <c r="O7501">
        <f>IF(L7501="", "Pending", IF(N7501&lt;=30, "Met", "Breached"))</f>
        <v/>
      </c>
    </row>
    <row r="7502">
      <c r="M7502" s="11">
        <f>B7502+30</f>
        <v/>
      </c>
      <c r="N7502">
        <f>IF(L7502="", "", L7502-B7502)</f>
        <v/>
      </c>
      <c r="O7502">
        <f>IF(L7502="", "Pending", IF(N7502&lt;=30, "Met", "Breached"))</f>
        <v/>
      </c>
    </row>
    <row r="7503">
      <c r="M7503" s="11">
        <f>B7503+30</f>
        <v/>
      </c>
      <c r="N7503">
        <f>IF(L7503="", "", L7503-B7503)</f>
        <v/>
      </c>
      <c r="O7503">
        <f>IF(L7503="", "Pending", IF(N7503&lt;=30, "Met", "Breached"))</f>
        <v/>
      </c>
    </row>
    <row r="7504">
      <c r="M7504" s="11">
        <f>B7504+30</f>
        <v/>
      </c>
      <c r="N7504">
        <f>IF(L7504="", "", L7504-B7504)</f>
        <v/>
      </c>
      <c r="O7504">
        <f>IF(L7504="", "Pending", IF(N7504&lt;=30, "Met", "Breached"))</f>
        <v/>
      </c>
    </row>
    <row r="7505">
      <c r="M7505" s="11">
        <f>B7505+30</f>
        <v/>
      </c>
      <c r="N7505">
        <f>IF(L7505="", "", L7505-B7505)</f>
        <v/>
      </c>
      <c r="O7505">
        <f>IF(L7505="", "Pending", IF(N7505&lt;=30, "Met", "Breached"))</f>
        <v/>
      </c>
    </row>
    <row r="7506">
      <c r="M7506" s="11">
        <f>B7506+30</f>
        <v/>
      </c>
      <c r="N7506">
        <f>IF(L7506="", "", L7506-B7506)</f>
        <v/>
      </c>
      <c r="O7506">
        <f>IF(L7506="", "Pending", IF(N7506&lt;=30, "Met", "Breached"))</f>
        <v/>
      </c>
    </row>
    <row r="7507">
      <c r="M7507" s="11">
        <f>B7507+30</f>
        <v/>
      </c>
      <c r="N7507">
        <f>IF(L7507="", "", L7507-B7507)</f>
        <v/>
      </c>
      <c r="O7507">
        <f>IF(L7507="", "Pending", IF(N7507&lt;=30, "Met", "Breached"))</f>
        <v/>
      </c>
    </row>
    <row r="7508">
      <c r="M7508" s="11">
        <f>B7508+30</f>
        <v/>
      </c>
      <c r="N7508">
        <f>IF(L7508="", "", L7508-B7508)</f>
        <v/>
      </c>
      <c r="O7508">
        <f>IF(L7508="", "Pending", IF(N7508&lt;=30, "Met", "Breached"))</f>
        <v/>
      </c>
    </row>
    <row r="7509">
      <c r="M7509" s="11">
        <f>B7509+30</f>
        <v/>
      </c>
      <c r="N7509">
        <f>IF(L7509="", "", L7509-B7509)</f>
        <v/>
      </c>
      <c r="O7509">
        <f>IF(L7509="", "Pending", IF(N7509&lt;=30, "Met", "Breached"))</f>
        <v/>
      </c>
    </row>
    <row r="7510">
      <c r="M7510" s="11">
        <f>B7510+30</f>
        <v/>
      </c>
      <c r="N7510">
        <f>IF(L7510="", "", L7510-B7510)</f>
        <v/>
      </c>
      <c r="O7510">
        <f>IF(L7510="", "Pending", IF(N7510&lt;=30, "Met", "Breached"))</f>
        <v/>
      </c>
    </row>
    <row r="7511">
      <c r="M7511" s="11">
        <f>B7511+30</f>
        <v/>
      </c>
      <c r="N7511">
        <f>IF(L7511="", "", L7511-B7511)</f>
        <v/>
      </c>
      <c r="O7511">
        <f>IF(L7511="", "Pending", IF(N7511&lt;=30, "Met", "Breached"))</f>
        <v/>
      </c>
    </row>
    <row r="7512">
      <c r="M7512" s="11">
        <f>B7512+30</f>
        <v/>
      </c>
      <c r="N7512">
        <f>IF(L7512="", "", L7512-B7512)</f>
        <v/>
      </c>
      <c r="O7512">
        <f>IF(L7512="", "Pending", IF(N7512&lt;=30, "Met", "Breached"))</f>
        <v/>
      </c>
    </row>
    <row r="7513">
      <c r="M7513" s="11">
        <f>B7513+30</f>
        <v/>
      </c>
      <c r="N7513">
        <f>IF(L7513="", "", L7513-B7513)</f>
        <v/>
      </c>
      <c r="O7513">
        <f>IF(L7513="", "Pending", IF(N7513&lt;=30, "Met", "Breached"))</f>
        <v/>
      </c>
    </row>
    <row r="7514">
      <c r="M7514" s="11">
        <f>B7514+30</f>
        <v/>
      </c>
      <c r="N7514">
        <f>IF(L7514="", "", L7514-B7514)</f>
        <v/>
      </c>
      <c r="O7514">
        <f>IF(L7514="", "Pending", IF(N7514&lt;=30, "Met", "Breached"))</f>
        <v/>
      </c>
    </row>
    <row r="7515">
      <c r="M7515" s="11">
        <f>B7515+30</f>
        <v/>
      </c>
      <c r="N7515">
        <f>IF(L7515="", "", L7515-B7515)</f>
        <v/>
      </c>
      <c r="O7515">
        <f>IF(L7515="", "Pending", IF(N7515&lt;=30, "Met", "Breached"))</f>
        <v/>
      </c>
    </row>
    <row r="7516">
      <c r="M7516" s="11">
        <f>B7516+30</f>
        <v/>
      </c>
      <c r="N7516">
        <f>IF(L7516="", "", L7516-B7516)</f>
        <v/>
      </c>
      <c r="O7516">
        <f>IF(L7516="", "Pending", IF(N7516&lt;=30, "Met", "Breached"))</f>
        <v/>
      </c>
    </row>
    <row r="7517">
      <c r="M7517" s="11">
        <f>B7517+30</f>
        <v/>
      </c>
      <c r="N7517">
        <f>IF(L7517="", "", L7517-B7517)</f>
        <v/>
      </c>
      <c r="O7517">
        <f>IF(L7517="", "Pending", IF(N7517&lt;=30, "Met", "Breached"))</f>
        <v/>
      </c>
    </row>
    <row r="7518">
      <c r="M7518" s="11">
        <f>B7518+30</f>
        <v/>
      </c>
      <c r="N7518">
        <f>IF(L7518="", "", L7518-B7518)</f>
        <v/>
      </c>
      <c r="O7518">
        <f>IF(L7518="", "Pending", IF(N7518&lt;=30, "Met", "Breached"))</f>
        <v/>
      </c>
    </row>
    <row r="7519">
      <c r="M7519" s="11">
        <f>B7519+30</f>
        <v/>
      </c>
      <c r="N7519">
        <f>IF(L7519="", "", L7519-B7519)</f>
        <v/>
      </c>
      <c r="O7519">
        <f>IF(L7519="", "Pending", IF(N7519&lt;=30, "Met", "Breached"))</f>
        <v/>
      </c>
    </row>
    <row r="7520">
      <c r="M7520" s="11">
        <f>B7520+30</f>
        <v/>
      </c>
      <c r="N7520">
        <f>IF(L7520="", "", L7520-B7520)</f>
        <v/>
      </c>
      <c r="O7520">
        <f>IF(L7520="", "Pending", IF(N7520&lt;=30, "Met", "Breached"))</f>
        <v/>
      </c>
    </row>
    <row r="7521">
      <c r="M7521" s="11">
        <f>B7521+30</f>
        <v/>
      </c>
      <c r="N7521">
        <f>IF(L7521="", "", L7521-B7521)</f>
        <v/>
      </c>
      <c r="O7521">
        <f>IF(L7521="", "Pending", IF(N7521&lt;=30, "Met", "Breached"))</f>
        <v/>
      </c>
    </row>
    <row r="7522">
      <c r="M7522" s="11">
        <f>B7522+30</f>
        <v/>
      </c>
      <c r="N7522">
        <f>IF(L7522="", "", L7522-B7522)</f>
        <v/>
      </c>
      <c r="O7522">
        <f>IF(L7522="", "Pending", IF(N7522&lt;=30, "Met", "Breached"))</f>
        <v/>
      </c>
    </row>
    <row r="7523">
      <c r="M7523" s="11">
        <f>B7523+30</f>
        <v/>
      </c>
      <c r="N7523">
        <f>IF(L7523="", "", L7523-B7523)</f>
        <v/>
      </c>
      <c r="O7523">
        <f>IF(L7523="", "Pending", IF(N7523&lt;=30, "Met", "Breached"))</f>
        <v/>
      </c>
    </row>
    <row r="7524">
      <c r="M7524" s="11">
        <f>B7524+30</f>
        <v/>
      </c>
      <c r="N7524">
        <f>IF(L7524="", "", L7524-B7524)</f>
        <v/>
      </c>
      <c r="O7524">
        <f>IF(L7524="", "Pending", IF(N7524&lt;=30, "Met", "Breached"))</f>
        <v/>
      </c>
    </row>
    <row r="7525">
      <c r="M7525" s="11">
        <f>B7525+30</f>
        <v/>
      </c>
      <c r="N7525">
        <f>IF(L7525="", "", L7525-B7525)</f>
        <v/>
      </c>
      <c r="O7525">
        <f>IF(L7525="", "Pending", IF(N7525&lt;=30, "Met", "Breached"))</f>
        <v/>
      </c>
    </row>
    <row r="7526">
      <c r="M7526" s="11">
        <f>B7526+30</f>
        <v/>
      </c>
      <c r="N7526">
        <f>IF(L7526="", "", L7526-B7526)</f>
        <v/>
      </c>
      <c r="O7526">
        <f>IF(L7526="", "Pending", IF(N7526&lt;=30, "Met", "Breached"))</f>
        <v/>
      </c>
    </row>
    <row r="7527">
      <c r="M7527" s="11">
        <f>B7527+30</f>
        <v/>
      </c>
      <c r="N7527">
        <f>IF(L7527="", "", L7527-B7527)</f>
        <v/>
      </c>
      <c r="O7527">
        <f>IF(L7527="", "Pending", IF(N7527&lt;=30, "Met", "Breached"))</f>
        <v/>
      </c>
    </row>
    <row r="7528">
      <c r="M7528" s="11">
        <f>B7528+30</f>
        <v/>
      </c>
      <c r="N7528">
        <f>IF(L7528="", "", L7528-B7528)</f>
        <v/>
      </c>
      <c r="O7528">
        <f>IF(L7528="", "Pending", IF(N7528&lt;=30, "Met", "Breached"))</f>
        <v/>
      </c>
    </row>
    <row r="7529">
      <c r="M7529" s="11">
        <f>B7529+30</f>
        <v/>
      </c>
      <c r="N7529">
        <f>IF(L7529="", "", L7529-B7529)</f>
        <v/>
      </c>
      <c r="O7529">
        <f>IF(L7529="", "Pending", IF(N7529&lt;=30, "Met", "Breached"))</f>
        <v/>
      </c>
    </row>
    <row r="7530">
      <c r="M7530" s="11">
        <f>B7530+30</f>
        <v/>
      </c>
      <c r="N7530">
        <f>IF(L7530="", "", L7530-B7530)</f>
        <v/>
      </c>
      <c r="O7530">
        <f>IF(L7530="", "Pending", IF(N7530&lt;=30, "Met", "Breached"))</f>
        <v/>
      </c>
    </row>
    <row r="7531">
      <c r="M7531" s="11">
        <f>B7531+30</f>
        <v/>
      </c>
      <c r="N7531">
        <f>IF(L7531="", "", L7531-B7531)</f>
        <v/>
      </c>
      <c r="O7531">
        <f>IF(L7531="", "Pending", IF(N7531&lt;=30, "Met", "Breached"))</f>
        <v/>
      </c>
    </row>
    <row r="7532">
      <c r="M7532" s="11">
        <f>B7532+30</f>
        <v/>
      </c>
      <c r="N7532">
        <f>IF(L7532="", "", L7532-B7532)</f>
        <v/>
      </c>
      <c r="O7532">
        <f>IF(L7532="", "Pending", IF(N7532&lt;=30, "Met", "Breached"))</f>
        <v/>
      </c>
    </row>
    <row r="7533">
      <c r="M7533" s="11">
        <f>B7533+30</f>
        <v/>
      </c>
      <c r="N7533">
        <f>IF(L7533="", "", L7533-B7533)</f>
        <v/>
      </c>
      <c r="O7533">
        <f>IF(L7533="", "Pending", IF(N7533&lt;=30, "Met", "Breached"))</f>
        <v/>
      </c>
    </row>
    <row r="7534">
      <c r="M7534" s="11">
        <f>B7534+30</f>
        <v/>
      </c>
      <c r="N7534">
        <f>IF(L7534="", "", L7534-B7534)</f>
        <v/>
      </c>
      <c r="O7534">
        <f>IF(L7534="", "Pending", IF(N7534&lt;=30, "Met", "Breached"))</f>
        <v/>
      </c>
    </row>
    <row r="7535">
      <c r="M7535" s="11">
        <f>B7535+30</f>
        <v/>
      </c>
      <c r="N7535">
        <f>IF(L7535="", "", L7535-B7535)</f>
        <v/>
      </c>
      <c r="O7535">
        <f>IF(L7535="", "Pending", IF(N7535&lt;=30, "Met", "Breached"))</f>
        <v/>
      </c>
    </row>
    <row r="7536">
      <c r="M7536" s="11">
        <f>B7536+30</f>
        <v/>
      </c>
      <c r="N7536">
        <f>IF(L7536="", "", L7536-B7536)</f>
        <v/>
      </c>
      <c r="O7536">
        <f>IF(L7536="", "Pending", IF(N7536&lt;=30, "Met", "Breached"))</f>
        <v/>
      </c>
    </row>
    <row r="7537">
      <c r="M7537" s="11">
        <f>B7537+30</f>
        <v/>
      </c>
      <c r="N7537">
        <f>IF(L7537="", "", L7537-B7537)</f>
        <v/>
      </c>
      <c r="O7537">
        <f>IF(L7537="", "Pending", IF(N7537&lt;=30, "Met", "Breached"))</f>
        <v/>
      </c>
    </row>
    <row r="7538">
      <c r="M7538" s="11">
        <f>B7538+30</f>
        <v/>
      </c>
      <c r="N7538">
        <f>IF(L7538="", "", L7538-B7538)</f>
        <v/>
      </c>
      <c r="O7538">
        <f>IF(L7538="", "Pending", IF(N7538&lt;=30, "Met", "Breached"))</f>
        <v/>
      </c>
    </row>
    <row r="7539">
      <c r="M7539" s="11">
        <f>B7539+30</f>
        <v/>
      </c>
      <c r="N7539">
        <f>IF(L7539="", "", L7539-B7539)</f>
        <v/>
      </c>
      <c r="O7539">
        <f>IF(L7539="", "Pending", IF(N7539&lt;=30, "Met", "Breached"))</f>
        <v/>
      </c>
    </row>
    <row r="7540">
      <c r="M7540" s="11">
        <f>B7540+30</f>
        <v/>
      </c>
      <c r="N7540">
        <f>IF(L7540="", "", L7540-B7540)</f>
        <v/>
      </c>
      <c r="O7540">
        <f>IF(L7540="", "Pending", IF(N7540&lt;=30, "Met", "Breached"))</f>
        <v/>
      </c>
    </row>
    <row r="7541">
      <c r="M7541" s="11">
        <f>B7541+30</f>
        <v/>
      </c>
      <c r="N7541">
        <f>IF(L7541="", "", L7541-B7541)</f>
        <v/>
      </c>
      <c r="O7541">
        <f>IF(L7541="", "Pending", IF(N7541&lt;=30, "Met", "Breached"))</f>
        <v/>
      </c>
    </row>
    <row r="7542">
      <c r="M7542" s="11">
        <f>B7542+30</f>
        <v/>
      </c>
      <c r="N7542">
        <f>IF(L7542="", "", L7542-B7542)</f>
        <v/>
      </c>
      <c r="O7542">
        <f>IF(L7542="", "Pending", IF(N7542&lt;=30, "Met", "Breached"))</f>
        <v/>
      </c>
    </row>
    <row r="7543">
      <c r="M7543" s="11">
        <f>B7543+30</f>
        <v/>
      </c>
      <c r="N7543">
        <f>IF(L7543="", "", L7543-B7543)</f>
        <v/>
      </c>
      <c r="O7543">
        <f>IF(L7543="", "Pending", IF(N7543&lt;=30, "Met", "Breached"))</f>
        <v/>
      </c>
    </row>
    <row r="7544">
      <c r="M7544" s="11">
        <f>B7544+30</f>
        <v/>
      </c>
      <c r="N7544">
        <f>IF(L7544="", "", L7544-B7544)</f>
        <v/>
      </c>
      <c r="O7544">
        <f>IF(L7544="", "Pending", IF(N7544&lt;=30, "Met", "Breached"))</f>
        <v/>
      </c>
    </row>
    <row r="7545">
      <c r="M7545" s="11">
        <f>B7545+30</f>
        <v/>
      </c>
      <c r="N7545">
        <f>IF(L7545="", "", L7545-B7545)</f>
        <v/>
      </c>
      <c r="O7545">
        <f>IF(L7545="", "Pending", IF(N7545&lt;=30, "Met", "Breached"))</f>
        <v/>
      </c>
    </row>
    <row r="7546">
      <c r="M7546" s="11">
        <f>B7546+30</f>
        <v/>
      </c>
      <c r="N7546">
        <f>IF(L7546="", "", L7546-B7546)</f>
        <v/>
      </c>
      <c r="O7546">
        <f>IF(L7546="", "Pending", IF(N7546&lt;=30, "Met", "Breached"))</f>
        <v/>
      </c>
    </row>
    <row r="7547">
      <c r="M7547" s="11">
        <f>B7547+30</f>
        <v/>
      </c>
      <c r="N7547">
        <f>IF(L7547="", "", L7547-B7547)</f>
        <v/>
      </c>
      <c r="O7547">
        <f>IF(L7547="", "Pending", IF(N7547&lt;=30, "Met", "Breached"))</f>
        <v/>
      </c>
    </row>
    <row r="7548">
      <c r="M7548" s="11">
        <f>B7548+30</f>
        <v/>
      </c>
      <c r="N7548">
        <f>IF(L7548="", "", L7548-B7548)</f>
        <v/>
      </c>
      <c r="O7548">
        <f>IF(L7548="", "Pending", IF(N7548&lt;=30, "Met", "Breached"))</f>
        <v/>
      </c>
    </row>
    <row r="7549">
      <c r="M7549" s="11">
        <f>B7549+30</f>
        <v/>
      </c>
      <c r="N7549">
        <f>IF(L7549="", "", L7549-B7549)</f>
        <v/>
      </c>
      <c r="O7549">
        <f>IF(L7549="", "Pending", IF(N7549&lt;=30, "Met", "Breached"))</f>
        <v/>
      </c>
    </row>
    <row r="7550">
      <c r="M7550" s="11">
        <f>B7550+30</f>
        <v/>
      </c>
      <c r="N7550">
        <f>IF(L7550="", "", L7550-B7550)</f>
        <v/>
      </c>
      <c r="O7550">
        <f>IF(L7550="", "Pending", IF(N7550&lt;=30, "Met", "Breached"))</f>
        <v/>
      </c>
    </row>
    <row r="7551">
      <c r="M7551" s="11">
        <f>B7551+30</f>
        <v/>
      </c>
      <c r="N7551">
        <f>IF(L7551="", "", L7551-B7551)</f>
        <v/>
      </c>
      <c r="O7551">
        <f>IF(L7551="", "Pending", IF(N7551&lt;=30, "Met", "Breached"))</f>
        <v/>
      </c>
    </row>
    <row r="7552">
      <c r="M7552" s="11">
        <f>B7552+30</f>
        <v/>
      </c>
      <c r="N7552">
        <f>IF(L7552="", "", L7552-B7552)</f>
        <v/>
      </c>
      <c r="O7552">
        <f>IF(L7552="", "Pending", IF(N7552&lt;=30, "Met", "Breached"))</f>
        <v/>
      </c>
    </row>
    <row r="7553">
      <c r="M7553" s="11">
        <f>B7553+30</f>
        <v/>
      </c>
      <c r="N7553">
        <f>IF(L7553="", "", L7553-B7553)</f>
        <v/>
      </c>
      <c r="O7553">
        <f>IF(L7553="", "Pending", IF(N7553&lt;=30, "Met", "Breached"))</f>
        <v/>
      </c>
    </row>
    <row r="7554">
      <c r="M7554" s="11">
        <f>B7554+30</f>
        <v/>
      </c>
      <c r="N7554">
        <f>IF(L7554="", "", L7554-B7554)</f>
        <v/>
      </c>
      <c r="O7554">
        <f>IF(L7554="", "Pending", IF(N7554&lt;=30, "Met", "Breached"))</f>
        <v/>
      </c>
    </row>
    <row r="7555">
      <c r="M7555" s="11">
        <f>B7555+30</f>
        <v/>
      </c>
      <c r="N7555">
        <f>IF(L7555="", "", L7555-B7555)</f>
        <v/>
      </c>
      <c r="O7555">
        <f>IF(L7555="", "Pending", IF(N7555&lt;=30, "Met", "Breached"))</f>
        <v/>
      </c>
    </row>
    <row r="7556">
      <c r="M7556" s="11">
        <f>B7556+30</f>
        <v/>
      </c>
      <c r="N7556">
        <f>IF(L7556="", "", L7556-B7556)</f>
        <v/>
      </c>
      <c r="O7556">
        <f>IF(L7556="", "Pending", IF(N7556&lt;=30, "Met", "Breached"))</f>
        <v/>
      </c>
    </row>
    <row r="7557">
      <c r="M7557" s="11">
        <f>B7557+30</f>
        <v/>
      </c>
      <c r="N7557">
        <f>IF(L7557="", "", L7557-B7557)</f>
        <v/>
      </c>
      <c r="O7557">
        <f>IF(L7557="", "Pending", IF(N7557&lt;=30, "Met", "Breached"))</f>
        <v/>
      </c>
    </row>
    <row r="7558">
      <c r="M7558" s="11">
        <f>B7558+30</f>
        <v/>
      </c>
      <c r="N7558">
        <f>IF(L7558="", "", L7558-B7558)</f>
        <v/>
      </c>
      <c r="O7558">
        <f>IF(L7558="", "Pending", IF(N7558&lt;=30, "Met", "Breached"))</f>
        <v/>
      </c>
    </row>
    <row r="7559">
      <c r="M7559" s="11">
        <f>B7559+30</f>
        <v/>
      </c>
      <c r="N7559">
        <f>IF(L7559="", "", L7559-B7559)</f>
        <v/>
      </c>
      <c r="O7559">
        <f>IF(L7559="", "Pending", IF(N7559&lt;=30, "Met", "Breached"))</f>
        <v/>
      </c>
    </row>
    <row r="7560">
      <c r="M7560" s="11">
        <f>B7560+30</f>
        <v/>
      </c>
      <c r="N7560">
        <f>IF(L7560="", "", L7560-B7560)</f>
        <v/>
      </c>
      <c r="O7560">
        <f>IF(L7560="", "Pending", IF(N7560&lt;=30, "Met", "Breached"))</f>
        <v/>
      </c>
    </row>
    <row r="7561">
      <c r="M7561" s="11">
        <f>B7561+30</f>
        <v/>
      </c>
      <c r="N7561">
        <f>IF(L7561="", "", L7561-B7561)</f>
        <v/>
      </c>
      <c r="O7561">
        <f>IF(L7561="", "Pending", IF(N7561&lt;=30, "Met", "Breached"))</f>
        <v/>
      </c>
    </row>
    <row r="7562">
      <c r="M7562" s="11">
        <f>B7562+30</f>
        <v/>
      </c>
      <c r="N7562">
        <f>IF(L7562="", "", L7562-B7562)</f>
        <v/>
      </c>
      <c r="O7562">
        <f>IF(L7562="", "Pending", IF(N7562&lt;=30, "Met", "Breached"))</f>
        <v/>
      </c>
    </row>
    <row r="7563">
      <c r="M7563" s="11">
        <f>B7563+30</f>
        <v/>
      </c>
      <c r="N7563">
        <f>IF(L7563="", "", L7563-B7563)</f>
        <v/>
      </c>
      <c r="O7563">
        <f>IF(L7563="", "Pending", IF(N7563&lt;=30, "Met", "Breached"))</f>
        <v/>
      </c>
    </row>
    <row r="7564">
      <c r="M7564" s="11">
        <f>B7564+30</f>
        <v/>
      </c>
      <c r="N7564">
        <f>IF(L7564="", "", L7564-B7564)</f>
        <v/>
      </c>
      <c r="O7564">
        <f>IF(L7564="", "Pending", IF(N7564&lt;=30, "Met", "Breached"))</f>
        <v/>
      </c>
    </row>
    <row r="7565">
      <c r="M7565" s="11">
        <f>B7565+30</f>
        <v/>
      </c>
      <c r="N7565">
        <f>IF(L7565="", "", L7565-B7565)</f>
        <v/>
      </c>
      <c r="O7565">
        <f>IF(L7565="", "Pending", IF(N7565&lt;=30, "Met", "Breached"))</f>
        <v/>
      </c>
    </row>
    <row r="7566">
      <c r="M7566" s="11">
        <f>B7566+30</f>
        <v/>
      </c>
      <c r="N7566">
        <f>IF(L7566="", "", L7566-B7566)</f>
        <v/>
      </c>
      <c r="O7566">
        <f>IF(L7566="", "Pending", IF(N7566&lt;=30, "Met", "Breached"))</f>
        <v/>
      </c>
    </row>
    <row r="7567">
      <c r="M7567" s="11">
        <f>B7567+30</f>
        <v/>
      </c>
      <c r="N7567">
        <f>IF(L7567="", "", L7567-B7567)</f>
        <v/>
      </c>
      <c r="O7567">
        <f>IF(L7567="", "Pending", IF(N7567&lt;=30, "Met", "Breached"))</f>
        <v/>
      </c>
    </row>
    <row r="7568">
      <c r="M7568" s="11">
        <f>B7568+30</f>
        <v/>
      </c>
      <c r="N7568">
        <f>IF(L7568="", "", L7568-B7568)</f>
        <v/>
      </c>
      <c r="O7568">
        <f>IF(L7568="", "Pending", IF(N7568&lt;=30, "Met", "Breached"))</f>
        <v/>
      </c>
    </row>
    <row r="7569">
      <c r="M7569" s="11">
        <f>B7569+30</f>
        <v/>
      </c>
      <c r="N7569">
        <f>IF(L7569="", "", L7569-B7569)</f>
        <v/>
      </c>
      <c r="O7569">
        <f>IF(L7569="", "Pending", IF(N7569&lt;=30, "Met", "Breached"))</f>
        <v/>
      </c>
    </row>
    <row r="7570">
      <c r="M7570" s="11">
        <f>B7570+30</f>
        <v/>
      </c>
      <c r="N7570">
        <f>IF(L7570="", "", L7570-B7570)</f>
        <v/>
      </c>
      <c r="O7570">
        <f>IF(L7570="", "Pending", IF(N7570&lt;=30, "Met", "Breached"))</f>
        <v/>
      </c>
    </row>
    <row r="7571">
      <c r="M7571" s="11">
        <f>B7571+30</f>
        <v/>
      </c>
      <c r="N7571">
        <f>IF(L7571="", "", L7571-B7571)</f>
        <v/>
      </c>
      <c r="O7571">
        <f>IF(L7571="", "Pending", IF(N7571&lt;=30, "Met", "Breached"))</f>
        <v/>
      </c>
    </row>
    <row r="7572">
      <c r="M7572" s="11">
        <f>B7572+30</f>
        <v/>
      </c>
      <c r="N7572">
        <f>IF(L7572="", "", L7572-B7572)</f>
        <v/>
      </c>
      <c r="O7572">
        <f>IF(L7572="", "Pending", IF(N7572&lt;=30, "Met", "Breached"))</f>
        <v/>
      </c>
    </row>
    <row r="7573">
      <c r="M7573" s="11">
        <f>B7573+30</f>
        <v/>
      </c>
      <c r="N7573">
        <f>IF(L7573="", "", L7573-B7573)</f>
        <v/>
      </c>
      <c r="O7573">
        <f>IF(L7573="", "Pending", IF(N7573&lt;=30, "Met", "Breached"))</f>
        <v/>
      </c>
    </row>
    <row r="7574">
      <c r="M7574" s="11">
        <f>B7574+30</f>
        <v/>
      </c>
      <c r="N7574">
        <f>IF(L7574="", "", L7574-B7574)</f>
        <v/>
      </c>
      <c r="O7574">
        <f>IF(L7574="", "Pending", IF(N7574&lt;=30, "Met", "Breached"))</f>
        <v/>
      </c>
    </row>
    <row r="7575">
      <c r="M7575" s="11">
        <f>B7575+30</f>
        <v/>
      </c>
      <c r="N7575">
        <f>IF(L7575="", "", L7575-B7575)</f>
        <v/>
      </c>
      <c r="O7575">
        <f>IF(L7575="", "Pending", IF(N7575&lt;=30, "Met", "Breached"))</f>
        <v/>
      </c>
    </row>
    <row r="7576">
      <c r="M7576" s="11">
        <f>B7576+30</f>
        <v/>
      </c>
      <c r="N7576">
        <f>IF(L7576="", "", L7576-B7576)</f>
        <v/>
      </c>
      <c r="O7576">
        <f>IF(L7576="", "Pending", IF(N7576&lt;=30, "Met", "Breached"))</f>
        <v/>
      </c>
    </row>
    <row r="7577">
      <c r="M7577" s="11">
        <f>B7577+30</f>
        <v/>
      </c>
      <c r="N7577">
        <f>IF(L7577="", "", L7577-B7577)</f>
        <v/>
      </c>
      <c r="O7577">
        <f>IF(L7577="", "Pending", IF(N7577&lt;=30, "Met", "Breached"))</f>
        <v/>
      </c>
    </row>
    <row r="7578">
      <c r="M7578" s="11">
        <f>B7578+30</f>
        <v/>
      </c>
      <c r="N7578">
        <f>IF(L7578="", "", L7578-B7578)</f>
        <v/>
      </c>
      <c r="O7578">
        <f>IF(L7578="", "Pending", IF(N7578&lt;=30, "Met", "Breached"))</f>
        <v/>
      </c>
    </row>
    <row r="7579">
      <c r="M7579" s="11">
        <f>B7579+30</f>
        <v/>
      </c>
      <c r="N7579">
        <f>IF(L7579="", "", L7579-B7579)</f>
        <v/>
      </c>
      <c r="O7579">
        <f>IF(L7579="", "Pending", IF(N7579&lt;=30, "Met", "Breached"))</f>
        <v/>
      </c>
    </row>
    <row r="7580">
      <c r="M7580" s="11">
        <f>B7580+30</f>
        <v/>
      </c>
      <c r="N7580">
        <f>IF(L7580="", "", L7580-B7580)</f>
        <v/>
      </c>
      <c r="O7580">
        <f>IF(L7580="", "Pending", IF(N7580&lt;=30, "Met", "Breached"))</f>
        <v/>
      </c>
    </row>
    <row r="7581">
      <c r="M7581" s="11">
        <f>B7581+30</f>
        <v/>
      </c>
      <c r="N7581">
        <f>IF(L7581="", "", L7581-B7581)</f>
        <v/>
      </c>
      <c r="O7581">
        <f>IF(L7581="", "Pending", IF(N7581&lt;=30, "Met", "Breached"))</f>
        <v/>
      </c>
    </row>
    <row r="7582">
      <c r="M7582" s="11">
        <f>B7582+30</f>
        <v/>
      </c>
      <c r="N7582">
        <f>IF(L7582="", "", L7582-B7582)</f>
        <v/>
      </c>
      <c r="O7582">
        <f>IF(L7582="", "Pending", IF(N7582&lt;=30, "Met", "Breached"))</f>
        <v/>
      </c>
    </row>
    <row r="7583">
      <c r="M7583" s="11">
        <f>B7583+30</f>
        <v/>
      </c>
      <c r="N7583">
        <f>IF(L7583="", "", L7583-B7583)</f>
        <v/>
      </c>
      <c r="O7583">
        <f>IF(L7583="", "Pending", IF(N7583&lt;=30, "Met", "Breached"))</f>
        <v/>
      </c>
    </row>
    <row r="7584">
      <c r="M7584" s="11">
        <f>B7584+30</f>
        <v/>
      </c>
      <c r="N7584">
        <f>IF(L7584="", "", L7584-B7584)</f>
        <v/>
      </c>
      <c r="O7584">
        <f>IF(L7584="", "Pending", IF(N7584&lt;=30, "Met", "Breached"))</f>
        <v/>
      </c>
    </row>
    <row r="7585">
      <c r="M7585" s="11">
        <f>B7585+30</f>
        <v/>
      </c>
      <c r="N7585">
        <f>IF(L7585="", "", L7585-B7585)</f>
        <v/>
      </c>
      <c r="O7585">
        <f>IF(L7585="", "Pending", IF(N7585&lt;=30, "Met", "Breached"))</f>
        <v/>
      </c>
    </row>
    <row r="7586">
      <c r="M7586" s="11">
        <f>B7586+30</f>
        <v/>
      </c>
      <c r="N7586">
        <f>IF(L7586="", "", L7586-B7586)</f>
        <v/>
      </c>
      <c r="O7586">
        <f>IF(L7586="", "Pending", IF(N7586&lt;=30, "Met", "Breached"))</f>
        <v/>
      </c>
    </row>
    <row r="7587">
      <c r="M7587" s="11">
        <f>B7587+30</f>
        <v/>
      </c>
      <c r="N7587">
        <f>IF(L7587="", "", L7587-B7587)</f>
        <v/>
      </c>
      <c r="O7587">
        <f>IF(L7587="", "Pending", IF(N7587&lt;=30, "Met", "Breached"))</f>
        <v/>
      </c>
    </row>
    <row r="7588">
      <c r="M7588" s="11">
        <f>B7588+30</f>
        <v/>
      </c>
      <c r="N7588">
        <f>IF(L7588="", "", L7588-B7588)</f>
        <v/>
      </c>
      <c r="O7588">
        <f>IF(L7588="", "Pending", IF(N7588&lt;=30, "Met", "Breached"))</f>
        <v/>
      </c>
    </row>
    <row r="7589">
      <c r="M7589" s="11">
        <f>B7589+30</f>
        <v/>
      </c>
      <c r="N7589">
        <f>IF(L7589="", "", L7589-B7589)</f>
        <v/>
      </c>
      <c r="O7589">
        <f>IF(L7589="", "Pending", IF(N7589&lt;=30, "Met", "Breached"))</f>
        <v/>
      </c>
    </row>
    <row r="7590">
      <c r="M7590" s="11">
        <f>B7590+30</f>
        <v/>
      </c>
      <c r="N7590">
        <f>IF(L7590="", "", L7590-B7590)</f>
        <v/>
      </c>
      <c r="O7590">
        <f>IF(L7590="", "Pending", IF(N7590&lt;=30, "Met", "Breached"))</f>
        <v/>
      </c>
    </row>
    <row r="7591">
      <c r="M7591" s="11">
        <f>B7591+30</f>
        <v/>
      </c>
      <c r="N7591">
        <f>IF(L7591="", "", L7591-B7591)</f>
        <v/>
      </c>
      <c r="O7591">
        <f>IF(L7591="", "Pending", IF(N7591&lt;=30, "Met", "Breached"))</f>
        <v/>
      </c>
    </row>
    <row r="7592">
      <c r="M7592" s="11">
        <f>B7592+30</f>
        <v/>
      </c>
      <c r="N7592">
        <f>IF(L7592="", "", L7592-B7592)</f>
        <v/>
      </c>
      <c r="O7592">
        <f>IF(L7592="", "Pending", IF(N7592&lt;=30, "Met", "Breached"))</f>
        <v/>
      </c>
    </row>
    <row r="7593">
      <c r="M7593" s="11">
        <f>B7593+30</f>
        <v/>
      </c>
      <c r="N7593">
        <f>IF(L7593="", "", L7593-B7593)</f>
        <v/>
      </c>
      <c r="O7593">
        <f>IF(L7593="", "Pending", IF(N7593&lt;=30, "Met", "Breached"))</f>
        <v/>
      </c>
    </row>
    <row r="7594">
      <c r="M7594" s="11">
        <f>B7594+30</f>
        <v/>
      </c>
      <c r="N7594">
        <f>IF(L7594="", "", L7594-B7594)</f>
        <v/>
      </c>
      <c r="O7594">
        <f>IF(L7594="", "Pending", IF(N7594&lt;=30, "Met", "Breached"))</f>
        <v/>
      </c>
    </row>
    <row r="7595">
      <c r="M7595" s="11">
        <f>B7595+30</f>
        <v/>
      </c>
      <c r="N7595">
        <f>IF(L7595="", "", L7595-B7595)</f>
        <v/>
      </c>
      <c r="O7595">
        <f>IF(L7595="", "Pending", IF(N7595&lt;=30, "Met", "Breached"))</f>
        <v/>
      </c>
    </row>
    <row r="7596">
      <c r="M7596" s="11">
        <f>B7596+30</f>
        <v/>
      </c>
      <c r="N7596">
        <f>IF(L7596="", "", L7596-B7596)</f>
        <v/>
      </c>
      <c r="O7596">
        <f>IF(L7596="", "Pending", IF(N7596&lt;=30, "Met", "Breached"))</f>
        <v/>
      </c>
    </row>
    <row r="7597">
      <c r="M7597" s="11">
        <f>B7597+30</f>
        <v/>
      </c>
      <c r="N7597">
        <f>IF(L7597="", "", L7597-B7597)</f>
        <v/>
      </c>
      <c r="O7597">
        <f>IF(L7597="", "Pending", IF(N7597&lt;=30, "Met", "Breached"))</f>
        <v/>
      </c>
    </row>
    <row r="7598">
      <c r="M7598" s="11">
        <f>B7598+30</f>
        <v/>
      </c>
      <c r="N7598">
        <f>IF(L7598="", "", L7598-B7598)</f>
        <v/>
      </c>
      <c r="O7598">
        <f>IF(L7598="", "Pending", IF(N7598&lt;=30, "Met", "Breached"))</f>
        <v/>
      </c>
    </row>
    <row r="7599">
      <c r="M7599" s="11">
        <f>B7599+30</f>
        <v/>
      </c>
      <c r="N7599">
        <f>IF(L7599="", "", L7599-B7599)</f>
        <v/>
      </c>
      <c r="O7599">
        <f>IF(L7599="", "Pending", IF(N7599&lt;=30, "Met", "Breached"))</f>
        <v/>
      </c>
    </row>
    <row r="7600">
      <c r="M7600" s="11">
        <f>B7600+30</f>
        <v/>
      </c>
      <c r="N7600">
        <f>IF(L7600="", "", L7600-B7600)</f>
        <v/>
      </c>
      <c r="O7600">
        <f>IF(L7600="", "Pending", IF(N7600&lt;=30, "Met", "Breached"))</f>
        <v/>
      </c>
    </row>
    <row r="7601">
      <c r="M7601" s="11">
        <f>B7601+30</f>
        <v/>
      </c>
      <c r="N7601">
        <f>IF(L7601="", "", L7601-B7601)</f>
        <v/>
      </c>
      <c r="O7601">
        <f>IF(L7601="", "Pending", IF(N7601&lt;=30, "Met", "Breached"))</f>
        <v/>
      </c>
    </row>
    <row r="7602">
      <c r="M7602" s="11">
        <f>B7602+30</f>
        <v/>
      </c>
      <c r="N7602">
        <f>IF(L7602="", "", L7602-B7602)</f>
        <v/>
      </c>
      <c r="O7602">
        <f>IF(L7602="", "Pending", IF(N7602&lt;=30, "Met", "Breached"))</f>
        <v/>
      </c>
    </row>
    <row r="7603">
      <c r="M7603" s="11">
        <f>B7603+30</f>
        <v/>
      </c>
      <c r="N7603">
        <f>IF(L7603="", "", L7603-B7603)</f>
        <v/>
      </c>
      <c r="O7603">
        <f>IF(L7603="", "Pending", IF(N7603&lt;=30, "Met", "Breached"))</f>
        <v/>
      </c>
    </row>
    <row r="7604">
      <c r="M7604" s="11">
        <f>B7604+30</f>
        <v/>
      </c>
      <c r="N7604">
        <f>IF(L7604="", "", L7604-B7604)</f>
        <v/>
      </c>
      <c r="O7604">
        <f>IF(L7604="", "Pending", IF(N7604&lt;=30, "Met", "Breached"))</f>
        <v/>
      </c>
    </row>
    <row r="7605">
      <c r="M7605" s="11">
        <f>B7605+30</f>
        <v/>
      </c>
      <c r="N7605">
        <f>IF(L7605="", "", L7605-B7605)</f>
        <v/>
      </c>
      <c r="O7605">
        <f>IF(L7605="", "Pending", IF(N7605&lt;=30, "Met", "Breached"))</f>
        <v/>
      </c>
    </row>
    <row r="7606">
      <c r="M7606" s="11">
        <f>B7606+30</f>
        <v/>
      </c>
      <c r="N7606">
        <f>IF(L7606="", "", L7606-B7606)</f>
        <v/>
      </c>
      <c r="O7606">
        <f>IF(L7606="", "Pending", IF(N7606&lt;=30, "Met", "Breached"))</f>
        <v/>
      </c>
    </row>
    <row r="7607">
      <c r="M7607" s="11">
        <f>B7607+30</f>
        <v/>
      </c>
      <c r="N7607">
        <f>IF(L7607="", "", L7607-B7607)</f>
        <v/>
      </c>
      <c r="O7607">
        <f>IF(L7607="", "Pending", IF(N7607&lt;=30, "Met", "Breached"))</f>
        <v/>
      </c>
    </row>
    <row r="7608">
      <c r="M7608" s="11">
        <f>B7608+30</f>
        <v/>
      </c>
      <c r="N7608">
        <f>IF(L7608="", "", L7608-B7608)</f>
        <v/>
      </c>
      <c r="O7608">
        <f>IF(L7608="", "Pending", IF(N7608&lt;=30, "Met", "Breached"))</f>
        <v/>
      </c>
    </row>
    <row r="7609">
      <c r="M7609" s="11">
        <f>B7609+30</f>
        <v/>
      </c>
      <c r="N7609">
        <f>IF(L7609="", "", L7609-B7609)</f>
        <v/>
      </c>
      <c r="O7609">
        <f>IF(L7609="", "Pending", IF(N7609&lt;=30, "Met", "Breached"))</f>
        <v/>
      </c>
    </row>
    <row r="7610">
      <c r="M7610" s="11">
        <f>B7610+30</f>
        <v/>
      </c>
      <c r="N7610">
        <f>IF(L7610="", "", L7610-B7610)</f>
        <v/>
      </c>
      <c r="O7610">
        <f>IF(L7610="", "Pending", IF(N7610&lt;=30, "Met", "Breached"))</f>
        <v/>
      </c>
    </row>
    <row r="7611">
      <c r="M7611" s="11">
        <f>B7611+30</f>
        <v/>
      </c>
      <c r="N7611">
        <f>IF(L7611="", "", L7611-B7611)</f>
        <v/>
      </c>
      <c r="O7611">
        <f>IF(L7611="", "Pending", IF(N7611&lt;=30, "Met", "Breached"))</f>
        <v/>
      </c>
    </row>
    <row r="7612">
      <c r="M7612" s="11">
        <f>B7612+30</f>
        <v/>
      </c>
      <c r="N7612">
        <f>IF(L7612="", "", L7612-B7612)</f>
        <v/>
      </c>
      <c r="O7612">
        <f>IF(L7612="", "Pending", IF(N7612&lt;=30, "Met", "Breached"))</f>
        <v/>
      </c>
    </row>
    <row r="7613">
      <c r="M7613" s="11">
        <f>B7613+30</f>
        <v/>
      </c>
      <c r="N7613">
        <f>IF(L7613="", "", L7613-B7613)</f>
        <v/>
      </c>
      <c r="O7613">
        <f>IF(L7613="", "Pending", IF(N7613&lt;=30, "Met", "Breached"))</f>
        <v/>
      </c>
    </row>
    <row r="7614">
      <c r="M7614" s="11">
        <f>B7614+30</f>
        <v/>
      </c>
      <c r="N7614">
        <f>IF(L7614="", "", L7614-B7614)</f>
        <v/>
      </c>
      <c r="O7614">
        <f>IF(L7614="", "Pending", IF(N7614&lt;=30, "Met", "Breached"))</f>
        <v/>
      </c>
    </row>
    <row r="7615">
      <c r="M7615" s="11">
        <f>B7615+30</f>
        <v/>
      </c>
      <c r="N7615">
        <f>IF(L7615="", "", L7615-B7615)</f>
        <v/>
      </c>
      <c r="O7615">
        <f>IF(L7615="", "Pending", IF(N7615&lt;=30, "Met", "Breached"))</f>
        <v/>
      </c>
    </row>
    <row r="7616">
      <c r="M7616" s="11">
        <f>B7616+30</f>
        <v/>
      </c>
      <c r="N7616">
        <f>IF(L7616="", "", L7616-B7616)</f>
        <v/>
      </c>
      <c r="O7616">
        <f>IF(L7616="", "Pending", IF(N7616&lt;=30, "Met", "Breached"))</f>
        <v/>
      </c>
    </row>
    <row r="7617">
      <c r="M7617" s="11">
        <f>B7617+30</f>
        <v/>
      </c>
      <c r="N7617">
        <f>IF(L7617="", "", L7617-B7617)</f>
        <v/>
      </c>
      <c r="O7617">
        <f>IF(L7617="", "Pending", IF(N7617&lt;=30, "Met", "Breached"))</f>
        <v/>
      </c>
    </row>
    <row r="7618">
      <c r="M7618" s="11">
        <f>B7618+30</f>
        <v/>
      </c>
      <c r="N7618">
        <f>IF(L7618="", "", L7618-B7618)</f>
        <v/>
      </c>
      <c r="O7618">
        <f>IF(L7618="", "Pending", IF(N7618&lt;=30, "Met", "Breached"))</f>
        <v/>
      </c>
    </row>
    <row r="7619">
      <c r="M7619" s="11">
        <f>B7619+30</f>
        <v/>
      </c>
      <c r="N7619">
        <f>IF(L7619="", "", L7619-B7619)</f>
        <v/>
      </c>
      <c r="O7619">
        <f>IF(L7619="", "Pending", IF(N7619&lt;=30, "Met", "Breached"))</f>
        <v/>
      </c>
    </row>
    <row r="7620">
      <c r="M7620" s="11">
        <f>B7620+30</f>
        <v/>
      </c>
      <c r="N7620">
        <f>IF(L7620="", "", L7620-B7620)</f>
        <v/>
      </c>
      <c r="O7620">
        <f>IF(L7620="", "Pending", IF(N7620&lt;=30, "Met", "Breached"))</f>
        <v/>
      </c>
    </row>
    <row r="7621">
      <c r="M7621" s="11">
        <f>B7621+30</f>
        <v/>
      </c>
      <c r="N7621">
        <f>IF(L7621="", "", L7621-B7621)</f>
        <v/>
      </c>
      <c r="O7621">
        <f>IF(L7621="", "Pending", IF(N7621&lt;=30, "Met", "Breached"))</f>
        <v/>
      </c>
    </row>
    <row r="7622">
      <c r="M7622" s="11">
        <f>B7622+30</f>
        <v/>
      </c>
      <c r="N7622">
        <f>IF(L7622="", "", L7622-B7622)</f>
        <v/>
      </c>
      <c r="O7622">
        <f>IF(L7622="", "Pending", IF(N7622&lt;=30, "Met", "Breached"))</f>
        <v/>
      </c>
    </row>
    <row r="7623">
      <c r="M7623" s="11">
        <f>B7623+30</f>
        <v/>
      </c>
      <c r="N7623">
        <f>IF(L7623="", "", L7623-B7623)</f>
        <v/>
      </c>
      <c r="O7623">
        <f>IF(L7623="", "Pending", IF(N7623&lt;=30, "Met", "Breached"))</f>
        <v/>
      </c>
    </row>
    <row r="7624">
      <c r="M7624" s="11">
        <f>B7624+30</f>
        <v/>
      </c>
      <c r="N7624">
        <f>IF(L7624="", "", L7624-B7624)</f>
        <v/>
      </c>
      <c r="O7624">
        <f>IF(L7624="", "Pending", IF(N7624&lt;=30, "Met", "Breached"))</f>
        <v/>
      </c>
    </row>
    <row r="7625">
      <c r="M7625" s="11">
        <f>B7625+30</f>
        <v/>
      </c>
      <c r="N7625">
        <f>IF(L7625="", "", L7625-B7625)</f>
        <v/>
      </c>
      <c r="O7625">
        <f>IF(L7625="", "Pending", IF(N7625&lt;=30, "Met", "Breached"))</f>
        <v/>
      </c>
    </row>
    <row r="7626">
      <c r="M7626" s="11">
        <f>B7626+30</f>
        <v/>
      </c>
      <c r="N7626">
        <f>IF(L7626="", "", L7626-B7626)</f>
        <v/>
      </c>
      <c r="O7626">
        <f>IF(L7626="", "Pending", IF(N7626&lt;=30, "Met", "Breached"))</f>
        <v/>
      </c>
    </row>
    <row r="7627">
      <c r="M7627" s="11">
        <f>B7627+30</f>
        <v/>
      </c>
      <c r="N7627">
        <f>IF(L7627="", "", L7627-B7627)</f>
        <v/>
      </c>
      <c r="O7627">
        <f>IF(L7627="", "Pending", IF(N7627&lt;=30, "Met", "Breached"))</f>
        <v/>
      </c>
    </row>
    <row r="7628">
      <c r="M7628" s="11">
        <f>B7628+30</f>
        <v/>
      </c>
      <c r="N7628">
        <f>IF(L7628="", "", L7628-B7628)</f>
        <v/>
      </c>
      <c r="O7628">
        <f>IF(L7628="", "Pending", IF(N7628&lt;=30, "Met", "Breached"))</f>
        <v/>
      </c>
    </row>
    <row r="7629">
      <c r="M7629" s="11">
        <f>B7629+30</f>
        <v/>
      </c>
      <c r="N7629">
        <f>IF(L7629="", "", L7629-B7629)</f>
        <v/>
      </c>
      <c r="O7629">
        <f>IF(L7629="", "Pending", IF(N7629&lt;=30, "Met", "Breached"))</f>
        <v/>
      </c>
    </row>
    <row r="7630">
      <c r="M7630" s="11">
        <f>B7630+30</f>
        <v/>
      </c>
      <c r="N7630">
        <f>IF(L7630="", "", L7630-B7630)</f>
        <v/>
      </c>
      <c r="O7630">
        <f>IF(L7630="", "Pending", IF(N7630&lt;=30, "Met", "Breached"))</f>
        <v/>
      </c>
    </row>
    <row r="7631">
      <c r="M7631" s="11">
        <f>B7631+30</f>
        <v/>
      </c>
      <c r="N7631">
        <f>IF(L7631="", "", L7631-B7631)</f>
        <v/>
      </c>
      <c r="O7631">
        <f>IF(L7631="", "Pending", IF(N7631&lt;=30, "Met", "Breached"))</f>
        <v/>
      </c>
    </row>
    <row r="7632">
      <c r="M7632" s="11">
        <f>B7632+30</f>
        <v/>
      </c>
      <c r="N7632">
        <f>IF(L7632="", "", L7632-B7632)</f>
        <v/>
      </c>
      <c r="O7632">
        <f>IF(L7632="", "Pending", IF(N7632&lt;=30, "Met", "Breached"))</f>
        <v/>
      </c>
    </row>
    <row r="7633">
      <c r="M7633" s="11">
        <f>B7633+30</f>
        <v/>
      </c>
      <c r="N7633">
        <f>IF(L7633="", "", L7633-B7633)</f>
        <v/>
      </c>
      <c r="O7633">
        <f>IF(L7633="", "Pending", IF(N7633&lt;=30, "Met", "Breached"))</f>
        <v/>
      </c>
    </row>
    <row r="7634">
      <c r="M7634" s="11">
        <f>B7634+30</f>
        <v/>
      </c>
      <c r="N7634">
        <f>IF(L7634="", "", L7634-B7634)</f>
        <v/>
      </c>
      <c r="O7634">
        <f>IF(L7634="", "Pending", IF(N7634&lt;=30, "Met", "Breached"))</f>
        <v/>
      </c>
    </row>
    <row r="7635">
      <c r="M7635" s="11">
        <f>B7635+30</f>
        <v/>
      </c>
      <c r="N7635">
        <f>IF(L7635="", "", L7635-B7635)</f>
        <v/>
      </c>
      <c r="O7635">
        <f>IF(L7635="", "Pending", IF(N7635&lt;=30, "Met", "Breached"))</f>
        <v/>
      </c>
    </row>
    <row r="7636">
      <c r="M7636" s="11">
        <f>B7636+30</f>
        <v/>
      </c>
      <c r="N7636">
        <f>IF(L7636="", "", L7636-B7636)</f>
        <v/>
      </c>
      <c r="O7636">
        <f>IF(L7636="", "Pending", IF(N7636&lt;=30, "Met", "Breached"))</f>
        <v/>
      </c>
    </row>
    <row r="7637">
      <c r="M7637" s="11">
        <f>B7637+30</f>
        <v/>
      </c>
      <c r="N7637">
        <f>IF(L7637="", "", L7637-B7637)</f>
        <v/>
      </c>
      <c r="O7637">
        <f>IF(L7637="", "Pending", IF(N7637&lt;=30, "Met", "Breached"))</f>
        <v/>
      </c>
    </row>
    <row r="7638">
      <c r="M7638" s="11">
        <f>B7638+30</f>
        <v/>
      </c>
      <c r="N7638">
        <f>IF(L7638="", "", L7638-B7638)</f>
        <v/>
      </c>
      <c r="O7638">
        <f>IF(L7638="", "Pending", IF(N7638&lt;=30, "Met", "Breached"))</f>
        <v/>
      </c>
    </row>
    <row r="7639">
      <c r="M7639" s="11">
        <f>B7639+30</f>
        <v/>
      </c>
      <c r="N7639">
        <f>IF(L7639="", "", L7639-B7639)</f>
        <v/>
      </c>
      <c r="O7639">
        <f>IF(L7639="", "Pending", IF(N7639&lt;=30, "Met", "Breached"))</f>
        <v/>
      </c>
    </row>
    <row r="7640">
      <c r="M7640" s="11">
        <f>B7640+30</f>
        <v/>
      </c>
      <c r="N7640">
        <f>IF(L7640="", "", L7640-B7640)</f>
        <v/>
      </c>
      <c r="O7640">
        <f>IF(L7640="", "Pending", IF(N7640&lt;=30, "Met", "Breached"))</f>
        <v/>
      </c>
    </row>
    <row r="7641">
      <c r="M7641" s="11">
        <f>B7641+30</f>
        <v/>
      </c>
      <c r="N7641">
        <f>IF(L7641="", "", L7641-B7641)</f>
        <v/>
      </c>
      <c r="O7641">
        <f>IF(L7641="", "Pending", IF(N7641&lt;=30, "Met", "Breached"))</f>
        <v/>
      </c>
    </row>
    <row r="7642">
      <c r="M7642" s="11">
        <f>B7642+30</f>
        <v/>
      </c>
      <c r="N7642">
        <f>IF(L7642="", "", L7642-B7642)</f>
        <v/>
      </c>
      <c r="O7642">
        <f>IF(L7642="", "Pending", IF(N7642&lt;=30, "Met", "Breached"))</f>
        <v/>
      </c>
    </row>
    <row r="7643">
      <c r="M7643" s="11">
        <f>B7643+30</f>
        <v/>
      </c>
      <c r="N7643">
        <f>IF(L7643="", "", L7643-B7643)</f>
        <v/>
      </c>
      <c r="O7643">
        <f>IF(L7643="", "Pending", IF(N7643&lt;=30, "Met", "Breached"))</f>
        <v/>
      </c>
    </row>
    <row r="7644">
      <c r="M7644" s="11">
        <f>B7644+30</f>
        <v/>
      </c>
      <c r="N7644">
        <f>IF(L7644="", "", L7644-B7644)</f>
        <v/>
      </c>
      <c r="O7644">
        <f>IF(L7644="", "Pending", IF(N7644&lt;=30, "Met", "Breached"))</f>
        <v/>
      </c>
    </row>
    <row r="7645">
      <c r="M7645" s="11">
        <f>B7645+30</f>
        <v/>
      </c>
      <c r="N7645">
        <f>IF(L7645="", "", L7645-B7645)</f>
        <v/>
      </c>
      <c r="O7645">
        <f>IF(L7645="", "Pending", IF(N7645&lt;=30, "Met", "Breached"))</f>
        <v/>
      </c>
    </row>
    <row r="7646">
      <c r="M7646" s="11">
        <f>B7646+30</f>
        <v/>
      </c>
      <c r="N7646">
        <f>IF(L7646="", "", L7646-B7646)</f>
        <v/>
      </c>
      <c r="O7646">
        <f>IF(L7646="", "Pending", IF(N7646&lt;=30, "Met", "Breached"))</f>
        <v/>
      </c>
    </row>
    <row r="7647">
      <c r="M7647" s="11">
        <f>B7647+30</f>
        <v/>
      </c>
      <c r="N7647">
        <f>IF(L7647="", "", L7647-B7647)</f>
        <v/>
      </c>
      <c r="O7647">
        <f>IF(L7647="", "Pending", IF(N7647&lt;=30, "Met", "Breached"))</f>
        <v/>
      </c>
    </row>
    <row r="7648">
      <c r="M7648" s="11">
        <f>B7648+30</f>
        <v/>
      </c>
      <c r="N7648">
        <f>IF(L7648="", "", L7648-B7648)</f>
        <v/>
      </c>
      <c r="O7648">
        <f>IF(L7648="", "Pending", IF(N7648&lt;=30, "Met", "Breached"))</f>
        <v/>
      </c>
    </row>
    <row r="7649">
      <c r="M7649" s="11">
        <f>B7649+30</f>
        <v/>
      </c>
      <c r="N7649">
        <f>IF(L7649="", "", L7649-B7649)</f>
        <v/>
      </c>
      <c r="O7649">
        <f>IF(L7649="", "Pending", IF(N7649&lt;=30, "Met", "Breached"))</f>
        <v/>
      </c>
    </row>
    <row r="7650">
      <c r="M7650" s="11">
        <f>B7650+30</f>
        <v/>
      </c>
      <c r="N7650">
        <f>IF(L7650="", "", L7650-B7650)</f>
        <v/>
      </c>
      <c r="O7650">
        <f>IF(L7650="", "Pending", IF(N7650&lt;=30, "Met", "Breached"))</f>
        <v/>
      </c>
    </row>
    <row r="7651">
      <c r="M7651" s="11">
        <f>B7651+30</f>
        <v/>
      </c>
      <c r="N7651">
        <f>IF(L7651="", "", L7651-B7651)</f>
        <v/>
      </c>
      <c r="O7651">
        <f>IF(L7651="", "Pending", IF(N7651&lt;=30, "Met", "Breached"))</f>
        <v/>
      </c>
    </row>
    <row r="7652">
      <c r="M7652" s="11">
        <f>B7652+30</f>
        <v/>
      </c>
      <c r="N7652">
        <f>IF(L7652="", "", L7652-B7652)</f>
        <v/>
      </c>
      <c r="O7652">
        <f>IF(L7652="", "Pending", IF(N7652&lt;=30, "Met", "Breached"))</f>
        <v/>
      </c>
    </row>
    <row r="7653">
      <c r="M7653" s="11">
        <f>B7653+30</f>
        <v/>
      </c>
      <c r="N7653">
        <f>IF(L7653="", "", L7653-B7653)</f>
        <v/>
      </c>
      <c r="O7653">
        <f>IF(L7653="", "Pending", IF(N7653&lt;=30, "Met", "Breached"))</f>
        <v/>
      </c>
    </row>
    <row r="7654">
      <c r="M7654" s="11">
        <f>B7654+30</f>
        <v/>
      </c>
      <c r="N7654">
        <f>IF(L7654="", "", L7654-B7654)</f>
        <v/>
      </c>
      <c r="O7654">
        <f>IF(L7654="", "Pending", IF(N7654&lt;=30, "Met", "Breached"))</f>
        <v/>
      </c>
    </row>
    <row r="7655">
      <c r="M7655" s="11">
        <f>B7655+30</f>
        <v/>
      </c>
      <c r="N7655">
        <f>IF(L7655="", "", L7655-B7655)</f>
        <v/>
      </c>
      <c r="O7655">
        <f>IF(L7655="", "Pending", IF(N7655&lt;=30, "Met", "Breached"))</f>
        <v/>
      </c>
    </row>
    <row r="7656">
      <c r="M7656" s="11">
        <f>B7656+30</f>
        <v/>
      </c>
      <c r="N7656">
        <f>IF(L7656="", "", L7656-B7656)</f>
        <v/>
      </c>
      <c r="O7656">
        <f>IF(L7656="", "Pending", IF(N7656&lt;=30, "Met", "Breached"))</f>
        <v/>
      </c>
    </row>
    <row r="7657">
      <c r="M7657" s="11">
        <f>B7657+30</f>
        <v/>
      </c>
      <c r="N7657">
        <f>IF(L7657="", "", L7657-B7657)</f>
        <v/>
      </c>
      <c r="O7657">
        <f>IF(L7657="", "Pending", IF(N7657&lt;=30, "Met", "Breached"))</f>
        <v/>
      </c>
    </row>
    <row r="7658">
      <c r="M7658" s="11">
        <f>B7658+30</f>
        <v/>
      </c>
      <c r="N7658">
        <f>IF(L7658="", "", L7658-B7658)</f>
        <v/>
      </c>
      <c r="O7658">
        <f>IF(L7658="", "Pending", IF(N7658&lt;=30, "Met", "Breached"))</f>
        <v/>
      </c>
    </row>
    <row r="7659">
      <c r="M7659" s="11">
        <f>B7659+30</f>
        <v/>
      </c>
      <c r="N7659">
        <f>IF(L7659="", "", L7659-B7659)</f>
        <v/>
      </c>
      <c r="O7659">
        <f>IF(L7659="", "Pending", IF(N7659&lt;=30, "Met", "Breached"))</f>
        <v/>
      </c>
    </row>
    <row r="7660">
      <c r="M7660" s="11">
        <f>B7660+30</f>
        <v/>
      </c>
      <c r="N7660">
        <f>IF(L7660="", "", L7660-B7660)</f>
        <v/>
      </c>
      <c r="O7660">
        <f>IF(L7660="", "Pending", IF(N7660&lt;=30, "Met", "Breached"))</f>
        <v/>
      </c>
    </row>
    <row r="7661">
      <c r="M7661" s="11">
        <f>B7661+30</f>
        <v/>
      </c>
      <c r="N7661">
        <f>IF(L7661="", "", L7661-B7661)</f>
        <v/>
      </c>
      <c r="O7661">
        <f>IF(L7661="", "Pending", IF(N7661&lt;=30, "Met", "Breached"))</f>
        <v/>
      </c>
    </row>
    <row r="7662">
      <c r="M7662" s="11">
        <f>B7662+30</f>
        <v/>
      </c>
      <c r="N7662">
        <f>IF(L7662="", "", L7662-B7662)</f>
        <v/>
      </c>
      <c r="O7662">
        <f>IF(L7662="", "Pending", IF(N7662&lt;=30, "Met", "Breached"))</f>
        <v/>
      </c>
    </row>
    <row r="7663">
      <c r="M7663" s="11">
        <f>B7663+30</f>
        <v/>
      </c>
      <c r="N7663">
        <f>IF(L7663="", "", L7663-B7663)</f>
        <v/>
      </c>
      <c r="O7663">
        <f>IF(L7663="", "Pending", IF(N7663&lt;=30, "Met", "Breached"))</f>
        <v/>
      </c>
    </row>
    <row r="7664">
      <c r="M7664" s="11">
        <f>B7664+30</f>
        <v/>
      </c>
      <c r="N7664">
        <f>IF(L7664="", "", L7664-B7664)</f>
        <v/>
      </c>
      <c r="O7664">
        <f>IF(L7664="", "Pending", IF(N7664&lt;=30, "Met", "Breached"))</f>
        <v/>
      </c>
    </row>
    <row r="7665">
      <c r="M7665" s="11">
        <f>B7665+30</f>
        <v/>
      </c>
      <c r="N7665">
        <f>IF(L7665="", "", L7665-B7665)</f>
        <v/>
      </c>
      <c r="O7665">
        <f>IF(L7665="", "Pending", IF(N7665&lt;=30, "Met", "Breached"))</f>
        <v/>
      </c>
    </row>
    <row r="7666">
      <c r="M7666" s="11">
        <f>B7666+30</f>
        <v/>
      </c>
      <c r="N7666">
        <f>IF(L7666="", "", L7666-B7666)</f>
        <v/>
      </c>
      <c r="O7666">
        <f>IF(L7666="", "Pending", IF(N7666&lt;=30, "Met", "Breached"))</f>
        <v/>
      </c>
    </row>
    <row r="7667">
      <c r="M7667" s="11">
        <f>B7667+30</f>
        <v/>
      </c>
      <c r="N7667">
        <f>IF(L7667="", "", L7667-B7667)</f>
        <v/>
      </c>
      <c r="O7667">
        <f>IF(L7667="", "Pending", IF(N7667&lt;=30, "Met", "Breached"))</f>
        <v/>
      </c>
    </row>
    <row r="7668">
      <c r="M7668" s="11">
        <f>B7668+30</f>
        <v/>
      </c>
      <c r="N7668">
        <f>IF(L7668="", "", L7668-B7668)</f>
        <v/>
      </c>
      <c r="O7668">
        <f>IF(L7668="", "Pending", IF(N7668&lt;=30, "Met", "Breached"))</f>
        <v/>
      </c>
    </row>
    <row r="7669">
      <c r="M7669" s="11">
        <f>B7669+30</f>
        <v/>
      </c>
      <c r="N7669">
        <f>IF(L7669="", "", L7669-B7669)</f>
        <v/>
      </c>
      <c r="O7669">
        <f>IF(L7669="", "Pending", IF(N7669&lt;=30, "Met", "Breached"))</f>
        <v/>
      </c>
    </row>
    <row r="7670">
      <c r="M7670" s="11">
        <f>B7670+30</f>
        <v/>
      </c>
      <c r="N7670">
        <f>IF(L7670="", "", L7670-B7670)</f>
        <v/>
      </c>
      <c r="O7670">
        <f>IF(L7670="", "Pending", IF(N7670&lt;=30, "Met", "Breached"))</f>
        <v/>
      </c>
    </row>
    <row r="7671">
      <c r="M7671" s="11">
        <f>B7671+30</f>
        <v/>
      </c>
      <c r="N7671">
        <f>IF(L7671="", "", L7671-B7671)</f>
        <v/>
      </c>
      <c r="O7671">
        <f>IF(L7671="", "Pending", IF(N7671&lt;=30, "Met", "Breached"))</f>
        <v/>
      </c>
    </row>
    <row r="7672">
      <c r="M7672" s="11">
        <f>B7672+30</f>
        <v/>
      </c>
      <c r="N7672">
        <f>IF(L7672="", "", L7672-B7672)</f>
        <v/>
      </c>
      <c r="O7672">
        <f>IF(L7672="", "Pending", IF(N7672&lt;=30, "Met", "Breached"))</f>
        <v/>
      </c>
    </row>
    <row r="7673">
      <c r="M7673" s="11">
        <f>B7673+30</f>
        <v/>
      </c>
      <c r="N7673">
        <f>IF(L7673="", "", L7673-B7673)</f>
        <v/>
      </c>
      <c r="O7673">
        <f>IF(L7673="", "Pending", IF(N7673&lt;=30, "Met", "Breached"))</f>
        <v/>
      </c>
    </row>
    <row r="7674">
      <c r="M7674" s="11">
        <f>B7674+30</f>
        <v/>
      </c>
      <c r="N7674">
        <f>IF(L7674="", "", L7674-B7674)</f>
        <v/>
      </c>
      <c r="O7674">
        <f>IF(L7674="", "Pending", IF(N7674&lt;=30, "Met", "Breached"))</f>
        <v/>
      </c>
    </row>
    <row r="7675">
      <c r="M7675" s="11">
        <f>B7675+30</f>
        <v/>
      </c>
      <c r="N7675">
        <f>IF(L7675="", "", L7675-B7675)</f>
        <v/>
      </c>
      <c r="O7675">
        <f>IF(L7675="", "Pending", IF(N7675&lt;=30, "Met", "Breached"))</f>
        <v/>
      </c>
    </row>
    <row r="7676">
      <c r="M7676" s="11">
        <f>B7676+30</f>
        <v/>
      </c>
      <c r="N7676">
        <f>IF(L7676="", "", L7676-B7676)</f>
        <v/>
      </c>
      <c r="O7676">
        <f>IF(L7676="", "Pending", IF(N7676&lt;=30, "Met", "Breached"))</f>
        <v/>
      </c>
    </row>
    <row r="7677">
      <c r="M7677" s="11">
        <f>B7677+30</f>
        <v/>
      </c>
      <c r="N7677">
        <f>IF(L7677="", "", L7677-B7677)</f>
        <v/>
      </c>
      <c r="O7677">
        <f>IF(L7677="", "Pending", IF(N7677&lt;=30, "Met", "Breached"))</f>
        <v/>
      </c>
    </row>
    <row r="7678">
      <c r="M7678" s="11">
        <f>B7678+30</f>
        <v/>
      </c>
      <c r="N7678">
        <f>IF(L7678="", "", L7678-B7678)</f>
        <v/>
      </c>
      <c r="O7678">
        <f>IF(L7678="", "Pending", IF(N7678&lt;=30, "Met", "Breached"))</f>
        <v/>
      </c>
    </row>
    <row r="7679">
      <c r="M7679" s="11">
        <f>B7679+30</f>
        <v/>
      </c>
      <c r="N7679">
        <f>IF(L7679="", "", L7679-B7679)</f>
        <v/>
      </c>
      <c r="O7679">
        <f>IF(L7679="", "Pending", IF(N7679&lt;=30, "Met", "Breached"))</f>
        <v/>
      </c>
    </row>
    <row r="7680">
      <c r="M7680" s="11">
        <f>B7680+30</f>
        <v/>
      </c>
      <c r="N7680">
        <f>IF(L7680="", "", L7680-B7680)</f>
        <v/>
      </c>
      <c r="O7680">
        <f>IF(L7680="", "Pending", IF(N7680&lt;=30, "Met", "Breached"))</f>
        <v/>
      </c>
    </row>
    <row r="7681">
      <c r="M7681" s="11">
        <f>B7681+30</f>
        <v/>
      </c>
      <c r="N7681">
        <f>IF(L7681="", "", L7681-B7681)</f>
        <v/>
      </c>
      <c r="O7681">
        <f>IF(L7681="", "Pending", IF(N7681&lt;=30, "Met", "Breached"))</f>
        <v/>
      </c>
    </row>
    <row r="7682">
      <c r="M7682" s="11">
        <f>B7682+30</f>
        <v/>
      </c>
      <c r="N7682">
        <f>IF(L7682="", "", L7682-B7682)</f>
        <v/>
      </c>
      <c r="O7682">
        <f>IF(L7682="", "Pending", IF(N7682&lt;=30, "Met", "Breached"))</f>
        <v/>
      </c>
    </row>
    <row r="7683">
      <c r="M7683" s="11">
        <f>B7683+30</f>
        <v/>
      </c>
      <c r="N7683">
        <f>IF(L7683="", "", L7683-B7683)</f>
        <v/>
      </c>
      <c r="O7683">
        <f>IF(L7683="", "Pending", IF(N7683&lt;=30, "Met", "Breached"))</f>
        <v/>
      </c>
    </row>
    <row r="7684">
      <c r="M7684" s="11">
        <f>B7684+30</f>
        <v/>
      </c>
      <c r="N7684">
        <f>IF(L7684="", "", L7684-B7684)</f>
        <v/>
      </c>
      <c r="O7684">
        <f>IF(L7684="", "Pending", IF(N7684&lt;=30, "Met", "Breached"))</f>
        <v/>
      </c>
    </row>
    <row r="7685">
      <c r="M7685" s="11">
        <f>B7685+30</f>
        <v/>
      </c>
      <c r="N7685">
        <f>IF(L7685="", "", L7685-B7685)</f>
        <v/>
      </c>
      <c r="O7685">
        <f>IF(L7685="", "Pending", IF(N7685&lt;=30, "Met", "Breached"))</f>
        <v/>
      </c>
    </row>
    <row r="7686">
      <c r="M7686" s="11">
        <f>B7686+30</f>
        <v/>
      </c>
      <c r="N7686">
        <f>IF(L7686="", "", L7686-B7686)</f>
        <v/>
      </c>
      <c r="O7686">
        <f>IF(L7686="", "Pending", IF(N7686&lt;=30, "Met", "Breached"))</f>
        <v/>
      </c>
    </row>
    <row r="7687">
      <c r="M7687" s="11">
        <f>B7687+30</f>
        <v/>
      </c>
      <c r="N7687">
        <f>IF(L7687="", "", L7687-B7687)</f>
        <v/>
      </c>
      <c r="O7687">
        <f>IF(L7687="", "Pending", IF(N7687&lt;=30, "Met", "Breached"))</f>
        <v/>
      </c>
    </row>
    <row r="7688">
      <c r="M7688" s="11">
        <f>B7688+30</f>
        <v/>
      </c>
      <c r="N7688">
        <f>IF(L7688="", "", L7688-B7688)</f>
        <v/>
      </c>
      <c r="O7688">
        <f>IF(L7688="", "Pending", IF(N7688&lt;=30, "Met", "Breached"))</f>
        <v/>
      </c>
    </row>
    <row r="7689">
      <c r="M7689" s="11">
        <f>B7689+30</f>
        <v/>
      </c>
      <c r="N7689">
        <f>IF(L7689="", "", L7689-B7689)</f>
        <v/>
      </c>
      <c r="O7689">
        <f>IF(L7689="", "Pending", IF(N7689&lt;=30, "Met", "Breached"))</f>
        <v/>
      </c>
    </row>
    <row r="7690">
      <c r="M7690" s="11">
        <f>B7690+30</f>
        <v/>
      </c>
      <c r="N7690">
        <f>IF(L7690="", "", L7690-B7690)</f>
        <v/>
      </c>
      <c r="O7690">
        <f>IF(L7690="", "Pending", IF(N7690&lt;=30, "Met", "Breached"))</f>
        <v/>
      </c>
    </row>
    <row r="7691">
      <c r="M7691" s="11">
        <f>B7691+30</f>
        <v/>
      </c>
      <c r="N7691">
        <f>IF(L7691="", "", L7691-B7691)</f>
        <v/>
      </c>
      <c r="O7691">
        <f>IF(L7691="", "Pending", IF(N7691&lt;=30, "Met", "Breached"))</f>
        <v/>
      </c>
    </row>
    <row r="7692">
      <c r="M7692" s="11">
        <f>B7692+30</f>
        <v/>
      </c>
      <c r="N7692">
        <f>IF(L7692="", "", L7692-B7692)</f>
        <v/>
      </c>
      <c r="O7692">
        <f>IF(L7692="", "Pending", IF(N7692&lt;=30, "Met", "Breached"))</f>
        <v/>
      </c>
    </row>
    <row r="7693">
      <c r="M7693" s="11">
        <f>B7693+30</f>
        <v/>
      </c>
      <c r="N7693">
        <f>IF(L7693="", "", L7693-B7693)</f>
        <v/>
      </c>
      <c r="O7693">
        <f>IF(L7693="", "Pending", IF(N7693&lt;=30, "Met", "Breached"))</f>
        <v/>
      </c>
    </row>
    <row r="7694">
      <c r="M7694" s="11">
        <f>B7694+30</f>
        <v/>
      </c>
      <c r="N7694">
        <f>IF(L7694="", "", L7694-B7694)</f>
        <v/>
      </c>
      <c r="O7694">
        <f>IF(L7694="", "Pending", IF(N7694&lt;=30, "Met", "Breached"))</f>
        <v/>
      </c>
    </row>
    <row r="7695">
      <c r="M7695" s="11">
        <f>B7695+30</f>
        <v/>
      </c>
      <c r="N7695">
        <f>IF(L7695="", "", L7695-B7695)</f>
        <v/>
      </c>
      <c r="O7695">
        <f>IF(L7695="", "Pending", IF(N7695&lt;=30, "Met", "Breached"))</f>
        <v/>
      </c>
    </row>
    <row r="7696">
      <c r="M7696" s="11">
        <f>B7696+30</f>
        <v/>
      </c>
      <c r="N7696">
        <f>IF(L7696="", "", L7696-B7696)</f>
        <v/>
      </c>
      <c r="O7696">
        <f>IF(L7696="", "Pending", IF(N7696&lt;=30, "Met", "Breached"))</f>
        <v/>
      </c>
    </row>
    <row r="7697">
      <c r="M7697" s="11">
        <f>B7697+30</f>
        <v/>
      </c>
      <c r="N7697">
        <f>IF(L7697="", "", L7697-B7697)</f>
        <v/>
      </c>
      <c r="O7697">
        <f>IF(L7697="", "Pending", IF(N7697&lt;=30, "Met", "Breached"))</f>
        <v/>
      </c>
    </row>
    <row r="7698">
      <c r="M7698" s="11">
        <f>B7698+30</f>
        <v/>
      </c>
      <c r="N7698">
        <f>IF(L7698="", "", L7698-B7698)</f>
        <v/>
      </c>
      <c r="O7698">
        <f>IF(L7698="", "Pending", IF(N7698&lt;=30, "Met", "Breached"))</f>
        <v/>
      </c>
    </row>
    <row r="7699">
      <c r="M7699" s="11">
        <f>B7699+30</f>
        <v/>
      </c>
      <c r="N7699">
        <f>IF(L7699="", "", L7699-B7699)</f>
        <v/>
      </c>
      <c r="O7699">
        <f>IF(L7699="", "Pending", IF(N7699&lt;=30, "Met", "Breached"))</f>
        <v/>
      </c>
    </row>
    <row r="7700">
      <c r="M7700" s="11">
        <f>B7700+30</f>
        <v/>
      </c>
      <c r="N7700">
        <f>IF(L7700="", "", L7700-B7700)</f>
        <v/>
      </c>
      <c r="O7700">
        <f>IF(L7700="", "Pending", IF(N7700&lt;=30, "Met", "Breached"))</f>
        <v/>
      </c>
    </row>
    <row r="7701">
      <c r="M7701" s="11">
        <f>B7701+30</f>
        <v/>
      </c>
      <c r="N7701">
        <f>IF(L7701="", "", L7701-B7701)</f>
        <v/>
      </c>
      <c r="O7701">
        <f>IF(L7701="", "Pending", IF(N7701&lt;=30, "Met", "Breached"))</f>
        <v/>
      </c>
    </row>
    <row r="7702">
      <c r="M7702" s="11">
        <f>B7702+30</f>
        <v/>
      </c>
      <c r="N7702">
        <f>IF(L7702="", "", L7702-B7702)</f>
        <v/>
      </c>
      <c r="O7702">
        <f>IF(L7702="", "Pending", IF(N7702&lt;=30, "Met", "Breached"))</f>
        <v/>
      </c>
    </row>
    <row r="7703">
      <c r="M7703" s="11">
        <f>B7703+30</f>
        <v/>
      </c>
      <c r="N7703">
        <f>IF(L7703="", "", L7703-B7703)</f>
        <v/>
      </c>
      <c r="O7703">
        <f>IF(L7703="", "Pending", IF(N7703&lt;=30, "Met", "Breached"))</f>
        <v/>
      </c>
    </row>
    <row r="7704">
      <c r="M7704" s="11">
        <f>B7704+30</f>
        <v/>
      </c>
      <c r="N7704">
        <f>IF(L7704="", "", L7704-B7704)</f>
        <v/>
      </c>
      <c r="O7704">
        <f>IF(L7704="", "Pending", IF(N7704&lt;=30, "Met", "Breached"))</f>
        <v/>
      </c>
    </row>
    <row r="7705">
      <c r="M7705" s="11">
        <f>B7705+30</f>
        <v/>
      </c>
      <c r="N7705">
        <f>IF(L7705="", "", L7705-B7705)</f>
        <v/>
      </c>
      <c r="O7705">
        <f>IF(L7705="", "Pending", IF(N7705&lt;=30, "Met", "Breached"))</f>
        <v/>
      </c>
    </row>
    <row r="7706">
      <c r="M7706" s="11">
        <f>B7706+30</f>
        <v/>
      </c>
      <c r="N7706">
        <f>IF(L7706="", "", L7706-B7706)</f>
        <v/>
      </c>
      <c r="O7706">
        <f>IF(L7706="", "Pending", IF(N7706&lt;=30, "Met", "Breached"))</f>
        <v/>
      </c>
    </row>
    <row r="7707">
      <c r="M7707" s="11">
        <f>B7707+30</f>
        <v/>
      </c>
      <c r="N7707">
        <f>IF(L7707="", "", L7707-B7707)</f>
        <v/>
      </c>
      <c r="O7707">
        <f>IF(L7707="", "Pending", IF(N7707&lt;=30, "Met", "Breached"))</f>
        <v/>
      </c>
    </row>
    <row r="7708">
      <c r="M7708" s="11">
        <f>B7708+30</f>
        <v/>
      </c>
      <c r="N7708">
        <f>IF(L7708="", "", L7708-B7708)</f>
        <v/>
      </c>
      <c r="O7708">
        <f>IF(L7708="", "Pending", IF(N7708&lt;=30, "Met", "Breached"))</f>
        <v/>
      </c>
    </row>
    <row r="7709">
      <c r="M7709" s="11">
        <f>B7709+30</f>
        <v/>
      </c>
      <c r="N7709">
        <f>IF(L7709="", "", L7709-B7709)</f>
        <v/>
      </c>
      <c r="O7709">
        <f>IF(L7709="", "Pending", IF(N7709&lt;=30, "Met", "Breached"))</f>
        <v/>
      </c>
    </row>
    <row r="7710">
      <c r="M7710" s="11">
        <f>B7710+30</f>
        <v/>
      </c>
      <c r="N7710">
        <f>IF(L7710="", "", L7710-B7710)</f>
        <v/>
      </c>
      <c r="O7710">
        <f>IF(L7710="", "Pending", IF(N7710&lt;=30, "Met", "Breached"))</f>
        <v/>
      </c>
    </row>
    <row r="7711">
      <c r="M7711" s="11">
        <f>B7711+30</f>
        <v/>
      </c>
      <c r="N7711">
        <f>IF(L7711="", "", L7711-B7711)</f>
        <v/>
      </c>
      <c r="O7711">
        <f>IF(L7711="", "Pending", IF(N7711&lt;=30, "Met", "Breached"))</f>
        <v/>
      </c>
    </row>
    <row r="7712">
      <c r="M7712" s="11">
        <f>B7712+30</f>
        <v/>
      </c>
      <c r="N7712">
        <f>IF(L7712="", "", L7712-B7712)</f>
        <v/>
      </c>
      <c r="O7712">
        <f>IF(L7712="", "Pending", IF(N7712&lt;=30, "Met", "Breached"))</f>
        <v/>
      </c>
    </row>
    <row r="7713">
      <c r="M7713" s="11">
        <f>B7713+30</f>
        <v/>
      </c>
      <c r="N7713">
        <f>IF(L7713="", "", L7713-B7713)</f>
        <v/>
      </c>
      <c r="O7713">
        <f>IF(L7713="", "Pending", IF(N7713&lt;=30, "Met", "Breached"))</f>
        <v/>
      </c>
    </row>
    <row r="7714">
      <c r="M7714" s="11">
        <f>B7714+30</f>
        <v/>
      </c>
      <c r="N7714">
        <f>IF(L7714="", "", L7714-B7714)</f>
        <v/>
      </c>
      <c r="O7714">
        <f>IF(L7714="", "Pending", IF(N7714&lt;=30, "Met", "Breached"))</f>
        <v/>
      </c>
    </row>
    <row r="7715">
      <c r="M7715" s="11">
        <f>B7715+30</f>
        <v/>
      </c>
      <c r="N7715">
        <f>IF(L7715="", "", L7715-B7715)</f>
        <v/>
      </c>
      <c r="O7715">
        <f>IF(L7715="", "Pending", IF(N7715&lt;=30, "Met", "Breached"))</f>
        <v/>
      </c>
    </row>
    <row r="7716">
      <c r="M7716" s="11">
        <f>B7716+30</f>
        <v/>
      </c>
      <c r="N7716">
        <f>IF(L7716="", "", L7716-B7716)</f>
        <v/>
      </c>
      <c r="O7716">
        <f>IF(L7716="", "Pending", IF(N7716&lt;=30, "Met", "Breached"))</f>
        <v/>
      </c>
    </row>
    <row r="7717">
      <c r="M7717" s="11">
        <f>B7717+30</f>
        <v/>
      </c>
      <c r="N7717">
        <f>IF(L7717="", "", L7717-B7717)</f>
        <v/>
      </c>
      <c r="O7717">
        <f>IF(L7717="", "Pending", IF(N7717&lt;=30, "Met", "Breached"))</f>
        <v/>
      </c>
    </row>
    <row r="7718">
      <c r="M7718" s="11">
        <f>B7718+30</f>
        <v/>
      </c>
      <c r="N7718">
        <f>IF(L7718="", "", L7718-B7718)</f>
        <v/>
      </c>
      <c r="O7718">
        <f>IF(L7718="", "Pending", IF(N7718&lt;=30, "Met", "Breached"))</f>
        <v/>
      </c>
    </row>
    <row r="7719">
      <c r="M7719" s="11">
        <f>B7719+30</f>
        <v/>
      </c>
      <c r="N7719">
        <f>IF(L7719="", "", L7719-B7719)</f>
        <v/>
      </c>
      <c r="O7719">
        <f>IF(L7719="", "Pending", IF(N7719&lt;=30, "Met", "Breached"))</f>
        <v/>
      </c>
    </row>
    <row r="7720">
      <c r="M7720" s="11">
        <f>B7720+30</f>
        <v/>
      </c>
      <c r="N7720">
        <f>IF(L7720="", "", L7720-B7720)</f>
        <v/>
      </c>
      <c r="O7720">
        <f>IF(L7720="", "Pending", IF(N7720&lt;=30, "Met", "Breached"))</f>
        <v/>
      </c>
    </row>
    <row r="7721">
      <c r="M7721" s="11">
        <f>B7721+30</f>
        <v/>
      </c>
      <c r="N7721">
        <f>IF(L7721="", "", L7721-B7721)</f>
        <v/>
      </c>
      <c r="O7721">
        <f>IF(L7721="", "Pending", IF(N7721&lt;=30, "Met", "Breached"))</f>
        <v/>
      </c>
    </row>
    <row r="7722">
      <c r="M7722" s="11">
        <f>B7722+30</f>
        <v/>
      </c>
      <c r="N7722">
        <f>IF(L7722="", "", L7722-B7722)</f>
        <v/>
      </c>
      <c r="O7722">
        <f>IF(L7722="", "Pending", IF(N7722&lt;=30, "Met", "Breached"))</f>
        <v/>
      </c>
    </row>
    <row r="7723">
      <c r="M7723" s="11">
        <f>B7723+30</f>
        <v/>
      </c>
      <c r="N7723">
        <f>IF(L7723="", "", L7723-B7723)</f>
        <v/>
      </c>
      <c r="O7723">
        <f>IF(L7723="", "Pending", IF(N7723&lt;=30, "Met", "Breached"))</f>
        <v/>
      </c>
    </row>
    <row r="7724">
      <c r="M7724" s="11">
        <f>B7724+30</f>
        <v/>
      </c>
      <c r="N7724">
        <f>IF(L7724="", "", L7724-B7724)</f>
        <v/>
      </c>
      <c r="O7724">
        <f>IF(L7724="", "Pending", IF(N7724&lt;=30, "Met", "Breached"))</f>
        <v/>
      </c>
    </row>
    <row r="7725">
      <c r="M7725" s="11">
        <f>B7725+30</f>
        <v/>
      </c>
      <c r="N7725">
        <f>IF(L7725="", "", L7725-B7725)</f>
        <v/>
      </c>
      <c r="O7725">
        <f>IF(L7725="", "Pending", IF(N7725&lt;=30, "Met", "Breached"))</f>
        <v/>
      </c>
    </row>
    <row r="7726">
      <c r="M7726" s="11">
        <f>B7726+30</f>
        <v/>
      </c>
      <c r="N7726">
        <f>IF(L7726="", "", L7726-B7726)</f>
        <v/>
      </c>
      <c r="O7726">
        <f>IF(L7726="", "Pending", IF(N7726&lt;=30, "Met", "Breached"))</f>
        <v/>
      </c>
    </row>
    <row r="7727">
      <c r="M7727" s="11">
        <f>B7727+30</f>
        <v/>
      </c>
      <c r="N7727">
        <f>IF(L7727="", "", L7727-B7727)</f>
        <v/>
      </c>
      <c r="O7727">
        <f>IF(L7727="", "Pending", IF(N7727&lt;=30, "Met", "Breached"))</f>
        <v/>
      </c>
    </row>
    <row r="7728">
      <c r="M7728" s="11">
        <f>B7728+30</f>
        <v/>
      </c>
      <c r="N7728">
        <f>IF(L7728="", "", L7728-B7728)</f>
        <v/>
      </c>
      <c r="O7728">
        <f>IF(L7728="", "Pending", IF(N7728&lt;=30, "Met", "Breached"))</f>
        <v/>
      </c>
    </row>
    <row r="7729">
      <c r="M7729" s="11">
        <f>B7729+30</f>
        <v/>
      </c>
      <c r="N7729">
        <f>IF(L7729="", "", L7729-B7729)</f>
        <v/>
      </c>
      <c r="O7729">
        <f>IF(L7729="", "Pending", IF(N7729&lt;=30, "Met", "Breached"))</f>
        <v/>
      </c>
    </row>
    <row r="7730">
      <c r="M7730" s="11">
        <f>B7730+30</f>
        <v/>
      </c>
      <c r="N7730">
        <f>IF(L7730="", "", L7730-B7730)</f>
        <v/>
      </c>
      <c r="O7730">
        <f>IF(L7730="", "Pending", IF(N7730&lt;=30, "Met", "Breached"))</f>
        <v/>
      </c>
    </row>
    <row r="7731">
      <c r="M7731" s="11">
        <f>B7731+30</f>
        <v/>
      </c>
      <c r="N7731">
        <f>IF(L7731="", "", L7731-B7731)</f>
        <v/>
      </c>
      <c r="O7731">
        <f>IF(L7731="", "Pending", IF(N7731&lt;=30, "Met", "Breached"))</f>
        <v/>
      </c>
    </row>
    <row r="7732">
      <c r="M7732" s="11">
        <f>B7732+30</f>
        <v/>
      </c>
      <c r="N7732">
        <f>IF(L7732="", "", L7732-B7732)</f>
        <v/>
      </c>
      <c r="O7732">
        <f>IF(L7732="", "Pending", IF(N7732&lt;=30, "Met", "Breached"))</f>
        <v/>
      </c>
    </row>
    <row r="7733">
      <c r="M7733" s="11">
        <f>B7733+30</f>
        <v/>
      </c>
      <c r="N7733">
        <f>IF(L7733="", "", L7733-B7733)</f>
        <v/>
      </c>
      <c r="O7733">
        <f>IF(L7733="", "Pending", IF(N7733&lt;=30, "Met", "Breached"))</f>
        <v/>
      </c>
    </row>
    <row r="7734">
      <c r="M7734" s="11">
        <f>B7734+30</f>
        <v/>
      </c>
      <c r="N7734">
        <f>IF(L7734="", "", L7734-B7734)</f>
        <v/>
      </c>
      <c r="O7734">
        <f>IF(L7734="", "Pending", IF(N7734&lt;=30, "Met", "Breached"))</f>
        <v/>
      </c>
    </row>
    <row r="7735">
      <c r="M7735" s="11">
        <f>B7735+30</f>
        <v/>
      </c>
      <c r="N7735">
        <f>IF(L7735="", "", L7735-B7735)</f>
        <v/>
      </c>
      <c r="O7735">
        <f>IF(L7735="", "Pending", IF(N7735&lt;=30, "Met", "Breached"))</f>
        <v/>
      </c>
    </row>
    <row r="7736">
      <c r="M7736" s="11">
        <f>B7736+30</f>
        <v/>
      </c>
      <c r="N7736">
        <f>IF(L7736="", "", L7736-B7736)</f>
        <v/>
      </c>
      <c r="O7736">
        <f>IF(L7736="", "Pending", IF(N7736&lt;=30, "Met", "Breached"))</f>
        <v/>
      </c>
    </row>
    <row r="7737">
      <c r="M7737" s="11">
        <f>B7737+30</f>
        <v/>
      </c>
      <c r="N7737">
        <f>IF(L7737="", "", L7737-B7737)</f>
        <v/>
      </c>
      <c r="O7737">
        <f>IF(L7737="", "Pending", IF(N7737&lt;=30, "Met", "Breached"))</f>
        <v/>
      </c>
    </row>
    <row r="7738">
      <c r="M7738" s="11">
        <f>B7738+30</f>
        <v/>
      </c>
      <c r="N7738">
        <f>IF(L7738="", "", L7738-B7738)</f>
        <v/>
      </c>
      <c r="O7738">
        <f>IF(L7738="", "Pending", IF(N7738&lt;=30, "Met", "Breached"))</f>
        <v/>
      </c>
    </row>
    <row r="7739">
      <c r="M7739" s="11">
        <f>B7739+30</f>
        <v/>
      </c>
      <c r="N7739">
        <f>IF(L7739="", "", L7739-B7739)</f>
        <v/>
      </c>
      <c r="O7739">
        <f>IF(L7739="", "Pending", IF(N7739&lt;=30, "Met", "Breached"))</f>
        <v/>
      </c>
    </row>
    <row r="7740">
      <c r="M7740" s="11">
        <f>B7740+30</f>
        <v/>
      </c>
      <c r="N7740">
        <f>IF(L7740="", "", L7740-B7740)</f>
        <v/>
      </c>
      <c r="O7740">
        <f>IF(L7740="", "Pending", IF(N7740&lt;=30, "Met", "Breached"))</f>
        <v/>
      </c>
    </row>
    <row r="7741">
      <c r="M7741" s="11">
        <f>B7741+30</f>
        <v/>
      </c>
      <c r="N7741">
        <f>IF(L7741="", "", L7741-B7741)</f>
        <v/>
      </c>
      <c r="O7741">
        <f>IF(L7741="", "Pending", IF(N7741&lt;=30, "Met", "Breached"))</f>
        <v/>
      </c>
    </row>
    <row r="7742">
      <c r="M7742" s="11">
        <f>B7742+30</f>
        <v/>
      </c>
      <c r="N7742">
        <f>IF(L7742="", "", L7742-B7742)</f>
        <v/>
      </c>
      <c r="O7742">
        <f>IF(L7742="", "Pending", IF(N7742&lt;=30, "Met", "Breached"))</f>
        <v/>
      </c>
    </row>
    <row r="7743">
      <c r="M7743" s="11">
        <f>B7743+30</f>
        <v/>
      </c>
      <c r="N7743">
        <f>IF(L7743="", "", L7743-B7743)</f>
        <v/>
      </c>
      <c r="O7743">
        <f>IF(L7743="", "Pending", IF(N7743&lt;=30, "Met", "Breached"))</f>
        <v/>
      </c>
    </row>
    <row r="7744">
      <c r="M7744" s="11">
        <f>B7744+30</f>
        <v/>
      </c>
      <c r="N7744">
        <f>IF(L7744="", "", L7744-B7744)</f>
        <v/>
      </c>
      <c r="O7744">
        <f>IF(L7744="", "Pending", IF(N7744&lt;=30, "Met", "Breached"))</f>
        <v/>
      </c>
    </row>
    <row r="7745">
      <c r="M7745" s="11">
        <f>B7745+30</f>
        <v/>
      </c>
      <c r="N7745">
        <f>IF(L7745="", "", L7745-B7745)</f>
        <v/>
      </c>
      <c r="O7745">
        <f>IF(L7745="", "Pending", IF(N7745&lt;=30, "Met", "Breached"))</f>
        <v/>
      </c>
    </row>
    <row r="7746">
      <c r="M7746" s="11">
        <f>B7746+30</f>
        <v/>
      </c>
      <c r="N7746">
        <f>IF(L7746="", "", L7746-B7746)</f>
        <v/>
      </c>
      <c r="O7746">
        <f>IF(L7746="", "Pending", IF(N7746&lt;=30, "Met", "Breached"))</f>
        <v/>
      </c>
    </row>
    <row r="7747">
      <c r="M7747" s="11">
        <f>B7747+30</f>
        <v/>
      </c>
      <c r="N7747">
        <f>IF(L7747="", "", L7747-B7747)</f>
        <v/>
      </c>
      <c r="O7747">
        <f>IF(L7747="", "Pending", IF(N7747&lt;=30, "Met", "Breached"))</f>
        <v/>
      </c>
    </row>
    <row r="7748">
      <c r="M7748" s="11">
        <f>B7748+30</f>
        <v/>
      </c>
      <c r="N7748">
        <f>IF(L7748="", "", L7748-B7748)</f>
        <v/>
      </c>
      <c r="O7748">
        <f>IF(L7748="", "Pending", IF(N7748&lt;=30, "Met", "Breached"))</f>
        <v/>
      </c>
    </row>
    <row r="7749">
      <c r="M7749" s="11">
        <f>B7749+30</f>
        <v/>
      </c>
      <c r="N7749">
        <f>IF(L7749="", "", L7749-B7749)</f>
        <v/>
      </c>
      <c r="O7749">
        <f>IF(L7749="", "Pending", IF(N7749&lt;=30, "Met", "Breached"))</f>
        <v/>
      </c>
    </row>
    <row r="7750">
      <c r="M7750" s="11">
        <f>B7750+30</f>
        <v/>
      </c>
      <c r="N7750">
        <f>IF(L7750="", "", L7750-B7750)</f>
        <v/>
      </c>
      <c r="O7750">
        <f>IF(L7750="", "Pending", IF(N7750&lt;=30, "Met", "Breached"))</f>
        <v/>
      </c>
    </row>
    <row r="7751">
      <c r="M7751" s="11">
        <f>B7751+30</f>
        <v/>
      </c>
      <c r="N7751">
        <f>IF(L7751="", "", L7751-B7751)</f>
        <v/>
      </c>
      <c r="O7751">
        <f>IF(L7751="", "Pending", IF(N7751&lt;=30, "Met", "Breached"))</f>
        <v/>
      </c>
    </row>
    <row r="7752">
      <c r="M7752" s="11">
        <f>B7752+30</f>
        <v/>
      </c>
      <c r="N7752">
        <f>IF(L7752="", "", L7752-B7752)</f>
        <v/>
      </c>
      <c r="O7752">
        <f>IF(L7752="", "Pending", IF(N7752&lt;=30, "Met", "Breached"))</f>
        <v/>
      </c>
    </row>
    <row r="7753">
      <c r="M7753" s="11">
        <f>B7753+30</f>
        <v/>
      </c>
      <c r="N7753">
        <f>IF(L7753="", "", L7753-B7753)</f>
        <v/>
      </c>
      <c r="O7753">
        <f>IF(L7753="", "Pending", IF(N7753&lt;=30, "Met", "Breached"))</f>
        <v/>
      </c>
    </row>
    <row r="7754">
      <c r="M7754" s="11">
        <f>B7754+30</f>
        <v/>
      </c>
      <c r="N7754">
        <f>IF(L7754="", "", L7754-B7754)</f>
        <v/>
      </c>
      <c r="O7754">
        <f>IF(L7754="", "Pending", IF(N7754&lt;=30, "Met", "Breached"))</f>
        <v/>
      </c>
    </row>
    <row r="7755">
      <c r="M7755" s="11">
        <f>B7755+30</f>
        <v/>
      </c>
      <c r="N7755">
        <f>IF(L7755="", "", L7755-B7755)</f>
        <v/>
      </c>
      <c r="O7755">
        <f>IF(L7755="", "Pending", IF(N7755&lt;=30, "Met", "Breached"))</f>
        <v/>
      </c>
    </row>
    <row r="7756">
      <c r="M7756" s="11">
        <f>B7756+30</f>
        <v/>
      </c>
      <c r="N7756">
        <f>IF(L7756="", "", L7756-B7756)</f>
        <v/>
      </c>
      <c r="O7756">
        <f>IF(L7756="", "Pending", IF(N7756&lt;=30, "Met", "Breached"))</f>
        <v/>
      </c>
    </row>
    <row r="7757">
      <c r="M7757" s="11">
        <f>B7757+30</f>
        <v/>
      </c>
      <c r="N7757">
        <f>IF(L7757="", "", L7757-B7757)</f>
        <v/>
      </c>
      <c r="O7757">
        <f>IF(L7757="", "Pending", IF(N7757&lt;=30, "Met", "Breached"))</f>
        <v/>
      </c>
    </row>
    <row r="7758">
      <c r="M7758" s="11">
        <f>B7758+30</f>
        <v/>
      </c>
      <c r="N7758">
        <f>IF(L7758="", "", L7758-B7758)</f>
        <v/>
      </c>
      <c r="O7758">
        <f>IF(L7758="", "Pending", IF(N7758&lt;=30, "Met", "Breached"))</f>
        <v/>
      </c>
    </row>
    <row r="7759">
      <c r="M7759" s="11">
        <f>B7759+30</f>
        <v/>
      </c>
      <c r="N7759">
        <f>IF(L7759="", "", L7759-B7759)</f>
        <v/>
      </c>
      <c r="O7759">
        <f>IF(L7759="", "Pending", IF(N7759&lt;=30, "Met", "Breached"))</f>
        <v/>
      </c>
    </row>
    <row r="7760">
      <c r="M7760" s="11">
        <f>B7760+30</f>
        <v/>
      </c>
      <c r="N7760">
        <f>IF(L7760="", "", L7760-B7760)</f>
        <v/>
      </c>
      <c r="O7760">
        <f>IF(L7760="", "Pending", IF(N7760&lt;=30, "Met", "Breached"))</f>
        <v/>
      </c>
    </row>
    <row r="7761">
      <c r="M7761" s="11">
        <f>B7761+30</f>
        <v/>
      </c>
      <c r="N7761">
        <f>IF(L7761="", "", L7761-B7761)</f>
        <v/>
      </c>
      <c r="O7761">
        <f>IF(L7761="", "Pending", IF(N7761&lt;=30, "Met", "Breached"))</f>
        <v/>
      </c>
    </row>
    <row r="7762">
      <c r="M7762" s="11">
        <f>B7762+30</f>
        <v/>
      </c>
      <c r="N7762">
        <f>IF(L7762="", "", L7762-B7762)</f>
        <v/>
      </c>
      <c r="O7762">
        <f>IF(L7762="", "Pending", IF(N7762&lt;=30, "Met", "Breached"))</f>
        <v/>
      </c>
    </row>
    <row r="7763">
      <c r="M7763" s="11">
        <f>B7763+30</f>
        <v/>
      </c>
      <c r="N7763">
        <f>IF(L7763="", "", L7763-B7763)</f>
        <v/>
      </c>
      <c r="O7763">
        <f>IF(L7763="", "Pending", IF(N7763&lt;=30, "Met", "Breached"))</f>
        <v/>
      </c>
    </row>
    <row r="7764">
      <c r="M7764" s="11">
        <f>B7764+30</f>
        <v/>
      </c>
      <c r="N7764">
        <f>IF(L7764="", "", L7764-B7764)</f>
        <v/>
      </c>
      <c r="O7764">
        <f>IF(L7764="", "Pending", IF(N7764&lt;=30, "Met", "Breached"))</f>
        <v/>
      </c>
    </row>
    <row r="7765">
      <c r="M7765" s="11">
        <f>B7765+30</f>
        <v/>
      </c>
      <c r="N7765">
        <f>IF(L7765="", "", L7765-B7765)</f>
        <v/>
      </c>
      <c r="O7765">
        <f>IF(L7765="", "Pending", IF(N7765&lt;=30, "Met", "Breached"))</f>
        <v/>
      </c>
    </row>
    <row r="7766">
      <c r="M7766" s="11">
        <f>B7766+30</f>
        <v/>
      </c>
      <c r="N7766">
        <f>IF(L7766="", "", L7766-B7766)</f>
        <v/>
      </c>
      <c r="O7766">
        <f>IF(L7766="", "Pending", IF(N7766&lt;=30, "Met", "Breached"))</f>
        <v/>
      </c>
    </row>
    <row r="7767">
      <c r="M7767" s="11">
        <f>B7767+30</f>
        <v/>
      </c>
      <c r="N7767">
        <f>IF(L7767="", "", L7767-B7767)</f>
        <v/>
      </c>
      <c r="O7767">
        <f>IF(L7767="", "Pending", IF(N7767&lt;=30, "Met", "Breached"))</f>
        <v/>
      </c>
    </row>
    <row r="7768">
      <c r="M7768" s="11">
        <f>B7768+30</f>
        <v/>
      </c>
      <c r="N7768">
        <f>IF(L7768="", "", L7768-B7768)</f>
        <v/>
      </c>
      <c r="O7768">
        <f>IF(L7768="", "Pending", IF(N7768&lt;=30, "Met", "Breached"))</f>
        <v/>
      </c>
    </row>
    <row r="7769">
      <c r="M7769" s="11">
        <f>B7769+30</f>
        <v/>
      </c>
      <c r="N7769">
        <f>IF(L7769="", "", L7769-B7769)</f>
        <v/>
      </c>
      <c r="O7769">
        <f>IF(L7769="", "Pending", IF(N7769&lt;=30, "Met", "Breached"))</f>
        <v/>
      </c>
    </row>
    <row r="7770">
      <c r="M7770" s="11">
        <f>B7770+30</f>
        <v/>
      </c>
      <c r="N7770">
        <f>IF(L7770="", "", L7770-B7770)</f>
        <v/>
      </c>
      <c r="O7770">
        <f>IF(L7770="", "Pending", IF(N7770&lt;=30, "Met", "Breached"))</f>
        <v/>
      </c>
    </row>
    <row r="7771">
      <c r="M7771" s="11">
        <f>B7771+30</f>
        <v/>
      </c>
      <c r="N7771">
        <f>IF(L7771="", "", L7771-B7771)</f>
        <v/>
      </c>
      <c r="O7771">
        <f>IF(L7771="", "Pending", IF(N7771&lt;=30, "Met", "Breached"))</f>
        <v/>
      </c>
    </row>
    <row r="7772">
      <c r="M7772" s="11">
        <f>B7772+30</f>
        <v/>
      </c>
      <c r="N7772">
        <f>IF(L7772="", "", L7772-B7772)</f>
        <v/>
      </c>
      <c r="O7772">
        <f>IF(L7772="", "Pending", IF(N7772&lt;=30, "Met", "Breached"))</f>
        <v/>
      </c>
    </row>
    <row r="7773">
      <c r="M7773" s="11">
        <f>B7773+30</f>
        <v/>
      </c>
      <c r="N7773">
        <f>IF(L7773="", "", L7773-B7773)</f>
        <v/>
      </c>
      <c r="O7773">
        <f>IF(L7773="", "Pending", IF(N7773&lt;=30, "Met", "Breached"))</f>
        <v/>
      </c>
    </row>
    <row r="7774">
      <c r="M7774" s="11">
        <f>B7774+30</f>
        <v/>
      </c>
      <c r="N7774">
        <f>IF(L7774="", "", L7774-B7774)</f>
        <v/>
      </c>
      <c r="O7774">
        <f>IF(L7774="", "Pending", IF(N7774&lt;=30, "Met", "Breached"))</f>
        <v/>
      </c>
    </row>
    <row r="7775">
      <c r="M7775" s="11">
        <f>B7775+30</f>
        <v/>
      </c>
      <c r="N7775">
        <f>IF(L7775="", "", L7775-B7775)</f>
        <v/>
      </c>
      <c r="O7775">
        <f>IF(L7775="", "Pending", IF(N7775&lt;=30, "Met", "Breached"))</f>
        <v/>
      </c>
    </row>
    <row r="7776">
      <c r="M7776" s="11">
        <f>B7776+30</f>
        <v/>
      </c>
      <c r="N7776">
        <f>IF(L7776="", "", L7776-B7776)</f>
        <v/>
      </c>
      <c r="O7776">
        <f>IF(L7776="", "Pending", IF(N7776&lt;=30, "Met", "Breached"))</f>
        <v/>
      </c>
    </row>
    <row r="7777">
      <c r="M7777" s="11">
        <f>B7777+30</f>
        <v/>
      </c>
      <c r="N7777">
        <f>IF(L7777="", "", L7777-B7777)</f>
        <v/>
      </c>
      <c r="O7777">
        <f>IF(L7777="", "Pending", IF(N7777&lt;=30, "Met", "Breached"))</f>
        <v/>
      </c>
    </row>
    <row r="7778">
      <c r="M7778" s="11">
        <f>B7778+30</f>
        <v/>
      </c>
      <c r="N7778">
        <f>IF(L7778="", "", L7778-B7778)</f>
        <v/>
      </c>
      <c r="O7778">
        <f>IF(L7778="", "Pending", IF(N7778&lt;=30, "Met", "Breached"))</f>
        <v/>
      </c>
    </row>
    <row r="7779">
      <c r="M7779" s="11">
        <f>B7779+30</f>
        <v/>
      </c>
      <c r="N7779">
        <f>IF(L7779="", "", L7779-B7779)</f>
        <v/>
      </c>
      <c r="O7779">
        <f>IF(L7779="", "Pending", IF(N7779&lt;=30, "Met", "Breached"))</f>
        <v/>
      </c>
    </row>
    <row r="7780">
      <c r="M7780" s="11">
        <f>B7780+30</f>
        <v/>
      </c>
      <c r="N7780">
        <f>IF(L7780="", "", L7780-B7780)</f>
        <v/>
      </c>
      <c r="O7780">
        <f>IF(L7780="", "Pending", IF(N7780&lt;=30, "Met", "Breached"))</f>
        <v/>
      </c>
    </row>
    <row r="7781">
      <c r="M7781" s="11">
        <f>B7781+30</f>
        <v/>
      </c>
      <c r="N7781">
        <f>IF(L7781="", "", L7781-B7781)</f>
        <v/>
      </c>
      <c r="O7781">
        <f>IF(L7781="", "Pending", IF(N7781&lt;=30, "Met", "Breached"))</f>
        <v/>
      </c>
    </row>
    <row r="7782">
      <c r="M7782" s="11">
        <f>B7782+30</f>
        <v/>
      </c>
      <c r="N7782">
        <f>IF(L7782="", "", L7782-B7782)</f>
        <v/>
      </c>
      <c r="O7782">
        <f>IF(L7782="", "Pending", IF(N7782&lt;=30, "Met", "Breached"))</f>
        <v/>
      </c>
    </row>
    <row r="7783">
      <c r="M7783" s="11">
        <f>B7783+30</f>
        <v/>
      </c>
      <c r="N7783">
        <f>IF(L7783="", "", L7783-B7783)</f>
        <v/>
      </c>
      <c r="O7783">
        <f>IF(L7783="", "Pending", IF(N7783&lt;=30, "Met", "Breached"))</f>
        <v/>
      </c>
    </row>
    <row r="7784">
      <c r="M7784" s="11">
        <f>B7784+30</f>
        <v/>
      </c>
      <c r="N7784">
        <f>IF(L7784="", "", L7784-B7784)</f>
        <v/>
      </c>
      <c r="O7784">
        <f>IF(L7784="", "Pending", IF(N7784&lt;=30, "Met", "Breached"))</f>
        <v/>
      </c>
    </row>
    <row r="7785">
      <c r="M7785" s="11">
        <f>B7785+30</f>
        <v/>
      </c>
      <c r="N7785">
        <f>IF(L7785="", "", L7785-B7785)</f>
        <v/>
      </c>
      <c r="O7785">
        <f>IF(L7785="", "Pending", IF(N7785&lt;=30, "Met", "Breached"))</f>
        <v/>
      </c>
    </row>
    <row r="7786">
      <c r="M7786" s="11">
        <f>B7786+30</f>
        <v/>
      </c>
      <c r="N7786">
        <f>IF(L7786="", "", L7786-B7786)</f>
        <v/>
      </c>
      <c r="O7786">
        <f>IF(L7786="", "Pending", IF(N7786&lt;=30, "Met", "Breached"))</f>
        <v/>
      </c>
    </row>
    <row r="7787">
      <c r="M7787" s="11">
        <f>B7787+30</f>
        <v/>
      </c>
      <c r="N7787">
        <f>IF(L7787="", "", L7787-B7787)</f>
        <v/>
      </c>
      <c r="O7787">
        <f>IF(L7787="", "Pending", IF(N7787&lt;=30, "Met", "Breached"))</f>
        <v/>
      </c>
    </row>
    <row r="7788">
      <c r="M7788" s="11">
        <f>B7788+30</f>
        <v/>
      </c>
      <c r="N7788">
        <f>IF(L7788="", "", L7788-B7788)</f>
        <v/>
      </c>
      <c r="O7788">
        <f>IF(L7788="", "Pending", IF(N7788&lt;=30, "Met", "Breached"))</f>
        <v/>
      </c>
    </row>
    <row r="7789">
      <c r="M7789" s="11">
        <f>B7789+30</f>
        <v/>
      </c>
      <c r="N7789">
        <f>IF(L7789="", "", L7789-B7789)</f>
        <v/>
      </c>
      <c r="O7789">
        <f>IF(L7789="", "Pending", IF(N7789&lt;=30, "Met", "Breached"))</f>
        <v/>
      </c>
    </row>
    <row r="7790">
      <c r="M7790" s="11">
        <f>B7790+30</f>
        <v/>
      </c>
      <c r="N7790">
        <f>IF(L7790="", "", L7790-B7790)</f>
        <v/>
      </c>
      <c r="O7790">
        <f>IF(L7790="", "Pending", IF(N7790&lt;=30, "Met", "Breached"))</f>
        <v/>
      </c>
    </row>
    <row r="7791">
      <c r="M7791" s="11">
        <f>B7791+30</f>
        <v/>
      </c>
      <c r="N7791">
        <f>IF(L7791="", "", L7791-B7791)</f>
        <v/>
      </c>
      <c r="O7791">
        <f>IF(L7791="", "Pending", IF(N7791&lt;=30, "Met", "Breached"))</f>
        <v/>
      </c>
    </row>
    <row r="7792">
      <c r="M7792" s="11">
        <f>B7792+30</f>
        <v/>
      </c>
      <c r="N7792">
        <f>IF(L7792="", "", L7792-B7792)</f>
        <v/>
      </c>
      <c r="O7792">
        <f>IF(L7792="", "Pending", IF(N7792&lt;=30, "Met", "Breached"))</f>
        <v/>
      </c>
    </row>
    <row r="7793">
      <c r="M7793" s="11">
        <f>B7793+30</f>
        <v/>
      </c>
      <c r="N7793">
        <f>IF(L7793="", "", L7793-B7793)</f>
        <v/>
      </c>
      <c r="O7793">
        <f>IF(L7793="", "Pending", IF(N7793&lt;=30, "Met", "Breached"))</f>
        <v/>
      </c>
    </row>
    <row r="7794">
      <c r="M7794" s="11">
        <f>B7794+30</f>
        <v/>
      </c>
      <c r="N7794">
        <f>IF(L7794="", "", L7794-B7794)</f>
        <v/>
      </c>
      <c r="O7794">
        <f>IF(L7794="", "Pending", IF(N7794&lt;=30, "Met", "Breached"))</f>
        <v/>
      </c>
    </row>
    <row r="7795">
      <c r="M7795" s="11">
        <f>B7795+30</f>
        <v/>
      </c>
      <c r="N7795">
        <f>IF(L7795="", "", L7795-B7795)</f>
        <v/>
      </c>
      <c r="O7795">
        <f>IF(L7795="", "Pending", IF(N7795&lt;=30, "Met", "Breached"))</f>
        <v/>
      </c>
    </row>
    <row r="7796">
      <c r="M7796" s="11">
        <f>B7796+30</f>
        <v/>
      </c>
      <c r="N7796">
        <f>IF(L7796="", "", L7796-B7796)</f>
        <v/>
      </c>
      <c r="O7796">
        <f>IF(L7796="", "Pending", IF(N7796&lt;=30, "Met", "Breached"))</f>
        <v/>
      </c>
    </row>
    <row r="7797">
      <c r="M7797" s="11">
        <f>B7797+30</f>
        <v/>
      </c>
      <c r="N7797">
        <f>IF(L7797="", "", L7797-B7797)</f>
        <v/>
      </c>
      <c r="O7797">
        <f>IF(L7797="", "Pending", IF(N7797&lt;=30, "Met", "Breached"))</f>
        <v/>
      </c>
    </row>
    <row r="7798">
      <c r="M7798" s="11">
        <f>B7798+30</f>
        <v/>
      </c>
      <c r="N7798">
        <f>IF(L7798="", "", L7798-B7798)</f>
        <v/>
      </c>
      <c r="O7798">
        <f>IF(L7798="", "Pending", IF(N7798&lt;=30, "Met", "Breached"))</f>
        <v/>
      </c>
    </row>
    <row r="7799">
      <c r="M7799" s="11">
        <f>B7799+30</f>
        <v/>
      </c>
      <c r="N7799">
        <f>IF(L7799="", "", L7799-B7799)</f>
        <v/>
      </c>
      <c r="O7799">
        <f>IF(L7799="", "Pending", IF(N7799&lt;=30, "Met", "Breached"))</f>
        <v/>
      </c>
    </row>
    <row r="7800">
      <c r="M7800" s="11">
        <f>B7800+30</f>
        <v/>
      </c>
      <c r="N7800">
        <f>IF(L7800="", "", L7800-B7800)</f>
        <v/>
      </c>
      <c r="O7800">
        <f>IF(L7800="", "Pending", IF(N7800&lt;=30, "Met", "Breached"))</f>
        <v/>
      </c>
    </row>
    <row r="7801">
      <c r="M7801" s="11">
        <f>B7801+30</f>
        <v/>
      </c>
      <c r="N7801">
        <f>IF(L7801="", "", L7801-B7801)</f>
        <v/>
      </c>
      <c r="O7801">
        <f>IF(L7801="", "Pending", IF(N7801&lt;=30, "Met", "Breached"))</f>
        <v/>
      </c>
    </row>
    <row r="7802">
      <c r="M7802" s="11">
        <f>B7802+30</f>
        <v/>
      </c>
      <c r="N7802">
        <f>IF(L7802="", "", L7802-B7802)</f>
        <v/>
      </c>
      <c r="O7802">
        <f>IF(L7802="", "Pending", IF(N7802&lt;=30, "Met", "Breached"))</f>
        <v/>
      </c>
    </row>
    <row r="7803">
      <c r="M7803" s="11">
        <f>B7803+30</f>
        <v/>
      </c>
      <c r="N7803">
        <f>IF(L7803="", "", L7803-B7803)</f>
        <v/>
      </c>
      <c r="O7803">
        <f>IF(L7803="", "Pending", IF(N7803&lt;=30, "Met", "Breached"))</f>
        <v/>
      </c>
    </row>
    <row r="7804">
      <c r="M7804" s="11">
        <f>B7804+30</f>
        <v/>
      </c>
      <c r="N7804">
        <f>IF(L7804="", "", L7804-B7804)</f>
        <v/>
      </c>
      <c r="O7804">
        <f>IF(L7804="", "Pending", IF(N7804&lt;=30, "Met", "Breached"))</f>
        <v/>
      </c>
    </row>
    <row r="7805">
      <c r="M7805" s="11">
        <f>B7805+30</f>
        <v/>
      </c>
      <c r="N7805">
        <f>IF(L7805="", "", L7805-B7805)</f>
        <v/>
      </c>
      <c r="O7805">
        <f>IF(L7805="", "Pending", IF(N7805&lt;=30, "Met", "Breached"))</f>
        <v/>
      </c>
    </row>
    <row r="7806">
      <c r="M7806" s="11">
        <f>B7806+30</f>
        <v/>
      </c>
      <c r="N7806">
        <f>IF(L7806="", "", L7806-B7806)</f>
        <v/>
      </c>
      <c r="O7806">
        <f>IF(L7806="", "Pending", IF(N7806&lt;=30, "Met", "Breached"))</f>
        <v/>
      </c>
    </row>
    <row r="7807">
      <c r="M7807" s="11">
        <f>B7807+30</f>
        <v/>
      </c>
      <c r="N7807">
        <f>IF(L7807="", "", L7807-B7807)</f>
        <v/>
      </c>
      <c r="O7807">
        <f>IF(L7807="", "Pending", IF(N7807&lt;=30, "Met", "Breached"))</f>
        <v/>
      </c>
    </row>
    <row r="7808">
      <c r="M7808" s="11">
        <f>B7808+30</f>
        <v/>
      </c>
      <c r="N7808">
        <f>IF(L7808="", "", L7808-B7808)</f>
        <v/>
      </c>
      <c r="O7808">
        <f>IF(L7808="", "Pending", IF(N7808&lt;=30, "Met", "Breached"))</f>
        <v/>
      </c>
    </row>
    <row r="7809">
      <c r="M7809" s="11">
        <f>B7809+30</f>
        <v/>
      </c>
      <c r="N7809">
        <f>IF(L7809="", "", L7809-B7809)</f>
        <v/>
      </c>
      <c r="O7809">
        <f>IF(L7809="", "Pending", IF(N7809&lt;=30, "Met", "Breached"))</f>
        <v/>
      </c>
    </row>
    <row r="7810">
      <c r="M7810" s="11">
        <f>B7810+30</f>
        <v/>
      </c>
      <c r="N7810">
        <f>IF(L7810="", "", L7810-B7810)</f>
        <v/>
      </c>
      <c r="O7810">
        <f>IF(L7810="", "Pending", IF(N7810&lt;=30, "Met", "Breached"))</f>
        <v/>
      </c>
    </row>
    <row r="7811">
      <c r="M7811" s="11">
        <f>B7811+30</f>
        <v/>
      </c>
      <c r="N7811">
        <f>IF(L7811="", "", L7811-B7811)</f>
        <v/>
      </c>
      <c r="O7811">
        <f>IF(L7811="", "Pending", IF(N7811&lt;=30, "Met", "Breached"))</f>
        <v/>
      </c>
    </row>
    <row r="7812">
      <c r="M7812" s="11">
        <f>B7812+30</f>
        <v/>
      </c>
      <c r="N7812">
        <f>IF(L7812="", "", L7812-B7812)</f>
        <v/>
      </c>
      <c r="O7812">
        <f>IF(L7812="", "Pending", IF(N7812&lt;=30, "Met", "Breached"))</f>
        <v/>
      </c>
    </row>
    <row r="7813">
      <c r="M7813" s="11">
        <f>B7813+30</f>
        <v/>
      </c>
      <c r="N7813">
        <f>IF(L7813="", "", L7813-B7813)</f>
        <v/>
      </c>
      <c r="O7813">
        <f>IF(L7813="", "Pending", IF(N7813&lt;=30, "Met", "Breached"))</f>
        <v/>
      </c>
    </row>
    <row r="7814">
      <c r="M7814" s="11">
        <f>B7814+30</f>
        <v/>
      </c>
      <c r="N7814">
        <f>IF(L7814="", "", L7814-B7814)</f>
        <v/>
      </c>
      <c r="O7814">
        <f>IF(L7814="", "Pending", IF(N7814&lt;=30, "Met", "Breached"))</f>
        <v/>
      </c>
    </row>
    <row r="7815">
      <c r="M7815" s="11">
        <f>B7815+30</f>
        <v/>
      </c>
      <c r="N7815">
        <f>IF(L7815="", "", L7815-B7815)</f>
        <v/>
      </c>
      <c r="O7815">
        <f>IF(L7815="", "Pending", IF(N7815&lt;=30, "Met", "Breached"))</f>
        <v/>
      </c>
    </row>
    <row r="7816">
      <c r="M7816" s="11">
        <f>B7816+30</f>
        <v/>
      </c>
      <c r="N7816">
        <f>IF(L7816="", "", L7816-B7816)</f>
        <v/>
      </c>
      <c r="O7816">
        <f>IF(L7816="", "Pending", IF(N7816&lt;=30, "Met", "Breached"))</f>
        <v/>
      </c>
    </row>
    <row r="7817">
      <c r="M7817" s="11">
        <f>B7817+30</f>
        <v/>
      </c>
      <c r="N7817">
        <f>IF(L7817="", "", L7817-B7817)</f>
        <v/>
      </c>
      <c r="O7817">
        <f>IF(L7817="", "Pending", IF(N7817&lt;=30, "Met", "Breached"))</f>
        <v/>
      </c>
    </row>
    <row r="7818">
      <c r="M7818" s="11">
        <f>B7818+30</f>
        <v/>
      </c>
      <c r="N7818">
        <f>IF(L7818="", "", L7818-B7818)</f>
        <v/>
      </c>
      <c r="O7818">
        <f>IF(L7818="", "Pending", IF(N7818&lt;=30, "Met", "Breached"))</f>
        <v/>
      </c>
    </row>
    <row r="7819">
      <c r="M7819" s="11">
        <f>B7819+30</f>
        <v/>
      </c>
      <c r="N7819">
        <f>IF(L7819="", "", L7819-B7819)</f>
        <v/>
      </c>
      <c r="O7819">
        <f>IF(L7819="", "Pending", IF(N7819&lt;=30, "Met", "Breached"))</f>
        <v/>
      </c>
    </row>
    <row r="7820">
      <c r="M7820" s="11">
        <f>B7820+30</f>
        <v/>
      </c>
      <c r="N7820">
        <f>IF(L7820="", "", L7820-B7820)</f>
        <v/>
      </c>
      <c r="O7820">
        <f>IF(L7820="", "Pending", IF(N7820&lt;=30, "Met", "Breached"))</f>
        <v/>
      </c>
    </row>
    <row r="7821">
      <c r="M7821" s="11">
        <f>B7821+30</f>
        <v/>
      </c>
      <c r="N7821">
        <f>IF(L7821="", "", L7821-B7821)</f>
        <v/>
      </c>
      <c r="O7821">
        <f>IF(L7821="", "Pending", IF(N7821&lt;=30, "Met", "Breached"))</f>
        <v/>
      </c>
    </row>
    <row r="7822">
      <c r="M7822" s="11">
        <f>B7822+30</f>
        <v/>
      </c>
      <c r="N7822">
        <f>IF(L7822="", "", L7822-B7822)</f>
        <v/>
      </c>
      <c r="O7822">
        <f>IF(L7822="", "Pending", IF(N7822&lt;=30, "Met", "Breached"))</f>
        <v/>
      </c>
    </row>
    <row r="7823">
      <c r="M7823" s="11">
        <f>B7823+30</f>
        <v/>
      </c>
      <c r="N7823">
        <f>IF(L7823="", "", L7823-B7823)</f>
        <v/>
      </c>
      <c r="O7823">
        <f>IF(L7823="", "Pending", IF(N7823&lt;=30, "Met", "Breached"))</f>
        <v/>
      </c>
    </row>
    <row r="7824">
      <c r="M7824" s="11">
        <f>B7824+30</f>
        <v/>
      </c>
      <c r="N7824">
        <f>IF(L7824="", "", L7824-B7824)</f>
        <v/>
      </c>
      <c r="O7824">
        <f>IF(L7824="", "Pending", IF(N7824&lt;=30, "Met", "Breached"))</f>
        <v/>
      </c>
    </row>
    <row r="7825">
      <c r="M7825" s="11">
        <f>B7825+30</f>
        <v/>
      </c>
      <c r="N7825">
        <f>IF(L7825="", "", L7825-B7825)</f>
        <v/>
      </c>
      <c r="O7825">
        <f>IF(L7825="", "Pending", IF(N7825&lt;=30, "Met", "Breached"))</f>
        <v/>
      </c>
    </row>
    <row r="7826">
      <c r="M7826" s="11">
        <f>B7826+30</f>
        <v/>
      </c>
      <c r="N7826">
        <f>IF(L7826="", "", L7826-B7826)</f>
        <v/>
      </c>
      <c r="O7826">
        <f>IF(L7826="", "Pending", IF(N7826&lt;=30, "Met", "Breached"))</f>
        <v/>
      </c>
    </row>
    <row r="7827">
      <c r="M7827" s="11">
        <f>B7827+30</f>
        <v/>
      </c>
      <c r="N7827">
        <f>IF(L7827="", "", L7827-B7827)</f>
        <v/>
      </c>
      <c r="O7827">
        <f>IF(L7827="", "Pending", IF(N7827&lt;=30, "Met", "Breached"))</f>
        <v/>
      </c>
    </row>
    <row r="7828">
      <c r="M7828" s="11">
        <f>B7828+30</f>
        <v/>
      </c>
      <c r="N7828">
        <f>IF(L7828="", "", L7828-B7828)</f>
        <v/>
      </c>
      <c r="O7828">
        <f>IF(L7828="", "Pending", IF(N7828&lt;=30, "Met", "Breached"))</f>
        <v/>
      </c>
    </row>
    <row r="7829">
      <c r="M7829" s="11">
        <f>B7829+30</f>
        <v/>
      </c>
      <c r="N7829">
        <f>IF(L7829="", "", L7829-B7829)</f>
        <v/>
      </c>
      <c r="O7829">
        <f>IF(L7829="", "Pending", IF(N7829&lt;=30, "Met", "Breached"))</f>
        <v/>
      </c>
    </row>
    <row r="7830">
      <c r="M7830" s="11">
        <f>B7830+30</f>
        <v/>
      </c>
      <c r="N7830">
        <f>IF(L7830="", "", L7830-B7830)</f>
        <v/>
      </c>
      <c r="O7830">
        <f>IF(L7830="", "Pending", IF(N7830&lt;=30, "Met", "Breached"))</f>
        <v/>
      </c>
    </row>
    <row r="7831">
      <c r="M7831" s="11">
        <f>B7831+30</f>
        <v/>
      </c>
      <c r="N7831">
        <f>IF(L7831="", "", L7831-B7831)</f>
        <v/>
      </c>
      <c r="O7831">
        <f>IF(L7831="", "Pending", IF(N7831&lt;=30, "Met", "Breached"))</f>
        <v/>
      </c>
    </row>
    <row r="7832">
      <c r="M7832" s="11">
        <f>B7832+30</f>
        <v/>
      </c>
      <c r="N7832">
        <f>IF(L7832="", "", L7832-B7832)</f>
        <v/>
      </c>
      <c r="O7832">
        <f>IF(L7832="", "Pending", IF(N7832&lt;=30, "Met", "Breached"))</f>
        <v/>
      </c>
    </row>
    <row r="7833">
      <c r="M7833" s="11">
        <f>B7833+30</f>
        <v/>
      </c>
      <c r="N7833">
        <f>IF(L7833="", "", L7833-B7833)</f>
        <v/>
      </c>
      <c r="O7833">
        <f>IF(L7833="", "Pending", IF(N7833&lt;=30, "Met", "Breached"))</f>
        <v/>
      </c>
    </row>
    <row r="7834">
      <c r="M7834" s="11">
        <f>B7834+30</f>
        <v/>
      </c>
      <c r="N7834">
        <f>IF(L7834="", "", L7834-B7834)</f>
        <v/>
      </c>
      <c r="O7834">
        <f>IF(L7834="", "Pending", IF(N7834&lt;=30, "Met", "Breached"))</f>
        <v/>
      </c>
    </row>
    <row r="7835">
      <c r="M7835" s="11">
        <f>B7835+30</f>
        <v/>
      </c>
      <c r="N7835">
        <f>IF(L7835="", "", L7835-B7835)</f>
        <v/>
      </c>
      <c r="O7835">
        <f>IF(L7835="", "Pending", IF(N7835&lt;=30, "Met", "Breached"))</f>
        <v/>
      </c>
    </row>
    <row r="7836">
      <c r="M7836" s="11">
        <f>B7836+30</f>
        <v/>
      </c>
      <c r="N7836">
        <f>IF(L7836="", "", L7836-B7836)</f>
        <v/>
      </c>
      <c r="O7836">
        <f>IF(L7836="", "Pending", IF(N7836&lt;=30, "Met", "Breached"))</f>
        <v/>
      </c>
    </row>
    <row r="7837">
      <c r="M7837" s="11">
        <f>B7837+30</f>
        <v/>
      </c>
      <c r="N7837">
        <f>IF(L7837="", "", L7837-B7837)</f>
        <v/>
      </c>
      <c r="O7837">
        <f>IF(L7837="", "Pending", IF(N7837&lt;=30, "Met", "Breached"))</f>
        <v/>
      </c>
    </row>
    <row r="7838">
      <c r="M7838" s="11">
        <f>B7838+30</f>
        <v/>
      </c>
      <c r="N7838">
        <f>IF(L7838="", "", L7838-B7838)</f>
        <v/>
      </c>
      <c r="O7838">
        <f>IF(L7838="", "Pending", IF(N7838&lt;=30, "Met", "Breached"))</f>
        <v/>
      </c>
    </row>
    <row r="7839">
      <c r="M7839" s="11">
        <f>B7839+30</f>
        <v/>
      </c>
      <c r="N7839">
        <f>IF(L7839="", "", L7839-B7839)</f>
        <v/>
      </c>
      <c r="O7839">
        <f>IF(L7839="", "Pending", IF(N7839&lt;=30, "Met", "Breached"))</f>
        <v/>
      </c>
    </row>
    <row r="7840">
      <c r="M7840" s="11">
        <f>B7840+30</f>
        <v/>
      </c>
      <c r="N7840">
        <f>IF(L7840="", "", L7840-B7840)</f>
        <v/>
      </c>
      <c r="O7840">
        <f>IF(L7840="", "Pending", IF(N7840&lt;=30, "Met", "Breached"))</f>
        <v/>
      </c>
    </row>
    <row r="7841">
      <c r="M7841" s="11">
        <f>B7841+30</f>
        <v/>
      </c>
      <c r="N7841">
        <f>IF(L7841="", "", L7841-B7841)</f>
        <v/>
      </c>
      <c r="O7841">
        <f>IF(L7841="", "Pending", IF(N7841&lt;=30, "Met", "Breached"))</f>
        <v/>
      </c>
    </row>
    <row r="7842">
      <c r="M7842" s="11">
        <f>B7842+30</f>
        <v/>
      </c>
      <c r="N7842">
        <f>IF(L7842="", "", L7842-B7842)</f>
        <v/>
      </c>
      <c r="O7842">
        <f>IF(L7842="", "Pending", IF(N7842&lt;=30, "Met", "Breached"))</f>
        <v/>
      </c>
    </row>
    <row r="7843">
      <c r="M7843" s="11">
        <f>B7843+30</f>
        <v/>
      </c>
      <c r="N7843">
        <f>IF(L7843="", "", L7843-B7843)</f>
        <v/>
      </c>
      <c r="O7843">
        <f>IF(L7843="", "Pending", IF(N7843&lt;=30, "Met", "Breached"))</f>
        <v/>
      </c>
    </row>
    <row r="7844">
      <c r="M7844" s="11">
        <f>B7844+30</f>
        <v/>
      </c>
      <c r="N7844">
        <f>IF(L7844="", "", L7844-B7844)</f>
        <v/>
      </c>
      <c r="O7844">
        <f>IF(L7844="", "Pending", IF(N7844&lt;=30, "Met", "Breached"))</f>
        <v/>
      </c>
    </row>
    <row r="7845">
      <c r="M7845" s="11">
        <f>B7845+30</f>
        <v/>
      </c>
      <c r="N7845">
        <f>IF(L7845="", "", L7845-B7845)</f>
        <v/>
      </c>
      <c r="O7845">
        <f>IF(L7845="", "Pending", IF(N7845&lt;=30, "Met", "Breached"))</f>
        <v/>
      </c>
    </row>
    <row r="7846">
      <c r="M7846" s="11">
        <f>B7846+30</f>
        <v/>
      </c>
      <c r="N7846">
        <f>IF(L7846="", "", L7846-B7846)</f>
        <v/>
      </c>
      <c r="O7846">
        <f>IF(L7846="", "Pending", IF(N7846&lt;=30, "Met", "Breached"))</f>
        <v/>
      </c>
    </row>
    <row r="7847">
      <c r="M7847" s="11">
        <f>B7847+30</f>
        <v/>
      </c>
      <c r="N7847">
        <f>IF(L7847="", "", L7847-B7847)</f>
        <v/>
      </c>
      <c r="O7847">
        <f>IF(L7847="", "Pending", IF(N7847&lt;=30, "Met", "Breached"))</f>
        <v/>
      </c>
    </row>
    <row r="7848">
      <c r="M7848" s="11">
        <f>B7848+30</f>
        <v/>
      </c>
      <c r="N7848">
        <f>IF(L7848="", "", L7848-B7848)</f>
        <v/>
      </c>
      <c r="O7848">
        <f>IF(L7848="", "Pending", IF(N7848&lt;=30, "Met", "Breached"))</f>
        <v/>
      </c>
    </row>
    <row r="7849">
      <c r="M7849" s="11">
        <f>B7849+30</f>
        <v/>
      </c>
      <c r="N7849">
        <f>IF(L7849="", "", L7849-B7849)</f>
        <v/>
      </c>
      <c r="O7849">
        <f>IF(L7849="", "Pending", IF(N7849&lt;=30, "Met", "Breached"))</f>
        <v/>
      </c>
    </row>
    <row r="7850">
      <c r="M7850" s="11">
        <f>B7850+30</f>
        <v/>
      </c>
      <c r="N7850">
        <f>IF(L7850="", "", L7850-B7850)</f>
        <v/>
      </c>
      <c r="O7850">
        <f>IF(L7850="", "Pending", IF(N7850&lt;=30, "Met", "Breached"))</f>
        <v/>
      </c>
    </row>
    <row r="7851">
      <c r="M7851" s="11">
        <f>B7851+30</f>
        <v/>
      </c>
      <c r="N7851">
        <f>IF(L7851="", "", L7851-B7851)</f>
        <v/>
      </c>
      <c r="O7851">
        <f>IF(L7851="", "Pending", IF(N7851&lt;=30, "Met", "Breached"))</f>
        <v/>
      </c>
    </row>
    <row r="7852">
      <c r="M7852" s="11">
        <f>B7852+30</f>
        <v/>
      </c>
      <c r="N7852">
        <f>IF(L7852="", "", L7852-B7852)</f>
        <v/>
      </c>
      <c r="O7852">
        <f>IF(L7852="", "Pending", IF(N7852&lt;=30, "Met", "Breached"))</f>
        <v/>
      </c>
    </row>
    <row r="7853">
      <c r="M7853" s="11">
        <f>B7853+30</f>
        <v/>
      </c>
      <c r="N7853">
        <f>IF(L7853="", "", L7853-B7853)</f>
        <v/>
      </c>
      <c r="O7853">
        <f>IF(L7853="", "Pending", IF(N7853&lt;=30, "Met", "Breached"))</f>
        <v/>
      </c>
    </row>
    <row r="7854">
      <c r="M7854" s="11">
        <f>B7854+30</f>
        <v/>
      </c>
      <c r="N7854">
        <f>IF(L7854="", "", L7854-B7854)</f>
        <v/>
      </c>
      <c r="O7854">
        <f>IF(L7854="", "Pending", IF(N7854&lt;=30, "Met", "Breached"))</f>
        <v/>
      </c>
    </row>
    <row r="7855">
      <c r="M7855" s="11">
        <f>B7855+30</f>
        <v/>
      </c>
      <c r="N7855">
        <f>IF(L7855="", "", L7855-B7855)</f>
        <v/>
      </c>
      <c r="O7855">
        <f>IF(L7855="", "Pending", IF(N7855&lt;=30, "Met", "Breached"))</f>
        <v/>
      </c>
    </row>
    <row r="7856">
      <c r="M7856" s="11">
        <f>B7856+30</f>
        <v/>
      </c>
      <c r="N7856">
        <f>IF(L7856="", "", L7856-B7856)</f>
        <v/>
      </c>
      <c r="O7856">
        <f>IF(L7856="", "Pending", IF(N7856&lt;=30, "Met", "Breached"))</f>
        <v/>
      </c>
    </row>
    <row r="7857">
      <c r="M7857" s="11">
        <f>B7857+30</f>
        <v/>
      </c>
      <c r="N7857">
        <f>IF(L7857="", "", L7857-B7857)</f>
        <v/>
      </c>
      <c r="O7857">
        <f>IF(L7857="", "Pending", IF(N7857&lt;=30, "Met", "Breached"))</f>
        <v/>
      </c>
    </row>
    <row r="7858">
      <c r="M7858" s="11">
        <f>B7858+30</f>
        <v/>
      </c>
      <c r="N7858">
        <f>IF(L7858="", "", L7858-B7858)</f>
        <v/>
      </c>
      <c r="O7858">
        <f>IF(L7858="", "Pending", IF(N7858&lt;=30, "Met", "Breached"))</f>
        <v/>
      </c>
    </row>
    <row r="7859">
      <c r="M7859" s="11">
        <f>B7859+30</f>
        <v/>
      </c>
      <c r="N7859">
        <f>IF(L7859="", "", L7859-B7859)</f>
        <v/>
      </c>
      <c r="O7859">
        <f>IF(L7859="", "Pending", IF(N7859&lt;=30, "Met", "Breached"))</f>
        <v/>
      </c>
    </row>
    <row r="7860">
      <c r="M7860" s="11">
        <f>B7860+30</f>
        <v/>
      </c>
      <c r="N7860">
        <f>IF(L7860="", "", L7860-B7860)</f>
        <v/>
      </c>
      <c r="O7860">
        <f>IF(L7860="", "Pending", IF(N7860&lt;=30, "Met", "Breached"))</f>
        <v/>
      </c>
    </row>
    <row r="7861">
      <c r="M7861" s="11">
        <f>B7861+30</f>
        <v/>
      </c>
      <c r="N7861">
        <f>IF(L7861="", "", L7861-B7861)</f>
        <v/>
      </c>
      <c r="O7861">
        <f>IF(L7861="", "Pending", IF(N7861&lt;=30, "Met", "Breached"))</f>
        <v/>
      </c>
    </row>
    <row r="7862">
      <c r="M7862" s="11">
        <f>B7862+30</f>
        <v/>
      </c>
      <c r="N7862">
        <f>IF(L7862="", "", L7862-B7862)</f>
        <v/>
      </c>
      <c r="O7862">
        <f>IF(L7862="", "Pending", IF(N7862&lt;=30, "Met", "Breached"))</f>
        <v/>
      </c>
    </row>
    <row r="7863">
      <c r="M7863" s="11">
        <f>B7863+30</f>
        <v/>
      </c>
      <c r="N7863">
        <f>IF(L7863="", "", L7863-B7863)</f>
        <v/>
      </c>
      <c r="O7863">
        <f>IF(L7863="", "Pending", IF(N7863&lt;=30, "Met", "Breached"))</f>
        <v/>
      </c>
    </row>
    <row r="7864">
      <c r="M7864" s="11">
        <f>B7864+30</f>
        <v/>
      </c>
      <c r="N7864">
        <f>IF(L7864="", "", L7864-B7864)</f>
        <v/>
      </c>
      <c r="O7864">
        <f>IF(L7864="", "Pending", IF(N7864&lt;=30, "Met", "Breached"))</f>
        <v/>
      </c>
    </row>
    <row r="7865">
      <c r="M7865" s="11">
        <f>B7865+30</f>
        <v/>
      </c>
      <c r="N7865">
        <f>IF(L7865="", "", L7865-B7865)</f>
        <v/>
      </c>
      <c r="O7865">
        <f>IF(L7865="", "Pending", IF(N7865&lt;=30, "Met", "Breached"))</f>
        <v/>
      </c>
    </row>
    <row r="7866">
      <c r="M7866" s="11">
        <f>B7866+30</f>
        <v/>
      </c>
      <c r="N7866">
        <f>IF(L7866="", "", L7866-B7866)</f>
        <v/>
      </c>
      <c r="O7866">
        <f>IF(L7866="", "Pending", IF(N7866&lt;=30, "Met", "Breached"))</f>
        <v/>
      </c>
    </row>
    <row r="7867">
      <c r="M7867" s="11">
        <f>B7867+30</f>
        <v/>
      </c>
      <c r="N7867">
        <f>IF(L7867="", "", L7867-B7867)</f>
        <v/>
      </c>
      <c r="O7867">
        <f>IF(L7867="", "Pending", IF(N7867&lt;=30, "Met", "Breached"))</f>
        <v/>
      </c>
    </row>
    <row r="7868">
      <c r="M7868" s="11">
        <f>B7868+30</f>
        <v/>
      </c>
      <c r="N7868">
        <f>IF(L7868="", "", L7868-B7868)</f>
        <v/>
      </c>
      <c r="O7868">
        <f>IF(L7868="", "Pending", IF(N7868&lt;=30, "Met", "Breached"))</f>
        <v/>
      </c>
    </row>
    <row r="7869">
      <c r="M7869" s="11">
        <f>B7869+30</f>
        <v/>
      </c>
      <c r="N7869">
        <f>IF(L7869="", "", L7869-B7869)</f>
        <v/>
      </c>
      <c r="O7869">
        <f>IF(L7869="", "Pending", IF(N7869&lt;=30, "Met", "Breached"))</f>
        <v/>
      </c>
    </row>
    <row r="7870">
      <c r="M7870" s="11">
        <f>B7870+30</f>
        <v/>
      </c>
      <c r="N7870">
        <f>IF(L7870="", "", L7870-B7870)</f>
        <v/>
      </c>
      <c r="O7870">
        <f>IF(L7870="", "Pending", IF(N7870&lt;=30, "Met", "Breached"))</f>
        <v/>
      </c>
    </row>
    <row r="7871">
      <c r="M7871" s="11">
        <f>B7871+30</f>
        <v/>
      </c>
      <c r="N7871">
        <f>IF(L7871="", "", L7871-B7871)</f>
        <v/>
      </c>
      <c r="O7871">
        <f>IF(L7871="", "Pending", IF(N7871&lt;=30, "Met", "Breached"))</f>
        <v/>
      </c>
    </row>
    <row r="7872">
      <c r="M7872" s="11">
        <f>B7872+30</f>
        <v/>
      </c>
      <c r="N7872">
        <f>IF(L7872="", "", L7872-B7872)</f>
        <v/>
      </c>
      <c r="O7872">
        <f>IF(L7872="", "Pending", IF(N7872&lt;=30, "Met", "Breached"))</f>
        <v/>
      </c>
    </row>
    <row r="7873">
      <c r="M7873" s="11">
        <f>B7873+30</f>
        <v/>
      </c>
      <c r="N7873">
        <f>IF(L7873="", "", L7873-B7873)</f>
        <v/>
      </c>
      <c r="O7873">
        <f>IF(L7873="", "Pending", IF(N7873&lt;=30, "Met", "Breached"))</f>
        <v/>
      </c>
    </row>
    <row r="7874">
      <c r="M7874" s="11">
        <f>B7874+30</f>
        <v/>
      </c>
      <c r="N7874">
        <f>IF(L7874="", "", L7874-B7874)</f>
        <v/>
      </c>
      <c r="O7874">
        <f>IF(L7874="", "Pending", IF(N7874&lt;=30, "Met", "Breached"))</f>
        <v/>
      </c>
    </row>
    <row r="7875">
      <c r="M7875" s="11">
        <f>B7875+30</f>
        <v/>
      </c>
      <c r="N7875">
        <f>IF(L7875="", "", L7875-B7875)</f>
        <v/>
      </c>
      <c r="O7875">
        <f>IF(L7875="", "Pending", IF(N7875&lt;=30, "Met", "Breached"))</f>
        <v/>
      </c>
    </row>
    <row r="7876">
      <c r="M7876" s="11">
        <f>B7876+30</f>
        <v/>
      </c>
      <c r="N7876">
        <f>IF(L7876="", "", L7876-B7876)</f>
        <v/>
      </c>
      <c r="O7876">
        <f>IF(L7876="", "Pending", IF(N7876&lt;=30, "Met", "Breached"))</f>
        <v/>
      </c>
    </row>
    <row r="7877">
      <c r="M7877" s="11">
        <f>B7877+30</f>
        <v/>
      </c>
      <c r="N7877">
        <f>IF(L7877="", "", L7877-B7877)</f>
        <v/>
      </c>
      <c r="O7877">
        <f>IF(L7877="", "Pending", IF(N7877&lt;=30, "Met", "Breached"))</f>
        <v/>
      </c>
    </row>
    <row r="7878">
      <c r="M7878" s="11">
        <f>B7878+30</f>
        <v/>
      </c>
      <c r="N7878">
        <f>IF(L7878="", "", L7878-B7878)</f>
        <v/>
      </c>
      <c r="O7878">
        <f>IF(L7878="", "Pending", IF(N7878&lt;=30, "Met", "Breached"))</f>
        <v/>
      </c>
    </row>
    <row r="7879">
      <c r="M7879" s="11">
        <f>B7879+30</f>
        <v/>
      </c>
      <c r="N7879">
        <f>IF(L7879="", "", L7879-B7879)</f>
        <v/>
      </c>
      <c r="O7879">
        <f>IF(L7879="", "Pending", IF(N7879&lt;=30, "Met", "Breached"))</f>
        <v/>
      </c>
    </row>
    <row r="7880">
      <c r="M7880" s="11">
        <f>B7880+30</f>
        <v/>
      </c>
      <c r="N7880">
        <f>IF(L7880="", "", L7880-B7880)</f>
        <v/>
      </c>
      <c r="O7880">
        <f>IF(L7880="", "Pending", IF(N7880&lt;=30, "Met", "Breached"))</f>
        <v/>
      </c>
    </row>
    <row r="7881">
      <c r="M7881" s="11">
        <f>B7881+30</f>
        <v/>
      </c>
      <c r="N7881">
        <f>IF(L7881="", "", L7881-B7881)</f>
        <v/>
      </c>
      <c r="O7881">
        <f>IF(L7881="", "Pending", IF(N7881&lt;=30, "Met", "Breached"))</f>
        <v/>
      </c>
    </row>
    <row r="7882">
      <c r="M7882" s="11">
        <f>B7882+30</f>
        <v/>
      </c>
      <c r="N7882">
        <f>IF(L7882="", "", L7882-B7882)</f>
        <v/>
      </c>
      <c r="O7882">
        <f>IF(L7882="", "Pending", IF(N7882&lt;=30, "Met", "Breached"))</f>
        <v/>
      </c>
    </row>
    <row r="7883">
      <c r="M7883" s="11">
        <f>B7883+30</f>
        <v/>
      </c>
      <c r="N7883">
        <f>IF(L7883="", "", L7883-B7883)</f>
        <v/>
      </c>
      <c r="O7883">
        <f>IF(L7883="", "Pending", IF(N7883&lt;=30, "Met", "Breached"))</f>
        <v/>
      </c>
    </row>
    <row r="7884">
      <c r="M7884" s="11">
        <f>B7884+30</f>
        <v/>
      </c>
      <c r="N7884">
        <f>IF(L7884="", "", L7884-B7884)</f>
        <v/>
      </c>
      <c r="O7884">
        <f>IF(L7884="", "Pending", IF(N7884&lt;=30, "Met", "Breached"))</f>
        <v/>
      </c>
    </row>
    <row r="7885">
      <c r="M7885" s="11">
        <f>B7885+30</f>
        <v/>
      </c>
      <c r="N7885">
        <f>IF(L7885="", "", L7885-B7885)</f>
        <v/>
      </c>
      <c r="O7885">
        <f>IF(L7885="", "Pending", IF(N7885&lt;=30, "Met", "Breached"))</f>
        <v/>
      </c>
    </row>
    <row r="7886">
      <c r="M7886" s="11">
        <f>B7886+30</f>
        <v/>
      </c>
      <c r="N7886">
        <f>IF(L7886="", "", L7886-B7886)</f>
        <v/>
      </c>
      <c r="O7886">
        <f>IF(L7886="", "Pending", IF(N7886&lt;=30, "Met", "Breached"))</f>
        <v/>
      </c>
    </row>
    <row r="7887">
      <c r="M7887" s="11">
        <f>B7887+30</f>
        <v/>
      </c>
      <c r="N7887">
        <f>IF(L7887="", "", L7887-B7887)</f>
        <v/>
      </c>
      <c r="O7887">
        <f>IF(L7887="", "Pending", IF(N7887&lt;=30, "Met", "Breached"))</f>
        <v/>
      </c>
    </row>
    <row r="7888">
      <c r="M7888" s="11">
        <f>B7888+30</f>
        <v/>
      </c>
      <c r="N7888">
        <f>IF(L7888="", "", L7888-B7888)</f>
        <v/>
      </c>
      <c r="O7888">
        <f>IF(L7888="", "Pending", IF(N7888&lt;=30, "Met", "Breached"))</f>
        <v/>
      </c>
    </row>
    <row r="7889">
      <c r="M7889" s="11">
        <f>B7889+30</f>
        <v/>
      </c>
      <c r="N7889">
        <f>IF(L7889="", "", L7889-B7889)</f>
        <v/>
      </c>
      <c r="O7889">
        <f>IF(L7889="", "Pending", IF(N7889&lt;=30, "Met", "Breached"))</f>
        <v/>
      </c>
    </row>
    <row r="7890">
      <c r="M7890" s="11">
        <f>B7890+30</f>
        <v/>
      </c>
      <c r="N7890">
        <f>IF(L7890="", "", L7890-B7890)</f>
        <v/>
      </c>
      <c r="O7890">
        <f>IF(L7890="", "Pending", IF(N7890&lt;=30, "Met", "Breached"))</f>
        <v/>
      </c>
    </row>
    <row r="7891">
      <c r="M7891" s="11">
        <f>B7891+30</f>
        <v/>
      </c>
      <c r="N7891">
        <f>IF(L7891="", "", L7891-B7891)</f>
        <v/>
      </c>
      <c r="O7891">
        <f>IF(L7891="", "Pending", IF(N7891&lt;=30, "Met", "Breached"))</f>
        <v/>
      </c>
    </row>
    <row r="7892">
      <c r="M7892" s="11">
        <f>B7892+30</f>
        <v/>
      </c>
      <c r="N7892">
        <f>IF(L7892="", "", L7892-B7892)</f>
        <v/>
      </c>
      <c r="O7892">
        <f>IF(L7892="", "Pending", IF(N7892&lt;=30, "Met", "Breached"))</f>
        <v/>
      </c>
    </row>
    <row r="7893">
      <c r="M7893" s="11">
        <f>B7893+30</f>
        <v/>
      </c>
      <c r="N7893">
        <f>IF(L7893="", "", L7893-B7893)</f>
        <v/>
      </c>
      <c r="O7893">
        <f>IF(L7893="", "Pending", IF(N7893&lt;=30, "Met", "Breached"))</f>
        <v/>
      </c>
    </row>
    <row r="7894">
      <c r="M7894" s="11">
        <f>B7894+30</f>
        <v/>
      </c>
      <c r="N7894">
        <f>IF(L7894="", "", L7894-B7894)</f>
        <v/>
      </c>
      <c r="O7894">
        <f>IF(L7894="", "Pending", IF(N7894&lt;=30, "Met", "Breached"))</f>
        <v/>
      </c>
    </row>
    <row r="7895">
      <c r="M7895" s="11">
        <f>B7895+30</f>
        <v/>
      </c>
      <c r="N7895">
        <f>IF(L7895="", "", L7895-B7895)</f>
        <v/>
      </c>
      <c r="O7895">
        <f>IF(L7895="", "Pending", IF(N7895&lt;=30, "Met", "Breached"))</f>
        <v/>
      </c>
    </row>
    <row r="7896">
      <c r="M7896" s="11">
        <f>B7896+30</f>
        <v/>
      </c>
      <c r="N7896">
        <f>IF(L7896="", "", L7896-B7896)</f>
        <v/>
      </c>
      <c r="O7896">
        <f>IF(L7896="", "Pending", IF(N7896&lt;=30, "Met", "Breached"))</f>
        <v/>
      </c>
    </row>
    <row r="7897">
      <c r="M7897" s="11">
        <f>B7897+30</f>
        <v/>
      </c>
      <c r="N7897">
        <f>IF(L7897="", "", L7897-B7897)</f>
        <v/>
      </c>
      <c r="O7897">
        <f>IF(L7897="", "Pending", IF(N7897&lt;=30, "Met", "Breached"))</f>
        <v/>
      </c>
    </row>
    <row r="7898">
      <c r="M7898" s="11">
        <f>B7898+30</f>
        <v/>
      </c>
      <c r="N7898">
        <f>IF(L7898="", "", L7898-B7898)</f>
        <v/>
      </c>
      <c r="O7898">
        <f>IF(L7898="", "Pending", IF(N7898&lt;=30, "Met", "Breached"))</f>
        <v/>
      </c>
    </row>
    <row r="7899">
      <c r="M7899" s="11">
        <f>B7899+30</f>
        <v/>
      </c>
      <c r="N7899">
        <f>IF(L7899="", "", L7899-B7899)</f>
        <v/>
      </c>
      <c r="O7899">
        <f>IF(L7899="", "Pending", IF(N7899&lt;=30, "Met", "Breached"))</f>
        <v/>
      </c>
    </row>
    <row r="7900">
      <c r="M7900" s="11">
        <f>B7900+30</f>
        <v/>
      </c>
      <c r="N7900">
        <f>IF(L7900="", "", L7900-B7900)</f>
        <v/>
      </c>
      <c r="O7900">
        <f>IF(L7900="", "Pending", IF(N7900&lt;=30, "Met", "Breached"))</f>
        <v/>
      </c>
    </row>
    <row r="7901">
      <c r="M7901" s="11">
        <f>B7901+30</f>
        <v/>
      </c>
      <c r="N7901">
        <f>IF(L7901="", "", L7901-B7901)</f>
        <v/>
      </c>
      <c r="O7901">
        <f>IF(L7901="", "Pending", IF(N7901&lt;=30, "Met", "Breached"))</f>
        <v/>
      </c>
    </row>
    <row r="7902">
      <c r="M7902" s="11">
        <f>B7902+30</f>
        <v/>
      </c>
      <c r="N7902">
        <f>IF(L7902="", "", L7902-B7902)</f>
        <v/>
      </c>
      <c r="O7902">
        <f>IF(L7902="", "Pending", IF(N7902&lt;=30, "Met", "Breached"))</f>
        <v/>
      </c>
    </row>
    <row r="7903">
      <c r="M7903" s="11">
        <f>B7903+30</f>
        <v/>
      </c>
      <c r="N7903">
        <f>IF(L7903="", "", L7903-B7903)</f>
        <v/>
      </c>
      <c r="O7903">
        <f>IF(L7903="", "Pending", IF(N7903&lt;=30, "Met", "Breached"))</f>
        <v/>
      </c>
    </row>
    <row r="7904">
      <c r="M7904" s="11">
        <f>B7904+30</f>
        <v/>
      </c>
      <c r="N7904">
        <f>IF(L7904="", "", L7904-B7904)</f>
        <v/>
      </c>
      <c r="O7904">
        <f>IF(L7904="", "Pending", IF(N7904&lt;=30, "Met", "Breached"))</f>
        <v/>
      </c>
    </row>
    <row r="7905">
      <c r="M7905" s="11">
        <f>B7905+30</f>
        <v/>
      </c>
      <c r="N7905">
        <f>IF(L7905="", "", L7905-B7905)</f>
        <v/>
      </c>
      <c r="O7905">
        <f>IF(L7905="", "Pending", IF(N7905&lt;=30, "Met", "Breached"))</f>
        <v/>
      </c>
    </row>
    <row r="7906">
      <c r="M7906" s="11">
        <f>B7906+30</f>
        <v/>
      </c>
      <c r="N7906">
        <f>IF(L7906="", "", L7906-B7906)</f>
        <v/>
      </c>
      <c r="O7906">
        <f>IF(L7906="", "Pending", IF(N7906&lt;=30, "Met", "Breached"))</f>
        <v/>
      </c>
    </row>
    <row r="7907">
      <c r="M7907" s="11">
        <f>B7907+30</f>
        <v/>
      </c>
      <c r="N7907">
        <f>IF(L7907="", "", L7907-B7907)</f>
        <v/>
      </c>
      <c r="O7907">
        <f>IF(L7907="", "Pending", IF(N7907&lt;=30, "Met", "Breached"))</f>
        <v/>
      </c>
    </row>
    <row r="7908">
      <c r="M7908" s="11">
        <f>B7908+30</f>
        <v/>
      </c>
      <c r="N7908">
        <f>IF(L7908="", "", L7908-B7908)</f>
        <v/>
      </c>
      <c r="O7908">
        <f>IF(L7908="", "Pending", IF(N7908&lt;=30, "Met", "Breached"))</f>
        <v/>
      </c>
    </row>
    <row r="7909">
      <c r="M7909" s="11">
        <f>B7909+30</f>
        <v/>
      </c>
      <c r="N7909">
        <f>IF(L7909="", "", L7909-B7909)</f>
        <v/>
      </c>
      <c r="O7909">
        <f>IF(L7909="", "Pending", IF(N7909&lt;=30, "Met", "Breached"))</f>
        <v/>
      </c>
    </row>
    <row r="7910">
      <c r="M7910" s="11">
        <f>B7910+30</f>
        <v/>
      </c>
      <c r="N7910">
        <f>IF(L7910="", "", L7910-B7910)</f>
        <v/>
      </c>
      <c r="O7910">
        <f>IF(L7910="", "Pending", IF(N7910&lt;=30, "Met", "Breached"))</f>
        <v/>
      </c>
    </row>
    <row r="7911">
      <c r="M7911" s="11">
        <f>B7911+30</f>
        <v/>
      </c>
      <c r="N7911">
        <f>IF(L7911="", "", L7911-B7911)</f>
        <v/>
      </c>
      <c r="O7911">
        <f>IF(L7911="", "Pending", IF(N7911&lt;=30, "Met", "Breached"))</f>
        <v/>
      </c>
    </row>
    <row r="7912">
      <c r="M7912" s="11">
        <f>B7912+30</f>
        <v/>
      </c>
      <c r="N7912">
        <f>IF(L7912="", "", L7912-B7912)</f>
        <v/>
      </c>
      <c r="O7912">
        <f>IF(L7912="", "Pending", IF(N7912&lt;=30, "Met", "Breached"))</f>
        <v/>
      </c>
    </row>
    <row r="7913">
      <c r="M7913" s="11">
        <f>B7913+30</f>
        <v/>
      </c>
      <c r="N7913">
        <f>IF(L7913="", "", L7913-B7913)</f>
        <v/>
      </c>
      <c r="O7913">
        <f>IF(L7913="", "Pending", IF(N7913&lt;=30, "Met", "Breached"))</f>
        <v/>
      </c>
    </row>
    <row r="7914">
      <c r="M7914" s="11">
        <f>B7914+30</f>
        <v/>
      </c>
      <c r="N7914">
        <f>IF(L7914="", "", L7914-B7914)</f>
        <v/>
      </c>
      <c r="O7914">
        <f>IF(L7914="", "Pending", IF(N7914&lt;=30, "Met", "Breached"))</f>
        <v/>
      </c>
    </row>
    <row r="7915">
      <c r="M7915" s="11">
        <f>B7915+30</f>
        <v/>
      </c>
      <c r="N7915">
        <f>IF(L7915="", "", L7915-B7915)</f>
        <v/>
      </c>
      <c r="O7915">
        <f>IF(L7915="", "Pending", IF(N7915&lt;=30, "Met", "Breached"))</f>
        <v/>
      </c>
    </row>
    <row r="7916">
      <c r="M7916" s="11">
        <f>B7916+30</f>
        <v/>
      </c>
      <c r="N7916">
        <f>IF(L7916="", "", L7916-B7916)</f>
        <v/>
      </c>
      <c r="O7916">
        <f>IF(L7916="", "Pending", IF(N7916&lt;=30, "Met", "Breached"))</f>
        <v/>
      </c>
    </row>
    <row r="7917">
      <c r="M7917" s="11">
        <f>B7917+30</f>
        <v/>
      </c>
      <c r="N7917">
        <f>IF(L7917="", "", L7917-B7917)</f>
        <v/>
      </c>
      <c r="O7917">
        <f>IF(L7917="", "Pending", IF(N7917&lt;=30, "Met", "Breached"))</f>
        <v/>
      </c>
    </row>
    <row r="7918">
      <c r="M7918" s="11">
        <f>B7918+30</f>
        <v/>
      </c>
      <c r="N7918">
        <f>IF(L7918="", "", L7918-B7918)</f>
        <v/>
      </c>
      <c r="O7918">
        <f>IF(L7918="", "Pending", IF(N7918&lt;=30, "Met", "Breached"))</f>
        <v/>
      </c>
    </row>
    <row r="7919">
      <c r="M7919" s="11">
        <f>B7919+30</f>
        <v/>
      </c>
      <c r="N7919">
        <f>IF(L7919="", "", L7919-B7919)</f>
        <v/>
      </c>
      <c r="O7919">
        <f>IF(L7919="", "Pending", IF(N7919&lt;=30, "Met", "Breached"))</f>
        <v/>
      </c>
    </row>
    <row r="7920">
      <c r="M7920" s="11">
        <f>B7920+30</f>
        <v/>
      </c>
      <c r="N7920">
        <f>IF(L7920="", "", L7920-B7920)</f>
        <v/>
      </c>
      <c r="O7920">
        <f>IF(L7920="", "Pending", IF(N7920&lt;=30, "Met", "Breached"))</f>
        <v/>
      </c>
    </row>
    <row r="7921">
      <c r="M7921" s="11">
        <f>B7921+30</f>
        <v/>
      </c>
      <c r="N7921">
        <f>IF(L7921="", "", L7921-B7921)</f>
        <v/>
      </c>
      <c r="O7921">
        <f>IF(L7921="", "Pending", IF(N7921&lt;=30, "Met", "Breached"))</f>
        <v/>
      </c>
    </row>
    <row r="7922">
      <c r="M7922" s="11">
        <f>B7922+30</f>
        <v/>
      </c>
      <c r="N7922">
        <f>IF(L7922="", "", L7922-B7922)</f>
        <v/>
      </c>
      <c r="O7922">
        <f>IF(L7922="", "Pending", IF(N7922&lt;=30, "Met", "Breached"))</f>
        <v/>
      </c>
    </row>
    <row r="7923">
      <c r="M7923" s="11">
        <f>B7923+30</f>
        <v/>
      </c>
      <c r="N7923">
        <f>IF(L7923="", "", L7923-B7923)</f>
        <v/>
      </c>
      <c r="O7923">
        <f>IF(L7923="", "Pending", IF(N7923&lt;=30, "Met", "Breached"))</f>
        <v/>
      </c>
    </row>
    <row r="7924">
      <c r="M7924" s="11">
        <f>B7924+30</f>
        <v/>
      </c>
      <c r="N7924">
        <f>IF(L7924="", "", L7924-B7924)</f>
        <v/>
      </c>
      <c r="O7924">
        <f>IF(L7924="", "Pending", IF(N7924&lt;=30, "Met", "Breached"))</f>
        <v/>
      </c>
    </row>
    <row r="7925">
      <c r="M7925" s="11">
        <f>B7925+30</f>
        <v/>
      </c>
      <c r="N7925">
        <f>IF(L7925="", "", L7925-B7925)</f>
        <v/>
      </c>
      <c r="O7925">
        <f>IF(L7925="", "Pending", IF(N7925&lt;=30, "Met", "Breached"))</f>
        <v/>
      </c>
    </row>
    <row r="7926">
      <c r="M7926" s="11">
        <f>B7926+30</f>
        <v/>
      </c>
      <c r="N7926">
        <f>IF(L7926="", "", L7926-B7926)</f>
        <v/>
      </c>
      <c r="O7926">
        <f>IF(L7926="", "Pending", IF(N7926&lt;=30, "Met", "Breached"))</f>
        <v/>
      </c>
    </row>
    <row r="7927">
      <c r="M7927" s="11">
        <f>B7927+30</f>
        <v/>
      </c>
      <c r="N7927">
        <f>IF(L7927="", "", L7927-B7927)</f>
        <v/>
      </c>
      <c r="O7927">
        <f>IF(L7927="", "Pending", IF(N7927&lt;=30, "Met", "Breached"))</f>
        <v/>
      </c>
    </row>
    <row r="7928">
      <c r="M7928" s="11">
        <f>B7928+30</f>
        <v/>
      </c>
      <c r="N7928">
        <f>IF(L7928="", "", L7928-B7928)</f>
        <v/>
      </c>
      <c r="O7928">
        <f>IF(L7928="", "Pending", IF(N7928&lt;=30, "Met", "Breached"))</f>
        <v/>
      </c>
    </row>
    <row r="7929">
      <c r="M7929" s="11">
        <f>B7929+30</f>
        <v/>
      </c>
      <c r="N7929">
        <f>IF(L7929="", "", L7929-B7929)</f>
        <v/>
      </c>
      <c r="O7929">
        <f>IF(L7929="", "Pending", IF(N7929&lt;=30, "Met", "Breached"))</f>
        <v/>
      </c>
    </row>
    <row r="7930">
      <c r="M7930" s="11">
        <f>B7930+30</f>
        <v/>
      </c>
      <c r="N7930">
        <f>IF(L7930="", "", L7930-B7930)</f>
        <v/>
      </c>
      <c r="O7930">
        <f>IF(L7930="", "Pending", IF(N7930&lt;=30, "Met", "Breached"))</f>
        <v/>
      </c>
    </row>
    <row r="7931">
      <c r="M7931" s="11">
        <f>B7931+30</f>
        <v/>
      </c>
      <c r="N7931">
        <f>IF(L7931="", "", L7931-B7931)</f>
        <v/>
      </c>
      <c r="O7931">
        <f>IF(L7931="", "Pending", IF(N7931&lt;=30, "Met", "Breached"))</f>
        <v/>
      </c>
    </row>
    <row r="7932">
      <c r="M7932" s="11">
        <f>B7932+30</f>
        <v/>
      </c>
      <c r="N7932">
        <f>IF(L7932="", "", L7932-B7932)</f>
        <v/>
      </c>
      <c r="O7932">
        <f>IF(L7932="", "Pending", IF(N7932&lt;=30, "Met", "Breached"))</f>
        <v/>
      </c>
    </row>
    <row r="7933">
      <c r="M7933" s="11">
        <f>B7933+30</f>
        <v/>
      </c>
      <c r="N7933">
        <f>IF(L7933="", "", L7933-B7933)</f>
        <v/>
      </c>
      <c r="O7933">
        <f>IF(L7933="", "Pending", IF(N7933&lt;=30, "Met", "Breached"))</f>
        <v/>
      </c>
    </row>
    <row r="7934">
      <c r="M7934" s="11">
        <f>B7934+30</f>
        <v/>
      </c>
      <c r="N7934">
        <f>IF(L7934="", "", L7934-B7934)</f>
        <v/>
      </c>
      <c r="O7934">
        <f>IF(L7934="", "Pending", IF(N7934&lt;=30, "Met", "Breached"))</f>
        <v/>
      </c>
    </row>
    <row r="7935">
      <c r="M7935" s="11">
        <f>B7935+30</f>
        <v/>
      </c>
      <c r="N7935">
        <f>IF(L7935="", "", L7935-B7935)</f>
        <v/>
      </c>
      <c r="O7935">
        <f>IF(L7935="", "Pending", IF(N7935&lt;=30, "Met", "Breached"))</f>
        <v/>
      </c>
    </row>
    <row r="7936">
      <c r="M7936" s="11">
        <f>B7936+30</f>
        <v/>
      </c>
      <c r="N7936">
        <f>IF(L7936="", "", L7936-B7936)</f>
        <v/>
      </c>
      <c r="O7936">
        <f>IF(L7936="", "Pending", IF(N7936&lt;=30, "Met", "Breached"))</f>
        <v/>
      </c>
    </row>
    <row r="7937">
      <c r="M7937" s="11">
        <f>B7937+30</f>
        <v/>
      </c>
      <c r="N7937">
        <f>IF(L7937="", "", L7937-B7937)</f>
        <v/>
      </c>
      <c r="O7937">
        <f>IF(L7937="", "Pending", IF(N7937&lt;=30, "Met", "Breached"))</f>
        <v/>
      </c>
    </row>
    <row r="7938">
      <c r="M7938" s="11">
        <f>B7938+30</f>
        <v/>
      </c>
      <c r="N7938">
        <f>IF(L7938="", "", L7938-B7938)</f>
        <v/>
      </c>
      <c r="O7938">
        <f>IF(L7938="", "Pending", IF(N7938&lt;=30, "Met", "Breached"))</f>
        <v/>
      </c>
    </row>
    <row r="7939">
      <c r="M7939" s="11">
        <f>B7939+30</f>
        <v/>
      </c>
      <c r="N7939">
        <f>IF(L7939="", "", L7939-B7939)</f>
        <v/>
      </c>
      <c r="O7939">
        <f>IF(L7939="", "Pending", IF(N7939&lt;=30, "Met", "Breached"))</f>
        <v/>
      </c>
    </row>
    <row r="7940">
      <c r="M7940" s="11">
        <f>B7940+30</f>
        <v/>
      </c>
      <c r="N7940">
        <f>IF(L7940="", "", L7940-B7940)</f>
        <v/>
      </c>
      <c r="O7940">
        <f>IF(L7940="", "Pending", IF(N7940&lt;=30, "Met", "Breached"))</f>
        <v/>
      </c>
    </row>
    <row r="7941">
      <c r="M7941" s="11">
        <f>B7941+30</f>
        <v/>
      </c>
      <c r="N7941">
        <f>IF(L7941="", "", L7941-B7941)</f>
        <v/>
      </c>
      <c r="O7941">
        <f>IF(L7941="", "Pending", IF(N7941&lt;=30, "Met", "Breached"))</f>
        <v/>
      </c>
    </row>
    <row r="7942">
      <c r="M7942" s="11">
        <f>B7942+30</f>
        <v/>
      </c>
      <c r="N7942">
        <f>IF(L7942="", "", L7942-B7942)</f>
        <v/>
      </c>
      <c r="O7942">
        <f>IF(L7942="", "Pending", IF(N7942&lt;=30, "Met", "Breached"))</f>
        <v/>
      </c>
    </row>
    <row r="7943">
      <c r="M7943" s="11">
        <f>B7943+30</f>
        <v/>
      </c>
      <c r="N7943">
        <f>IF(L7943="", "", L7943-B7943)</f>
        <v/>
      </c>
      <c r="O7943">
        <f>IF(L7943="", "Pending", IF(N7943&lt;=30, "Met", "Breached"))</f>
        <v/>
      </c>
    </row>
    <row r="7944">
      <c r="M7944" s="11">
        <f>B7944+30</f>
        <v/>
      </c>
      <c r="N7944">
        <f>IF(L7944="", "", L7944-B7944)</f>
        <v/>
      </c>
      <c r="O7944">
        <f>IF(L7944="", "Pending", IF(N7944&lt;=30, "Met", "Breached"))</f>
        <v/>
      </c>
    </row>
    <row r="7945">
      <c r="M7945" s="11">
        <f>B7945+30</f>
        <v/>
      </c>
      <c r="N7945">
        <f>IF(L7945="", "", L7945-B7945)</f>
        <v/>
      </c>
      <c r="O7945">
        <f>IF(L7945="", "Pending", IF(N7945&lt;=30, "Met", "Breached"))</f>
        <v/>
      </c>
    </row>
    <row r="7946">
      <c r="M7946" s="11">
        <f>B7946+30</f>
        <v/>
      </c>
      <c r="N7946">
        <f>IF(L7946="", "", L7946-B7946)</f>
        <v/>
      </c>
      <c r="O7946">
        <f>IF(L7946="", "Pending", IF(N7946&lt;=30, "Met", "Breached"))</f>
        <v/>
      </c>
    </row>
    <row r="7947">
      <c r="M7947" s="11">
        <f>B7947+30</f>
        <v/>
      </c>
      <c r="N7947">
        <f>IF(L7947="", "", L7947-B7947)</f>
        <v/>
      </c>
      <c r="O7947">
        <f>IF(L7947="", "Pending", IF(N7947&lt;=30, "Met", "Breached"))</f>
        <v/>
      </c>
    </row>
    <row r="7948">
      <c r="M7948" s="11">
        <f>B7948+30</f>
        <v/>
      </c>
      <c r="N7948">
        <f>IF(L7948="", "", L7948-B7948)</f>
        <v/>
      </c>
      <c r="O7948">
        <f>IF(L7948="", "Pending", IF(N7948&lt;=30, "Met", "Breached"))</f>
        <v/>
      </c>
    </row>
    <row r="7949">
      <c r="M7949" s="11">
        <f>B7949+30</f>
        <v/>
      </c>
      <c r="N7949">
        <f>IF(L7949="", "", L7949-B7949)</f>
        <v/>
      </c>
      <c r="O7949">
        <f>IF(L7949="", "Pending", IF(N7949&lt;=30, "Met", "Breached"))</f>
        <v/>
      </c>
    </row>
    <row r="7950">
      <c r="M7950" s="11">
        <f>B7950+30</f>
        <v/>
      </c>
      <c r="N7950">
        <f>IF(L7950="", "", L7950-B7950)</f>
        <v/>
      </c>
      <c r="O7950">
        <f>IF(L7950="", "Pending", IF(N7950&lt;=30, "Met", "Breached"))</f>
        <v/>
      </c>
    </row>
    <row r="7951">
      <c r="M7951" s="11">
        <f>B7951+30</f>
        <v/>
      </c>
      <c r="N7951">
        <f>IF(L7951="", "", L7951-B7951)</f>
        <v/>
      </c>
      <c r="O7951">
        <f>IF(L7951="", "Pending", IF(N7951&lt;=30, "Met", "Breached"))</f>
        <v/>
      </c>
    </row>
    <row r="7952">
      <c r="M7952" s="11">
        <f>B7952+30</f>
        <v/>
      </c>
      <c r="N7952">
        <f>IF(L7952="", "", L7952-B7952)</f>
        <v/>
      </c>
      <c r="O7952">
        <f>IF(L7952="", "Pending", IF(N7952&lt;=30, "Met", "Breached"))</f>
        <v/>
      </c>
    </row>
    <row r="7953">
      <c r="M7953" s="11">
        <f>B7953+30</f>
        <v/>
      </c>
      <c r="N7953">
        <f>IF(L7953="", "", L7953-B7953)</f>
        <v/>
      </c>
      <c r="O7953">
        <f>IF(L7953="", "Pending", IF(N7953&lt;=30, "Met", "Breached"))</f>
        <v/>
      </c>
    </row>
    <row r="7954">
      <c r="M7954" s="11">
        <f>B7954+30</f>
        <v/>
      </c>
      <c r="N7954">
        <f>IF(L7954="", "", L7954-B7954)</f>
        <v/>
      </c>
      <c r="O7954">
        <f>IF(L7954="", "Pending", IF(N7954&lt;=30, "Met", "Breached"))</f>
        <v/>
      </c>
    </row>
    <row r="7955">
      <c r="M7955" s="11">
        <f>B7955+30</f>
        <v/>
      </c>
      <c r="N7955">
        <f>IF(L7955="", "", L7955-B7955)</f>
        <v/>
      </c>
      <c r="O7955">
        <f>IF(L7955="", "Pending", IF(N7955&lt;=30, "Met", "Breached"))</f>
        <v/>
      </c>
    </row>
    <row r="7956">
      <c r="M7956" s="11">
        <f>B7956+30</f>
        <v/>
      </c>
      <c r="N7956">
        <f>IF(L7956="", "", L7956-B7956)</f>
        <v/>
      </c>
      <c r="O7956">
        <f>IF(L7956="", "Pending", IF(N7956&lt;=30, "Met", "Breached"))</f>
        <v/>
      </c>
    </row>
    <row r="7957">
      <c r="M7957" s="11">
        <f>B7957+30</f>
        <v/>
      </c>
      <c r="N7957">
        <f>IF(L7957="", "", L7957-B7957)</f>
        <v/>
      </c>
      <c r="O7957">
        <f>IF(L7957="", "Pending", IF(N7957&lt;=30, "Met", "Breached"))</f>
        <v/>
      </c>
    </row>
    <row r="7958">
      <c r="M7958" s="11">
        <f>B7958+30</f>
        <v/>
      </c>
      <c r="N7958">
        <f>IF(L7958="", "", L7958-B7958)</f>
        <v/>
      </c>
      <c r="O7958">
        <f>IF(L7958="", "Pending", IF(N7958&lt;=30, "Met", "Breached"))</f>
        <v/>
      </c>
    </row>
    <row r="7959">
      <c r="M7959" s="11">
        <f>B7959+30</f>
        <v/>
      </c>
      <c r="N7959">
        <f>IF(L7959="", "", L7959-B7959)</f>
        <v/>
      </c>
      <c r="O7959">
        <f>IF(L7959="", "Pending", IF(N7959&lt;=30, "Met", "Breached"))</f>
        <v/>
      </c>
    </row>
    <row r="7960">
      <c r="M7960" s="11">
        <f>B7960+30</f>
        <v/>
      </c>
      <c r="N7960">
        <f>IF(L7960="", "", L7960-B7960)</f>
        <v/>
      </c>
      <c r="O7960">
        <f>IF(L7960="", "Pending", IF(N7960&lt;=30, "Met", "Breached"))</f>
        <v/>
      </c>
    </row>
    <row r="7961">
      <c r="M7961" s="11">
        <f>B7961+30</f>
        <v/>
      </c>
      <c r="N7961">
        <f>IF(L7961="", "", L7961-B7961)</f>
        <v/>
      </c>
      <c r="O7961">
        <f>IF(L7961="", "Pending", IF(N7961&lt;=30, "Met", "Breached"))</f>
        <v/>
      </c>
    </row>
    <row r="7962">
      <c r="M7962" s="11">
        <f>B7962+30</f>
        <v/>
      </c>
      <c r="N7962">
        <f>IF(L7962="", "", L7962-B7962)</f>
        <v/>
      </c>
      <c r="O7962">
        <f>IF(L7962="", "Pending", IF(N7962&lt;=30, "Met", "Breached"))</f>
        <v/>
      </c>
    </row>
    <row r="7963">
      <c r="M7963" s="11">
        <f>B7963+30</f>
        <v/>
      </c>
      <c r="N7963">
        <f>IF(L7963="", "", L7963-B7963)</f>
        <v/>
      </c>
      <c r="O7963">
        <f>IF(L7963="", "Pending", IF(N7963&lt;=30, "Met", "Breached"))</f>
        <v/>
      </c>
    </row>
    <row r="7964">
      <c r="M7964" s="11">
        <f>B7964+30</f>
        <v/>
      </c>
      <c r="N7964">
        <f>IF(L7964="", "", L7964-B7964)</f>
        <v/>
      </c>
      <c r="O7964">
        <f>IF(L7964="", "Pending", IF(N7964&lt;=30, "Met", "Breached"))</f>
        <v/>
      </c>
    </row>
    <row r="7965">
      <c r="M7965" s="11">
        <f>B7965+30</f>
        <v/>
      </c>
      <c r="N7965">
        <f>IF(L7965="", "", L7965-B7965)</f>
        <v/>
      </c>
      <c r="O7965">
        <f>IF(L7965="", "Pending", IF(N7965&lt;=30, "Met", "Breached"))</f>
        <v/>
      </c>
    </row>
    <row r="7966">
      <c r="M7966" s="11">
        <f>B7966+30</f>
        <v/>
      </c>
      <c r="N7966">
        <f>IF(L7966="", "", L7966-B7966)</f>
        <v/>
      </c>
      <c r="O7966">
        <f>IF(L7966="", "Pending", IF(N7966&lt;=30, "Met", "Breached"))</f>
        <v/>
      </c>
    </row>
    <row r="7967">
      <c r="M7967" s="11">
        <f>B7967+30</f>
        <v/>
      </c>
      <c r="N7967">
        <f>IF(L7967="", "", L7967-B7967)</f>
        <v/>
      </c>
      <c r="O7967">
        <f>IF(L7967="", "Pending", IF(N7967&lt;=30, "Met", "Breached"))</f>
        <v/>
      </c>
    </row>
    <row r="7968">
      <c r="M7968" s="11">
        <f>B7968+30</f>
        <v/>
      </c>
      <c r="N7968">
        <f>IF(L7968="", "", L7968-B7968)</f>
        <v/>
      </c>
      <c r="O7968">
        <f>IF(L7968="", "Pending", IF(N7968&lt;=30, "Met", "Breached"))</f>
        <v/>
      </c>
    </row>
    <row r="7969">
      <c r="M7969" s="11">
        <f>B7969+30</f>
        <v/>
      </c>
      <c r="N7969">
        <f>IF(L7969="", "", L7969-B7969)</f>
        <v/>
      </c>
      <c r="O7969">
        <f>IF(L7969="", "Pending", IF(N7969&lt;=30, "Met", "Breached"))</f>
        <v/>
      </c>
    </row>
    <row r="7970">
      <c r="M7970" s="11">
        <f>B7970+30</f>
        <v/>
      </c>
      <c r="N7970">
        <f>IF(L7970="", "", L7970-B7970)</f>
        <v/>
      </c>
      <c r="O7970">
        <f>IF(L7970="", "Pending", IF(N7970&lt;=30, "Met", "Breached"))</f>
        <v/>
      </c>
    </row>
    <row r="7971">
      <c r="M7971" s="11">
        <f>B7971+30</f>
        <v/>
      </c>
      <c r="N7971">
        <f>IF(L7971="", "", L7971-B7971)</f>
        <v/>
      </c>
      <c r="O7971">
        <f>IF(L7971="", "Pending", IF(N7971&lt;=30, "Met", "Breached"))</f>
        <v/>
      </c>
    </row>
    <row r="7972">
      <c r="M7972" s="11">
        <f>B7972+30</f>
        <v/>
      </c>
      <c r="N7972">
        <f>IF(L7972="", "", L7972-B7972)</f>
        <v/>
      </c>
      <c r="O7972">
        <f>IF(L7972="", "Pending", IF(N7972&lt;=30, "Met", "Breached"))</f>
        <v/>
      </c>
    </row>
    <row r="7973">
      <c r="M7973" s="11">
        <f>B7973+30</f>
        <v/>
      </c>
      <c r="N7973">
        <f>IF(L7973="", "", L7973-B7973)</f>
        <v/>
      </c>
      <c r="O7973">
        <f>IF(L7973="", "Pending", IF(N7973&lt;=30, "Met", "Breached"))</f>
        <v/>
      </c>
    </row>
    <row r="7974">
      <c r="M7974" s="11">
        <f>B7974+30</f>
        <v/>
      </c>
      <c r="N7974">
        <f>IF(L7974="", "", L7974-B7974)</f>
        <v/>
      </c>
      <c r="O7974">
        <f>IF(L7974="", "Pending", IF(N7974&lt;=30, "Met", "Breached"))</f>
        <v/>
      </c>
    </row>
    <row r="7975">
      <c r="M7975" s="11">
        <f>B7975+30</f>
        <v/>
      </c>
      <c r="N7975">
        <f>IF(L7975="", "", L7975-B7975)</f>
        <v/>
      </c>
      <c r="O7975">
        <f>IF(L7975="", "Pending", IF(N7975&lt;=30, "Met", "Breached"))</f>
        <v/>
      </c>
    </row>
    <row r="7976">
      <c r="M7976" s="11">
        <f>B7976+30</f>
        <v/>
      </c>
      <c r="N7976">
        <f>IF(L7976="", "", L7976-B7976)</f>
        <v/>
      </c>
      <c r="O7976">
        <f>IF(L7976="", "Pending", IF(N7976&lt;=30, "Met", "Breached"))</f>
        <v/>
      </c>
    </row>
    <row r="7977">
      <c r="M7977" s="11">
        <f>B7977+30</f>
        <v/>
      </c>
      <c r="N7977">
        <f>IF(L7977="", "", L7977-B7977)</f>
        <v/>
      </c>
      <c r="O7977">
        <f>IF(L7977="", "Pending", IF(N7977&lt;=30, "Met", "Breached"))</f>
        <v/>
      </c>
    </row>
    <row r="7978">
      <c r="M7978" s="11">
        <f>B7978+30</f>
        <v/>
      </c>
      <c r="N7978">
        <f>IF(L7978="", "", L7978-B7978)</f>
        <v/>
      </c>
      <c r="O7978">
        <f>IF(L7978="", "Pending", IF(N7978&lt;=30, "Met", "Breached"))</f>
        <v/>
      </c>
    </row>
    <row r="7979">
      <c r="M7979" s="11">
        <f>B7979+30</f>
        <v/>
      </c>
      <c r="N7979">
        <f>IF(L7979="", "", L7979-B7979)</f>
        <v/>
      </c>
      <c r="O7979">
        <f>IF(L7979="", "Pending", IF(N7979&lt;=30, "Met", "Breached"))</f>
        <v/>
      </c>
    </row>
    <row r="7980">
      <c r="M7980" s="11">
        <f>B7980+30</f>
        <v/>
      </c>
      <c r="N7980">
        <f>IF(L7980="", "", L7980-B7980)</f>
        <v/>
      </c>
      <c r="O7980">
        <f>IF(L7980="", "Pending", IF(N7980&lt;=30, "Met", "Breached"))</f>
        <v/>
      </c>
    </row>
    <row r="7981">
      <c r="M7981" s="11">
        <f>B7981+30</f>
        <v/>
      </c>
      <c r="N7981">
        <f>IF(L7981="", "", L7981-B7981)</f>
        <v/>
      </c>
      <c r="O7981">
        <f>IF(L7981="", "Pending", IF(N7981&lt;=30, "Met", "Breached"))</f>
        <v/>
      </c>
    </row>
    <row r="7982">
      <c r="M7982" s="11">
        <f>B7982+30</f>
        <v/>
      </c>
      <c r="N7982">
        <f>IF(L7982="", "", L7982-B7982)</f>
        <v/>
      </c>
      <c r="O7982">
        <f>IF(L7982="", "Pending", IF(N7982&lt;=30, "Met", "Breached"))</f>
        <v/>
      </c>
    </row>
    <row r="7983">
      <c r="M7983" s="11">
        <f>B7983+30</f>
        <v/>
      </c>
      <c r="N7983">
        <f>IF(L7983="", "", L7983-B7983)</f>
        <v/>
      </c>
      <c r="O7983">
        <f>IF(L7983="", "Pending", IF(N7983&lt;=30, "Met", "Breached"))</f>
        <v/>
      </c>
    </row>
    <row r="7984">
      <c r="M7984" s="11">
        <f>B7984+30</f>
        <v/>
      </c>
      <c r="N7984">
        <f>IF(L7984="", "", L7984-B7984)</f>
        <v/>
      </c>
      <c r="O7984">
        <f>IF(L7984="", "Pending", IF(N7984&lt;=30, "Met", "Breached"))</f>
        <v/>
      </c>
    </row>
    <row r="7985">
      <c r="M7985" s="11">
        <f>B7985+30</f>
        <v/>
      </c>
      <c r="N7985">
        <f>IF(L7985="", "", L7985-B7985)</f>
        <v/>
      </c>
      <c r="O7985">
        <f>IF(L7985="", "Pending", IF(N7985&lt;=30, "Met", "Breached"))</f>
        <v/>
      </c>
    </row>
    <row r="7986">
      <c r="M7986" s="11">
        <f>B7986+30</f>
        <v/>
      </c>
      <c r="N7986">
        <f>IF(L7986="", "", L7986-B7986)</f>
        <v/>
      </c>
      <c r="O7986">
        <f>IF(L7986="", "Pending", IF(N7986&lt;=30, "Met", "Breached"))</f>
        <v/>
      </c>
    </row>
    <row r="7987">
      <c r="M7987" s="11">
        <f>B7987+30</f>
        <v/>
      </c>
      <c r="N7987">
        <f>IF(L7987="", "", L7987-B7987)</f>
        <v/>
      </c>
      <c r="O7987">
        <f>IF(L7987="", "Pending", IF(N7987&lt;=30, "Met", "Breached"))</f>
        <v/>
      </c>
    </row>
    <row r="7988">
      <c r="M7988" s="11">
        <f>B7988+30</f>
        <v/>
      </c>
      <c r="N7988">
        <f>IF(L7988="", "", L7988-B7988)</f>
        <v/>
      </c>
      <c r="O7988">
        <f>IF(L7988="", "Pending", IF(N7988&lt;=30, "Met", "Breached"))</f>
        <v/>
      </c>
    </row>
    <row r="7989">
      <c r="M7989" s="11">
        <f>B7989+30</f>
        <v/>
      </c>
      <c r="N7989">
        <f>IF(L7989="", "", L7989-B7989)</f>
        <v/>
      </c>
      <c r="O7989">
        <f>IF(L7989="", "Pending", IF(N7989&lt;=30, "Met", "Breached"))</f>
        <v/>
      </c>
    </row>
    <row r="7990">
      <c r="M7990" s="11">
        <f>B7990+30</f>
        <v/>
      </c>
      <c r="N7990">
        <f>IF(L7990="", "", L7990-B7990)</f>
        <v/>
      </c>
      <c r="O7990">
        <f>IF(L7990="", "Pending", IF(N7990&lt;=30, "Met", "Breached"))</f>
        <v/>
      </c>
    </row>
    <row r="7991">
      <c r="M7991" s="11">
        <f>B7991+30</f>
        <v/>
      </c>
      <c r="N7991">
        <f>IF(L7991="", "", L7991-B7991)</f>
        <v/>
      </c>
      <c r="O7991">
        <f>IF(L7991="", "Pending", IF(N7991&lt;=30, "Met", "Breached"))</f>
        <v/>
      </c>
    </row>
    <row r="7992">
      <c r="M7992" s="11">
        <f>B7992+30</f>
        <v/>
      </c>
      <c r="N7992">
        <f>IF(L7992="", "", L7992-B7992)</f>
        <v/>
      </c>
      <c r="O7992">
        <f>IF(L7992="", "Pending", IF(N7992&lt;=30, "Met", "Breached"))</f>
        <v/>
      </c>
    </row>
    <row r="7993">
      <c r="M7993" s="11">
        <f>B7993+30</f>
        <v/>
      </c>
      <c r="N7993">
        <f>IF(L7993="", "", L7993-B7993)</f>
        <v/>
      </c>
      <c r="O7993">
        <f>IF(L7993="", "Pending", IF(N7993&lt;=30, "Met", "Breached"))</f>
        <v/>
      </c>
    </row>
    <row r="7994">
      <c r="M7994" s="11">
        <f>B7994+30</f>
        <v/>
      </c>
      <c r="N7994">
        <f>IF(L7994="", "", L7994-B7994)</f>
        <v/>
      </c>
      <c r="O7994">
        <f>IF(L7994="", "Pending", IF(N7994&lt;=30, "Met", "Breached"))</f>
        <v/>
      </c>
    </row>
    <row r="7995">
      <c r="M7995" s="11">
        <f>B7995+30</f>
        <v/>
      </c>
      <c r="N7995">
        <f>IF(L7995="", "", L7995-B7995)</f>
        <v/>
      </c>
      <c r="O7995">
        <f>IF(L7995="", "Pending", IF(N7995&lt;=30, "Met", "Breached"))</f>
        <v/>
      </c>
    </row>
    <row r="7996">
      <c r="M7996" s="11">
        <f>B7996+30</f>
        <v/>
      </c>
      <c r="N7996">
        <f>IF(L7996="", "", L7996-B7996)</f>
        <v/>
      </c>
      <c r="O7996">
        <f>IF(L7996="", "Pending", IF(N7996&lt;=30, "Met", "Breached"))</f>
        <v/>
      </c>
    </row>
    <row r="7997">
      <c r="M7997" s="11">
        <f>B7997+30</f>
        <v/>
      </c>
      <c r="N7997">
        <f>IF(L7997="", "", L7997-B7997)</f>
        <v/>
      </c>
      <c r="O7997">
        <f>IF(L7997="", "Pending", IF(N7997&lt;=30, "Met", "Breached"))</f>
        <v/>
      </c>
    </row>
    <row r="7998">
      <c r="M7998" s="11">
        <f>B7998+30</f>
        <v/>
      </c>
      <c r="N7998">
        <f>IF(L7998="", "", L7998-B7998)</f>
        <v/>
      </c>
      <c r="O7998">
        <f>IF(L7998="", "Pending", IF(N7998&lt;=30, "Met", "Breached"))</f>
        <v/>
      </c>
    </row>
    <row r="7999">
      <c r="M7999" s="11">
        <f>B7999+30</f>
        <v/>
      </c>
      <c r="N7999">
        <f>IF(L7999="", "", L7999-B7999)</f>
        <v/>
      </c>
      <c r="O7999">
        <f>IF(L7999="", "Pending", IF(N7999&lt;=30, "Met", "Breached"))</f>
        <v/>
      </c>
    </row>
    <row r="8000">
      <c r="M8000" s="11">
        <f>B8000+30</f>
        <v/>
      </c>
      <c r="N8000">
        <f>IF(L8000="", "", L8000-B8000)</f>
        <v/>
      </c>
      <c r="O8000">
        <f>IF(L8000="", "Pending", IF(N8000&lt;=30, "Met", "Breached"))</f>
        <v/>
      </c>
    </row>
    <row r="8001">
      <c r="M8001" s="11">
        <f>B8001+30</f>
        <v/>
      </c>
      <c r="N8001">
        <f>IF(L8001="", "", L8001-B8001)</f>
        <v/>
      </c>
      <c r="O8001">
        <f>IF(L8001="", "Pending", IF(N8001&lt;=30, "Met", "Breached"))</f>
        <v/>
      </c>
    </row>
    <row r="8002">
      <c r="M8002" s="11">
        <f>B8002+30</f>
        <v/>
      </c>
      <c r="N8002">
        <f>IF(L8002="", "", L8002-B8002)</f>
        <v/>
      </c>
      <c r="O8002">
        <f>IF(L8002="", "Pending", IF(N8002&lt;=30, "Met", "Breached"))</f>
        <v/>
      </c>
    </row>
    <row r="8003">
      <c r="M8003" s="11">
        <f>B8003+30</f>
        <v/>
      </c>
      <c r="N8003">
        <f>IF(L8003="", "", L8003-B8003)</f>
        <v/>
      </c>
      <c r="O8003">
        <f>IF(L8003="", "Pending", IF(N8003&lt;=30, "Met", "Breached"))</f>
        <v/>
      </c>
    </row>
    <row r="8004">
      <c r="M8004" s="11">
        <f>B8004+30</f>
        <v/>
      </c>
      <c r="N8004">
        <f>IF(L8004="", "", L8004-B8004)</f>
        <v/>
      </c>
      <c r="O8004">
        <f>IF(L8004="", "Pending", IF(N8004&lt;=30, "Met", "Breached"))</f>
        <v/>
      </c>
    </row>
    <row r="8005">
      <c r="M8005" s="11">
        <f>B8005+30</f>
        <v/>
      </c>
      <c r="N8005">
        <f>IF(L8005="", "", L8005-B8005)</f>
        <v/>
      </c>
      <c r="O8005">
        <f>IF(L8005="", "Pending", IF(N8005&lt;=30, "Met", "Breached"))</f>
        <v/>
      </c>
    </row>
    <row r="8006">
      <c r="M8006" s="11">
        <f>B8006+30</f>
        <v/>
      </c>
      <c r="N8006">
        <f>IF(L8006="", "", L8006-B8006)</f>
        <v/>
      </c>
      <c r="O8006">
        <f>IF(L8006="", "Pending", IF(N8006&lt;=30, "Met", "Breached"))</f>
        <v/>
      </c>
    </row>
    <row r="8007">
      <c r="M8007" s="11">
        <f>B8007+30</f>
        <v/>
      </c>
      <c r="N8007">
        <f>IF(L8007="", "", L8007-B8007)</f>
        <v/>
      </c>
      <c r="O8007">
        <f>IF(L8007="", "Pending", IF(N8007&lt;=30, "Met", "Breached"))</f>
        <v/>
      </c>
    </row>
    <row r="8008">
      <c r="M8008" s="11">
        <f>B8008+30</f>
        <v/>
      </c>
      <c r="N8008">
        <f>IF(L8008="", "", L8008-B8008)</f>
        <v/>
      </c>
      <c r="O8008">
        <f>IF(L8008="", "Pending", IF(N8008&lt;=30, "Met", "Breached"))</f>
        <v/>
      </c>
    </row>
    <row r="8009">
      <c r="M8009" s="11">
        <f>B8009+30</f>
        <v/>
      </c>
      <c r="N8009">
        <f>IF(L8009="", "", L8009-B8009)</f>
        <v/>
      </c>
      <c r="O8009">
        <f>IF(L8009="", "Pending", IF(N8009&lt;=30, "Met", "Breached"))</f>
        <v/>
      </c>
    </row>
    <row r="8010">
      <c r="M8010" s="11">
        <f>B8010+30</f>
        <v/>
      </c>
      <c r="N8010">
        <f>IF(L8010="", "", L8010-B8010)</f>
        <v/>
      </c>
      <c r="O8010">
        <f>IF(L8010="", "Pending", IF(N8010&lt;=30, "Met", "Breached"))</f>
        <v/>
      </c>
    </row>
    <row r="8011">
      <c r="M8011" s="11">
        <f>B8011+30</f>
        <v/>
      </c>
      <c r="N8011">
        <f>IF(L8011="", "", L8011-B8011)</f>
        <v/>
      </c>
      <c r="O8011">
        <f>IF(L8011="", "Pending", IF(N8011&lt;=30, "Met", "Breached"))</f>
        <v/>
      </c>
    </row>
    <row r="8012">
      <c r="M8012" s="11">
        <f>B8012+30</f>
        <v/>
      </c>
      <c r="N8012">
        <f>IF(L8012="", "", L8012-B8012)</f>
        <v/>
      </c>
      <c r="O8012">
        <f>IF(L8012="", "Pending", IF(N8012&lt;=30, "Met", "Breached"))</f>
        <v/>
      </c>
    </row>
    <row r="8013">
      <c r="M8013" s="11">
        <f>B8013+30</f>
        <v/>
      </c>
      <c r="N8013">
        <f>IF(L8013="", "", L8013-B8013)</f>
        <v/>
      </c>
      <c r="O8013">
        <f>IF(L8013="", "Pending", IF(N8013&lt;=30, "Met", "Breached"))</f>
        <v/>
      </c>
    </row>
    <row r="8014">
      <c r="M8014" s="11">
        <f>B8014+30</f>
        <v/>
      </c>
      <c r="N8014">
        <f>IF(L8014="", "", L8014-B8014)</f>
        <v/>
      </c>
      <c r="O8014">
        <f>IF(L8014="", "Pending", IF(N8014&lt;=30, "Met", "Breached"))</f>
        <v/>
      </c>
    </row>
    <row r="8015">
      <c r="M8015" s="11">
        <f>B8015+30</f>
        <v/>
      </c>
      <c r="N8015">
        <f>IF(L8015="", "", L8015-B8015)</f>
        <v/>
      </c>
      <c r="O8015">
        <f>IF(L8015="", "Pending", IF(N8015&lt;=30, "Met", "Breached"))</f>
        <v/>
      </c>
    </row>
    <row r="8016">
      <c r="M8016" s="11">
        <f>B8016+30</f>
        <v/>
      </c>
      <c r="N8016">
        <f>IF(L8016="", "", L8016-B8016)</f>
        <v/>
      </c>
      <c r="O8016">
        <f>IF(L8016="", "Pending", IF(N8016&lt;=30, "Met", "Breached"))</f>
        <v/>
      </c>
    </row>
    <row r="8017">
      <c r="M8017" s="11">
        <f>B8017+30</f>
        <v/>
      </c>
      <c r="N8017">
        <f>IF(L8017="", "", L8017-B8017)</f>
        <v/>
      </c>
      <c r="O8017">
        <f>IF(L8017="", "Pending", IF(N8017&lt;=30, "Met", "Breached"))</f>
        <v/>
      </c>
    </row>
    <row r="8018">
      <c r="M8018" s="11">
        <f>B8018+30</f>
        <v/>
      </c>
      <c r="N8018">
        <f>IF(L8018="", "", L8018-B8018)</f>
        <v/>
      </c>
      <c r="O8018">
        <f>IF(L8018="", "Pending", IF(N8018&lt;=30, "Met", "Breached"))</f>
        <v/>
      </c>
    </row>
    <row r="8019">
      <c r="M8019" s="11">
        <f>B8019+30</f>
        <v/>
      </c>
      <c r="N8019">
        <f>IF(L8019="", "", L8019-B8019)</f>
        <v/>
      </c>
      <c r="O8019">
        <f>IF(L8019="", "Pending", IF(N8019&lt;=30, "Met", "Breached"))</f>
        <v/>
      </c>
    </row>
    <row r="8020">
      <c r="M8020" s="11">
        <f>B8020+30</f>
        <v/>
      </c>
      <c r="N8020">
        <f>IF(L8020="", "", L8020-B8020)</f>
        <v/>
      </c>
      <c r="O8020">
        <f>IF(L8020="", "Pending", IF(N8020&lt;=30, "Met", "Breached"))</f>
        <v/>
      </c>
    </row>
    <row r="8021">
      <c r="M8021" s="11">
        <f>B8021+30</f>
        <v/>
      </c>
      <c r="N8021">
        <f>IF(L8021="", "", L8021-B8021)</f>
        <v/>
      </c>
      <c r="O8021">
        <f>IF(L8021="", "Pending", IF(N8021&lt;=30, "Met", "Breached"))</f>
        <v/>
      </c>
    </row>
    <row r="8022">
      <c r="M8022" s="11">
        <f>B8022+30</f>
        <v/>
      </c>
      <c r="N8022">
        <f>IF(L8022="", "", L8022-B8022)</f>
        <v/>
      </c>
      <c r="O8022">
        <f>IF(L8022="", "Pending", IF(N8022&lt;=30, "Met", "Breached"))</f>
        <v/>
      </c>
    </row>
    <row r="8023">
      <c r="M8023" s="11">
        <f>B8023+30</f>
        <v/>
      </c>
      <c r="N8023">
        <f>IF(L8023="", "", L8023-B8023)</f>
        <v/>
      </c>
      <c r="O8023">
        <f>IF(L8023="", "Pending", IF(N8023&lt;=30, "Met", "Breached"))</f>
        <v/>
      </c>
    </row>
    <row r="8024">
      <c r="M8024" s="11">
        <f>B8024+30</f>
        <v/>
      </c>
      <c r="N8024">
        <f>IF(L8024="", "", L8024-B8024)</f>
        <v/>
      </c>
      <c r="O8024">
        <f>IF(L8024="", "Pending", IF(N8024&lt;=30, "Met", "Breached"))</f>
        <v/>
      </c>
    </row>
    <row r="8025">
      <c r="M8025" s="11">
        <f>B8025+30</f>
        <v/>
      </c>
      <c r="N8025">
        <f>IF(L8025="", "", L8025-B8025)</f>
        <v/>
      </c>
      <c r="O8025">
        <f>IF(L8025="", "Pending", IF(N8025&lt;=30, "Met", "Breached"))</f>
        <v/>
      </c>
    </row>
    <row r="8026">
      <c r="M8026" s="11">
        <f>B8026+30</f>
        <v/>
      </c>
      <c r="N8026">
        <f>IF(L8026="", "", L8026-B8026)</f>
        <v/>
      </c>
      <c r="O8026">
        <f>IF(L8026="", "Pending", IF(N8026&lt;=30, "Met", "Breached"))</f>
        <v/>
      </c>
    </row>
    <row r="8027">
      <c r="M8027" s="11">
        <f>B8027+30</f>
        <v/>
      </c>
      <c r="N8027">
        <f>IF(L8027="", "", L8027-B8027)</f>
        <v/>
      </c>
      <c r="O8027">
        <f>IF(L8027="", "Pending", IF(N8027&lt;=30, "Met", "Breached"))</f>
        <v/>
      </c>
    </row>
    <row r="8028">
      <c r="M8028" s="11">
        <f>B8028+30</f>
        <v/>
      </c>
      <c r="N8028">
        <f>IF(L8028="", "", L8028-B8028)</f>
        <v/>
      </c>
      <c r="O8028">
        <f>IF(L8028="", "Pending", IF(N8028&lt;=30, "Met", "Breached"))</f>
        <v/>
      </c>
    </row>
    <row r="8029">
      <c r="M8029" s="11">
        <f>B8029+30</f>
        <v/>
      </c>
      <c r="N8029">
        <f>IF(L8029="", "", L8029-B8029)</f>
        <v/>
      </c>
      <c r="O8029">
        <f>IF(L8029="", "Pending", IF(N8029&lt;=30, "Met", "Breached"))</f>
        <v/>
      </c>
    </row>
    <row r="8030">
      <c r="M8030" s="11">
        <f>B8030+30</f>
        <v/>
      </c>
      <c r="N8030">
        <f>IF(L8030="", "", L8030-B8030)</f>
        <v/>
      </c>
      <c r="O8030">
        <f>IF(L8030="", "Pending", IF(N8030&lt;=30, "Met", "Breached"))</f>
        <v/>
      </c>
    </row>
    <row r="8031">
      <c r="M8031" s="11">
        <f>B8031+30</f>
        <v/>
      </c>
      <c r="N8031">
        <f>IF(L8031="", "", L8031-B8031)</f>
        <v/>
      </c>
      <c r="O8031">
        <f>IF(L8031="", "Pending", IF(N8031&lt;=30, "Met", "Breached"))</f>
        <v/>
      </c>
    </row>
    <row r="8032">
      <c r="M8032" s="11">
        <f>B8032+30</f>
        <v/>
      </c>
      <c r="N8032">
        <f>IF(L8032="", "", L8032-B8032)</f>
        <v/>
      </c>
      <c r="O8032">
        <f>IF(L8032="", "Pending", IF(N8032&lt;=30, "Met", "Breached"))</f>
        <v/>
      </c>
    </row>
    <row r="8033">
      <c r="M8033" s="11">
        <f>B8033+30</f>
        <v/>
      </c>
      <c r="N8033">
        <f>IF(L8033="", "", L8033-B8033)</f>
        <v/>
      </c>
      <c r="O8033">
        <f>IF(L8033="", "Pending", IF(N8033&lt;=30, "Met", "Breached"))</f>
        <v/>
      </c>
    </row>
    <row r="8034">
      <c r="M8034" s="11">
        <f>B8034+30</f>
        <v/>
      </c>
      <c r="N8034">
        <f>IF(L8034="", "", L8034-B8034)</f>
        <v/>
      </c>
      <c r="O8034">
        <f>IF(L8034="", "Pending", IF(N8034&lt;=30, "Met", "Breached"))</f>
        <v/>
      </c>
    </row>
    <row r="8035">
      <c r="M8035" s="11">
        <f>B8035+30</f>
        <v/>
      </c>
      <c r="N8035">
        <f>IF(L8035="", "", L8035-B8035)</f>
        <v/>
      </c>
      <c r="O8035">
        <f>IF(L8035="", "Pending", IF(N8035&lt;=30, "Met", "Breached"))</f>
        <v/>
      </c>
    </row>
    <row r="8036">
      <c r="M8036" s="11">
        <f>B8036+30</f>
        <v/>
      </c>
      <c r="N8036">
        <f>IF(L8036="", "", L8036-B8036)</f>
        <v/>
      </c>
      <c r="O8036">
        <f>IF(L8036="", "Pending", IF(N8036&lt;=30, "Met", "Breached"))</f>
        <v/>
      </c>
    </row>
    <row r="8037">
      <c r="M8037" s="11">
        <f>B8037+30</f>
        <v/>
      </c>
      <c r="N8037">
        <f>IF(L8037="", "", L8037-B8037)</f>
        <v/>
      </c>
      <c r="O8037">
        <f>IF(L8037="", "Pending", IF(N8037&lt;=30, "Met", "Breached"))</f>
        <v/>
      </c>
    </row>
    <row r="8038">
      <c r="M8038" s="11">
        <f>B8038+30</f>
        <v/>
      </c>
      <c r="N8038">
        <f>IF(L8038="", "", L8038-B8038)</f>
        <v/>
      </c>
      <c r="O8038">
        <f>IF(L8038="", "Pending", IF(N8038&lt;=30, "Met", "Breached"))</f>
        <v/>
      </c>
    </row>
    <row r="8039">
      <c r="M8039" s="11">
        <f>B8039+30</f>
        <v/>
      </c>
      <c r="N8039">
        <f>IF(L8039="", "", L8039-B8039)</f>
        <v/>
      </c>
      <c r="O8039">
        <f>IF(L8039="", "Pending", IF(N8039&lt;=30, "Met", "Breached"))</f>
        <v/>
      </c>
    </row>
    <row r="8040">
      <c r="M8040" s="11">
        <f>B8040+30</f>
        <v/>
      </c>
      <c r="N8040">
        <f>IF(L8040="", "", L8040-B8040)</f>
        <v/>
      </c>
      <c r="O8040">
        <f>IF(L8040="", "Pending", IF(N8040&lt;=30, "Met", "Breached"))</f>
        <v/>
      </c>
    </row>
    <row r="8041">
      <c r="M8041" s="11">
        <f>B8041+30</f>
        <v/>
      </c>
      <c r="N8041">
        <f>IF(L8041="", "", L8041-B8041)</f>
        <v/>
      </c>
      <c r="O8041">
        <f>IF(L8041="", "Pending", IF(N8041&lt;=30, "Met", "Breached"))</f>
        <v/>
      </c>
    </row>
    <row r="8042">
      <c r="M8042" s="11">
        <f>B8042+30</f>
        <v/>
      </c>
      <c r="N8042">
        <f>IF(L8042="", "", L8042-B8042)</f>
        <v/>
      </c>
      <c r="O8042">
        <f>IF(L8042="", "Pending", IF(N8042&lt;=30, "Met", "Breached"))</f>
        <v/>
      </c>
    </row>
    <row r="8043">
      <c r="M8043" s="11">
        <f>B8043+30</f>
        <v/>
      </c>
      <c r="N8043">
        <f>IF(L8043="", "", L8043-B8043)</f>
        <v/>
      </c>
      <c r="O8043">
        <f>IF(L8043="", "Pending", IF(N8043&lt;=30, "Met", "Breached"))</f>
        <v/>
      </c>
    </row>
    <row r="8044">
      <c r="M8044" s="11">
        <f>B8044+30</f>
        <v/>
      </c>
      <c r="N8044">
        <f>IF(L8044="", "", L8044-B8044)</f>
        <v/>
      </c>
      <c r="O8044">
        <f>IF(L8044="", "Pending", IF(N8044&lt;=30, "Met", "Breached"))</f>
        <v/>
      </c>
    </row>
    <row r="8045">
      <c r="M8045" s="11">
        <f>B8045+30</f>
        <v/>
      </c>
      <c r="N8045">
        <f>IF(L8045="", "", L8045-B8045)</f>
        <v/>
      </c>
      <c r="O8045">
        <f>IF(L8045="", "Pending", IF(N8045&lt;=30, "Met", "Breached"))</f>
        <v/>
      </c>
    </row>
    <row r="8046">
      <c r="M8046" s="11">
        <f>B8046+30</f>
        <v/>
      </c>
      <c r="N8046">
        <f>IF(L8046="", "", L8046-B8046)</f>
        <v/>
      </c>
      <c r="O8046">
        <f>IF(L8046="", "Pending", IF(N8046&lt;=30, "Met", "Breached"))</f>
        <v/>
      </c>
    </row>
    <row r="8047">
      <c r="M8047" s="11">
        <f>B8047+30</f>
        <v/>
      </c>
      <c r="N8047">
        <f>IF(L8047="", "", L8047-B8047)</f>
        <v/>
      </c>
      <c r="O8047">
        <f>IF(L8047="", "Pending", IF(N8047&lt;=30, "Met", "Breached"))</f>
        <v/>
      </c>
    </row>
    <row r="8048">
      <c r="M8048" s="11">
        <f>B8048+30</f>
        <v/>
      </c>
      <c r="N8048">
        <f>IF(L8048="", "", L8048-B8048)</f>
        <v/>
      </c>
      <c r="O8048">
        <f>IF(L8048="", "Pending", IF(N8048&lt;=30, "Met", "Breached"))</f>
        <v/>
      </c>
    </row>
    <row r="8049">
      <c r="M8049" s="11">
        <f>B8049+30</f>
        <v/>
      </c>
      <c r="N8049">
        <f>IF(L8049="", "", L8049-B8049)</f>
        <v/>
      </c>
      <c r="O8049">
        <f>IF(L8049="", "Pending", IF(N8049&lt;=30, "Met", "Breached"))</f>
        <v/>
      </c>
    </row>
    <row r="8050">
      <c r="M8050" s="11">
        <f>B8050+30</f>
        <v/>
      </c>
      <c r="N8050">
        <f>IF(L8050="", "", L8050-B8050)</f>
        <v/>
      </c>
      <c r="O8050">
        <f>IF(L8050="", "Pending", IF(N8050&lt;=30, "Met", "Breached"))</f>
        <v/>
      </c>
    </row>
    <row r="8051">
      <c r="M8051" s="11">
        <f>B8051+30</f>
        <v/>
      </c>
      <c r="N8051">
        <f>IF(L8051="", "", L8051-B8051)</f>
        <v/>
      </c>
      <c r="O8051">
        <f>IF(L8051="", "Pending", IF(N8051&lt;=30, "Met", "Breached"))</f>
        <v/>
      </c>
    </row>
    <row r="8052">
      <c r="M8052" s="11">
        <f>B8052+30</f>
        <v/>
      </c>
      <c r="N8052">
        <f>IF(L8052="", "", L8052-B8052)</f>
        <v/>
      </c>
      <c r="O8052">
        <f>IF(L8052="", "Pending", IF(N8052&lt;=30, "Met", "Breached"))</f>
        <v/>
      </c>
    </row>
    <row r="8053">
      <c r="M8053" s="11">
        <f>B8053+30</f>
        <v/>
      </c>
      <c r="N8053">
        <f>IF(L8053="", "", L8053-B8053)</f>
        <v/>
      </c>
      <c r="O8053">
        <f>IF(L8053="", "Pending", IF(N8053&lt;=30, "Met", "Breached"))</f>
        <v/>
      </c>
    </row>
    <row r="8054">
      <c r="M8054" s="11">
        <f>B8054+30</f>
        <v/>
      </c>
      <c r="N8054">
        <f>IF(L8054="", "", L8054-B8054)</f>
        <v/>
      </c>
      <c r="O8054">
        <f>IF(L8054="", "Pending", IF(N8054&lt;=30, "Met", "Breached"))</f>
        <v/>
      </c>
    </row>
    <row r="8055">
      <c r="M8055" s="11">
        <f>B8055+30</f>
        <v/>
      </c>
      <c r="N8055">
        <f>IF(L8055="", "", L8055-B8055)</f>
        <v/>
      </c>
      <c r="O8055">
        <f>IF(L8055="", "Pending", IF(N8055&lt;=30, "Met", "Breached"))</f>
        <v/>
      </c>
    </row>
    <row r="8056">
      <c r="M8056" s="11">
        <f>B8056+30</f>
        <v/>
      </c>
      <c r="N8056">
        <f>IF(L8056="", "", L8056-B8056)</f>
        <v/>
      </c>
      <c r="O8056">
        <f>IF(L8056="", "Pending", IF(N8056&lt;=30, "Met", "Breached"))</f>
        <v/>
      </c>
    </row>
    <row r="8057">
      <c r="M8057" s="11">
        <f>B8057+30</f>
        <v/>
      </c>
      <c r="N8057">
        <f>IF(L8057="", "", L8057-B8057)</f>
        <v/>
      </c>
      <c r="O8057">
        <f>IF(L8057="", "Pending", IF(N8057&lt;=30, "Met", "Breached"))</f>
        <v/>
      </c>
    </row>
    <row r="8058">
      <c r="M8058" s="11">
        <f>B8058+30</f>
        <v/>
      </c>
      <c r="N8058">
        <f>IF(L8058="", "", L8058-B8058)</f>
        <v/>
      </c>
      <c r="O8058">
        <f>IF(L8058="", "Pending", IF(N8058&lt;=30, "Met", "Breached"))</f>
        <v/>
      </c>
    </row>
    <row r="8059">
      <c r="M8059" s="11">
        <f>B8059+30</f>
        <v/>
      </c>
      <c r="N8059">
        <f>IF(L8059="", "", L8059-B8059)</f>
        <v/>
      </c>
      <c r="O8059">
        <f>IF(L8059="", "Pending", IF(N8059&lt;=30, "Met", "Breached"))</f>
        <v/>
      </c>
    </row>
    <row r="8060">
      <c r="M8060" s="11">
        <f>B8060+30</f>
        <v/>
      </c>
      <c r="N8060">
        <f>IF(L8060="", "", L8060-B8060)</f>
        <v/>
      </c>
      <c r="O8060">
        <f>IF(L8060="", "Pending", IF(N8060&lt;=30, "Met", "Breached"))</f>
        <v/>
      </c>
    </row>
    <row r="8061">
      <c r="M8061" s="11">
        <f>B8061+30</f>
        <v/>
      </c>
      <c r="N8061">
        <f>IF(L8061="", "", L8061-B8061)</f>
        <v/>
      </c>
      <c r="O8061">
        <f>IF(L8061="", "Pending", IF(N8061&lt;=30, "Met", "Breached"))</f>
        <v/>
      </c>
    </row>
    <row r="8062">
      <c r="M8062" s="11">
        <f>B8062+30</f>
        <v/>
      </c>
      <c r="N8062">
        <f>IF(L8062="", "", L8062-B8062)</f>
        <v/>
      </c>
      <c r="O8062">
        <f>IF(L8062="", "Pending", IF(N8062&lt;=30, "Met", "Breached"))</f>
        <v/>
      </c>
    </row>
    <row r="8063">
      <c r="M8063" s="11">
        <f>B8063+30</f>
        <v/>
      </c>
      <c r="N8063">
        <f>IF(L8063="", "", L8063-B8063)</f>
        <v/>
      </c>
      <c r="O8063">
        <f>IF(L8063="", "Pending", IF(N8063&lt;=30, "Met", "Breached"))</f>
        <v/>
      </c>
    </row>
    <row r="8064">
      <c r="M8064" s="11">
        <f>B8064+30</f>
        <v/>
      </c>
      <c r="N8064">
        <f>IF(L8064="", "", L8064-B8064)</f>
        <v/>
      </c>
      <c r="O8064">
        <f>IF(L8064="", "Pending", IF(N8064&lt;=30, "Met", "Breached"))</f>
        <v/>
      </c>
    </row>
    <row r="8065">
      <c r="M8065" s="11">
        <f>B8065+30</f>
        <v/>
      </c>
      <c r="N8065">
        <f>IF(L8065="", "", L8065-B8065)</f>
        <v/>
      </c>
      <c r="O8065">
        <f>IF(L8065="", "Pending", IF(N8065&lt;=30, "Met", "Breached"))</f>
        <v/>
      </c>
    </row>
    <row r="8066">
      <c r="M8066" s="11">
        <f>B8066+30</f>
        <v/>
      </c>
      <c r="N8066">
        <f>IF(L8066="", "", L8066-B8066)</f>
        <v/>
      </c>
      <c r="O8066">
        <f>IF(L8066="", "Pending", IF(N8066&lt;=30, "Met", "Breached"))</f>
        <v/>
      </c>
    </row>
    <row r="8067">
      <c r="M8067" s="11">
        <f>B8067+30</f>
        <v/>
      </c>
      <c r="N8067">
        <f>IF(L8067="", "", L8067-B8067)</f>
        <v/>
      </c>
      <c r="O8067">
        <f>IF(L8067="", "Pending", IF(N8067&lt;=30, "Met", "Breached"))</f>
        <v/>
      </c>
    </row>
    <row r="8068">
      <c r="M8068" s="11">
        <f>B8068+30</f>
        <v/>
      </c>
      <c r="N8068">
        <f>IF(L8068="", "", L8068-B8068)</f>
        <v/>
      </c>
      <c r="O8068">
        <f>IF(L8068="", "Pending", IF(N8068&lt;=30, "Met", "Breached"))</f>
        <v/>
      </c>
    </row>
    <row r="8069">
      <c r="M8069" s="11">
        <f>B8069+30</f>
        <v/>
      </c>
      <c r="N8069">
        <f>IF(L8069="", "", L8069-B8069)</f>
        <v/>
      </c>
      <c r="O8069">
        <f>IF(L8069="", "Pending", IF(N8069&lt;=30, "Met", "Breached"))</f>
        <v/>
      </c>
    </row>
    <row r="8070">
      <c r="M8070" s="11">
        <f>B8070+30</f>
        <v/>
      </c>
      <c r="N8070">
        <f>IF(L8070="", "", L8070-B8070)</f>
        <v/>
      </c>
      <c r="O8070">
        <f>IF(L8070="", "Pending", IF(N8070&lt;=30, "Met", "Breached"))</f>
        <v/>
      </c>
    </row>
    <row r="8071">
      <c r="M8071" s="11">
        <f>B8071+30</f>
        <v/>
      </c>
      <c r="N8071">
        <f>IF(L8071="", "", L8071-B8071)</f>
        <v/>
      </c>
      <c r="O8071">
        <f>IF(L8071="", "Pending", IF(N8071&lt;=30, "Met", "Breached"))</f>
        <v/>
      </c>
    </row>
    <row r="8072">
      <c r="M8072" s="11">
        <f>B8072+30</f>
        <v/>
      </c>
      <c r="N8072">
        <f>IF(L8072="", "", L8072-B8072)</f>
        <v/>
      </c>
      <c r="O8072">
        <f>IF(L8072="", "Pending", IF(N8072&lt;=30, "Met", "Breached"))</f>
        <v/>
      </c>
    </row>
    <row r="8073">
      <c r="M8073" s="11">
        <f>B8073+30</f>
        <v/>
      </c>
      <c r="N8073">
        <f>IF(L8073="", "", L8073-B8073)</f>
        <v/>
      </c>
      <c r="O8073">
        <f>IF(L8073="", "Pending", IF(N8073&lt;=30, "Met", "Breached"))</f>
        <v/>
      </c>
    </row>
    <row r="8074">
      <c r="M8074" s="11">
        <f>B8074+30</f>
        <v/>
      </c>
      <c r="N8074">
        <f>IF(L8074="", "", L8074-B8074)</f>
        <v/>
      </c>
      <c r="O8074">
        <f>IF(L8074="", "Pending", IF(N8074&lt;=30, "Met", "Breached"))</f>
        <v/>
      </c>
    </row>
    <row r="8075">
      <c r="M8075" s="11">
        <f>B8075+30</f>
        <v/>
      </c>
      <c r="N8075">
        <f>IF(L8075="", "", L8075-B8075)</f>
        <v/>
      </c>
      <c r="O8075">
        <f>IF(L8075="", "Pending", IF(N8075&lt;=30, "Met", "Breached"))</f>
        <v/>
      </c>
    </row>
    <row r="8076">
      <c r="M8076" s="11">
        <f>B8076+30</f>
        <v/>
      </c>
      <c r="N8076">
        <f>IF(L8076="", "", L8076-B8076)</f>
        <v/>
      </c>
      <c r="O8076">
        <f>IF(L8076="", "Pending", IF(N8076&lt;=30, "Met", "Breached"))</f>
        <v/>
      </c>
    </row>
    <row r="8077">
      <c r="M8077" s="11">
        <f>B8077+30</f>
        <v/>
      </c>
      <c r="N8077">
        <f>IF(L8077="", "", L8077-B8077)</f>
        <v/>
      </c>
      <c r="O8077">
        <f>IF(L8077="", "Pending", IF(N8077&lt;=30, "Met", "Breached"))</f>
        <v/>
      </c>
    </row>
    <row r="8078">
      <c r="M8078" s="11">
        <f>B8078+30</f>
        <v/>
      </c>
      <c r="N8078">
        <f>IF(L8078="", "", L8078-B8078)</f>
        <v/>
      </c>
      <c r="O8078">
        <f>IF(L8078="", "Pending", IF(N8078&lt;=30, "Met", "Breached"))</f>
        <v/>
      </c>
    </row>
    <row r="8079">
      <c r="M8079" s="11">
        <f>B8079+30</f>
        <v/>
      </c>
      <c r="N8079">
        <f>IF(L8079="", "", L8079-B8079)</f>
        <v/>
      </c>
      <c r="O8079">
        <f>IF(L8079="", "Pending", IF(N8079&lt;=30, "Met", "Breached"))</f>
        <v/>
      </c>
    </row>
    <row r="8080">
      <c r="M8080" s="11">
        <f>B8080+30</f>
        <v/>
      </c>
      <c r="N8080">
        <f>IF(L8080="", "", L8080-B8080)</f>
        <v/>
      </c>
      <c r="O8080">
        <f>IF(L8080="", "Pending", IF(N8080&lt;=30, "Met", "Breached"))</f>
        <v/>
      </c>
    </row>
    <row r="8081">
      <c r="M8081" s="11">
        <f>B8081+30</f>
        <v/>
      </c>
      <c r="N8081">
        <f>IF(L8081="", "", L8081-B8081)</f>
        <v/>
      </c>
      <c r="O8081">
        <f>IF(L8081="", "Pending", IF(N8081&lt;=30, "Met", "Breached"))</f>
        <v/>
      </c>
    </row>
    <row r="8082">
      <c r="M8082" s="11">
        <f>B8082+30</f>
        <v/>
      </c>
      <c r="N8082">
        <f>IF(L8082="", "", L8082-B8082)</f>
        <v/>
      </c>
      <c r="O8082">
        <f>IF(L8082="", "Pending", IF(N8082&lt;=30, "Met", "Breached"))</f>
        <v/>
      </c>
    </row>
    <row r="8083">
      <c r="M8083" s="11">
        <f>B8083+30</f>
        <v/>
      </c>
      <c r="N8083">
        <f>IF(L8083="", "", L8083-B8083)</f>
        <v/>
      </c>
      <c r="O8083">
        <f>IF(L8083="", "Pending", IF(N8083&lt;=30, "Met", "Breached"))</f>
        <v/>
      </c>
    </row>
    <row r="8084">
      <c r="M8084" s="11">
        <f>B8084+30</f>
        <v/>
      </c>
      <c r="N8084">
        <f>IF(L8084="", "", L8084-B8084)</f>
        <v/>
      </c>
      <c r="O8084">
        <f>IF(L8084="", "Pending", IF(N8084&lt;=30, "Met", "Breached"))</f>
        <v/>
      </c>
    </row>
    <row r="8085">
      <c r="M8085" s="11">
        <f>B8085+30</f>
        <v/>
      </c>
      <c r="N8085">
        <f>IF(L8085="", "", L8085-B8085)</f>
        <v/>
      </c>
      <c r="O8085">
        <f>IF(L8085="", "Pending", IF(N8085&lt;=30, "Met", "Breached"))</f>
        <v/>
      </c>
    </row>
    <row r="8086">
      <c r="M8086" s="11">
        <f>B8086+30</f>
        <v/>
      </c>
      <c r="N8086">
        <f>IF(L8086="", "", L8086-B8086)</f>
        <v/>
      </c>
      <c r="O8086">
        <f>IF(L8086="", "Pending", IF(N8086&lt;=30, "Met", "Breached"))</f>
        <v/>
      </c>
    </row>
    <row r="8087">
      <c r="M8087" s="11">
        <f>B8087+30</f>
        <v/>
      </c>
      <c r="N8087">
        <f>IF(L8087="", "", L8087-B8087)</f>
        <v/>
      </c>
      <c r="O8087">
        <f>IF(L8087="", "Pending", IF(N8087&lt;=30, "Met", "Breached"))</f>
        <v/>
      </c>
    </row>
    <row r="8088">
      <c r="M8088" s="11">
        <f>B8088+30</f>
        <v/>
      </c>
      <c r="N8088">
        <f>IF(L8088="", "", L8088-B8088)</f>
        <v/>
      </c>
      <c r="O8088">
        <f>IF(L8088="", "Pending", IF(N8088&lt;=30, "Met", "Breached"))</f>
        <v/>
      </c>
    </row>
    <row r="8089">
      <c r="M8089" s="11">
        <f>B8089+30</f>
        <v/>
      </c>
      <c r="N8089">
        <f>IF(L8089="", "", L8089-B8089)</f>
        <v/>
      </c>
      <c r="O8089">
        <f>IF(L8089="", "Pending", IF(N8089&lt;=30, "Met", "Breached"))</f>
        <v/>
      </c>
    </row>
    <row r="8090">
      <c r="M8090" s="11">
        <f>B8090+30</f>
        <v/>
      </c>
      <c r="N8090">
        <f>IF(L8090="", "", L8090-B8090)</f>
        <v/>
      </c>
      <c r="O8090">
        <f>IF(L8090="", "Pending", IF(N8090&lt;=30, "Met", "Breached"))</f>
        <v/>
      </c>
    </row>
    <row r="8091">
      <c r="M8091" s="11">
        <f>B8091+30</f>
        <v/>
      </c>
      <c r="N8091">
        <f>IF(L8091="", "", L8091-B8091)</f>
        <v/>
      </c>
      <c r="O8091">
        <f>IF(L8091="", "Pending", IF(N8091&lt;=30, "Met", "Breached"))</f>
        <v/>
      </c>
    </row>
    <row r="8092">
      <c r="M8092" s="11">
        <f>B8092+30</f>
        <v/>
      </c>
      <c r="N8092">
        <f>IF(L8092="", "", L8092-B8092)</f>
        <v/>
      </c>
      <c r="O8092">
        <f>IF(L8092="", "Pending", IF(N8092&lt;=30, "Met", "Breached"))</f>
        <v/>
      </c>
    </row>
    <row r="8093">
      <c r="M8093" s="11">
        <f>B8093+30</f>
        <v/>
      </c>
      <c r="N8093">
        <f>IF(L8093="", "", L8093-B8093)</f>
        <v/>
      </c>
      <c r="O8093">
        <f>IF(L8093="", "Pending", IF(N8093&lt;=30, "Met", "Breached"))</f>
        <v/>
      </c>
    </row>
    <row r="8094">
      <c r="M8094" s="11">
        <f>B8094+30</f>
        <v/>
      </c>
      <c r="N8094">
        <f>IF(L8094="", "", L8094-B8094)</f>
        <v/>
      </c>
      <c r="O8094">
        <f>IF(L8094="", "Pending", IF(N8094&lt;=30, "Met", "Breached"))</f>
        <v/>
      </c>
    </row>
    <row r="8095">
      <c r="M8095" s="11">
        <f>B8095+30</f>
        <v/>
      </c>
      <c r="N8095">
        <f>IF(L8095="", "", L8095-B8095)</f>
        <v/>
      </c>
      <c r="O8095">
        <f>IF(L8095="", "Pending", IF(N8095&lt;=30, "Met", "Breached"))</f>
        <v/>
      </c>
    </row>
    <row r="8096">
      <c r="M8096" s="11">
        <f>B8096+30</f>
        <v/>
      </c>
      <c r="N8096">
        <f>IF(L8096="", "", L8096-B8096)</f>
        <v/>
      </c>
      <c r="O8096">
        <f>IF(L8096="", "Pending", IF(N8096&lt;=30, "Met", "Breached"))</f>
        <v/>
      </c>
    </row>
    <row r="8097">
      <c r="M8097" s="11">
        <f>B8097+30</f>
        <v/>
      </c>
      <c r="N8097">
        <f>IF(L8097="", "", L8097-B8097)</f>
        <v/>
      </c>
      <c r="O8097">
        <f>IF(L8097="", "Pending", IF(N8097&lt;=30, "Met", "Breached"))</f>
        <v/>
      </c>
    </row>
    <row r="8098">
      <c r="M8098" s="11">
        <f>B8098+30</f>
        <v/>
      </c>
      <c r="N8098">
        <f>IF(L8098="", "", L8098-B8098)</f>
        <v/>
      </c>
      <c r="O8098">
        <f>IF(L8098="", "Pending", IF(N8098&lt;=30, "Met", "Breached"))</f>
        <v/>
      </c>
    </row>
    <row r="8099">
      <c r="M8099" s="11">
        <f>B8099+30</f>
        <v/>
      </c>
      <c r="N8099">
        <f>IF(L8099="", "", L8099-B8099)</f>
        <v/>
      </c>
      <c r="O8099">
        <f>IF(L8099="", "Pending", IF(N8099&lt;=30, "Met", "Breached"))</f>
        <v/>
      </c>
    </row>
    <row r="8100">
      <c r="M8100" s="11">
        <f>B8100+30</f>
        <v/>
      </c>
      <c r="N8100">
        <f>IF(L8100="", "", L8100-B8100)</f>
        <v/>
      </c>
      <c r="O8100">
        <f>IF(L8100="", "Pending", IF(N8100&lt;=30, "Met", "Breached"))</f>
        <v/>
      </c>
    </row>
    <row r="8101">
      <c r="M8101" s="11">
        <f>B8101+30</f>
        <v/>
      </c>
      <c r="N8101">
        <f>IF(L8101="", "", L8101-B8101)</f>
        <v/>
      </c>
      <c r="O8101">
        <f>IF(L8101="", "Pending", IF(N8101&lt;=30, "Met", "Breached"))</f>
        <v/>
      </c>
    </row>
    <row r="8102">
      <c r="M8102" s="11">
        <f>B8102+30</f>
        <v/>
      </c>
      <c r="N8102">
        <f>IF(L8102="", "", L8102-B8102)</f>
        <v/>
      </c>
      <c r="O8102">
        <f>IF(L8102="", "Pending", IF(N8102&lt;=30, "Met", "Breached"))</f>
        <v/>
      </c>
    </row>
    <row r="8103">
      <c r="M8103" s="11">
        <f>B8103+30</f>
        <v/>
      </c>
      <c r="N8103">
        <f>IF(L8103="", "", L8103-B8103)</f>
        <v/>
      </c>
      <c r="O8103">
        <f>IF(L8103="", "Pending", IF(N8103&lt;=30, "Met", "Breached"))</f>
        <v/>
      </c>
    </row>
    <row r="8104">
      <c r="M8104" s="11">
        <f>B8104+30</f>
        <v/>
      </c>
      <c r="N8104">
        <f>IF(L8104="", "", L8104-B8104)</f>
        <v/>
      </c>
      <c r="O8104">
        <f>IF(L8104="", "Pending", IF(N8104&lt;=30, "Met", "Breached"))</f>
        <v/>
      </c>
    </row>
    <row r="8105">
      <c r="M8105" s="11">
        <f>B8105+30</f>
        <v/>
      </c>
      <c r="N8105">
        <f>IF(L8105="", "", L8105-B8105)</f>
        <v/>
      </c>
      <c r="O8105">
        <f>IF(L8105="", "Pending", IF(N8105&lt;=30, "Met", "Breached"))</f>
        <v/>
      </c>
    </row>
    <row r="8106">
      <c r="M8106" s="11">
        <f>B8106+30</f>
        <v/>
      </c>
      <c r="N8106">
        <f>IF(L8106="", "", L8106-B8106)</f>
        <v/>
      </c>
      <c r="O8106">
        <f>IF(L8106="", "Pending", IF(N8106&lt;=30, "Met", "Breached"))</f>
        <v/>
      </c>
    </row>
    <row r="8107">
      <c r="M8107" s="11">
        <f>B8107+30</f>
        <v/>
      </c>
      <c r="N8107">
        <f>IF(L8107="", "", L8107-B8107)</f>
        <v/>
      </c>
      <c r="O8107">
        <f>IF(L8107="", "Pending", IF(N8107&lt;=30, "Met", "Breached"))</f>
        <v/>
      </c>
    </row>
    <row r="8108">
      <c r="M8108" s="11">
        <f>B8108+30</f>
        <v/>
      </c>
      <c r="N8108">
        <f>IF(L8108="", "", L8108-B8108)</f>
        <v/>
      </c>
      <c r="O8108">
        <f>IF(L8108="", "Pending", IF(N8108&lt;=30, "Met", "Breached"))</f>
        <v/>
      </c>
    </row>
    <row r="8109">
      <c r="M8109" s="11">
        <f>B8109+30</f>
        <v/>
      </c>
      <c r="N8109">
        <f>IF(L8109="", "", L8109-B8109)</f>
        <v/>
      </c>
      <c r="O8109">
        <f>IF(L8109="", "Pending", IF(N8109&lt;=30, "Met", "Breached"))</f>
        <v/>
      </c>
    </row>
    <row r="8110">
      <c r="M8110" s="11">
        <f>B8110+30</f>
        <v/>
      </c>
      <c r="N8110">
        <f>IF(L8110="", "", L8110-B8110)</f>
        <v/>
      </c>
      <c r="O8110">
        <f>IF(L8110="", "Pending", IF(N8110&lt;=30, "Met", "Breached"))</f>
        <v/>
      </c>
    </row>
    <row r="8111">
      <c r="M8111" s="11">
        <f>B8111+30</f>
        <v/>
      </c>
      <c r="N8111">
        <f>IF(L8111="", "", L8111-B8111)</f>
        <v/>
      </c>
      <c r="O8111">
        <f>IF(L8111="", "Pending", IF(N8111&lt;=30, "Met", "Breached"))</f>
        <v/>
      </c>
    </row>
    <row r="8112">
      <c r="M8112" s="11">
        <f>B8112+30</f>
        <v/>
      </c>
      <c r="N8112">
        <f>IF(L8112="", "", L8112-B8112)</f>
        <v/>
      </c>
      <c r="O8112">
        <f>IF(L8112="", "Pending", IF(N8112&lt;=30, "Met", "Breached"))</f>
        <v/>
      </c>
    </row>
    <row r="8113">
      <c r="M8113" s="11">
        <f>B8113+30</f>
        <v/>
      </c>
      <c r="N8113">
        <f>IF(L8113="", "", L8113-B8113)</f>
        <v/>
      </c>
      <c r="O8113">
        <f>IF(L8113="", "Pending", IF(N8113&lt;=30, "Met", "Breached"))</f>
        <v/>
      </c>
    </row>
    <row r="8114">
      <c r="M8114" s="11">
        <f>B8114+30</f>
        <v/>
      </c>
      <c r="N8114">
        <f>IF(L8114="", "", L8114-B8114)</f>
        <v/>
      </c>
      <c r="O8114">
        <f>IF(L8114="", "Pending", IF(N8114&lt;=30, "Met", "Breached"))</f>
        <v/>
      </c>
    </row>
    <row r="8115">
      <c r="M8115" s="11">
        <f>B8115+30</f>
        <v/>
      </c>
      <c r="N8115">
        <f>IF(L8115="", "", L8115-B8115)</f>
        <v/>
      </c>
      <c r="O8115">
        <f>IF(L8115="", "Pending", IF(N8115&lt;=30, "Met", "Breached"))</f>
        <v/>
      </c>
    </row>
    <row r="8116">
      <c r="M8116" s="11">
        <f>B8116+30</f>
        <v/>
      </c>
      <c r="N8116">
        <f>IF(L8116="", "", L8116-B8116)</f>
        <v/>
      </c>
      <c r="O8116">
        <f>IF(L8116="", "Pending", IF(N8116&lt;=30, "Met", "Breached"))</f>
        <v/>
      </c>
    </row>
    <row r="8117">
      <c r="M8117" s="11">
        <f>B8117+30</f>
        <v/>
      </c>
      <c r="N8117">
        <f>IF(L8117="", "", L8117-B8117)</f>
        <v/>
      </c>
      <c r="O8117">
        <f>IF(L8117="", "Pending", IF(N8117&lt;=30, "Met", "Breached"))</f>
        <v/>
      </c>
    </row>
    <row r="8118">
      <c r="M8118" s="11">
        <f>B8118+30</f>
        <v/>
      </c>
      <c r="N8118">
        <f>IF(L8118="", "", L8118-B8118)</f>
        <v/>
      </c>
      <c r="O8118">
        <f>IF(L8118="", "Pending", IF(N8118&lt;=30, "Met", "Breached"))</f>
        <v/>
      </c>
    </row>
    <row r="8119">
      <c r="M8119" s="11">
        <f>B8119+30</f>
        <v/>
      </c>
      <c r="N8119">
        <f>IF(L8119="", "", L8119-B8119)</f>
        <v/>
      </c>
      <c r="O8119">
        <f>IF(L8119="", "Pending", IF(N8119&lt;=30, "Met", "Breached"))</f>
        <v/>
      </c>
    </row>
    <row r="8120">
      <c r="M8120" s="11">
        <f>B8120+30</f>
        <v/>
      </c>
      <c r="N8120">
        <f>IF(L8120="", "", L8120-B8120)</f>
        <v/>
      </c>
      <c r="O8120">
        <f>IF(L8120="", "Pending", IF(N8120&lt;=30, "Met", "Breached"))</f>
        <v/>
      </c>
    </row>
    <row r="8121">
      <c r="M8121" s="11">
        <f>B8121+30</f>
        <v/>
      </c>
      <c r="N8121">
        <f>IF(L8121="", "", L8121-B8121)</f>
        <v/>
      </c>
      <c r="O8121">
        <f>IF(L8121="", "Pending", IF(N8121&lt;=30, "Met", "Breached"))</f>
        <v/>
      </c>
    </row>
    <row r="8122">
      <c r="M8122" s="11">
        <f>B8122+30</f>
        <v/>
      </c>
      <c r="N8122">
        <f>IF(L8122="", "", L8122-B8122)</f>
        <v/>
      </c>
      <c r="O8122">
        <f>IF(L8122="", "Pending", IF(N8122&lt;=30, "Met", "Breached"))</f>
        <v/>
      </c>
    </row>
    <row r="8123">
      <c r="M8123" s="11">
        <f>B8123+30</f>
        <v/>
      </c>
      <c r="N8123">
        <f>IF(L8123="", "", L8123-B8123)</f>
        <v/>
      </c>
      <c r="O8123">
        <f>IF(L8123="", "Pending", IF(N8123&lt;=30, "Met", "Breached"))</f>
        <v/>
      </c>
    </row>
    <row r="8124">
      <c r="M8124" s="11">
        <f>B8124+30</f>
        <v/>
      </c>
      <c r="N8124">
        <f>IF(L8124="", "", L8124-B8124)</f>
        <v/>
      </c>
      <c r="O8124">
        <f>IF(L8124="", "Pending", IF(N8124&lt;=30, "Met", "Breached"))</f>
        <v/>
      </c>
    </row>
    <row r="8125">
      <c r="M8125" s="11">
        <f>B8125+30</f>
        <v/>
      </c>
      <c r="N8125">
        <f>IF(L8125="", "", L8125-B8125)</f>
        <v/>
      </c>
      <c r="O8125">
        <f>IF(L8125="", "Pending", IF(N8125&lt;=30, "Met", "Breached"))</f>
        <v/>
      </c>
    </row>
    <row r="8126">
      <c r="M8126" s="11">
        <f>B8126+30</f>
        <v/>
      </c>
      <c r="N8126">
        <f>IF(L8126="", "", L8126-B8126)</f>
        <v/>
      </c>
      <c r="O8126">
        <f>IF(L8126="", "Pending", IF(N8126&lt;=30, "Met", "Breached"))</f>
        <v/>
      </c>
    </row>
    <row r="8127">
      <c r="M8127" s="11">
        <f>B8127+30</f>
        <v/>
      </c>
      <c r="N8127">
        <f>IF(L8127="", "", L8127-B8127)</f>
        <v/>
      </c>
      <c r="O8127">
        <f>IF(L8127="", "Pending", IF(N8127&lt;=30, "Met", "Breached"))</f>
        <v/>
      </c>
    </row>
    <row r="8128">
      <c r="M8128" s="11">
        <f>B8128+30</f>
        <v/>
      </c>
      <c r="N8128">
        <f>IF(L8128="", "", L8128-B8128)</f>
        <v/>
      </c>
      <c r="O8128">
        <f>IF(L8128="", "Pending", IF(N8128&lt;=30, "Met", "Breached"))</f>
        <v/>
      </c>
    </row>
    <row r="8129">
      <c r="M8129" s="11">
        <f>B8129+30</f>
        <v/>
      </c>
      <c r="N8129">
        <f>IF(L8129="", "", L8129-B8129)</f>
        <v/>
      </c>
      <c r="O8129">
        <f>IF(L8129="", "Pending", IF(N8129&lt;=30, "Met", "Breached"))</f>
        <v/>
      </c>
    </row>
    <row r="8130">
      <c r="M8130" s="11">
        <f>B8130+30</f>
        <v/>
      </c>
      <c r="N8130">
        <f>IF(L8130="", "", L8130-B8130)</f>
        <v/>
      </c>
      <c r="O8130">
        <f>IF(L8130="", "Pending", IF(N8130&lt;=30, "Met", "Breached"))</f>
        <v/>
      </c>
    </row>
    <row r="8131">
      <c r="M8131" s="11">
        <f>B8131+30</f>
        <v/>
      </c>
      <c r="N8131">
        <f>IF(L8131="", "", L8131-B8131)</f>
        <v/>
      </c>
      <c r="O8131">
        <f>IF(L8131="", "Pending", IF(N8131&lt;=30, "Met", "Breached"))</f>
        <v/>
      </c>
    </row>
    <row r="8132">
      <c r="M8132" s="11">
        <f>B8132+30</f>
        <v/>
      </c>
      <c r="N8132">
        <f>IF(L8132="", "", L8132-B8132)</f>
        <v/>
      </c>
      <c r="O8132">
        <f>IF(L8132="", "Pending", IF(N8132&lt;=30, "Met", "Breached"))</f>
        <v/>
      </c>
    </row>
    <row r="8133">
      <c r="M8133" s="11">
        <f>B8133+30</f>
        <v/>
      </c>
      <c r="N8133">
        <f>IF(L8133="", "", L8133-B8133)</f>
        <v/>
      </c>
      <c r="O8133">
        <f>IF(L8133="", "Pending", IF(N8133&lt;=30, "Met", "Breached"))</f>
        <v/>
      </c>
    </row>
    <row r="8134">
      <c r="M8134" s="11">
        <f>B8134+30</f>
        <v/>
      </c>
      <c r="N8134">
        <f>IF(L8134="", "", L8134-B8134)</f>
        <v/>
      </c>
      <c r="O8134">
        <f>IF(L8134="", "Pending", IF(N8134&lt;=30, "Met", "Breached"))</f>
        <v/>
      </c>
    </row>
    <row r="8135">
      <c r="M8135" s="11">
        <f>B8135+30</f>
        <v/>
      </c>
      <c r="N8135">
        <f>IF(L8135="", "", L8135-B8135)</f>
        <v/>
      </c>
      <c r="O8135">
        <f>IF(L8135="", "Pending", IF(N8135&lt;=30, "Met", "Breached"))</f>
        <v/>
      </c>
    </row>
    <row r="8136">
      <c r="M8136" s="11">
        <f>B8136+30</f>
        <v/>
      </c>
      <c r="N8136">
        <f>IF(L8136="", "", L8136-B8136)</f>
        <v/>
      </c>
      <c r="O8136">
        <f>IF(L8136="", "Pending", IF(N8136&lt;=30, "Met", "Breached"))</f>
        <v/>
      </c>
    </row>
    <row r="8137">
      <c r="M8137" s="11">
        <f>B8137+30</f>
        <v/>
      </c>
      <c r="N8137">
        <f>IF(L8137="", "", L8137-B8137)</f>
        <v/>
      </c>
      <c r="O8137">
        <f>IF(L8137="", "Pending", IF(N8137&lt;=30, "Met", "Breached"))</f>
        <v/>
      </c>
    </row>
    <row r="8138">
      <c r="M8138" s="11">
        <f>B8138+30</f>
        <v/>
      </c>
      <c r="N8138">
        <f>IF(L8138="", "", L8138-B8138)</f>
        <v/>
      </c>
      <c r="O8138">
        <f>IF(L8138="", "Pending", IF(N8138&lt;=30, "Met", "Breached"))</f>
        <v/>
      </c>
    </row>
    <row r="8139">
      <c r="M8139" s="11">
        <f>B8139+30</f>
        <v/>
      </c>
      <c r="N8139">
        <f>IF(L8139="", "", L8139-B8139)</f>
        <v/>
      </c>
      <c r="O8139">
        <f>IF(L8139="", "Pending", IF(N8139&lt;=30, "Met", "Breached"))</f>
        <v/>
      </c>
    </row>
    <row r="8140">
      <c r="M8140" s="11">
        <f>B8140+30</f>
        <v/>
      </c>
      <c r="N8140">
        <f>IF(L8140="", "", L8140-B8140)</f>
        <v/>
      </c>
      <c r="O8140">
        <f>IF(L8140="", "Pending", IF(N8140&lt;=30, "Met", "Breached"))</f>
        <v/>
      </c>
    </row>
    <row r="8141">
      <c r="M8141" s="11">
        <f>B8141+30</f>
        <v/>
      </c>
      <c r="N8141">
        <f>IF(L8141="", "", L8141-B8141)</f>
        <v/>
      </c>
      <c r="O8141">
        <f>IF(L8141="", "Pending", IF(N8141&lt;=30, "Met", "Breached"))</f>
        <v/>
      </c>
    </row>
    <row r="8142">
      <c r="M8142" s="11">
        <f>B8142+30</f>
        <v/>
      </c>
      <c r="N8142">
        <f>IF(L8142="", "", L8142-B8142)</f>
        <v/>
      </c>
      <c r="O8142">
        <f>IF(L8142="", "Pending", IF(N8142&lt;=30, "Met", "Breached"))</f>
        <v/>
      </c>
    </row>
    <row r="8143">
      <c r="M8143" s="11">
        <f>B8143+30</f>
        <v/>
      </c>
      <c r="N8143">
        <f>IF(L8143="", "", L8143-B8143)</f>
        <v/>
      </c>
      <c r="O8143">
        <f>IF(L8143="", "Pending", IF(N8143&lt;=30, "Met", "Breached"))</f>
        <v/>
      </c>
    </row>
    <row r="8144">
      <c r="M8144" s="11">
        <f>B8144+30</f>
        <v/>
      </c>
      <c r="N8144">
        <f>IF(L8144="", "", L8144-B8144)</f>
        <v/>
      </c>
      <c r="O8144">
        <f>IF(L8144="", "Pending", IF(N8144&lt;=30, "Met", "Breached"))</f>
        <v/>
      </c>
    </row>
    <row r="8145">
      <c r="M8145" s="11">
        <f>B8145+30</f>
        <v/>
      </c>
      <c r="N8145">
        <f>IF(L8145="", "", L8145-B8145)</f>
        <v/>
      </c>
      <c r="O8145">
        <f>IF(L8145="", "Pending", IF(N8145&lt;=30, "Met", "Breached"))</f>
        <v/>
      </c>
    </row>
    <row r="8146">
      <c r="M8146" s="11">
        <f>B8146+30</f>
        <v/>
      </c>
      <c r="N8146">
        <f>IF(L8146="", "", L8146-B8146)</f>
        <v/>
      </c>
      <c r="O8146">
        <f>IF(L8146="", "Pending", IF(N8146&lt;=30, "Met", "Breached"))</f>
        <v/>
      </c>
    </row>
    <row r="8147">
      <c r="M8147" s="11">
        <f>B8147+30</f>
        <v/>
      </c>
      <c r="N8147">
        <f>IF(L8147="", "", L8147-B8147)</f>
        <v/>
      </c>
      <c r="O8147">
        <f>IF(L8147="", "Pending", IF(N8147&lt;=30, "Met", "Breached"))</f>
        <v/>
      </c>
    </row>
    <row r="8148">
      <c r="M8148" s="11">
        <f>B8148+30</f>
        <v/>
      </c>
      <c r="N8148">
        <f>IF(L8148="", "", L8148-B8148)</f>
        <v/>
      </c>
      <c r="O8148">
        <f>IF(L8148="", "Pending", IF(N8148&lt;=30, "Met", "Breached"))</f>
        <v/>
      </c>
    </row>
    <row r="8149">
      <c r="M8149" s="11">
        <f>B8149+30</f>
        <v/>
      </c>
      <c r="N8149">
        <f>IF(L8149="", "", L8149-B8149)</f>
        <v/>
      </c>
      <c r="O8149">
        <f>IF(L8149="", "Pending", IF(N8149&lt;=30, "Met", "Breached"))</f>
        <v/>
      </c>
    </row>
    <row r="8150">
      <c r="M8150" s="11">
        <f>B8150+30</f>
        <v/>
      </c>
      <c r="N8150">
        <f>IF(L8150="", "", L8150-B8150)</f>
        <v/>
      </c>
      <c r="O8150">
        <f>IF(L8150="", "Pending", IF(N8150&lt;=30, "Met", "Breached"))</f>
        <v/>
      </c>
    </row>
    <row r="8151">
      <c r="M8151" s="11">
        <f>B8151+30</f>
        <v/>
      </c>
      <c r="N8151">
        <f>IF(L8151="", "", L8151-B8151)</f>
        <v/>
      </c>
      <c r="O8151">
        <f>IF(L8151="", "Pending", IF(N8151&lt;=30, "Met", "Breached"))</f>
        <v/>
      </c>
    </row>
    <row r="8152">
      <c r="M8152" s="11">
        <f>B8152+30</f>
        <v/>
      </c>
      <c r="N8152">
        <f>IF(L8152="", "", L8152-B8152)</f>
        <v/>
      </c>
      <c r="O8152">
        <f>IF(L8152="", "Pending", IF(N8152&lt;=30, "Met", "Breached"))</f>
        <v/>
      </c>
    </row>
    <row r="8153">
      <c r="M8153" s="11">
        <f>B8153+30</f>
        <v/>
      </c>
      <c r="N8153">
        <f>IF(L8153="", "", L8153-B8153)</f>
        <v/>
      </c>
      <c r="O8153">
        <f>IF(L8153="", "Pending", IF(N8153&lt;=30, "Met", "Breached"))</f>
        <v/>
      </c>
    </row>
    <row r="8154">
      <c r="M8154" s="11">
        <f>B8154+30</f>
        <v/>
      </c>
      <c r="N8154">
        <f>IF(L8154="", "", L8154-B8154)</f>
        <v/>
      </c>
      <c r="O8154">
        <f>IF(L8154="", "Pending", IF(N8154&lt;=30, "Met", "Breached"))</f>
        <v/>
      </c>
    </row>
    <row r="8155">
      <c r="M8155" s="11">
        <f>B8155+30</f>
        <v/>
      </c>
      <c r="N8155">
        <f>IF(L8155="", "", L8155-B8155)</f>
        <v/>
      </c>
      <c r="O8155">
        <f>IF(L8155="", "Pending", IF(N8155&lt;=30, "Met", "Breached"))</f>
        <v/>
      </c>
    </row>
    <row r="8156">
      <c r="M8156" s="11">
        <f>B8156+30</f>
        <v/>
      </c>
      <c r="N8156">
        <f>IF(L8156="", "", L8156-B8156)</f>
        <v/>
      </c>
      <c r="O8156">
        <f>IF(L8156="", "Pending", IF(N8156&lt;=30, "Met", "Breached"))</f>
        <v/>
      </c>
    </row>
    <row r="8157">
      <c r="M8157" s="11">
        <f>B8157+30</f>
        <v/>
      </c>
      <c r="N8157">
        <f>IF(L8157="", "", L8157-B8157)</f>
        <v/>
      </c>
      <c r="O8157">
        <f>IF(L8157="", "Pending", IF(N8157&lt;=30, "Met", "Breached"))</f>
        <v/>
      </c>
    </row>
    <row r="8158">
      <c r="M8158" s="11">
        <f>B8158+30</f>
        <v/>
      </c>
      <c r="N8158">
        <f>IF(L8158="", "", L8158-B8158)</f>
        <v/>
      </c>
      <c r="O8158">
        <f>IF(L8158="", "Pending", IF(N8158&lt;=30, "Met", "Breached"))</f>
        <v/>
      </c>
    </row>
    <row r="8159">
      <c r="M8159" s="11">
        <f>B8159+30</f>
        <v/>
      </c>
      <c r="N8159">
        <f>IF(L8159="", "", L8159-B8159)</f>
        <v/>
      </c>
      <c r="O8159">
        <f>IF(L8159="", "Pending", IF(N8159&lt;=30, "Met", "Breached"))</f>
        <v/>
      </c>
    </row>
    <row r="8160">
      <c r="M8160" s="11">
        <f>B8160+30</f>
        <v/>
      </c>
      <c r="N8160">
        <f>IF(L8160="", "", L8160-B8160)</f>
        <v/>
      </c>
      <c r="O8160">
        <f>IF(L8160="", "Pending", IF(N8160&lt;=30, "Met", "Breached"))</f>
        <v/>
      </c>
    </row>
    <row r="8161">
      <c r="M8161" s="11">
        <f>B8161+30</f>
        <v/>
      </c>
      <c r="N8161">
        <f>IF(L8161="", "", L8161-B8161)</f>
        <v/>
      </c>
      <c r="O8161">
        <f>IF(L8161="", "Pending", IF(N8161&lt;=30, "Met", "Breached"))</f>
        <v/>
      </c>
    </row>
    <row r="8162">
      <c r="M8162" s="11">
        <f>B8162+30</f>
        <v/>
      </c>
      <c r="N8162">
        <f>IF(L8162="", "", L8162-B8162)</f>
        <v/>
      </c>
      <c r="O8162">
        <f>IF(L8162="", "Pending", IF(N8162&lt;=30, "Met", "Breached"))</f>
        <v/>
      </c>
    </row>
    <row r="8163">
      <c r="M8163" s="11">
        <f>B8163+30</f>
        <v/>
      </c>
      <c r="N8163">
        <f>IF(L8163="", "", L8163-B8163)</f>
        <v/>
      </c>
      <c r="O8163">
        <f>IF(L8163="", "Pending", IF(N8163&lt;=30, "Met", "Breached"))</f>
        <v/>
      </c>
    </row>
    <row r="8164">
      <c r="M8164" s="11">
        <f>B8164+30</f>
        <v/>
      </c>
      <c r="N8164">
        <f>IF(L8164="", "", L8164-B8164)</f>
        <v/>
      </c>
      <c r="O8164">
        <f>IF(L8164="", "Pending", IF(N8164&lt;=30, "Met", "Breached"))</f>
        <v/>
      </c>
    </row>
    <row r="8165">
      <c r="M8165" s="11">
        <f>B8165+30</f>
        <v/>
      </c>
      <c r="N8165">
        <f>IF(L8165="", "", L8165-B8165)</f>
        <v/>
      </c>
      <c r="O8165">
        <f>IF(L8165="", "Pending", IF(N8165&lt;=30, "Met", "Breached"))</f>
        <v/>
      </c>
    </row>
    <row r="8166">
      <c r="M8166" s="11">
        <f>B8166+30</f>
        <v/>
      </c>
      <c r="N8166">
        <f>IF(L8166="", "", L8166-B8166)</f>
        <v/>
      </c>
      <c r="O8166">
        <f>IF(L8166="", "Pending", IF(N8166&lt;=30, "Met", "Breached"))</f>
        <v/>
      </c>
    </row>
    <row r="8167">
      <c r="M8167" s="11">
        <f>B8167+30</f>
        <v/>
      </c>
      <c r="N8167">
        <f>IF(L8167="", "", L8167-B8167)</f>
        <v/>
      </c>
      <c r="O8167">
        <f>IF(L8167="", "Pending", IF(N8167&lt;=30, "Met", "Breached"))</f>
        <v/>
      </c>
    </row>
    <row r="8168">
      <c r="M8168" s="11">
        <f>B8168+30</f>
        <v/>
      </c>
      <c r="N8168">
        <f>IF(L8168="", "", L8168-B8168)</f>
        <v/>
      </c>
      <c r="O8168">
        <f>IF(L8168="", "Pending", IF(N8168&lt;=30, "Met", "Breached"))</f>
        <v/>
      </c>
    </row>
    <row r="8169">
      <c r="M8169" s="11">
        <f>B8169+30</f>
        <v/>
      </c>
      <c r="N8169">
        <f>IF(L8169="", "", L8169-B8169)</f>
        <v/>
      </c>
      <c r="O8169">
        <f>IF(L8169="", "Pending", IF(N8169&lt;=30, "Met", "Breached"))</f>
        <v/>
      </c>
    </row>
    <row r="8170">
      <c r="M8170" s="11">
        <f>B8170+30</f>
        <v/>
      </c>
      <c r="N8170">
        <f>IF(L8170="", "", L8170-B8170)</f>
        <v/>
      </c>
      <c r="O8170">
        <f>IF(L8170="", "Pending", IF(N8170&lt;=30, "Met", "Breached"))</f>
        <v/>
      </c>
    </row>
    <row r="8171">
      <c r="M8171" s="11">
        <f>B8171+30</f>
        <v/>
      </c>
      <c r="N8171">
        <f>IF(L8171="", "", L8171-B8171)</f>
        <v/>
      </c>
      <c r="O8171">
        <f>IF(L8171="", "Pending", IF(N8171&lt;=30, "Met", "Breached"))</f>
        <v/>
      </c>
    </row>
    <row r="8172">
      <c r="M8172" s="11">
        <f>B8172+30</f>
        <v/>
      </c>
      <c r="N8172">
        <f>IF(L8172="", "", L8172-B8172)</f>
        <v/>
      </c>
      <c r="O8172">
        <f>IF(L8172="", "Pending", IF(N8172&lt;=30, "Met", "Breached"))</f>
        <v/>
      </c>
    </row>
    <row r="8173">
      <c r="M8173" s="11">
        <f>B8173+30</f>
        <v/>
      </c>
      <c r="N8173">
        <f>IF(L8173="", "", L8173-B8173)</f>
        <v/>
      </c>
      <c r="O8173">
        <f>IF(L8173="", "Pending", IF(N8173&lt;=30, "Met", "Breached"))</f>
        <v/>
      </c>
    </row>
    <row r="8174">
      <c r="M8174" s="11">
        <f>B8174+30</f>
        <v/>
      </c>
      <c r="N8174">
        <f>IF(L8174="", "", L8174-B8174)</f>
        <v/>
      </c>
      <c r="O8174">
        <f>IF(L8174="", "Pending", IF(N8174&lt;=30, "Met", "Breached"))</f>
        <v/>
      </c>
    </row>
    <row r="8175">
      <c r="M8175" s="11">
        <f>B8175+30</f>
        <v/>
      </c>
      <c r="N8175">
        <f>IF(L8175="", "", L8175-B8175)</f>
        <v/>
      </c>
      <c r="O8175">
        <f>IF(L8175="", "Pending", IF(N8175&lt;=30, "Met", "Breached"))</f>
        <v/>
      </c>
    </row>
    <row r="8176">
      <c r="M8176" s="11">
        <f>B8176+30</f>
        <v/>
      </c>
      <c r="N8176">
        <f>IF(L8176="", "", L8176-B8176)</f>
        <v/>
      </c>
      <c r="O8176">
        <f>IF(L8176="", "Pending", IF(N8176&lt;=30, "Met", "Breached"))</f>
        <v/>
      </c>
    </row>
    <row r="8177">
      <c r="M8177" s="11">
        <f>B8177+30</f>
        <v/>
      </c>
      <c r="N8177">
        <f>IF(L8177="", "", L8177-B8177)</f>
        <v/>
      </c>
      <c r="O8177">
        <f>IF(L8177="", "Pending", IF(N8177&lt;=30, "Met", "Breached"))</f>
        <v/>
      </c>
    </row>
    <row r="8178">
      <c r="M8178" s="11">
        <f>B8178+30</f>
        <v/>
      </c>
      <c r="N8178">
        <f>IF(L8178="", "", L8178-B8178)</f>
        <v/>
      </c>
      <c r="O8178">
        <f>IF(L8178="", "Pending", IF(N8178&lt;=30, "Met", "Breached"))</f>
        <v/>
      </c>
    </row>
    <row r="8179">
      <c r="M8179" s="11">
        <f>B8179+30</f>
        <v/>
      </c>
      <c r="N8179">
        <f>IF(L8179="", "", L8179-B8179)</f>
        <v/>
      </c>
      <c r="O8179">
        <f>IF(L8179="", "Pending", IF(N8179&lt;=30, "Met", "Breached"))</f>
        <v/>
      </c>
    </row>
    <row r="8180">
      <c r="M8180" s="11">
        <f>B8180+30</f>
        <v/>
      </c>
      <c r="N8180">
        <f>IF(L8180="", "", L8180-B8180)</f>
        <v/>
      </c>
      <c r="O8180">
        <f>IF(L8180="", "Pending", IF(N8180&lt;=30, "Met", "Breached"))</f>
        <v/>
      </c>
    </row>
    <row r="8181">
      <c r="M8181" s="11">
        <f>B8181+30</f>
        <v/>
      </c>
      <c r="N8181">
        <f>IF(L8181="", "", L8181-B8181)</f>
        <v/>
      </c>
      <c r="O8181">
        <f>IF(L8181="", "Pending", IF(N8181&lt;=30, "Met", "Breached"))</f>
        <v/>
      </c>
    </row>
    <row r="8182">
      <c r="M8182" s="11">
        <f>B8182+30</f>
        <v/>
      </c>
      <c r="N8182">
        <f>IF(L8182="", "", L8182-B8182)</f>
        <v/>
      </c>
      <c r="O8182">
        <f>IF(L8182="", "Pending", IF(N8182&lt;=30, "Met", "Breached"))</f>
        <v/>
      </c>
    </row>
    <row r="8183">
      <c r="M8183" s="11">
        <f>B8183+30</f>
        <v/>
      </c>
      <c r="N8183">
        <f>IF(L8183="", "", L8183-B8183)</f>
        <v/>
      </c>
      <c r="O8183">
        <f>IF(L8183="", "Pending", IF(N8183&lt;=30, "Met", "Breached"))</f>
        <v/>
      </c>
    </row>
    <row r="8184">
      <c r="M8184" s="11">
        <f>B8184+30</f>
        <v/>
      </c>
      <c r="N8184">
        <f>IF(L8184="", "", L8184-B8184)</f>
        <v/>
      </c>
      <c r="O8184">
        <f>IF(L8184="", "Pending", IF(N8184&lt;=30, "Met", "Breached"))</f>
        <v/>
      </c>
    </row>
    <row r="8185">
      <c r="M8185" s="11">
        <f>B8185+30</f>
        <v/>
      </c>
      <c r="N8185">
        <f>IF(L8185="", "", L8185-B8185)</f>
        <v/>
      </c>
      <c r="O8185">
        <f>IF(L8185="", "Pending", IF(N8185&lt;=30, "Met", "Breached"))</f>
        <v/>
      </c>
    </row>
    <row r="8186">
      <c r="M8186" s="11">
        <f>B8186+30</f>
        <v/>
      </c>
      <c r="N8186">
        <f>IF(L8186="", "", L8186-B8186)</f>
        <v/>
      </c>
      <c r="O8186">
        <f>IF(L8186="", "Pending", IF(N8186&lt;=30, "Met", "Breached"))</f>
        <v/>
      </c>
    </row>
    <row r="8187">
      <c r="M8187" s="11">
        <f>B8187+30</f>
        <v/>
      </c>
      <c r="N8187">
        <f>IF(L8187="", "", L8187-B8187)</f>
        <v/>
      </c>
      <c r="O8187">
        <f>IF(L8187="", "Pending", IF(N8187&lt;=30, "Met", "Breached"))</f>
        <v/>
      </c>
    </row>
    <row r="8188">
      <c r="M8188" s="11">
        <f>B8188+30</f>
        <v/>
      </c>
      <c r="N8188">
        <f>IF(L8188="", "", L8188-B8188)</f>
        <v/>
      </c>
      <c r="O8188">
        <f>IF(L8188="", "Pending", IF(N8188&lt;=30, "Met", "Breached"))</f>
        <v/>
      </c>
    </row>
    <row r="8189">
      <c r="M8189" s="11">
        <f>B8189+30</f>
        <v/>
      </c>
      <c r="N8189">
        <f>IF(L8189="", "", L8189-B8189)</f>
        <v/>
      </c>
      <c r="O8189">
        <f>IF(L8189="", "Pending", IF(N8189&lt;=30, "Met", "Breached"))</f>
        <v/>
      </c>
    </row>
    <row r="8190">
      <c r="M8190" s="11">
        <f>B8190+30</f>
        <v/>
      </c>
      <c r="N8190">
        <f>IF(L8190="", "", L8190-B8190)</f>
        <v/>
      </c>
      <c r="O8190">
        <f>IF(L8190="", "Pending", IF(N8190&lt;=30, "Met", "Breached"))</f>
        <v/>
      </c>
    </row>
    <row r="8191">
      <c r="M8191" s="11">
        <f>B8191+30</f>
        <v/>
      </c>
      <c r="N8191">
        <f>IF(L8191="", "", L8191-B8191)</f>
        <v/>
      </c>
      <c r="O8191">
        <f>IF(L8191="", "Pending", IF(N8191&lt;=30, "Met", "Breached"))</f>
        <v/>
      </c>
    </row>
    <row r="8192">
      <c r="M8192" s="11">
        <f>B8192+30</f>
        <v/>
      </c>
      <c r="N8192">
        <f>IF(L8192="", "", L8192-B8192)</f>
        <v/>
      </c>
      <c r="O8192">
        <f>IF(L8192="", "Pending", IF(N8192&lt;=30, "Met", "Breached"))</f>
        <v/>
      </c>
    </row>
    <row r="8193">
      <c r="M8193" s="11">
        <f>B8193+30</f>
        <v/>
      </c>
      <c r="N8193">
        <f>IF(L8193="", "", L8193-B8193)</f>
        <v/>
      </c>
      <c r="O8193">
        <f>IF(L8193="", "Pending", IF(N8193&lt;=30, "Met", "Breached"))</f>
        <v/>
      </c>
    </row>
    <row r="8194">
      <c r="M8194" s="11">
        <f>B8194+30</f>
        <v/>
      </c>
      <c r="N8194">
        <f>IF(L8194="", "", L8194-B8194)</f>
        <v/>
      </c>
      <c r="O8194">
        <f>IF(L8194="", "Pending", IF(N8194&lt;=30, "Met", "Breached"))</f>
        <v/>
      </c>
    </row>
    <row r="8195">
      <c r="M8195" s="11">
        <f>B8195+30</f>
        <v/>
      </c>
      <c r="N8195">
        <f>IF(L8195="", "", L8195-B8195)</f>
        <v/>
      </c>
      <c r="O8195">
        <f>IF(L8195="", "Pending", IF(N8195&lt;=30, "Met", "Breached"))</f>
        <v/>
      </c>
    </row>
    <row r="8196">
      <c r="M8196" s="11">
        <f>B8196+30</f>
        <v/>
      </c>
      <c r="N8196">
        <f>IF(L8196="", "", L8196-B8196)</f>
        <v/>
      </c>
      <c r="O8196">
        <f>IF(L8196="", "Pending", IF(N8196&lt;=30, "Met", "Breached"))</f>
        <v/>
      </c>
    </row>
    <row r="8197">
      <c r="M8197" s="11">
        <f>B8197+30</f>
        <v/>
      </c>
      <c r="N8197">
        <f>IF(L8197="", "", L8197-B8197)</f>
        <v/>
      </c>
      <c r="O8197">
        <f>IF(L8197="", "Pending", IF(N8197&lt;=30, "Met", "Breached"))</f>
        <v/>
      </c>
    </row>
    <row r="8198">
      <c r="M8198" s="11">
        <f>B8198+30</f>
        <v/>
      </c>
      <c r="N8198">
        <f>IF(L8198="", "", L8198-B8198)</f>
        <v/>
      </c>
      <c r="O8198">
        <f>IF(L8198="", "Pending", IF(N8198&lt;=30, "Met", "Breached"))</f>
        <v/>
      </c>
    </row>
    <row r="8199">
      <c r="M8199" s="11">
        <f>B8199+30</f>
        <v/>
      </c>
      <c r="N8199">
        <f>IF(L8199="", "", L8199-B8199)</f>
        <v/>
      </c>
      <c r="O8199">
        <f>IF(L8199="", "Pending", IF(N8199&lt;=30, "Met", "Breached"))</f>
        <v/>
      </c>
    </row>
    <row r="8200">
      <c r="M8200" s="11">
        <f>B8200+30</f>
        <v/>
      </c>
      <c r="N8200">
        <f>IF(L8200="", "", L8200-B8200)</f>
        <v/>
      </c>
      <c r="O8200">
        <f>IF(L8200="", "Pending", IF(N8200&lt;=30, "Met", "Breached"))</f>
        <v/>
      </c>
    </row>
    <row r="8201">
      <c r="M8201" s="11">
        <f>B8201+30</f>
        <v/>
      </c>
      <c r="N8201">
        <f>IF(L8201="", "", L8201-B8201)</f>
        <v/>
      </c>
      <c r="O8201">
        <f>IF(L8201="", "Pending", IF(N8201&lt;=30, "Met", "Breached"))</f>
        <v/>
      </c>
    </row>
    <row r="8202">
      <c r="M8202" s="11">
        <f>B8202+30</f>
        <v/>
      </c>
      <c r="N8202">
        <f>IF(L8202="", "", L8202-B8202)</f>
        <v/>
      </c>
      <c r="O8202">
        <f>IF(L8202="", "Pending", IF(N8202&lt;=30, "Met", "Breached"))</f>
        <v/>
      </c>
    </row>
    <row r="8203">
      <c r="M8203" s="11">
        <f>B8203+30</f>
        <v/>
      </c>
      <c r="N8203">
        <f>IF(L8203="", "", L8203-B8203)</f>
        <v/>
      </c>
      <c r="O8203">
        <f>IF(L8203="", "Pending", IF(N8203&lt;=30, "Met", "Breached"))</f>
        <v/>
      </c>
    </row>
    <row r="8204">
      <c r="M8204" s="11">
        <f>B8204+30</f>
        <v/>
      </c>
      <c r="N8204">
        <f>IF(L8204="", "", L8204-B8204)</f>
        <v/>
      </c>
      <c r="O8204">
        <f>IF(L8204="", "Pending", IF(N8204&lt;=30, "Met", "Breached"))</f>
        <v/>
      </c>
    </row>
    <row r="8205">
      <c r="M8205" s="11">
        <f>B8205+30</f>
        <v/>
      </c>
      <c r="N8205">
        <f>IF(L8205="", "", L8205-B8205)</f>
        <v/>
      </c>
      <c r="O8205">
        <f>IF(L8205="", "Pending", IF(N8205&lt;=30, "Met", "Breached"))</f>
        <v/>
      </c>
    </row>
    <row r="8206">
      <c r="M8206" s="11">
        <f>B8206+30</f>
        <v/>
      </c>
      <c r="N8206">
        <f>IF(L8206="", "", L8206-B8206)</f>
        <v/>
      </c>
      <c r="O8206">
        <f>IF(L8206="", "Pending", IF(N8206&lt;=30, "Met", "Breached"))</f>
        <v/>
      </c>
    </row>
    <row r="8207">
      <c r="M8207" s="11">
        <f>B8207+30</f>
        <v/>
      </c>
      <c r="N8207">
        <f>IF(L8207="", "", L8207-B8207)</f>
        <v/>
      </c>
      <c r="O8207">
        <f>IF(L8207="", "Pending", IF(N8207&lt;=30, "Met", "Breached"))</f>
        <v/>
      </c>
    </row>
    <row r="8208">
      <c r="M8208" s="11">
        <f>B8208+30</f>
        <v/>
      </c>
      <c r="N8208">
        <f>IF(L8208="", "", L8208-B8208)</f>
        <v/>
      </c>
      <c r="O8208">
        <f>IF(L8208="", "Pending", IF(N8208&lt;=30, "Met", "Breached"))</f>
        <v/>
      </c>
    </row>
    <row r="8209">
      <c r="M8209" s="11">
        <f>B8209+30</f>
        <v/>
      </c>
      <c r="N8209">
        <f>IF(L8209="", "", L8209-B8209)</f>
        <v/>
      </c>
      <c r="O8209">
        <f>IF(L8209="", "Pending", IF(N8209&lt;=30, "Met", "Breached"))</f>
        <v/>
      </c>
    </row>
    <row r="8210">
      <c r="M8210" s="11">
        <f>B8210+30</f>
        <v/>
      </c>
      <c r="N8210">
        <f>IF(L8210="", "", L8210-B8210)</f>
        <v/>
      </c>
      <c r="O8210">
        <f>IF(L8210="", "Pending", IF(N8210&lt;=30, "Met", "Breached"))</f>
        <v/>
      </c>
    </row>
    <row r="8211">
      <c r="M8211" s="11">
        <f>B8211+30</f>
        <v/>
      </c>
      <c r="N8211">
        <f>IF(L8211="", "", L8211-B8211)</f>
        <v/>
      </c>
      <c r="O8211">
        <f>IF(L8211="", "Pending", IF(N8211&lt;=30, "Met", "Breached"))</f>
        <v/>
      </c>
    </row>
    <row r="8212">
      <c r="M8212" s="11">
        <f>B8212+30</f>
        <v/>
      </c>
      <c r="N8212">
        <f>IF(L8212="", "", L8212-B8212)</f>
        <v/>
      </c>
      <c r="O8212">
        <f>IF(L8212="", "Pending", IF(N8212&lt;=30, "Met", "Breached"))</f>
        <v/>
      </c>
    </row>
    <row r="8213">
      <c r="M8213" s="11">
        <f>B8213+30</f>
        <v/>
      </c>
      <c r="N8213">
        <f>IF(L8213="", "", L8213-B8213)</f>
        <v/>
      </c>
      <c r="O8213">
        <f>IF(L8213="", "Pending", IF(N8213&lt;=30, "Met", "Breached"))</f>
        <v/>
      </c>
    </row>
    <row r="8214">
      <c r="M8214" s="11">
        <f>B8214+30</f>
        <v/>
      </c>
      <c r="N8214">
        <f>IF(L8214="", "", L8214-B8214)</f>
        <v/>
      </c>
      <c r="O8214">
        <f>IF(L8214="", "Pending", IF(N8214&lt;=30, "Met", "Breached"))</f>
        <v/>
      </c>
    </row>
    <row r="8215">
      <c r="M8215" s="11">
        <f>B8215+30</f>
        <v/>
      </c>
      <c r="N8215">
        <f>IF(L8215="", "", L8215-B8215)</f>
        <v/>
      </c>
      <c r="O8215">
        <f>IF(L8215="", "Pending", IF(N8215&lt;=30, "Met", "Breached"))</f>
        <v/>
      </c>
    </row>
    <row r="8216">
      <c r="M8216" s="11">
        <f>B8216+30</f>
        <v/>
      </c>
      <c r="N8216">
        <f>IF(L8216="", "", L8216-B8216)</f>
        <v/>
      </c>
      <c r="O8216">
        <f>IF(L8216="", "Pending", IF(N8216&lt;=30, "Met", "Breached"))</f>
        <v/>
      </c>
    </row>
    <row r="8217">
      <c r="M8217" s="11">
        <f>B8217+30</f>
        <v/>
      </c>
      <c r="N8217">
        <f>IF(L8217="", "", L8217-B8217)</f>
        <v/>
      </c>
      <c r="O8217">
        <f>IF(L8217="", "Pending", IF(N8217&lt;=30, "Met", "Breached"))</f>
        <v/>
      </c>
    </row>
    <row r="8218">
      <c r="M8218" s="11">
        <f>B8218+30</f>
        <v/>
      </c>
      <c r="N8218">
        <f>IF(L8218="", "", L8218-B8218)</f>
        <v/>
      </c>
      <c r="O8218">
        <f>IF(L8218="", "Pending", IF(N8218&lt;=30, "Met", "Breached"))</f>
        <v/>
      </c>
    </row>
    <row r="8219">
      <c r="M8219" s="11">
        <f>B8219+30</f>
        <v/>
      </c>
      <c r="N8219">
        <f>IF(L8219="", "", L8219-B8219)</f>
        <v/>
      </c>
      <c r="O8219">
        <f>IF(L8219="", "Pending", IF(N8219&lt;=30, "Met", "Breached"))</f>
        <v/>
      </c>
    </row>
    <row r="8220">
      <c r="M8220" s="11">
        <f>B8220+30</f>
        <v/>
      </c>
      <c r="N8220">
        <f>IF(L8220="", "", L8220-B8220)</f>
        <v/>
      </c>
      <c r="O8220">
        <f>IF(L8220="", "Pending", IF(N8220&lt;=30, "Met", "Breached"))</f>
        <v/>
      </c>
    </row>
    <row r="8221">
      <c r="M8221" s="11">
        <f>B8221+30</f>
        <v/>
      </c>
      <c r="N8221">
        <f>IF(L8221="", "", L8221-B8221)</f>
        <v/>
      </c>
      <c r="O8221">
        <f>IF(L8221="", "Pending", IF(N8221&lt;=30, "Met", "Breached"))</f>
        <v/>
      </c>
    </row>
    <row r="8222">
      <c r="M8222" s="11">
        <f>B8222+30</f>
        <v/>
      </c>
      <c r="N8222">
        <f>IF(L8222="", "", L8222-B8222)</f>
        <v/>
      </c>
      <c r="O8222">
        <f>IF(L8222="", "Pending", IF(N8222&lt;=30, "Met", "Breached"))</f>
        <v/>
      </c>
    </row>
    <row r="8223">
      <c r="M8223" s="11">
        <f>B8223+30</f>
        <v/>
      </c>
      <c r="N8223">
        <f>IF(L8223="", "", L8223-B8223)</f>
        <v/>
      </c>
      <c r="O8223">
        <f>IF(L8223="", "Pending", IF(N8223&lt;=30, "Met", "Breached"))</f>
        <v/>
      </c>
    </row>
    <row r="8224">
      <c r="M8224" s="11">
        <f>B8224+30</f>
        <v/>
      </c>
      <c r="N8224">
        <f>IF(L8224="", "", L8224-B8224)</f>
        <v/>
      </c>
      <c r="O8224">
        <f>IF(L8224="", "Pending", IF(N8224&lt;=30, "Met", "Breached"))</f>
        <v/>
      </c>
    </row>
    <row r="8225">
      <c r="M8225" s="11">
        <f>B8225+30</f>
        <v/>
      </c>
      <c r="N8225">
        <f>IF(L8225="", "", L8225-B8225)</f>
        <v/>
      </c>
      <c r="O8225">
        <f>IF(L8225="", "Pending", IF(N8225&lt;=30, "Met", "Breached"))</f>
        <v/>
      </c>
    </row>
    <row r="8226">
      <c r="M8226" s="11">
        <f>B8226+30</f>
        <v/>
      </c>
      <c r="N8226">
        <f>IF(L8226="", "", L8226-B8226)</f>
        <v/>
      </c>
      <c r="O8226">
        <f>IF(L8226="", "Pending", IF(N8226&lt;=30, "Met", "Breached"))</f>
        <v/>
      </c>
    </row>
    <row r="8227">
      <c r="M8227" s="11">
        <f>B8227+30</f>
        <v/>
      </c>
      <c r="N8227">
        <f>IF(L8227="", "", L8227-B8227)</f>
        <v/>
      </c>
      <c r="O8227">
        <f>IF(L8227="", "Pending", IF(N8227&lt;=30, "Met", "Breached"))</f>
        <v/>
      </c>
    </row>
    <row r="8228">
      <c r="M8228" s="11">
        <f>B8228+30</f>
        <v/>
      </c>
      <c r="N8228">
        <f>IF(L8228="", "", L8228-B8228)</f>
        <v/>
      </c>
      <c r="O8228">
        <f>IF(L8228="", "Pending", IF(N8228&lt;=30, "Met", "Breached"))</f>
        <v/>
      </c>
    </row>
    <row r="8229">
      <c r="M8229" s="11">
        <f>B8229+30</f>
        <v/>
      </c>
      <c r="N8229">
        <f>IF(L8229="", "", L8229-B8229)</f>
        <v/>
      </c>
      <c r="O8229">
        <f>IF(L8229="", "Pending", IF(N8229&lt;=30, "Met", "Breached"))</f>
        <v/>
      </c>
    </row>
    <row r="8230">
      <c r="M8230" s="11">
        <f>B8230+30</f>
        <v/>
      </c>
      <c r="N8230">
        <f>IF(L8230="", "", L8230-B8230)</f>
        <v/>
      </c>
      <c r="O8230">
        <f>IF(L8230="", "Pending", IF(N8230&lt;=30, "Met", "Breached"))</f>
        <v/>
      </c>
    </row>
    <row r="8231">
      <c r="M8231" s="11">
        <f>B8231+30</f>
        <v/>
      </c>
      <c r="N8231">
        <f>IF(L8231="", "", L8231-B8231)</f>
        <v/>
      </c>
      <c r="O8231">
        <f>IF(L8231="", "Pending", IF(N8231&lt;=30, "Met", "Breached"))</f>
        <v/>
      </c>
    </row>
    <row r="8232">
      <c r="M8232" s="11">
        <f>B8232+30</f>
        <v/>
      </c>
      <c r="N8232">
        <f>IF(L8232="", "", L8232-B8232)</f>
        <v/>
      </c>
      <c r="O8232">
        <f>IF(L8232="", "Pending", IF(N8232&lt;=30, "Met", "Breached"))</f>
        <v/>
      </c>
    </row>
    <row r="8233">
      <c r="M8233" s="11">
        <f>B8233+30</f>
        <v/>
      </c>
      <c r="N8233">
        <f>IF(L8233="", "", L8233-B8233)</f>
        <v/>
      </c>
      <c r="O8233">
        <f>IF(L8233="", "Pending", IF(N8233&lt;=30, "Met", "Breached"))</f>
        <v/>
      </c>
    </row>
    <row r="8234">
      <c r="M8234" s="11">
        <f>B8234+30</f>
        <v/>
      </c>
      <c r="N8234">
        <f>IF(L8234="", "", L8234-B8234)</f>
        <v/>
      </c>
      <c r="O8234">
        <f>IF(L8234="", "Pending", IF(N8234&lt;=30, "Met", "Breached"))</f>
        <v/>
      </c>
    </row>
    <row r="8235">
      <c r="M8235" s="11">
        <f>B8235+30</f>
        <v/>
      </c>
      <c r="N8235">
        <f>IF(L8235="", "", L8235-B8235)</f>
        <v/>
      </c>
      <c r="O8235">
        <f>IF(L8235="", "Pending", IF(N8235&lt;=30, "Met", "Breached"))</f>
        <v/>
      </c>
    </row>
    <row r="8236">
      <c r="M8236" s="11">
        <f>B8236+30</f>
        <v/>
      </c>
      <c r="N8236">
        <f>IF(L8236="", "", L8236-B8236)</f>
        <v/>
      </c>
      <c r="O8236">
        <f>IF(L8236="", "Pending", IF(N8236&lt;=30, "Met", "Breached"))</f>
        <v/>
      </c>
    </row>
    <row r="8237">
      <c r="M8237" s="11">
        <f>B8237+30</f>
        <v/>
      </c>
      <c r="N8237">
        <f>IF(L8237="", "", L8237-B8237)</f>
        <v/>
      </c>
      <c r="O8237">
        <f>IF(L8237="", "Pending", IF(N8237&lt;=30, "Met", "Breached"))</f>
        <v/>
      </c>
    </row>
    <row r="8238">
      <c r="M8238" s="11">
        <f>B8238+30</f>
        <v/>
      </c>
      <c r="N8238">
        <f>IF(L8238="", "", L8238-B8238)</f>
        <v/>
      </c>
      <c r="O8238">
        <f>IF(L8238="", "Pending", IF(N8238&lt;=30, "Met", "Breached"))</f>
        <v/>
      </c>
    </row>
    <row r="8239">
      <c r="M8239" s="11">
        <f>B8239+30</f>
        <v/>
      </c>
      <c r="N8239">
        <f>IF(L8239="", "", L8239-B8239)</f>
        <v/>
      </c>
      <c r="O8239">
        <f>IF(L8239="", "Pending", IF(N8239&lt;=30, "Met", "Breached"))</f>
        <v/>
      </c>
    </row>
    <row r="8240">
      <c r="M8240" s="11">
        <f>B8240+30</f>
        <v/>
      </c>
      <c r="N8240">
        <f>IF(L8240="", "", L8240-B8240)</f>
        <v/>
      </c>
      <c r="O8240">
        <f>IF(L8240="", "Pending", IF(N8240&lt;=30, "Met", "Breached"))</f>
        <v/>
      </c>
    </row>
    <row r="8241">
      <c r="M8241" s="11">
        <f>B8241+30</f>
        <v/>
      </c>
      <c r="N8241">
        <f>IF(L8241="", "", L8241-B8241)</f>
        <v/>
      </c>
      <c r="O8241">
        <f>IF(L8241="", "Pending", IF(N8241&lt;=30, "Met", "Breached"))</f>
        <v/>
      </c>
    </row>
    <row r="8242">
      <c r="M8242" s="11">
        <f>B8242+30</f>
        <v/>
      </c>
      <c r="N8242">
        <f>IF(L8242="", "", L8242-B8242)</f>
        <v/>
      </c>
      <c r="O8242">
        <f>IF(L8242="", "Pending", IF(N8242&lt;=30, "Met", "Breached"))</f>
        <v/>
      </c>
    </row>
    <row r="8243">
      <c r="M8243" s="11">
        <f>B8243+30</f>
        <v/>
      </c>
      <c r="N8243">
        <f>IF(L8243="", "", L8243-B8243)</f>
        <v/>
      </c>
      <c r="O8243">
        <f>IF(L8243="", "Pending", IF(N8243&lt;=30, "Met", "Breached"))</f>
        <v/>
      </c>
    </row>
    <row r="8244">
      <c r="M8244" s="11">
        <f>B8244+30</f>
        <v/>
      </c>
      <c r="N8244">
        <f>IF(L8244="", "", L8244-B8244)</f>
        <v/>
      </c>
      <c r="O8244">
        <f>IF(L8244="", "Pending", IF(N8244&lt;=30, "Met", "Breached"))</f>
        <v/>
      </c>
    </row>
    <row r="8245">
      <c r="M8245" s="11">
        <f>B8245+30</f>
        <v/>
      </c>
      <c r="N8245">
        <f>IF(L8245="", "", L8245-B8245)</f>
        <v/>
      </c>
      <c r="O8245">
        <f>IF(L8245="", "Pending", IF(N8245&lt;=30, "Met", "Breached"))</f>
        <v/>
      </c>
    </row>
    <row r="8246">
      <c r="M8246" s="11">
        <f>B8246+30</f>
        <v/>
      </c>
      <c r="N8246">
        <f>IF(L8246="", "", L8246-B8246)</f>
        <v/>
      </c>
      <c r="O8246">
        <f>IF(L8246="", "Pending", IF(N8246&lt;=30, "Met", "Breached"))</f>
        <v/>
      </c>
    </row>
    <row r="8247">
      <c r="M8247" s="11">
        <f>B8247+30</f>
        <v/>
      </c>
      <c r="N8247">
        <f>IF(L8247="", "", L8247-B8247)</f>
        <v/>
      </c>
      <c r="O8247">
        <f>IF(L8247="", "Pending", IF(N8247&lt;=30, "Met", "Breached"))</f>
        <v/>
      </c>
    </row>
    <row r="8248">
      <c r="M8248" s="11">
        <f>B8248+30</f>
        <v/>
      </c>
      <c r="N8248">
        <f>IF(L8248="", "", L8248-B8248)</f>
        <v/>
      </c>
      <c r="O8248">
        <f>IF(L8248="", "Pending", IF(N8248&lt;=30, "Met", "Breached"))</f>
        <v/>
      </c>
    </row>
    <row r="8249">
      <c r="M8249" s="11">
        <f>B8249+30</f>
        <v/>
      </c>
      <c r="N8249">
        <f>IF(L8249="", "", L8249-B8249)</f>
        <v/>
      </c>
      <c r="O8249">
        <f>IF(L8249="", "Pending", IF(N8249&lt;=30, "Met", "Breached"))</f>
        <v/>
      </c>
    </row>
    <row r="8250">
      <c r="M8250" s="11">
        <f>B8250+30</f>
        <v/>
      </c>
      <c r="N8250">
        <f>IF(L8250="", "", L8250-B8250)</f>
        <v/>
      </c>
      <c r="O8250">
        <f>IF(L8250="", "Pending", IF(N8250&lt;=30, "Met", "Breached"))</f>
        <v/>
      </c>
    </row>
    <row r="8251">
      <c r="M8251" s="11">
        <f>B8251+30</f>
        <v/>
      </c>
      <c r="N8251">
        <f>IF(L8251="", "", L8251-B8251)</f>
        <v/>
      </c>
      <c r="O8251">
        <f>IF(L8251="", "Pending", IF(N8251&lt;=30, "Met", "Breached"))</f>
        <v/>
      </c>
    </row>
    <row r="8252">
      <c r="M8252" s="11">
        <f>B8252+30</f>
        <v/>
      </c>
      <c r="N8252">
        <f>IF(L8252="", "", L8252-B8252)</f>
        <v/>
      </c>
      <c r="O8252">
        <f>IF(L8252="", "Pending", IF(N8252&lt;=30, "Met", "Breached"))</f>
        <v/>
      </c>
    </row>
    <row r="8253">
      <c r="M8253" s="11">
        <f>B8253+30</f>
        <v/>
      </c>
      <c r="N8253">
        <f>IF(L8253="", "", L8253-B8253)</f>
        <v/>
      </c>
      <c r="O8253">
        <f>IF(L8253="", "Pending", IF(N8253&lt;=30, "Met", "Breached"))</f>
        <v/>
      </c>
    </row>
    <row r="8254">
      <c r="M8254" s="11">
        <f>B8254+30</f>
        <v/>
      </c>
      <c r="N8254">
        <f>IF(L8254="", "", L8254-B8254)</f>
        <v/>
      </c>
      <c r="O8254">
        <f>IF(L8254="", "Pending", IF(N8254&lt;=30, "Met", "Breached"))</f>
        <v/>
      </c>
    </row>
    <row r="8255">
      <c r="M8255" s="11">
        <f>B8255+30</f>
        <v/>
      </c>
      <c r="N8255">
        <f>IF(L8255="", "", L8255-B8255)</f>
        <v/>
      </c>
      <c r="O8255">
        <f>IF(L8255="", "Pending", IF(N8255&lt;=30, "Met", "Breached"))</f>
        <v/>
      </c>
    </row>
    <row r="8256">
      <c r="M8256" s="11">
        <f>B8256+30</f>
        <v/>
      </c>
      <c r="N8256">
        <f>IF(L8256="", "", L8256-B8256)</f>
        <v/>
      </c>
      <c r="O8256">
        <f>IF(L8256="", "Pending", IF(N8256&lt;=30, "Met", "Breached"))</f>
        <v/>
      </c>
    </row>
    <row r="8257">
      <c r="M8257" s="11">
        <f>B8257+30</f>
        <v/>
      </c>
      <c r="N8257">
        <f>IF(L8257="", "", L8257-B8257)</f>
        <v/>
      </c>
      <c r="O8257">
        <f>IF(L8257="", "Pending", IF(N8257&lt;=30, "Met", "Breached"))</f>
        <v/>
      </c>
    </row>
    <row r="8258">
      <c r="M8258" s="11">
        <f>B8258+30</f>
        <v/>
      </c>
      <c r="N8258">
        <f>IF(L8258="", "", L8258-B8258)</f>
        <v/>
      </c>
      <c r="O8258">
        <f>IF(L8258="", "Pending", IF(N8258&lt;=30, "Met", "Breached"))</f>
        <v/>
      </c>
    </row>
    <row r="8259">
      <c r="M8259" s="11">
        <f>B8259+30</f>
        <v/>
      </c>
      <c r="N8259">
        <f>IF(L8259="", "", L8259-B8259)</f>
        <v/>
      </c>
      <c r="O8259">
        <f>IF(L8259="", "Pending", IF(N8259&lt;=30, "Met", "Breached"))</f>
        <v/>
      </c>
    </row>
    <row r="8260">
      <c r="M8260" s="11">
        <f>B8260+30</f>
        <v/>
      </c>
      <c r="N8260">
        <f>IF(L8260="", "", L8260-B8260)</f>
        <v/>
      </c>
      <c r="O8260">
        <f>IF(L8260="", "Pending", IF(N8260&lt;=30, "Met", "Breached"))</f>
        <v/>
      </c>
    </row>
    <row r="8261">
      <c r="M8261" s="11">
        <f>B8261+30</f>
        <v/>
      </c>
      <c r="N8261">
        <f>IF(L8261="", "", L8261-B8261)</f>
        <v/>
      </c>
      <c r="O8261">
        <f>IF(L8261="", "Pending", IF(N8261&lt;=30, "Met", "Breached"))</f>
        <v/>
      </c>
    </row>
    <row r="8262">
      <c r="M8262" s="11">
        <f>B8262+30</f>
        <v/>
      </c>
      <c r="N8262">
        <f>IF(L8262="", "", L8262-B8262)</f>
        <v/>
      </c>
      <c r="O8262">
        <f>IF(L8262="", "Pending", IF(N8262&lt;=30, "Met", "Breached"))</f>
        <v/>
      </c>
    </row>
    <row r="8263">
      <c r="M8263" s="11">
        <f>B8263+30</f>
        <v/>
      </c>
      <c r="N8263">
        <f>IF(L8263="", "", L8263-B8263)</f>
        <v/>
      </c>
      <c r="O8263">
        <f>IF(L8263="", "Pending", IF(N8263&lt;=30, "Met", "Breached"))</f>
        <v/>
      </c>
    </row>
    <row r="8264">
      <c r="M8264" s="11">
        <f>B8264+30</f>
        <v/>
      </c>
      <c r="N8264">
        <f>IF(L8264="", "", L8264-B8264)</f>
        <v/>
      </c>
      <c r="O8264">
        <f>IF(L8264="", "Pending", IF(N8264&lt;=30, "Met", "Breached"))</f>
        <v/>
      </c>
    </row>
    <row r="8265">
      <c r="M8265" s="11">
        <f>B8265+30</f>
        <v/>
      </c>
      <c r="N8265">
        <f>IF(L8265="", "", L8265-B8265)</f>
        <v/>
      </c>
      <c r="O8265">
        <f>IF(L8265="", "Pending", IF(N8265&lt;=30, "Met", "Breached"))</f>
        <v/>
      </c>
    </row>
    <row r="8266">
      <c r="M8266" s="11">
        <f>B8266+30</f>
        <v/>
      </c>
      <c r="N8266">
        <f>IF(L8266="", "", L8266-B8266)</f>
        <v/>
      </c>
      <c r="O8266">
        <f>IF(L8266="", "Pending", IF(N8266&lt;=30, "Met", "Breached"))</f>
        <v/>
      </c>
    </row>
    <row r="8267">
      <c r="M8267" s="11">
        <f>B8267+30</f>
        <v/>
      </c>
      <c r="N8267">
        <f>IF(L8267="", "", L8267-B8267)</f>
        <v/>
      </c>
      <c r="O8267">
        <f>IF(L8267="", "Pending", IF(N8267&lt;=30, "Met", "Breached"))</f>
        <v/>
      </c>
    </row>
    <row r="8268">
      <c r="M8268" s="11">
        <f>B8268+30</f>
        <v/>
      </c>
      <c r="N8268">
        <f>IF(L8268="", "", L8268-B8268)</f>
        <v/>
      </c>
      <c r="O8268">
        <f>IF(L8268="", "Pending", IF(N8268&lt;=30, "Met", "Breached"))</f>
        <v/>
      </c>
    </row>
    <row r="8269">
      <c r="M8269" s="11">
        <f>B8269+30</f>
        <v/>
      </c>
      <c r="N8269">
        <f>IF(L8269="", "", L8269-B8269)</f>
        <v/>
      </c>
      <c r="O8269">
        <f>IF(L8269="", "Pending", IF(N8269&lt;=30, "Met", "Breached"))</f>
        <v/>
      </c>
    </row>
    <row r="8270">
      <c r="M8270" s="11">
        <f>B8270+30</f>
        <v/>
      </c>
      <c r="N8270">
        <f>IF(L8270="", "", L8270-B8270)</f>
        <v/>
      </c>
      <c r="O8270">
        <f>IF(L8270="", "Pending", IF(N8270&lt;=30, "Met", "Breached"))</f>
        <v/>
      </c>
    </row>
    <row r="8271">
      <c r="M8271" s="11">
        <f>B8271+30</f>
        <v/>
      </c>
      <c r="N8271">
        <f>IF(L8271="", "", L8271-B8271)</f>
        <v/>
      </c>
      <c r="O8271">
        <f>IF(L8271="", "Pending", IF(N8271&lt;=30, "Met", "Breached"))</f>
        <v/>
      </c>
    </row>
    <row r="8272">
      <c r="M8272" s="11">
        <f>B8272+30</f>
        <v/>
      </c>
      <c r="N8272">
        <f>IF(L8272="", "", L8272-B8272)</f>
        <v/>
      </c>
      <c r="O8272">
        <f>IF(L8272="", "Pending", IF(N8272&lt;=30, "Met", "Breached"))</f>
        <v/>
      </c>
    </row>
    <row r="8273">
      <c r="M8273" s="11">
        <f>B8273+30</f>
        <v/>
      </c>
      <c r="N8273">
        <f>IF(L8273="", "", L8273-B8273)</f>
        <v/>
      </c>
      <c r="O8273">
        <f>IF(L8273="", "Pending", IF(N8273&lt;=30, "Met", "Breached"))</f>
        <v/>
      </c>
    </row>
    <row r="8274">
      <c r="M8274" s="11">
        <f>B8274+30</f>
        <v/>
      </c>
      <c r="N8274">
        <f>IF(L8274="", "", L8274-B8274)</f>
        <v/>
      </c>
      <c r="O8274">
        <f>IF(L8274="", "Pending", IF(N8274&lt;=30, "Met", "Breached"))</f>
        <v/>
      </c>
    </row>
    <row r="8275">
      <c r="M8275" s="11">
        <f>B8275+30</f>
        <v/>
      </c>
      <c r="N8275">
        <f>IF(L8275="", "", L8275-B8275)</f>
        <v/>
      </c>
      <c r="O8275">
        <f>IF(L8275="", "Pending", IF(N8275&lt;=30, "Met", "Breached"))</f>
        <v/>
      </c>
    </row>
    <row r="8276">
      <c r="M8276" s="11">
        <f>B8276+30</f>
        <v/>
      </c>
      <c r="N8276">
        <f>IF(L8276="", "", L8276-B8276)</f>
        <v/>
      </c>
      <c r="O8276">
        <f>IF(L8276="", "Pending", IF(N8276&lt;=30, "Met", "Breached"))</f>
        <v/>
      </c>
    </row>
    <row r="8277">
      <c r="M8277" s="11">
        <f>B8277+30</f>
        <v/>
      </c>
      <c r="N8277">
        <f>IF(L8277="", "", L8277-B8277)</f>
        <v/>
      </c>
      <c r="O8277">
        <f>IF(L8277="", "Pending", IF(N8277&lt;=30, "Met", "Breached"))</f>
        <v/>
      </c>
    </row>
    <row r="8278">
      <c r="M8278" s="11">
        <f>B8278+30</f>
        <v/>
      </c>
      <c r="N8278">
        <f>IF(L8278="", "", L8278-B8278)</f>
        <v/>
      </c>
      <c r="O8278">
        <f>IF(L8278="", "Pending", IF(N8278&lt;=30, "Met", "Breached"))</f>
        <v/>
      </c>
    </row>
    <row r="8279">
      <c r="M8279" s="11">
        <f>B8279+30</f>
        <v/>
      </c>
      <c r="N8279">
        <f>IF(L8279="", "", L8279-B8279)</f>
        <v/>
      </c>
      <c r="O8279">
        <f>IF(L8279="", "Pending", IF(N8279&lt;=30, "Met", "Breached"))</f>
        <v/>
      </c>
    </row>
    <row r="8280">
      <c r="M8280" s="11">
        <f>B8280+30</f>
        <v/>
      </c>
      <c r="N8280">
        <f>IF(L8280="", "", L8280-B8280)</f>
        <v/>
      </c>
      <c r="O8280">
        <f>IF(L8280="", "Pending", IF(N8280&lt;=30, "Met", "Breached"))</f>
        <v/>
      </c>
    </row>
    <row r="8281">
      <c r="M8281" s="11">
        <f>B8281+30</f>
        <v/>
      </c>
      <c r="N8281">
        <f>IF(L8281="", "", L8281-B8281)</f>
        <v/>
      </c>
      <c r="O8281">
        <f>IF(L8281="", "Pending", IF(N8281&lt;=30, "Met", "Breached"))</f>
        <v/>
      </c>
    </row>
    <row r="8282">
      <c r="M8282" s="11">
        <f>B8282+30</f>
        <v/>
      </c>
      <c r="N8282">
        <f>IF(L8282="", "", L8282-B8282)</f>
        <v/>
      </c>
      <c r="O8282">
        <f>IF(L8282="", "Pending", IF(N8282&lt;=30, "Met", "Breached"))</f>
        <v/>
      </c>
    </row>
    <row r="8283">
      <c r="M8283" s="11">
        <f>B8283+30</f>
        <v/>
      </c>
      <c r="N8283">
        <f>IF(L8283="", "", L8283-B8283)</f>
        <v/>
      </c>
      <c r="O8283">
        <f>IF(L8283="", "Pending", IF(N8283&lt;=30, "Met", "Breached"))</f>
        <v/>
      </c>
    </row>
    <row r="8284">
      <c r="M8284" s="11">
        <f>B8284+30</f>
        <v/>
      </c>
      <c r="N8284">
        <f>IF(L8284="", "", L8284-B8284)</f>
        <v/>
      </c>
      <c r="O8284">
        <f>IF(L8284="", "Pending", IF(N8284&lt;=30, "Met", "Breached"))</f>
        <v/>
      </c>
    </row>
    <row r="8285">
      <c r="M8285" s="11">
        <f>B8285+30</f>
        <v/>
      </c>
      <c r="N8285">
        <f>IF(L8285="", "", L8285-B8285)</f>
        <v/>
      </c>
      <c r="O8285">
        <f>IF(L8285="", "Pending", IF(N8285&lt;=30, "Met", "Breached"))</f>
        <v/>
      </c>
    </row>
    <row r="8286">
      <c r="M8286" s="11">
        <f>B8286+30</f>
        <v/>
      </c>
      <c r="N8286">
        <f>IF(L8286="", "", L8286-B8286)</f>
        <v/>
      </c>
      <c r="O8286">
        <f>IF(L8286="", "Pending", IF(N8286&lt;=30, "Met", "Breached"))</f>
        <v/>
      </c>
    </row>
    <row r="8287">
      <c r="M8287" s="11">
        <f>B8287+30</f>
        <v/>
      </c>
      <c r="N8287">
        <f>IF(L8287="", "", L8287-B8287)</f>
        <v/>
      </c>
      <c r="O8287">
        <f>IF(L8287="", "Pending", IF(N8287&lt;=30, "Met", "Breached"))</f>
        <v/>
      </c>
    </row>
    <row r="8288">
      <c r="M8288" s="11">
        <f>B8288+30</f>
        <v/>
      </c>
      <c r="N8288">
        <f>IF(L8288="", "", L8288-B8288)</f>
        <v/>
      </c>
      <c r="O8288">
        <f>IF(L8288="", "Pending", IF(N8288&lt;=30, "Met", "Breached"))</f>
        <v/>
      </c>
    </row>
    <row r="8289">
      <c r="M8289" s="11">
        <f>B8289+30</f>
        <v/>
      </c>
      <c r="N8289">
        <f>IF(L8289="", "", L8289-B8289)</f>
        <v/>
      </c>
      <c r="O8289">
        <f>IF(L8289="", "Pending", IF(N8289&lt;=30, "Met", "Breached"))</f>
        <v/>
      </c>
    </row>
    <row r="8290">
      <c r="M8290" s="11">
        <f>B8290+30</f>
        <v/>
      </c>
      <c r="N8290">
        <f>IF(L8290="", "", L8290-B8290)</f>
        <v/>
      </c>
      <c r="O8290">
        <f>IF(L8290="", "Pending", IF(N8290&lt;=30, "Met", "Breached"))</f>
        <v/>
      </c>
    </row>
    <row r="8291">
      <c r="M8291" s="11">
        <f>B8291+30</f>
        <v/>
      </c>
      <c r="N8291">
        <f>IF(L8291="", "", L8291-B8291)</f>
        <v/>
      </c>
      <c r="O8291">
        <f>IF(L8291="", "Pending", IF(N8291&lt;=30, "Met", "Breached"))</f>
        <v/>
      </c>
    </row>
    <row r="8292">
      <c r="M8292" s="11">
        <f>B8292+30</f>
        <v/>
      </c>
      <c r="N8292">
        <f>IF(L8292="", "", L8292-B8292)</f>
        <v/>
      </c>
      <c r="O8292">
        <f>IF(L8292="", "Pending", IF(N8292&lt;=30, "Met", "Breached"))</f>
        <v/>
      </c>
    </row>
    <row r="8293">
      <c r="M8293" s="11">
        <f>B8293+30</f>
        <v/>
      </c>
      <c r="N8293">
        <f>IF(L8293="", "", L8293-B8293)</f>
        <v/>
      </c>
      <c r="O8293">
        <f>IF(L8293="", "Pending", IF(N8293&lt;=30, "Met", "Breached"))</f>
        <v/>
      </c>
    </row>
    <row r="8294">
      <c r="M8294" s="11">
        <f>B8294+30</f>
        <v/>
      </c>
      <c r="N8294">
        <f>IF(L8294="", "", L8294-B8294)</f>
        <v/>
      </c>
      <c r="O8294">
        <f>IF(L8294="", "Pending", IF(N8294&lt;=30, "Met", "Breached"))</f>
        <v/>
      </c>
    </row>
    <row r="8295">
      <c r="M8295" s="11">
        <f>B8295+30</f>
        <v/>
      </c>
      <c r="N8295">
        <f>IF(L8295="", "", L8295-B8295)</f>
        <v/>
      </c>
      <c r="O8295">
        <f>IF(L8295="", "Pending", IF(N8295&lt;=30, "Met", "Breached"))</f>
        <v/>
      </c>
    </row>
    <row r="8296">
      <c r="M8296" s="11">
        <f>B8296+30</f>
        <v/>
      </c>
      <c r="N8296">
        <f>IF(L8296="", "", L8296-B8296)</f>
        <v/>
      </c>
      <c r="O8296">
        <f>IF(L8296="", "Pending", IF(N8296&lt;=30, "Met", "Breached"))</f>
        <v/>
      </c>
    </row>
    <row r="8297">
      <c r="M8297" s="11">
        <f>B8297+30</f>
        <v/>
      </c>
      <c r="N8297">
        <f>IF(L8297="", "", L8297-B8297)</f>
        <v/>
      </c>
      <c r="O8297">
        <f>IF(L8297="", "Pending", IF(N8297&lt;=30, "Met", "Breached"))</f>
        <v/>
      </c>
    </row>
    <row r="8298">
      <c r="M8298" s="11">
        <f>B8298+30</f>
        <v/>
      </c>
      <c r="N8298">
        <f>IF(L8298="", "", L8298-B8298)</f>
        <v/>
      </c>
      <c r="O8298">
        <f>IF(L8298="", "Pending", IF(N8298&lt;=30, "Met", "Breached"))</f>
        <v/>
      </c>
    </row>
    <row r="8299">
      <c r="M8299" s="11">
        <f>B8299+30</f>
        <v/>
      </c>
      <c r="N8299">
        <f>IF(L8299="", "", L8299-B8299)</f>
        <v/>
      </c>
      <c r="O8299">
        <f>IF(L8299="", "Pending", IF(N8299&lt;=30, "Met", "Breached"))</f>
        <v/>
      </c>
    </row>
    <row r="8300">
      <c r="M8300" s="11">
        <f>B8300+30</f>
        <v/>
      </c>
      <c r="N8300">
        <f>IF(L8300="", "", L8300-B8300)</f>
        <v/>
      </c>
      <c r="O8300">
        <f>IF(L8300="", "Pending", IF(N8300&lt;=30, "Met", "Breached"))</f>
        <v/>
      </c>
    </row>
    <row r="8301">
      <c r="M8301" s="11">
        <f>B8301+30</f>
        <v/>
      </c>
      <c r="N8301">
        <f>IF(L8301="", "", L8301-B8301)</f>
        <v/>
      </c>
      <c r="O8301">
        <f>IF(L8301="", "Pending", IF(N8301&lt;=30, "Met", "Breached"))</f>
        <v/>
      </c>
    </row>
    <row r="8302">
      <c r="M8302" s="11">
        <f>B8302+30</f>
        <v/>
      </c>
      <c r="N8302">
        <f>IF(L8302="", "", L8302-B8302)</f>
        <v/>
      </c>
      <c r="O8302">
        <f>IF(L8302="", "Pending", IF(N8302&lt;=30, "Met", "Breached"))</f>
        <v/>
      </c>
    </row>
    <row r="8303">
      <c r="M8303" s="11">
        <f>B8303+30</f>
        <v/>
      </c>
      <c r="N8303">
        <f>IF(L8303="", "", L8303-B8303)</f>
        <v/>
      </c>
      <c r="O8303">
        <f>IF(L8303="", "Pending", IF(N8303&lt;=30, "Met", "Breached"))</f>
        <v/>
      </c>
    </row>
    <row r="8304">
      <c r="M8304" s="11">
        <f>B8304+30</f>
        <v/>
      </c>
      <c r="N8304">
        <f>IF(L8304="", "", L8304-B8304)</f>
        <v/>
      </c>
      <c r="O8304">
        <f>IF(L8304="", "Pending", IF(N8304&lt;=30, "Met", "Breached"))</f>
        <v/>
      </c>
    </row>
    <row r="8305">
      <c r="M8305" s="11">
        <f>B8305+30</f>
        <v/>
      </c>
      <c r="N8305">
        <f>IF(L8305="", "", L8305-B8305)</f>
        <v/>
      </c>
      <c r="O8305">
        <f>IF(L8305="", "Pending", IF(N8305&lt;=30, "Met", "Breached"))</f>
        <v/>
      </c>
    </row>
    <row r="8306">
      <c r="M8306" s="11">
        <f>B8306+30</f>
        <v/>
      </c>
      <c r="N8306">
        <f>IF(L8306="", "", L8306-B8306)</f>
        <v/>
      </c>
      <c r="O8306">
        <f>IF(L8306="", "Pending", IF(N8306&lt;=30, "Met", "Breached"))</f>
        <v/>
      </c>
    </row>
    <row r="8307">
      <c r="M8307" s="11">
        <f>B8307+30</f>
        <v/>
      </c>
      <c r="N8307">
        <f>IF(L8307="", "", L8307-B8307)</f>
        <v/>
      </c>
      <c r="O8307">
        <f>IF(L8307="", "Pending", IF(N8307&lt;=30, "Met", "Breached"))</f>
        <v/>
      </c>
    </row>
    <row r="8308">
      <c r="M8308" s="11">
        <f>B8308+30</f>
        <v/>
      </c>
      <c r="N8308">
        <f>IF(L8308="", "", L8308-B8308)</f>
        <v/>
      </c>
      <c r="O8308">
        <f>IF(L8308="", "Pending", IF(N8308&lt;=30, "Met", "Breached"))</f>
        <v/>
      </c>
    </row>
    <row r="8309">
      <c r="M8309" s="11">
        <f>B8309+30</f>
        <v/>
      </c>
      <c r="N8309">
        <f>IF(L8309="", "", L8309-B8309)</f>
        <v/>
      </c>
      <c r="O8309">
        <f>IF(L8309="", "Pending", IF(N8309&lt;=30, "Met", "Breached"))</f>
        <v/>
      </c>
    </row>
    <row r="8310">
      <c r="M8310" s="11">
        <f>B8310+30</f>
        <v/>
      </c>
      <c r="N8310">
        <f>IF(L8310="", "", L8310-B8310)</f>
        <v/>
      </c>
      <c r="O8310">
        <f>IF(L8310="", "Pending", IF(N8310&lt;=30, "Met", "Breached"))</f>
        <v/>
      </c>
    </row>
    <row r="8311">
      <c r="M8311" s="11">
        <f>B8311+30</f>
        <v/>
      </c>
      <c r="N8311">
        <f>IF(L8311="", "", L8311-B8311)</f>
        <v/>
      </c>
      <c r="O8311">
        <f>IF(L8311="", "Pending", IF(N8311&lt;=30, "Met", "Breached"))</f>
        <v/>
      </c>
    </row>
    <row r="8312">
      <c r="M8312" s="11">
        <f>B8312+30</f>
        <v/>
      </c>
      <c r="N8312">
        <f>IF(L8312="", "", L8312-B8312)</f>
        <v/>
      </c>
      <c r="O8312">
        <f>IF(L8312="", "Pending", IF(N8312&lt;=30, "Met", "Breached"))</f>
        <v/>
      </c>
    </row>
    <row r="8313">
      <c r="M8313" s="11">
        <f>B8313+30</f>
        <v/>
      </c>
      <c r="N8313">
        <f>IF(L8313="", "", L8313-B8313)</f>
        <v/>
      </c>
      <c r="O8313">
        <f>IF(L8313="", "Pending", IF(N8313&lt;=30, "Met", "Breached"))</f>
        <v/>
      </c>
    </row>
    <row r="8314">
      <c r="M8314" s="11">
        <f>B8314+30</f>
        <v/>
      </c>
      <c r="N8314">
        <f>IF(L8314="", "", L8314-B8314)</f>
        <v/>
      </c>
      <c r="O8314">
        <f>IF(L8314="", "Pending", IF(N8314&lt;=30, "Met", "Breached"))</f>
        <v/>
      </c>
    </row>
    <row r="8315">
      <c r="M8315" s="11">
        <f>B8315+30</f>
        <v/>
      </c>
      <c r="N8315">
        <f>IF(L8315="", "", L8315-B8315)</f>
        <v/>
      </c>
      <c r="O8315">
        <f>IF(L8315="", "Pending", IF(N8315&lt;=30, "Met", "Breached"))</f>
        <v/>
      </c>
    </row>
    <row r="8316">
      <c r="M8316" s="11">
        <f>B8316+30</f>
        <v/>
      </c>
      <c r="N8316">
        <f>IF(L8316="", "", L8316-B8316)</f>
        <v/>
      </c>
      <c r="O8316">
        <f>IF(L8316="", "Pending", IF(N8316&lt;=30, "Met", "Breached"))</f>
        <v/>
      </c>
    </row>
    <row r="8317">
      <c r="M8317" s="11">
        <f>B8317+30</f>
        <v/>
      </c>
      <c r="N8317">
        <f>IF(L8317="", "", L8317-B8317)</f>
        <v/>
      </c>
      <c r="O8317">
        <f>IF(L8317="", "Pending", IF(N8317&lt;=30, "Met", "Breached"))</f>
        <v/>
      </c>
    </row>
    <row r="8318">
      <c r="M8318" s="11">
        <f>B8318+30</f>
        <v/>
      </c>
      <c r="N8318">
        <f>IF(L8318="", "", L8318-B8318)</f>
        <v/>
      </c>
      <c r="O8318">
        <f>IF(L8318="", "Pending", IF(N8318&lt;=30, "Met", "Breached"))</f>
        <v/>
      </c>
    </row>
    <row r="8319">
      <c r="M8319" s="11">
        <f>B8319+30</f>
        <v/>
      </c>
      <c r="N8319">
        <f>IF(L8319="", "", L8319-B8319)</f>
        <v/>
      </c>
      <c r="O8319">
        <f>IF(L8319="", "Pending", IF(N8319&lt;=30, "Met", "Breached"))</f>
        <v/>
      </c>
    </row>
    <row r="8320">
      <c r="M8320" s="11">
        <f>B8320+30</f>
        <v/>
      </c>
      <c r="N8320">
        <f>IF(L8320="", "", L8320-B8320)</f>
        <v/>
      </c>
      <c r="O8320">
        <f>IF(L8320="", "Pending", IF(N8320&lt;=30, "Met", "Breached"))</f>
        <v/>
      </c>
    </row>
    <row r="8321">
      <c r="M8321" s="11">
        <f>B8321+30</f>
        <v/>
      </c>
      <c r="N8321">
        <f>IF(L8321="", "", L8321-B8321)</f>
        <v/>
      </c>
      <c r="O8321">
        <f>IF(L8321="", "Pending", IF(N8321&lt;=30, "Met", "Breached"))</f>
        <v/>
      </c>
    </row>
    <row r="8322">
      <c r="M8322" s="11">
        <f>B8322+30</f>
        <v/>
      </c>
      <c r="N8322">
        <f>IF(L8322="", "", L8322-B8322)</f>
        <v/>
      </c>
      <c r="O8322">
        <f>IF(L8322="", "Pending", IF(N8322&lt;=30, "Met", "Breached"))</f>
        <v/>
      </c>
    </row>
    <row r="8323">
      <c r="M8323" s="11">
        <f>B8323+30</f>
        <v/>
      </c>
      <c r="N8323">
        <f>IF(L8323="", "", L8323-B8323)</f>
        <v/>
      </c>
      <c r="O8323">
        <f>IF(L8323="", "Pending", IF(N8323&lt;=30, "Met", "Breached"))</f>
        <v/>
      </c>
    </row>
    <row r="8324">
      <c r="M8324" s="11">
        <f>B8324+30</f>
        <v/>
      </c>
      <c r="N8324">
        <f>IF(L8324="", "", L8324-B8324)</f>
        <v/>
      </c>
      <c r="O8324">
        <f>IF(L8324="", "Pending", IF(N8324&lt;=30, "Met", "Breached"))</f>
        <v/>
      </c>
    </row>
    <row r="8325">
      <c r="M8325" s="11">
        <f>B8325+30</f>
        <v/>
      </c>
      <c r="N8325">
        <f>IF(L8325="", "", L8325-B8325)</f>
        <v/>
      </c>
      <c r="O8325">
        <f>IF(L8325="", "Pending", IF(N8325&lt;=30, "Met", "Breached"))</f>
        <v/>
      </c>
    </row>
    <row r="8326">
      <c r="M8326" s="11">
        <f>B8326+30</f>
        <v/>
      </c>
      <c r="N8326">
        <f>IF(L8326="", "", L8326-B8326)</f>
        <v/>
      </c>
      <c r="O8326">
        <f>IF(L8326="", "Pending", IF(N8326&lt;=30, "Met", "Breached"))</f>
        <v/>
      </c>
    </row>
    <row r="8327">
      <c r="M8327" s="11">
        <f>B8327+30</f>
        <v/>
      </c>
      <c r="N8327">
        <f>IF(L8327="", "", L8327-B8327)</f>
        <v/>
      </c>
      <c r="O8327">
        <f>IF(L8327="", "Pending", IF(N8327&lt;=30, "Met", "Breached"))</f>
        <v/>
      </c>
    </row>
    <row r="8328">
      <c r="M8328" s="11">
        <f>B8328+30</f>
        <v/>
      </c>
      <c r="N8328">
        <f>IF(L8328="", "", L8328-B8328)</f>
        <v/>
      </c>
      <c r="O8328">
        <f>IF(L8328="", "Pending", IF(N8328&lt;=30, "Met", "Breached"))</f>
        <v/>
      </c>
    </row>
    <row r="8329">
      <c r="M8329" s="11">
        <f>B8329+30</f>
        <v/>
      </c>
      <c r="N8329">
        <f>IF(L8329="", "", L8329-B8329)</f>
        <v/>
      </c>
      <c r="O8329">
        <f>IF(L8329="", "Pending", IF(N8329&lt;=30, "Met", "Breached"))</f>
        <v/>
      </c>
    </row>
    <row r="8330">
      <c r="M8330" s="11">
        <f>B8330+30</f>
        <v/>
      </c>
      <c r="N8330">
        <f>IF(L8330="", "", L8330-B8330)</f>
        <v/>
      </c>
      <c r="O8330">
        <f>IF(L8330="", "Pending", IF(N8330&lt;=30, "Met", "Breached"))</f>
        <v/>
      </c>
    </row>
    <row r="8331">
      <c r="M8331" s="11">
        <f>B8331+30</f>
        <v/>
      </c>
      <c r="N8331">
        <f>IF(L8331="", "", L8331-B8331)</f>
        <v/>
      </c>
      <c r="O8331">
        <f>IF(L8331="", "Pending", IF(N8331&lt;=30, "Met", "Breached"))</f>
        <v/>
      </c>
    </row>
    <row r="8332">
      <c r="M8332" s="11">
        <f>B8332+30</f>
        <v/>
      </c>
      <c r="N8332">
        <f>IF(L8332="", "", L8332-B8332)</f>
        <v/>
      </c>
      <c r="O8332">
        <f>IF(L8332="", "Pending", IF(N8332&lt;=30, "Met", "Breached"))</f>
        <v/>
      </c>
    </row>
    <row r="8333">
      <c r="M8333" s="11">
        <f>B8333+30</f>
        <v/>
      </c>
      <c r="N8333">
        <f>IF(L8333="", "", L8333-B8333)</f>
        <v/>
      </c>
      <c r="O8333">
        <f>IF(L8333="", "Pending", IF(N8333&lt;=30, "Met", "Breached"))</f>
        <v/>
      </c>
    </row>
    <row r="8334">
      <c r="M8334" s="11">
        <f>B8334+30</f>
        <v/>
      </c>
      <c r="N8334">
        <f>IF(L8334="", "", L8334-B8334)</f>
        <v/>
      </c>
      <c r="O8334">
        <f>IF(L8334="", "Pending", IF(N8334&lt;=30, "Met", "Breached"))</f>
        <v/>
      </c>
    </row>
    <row r="8335">
      <c r="M8335" s="11">
        <f>B8335+30</f>
        <v/>
      </c>
      <c r="N8335">
        <f>IF(L8335="", "", L8335-B8335)</f>
        <v/>
      </c>
      <c r="O8335">
        <f>IF(L8335="", "Pending", IF(N8335&lt;=30, "Met", "Breached"))</f>
        <v/>
      </c>
    </row>
    <row r="8336">
      <c r="M8336" s="11">
        <f>B8336+30</f>
        <v/>
      </c>
      <c r="N8336">
        <f>IF(L8336="", "", L8336-B8336)</f>
        <v/>
      </c>
      <c r="O8336">
        <f>IF(L8336="", "Pending", IF(N8336&lt;=30, "Met", "Breached"))</f>
        <v/>
      </c>
    </row>
    <row r="8337">
      <c r="M8337" s="11">
        <f>B8337+30</f>
        <v/>
      </c>
      <c r="N8337">
        <f>IF(L8337="", "", L8337-B8337)</f>
        <v/>
      </c>
      <c r="O8337">
        <f>IF(L8337="", "Pending", IF(N8337&lt;=30, "Met", "Breached"))</f>
        <v/>
      </c>
    </row>
    <row r="8338">
      <c r="M8338" s="11">
        <f>B8338+30</f>
        <v/>
      </c>
      <c r="N8338">
        <f>IF(L8338="", "", L8338-B8338)</f>
        <v/>
      </c>
      <c r="O8338">
        <f>IF(L8338="", "Pending", IF(N8338&lt;=30, "Met", "Breached"))</f>
        <v/>
      </c>
    </row>
    <row r="8339">
      <c r="M8339" s="11">
        <f>B8339+30</f>
        <v/>
      </c>
      <c r="N8339">
        <f>IF(L8339="", "", L8339-B8339)</f>
        <v/>
      </c>
      <c r="O8339">
        <f>IF(L8339="", "Pending", IF(N8339&lt;=30, "Met", "Breached"))</f>
        <v/>
      </c>
    </row>
    <row r="8340">
      <c r="M8340" s="11">
        <f>B8340+30</f>
        <v/>
      </c>
      <c r="N8340">
        <f>IF(L8340="", "", L8340-B8340)</f>
        <v/>
      </c>
      <c r="O8340">
        <f>IF(L8340="", "Pending", IF(N8340&lt;=30, "Met", "Breached"))</f>
        <v/>
      </c>
    </row>
    <row r="8341">
      <c r="M8341" s="11">
        <f>B8341+30</f>
        <v/>
      </c>
      <c r="N8341">
        <f>IF(L8341="", "", L8341-B8341)</f>
        <v/>
      </c>
      <c r="O8341">
        <f>IF(L8341="", "Pending", IF(N8341&lt;=30, "Met", "Breached"))</f>
        <v/>
      </c>
    </row>
    <row r="8342">
      <c r="M8342" s="11">
        <f>B8342+30</f>
        <v/>
      </c>
      <c r="N8342">
        <f>IF(L8342="", "", L8342-B8342)</f>
        <v/>
      </c>
      <c r="O8342">
        <f>IF(L8342="", "Pending", IF(N8342&lt;=30, "Met", "Breached"))</f>
        <v/>
      </c>
    </row>
    <row r="8343">
      <c r="M8343" s="11">
        <f>B8343+30</f>
        <v/>
      </c>
      <c r="N8343">
        <f>IF(L8343="", "", L8343-B8343)</f>
        <v/>
      </c>
      <c r="O8343">
        <f>IF(L8343="", "Pending", IF(N8343&lt;=30, "Met", "Breached"))</f>
        <v/>
      </c>
    </row>
    <row r="8344">
      <c r="M8344" s="11">
        <f>B8344+30</f>
        <v/>
      </c>
      <c r="N8344">
        <f>IF(L8344="", "", L8344-B8344)</f>
        <v/>
      </c>
      <c r="O8344">
        <f>IF(L8344="", "Pending", IF(N8344&lt;=30, "Met", "Breached"))</f>
        <v/>
      </c>
    </row>
    <row r="8345">
      <c r="M8345" s="11">
        <f>B8345+30</f>
        <v/>
      </c>
      <c r="N8345">
        <f>IF(L8345="", "", L8345-B8345)</f>
        <v/>
      </c>
      <c r="O8345">
        <f>IF(L8345="", "Pending", IF(N8345&lt;=30, "Met", "Breached"))</f>
        <v/>
      </c>
    </row>
    <row r="8346">
      <c r="M8346" s="11">
        <f>B8346+30</f>
        <v/>
      </c>
      <c r="N8346">
        <f>IF(L8346="", "", L8346-B8346)</f>
        <v/>
      </c>
      <c r="O8346">
        <f>IF(L8346="", "Pending", IF(N8346&lt;=30, "Met", "Breached"))</f>
        <v/>
      </c>
    </row>
    <row r="8347">
      <c r="M8347" s="11">
        <f>B8347+30</f>
        <v/>
      </c>
      <c r="N8347">
        <f>IF(L8347="", "", L8347-B8347)</f>
        <v/>
      </c>
      <c r="O8347">
        <f>IF(L8347="", "Pending", IF(N8347&lt;=30, "Met", "Breached"))</f>
        <v/>
      </c>
    </row>
    <row r="8348">
      <c r="M8348" s="11">
        <f>B8348+30</f>
        <v/>
      </c>
      <c r="N8348">
        <f>IF(L8348="", "", L8348-B8348)</f>
        <v/>
      </c>
      <c r="O8348">
        <f>IF(L8348="", "Pending", IF(N8348&lt;=30, "Met", "Breached"))</f>
        <v/>
      </c>
    </row>
    <row r="8349">
      <c r="M8349" s="11">
        <f>B8349+30</f>
        <v/>
      </c>
      <c r="N8349">
        <f>IF(L8349="", "", L8349-B8349)</f>
        <v/>
      </c>
      <c r="O8349">
        <f>IF(L8349="", "Pending", IF(N8349&lt;=30, "Met", "Breached"))</f>
        <v/>
      </c>
    </row>
    <row r="8350">
      <c r="M8350" s="11">
        <f>B8350+30</f>
        <v/>
      </c>
      <c r="N8350">
        <f>IF(L8350="", "", L8350-B8350)</f>
        <v/>
      </c>
      <c r="O8350">
        <f>IF(L8350="", "Pending", IF(N8350&lt;=30, "Met", "Breached"))</f>
        <v/>
      </c>
    </row>
    <row r="8351">
      <c r="M8351" s="11">
        <f>B8351+30</f>
        <v/>
      </c>
      <c r="N8351">
        <f>IF(L8351="", "", L8351-B8351)</f>
        <v/>
      </c>
      <c r="O8351">
        <f>IF(L8351="", "Pending", IF(N8351&lt;=30, "Met", "Breached"))</f>
        <v/>
      </c>
    </row>
    <row r="8352">
      <c r="M8352" s="11">
        <f>B8352+30</f>
        <v/>
      </c>
      <c r="N8352">
        <f>IF(L8352="", "", L8352-B8352)</f>
        <v/>
      </c>
      <c r="O8352">
        <f>IF(L8352="", "Pending", IF(N8352&lt;=30, "Met", "Breached"))</f>
        <v/>
      </c>
    </row>
    <row r="8353">
      <c r="M8353" s="11">
        <f>B8353+30</f>
        <v/>
      </c>
      <c r="N8353">
        <f>IF(L8353="", "", L8353-B8353)</f>
        <v/>
      </c>
      <c r="O8353">
        <f>IF(L8353="", "Pending", IF(N8353&lt;=30, "Met", "Breached"))</f>
        <v/>
      </c>
    </row>
    <row r="8354">
      <c r="M8354" s="11">
        <f>B8354+30</f>
        <v/>
      </c>
      <c r="N8354">
        <f>IF(L8354="", "", L8354-B8354)</f>
        <v/>
      </c>
      <c r="O8354">
        <f>IF(L8354="", "Pending", IF(N8354&lt;=30, "Met", "Breached"))</f>
        <v/>
      </c>
    </row>
    <row r="8355">
      <c r="M8355" s="11">
        <f>B8355+30</f>
        <v/>
      </c>
      <c r="N8355">
        <f>IF(L8355="", "", L8355-B8355)</f>
        <v/>
      </c>
      <c r="O8355">
        <f>IF(L8355="", "Pending", IF(N8355&lt;=30, "Met", "Breached"))</f>
        <v/>
      </c>
    </row>
    <row r="8356">
      <c r="M8356" s="11">
        <f>B8356+30</f>
        <v/>
      </c>
      <c r="N8356">
        <f>IF(L8356="", "", L8356-B8356)</f>
        <v/>
      </c>
      <c r="O8356">
        <f>IF(L8356="", "Pending", IF(N8356&lt;=30, "Met", "Breached"))</f>
        <v/>
      </c>
    </row>
    <row r="8357">
      <c r="M8357" s="11">
        <f>B8357+30</f>
        <v/>
      </c>
      <c r="N8357">
        <f>IF(L8357="", "", L8357-B8357)</f>
        <v/>
      </c>
      <c r="O8357">
        <f>IF(L8357="", "Pending", IF(N8357&lt;=30, "Met", "Breached"))</f>
        <v/>
      </c>
    </row>
    <row r="8358">
      <c r="M8358" s="11">
        <f>B8358+30</f>
        <v/>
      </c>
      <c r="N8358">
        <f>IF(L8358="", "", L8358-B8358)</f>
        <v/>
      </c>
      <c r="O8358">
        <f>IF(L8358="", "Pending", IF(N8358&lt;=30, "Met", "Breached"))</f>
        <v/>
      </c>
    </row>
    <row r="8359">
      <c r="M8359" s="11">
        <f>B8359+30</f>
        <v/>
      </c>
      <c r="N8359">
        <f>IF(L8359="", "", L8359-B8359)</f>
        <v/>
      </c>
      <c r="O8359">
        <f>IF(L8359="", "Pending", IF(N8359&lt;=30, "Met", "Breached"))</f>
        <v/>
      </c>
    </row>
    <row r="8360">
      <c r="M8360" s="11">
        <f>B8360+30</f>
        <v/>
      </c>
      <c r="N8360">
        <f>IF(L8360="", "", L8360-B8360)</f>
        <v/>
      </c>
      <c r="O8360">
        <f>IF(L8360="", "Pending", IF(N8360&lt;=30, "Met", "Breached"))</f>
        <v/>
      </c>
    </row>
    <row r="8361">
      <c r="M8361" s="11">
        <f>B8361+30</f>
        <v/>
      </c>
      <c r="N8361">
        <f>IF(L8361="", "", L8361-B8361)</f>
        <v/>
      </c>
      <c r="O8361">
        <f>IF(L8361="", "Pending", IF(N8361&lt;=30, "Met", "Breached"))</f>
        <v/>
      </c>
    </row>
    <row r="8362">
      <c r="M8362" s="11">
        <f>B8362+30</f>
        <v/>
      </c>
      <c r="N8362">
        <f>IF(L8362="", "", L8362-B8362)</f>
        <v/>
      </c>
      <c r="O8362">
        <f>IF(L8362="", "Pending", IF(N8362&lt;=30, "Met", "Breached"))</f>
        <v/>
      </c>
    </row>
    <row r="8363">
      <c r="M8363" s="11">
        <f>B8363+30</f>
        <v/>
      </c>
      <c r="N8363">
        <f>IF(L8363="", "", L8363-B8363)</f>
        <v/>
      </c>
      <c r="O8363">
        <f>IF(L8363="", "Pending", IF(N8363&lt;=30, "Met", "Breached"))</f>
        <v/>
      </c>
    </row>
    <row r="8364">
      <c r="M8364" s="11">
        <f>B8364+30</f>
        <v/>
      </c>
      <c r="N8364">
        <f>IF(L8364="", "", L8364-B8364)</f>
        <v/>
      </c>
      <c r="O8364">
        <f>IF(L8364="", "Pending", IF(N8364&lt;=30, "Met", "Breached"))</f>
        <v/>
      </c>
    </row>
    <row r="8365">
      <c r="M8365" s="11">
        <f>B8365+30</f>
        <v/>
      </c>
      <c r="N8365">
        <f>IF(L8365="", "", L8365-B8365)</f>
        <v/>
      </c>
      <c r="O8365">
        <f>IF(L8365="", "Pending", IF(N8365&lt;=30, "Met", "Breached"))</f>
        <v/>
      </c>
    </row>
    <row r="8366">
      <c r="M8366" s="11">
        <f>B8366+30</f>
        <v/>
      </c>
      <c r="N8366">
        <f>IF(L8366="", "", L8366-B8366)</f>
        <v/>
      </c>
      <c r="O8366">
        <f>IF(L8366="", "Pending", IF(N8366&lt;=30, "Met", "Breached"))</f>
        <v/>
      </c>
    </row>
    <row r="8367">
      <c r="M8367" s="11">
        <f>B8367+30</f>
        <v/>
      </c>
      <c r="N8367">
        <f>IF(L8367="", "", L8367-B8367)</f>
        <v/>
      </c>
      <c r="O8367">
        <f>IF(L8367="", "Pending", IF(N8367&lt;=30, "Met", "Breached"))</f>
        <v/>
      </c>
    </row>
    <row r="8368">
      <c r="M8368" s="11">
        <f>B8368+30</f>
        <v/>
      </c>
      <c r="N8368">
        <f>IF(L8368="", "", L8368-B8368)</f>
        <v/>
      </c>
      <c r="O8368">
        <f>IF(L8368="", "Pending", IF(N8368&lt;=30, "Met", "Breached"))</f>
        <v/>
      </c>
    </row>
    <row r="8369">
      <c r="M8369" s="11">
        <f>B8369+30</f>
        <v/>
      </c>
      <c r="N8369">
        <f>IF(L8369="", "", L8369-B8369)</f>
        <v/>
      </c>
      <c r="O8369">
        <f>IF(L8369="", "Pending", IF(N8369&lt;=30, "Met", "Breached"))</f>
        <v/>
      </c>
    </row>
    <row r="8370">
      <c r="M8370" s="11">
        <f>B8370+30</f>
        <v/>
      </c>
      <c r="N8370">
        <f>IF(L8370="", "", L8370-B8370)</f>
        <v/>
      </c>
      <c r="O8370">
        <f>IF(L8370="", "Pending", IF(N8370&lt;=30, "Met", "Breached"))</f>
        <v/>
      </c>
    </row>
    <row r="8371">
      <c r="M8371" s="11">
        <f>B8371+30</f>
        <v/>
      </c>
      <c r="N8371">
        <f>IF(L8371="", "", L8371-B8371)</f>
        <v/>
      </c>
      <c r="O8371">
        <f>IF(L8371="", "Pending", IF(N8371&lt;=30, "Met", "Breached"))</f>
        <v/>
      </c>
    </row>
    <row r="8372">
      <c r="M8372" s="11">
        <f>B8372+30</f>
        <v/>
      </c>
      <c r="N8372">
        <f>IF(L8372="", "", L8372-B8372)</f>
        <v/>
      </c>
      <c r="O8372">
        <f>IF(L8372="", "Pending", IF(N8372&lt;=30, "Met", "Breached"))</f>
        <v/>
      </c>
    </row>
    <row r="8373">
      <c r="M8373" s="11">
        <f>B8373+30</f>
        <v/>
      </c>
      <c r="N8373">
        <f>IF(L8373="", "", L8373-B8373)</f>
        <v/>
      </c>
      <c r="O8373">
        <f>IF(L8373="", "Pending", IF(N8373&lt;=30, "Met", "Breached"))</f>
        <v/>
      </c>
    </row>
    <row r="8374">
      <c r="M8374" s="11">
        <f>B8374+30</f>
        <v/>
      </c>
      <c r="N8374">
        <f>IF(L8374="", "", L8374-B8374)</f>
        <v/>
      </c>
      <c r="O8374">
        <f>IF(L8374="", "Pending", IF(N8374&lt;=30, "Met", "Breached"))</f>
        <v/>
      </c>
    </row>
    <row r="8375">
      <c r="M8375" s="11">
        <f>B8375+30</f>
        <v/>
      </c>
      <c r="N8375">
        <f>IF(L8375="", "", L8375-B8375)</f>
        <v/>
      </c>
      <c r="O8375">
        <f>IF(L8375="", "Pending", IF(N8375&lt;=30, "Met", "Breached"))</f>
        <v/>
      </c>
    </row>
    <row r="8376">
      <c r="M8376" s="11">
        <f>B8376+30</f>
        <v/>
      </c>
      <c r="N8376">
        <f>IF(L8376="", "", L8376-B8376)</f>
        <v/>
      </c>
      <c r="O8376">
        <f>IF(L8376="", "Pending", IF(N8376&lt;=30, "Met", "Breached"))</f>
        <v/>
      </c>
    </row>
    <row r="8377">
      <c r="M8377" s="11">
        <f>B8377+30</f>
        <v/>
      </c>
      <c r="N8377">
        <f>IF(L8377="", "", L8377-B8377)</f>
        <v/>
      </c>
      <c r="O8377">
        <f>IF(L8377="", "Pending", IF(N8377&lt;=30, "Met", "Breached"))</f>
        <v/>
      </c>
    </row>
    <row r="8378">
      <c r="M8378" s="11">
        <f>B8378+30</f>
        <v/>
      </c>
      <c r="N8378">
        <f>IF(L8378="", "", L8378-B8378)</f>
        <v/>
      </c>
      <c r="O8378">
        <f>IF(L8378="", "Pending", IF(N8378&lt;=30, "Met", "Breached"))</f>
        <v/>
      </c>
    </row>
    <row r="8379">
      <c r="M8379" s="11">
        <f>B8379+30</f>
        <v/>
      </c>
      <c r="N8379">
        <f>IF(L8379="", "", L8379-B8379)</f>
        <v/>
      </c>
      <c r="O8379">
        <f>IF(L8379="", "Pending", IF(N8379&lt;=30, "Met", "Breached"))</f>
        <v/>
      </c>
    </row>
    <row r="8380">
      <c r="M8380" s="11">
        <f>B8380+30</f>
        <v/>
      </c>
      <c r="N8380">
        <f>IF(L8380="", "", L8380-B8380)</f>
        <v/>
      </c>
      <c r="O8380">
        <f>IF(L8380="", "Pending", IF(N8380&lt;=30, "Met", "Breached"))</f>
        <v/>
      </c>
    </row>
    <row r="8381">
      <c r="M8381" s="11">
        <f>B8381+30</f>
        <v/>
      </c>
      <c r="N8381">
        <f>IF(L8381="", "", L8381-B8381)</f>
        <v/>
      </c>
      <c r="O8381">
        <f>IF(L8381="", "Pending", IF(N8381&lt;=30, "Met", "Breached"))</f>
        <v/>
      </c>
    </row>
    <row r="8382">
      <c r="M8382" s="11">
        <f>B8382+30</f>
        <v/>
      </c>
      <c r="N8382">
        <f>IF(L8382="", "", L8382-B8382)</f>
        <v/>
      </c>
      <c r="O8382">
        <f>IF(L8382="", "Pending", IF(N8382&lt;=30, "Met", "Breached"))</f>
        <v/>
      </c>
    </row>
    <row r="8383">
      <c r="M8383" s="11">
        <f>B8383+30</f>
        <v/>
      </c>
      <c r="N8383">
        <f>IF(L8383="", "", L8383-B8383)</f>
        <v/>
      </c>
      <c r="O8383">
        <f>IF(L8383="", "Pending", IF(N8383&lt;=30, "Met", "Breached"))</f>
        <v/>
      </c>
    </row>
    <row r="8384">
      <c r="M8384" s="11">
        <f>B8384+30</f>
        <v/>
      </c>
      <c r="N8384">
        <f>IF(L8384="", "", L8384-B8384)</f>
        <v/>
      </c>
      <c r="O8384">
        <f>IF(L8384="", "Pending", IF(N8384&lt;=30, "Met", "Breached"))</f>
        <v/>
      </c>
    </row>
    <row r="8385">
      <c r="M8385" s="11">
        <f>B8385+30</f>
        <v/>
      </c>
      <c r="N8385">
        <f>IF(L8385="", "", L8385-B8385)</f>
        <v/>
      </c>
      <c r="O8385">
        <f>IF(L8385="", "Pending", IF(N8385&lt;=30, "Met", "Breached"))</f>
        <v/>
      </c>
    </row>
    <row r="8386">
      <c r="M8386" s="11">
        <f>B8386+30</f>
        <v/>
      </c>
      <c r="N8386">
        <f>IF(L8386="", "", L8386-B8386)</f>
        <v/>
      </c>
      <c r="O8386">
        <f>IF(L8386="", "Pending", IF(N8386&lt;=30, "Met", "Breached"))</f>
        <v/>
      </c>
    </row>
    <row r="8387">
      <c r="M8387" s="11">
        <f>B8387+30</f>
        <v/>
      </c>
      <c r="N8387">
        <f>IF(L8387="", "", L8387-B8387)</f>
        <v/>
      </c>
      <c r="O8387">
        <f>IF(L8387="", "Pending", IF(N8387&lt;=30, "Met", "Breached"))</f>
        <v/>
      </c>
    </row>
    <row r="8388">
      <c r="M8388" s="11">
        <f>B8388+30</f>
        <v/>
      </c>
      <c r="N8388">
        <f>IF(L8388="", "", L8388-B8388)</f>
        <v/>
      </c>
      <c r="O8388">
        <f>IF(L8388="", "Pending", IF(N8388&lt;=30, "Met", "Breached"))</f>
        <v/>
      </c>
    </row>
    <row r="8389">
      <c r="M8389" s="11">
        <f>B8389+30</f>
        <v/>
      </c>
      <c r="N8389">
        <f>IF(L8389="", "", L8389-B8389)</f>
        <v/>
      </c>
      <c r="O8389">
        <f>IF(L8389="", "Pending", IF(N8389&lt;=30, "Met", "Breached"))</f>
        <v/>
      </c>
    </row>
    <row r="8390">
      <c r="M8390" s="11">
        <f>B8390+30</f>
        <v/>
      </c>
      <c r="N8390">
        <f>IF(L8390="", "", L8390-B8390)</f>
        <v/>
      </c>
      <c r="O8390">
        <f>IF(L8390="", "Pending", IF(N8390&lt;=30, "Met", "Breached"))</f>
        <v/>
      </c>
    </row>
    <row r="8391">
      <c r="M8391" s="11">
        <f>B8391+30</f>
        <v/>
      </c>
      <c r="N8391">
        <f>IF(L8391="", "", L8391-B8391)</f>
        <v/>
      </c>
      <c r="O8391">
        <f>IF(L8391="", "Pending", IF(N8391&lt;=30, "Met", "Breached"))</f>
        <v/>
      </c>
    </row>
    <row r="8392">
      <c r="M8392" s="11">
        <f>B8392+30</f>
        <v/>
      </c>
      <c r="N8392">
        <f>IF(L8392="", "", L8392-B8392)</f>
        <v/>
      </c>
      <c r="O8392">
        <f>IF(L8392="", "Pending", IF(N8392&lt;=30, "Met", "Breached"))</f>
        <v/>
      </c>
    </row>
    <row r="8393">
      <c r="M8393" s="11">
        <f>B8393+30</f>
        <v/>
      </c>
      <c r="N8393">
        <f>IF(L8393="", "", L8393-B8393)</f>
        <v/>
      </c>
      <c r="O8393">
        <f>IF(L8393="", "Pending", IF(N8393&lt;=30, "Met", "Breached"))</f>
        <v/>
      </c>
    </row>
    <row r="8394">
      <c r="M8394" s="11">
        <f>B8394+30</f>
        <v/>
      </c>
      <c r="N8394">
        <f>IF(L8394="", "", L8394-B8394)</f>
        <v/>
      </c>
      <c r="O8394">
        <f>IF(L8394="", "Pending", IF(N8394&lt;=30, "Met", "Breached"))</f>
        <v/>
      </c>
    </row>
    <row r="8395">
      <c r="M8395" s="11">
        <f>B8395+30</f>
        <v/>
      </c>
      <c r="N8395">
        <f>IF(L8395="", "", L8395-B8395)</f>
        <v/>
      </c>
      <c r="O8395">
        <f>IF(L8395="", "Pending", IF(N8395&lt;=30, "Met", "Breached"))</f>
        <v/>
      </c>
    </row>
    <row r="8396">
      <c r="M8396" s="11">
        <f>B8396+30</f>
        <v/>
      </c>
      <c r="N8396">
        <f>IF(L8396="", "", L8396-B8396)</f>
        <v/>
      </c>
      <c r="O8396">
        <f>IF(L8396="", "Pending", IF(N8396&lt;=30, "Met", "Breached"))</f>
        <v/>
      </c>
    </row>
    <row r="8397">
      <c r="M8397" s="11">
        <f>B8397+30</f>
        <v/>
      </c>
      <c r="N8397">
        <f>IF(L8397="", "", L8397-B8397)</f>
        <v/>
      </c>
      <c r="O8397">
        <f>IF(L8397="", "Pending", IF(N8397&lt;=30, "Met", "Breached"))</f>
        <v/>
      </c>
    </row>
    <row r="8398">
      <c r="M8398" s="11">
        <f>B8398+30</f>
        <v/>
      </c>
      <c r="N8398">
        <f>IF(L8398="", "", L8398-B8398)</f>
        <v/>
      </c>
      <c r="O8398">
        <f>IF(L8398="", "Pending", IF(N8398&lt;=30, "Met", "Breached"))</f>
        <v/>
      </c>
    </row>
    <row r="8399">
      <c r="M8399" s="11">
        <f>B8399+30</f>
        <v/>
      </c>
      <c r="N8399">
        <f>IF(L8399="", "", L8399-B8399)</f>
        <v/>
      </c>
      <c r="O8399">
        <f>IF(L8399="", "Pending", IF(N8399&lt;=30, "Met", "Breached"))</f>
        <v/>
      </c>
    </row>
    <row r="8400">
      <c r="M8400" s="11">
        <f>B8400+30</f>
        <v/>
      </c>
      <c r="N8400">
        <f>IF(L8400="", "", L8400-B8400)</f>
        <v/>
      </c>
      <c r="O8400">
        <f>IF(L8400="", "Pending", IF(N8400&lt;=30, "Met", "Breached"))</f>
        <v/>
      </c>
    </row>
    <row r="8401">
      <c r="M8401" s="11">
        <f>B8401+30</f>
        <v/>
      </c>
      <c r="N8401">
        <f>IF(L8401="", "", L8401-B8401)</f>
        <v/>
      </c>
      <c r="O8401">
        <f>IF(L8401="", "Pending", IF(N8401&lt;=30, "Met", "Breached"))</f>
        <v/>
      </c>
    </row>
    <row r="8402">
      <c r="M8402" s="11">
        <f>B8402+30</f>
        <v/>
      </c>
      <c r="N8402">
        <f>IF(L8402="", "", L8402-B8402)</f>
        <v/>
      </c>
      <c r="O8402">
        <f>IF(L8402="", "Pending", IF(N8402&lt;=30, "Met", "Breached"))</f>
        <v/>
      </c>
    </row>
    <row r="8403">
      <c r="M8403" s="11">
        <f>B8403+30</f>
        <v/>
      </c>
      <c r="N8403">
        <f>IF(L8403="", "", L8403-B8403)</f>
        <v/>
      </c>
      <c r="O8403">
        <f>IF(L8403="", "Pending", IF(N8403&lt;=30, "Met", "Breached"))</f>
        <v/>
      </c>
    </row>
    <row r="8404">
      <c r="M8404" s="11">
        <f>B8404+30</f>
        <v/>
      </c>
      <c r="N8404">
        <f>IF(L8404="", "", L8404-B8404)</f>
        <v/>
      </c>
      <c r="O8404">
        <f>IF(L8404="", "Pending", IF(N8404&lt;=30, "Met", "Breached"))</f>
        <v/>
      </c>
    </row>
    <row r="8405">
      <c r="M8405" s="11">
        <f>B8405+30</f>
        <v/>
      </c>
      <c r="N8405">
        <f>IF(L8405="", "", L8405-B8405)</f>
        <v/>
      </c>
      <c r="O8405">
        <f>IF(L8405="", "Pending", IF(N8405&lt;=30, "Met", "Breached"))</f>
        <v/>
      </c>
    </row>
    <row r="8406">
      <c r="M8406" s="11">
        <f>B8406+30</f>
        <v/>
      </c>
      <c r="N8406">
        <f>IF(L8406="", "", L8406-B8406)</f>
        <v/>
      </c>
      <c r="O8406">
        <f>IF(L8406="", "Pending", IF(N8406&lt;=30, "Met", "Breached"))</f>
        <v/>
      </c>
    </row>
    <row r="8407">
      <c r="M8407" s="11">
        <f>B8407+30</f>
        <v/>
      </c>
      <c r="N8407">
        <f>IF(L8407="", "", L8407-B8407)</f>
        <v/>
      </c>
      <c r="O8407">
        <f>IF(L8407="", "Pending", IF(N8407&lt;=30, "Met", "Breached"))</f>
        <v/>
      </c>
    </row>
    <row r="8408">
      <c r="M8408" s="11">
        <f>B8408+30</f>
        <v/>
      </c>
      <c r="N8408">
        <f>IF(L8408="", "", L8408-B8408)</f>
        <v/>
      </c>
      <c r="O8408">
        <f>IF(L8408="", "Pending", IF(N8408&lt;=30, "Met", "Breached"))</f>
        <v/>
      </c>
    </row>
    <row r="8409">
      <c r="M8409" s="11">
        <f>B8409+30</f>
        <v/>
      </c>
      <c r="N8409">
        <f>IF(L8409="", "", L8409-B8409)</f>
        <v/>
      </c>
      <c r="O8409">
        <f>IF(L8409="", "Pending", IF(N8409&lt;=30, "Met", "Breached"))</f>
        <v/>
      </c>
    </row>
    <row r="8410">
      <c r="M8410" s="11">
        <f>B8410+30</f>
        <v/>
      </c>
      <c r="N8410">
        <f>IF(L8410="", "", L8410-B8410)</f>
        <v/>
      </c>
      <c r="O8410">
        <f>IF(L8410="", "Pending", IF(N8410&lt;=30, "Met", "Breached"))</f>
        <v/>
      </c>
    </row>
    <row r="8411">
      <c r="M8411" s="11">
        <f>B8411+30</f>
        <v/>
      </c>
      <c r="N8411">
        <f>IF(L8411="", "", L8411-B8411)</f>
        <v/>
      </c>
      <c r="O8411">
        <f>IF(L8411="", "Pending", IF(N8411&lt;=30, "Met", "Breached"))</f>
        <v/>
      </c>
    </row>
    <row r="8412">
      <c r="M8412" s="11">
        <f>B8412+30</f>
        <v/>
      </c>
      <c r="N8412">
        <f>IF(L8412="", "", L8412-B8412)</f>
        <v/>
      </c>
      <c r="O8412">
        <f>IF(L8412="", "Pending", IF(N8412&lt;=30, "Met", "Breached"))</f>
        <v/>
      </c>
    </row>
    <row r="8413">
      <c r="M8413" s="11">
        <f>B8413+30</f>
        <v/>
      </c>
      <c r="N8413">
        <f>IF(L8413="", "", L8413-B8413)</f>
        <v/>
      </c>
      <c r="O8413">
        <f>IF(L8413="", "Pending", IF(N8413&lt;=30, "Met", "Breached"))</f>
        <v/>
      </c>
    </row>
    <row r="8414">
      <c r="M8414" s="11">
        <f>B8414+30</f>
        <v/>
      </c>
      <c r="N8414">
        <f>IF(L8414="", "", L8414-B8414)</f>
        <v/>
      </c>
      <c r="O8414">
        <f>IF(L8414="", "Pending", IF(N8414&lt;=30, "Met", "Breached"))</f>
        <v/>
      </c>
    </row>
    <row r="8415">
      <c r="M8415" s="11">
        <f>B8415+30</f>
        <v/>
      </c>
      <c r="N8415">
        <f>IF(L8415="", "", L8415-B8415)</f>
        <v/>
      </c>
      <c r="O8415">
        <f>IF(L8415="", "Pending", IF(N8415&lt;=30, "Met", "Breached"))</f>
        <v/>
      </c>
    </row>
    <row r="8416">
      <c r="M8416" s="11">
        <f>B8416+30</f>
        <v/>
      </c>
      <c r="N8416">
        <f>IF(L8416="", "", L8416-B8416)</f>
        <v/>
      </c>
      <c r="O8416">
        <f>IF(L8416="", "Pending", IF(N8416&lt;=30, "Met", "Breached"))</f>
        <v/>
      </c>
    </row>
    <row r="8417">
      <c r="M8417" s="11">
        <f>B8417+30</f>
        <v/>
      </c>
      <c r="N8417">
        <f>IF(L8417="", "", L8417-B8417)</f>
        <v/>
      </c>
      <c r="O8417">
        <f>IF(L8417="", "Pending", IF(N8417&lt;=30, "Met", "Breached"))</f>
        <v/>
      </c>
    </row>
    <row r="8418">
      <c r="M8418" s="11">
        <f>B8418+30</f>
        <v/>
      </c>
      <c r="N8418">
        <f>IF(L8418="", "", L8418-B8418)</f>
        <v/>
      </c>
      <c r="O8418">
        <f>IF(L8418="", "Pending", IF(N8418&lt;=30, "Met", "Breached"))</f>
        <v/>
      </c>
    </row>
    <row r="8419">
      <c r="M8419" s="11">
        <f>B8419+30</f>
        <v/>
      </c>
      <c r="N8419">
        <f>IF(L8419="", "", L8419-B8419)</f>
        <v/>
      </c>
      <c r="O8419">
        <f>IF(L8419="", "Pending", IF(N8419&lt;=30, "Met", "Breached"))</f>
        <v/>
      </c>
    </row>
    <row r="8420">
      <c r="M8420" s="11">
        <f>B8420+30</f>
        <v/>
      </c>
      <c r="N8420">
        <f>IF(L8420="", "", L8420-B8420)</f>
        <v/>
      </c>
      <c r="O8420">
        <f>IF(L8420="", "Pending", IF(N8420&lt;=30, "Met", "Breached"))</f>
        <v/>
      </c>
    </row>
    <row r="8421">
      <c r="M8421" s="11">
        <f>B8421+30</f>
        <v/>
      </c>
      <c r="N8421">
        <f>IF(L8421="", "", L8421-B8421)</f>
        <v/>
      </c>
      <c r="O8421">
        <f>IF(L8421="", "Pending", IF(N8421&lt;=30, "Met", "Breached"))</f>
        <v/>
      </c>
    </row>
    <row r="8422">
      <c r="M8422" s="11">
        <f>B8422+30</f>
        <v/>
      </c>
      <c r="N8422">
        <f>IF(L8422="", "", L8422-B8422)</f>
        <v/>
      </c>
      <c r="O8422">
        <f>IF(L8422="", "Pending", IF(N8422&lt;=30, "Met", "Breached"))</f>
        <v/>
      </c>
    </row>
    <row r="8423">
      <c r="M8423" s="11">
        <f>B8423+30</f>
        <v/>
      </c>
      <c r="N8423">
        <f>IF(L8423="", "", L8423-B8423)</f>
        <v/>
      </c>
      <c r="O8423">
        <f>IF(L8423="", "Pending", IF(N8423&lt;=30, "Met", "Breached"))</f>
        <v/>
      </c>
    </row>
    <row r="8424">
      <c r="M8424" s="11">
        <f>B8424+30</f>
        <v/>
      </c>
      <c r="N8424">
        <f>IF(L8424="", "", L8424-B8424)</f>
        <v/>
      </c>
      <c r="O8424">
        <f>IF(L8424="", "Pending", IF(N8424&lt;=30, "Met", "Breached"))</f>
        <v/>
      </c>
    </row>
    <row r="8425">
      <c r="M8425" s="11">
        <f>B8425+30</f>
        <v/>
      </c>
      <c r="N8425">
        <f>IF(L8425="", "", L8425-B8425)</f>
        <v/>
      </c>
      <c r="O8425">
        <f>IF(L8425="", "Pending", IF(N8425&lt;=30, "Met", "Breached"))</f>
        <v/>
      </c>
    </row>
    <row r="8426">
      <c r="M8426" s="11">
        <f>B8426+30</f>
        <v/>
      </c>
      <c r="N8426">
        <f>IF(L8426="", "", L8426-B8426)</f>
        <v/>
      </c>
      <c r="O8426">
        <f>IF(L8426="", "Pending", IF(N8426&lt;=30, "Met", "Breached"))</f>
        <v/>
      </c>
    </row>
    <row r="8427">
      <c r="M8427" s="11">
        <f>B8427+30</f>
        <v/>
      </c>
      <c r="N8427">
        <f>IF(L8427="", "", L8427-B8427)</f>
        <v/>
      </c>
      <c r="O8427">
        <f>IF(L8427="", "Pending", IF(N8427&lt;=30, "Met", "Breached"))</f>
        <v/>
      </c>
    </row>
    <row r="8428">
      <c r="M8428" s="11">
        <f>B8428+30</f>
        <v/>
      </c>
      <c r="N8428">
        <f>IF(L8428="", "", L8428-B8428)</f>
        <v/>
      </c>
      <c r="O8428">
        <f>IF(L8428="", "Pending", IF(N8428&lt;=30, "Met", "Breached"))</f>
        <v/>
      </c>
    </row>
    <row r="8429">
      <c r="M8429" s="11">
        <f>B8429+30</f>
        <v/>
      </c>
      <c r="N8429">
        <f>IF(L8429="", "", L8429-B8429)</f>
        <v/>
      </c>
      <c r="O8429">
        <f>IF(L8429="", "Pending", IF(N8429&lt;=30, "Met", "Breached"))</f>
        <v/>
      </c>
    </row>
    <row r="8430">
      <c r="M8430" s="11">
        <f>B8430+30</f>
        <v/>
      </c>
      <c r="N8430">
        <f>IF(L8430="", "", L8430-B8430)</f>
        <v/>
      </c>
      <c r="O8430">
        <f>IF(L8430="", "Pending", IF(N8430&lt;=30, "Met", "Breached"))</f>
        <v/>
      </c>
    </row>
    <row r="8431">
      <c r="M8431" s="11">
        <f>B8431+30</f>
        <v/>
      </c>
      <c r="N8431">
        <f>IF(L8431="", "", L8431-B8431)</f>
        <v/>
      </c>
      <c r="O8431">
        <f>IF(L8431="", "Pending", IF(N8431&lt;=30, "Met", "Breached"))</f>
        <v/>
      </c>
    </row>
    <row r="8432">
      <c r="M8432" s="11">
        <f>B8432+30</f>
        <v/>
      </c>
      <c r="N8432">
        <f>IF(L8432="", "", L8432-B8432)</f>
        <v/>
      </c>
      <c r="O8432">
        <f>IF(L8432="", "Pending", IF(N8432&lt;=30, "Met", "Breached"))</f>
        <v/>
      </c>
    </row>
    <row r="8433">
      <c r="M8433" s="11">
        <f>B8433+30</f>
        <v/>
      </c>
      <c r="N8433">
        <f>IF(L8433="", "", L8433-B8433)</f>
        <v/>
      </c>
      <c r="O8433">
        <f>IF(L8433="", "Pending", IF(N8433&lt;=30, "Met", "Breached"))</f>
        <v/>
      </c>
    </row>
    <row r="8434">
      <c r="M8434" s="11">
        <f>B8434+30</f>
        <v/>
      </c>
      <c r="N8434">
        <f>IF(L8434="", "", L8434-B8434)</f>
        <v/>
      </c>
      <c r="O8434">
        <f>IF(L8434="", "Pending", IF(N8434&lt;=30, "Met", "Breached"))</f>
        <v/>
      </c>
    </row>
    <row r="8435">
      <c r="M8435" s="11">
        <f>B8435+30</f>
        <v/>
      </c>
      <c r="N8435">
        <f>IF(L8435="", "", L8435-B8435)</f>
        <v/>
      </c>
      <c r="O8435">
        <f>IF(L8435="", "Pending", IF(N8435&lt;=30, "Met", "Breached"))</f>
        <v/>
      </c>
    </row>
    <row r="8436">
      <c r="M8436" s="11">
        <f>B8436+30</f>
        <v/>
      </c>
      <c r="N8436">
        <f>IF(L8436="", "", L8436-B8436)</f>
        <v/>
      </c>
      <c r="O8436">
        <f>IF(L8436="", "Pending", IF(N8436&lt;=30, "Met", "Breached"))</f>
        <v/>
      </c>
    </row>
    <row r="8437">
      <c r="M8437" s="11">
        <f>B8437+30</f>
        <v/>
      </c>
      <c r="N8437">
        <f>IF(L8437="", "", L8437-B8437)</f>
        <v/>
      </c>
      <c r="O8437">
        <f>IF(L8437="", "Pending", IF(N8437&lt;=30, "Met", "Breached"))</f>
        <v/>
      </c>
    </row>
    <row r="8438">
      <c r="M8438" s="11">
        <f>B8438+30</f>
        <v/>
      </c>
      <c r="N8438">
        <f>IF(L8438="", "", L8438-B8438)</f>
        <v/>
      </c>
      <c r="O8438">
        <f>IF(L8438="", "Pending", IF(N8438&lt;=30, "Met", "Breached"))</f>
        <v/>
      </c>
    </row>
    <row r="8439">
      <c r="M8439" s="11">
        <f>B8439+30</f>
        <v/>
      </c>
      <c r="N8439">
        <f>IF(L8439="", "", L8439-B8439)</f>
        <v/>
      </c>
      <c r="O8439">
        <f>IF(L8439="", "Pending", IF(N8439&lt;=30, "Met", "Breached"))</f>
        <v/>
      </c>
    </row>
    <row r="8440">
      <c r="M8440" s="11">
        <f>B8440+30</f>
        <v/>
      </c>
      <c r="N8440">
        <f>IF(L8440="", "", L8440-B8440)</f>
        <v/>
      </c>
      <c r="O8440">
        <f>IF(L8440="", "Pending", IF(N8440&lt;=30, "Met", "Breached"))</f>
        <v/>
      </c>
    </row>
    <row r="8441">
      <c r="M8441" s="11">
        <f>B8441+30</f>
        <v/>
      </c>
      <c r="N8441">
        <f>IF(L8441="", "", L8441-B8441)</f>
        <v/>
      </c>
      <c r="O8441">
        <f>IF(L8441="", "Pending", IF(N8441&lt;=30, "Met", "Breached"))</f>
        <v/>
      </c>
    </row>
    <row r="8442">
      <c r="M8442" s="11">
        <f>B8442+30</f>
        <v/>
      </c>
      <c r="N8442">
        <f>IF(L8442="", "", L8442-B8442)</f>
        <v/>
      </c>
      <c r="O8442">
        <f>IF(L8442="", "Pending", IF(N8442&lt;=30, "Met", "Breached"))</f>
        <v/>
      </c>
    </row>
    <row r="8443">
      <c r="M8443" s="11">
        <f>B8443+30</f>
        <v/>
      </c>
      <c r="N8443">
        <f>IF(L8443="", "", L8443-B8443)</f>
        <v/>
      </c>
      <c r="O8443">
        <f>IF(L8443="", "Pending", IF(N8443&lt;=30, "Met", "Breached"))</f>
        <v/>
      </c>
    </row>
    <row r="8444">
      <c r="M8444" s="11">
        <f>B8444+30</f>
        <v/>
      </c>
      <c r="N8444">
        <f>IF(L8444="", "", L8444-B8444)</f>
        <v/>
      </c>
      <c r="O8444">
        <f>IF(L8444="", "Pending", IF(N8444&lt;=30, "Met", "Breached"))</f>
        <v/>
      </c>
    </row>
    <row r="8445">
      <c r="M8445" s="11">
        <f>B8445+30</f>
        <v/>
      </c>
      <c r="N8445">
        <f>IF(L8445="", "", L8445-B8445)</f>
        <v/>
      </c>
      <c r="O8445">
        <f>IF(L8445="", "Pending", IF(N8445&lt;=30, "Met", "Breached"))</f>
        <v/>
      </c>
    </row>
    <row r="8446">
      <c r="M8446" s="11">
        <f>B8446+30</f>
        <v/>
      </c>
      <c r="N8446">
        <f>IF(L8446="", "", L8446-B8446)</f>
        <v/>
      </c>
      <c r="O8446">
        <f>IF(L8446="", "Pending", IF(N8446&lt;=30, "Met", "Breached"))</f>
        <v/>
      </c>
    </row>
    <row r="8447">
      <c r="M8447" s="11">
        <f>B8447+30</f>
        <v/>
      </c>
      <c r="N8447">
        <f>IF(L8447="", "", L8447-B8447)</f>
        <v/>
      </c>
      <c r="O8447">
        <f>IF(L8447="", "Pending", IF(N8447&lt;=30, "Met", "Breached"))</f>
        <v/>
      </c>
    </row>
    <row r="8448">
      <c r="M8448" s="11">
        <f>B8448+30</f>
        <v/>
      </c>
      <c r="N8448">
        <f>IF(L8448="", "", L8448-B8448)</f>
        <v/>
      </c>
      <c r="O8448">
        <f>IF(L8448="", "Pending", IF(N8448&lt;=30, "Met", "Breached"))</f>
        <v/>
      </c>
    </row>
    <row r="8449">
      <c r="M8449" s="11">
        <f>B8449+30</f>
        <v/>
      </c>
      <c r="N8449">
        <f>IF(L8449="", "", L8449-B8449)</f>
        <v/>
      </c>
      <c r="O8449">
        <f>IF(L8449="", "Pending", IF(N8449&lt;=30, "Met", "Breached"))</f>
        <v/>
      </c>
    </row>
    <row r="8450">
      <c r="M8450" s="11">
        <f>B8450+30</f>
        <v/>
      </c>
      <c r="N8450">
        <f>IF(L8450="", "", L8450-B8450)</f>
        <v/>
      </c>
      <c r="O8450">
        <f>IF(L8450="", "Pending", IF(N8450&lt;=30, "Met", "Breached"))</f>
        <v/>
      </c>
    </row>
    <row r="8451">
      <c r="M8451" s="11">
        <f>B8451+30</f>
        <v/>
      </c>
      <c r="N8451">
        <f>IF(L8451="", "", L8451-B8451)</f>
        <v/>
      </c>
      <c r="O8451">
        <f>IF(L8451="", "Pending", IF(N8451&lt;=30, "Met", "Breached"))</f>
        <v/>
      </c>
    </row>
    <row r="8452">
      <c r="M8452" s="11">
        <f>B8452+30</f>
        <v/>
      </c>
      <c r="N8452">
        <f>IF(L8452="", "", L8452-B8452)</f>
        <v/>
      </c>
      <c r="O8452">
        <f>IF(L8452="", "Pending", IF(N8452&lt;=30, "Met", "Breached"))</f>
        <v/>
      </c>
    </row>
    <row r="8453">
      <c r="M8453" s="11">
        <f>B8453+30</f>
        <v/>
      </c>
      <c r="N8453">
        <f>IF(L8453="", "", L8453-B8453)</f>
        <v/>
      </c>
      <c r="O8453">
        <f>IF(L8453="", "Pending", IF(N8453&lt;=30, "Met", "Breached"))</f>
        <v/>
      </c>
    </row>
    <row r="8454">
      <c r="M8454" s="11">
        <f>B8454+30</f>
        <v/>
      </c>
      <c r="N8454">
        <f>IF(L8454="", "", L8454-B8454)</f>
        <v/>
      </c>
      <c r="O8454">
        <f>IF(L8454="", "Pending", IF(N8454&lt;=30, "Met", "Breached"))</f>
        <v/>
      </c>
    </row>
    <row r="8455">
      <c r="M8455" s="11">
        <f>B8455+30</f>
        <v/>
      </c>
      <c r="N8455">
        <f>IF(L8455="", "", L8455-B8455)</f>
        <v/>
      </c>
      <c r="O8455">
        <f>IF(L8455="", "Pending", IF(N8455&lt;=30, "Met", "Breached"))</f>
        <v/>
      </c>
    </row>
    <row r="8456">
      <c r="M8456" s="11">
        <f>B8456+30</f>
        <v/>
      </c>
      <c r="N8456">
        <f>IF(L8456="", "", L8456-B8456)</f>
        <v/>
      </c>
      <c r="O8456">
        <f>IF(L8456="", "Pending", IF(N8456&lt;=30, "Met", "Breached"))</f>
        <v/>
      </c>
    </row>
    <row r="8457">
      <c r="M8457" s="11">
        <f>B8457+30</f>
        <v/>
      </c>
      <c r="N8457">
        <f>IF(L8457="", "", L8457-B8457)</f>
        <v/>
      </c>
      <c r="O8457">
        <f>IF(L8457="", "Pending", IF(N8457&lt;=30, "Met", "Breached"))</f>
        <v/>
      </c>
    </row>
    <row r="8458">
      <c r="M8458" s="11">
        <f>B8458+30</f>
        <v/>
      </c>
      <c r="N8458">
        <f>IF(L8458="", "", L8458-B8458)</f>
        <v/>
      </c>
      <c r="O8458">
        <f>IF(L8458="", "Pending", IF(N8458&lt;=30, "Met", "Breached"))</f>
        <v/>
      </c>
    </row>
    <row r="8459">
      <c r="M8459" s="11">
        <f>B8459+30</f>
        <v/>
      </c>
      <c r="N8459">
        <f>IF(L8459="", "", L8459-B8459)</f>
        <v/>
      </c>
      <c r="O8459">
        <f>IF(L8459="", "Pending", IF(N8459&lt;=30, "Met", "Breached"))</f>
        <v/>
      </c>
    </row>
    <row r="8460">
      <c r="M8460" s="11">
        <f>B8460+30</f>
        <v/>
      </c>
      <c r="N8460">
        <f>IF(L8460="", "", L8460-B8460)</f>
        <v/>
      </c>
      <c r="O8460">
        <f>IF(L8460="", "Pending", IF(N8460&lt;=30, "Met", "Breached"))</f>
        <v/>
      </c>
    </row>
    <row r="8461">
      <c r="M8461" s="11">
        <f>B8461+30</f>
        <v/>
      </c>
      <c r="N8461">
        <f>IF(L8461="", "", L8461-B8461)</f>
        <v/>
      </c>
      <c r="O8461">
        <f>IF(L8461="", "Pending", IF(N8461&lt;=30, "Met", "Breached"))</f>
        <v/>
      </c>
    </row>
    <row r="8462">
      <c r="M8462" s="11">
        <f>B8462+30</f>
        <v/>
      </c>
      <c r="N8462">
        <f>IF(L8462="", "", L8462-B8462)</f>
        <v/>
      </c>
      <c r="O8462">
        <f>IF(L8462="", "Pending", IF(N8462&lt;=30, "Met", "Breached"))</f>
        <v/>
      </c>
    </row>
    <row r="8463">
      <c r="M8463" s="11">
        <f>B8463+30</f>
        <v/>
      </c>
      <c r="N8463">
        <f>IF(L8463="", "", L8463-B8463)</f>
        <v/>
      </c>
      <c r="O8463">
        <f>IF(L8463="", "Pending", IF(N8463&lt;=30, "Met", "Breached"))</f>
        <v/>
      </c>
    </row>
    <row r="8464">
      <c r="M8464" s="11">
        <f>B8464+30</f>
        <v/>
      </c>
      <c r="N8464">
        <f>IF(L8464="", "", L8464-B8464)</f>
        <v/>
      </c>
      <c r="O8464">
        <f>IF(L8464="", "Pending", IF(N8464&lt;=30, "Met", "Breached"))</f>
        <v/>
      </c>
    </row>
    <row r="8465">
      <c r="M8465" s="11">
        <f>B8465+30</f>
        <v/>
      </c>
      <c r="N8465">
        <f>IF(L8465="", "", L8465-B8465)</f>
        <v/>
      </c>
      <c r="O8465">
        <f>IF(L8465="", "Pending", IF(N8465&lt;=30, "Met", "Breached"))</f>
        <v/>
      </c>
    </row>
    <row r="8466">
      <c r="M8466" s="11">
        <f>B8466+30</f>
        <v/>
      </c>
      <c r="N8466">
        <f>IF(L8466="", "", L8466-B8466)</f>
        <v/>
      </c>
      <c r="O8466">
        <f>IF(L8466="", "Pending", IF(N8466&lt;=30, "Met", "Breached"))</f>
        <v/>
      </c>
    </row>
    <row r="8467">
      <c r="M8467" s="11">
        <f>B8467+30</f>
        <v/>
      </c>
      <c r="N8467">
        <f>IF(L8467="", "", L8467-B8467)</f>
        <v/>
      </c>
      <c r="O8467">
        <f>IF(L8467="", "Pending", IF(N8467&lt;=30, "Met", "Breached"))</f>
        <v/>
      </c>
    </row>
    <row r="8468">
      <c r="M8468" s="11">
        <f>B8468+30</f>
        <v/>
      </c>
      <c r="N8468">
        <f>IF(L8468="", "", L8468-B8468)</f>
        <v/>
      </c>
      <c r="O8468">
        <f>IF(L8468="", "Pending", IF(N8468&lt;=30, "Met", "Breached"))</f>
        <v/>
      </c>
    </row>
    <row r="8469">
      <c r="M8469" s="11">
        <f>B8469+30</f>
        <v/>
      </c>
      <c r="N8469">
        <f>IF(L8469="", "", L8469-B8469)</f>
        <v/>
      </c>
      <c r="O8469">
        <f>IF(L8469="", "Pending", IF(N8469&lt;=30, "Met", "Breached"))</f>
        <v/>
      </c>
    </row>
    <row r="8470">
      <c r="M8470" s="11">
        <f>B8470+30</f>
        <v/>
      </c>
      <c r="N8470">
        <f>IF(L8470="", "", L8470-B8470)</f>
        <v/>
      </c>
      <c r="O8470">
        <f>IF(L8470="", "Pending", IF(N8470&lt;=30, "Met", "Breached"))</f>
        <v/>
      </c>
    </row>
    <row r="8471">
      <c r="M8471" s="11">
        <f>B8471+30</f>
        <v/>
      </c>
      <c r="N8471">
        <f>IF(L8471="", "", L8471-B8471)</f>
        <v/>
      </c>
      <c r="O8471">
        <f>IF(L8471="", "Pending", IF(N8471&lt;=30, "Met", "Breached"))</f>
        <v/>
      </c>
    </row>
    <row r="8472">
      <c r="M8472" s="11">
        <f>B8472+30</f>
        <v/>
      </c>
      <c r="N8472">
        <f>IF(L8472="", "", L8472-B8472)</f>
        <v/>
      </c>
      <c r="O8472">
        <f>IF(L8472="", "Pending", IF(N8472&lt;=30, "Met", "Breached"))</f>
        <v/>
      </c>
    </row>
    <row r="8473">
      <c r="M8473" s="11">
        <f>B8473+30</f>
        <v/>
      </c>
      <c r="N8473">
        <f>IF(L8473="", "", L8473-B8473)</f>
        <v/>
      </c>
      <c r="O8473">
        <f>IF(L8473="", "Pending", IF(N8473&lt;=30, "Met", "Breached"))</f>
        <v/>
      </c>
    </row>
    <row r="8474">
      <c r="M8474" s="11">
        <f>B8474+30</f>
        <v/>
      </c>
      <c r="N8474">
        <f>IF(L8474="", "", L8474-B8474)</f>
        <v/>
      </c>
      <c r="O8474">
        <f>IF(L8474="", "Pending", IF(N8474&lt;=30, "Met", "Breached"))</f>
        <v/>
      </c>
    </row>
    <row r="8475">
      <c r="M8475" s="11">
        <f>B8475+30</f>
        <v/>
      </c>
      <c r="N8475">
        <f>IF(L8475="", "", L8475-B8475)</f>
        <v/>
      </c>
      <c r="O8475">
        <f>IF(L8475="", "Pending", IF(N8475&lt;=30, "Met", "Breached"))</f>
        <v/>
      </c>
    </row>
    <row r="8476">
      <c r="M8476" s="11">
        <f>B8476+30</f>
        <v/>
      </c>
      <c r="N8476">
        <f>IF(L8476="", "", L8476-B8476)</f>
        <v/>
      </c>
      <c r="O8476">
        <f>IF(L8476="", "Pending", IF(N8476&lt;=30, "Met", "Breached"))</f>
        <v/>
      </c>
    </row>
    <row r="8477">
      <c r="M8477" s="11">
        <f>B8477+30</f>
        <v/>
      </c>
      <c r="N8477">
        <f>IF(L8477="", "", L8477-B8477)</f>
        <v/>
      </c>
      <c r="O8477">
        <f>IF(L8477="", "Pending", IF(N8477&lt;=30, "Met", "Breached"))</f>
        <v/>
      </c>
    </row>
    <row r="8478">
      <c r="M8478" s="11">
        <f>B8478+30</f>
        <v/>
      </c>
      <c r="N8478">
        <f>IF(L8478="", "", L8478-B8478)</f>
        <v/>
      </c>
      <c r="O8478">
        <f>IF(L8478="", "Pending", IF(N8478&lt;=30, "Met", "Breached"))</f>
        <v/>
      </c>
    </row>
    <row r="8479">
      <c r="M8479" s="11">
        <f>B8479+30</f>
        <v/>
      </c>
      <c r="N8479">
        <f>IF(L8479="", "", L8479-B8479)</f>
        <v/>
      </c>
      <c r="O8479">
        <f>IF(L8479="", "Pending", IF(N8479&lt;=30, "Met", "Breached"))</f>
        <v/>
      </c>
    </row>
    <row r="8480">
      <c r="M8480" s="11">
        <f>B8480+30</f>
        <v/>
      </c>
      <c r="N8480">
        <f>IF(L8480="", "", L8480-B8480)</f>
        <v/>
      </c>
      <c r="O8480">
        <f>IF(L8480="", "Pending", IF(N8480&lt;=30, "Met", "Breached"))</f>
        <v/>
      </c>
    </row>
    <row r="8481">
      <c r="M8481" s="11">
        <f>B8481+30</f>
        <v/>
      </c>
      <c r="N8481">
        <f>IF(L8481="", "", L8481-B8481)</f>
        <v/>
      </c>
      <c r="O8481">
        <f>IF(L8481="", "Pending", IF(N8481&lt;=30, "Met", "Breached"))</f>
        <v/>
      </c>
    </row>
    <row r="8482">
      <c r="M8482" s="11">
        <f>B8482+30</f>
        <v/>
      </c>
      <c r="N8482">
        <f>IF(L8482="", "", L8482-B8482)</f>
        <v/>
      </c>
      <c r="O8482">
        <f>IF(L8482="", "Pending", IF(N8482&lt;=30, "Met", "Breached"))</f>
        <v/>
      </c>
    </row>
    <row r="8483">
      <c r="M8483" s="11">
        <f>B8483+30</f>
        <v/>
      </c>
      <c r="N8483">
        <f>IF(L8483="", "", L8483-B8483)</f>
        <v/>
      </c>
      <c r="O8483">
        <f>IF(L8483="", "Pending", IF(N8483&lt;=30, "Met", "Breached"))</f>
        <v/>
      </c>
    </row>
    <row r="8484">
      <c r="M8484" s="11">
        <f>B8484+30</f>
        <v/>
      </c>
      <c r="N8484">
        <f>IF(L8484="", "", L8484-B8484)</f>
        <v/>
      </c>
      <c r="O8484">
        <f>IF(L8484="", "Pending", IF(N8484&lt;=30, "Met", "Breached"))</f>
        <v/>
      </c>
    </row>
    <row r="8485">
      <c r="M8485" s="11">
        <f>B8485+30</f>
        <v/>
      </c>
      <c r="N8485">
        <f>IF(L8485="", "", L8485-B8485)</f>
        <v/>
      </c>
      <c r="O8485">
        <f>IF(L8485="", "Pending", IF(N8485&lt;=30, "Met", "Breached"))</f>
        <v/>
      </c>
    </row>
    <row r="8486">
      <c r="M8486" s="11">
        <f>B8486+30</f>
        <v/>
      </c>
      <c r="N8486">
        <f>IF(L8486="", "", L8486-B8486)</f>
        <v/>
      </c>
      <c r="O8486">
        <f>IF(L8486="", "Pending", IF(N8486&lt;=30, "Met", "Breached"))</f>
        <v/>
      </c>
    </row>
    <row r="8487">
      <c r="M8487" s="11">
        <f>B8487+30</f>
        <v/>
      </c>
      <c r="N8487">
        <f>IF(L8487="", "", L8487-B8487)</f>
        <v/>
      </c>
      <c r="O8487">
        <f>IF(L8487="", "Pending", IF(N8487&lt;=30, "Met", "Breached"))</f>
        <v/>
      </c>
    </row>
    <row r="8488">
      <c r="M8488" s="11">
        <f>B8488+30</f>
        <v/>
      </c>
      <c r="N8488">
        <f>IF(L8488="", "", L8488-B8488)</f>
        <v/>
      </c>
      <c r="O8488">
        <f>IF(L8488="", "Pending", IF(N8488&lt;=30, "Met", "Breached"))</f>
        <v/>
      </c>
    </row>
    <row r="8489">
      <c r="M8489" s="11">
        <f>B8489+30</f>
        <v/>
      </c>
      <c r="N8489">
        <f>IF(L8489="", "", L8489-B8489)</f>
        <v/>
      </c>
      <c r="O8489">
        <f>IF(L8489="", "Pending", IF(N8489&lt;=30, "Met", "Breached"))</f>
        <v/>
      </c>
    </row>
    <row r="8490">
      <c r="M8490" s="11">
        <f>B8490+30</f>
        <v/>
      </c>
      <c r="N8490">
        <f>IF(L8490="", "", L8490-B8490)</f>
        <v/>
      </c>
      <c r="O8490">
        <f>IF(L8490="", "Pending", IF(N8490&lt;=30, "Met", "Breached"))</f>
        <v/>
      </c>
    </row>
    <row r="8491">
      <c r="M8491" s="11">
        <f>B8491+30</f>
        <v/>
      </c>
      <c r="N8491">
        <f>IF(L8491="", "", L8491-B8491)</f>
        <v/>
      </c>
      <c r="O8491">
        <f>IF(L8491="", "Pending", IF(N8491&lt;=30, "Met", "Breached"))</f>
        <v/>
      </c>
    </row>
    <row r="8492">
      <c r="M8492" s="11">
        <f>B8492+30</f>
        <v/>
      </c>
      <c r="N8492">
        <f>IF(L8492="", "", L8492-B8492)</f>
        <v/>
      </c>
      <c r="O8492">
        <f>IF(L8492="", "Pending", IF(N8492&lt;=30, "Met", "Breached"))</f>
        <v/>
      </c>
    </row>
    <row r="8493">
      <c r="M8493" s="11">
        <f>B8493+30</f>
        <v/>
      </c>
      <c r="N8493">
        <f>IF(L8493="", "", L8493-B8493)</f>
        <v/>
      </c>
      <c r="O8493">
        <f>IF(L8493="", "Pending", IF(N8493&lt;=30, "Met", "Breached"))</f>
        <v/>
      </c>
    </row>
    <row r="8494">
      <c r="M8494" s="11">
        <f>B8494+30</f>
        <v/>
      </c>
      <c r="N8494">
        <f>IF(L8494="", "", L8494-B8494)</f>
        <v/>
      </c>
      <c r="O8494">
        <f>IF(L8494="", "Pending", IF(N8494&lt;=30, "Met", "Breached"))</f>
        <v/>
      </c>
    </row>
    <row r="8495">
      <c r="M8495" s="11">
        <f>B8495+30</f>
        <v/>
      </c>
      <c r="N8495">
        <f>IF(L8495="", "", L8495-B8495)</f>
        <v/>
      </c>
      <c r="O8495">
        <f>IF(L8495="", "Pending", IF(N8495&lt;=30, "Met", "Breached"))</f>
        <v/>
      </c>
    </row>
    <row r="8496">
      <c r="M8496" s="11">
        <f>B8496+30</f>
        <v/>
      </c>
      <c r="N8496">
        <f>IF(L8496="", "", L8496-B8496)</f>
        <v/>
      </c>
      <c r="O8496">
        <f>IF(L8496="", "Pending", IF(N8496&lt;=30, "Met", "Breached"))</f>
        <v/>
      </c>
    </row>
    <row r="8497">
      <c r="M8497" s="11">
        <f>B8497+30</f>
        <v/>
      </c>
      <c r="N8497">
        <f>IF(L8497="", "", L8497-B8497)</f>
        <v/>
      </c>
      <c r="O8497">
        <f>IF(L8497="", "Pending", IF(N8497&lt;=30, "Met", "Breached"))</f>
        <v/>
      </c>
    </row>
    <row r="8498">
      <c r="M8498" s="11">
        <f>B8498+30</f>
        <v/>
      </c>
      <c r="N8498">
        <f>IF(L8498="", "", L8498-B8498)</f>
        <v/>
      </c>
      <c r="O8498">
        <f>IF(L8498="", "Pending", IF(N8498&lt;=30, "Met", "Breached"))</f>
        <v/>
      </c>
    </row>
    <row r="8499">
      <c r="M8499" s="11">
        <f>B8499+30</f>
        <v/>
      </c>
      <c r="N8499">
        <f>IF(L8499="", "", L8499-B8499)</f>
        <v/>
      </c>
      <c r="O8499">
        <f>IF(L8499="", "Pending", IF(N8499&lt;=30, "Met", "Breached"))</f>
        <v/>
      </c>
    </row>
    <row r="8500">
      <c r="M8500" s="11">
        <f>B8500+30</f>
        <v/>
      </c>
      <c r="N8500">
        <f>IF(L8500="", "", L8500-B8500)</f>
        <v/>
      </c>
      <c r="O8500">
        <f>IF(L8500="", "Pending", IF(N8500&lt;=30, "Met", "Breached"))</f>
        <v/>
      </c>
    </row>
    <row r="8501">
      <c r="M8501" s="11">
        <f>B8501+30</f>
        <v/>
      </c>
      <c r="N8501">
        <f>IF(L8501="", "", L8501-B8501)</f>
        <v/>
      </c>
      <c r="O8501">
        <f>IF(L8501="", "Pending", IF(N8501&lt;=30, "Met", "Breached"))</f>
        <v/>
      </c>
    </row>
    <row r="8502">
      <c r="M8502" s="11">
        <f>B8502+30</f>
        <v/>
      </c>
      <c r="N8502">
        <f>IF(L8502="", "", L8502-B8502)</f>
        <v/>
      </c>
      <c r="O8502">
        <f>IF(L8502="", "Pending", IF(N8502&lt;=30, "Met", "Breached"))</f>
        <v/>
      </c>
    </row>
    <row r="8503">
      <c r="M8503" s="11">
        <f>B8503+30</f>
        <v/>
      </c>
      <c r="N8503">
        <f>IF(L8503="", "", L8503-B8503)</f>
        <v/>
      </c>
      <c r="O8503">
        <f>IF(L8503="", "Pending", IF(N8503&lt;=30, "Met", "Breached"))</f>
        <v/>
      </c>
    </row>
    <row r="8504">
      <c r="M8504" s="11">
        <f>B8504+30</f>
        <v/>
      </c>
      <c r="N8504">
        <f>IF(L8504="", "", L8504-B8504)</f>
        <v/>
      </c>
      <c r="O8504">
        <f>IF(L8504="", "Pending", IF(N8504&lt;=30, "Met", "Breached"))</f>
        <v/>
      </c>
    </row>
    <row r="8505">
      <c r="M8505" s="11">
        <f>B8505+30</f>
        <v/>
      </c>
      <c r="N8505">
        <f>IF(L8505="", "", L8505-B8505)</f>
        <v/>
      </c>
      <c r="O8505">
        <f>IF(L8505="", "Pending", IF(N8505&lt;=30, "Met", "Breached"))</f>
        <v/>
      </c>
    </row>
    <row r="8506">
      <c r="M8506" s="11">
        <f>B8506+30</f>
        <v/>
      </c>
      <c r="N8506">
        <f>IF(L8506="", "", L8506-B8506)</f>
        <v/>
      </c>
      <c r="O8506">
        <f>IF(L8506="", "Pending", IF(N8506&lt;=30, "Met", "Breached"))</f>
        <v/>
      </c>
    </row>
    <row r="8507">
      <c r="M8507" s="11">
        <f>B8507+30</f>
        <v/>
      </c>
      <c r="N8507">
        <f>IF(L8507="", "", L8507-B8507)</f>
        <v/>
      </c>
      <c r="O8507">
        <f>IF(L8507="", "Pending", IF(N8507&lt;=30, "Met", "Breached"))</f>
        <v/>
      </c>
    </row>
    <row r="8508">
      <c r="M8508" s="11">
        <f>B8508+30</f>
        <v/>
      </c>
      <c r="N8508">
        <f>IF(L8508="", "", L8508-B8508)</f>
        <v/>
      </c>
      <c r="O8508">
        <f>IF(L8508="", "Pending", IF(N8508&lt;=30, "Met", "Breached"))</f>
        <v/>
      </c>
    </row>
    <row r="8509">
      <c r="M8509" s="11">
        <f>B8509+30</f>
        <v/>
      </c>
      <c r="N8509">
        <f>IF(L8509="", "", L8509-B8509)</f>
        <v/>
      </c>
      <c r="O8509">
        <f>IF(L8509="", "Pending", IF(N8509&lt;=30, "Met", "Breached"))</f>
        <v/>
      </c>
    </row>
    <row r="8510">
      <c r="M8510" s="11">
        <f>B8510+30</f>
        <v/>
      </c>
      <c r="N8510">
        <f>IF(L8510="", "", L8510-B8510)</f>
        <v/>
      </c>
      <c r="O8510">
        <f>IF(L8510="", "Pending", IF(N8510&lt;=30, "Met", "Breached"))</f>
        <v/>
      </c>
    </row>
    <row r="8511">
      <c r="M8511" s="11">
        <f>B8511+30</f>
        <v/>
      </c>
      <c r="N8511">
        <f>IF(L8511="", "", L8511-B8511)</f>
        <v/>
      </c>
      <c r="O8511">
        <f>IF(L8511="", "Pending", IF(N8511&lt;=30, "Met", "Breached"))</f>
        <v/>
      </c>
    </row>
    <row r="8512">
      <c r="M8512" s="11">
        <f>B8512+30</f>
        <v/>
      </c>
      <c r="N8512">
        <f>IF(L8512="", "", L8512-B8512)</f>
        <v/>
      </c>
      <c r="O8512">
        <f>IF(L8512="", "Pending", IF(N8512&lt;=30, "Met", "Breached"))</f>
        <v/>
      </c>
    </row>
    <row r="8513">
      <c r="M8513" s="11">
        <f>B8513+30</f>
        <v/>
      </c>
      <c r="N8513">
        <f>IF(L8513="", "", L8513-B8513)</f>
        <v/>
      </c>
      <c r="O8513">
        <f>IF(L8513="", "Pending", IF(N8513&lt;=30, "Met", "Breached"))</f>
        <v/>
      </c>
    </row>
    <row r="8514">
      <c r="M8514" s="11">
        <f>B8514+30</f>
        <v/>
      </c>
      <c r="N8514">
        <f>IF(L8514="", "", L8514-B8514)</f>
        <v/>
      </c>
      <c r="O8514">
        <f>IF(L8514="", "Pending", IF(N8514&lt;=30, "Met", "Breached"))</f>
        <v/>
      </c>
    </row>
    <row r="8515">
      <c r="M8515" s="11">
        <f>B8515+30</f>
        <v/>
      </c>
      <c r="N8515">
        <f>IF(L8515="", "", L8515-B8515)</f>
        <v/>
      </c>
      <c r="O8515">
        <f>IF(L8515="", "Pending", IF(N8515&lt;=30, "Met", "Breached"))</f>
        <v/>
      </c>
    </row>
    <row r="8516">
      <c r="M8516" s="11">
        <f>B8516+30</f>
        <v/>
      </c>
      <c r="N8516">
        <f>IF(L8516="", "", L8516-B8516)</f>
        <v/>
      </c>
      <c r="O8516">
        <f>IF(L8516="", "Pending", IF(N8516&lt;=30, "Met", "Breached"))</f>
        <v/>
      </c>
    </row>
    <row r="8517">
      <c r="M8517" s="11">
        <f>B8517+30</f>
        <v/>
      </c>
      <c r="N8517">
        <f>IF(L8517="", "", L8517-B8517)</f>
        <v/>
      </c>
      <c r="O8517">
        <f>IF(L8517="", "Pending", IF(N8517&lt;=30, "Met", "Breached"))</f>
        <v/>
      </c>
    </row>
    <row r="8518">
      <c r="M8518" s="11">
        <f>B8518+30</f>
        <v/>
      </c>
      <c r="N8518">
        <f>IF(L8518="", "", L8518-B8518)</f>
        <v/>
      </c>
      <c r="O8518">
        <f>IF(L8518="", "Pending", IF(N8518&lt;=30, "Met", "Breached"))</f>
        <v/>
      </c>
    </row>
    <row r="8519">
      <c r="M8519" s="11">
        <f>B8519+30</f>
        <v/>
      </c>
      <c r="N8519">
        <f>IF(L8519="", "", L8519-B8519)</f>
        <v/>
      </c>
      <c r="O8519">
        <f>IF(L8519="", "Pending", IF(N8519&lt;=30, "Met", "Breached"))</f>
        <v/>
      </c>
    </row>
    <row r="8520">
      <c r="M8520" s="11">
        <f>B8520+30</f>
        <v/>
      </c>
      <c r="N8520">
        <f>IF(L8520="", "", L8520-B8520)</f>
        <v/>
      </c>
      <c r="O8520">
        <f>IF(L8520="", "Pending", IF(N8520&lt;=30, "Met", "Breached"))</f>
        <v/>
      </c>
    </row>
    <row r="8521">
      <c r="M8521" s="11">
        <f>B8521+30</f>
        <v/>
      </c>
      <c r="N8521">
        <f>IF(L8521="", "", L8521-B8521)</f>
        <v/>
      </c>
      <c r="O8521">
        <f>IF(L8521="", "Pending", IF(N8521&lt;=30, "Met", "Breached"))</f>
        <v/>
      </c>
    </row>
    <row r="8522">
      <c r="M8522" s="11">
        <f>B8522+30</f>
        <v/>
      </c>
      <c r="N8522">
        <f>IF(L8522="", "", L8522-B8522)</f>
        <v/>
      </c>
      <c r="O8522">
        <f>IF(L8522="", "Pending", IF(N8522&lt;=30, "Met", "Breached"))</f>
        <v/>
      </c>
    </row>
    <row r="8523">
      <c r="M8523" s="11">
        <f>B8523+30</f>
        <v/>
      </c>
      <c r="N8523">
        <f>IF(L8523="", "", L8523-B8523)</f>
        <v/>
      </c>
      <c r="O8523">
        <f>IF(L8523="", "Pending", IF(N8523&lt;=30, "Met", "Breached"))</f>
        <v/>
      </c>
    </row>
    <row r="8524">
      <c r="M8524" s="11">
        <f>B8524+30</f>
        <v/>
      </c>
      <c r="N8524">
        <f>IF(L8524="", "", L8524-B8524)</f>
        <v/>
      </c>
      <c r="O8524">
        <f>IF(L8524="", "Pending", IF(N8524&lt;=30, "Met", "Breached"))</f>
        <v/>
      </c>
    </row>
    <row r="8525">
      <c r="M8525" s="11">
        <f>B8525+30</f>
        <v/>
      </c>
      <c r="N8525">
        <f>IF(L8525="", "", L8525-B8525)</f>
        <v/>
      </c>
      <c r="O8525">
        <f>IF(L8525="", "Pending", IF(N8525&lt;=30, "Met", "Breached"))</f>
        <v/>
      </c>
    </row>
    <row r="8526">
      <c r="M8526" s="11">
        <f>B8526+30</f>
        <v/>
      </c>
      <c r="N8526">
        <f>IF(L8526="", "", L8526-B8526)</f>
        <v/>
      </c>
      <c r="O8526">
        <f>IF(L8526="", "Pending", IF(N8526&lt;=30, "Met", "Breached"))</f>
        <v/>
      </c>
    </row>
    <row r="8527">
      <c r="M8527" s="11">
        <f>B8527+30</f>
        <v/>
      </c>
      <c r="N8527">
        <f>IF(L8527="", "", L8527-B8527)</f>
        <v/>
      </c>
      <c r="O8527">
        <f>IF(L8527="", "Pending", IF(N8527&lt;=30, "Met", "Breached"))</f>
        <v/>
      </c>
    </row>
    <row r="8528">
      <c r="M8528" s="11">
        <f>B8528+30</f>
        <v/>
      </c>
      <c r="N8528">
        <f>IF(L8528="", "", L8528-B8528)</f>
        <v/>
      </c>
      <c r="O8528">
        <f>IF(L8528="", "Pending", IF(N8528&lt;=30, "Met", "Breached"))</f>
        <v/>
      </c>
    </row>
    <row r="8529">
      <c r="M8529" s="11">
        <f>B8529+30</f>
        <v/>
      </c>
      <c r="N8529">
        <f>IF(L8529="", "", L8529-B8529)</f>
        <v/>
      </c>
      <c r="O8529">
        <f>IF(L8529="", "Pending", IF(N8529&lt;=30, "Met", "Breached"))</f>
        <v/>
      </c>
    </row>
    <row r="8530">
      <c r="M8530" s="11">
        <f>B8530+30</f>
        <v/>
      </c>
      <c r="N8530">
        <f>IF(L8530="", "", L8530-B8530)</f>
        <v/>
      </c>
      <c r="O8530">
        <f>IF(L8530="", "Pending", IF(N8530&lt;=30, "Met", "Breached"))</f>
        <v/>
      </c>
    </row>
    <row r="8531">
      <c r="M8531" s="11">
        <f>B8531+30</f>
        <v/>
      </c>
      <c r="N8531">
        <f>IF(L8531="", "", L8531-B8531)</f>
        <v/>
      </c>
      <c r="O8531">
        <f>IF(L8531="", "Pending", IF(N8531&lt;=30, "Met", "Breached"))</f>
        <v/>
      </c>
    </row>
    <row r="8532">
      <c r="M8532" s="11">
        <f>B8532+30</f>
        <v/>
      </c>
      <c r="N8532">
        <f>IF(L8532="", "", L8532-B8532)</f>
        <v/>
      </c>
      <c r="O8532">
        <f>IF(L8532="", "Pending", IF(N8532&lt;=30, "Met", "Breached"))</f>
        <v/>
      </c>
    </row>
    <row r="8533">
      <c r="M8533" s="11">
        <f>B8533+30</f>
        <v/>
      </c>
      <c r="N8533">
        <f>IF(L8533="", "", L8533-B8533)</f>
        <v/>
      </c>
      <c r="O8533">
        <f>IF(L8533="", "Pending", IF(N8533&lt;=30, "Met", "Breached"))</f>
        <v/>
      </c>
    </row>
    <row r="8534">
      <c r="M8534" s="11">
        <f>B8534+30</f>
        <v/>
      </c>
      <c r="N8534">
        <f>IF(L8534="", "", L8534-B8534)</f>
        <v/>
      </c>
      <c r="O8534">
        <f>IF(L8534="", "Pending", IF(N8534&lt;=30, "Met", "Breached"))</f>
        <v/>
      </c>
    </row>
    <row r="8535">
      <c r="M8535" s="11">
        <f>B8535+30</f>
        <v/>
      </c>
      <c r="N8535">
        <f>IF(L8535="", "", L8535-B8535)</f>
        <v/>
      </c>
      <c r="O8535">
        <f>IF(L8535="", "Pending", IF(N8535&lt;=30, "Met", "Breached"))</f>
        <v/>
      </c>
    </row>
    <row r="8536">
      <c r="M8536" s="11">
        <f>B8536+30</f>
        <v/>
      </c>
      <c r="N8536">
        <f>IF(L8536="", "", L8536-B8536)</f>
        <v/>
      </c>
      <c r="O8536">
        <f>IF(L8536="", "Pending", IF(N8536&lt;=30, "Met", "Breached"))</f>
        <v/>
      </c>
    </row>
    <row r="8537">
      <c r="M8537" s="11">
        <f>B8537+30</f>
        <v/>
      </c>
      <c r="N8537">
        <f>IF(L8537="", "", L8537-B8537)</f>
        <v/>
      </c>
      <c r="O8537">
        <f>IF(L8537="", "Pending", IF(N8537&lt;=30, "Met", "Breached"))</f>
        <v/>
      </c>
    </row>
    <row r="8538">
      <c r="M8538" s="11">
        <f>B8538+30</f>
        <v/>
      </c>
      <c r="N8538">
        <f>IF(L8538="", "", L8538-B8538)</f>
        <v/>
      </c>
      <c r="O8538">
        <f>IF(L8538="", "Pending", IF(N8538&lt;=30, "Met", "Breached"))</f>
        <v/>
      </c>
    </row>
    <row r="8539">
      <c r="M8539" s="11">
        <f>B8539+30</f>
        <v/>
      </c>
      <c r="N8539">
        <f>IF(L8539="", "", L8539-B8539)</f>
        <v/>
      </c>
      <c r="O8539">
        <f>IF(L8539="", "Pending", IF(N8539&lt;=30, "Met", "Breached"))</f>
        <v/>
      </c>
    </row>
    <row r="8540">
      <c r="M8540" s="11">
        <f>B8540+30</f>
        <v/>
      </c>
      <c r="N8540">
        <f>IF(L8540="", "", L8540-B8540)</f>
        <v/>
      </c>
      <c r="O8540">
        <f>IF(L8540="", "Pending", IF(N8540&lt;=30, "Met", "Breached"))</f>
        <v/>
      </c>
    </row>
    <row r="8541">
      <c r="M8541" s="11">
        <f>B8541+30</f>
        <v/>
      </c>
      <c r="N8541">
        <f>IF(L8541="", "", L8541-B8541)</f>
        <v/>
      </c>
      <c r="O8541">
        <f>IF(L8541="", "Pending", IF(N8541&lt;=30, "Met", "Breached"))</f>
        <v/>
      </c>
    </row>
    <row r="8542">
      <c r="M8542" s="11">
        <f>B8542+30</f>
        <v/>
      </c>
      <c r="N8542">
        <f>IF(L8542="", "", L8542-B8542)</f>
        <v/>
      </c>
      <c r="O8542">
        <f>IF(L8542="", "Pending", IF(N8542&lt;=30, "Met", "Breached"))</f>
        <v/>
      </c>
    </row>
    <row r="8543">
      <c r="M8543" s="11">
        <f>B8543+30</f>
        <v/>
      </c>
      <c r="N8543">
        <f>IF(L8543="", "", L8543-B8543)</f>
        <v/>
      </c>
      <c r="O8543">
        <f>IF(L8543="", "Pending", IF(N8543&lt;=30, "Met", "Breached"))</f>
        <v/>
      </c>
    </row>
    <row r="8544">
      <c r="M8544" s="11">
        <f>B8544+30</f>
        <v/>
      </c>
      <c r="N8544">
        <f>IF(L8544="", "", L8544-B8544)</f>
        <v/>
      </c>
      <c r="O8544">
        <f>IF(L8544="", "Pending", IF(N8544&lt;=30, "Met", "Breached"))</f>
        <v/>
      </c>
    </row>
    <row r="8545">
      <c r="M8545" s="11">
        <f>B8545+30</f>
        <v/>
      </c>
      <c r="N8545">
        <f>IF(L8545="", "", L8545-B8545)</f>
        <v/>
      </c>
      <c r="O8545">
        <f>IF(L8545="", "Pending", IF(N8545&lt;=30, "Met", "Breached"))</f>
        <v/>
      </c>
    </row>
    <row r="8546">
      <c r="M8546" s="11">
        <f>B8546+30</f>
        <v/>
      </c>
      <c r="N8546">
        <f>IF(L8546="", "", L8546-B8546)</f>
        <v/>
      </c>
      <c r="O8546">
        <f>IF(L8546="", "Pending", IF(N8546&lt;=30, "Met", "Breached"))</f>
        <v/>
      </c>
    </row>
    <row r="8547">
      <c r="M8547" s="11">
        <f>B8547+30</f>
        <v/>
      </c>
      <c r="N8547">
        <f>IF(L8547="", "", L8547-B8547)</f>
        <v/>
      </c>
      <c r="O8547">
        <f>IF(L8547="", "Pending", IF(N8547&lt;=30, "Met", "Breached"))</f>
        <v/>
      </c>
    </row>
    <row r="8548">
      <c r="M8548" s="11">
        <f>B8548+30</f>
        <v/>
      </c>
      <c r="N8548">
        <f>IF(L8548="", "", L8548-B8548)</f>
        <v/>
      </c>
      <c r="O8548">
        <f>IF(L8548="", "Pending", IF(N8548&lt;=30, "Met", "Breached"))</f>
        <v/>
      </c>
    </row>
    <row r="8549">
      <c r="M8549" s="11">
        <f>B8549+30</f>
        <v/>
      </c>
      <c r="N8549">
        <f>IF(L8549="", "", L8549-B8549)</f>
        <v/>
      </c>
      <c r="O8549">
        <f>IF(L8549="", "Pending", IF(N8549&lt;=30, "Met", "Breached"))</f>
        <v/>
      </c>
    </row>
    <row r="8550">
      <c r="M8550" s="11">
        <f>B8550+30</f>
        <v/>
      </c>
      <c r="N8550">
        <f>IF(L8550="", "", L8550-B8550)</f>
        <v/>
      </c>
      <c r="O8550">
        <f>IF(L8550="", "Pending", IF(N8550&lt;=30, "Met", "Breached"))</f>
        <v/>
      </c>
    </row>
    <row r="8551">
      <c r="M8551" s="11">
        <f>B8551+30</f>
        <v/>
      </c>
      <c r="N8551">
        <f>IF(L8551="", "", L8551-B8551)</f>
        <v/>
      </c>
      <c r="O8551">
        <f>IF(L8551="", "Pending", IF(N8551&lt;=30, "Met", "Breached"))</f>
        <v/>
      </c>
    </row>
    <row r="8552">
      <c r="M8552" s="11">
        <f>B8552+30</f>
        <v/>
      </c>
      <c r="N8552">
        <f>IF(L8552="", "", L8552-B8552)</f>
        <v/>
      </c>
      <c r="O8552">
        <f>IF(L8552="", "Pending", IF(N8552&lt;=30, "Met", "Breached"))</f>
        <v/>
      </c>
    </row>
    <row r="8553">
      <c r="M8553" s="11">
        <f>B8553+30</f>
        <v/>
      </c>
      <c r="N8553">
        <f>IF(L8553="", "", L8553-B8553)</f>
        <v/>
      </c>
      <c r="O8553">
        <f>IF(L8553="", "Pending", IF(N8553&lt;=30, "Met", "Breached"))</f>
        <v/>
      </c>
    </row>
    <row r="8554">
      <c r="M8554" s="11">
        <f>B8554+30</f>
        <v/>
      </c>
      <c r="N8554">
        <f>IF(L8554="", "", L8554-B8554)</f>
        <v/>
      </c>
      <c r="O8554">
        <f>IF(L8554="", "Pending", IF(N8554&lt;=30, "Met", "Breached"))</f>
        <v/>
      </c>
    </row>
    <row r="8555">
      <c r="M8555" s="11">
        <f>B8555+30</f>
        <v/>
      </c>
      <c r="N8555">
        <f>IF(L8555="", "", L8555-B8555)</f>
        <v/>
      </c>
      <c r="O8555">
        <f>IF(L8555="", "Pending", IF(N8555&lt;=30, "Met", "Breached"))</f>
        <v/>
      </c>
    </row>
    <row r="8556">
      <c r="M8556" s="11">
        <f>B8556+30</f>
        <v/>
      </c>
      <c r="N8556">
        <f>IF(L8556="", "", L8556-B8556)</f>
        <v/>
      </c>
      <c r="O8556">
        <f>IF(L8556="", "Pending", IF(N8556&lt;=30, "Met", "Breached"))</f>
        <v/>
      </c>
    </row>
    <row r="8557">
      <c r="M8557" s="11">
        <f>B8557+30</f>
        <v/>
      </c>
      <c r="N8557">
        <f>IF(L8557="", "", L8557-B8557)</f>
        <v/>
      </c>
      <c r="O8557">
        <f>IF(L8557="", "Pending", IF(N8557&lt;=30, "Met", "Breached"))</f>
        <v/>
      </c>
    </row>
    <row r="8558">
      <c r="M8558" s="11">
        <f>B8558+30</f>
        <v/>
      </c>
      <c r="N8558">
        <f>IF(L8558="", "", L8558-B8558)</f>
        <v/>
      </c>
      <c r="O8558">
        <f>IF(L8558="", "Pending", IF(N8558&lt;=30, "Met", "Breached"))</f>
        <v/>
      </c>
    </row>
    <row r="8559">
      <c r="M8559" s="11">
        <f>B8559+30</f>
        <v/>
      </c>
      <c r="N8559">
        <f>IF(L8559="", "", L8559-B8559)</f>
        <v/>
      </c>
      <c r="O8559">
        <f>IF(L8559="", "Pending", IF(N8559&lt;=30, "Met", "Breached"))</f>
        <v/>
      </c>
    </row>
    <row r="8560">
      <c r="M8560" s="11">
        <f>B8560+30</f>
        <v/>
      </c>
      <c r="N8560">
        <f>IF(L8560="", "", L8560-B8560)</f>
        <v/>
      </c>
      <c r="O8560">
        <f>IF(L8560="", "Pending", IF(N8560&lt;=30, "Met", "Breached"))</f>
        <v/>
      </c>
    </row>
    <row r="8561">
      <c r="M8561" s="11">
        <f>B8561+30</f>
        <v/>
      </c>
      <c r="N8561">
        <f>IF(L8561="", "", L8561-B8561)</f>
        <v/>
      </c>
      <c r="O8561">
        <f>IF(L8561="", "Pending", IF(N8561&lt;=30, "Met", "Breached"))</f>
        <v/>
      </c>
    </row>
    <row r="8562">
      <c r="M8562" s="11">
        <f>B8562+30</f>
        <v/>
      </c>
      <c r="N8562">
        <f>IF(L8562="", "", L8562-B8562)</f>
        <v/>
      </c>
      <c r="O8562">
        <f>IF(L8562="", "Pending", IF(N8562&lt;=30, "Met", "Breached"))</f>
        <v/>
      </c>
    </row>
    <row r="8563">
      <c r="M8563" s="11">
        <f>B8563+30</f>
        <v/>
      </c>
      <c r="N8563">
        <f>IF(L8563="", "", L8563-B8563)</f>
        <v/>
      </c>
      <c r="O8563">
        <f>IF(L8563="", "Pending", IF(N8563&lt;=30, "Met", "Breached"))</f>
        <v/>
      </c>
    </row>
    <row r="8564">
      <c r="M8564" s="11">
        <f>B8564+30</f>
        <v/>
      </c>
      <c r="N8564">
        <f>IF(L8564="", "", L8564-B8564)</f>
        <v/>
      </c>
      <c r="O8564">
        <f>IF(L8564="", "Pending", IF(N8564&lt;=30, "Met", "Breached"))</f>
        <v/>
      </c>
    </row>
    <row r="8565">
      <c r="M8565" s="11">
        <f>B8565+30</f>
        <v/>
      </c>
      <c r="N8565">
        <f>IF(L8565="", "", L8565-B8565)</f>
        <v/>
      </c>
      <c r="O8565">
        <f>IF(L8565="", "Pending", IF(N8565&lt;=30, "Met", "Breached"))</f>
        <v/>
      </c>
    </row>
    <row r="8566">
      <c r="M8566" s="11">
        <f>B8566+30</f>
        <v/>
      </c>
      <c r="N8566">
        <f>IF(L8566="", "", L8566-B8566)</f>
        <v/>
      </c>
      <c r="O8566">
        <f>IF(L8566="", "Pending", IF(N8566&lt;=30, "Met", "Breached"))</f>
        <v/>
      </c>
    </row>
    <row r="8567">
      <c r="M8567" s="11">
        <f>B8567+30</f>
        <v/>
      </c>
      <c r="N8567">
        <f>IF(L8567="", "", L8567-B8567)</f>
        <v/>
      </c>
      <c r="O8567">
        <f>IF(L8567="", "Pending", IF(N8567&lt;=30, "Met", "Breached"))</f>
        <v/>
      </c>
    </row>
    <row r="8568">
      <c r="M8568" s="11">
        <f>B8568+30</f>
        <v/>
      </c>
      <c r="N8568">
        <f>IF(L8568="", "", L8568-B8568)</f>
        <v/>
      </c>
      <c r="O8568">
        <f>IF(L8568="", "Pending", IF(N8568&lt;=30, "Met", "Breached"))</f>
        <v/>
      </c>
    </row>
    <row r="8569">
      <c r="M8569" s="11">
        <f>B8569+30</f>
        <v/>
      </c>
      <c r="N8569">
        <f>IF(L8569="", "", L8569-B8569)</f>
        <v/>
      </c>
      <c r="O8569">
        <f>IF(L8569="", "Pending", IF(N8569&lt;=30, "Met", "Breached"))</f>
        <v/>
      </c>
    </row>
    <row r="8570">
      <c r="M8570" s="11">
        <f>B8570+30</f>
        <v/>
      </c>
      <c r="N8570">
        <f>IF(L8570="", "", L8570-B8570)</f>
        <v/>
      </c>
      <c r="O8570">
        <f>IF(L8570="", "Pending", IF(N8570&lt;=30, "Met", "Breached"))</f>
        <v/>
      </c>
    </row>
    <row r="8571">
      <c r="M8571" s="11">
        <f>B8571+30</f>
        <v/>
      </c>
      <c r="N8571">
        <f>IF(L8571="", "", L8571-B8571)</f>
        <v/>
      </c>
      <c r="O8571">
        <f>IF(L8571="", "Pending", IF(N8571&lt;=30, "Met", "Breached"))</f>
        <v/>
      </c>
    </row>
    <row r="8572">
      <c r="M8572" s="11">
        <f>B8572+30</f>
        <v/>
      </c>
      <c r="N8572">
        <f>IF(L8572="", "", L8572-B8572)</f>
        <v/>
      </c>
      <c r="O8572">
        <f>IF(L8572="", "Pending", IF(N8572&lt;=30, "Met", "Breached"))</f>
        <v/>
      </c>
    </row>
    <row r="8573">
      <c r="M8573" s="11">
        <f>B8573+30</f>
        <v/>
      </c>
      <c r="N8573">
        <f>IF(L8573="", "", L8573-B8573)</f>
        <v/>
      </c>
      <c r="O8573">
        <f>IF(L8573="", "Pending", IF(N8573&lt;=30, "Met", "Breached"))</f>
        <v/>
      </c>
    </row>
    <row r="8574">
      <c r="M8574" s="11">
        <f>B8574+30</f>
        <v/>
      </c>
      <c r="N8574">
        <f>IF(L8574="", "", L8574-B8574)</f>
        <v/>
      </c>
      <c r="O8574">
        <f>IF(L8574="", "Pending", IF(N8574&lt;=30, "Met", "Breached"))</f>
        <v/>
      </c>
    </row>
    <row r="8575">
      <c r="M8575" s="11">
        <f>B8575+30</f>
        <v/>
      </c>
      <c r="N8575">
        <f>IF(L8575="", "", L8575-B8575)</f>
        <v/>
      </c>
      <c r="O8575">
        <f>IF(L8575="", "Pending", IF(N8575&lt;=30, "Met", "Breached"))</f>
        <v/>
      </c>
    </row>
    <row r="8576">
      <c r="M8576" s="11">
        <f>B8576+30</f>
        <v/>
      </c>
      <c r="N8576">
        <f>IF(L8576="", "", L8576-B8576)</f>
        <v/>
      </c>
      <c r="O8576">
        <f>IF(L8576="", "Pending", IF(N8576&lt;=30, "Met", "Breached"))</f>
        <v/>
      </c>
    </row>
    <row r="8577">
      <c r="M8577" s="11">
        <f>B8577+30</f>
        <v/>
      </c>
      <c r="N8577">
        <f>IF(L8577="", "", L8577-B8577)</f>
        <v/>
      </c>
      <c r="O8577">
        <f>IF(L8577="", "Pending", IF(N8577&lt;=30, "Met", "Breached"))</f>
        <v/>
      </c>
    </row>
    <row r="8578">
      <c r="M8578" s="11">
        <f>B8578+30</f>
        <v/>
      </c>
      <c r="N8578">
        <f>IF(L8578="", "", L8578-B8578)</f>
        <v/>
      </c>
      <c r="O8578">
        <f>IF(L8578="", "Pending", IF(N8578&lt;=30, "Met", "Breached"))</f>
        <v/>
      </c>
    </row>
    <row r="8579">
      <c r="M8579" s="11">
        <f>B8579+30</f>
        <v/>
      </c>
      <c r="N8579">
        <f>IF(L8579="", "", L8579-B8579)</f>
        <v/>
      </c>
      <c r="O8579">
        <f>IF(L8579="", "Pending", IF(N8579&lt;=30, "Met", "Breached"))</f>
        <v/>
      </c>
    </row>
    <row r="8580">
      <c r="M8580" s="11">
        <f>B8580+30</f>
        <v/>
      </c>
      <c r="N8580">
        <f>IF(L8580="", "", L8580-B8580)</f>
        <v/>
      </c>
      <c r="O8580">
        <f>IF(L8580="", "Pending", IF(N8580&lt;=30, "Met", "Breached"))</f>
        <v/>
      </c>
    </row>
    <row r="8581">
      <c r="M8581" s="11">
        <f>B8581+30</f>
        <v/>
      </c>
      <c r="N8581">
        <f>IF(L8581="", "", L8581-B8581)</f>
        <v/>
      </c>
      <c r="O8581">
        <f>IF(L8581="", "Pending", IF(N8581&lt;=30, "Met", "Breached"))</f>
        <v/>
      </c>
    </row>
    <row r="8582">
      <c r="M8582" s="11">
        <f>B8582+30</f>
        <v/>
      </c>
      <c r="N8582">
        <f>IF(L8582="", "", L8582-B8582)</f>
        <v/>
      </c>
      <c r="O8582">
        <f>IF(L8582="", "Pending", IF(N8582&lt;=30, "Met", "Breached"))</f>
        <v/>
      </c>
    </row>
    <row r="8583">
      <c r="M8583" s="11">
        <f>B8583+30</f>
        <v/>
      </c>
      <c r="N8583">
        <f>IF(L8583="", "", L8583-B8583)</f>
        <v/>
      </c>
      <c r="O8583">
        <f>IF(L8583="", "Pending", IF(N8583&lt;=30, "Met", "Breached"))</f>
        <v/>
      </c>
    </row>
    <row r="8584">
      <c r="M8584" s="11">
        <f>B8584+30</f>
        <v/>
      </c>
      <c r="N8584">
        <f>IF(L8584="", "", L8584-B8584)</f>
        <v/>
      </c>
      <c r="O8584">
        <f>IF(L8584="", "Pending", IF(N8584&lt;=30, "Met", "Breached"))</f>
        <v/>
      </c>
    </row>
    <row r="8585">
      <c r="M8585" s="11">
        <f>B8585+30</f>
        <v/>
      </c>
      <c r="N8585">
        <f>IF(L8585="", "", L8585-B8585)</f>
        <v/>
      </c>
      <c r="O8585">
        <f>IF(L8585="", "Pending", IF(N8585&lt;=30, "Met", "Breached"))</f>
        <v/>
      </c>
    </row>
    <row r="8586">
      <c r="M8586" s="11">
        <f>B8586+30</f>
        <v/>
      </c>
      <c r="N8586">
        <f>IF(L8586="", "", L8586-B8586)</f>
        <v/>
      </c>
      <c r="O8586">
        <f>IF(L8586="", "Pending", IF(N8586&lt;=30, "Met", "Breached"))</f>
        <v/>
      </c>
    </row>
    <row r="8587">
      <c r="M8587" s="11">
        <f>B8587+30</f>
        <v/>
      </c>
      <c r="N8587">
        <f>IF(L8587="", "", L8587-B8587)</f>
        <v/>
      </c>
      <c r="O8587">
        <f>IF(L8587="", "Pending", IF(N8587&lt;=30, "Met", "Breached"))</f>
        <v/>
      </c>
    </row>
    <row r="8588">
      <c r="M8588" s="11">
        <f>B8588+30</f>
        <v/>
      </c>
      <c r="N8588">
        <f>IF(L8588="", "", L8588-B8588)</f>
        <v/>
      </c>
      <c r="O8588">
        <f>IF(L8588="", "Pending", IF(N8588&lt;=30, "Met", "Breached"))</f>
        <v/>
      </c>
    </row>
    <row r="8589">
      <c r="M8589" s="11">
        <f>B8589+30</f>
        <v/>
      </c>
      <c r="N8589">
        <f>IF(L8589="", "", L8589-B8589)</f>
        <v/>
      </c>
      <c r="O8589">
        <f>IF(L8589="", "Pending", IF(N8589&lt;=30, "Met", "Breached"))</f>
        <v/>
      </c>
    </row>
    <row r="8590">
      <c r="M8590" s="11">
        <f>B8590+30</f>
        <v/>
      </c>
      <c r="N8590">
        <f>IF(L8590="", "", L8590-B8590)</f>
        <v/>
      </c>
      <c r="O8590">
        <f>IF(L8590="", "Pending", IF(N8590&lt;=30, "Met", "Breached"))</f>
        <v/>
      </c>
    </row>
    <row r="8591">
      <c r="M8591" s="11">
        <f>B8591+30</f>
        <v/>
      </c>
      <c r="N8591">
        <f>IF(L8591="", "", L8591-B8591)</f>
        <v/>
      </c>
      <c r="O8591">
        <f>IF(L8591="", "Pending", IF(N8591&lt;=30, "Met", "Breached"))</f>
        <v/>
      </c>
    </row>
    <row r="8592">
      <c r="M8592" s="11">
        <f>B8592+30</f>
        <v/>
      </c>
      <c r="N8592">
        <f>IF(L8592="", "", L8592-B8592)</f>
        <v/>
      </c>
      <c r="O8592">
        <f>IF(L8592="", "Pending", IF(N8592&lt;=30, "Met", "Breached"))</f>
        <v/>
      </c>
    </row>
    <row r="8593">
      <c r="M8593" s="11">
        <f>B8593+30</f>
        <v/>
      </c>
      <c r="N8593">
        <f>IF(L8593="", "", L8593-B8593)</f>
        <v/>
      </c>
      <c r="O8593">
        <f>IF(L8593="", "Pending", IF(N8593&lt;=30, "Met", "Breached"))</f>
        <v/>
      </c>
    </row>
    <row r="8594">
      <c r="M8594" s="11">
        <f>B8594+30</f>
        <v/>
      </c>
      <c r="N8594">
        <f>IF(L8594="", "", L8594-B8594)</f>
        <v/>
      </c>
      <c r="O8594">
        <f>IF(L8594="", "Pending", IF(N8594&lt;=30, "Met", "Breached"))</f>
        <v/>
      </c>
    </row>
    <row r="8595">
      <c r="M8595" s="11">
        <f>B8595+30</f>
        <v/>
      </c>
      <c r="N8595">
        <f>IF(L8595="", "", L8595-B8595)</f>
        <v/>
      </c>
      <c r="O8595">
        <f>IF(L8595="", "Pending", IF(N8595&lt;=30, "Met", "Breached"))</f>
        <v/>
      </c>
    </row>
    <row r="8596">
      <c r="M8596" s="11">
        <f>B8596+30</f>
        <v/>
      </c>
      <c r="N8596">
        <f>IF(L8596="", "", L8596-B8596)</f>
        <v/>
      </c>
      <c r="O8596">
        <f>IF(L8596="", "Pending", IF(N8596&lt;=30, "Met", "Breached"))</f>
        <v/>
      </c>
    </row>
    <row r="8597">
      <c r="M8597" s="11">
        <f>B8597+30</f>
        <v/>
      </c>
      <c r="N8597">
        <f>IF(L8597="", "", L8597-B8597)</f>
        <v/>
      </c>
      <c r="O8597">
        <f>IF(L8597="", "Pending", IF(N8597&lt;=30, "Met", "Breached"))</f>
        <v/>
      </c>
    </row>
    <row r="8598">
      <c r="M8598" s="11">
        <f>B8598+30</f>
        <v/>
      </c>
      <c r="N8598">
        <f>IF(L8598="", "", L8598-B8598)</f>
        <v/>
      </c>
      <c r="O8598">
        <f>IF(L8598="", "Pending", IF(N8598&lt;=30, "Met", "Breached"))</f>
        <v/>
      </c>
    </row>
    <row r="8599">
      <c r="M8599" s="11">
        <f>B8599+30</f>
        <v/>
      </c>
      <c r="N8599">
        <f>IF(L8599="", "", L8599-B8599)</f>
        <v/>
      </c>
      <c r="O8599">
        <f>IF(L8599="", "Pending", IF(N8599&lt;=30, "Met", "Breached"))</f>
        <v/>
      </c>
    </row>
    <row r="8600">
      <c r="M8600" s="11">
        <f>B8600+30</f>
        <v/>
      </c>
      <c r="N8600">
        <f>IF(L8600="", "", L8600-B8600)</f>
        <v/>
      </c>
      <c r="O8600">
        <f>IF(L8600="", "Pending", IF(N8600&lt;=30, "Met", "Breached"))</f>
        <v/>
      </c>
    </row>
    <row r="8601">
      <c r="M8601" s="11">
        <f>B8601+30</f>
        <v/>
      </c>
      <c r="N8601">
        <f>IF(L8601="", "", L8601-B8601)</f>
        <v/>
      </c>
      <c r="O8601">
        <f>IF(L8601="", "Pending", IF(N8601&lt;=30, "Met", "Breached"))</f>
        <v/>
      </c>
    </row>
    <row r="8602">
      <c r="M8602" s="11">
        <f>B8602+30</f>
        <v/>
      </c>
      <c r="N8602">
        <f>IF(L8602="", "", L8602-B8602)</f>
        <v/>
      </c>
      <c r="O8602">
        <f>IF(L8602="", "Pending", IF(N8602&lt;=30, "Met", "Breached"))</f>
        <v/>
      </c>
    </row>
    <row r="8603">
      <c r="M8603" s="11">
        <f>B8603+30</f>
        <v/>
      </c>
      <c r="N8603">
        <f>IF(L8603="", "", L8603-B8603)</f>
        <v/>
      </c>
      <c r="O8603">
        <f>IF(L8603="", "Pending", IF(N8603&lt;=30, "Met", "Breached"))</f>
        <v/>
      </c>
    </row>
    <row r="8604">
      <c r="M8604" s="11">
        <f>B8604+30</f>
        <v/>
      </c>
      <c r="N8604">
        <f>IF(L8604="", "", L8604-B8604)</f>
        <v/>
      </c>
      <c r="O8604">
        <f>IF(L8604="", "Pending", IF(N8604&lt;=30, "Met", "Breached"))</f>
        <v/>
      </c>
    </row>
    <row r="8605">
      <c r="M8605" s="11">
        <f>B8605+30</f>
        <v/>
      </c>
      <c r="N8605">
        <f>IF(L8605="", "", L8605-B8605)</f>
        <v/>
      </c>
      <c r="O8605">
        <f>IF(L8605="", "Pending", IF(N8605&lt;=30, "Met", "Breached"))</f>
        <v/>
      </c>
    </row>
    <row r="8606">
      <c r="M8606" s="11">
        <f>B8606+30</f>
        <v/>
      </c>
      <c r="N8606">
        <f>IF(L8606="", "", L8606-B8606)</f>
        <v/>
      </c>
      <c r="O8606">
        <f>IF(L8606="", "Pending", IF(N8606&lt;=30, "Met", "Breached"))</f>
        <v/>
      </c>
    </row>
    <row r="8607">
      <c r="M8607" s="11">
        <f>B8607+30</f>
        <v/>
      </c>
      <c r="N8607">
        <f>IF(L8607="", "", L8607-B8607)</f>
        <v/>
      </c>
      <c r="O8607">
        <f>IF(L8607="", "Pending", IF(N8607&lt;=30, "Met", "Breached"))</f>
        <v/>
      </c>
    </row>
    <row r="8608">
      <c r="M8608" s="11">
        <f>B8608+30</f>
        <v/>
      </c>
      <c r="N8608">
        <f>IF(L8608="", "", L8608-B8608)</f>
        <v/>
      </c>
      <c r="O8608">
        <f>IF(L8608="", "Pending", IF(N8608&lt;=30, "Met", "Breached"))</f>
        <v/>
      </c>
    </row>
    <row r="8609">
      <c r="M8609" s="11">
        <f>B8609+30</f>
        <v/>
      </c>
      <c r="N8609">
        <f>IF(L8609="", "", L8609-B8609)</f>
        <v/>
      </c>
      <c r="O8609">
        <f>IF(L8609="", "Pending", IF(N8609&lt;=30, "Met", "Breached"))</f>
        <v/>
      </c>
    </row>
    <row r="8610">
      <c r="M8610" s="11">
        <f>B8610+30</f>
        <v/>
      </c>
      <c r="N8610">
        <f>IF(L8610="", "", L8610-B8610)</f>
        <v/>
      </c>
      <c r="O8610">
        <f>IF(L8610="", "Pending", IF(N8610&lt;=30, "Met", "Breached"))</f>
        <v/>
      </c>
    </row>
    <row r="8611">
      <c r="M8611" s="11">
        <f>B8611+30</f>
        <v/>
      </c>
      <c r="N8611">
        <f>IF(L8611="", "", L8611-B8611)</f>
        <v/>
      </c>
      <c r="O8611">
        <f>IF(L8611="", "Pending", IF(N8611&lt;=30, "Met", "Breached"))</f>
        <v/>
      </c>
    </row>
    <row r="8612">
      <c r="M8612" s="11">
        <f>B8612+30</f>
        <v/>
      </c>
      <c r="N8612">
        <f>IF(L8612="", "", L8612-B8612)</f>
        <v/>
      </c>
      <c r="O8612">
        <f>IF(L8612="", "Pending", IF(N8612&lt;=30, "Met", "Breached"))</f>
        <v/>
      </c>
    </row>
    <row r="8613">
      <c r="M8613" s="11">
        <f>B8613+30</f>
        <v/>
      </c>
      <c r="N8613">
        <f>IF(L8613="", "", L8613-B8613)</f>
        <v/>
      </c>
      <c r="O8613">
        <f>IF(L8613="", "Pending", IF(N8613&lt;=30, "Met", "Breached"))</f>
        <v/>
      </c>
    </row>
    <row r="8614">
      <c r="M8614" s="11">
        <f>B8614+30</f>
        <v/>
      </c>
      <c r="N8614">
        <f>IF(L8614="", "", L8614-B8614)</f>
        <v/>
      </c>
      <c r="O8614">
        <f>IF(L8614="", "Pending", IF(N8614&lt;=30, "Met", "Breached"))</f>
        <v/>
      </c>
    </row>
    <row r="8615">
      <c r="M8615" s="11">
        <f>B8615+30</f>
        <v/>
      </c>
      <c r="N8615">
        <f>IF(L8615="", "", L8615-B8615)</f>
        <v/>
      </c>
      <c r="O8615">
        <f>IF(L8615="", "Pending", IF(N8615&lt;=30, "Met", "Breached"))</f>
        <v/>
      </c>
    </row>
    <row r="8616">
      <c r="M8616" s="11">
        <f>B8616+30</f>
        <v/>
      </c>
      <c r="N8616">
        <f>IF(L8616="", "", L8616-B8616)</f>
        <v/>
      </c>
      <c r="O8616">
        <f>IF(L8616="", "Pending", IF(N8616&lt;=30, "Met", "Breached"))</f>
        <v/>
      </c>
    </row>
    <row r="8617">
      <c r="M8617" s="11">
        <f>B8617+30</f>
        <v/>
      </c>
      <c r="N8617">
        <f>IF(L8617="", "", L8617-B8617)</f>
        <v/>
      </c>
      <c r="O8617">
        <f>IF(L8617="", "Pending", IF(N8617&lt;=30, "Met", "Breached"))</f>
        <v/>
      </c>
    </row>
    <row r="8618">
      <c r="M8618" s="11">
        <f>B8618+30</f>
        <v/>
      </c>
      <c r="N8618">
        <f>IF(L8618="", "", L8618-B8618)</f>
        <v/>
      </c>
      <c r="O8618">
        <f>IF(L8618="", "Pending", IF(N8618&lt;=30, "Met", "Breached"))</f>
        <v/>
      </c>
    </row>
    <row r="8619">
      <c r="M8619" s="11">
        <f>B8619+30</f>
        <v/>
      </c>
      <c r="N8619">
        <f>IF(L8619="", "", L8619-B8619)</f>
        <v/>
      </c>
      <c r="O8619">
        <f>IF(L8619="", "Pending", IF(N8619&lt;=30, "Met", "Breached"))</f>
        <v/>
      </c>
    </row>
    <row r="8620">
      <c r="M8620" s="11">
        <f>B8620+30</f>
        <v/>
      </c>
      <c r="N8620">
        <f>IF(L8620="", "", L8620-B8620)</f>
        <v/>
      </c>
      <c r="O8620">
        <f>IF(L8620="", "Pending", IF(N8620&lt;=30, "Met", "Breached"))</f>
        <v/>
      </c>
    </row>
    <row r="8621">
      <c r="M8621" s="11">
        <f>B8621+30</f>
        <v/>
      </c>
      <c r="N8621">
        <f>IF(L8621="", "", L8621-B8621)</f>
        <v/>
      </c>
      <c r="O8621">
        <f>IF(L8621="", "Pending", IF(N8621&lt;=30, "Met", "Breached"))</f>
        <v/>
      </c>
    </row>
    <row r="8622">
      <c r="M8622" s="11">
        <f>B8622+30</f>
        <v/>
      </c>
      <c r="N8622">
        <f>IF(L8622="", "", L8622-B8622)</f>
        <v/>
      </c>
      <c r="O8622">
        <f>IF(L8622="", "Pending", IF(N8622&lt;=30, "Met", "Breached"))</f>
        <v/>
      </c>
    </row>
    <row r="8623">
      <c r="M8623" s="11">
        <f>B8623+30</f>
        <v/>
      </c>
      <c r="N8623">
        <f>IF(L8623="", "", L8623-B8623)</f>
        <v/>
      </c>
      <c r="O8623">
        <f>IF(L8623="", "Pending", IF(N8623&lt;=30, "Met", "Breached"))</f>
        <v/>
      </c>
    </row>
    <row r="8624">
      <c r="M8624" s="11">
        <f>B8624+30</f>
        <v/>
      </c>
      <c r="N8624">
        <f>IF(L8624="", "", L8624-B8624)</f>
        <v/>
      </c>
      <c r="O8624">
        <f>IF(L8624="", "Pending", IF(N8624&lt;=30, "Met", "Breached"))</f>
        <v/>
      </c>
    </row>
    <row r="8625">
      <c r="M8625" s="11">
        <f>B8625+30</f>
        <v/>
      </c>
      <c r="N8625">
        <f>IF(L8625="", "", L8625-B8625)</f>
        <v/>
      </c>
      <c r="O8625">
        <f>IF(L8625="", "Pending", IF(N8625&lt;=30, "Met", "Breached"))</f>
        <v/>
      </c>
    </row>
    <row r="8626">
      <c r="M8626" s="11">
        <f>B8626+30</f>
        <v/>
      </c>
      <c r="N8626">
        <f>IF(L8626="", "", L8626-B8626)</f>
        <v/>
      </c>
      <c r="O8626">
        <f>IF(L8626="", "Pending", IF(N8626&lt;=30, "Met", "Breached"))</f>
        <v/>
      </c>
    </row>
    <row r="8627">
      <c r="M8627" s="11">
        <f>B8627+30</f>
        <v/>
      </c>
      <c r="N8627">
        <f>IF(L8627="", "", L8627-B8627)</f>
        <v/>
      </c>
      <c r="O8627">
        <f>IF(L8627="", "Pending", IF(N8627&lt;=30, "Met", "Breached"))</f>
        <v/>
      </c>
    </row>
    <row r="8628">
      <c r="M8628" s="11">
        <f>B8628+30</f>
        <v/>
      </c>
      <c r="N8628">
        <f>IF(L8628="", "", L8628-B8628)</f>
        <v/>
      </c>
      <c r="O8628">
        <f>IF(L8628="", "Pending", IF(N8628&lt;=30, "Met", "Breached"))</f>
        <v/>
      </c>
    </row>
    <row r="8629">
      <c r="M8629" s="11">
        <f>B8629+30</f>
        <v/>
      </c>
      <c r="N8629">
        <f>IF(L8629="", "", L8629-B8629)</f>
        <v/>
      </c>
      <c r="O8629">
        <f>IF(L8629="", "Pending", IF(N8629&lt;=30, "Met", "Breached"))</f>
        <v/>
      </c>
    </row>
    <row r="8630">
      <c r="M8630" s="11">
        <f>B8630+30</f>
        <v/>
      </c>
      <c r="N8630">
        <f>IF(L8630="", "", L8630-B8630)</f>
        <v/>
      </c>
      <c r="O8630">
        <f>IF(L8630="", "Pending", IF(N8630&lt;=30, "Met", "Breached"))</f>
        <v/>
      </c>
    </row>
    <row r="8631">
      <c r="M8631" s="11">
        <f>B8631+30</f>
        <v/>
      </c>
      <c r="N8631">
        <f>IF(L8631="", "", L8631-B8631)</f>
        <v/>
      </c>
      <c r="O8631">
        <f>IF(L8631="", "Pending", IF(N8631&lt;=30, "Met", "Breached"))</f>
        <v/>
      </c>
    </row>
    <row r="8632">
      <c r="M8632" s="11">
        <f>B8632+30</f>
        <v/>
      </c>
      <c r="N8632">
        <f>IF(L8632="", "", L8632-B8632)</f>
        <v/>
      </c>
      <c r="O8632">
        <f>IF(L8632="", "Pending", IF(N8632&lt;=30, "Met", "Breached"))</f>
        <v/>
      </c>
    </row>
    <row r="8633">
      <c r="M8633" s="11">
        <f>B8633+30</f>
        <v/>
      </c>
      <c r="N8633">
        <f>IF(L8633="", "", L8633-B8633)</f>
        <v/>
      </c>
      <c r="O8633">
        <f>IF(L8633="", "Pending", IF(N8633&lt;=30, "Met", "Breached"))</f>
        <v/>
      </c>
    </row>
    <row r="8634">
      <c r="M8634" s="11">
        <f>B8634+30</f>
        <v/>
      </c>
      <c r="N8634">
        <f>IF(L8634="", "", L8634-B8634)</f>
        <v/>
      </c>
      <c r="O8634">
        <f>IF(L8634="", "Pending", IF(N8634&lt;=30, "Met", "Breached"))</f>
        <v/>
      </c>
    </row>
    <row r="8635">
      <c r="M8635" s="11">
        <f>B8635+30</f>
        <v/>
      </c>
      <c r="N8635">
        <f>IF(L8635="", "", L8635-B8635)</f>
        <v/>
      </c>
      <c r="O8635">
        <f>IF(L8635="", "Pending", IF(N8635&lt;=30, "Met", "Breached"))</f>
        <v/>
      </c>
    </row>
    <row r="8636">
      <c r="M8636" s="11">
        <f>B8636+30</f>
        <v/>
      </c>
      <c r="N8636">
        <f>IF(L8636="", "", L8636-B8636)</f>
        <v/>
      </c>
      <c r="O8636">
        <f>IF(L8636="", "Pending", IF(N8636&lt;=30, "Met", "Breached"))</f>
        <v/>
      </c>
    </row>
    <row r="8637">
      <c r="M8637" s="11">
        <f>B8637+30</f>
        <v/>
      </c>
      <c r="N8637">
        <f>IF(L8637="", "", L8637-B8637)</f>
        <v/>
      </c>
      <c r="O8637">
        <f>IF(L8637="", "Pending", IF(N8637&lt;=30, "Met", "Breached"))</f>
        <v/>
      </c>
    </row>
    <row r="8638">
      <c r="M8638" s="11">
        <f>B8638+30</f>
        <v/>
      </c>
      <c r="N8638">
        <f>IF(L8638="", "", L8638-B8638)</f>
        <v/>
      </c>
      <c r="O8638">
        <f>IF(L8638="", "Pending", IF(N8638&lt;=30, "Met", "Breached"))</f>
        <v/>
      </c>
    </row>
    <row r="8639">
      <c r="M8639" s="11">
        <f>B8639+30</f>
        <v/>
      </c>
      <c r="N8639">
        <f>IF(L8639="", "", L8639-B8639)</f>
        <v/>
      </c>
      <c r="O8639">
        <f>IF(L8639="", "Pending", IF(N8639&lt;=30, "Met", "Breached"))</f>
        <v/>
      </c>
    </row>
    <row r="8640">
      <c r="M8640" s="11">
        <f>B8640+30</f>
        <v/>
      </c>
      <c r="N8640">
        <f>IF(L8640="", "", L8640-B8640)</f>
        <v/>
      </c>
      <c r="O8640">
        <f>IF(L8640="", "Pending", IF(N8640&lt;=30, "Met", "Breached"))</f>
        <v/>
      </c>
    </row>
    <row r="8641">
      <c r="M8641" s="11">
        <f>B8641+30</f>
        <v/>
      </c>
      <c r="N8641">
        <f>IF(L8641="", "", L8641-B8641)</f>
        <v/>
      </c>
      <c r="O8641">
        <f>IF(L8641="", "Pending", IF(N8641&lt;=30, "Met", "Breached"))</f>
        <v/>
      </c>
    </row>
    <row r="8642">
      <c r="M8642" s="11">
        <f>B8642+30</f>
        <v/>
      </c>
      <c r="N8642">
        <f>IF(L8642="", "", L8642-B8642)</f>
        <v/>
      </c>
      <c r="O8642">
        <f>IF(L8642="", "Pending", IF(N8642&lt;=30, "Met", "Breached"))</f>
        <v/>
      </c>
    </row>
    <row r="8643">
      <c r="M8643" s="11">
        <f>B8643+30</f>
        <v/>
      </c>
      <c r="N8643">
        <f>IF(L8643="", "", L8643-B8643)</f>
        <v/>
      </c>
      <c r="O8643">
        <f>IF(L8643="", "Pending", IF(N8643&lt;=30, "Met", "Breached"))</f>
        <v/>
      </c>
    </row>
    <row r="8644">
      <c r="M8644" s="11">
        <f>B8644+30</f>
        <v/>
      </c>
      <c r="N8644">
        <f>IF(L8644="", "", L8644-B8644)</f>
        <v/>
      </c>
      <c r="O8644">
        <f>IF(L8644="", "Pending", IF(N8644&lt;=30, "Met", "Breached"))</f>
        <v/>
      </c>
    </row>
    <row r="8645">
      <c r="M8645" s="11">
        <f>B8645+30</f>
        <v/>
      </c>
      <c r="N8645">
        <f>IF(L8645="", "", L8645-B8645)</f>
        <v/>
      </c>
      <c r="O8645">
        <f>IF(L8645="", "Pending", IF(N8645&lt;=30, "Met", "Breached"))</f>
        <v/>
      </c>
    </row>
    <row r="8646">
      <c r="M8646" s="11">
        <f>B8646+30</f>
        <v/>
      </c>
      <c r="N8646">
        <f>IF(L8646="", "", L8646-B8646)</f>
        <v/>
      </c>
      <c r="O8646">
        <f>IF(L8646="", "Pending", IF(N8646&lt;=30, "Met", "Breached"))</f>
        <v/>
      </c>
    </row>
    <row r="8647">
      <c r="M8647" s="11">
        <f>B8647+30</f>
        <v/>
      </c>
      <c r="N8647">
        <f>IF(L8647="", "", L8647-B8647)</f>
        <v/>
      </c>
      <c r="O8647">
        <f>IF(L8647="", "Pending", IF(N8647&lt;=30, "Met", "Breached"))</f>
        <v/>
      </c>
    </row>
    <row r="8648">
      <c r="M8648" s="11">
        <f>B8648+30</f>
        <v/>
      </c>
      <c r="N8648">
        <f>IF(L8648="", "", L8648-B8648)</f>
        <v/>
      </c>
      <c r="O8648">
        <f>IF(L8648="", "Pending", IF(N8648&lt;=30, "Met", "Breached"))</f>
        <v/>
      </c>
    </row>
    <row r="8649">
      <c r="M8649" s="11">
        <f>B8649+30</f>
        <v/>
      </c>
      <c r="N8649">
        <f>IF(L8649="", "", L8649-B8649)</f>
        <v/>
      </c>
      <c r="O8649">
        <f>IF(L8649="", "Pending", IF(N8649&lt;=30, "Met", "Breached"))</f>
        <v/>
      </c>
    </row>
    <row r="8650">
      <c r="M8650" s="11">
        <f>B8650+30</f>
        <v/>
      </c>
      <c r="N8650">
        <f>IF(L8650="", "", L8650-B8650)</f>
        <v/>
      </c>
      <c r="O8650">
        <f>IF(L8650="", "Pending", IF(N8650&lt;=30, "Met", "Breached"))</f>
        <v/>
      </c>
    </row>
    <row r="8651">
      <c r="M8651" s="11">
        <f>B8651+30</f>
        <v/>
      </c>
      <c r="N8651">
        <f>IF(L8651="", "", L8651-B8651)</f>
        <v/>
      </c>
      <c r="O8651">
        <f>IF(L8651="", "Pending", IF(N8651&lt;=30, "Met", "Breached"))</f>
        <v/>
      </c>
    </row>
    <row r="8652">
      <c r="M8652" s="11">
        <f>B8652+30</f>
        <v/>
      </c>
      <c r="N8652">
        <f>IF(L8652="", "", L8652-B8652)</f>
        <v/>
      </c>
      <c r="O8652">
        <f>IF(L8652="", "Pending", IF(N8652&lt;=30, "Met", "Breached"))</f>
        <v/>
      </c>
    </row>
    <row r="8653">
      <c r="M8653" s="11">
        <f>B8653+30</f>
        <v/>
      </c>
      <c r="N8653">
        <f>IF(L8653="", "", L8653-B8653)</f>
        <v/>
      </c>
      <c r="O8653">
        <f>IF(L8653="", "Pending", IF(N8653&lt;=30, "Met", "Breached"))</f>
        <v/>
      </c>
    </row>
    <row r="8654">
      <c r="M8654" s="11">
        <f>B8654+30</f>
        <v/>
      </c>
      <c r="N8654">
        <f>IF(L8654="", "", L8654-B8654)</f>
        <v/>
      </c>
      <c r="O8654">
        <f>IF(L8654="", "Pending", IF(N8654&lt;=30, "Met", "Breached"))</f>
        <v/>
      </c>
    </row>
    <row r="8655">
      <c r="M8655" s="11">
        <f>B8655+30</f>
        <v/>
      </c>
      <c r="N8655">
        <f>IF(L8655="", "", L8655-B8655)</f>
        <v/>
      </c>
      <c r="O8655">
        <f>IF(L8655="", "Pending", IF(N8655&lt;=30, "Met", "Breached"))</f>
        <v/>
      </c>
    </row>
    <row r="8656">
      <c r="M8656" s="11">
        <f>B8656+30</f>
        <v/>
      </c>
      <c r="N8656">
        <f>IF(L8656="", "", L8656-B8656)</f>
        <v/>
      </c>
      <c r="O8656">
        <f>IF(L8656="", "Pending", IF(N8656&lt;=30, "Met", "Breached"))</f>
        <v/>
      </c>
    </row>
    <row r="8657">
      <c r="M8657" s="11">
        <f>B8657+30</f>
        <v/>
      </c>
      <c r="N8657">
        <f>IF(L8657="", "", L8657-B8657)</f>
        <v/>
      </c>
      <c r="O8657">
        <f>IF(L8657="", "Pending", IF(N8657&lt;=30, "Met", "Breached"))</f>
        <v/>
      </c>
    </row>
    <row r="8658">
      <c r="M8658" s="11">
        <f>B8658+30</f>
        <v/>
      </c>
      <c r="N8658">
        <f>IF(L8658="", "", L8658-B8658)</f>
        <v/>
      </c>
      <c r="O8658">
        <f>IF(L8658="", "Pending", IF(N8658&lt;=30, "Met", "Breached"))</f>
        <v/>
      </c>
    </row>
    <row r="8659">
      <c r="M8659" s="11">
        <f>B8659+30</f>
        <v/>
      </c>
      <c r="N8659">
        <f>IF(L8659="", "", L8659-B8659)</f>
        <v/>
      </c>
      <c r="O8659">
        <f>IF(L8659="", "Pending", IF(N8659&lt;=30, "Met", "Breached"))</f>
        <v/>
      </c>
    </row>
    <row r="8660">
      <c r="M8660" s="11">
        <f>B8660+30</f>
        <v/>
      </c>
      <c r="N8660">
        <f>IF(L8660="", "", L8660-B8660)</f>
        <v/>
      </c>
      <c r="O8660">
        <f>IF(L8660="", "Pending", IF(N8660&lt;=30, "Met", "Breached"))</f>
        <v/>
      </c>
    </row>
    <row r="8661">
      <c r="M8661" s="11">
        <f>B8661+30</f>
        <v/>
      </c>
      <c r="N8661">
        <f>IF(L8661="", "", L8661-B8661)</f>
        <v/>
      </c>
      <c r="O8661">
        <f>IF(L8661="", "Pending", IF(N8661&lt;=30, "Met", "Breached"))</f>
        <v/>
      </c>
    </row>
    <row r="8662">
      <c r="M8662" s="11">
        <f>B8662+30</f>
        <v/>
      </c>
      <c r="N8662">
        <f>IF(L8662="", "", L8662-B8662)</f>
        <v/>
      </c>
      <c r="O8662">
        <f>IF(L8662="", "Pending", IF(N8662&lt;=30, "Met", "Breached"))</f>
        <v/>
      </c>
    </row>
    <row r="8663">
      <c r="M8663" s="11">
        <f>B8663+30</f>
        <v/>
      </c>
      <c r="N8663">
        <f>IF(L8663="", "", L8663-B8663)</f>
        <v/>
      </c>
      <c r="O8663">
        <f>IF(L8663="", "Pending", IF(N8663&lt;=30, "Met", "Breached"))</f>
        <v/>
      </c>
    </row>
    <row r="8664">
      <c r="M8664" s="11">
        <f>B8664+30</f>
        <v/>
      </c>
      <c r="N8664">
        <f>IF(L8664="", "", L8664-B8664)</f>
        <v/>
      </c>
      <c r="O8664">
        <f>IF(L8664="", "Pending", IF(N8664&lt;=30, "Met", "Breached"))</f>
        <v/>
      </c>
    </row>
    <row r="8665">
      <c r="M8665" s="11">
        <f>B8665+30</f>
        <v/>
      </c>
      <c r="N8665">
        <f>IF(L8665="", "", L8665-B8665)</f>
        <v/>
      </c>
      <c r="O8665">
        <f>IF(L8665="", "Pending", IF(N8665&lt;=30, "Met", "Breached"))</f>
        <v/>
      </c>
    </row>
    <row r="8666">
      <c r="M8666" s="11">
        <f>B8666+30</f>
        <v/>
      </c>
      <c r="N8666">
        <f>IF(L8666="", "", L8666-B8666)</f>
        <v/>
      </c>
      <c r="O8666">
        <f>IF(L8666="", "Pending", IF(N8666&lt;=30, "Met", "Breached"))</f>
        <v/>
      </c>
    </row>
    <row r="8667">
      <c r="M8667" s="11">
        <f>B8667+30</f>
        <v/>
      </c>
      <c r="N8667">
        <f>IF(L8667="", "", L8667-B8667)</f>
        <v/>
      </c>
      <c r="O8667">
        <f>IF(L8667="", "Pending", IF(N8667&lt;=30, "Met", "Breached"))</f>
        <v/>
      </c>
    </row>
    <row r="8668">
      <c r="M8668" s="11">
        <f>B8668+30</f>
        <v/>
      </c>
      <c r="N8668">
        <f>IF(L8668="", "", L8668-B8668)</f>
        <v/>
      </c>
      <c r="O8668">
        <f>IF(L8668="", "Pending", IF(N8668&lt;=30, "Met", "Breached"))</f>
        <v/>
      </c>
    </row>
    <row r="8669">
      <c r="M8669" s="11">
        <f>B8669+30</f>
        <v/>
      </c>
      <c r="N8669">
        <f>IF(L8669="", "", L8669-B8669)</f>
        <v/>
      </c>
      <c r="O8669">
        <f>IF(L8669="", "Pending", IF(N8669&lt;=30, "Met", "Breached"))</f>
        <v/>
      </c>
    </row>
    <row r="8670">
      <c r="M8670" s="11">
        <f>B8670+30</f>
        <v/>
      </c>
      <c r="N8670">
        <f>IF(L8670="", "", L8670-B8670)</f>
        <v/>
      </c>
      <c r="O8670">
        <f>IF(L8670="", "Pending", IF(N8670&lt;=30, "Met", "Breached"))</f>
        <v/>
      </c>
    </row>
    <row r="8671">
      <c r="M8671" s="11">
        <f>B8671+30</f>
        <v/>
      </c>
      <c r="N8671">
        <f>IF(L8671="", "", L8671-B8671)</f>
        <v/>
      </c>
      <c r="O8671">
        <f>IF(L8671="", "Pending", IF(N8671&lt;=30, "Met", "Breached"))</f>
        <v/>
      </c>
    </row>
    <row r="8672">
      <c r="M8672" s="11">
        <f>B8672+30</f>
        <v/>
      </c>
      <c r="N8672">
        <f>IF(L8672="", "", L8672-B8672)</f>
        <v/>
      </c>
      <c r="O8672">
        <f>IF(L8672="", "Pending", IF(N8672&lt;=30, "Met", "Breached"))</f>
        <v/>
      </c>
    </row>
    <row r="8673">
      <c r="M8673" s="11">
        <f>B8673+30</f>
        <v/>
      </c>
      <c r="N8673">
        <f>IF(L8673="", "", L8673-B8673)</f>
        <v/>
      </c>
      <c r="O8673">
        <f>IF(L8673="", "Pending", IF(N8673&lt;=30, "Met", "Breached"))</f>
        <v/>
      </c>
    </row>
    <row r="8674">
      <c r="M8674" s="11">
        <f>B8674+30</f>
        <v/>
      </c>
      <c r="N8674">
        <f>IF(L8674="", "", L8674-B8674)</f>
        <v/>
      </c>
      <c r="O8674">
        <f>IF(L8674="", "Pending", IF(N8674&lt;=30, "Met", "Breached"))</f>
        <v/>
      </c>
    </row>
    <row r="8675">
      <c r="M8675" s="11">
        <f>B8675+30</f>
        <v/>
      </c>
      <c r="N8675">
        <f>IF(L8675="", "", L8675-B8675)</f>
        <v/>
      </c>
      <c r="O8675">
        <f>IF(L8675="", "Pending", IF(N8675&lt;=30, "Met", "Breached"))</f>
        <v/>
      </c>
    </row>
    <row r="8676">
      <c r="M8676" s="11">
        <f>B8676+30</f>
        <v/>
      </c>
      <c r="N8676">
        <f>IF(L8676="", "", L8676-B8676)</f>
        <v/>
      </c>
      <c r="O8676">
        <f>IF(L8676="", "Pending", IF(N8676&lt;=30, "Met", "Breached"))</f>
        <v/>
      </c>
    </row>
    <row r="8677">
      <c r="M8677" s="11">
        <f>B8677+30</f>
        <v/>
      </c>
      <c r="N8677">
        <f>IF(L8677="", "", L8677-B8677)</f>
        <v/>
      </c>
      <c r="O8677">
        <f>IF(L8677="", "Pending", IF(N8677&lt;=30, "Met", "Breached"))</f>
        <v/>
      </c>
    </row>
    <row r="8678">
      <c r="M8678" s="11">
        <f>B8678+30</f>
        <v/>
      </c>
      <c r="N8678">
        <f>IF(L8678="", "", L8678-B8678)</f>
        <v/>
      </c>
      <c r="O8678">
        <f>IF(L8678="", "Pending", IF(N8678&lt;=30, "Met", "Breached"))</f>
        <v/>
      </c>
    </row>
    <row r="8679">
      <c r="M8679" s="11">
        <f>B8679+30</f>
        <v/>
      </c>
      <c r="N8679">
        <f>IF(L8679="", "", L8679-B8679)</f>
        <v/>
      </c>
      <c r="O8679">
        <f>IF(L8679="", "Pending", IF(N8679&lt;=30, "Met", "Breached"))</f>
        <v/>
      </c>
    </row>
    <row r="8680">
      <c r="M8680" s="11">
        <f>B8680+30</f>
        <v/>
      </c>
      <c r="N8680">
        <f>IF(L8680="", "", L8680-B8680)</f>
        <v/>
      </c>
      <c r="O8680">
        <f>IF(L8680="", "Pending", IF(N8680&lt;=30, "Met", "Breached"))</f>
        <v/>
      </c>
    </row>
    <row r="8681">
      <c r="M8681" s="11">
        <f>B8681+30</f>
        <v/>
      </c>
      <c r="N8681">
        <f>IF(L8681="", "", L8681-B8681)</f>
        <v/>
      </c>
      <c r="O8681">
        <f>IF(L8681="", "Pending", IF(N8681&lt;=30, "Met", "Breached"))</f>
        <v/>
      </c>
    </row>
    <row r="8682">
      <c r="M8682" s="11">
        <f>B8682+30</f>
        <v/>
      </c>
      <c r="N8682">
        <f>IF(L8682="", "", L8682-B8682)</f>
        <v/>
      </c>
      <c r="O8682">
        <f>IF(L8682="", "Pending", IF(N8682&lt;=30, "Met", "Breached"))</f>
        <v/>
      </c>
    </row>
    <row r="8683">
      <c r="M8683" s="11">
        <f>B8683+30</f>
        <v/>
      </c>
      <c r="N8683">
        <f>IF(L8683="", "", L8683-B8683)</f>
        <v/>
      </c>
      <c r="O8683">
        <f>IF(L8683="", "Pending", IF(N8683&lt;=30, "Met", "Breached"))</f>
        <v/>
      </c>
    </row>
    <row r="8684">
      <c r="M8684" s="11">
        <f>B8684+30</f>
        <v/>
      </c>
      <c r="N8684">
        <f>IF(L8684="", "", L8684-B8684)</f>
        <v/>
      </c>
      <c r="O8684">
        <f>IF(L8684="", "Pending", IF(N8684&lt;=30, "Met", "Breached"))</f>
        <v/>
      </c>
    </row>
    <row r="8685">
      <c r="M8685" s="11">
        <f>B8685+30</f>
        <v/>
      </c>
      <c r="N8685">
        <f>IF(L8685="", "", L8685-B8685)</f>
        <v/>
      </c>
      <c r="O8685">
        <f>IF(L8685="", "Pending", IF(N8685&lt;=30, "Met", "Breached"))</f>
        <v/>
      </c>
    </row>
    <row r="8686">
      <c r="M8686" s="11">
        <f>B8686+30</f>
        <v/>
      </c>
      <c r="N8686">
        <f>IF(L8686="", "", L8686-B8686)</f>
        <v/>
      </c>
      <c r="O8686">
        <f>IF(L8686="", "Pending", IF(N8686&lt;=30, "Met", "Breached"))</f>
        <v/>
      </c>
    </row>
    <row r="8687">
      <c r="M8687" s="11">
        <f>B8687+30</f>
        <v/>
      </c>
      <c r="N8687">
        <f>IF(L8687="", "", L8687-B8687)</f>
        <v/>
      </c>
      <c r="O8687">
        <f>IF(L8687="", "Pending", IF(N8687&lt;=30, "Met", "Breached"))</f>
        <v/>
      </c>
    </row>
    <row r="8688">
      <c r="M8688" s="11">
        <f>B8688+30</f>
        <v/>
      </c>
      <c r="N8688">
        <f>IF(L8688="", "", L8688-B8688)</f>
        <v/>
      </c>
      <c r="O8688">
        <f>IF(L8688="", "Pending", IF(N8688&lt;=30, "Met", "Breached"))</f>
        <v/>
      </c>
    </row>
    <row r="8689">
      <c r="M8689" s="11">
        <f>B8689+30</f>
        <v/>
      </c>
      <c r="N8689">
        <f>IF(L8689="", "", L8689-B8689)</f>
        <v/>
      </c>
      <c r="O8689">
        <f>IF(L8689="", "Pending", IF(N8689&lt;=30, "Met", "Breached"))</f>
        <v/>
      </c>
    </row>
    <row r="8690">
      <c r="M8690" s="11">
        <f>B8690+30</f>
        <v/>
      </c>
      <c r="N8690">
        <f>IF(L8690="", "", L8690-B8690)</f>
        <v/>
      </c>
      <c r="O8690">
        <f>IF(L8690="", "Pending", IF(N8690&lt;=30, "Met", "Breached"))</f>
        <v/>
      </c>
    </row>
    <row r="8691">
      <c r="M8691" s="11">
        <f>B8691+30</f>
        <v/>
      </c>
      <c r="N8691">
        <f>IF(L8691="", "", L8691-B8691)</f>
        <v/>
      </c>
      <c r="O8691">
        <f>IF(L8691="", "Pending", IF(N8691&lt;=30, "Met", "Breached"))</f>
        <v/>
      </c>
    </row>
    <row r="8692">
      <c r="M8692" s="11">
        <f>B8692+30</f>
        <v/>
      </c>
      <c r="N8692">
        <f>IF(L8692="", "", L8692-B8692)</f>
        <v/>
      </c>
      <c r="O8692">
        <f>IF(L8692="", "Pending", IF(N8692&lt;=30, "Met", "Breached"))</f>
        <v/>
      </c>
    </row>
    <row r="8693">
      <c r="M8693" s="11">
        <f>B8693+30</f>
        <v/>
      </c>
      <c r="N8693">
        <f>IF(L8693="", "", L8693-B8693)</f>
        <v/>
      </c>
      <c r="O8693">
        <f>IF(L8693="", "Pending", IF(N8693&lt;=30, "Met", "Breached"))</f>
        <v/>
      </c>
    </row>
    <row r="8694">
      <c r="M8694" s="11">
        <f>B8694+30</f>
        <v/>
      </c>
      <c r="N8694">
        <f>IF(L8694="", "", L8694-B8694)</f>
        <v/>
      </c>
      <c r="O8694">
        <f>IF(L8694="", "Pending", IF(N8694&lt;=30, "Met", "Breached"))</f>
        <v/>
      </c>
    </row>
    <row r="8695">
      <c r="M8695" s="11">
        <f>B8695+30</f>
        <v/>
      </c>
      <c r="N8695">
        <f>IF(L8695="", "", L8695-B8695)</f>
        <v/>
      </c>
      <c r="O8695">
        <f>IF(L8695="", "Pending", IF(N8695&lt;=30, "Met", "Breached"))</f>
        <v/>
      </c>
    </row>
    <row r="8696">
      <c r="M8696" s="11">
        <f>B8696+30</f>
        <v/>
      </c>
      <c r="N8696">
        <f>IF(L8696="", "", L8696-B8696)</f>
        <v/>
      </c>
      <c r="O8696">
        <f>IF(L8696="", "Pending", IF(N8696&lt;=30, "Met", "Breached"))</f>
        <v/>
      </c>
    </row>
    <row r="8697">
      <c r="M8697" s="11">
        <f>B8697+30</f>
        <v/>
      </c>
      <c r="N8697">
        <f>IF(L8697="", "", L8697-B8697)</f>
        <v/>
      </c>
      <c r="O8697">
        <f>IF(L8697="", "Pending", IF(N8697&lt;=30, "Met", "Breached"))</f>
        <v/>
      </c>
    </row>
    <row r="8698">
      <c r="M8698" s="11">
        <f>B8698+30</f>
        <v/>
      </c>
      <c r="N8698">
        <f>IF(L8698="", "", L8698-B8698)</f>
        <v/>
      </c>
      <c r="O8698">
        <f>IF(L8698="", "Pending", IF(N8698&lt;=30, "Met", "Breached"))</f>
        <v/>
      </c>
    </row>
    <row r="8699">
      <c r="M8699" s="11">
        <f>B8699+30</f>
        <v/>
      </c>
      <c r="N8699">
        <f>IF(L8699="", "", L8699-B8699)</f>
        <v/>
      </c>
      <c r="O8699">
        <f>IF(L8699="", "Pending", IF(N8699&lt;=30, "Met", "Breached"))</f>
        <v/>
      </c>
    </row>
    <row r="8700">
      <c r="M8700" s="11">
        <f>B8700+30</f>
        <v/>
      </c>
      <c r="N8700">
        <f>IF(L8700="", "", L8700-B8700)</f>
        <v/>
      </c>
      <c r="O8700">
        <f>IF(L8700="", "Pending", IF(N8700&lt;=30, "Met", "Breached"))</f>
        <v/>
      </c>
    </row>
    <row r="8701">
      <c r="M8701" s="11">
        <f>B8701+30</f>
        <v/>
      </c>
      <c r="N8701">
        <f>IF(L8701="", "", L8701-B8701)</f>
        <v/>
      </c>
      <c r="O8701">
        <f>IF(L8701="", "Pending", IF(N8701&lt;=30, "Met", "Breached"))</f>
        <v/>
      </c>
    </row>
    <row r="8702">
      <c r="M8702" s="11">
        <f>B8702+30</f>
        <v/>
      </c>
      <c r="N8702">
        <f>IF(L8702="", "", L8702-B8702)</f>
        <v/>
      </c>
      <c r="O8702">
        <f>IF(L8702="", "Pending", IF(N8702&lt;=30, "Met", "Breached"))</f>
        <v/>
      </c>
    </row>
    <row r="8703">
      <c r="M8703" s="11">
        <f>B8703+30</f>
        <v/>
      </c>
      <c r="N8703">
        <f>IF(L8703="", "", L8703-B8703)</f>
        <v/>
      </c>
      <c r="O8703">
        <f>IF(L8703="", "Pending", IF(N8703&lt;=30, "Met", "Breached"))</f>
        <v/>
      </c>
    </row>
    <row r="8704">
      <c r="M8704" s="11">
        <f>B8704+30</f>
        <v/>
      </c>
      <c r="N8704">
        <f>IF(L8704="", "", L8704-B8704)</f>
        <v/>
      </c>
      <c r="O8704">
        <f>IF(L8704="", "Pending", IF(N8704&lt;=30, "Met", "Breached"))</f>
        <v/>
      </c>
    </row>
    <row r="8705">
      <c r="M8705" s="11">
        <f>B8705+30</f>
        <v/>
      </c>
      <c r="N8705">
        <f>IF(L8705="", "", L8705-B8705)</f>
        <v/>
      </c>
      <c r="O8705">
        <f>IF(L8705="", "Pending", IF(N8705&lt;=30, "Met", "Breached"))</f>
        <v/>
      </c>
    </row>
    <row r="8706">
      <c r="M8706" s="11">
        <f>B8706+30</f>
        <v/>
      </c>
      <c r="N8706">
        <f>IF(L8706="", "", L8706-B8706)</f>
        <v/>
      </c>
      <c r="O8706">
        <f>IF(L8706="", "Pending", IF(N8706&lt;=30, "Met", "Breached"))</f>
        <v/>
      </c>
    </row>
    <row r="8707">
      <c r="M8707" s="11">
        <f>B8707+30</f>
        <v/>
      </c>
      <c r="N8707">
        <f>IF(L8707="", "", L8707-B8707)</f>
        <v/>
      </c>
      <c r="O8707">
        <f>IF(L8707="", "Pending", IF(N8707&lt;=30, "Met", "Breached"))</f>
        <v/>
      </c>
    </row>
    <row r="8708">
      <c r="M8708" s="11">
        <f>B8708+30</f>
        <v/>
      </c>
      <c r="N8708">
        <f>IF(L8708="", "", L8708-B8708)</f>
        <v/>
      </c>
      <c r="O8708">
        <f>IF(L8708="", "Pending", IF(N8708&lt;=30, "Met", "Breached"))</f>
        <v/>
      </c>
    </row>
    <row r="8709">
      <c r="M8709" s="11">
        <f>B8709+30</f>
        <v/>
      </c>
      <c r="N8709">
        <f>IF(L8709="", "", L8709-B8709)</f>
        <v/>
      </c>
      <c r="O8709">
        <f>IF(L8709="", "Pending", IF(N8709&lt;=30, "Met", "Breached"))</f>
        <v/>
      </c>
    </row>
    <row r="8710">
      <c r="M8710" s="11">
        <f>B8710+30</f>
        <v/>
      </c>
      <c r="N8710">
        <f>IF(L8710="", "", L8710-B8710)</f>
        <v/>
      </c>
      <c r="O8710">
        <f>IF(L8710="", "Pending", IF(N8710&lt;=30, "Met", "Breached"))</f>
        <v/>
      </c>
    </row>
    <row r="8711">
      <c r="M8711" s="11">
        <f>B8711+30</f>
        <v/>
      </c>
      <c r="N8711">
        <f>IF(L8711="", "", L8711-B8711)</f>
        <v/>
      </c>
      <c r="O8711">
        <f>IF(L8711="", "Pending", IF(N8711&lt;=30, "Met", "Breached"))</f>
        <v/>
      </c>
    </row>
    <row r="8712">
      <c r="M8712" s="11">
        <f>B8712+30</f>
        <v/>
      </c>
      <c r="N8712">
        <f>IF(L8712="", "", L8712-B8712)</f>
        <v/>
      </c>
      <c r="O8712">
        <f>IF(L8712="", "Pending", IF(N8712&lt;=30, "Met", "Breached"))</f>
        <v/>
      </c>
    </row>
    <row r="8713">
      <c r="M8713" s="11">
        <f>B8713+30</f>
        <v/>
      </c>
      <c r="N8713">
        <f>IF(L8713="", "", L8713-B8713)</f>
        <v/>
      </c>
      <c r="O8713">
        <f>IF(L8713="", "Pending", IF(N8713&lt;=30, "Met", "Breached"))</f>
        <v/>
      </c>
    </row>
    <row r="8714">
      <c r="M8714" s="11">
        <f>B8714+30</f>
        <v/>
      </c>
      <c r="N8714">
        <f>IF(L8714="", "", L8714-B8714)</f>
        <v/>
      </c>
      <c r="O8714">
        <f>IF(L8714="", "Pending", IF(N8714&lt;=30, "Met", "Breached"))</f>
        <v/>
      </c>
    </row>
    <row r="8715">
      <c r="M8715" s="11">
        <f>B8715+30</f>
        <v/>
      </c>
      <c r="N8715">
        <f>IF(L8715="", "", L8715-B8715)</f>
        <v/>
      </c>
      <c r="O8715">
        <f>IF(L8715="", "Pending", IF(N8715&lt;=30, "Met", "Breached"))</f>
        <v/>
      </c>
    </row>
    <row r="8716">
      <c r="M8716" s="11">
        <f>B8716+30</f>
        <v/>
      </c>
      <c r="N8716">
        <f>IF(L8716="", "", L8716-B8716)</f>
        <v/>
      </c>
      <c r="O8716">
        <f>IF(L8716="", "Pending", IF(N8716&lt;=30, "Met", "Breached"))</f>
        <v/>
      </c>
    </row>
    <row r="8717">
      <c r="M8717" s="11">
        <f>B8717+30</f>
        <v/>
      </c>
      <c r="N8717">
        <f>IF(L8717="", "", L8717-B8717)</f>
        <v/>
      </c>
      <c r="O8717">
        <f>IF(L8717="", "Pending", IF(N8717&lt;=30, "Met", "Breached"))</f>
        <v/>
      </c>
    </row>
    <row r="8718">
      <c r="M8718" s="11">
        <f>B8718+30</f>
        <v/>
      </c>
      <c r="N8718">
        <f>IF(L8718="", "", L8718-B8718)</f>
        <v/>
      </c>
      <c r="O8718">
        <f>IF(L8718="", "Pending", IF(N8718&lt;=30, "Met", "Breached"))</f>
        <v/>
      </c>
    </row>
    <row r="8719">
      <c r="M8719" s="11">
        <f>B8719+30</f>
        <v/>
      </c>
      <c r="N8719">
        <f>IF(L8719="", "", L8719-B8719)</f>
        <v/>
      </c>
      <c r="O8719">
        <f>IF(L8719="", "Pending", IF(N8719&lt;=30, "Met", "Breached"))</f>
        <v/>
      </c>
    </row>
    <row r="8720">
      <c r="M8720" s="11">
        <f>B8720+30</f>
        <v/>
      </c>
      <c r="N8720">
        <f>IF(L8720="", "", L8720-B8720)</f>
        <v/>
      </c>
      <c r="O8720">
        <f>IF(L8720="", "Pending", IF(N8720&lt;=30, "Met", "Breached"))</f>
        <v/>
      </c>
    </row>
    <row r="8721">
      <c r="M8721" s="11">
        <f>B8721+30</f>
        <v/>
      </c>
      <c r="N8721">
        <f>IF(L8721="", "", L8721-B8721)</f>
        <v/>
      </c>
      <c r="O8721">
        <f>IF(L8721="", "Pending", IF(N8721&lt;=30, "Met", "Breached"))</f>
        <v/>
      </c>
    </row>
    <row r="8722">
      <c r="M8722" s="11">
        <f>B8722+30</f>
        <v/>
      </c>
      <c r="N8722">
        <f>IF(L8722="", "", L8722-B8722)</f>
        <v/>
      </c>
      <c r="O8722">
        <f>IF(L8722="", "Pending", IF(N8722&lt;=30, "Met", "Breached"))</f>
        <v/>
      </c>
    </row>
    <row r="8723">
      <c r="M8723" s="11">
        <f>B8723+30</f>
        <v/>
      </c>
      <c r="N8723">
        <f>IF(L8723="", "", L8723-B8723)</f>
        <v/>
      </c>
      <c r="O8723">
        <f>IF(L8723="", "Pending", IF(N8723&lt;=30, "Met", "Breached"))</f>
        <v/>
      </c>
    </row>
    <row r="8724">
      <c r="M8724" s="11">
        <f>B8724+30</f>
        <v/>
      </c>
      <c r="N8724">
        <f>IF(L8724="", "", L8724-B8724)</f>
        <v/>
      </c>
      <c r="O8724">
        <f>IF(L8724="", "Pending", IF(N8724&lt;=30, "Met", "Breached"))</f>
        <v/>
      </c>
    </row>
    <row r="8725">
      <c r="M8725" s="11">
        <f>B8725+30</f>
        <v/>
      </c>
      <c r="N8725">
        <f>IF(L8725="", "", L8725-B8725)</f>
        <v/>
      </c>
      <c r="O8725">
        <f>IF(L8725="", "Pending", IF(N8725&lt;=30, "Met", "Breached"))</f>
        <v/>
      </c>
    </row>
    <row r="8726">
      <c r="M8726" s="11">
        <f>B8726+30</f>
        <v/>
      </c>
      <c r="N8726">
        <f>IF(L8726="", "", L8726-B8726)</f>
        <v/>
      </c>
      <c r="O8726">
        <f>IF(L8726="", "Pending", IF(N8726&lt;=30, "Met", "Breached"))</f>
        <v/>
      </c>
    </row>
    <row r="8727">
      <c r="M8727" s="11">
        <f>B8727+30</f>
        <v/>
      </c>
      <c r="N8727">
        <f>IF(L8727="", "", L8727-B8727)</f>
        <v/>
      </c>
      <c r="O8727">
        <f>IF(L8727="", "Pending", IF(N8727&lt;=30, "Met", "Breached"))</f>
        <v/>
      </c>
    </row>
    <row r="8728">
      <c r="M8728" s="11">
        <f>B8728+30</f>
        <v/>
      </c>
      <c r="N8728">
        <f>IF(L8728="", "", L8728-B8728)</f>
        <v/>
      </c>
      <c r="O8728">
        <f>IF(L8728="", "Pending", IF(N8728&lt;=30, "Met", "Breached"))</f>
        <v/>
      </c>
    </row>
    <row r="8729">
      <c r="M8729" s="11">
        <f>B8729+30</f>
        <v/>
      </c>
      <c r="N8729">
        <f>IF(L8729="", "", L8729-B8729)</f>
        <v/>
      </c>
      <c r="O8729">
        <f>IF(L8729="", "Pending", IF(N8729&lt;=30, "Met", "Breached"))</f>
        <v/>
      </c>
    </row>
    <row r="8730">
      <c r="M8730" s="11">
        <f>B8730+30</f>
        <v/>
      </c>
      <c r="N8730">
        <f>IF(L8730="", "", L8730-B8730)</f>
        <v/>
      </c>
      <c r="O8730">
        <f>IF(L8730="", "Pending", IF(N8730&lt;=30, "Met", "Breached"))</f>
        <v/>
      </c>
    </row>
    <row r="8731">
      <c r="M8731" s="11">
        <f>B8731+30</f>
        <v/>
      </c>
      <c r="N8731">
        <f>IF(L8731="", "", L8731-B8731)</f>
        <v/>
      </c>
      <c r="O8731">
        <f>IF(L8731="", "Pending", IF(N8731&lt;=30, "Met", "Breached"))</f>
        <v/>
      </c>
    </row>
    <row r="8732">
      <c r="M8732" s="11">
        <f>B8732+30</f>
        <v/>
      </c>
      <c r="N8732">
        <f>IF(L8732="", "", L8732-B8732)</f>
        <v/>
      </c>
      <c r="O8732">
        <f>IF(L8732="", "Pending", IF(N8732&lt;=30, "Met", "Breached"))</f>
        <v/>
      </c>
    </row>
    <row r="8733">
      <c r="M8733" s="11">
        <f>B8733+30</f>
        <v/>
      </c>
      <c r="N8733">
        <f>IF(L8733="", "", L8733-B8733)</f>
        <v/>
      </c>
      <c r="O8733">
        <f>IF(L8733="", "Pending", IF(N8733&lt;=30, "Met", "Breached"))</f>
        <v/>
      </c>
    </row>
    <row r="8734">
      <c r="M8734" s="11">
        <f>B8734+30</f>
        <v/>
      </c>
      <c r="N8734">
        <f>IF(L8734="", "", L8734-B8734)</f>
        <v/>
      </c>
      <c r="O8734">
        <f>IF(L8734="", "Pending", IF(N8734&lt;=30, "Met", "Breached"))</f>
        <v/>
      </c>
    </row>
    <row r="8735">
      <c r="M8735" s="11">
        <f>B8735+30</f>
        <v/>
      </c>
      <c r="N8735">
        <f>IF(L8735="", "", L8735-B8735)</f>
        <v/>
      </c>
      <c r="O8735">
        <f>IF(L8735="", "Pending", IF(N8735&lt;=30, "Met", "Breached"))</f>
        <v/>
      </c>
    </row>
    <row r="8736">
      <c r="M8736" s="11">
        <f>B8736+30</f>
        <v/>
      </c>
      <c r="N8736">
        <f>IF(L8736="", "", L8736-B8736)</f>
        <v/>
      </c>
      <c r="O8736">
        <f>IF(L8736="", "Pending", IF(N8736&lt;=30, "Met", "Breached"))</f>
        <v/>
      </c>
    </row>
    <row r="8737">
      <c r="M8737" s="11">
        <f>B8737+30</f>
        <v/>
      </c>
      <c r="N8737">
        <f>IF(L8737="", "", L8737-B8737)</f>
        <v/>
      </c>
      <c r="O8737">
        <f>IF(L8737="", "Pending", IF(N8737&lt;=30, "Met", "Breached"))</f>
        <v/>
      </c>
    </row>
    <row r="8738">
      <c r="M8738" s="11">
        <f>B8738+30</f>
        <v/>
      </c>
      <c r="N8738">
        <f>IF(L8738="", "", L8738-B8738)</f>
        <v/>
      </c>
      <c r="O8738">
        <f>IF(L8738="", "Pending", IF(N8738&lt;=30, "Met", "Breached"))</f>
        <v/>
      </c>
    </row>
    <row r="8739">
      <c r="M8739" s="11">
        <f>B8739+30</f>
        <v/>
      </c>
      <c r="N8739">
        <f>IF(L8739="", "", L8739-B8739)</f>
        <v/>
      </c>
      <c r="O8739">
        <f>IF(L8739="", "Pending", IF(N8739&lt;=30, "Met", "Breached"))</f>
        <v/>
      </c>
    </row>
    <row r="8740">
      <c r="M8740" s="11">
        <f>B8740+30</f>
        <v/>
      </c>
      <c r="N8740">
        <f>IF(L8740="", "", L8740-B8740)</f>
        <v/>
      </c>
      <c r="O8740">
        <f>IF(L8740="", "Pending", IF(N8740&lt;=30, "Met", "Breached"))</f>
        <v/>
      </c>
    </row>
    <row r="8741">
      <c r="M8741" s="11">
        <f>B8741+30</f>
        <v/>
      </c>
      <c r="N8741">
        <f>IF(L8741="", "", L8741-B8741)</f>
        <v/>
      </c>
      <c r="O8741">
        <f>IF(L8741="", "Pending", IF(N8741&lt;=30, "Met", "Breached"))</f>
        <v/>
      </c>
    </row>
    <row r="8742">
      <c r="M8742" s="11">
        <f>B8742+30</f>
        <v/>
      </c>
      <c r="N8742">
        <f>IF(L8742="", "", L8742-B8742)</f>
        <v/>
      </c>
      <c r="O8742">
        <f>IF(L8742="", "Pending", IF(N8742&lt;=30, "Met", "Breached"))</f>
        <v/>
      </c>
    </row>
    <row r="8743">
      <c r="M8743" s="11">
        <f>B8743+30</f>
        <v/>
      </c>
      <c r="N8743">
        <f>IF(L8743="", "", L8743-B8743)</f>
        <v/>
      </c>
      <c r="O8743">
        <f>IF(L8743="", "Pending", IF(N8743&lt;=30, "Met", "Breached"))</f>
        <v/>
      </c>
    </row>
    <row r="8744">
      <c r="M8744" s="11">
        <f>B8744+30</f>
        <v/>
      </c>
      <c r="N8744">
        <f>IF(L8744="", "", L8744-B8744)</f>
        <v/>
      </c>
      <c r="O8744">
        <f>IF(L8744="", "Pending", IF(N8744&lt;=30, "Met", "Breached"))</f>
        <v/>
      </c>
    </row>
    <row r="8745">
      <c r="M8745" s="11">
        <f>B8745+30</f>
        <v/>
      </c>
      <c r="N8745">
        <f>IF(L8745="", "", L8745-B8745)</f>
        <v/>
      </c>
      <c r="O8745">
        <f>IF(L8745="", "Pending", IF(N8745&lt;=30, "Met", "Breached"))</f>
        <v/>
      </c>
    </row>
    <row r="8746">
      <c r="M8746" s="11">
        <f>B8746+30</f>
        <v/>
      </c>
      <c r="N8746">
        <f>IF(L8746="", "", L8746-B8746)</f>
        <v/>
      </c>
      <c r="O8746">
        <f>IF(L8746="", "Pending", IF(N8746&lt;=30, "Met", "Breached"))</f>
        <v/>
      </c>
    </row>
    <row r="8747">
      <c r="M8747" s="11">
        <f>B8747+30</f>
        <v/>
      </c>
      <c r="N8747">
        <f>IF(L8747="", "", L8747-B8747)</f>
        <v/>
      </c>
      <c r="O8747">
        <f>IF(L8747="", "Pending", IF(N8747&lt;=30, "Met", "Breached"))</f>
        <v/>
      </c>
    </row>
    <row r="8748">
      <c r="M8748" s="11">
        <f>B8748+30</f>
        <v/>
      </c>
      <c r="N8748">
        <f>IF(L8748="", "", L8748-B8748)</f>
        <v/>
      </c>
      <c r="O8748">
        <f>IF(L8748="", "Pending", IF(N8748&lt;=30, "Met", "Breached"))</f>
        <v/>
      </c>
    </row>
    <row r="8749">
      <c r="M8749" s="11">
        <f>B8749+30</f>
        <v/>
      </c>
      <c r="N8749">
        <f>IF(L8749="", "", L8749-B8749)</f>
        <v/>
      </c>
      <c r="O8749">
        <f>IF(L8749="", "Pending", IF(N8749&lt;=30, "Met", "Breached"))</f>
        <v/>
      </c>
    </row>
    <row r="8750">
      <c r="M8750" s="11">
        <f>B8750+30</f>
        <v/>
      </c>
      <c r="N8750">
        <f>IF(L8750="", "", L8750-B8750)</f>
        <v/>
      </c>
      <c r="O8750">
        <f>IF(L8750="", "Pending", IF(N8750&lt;=30, "Met", "Breached"))</f>
        <v/>
      </c>
    </row>
    <row r="8751">
      <c r="M8751" s="11">
        <f>B8751+30</f>
        <v/>
      </c>
      <c r="N8751">
        <f>IF(L8751="", "", L8751-B8751)</f>
        <v/>
      </c>
      <c r="O8751">
        <f>IF(L8751="", "Pending", IF(N8751&lt;=30, "Met", "Breached"))</f>
        <v/>
      </c>
    </row>
    <row r="8752">
      <c r="M8752" s="11">
        <f>B8752+30</f>
        <v/>
      </c>
      <c r="N8752">
        <f>IF(L8752="", "", L8752-B8752)</f>
        <v/>
      </c>
      <c r="O8752">
        <f>IF(L8752="", "Pending", IF(N8752&lt;=30, "Met", "Breached"))</f>
        <v/>
      </c>
    </row>
    <row r="8753">
      <c r="M8753" s="11">
        <f>B8753+30</f>
        <v/>
      </c>
      <c r="N8753">
        <f>IF(L8753="", "", L8753-B8753)</f>
        <v/>
      </c>
      <c r="O8753">
        <f>IF(L8753="", "Pending", IF(N8753&lt;=30, "Met", "Breached"))</f>
        <v/>
      </c>
    </row>
    <row r="8754">
      <c r="M8754" s="11">
        <f>B8754+30</f>
        <v/>
      </c>
      <c r="N8754">
        <f>IF(L8754="", "", L8754-B8754)</f>
        <v/>
      </c>
      <c r="O8754">
        <f>IF(L8754="", "Pending", IF(N8754&lt;=30, "Met", "Breached"))</f>
        <v/>
      </c>
    </row>
    <row r="8755">
      <c r="M8755" s="11">
        <f>B8755+30</f>
        <v/>
      </c>
      <c r="N8755">
        <f>IF(L8755="", "", L8755-B8755)</f>
        <v/>
      </c>
      <c r="O8755">
        <f>IF(L8755="", "Pending", IF(N8755&lt;=30, "Met", "Breached"))</f>
        <v/>
      </c>
    </row>
    <row r="8756">
      <c r="M8756" s="11">
        <f>B8756+30</f>
        <v/>
      </c>
      <c r="N8756">
        <f>IF(L8756="", "", L8756-B8756)</f>
        <v/>
      </c>
      <c r="O8756">
        <f>IF(L8756="", "Pending", IF(N8756&lt;=30, "Met", "Breached"))</f>
        <v/>
      </c>
    </row>
    <row r="8757">
      <c r="M8757" s="11">
        <f>B8757+30</f>
        <v/>
      </c>
      <c r="N8757">
        <f>IF(L8757="", "", L8757-B8757)</f>
        <v/>
      </c>
      <c r="O8757">
        <f>IF(L8757="", "Pending", IF(N8757&lt;=30, "Met", "Breached"))</f>
        <v/>
      </c>
    </row>
    <row r="8758">
      <c r="M8758" s="11">
        <f>B8758+30</f>
        <v/>
      </c>
      <c r="N8758">
        <f>IF(L8758="", "", L8758-B8758)</f>
        <v/>
      </c>
      <c r="O8758">
        <f>IF(L8758="", "Pending", IF(N8758&lt;=30, "Met", "Breached"))</f>
        <v/>
      </c>
    </row>
    <row r="8759">
      <c r="M8759" s="11">
        <f>B8759+30</f>
        <v/>
      </c>
      <c r="N8759">
        <f>IF(L8759="", "", L8759-B8759)</f>
        <v/>
      </c>
      <c r="O8759">
        <f>IF(L8759="", "Pending", IF(N8759&lt;=30, "Met", "Breached"))</f>
        <v/>
      </c>
    </row>
    <row r="8760">
      <c r="M8760" s="11">
        <f>B8760+30</f>
        <v/>
      </c>
      <c r="N8760">
        <f>IF(L8760="", "", L8760-B8760)</f>
        <v/>
      </c>
      <c r="O8760">
        <f>IF(L8760="", "Pending", IF(N8760&lt;=30, "Met", "Breached"))</f>
        <v/>
      </c>
    </row>
    <row r="8761">
      <c r="M8761" s="11">
        <f>B8761+30</f>
        <v/>
      </c>
      <c r="N8761">
        <f>IF(L8761="", "", L8761-B8761)</f>
        <v/>
      </c>
      <c r="O8761">
        <f>IF(L8761="", "Pending", IF(N8761&lt;=30, "Met", "Breached"))</f>
        <v/>
      </c>
    </row>
    <row r="8762">
      <c r="M8762" s="11">
        <f>B8762+30</f>
        <v/>
      </c>
      <c r="N8762">
        <f>IF(L8762="", "", L8762-B8762)</f>
        <v/>
      </c>
      <c r="O8762">
        <f>IF(L8762="", "Pending", IF(N8762&lt;=30, "Met", "Breached"))</f>
        <v/>
      </c>
    </row>
    <row r="8763">
      <c r="M8763" s="11">
        <f>B8763+30</f>
        <v/>
      </c>
      <c r="N8763">
        <f>IF(L8763="", "", L8763-B8763)</f>
        <v/>
      </c>
      <c r="O8763">
        <f>IF(L8763="", "Pending", IF(N8763&lt;=30, "Met", "Breached"))</f>
        <v/>
      </c>
    </row>
    <row r="8764">
      <c r="M8764" s="11">
        <f>B8764+30</f>
        <v/>
      </c>
      <c r="N8764">
        <f>IF(L8764="", "", L8764-B8764)</f>
        <v/>
      </c>
      <c r="O8764">
        <f>IF(L8764="", "Pending", IF(N8764&lt;=30, "Met", "Breached"))</f>
        <v/>
      </c>
    </row>
    <row r="8765">
      <c r="M8765" s="11">
        <f>B8765+30</f>
        <v/>
      </c>
      <c r="N8765">
        <f>IF(L8765="", "", L8765-B8765)</f>
        <v/>
      </c>
      <c r="O8765">
        <f>IF(L8765="", "Pending", IF(N8765&lt;=30, "Met", "Breached"))</f>
        <v/>
      </c>
    </row>
    <row r="8766">
      <c r="M8766" s="11">
        <f>B8766+30</f>
        <v/>
      </c>
      <c r="N8766">
        <f>IF(L8766="", "", L8766-B8766)</f>
        <v/>
      </c>
      <c r="O8766">
        <f>IF(L8766="", "Pending", IF(N8766&lt;=30, "Met", "Breached"))</f>
        <v/>
      </c>
    </row>
    <row r="8767">
      <c r="M8767" s="11">
        <f>B8767+30</f>
        <v/>
      </c>
      <c r="N8767">
        <f>IF(L8767="", "", L8767-B8767)</f>
        <v/>
      </c>
      <c r="O8767">
        <f>IF(L8767="", "Pending", IF(N8767&lt;=30, "Met", "Breached"))</f>
        <v/>
      </c>
    </row>
    <row r="8768">
      <c r="M8768" s="11">
        <f>B8768+30</f>
        <v/>
      </c>
      <c r="N8768">
        <f>IF(L8768="", "", L8768-B8768)</f>
        <v/>
      </c>
      <c r="O8768">
        <f>IF(L8768="", "Pending", IF(N8768&lt;=30, "Met", "Breached"))</f>
        <v/>
      </c>
    </row>
    <row r="8769">
      <c r="M8769" s="11">
        <f>B8769+30</f>
        <v/>
      </c>
      <c r="N8769">
        <f>IF(L8769="", "", L8769-B8769)</f>
        <v/>
      </c>
      <c r="O8769">
        <f>IF(L8769="", "Pending", IF(N8769&lt;=30, "Met", "Breached"))</f>
        <v/>
      </c>
    </row>
    <row r="8770">
      <c r="M8770" s="11">
        <f>B8770+30</f>
        <v/>
      </c>
      <c r="N8770">
        <f>IF(L8770="", "", L8770-B8770)</f>
        <v/>
      </c>
      <c r="O8770">
        <f>IF(L8770="", "Pending", IF(N8770&lt;=30, "Met", "Breached"))</f>
        <v/>
      </c>
    </row>
    <row r="8771">
      <c r="M8771" s="11">
        <f>B8771+30</f>
        <v/>
      </c>
      <c r="N8771">
        <f>IF(L8771="", "", L8771-B8771)</f>
        <v/>
      </c>
      <c r="O8771">
        <f>IF(L8771="", "Pending", IF(N8771&lt;=30, "Met", "Breached"))</f>
        <v/>
      </c>
    </row>
    <row r="8772">
      <c r="M8772" s="11">
        <f>B8772+30</f>
        <v/>
      </c>
      <c r="N8772">
        <f>IF(L8772="", "", L8772-B8772)</f>
        <v/>
      </c>
      <c r="O8772">
        <f>IF(L8772="", "Pending", IF(N8772&lt;=30, "Met", "Breached"))</f>
        <v/>
      </c>
    </row>
    <row r="8773">
      <c r="M8773" s="11">
        <f>B8773+30</f>
        <v/>
      </c>
      <c r="N8773">
        <f>IF(L8773="", "", L8773-B8773)</f>
        <v/>
      </c>
      <c r="O8773">
        <f>IF(L8773="", "Pending", IF(N8773&lt;=30, "Met", "Breached"))</f>
        <v/>
      </c>
    </row>
    <row r="8774">
      <c r="M8774" s="11">
        <f>B8774+30</f>
        <v/>
      </c>
      <c r="N8774">
        <f>IF(L8774="", "", L8774-B8774)</f>
        <v/>
      </c>
      <c r="O8774">
        <f>IF(L8774="", "Pending", IF(N8774&lt;=30, "Met", "Breached"))</f>
        <v/>
      </c>
    </row>
    <row r="8775">
      <c r="M8775" s="11">
        <f>B8775+30</f>
        <v/>
      </c>
      <c r="N8775">
        <f>IF(L8775="", "", L8775-B8775)</f>
        <v/>
      </c>
      <c r="O8775">
        <f>IF(L8775="", "Pending", IF(N8775&lt;=30, "Met", "Breached"))</f>
        <v/>
      </c>
    </row>
    <row r="8776">
      <c r="M8776" s="11">
        <f>B8776+30</f>
        <v/>
      </c>
      <c r="N8776">
        <f>IF(L8776="", "", L8776-B8776)</f>
        <v/>
      </c>
      <c r="O8776">
        <f>IF(L8776="", "Pending", IF(N8776&lt;=30, "Met", "Breached"))</f>
        <v/>
      </c>
    </row>
    <row r="8777">
      <c r="M8777" s="11">
        <f>B8777+30</f>
        <v/>
      </c>
      <c r="N8777">
        <f>IF(L8777="", "", L8777-B8777)</f>
        <v/>
      </c>
      <c r="O8777">
        <f>IF(L8777="", "Pending", IF(N8777&lt;=30, "Met", "Breached"))</f>
        <v/>
      </c>
    </row>
    <row r="8778">
      <c r="M8778" s="11">
        <f>B8778+30</f>
        <v/>
      </c>
      <c r="N8778">
        <f>IF(L8778="", "", L8778-B8778)</f>
        <v/>
      </c>
      <c r="O8778">
        <f>IF(L8778="", "Pending", IF(N8778&lt;=30, "Met", "Breached"))</f>
        <v/>
      </c>
    </row>
    <row r="8779">
      <c r="M8779" s="11">
        <f>B8779+30</f>
        <v/>
      </c>
      <c r="N8779">
        <f>IF(L8779="", "", L8779-B8779)</f>
        <v/>
      </c>
      <c r="O8779">
        <f>IF(L8779="", "Pending", IF(N8779&lt;=30, "Met", "Breached"))</f>
        <v/>
      </c>
    </row>
    <row r="8780">
      <c r="M8780" s="11">
        <f>B8780+30</f>
        <v/>
      </c>
      <c r="N8780">
        <f>IF(L8780="", "", L8780-B8780)</f>
        <v/>
      </c>
      <c r="O8780">
        <f>IF(L8780="", "Pending", IF(N8780&lt;=30, "Met", "Breached"))</f>
        <v/>
      </c>
    </row>
    <row r="8781">
      <c r="M8781" s="11">
        <f>B8781+30</f>
        <v/>
      </c>
      <c r="N8781">
        <f>IF(L8781="", "", L8781-B8781)</f>
        <v/>
      </c>
      <c r="O8781">
        <f>IF(L8781="", "Pending", IF(N8781&lt;=30, "Met", "Breached"))</f>
        <v/>
      </c>
    </row>
    <row r="8782">
      <c r="M8782" s="11">
        <f>B8782+30</f>
        <v/>
      </c>
      <c r="N8782">
        <f>IF(L8782="", "", L8782-B8782)</f>
        <v/>
      </c>
      <c r="O8782">
        <f>IF(L8782="", "Pending", IF(N8782&lt;=30, "Met", "Breached"))</f>
        <v/>
      </c>
    </row>
    <row r="8783">
      <c r="M8783" s="11">
        <f>B8783+30</f>
        <v/>
      </c>
      <c r="N8783">
        <f>IF(L8783="", "", L8783-B8783)</f>
        <v/>
      </c>
      <c r="O8783">
        <f>IF(L8783="", "Pending", IF(N8783&lt;=30, "Met", "Breached"))</f>
        <v/>
      </c>
    </row>
    <row r="8784">
      <c r="M8784" s="11">
        <f>B8784+30</f>
        <v/>
      </c>
      <c r="N8784">
        <f>IF(L8784="", "", L8784-B8784)</f>
        <v/>
      </c>
      <c r="O8784">
        <f>IF(L8784="", "Pending", IF(N8784&lt;=30, "Met", "Breached"))</f>
        <v/>
      </c>
    </row>
    <row r="8785">
      <c r="M8785" s="11">
        <f>B8785+30</f>
        <v/>
      </c>
      <c r="N8785">
        <f>IF(L8785="", "", L8785-B8785)</f>
        <v/>
      </c>
      <c r="O8785">
        <f>IF(L8785="", "Pending", IF(N8785&lt;=30, "Met", "Breached"))</f>
        <v/>
      </c>
    </row>
    <row r="8786">
      <c r="M8786" s="11">
        <f>B8786+30</f>
        <v/>
      </c>
      <c r="N8786">
        <f>IF(L8786="", "", L8786-B8786)</f>
        <v/>
      </c>
      <c r="O8786">
        <f>IF(L8786="", "Pending", IF(N8786&lt;=30, "Met", "Breached"))</f>
        <v/>
      </c>
    </row>
    <row r="8787">
      <c r="M8787" s="11">
        <f>B8787+30</f>
        <v/>
      </c>
      <c r="N8787">
        <f>IF(L8787="", "", L8787-B8787)</f>
        <v/>
      </c>
      <c r="O8787">
        <f>IF(L8787="", "Pending", IF(N8787&lt;=30, "Met", "Breached"))</f>
        <v/>
      </c>
    </row>
    <row r="8788">
      <c r="M8788" s="11">
        <f>B8788+30</f>
        <v/>
      </c>
      <c r="N8788">
        <f>IF(L8788="", "", L8788-B8788)</f>
        <v/>
      </c>
      <c r="O8788">
        <f>IF(L8788="", "Pending", IF(N8788&lt;=30, "Met", "Breached"))</f>
        <v/>
      </c>
    </row>
    <row r="8789">
      <c r="M8789" s="11">
        <f>B8789+30</f>
        <v/>
      </c>
      <c r="N8789">
        <f>IF(L8789="", "", L8789-B8789)</f>
        <v/>
      </c>
      <c r="O8789">
        <f>IF(L8789="", "Pending", IF(N8789&lt;=30, "Met", "Breached"))</f>
        <v/>
      </c>
    </row>
    <row r="8790">
      <c r="M8790" s="11">
        <f>B8790+30</f>
        <v/>
      </c>
      <c r="N8790">
        <f>IF(L8790="", "", L8790-B8790)</f>
        <v/>
      </c>
      <c r="O8790">
        <f>IF(L8790="", "Pending", IF(N8790&lt;=30, "Met", "Breached"))</f>
        <v/>
      </c>
    </row>
    <row r="8791">
      <c r="M8791" s="11">
        <f>B8791+30</f>
        <v/>
      </c>
      <c r="N8791">
        <f>IF(L8791="", "", L8791-B8791)</f>
        <v/>
      </c>
      <c r="O8791">
        <f>IF(L8791="", "Pending", IF(N8791&lt;=30, "Met", "Breached"))</f>
        <v/>
      </c>
    </row>
    <row r="8792">
      <c r="M8792" s="11">
        <f>B8792+30</f>
        <v/>
      </c>
      <c r="N8792">
        <f>IF(L8792="", "", L8792-B8792)</f>
        <v/>
      </c>
      <c r="O8792">
        <f>IF(L8792="", "Pending", IF(N8792&lt;=30, "Met", "Breached"))</f>
        <v/>
      </c>
    </row>
    <row r="8793">
      <c r="M8793" s="11">
        <f>B8793+30</f>
        <v/>
      </c>
      <c r="N8793">
        <f>IF(L8793="", "", L8793-B8793)</f>
        <v/>
      </c>
      <c r="O8793">
        <f>IF(L8793="", "Pending", IF(N8793&lt;=30, "Met", "Breached"))</f>
        <v/>
      </c>
    </row>
    <row r="8794">
      <c r="M8794" s="11">
        <f>B8794+30</f>
        <v/>
      </c>
      <c r="N8794">
        <f>IF(L8794="", "", L8794-B8794)</f>
        <v/>
      </c>
      <c r="O8794">
        <f>IF(L8794="", "Pending", IF(N8794&lt;=30, "Met", "Breached"))</f>
        <v/>
      </c>
    </row>
    <row r="8795">
      <c r="M8795" s="11">
        <f>B8795+30</f>
        <v/>
      </c>
      <c r="N8795">
        <f>IF(L8795="", "", L8795-B8795)</f>
        <v/>
      </c>
      <c r="O8795">
        <f>IF(L8795="", "Pending", IF(N8795&lt;=30, "Met", "Breached"))</f>
        <v/>
      </c>
    </row>
    <row r="8796">
      <c r="M8796" s="11">
        <f>B8796+30</f>
        <v/>
      </c>
      <c r="N8796">
        <f>IF(L8796="", "", L8796-B8796)</f>
        <v/>
      </c>
      <c r="O8796">
        <f>IF(L8796="", "Pending", IF(N8796&lt;=30, "Met", "Breached"))</f>
        <v/>
      </c>
    </row>
    <row r="8797">
      <c r="M8797" s="11">
        <f>B8797+30</f>
        <v/>
      </c>
      <c r="N8797">
        <f>IF(L8797="", "", L8797-B8797)</f>
        <v/>
      </c>
      <c r="O8797">
        <f>IF(L8797="", "Pending", IF(N8797&lt;=30, "Met", "Breached"))</f>
        <v/>
      </c>
    </row>
    <row r="8798">
      <c r="M8798" s="11">
        <f>B8798+30</f>
        <v/>
      </c>
      <c r="N8798">
        <f>IF(L8798="", "", L8798-B8798)</f>
        <v/>
      </c>
      <c r="O8798">
        <f>IF(L8798="", "Pending", IF(N8798&lt;=30, "Met", "Breached"))</f>
        <v/>
      </c>
    </row>
    <row r="8799">
      <c r="M8799" s="11">
        <f>B8799+30</f>
        <v/>
      </c>
      <c r="N8799">
        <f>IF(L8799="", "", L8799-B8799)</f>
        <v/>
      </c>
      <c r="O8799">
        <f>IF(L8799="", "Pending", IF(N8799&lt;=30, "Met", "Breached"))</f>
        <v/>
      </c>
    </row>
    <row r="8800">
      <c r="M8800" s="11">
        <f>B8800+30</f>
        <v/>
      </c>
      <c r="N8800">
        <f>IF(L8800="", "", L8800-B8800)</f>
        <v/>
      </c>
      <c r="O8800">
        <f>IF(L8800="", "Pending", IF(N8800&lt;=30, "Met", "Breached"))</f>
        <v/>
      </c>
    </row>
    <row r="8801">
      <c r="M8801" s="11">
        <f>B8801+30</f>
        <v/>
      </c>
      <c r="N8801">
        <f>IF(L8801="", "", L8801-B8801)</f>
        <v/>
      </c>
      <c r="O8801">
        <f>IF(L8801="", "Pending", IF(N8801&lt;=30, "Met", "Breached"))</f>
        <v/>
      </c>
    </row>
    <row r="8802">
      <c r="M8802" s="11">
        <f>B8802+30</f>
        <v/>
      </c>
      <c r="N8802">
        <f>IF(L8802="", "", L8802-B8802)</f>
        <v/>
      </c>
      <c r="O8802">
        <f>IF(L8802="", "Pending", IF(N8802&lt;=30, "Met", "Breached"))</f>
        <v/>
      </c>
    </row>
    <row r="8803">
      <c r="M8803" s="11">
        <f>B8803+30</f>
        <v/>
      </c>
      <c r="N8803">
        <f>IF(L8803="", "", L8803-B8803)</f>
        <v/>
      </c>
      <c r="O8803">
        <f>IF(L8803="", "Pending", IF(N8803&lt;=30, "Met", "Breached"))</f>
        <v/>
      </c>
    </row>
    <row r="8804">
      <c r="M8804" s="11">
        <f>B8804+30</f>
        <v/>
      </c>
      <c r="N8804">
        <f>IF(L8804="", "", L8804-B8804)</f>
        <v/>
      </c>
      <c r="O8804">
        <f>IF(L8804="", "Pending", IF(N8804&lt;=30, "Met", "Breached"))</f>
        <v/>
      </c>
    </row>
    <row r="8805">
      <c r="M8805" s="11">
        <f>B8805+30</f>
        <v/>
      </c>
      <c r="N8805">
        <f>IF(L8805="", "", L8805-B8805)</f>
        <v/>
      </c>
      <c r="O8805">
        <f>IF(L8805="", "Pending", IF(N8805&lt;=30, "Met", "Breached"))</f>
        <v/>
      </c>
    </row>
    <row r="8806">
      <c r="M8806" s="11">
        <f>B8806+30</f>
        <v/>
      </c>
      <c r="N8806">
        <f>IF(L8806="", "", L8806-B8806)</f>
        <v/>
      </c>
      <c r="O8806">
        <f>IF(L8806="", "Pending", IF(N8806&lt;=30, "Met", "Breached"))</f>
        <v/>
      </c>
    </row>
    <row r="8807">
      <c r="M8807" s="11">
        <f>B8807+30</f>
        <v/>
      </c>
      <c r="N8807">
        <f>IF(L8807="", "", L8807-B8807)</f>
        <v/>
      </c>
      <c r="O8807">
        <f>IF(L8807="", "Pending", IF(N8807&lt;=30, "Met", "Breached"))</f>
        <v/>
      </c>
    </row>
    <row r="8808">
      <c r="M8808" s="11">
        <f>B8808+30</f>
        <v/>
      </c>
      <c r="N8808">
        <f>IF(L8808="", "", L8808-B8808)</f>
        <v/>
      </c>
      <c r="O8808">
        <f>IF(L8808="", "Pending", IF(N8808&lt;=30, "Met", "Breached"))</f>
        <v/>
      </c>
    </row>
    <row r="8809">
      <c r="M8809" s="11">
        <f>B8809+30</f>
        <v/>
      </c>
      <c r="N8809">
        <f>IF(L8809="", "", L8809-B8809)</f>
        <v/>
      </c>
      <c r="O8809">
        <f>IF(L8809="", "Pending", IF(N8809&lt;=30, "Met", "Breached"))</f>
        <v/>
      </c>
    </row>
    <row r="8810">
      <c r="M8810" s="11">
        <f>B8810+30</f>
        <v/>
      </c>
      <c r="N8810">
        <f>IF(L8810="", "", L8810-B8810)</f>
        <v/>
      </c>
      <c r="O8810">
        <f>IF(L8810="", "Pending", IF(N8810&lt;=30, "Met", "Breached"))</f>
        <v/>
      </c>
    </row>
    <row r="8811">
      <c r="M8811" s="11">
        <f>B8811+30</f>
        <v/>
      </c>
      <c r="N8811">
        <f>IF(L8811="", "", L8811-B8811)</f>
        <v/>
      </c>
      <c r="O8811">
        <f>IF(L8811="", "Pending", IF(N8811&lt;=30, "Met", "Breached"))</f>
        <v/>
      </c>
    </row>
    <row r="8812">
      <c r="M8812" s="11">
        <f>B8812+30</f>
        <v/>
      </c>
      <c r="N8812">
        <f>IF(L8812="", "", L8812-B8812)</f>
        <v/>
      </c>
      <c r="O8812">
        <f>IF(L8812="", "Pending", IF(N8812&lt;=30, "Met", "Breached"))</f>
        <v/>
      </c>
    </row>
    <row r="8813">
      <c r="M8813" s="11">
        <f>B8813+30</f>
        <v/>
      </c>
      <c r="N8813">
        <f>IF(L8813="", "", L8813-B8813)</f>
        <v/>
      </c>
      <c r="O8813">
        <f>IF(L8813="", "Pending", IF(N8813&lt;=30, "Met", "Breached"))</f>
        <v/>
      </c>
    </row>
    <row r="8814">
      <c r="M8814" s="11">
        <f>B8814+30</f>
        <v/>
      </c>
      <c r="N8814">
        <f>IF(L8814="", "", L8814-B8814)</f>
        <v/>
      </c>
      <c r="O8814">
        <f>IF(L8814="", "Pending", IF(N8814&lt;=30, "Met", "Breached"))</f>
        <v/>
      </c>
    </row>
    <row r="8815">
      <c r="M8815" s="11">
        <f>B8815+30</f>
        <v/>
      </c>
      <c r="N8815">
        <f>IF(L8815="", "", L8815-B8815)</f>
        <v/>
      </c>
      <c r="O8815">
        <f>IF(L8815="", "Pending", IF(N8815&lt;=30, "Met", "Breached"))</f>
        <v/>
      </c>
    </row>
    <row r="8816">
      <c r="M8816" s="11">
        <f>B8816+30</f>
        <v/>
      </c>
      <c r="N8816">
        <f>IF(L8816="", "", L8816-B8816)</f>
        <v/>
      </c>
      <c r="O8816">
        <f>IF(L8816="", "Pending", IF(N8816&lt;=30, "Met", "Breached"))</f>
        <v/>
      </c>
    </row>
    <row r="8817">
      <c r="M8817" s="11">
        <f>B8817+30</f>
        <v/>
      </c>
      <c r="N8817">
        <f>IF(L8817="", "", L8817-B8817)</f>
        <v/>
      </c>
      <c r="O8817">
        <f>IF(L8817="", "Pending", IF(N8817&lt;=30, "Met", "Breached"))</f>
        <v/>
      </c>
    </row>
    <row r="8818">
      <c r="M8818" s="11">
        <f>B8818+30</f>
        <v/>
      </c>
      <c r="N8818">
        <f>IF(L8818="", "", L8818-B8818)</f>
        <v/>
      </c>
      <c r="O8818">
        <f>IF(L8818="", "Pending", IF(N8818&lt;=30, "Met", "Breached"))</f>
        <v/>
      </c>
    </row>
    <row r="8819">
      <c r="M8819" s="11">
        <f>B8819+30</f>
        <v/>
      </c>
      <c r="N8819">
        <f>IF(L8819="", "", L8819-B8819)</f>
        <v/>
      </c>
      <c r="O8819">
        <f>IF(L8819="", "Pending", IF(N8819&lt;=30, "Met", "Breached"))</f>
        <v/>
      </c>
    </row>
    <row r="8820">
      <c r="M8820" s="11">
        <f>B8820+30</f>
        <v/>
      </c>
      <c r="N8820">
        <f>IF(L8820="", "", L8820-B8820)</f>
        <v/>
      </c>
      <c r="O8820">
        <f>IF(L8820="", "Pending", IF(N8820&lt;=30, "Met", "Breached"))</f>
        <v/>
      </c>
    </row>
    <row r="8821">
      <c r="M8821" s="11">
        <f>B8821+30</f>
        <v/>
      </c>
      <c r="N8821">
        <f>IF(L8821="", "", L8821-B8821)</f>
        <v/>
      </c>
      <c r="O8821">
        <f>IF(L8821="", "Pending", IF(N8821&lt;=30, "Met", "Breached"))</f>
        <v/>
      </c>
    </row>
    <row r="8822">
      <c r="M8822" s="11">
        <f>B8822+30</f>
        <v/>
      </c>
      <c r="N8822">
        <f>IF(L8822="", "", L8822-B8822)</f>
        <v/>
      </c>
      <c r="O8822">
        <f>IF(L8822="", "Pending", IF(N8822&lt;=30, "Met", "Breached"))</f>
        <v/>
      </c>
    </row>
    <row r="8823">
      <c r="M8823" s="11">
        <f>B8823+30</f>
        <v/>
      </c>
      <c r="N8823">
        <f>IF(L8823="", "", L8823-B8823)</f>
        <v/>
      </c>
      <c r="O8823">
        <f>IF(L8823="", "Pending", IF(N8823&lt;=30, "Met", "Breached"))</f>
        <v/>
      </c>
    </row>
    <row r="8824">
      <c r="M8824" s="11">
        <f>B8824+30</f>
        <v/>
      </c>
      <c r="N8824">
        <f>IF(L8824="", "", L8824-B8824)</f>
        <v/>
      </c>
      <c r="O8824">
        <f>IF(L8824="", "Pending", IF(N8824&lt;=30, "Met", "Breached"))</f>
        <v/>
      </c>
    </row>
    <row r="8825">
      <c r="M8825" s="11">
        <f>B8825+30</f>
        <v/>
      </c>
      <c r="N8825">
        <f>IF(L8825="", "", L8825-B8825)</f>
        <v/>
      </c>
      <c r="O8825">
        <f>IF(L8825="", "Pending", IF(N8825&lt;=30, "Met", "Breached"))</f>
        <v/>
      </c>
    </row>
    <row r="8826">
      <c r="M8826" s="11">
        <f>B8826+30</f>
        <v/>
      </c>
      <c r="N8826">
        <f>IF(L8826="", "", L8826-B8826)</f>
        <v/>
      </c>
      <c r="O8826">
        <f>IF(L8826="", "Pending", IF(N8826&lt;=30, "Met", "Breached"))</f>
        <v/>
      </c>
    </row>
    <row r="8827">
      <c r="M8827" s="11">
        <f>B8827+30</f>
        <v/>
      </c>
      <c r="N8827">
        <f>IF(L8827="", "", L8827-B8827)</f>
        <v/>
      </c>
      <c r="O8827">
        <f>IF(L8827="", "Pending", IF(N8827&lt;=30, "Met", "Breached"))</f>
        <v/>
      </c>
    </row>
    <row r="8828">
      <c r="M8828" s="11">
        <f>B8828+30</f>
        <v/>
      </c>
      <c r="N8828">
        <f>IF(L8828="", "", L8828-B8828)</f>
        <v/>
      </c>
      <c r="O8828">
        <f>IF(L8828="", "Pending", IF(N8828&lt;=30, "Met", "Breached"))</f>
        <v/>
      </c>
    </row>
    <row r="8829">
      <c r="M8829" s="11">
        <f>B8829+30</f>
        <v/>
      </c>
      <c r="N8829">
        <f>IF(L8829="", "", L8829-B8829)</f>
        <v/>
      </c>
      <c r="O8829">
        <f>IF(L8829="", "Pending", IF(N8829&lt;=30, "Met", "Breached"))</f>
        <v/>
      </c>
    </row>
    <row r="8830">
      <c r="M8830" s="11">
        <f>B8830+30</f>
        <v/>
      </c>
      <c r="N8830">
        <f>IF(L8830="", "", L8830-B8830)</f>
        <v/>
      </c>
      <c r="O8830">
        <f>IF(L8830="", "Pending", IF(N8830&lt;=30, "Met", "Breached"))</f>
        <v/>
      </c>
    </row>
    <row r="8831">
      <c r="M8831" s="11">
        <f>B8831+30</f>
        <v/>
      </c>
      <c r="N8831">
        <f>IF(L8831="", "", L8831-B8831)</f>
        <v/>
      </c>
      <c r="O8831">
        <f>IF(L8831="", "Pending", IF(N8831&lt;=30, "Met", "Breached"))</f>
        <v/>
      </c>
    </row>
    <row r="8832">
      <c r="M8832" s="11">
        <f>B8832+30</f>
        <v/>
      </c>
      <c r="N8832">
        <f>IF(L8832="", "", L8832-B8832)</f>
        <v/>
      </c>
      <c r="O8832">
        <f>IF(L8832="", "Pending", IF(N8832&lt;=30, "Met", "Breached"))</f>
        <v/>
      </c>
    </row>
    <row r="8833">
      <c r="M8833" s="11">
        <f>B8833+30</f>
        <v/>
      </c>
      <c r="N8833">
        <f>IF(L8833="", "", L8833-B8833)</f>
        <v/>
      </c>
      <c r="O8833">
        <f>IF(L8833="", "Pending", IF(N8833&lt;=30, "Met", "Breached"))</f>
        <v/>
      </c>
    </row>
    <row r="8834">
      <c r="M8834" s="11">
        <f>B8834+30</f>
        <v/>
      </c>
      <c r="N8834">
        <f>IF(L8834="", "", L8834-B8834)</f>
        <v/>
      </c>
      <c r="O8834">
        <f>IF(L8834="", "Pending", IF(N8834&lt;=30, "Met", "Breached"))</f>
        <v/>
      </c>
    </row>
    <row r="8835">
      <c r="M8835" s="11">
        <f>B8835+30</f>
        <v/>
      </c>
      <c r="N8835">
        <f>IF(L8835="", "", L8835-B8835)</f>
        <v/>
      </c>
      <c r="O8835">
        <f>IF(L8835="", "Pending", IF(N8835&lt;=30, "Met", "Breached"))</f>
        <v/>
      </c>
    </row>
    <row r="8836">
      <c r="M8836" s="11">
        <f>B8836+30</f>
        <v/>
      </c>
      <c r="N8836">
        <f>IF(L8836="", "", L8836-B8836)</f>
        <v/>
      </c>
      <c r="O8836">
        <f>IF(L8836="", "Pending", IF(N8836&lt;=30, "Met", "Breached"))</f>
        <v/>
      </c>
    </row>
    <row r="8837">
      <c r="M8837" s="11">
        <f>B8837+30</f>
        <v/>
      </c>
      <c r="N8837">
        <f>IF(L8837="", "", L8837-B8837)</f>
        <v/>
      </c>
      <c r="O8837">
        <f>IF(L8837="", "Pending", IF(N8837&lt;=30, "Met", "Breached"))</f>
        <v/>
      </c>
    </row>
    <row r="8838">
      <c r="M8838" s="11">
        <f>B8838+30</f>
        <v/>
      </c>
      <c r="N8838">
        <f>IF(L8838="", "", L8838-B8838)</f>
        <v/>
      </c>
      <c r="O8838">
        <f>IF(L8838="", "Pending", IF(N8838&lt;=30, "Met", "Breached"))</f>
        <v/>
      </c>
    </row>
    <row r="8839">
      <c r="M8839" s="11">
        <f>B8839+30</f>
        <v/>
      </c>
      <c r="N8839">
        <f>IF(L8839="", "", L8839-B8839)</f>
        <v/>
      </c>
      <c r="O8839">
        <f>IF(L8839="", "Pending", IF(N8839&lt;=30, "Met", "Breached"))</f>
        <v/>
      </c>
    </row>
    <row r="8840">
      <c r="M8840" s="11">
        <f>B8840+30</f>
        <v/>
      </c>
      <c r="N8840">
        <f>IF(L8840="", "", L8840-B8840)</f>
        <v/>
      </c>
      <c r="O8840">
        <f>IF(L8840="", "Pending", IF(N8840&lt;=30, "Met", "Breached"))</f>
        <v/>
      </c>
    </row>
    <row r="8841">
      <c r="M8841" s="11">
        <f>B8841+30</f>
        <v/>
      </c>
      <c r="N8841">
        <f>IF(L8841="", "", L8841-B8841)</f>
        <v/>
      </c>
      <c r="O8841">
        <f>IF(L8841="", "Pending", IF(N8841&lt;=30, "Met", "Breached"))</f>
        <v/>
      </c>
    </row>
    <row r="8842">
      <c r="M8842" s="11">
        <f>B8842+30</f>
        <v/>
      </c>
      <c r="N8842">
        <f>IF(L8842="", "", L8842-B8842)</f>
        <v/>
      </c>
      <c r="O8842">
        <f>IF(L8842="", "Pending", IF(N8842&lt;=30, "Met", "Breached"))</f>
        <v/>
      </c>
    </row>
    <row r="8843">
      <c r="M8843" s="11">
        <f>B8843+30</f>
        <v/>
      </c>
      <c r="N8843">
        <f>IF(L8843="", "", L8843-B8843)</f>
        <v/>
      </c>
      <c r="O8843">
        <f>IF(L8843="", "Pending", IF(N8843&lt;=30, "Met", "Breached"))</f>
        <v/>
      </c>
    </row>
    <row r="8844">
      <c r="M8844" s="11">
        <f>B8844+30</f>
        <v/>
      </c>
      <c r="N8844">
        <f>IF(L8844="", "", L8844-B8844)</f>
        <v/>
      </c>
      <c r="O8844">
        <f>IF(L8844="", "Pending", IF(N8844&lt;=30, "Met", "Breached"))</f>
        <v/>
      </c>
    </row>
    <row r="8845">
      <c r="M8845" s="11">
        <f>B8845+30</f>
        <v/>
      </c>
      <c r="N8845">
        <f>IF(L8845="", "", L8845-B8845)</f>
        <v/>
      </c>
      <c r="O8845">
        <f>IF(L8845="", "Pending", IF(N8845&lt;=30, "Met", "Breached"))</f>
        <v/>
      </c>
    </row>
    <row r="8846">
      <c r="M8846" s="11">
        <f>B8846+30</f>
        <v/>
      </c>
      <c r="N8846">
        <f>IF(L8846="", "", L8846-B8846)</f>
        <v/>
      </c>
      <c r="O8846">
        <f>IF(L8846="", "Pending", IF(N8846&lt;=30, "Met", "Breached"))</f>
        <v/>
      </c>
    </row>
    <row r="8847">
      <c r="M8847" s="11">
        <f>B8847+30</f>
        <v/>
      </c>
      <c r="N8847">
        <f>IF(L8847="", "", L8847-B8847)</f>
        <v/>
      </c>
      <c r="O8847">
        <f>IF(L8847="", "Pending", IF(N8847&lt;=30, "Met", "Breached"))</f>
        <v/>
      </c>
    </row>
    <row r="8848">
      <c r="M8848" s="11">
        <f>B8848+30</f>
        <v/>
      </c>
      <c r="N8848">
        <f>IF(L8848="", "", L8848-B8848)</f>
        <v/>
      </c>
      <c r="O8848">
        <f>IF(L8848="", "Pending", IF(N8848&lt;=30, "Met", "Breached"))</f>
        <v/>
      </c>
    </row>
    <row r="8849">
      <c r="M8849" s="11">
        <f>B8849+30</f>
        <v/>
      </c>
      <c r="N8849">
        <f>IF(L8849="", "", L8849-B8849)</f>
        <v/>
      </c>
      <c r="O8849">
        <f>IF(L8849="", "Pending", IF(N8849&lt;=30, "Met", "Breached"))</f>
        <v/>
      </c>
    </row>
    <row r="8850">
      <c r="M8850" s="11">
        <f>B8850+30</f>
        <v/>
      </c>
      <c r="N8850">
        <f>IF(L8850="", "", L8850-B8850)</f>
        <v/>
      </c>
      <c r="O8850">
        <f>IF(L8850="", "Pending", IF(N8850&lt;=30, "Met", "Breached"))</f>
        <v/>
      </c>
    </row>
    <row r="8851">
      <c r="M8851" s="11">
        <f>B8851+30</f>
        <v/>
      </c>
      <c r="N8851">
        <f>IF(L8851="", "", L8851-B8851)</f>
        <v/>
      </c>
      <c r="O8851">
        <f>IF(L8851="", "Pending", IF(N8851&lt;=30, "Met", "Breached"))</f>
        <v/>
      </c>
    </row>
    <row r="8852">
      <c r="M8852" s="11">
        <f>B8852+30</f>
        <v/>
      </c>
      <c r="N8852">
        <f>IF(L8852="", "", L8852-B8852)</f>
        <v/>
      </c>
      <c r="O8852">
        <f>IF(L8852="", "Pending", IF(N8852&lt;=30, "Met", "Breached"))</f>
        <v/>
      </c>
    </row>
    <row r="8853">
      <c r="M8853" s="11">
        <f>B8853+30</f>
        <v/>
      </c>
      <c r="N8853">
        <f>IF(L8853="", "", L8853-B8853)</f>
        <v/>
      </c>
      <c r="O8853">
        <f>IF(L8853="", "Pending", IF(N8853&lt;=30, "Met", "Breached"))</f>
        <v/>
      </c>
    </row>
    <row r="8854">
      <c r="M8854" s="11">
        <f>B8854+30</f>
        <v/>
      </c>
      <c r="N8854">
        <f>IF(L8854="", "", L8854-B8854)</f>
        <v/>
      </c>
      <c r="O8854">
        <f>IF(L8854="", "Pending", IF(N8854&lt;=30, "Met", "Breached"))</f>
        <v/>
      </c>
    </row>
    <row r="8855">
      <c r="M8855" s="11">
        <f>B8855+30</f>
        <v/>
      </c>
      <c r="N8855">
        <f>IF(L8855="", "", L8855-B8855)</f>
        <v/>
      </c>
      <c r="O8855">
        <f>IF(L8855="", "Pending", IF(N8855&lt;=30, "Met", "Breached"))</f>
        <v/>
      </c>
    </row>
    <row r="8856">
      <c r="M8856" s="11">
        <f>B8856+30</f>
        <v/>
      </c>
      <c r="N8856">
        <f>IF(L8856="", "", L8856-B8856)</f>
        <v/>
      </c>
      <c r="O8856">
        <f>IF(L8856="", "Pending", IF(N8856&lt;=30, "Met", "Breached"))</f>
        <v/>
      </c>
    </row>
    <row r="8857">
      <c r="M8857" s="11">
        <f>B8857+30</f>
        <v/>
      </c>
      <c r="N8857">
        <f>IF(L8857="", "", L8857-B8857)</f>
        <v/>
      </c>
      <c r="O8857">
        <f>IF(L8857="", "Pending", IF(N8857&lt;=30, "Met", "Breached"))</f>
        <v/>
      </c>
    </row>
    <row r="8858">
      <c r="M8858" s="11">
        <f>B8858+30</f>
        <v/>
      </c>
      <c r="N8858">
        <f>IF(L8858="", "", L8858-B8858)</f>
        <v/>
      </c>
      <c r="O8858">
        <f>IF(L8858="", "Pending", IF(N8858&lt;=30, "Met", "Breached"))</f>
        <v/>
      </c>
    </row>
    <row r="8859">
      <c r="M8859" s="11">
        <f>B8859+30</f>
        <v/>
      </c>
      <c r="N8859">
        <f>IF(L8859="", "", L8859-B8859)</f>
        <v/>
      </c>
      <c r="O8859">
        <f>IF(L8859="", "Pending", IF(N8859&lt;=30, "Met", "Breached"))</f>
        <v/>
      </c>
    </row>
    <row r="8860">
      <c r="M8860" s="11">
        <f>B8860+30</f>
        <v/>
      </c>
      <c r="N8860">
        <f>IF(L8860="", "", L8860-B8860)</f>
        <v/>
      </c>
      <c r="O8860">
        <f>IF(L8860="", "Pending", IF(N8860&lt;=30, "Met", "Breached"))</f>
        <v/>
      </c>
    </row>
    <row r="8861">
      <c r="M8861" s="11">
        <f>B8861+30</f>
        <v/>
      </c>
      <c r="N8861">
        <f>IF(L8861="", "", L8861-B8861)</f>
        <v/>
      </c>
      <c r="O8861">
        <f>IF(L8861="", "Pending", IF(N8861&lt;=30, "Met", "Breached"))</f>
        <v/>
      </c>
    </row>
    <row r="8862">
      <c r="M8862" s="11">
        <f>B8862+30</f>
        <v/>
      </c>
      <c r="N8862">
        <f>IF(L8862="", "", L8862-B8862)</f>
        <v/>
      </c>
      <c r="O8862">
        <f>IF(L8862="", "Pending", IF(N8862&lt;=30, "Met", "Breached"))</f>
        <v/>
      </c>
    </row>
    <row r="8863">
      <c r="M8863" s="11">
        <f>B8863+30</f>
        <v/>
      </c>
      <c r="N8863">
        <f>IF(L8863="", "", L8863-B8863)</f>
        <v/>
      </c>
      <c r="O8863">
        <f>IF(L8863="", "Pending", IF(N8863&lt;=30, "Met", "Breached"))</f>
        <v/>
      </c>
    </row>
    <row r="8864">
      <c r="M8864" s="11">
        <f>B8864+30</f>
        <v/>
      </c>
      <c r="N8864">
        <f>IF(L8864="", "", L8864-B8864)</f>
        <v/>
      </c>
      <c r="O8864">
        <f>IF(L8864="", "Pending", IF(N8864&lt;=30, "Met", "Breached"))</f>
        <v/>
      </c>
    </row>
    <row r="8865">
      <c r="M8865" s="11">
        <f>B8865+30</f>
        <v/>
      </c>
      <c r="N8865">
        <f>IF(L8865="", "", L8865-B8865)</f>
        <v/>
      </c>
      <c r="O8865">
        <f>IF(L8865="", "Pending", IF(N8865&lt;=30, "Met", "Breached"))</f>
        <v/>
      </c>
    </row>
    <row r="8866">
      <c r="M8866" s="11">
        <f>B8866+30</f>
        <v/>
      </c>
      <c r="N8866">
        <f>IF(L8866="", "", L8866-B8866)</f>
        <v/>
      </c>
      <c r="O8866">
        <f>IF(L8866="", "Pending", IF(N8866&lt;=30, "Met", "Breached"))</f>
        <v/>
      </c>
    </row>
    <row r="8867">
      <c r="M8867" s="11">
        <f>B8867+30</f>
        <v/>
      </c>
      <c r="N8867">
        <f>IF(L8867="", "", L8867-B8867)</f>
        <v/>
      </c>
      <c r="O8867">
        <f>IF(L8867="", "Pending", IF(N8867&lt;=30, "Met", "Breached"))</f>
        <v/>
      </c>
    </row>
    <row r="8868">
      <c r="M8868" s="11">
        <f>B8868+30</f>
        <v/>
      </c>
      <c r="N8868">
        <f>IF(L8868="", "", L8868-B8868)</f>
        <v/>
      </c>
      <c r="O8868">
        <f>IF(L8868="", "Pending", IF(N8868&lt;=30, "Met", "Breached"))</f>
        <v/>
      </c>
    </row>
    <row r="8869">
      <c r="M8869" s="11">
        <f>B8869+30</f>
        <v/>
      </c>
      <c r="N8869">
        <f>IF(L8869="", "", L8869-B8869)</f>
        <v/>
      </c>
      <c r="O8869">
        <f>IF(L8869="", "Pending", IF(N8869&lt;=30, "Met", "Breached"))</f>
        <v/>
      </c>
    </row>
    <row r="8870">
      <c r="M8870" s="11">
        <f>B8870+30</f>
        <v/>
      </c>
      <c r="N8870">
        <f>IF(L8870="", "", L8870-B8870)</f>
        <v/>
      </c>
      <c r="O8870">
        <f>IF(L8870="", "Pending", IF(N8870&lt;=30, "Met", "Breached"))</f>
        <v/>
      </c>
    </row>
    <row r="8871">
      <c r="M8871" s="11">
        <f>B8871+30</f>
        <v/>
      </c>
      <c r="N8871">
        <f>IF(L8871="", "", L8871-B8871)</f>
        <v/>
      </c>
      <c r="O8871">
        <f>IF(L8871="", "Pending", IF(N8871&lt;=30, "Met", "Breached"))</f>
        <v/>
      </c>
    </row>
    <row r="8872">
      <c r="M8872" s="11">
        <f>B8872+30</f>
        <v/>
      </c>
      <c r="N8872">
        <f>IF(L8872="", "", L8872-B8872)</f>
        <v/>
      </c>
      <c r="O8872">
        <f>IF(L8872="", "Pending", IF(N8872&lt;=30, "Met", "Breached"))</f>
        <v/>
      </c>
    </row>
    <row r="8873">
      <c r="M8873" s="11">
        <f>B8873+30</f>
        <v/>
      </c>
      <c r="N8873">
        <f>IF(L8873="", "", L8873-B8873)</f>
        <v/>
      </c>
      <c r="O8873">
        <f>IF(L8873="", "Pending", IF(N8873&lt;=30, "Met", "Breached"))</f>
        <v/>
      </c>
    </row>
    <row r="8874">
      <c r="M8874" s="11">
        <f>B8874+30</f>
        <v/>
      </c>
      <c r="N8874">
        <f>IF(L8874="", "", L8874-B8874)</f>
        <v/>
      </c>
      <c r="O8874">
        <f>IF(L8874="", "Pending", IF(N8874&lt;=30, "Met", "Breached"))</f>
        <v/>
      </c>
    </row>
    <row r="8875">
      <c r="M8875" s="11">
        <f>B8875+30</f>
        <v/>
      </c>
      <c r="N8875">
        <f>IF(L8875="", "", L8875-B8875)</f>
        <v/>
      </c>
      <c r="O8875">
        <f>IF(L8875="", "Pending", IF(N8875&lt;=30, "Met", "Breached"))</f>
        <v/>
      </c>
    </row>
    <row r="8876">
      <c r="M8876" s="11">
        <f>B8876+30</f>
        <v/>
      </c>
      <c r="N8876">
        <f>IF(L8876="", "", L8876-B8876)</f>
        <v/>
      </c>
      <c r="O8876">
        <f>IF(L8876="", "Pending", IF(N8876&lt;=30, "Met", "Breached"))</f>
        <v/>
      </c>
    </row>
    <row r="8877">
      <c r="M8877" s="11">
        <f>B8877+30</f>
        <v/>
      </c>
      <c r="N8877">
        <f>IF(L8877="", "", L8877-B8877)</f>
        <v/>
      </c>
      <c r="O8877">
        <f>IF(L8877="", "Pending", IF(N8877&lt;=30, "Met", "Breached"))</f>
        <v/>
      </c>
    </row>
    <row r="8878">
      <c r="M8878" s="11">
        <f>B8878+30</f>
        <v/>
      </c>
      <c r="N8878">
        <f>IF(L8878="", "", L8878-B8878)</f>
        <v/>
      </c>
      <c r="O8878">
        <f>IF(L8878="", "Pending", IF(N8878&lt;=30, "Met", "Breached"))</f>
        <v/>
      </c>
    </row>
    <row r="8879">
      <c r="M8879" s="11">
        <f>B8879+30</f>
        <v/>
      </c>
      <c r="N8879">
        <f>IF(L8879="", "", L8879-B8879)</f>
        <v/>
      </c>
      <c r="O8879">
        <f>IF(L8879="", "Pending", IF(N8879&lt;=30, "Met", "Breached"))</f>
        <v/>
      </c>
    </row>
    <row r="8880">
      <c r="M8880" s="11">
        <f>B8880+30</f>
        <v/>
      </c>
      <c r="N8880">
        <f>IF(L8880="", "", L8880-B8880)</f>
        <v/>
      </c>
      <c r="O8880">
        <f>IF(L8880="", "Pending", IF(N8880&lt;=30, "Met", "Breached"))</f>
        <v/>
      </c>
    </row>
    <row r="8881">
      <c r="M8881" s="11">
        <f>B8881+30</f>
        <v/>
      </c>
      <c r="N8881">
        <f>IF(L8881="", "", L8881-B8881)</f>
        <v/>
      </c>
      <c r="O8881">
        <f>IF(L8881="", "Pending", IF(N8881&lt;=30, "Met", "Breached"))</f>
        <v/>
      </c>
    </row>
    <row r="8882">
      <c r="M8882" s="11">
        <f>B8882+30</f>
        <v/>
      </c>
      <c r="N8882">
        <f>IF(L8882="", "", L8882-B8882)</f>
        <v/>
      </c>
      <c r="O8882">
        <f>IF(L8882="", "Pending", IF(N8882&lt;=30, "Met", "Breached"))</f>
        <v/>
      </c>
    </row>
    <row r="8883">
      <c r="M8883" s="11">
        <f>B8883+30</f>
        <v/>
      </c>
      <c r="N8883">
        <f>IF(L8883="", "", L8883-B8883)</f>
        <v/>
      </c>
      <c r="O8883">
        <f>IF(L8883="", "Pending", IF(N8883&lt;=30, "Met", "Breached"))</f>
        <v/>
      </c>
    </row>
    <row r="8884">
      <c r="M8884" s="11">
        <f>B8884+30</f>
        <v/>
      </c>
      <c r="N8884">
        <f>IF(L8884="", "", L8884-B8884)</f>
        <v/>
      </c>
      <c r="O8884">
        <f>IF(L8884="", "Pending", IF(N8884&lt;=30, "Met", "Breached"))</f>
        <v/>
      </c>
    </row>
    <row r="8885">
      <c r="M8885" s="11">
        <f>B8885+30</f>
        <v/>
      </c>
      <c r="N8885">
        <f>IF(L8885="", "", L8885-B8885)</f>
        <v/>
      </c>
      <c r="O8885">
        <f>IF(L8885="", "Pending", IF(N8885&lt;=30, "Met", "Breached"))</f>
        <v/>
      </c>
    </row>
    <row r="8886">
      <c r="M8886" s="11">
        <f>B8886+30</f>
        <v/>
      </c>
      <c r="N8886">
        <f>IF(L8886="", "", L8886-B8886)</f>
        <v/>
      </c>
      <c r="O8886">
        <f>IF(L8886="", "Pending", IF(N8886&lt;=30, "Met", "Breached"))</f>
        <v/>
      </c>
    </row>
    <row r="8887">
      <c r="M8887" s="11">
        <f>B8887+30</f>
        <v/>
      </c>
      <c r="N8887">
        <f>IF(L8887="", "", L8887-B8887)</f>
        <v/>
      </c>
      <c r="O8887">
        <f>IF(L8887="", "Pending", IF(N8887&lt;=30, "Met", "Breached"))</f>
        <v/>
      </c>
    </row>
    <row r="8888">
      <c r="M8888" s="11">
        <f>B8888+30</f>
        <v/>
      </c>
      <c r="N8888">
        <f>IF(L8888="", "", L8888-B8888)</f>
        <v/>
      </c>
      <c r="O8888">
        <f>IF(L8888="", "Pending", IF(N8888&lt;=30, "Met", "Breached"))</f>
        <v/>
      </c>
    </row>
    <row r="8889">
      <c r="M8889" s="11">
        <f>B8889+30</f>
        <v/>
      </c>
      <c r="N8889">
        <f>IF(L8889="", "", L8889-B8889)</f>
        <v/>
      </c>
      <c r="O8889">
        <f>IF(L8889="", "Pending", IF(N8889&lt;=30, "Met", "Breached"))</f>
        <v/>
      </c>
    </row>
    <row r="8890">
      <c r="M8890" s="11">
        <f>B8890+30</f>
        <v/>
      </c>
      <c r="N8890">
        <f>IF(L8890="", "", L8890-B8890)</f>
        <v/>
      </c>
      <c r="O8890">
        <f>IF(L8890="", "Pending", IF(N8890&lt;=30, "Met", "Breached"))</f>
        <v/>
      </c>
    </row>
    <row r="8891">
      <c r="M8891" s="11">
        <f>B8891+30</f>
        <v/>
      </c>
      <c r="N8891">
        <f>IF(L8891="", "", L8891-B8891)</f>
        <v/>
      </c>
      <c r="O8891">
        <f>IF(L8891="", "Pending", IF(N8891&lt;=30, "Met", "Breached"))</f>
        <v/>
      </c>
    </row>
    <row r="8892">
      <c r="M8892" s="11">
        <f>B8892+30</f>
        <v/>
      </c>
      <c r="N8892">
        <f>IF(L8892="", "", L8892-B8892)</f>
        <v/>
      </c>
      <c r="O8892">
        <f>IF(L8892="", "Pending", IF(N8892&lt;=30, "Met", "Breached"))</f>
        <v/>
      </c>
    </row>
    <row r="8893">
      <c r="M8893" s="11">
        <f>B8893+30</f>
        <v/>
      </c>
      <c r="N8893">
        <f>IF(L8893="", "", L8893-B8893)</f>
        <v/>
      </c>
      <c r="O8893">
        <f>IF(L8893="", "Pending", IF(N8893&lt;=30, "Met", "Breached"))</f>
        <v/>
      </c>
    </row>
    <row r="8894">
      <c r="M8894" s="11">
        <f>B8894+30</f>
        <v/>
      </c>
      <c r="N8894">
        <f>IF(L8894="", "", L8894-B8894)</f>
        <v/>
      </c>
      <c r="O8894">
        <f>IF(L8894="", "Pending", IF(N8894&lt;=30, "Met", "Breached"))</f>
        <v/>
      </c>
    </row>
    <row r="8895">
      <c r="M8895" s="11">
        <f>B8895+30</f>
        <v/>
      </c>
      <c r="N8895">
        <f>IF(L8895="", "", L8895-B8895)</f>
        <v/>
      </c>
      <c r="O8895">
        <f>IF(L8895="", "Pending", IF(N8895&lt;=30, "Met", "Breached"))</f>
        <v/>
      </c>
    </row>
    <row r="8896">
      <c r="M8896" s="11">
        <f>B8896+30</f>
        <v/>
      </c>
      <c r="N8896">
        <f>IF(L8896="", "", L8896-B8896)</f>
        <v/>
      </c>
      <c r="O8896">
        <f>IF(L8896="", "Pending", IF(N8896&lt;=30, "Met", "Breached"))</f>
        <v/>
      </c>
    </row>
    <row r="8897">
      <c r="M8897" s="11">
        <f>B8897+30</f>
        <v/>
      </c>
      <c r="N8897">
        <f>IF(L8897="", "", L8897-B8897)</f>
        <v/>
      </c>
      <c r="O8897">
        <f>IF(L8897="", "Pending", IF(N8897&lt;=30, "Met", "Breached"))</f>
        <v/>
      </c>
    </row>
    <row r="8898">
      <c r="M8898" s="11">
        <f>B8898+30</f>
        <v/>
      </c>
      <c r="N8898">
        <f>IF(L8898="", "", L8898-B8898)</f>
        <v/>
      </c>
      <c r="O8898">
        <f>IF(L8898="", "Pending", IF(N8898&lt;=30, "Met", "Breached"))</f>
        <v/>
      </c>
    </row>
    <row r="8899">
      <c r="M8899" s="11">
        <f>B8899+30</f>
        <v/>
      </c>
      <c r="N8899">
        <f>IF(L8899="", "", L8899-B8899)</f>
        <v/>
      </c>
      <c r="O8899">
        <f>IF(L8899="", "Pending", IF(N8899&lt;=30, "Met", "Breached"))</f>
        <v/>
      </c>
    </row>
    <row r="8900">
      <c r="M8900" s="11">
        <f>B8900+30</f>
        <v/>
      </c>
      <c r="N8900">
        <f>IF(L8900="", "", L8900-B8900)</f>
        <v/>
      </c>
      <c r="O8900">
        <f>IF(L8900="", "Pending", IF(N8900&lt;=30, "Met", "Breached"))</f>
        <v/>
      </c>
    </row>
    <row r="8901">
      <c r="M8901" s="11">
        <f>B8901+30</f>
        <v/>
      </c>
      <c r="N8901">
        <f>IF(L8901="", "", L8901-B8901)</f>
        <v/>
      </c>
      <c r="O8901">
        <f>IF(L8901="", "Pending", IF(N8901&lt;=30, "Met", "Breached"))</f>
        <v/>
      </c>
    </row>
    <row r="8902">
      <c r="M8902" s="11">
        <f>B8902+30</f>
        <v/>
      </c>
      <c r="N8902">
        <f>IF(L8902="", "", L8902-B8902)</f>
        <v/>
      </c>
      <c r="O8902">
        <f>IF(L8902="", "Pending", IF(N8902&lt;=30, "Met", "Breached"))</f>
        <v/>
      </c>
    </row>
    <row r="8903">
      <c r="M8903" s="11">
        <f>B8903+30</f>
        <v/>
      </c>
      <c r="N8903">
        <f>IF(L8903="", "", L8903-B8903)</f>
        <v/>
      </c>
      <c r="O8903">
        <f>IF(L8903="", "Pending", IF(N8903&lt;=30, "Met", "Breached"))</f>
        <v/>
      </c>
    </row>
    <row r="8904">
      <c r="M8904" s="11">
        <f>B8904+30</f>
        <v/>
      </c>
      <c r="N8904">
        <f>IF(L8904="", "", L8904-B8904)</f>
        <v/>
      </c>
      <c r="O8904">
        <f>IF(L8904="", "Pending", IF(N8904&lt;=30, "Met", "Breached"))</f>
        <v/>
      </c>
    </row>
    <row r="8905">
      <c r="M8905" s="11">
        <f>B8905+30</f>
        <v/>
      </c>
      <c r="N8905">
        <f>IF(L8905="", "", L8905-B8905)</f>
        <v/>
      </c>
      <c r="O8905">
        <f>IF(L8905="", "Pending", IF(N8905&lt;=30, "Met", "Breached"))</f>
        <v/>
      </c>
    </row>
    <row r="8906">
      <c r="M8906" s="11">
        <f>B8906+30</f>
        <v/>
      </c>
      <c r="N8906">
        <f>IF(L8906="", "", L8906-B8906)</f>
        <v/>
      </c>
      <c r="O8906">
        <f>IF(L8906="", "Pending", IF(N8906&lt;=30, "Met", "Breached"))</f>
        <v/>
      </c>
    </row>
    <row r="8907">
      <c r="M8907" s="11">
        <f>B8907+30</f>
        <v/>
      </c>
      <c r="N8907">
        <f>IF(L8907="", "", L8907-B8907)</f>
        <v/>
      </c>
      <c r="O8907">
        <f>IF(L8907="", "Pending", IF(N8907&lt;=30, "Met", "Breached"))</f>
        <v/>
      </c>
    </row>
    <row r="8908">
      <c r="M8908" s="11">
        <f>B8908+30</f>
        <v/>
      </c>
      <c r="N8908">
        <f>IF(L8908="", "", L8908-B8908)</f>
        <v/>
      </c>
      <c r="O8908">
        <f>IF(L8908="", "Pending", IF(N8908&lt;=30, "Met", "Breached"))</f>
        <v/>
      </c>
    </row>
    <row r="8909">
      <c r="M8909" s="11">
        <f>B8909+30</f>
        <v/>
      </c>
      <c r="N8909">
        <f>IF(L8909="", "", L8909-B8909)</f>
        <v/>
      </c>
      <c r="O8909">
        <f>IF(L8909="", "Pending", IF(N8909&lt;=30, "Met", "Breached"))</f>
        <v/>
      </c>
    </row>
    <row r="8910">
      <c r="M8910" s="11">
        <f>B8910+30</f>
        <v/>
      </c>
      <c r="N8910">
        <f>IF(L8910="", "", L8910-B8910)</f>
        <v/>
      </c>
      <c r="O8910">
        <f>IF(L8910="", "Pending", IF(N8910&lt;=30, "Met", "Breached"))</f>
        <v/>
      </c>
    </row>
    <row r="8911">
      <c r="M8911" s="11">
        <f>B8911+30</f>
        <v/>
      </c>
      <c r="N8911">
        <f>IF(L8911="", "", L8911-B8911)</f>
        <v/>
      </c>
      <c r="O8911">
        <f>IF(L8911="", "Pending", IF(N8911&lt;=30, "Met", "Breached"))</f>
        <v/>
      </c>
    </row>
    <row r="8912">
      <c r="M8912" s="11">
        <f>B8912+30</f>
        <v/>
      </c>
      <c r="N8912">
        <f>IF(L8912="", "", L8912-B8912)</f>
        <v/>
      </c>
      <c r="O8912">
        <f>IF(L8912="", "Pending", IF(N8912&lt;=30, "Met", "Breached"))</f>
        <v/>
      </c>
    </row>
    <row r="8913">
      <c r="M8913" s="11">
        <f>B8913+30</f>
        <v/>
      </c>
      <c r="N8913">
        <f>IF(L8913="", "", L8913-B8913)</f>
        <v/>
      </c>
      <c r="O8913">
        <f>IF(L8913="", "Pending", IF(N8913&lt;=30, "Met", "Breached"))</f>
        <v/>
      </c>
    </row>
    <row r="8914">
      <c r="M8914" s="11">
        <f>B8914+30</f>
        <v/>
      </c>
      <c r="N8914">
        <f>IF(L8914="", "", L8914-B8914)</f>
        <v/>
      </c>
      <c r="O8914">
        <f>IF(L8914="", "Pending", IF(N8914&lt;=30, "Met", "Breached"))</f>
        <v/>
      </c>
    </row>
    <row r="8915">
      <c r="M8915" s="11">
        <f>B8915+30</f>
        <v/>
      </c>
      <c r="N8915">
        <f>IF(L8915="", "", L8915-B8915)</f>
        <v/>
      </c>
      <c r="O8915">
        <f>IF(L8915="", "Pending", IF(N8915&lt;=30, "Met", "Breached"))</f>
        <v/>
      </c>
    </row>
    <row r="8916">
      <c r="M8916" s="11">
        <f>B8916+30</f>
        <v/>
      </c>
      <c r="N8916">
        <f>IF(L8916="", "", L8916-B8916)</f>
        <v/>
      </c>
      <c r="O8916">
        <f>IF(L8916="", "Pending", IF(N8916&lt;=30, "Met", "Breached"))</f>
        <v/>
      </c>
    </row>
    <row r="8917">
      <c r="M8917" s="11">
        <f>B8917+30</f>
        <v/>
      </c>
      <c r="N8917">
        <f>IF(L8917="", "", L8917-B8917)</f>
        <v/>
      </c>
      <c r="O8917">
        <f>IF(L8917="", "Pending", IF(N8917&lt;=30, "Met", "Breached"))</f>
        <v/>
      </c>
    </row>
    <row r="8918">
      <c r="M8918" s="11">
        <f>B8918+30</f>
        <v/>
      </c>
      <c r="N8918">
        <f>IF(L8918="", "", L8918-B8918)</f>
        <v/>
      </c>
      <c r="O8918">
        <f>IF(L8918="", "Pending", IF(N8918&lt;=30, "Met", "Breached"))</f>
        <v/>
      </c>
    </row>
    <row r="8919">
      <c r="M8919" s="11">
        <f>B8919+30</f>
        <v/>
      </c>
      <c r="N8919">
        <f>IF(L8919="", "", L8919-B8919)</f>
        <v/>
      </c>
      <c r="O8919">
        <f>IF(L8919="", "Pending", IF(N8919&lt;=30, "Met", "Breached"))</f>
        <v/>
      </c>
    </row>
    <row r="8920">
      <c r="M8920" s="11">
        <f>B8920+30</f>
        <v/>
      </c>
      <c r="N8920">
        <f>IF(L8920="", "", L8920-B8920)</f>
        <v/>
      </c>
      <c r="O8920">
        <f>IF(L8920="", "Pending", IF(N8920&lt;=30, "Met", "Breached"))</f>
        <v/>
      </c>
    </row>
    <row r="8921">
      <c r="M8921" s="11">
        <f>B8921+30</f>
        <v/>
      </c>
      <c r="N8921">
        <f>IF(L8921="", "", L8921-B8921)</f>
        <v/>
      </c>
      <c r="O8921">
        <f>IF(L8921="", "Pending", IF(N8921&lt;=30, "Met", "Breached"))</f>
        <v/>
      </c>
    </row>
    <row r="8922">
      <c r="M8922" s="11">
        <f>B8922+30</f>
        <v/>
      </c>
      <c r="N8922">
        <f>IF(L8922="", "", L8922-B8922)</f>
        <v/>
      </c>
      <c r="O8922">
        <f>IF(L8922="", "Pending", IF(N8922&lt;=30, "Met", "Breached"))</f>
        <v/>
      </c>
    </row>
    <row r="8923">
      <c r="M8923" s="11">
        <f>B8923+30</f>
        <v/>
      </c>
      <c r="N8923">
        <f>IF(L8923="", "", L8923-B8923)</f>
        <v/>
      </c>
      <c r="O8923">
        <f>IF(L8923="", "Pending", IF(N8923&lt;=30, "Met", "Breached"))</f>
        <v/>
      </c>
    </row>
    <row r="8924">
      <c r="M8924" s="11">
        <f>B8924+30</f>
        <v/>
      </c>
      <c r="N8924">
        <f>IF(L8924="", "", L8924-B8924)</f>
        <v/>
      </c>
      <c r="O8924">
        <f>IF(L8924="", "Pending", IF(N8924&lt;=30, "Met", "Breached"))</f>
        <v/>
      </c>
    </row>
    <row r="8925">
      <c r="M8925" s="11">
        <f>B8925+30</f>
        <v/>
      </c>
      <c r="N8925">
        <f>IF(L8925="", "", L8925-B8925)</f>
        <v/>
      </c>
      <c r="O8925">
        <f>IF(L8925="", "Pending", IF(N8925&lt;=30, "Met", "Breached"))</f>
        <v/>
      </c>
    </row>
    <row r="8926">
      <c r="M8926" s="11">
        <f>B8926+30</f>
        <v/>
      </c>
      <c r="N8926">
        <f>IF(L8926="", "", L8926-B8926)</f>
        <v/>
      </c>
      <c r="O8926">
        <f>IF(L8926="", "Pending", IF(N8926&lt;=30, "Met", "Breached"))</f>
        <v/>
      </c>
    </row>
    <row r="8927">
      <c r="M8927" s="11">
        <f>B8927+30</f>
        <v/>
      </c>
      <c r="N8927">
        <f>IF(L8927="", "", L8927-B8927)</f>
        <v/>
      </c>
      <c r="O8927">
        <f>IF(L8927="", "Pending", IF(N8927&lt;=30, "Met", "Breached"))</f>
        <v/>
      </c>
    </row>
    <row r="8928">
      <c r="M8928" s="11">
        <f>B8928+30</f>
        <v/>
      </c>
      <c r="N8928">
        <f>IF(L8928="", "", L8928-B8928)</f>
        <v/>
      </c>
      <c r="O8928">
        <f>IF(L8928="", "Pending", IF(N8928&lt;=30, "Met", "Breached"))</f>
        <v/>
      </c>
    </row>
    <row r="8929">
      <c r="M8929" s="11">
        <f>B8929+30</f>
        <v/>
      </c>
      <c r="N8929">
        <f>IF(L8929="", "", L8929-B8929)</f>
        <v/>
      </c>
      <c r="O8929">
        <f>IF(L8929="", "Pending", IF(N8929&lt;=30, "Met", "Breached"))</f>
        <v/>
      </c>
    </row>
    <row r="8930">
      <c r="M8930" s="11">
        <f>B8930+30</f>
        <v/>
      </c>
      <c r="N8930">
        <f>IF(L8930="", "", L8930-B8930)</f>
        <v/>
      </c>
      <c r="O8930">
        <f>IF(L8930="", "Pending", IF(N8930&lt;=30, "Met", "Breached"))</f>
        <v/>
      </c>
    </row>
    <row r="8931">
      <c r="M8931" s="11">
        <f>B8931+30</f>
        <v/>
      </c>
      <c r="N8931">
        <f>IF(L8931="", "", L8931-B8931)</f>
        <v/>
      </c>
      <c r="O8931">
        <f>IF(L8931="", "Pending", IF(N8931&lt;=30, "Met", "Breached"))</f>
        <v/>
      </c>
    </row>
    <row r="8932">
      <c r="M8932" s="11">
        <f>B8932+30</f>
        <v/>
      </c>
      <c r="N8932">
        <f>IF(L8932="", "", L8932-B8932)</f>
        <v/>
      </c>
      <c r="O8932">
        <f>IF(L8932="", "Pending", IF(N8932&lt;=30, "Met", "Breached"))</f>
        <v/>
      </c>
    </row>
    <row r="8933">
      <c r="M8933" s="11">
        <f>B8933+30</f>
        <v/>
      </c>
      <c r="N8933">
        <f>IF(L8933="", "", L8933-B8933)</f>
        <v/>
      </c>
      <c r="O8933">
        <f>IF(L8933="", "Pending", IF(N8933&lt;=30, "Met", "Breached"))</f>
        <v/>
      </c>
    </row>
    <row r="8934">
      <c r="M8934" s="11">
        <f>B8934+30</f>
        <v/>
      </c>
      <c r="N8934">
        <f>IF(L8934="", "", L8934-B8934)</f>
        <v/>
      </c>
      <c r="O8934">
        <f>IF(L8934="", "Pending", IF(N8934&lt;=30, "Met", "Breached"))</f>
        <v/>
      </c>
    </row>
    <row r="8935">
      <c r="M8935" s="11">
        <f>B8935+30</f>
        <v/>
      </c>
      <c r="N8935">
        <f>IF(L8935="", "", L8935-B8935)</f>
        <v/>
      </c>
      <c r="O8935">
        <f>IF(L8935="", "Pending", IF(N8935&lt;=30, "Met", "Breached"))</f>
        <v/>
      </c>
    </row>
    <row r="8936">
      <c r="M8936" s="11">
        <f>B8936+30</f>
        <v/>
      </c>
      <c r="N8936">
        <f>IF(L8936="", "", L8936-B8936)</f>
        <v/>
      </c>
      <c r="O8936">
        <f>IF(L8936="", "Pending", IF(N8936&lt;=30, "Met", "Breached"))</f>
        <v/>
      </c>
    </row>
    <row r="8937">
      <c r="M8937" s="11">
        <f>B8937+30</f>
        <v/>
      </c>
      <c r="N8937">
        <f>IF(L8937="", "", L8937-B8937)</f>
        <v/>
      </c>
      <c r="O8937">
        <f>IF(L8937="", "Pending", IF(N8937&lt;=30, "Met", "Breached"))</f>
        <v/>
      </c>
    </row>
    <row r="8938">
      <c r="M8938" s="11">
        <f>B8938+30</f>
        <v/>
      </c>
      <c r="N8938">
        <f>IF(L8938="", "", L8938-B8938)</f>
        <v/>
      </c>
      <c r="O8938">
        <f>IF(L8938="", "Pending", IF(N8938&lt;=30, "Met", "Breached"))</f>
        <v/>
      </c>
    </row>
    <row r="8939">
      <c r="M8939" s="11">
        <f>B8939+30</f>
        <v/>
      </c>
      <c r="N8939">
        <f>IF(L8939="", "", L8939-B8939)</f>
        <v/>
      </c>
      <c r="O8939">
        <f>IF(L8939="", "Pending", IF(N8939&lt;=30, "Met", "Breached"))</f>
        <v/>
      </c>
    </row>
    <row r="8940">
      <c r="M8940" s="11">
        <f>B8940+30</f>
        <v/>
      </c>
      <c r="N8940">
        <f>IF(L8940="", "", L8940-B8940)</f>
        <v/>
      </c>
      <c r="O8940">
        <f>IF(L8940="", "Pending", IF(N8940&lt;=30, "Met", "Breached"))</f>
        <v/>
      </c>
    </row>
    <row r="8941">
      <c r="M8941" s="11">
        <f>B8941+30</f>
        <v/>
      </c>
      <c r="N8941">
        <f>IF(L8941="", "", L8941-B8941)</f>
        <v/>
      </c>
      <c r="O8941">
        <f>IF(L8941="", "Pending", IF(N8941&lt;=30, "Met", "Breached"))</f>
        <v/>
      </c>
    </row>
    <row r="8942">
      <c r="M8942" s="11">
        <f>B8942+30</f>
        <v/>
      </c>
      <c r="N8942">
        <f>IF(L8942="", "", L8942-B8942)</f>
        <v/>
      </c>
      <c r="O8942">
        <f>IF(L8942="", "Pending", IF(N8942&lt;=30, "Met", "Breached"))</f>
        <v/>
      </c>
    </row>
    <row r="8943">
      <c r="M8943" s="11">
        <f>B8943+30</f>
        <v/>
      </c>
      <c r="N8943">
        <f>IF(L8943="", "", L8943-B8943)</f>
        <v/>
      </c>
      <c r="O8943">
        <f>IF(L8943="", "Pending", IF(N8943&lt;=30, "Met", "Breached"))</f>
        <v/>
      </c>
    </row>
    <row r="8944">
      <c r="M8944" s="11">
        <f>B8944+30</f>
        <v/>
      </c>
      <c r="N8944">
        <f>IF(L8944="", "", L8944-B8944)</f>
        <v/>
      </c>
      <c r="O8944">
        <f>IF(L8944="", "Pending", IF(N8944&lt;=30, "Met", "Breached"))</f>
        <v/>
      </c>
    </row>
    <row r="8945">
      <c r="M8945" s="11">
        <f>B8945+30</f>
        <v/>
      </c>
      <c r="N8945">
        <f>IF(L8945="", "", L8945-B8945)</f>
        <v/>
      </c>
      <c r="O8945">
        <f>IF(L8945="", "Pending", IF(N8945&lt;=30, "Met", "Breached"))</f>
        <v/>
      </c>
    </row>
    <row r="8946">
      <c r="M8946" s="11">
        <f>B8946+30</f>
        <v/>
      </c>
      <c r="N8946">
        <f>IF(L8946="", "", L8946-B8946)</f>
        <v/>
      </c>
      <c r="O8946">
        <f>IF(L8946="", "Pending", IF(N8946&lt;=30, "Met", "Breached"))</f>
        <v/>
      </c>
    </row>
    <row r="8947">
      <c r="M8947" s="11">
        <f>B8947+30</f>
        <v/>
      </c>
      <c r="N8947">
        <f>IF(L8947="", "", L8947-B8947)</f>
        <v/>
      </c>
      <c r="O8947">
        <f>IF(L8947="", "Pending", IF(N8947&lt;=30, "Met", "Breached"))</f>
        <v/>
      </c>
    </row>
    <row r="8948">
      <c r="M8948" s="11">
        <f>B8948+30</f>
        <v/>
      </c>
      <c r="N8948">
        <f>IF(L8948="", "", L8948-B8948)</f>
        <v/>
      </c>
      <c r="O8948">
        <f>IF(L8948="", "Pending", IF(N8948&lt;=30, "Met", "Breached"))</f>
        <v/>
      </c>
    </row>
    <row r="8949">
      <c r="M8949" s="11">
        <f>B8949+30</f>
        <v/>
      </c>
      <c r="N8949">
        <f>IF(L8949="", "", L8949-B8949)</f>
        <v/>
      </c>
      <c r="O8949">
        <f>IF(L8949="", "Pending", IF(N8949&lt;=30, "Met", "Breached"))</f>
        <v/>
      </c>
    </row>
    <row r="8950">
      <c r="M8950" s="11">
        <f>B8950+30</f>
        <v/>
      </c>
      <c r="N8950">
        <f>IF(L8950="", "", L8950-B8950)</f>
        <v/>
      </c>
      <c r="O8950">
        <f>IF(L8950="", "Pending", IF(N8950&lt;=30, "Met", "Breached"))</f>
        <v/>
      </c>
    </row>
    <row r="8951">
      <c r="M8951" s="11">
        <f>B8951+30</f>
        <v/>
      </c>
      <c r="N8951">
        <f>IF(L8951="", "", L8951-B8951)</f>
        <v/>
      </c>
      <c r="O8951">
        <f>IF(L8951="", "Pending", IF(N8951&lt;=30, "Met", "Breached"))</f>
        <v/>
      </c>
    </row>
    <row r="8952">
      <c r="M8952" s="11">
        <f>B8952+30</f>
        <v/>
      </c>
      <c r="N8952">
        <f>IF(L8952="", "", L8952-B8952)</f>
        <v/>
      </c>
      <c r="O8952">
        <f>IF(L8952="", "Pending", IF(N8952&lt;=30, "Met", "Breached"))</f>
        <v/>
      </c>
    </row>
    <row r="8953">
      <c r="M8953" s="11">
        <f>B8953+30</f>
        <v/>
      </c>
      <c r="N8953">
        <f>IF(L8953="", "", L8953-B8953)</f>
        <v/>
      </c>
      <c r="O8953">
        <f>IF(L8953="", "Pending", IF(N8953&lt;=30, "Met", "Breached"))</f>
        <v/>
      </c>
    </row>
    <row r="8954">
      <c r="M8954" s="11">
        <f>B8954+30</f>
        <v/>
      </c>
      <c r="N8954">
        <f>IF(L8954="", "", L8954-B8954)</f>
        <v/>
      </c>
      <c r="O8954">
        <f>IF(L8954="", "Pending", IF(N8954&lt;=30, "Met", "Breached"))</f>
        <v/>
      </c>
    </row>
    <row r="8955">
      <c r="M8955" s="11">
        <f>B8955+30</f>
        <v/>
      </c>
      <c r="N8955">
        <f>IF(L8955="", "", L8955-B8955)</f>
        <v/>
      </c>
      <c r="O8955">
        <f>IF(L8955="", "Pending", IF(N8955&lt;=30, "Met", "Breached"))</f>
        <v/>
      </c>
    </row>
    <row r="8956">
      <c r="M8956" s="11">
        <f>B8956+30</f>
        <v/>
      </c>
      <c r="N8956">
        <f>IF(L8956="", "", L8956-B8956)</f>
        <v/>
      </c>
      <c r="O8956">
        <f>IF(L8956="", "Pending", IF(N8956&lt;=30, "Met", "Breached"))</f>
        <v/>
      </c>
    </row>
    <row r="8957">
      <c r="M8957" s="11">
        <f>B8957+30</f>
        <v/>
      </c>
      <c r="N8957">
        <f>IF(L8957="", "", L8957-B8957)</f>
        <v/>
      </c>
      <c r="O8957">
        <f>IF(L8957="", "Pending", IF(N8957&lt;=30, "Met", "Breached"))</f>
        <v/>
      </c>
    </row>
    <row r="8958">
      <c r="M8958" s="11">
        <f>B8958+30</f>
        <v/>
      </c>
      <c r="N8958">
        <f>IF(L8958="", "", L8958-B8958)</f>
        <v/>
      </c>
      <c r="O8958">
        <f>IF(L8958="", "Pending", IF(N8958&lt;=30, "Met", "Breached"))</f>
        <v/>
      </c>
    </row>
    <row r="8959">
      <c r="M8959" s="11">
        <f>B8959+30</f>
        <v/>
      </c>
      <c r="N8959">
        <f>IF(L8959="", "", L8959-B8959)</f>
        <v/>
      </c>
      <c r="O8959">
        <f>IF(L8959="", "Pending", IF(N8959&lt;=30, "Met", "Breached"))</f>
        <v/>
      </c>
    </row>
    <row r="8960">
      <c r="M8960" s="11">
        <f>B8960+30</f>
        <v/>
      </c>
      <c r="N8960">
        <f>IF(L8960="", "", L8960-B8960)</f>
        <v/>
      </c>
      <c r="O8960">
        <f>IF(L8960="", "Pending", IF(N8960&lt;=30, "Met", "Breached"))</f>
        <v/>
      </c>
    </row>
    <row r="8961">
      <c r="M8961" s="11">
        <f>B8961+30</f>
        <v/>
      </c>
      <c r="N8961">
        <f>IF(L8961="", "", L8961-B8961)</f>
        <v/>
      </c>
      <c r="O8961">
        <f>IF(L8961="", "Pending", IF(N8961&lt;=30, "Met", "Breached"))</f>
        <v/>
      </c>
    </row>
    <row r="8962">
      <c r="M8962" s="11">
        <f>B8962+30</f>
        <v/>
      </c>
      <c r="N8962">
        <f>IF(L8962="", "", L8962-B8962)</f>
        <v/>
      </c>
      <c r="O8962">
        <f>IF(L8962="", "Pending", IF(N8962&lt;=30, "Met", "Breached"))</f>
        <v/>
      </c>
    </row>
    <row r="8963">
      <c r="M8963" s="11">
        <f>B8963+30</f>
        <v/>
      </c>
      <c r="N8963">
        <f>IF(L8963="", "", L8963-B8963)</f>
        <v/>
      </c>
      <c r="O8963">
        <f>IF(L8963="", "Pending", IF(N8963&lt;=30, "Met", "Breached"))</f>
        <v/>
      </c>
    </row>
    <row r="8964">
      <c r="M8964" s="11">
        <f>B8964+30</f>
        <v/>
      </c>
      <c r="N8964">
        <f>IF(L8964="", "", L8964-B8964)</f>
        <v/>
      </c>
      <c r="O8964">
        <f>IF(L8964="", "Pending", IF(N8964&lt;=30, "Met", "Breached"))</f>
        <v/>
      </c>
    </row>
    <row r="8965">
      <c r="M8965" s="11">
        <f>B8965+30</f>
        <v/>
      </c>
      <c r="N8965">
        <f>IF(L8965="", "", L8965-B8965)</f>
        <v/>
      </c>
      <c r="O8965">
        <f>IF(L8965="", "Pending", IF(N8965&lt;=30, "Met", "Breached"))</f>
        <v/>
      </c>
    </row>
    <row r="8966">
      <c r="M8966" s="11">
        <f>B8966+30</f>
        <v/>
      </c>
      <c r="N8966">
        <f>IF(L8966="", "", L8966-B8966)</f>
        <v/>
      </c>
      <c r="O8966">
        <f>IF(L8966="", "Pending", IF(N8966&lt;=30, "Met", "Breached"))</f>
        <v/>
      </c>
    </row>
    <row r="8967">
      <c r="M8967" s="11">
        <f>B8967+30</f>
        <v/>
      </c>
      <c r="N8967">
        <f>IF(L8967="", "", L8967-B8967)</f>
        <v/>
      </c>
      <c r="O8967">
        <f>IF(L8967="", "Pending", IF(N8967&lt;=30, "Met", "Breached"))</f>
        <v/>
      </c>
    </row>
    <row r="8968">
      <c r="M8968" s="11">
        <f>B8968+30</f>
        <v/>
      </c>
      <c r="N8968">
        <f>IF(L8968="", "", L8968-B8968)</f>
        <v/>
      </c>
      <c r="O8968">
        <f>IF(L8968="", "Pending", IF(N8968&lt;=30, "Met", "Breached"))</f>
        <v/>
      </c>
    </row>
    <row r="8969">
      <c r="M8969" s="11">
        <f>B8969+30</f>
        <v/>
      </c>
      <c r="N8969">
        <f>IF(L8969="", "", L8969-B8969)</f>
        <v/>
      </c>
      <c r="O8969">
        <f>IF(L8969="", "Pending", IF(N8969&lt;=30, "Met", "Breached"))</f>
        <v/>
      </c>
    </row>
    <row r="8970">
      <c r="M8970" s="11">
        <f>B8970+30</f>
        <v/>
      </c>
      <c r="N8970">
        <f>IF(L8970="", "", L8970-B8970)</f>
        <v/>
      </c>
      <c r="O8970">
        <f>IF(L8970="", "Pending", IF(N8970&lt;=30, "Met", "Breached"))</f>
        <v/>
      </c>
    </row>
    <row r="8971">
      <c r="M8971" s="11">
        <f>B8971+30</f>
        <v/>
      </c>
      <c r="N8971">
        <f>IF(L8971="", "", L8971-B8971)</f>
        <v/>
      </c>
      <c r="O8971">
        <f>IF(L8971="", "Pending", IF(N8971&lt;=30, "Met", "Breached"))</f>
        <v/>
      </c>
    </row>
    <row r="8972">
      <c r="M8972" s="11">
        <f>B8972+30</f>
        <v/>
      </c>
      <c r="N8972">
        <f>IF(L8972="", "", L8972-B8972)</f>
        <v/>
      </c>
      <c r="O8972">
        <f>IF(L8972="", "Pending", IF(N8972&lt;=30, "Met", "Breached"))</f>
        <v/>
      </c>
    </row>
    <row r="8973">
      <c r="M8973" s="11">
        <f>B8973+30</f>
        <v/>
      </c>
      <c r="N8973">
        <f>IF(L8973="", "", L8973-B8973)</f>
        <v/>
      </c>
      <c r="O8973">
        <f>IF(L8973="", "Pending", IF(N8973&lt;=30, "Met", "Breached"))</f>
        <v/>
      </c>
    </row>
    <row r="8974">
      <c r="M8974" s="11">
        <f>B8974+30</f>
        <v/>
      </c>
      <c r="N8974">
        <f>IF(L8974="", "", L8974-B8974)</f>
        <v/>
      </c>
      <c r="O8974">
        <f>IF(L8974="", "Pending", IF(N8974&lt;=30, "Met", "Breached"))</f>
        <v/>
      </c>
    </row>
    <row r="8975">
      <c r="M8975" s="11">
        <f>B8975+30</f>
        <v/>
      </c>
      <c r="N8975">
        <f>IF(L8975="", "", L8975-B8975)</f>
        <v/>
      </c>
      <c r="O8975">
        <f>IF(L8975="", "Pending", IF(N8975&lt;=30, "Met", "Breached"))</f>
        <v/>
      </c>
    </row>
    <row r="8976">
      <c r="M8976" s="11">
        <f>B8976+30</f>
        <v/>
      </c>
      <c r="N8976">
        <f>IF(L8976="", "", L8976-B8976)</f>
        <v/>
      </c>
      <c r="O8976">
        <f>IF(L8976="", "Pending", IF(N8976&lt;=30, "Met", "Breached"))</f>
        <v/>
      </c>
    </row>
    <row r="8977">
      <c r="M8977" s="11">
        <f>B8977+30</f>
        <v/>
      </c>
      <c r="N8977">
        <f>IF(L8977="", "", L8977-B8977)</f>
        <v/>
      </c>
      <c r="O8977">
        <f>IF(L8977="", "Pending", IF(N8977&lt;=30, "Met", "Breached"))</f>
        <v/>
      </c>
    </row>
    <row r="8978">
      <c r="M8978" s="11">
        <f>B8978+30</f>
        <v/>
      </c>
      <c r="N8978">
        <f>IF(L8978="", "", L8978-B8978)</f>
        <v/>
      </c>
      <c r="O8978">
        <f>IF(L8978="", "Pending", IF(N8978&lt;=30, "Met", "Breached"))</f>
        <v/>
      </c>
    </row>
    <row r="8979">
      <c r="M8979" s="11">
        <f>B8979+30</f>
        <v/>
      </c>
      <c r="N8979">
        <f>IF(L8979="", "", L8979-B8979)</f>
        <v/>
      </c>
      <c r="O8979">
        <f>IF(L8979="", "Pending", IF(N8979&lt;=30, "Met", "Breached"))</f>
        <v/>
      </c>
    </row>
    <row r="8980">
      <c r="M8980" s="11">
        <f>B8980+30</f>
        <v/>
      </c>
      <c r="N8980">
        <f>IF(L8980="", "", L8980-B8980)</f>
        <v/>
      </c>
      <c r="O8980">
        <f>IF(L8980="", "Pending", IF(N8980&lt;=30, "Met", "Breached"))</f>
        <v/>
      </c>
    </row>
    <row r="8981">
      <c r="M8981" s="11">
        <f>B8981+30</f>
        <v/>
      </c>
      <c r="N8981">
        <f>IF(L8981="", "", L8981-B8981)</f>
        <v/>
      </c>
      <c r="O8981">
        <f>IF(L8981="", "Pending", IF(N8981&lt;=30, "Met", "Breached"))</f>
        <v/>
      </c>
    </row>
    <row r="8982">
      <c r="M8982" s="11">
        <f>B8982+30</f>
        <v/>
      </c>
      <c r="N8982">
        <f>IF(L8982="", "", L8982-B8982)</f>
        <v/>
      </c>
      <c r="O8982">
        <f>IF(L8982="", "Pending", IF(N8982&lt;=30, "Met", "Breached"))</f>
        <v/>
      </c>
    </row>
    <row r="8983">
      <c r="M8983" s="11">
        <f>B8983+30</f>
        <v/>
      </c>
      <c r="N8983">
        <f>IF(L8983="", "", L8983-B8983)</f>
        <v/>
      </c>
      <c r="O8983">
        <f>IF(L8983="", "Pending", IF(N8983&lt;=30, "Met", "Breached"))</f>
        <v/>
      </c>
    </row>
    <row r="8984">
      <c r="M8984" s="11">
        <f>B8984+30</f>
        <v/>
      </c>
      <c r="N8984">
        <f>IF(L8984="", "", L8984-B8984)</f>
        <v/>
      </c>
      <c r="O8984">
        <f>IF(L8984="", "Pending", IF(N8984&lt;=30, "Met", "Breached"))</f>
        <v/>
      </c>
    </row>
    <row r="8985">
      <c r="M8985" s="11">
        <f>B8985+30</f>
        <v/>
      </c>
      <c r="N8985">
        <f>IF(L8985="", "", L8985-B8985)</f>
        <v/>
      </c>
      <c r="O8985">
        <f>IF(L8985="", "Pending", IF(N8985&lt;=30, "Met", "Breached"))</f>
        <v/>
      </c>
    </row>
    <row r="8986">
      <c r="M8986" s="11">
        <f>B8986+30</f>
        <v/>
      </c>
      <c r="N8986">
        <f>IF(L8986="", "", L8986-B8986)</f>
        <v/>
      </c>
      <c r="O8986">
        <f>IF(L8986="", "Pending", IF(N8986&lt;=30, "Met", "Breached"))</f>
        <v/>
      </c>
    </row>
    <row r="8987">
      <c r="M8987" s="11">
        <f>B8987+30</f>
        <v/>
      </c>
      <c r="N8987">
        <f>IF(L8987="", "", L8987-B8987)</f>
        <v/>
      </c>
      <c r="O8987">
        <f>IF(L8987="", "Pending", IF(N8987&lt;=30, "Met", "Breached"))</f>
        <v/>
      </c>
    </row>
    <row r="8988">
      <c r="M8988" s="11">
        <f>B8988+30</f>
        <v/>
      </c>
      <c r="N8988">
        <f>IF(L8988="", "", L8988-B8988)</f>
        <v/>
      </c>
      <c r="O8988">
        <f>IF(L8988="", "Pending", IF(N8988&lt;=30, "Met", "Breached"))</f>
        <v/>
      </c>
    </row>
    <row r="8989">
      <c r="M8989" s="11">
        <f>B8989+30</f>
        <v/>
      </c>
      <c r="N8989">
        <f>IF(L8989="", "", L8989-B8989)</f>
        <v/>
      </c>
      <c r="O8989">
        <f>IF(L8989="", "Pending", IF(N8989&lt;=30, "Met", "Breached"))</f>
        <v/>
      </c>
    </row>
    <row r="8990">
      <c r="M8990" s="11">
        <f>B8990+30</f>
        <v/>
      </c>
      <c r="N8990">
        <f>IF(L8990="", "", L8990-B8990)</f>
        <v/>
      </c>
      <c r="O8990">
        <f>IF(L8990="", "Pending", IF(N8990&lt;=30, "Met", "Breached"))</f>
        <v/>
      </c>
    </row>
    <row r="8991">
      <c r="M8991" s="11">
        <f>B8991+30</f>
        <v/>
      </c>
      <c r="N8991">
        <f>IF(L8991="", "", L8991-B8991)</f>
        <v/>
      </c>
      <c r="O8991">
        <f>IF(L8991="", "Pending", IF(N8991&lt;=30, "Met", "Breached"))</f>
        <v/>
      </c>
    </row>
    <row r="8992">
      <c r="M8992" s="11">
        <f>B8992+30</f>
        <v/>
      </c>
      <c r="N8992">
        <f>IF(L8992="", "", L8992-B8992)</f>
        <v/>
      </c>
      <c r="O8992">
        <f>IF(L8992="", "Pending", IF(N8992&lt;=30, "Met", "Breached"))</f>
        <v/>
      </c>
    </row>
    <row r="8993">
      <c r="M8993" s="11">
        <f>B8993+30</f>
        <v/>
      </c>
      <c r="N8993">
        <f>IF(L8993="", "", L8993-B8993)</f>
        <v/>
      </c>
      <c r="O8993">
        <f>IF(L8993="", "Pending", IF(N8993&lt;=30, "Met", "Breached"))</f>
        <v/>
      </c>
    </row>
    <row r="8994">
      <c r="M8994" s="11">
        <f>B8994+30</f>
        <v/>
      </c>
      <c r="N8994">
        <f>IF(L8994="", "", L8994-B8994)</f>
        <v/>
      </c>
      <c r="O8994">
        <f>IF(L8994="", "Pending", IF(N8994&lt;=30, "Met", "Breached"))</f>
        <v/>
      </c>
    </row>
    <row r="8995">
      <c r="M8995" s="11">
        <f>B8995+30</f>
        <v/>
      </c>
      <c r="N8995">
        <f>IF(L8995="", "", L8995-B8995)</f>
        <v/>
      </c>
      <c r="O8995">
        <f>IF(L8995="", "Pending", IF(N8995&lt;=30, "Met", "Breached"))</f>
        <v/>
      </c>
    </row>
    <row r="8996">
      <c r="M8996" s="11">
        <f>B8996+30</f>
        <v/>
      </c>
      <c r="N8996">
        <f>IF(L8996="", "", L8996-B8996)</f>
        <v/>
      </c>
      <c r="O8996">
        <f>IF(L8996="", "Pending", IF(N8996&lt;=30, "Met", "Breached"))</f>
        <v/>
      </c>
    </row>
    <row r="8997">
      <c r="M8997" s="11">
        <f>B8997+30</f>
        <v/>
      </c>
      <c r="N8997">
        <f>IF(L8997="", "", L8997-B8997)</f>
        <v/>
      </c>
      <c r="O8997">
        <f>IF(L8997="", "Pending", IF(N8997&lt;=30, "Met", "Breached"))</f>
        <v/>
      </c>
    </row>
    <row r="8998">
      <c r="M8998" s="11">
        <f>B8998+30</f>
        <v/>
      </c>
      <c r="N8998">
        <f>IF(L8998="", "", L8998-B8998)</f>
        <v/>
      </c>
      <c r="O8998">
        <f>IF(L8998="", "Pending", IF(N8998&lt;=30, "Met", "Breached"))</f>
        <v/>
      </c>
    </row>
    <row r="8999">
      <c r="M8999" s="11">
        <f>B8999+30</f>
        <v/>
      </c>
      <c r="N8999">
        <f>IF(L8999="", "", L8999-B8999)</f>
        <v/>
      </c>
      <c r="O8999">
        <f>IF(L8999="", "Pending", IF(N8999&lt;=30, "Met", "Breached"))</f>
        <v/>
      </c>
    </row>
    <row r="9000">
      <c r="M9000" s="11">
        <f>B9000+30</f>
        <v/>
      </c>
      <c r="N9000">
        <f>IF(L9000="", "", L9000-B9000)</f>
        <v/>
      </c>
      <c r="O9000">
        <f>IF(L9000="", "Pending", IF(N9000&lt;=30, "Met", "Breached"))</f>
        <v/>
      </c>
    </row>
    <row r="9001">
      <c r="M9001" s="11">
        <f>B9001+30</f>
        <v/>
      </c>
      <c r="N9001">
        <f>IF(L9001="", "", L9001-B9001)</f>
        <v/>
      </c>
      <c r="O9001">
        <f>IF(L9001="", "Pending", IF(N9001&lt;=30, "Met", "Breached"))</f>
        <v/>
      </c>
    </row>
    <row r="9002">
      <c r="M9002" s="11">
        <f>B9002+30</f>
        <v/>
      </c>
      <c r="N9002">
        <f>IF(L9002="", "", L9002-B9002)</f>
        <v/>
      </c>
      <c r="O9002">
        <f>IF(L9002="", "Pending", IF(N9002&lt;=30, "Met", "Breached"))</f>
        <v/>
      </c>
    </row>
    <row r="9003">
      <c r="M9003" s="11">
        <f>B9003+30</f>
        <v/>
      </c>
      <c r="N9003">
        <f>IF(L9003="", "", L9003-B9003)</f>
        <v/>
      </c>
      <c r="O9003">
        <f>IF(L9003="", "Pending", IF(N9003&lt;=30, "Met", "Breached"))</f>
        <v/>
      </c>
    </row>
    <row r="9004">
      <c r="M9004" s="11">
        <f>B9004+30</f>
        <v/>
      </c>
      <c r="N9004">
        <f>IF(L9004="", "", L9004-B9004)</f>
        <v/>
      </c>
      <c r="O9004">
        <f>IF(L9004="", "Pending", IF(N9004&lt;=30, "Met", "Breached"))</f>
        <v/>
      </c>
    </row>
    <row r="9005">
      <c r="M9005" s="11">
        <f>B9005+30</f>
        <v/>
      </c>
      <c r="N9005">
        <f>IF(L9005="", "", L9005-B9005)</f>
        <v/>
      </c>
      <c r="O9005">
        <f>IF(L9005="", "Pending", IF(N9005&lt;=30, "Met", "Breached"))</f>
        <v/>
      </c>
    </row>
    <row r="9006">
      <c r="M9006" s="11">
        <f>B9006+30</f>
        <v/>
      </c>
      <c r="N9006">
        <f>IF(L9006="", "", L9006-B9006)</f>
        <v/>
      </c>
      <c r="O9006">
        <f>IF(L9006="", "Pending", IF(N9006&lt;=30, "Met", "Breached"))</f>
        <v/>
      </c>
    </row>
    <row r="9007">
      <c r="M9007" s="11">
        <f>B9007+30</f>
        <v/>
      </c>
      <c r="N9007">
        <f>IF(L9007="", "", L9007-B9007)</f>
        <v/>
      </c>
      <c r="O9007">
        <f>IF(L9007="", "Pending", IF(N9007&lt;=30, "Met", "Breached"))</f>
        <v/>
      </c>
    </row>
    <row r="9008">
      <c r="M9008" s="11">
        <f>B9008+30</f>
        <v/>
      </c>
      <c r="N9008">
        <f>IF(L9008="", "", L9008-B9008)</f>
        <v/>
      </c>
      <c r="O9008">
        <f>IF(L9008="", "Pending", IF(N9008&lt;=30, "Met", "Breached"))</f>
        <v/>
      </c>
    </row>
    <row r="9009">
      <c r="M9009" s="11">
        <f>B9009+30</f>
        <v/>
      </c>
      <c r="N9009">
        <f>IF(L9009="", "", L9009-B9009)</f>
        <v/>
      </c>
      <c r="O9009">
        <f>IF(L9009="", "Pending", IF(N9009&lt;=30, "Met", "Breached"))</f>
        <v/>
      </c>
    </row>
    <row r="9010">
      <c r="M9010" s="11">
        <f>B9010+30</f>
        <v/>
      </c>
      <c r="N9010">
        <f>IF(L9010="", "", L9010-B9010)</f>
        <v/>
      </c>
      <c r="O9010">
        <f>IF(L9010="", "Pending", IF(N9010&lt;=30, "Met", "Breached"))</f>
        <v/>
      </c>
    </row>
    <row r="9011">
      <c r="M9011" s="11">
        <f>B9011+30</f>
        <v/>
      </c>
      <c r="N9011">
        <f>IF(L9011="", "", L9011-B9011)</f>
        <v/>
      </c>
      <c r="O9011">
        <f>IF(L9011="", "Pending", IF(N9011&lt;=30, "Met", "Breached"))</f>
        <v/>
      </c>
    </row>
    <row r="9012">
      <c r="M9012" s="11">
        <f>B9012+30</f>
        <v/>
      </c>
      <c r="N9012">
        <f>IF(L9012="", "", L9012-B9012)</f>
        <v/>
      </c>
      <c r="O9012">
        <f>IF(L9012="", "Pending", IF(N9012&lt;=30, "Met", "Breached"))</f>
        <v/>
      </c>
    </row>
    <row r="9013">
      <c r="M9013" s="11">
        <f>B9013+30</f>
        <v/>
      </c>
      <c r="N9013">
        <f>IF(L9013="", "", L9013-B9013)</f>
        <v/>
      </c>
      <c r="O9013">
        <f>IF(L9013="", "Pending", IF(N9013&lt;=30, "Met", "Breached"))</f>
        <v/>
      </c>
    </row>
    <row r="9014">
      <c r="M9014" s="11">
        <f>B9014+30</f>
        <v/>
      </c>
      <c r="N9014">
        <f>IF(L9014="", "", L9014-B9014)</f>
        <v/>
      </c>
      <c r="O9014">
        <f>IF(L9014="", "Pending", IF(N9014&lt;=30, "Met", "Breached"))</f>
        <v/>
      </c>
    </row>
    <row r="9015">
      <c r="M9015" s="11">
        <f>B9015+30</f>
        <v/>
      </c>
      <c r="N9015">
        <f>IF(L9015="", "", L9015-B9015)</f>
        <v/>
      </c>
      <c r="O9015">
        <f>IF(L9015="", "Pending", IF(N9015&lt;=30, "Met", "Breached"))</f>
        <v/>
      </c>
    </row>
    <row r="9016">
      <c r="M9016" s="11">
        <f>B9016+30</f>
        <v/>
      </c>
      <c r="N9016">
        <f>IF(L9016="", "", L9016-B9016)</f>
        <v/>
      </c>
      <c r="O9016">
        <f>IF(L9016="", "Pending", IF(N9016&lt;=30, "Met", "Breached"))</f>
        <v/>
      </c>
    </row>
    <row r="9017">
      <c r="M9017" s="11">
        <f>B9017+30</f>
        <v/>
      </c>
      <c r="N9017">
        <f>IF(L9017="", "", L9017-B9017)</f>
        <v/>
      </c>
      <c r="O9017">
        <f>IF(L9017="", "Pending", IF(N9017&lt;=30, "Met", "Breached"))</f>
        <v/>
      </c>
    </row>
    <row r="9018">
      <c r="M9018" s="11">
        <f>B9018+30</f>
        <v/>
      </c>
      <c r="N9018">
        <f>IF(L9018="", "", L9018-B9018)</f>
        <v/>
      </c>
      <c r="O9018">
        <f>IF(L9018="", "Pending", IF(N9018&lt;=30, "Met", "Breached"))</f>
        <v/>
      </c>
    </row>
    <row r="9019">
      <c r="M9019" s="11">
        <f>B9019+30</f>
        <v/>
      </c>
      <c r="N9019">
        <f>IF(L9019="", "", L9019-B9019)</f>
        <v/>
      </c>
      <c r="O9019">
        <f>IF(L9019="", "Pending", IF(N9019&lt;=30, "Met", "Breached"))</f>
        <v/>
      </c>
    </row>
    <row r="9020">
      <c r="M9020" s="11">
        <f>B9020+30</f>
        <v/>
      </c>
      <c r="N9020">
        <f>IF(L9020="", "", L9020-B9020)</f>
        <v/>
      </c>
      <c r="O9020">
        <f>IF(L9020="", "Pending", IF(N9020&lt;=30, "Met", "Breached"))</f>
        <v/>
      </c>
    </row>
    <row r="9021">
      <c r="M9021" s="11">
        <f>B9021+30</f>
        <v/>
      </c>
      <c r="N9021">
        <f>IF(L9021="", "", L9021-B9021)</f>
        <v/>
      </c>
      <c r="O9021">
        <f>IF(L9021="", "Pending", IF(N9021&lt;=30, "Met", "Breached"))</f>
        <v/>
      </c>
    </row>
    <row r="9022">
      <c r="M9022" s="11">
        <f>B9022+30</f>
        <v/>
      </c>
      <c r="N9022">
        <f>IF(L9022="", "", L9022-B9022)</f>
        <v/>
      </c>
      <c r="O9022">
        <f>IF(L9022="", "Pending", IF(N9022&lt;=30, "Met", "Breached"))</f>
        <v/>
      </c>
    </row>
    <row r="9023">
      <c r="M9023" s="11">
        <f>B9023+30</f>
        <v/>
      </c>
      <c r="N9023">
        <f>IF(L9023="", "", L9023-B9023)</f>
        <v/>
      </c>
      <c r="O9023">
        <f>IF(L9023="", "Pending", IF(N9023&lt;=30, "Met", "Breached"))</f>
        <v/>
      </c>
    </row>
    <row r="9024">
      <c r="M9024" s="11">
        <f>B9024+30</f>
        <v/>
      </c>
      <c r="N9024">
        <f>IF(L9024="", "", L9024-B9024)</f>
        <v/>
      </c>
      <c r="O9024">
        <f>IF(L9024="", "Pending", IF(N9024&lt;=30, "Met", "Breached"))</f>
        <v/>
      </c>
    </row>
    <row r="9025">
      <c r="M9025" s="11">
        <f>B9025+30</f>
        <v/>
      </c>
      <c r="N9025">
        <f>IF(L9025="", "", L9025-B9025)</f>
        <v/>
      </c>
      <c r="O9025">
        <f>IF(L9025="", "Pending", IF(N9025&lt;=30, "Met", "Breached"))</f>
        <v/>
      </c>
    </row>
    <row r="9026">
      <c r="M9026" s="11">
        <f>B9026+30</f>
        <v/>
      </c>
      <c r="N9026">
        <f>IF(L9026="", "", L9026-B9026)</f>
        <v/>
      </c>
      <c r="O9026">
        <f>IF(L9026="", "Pending", IF(N9026&lt;=30, "Met", "Breached"))</f>
        <v/>
      </c>
    </row>
    <row r="9027">
      <c r="M9027" s="11">
        <f>B9027+30</f>
        <v/>
      </c>
      <c r="N9027">
        <f>IF(L9027="", "", L9027-B9027)</f>
        <v/>
      </c>
      <c r="O9027">
        <f>IF(L9027="", "Pending", IF(N9027&lt;=30, "Met", "Breached"))</f>
        <v/>
      </c>
    </row>
    <row r="9028">
      <c r="M9028" s="11">
        <f>B9028+30</f>
        <v/>
      </c>
      <c r="N9028">
        <f>IF(L9028="", "", L9028-B9028)</f>
        <v/>
      </c>
      <c r="O9028">
        <f>IF(L9028="", "Pending", IF(N9028&lt;=30, "Met", "Breached"))</f>
        <v/>
      </c>
    </row>
    <row r="9029">
      <c r="M9029" s="11">
        <f>B9029+30</f>
        <v/>
      </c>
      <c r="N9029">
        <f>IF(L9029="", "", L9029-B9029)</f>
        <v/>
      </c>
      <c r="O9029">
        <f>IF(L9029="", "Pending", IF(N9029&lt;=30, "Met", "Breached"))</f>
        <v/>
      </c>
    </row>
    <row r="9030">
      <c r="M9030" s="11">
        <f>B9030+30</f>
        <v/>
      </c>
      <c r="N9030">
        <f>IF(L9030="", "", L9030-B9030)</f>
        <v/>
      </c>
      <c r="O9030">
        <f>IF(L9030="", "Pending", IF(N9030&lt;=30, "Met", "Breached"))</f>
        <v/>
      </c>
    </row>
    <row r="9031">
      <c r="M9031" s="11">
        <f>B9031+30</f>
        <v/>
      </c>
      <c r="N9031">
        <f>IF(L9031="", "", L9031-B9031)</f>
        <v/>
      </c>
      <c r="O9031">
        <f>IF(L9031="", "Pending", IF(N9031&lt;=30, "Met", "Breached"))</f>
        <v/>
      </c>
    </row>
    <row r="9032">
      <c r="M9032" s="11">
        <f>B9032+30</f>
        <v/>
      </c>
      <c r="N9032">
        <f>IF(L9032="", "", L9032-B9032)</f>
        <v/>
      </c>
      <c r="O9032">
        <f>IF(L9032="", "Pending", IF(N9032&lt;=30, "Met", "Breached"))</f>
        <v/>
      </c>
    </row>
    <row r="9033">
      <c r="M9033" s="11">
        <f>B9033+30</f>
        <v/>
      </c>
      <c r="N9033">
        <f>IF(L9033="", "", L9033-B9033)</f>
        <v/>
      </c>
      <c r="O9033">
        <f>IF(L9033="", "Pending", IF(N9033&lt;=30, "Met", "Breached"))</f>
        <v/>
      </c>
    </row>
    <row r="9034">
      <c r="M9034" s="11">
        <f>B9034+30</f>
        <v/>
      </c>
      <c r="N9034">
        <f>IF(L9034="", "", L9034-B9034)</f>
        <v/>
      </c>
      <c r="O9034">
        <f>IF(L9034="", "Pending", IF(N9034&lt;=30, "Met", "Breached"))</f>
        <v/>
      </c>
    </row>
    <row r="9035">
      <c r="M9035" s="11">
        <f>B9035+30</f>
        <v/>
      </c>
      <c r="N9035">
        <f>IF(L9035="", "", L9035-B9035)</f>
        <v/>
      </c>
      <c r="O9035">
        <f>IF(L9035="", "Pending", IF(N9035&lt;=30, "Met", "Breached"))</f>
        <v/>
      </c>
    </row>
    <row r="9036">
      <c r="M9036" s="11">
        <f>B9036+30</f>
        <v/>
      </c>
      <c r="N9036">
        <f>IF(L9036="", "", L9036-B9036)</f>
        <v/>
      </c>
      <c r="O9036">
        <f>IF(L9036="", "Pending", IF(N9036&lt;=30, "Met", "Breached"))</f>
        <v/>
      </c>
    </row>
    <row r="9037">
      <c r="M9037" s="11">
        <f>B9037+30</f>
        <v/>
      </c>
      <c r="N9037">
        <f>IF(L9037="", "", L9037-B9037)</f>
        <v/>
      </c>
      <c r="O9037">
        <f>IF(L9037="", "Pending", IF(N9037&lt;=30, "Met", "Breached"))</f>
        <v/>
      </c>
    </row>
    <row r="9038">
      <c r="M9038" s="11">
        <f>B9038+30</f>
        <v/>
      </c>
      <c r="N9038">
        <f>IF(L9038="", "", L9038-B9038)</f>
        <v/>
      </c>
      <c r="O9038">
        <f>IF(L9038="", "Pending", IF(N9038&lt;=30, "Met", "Breached"))</f>
        <v/>
      </c>
    </row>
    <row r="9039">
      <c r="M9039" s="11">
        <f>B9039+30</f>
        <v/>
      </c>
      <c r="N9039">
        <f>IF(L9039="", "", L9039-B9039)</f>
        <v/>
      </c>
      <c r="O9039">
        <f>IF(L9039="", "Pending", IF(N9039&lt;=30, "Met", "Breached"))</f>
        <v/>
      </c>
    </row>
    <row r="9040">
      <c r="M9040" s="11">
        <f>B9040+30</f>
        <v/>
      </c>
      <c r="N9040">
        <f>IF(L9040="", "", L9040-B9040)</f>
        <v/>
      </c>
      <c r="O9040">
        <f>IF(L9040="", "Pending", IF(N9040&lt;=30, "Met", "Breached"))</f>
        <v/>
      </c>
    </row>
    <row r="9041">
      <c r="M9041" s="11">
        <f>B9041+30</f>
        <v/>
      </c>
      <c r="N9041">
        <f>IF(L9041="", "", L9041-B9041)</f>
        <v/>
      </c>
      <c r="O9041">
        <f>IF(L9041="", "Pending", IF(N9041&lt;=30, "Met", "Breached"))</f>
        <v/>
      </c>
    </row>
    <row r="9042">
      <c r="M9042" s="11">
        <f>B9042+30</f>
        <v/>
      </c>
      <c r="N9042">
        <f>IF(L9042="", "", L9042-B9042)</f>
        <v/>
      </c>
      <c r="O9042">
        <f>IF(L9042="", "Pending", IF(N9042&lt;=30, "Met", "Breached"))</f>
        <v/>
      </c>
    </row>
    <row r="9043">
      <c r="M9043" s="11">
        <f>B9043+30</f>
        <v/>
      </c>
      <c r="N9043">
        <f>IF(L9043="", "", L9043-B9043)</f>
        <v/>
      </c>
      <c r="O9043">
        <f>IF(L9043="", "Pending", IF(N9043&lt;=30, "Met", "Breached"))</f>
        <v/>
      </c>
    </row>
    <row r="9044">
      <c r="M9044" s="11">
        <f>B9044+30</f>
        <v/>
      </c>
      <c r="N9044">
        <f>IF(L9044="", "", L9044-B9044)</f>
        <v/>
      </c>
      <c r="O9044">
        <f>IF(L9044="", "Pending", IF(N9044&lt;=30, "Met", "Breached"))</f>
        <v/>
      </c>
    </row>
    <row r="9045">
      <c r="M9045" s="11">
        <f>B9045+30</f>
        <v/>
      </c>
      <c r="N9045">
        <f>IF(L9045="", "", L9045-B9045)</f>
        <v/>
      </c>
      <c r="O9045">
        <f>IF(L9045="", "Pending", IF(N9045&lt;=30, "Met", "Breached"))</f>
        <v/>
      </c>
    </row>
    <row r="9046">
      <c r="M9046" s="11">
        <f>B9046+30</f>
        <v/>
      </c>
      <c r="N9046">
        <f>IF(L9046="", "", L9046-B9046)</f>
        <v/>
      </c>
      <c r="O9046">
        <f>IF(L9046="", "Pending", IF(N9046&lt;=30, "Met", "Breached"))</f>
        <v/>
      </c>
    </row>
    <row r="9047">
      <c r="M9047" s="11">
        <f>B9047+30</f>
        <v/>
      </c>
      <c r="N9047">
        <f>IF(L9047="", "", L9047-B9047)</f>
        <v/>
      </c>
      <c r="O9047">
        <f>IF(L9047="", "Pending", IF(N9047&lt;=30, "Met", "Breached"))</f>
        <v/>
      </c>
    </row>
    <row r="9048">
      <c r="M9048" s="11">
        <f>B9048+30</f>
        <v/>
      </c>
      <c r="N9048">
        <f>IF(L9048="", "", L9048-B9048)</f>
        <v/>
      </c>
      <c r="O9048">
        <f>IF(L9048="", "Pending", IF(N9048&lt;=30, "Met", "Breached"))</f>
        <v/>
      </c>
    </row>
    <row r="9049">
      <c r="M9049" s="11">
        <f>B9049+30</f>
        <v/>
      </c>
      <c r="N9049">
        <f>IF(L9049="", "", L9049-B9049)</f>
        <v/>
      </c>
      <c r="O9049">
        <f>IF(L9049="", "Pending", IF(N9049&lt;=30, "Met", "Breached"))</f>
        <v/>
      </c>
    </row>
    <row r="9050">
      <c r="M9050" s="11">
        <f>B9050+30</f>
        <v/>
      </c>
      <c r="N9050">
        <f>IF(L9050="", "", L9050-B9050)</f>
        <v/>
      </c>
      <c r="O9050">
        <f>IF(L9050="", "Pending", IF(N9050&lt;=30, "Met", "Breached"))</f>
        <v/>
      </c>
    </row>
    <row r="9051">
      <c r="M9051" s="11">
        <f>B9051+30</f>
        <v/>
      </c>
      <c r="N9051">
        <f>IF(L9051="", "", L9051-B9051)</f>
        <v/>
      </c>
      <c r="O9051">
        <f>IF(L9051="", "Pending", IF(N9051&lt;=30, "Met", "Breached"))</f>
        <v/>
      </c>
    </row>
    <row r="9052">
      <c r="M9052" s="11">
        <f>B9052+30</f>
        <v/>
      </c>
      <c r="N9052">
        <f>IF(L9052="", "", L9052-B9052)</f>
        <v/>
      </c>
      <c r="O9052">
        <f>IF(L9052="", "Pending", IF(N9052&lt;=30, "Met", "Breached"))</f>
        <v/>
      </c>
    </row>
    <row r="9053">
      <c r="M9053" s="11">
        <f>B9053+30</f>
        <v/>
      </c>
      <c r="N9053">
        <f>IF(L9053="", "", L9053-B9053)</f>
        <v/>
      </c>
      <c r="O9053">
        <f>IF(L9053="", "Pending", IF(N9053&lt;=30, "Met", "Breached"))</f>
        <v/>
      </c>
    </row>
    <row r="9054">
      <c r="M9054" s="11">
        <f>B9054+30</f>
        <v/>
      </c>
      <c r="N9054">
        <f>IF(L9054="", "", L9054-B9054)</f>
        <v/>
      </c>
      <c r="O9054">
        <f>IF(L9054="", "Pending", IF(N9054&lt;=30, "Met", "Breached"))</f>
        <v/>
      </c>
    </row>
    <row r="9055">
      <c r="M9055" s="11">
        <f>B9055+30</f>
        <v/>
      </c>
      <c r="N9055">
        <f>IF(L9055="", "", L9055-B9055)</f>
        <v/>
      </c>
      <c r="O9055">
        <f>IF(L9055="", "Pending", IF(N9055&lt;=30, "Met", "Breached"))</f>
        <v/>
      </c>
    </row>
    <row r="9056">
      <c r="M9056" s="11">
        <f>B9056+30</f>
        <v/>
      </c>
      <c r="N9056">
        <f>IF(L9056="", "", L9056-B9056)</f>
        <v/>
      </c>
      <c r="O9056">
        <f>IF(L9056="", "Pending", IF(N9056&lt;=30, "Met", "Breached"))</f>
        <v/>
      </c>
    </row>
    <row r="9057">
      <c r="M9057" s="11">
        <f>B9057+30</f>
        <v/>
      </c>
      <c r="N9057">
        <f>IF(L9057="", "", L9057-B9057)</f>
        <v/>
      </c>
      <c r="O9057">
        <f>IF(L9057="", "Pending", IF(N9057&lt;=30, "Met", "Breached"))</f>
        <v/>
      </c>
    </row>
    <row r="9058">
      <c r="M9058" s="11">
        <f>B9058+30</f>
        <v/>
      </c>
      <c r="N9058">
        <f>IF(L9058="", "", L9058-B9058)</f>
        <v/>
      </c>
      <c r="O9058">
        <f>IF(L9058="", "Pending", IF(N9058&lt;=30, "Met", "Breached"))</f>
        <v/>
      </c>
    </row>
    <row r="9059">
      <c r="M9059" s="11">
        <f>B9059+30</f>
        <v/>
      </c>
      <c r="N9059">
        <f>IF(L9059="", "", L9059-B9059)</f>
        <v/>
      </c>
      <c r="O9059">
        <f>IF(L9059="", "Pending", IF(N9059&lt;=30, "Met", "Breached"))</f>
        <v/>
      </c>
    </row>
    <row r="9060">
      <c r="M9060" s="11">
        <f>B9060+30</f>
        <v/>
      </c>
      <c r="N9060">
        <f>IF(L9060="", "", L9060-B9060)</f>
        <v/>
      </c>
      <c r="O9060">
        <f>IF(L9060="", "Pending", IF(N9060&lt;=30, "Met", "Breached"))</f>
        <v/>
      </c>
    </row>
    <row r="9061">
      <c r="M9061" s="11">
        <f>B9061+30</f>
        <v/>
      </c>
      <c r="N9061">
        <f>IF(L9061="", "", L9061-B9061)</f>
        <v/>
      </c>
      <c r="O9061">
        <f>IF(L9061="", "Pending", IF(N9061&lt;=30, "Met", "Breached"))</f>
        <v/>
      </c>
    </row>
    <row r="9062">
      <c r="M9062" s="11">
        <f>B9062+30</f>
        <v/>
      </c>
      <c r="N9062">
        <f>IF(L9062="", "", L9062-B9062)</f>
        <v/>
      </c>
      <c r="O9062">
        <f>IF(L9062="", "Pending", IF(N9062&lt;=30, "Met", "Breached"))</f>
        <v/>
      </c>
    </row>
    <row r="9063">
      <c r="M9063" s="11">
        <f>B9063+30</f>
        <v/>
      </c>
      <c r="N9063">
        <f>IF(L9063="", "", L9063-B9063)</f>
        <v/>
      </c>
      <c r="O9063">
        <f>IF(L9063="", "Pending", IF(N9063&lt;=30, "Met", "Breached"))</f>
        <v/>
      </c>
    </row>
    <row r="9064">
      <c r="M9064" s="11">
        <f>B9064+30</f>
        <v/>
      </c>
      <c r="N9064">
        <f>IF(L9064="", "", L9064-B9064)</f>
        <v/>
      </c>
      <c r="O9064">
        <f>IF(L9064="", "Pending", IF(N9064&lt;=30, "Met", "Breached"))</f>
        <v/>
      </c>
    </row>
    <row r="9065">
      <c r="M9065" s="11">
        <f>B9065+30</f>
        <v/>
      </c>
      <c r="N9065">
        <f>IF(L9065="", "", L9065-B9065)</f>
        <v/>
      </c>
      <c r="O9065">
        <f>IF(L9065="", "Pending", IF(N9065&lt;=30, "Met", "Breached"))</f>
        <v/>
      </c>
    </row>
    <row r="9066">
      <c r="M9066" s="11">
        <f>B9066+30</f>
        <v/>
      </c>
      <c r="N9066">
        <f>IF(L9066="", "", L9066-B9066)</f>
        <v/>
      </c>
      <c r="O9066">
        <f>IF(L9066="", "Pending", IF(N9066&lt;=30, "Met", "Breached"))</f>
        <v/>
      </c>
    </row>
    <row r="9067">
      <c r="M9067" s="11">
        <f>B9067+30</f>
        <v/>
      </c>
      <c r="N9067">
        <f>IF(L9067="", "", L9067-B9067)</f>
        <v/>
      </c>
      <c r="O9067">
        <f>IF(L9067="", "Pending", IF(N9067&lt;=30, "Met", "Breached"))</f>
        <v/>
      </c>
    </row>
    <row r="9068">
      <c r="M9068" s="11">
        <f>B9068+30</f>
        <v/>
      </c>
      <c r="N9068">
        <f>IF(L9068="", "", L9068-B9068)</f>
        <v/>
      </c>
      <c r="O9068">
        <f>IF(L9068="", "Pending", IF(N9068&lt;=30, "Met", "Breached"))</f>
        <v/>
      </c>
    </row>
    <row r="9069">
      <c r="M9069" s="11">
        <f>B9069+30</f>
        <v/>
      </c>
      <c r="N9069">
        <f>IF(L9069="", "", L9069-B9069)</f>
        <v/>
      </c>
      <c r="O9069">
        <f>IF(L9069="", "Pending", IF(N9069&lt;=30, "Met", "Breached"))</f>
        <v/>
      </c>
    </row>
    <row r="9070">
      <c r="M9070" s="11">
        <f>B9070+30</f>
        <v/>
      </c>
      <c r="N9070">
        <f>IF(L9070="", "", L9070-B9070)</f>
        <v/>
      </c>
      <c r="O9070">
        <f>IF(L9070="", "Pending", IF(N9070&lt;=30, "Met", "Breached"))</f>
        <v/>
      </c>
    </row>
    <row r="9071">
      <c r="M9071" s="11">
        <f>B9071+30</f>
        <v/>
      </c>
      <c r="N9071">
        <f>IF(L9071="", "", L9071-B9071)</f>
        <v/>
      </c>
      <c r="O9071">
        <f>IF(L9071="", "Pending", IF(N9071&lt;=30, "Met", "Breached"))</f>
        <v/>
      </c>
    </row>
    <row r="9072">
      <c r="M9072" s="11">
        <f>B9072+30</f>
        <v/>
      </c>
      <c r="N9072">
        <f>IF(L9072="", "", L9072-B9072)</f>
        <v/>
      </c>
      <c r="O9072">
        <f>IF(L9072="", "Pending", IF(N9072&lt;=30, "Met", "Breached"))</f>
        <v/>
      </c>
    </row>
    <row r="9073">
      <c r="M9073" s="11">
        <f>B9073+30</f>
        <v/>
      </c>
      <c r="N9073">
        <f>IF(L9073="", "", L9073-B9073)</f>
        <v/>
      </c>
      <c r="O9073">
        <f>IF(L9073="", "Pending", IF(N9073&lt;=30, "Met", "Breached"))</f>
        <v/>
      </c>
    </row>
    <row r="9074">
      <c r="M9074" s="11">
        <f>B9074+30</f>
        <v/>
      </c>
      <c r="N9074">
        <f>IF(L9074="", "", L9074-B9074)</f>
        <v/>
      </c>
      <c r="O9074">
        <f>IF(L9074="", "Pending", IF(N9074&lt;=30, "Met", "Breached"))</f>
        <v/>
      </c>
    </row>
    <row r="9075">
      <c r="M9075" s="11">
        <f>B9075+30</f>
        <v/>
      </c>
      <c r="N9075">
        <f>IF(L9075="", "", L9075-B9075)</f>
        <v/>
      </c>
      <c r="O9075">
        <f>IF(L9075="", "Pending", IF(N9075&lt;=30, "Met", "Breached"))</f>
        <v/>
      </c>
    </row>
    <row r="9076">
      <c r="M9076" s="11">
        <f>B9076+30</f>
        <v/>
      </c>
      <c r="N9076">
        <f>IF(L9076="", "", L9076-B9076)</f>
        <v/>
      </c>
      <c r="O9076">
        <f>IF(L9076="", "Pending", IF(N9076&lt;=30, "Met", "Breached"))</f>
        <v/>
      </c>
    </row>
    <row r="9077">
      <c r="M9077" s="11">
        <f>B9077+30</f>
        <v/>
      </c>
      <c r="N9077">
        <f>IF(L9077="", "", L9077-B9077)</f>
        <v/>
      </c>
      <c r="O9077">
        <f>IF(L9077="", "Pending", IF(N9077&lt;=30, "Met", "Breached"))</f>
        <v/>
      </c>
    </row>
    <row r="9078">
      <c r="M9078" s="11">
        <f>B9078+30</f>
        <v/>
      </c>
      <c r="N9078">
        <f>IF(L9078="", "", L9078-B9078)</f>
        <v/>
      </c>
      <c r="O9078">
        <f>IF(L9078="", "Pending", IF(N9078&lt;=30, "Met", "Breached"))</f>
        <v/>
      </c>
    </row>
    <row r="9079">
      <c r="M9079" s="11">
        <f>B9079+30</f>
        <v/>
      </c>
      <c r="N9079">
        <f>IF(L9079="", "", L9079-B9079)</f>
        <v/>
      </c>
      <c r="O9079">
        <f>IF(L9079="", "Pending", IF(N9079&lt;=30, "Met", "Breached"))</f>
        <v/>
      </c>
    </row>
    <row r="9080">
      <c r="M9080" s="11">
        <f>B9080+30</f>
        <v/>
      </c>
      <c r="N9080">
        <f>IF(L9080="", "", L9080-B9080)</f>
        <v/>
      </c>
      <c r="O9080">
        <f>IF(L9080="", "Pending", IF(N9080&lt;=30, "Met", "Breached"))</f>
        <v/>
      </c>
    </row>
    <row r="9081">
      <c r="M9081" s="11">
        <f>B9081+30</f>
        <v/>
      </c>
      <c r="N9081">
        <f>IF(L9081="", "", L9081-B9081)</f>
        <v/>
      </c>
      <c r="O9081">
        <f>IF(L9081="", "Pending", IF(N9081&lt;=30, "Met", "Breached"))</f>
        <v/>
      </c>
    </row>
    <row r="9082">
      <c r="M9082" s="11">
        <f>B9082+30</f>
        <v/>
      </c>
      <c r="N9082">
        <f>IF(L9082="", "", L9082-B9082)</f>
        <v/>
      </c>
      <c r="O9082">
        <f>IF(L9082="", "Pending", IF(N9082&lt;=30, "Met", "Breached"))</f>
        <v/>
      </c>
    </row>
    <row r="9083">
      <c r="M9083" s="11">
        <f>B9083+30</f>
        <v/>
      </c>
      <c r="N9083">
        <f>IF(L9083="", "", L9083-B9083)</f>
        <v/>
      </c>
      <c r="O9083">
        <f>IF(L9083="", "Pending", IF(N9083&lt;=30, "Met", "Breached"))</f>
        <v/>
      </c>
    </row>
    <row r="9084">
      <c r="M9084" s="11">
        <f>B9084+30</f>
        <v/>
      </c>
      <c r="N9084">
        <f>IF(L9084="", "", L9084-B9084)</f>
        <v/>
      </c>
      <c r="O9084">
        <f>IF(L9084="", "Pending", IF(N9084&lt;=30, "Met", "Breached"))</f>
        <v/>
      </c>
    </row>
    <row r="9085">
      <c r="M9085" s="11">
        <f>B9085+30</f>
        <v/>
      </c>
      <c r="N9085">
        <f>IF(L9085="", "", L9085-B9085)</f>
        <v/>
      </c>
      <c r="O9085">
        <f>IF(L9085="", "Pending", IF(N9085&lt;=30, "Met", "Breached"))</f>
        <v/>
      </c>
    </row>
    <row r="9086">
      <c r="M9086" s="11">
        <f>B9086+30</f>
        <v/>
      </c>
      <c r="N9086">
        <f>IF(L9086="", "", L9086-B9086)</f>
        <v/>
      </c>
      <c r="O9086">
        <f>IF(L9086="", "Pending", IF(N9086&lt;=30, "Met", "Breached"))</f>
        <v/>
      </c>
    </row>
    <row r="9087">
      <c r="M9087" s="11">
        <f>B9087+30</f>
        <v/>
      </c>
      <c r="N9087">
        <f>IF(L9087="", "", L9087-B9087)</f>
        <v/>
      </c>
      <c r="O9087">
        <f>IF(L9087="", "Pending", IF(N9087&lt;=30, "Met", "Breached"))</f>
        <v/>
      </c>
    </row>
    <row r="9088">
      <c r="M9088" s="11">
        <f>B9088+30</f>
        <v/>
      </c>
      <c r="N9088">
        <f>IF(L9088="", "", L9088-B9088)</f>
        <v/>
      </c>
      <c r="O9088">
        <f>IF(L9088="", "Pending", IF(N9088&lt;=30, "Met", "Breached"))</f>
        <v/>
      </c>
    </row>
    <row r="9089">
      <c r="M9089" s="11">
        <f>B9089+30</f>
        <v/>
      </c>
      <c r="N9089">
        <f>IF(L9089="", "", L9089-B9089)</f>
        <v/>
      </c>
      <c r="O9089">
        <f>IF(L9089="", "Pending", IF(N9089&lt;=30, "Met", "Breached"))</f>
        <v/>
      </c>
    </row>
    <row r="9090">
      <c r="M9090" s="11">
        <f>B9090+30</f>
        <v/>
      </c>
      <c r="N9090">
        <f>IF(L9090="", "", L9090-B9090)</f>
        <v/>
      </c>
      <c r="O9090">
        <f>IF(L9090="", "Pending", IF(N9090&lt;=30, "Met", "Breached"))</f>
        <v/>
      </c>
    </row>
    <row r="9091">
      <c r="M9091" s="11">
        <f>B9091+30</f>
        <v/>
      </c>
      <c r="N9091">
        <f>IF(L9091="", "", L9091-B9091)</f>
        <v/>
      </c>
      <c r="O9091">
        <f>IF(L9091="", "Pending", IF(N9091&lt;=30, "Met", "Breached"))</f>
        <v/>
      </c>
    </row>
    <row r="9092">
      <c r="M9092" s="11">
        <f>B9092+30</f>
        <v/>
      </c>
      <c r="N9092">
        <f>IF(L9092="", "", L9092-B9092)</f>
        <v/>
      </c>
      <c r="O9092">
        <f>IF(L9092="", "Pending", IF(N9092&lt;=30, "Met", "Breached"))</f>
        <v/>
      </c>
    </row>
    <row r="9093">
      <c r="M9093" s="11">
        <f>B9093+30</f>
        <v/>
      </c>
      <c r="N9093">
        <f>IF(L9093="", "", L9093-B9093)</f>
        <v/>
      </c>
      <c r="O9093">
        <f>IF(L9093="", "Pending", IF(N9093&lt;=30, "Met", "Breached"))</f>
        <v/>
      </c>
    </row>
    <row r="9094">
      <c r="M9094" s="11">
        <f>B9094+30</f>
        <v/>
      </c>
      <c r="N9094">
        <f>IF(L9094="", "", L9094-B9094)</f>
        <v/>
      </c>
      <c r="O9094">
        <f>IF(L9094="", "Pending", IF(N9094&lt;=30, "Met", "Breached"))</f>
        <v/>
      </c>
    </row>
    <row r="9095">
      <c r="M9095" s="11">
        <f>B9095+30</f>
        <v/>
      </c>
      <c r="N9095">
        <f>IF(L9095="", "", L9095-B9095)</f>
        <v/>
      </c>
      <c r="O9095">
        <f>IF(L9095="", "Pending", IF(N9095&lt;=30, "Met", "Breached"))</f>
        <v/>
      </c>
    </row>
    <row r="9096">
      <c r="M9096" s="11">
        <f>B9096+30</f>
        <v/>
      </c>
      <c r="N9096">
        <f>IF(L9096="", "", L9096-B9096)</f>
        <v/>
      </c>
      <c r="O9096">
        <f>IF(L9096="", "Pending", IF(N9096&lt;=30, "Met", "Breached"))</f>
        <v/>
      </c>
    </row>
    <row r="9097">
      <c r="M9097" s="11">
        <f>B9097+30</f>
        <v/>
      </c>
      <c r="N9097">
        <f>IF(L9097="", "", L9097-B9097)</f>
        <v/>
      </c>
      <c r="O9097">
        <f>IF(L9097="", "Pending", IF(N9097&lt;=30, "Met", "Breached"))</f>
        <v/>
      </c>
    </row>
    <row r="9098">
      <c r="M9098" s="11">
        <f>B9098+30</f>
        <v/>
      </c>
      <c r="N9098">
        <f>IF(L9098="", "", L9098-B9098)</f>
        <v/>
      </c>
      <c r="O9098">
        <f>IF(L9098="", "Pending", IF(N9098&lt;=30, "Met", "Breached"))</f>
        <v/>
      </c>
    </row>
    <row r="9099">
      <c r="M9099" s="11">
        <f>B9099+30</f>
        <v/>
      </c>
      <c r="N9099">
        <f>IF(L9099="", "", L9099-B9099)</f>
        <v/>
      </c>
      <c r="O9099">
        <f>IF(L9099="", "Pending", IF(N9099&lt;=30, "Met", "Breached"))</f>
        <v/>
      </c>
    </row>
    <row r="9100">
      <c r="M9100" s="11">
        <f>B9100+30</f>
        <v/>
      </c>
      <c r="N9100">
        <f>IF(L9100="", "", L9100-B9100)</f>
        <v/>
      </c>
      <c r="O9100">
        <f>IF(L9100="", "Pending", IF(N9100&lt;=30, "Met", "Breached"))</f>
        <v/>
      </c>
    </row>
    <row r="9101">
      <c r="M9101" s="11">
        <f>B9101+30</f>
        <v/>
      </c>
      <c r="N9101">
        <f>IF(L9101="", "", L9101-B9101)</f>
        <v/>
      </c>
      <c r="O9101">
        <f>IF(L9101="", "Pending", IF(N9101&lt;=30, "Met", "Breached"))</f>
        <v/>
      </c>
    </row>
    <row r="9102">
      <c r="M9102" s="11">
        <f>B9102+30</f>
        <v/>
      </c>
      <c r="N9102">
        <f>IF(L9102="", "", L9102-B9102)</f>
        <v/>
      </c>
      <c r="O9102">
        <f>IF(L9102="", "Pending", IF(N9102&lt;=30, "Met", "Breached"))</f>
        <v/>
      </c>
    </row>
    <row r="9103">
      <c r="M9103" s="11">
        <f>B9103+30</f>
        <v/>
      </c>
      <c r="N9103">
        <f>IF(L9103="", "", L9103-B9103)</f>
        <v/>
      </c>
      <c r="O9103">
        <f>IF(L9103="", "Pending", IF(N9103&lt;=30, "Met", "Breached"))</f>
        <v/>
      </c>
    </row>
    <row r="9104">
      <c r="M9104" s="11">
        <f>B9104+30</f>
        <v/>
      </c>
      <c r="N9104">
        <f>IF(L9104="", "", L9104-B9104)</f>
        <v/>
      </c>
      <c r="O9104">
        <f>IF(L9104="", "Pending", IF(N9104&lt;=30, "Met", "Breached"))</f>
        <v/>
      </c>
    </row>
    <row r="9105">
      <c r="M9105" s="11">
        <f>B9105+30</f>
        <v/>
      </c>
      <c r="N9105">
        <f>IF(L9105="", "", L9105-B9105)</f>
        <v/>
      </c>
      <c r="O9105">
        <f>IF(L9105="", "Pending", IF(N9105&lt;=30, "Met", "Breached"))</f>
        <v/>
      </c>
    </row>
    <row r="9106">
      <c r="M9106" s="11">
        <f>B9106+30</f>
        <v/>
      </c>
      <c r="N9106">
        <f>IF(L9106="", "", L9106-B9106)</f>
        <v/>
      </c>
      <c r="O9106">
        <f>IF(L9106="", "Pending", IF(N9106&lt;=30, "Met", "Breached"))</f>
        <v/>
      </c>
    </row>
    <row r="9107">
      <c r="M9107" s="11">
        <f>B9107+30</f>
        <v/>
      </c>
      <c r="N9107">
        <f>IF(L9107="", "", L9107-B9107)</f>
        <v/>
      </c>
      <c r="O9107">
        <f>IF(L9107="", "Pending", IF(N9107&lt;=30, "Met", "Breached"))</f>
        <v/>
      </c>
    </row>
    <row r="9108">
      <c r="M9108" s="11">
        <f>B9108+30</f>
        <v/>
      </c>
      <c r="N9108">
        <f>IF(L9108="", "", L9108-B9108)</f>
        <v/>
      </c>
      <c r="O9108">
        <f>IF(L9108="", "Pending", IF(N9108&lt;=30, "Met", "Breached"))</f>
        <v/>
      </c>
    </row>
    <row r="9109">
      <c r="M9109" s="11">
        <f>B9109+30</f>
        <v/>
      </c>
      <c r="N9109">
        <f>IF(L9109="", "", L9109-B9109)</f>
        <v/>
      </c>
      <c r="O9109">
        <f>IF(L9109="", "Pending", IF(N9109&lt;=30, "Met", "Breached"))</f>
        <v/>
      </c>
    </row>
    <row r="9110">
      <c r="M9110" s="11">
        <f>B9110+30</f>
        <v/>
      </c>
      <c r="N9110">
        <f>IF(L9110="", "", L9110-B9110)</f>
        <v/>
      </c>
      <c r="O9110">
        <f>IF(L9110="", "Pending", IF(N9110&lt;=30, "Met", "Breached"))</f>
        <v/>
      </c>
    </row>
    <row r="9111">
      <c r="M9111" s="11">
        <f>B9111+30</f>
        <v/>
      </c>
      <c r="N9111">
        <f>IF(L9111="", "", L9111-B9111)</f>
        <v/>
      </c>
      <c r="O9111">
        <f>IF(L9111="", "Pending", IF(N9111&lt;=30, "Met", "Breached"))</f>
        <v/>
      </c>
    </row>
    <row r="9112">
      <c r="M9112" s="11">
        <f>B9112+30</f>
        <v/>
      </c>
      <c r="N9112">
        <f>IF(L9112="", "", L9112-B9112)</f>
        <v/>
      </c>
      <c r="O9112">
        <f>IF(L9112="", "Pending", IF(N9112&lt;=30, "Met", "Breached"))</f>
        <v/>
      </c>
    </row>
    <row r="9113">
      <c r="M9113" s="11">
        <f>B9113+30</f>
        <v/>
      </c>
      <c r="N9113">
        <f>IF(L9113="", "", L9113-B9113)</f>
        <v/>
      </c>
      <c r="O9113">
        <f>IF(L9113="", "Pending", IF(N9113&lt;=30, "Met", "Breached"))</f>
        <v/>
      </c>
    </row>
    <row r="9114">
      <c r="M9114" s="11">
        <f>B9114+30</f>
        <v/>
      </c>
      <c r="N9114">
        <f>IF(L9114="", "", L9114-B9114)</f>
        <v/>
      </c>
      <c r="O9114">
        <f>IF(L9114="", "Pending", IF(N9114&lt;=30, "Met", "Breached"))</f>
        <v/>
      </c>
    </row>
    <row r="9115">
      <c r="M9115" s="11">
        <f>B9115+30</f>
        <v/>
      </c>
      <c r="N9115">
        <f>IF(L9115="", "", L9115-B9115)</f>
        <v/>
      </c>
      <c r="O9115">
        <f>IF(L9115="", "Pending", IF(N9115&lt;=30, "Met", "Breached"))</f>
        <v/>
      </c>
    </row>
    <row r="9116">
      <c r="M9116" s="11">
        <f>B9116+30</f>
        <v/>
      </c>
      <c r="N9116">
        <f>IF(L9116="", "", L9116-B9116)</f>
        <v/>
      </c>
      <c r="O9116">
        <f>IF(L9116="", "Pending", IF(N9116&lt;=30, "Met", "Breached"))</f>
        <v/>
      </c>
    </row>
    <row r="9117">
      <c r="M9117" s="11">
        <f>B9117+30</f>
        <v/>
      </c>
      <c r="N9117">
        <f>IF(L9117="", "", L9117-B9117)</f>
        <v/>
      </c>
      <c r="O9117">
        <f>IF(L9117="", "Pending", IF(N9117&lt;=30, "Met", "Breached"))</f>
        <v/>
      </c>
    </row>
    <row r="9118">
      <c r="M9118" s="11">
        <f>B9118+30</f>
        <v/>
      </c>
      <c r="N9118">
        <f>IF(L9118="", "", L9118-B9118)</f>
        <v/>
      </c>
      <c r="O9118">
        <f>IF(L9118="", "Pending", IF(N9118&lt;=30, "Met", "Breached"))</f>
        <v/>
      </c>
    </row>
    <row r="9119">
      <c r="M9119" s="11">
        <f>B9119+30</f>
        <v/>
      </c>
      <c r="N9119">
        <f>IF(L9119="", "", L9119-B9119)</f>
        <v/>
      </c>
      <c r="O9119">
        <f>IF(L9119="", "Pending", IF(N9119&lt;=30, "Met", "Breached"))</f>
        <v/>
      </c>
    </row>
    <row r="9120">
      <c r="M9120" s="11">
        <f>B9120+30</f>
        <v/>
      </c>
      <c r="N9120">
        <f>IF(L9120="", "", L9120-B9120)</f>
        <v/>
      </c>
      <c r="O9120">
        <f>IF(L9120="", "Pending", IF(N9120&lt;=30, "Met", "Breached"))</f>
        <v/>
      </c>
    </row>
    <row r="9121">
      <c r="M9121" s="11">
        <f>B9121+30</f>
        <v/>
      </c>
      <c r="N9121">
        <f>IF(L9121="", "", L9121-B9121)</f>
        <v/>
      </c>
      <c r="O9121">
        <f>IF(L9121="", "Pending", IF(N9121&lt;=30, "Met", "Breached"))</f>
        <v/>
      </c>
    </row>
    <row r="9122">
      <c r="M9122" s="11">
        <f>B9122+30</f>
        <v/>
      </c>
      <c r="N9122">
        <f>IF(L9122="", "", L9122-B9122)</f>
        <v/>
      </c>
      <c r="O9122">
        <f>IF(L9122="", "Pending", IF(N9122&lt;=30, "Met", "Breached"))</f>
        <v/>
      </c>
    </row>
    <row r="9123">
      <c r="M9123" s="11">
        <f>B9123+30</f>
        <v/>
      </c>
      <c r="N9123">
        <f>IF(L9123="", "", L9123-B9123)</f>
        <v/>
      </c>
      <c r="O9123">
        <f>IF(L9123="", "Pending", IF(N9123&lt;=30, "Met", "Breached"))</f>
        <v/>
      </c>
    </row>
    <row r="9124">
      <c r="M9124" s="11">
        <f>B9124+30</f>
        <v/>
      </c>
      <c r="N9124">
        <f>IF(L9124="", "", L9124-B9124)</f>
        <v/>
      </c>
      <c r="O9124">
        <f>IF(L9124="", "Pending", IF(N9124&lt;=30, "Met", "Breached"))</f>
        <v/>
      </c>
    </row>
    <row r="9125">
      <c r="M9125" s="11">
        <f>B9125+30</f>
        <v/>
      </c>
      <c r="N9125">
        <f>IF(L9125="", "", L9125-B9125)</f>
        <v/>
      </c>
      <c r="O9125">
        <f>IF(L9125="", "Pending", IF(N9125&lt;=30, "Met", "Breached"))</f>
        <v/>
      </c>
    </row>
    <row r="9126">
      <c r="M9126" s="11">
        <f>B9126+30</f>
        <v/>
      </c>
      <c r="N9126">
        <f>IF(L9126="", "", L9126-B9126)</f>
        <v/>
      </c>
      <c r="O9126">
        <f>IF(L9126="", "Pending", IF(N9126&lt;=30, "Met", "Breached"))</f>
        <v/>
      </c>
    </row>
    <row r="9127">
      <c r="M9127" s="11">
        <f>B9127+30</f>
        <v/>
      </c>
      <c r="N9127">
        <f>IF(L9127="", "", L9127-B9127)</f>
        <v/>
      </c>
      <c r="O9127">
        <f>IF(L9127="", "Pending", IF(N9127&lt;=30, "Met", "Breached"))</f>
        <v/>
      </c>
    </row>
    <row r="9128">
      <c r="M9128" s="11">
        <f>B9128+30</f>
        <v/>
      </c>
      <c r="N9128">
        <f>IF(L9128="", "", L9128-B9128)</f>
        <v/>
      </c>
      <c r="O9128">
        <f>IF(L9128="", "Pending", IF(N9128&lt;=30, "Met", "Breached"))</f>
        <v/>
      </c>
    </row>
    <row r="9129">
      <c r="M9129" s="11">
        <f>B9129+30</f>
        <v/>
      </c>
      <c r="N9129">
        <f>IF(L9129="", "", L9129-B9129)</f>
        <v/>
      </c>
      <c r="O9129">
        <f>IF(L9129="", "Pending", IF(N9129&lt;=30, "Met", "Breached"))</f>
        <v/>
      </c>
    </row>
    <row r="9130">
      <c r="M9130" s="11">
        <f>B9130+30</f>
        <v/>
      </c>
      <c r="N9130">
        <f>IF(L9130="", "", L9130-B9130)</f>
        <v/>
      </c>
      <c r="O9130">
        <f>IF(L9130="", "Pending", IF(N9130&lt;=30, "Met", "Breached"))</f>
        <v/>
      </c>
    </row>
    <row r="9131">
      <c r="M9131" s="11">
        <f>B9131+30</f>
        <v/>
      </c>
      <c r="N9131">
        <f>IF(L9131="", "", L9131-B9131)</f>
        <v/>
      </c>
      <c r="O9131">
        <f>IF(L9131="", "Pending", IF(N9131&lt;=30, "Met", "Breached"))</f>
        <v/>
      </c>
    </row>
    <row r="9132">
      <c r="M9132" s="11">
        <f>B9132+30</f>
        <v/>
      </c>
      <c r="N9132">
        <f>IF(L9132="", "", L9132-B9132)</f>
        <v/>
      </c>
      <c r="O9132">
        <f>IF(L9132="", "Pending", IF(N9132&lt;=30, "Met", "Breached"))</f>
        <v/>
      </c>
    </row>
    <row r="9133">
      <c r="M9133" s="11">
        <f>B9133+30</f>
        <v/>
      </c>
      <c r="N9133">
        <f>IF(L9133="", "", L9133-B9133)</f>
        <v/>
      </c>
      <c r="O9133">
        <f>IF(L9133="", "Pending", IF(N9133&lt;=30, "Met", "Breached"))</f>
        <v/>
      </c>
    </row>
    <row r="9134">
      <c r="M9134" s="11">
        <f>B9134+30</f>
        <v/>
      </c>
      <c r="N9134">
        <f>IF(L9134="", "", L9134-B9134)</f>
        <v/>
      </c>
      <c r="O9134">
        <f>IF(L9134="", "Pending", IF(N9134&lt;=30, "Met", "Breached"))</f>
        <v/>
      </c>
    </row>
    <row r="9135">
      <c r="M9135" s="11">
        <f>B9135+30</f>
        <v/>
      </c>
      <c r="N9135">
        <f>IF(L9135="", "", L9135-B9135)</f>
        <v/>
      </c>
      <c r="O9135">
        <f>IF(L9135="", "Pending", IF(N9135&lt;=30, "Met", "Breached"))</f>
        <v/>
      </c>
    </row>
    <row r="9136">
      <c r="M9136" s="11">
        <f>B9136+30</f>
        <v/>
      </c>
      <c r="N9136">
        <f>IF(L9136="", "", L9136-B9136)</f>
        <v/>
      </c>
      <c r="O9136">
        <f>IF(L9136="", "Pending", IF(N9136&lt;=30, "Met", "Breached"))</f>
        <v/>
      </c>
    </row>
    <row r="9137">
      <c r="M9137" s="11">
        <f>B9137+30</f>
        <v/>
      </c>
      <c r="N9137">
        <f>IF(L9137="", "", L9137-B9137)</f>
        <v/>
      </c>
      <c r="O9137">
        <f>IF(L9137="", "Pending", IF(N9137&lt;=30, "Met", "Breached"))</f>
        <v/>
      </c>
    </row>
    <row r="9138">
      <c r="M9138" s="11">
        <f>B9138+30</f>
        <v/>
      </c>
      <c r="N9138">
        <f>IF(L9138="", "", L9138-B9138)</f>
        <v/>
      </c>
      <c r="O9138">
        <f>IF(L9138="", "Pending", IF(N9138&lt;=30, "Met", "Breached"))</f>
        <v/>
      </c>
    </row>
    <row r="9139">
      <c r="M9139" s="11">
        <f>B9139+30</f>
        <v/>
      </c>
      <c r="N9139">
        <f>IF(L9139="", "", L9139-B9139)</f>
        <v/>
      </c>
      <c r="O9139">
        <f>IF(L9139="", "Pending", IF(N9139&lt;=30, "Met", "Breached"))</f>
        <v/>
      </c>
    </row>
    <row r="9140">
      <c r="M9140" s="11">
        <f>B9140+30</f>
        <v/>
      </c>
      <c r="N9140">
        <f>IF(L9140="", "", L9140-B9140)</f>
        <v/>
      </c>
      <c r="O9140">
        <f>IF(L9140="", "Pending", IF(N9140&lt;=30, "Met", "Breached"))</f>
        <v/>
      </c>
    </row>
    <row r="9141">
      <c r="M9141" s="11">
        <f>B9141+30</f>
        <v/>
      </c>
      <c r="N9141">
        <f>IF(L9141="", "", L9141-B9141)</f>
        <v/>
      </c>
      <c r="O9141">
        <f>IF(L9141="", "Pending", IF(N9141&lt;=30, "Met", "Breached"))</f>
        <v/>
      </c>
    </row>
    <row r="9142">
      <c r="M9142" s="11">
        <f>B9142+30</f>
        <v/>
      </c>
      <c r="N9142">
        <f>IF(L9142="", "", L9142-B9142)</f>
        <v/>
      </c>
      <c r="O9142">
        <f>IF(L9142="", "Pending", IF(N9142&lt;=30, "Met", "Breached"))</f>
        <v/>
      </c>
    </row>
    <row r="9143">
      <c r="M9143" s="11">
        <f>B9143+30</f>
        <v/>
      </c>
      <c r="N9143">
        <f>IF(L9143="", "", L9143-B9143)</f>
        <v/>
      </c>
      <c r="O9143">
        <f>IF(L9143="", "Pending", IF(N9143&lt;=30, "Met", "Breached"))</f>
        <v/>
      </c>
    </row>
    <row r="9144">
      <c r="M9144" s="11">
        <f>B9144+30</f>
        <v/>
      </c>
      <c r="N9144">
        <f>IF(L9144="", "", L9144-B9144)</f>
        <v/>
      </c>
      <c r="O9144">
        <f>IF(L9144="", "Pending", IF(N9144&lt;=30, "Met", "Breached"))</f>
        <v/>
      </c>
    </row>
    <row r="9145">
      <c r="M9145" s="11">
        <f>B9145+30</f>
        <v/>
      </c>
      <c r="N9145">
        <f>IF(L9145="", "", L9145-B9145)</f>
        <v/>
      </c>
      <c r="O9145">
        <f>IF(L9145="", "Pending", IF(N9145&lt;=30, "Met", "Breached"))</f>
        <v/>
      </c>
    </row>
    <row r="9146">
      <c r="M9146" s="11">
        <f>B9146+30</f>
        <v/>
      </c>
      <c r="N9146">
        <f>IF(L9146="", "", L9146-B9146)</f>
        <v/>
      </c>
      <c r="O9146">
        <f>IF(L9146="", "Pending", IF(N9146&lt;=30, "Met", "Breached"))</f>
        <v/>
      </c>
    </row>
    <row r="9147">
      <c r="M9147" s="11">
        <f>B9147+30</f>
        <v/>
      </c>
      <c r="N9147">
        <f>IF(L9147="", "", L9147-B9147)</f>
        <v/>
      </c>
      <c r="O9147">
        <f>IF(L9147="", "Pending", IF(N9147&lt;=30, "Met", "Breached"))</f>
        <v/>
      </c>
    </row>
    <row r="9148">
      <c r="M9148" s="11">
        <f>B9148+30</f>
        <v/>
      </c>
      <c r="N9148">
        <f>IF(L9148="", "", L9148-B9148)</f>
        <v/>
      </c>
      <c r="O9148">
        <f>IF(L9148="", "Pending", IF(N9148&lt;=30, "Met", "Breached"))</f>
        <v/>
      </c>
    </row>
    <row r="9149">
      <c r="M9149" s="11">
        <f>B9149+30</f>
        <v/>
      </c>
      <c r="N9149">
        <f>IF(L9149="", "", L9149-B9149)</f>
        <v/>
      </c>
      <c r="O9149">
        <f>IF(L9149="", "Pending", IF(N9149&lt;=30, "Met", "Breached"))</f>
        <v/>
      </c>
    </row>
    <row r="9150">
      <c r="M9150" s="11">
        <f>B9150+30</f>
        <v/>
      </c>
      <c r="N9150">
        <f>IF(L9150="", "", L9150-B9150)</f>
        <v/>
      </c>
      <c r="O9150">
        <f>IF(L9150="", "Pending", IF(N9150&lt;=30, "Met", "Breached"))</f>
        <v/>
      </c>
    </row>
    <row r="9151">
      <c r="M9151" s="11">
        <f>B9151+30</f>
        <v/>
      </c>
      <c r="N9151">
        <f>IF(L9151="", "", L9151-B9151)</f>
        <v/>
      </c>
      <c r="O9151">
        <f>IF(L9151="", "Pending", IF(N9151&lt;=30, "Met", "Breached"))</f>
        <v/>
      </c>
    </row>
    <row r="9152">
      <c r="M9152" s="11">
        <f>B9152+30</f>
        <v/>
      </c>
      <c r="N9152">
        <f>IF(L9152="", "", L9152-B9152)</f>
        <v/>
      </c>
      <c r="O9152">
        <f>IF(L9152="", "Pending", IF(N9152&lt;=30, "Met", "Breached"))</f>
        <v/>
      </c>
    </row>
    <row r="9153">
      <c r="M9153" s="11">
        <f>B9153+30</f>
        <v/>
      </c>
      <c r="N9153">
        <f>IF(L9153="", "", L9153-B9153)</f>
        <v/>
      </c>
      <c r="O9153">
        <f>IF(L9153="", "Pending", IF(N9153&lt;=30, "Met", "Breached"))</f>
        <v/>
      </c>
    </row>
    <row r="9154">
      <c r="M9154" s="11">
        <f>B9154+30</f>
        <v/>
      </c>
      <c r="N9154">
        <f>IF(L9154="", "", L9154-B9154)</f>
        <v/>
      </c>
      <c r="O9154">
        <f>IF(L9154="", "Pending", IF(N9154&lt;=30, "Met", "Breached"))</f>
        <v/>
      </c>
    </row>
    <row r="9155">
      <c r="M9155" s="11">
        <f>B9155+30</f>
        <v/>
      </c>
      <c r="N9155">
        <f>IF(L9155="", "", L9155-B9155)</f>
        <v/>
      </c>
      <c r="O9155">
        <f>IF(L9155="", "Pending", IF(N9155&lt;=30, "Met", "Breached"))</f>
        <v/>
      </c>
    </row>
    <row r="9156">
      <c r="M9156" s="11">
        <f>B9156+30</f>
        <v/>
      </c>
      <c r="N9156">
        <f>IF(L9156="", "", L9156-B9156)</f>
        <v/>
      </c>
      <c r="O9156">
        <f>IF(L9156="", "Pending", IF(N9156&lt;=30, "Met", "Breached"))</f>
        <v/>
      </c>
    </row>
    <row r="9157">
      <c r="M9157" s="11">
        <f>B9157+30</f>
        <v/>
      </c>
      <c r="N9157">
        <f>IF(L9157="", "", L9157-B9157)</f>
        <v/>
      </c>
      <c r="O9157">
        <f>IF(L9157="", "Pending", IF(N9157&lt;=30, "Met", "Breached"))</f>
        <v/>
      </c>
    </row>
    <row r="9158">
      <c r="M9158" s="11">
        <f>B9158+30</f>
        <v/>
      </c>
      <c r="N9158">
        <f>IF(L9158="", "", L9158-B9158)</f>
        <v/>
      </c>
      <c r="O9158">
        <f>IF(L9158="", "Pending", IF(N9158&lt;=30, "Met", "Breached"))</f>
        <v/>
      </c>
    </row>
    <row r="9159">
      <c r="M9159" s="11">
        <f>B9159+30</f>
        <v/>
      </c>
      <c r="N9159">
        <f>IF(L9159="", "", L9159-B9159)</f>
        <v/>
      </c>
      <c r="O9159">
        <f>IF(L9159="", "Pending", IF(N9159&lt;=30, "Met", "Breached"))</f>
        <v/>
      </c>
    </row>
    <row r="9160">
      <c r="M9160" s="11">
        <f>B9160+30</f>
        <v/>
      </c>
      <c r="N9160">
        <f>IF(L9160="", "", L9160-B9160)</f>
        <v/>
      </c>
      <c r="O9160">
        <f>IF(L9160="", "Pending", IF(N9160&lt;=30, "Met", "Breached"))</f>
        <v/>
      </c>
    </row>
    <row r="9161">
      <c r="M9161" s="11">
        <f>B9161+30</f>
        <v/>
      </c>
      <c r="N9161">
        <f>IF(L9161="", "", L9161-B9161)</f>
        <v/>
      </c>
      <c r="O9161">
        <f>IF(L9161="", "Pending", IF(N9161&lt;=30, "Met", "Breached"))</f>
        <v/>
      </c>
    </row>
    <row r="9162">
      <c r="M9162" s="11">
        <f>B9162+30</f>
        <v/>
      </c>
      <c r="N9162">
        <f>IF(L9162="", "", L9162-B9162)</f>
        <v/>
      </c>
      <c r="O9162">
        <f>IF(L9162="", "Pending", IF(N9162&lt;=30, "Met", "Breached"))</f>
        <v/>
      </c>
    </row>
    <row r="9163">
      <c r="M9163" s="11">
        <f>B9163+30</f>
        <v/>
      </c>
      <c r="N9163">
        <f>IF(L9163="", "", L9163-B9163)</f>
        <v/>
      </c>
      <c r="O9163">
        <f>IF(L9163="", "Pending", IF(N9163&lt;=30, "Met", "Breached"))</f>
        <v/>
      </c>
    </row>
    <row r="9164">
      <c r="M9164" s="11">
        <f>B9164+30</f>
        <v/>
      </c>
      <c r="N9164">
        <f>IF(L9164="", "", L9164-B9164)</f>
        <v/>
      </c>
      <c r="O9164">
        <f>IF(L9164="", "Pending", IF(N9164&lt;=30, "Met", "Breached"))</f>
        <v/>
      </c>
    </row>
    <row r="9165">
      <c r="M9165" s="11">
        <f>B9165+30</f>
        <v/>
      </c>
      <c r="N9165">
        <f>IF(L9165="", "", L9165-B9165)</f>
        <v/>
      </c>
      <c r="O9165">
        <f>IF(L9165="", "Pending", IF(N9165&lt;=30, "Met", "Breached"))</f>
        <v/>
      </c>
    </row>
    <row r="9166">
      <c r="M9166" s="11">
        <f>B9166+30</f>
        <v/>
      </c>
      <c r="N9166">
        <f>IF(L9166="", "", L9166-B9166)</f>
        <v/>
      </c>
      <c r="O9166">
        <f>IF(L9166="", "Pending", IF(N9166&lt;=30, "Met", "Breached"))</f>
        <v/>
      </c>
    </row>
    <row r="9167">
      <c r="M9167" s="11">
        <f>B9167+30</f>
        <v/>
      </c>
      <c r="N9167">
        <f>IF(L9167="", "", L9167-B9167)</f>
        <v/>
      </c>
      <c r="O9167">
        <f>IF(L9167="", "Pending", IF(N9167&lt;=30, "Met", "Breached"))</f>
        <v/>
      </c>
    </row>
    <row r="9168">
      <c r="M9168" s="11">
        <f>B9168+30</f>
        <v/>
      </c>
      <c r="N9168">
        <f>IF(L9168="", "", L9168-B9168)</f>
        <v/>
      </c>
      <c r="O9168">
        <f>IF(L9168="", "Pending", IF(N9168&lt;=30, "Met", "Breached"))</f>
        <v/>
      </c>
    </row>
    <row r="9169">
      <c r="M9169" s="11">
        <f>B9169+30</f>
        <v/>
      </c>
      <c r="N9169">
        <f>IF(L9169="", "", L9169-B9169)</f>
        <v/>
      </c>
      <c r="O9169">
        <f>IF(L9169="", "Pending", IF(N9169&lt;=30, "Met", "Breached"))</f>
        <v/>
      </c>
    </row>
    <row r="9170">
      <c r="M9170" s="11">
        <f>B9170+30</f>
        <v/>
      </c>
      <c r="N9170">
        <f>IF(L9170="", "", L9170-B9170)</f>
        <v/>
      </c>
      <c r="O9170">
        <f>IF(L9170="", "Pending", IF(N9170&lt;=30, "Met", "Breached"))</f>
        <v/>
      </c>
    </row>
    <row r="9171">
      <c r="M9171" s="11">
        <f>B9171+30</f>
        <v/>
      </c>
      <c r="N9171">
        <f>IF(L9171="", "", L9171-B9171)</f>
        <v/>
      </c>
      <c r="O9171">
        <f>IF(L9171="", "Pending", IF(N9171&lt;=30, "Met", "Breached"))</f>
        <v/>
      </c>
    </row>
    <row r="9172">
      <c r="M9172" s="11">
        <f>B9172+30</f>
        <v/>
      </c>
      <c r="N9172">
        <f>IF(L9172="", "", L9172-B9172)</f>
        <v/>
      </c>
      <c r="O9172">
        <f>IF(L9172="", "Pending", IF(N9172&lt;=30, "Met", "Breached"))</f>
        <v/>
      </c>
    </row>
    <row r="9173">
      <c r="M9173" s="11">
        <f>B9173+30</f>
        <v/>
      </c>
      <c r="N9173">
        <f>IF(L9173="", "", L9173-B9173)</f>
        <v/>
      </c>
      <c r="O9173">
        <f>IF(L9173="", "Pending", IF(N9173&lt;=30, "Met", "Breached"))</f>
        <v/>
      </c>
    </row>
    <row r="9174">
      <c r="M9174" s="11">
        <f>B9174+30</f>
        <v/>
      </c>
      <c r="N9174">
        <f>IF(L9174="", "", L9174-B9174)</f>
        <v/>
      </c>
      <c r="O9174">
        <f>IF(L9174="", "Pending", IF(N9174&lt;=30, "Met", "Breached"))</f>
        <v/>
      </c>
    </row>
    <row r="9175">
      <c r="M9175" s="11">
        <f>B9175+30</f>
        <v/>
      </c>
      <c r="N9175">
        <f>IF(L9175="", "", L9175-B9175)</f>
        <v/>
      </c>
      <c r="O9175">
        <f>IF(L9175="", "Pending", IF(N9175&lt;=30, "Met", "Breached"))</f>
        <v/>
      </c>
    </row>
    <row r="9176">
      <c r="M9176" s="11">
        <f>B9176+30</f>
        <v/>
      </c>
      <c r="N9176">
        <f>IF(L9176="", "", L9176-B9176)</f>
        <v/>
      </c>
      <c r="O9176">
        <f>IF(L9176="", "Pending", IF(N9176&lt;=30, "Met", "Breached"))</f>
        <v/>
      </c>
    </row>
    <row r="9177">
      <c r="M9177" s="11">
        <f>B9177+30</f>
        <v/>
      </c>
      <c r="N9177">
        <f>IF(L9177="", "", L9177-B9177)</f>
        <v/>
      </c>
      <c r="O9177">
        <f>IF(L9177="", "Pending", IF(N9177&lt;=30, "Met", "Breached"))</f>
        <v/>
      </c>
    </row>
    <row r="9178">
      <c r="M9178" s="11">
        <f>B9178+30</f>
        <v/>
      </c>
      <c r="N9178">
        <f>IF(L9178="", "", L9178-B9178)</f>
        <v/>
      </c>
      <c r="O9178">
        <f>IF(L9178="", "Pending", IF(N9178&lt;=30, "Met", "Breached"))</f>
        <v/>
      </c>
    </row>
    <row r="9179">
      <c r="M9179" s="11">
        <f>B9179+30</f>
        <v/>
      </c>
      <c r="N9179">
        <f>IF(L9179="", "", L9179-B9179)</f>
        <v/>
      </c>
      <c r="O9179">
        <f>IF(L9179="", "Pending", IF(N9179&lt;=30, "Met", "Breached"))</f>
        <v/>
      </c>
    </row>
    <row r="9180">
      <c r="M9180" s="11">
        <f>B9180+30</f>
        <v/>
      </c>
      <c r="N9180">
        <f>IF(L9180="", "", L9180-B9180)</f>
        <v/>
      </c>
      <c r="O9180">
        <f>IF(L9180="", "Pending", IF(N9180&lt;=30, "Met", "Breached"))</f>
        <v/>
      </c>
    </row>
    <row r="9181">
      <c r="M9181" s="11">
        <f>B9181+30</f>
        <v/>
      </c>
      <c r="N9181">
        <f>IF(L9181="", "", L9181-B9181)</f>
        <v/>
      </c>
      <c r="O9181">
        <f>IF(L9181="", "Pending", IF(N9181&lt;=30, "Met", "Breached"))</f>
        <v/>
      </c>
    </row>
    <row r="9182">
      <c r="M9182" s="11">
        <f>B9182+30</f>
        <v/>
      </c>
      <c r="N9182">
        <f>IF(L9182="", "", L9182-B9182)</f>
        <v/>
      </c>
      <c r="O9182">
        <f>IF(L9182="", "Pending", IF(N9182&lt;=30, "Met", "Breached"))</f>
        <v/>
      </c>
    </row>
    <row r="9183">
      <c r="M9183" s="11">
        <f>B9183+30</f>
        <v/>
      </c>
      <c r="N9183">
        <f>IF(L9183="", "", L9183-B9183)</f>
        <v/>
      </c>
      <c r="O9183">
        <f>IF(L9183="", "Pending", IF(N9183&lt;=30, "Met", "Breached"))</f>
        <v/>
      </c>
    </row>
    <row r="9184">
      <c r="M9184" s="11">
        <f>B9184+30</f>
        <v/>
      </c>
      <c r="N9184">
        <f>IF(L9184="", "", L9184-B9184)</f>
        <v/>
      </c>
      <c r="O9184">
        <f>IF(L9184="", "Pending", IF(N9184&lt;=30, "Met", "Breached"))</f>
        <v/>
      </c>
    </row>
    <row r="9185">
      <c r="M9185" s="11">
        <f>B9185+30</f>
        <v/>
      </c>
      <c r="N9185">
        <f>IF(L9185="", "", L9185-B9185)</f>
        <v/>
      </c>
      <c r="O9185">
        <f>IF(L9185="", "Pending", IF(N9185&lt;=30, "Met", "Breached"))</f>
        <v/>
      </c>
    </row>
    <row r="9186">
      <c r="M9186" s="11">
        <f>B9186+30</f>
        <v/>
      </c>
      <c r="N9186">
        <f>IF(L9186="", "", L9186-B9186)</f>
        <v/>
      </c>
      <c r="O9186">
        <f>IF(L9186="", "Pending", IF(N9186&lt;=30, "Met", "Breached"))</f>
        <v/>
      </c>
    </row>
    <row r="9187">
      <c r="M9187" s="11">
        <f>B9187+30</f>
        <v/>
      </c>
      <c r="N9187">
        <f>IF(L9187="", "", L9187-B9187)</f>
        <v/>
      </c>
      <c r="O9187">
        <f>IF(L9187="", "Pending", IF(N9187&lt;=30, "Met", "Breached"))</f>
        <v/>
      </c>
    </row>
    <row r="9188">
      <c r="M9188" s="11">
        <f>B9188+30</f>
        <v/>
      </c>
      <c r="N9188">
        <f>IF(L9188="", "", L9188-B9188)</f>
        <v/>
      </c>
      <c r="O9188">
        <f>IF(L9188="", "Pending", IF(N9188&lt;=30, "Met", "Breached"))</f>
        <v/>
      </c>
    </row>
    <row r="9189">
      <c r="M9189" s="11">
        <f>B9189+30</f>
        <v/>
      </c>
      <c r="N9189">
        <f>IF(L9189="", "", L9189-B9189)</f>
        <v/>
      </c>
      <c r="O9189">
        <f>IF(L9189="", "Pending", IF(N9189&lt;=30, "Met", "Breached"))</f>
        <v/>
      </c>
    </row>
    <row r="9190">
      <c r="M9190" s="11">
        <f>B9190+30</f>
        <v/>
      </c>
      <c r="N9190">
        <f>IF(L9190="", "", L9190-B9190)</f>
        <v/>
      </c>
      <c r="O9190">
        <f>IF(L9190="", "Pending", IF(N9190&lt;=30, "Met", "Breached"))</f>
        <v/>
      </c>
    </row>
    <row r="9191">
      <c r="M9191" s="11">
        <f>B9191+30</f>
        <v/>
      </c>
      <c r="N9191">
        <f>IF(L9191="", "", L9191-B9191)</f>
        <v/>
      </c>
      <c r="O9191">
        <f>IF(L9191="", "Pending", IF(N9191&lt;=30, "Met", "Breached"))</f>
        <v/>
      </c>
    </row>
    <row r="9192">
      <c r="M9192" s="11">
        <f>B9192+30</f>
        <v/>
      </c>
      <c r="N9192">
        <f>IF(L9192="", "", L9192-B9192)</f>
        <v/>
      </c>
      <c r="O9192">
        <f>IF(L9192="", "Pending", IF(N9192&lt;=30, "Met", "Breached"))</f>
        <v/>
      </c>
    </row>
    <row r="9193">
      <c r="M9193" s="11">
        <f>B9193+30</f>
        <v/>
      </c>
      <c r="N9193">
        <f>IF(L9193="", "", L9193-B9193)</f>
        <v/>
      </c>
      <c r="O9193">
        <f>IF(L9193="", "Pending", IF(N9193&lt;=30, "Met", "Breached"))</f>
        <v/>
      </c>
    </row>
    <row r="9194">
      <c r="M9194" s="11">
        <f>B9194+30</f>
        <v/>
      </c>
      <c r="N9194">
        <f>IF(L9194="", "", L9194-B9194)</f>
        <v/>
      </c>
      <c r="O9194">
        <f>IF(L9194="", "Pending", IF(N9194&lt;=30, "Met", "Breached"))</f>
        <v/>
      </c>
    </row>
    <row r="9195">
      <c r="M9195" s="11">
        <f>B9195+30</f>
        <v/>
      </c>
      <c r="N9195">
        <f>IF(L9195="", "", L9195-B9195)</f>
        <v/>
      </c>
      <c r="O9195">
        <f>IF(L9195="", "Pending", IF(N9195&lt;=30, "Met", "Breached"))</f>
        <v/>
      </c>
    </row>
    <row r="9196">
      <c r="M9196" s="11">
        <f>B9196+30</f>
        <v/>
      </c>
      <c r="N9196">
        <f>IF(L9196="", "", L9196-B9196)</f>
        <v/>
      </c>
      <c r="O9196">
        <f>IF(L9196="", "Pending", IF(N9196&lt;=30, "Met", "Breached"))</f>
        <v/>
      </c>
    </row>
    <row r="9197">
      <c r="M9197" s="11">
        <f>B9197+30</f>
        <v/>
      </c>
      <c r="N9197">
        <f>IF(L9197="", "", L9197-B9197)</f>
        <v/>
      </c>
      <c r="O9197">
        <f>IF(L9197="", "Pending", IF(N9197&lt;=30, "Met", "Breached"))</f>
        <v/>
      </c>
    </row>
    <row r="9198">
      <c r="M9198" s="11">
        <f>B9198+30</f>
        <v/>
      </c>
      <c r="N9198">
        <f>IF(L9198="", "", L9198-B9198)</f>
        <v/>
      </c>
      <c r="O9198">
        <f>IF(L9198="", "Pending", IF(N9198&lt;=30, "Met", "Breached"))</f>
        <v/>
      </c>
    </row>
    <row r="9199">
      <c r="M9199" s="11">
        <f>B9199+30</f>
        <v/>
      </c>
      <c r="N9199">
        <f>IF(L9199="", "", L9199-B9199)</f>
        <v/>
      </c>
      <c r="O9199">
        <f>IF(L9199="", "Pending", IF(N9199&lt;=30, "Met", "Breached"))</f>
        <v/>
      </c>
    </row>
    <row r="9200">
      <c r="M9200" s="11">
        <f>B9200+30</f>
        <v/>
      </c>
      <c r="N9200">
        <f>IF(L9200="", "", L9200-B9200)</f>
        <v/>
      </c>
      <c r="O9200">
        <f>IF(L9200="", "Pending", IF(N9200&lt;=30, "Met", "Breached"))</f>
        <v/>
      </c>
    </row>
    <row r="9201">
      <c r="M9201" s="11">
        <f>B9201+30</f>
        <v/>
      </c>
      <c r="N9201">
        <f>IF(L9201="", "", L9201-B9201)</f>
        <v/>
      </c>
      <c r="O9201">
        <f>IF(L9201="", "Pending", IF(N9201&lt;=30, "Met", "Breached"))</f>
        <v/>
      </c>
    </row>
    <row r="9202">
      <c r="M9202" s="11">
        <f>B9202+30</f>
        <v/>
      </c>
      <c r="N9202">
        <f>IF(L9202="", "", L9202-B9202)</f>
        <v/>
      </c>
      <c r="O9202">
        <f>IF(L9202="", "Pending", IF(N9202&lt;=30, "Met", "Breached"))</f>
        <v/>
      </c>
    </row>
    <row r="9203">
      <c r="M9203" s="11">
        <f>B9203+30</f>
        <v/>
      </c>
      <c r="N9203">
        <f>IF(L9203="", "", L9203-B9203)</f>
        <v/>
      </c>
      <c r="O9203">
        <f>IF(L9203="", "Pending", IF(N9203&lt;=30, "Met", "Breached"))</f>
        <v/>
      </c>
    </row>
    <row r="9204">
      <c r="M9204" s="11">
        <f>B9204+30</f>
        <v/>
      </c>
      <c r="N9204">
        <f>IF(L9204="", "", L9204-B9204)</f>
        <v/>
      </c>
      <c r="O9204">
        <f>IF(L9204="", "Pending", IF(N9204&lt;=30, "Met", "Breached"))</f>
        <v/>
      </c>
    </row>
    <row r="9205">
      <c r="M9205" s="11">
        <f>B9205+30</f>
        <v/>
      </c>
      <c r="N9205">
        <f>IF(L9205="", "", L9205-B9205)</f>
        <v/>
      </c>
      <c r="O9205">
        <f>IF(L9205="", "Pending", IF(N9205&lt;=30, "Met", "Breached"))</f>
        <v/>
      </c>
    </row>
    <row r="9206">
      <c r="M9206" s="11">
        <f>B9206+30</f>
        <v/>
      </c>
      <c r="N9206">
        <f>IF(L9206="", "", L9206-B9206)</f>
        <v/>
      </c>
      <c r="O9206">
        <f>IF(L9206="", "Pending", IF(N9206&lt;=30, "Met", "Breached"))</f>
        <v/>
      </c>
    </row>
    <row r="9207">
      <c r="M9207" s="11">
        <f>B9207+30</f>
        <v/>
      </c>
      <c r="N9207">
        <f>IF(L9207="", "", L9207-B9207)</f>
        <v/>
      </c>
      <c r="O9207">
        <f>IF(L9207="", "Pending", IF(N9207&lt;=30, "Met", "Breached"))</f>
        <v/>
      </c>
    </row>
    <row r="9208">
      <c r="M9208" s="11">
        <f>B9208+30</f>
        <v/>
      </c>
      <c r="N9208">
        <f>IF(L9208="", "", L9208-B9208)</f>
        <v/>
      </c>
      <c r="O9208">
        <f>IF(L9208="", "Pending", IF(N9208&lt;=30, "Met", "Breached"))</f>
        <v/>
      </c>
    </row>
    <row r="9209">
      <c r="M9209" s="11">
        <f>B9209+30</f>
        <v/>
      </c>
      <c r="N9209">
        <f>IF(L9209="", "", L9209-B9209)</f>
        <v/>
      </c>
      <c r="O9209">
        <f>IF(L9209="", "Pending", IF(N9209&lt;=30, "Met", "Breached"))</f>
        <v/>
      </c>
    </row>
    <row r="9210">
      <c r="M9210" s="11">
        <f>B9210+30</f>
        <v/>
      </c>
      <c r="N9210">
        <f>IF(L9210="", "", L9210-B9210)</f>
        <v/>
      </c>
      <c r="O9210">
        <f>IF(L9210="", "Pending", IF(N9210&lt;=30, "Met", "Breached"))</f>
        <v/>
      </c>
    </row>
    <row r="9211">
      <c r="M9211" s="11">
        <f>B9211+30</f>
        <v/>
      </c>
      <c r="N9211">
        <f>IF(L9211="", "", L9211-B9211)</f>
        <v/>
      </c>
      <c r="O9211">
        <f>IF(L9211="", "Pending", IF(N9211&lt;=30, "Met", "Breached"))</f>
        <v/>
      </c>
    </row>
    <row r="9212">
      <c r="M9212" s="11">
        <f>B9212+30</f>
        <v/>
      </c>
      <c r="N9212">
        <f>IF(L9212="", "", L9212-B9212)</f>
        <v/>
      </c>
      <c r="O9212">
        <f>IF(L9212="", "Pending", IF(N9212&lt;=30, "Met", "Breached"))</f>
        <v/>
      </c>
    </row>
    <row r="9213">
      <c r="M9213" s="11">
        <f>B9213+30</f>
        <v/>
      </c>
      <c r="N9213">
        <f>IF(L9213="", "", L9213-B9213)</f>
        <v/>
      </c>
      <c r="O9213">
        <f>IF(L9213="", "Pending", IF(N9213&lt;=30, "Met", "Breached"))</f>
        <v/>
      </c>
    </row>
    <row r="9214">
      <c r="M9214" s="11">
        <f>B9214+30</f>
        <v/>
      </c>
      <c r="N9214">
        <f>IF(L9214="", "", L9214-B9214)</f>
        <v/>
      </c>
      <c r="O9214">
        <f>IF(L9214="", "Pending", IF(N9214&lt;=30, "Met", "Breached"))</f>
        <v/>
      </c>
    </row>
    <row r="9215">
      <c r="M9215" s="11">
        <f>B9215+30</f>
        <v/>
      </c>
      <c r="N9215">
        <f>IF(L9215="", "", L9215-B9215)</f>
        <v/>
      </c>
      <c r="O9215">
        <f>IF(L9215="", "Pending", IF(N9215&lt;=30, "Met", "Breached"))</f>
        <v/>
      </c>
    </row>
    <row r="9216">
      <c r="M9216" s="11">
        <f>B9216+30</f>
        <v/>
      </c>
      <c r="N9216">
        <f>IF(L9216="", "", L9216-B9216)</f>
        <v/>
      </c>
      <c r="O9216">
        <f>IF(L9216="", "Pending", IF(N9216&lt;=30, "Met", "Breached"))</f>
        <v/>
      </c>
    </row>
    <row r="9217">
      <c r="M9217" s="11">
        <f>B9217+30</f>
        <v/>
      </c>
      <c r="N9217">
        <f>IF(L9217="", "", L9217-B9217)</f>
        <v/>
      </c>
      <c r="O9217">
        <f>IF(L9217="", "Pending", IF(N9217&lt;=30, "Met", "Breached"))</f>
        <v/>
      </c>
    </row>
    <row r="9218">
      <c r="M9218" s="11">
        <f>B9218+30</f>
        <v/>
      </c>
      <c r="N9218">
        <f>IF(L9218="", "", L9218-B9218)</f>
        <v/>
      </c>
      <c r="O9218">
        <f>IF(L9218="", "Pending", IF(N9218&lt;=30, "Met", "Breached"))</f>
        <v/>
      </c>
    </row>
    <row r="9219">
      <c r="M9219" s="11">
        <f>B9219+30</f>
        <v/>
      </c>
      <c r="N9219">
        <f>IF(L9219="", "", L9219-B9219)</f>
        <v/>
      </c>
      <c r="O9219">
        <f>IF(L9219="", "Pending", IF(N9219&lt;=30, "Met", "Breached"))</f>
        <v/>
      </c>
    </row>
    <row r="9220">
      <c r="M9220" s="11">
        <f>B9220+30</f>
        <v/>
      </c>
      <c r="N9220">
        <f>IF(L9220="", "", L9220-B9220)</f>
        <v/>
      </c>
      <c r="O9220">
        <f>IF(L9220="", "Pending", IF(N9220&lt;=30, "Met", "Breached"))</f>
        <v/>
      </c>
    </row>
    <row r="9221">
      <c r="M9221" s="11">
        <f>B9221+30</f>
        <v/>
      </c>
      <c r="N9221">
        <f>IF(L9221="", "", L9221-B9221)</f>
        <v/>
      </c>
      <c r="O9221">
        <f>IF(L9221="", "Pending", IF(N9221&lt;=30, "Met", "Breached"))</f>
        <v/>
      </c>
    </row>
    <row r="9222">
      <c r="M9222" s="11">
        <f>B9222+30</f>
        <v/>
      </c>
      <c r="N9222">
        <f>IF(L9222="", "", L9222-B9222)</f>
        <v/>
      </c>
      <c r="O9222">
        <f>IF(L9222="", "Pending", IF(N9222&lt;=30, "Met", "Breached"))</f>
        <v/>
      </c>
    </row>
    <row r="9223">
      <c r="M9223" s="11">
        <f>B9223+30</f>
        <v/>
      </c>
      <c r="N9223">
        <f>IF(L9223="", "", L9223-B9223)</f>
        <v/>
      </c>
      <c r="O9223">
        <f>IF(L9223="", "Pending", IF(N9223&lt;=30, "Met", "Breached"))</f>
        <v/>
      </c>
    </row>
    <row r="9224">
      <c r="M9224" s="11">
        <f>B9224+30</f>
        <v/>
      </c>
      <c r="N9224">
        <f>IF(L9224="", "", L9224-B9224)</f>
        <v/>
      </c>
      <c r="O9224">
        <f>IF(L9224="", "Pending", IF(N9224&lt;=30, "Met", "Breached"))</f>
        <v/>
      </c>
    </row>
    <row r="9225">
      <c r="M9225" s="11">
        <f>B9225+30</f>
        <v/>
      </c>
      <c r="N9225">
        <f>IF(L9225="", "", L9225-B9225)</f>
        <v/>
      </c>
      <c r="O9225">
        <f>IF(L9225="", "Pending", IF(N9225&lt;=30, "Met", "Breached"))</f>
        <v/>
      </c>
    </row>
    <row r="9226">
      <c r="M9226" s="11">
        <f>B9226+30</f>
        <v/>
      </c>
      <c r="N9226">
        <f>IF(L9226="", "", L9226-B9226)</f>
        <v/>
      </c>
      <c r="O9226">
        <f>IF(L9226="", "Pending", IF(N9226&lt;=30, "Met", "Breached"))</f>
        <v/>
      </c>
    </row>
    <row r="9227">
      <c r="M9227" s="11">
        <f>B9227+30</f>
        <v/>
      </c>
      <c r="N9227">
        <f>IF(L9227="", "", L9227-B9227)</f>
        <v/>
      </c>
      <c r="O9227">
        <f>IF(L9227="", "Pending", IF(N9227&lt;=30, "Met", "Breached"))</f>
        <v/>
      </c>
    </row>
    <row r="9228">
      <c r="M9228" s="11">
        <f>B9228+30</f>
        <v/>
      </c>
      <c r="N9228">
        <f>IF(L9228="", "", L9228-B9228)</f>
        <v/>
      </c>
      <c r="O9228">
        <f>IF(L9228="", "Pending", IF(N9228&lt;=30, "Met", "Breached"))</f>
        <v/>
      </c>
    </row>
    <row r="9229">
      <c r="M9229" s="11">
        <f>B9229+30</f>
        <v/>
      </c>
      <c r="N9229">
        <f>IF(L9229="", "", L9229-B9229)</f>
        <v/>
      </c>
      <c r="O9229">
        <f>IF(L9229="", "Pending", IF(N9229&lt;=30, "Met", "Breached"))</f>
        <v/>
      </c>
    </row>
    <row r="9230">
      <c r="M9230" s="11">
        <f>B9230+30</f>
        <v/>
      </c>
      <c r="N9230">
        <f>IF(L9230="", "", L9230-B9230)</f>
        <v/>
      </c>
      <c r="O9230">
        <f>IF(L9230="", "Pending", IF(N9230&lt;=30, "Met", "Breached"))</f>
        <v/>
      </c>
    </row>
    <row r="9231">
      <c r="M9231" s="11">
        <f>B9231+30</f>
        <v/>
      </c>
      <c r="N9231">
        <f>IF(L9231="", "", L9231-B9231)</f>
        <v/>
      </c>
      <c r="O9231">
        <f>IF(L9231="", "Pending", IF(N9231&lt;=30, "Met", "Breached"))</f>
        <v/>
      </c>
    </row>
    <row r="9232">
      <c r="M9232" s="11">
        <f>B9232+30</f>
        <v/>
      </c>
      <c r="N9232">
        <f>IF(L9232="", "", L9232-B9232)</f>
        <v/>
      </c>
      <c r="O9232">
        <f>IF(L9232="", "Pending", IF(N9232&lt;=30, "Met", "Breached"))</f>
        <v/>
      </c>
    </row>
    <row r="9233">
      <c r="M9233" s="11">
        <f>B9233+30</f>
        <v/>
      </c>
      <c r="N9233">
        <f>IF(L9233="", "", L9233-B9233)</f>
        <v/>
      </c>
      <c r="O9233">
        <f>IF(L9233="", "Pending", IF(N9233&lt;=30, "Met", "Breached"))</f>
        <v/>
      </c>
    </row>
    <row r="9234">
      <c r="M9234" s="11">
        <f>B9234+30</f>
        <v/>
      </c>
      <c r="N9234">
        <f>IF(L9234="", "", L9234-B9234)</f>
        <v/>
      </c>
      <c r="O9234">
        <f>IF(L9234="", "Pending", IF(N9234&lt;=30, "Met", "Breached"))</f>
        <v/>
      </c>
    </row>
    <row r="9235">
      <c r="M9235" s="11">
        <f>B9235+30</f>
        <v/>
      </c>
      <c r="N9235">
        <f>IF(L9235="", "", L9235-B9235)</f>
        <v/>
      </c>
      <c r="O9235">
        <f>IF(L9235="", "Pending", IF(N9235&lt;=30, "Met", "Breached"))</f>
        <v/>
      </c>
    </row>
    <row r="9236">
      <c r="M9236" s="11">
        <f>B9236+30</f>
        <v/>
      </c>
      <c r="N9236">
        <f>IF(L9236="", "", L9236-B9236)</f>
        <v/>
      </c>
      <c r="O9236">
        <f>IF(L9236="", "Pending", IF(N9236&lt;=30, "Met", "Breached"))</f>
        <v/>
      </c>
    </row>
    <row r="9237">
      <c r="M9237" s="11">
        <f>B9237+30</f>
        <v/>
      </c>
      <c r="N9237">
        <f>IF(L9237="", "", L9237-B9237)</f>
        <v/>
      </c>
      <c r="O9237">
        <f>IF(L9237="", "Pending", IF(N9237&lt;=30, "Met", "Breached"))</f>
        <v/>
      </c>
    </row>
    <row r="9238">
      <c r="M9238" s="11">
        <f>B9238+30</f>
        <v/>
      </c>
      <c r="N9238">
        <f>IF(L9238="", "", L9238-B9238)</f>
        <v/>
      </c>
      <c r="O9238">
        <f>IF(L9238="", "Pending", IF(N9238&lt;=30, "Met", "Breached"))</f>
        <v/>
      </c>
    </row>
    <row r="9239">
      <c r="M9239" s="11">
        <f>B9239+30</f>
        <v/>
      </c>
      <c r="N9239">
        <f>IF(L9239="", "", L9239-B9239)</f>
        <v/>
      </c>
      <c r="O9239">
        <f>IF(L9239="", "Pending", IF(N9239&lt;=30, "Met", "Breached"))</f>
        <v/>
      </c>
    </row>
    <row r="9240">
      <c r="M9240" s="11">
        <f>B9240+30</f>
        <v/>
      </c>
      <c r="N9240">
        <f>IF(L9240="", "", L9240-B9240)</f>
        <v/>
      </c>
      <c r="O9240">
        <f>IF(L9240="", "Pending", IF(N9240&lt;=30, "Met", "Breached"))</f>
        <v/>
      </c>
    </row>
    <row r="9241">
      <c r="M9241" s="11">
        <f>B9241+30</f>
        <v/>
      </c>
      <c r="N9241">
        <f>IF(L9241="", "", L9241-B9241)</f>
        <v/>
      </c>
      <c r="O9241">
        <f>IF(L9241="", "Pending", IF(N9241&lt;=30, "Met", "Breached"))</f>
        <v/>
      </c>
    </row>
    <row r="9242">
      <c r="M9242" s="11">
        <f>B9242+30</f>
        <v/>
      </c>
      <c r="N9242">
        <f>IF(L9242="", "", L9242-B9242)</f>
        <v/>
      </c>
      <c r="O9242">
        <f>IF(L9242="", "Pending", IF(N9242&lt;=30, "Met", "Breached"))</f>
        <v/>
      </c>
    </row>
    <row r="9243">
      <c r="M9243" s="11">
        <f>B9243+30</f>
        <v/>
      </c>
      <c r="N9243">
        <f>IF(L9243="", "", L9243-B9243)</f>
        <v/>
      </c>
      <c r="O9243">
        <f>IF(L9243="", "Pending", IF(N9243&lt;=30, "Met", "Breached"))</f>
        <v/>
      </c>
    </row>
    <row r="9244">
      <c r="M9244" s="11">
        <f>B9244+30</f>
        <v/>
      </c>
      <c r="N9244">
        <f>IF(L9244="", "", L9244-B9244)</f>
        <v/>
      </c>
      <c r="O9244">
        <f>IF(L9244="", "Pending", IF(N9244&lt;=30, "Met", "Breached"))</f>
        <v/>
      </c>
    </row>
    <row r="9245">
      <c r="M9245" s="11">
        <f>B9245+30</f>
        <v/>
      </c>
      <c r="N9245">
        <f>IF(L9245="", "", L9245-B9245)</f>
        <v/>
      </c>
      <c r="O9245">
        <f>IF(L9245="", "Pending", IF(N9245&lt;=30, "Met", "Breached"))</f>
        <v/>
      </c>
    </row>
    <row r="9246">
      <c r="M9246" s="11">
        <f>B9246+30</f>
        <v/>
      </c>
      <c r="N9246">
        <f>IF(L9246="", "", L9246-B9246)</f>
        <v/>
      </c>
      <c r="O9246">
        <f>IF(L9246="", "Pending", IF(N9246&lt;=30, "Met", "Breached"))</f>
        <v/>
      </c>
    </row>
    <row r="9247">
      <c r="M9247" s="11">
        <f>B9247+30</f>
        <v/>
      </c>
      <c r="N9247">
        <f>IF(L9247="", "", L9247-B9247)</f>
        <v/>
      </c>
      <c r="O9247">
        <f>IF(L9247="", "Pending", IF(N9247&lt;=30, "Met", "Breached"))</f>
        <v/>
      </c>
    </row>
    <row r="9248">
      <c r="M9248" s="11">
        <f>B9248+30</f>
        <v/>
      </c>
      <c r="N9248">
        <f>IF(L9248="", "", L9248-B9248)</f>
        <v/>
      </c>
      <c r="O9248">
        <f>IF(L9248="", "Pending", IF(N9248&lt;=30, "Met", "Breached"))</f>
        <v/>
      </c>
    </row>
    <row r="9249">
      <c r="M9249" s="11">
        <f>B9249+30</f>
        <v/>
      </c>
      <c r="N9249">
        <f>IF(L9249="", "", L9249-B9249)</f>
        <v/>
      </c>
      <c r="O9249">
        <f>IF(L9249="", "Pending", IF(N9249&lt;=30, "Met", "Breached"))</f>
        <v/>
      </c>
    </row>
    <row r="9250">
      <c r="M9250" s="11">
        <f>B9250+30</f>
        <v/>
      </c>
      <c r="N9250">
        <f>IF(L9250="", "", L9250-B9250)</f>
        <v/>
      </c>
      <c r="O9250">
        <f>IF(L9250="", "Pending", IF(N9250&lt;=30, "Met", "Breached"))</f>
        <v/>
      </c>
    </row>
    <row r="9251">
      <c r="M9251" s="11">
        <f>B9251+30</f>
        <v/>
      </c>
      <c r="N9251">
        <f>IF(L9251="", "", L9251-B9251)</f>
        <v/>
      </c>
      <c r="O9251">
        <f>IF(L9251="", "Pending", IF(N9251&lt;=30, "Met", "Breached"))</f>
        <v/>
      </c>
    </row>
    <row r="9252">
      <c r="M9252" s="11">
        <f>B9252+30</f>
        <v/>
      </c>
      <c r="N9252">
        <f>IF(L9252="", "", L9252-B9252)</f>
        <v/>
      </c>
      <c r="O9252">
        <f>IF(L9252="", "Pending", IF(N9252&lt;=30, "Met", "Breached"))</f>
        <v/>
      </c>
    </row>
    <row r="9253">
      <c r="M9253" s="11">
        <f>B9253+30</f>
        <v/>
      </c>
      <c r="N9253">
        <f>IF(L9253="", "", L9253-B9253)</f>
        <v/>
      </c>
      <c r="O9253">
        <f>IF(L9253="", "Pending", IF(N9253&lt;=30, "Met", "Breached"))</f>
        <v/>
      </c>
    </row>
    <row r="9254">
      <c r="M9254" s="11">
        <f>B9254+30</f>
        <v/>
      </c>
      <c r="N9254">
        <f>IF(L9254="", "", L9254-B9254)</f>
        <v/>
      </c>
      <c r="O9254">
        <f>IF(L9254="", "Pending", IF(N9254&lt;=30, "Met", "Breached"))</f>
        <v/>
      </c>
    </row>
    <row r="9255">
      <c r="M9255" s="11">
        <f>B9255+30</f>
        <v/>
      </c>
      <c r="N9255">
        <f>IF(L9255="", "", L9255-B9255)</f>
        <v/>
      </c>
      <c r="O9255">
        <f>IF(L9255="", "Pending", IF(N9255&lt;=30, "Met", "Breached"))</f>
        <v/>
      </c>
    </row>
    <row r="9256">
      <c r="M9256" s="11">
        <f>B9256+30</f>
        <v/>
      </c>
      <c r="N9256">
        <f>IF(L9256="", "", L9256-B9256)</f>
        <v/>
      </c>
      <c r="O9256">
        <f>IF(L9256="", "Pending", IF(N9256&lt;=30, "Met", "Breached"))</f>
        <v/>
      </c>
    </row>
    <row r="9257">
      <c r="M9257" s="11">
        <f>B9257+30</f>
        <v/>
      </c>
      <c r="N9257">
        <f>IF(L9257="", "", L9257-B9257)</f>
        <v/>
      </c>
      <c r="O9257">
        <f>IF(L9257="", "Pending", IF(N9257&lt;=30, "Met", "Breached"))</f>
        <v/>
      </c>
    </row>
    <row r="9258">
      <c r="M9258" s="11">
        <f>B9258+30</f>
        <v/>
      </c>
      <c r="N9258">
        <f>IF(L9258="", "", L9258-B9258)</f>
        <v/>
      </c>
      <c r="O9258">
        <f>IF(L9258="", "Pending", IF(N9258&lt;=30, "Met", "Breached"))</f>
        <v/>
      </c>
    </row>
    <row r="9259">
      <c r="M9259" s="11">
        <f>B9259+30</f>
        <v/>
      </c>
      <c r="N9259">
        <f>IF(L9259="", "", L9259-B9259)</f>
        <v/>
      </c>
      <c r="O9259">
        <f>IF(L9259="", "Pending", IF(N9259&lt;=30, "Met", "Breached"))</f>
        <v/>
      </c>
    </row>
    <row r="9260">
      <c r="M9260" s="11">
        <f>B9260+30</f>
        <v/>
      </c>
      <c r="N9260">
        <f>IF(L9260="", "", L9260-B9260)</f>
        <v/>
      </c>
      <c r="O9260">
        <f>IF(L9260="", "Pending", IF(N9260&lt;=30, "Met", "Breached"))</f>
        <v/>
      </c>
    </row>
    <row r="9261">
      <c r="M9261" s="11">
        <f>B9261+30</f>
        <v/>
      </c>
      <c r="N9261">
        <f>IF(L9261="", "", L9261-B9261)</f>
        <v/>
      </c>
      <c r="O9261">
        <f>IF(L9261="", "Pending", IF(N9261&lt;=30, "Met", "Breached"))</f>
        <v/>
      </c>
    </row>
    <row r="9262">
      <c r="M9262" s="11">
        <f>B9262+30</f>
        <v/>
      </c>
      <c r="N9262">
        <f>IF(L9262="", "", L9262-B9262)</f>
        <v/>
      </c>
      <c r="O9262">
        <f>IF(L9262="", "Pending", IF(N9262&lt;=30, "Met", "Breached"))</f>
        <v/>
      </c>
    </row>
    <row r="9263">
      <c r="M9263" s="11">
        <f>B9263+30</f>
        <v/>
      </c>
      <c r="N9263">
        <f>IF(L9263="", "", L9263-B9263)</f>
        <v/>
      </c>
      <c r="O9263">
        <f>IF(L9263="", "Pending", IF(N9263&lt;=30, "Met", "Breached"))</f>
        <v/>
      </c>
    </row>
    <row r="9264">
      <c r="M9264" s="11">
        <f>B9264+30</f>
        <v/>
      </c>
      <c r="N9264">
        <f>IF(L9264="", "", L9264-B9264)</f>
        <v/>
      </c>
      <c r="O9264">
        <f>IF(L9264="", "Pending", IF(N9264&lt;=30, "Met", "Breached"))</f>
        <v/>
      </c>
    </row>
    <row r="9265">
      <c r="M9265" s="11">
        <f>B9265+30</f>
        <v/>
      </c>
      <c r="N9265">
        <f>IF(L9265="", "", L9265-B9265)</f>
        <v/>
      </c>
      <c r="O9265">
        <f>IF(L9265="", "Pending", IF(N9265&lt;=30, "Met", "Breached"))</f>
        <v/>
      </c>
    </row>
    <row r="9266">
      <c r="M9266" s="11">
        <f>B9266+30</f>
        <v/>
      </c>
      <c r="N9266">
        <f>IF(L9266="", "", L9266-B9266)</f>
        <v/>
      </c>
      <c r="O9266">
        <f>IF(L9266="", "Pending", IF(N9266&lt;=30, "Met", "Breached"))</f>
        <v/>
      </c>
    </row>
    <row r="9267">
      <c r="M9267" s="11">
        <f>B9267+30</f>
        <v/>
      </c>
      <c r="N9267">
        <f>IF(L9267="", "", L9267-B9267)</f>
        <v/>
      </c>
      <c r="O9267">
        <f>IF(L9267="", "Pending", IF(N9267&lt;=30, "Met", "Breached"))</f>
        <v/>
      </c>
    </row>
    <row r="9268">
      <c r="M9268" s="11">
        <f>B9268+30</f>
        <v/>
      </c>
      <c r="N9268">
        <f>IF(L9268="", "", L9268-B9268)</f>
        <v/>
      </c>
      <c r="O9268">
        <f>IF(L9268="", "Pending", IF(N9268&lt;=30, "Met", "Breached"))</f>
        <v/>
      </c>
    </row>
    <row r="9269">
      <c r="M9269" s="11">
        <f>B9269+30</f>
        <v/>
      </c>
      <c r="N9269">
        <f>IF(L9269="", "", L9269-B9269)</f>
        <v/>
      </c>
      <c r="O9269">
        <f>IF(L9269="", "Pending", IF(N9269&lt;=30, "Met", "Breached"))</f>
        <v/>
      </c>
    </row>
    <row r="9270">
      <c r="M9270" s="11">
        <f>B9270+30</f>
        <v/>
      </c>
      <c r="N9270">
        <f>IF(L9270="", "", L9270-B9270)</f>
        <v/>
      </c>
      <c r="O9270">
        <f>IF(L9270="", "Pending", IF(N9270&lt;=30, "Met", "Breached"))</f>
        <v/>
      </c>
    </row>
    <row r="9271">
      <c r="M9271" s="11">
        <f>B9271+30</f>
        <v/>
      </c>
      <c r="N9271">
        <f>IF(L9271="", "", L9271-B9271)</f>
        <v/>
      </c>
      <c r="O9271">
        <f>IF(L9271="", "Pending", IF(N9271&lt;=30, "Met", "Breached"))</f>
        <v/>
      </c>
    </row>
    <row r="9272">
      <c r="M9272" s="11">
        <f>B9272+30</f>
        <v/>
      </c>
      <c r="N9272">
        <f>IF(L9272="", "", L9272-B9272)</f>
        <v/>
      </c>
      <c r="O9272">
        <f>IF(L9272="", "Pending", IF(N9272&lt;=30, "Met", "Breached"))</f>
        <v/>
      </c>
    </row>
    <row r="9273">
      <c r="M9273" s="11">
        <f>B9273+30</f>
        <v/>
      </c>
      <c r="N9273">
        <f>IF(L9273="", "", L9273-B9273)</f>
        <v/>
      </c>
      <c r="O9273">
        <f>IF(L9273="", "Pending", IF(N9273&lt;=30, "Met", "Breached"))</f>
        <v/>
      </c>
    </row>
    <row r="9274">
      <c r="M9274" s="11">
        <f>B9274+30</f>
        <v/>
      </c>
      <c r="N9274">
        <f>IF(L9274="", "", L9274-B9274)</f>
        <v/>
      </c>
      <c r="O9274">
        <f>IF(L9274="", "Pending", IF(N9274&lt;=30, "Met", "Breached"))</f>
        <v/>
      </c>
    </row>
    <row r="9275">
      <c r="M9275" s="11">
        <f>B9275+30</f>
        <v/>
      </c>
      <c r="N9275">
        <f>IF(L9275="", "", L9275-B9275)</f>
        <v/>
      </c>
      <c r="O9275">
        <f>IF(L9275="", "Pending", IF(N9275&lt;=30, "Met", "Breached"))</f>
        <v/>
      </c>
    </row>
    <row r="9276">
      <c r="M9276" s="11">
        <f>B9276+30</f>
        <v/>
      </c>
      <c r="N9276">
        <f>IF(L9276="", "", L9276-B9276)</f>
        <v/>
      </c>
      <c r="O9276">
        <f>IF(L9276="", "Pending", IF(N9276&lt;=30, "Met", "Breached"))</f>
        <v/>
      </c>
    </row>
    <row r="9277">
      <c r="M9277" s="11">
        <f>B9277+30</f>
        <v/>
      </c>
      <c r="N9277">
        <f>IF(L9277="", "", L9277-B9277)</f>
        <v/>
      </c>
      <c r="O9277">
        <f>IF(L9277="", "Pending", IF(N9277&lt;=30, "Met", "Breached"))</f>
        <v/>
      </c>
    </row>
    <row r="9278">
      <c r="M9278" s="11">
        <f>B9278+30</f>
        <v/>
      </c>
      <c r="N9278">
        <f>IF(L9278="", "", L9278-B9278)</f>
        <v/>
      </c>
      <c r="O9278">
        <f>IF(L9278="", "Pending", IF(N9278&lt;=30, "Met", "Breached"))</f>
        <v/>
      </c>
    </row>
    <row r="9279">
      <c r="M9279" s="11">
        <f>B9279+30</f>
        <v/>
      </c>
      <c r="N9279">
        <f>IF(L9279="", "", L9279-B9279)</f>
        <v/>
      </c>
      <c r="O9279">
        <f>IF(L9279="", "Pending", IF(N9279&lt;=30, "Met", "Breached"))</f>
        <v/>
      </c>
    </row>
    <row r="9280">
      <c r="M9280" s="11">
        <f>B9280+30</f>
        <v/>
      </c>
      <c r="N9280">
        <f>IF(L9280="", "", L9280-B9280)</f>
        <v/>
      </c>
      <c r="O9280">
        <f>IF(L9280="", "Pending", IF(N9280&lt;=30, "Met", "Breached"))</f>
        <v/>
      </c>
    </row>
    <row r="9281">
      <c r="M9281" s="11">
        <f>B9281+30</f>
        <v/>
      </c>
      <c r="N9281">
        <f>IF(L9281="", "", L9281-B9281)</f>
        <v/>
      </c>
      <c r="O9281">
        <f>IF(L9281="", "Pending", IF(N9281&lt;=30, "Met", "Breached"))</f>
        <v/>
      </c>
    </row>
    <row r="9282">
      <c r="M9282" s="11">
        <f>B9282+30</f>
        <v/>
      </c>
      <c r="N9282">
        <f>IF(L9282="", "", L9282-B9282)</f>
        <v/>
      </c>
      <c r="O9282">
        <f>IF(L9282="", "Pending", IF(N9282&lt;=30, "Met", "Breached"))</f>
        <v/>
      </c>
    </row>
    <row r="9283">
      <c r="M9283" s="11">
        <f>B9283+30</f>
        <v/>
      </c>
      <c r="N9283">
        <f>IF(L9283="", "", L9283-B9283)</f>
        <v/>
      </c>
      <c r="O9283">
        <f>IF(L9283="", "Pending", IF(N9283&lt;=30, "Met", "Breached"))</f>
        <v/>
      </c>
    </row>
    <row r="9284">
      <c r="M9284" s="11">
        <f>B9284+30</f>
        <v/>
      </c>
      <c r="N9284">
        <f>IF(L9284="", "", L9284-B9284)</f>
        <v/>
      </c>
      <c r="O9284">
        <f>IF(L9284="", "Pending", IF(N9284&lt;=30, "Met", "Breached"))</f>
        <v/>
      </c>
    </row>
    <row r="9285">
      <c r="M9285" s="11">
        <f>B9285+30</f>
        <v/>
      </c>
      <c r="N9285">
        <f>IF(L9285="", "", L9285-B9285)</f>
        <v/>
      </c>
      <c r="O9285">
        <f>IF(L9285="", "Pending", IF(N9285&lt;=30, "Met", "Breached"))</f>
        <v/>
      </c>
    </row>
    <row r="9286">
      <c r="M9286" s="11">
        <f>B9286+30</f>
        <v/>
      </c>
      <c r="N9286">
        <f>IF(L9286="", "", L9286-B9286)</f>
        <v/>
      </c>
      <c r="O9286">
        <f>IF(L9286="", "Pending", IF(N9286&lt;=30, "Met", "Breached"))</f>
        <v/>
      </c>
    </row>
    <row r="9287">
      <c r="M9287" s="11">
        <f>B9287+30</f>
        <v/>
      </c>
      <c r="N9287">
        <f>IF(L9287="", "", L9287-B9287)</f>
        <v/>
      </c>
      <c r="O9287">
        <f>IF(L9287="", "Pending", IF(N9287&lt;=30, "Met", "Breached"))</f>
        <v/>
      </c>
    </row>
    <row r="9288">
      <c r="M9288" s="11">
        <f>B9288+30</f>
        <v/>
      </c>
      <c r="N9288">
        <f>IF(L9288="", "", L9288-B9288)</f>
        <v/>
      </c>
      <c r="O9288">
        <f>IF(L9288="", "Pending", IF(N9288&lt;=30, "Met", "Breached"))</f>
        <v/>
      </c>
    </row>
    <row r="9289">
      <c r="M9289" s="11">
        <f>B9289+30</f>
        <v/>
      </c>
      <c r="N9289">
        <f>IF(L9289="", "", L9289-B9289)</f>
        <v/>
      </c>
      <c r="O9289">
        <f>IF(L9289="", "Pending", IF(N9289&lt;=30, "Met", "Breached"))</f>
        <v/>
      </c>
    </row>
    <row r="9290">
      <c r="M9290" s="11">
        <f>B9290+30</f>
        <v/>
      </c>
      <c r="N9290">
        <f>IF(L9290="", "", L9290-B9290)</f>
        <v/>
      </c>
      <c r="O9290">
        <f>IF(L9290="", "Pending", IF(N9290&lt;=30, "Met", "Breached"))</f>
        <v/>
      </c>
    </row>
    <row r="9291">
      <c r="M9291" s="11">
        <f>B9291+30</f>
        <v/>
      </c>
      <c r="N9291">
        <f>IF(L9291="", "", L9291-B9291)</f>
        <v/>
      </c>
      <c r="O9291">
        <f>IF(L9291="", "Pending", IF(N9291&lt;=30, "Met", "Breached"))</f>
        <v/>
      </c>
    </row>
    <row r="9292">
      <c r="M9292" s="11">
        <f>B9292+30</f>
        <v/>
      </c>
      <c r="N9292">
        <f>IF(L9292="", "", L9292-B9292)</f>
        <v/>
      </c>
      <c r="O9292">
        <f>IF(L9292="", "Pending", IF(N9292&lt;=30, "Met", "Breached"))</f>
        <v/>
      </c>
    </row>
    <row r="9293">
      <c r="M9293" s="11">
        <f>B9293+30</f>
        <v/>
      </c>
      <c r="N9293">
        <f>IF(L9293="", "", L9293-B9293)</f>
        <v/>
      </c>
      <c r="O9293">
        <f>IF(L9293="", "Pending", IF(N9293&lt;=30, "Met", "Breached"))</f>
        <v/>
      </c>
    </row>
    <row r="9294">
      <c r="M9294" s="11">
        <f>B9294+30</f>
        <v/>
      </c>
      <c r="N9294">
        <f>IF(L9294="", "", L9294-B9294)</f>
        <v/>
      </c>
      <c r="O9294">
        <f>IF(L9294="", "Pending", IF(N9294&lt;=30, "Met", "Breached"))</f>
        <v/>
      </c>
    </row>
    <row r="9295">
      <c r="M9295" s="11">
        <f>B9295+30</f>
        <v/>
      </c>
      <c r="N9295">
        <f>IF(L9295="", "", L9295-B9295)</f>
        <v/>
      </c>
      <c r="O9295">
        <f>IF(L9295="", "Pending", IF(N9295&lt;=30, "Met", "Breached"))</f>
        <v/>
      </c>
    </row>
    <row r="9296">
      <c r="M9296" s="11">
        <f>B9296+30</f>
        <v/>
      </c>
      <c r="N9296">
        <f>IF(L9296="", "", L9296-B9296)</f>
        <v/>
      </c>
      <c r="O9296">
        <f>IF(L9296="", "Pending", IF(N9296&lt;=30, "Met", "Breached"))</f>
        <v/>
      </c>
    </row>
    <row r="9297">
      <c r="M9297" s="11">
        <f>B9297+30</f>
        <v/>
      </c>
      <c r="N9297">
        <f>IF(L9297="", "", L9297-B9297)</f>
        <v/>
      </c>
      <c r="O9297">
        <f>IF(L9297="", "Pending", IF(N9297&lt;=30, "Met", "Breached"))</f>
        <v/>
      </c>
    </row>
    <row r="9298">
      <c r="M9298" s="11">
        <f>B9298+30</f>
        <v/>
      </c>
      <c r="N9298">
        <f>IF(L9298="", "", L9298-B9298)</f>
        <v/>
      </c>
      <c r="O9298">
        <f>IF(L9298="", "Pending", IF(N9298&lt;=30, "Met", "Breached"))</f>
        <v/>
      </c>
    </row>
    <row r="9299">
      <c r="M9299" s="11">
        <f>B9299+30</f>
        <v/>
      </c>
      <c r="N9299">
        <f>IF(L9299="", "", L9299-B9299)</f>
        <v/>
      </c>
      <c r="O9299">
        <f>IF(L9299="", "Pending", IF(N9299&lt;=30, "Met", "Breached"))</f>
        <v/>
      </c>
    </row>
    <row r="9300">
      <c r="M9300" s="11">
        <f>B9300+30</f>
        <v/>
      </c>
      <c r="N9300">
        <f>IF(L9300="", "", L9300-B9300)</f>
        <v/>
      </c>
      <c r="O9300">
        <f>IF(L9300="", "Pending", IF(N9300&lt;=30, "Met", "Breached"))</f>
        <v/>
      </c>
    </row>
    <row r="9301">
      <c r="M9301" s="11">
        <f>B9301+30</f>
        <v/>
      </c>
      <c r="N9301">
        <f>IF(L9301="", "", L9301-B9301)</f>
        <v/>
      </c>
      <c r="O9301">
        <f>IF(L9301="", "Pending", IF(N9301&lt;=30, "Met", "Breached"))</f>
        <v/>
      </c>
    </row>
    <row r="9302">
      <c r="M9302" s="11">
        <f>B9302+30</f>
        <v/>
      </c>
      <c r="N9302">
        <f>IF(L9302="", "", L9302-B9302)</f>
        <v/>
      </c>
      <c r="O9302">
        <f>IF(L9302="", "Pending", IF(N9302&lt;=30, "Met", "Breached"))</f>
        <v/>
      </c>
    </row>
    <row r="9303">
      <c r="M9303" s="11">
        <f>B9303+30</f>
        <v/>
      </c>
      <c r="N9303">
        <f>IF(L9303="", "", L9303-B9303)</f>
        <v/>
      </c>
      <c r="O9303">
        <f>IF(L9303="", "Pending", IF(N9303&lt;=30, "Met", "Breached"))</f>
        <v/>
      </c>
    </row>
    <row r="9304">
      <c r="M9304" s="11">
        <f>B9304+30</f>
        <v/>
      </c>
      <c r="N9304">
        <f>IF(L9304="", "", L9304-B9304)</f>
        <v/>
      </c>
      <c r="O9304">
        <f>IF(L9304="", "Pending", IF(N9304&lt;=30, "Met", "Breached"))</f>
        <v/>
      </c>
    </row>
    <row r="9305">
      <c r="M9305" s="11">
        <f>B9305+30</f>
        <v/>
      </c>
      <c r="N9305">
        <f>IF(L9305="", "", L9305-B9305)</f>
        <v/>
      </c>
      <c r="O9305">
        <f>IF(L9305="", "Pending", IF(N9305&lt;=30, "Met", "Breached"))</f>
        <v/>
      </c>
    </row>
    <row r="9306">
      <c r="M9306" s="11">
        <f>B9306+30</f>
        <v/>
      </c>
      <c r="N9306">
        <f>IF(L9306="", "", L9306-B9306)</f>
        <v/>
      </c>
      <c r="O9306">
        <f>IF(L9306="", "Pending", IF(N9306&lt;=30, "Met", "Breached"))</f>
        <v/>
      </c>
    </row>
    <row r="9307">
      <c r="M9307" s="11">
        <f>B9307+30</f>
        <v/>
      </c>
      <c r="N9307">
        <f>IF(L9307="", "", L9307-B9307)</f>
        <v/>
      </c>
      <c r="O9307">
        <f>IF(L9307="", "Pending", IF(N9307&lt;=30, "Met", "Breached"))</f>
        <v/>
      </c>
    </row>
    <row r="9308">
      <c r="M9308" s="11">
        <f>B9308+30</f>
        <v/>
      </c>
      <c r="N9308">
        <f>IF(L9308="", "", L9308-B9308)</f>
        <v/>
      </c>
      <c r="O9308">
        <f>IF(L9308="", "Pending", IF(N9308&lt;=30, "Met", "Breached"))</f>
        <v/>
      </c>
    </row>
    <row r="9309">
      <c r="M9309" s="11">
        <f>B9309+30</f>
        <v/>
      </c>
      <c r="N9309">
        <f>IF(L9309="", "", L9309-B9309)</f>
        <v/>
      </c>
      <c r="O9309">
        <f>IF(L9309="", "Pending", IF(N9309&lt;=30, "Met", "Breached"))</f>
        <v/>
      </c>
    </row>
    <row r="9310">
      <c r="M9310" s="11">
        <f>B9310+30</f>
        <v/>
      </c>
      <c r="N9310">
        <f>IF(L9310="", "", L9310-B9310)</f>
        <v/>
      </c>
      <c r="O9310">
        <f>IF(L9310="", "Pending", IF(N9310&lt;=30, "Met", "Breached"))</f>
        <v/>
      </c>
    </row>
    <row r="9311">
      <c r="M9311" s="11">
        <f>B9311+30</f>
        <v/>
      </c>
      <c r="N9311">
        <f>IF(L9311="", "", L9311-B9311)</f>
        <v/>
      </c>
      <c r="O9311">
        <f>IF(L9311="", "Pending", IF(N9311&lt;=30, "Met", "Breached"))</f>
        <v/>
      </c>
    </row>
    <row r="9312">
      <c r="M9312" s="11">
        <f>B9312+30</f>
        <v/>
      </c>
      <c r="N9312">
        <f>IF(L9312="", "", L9312-B9312)</f>
        <v/>
      </c>
      <c r="O9312">
        <f>IF(L9312="", "Pending", IF(N9312&lt;=30, "Met", "Breached"))</f>
        <v/>
      </c>
    </row>
    <row r="9313">
      <c r="M9313" s="11">
        <f>B9313+30</f>
        <v/>
      </c>
      <c r="N9313">
        <f>IF(L9313="", "", L9313-B9313)</f>
        <v/>
      </c>
      <c r="O9313">
        <f>IF(L9313="", "Pending", IF(N9313&lt;=30, "Met", "Breached"))</f>
        <v/>
      </c>
    </row>
    <row r="9314">
      <c r="M9314" s="11">
        <f>B9314+30</f>
        <v/>
      </c>
      <c r="N9314">
        <f>IF(L9314="", "", L9314-B9314)</f>
        <v/>
      </c>
      <c r="O9314">
        <f>IF(L9314="", "Pending", IF(N9314&lt;=30, "Met", "Breached"))</f>
        <v/>
      </c>
    </row>
    <row r="9315">
      <c r="M9315" s="11">
        <f>B9315+30</f>
        <v/>
      </c>
      <c r="N9315">
        <f>IF(L9315="", "", L9315-B9315)</f>
        <v/>
      </c>
      <c r="O9315">
        <f>IF(L9315="", "Pending", IF(N9315&lt;=30, "Met", "Breached"))</f>
        <v/>
      </c>
    </row>
    <row r="9316">
      <c r="M9316" s="11">
        <f>B9316+30</f>
        <v/>
      </c>
      <c r="N9316">
        <f>IF(L9316="", "", L9316-B9316)</f>
        <v/>
      </c>
      <c r="O9316">
        <f>IF(L9316="", "Pending", IF(N9316&lt;=30, "Met", "Breached"))</f>
        <v/>
      </c>
    </row>
    <row r="9317">
      <c r="M9317" s="11">
        <f>B9317+30</f>
        <v/>
      </c>
      <c r="N9317">
        <f>IF(L9317="", "", L9317-B9317)</f>
        <v/>
      </c>
      <c r="O9317">
        <f>IF(L9317="", "Pending", IF(N9317&lt;=30, "Met", "Breached"))</f>
        <v/>
      </c>
    </row>
    <row r="9318">
      <c r="M9318" s="11">
        <f>B9318+30</f>
        <v/>
      </c>
      <c r="N9318">
        <f>IF(L9318="", "", L9318-B9318)</f>
        <v/>
      </c>
      <c r="O9318">
        <f>IF(L9318="", "Pending", IF(N9318&lt;=30, "Met", "Breached"))</f>
        <v/>
      </c>
    </row>
    <row r="9319">
      <c r="M9319" s="11">
        <f>B9319+30</f>
        <v/>
      </c>
      <c r="N9319">
        <f>IF(L9319="", "", L9319-B9319)</f>
        <v/>
      </c>
      <c r="O9319">
        <f>IF(L9319="", "Pending", IF(N9319&lt;=30, "Met", "Breached"))</f>
        <v/>
      </c>
    </row>
    <row r="9320">
      <c r="M9320" s="11">
        <f>B9320+30</f>
        <v/>
      </c>
      <c r="N9320">
        <f>IF(L9320="", "", L9320-B9320)</f>
        <v/>
      </c>
      <c r="O9320">
        <f>IF(L9320="", "Pending", IF(N9320&lt;=30, "Met", "Breached"))</f>
        <v/>
      </c>
    </row>
    <row r="9321">
      <c r="M9321" s="11">
        <f>B9321+30</f>
        <v/>
      </c>
      <c r="N9321">
        <f>IF(L9321="", "", L9321-B9321)</f>
        <v/>
      </c>
      <c r="O9321">
        <f>IF(L9321="", "Pending", IF(N9321&lt;=30, "Met", "Breached"))</f>
        <v/>
      </c>
    </row>
    <row r="9322">
      <c r="M9322" s="11">
        <f>B9322+30</f>
        <v/>
      </c>
      <c r="N9322">
        <f>IF(L9322="", "", L9322-B9322)</f>
        <v/>
      </c>
      <c r="O9322">
        <f>IF(L9322="", "Pending", IF(N9322&lt;=30, "Met", "Breached"))</f>
        <v/>
      </c>
    </row>
    <row r="9323">
      <c r="M9323" s="11">
        <f>B9323+30</f>
        <v/>
      </c>
      <c r="N9323">
        <f>IF(L9323="", "", L9323-B9323)</f>
        <v/>
      </c>
      <c r="O9323">
        <f>IF(L9323="", "Pending", IF(N9323&lt;=30, "Met", "Breached"))</f>
        <v/>
      </c>
    </row>
    <row r="9324">
      <c r="M9324" s="11">
        <f>B9324+30</f>
        <v/>
      </c>
      <c r="N9324">
        <f>IF(L9324="", "", L9324-B9324)</f>
        <v/>
      </c>
      <c r="O9324">
        <f>IF(L9324="", "Pending", IF(N9324&lt;=30, "Met", "Breached"))</f>
        <v/>
      </c>
    </row>
    <row r="9325">
      <c r="M9325" s="11">
        <f>B9325+30</f>
        <v/>
      </c>
      <c r="N9325">
        <f>IF(L9325="", "", L9325-B9325)</f>
        <v/>
      </c>
      <c r="O9325">
        <f>IF(L9325="", "Pending", IF(N9325&lt;=30, "Met", "Breached"))</f>
        <v/>
      </c>
    </row>
    <row r="9326">
      <c r="M9326" s="11">
        <f>B9326+30</f>
        <v/>
      </c>
      <c r="N9326">
        <f>IF(L9326="", "", L9326-B9326)</f>
        <v/>
      </c>
      <c r="O9326">
        <f>IF(L9326="", "Pending", IF(N9326&lt;=30, "Met", "Breached"))</f>
        <v/>
      </c>
    </row>
    <row r="9327">
      <c r="M9327" s="11">
        <f>B9327+30</f>
        <v/>
      </c>
      <c r="N9327">
        <f>IF(L9327="", "", L9327-B9327)</f>
        <v/>
      </c>
      <c r="O9327">
        <f>IF(L9327="", "Pending", IF(N9327&lt;=30, "Met", "Breached"))</f>
        <v/>
      </c>
    </row>
    <row r="9328">
      <c r="M9328" s="11">
        <f>B9328+30</f>
        <v/>
      </c>
      <c r="N9328">
        <f>IF(L9328="", "", L9328-B9328)</f>
        <v/>
      </c>
      <c r="O9328">
        <f>IF(L9328="", "Pending", IF(N9328&lt;=30, "Met", "Breached"))</f>
        <v/>
      </c>
    </row>
    <row r="9329">
      <c r="M9329" s="11">
        <f>B9329+30</f>
        <v/>
      </c>
      <c r="N9329">
        <f>IF(L9329="", "", L9329-B9329)</f>
        <v/>
      </c>
      <c r="O9329">
        <f>IF(L9329="", "Pending", IF(N9329&lt;=30, "Met", "Breached"))</f>
        <v/>
      </c>
    </row>
    <row r="9330">
      <c r="M9330" s="11">
        <f>B9330+30</f>
        <v/>
      </c>
      <c r="N9330">
        <f>IF(L9330="", "", L9330-B9330)</f>
        <v/>
      </c>
      <c r="O9330">
        <f>IF(L9330="", "Pending", IF(N9330&lt;=30, "Met", "Breached"))</f>
        <v/>
      </c>
    </row>
    <row r="9331">
      <c r="M9331" s="11">
        <f>B9331+30</f>
        <v/>
      </c>
      <c r="N9331">
        <f>IF(L9331="", "", L9331-B9331)</f>
        <v/>
      </c>
      <c r="O9331">
        <f>IF(L9331="", "Pending", IF(N9331&lt;=30, "Met", "Breached"))</f>
        <v/>
      </c>
    </row>
    <row r="9332">
      <c r="M9332" s="11">
        <f>B9332+30</f>
        <v/>
      </c>
      <c r="N9332">
        <f>IF(L9332="", "", L9332-B9332)</f>
        <v/>
      </c>
      <c r="O9332">
        <f>IF(L9332="", "Pending", IF(N9332&lt;=30, "Met", "Breached"))</f>
        <v/>
      </c>
    </row>
    <row r="9333">
      <c r="M9333" s="11">
        <f>B9333+30</f>
        <v/>
      </c>
      <c r="N9333">
        <f>IF(L9333="", "", L9333-B9333)</f>
        <v/>
      </c>
      <c r="O9333">
        <f>IF(L9333="", "Pending", IF(N9333&lt;=30, "Met", "Breached"))</f>
        <v/>
      </c>
    </row>
    <row r="9334">
      <c r="M9334" s="11">
        <f>B9334+30</f>
        <v/>
      </c>
      <c r="N9334">
        <f>IF(L9334="", "", L9334-B9334)</f>
        <v/>
      </c>
      <c r="O9334">
        <f>IF(L9334="", "Pending", IF(N9334&lt;=30, "Met", "Breached"))</f>
        <v/>
      </c>
    </row>
    <row r="9335">
      <c r="M9335" s="11">
        <f>B9335+30</f>
        <v/>
      </c>
      <c r="N9335">
        <f>IF(L9335="", "", L9335-B9335)</f>
        <v/>
      </c>
      <c r="O9335">
        <f>IF(L9335="", "Pending", IF(N9335&lt;=30, "Met", "Breached"))</f>
        <v/>
      </c>
    </row>
    <row r="9336">
      <c r="M9336" s="11">
        <f>B9336+30</f>
        <v/>
      </c>
      <c r="N9336">
        <f>IF(L9336="", "", L9336-B9336)</f>
        <v/>
      </c>
      <c r="O9336">
        <f>IF(L9336="", "Pending", IF(N9336&lt;=30, "Met", "Breached"))</f>
        <v/>
      </c>
    </row>
    <row r="9337">
      <c r="M9337" s="11">
        <f>B9337+30</f>
        <v/>
      </c>
      <c r="N9337">
        <f>IF(L9337="", "", L9337-B9337)</f>
        <v/>
      </c>
      <c r="O9337">
        <f>IF(L9337="", "Pending", IF(N9337&lt;=30, "Met", "Breached"))</f>
        <v/>
      </c>
    </row>
    <row r="9338">
      <c r="M9338" s="11">
        <f>B9338+30</f>
        <v/>
      </c>
      <c r="N9338">
        <f>IF(L9338="", "", L9338-B9338)</f>
        <v/>
      </c>
      <c r="O9338">
        <f>IF(L9338="", "Pending", IF(N9338&lt;=30, "Met", "Breached"))</f>
        <v/>
      </c>
    </row>
    <row r="9339">
      <c r="M9339" s="11">
        <f>B9339+30</f>
        <v/>
      </c>
      <c r="N9339">
        <f>IF(L9339="", "", L9339-B9339)</f>
        <v/>
      </c>
      <c r="O9339">
        <f>IF(L9339="", "Pending", IF(N9339&lt;=30, "Met", "Breached"))</f>
        <v/>
      </c>
    </row>
    <row r="9340">
      <c r="M9340" s="11">
        <f>B9340+30</f>
        <v/>
      </c>
      <c r="N9340">
        <f>IF(L9340="", "", L9340-B9340)</f>
        <v/>
      </c>
      <c r="O9340">
        <f>IF(L9340="", "Pending", IF(N9340&lt;=30, "Met", "Breached"))</f>
        <v/>
      </c>
    </row>
    <row r="9341">
      <c r="M9341" s="11">
        <f>B9341+30</f>
        <v/>
      </c>
      <c r="N9341">
        <f>IF(L9341="", "", L9341-B9341)</f>
        <v/>
      </c>
      <c r="O9341">
        <f>IF(L9341="", "Pending", IF(N9341&lt;=30, "Met", "Breached"))</f>
        <v/>
      </c>
    </row>
    <row r="9342">
      <c r="M9342" s="11">
        <f>B9342+30</f>
        <v/>
      </c>
      <c r="N9342">
        <f>IF(L9342="", "", L9342-B9342)</f>
        <v/>
      </c>
      <c r="O9342">
        <f>IF(L9342="", "Pending", IF(N9342&lt;=30, "Met", "Breached"))</f>
        <v/>
      </c>
    </row>
    <row r="9343">
      <c r="M9343" s="11">
        <f>B9343+30</f>
        <v/>
      </c>
      <c r="N9343">
        <f>IF(L9343="", "", L9343-B9343)</f>
        <v/>
      </c>
      <c r="O9343">
        <f>IF(L9343="", "Pending", IF(N9343&lt;=30, "Met", "Breached"))</f>
        <v/>
      </c>
    </row>
    <row r="9344">
      <c r="M9344" s="11">
        <f>B9344+30</f>
        <v/>
      </c>
      <c r="N9344">
        <f>IF(L9344="", "", L9344-B9344)</f>
        <v/>
      </c>
      <c r="O9344">
        <f>IF(L9344="", "Pending", IF(N9344&lt;=30, "Met", "Breached"))</f>
        <v/>
      </c>
    </row>
    <row r="9345">
      <c r="M9345" s="11">
        <f>B9345+30</f>
        <v/>
      </c>
      <c r="N9345">
        <f>IF(L9345="", "", L9345-B9345)</f>
        <v/>
      </c>
      <c r="O9345">
        <f>IF(L9345="", "Pending", IF(N9345&lt;=30, "Met", "Breached"))</f>
        <v/>
      </c>
    </row>
    <row r="9346">
      <c r="M9346" s="11">
        <f>B9346+30</f>
        <v/>
      </c>
      <c r="N9346">
        <f>IF(L9346="", "", L9346-B9346)</f>
        <v/>
      </c>
      <c r="O9346">
        <f>IF(L9346="", "Pending", IF(N9346&lt;=30, "Met", "Breached"))</f>
        <v/>
      </c>
    </row>
    <row r="9347">
      <c r="M9347" s="11">
        <f>B9347+30</f>
        <v/>
      </c>
      <c r="N9347">
        <f>IF(L9347="", "", L9347-B9347)</f>
        <v/>
      </c>
      <c r="O9347">
        <f>IF(L9347="", "Pending", IF(N9347&lt;=30, "Met", "Breached"))</f>
        <v/>
      </c>
    </row>
    <row r="9348">
      <c r="M9348" s="11">
        <f>B9348+30</f>
        <v/>
      </c>
      <c r="N9348">
        <f>IF(L9348="", "", L9348-B9348)</f>
        <v/>
      </c>
      <c r="O9348">
        <f>IF(L9348="", "Pending", IF(N9348&lt;=30, "Met", "Breached"))</f>
        <v/>
      </c>
    </row>
    <row r="9349">
      <c r="M9349" s="11">
        <f>B9349+30</f>
        <v/>
      </c>
      <c r="N9349">
        <f>IF(L9349="", "", L9349-B9349)</f>
        <v/>
      </c>
      <c r="O9349">
        <f>IF(L9349="", "Pending", IF(N9349&lt;=30, "Met", "Breached"))</f>
        <v/>
      </c>
    </row>
    <row r="9350">
      <c r="M9350" s="11">
        <f>B9350+30</f>
        <v/>
      </c>
      <c r="N9350">
        <f>IF(L9350="", "", L9350-B9350)</f>
        <v/>
      </c>
      <c r="O9350">
        <f>IF(L9350="", "Pending", IF(N9350&lt;=30, "Met", "Breached"))</f>
        <v/>
      </c>
    </row>
    <row r="9351">
      <c r="M9351" s="11">
        <f>B9351+30</f>
        <v/>
      </c>
      <c r="N9351">
        <f>IF(L9351="", "", L9351-B9351)</f>
        <v/>
      </c>
      <c r="O9351">
        <f>IF(L9351="", "Pending", IF(N9351&lt;=30, "Met", "Breached"))</f>
        <v/>
      </c>
    </row>
    <row r="9352">
      <c r="M9352" s="11">
        <f>B9352+30</f>
        <v/>
      </c>
      <c r="N9352">
        <f>IF(L9352="", "", L9352-B9352)</f>
        <v/>
      </c>
      <c r="O9352">
        <f>IF(L9352="", "Pending", IF(N9352&lt;=30, "Met", "Breached"))</f>
        <v/>
      </c>
    </row>
    <row r="9353">
      <c r="M9353" s="11">
        <f>B9353+30</f>
        <v/>
      </c>
      <c r="N9353">
        <f>IF(L9353="", "", L9353-B9353)</f>
        <v/>
      </c>
      <c r="O9353">
        <f>IF(L9353="", "Pending", IF(N9353&lt;=30, "Met", "Breached"))</f>
        <v/>
      </c>
    </row>
    <row r="9354">
      <c r="M9354" s="11">
        <f>B9354+30</f>
        <v/>
      </c>
      <c r="N9354">
        <f>IF(L9354="", "", L9354-B9354)</f>
        <v/>
      </c>
      <c r="O9354">
        <f>IF(L9354="", "Pending", IF(N9354&lt;=30, "Met", "Breached"))</f>
        <v/>
      </c>
    </row>
    <row r="9355">
      <c r="M9355" s="11">
        <f>B9355+30</f>
        <v/>
      </c>
      <c r="N9355">
        <f>IF(L9355="", "", L9355-B9355)</f>
        <v/>
      </c>
      <c r="O9355">
        <f>IF(L9355="", "Pending", IF(N9355&lt;=30, "Met", "Breached"))</f>
        <v/>
      </c>
    </row>
    <row r="9356">
      <c r="M9356" s="11">
        <f>B9356+30</f>
        <v/>
      </c>
      <c r="N9356">
        <f>IF(L9356="", "", L9356-B9356)</f>
        <v/>
      </c>
      <c r="O9356">
        <f>IF(L9356="", "Pending", IF(N9356&lt;=30, "Met", "Breached"))</f>
        <v/>
      </c>
    </row>
    <row r="9357">
      <c r="M9357" s="11">
        <f>B9357+30</f>
        <v/>
      </c>
      <c r="N9357">
        <f>IF(L9357="", "", L9357-B9357)</f>
        <v/>
      </c>
      <c r="O9357">
        <f>IF(L9357="", "Pending", IF(N9357&lt;=30, "Met", "Breached"))</f>
        <v/>
      </c>
    </row>
    <row r="9358">
      <c r="M9358" s="11">
        <f>B9358+30</f>
        <v/>
      </c>
      <c r="N9358">
        <f>IF(L9358="", "", L9358-B9358)</f>
        <v/>
      </c>
      <c r="O9358">
        <f>IF(L9358="", "Pending", IF(N9358&lt;=30, "Met", "Breached"))</f>
        <v/>
      </c>
    </row>
    <row r="9359">
      <c r="M9359" s="11">
        <f>B9359+30</f>
        <v/>
      </c>
      <c r="N9359">
        <f>IF(L9359="", "", L9359-B9359)</f>
        <v/>
      </c>
      <c r="O9359">
        <f>IF(L9359="", "Pending", IF(N9359&lt;=30, "Met", "Breached"))</f>
        <v/>
      </c>
    </row>
    <row r="9360">
      <c r="M9360" s="11">
        <f>B9360+30</f>
        <v/>
      </c>
      <c r="N9360">
        <f>IF(L9360="", "", L9360-B9360)</f>
        <v/>
      </c>
      <c r="O9360">
        <f>IF(L9360="", "Pending", IF(N9360&lt;=30, "Met", "Breached"))</f>
        <v/>
      </c>
    </row>
    <row r="9361">
      <c r="M9361" s="11">
        <f>B9361+30</f>
        <v/>
      </c>
      <c r="N9361">
        <f>IF(L9361="", "", L9361-B9361)</f>
        <v/>
      </c>
      <c r="O9361">
        <f>IF(L9361="", "Pending", IF(N9361&lt;=30, "Met", "Breached"))</f>
        <v/>
      </c>
    </row>
    <row r="9362">
      <c r="M9362" s="11">
        <f>B9362+30</f>
        <v/>
      </c>
      <c r="N9362">
        <f>IF(L9362="", "", L9362-B9362)</f>
        <v/>
      </c>
      <c r="O9362">
        <f>IF(L9362="", "Pending", IF(N9362&lt;=30, "Met", "Breached"))</f>
        <v/>
      </c>
    </row>
    <row r="9363">
      <c r="M9363" s="11">
        <f>B9363+30</f>
        <v/>
      </c>
      <c r="N9363">
        <f>IF(L9363="", "", L9363-B9363)</f>
        <v/>
      </c>
      <c r="O9363">
        <f>IF(L9363="", "Pending", IF(N9363&lt;=30, "Met", "Breached"))</f>
        <v/>
      </c>
    </row>
    <row r="9364">
      <c r="M9364" s="11">
        <f>B9364+30</f>
        <v/>
      </c>
      <c r="N9364">
        <f>IF(L9364="", "", L9364-B9364)</f>
        <v/>
      </c>
      <c r="O9364">
        <f>IF(L9364="", "Pending", IF(N9364&lt;=30, "Met", "Breached"))</f>
        <v/>
      </c>
    </row>
    <row r="9365">
      <c r="M9365" s="11">
        <f>B9365+30</f>
        <v/>
      </c>
      <c r="N9365">
        <f>IF(L9365="", "", L9365-B9365)</f>
        <v/>
      </c>
      <c r="O9365">
        <f>IF(L9365="", "Pending", IF(N9365&lt;=30, "Met", "Breached"))</f>
        <v/>
      </c>
    </row>
    <row r="9366">
      <c r="M9366" s="11">
        <f>B9366+30</f>
        <v/>
      </c>
      <c r="N9366">
        <f>IF(L9366="", "", L9366-B9366)</f>
        <v/>
      </c>
      <c r="O9366">
        <f>IF(L9366="", "Pending", IF(N9366&lt;=30, "Met", "Breached"))</f>
        <v/>
      </c>
    </row>
    <row r="9367">
      <c r="M9367" s="11">
        <f>B9367+30</f>
        <v/>
      </c>
      <c r="N9367">
        <f>IF(L9367="", "", L9367-B9367)</f>
        <v/>
      </c>
      <c r="O9367">
        <f>IF(L9367="", "Pending", IF(N9367&lt;=30, "Met", "Breached"))</f>
        <v/>
      </c>
    </row>
    <row r="9368">
      <c r="M9368" s="11">
        <f>B9368+30</f>
        <v/>
      </c>
      <c r="N9368">
        <f>IF(L9368="", "", L9368-B9368)</f>
        <v/>
      </c>
      <c r="O9368">
        <f>IF(L9368="", "Pending", IF(N9368&lt;=30, "Met", "Breached"))</f>
        <v/>
      </c>
    </row>
    <row r="9369">
      <c r="M9369" s="11">
        <f>B9369+30</f>
        <v/>
      </c>
      <c r="N9369">
        <f>IF(L9369="", "", L9369-B9369)</f>
        <v/>
      </c>
      <c r="O9369">
        <f>IF(L9369="", "Pending", IF(N9369&lt;=30, "Met", "Breached"))</f>
        <v/>
      </c>
    </row>
    <row r="9370">
      <c r="M9370" s="11">
        <f>B9370+30</f>
        <v/>
      </c>
      <c r="N9370">
        <f>IF(L9370="", "", L9370-B9370)</f>
        <v/>
      </c>
      <c r="O9370">
        <f>IF(L9370="", "Pending", IF(N9370&lt;=30, "Met", "Breached"))</f>
        <v/>
      </c>
    </row>
    <row r="9371">
      <c r="M9371" s="11">
        <f>B9371+30</f>
        <v/>
      </c>
      <c r="N9371">
        <f>IF(L9371="", "", L9371-B9371)</f>
        <v/>
      </c>
      <c r="O9371">
        <f>IF(L9371="", "Pending", IF(N9371&lt;=30, "Met", "Breached"))</f>
        <v/>
      </c>
    </row>
    <row r="9372">
      <c r="M9372" s="11">
        <f>B9372+30</f>
        <v/>
      </c>
      <c r="N9372">
        <f>IF(L9372="", "", L9372-B9372)</f>
        <v/>
      </c>
      <c r="O9372">
        <f>IF(L9372="", "Pending", IF(N9372&lt;=30, "Met", "Breached"))</f>
        <v/>
      </c>
    </row>
    <row r="9373">
      <c r="M9373" s="11">
        <f>B9373+30</f>
        <v/>
      </c>
      <c r="N9373">
        <f>IF(L9373="", "", L9373-B9373)</f>
        <v/>
      </c>
      <c r="O9373">
        <f>IF(L9373="", "Pending", IF(N9373&lt;=30, "Met", "Breached"))</f>
        <v/>
      </c>
    </row>
    <row r="9374">
      <c r="M9374" s="11">
        <f>B9374+30</f>
        <v/>
      </c>
      <c r="N9374">
        <f>IF(L9374="", "", L9374-B9374)</f>
        <v/>
      </c>
      <c r="O9374">
        <f>IF(L9374="", "Pending", IF(N9374&lt;=30, "Met", "Breached"))</f>
        <v/>
      </c>
    </row>
    <row r="9375">
      <c r="M9375" s="11">
        <f>B9375+30</f>
        <v/>
      </c>
      <c r="N9375">
        <f>IF(L9375="", "", L9375-B9375)</f>
        <v/>
      </c>
      <c r="O9375">
        <f>IF(L9375="", "Pending", IF(N9375&lt;=30, "Met", "Breached"))</f>
        <v/>
      </c>
    </row>
    <row r="9376">
      <c r="M9376" s="11">
        <f>B9376+30</f>
        <v/>
      </c>
      <c r="N9376">
        <f>IF(L9376="", "", L9376-B9376)</f>
        <v/>
      </c>
      <c r="O9376">
        <f>IF(L9376="", "Pending", IF(N9376&lt;=30, "Met", "Breached"))</f>
        <v/>
      </c>
    </row>
    <row r="9377">
      <c r="M9377" s="11">
        <f>B9377+30</f>
        <v/>
      </c>
      <c r="N9377">
        <f>IF(L9377="", "", L9377-B9377)</f>
        <v/>
      </c>
      <c r="O9377">
        <f>IF(L9377="", "Pending", IF(N9377&lt;=30, "Met", "Breached"))</f>
        <v/>
      </c>
    </row>
    <row r="9378">
      <c r="M9378" s="11">
        <f>B9378+30</f>
        <v/>
      </c>
      <c r="N9378">
        <f>IF(L9378="", "", L9378-B9378)</f>
        <v/>
      </c>
      <c r="O9378">
        <f>IF(L9378="", "Pending", IF(N9378&lt;=30, "Met", "Breached"))</f>
        <v/>
      </c>
    </row>
    <row r="9379">
      <c r="M9379" s="11">
        <f>B9379+30</f>
        <v/>
      </c>
      <c r="N9379">
        <f>IF(L9379="", "", L9379-B9379)</f>
        <v/>
      </c>
      <c r="O9379">
        <f>IF(L9379="", "Pending", IF(N9379&lt;=30, "Met", "Breached"))</f>
        <v/>
      </c>
    </row>
    <row r="9380">
      <c r="M9380" s="11">
        <f>B9380+30</f>
        <v/>
      </c>
      <c r="N9380">
        <f>IF(L9380="", "", L9380-B9380)</f>
        <v/>
      </c>
      <c r="O9380">
        <f>IF(L9380="", "Pending", IF(N9380&lt;=30, "Met", "Breached"))</f>
        <v/>
      </c>
    </row>
    <row r="9381">
      <c r="M9381" s="11">
        <f>B9381+30</f>
        <v/>
      </c>
      <c r="N9381">
        <f>IF(L9381="", "", L9381-B9381)</f>
        <v/>
      </c>
      <c r="O9381">
        <f>IF(L9381="", "Pending", IF(N9381&lt;=30, "Met", "Breached"))</f>
        <v/>
      </c>
    </row>
    <row r="9382">
      <c r="M9382" s="11">
        <f>B9382+30</f>
        <v/>
      </c>
      <c r="N9382">
        <f>IF(L9382="", "", L9382-B9382)</f>
        <v/>
      </c>
      <c r="O9382">
        <f>IF(L9382="", "Pending", IF(N9382&lt;=30, "Met", "Breached"))</f>
        <v/>
      </c>
    </row>
    <row r="9383">
      <c r="M9383" s="11">
        <f>B9383+30</f>
        <v/>
      </c>
      <c r="N9383">
        <f>IF(L9383="", "", L9383-B9383)</f>
        <v/>
      </c>
      <c r="O9383">
        <f>IF(L9383="", "Pending", IF(N9383&lt;=30, "Met", "Breached"))</f>
        <v/>
      </c>
    </row>
    <row r="9384">
      <c r="M9384" s="11">
        <f>B9384+30</f>
        <v/>
      </c>
      <c r="N9384">
        <f>IF(L9384="", "", L9384-B9384)</f>
        <v/>
      </c>
      <c r="O9384">
        <f>IF(L9384="", "Pending", IF(N9384&lt;=30, "Met", "Breached"))</f>
        <v/>
      </c>
    </row>
    <row r="9385">
      <c r="M9385" s="11">
        <f>B9385+30</f>
        <v/>
      </c>
      <c r="N9385">
        <f>IF(L9385="", "", L9385-B9385)</f>
        <v/>
      </c>
      <c r="O9385">
        <f>IF(L9385="", "Pending", IF(N9385&lt;=30, "Met", "Breached"))</f>
        <v/>
      </c>
    </row>
    <row r="9386">
      <c r="M9386" s="11">
        <f>B9386+30</f>
        <v/>
      </c>
      <c r="N9386">
        <f>IF(L9386="", "", L9386-B9386)</f>
        <v/>
      </c>
      <c r="O9386">
        <f>IF(L9386="", "Pending", IF(N9386&lt;=30, "Met", "Breached"))</f>
        <v/>
      </c>
    </row>
    <row r="9387">
      <c r="M9387" s="11">
        <f>B9387+30</f>
        <v/>
      </c>
      <c r="N9387">
        <f>IF(L9387="", "", L9387-B9387)</f>
        <v/>
      </c>
      <c r="O9387">
        <f>IF(L9387="", "Pending", IF(N9387&lt;=30, "Met", "Breached"))</f>
        <v/>
      </c>
    </row>
    <row r="9388">
      <c r="M9388" s="11">
        <f>B9388+30</f>
        <v/>
      </c>
      <c r="N9388">
        <f>IF(L9388="", "", L9388-B9388)</f>
        <v/>
      </c>
      <c r="O9388">
        <f>IF(L9388="", "Pending", IF(N9388&lt;=30, "Met", "Breached"))</f>
        <v/>
      </c>
    </row>
    <row r="9389">
      <c r="M9389" s="11">
        <f>B9389+30</f>
        <v/>
      </c>
      <c r="N9389">
        <f>IF(L9389="", "", L9389-B9389)</f>
        <v/>
      </c>
      <c r="O9389">
        <f>IF(L9389="", "Pending", IF(N9389&lt;=30, "Met", "Breached"))</f>
        <v/>
      </c>
    </row>
    <row r="9390">
      <c r="M9390" s="11">
        <f>B9390+30</f>
        <v/>
      </c>
      <c r="N9390">
        <f>IF(L9390="", "", L9390-B9390)</f>
        <v/>
      </c>
      <c r="O9390">
        <f>IF(L9390="", "Pending", IF(N9390&lt;=30, "Met", "Breached"))</f>
        <v/>
      </c>
    </row>
    <row r="9391">
      <c r="M9391" s="11">
        <f>B9391+30</f>
        <v/>
      </c>
      <c r="N9391">
        <f>IF(L9391="", "", L9391-B9391)</f>
        <v/>
      </c>
      <c r="O9391">
        <f>IF(L9391="", "Pending", IF(N9391&lt;=30, "Met", "Breached"))</f>
        <v/>
      </c>
    </row>
    <row r="9392">
      <c r="M9392" s="11">
        <f>B9392+30</f>
        <v/>
      </c>
      <c r="N9392">
        <f>IF(L9392="", "", L9392-B9392)</f>
        <v/>
      </c>
      <c r="O9392">
        <f>IF(L9392="", "Pending", IF(N9392&lt;=30, "Met", "Breached"))</f>
        <v/>
      </c>
    </row>
    <row r="9393">
      <c r="M9393" s="11">
        <f>B9393+30</f>
        <v/>
      </c>
      <c r="N9393">
        <f>IF(L9393="", "", L9393-B9393)</f>
        <v/>
      </c>
      <c r="O9393">
        <f>IF(L9393="", "Pending", IF(N9393&lt;=30, "Met", "Breached"))</f>
        <v/>
      </c>
    </row>
    <row r="9394">
      <c r="M9394" s="11">
        <f>B9394+30</f>
        <v/>
      </c>
      <c r="N9394">
        <f>IF(L9394="", "", L9394-B9394)</f>
        <v/>
      </c>
      <c r="O9394">
        <f>IF(L9394="", "Pending", IF(N9394&lt;=30, "Met", "Breached"))</f>
        <v/>
      </c>
    </row>
    <row r="9395">
      <c r="M9395" s="11">
        <f>B9395+30</f>
        <v/>
      </c>
      <c r="N9395">
        <f>IF(L9395="", "", L9395-B9395)</f>
        <v/>
      </c>
      <c r="O9395">
        <f>IF(L9395="", "Pending", IF(N9395&lt;=30, "Met", "Breached"))</f>
        <v/>
      </c>
    </row>
    <row r="9396">
      <c r="M9396" s="11">
        <f>B9396+30</f>
        <v/>
      </c>
      <c r="N9396">
        <f>IF(L9396="", "", L9396-B9396)</f>
        <v/>
      </c>
      <c r="O9396">
        <f>IF(L9396="", "Pending", IF(N9396&lt;=30, "Met", "Breached"))</f>
        <v/>
      </c>
    </row>
    <row r="9397">
      <c r="M9397" s="11">
        <f>B9397+30</f>
        <v/>
      </c>
      <c r="N9397">
        <f>IF(L9397="", "", L9397-B9397)</f>
        <v/>
      </c>
      <c r="O9397">
        <f>IF(L9397="", "Pending", IF(N9397&lt;=30, "Met", "Breached"))</f>
        <v/>
      </c>
    </row>
    <row r="9398">
      <c r="M9398" s="11">
        <f>B9398+30</f>
        <v/>
      </c>
      <c r="N9398">
        <f>IF(L9398="", "", L9398-B9398)</f>
        <v/>
      </c>
      <c r="O9398">
        <f>IF(L9398="", "Pending", IF(N9398&lt;=30, "Met", "Breached"))</f>
        <v/>
      </c>
    </row>
    <row r="9399">
      <c r="M9399" s="11">
        <f>B9399+30</f>
        <v/>
      </c>
      <c r="N9399">
        <f>IF(L9399="", "", L9399-B9399)</f>
        <v/>
      </c>
      <c r="O9399">
        <f>IF(L9399="", "Pending", IF(N9399&lt;=30, "Met", "Breached"))</f>
        <v/>
      </c>
    </row>
    <row r="9400">
      <c r="M9400" s="11">
        <f>B9400+30</f>
        <v/>
      </c>
      <c r="N9400">
        <f>IF(L9400="", "", L9400-B9400)</f>
        <v/>
      </c>
      <c r="O9400">
        <f>IF(L9400="", "Pending", IF(N9400&lt;=30, "Met", "Breached"))</f>
        <v/>
      </c>
    </row>
    <row r="9401">
      <c r="M9401" s="11">
        <f>B9401+30</f>
        <v/>
      </c>
      <c r="N9401">
        <f>IF(L9401="", "", L9401-B9401)</f>
        <v/>
      </c>
      <c r="O9401">
        <f>IF(L9401="", "Pending", IF(N9401&lt;=30, "Met", "Breached"))</f>
        <v/>
      </c>
    </row>
    <row r="9402">
      <c r="M9402" s="11">
        <f>B9402+30</f>
        <v/>
      </c>
      <c r="N9402">
        <f>IF(L9402="", "", L9402-B9402)</f>
        <v/>
      </c>
      <c r="O9402">
        <f>IF(L9402="", "Pending", IF(N9402&lt;=30, "Met", "Breached"))</f>
        <v/>
      </c>
    </row>
    <row r="9403">
      <c r="M9403" s="11">
        <f>B9403+30</f>
        <v/>
      </c>
      <c r="N9403">
        <f>IF(L9403="", "", L9403-B9403)</f>
        <v/>
      </c>
      <c r="O9403">
        <f>IF(L9403="", "Pending", IF(N9403&lt;=30, "Met", "Breached"))</f>
        <v/>
      </c>
    </row>
    <row r="9404">
      <c r="M9404" s="11">
        <f>B9404+30</f>
        <v/>
      </c>
      <c r="N9404">
        <f>IF(L9404="", "", L9404-B9404)</f>
        <v/>
      </c>
      <c r="O9404">
        <f>IF(L9404="", "Pending", IF(N9404&lt;=30, "Met", "Breached"))</f>
        <v/>
      </c>
    </row>
    <row r="9405">
      <c r="M9405" s="11">
        <f>B9405+30</f>
        <v/>
      </c>
      <c r="N9405">
        <f>IF(L9405="", "", L9405-B9405)</f>
        <v/>
      </c>
      <c r="O9405">
        <f>IF(L9405="", "Pending", IF(N9405&lt;=30, "Met", "Breached"))</f>
        <v/>
      </c>
    </row>
    <row r="9406">
      <c r="M9406" s="11">
        <f>B9406+30</f>
        <v/>
      </c>
      <c r="N9406">
        <f>IF(L9406="", "", L9406-B9406)</f>
        <v/>
      </c>
      <c r="O9406">
        <f>IF(L9406="", "Pending", IF(N9406&lt;=30, "Met", "Breached"))</f>
        <v/>
      </c>
    </row>
    <row r="9407">
      <c r="M9407" s="11">
        <f>B9407+30</f>
        <v/>
      </c>
      <c r="N9407">
        <f>IF(L9407="", "", L9407-B9407)</f>
        <v/>
      </c>
      <c r="O9407">
        <f>IF(L9407="", "Pending", IF(N9407&lt;=30, "Met", "Breached"))</f>
        <v/>
      </c>
    </row>
    <row r="9408">
      <c r="M9408" s="11">
        <f>B9408+30</f>
        <v/>
      </c>
      <c r="N9408">
        <f>IF(L9408="", "", L9408-B9408)</f>
        <v/>
      </c>
      <c r="O9408">
        <f>IF(L9408="", "Pending", IF(N9408&lt;=30, "Met", "Breached"))</f>
        <v/>
      </c>
    </row>
    <row r="9409">
      <c r="M9409" s="11">
        <f>B9409+30</f>
        <v/>
      </c>
      <c r="N9409">
        <f>IF(L9409="", "", L9409-B9409)</f>
        <v/>
      </c>
      <c r="O9409">
        <f>IF(L9409="", "Pending", IF(N9409&lt;=30, "Met", "Breached"))</f>
        <v/>
      </c>
    </row>
    <row r="9410">
      <c r="M9410" s="11">
        <f>B9410+30</f>
        <v/>
      </c>
      <c r="N9410">
        <f>IF(L9410="", "", L9410-B9410)</f>
        <v/>
      </c>
      <c r="O9410">
        <f>IF(L9410="", "Pending", IF(N9410&lt;=30, "Met", "Breached"))</f>
        <v/>
      </c>
    </row>
    <row r="9411">
      <c r="M9411" s="11">
        <f>B9411+30</f>
        <v/>
      </c>
      <c r="N9411">
        <f>IF(L9411="", "", L9411-B9411)</f>
        <v/>
      </c>
      <c r="O9411">
        <f>IF(L9411="", "Pending", IF(N9411&lt;=30, "Met", "Breached"))</f>
        <v/>
      </c>
    </row>
    <row r="9412">
      <c r="M9412" s="11">
        <f>B9412+30</f>
        <v/>
      </c>
      <c r="N9412">
        <f>IF(L9412="", "", L9412-B9412)</f>
        <v/>
      </c>
      <c r="O9412">
        <f>IF(L9412="", "Pending", IF(N9412&lt;=30, "Met", "Breached"))</f>
        <v/>
      </c>
    </row>
    <row r="9413">
      <c r="M9413" s="11">
        <f>B9413+30</f>
        <v/>
      </c>
      <c r="N9413">
        <f>IF(L9413="", "", L9413-B9413)</f>
        <v/>
      </c>
      <c r="O9413">
        <f>IF(L9413="", "Pending", IF(N9413&lt;=30, "Met", "Breached"))</f>
        <v/>
      </c>
    </row>
    <row r="9414">
      <c r="M9414" s="11">
        <f>B9414+30</f>
        <v/>
      </c>
      <c r="N9414">
        <f>IF(L9414="", "", L9414-B9414)</f>
        <v/>
      </c>
      <c r="O9414">
        <f>IF(L9414="", "Pending", IF(N9414&lt;=30, "Met", "Breached"))</f>
        <v/>
      </c>
    </row>
    <row r="9415">
      <c r="M9415" s="11">
        <f>B9415+30</f>
        <v/>
      </c>
      <c r="N9415">
        <f>IF(L9415="", "", L9415-B9415)</f>
        <v/>
      </c>
      <c r="O9415">
        <f>IF(L9415="", "Pending", IF(N9415&lt;=30, "Met", "Breached"))</f>
        <v/>
      </c>
    </row>
    <row r="9416">
      <c r="M9416" s="11">
        <f>B9416+30</f>
        <v/>
      </c>
      <c r="N9416">
        <f>IF(L9416="", "", L9416-B9416)</f>
        <v/>
      </c>
      <c r="O9416">
        <f>IF(L9416="", "Pending", IF(N9416&lt;=30, "Met", "Breached"))</f>
        <v/>
      </c>
    </row>
    <row r="9417">
      <c r="M9417" s="11">
        <f>B9417+30</f>
        <v/>
      </c>
      <c r="N9417">
        <f>IF(L9417="", "", L9417-B9417)</f>
        <v/>
      </c>
      <c r="O9417">
        <f>IF(L9417="", "Pending", IF(N9417&lt;=30, "Met", "Breached"))</f>
        <v/>
      </c>
    </row>
    <row r="9418">
      <c r="M9418" s="11">
        <f>B9418+30</f>
        <v/>
      </c>
      <c r="N9418">
        <f>IF(L9418="", "", L9418-B9418)</f>
        <v/>
      </c>
      <c r="O9418">
        <f>IF(L9418="", "Pending", IF(N9418&lt;=30, "Met", "Breached"))</f>
        <v/>
      </c>
    </row>
    <row r="9419">
      <c r="M9419" s="11">
        <f>B9419+30</f>
        <v/>
      </c>
      <c r="N9419">
        <f>IF(L9419="", "", L9419-B9419)</f>
        <v/>
      </c>
      <c r="O9419">
        <f>IF(L9419="", "Pending", IF(N9419&lt;=30, "Met", "Breached"))</f>
        <v/>
      </c>
    </row>
    <row r="9420">
      <c r="M9420" s="11">
        <f>B9420+30</f>
        <v/>
      </c>
      <c r="N9420">
        <f>IF(L9420="", "", L9420-B9420)</f>
        <v/>
      </c>
      <c r="O9420">
        <f>IF(L9420="", "Pending", IF(N9420&lt;=30, "Met", "Breached"))</f>
        <v/>
      </c>
    </row>
    <row r="9421">
      <c r="M9421" s="11">
        <f>B9421+30</f>
        <v/>
      </c>
      <c r="N9421">
        <f>IF(L9421="", "", L9421-B9421)</f>
        <v/>
      </c>
      <c r="O9421">
        <f>IF(L9421="", "Pending", IF(N9421&lt;=30, "Met", "Breached"))</f>
        <v/>
      </c>
    </row>
    <row r="9422">
      <c r="M9422" s="11">
        <f>B9422+30</f>
        <v/>
      </c>
      <c r="N9422">
        <f>IF(L9422="", "", L9422-B9422)</f>
        <v/>
      </c>
      <c r="O9422">
        <f>IF(L9422="", "Pending", IF(N9422&lt;=30, "Met", "Breached"))</f>
        <v/>
      </c>
    </row>
    <row r="9423">
      <c r="M9423" s="11">
        <f>B9423+30</f>
        <v/>
      </c>
      <c r="N9423">
        <f>IF(L9423="", "", L9423-B9423)</f>
        <v/>
      </c>
      <c r="O9423">
        <f>IF(L9423="", "Pending", IF(N9423&lt;=30, "Met", "Breached"))</f>
        <v/>
      </c>
    </row>
    <row r="9424">
      <c r="M9424" s="11">
        <f>B9424+30</f>
        <v/>
      </c>
      <c r="N9424">
        <f>IF(L9424="", "", L9424-B9424)</f>
        <v/>
      </c>
      <c r="O9424">
        <f>IF(L9424="", "Pending", IF(N9424&lt;=30, "Met", "Breached"))</f>
        <v/>
      </c>
    </row>
    <row r="9425">
      <c r="M9425" s="11">
        <f>B9425+30</f>
        <v/>
      </c>
      <c r="N9425">
        <f>IF(L9425="", "", L9425-B9425)</f>
        <v/>
      </c>
      <c r="O9425">
        <f>IF(L9425="", "Pending", IF(N9425&lt;=30, "Met", "Breached"))</f>
        <v/>
      </c>
    </row>
    <row r="9426">
      <c r="M9426" s="11">
        <f>B9426+30</f>
        <v/>
      </c>
      <c r="N9426">
        <f>IF(L9426="", "", L9426-B9426)</f>
        <v/>
      </c>
      <c r="O9426">
        <f>IF(L9426="", "Pending", IF(N9426&lt;=30, "Met", "Breached"))</f>
        <v/>
      </c>
    </row>
    <row r="9427">
      <c r="M9427" s="11">
        <f>B9427+30</f>
        <v/>
      </c>
      <c r="N9427">
        <f>IF(L9427="", "", L9427-B9427)</f>
        <v/>
      </c>
      <c r="O9427">
        <f>IF(L9427="", "Pending", IF(N9427&lt;=30, "Met", "Breached"))</f>
        <v/>
      </c>
    </row>
    <row r="9428">
      <c r="M9428" s="11">
        <f>B9428+30</f>
        <v/>
      </c>
      <c r="N9428">
        <f>IF(L9428="", "", L9428-B9428)</f>
        <v/>
      </c>
      <c r="O9428">
        <f>IF(L9428="", "Pending", IF(N9428&lt;=30, "Met", "Breached"))</f>
        <v/>
      </c>
    </row>
    <row r="9429">
      <c r="M9429" s="11">
        <f>B9429+30</f>
        <v/>
      </c>
      <c r="N9429">
        <f>IF(L9429="", "", L9429-B9429)</f>
        <v/>
      </c>
      <c r="O9429">
        <f>IF(L9429="", "Pending", IF(N9429&lt;=30, "Met", "Breached"))</f>
        <v/>
      </c>
    </row>
    <row r="9430">
      <c r="M9430" s="11">
        <f>B9430+30</f>
        <v/>
      </c>
      <c r="N9430">
        <f>IF(L9430="", "", L9430-B9430)</f>
        <v/>
      </c>
      <c r="O9430">
        <f>IF(L9430="", "Pending", IF(N9430&lt;=30, "Met", "Breached"))</f>
        <v/>
      </c>
    </row>
    <row r="9431">
      <c r="M9431" s="11">
        <f>B9431+30</f>
        <v/>
      </c>
      <c r="N9431">
        <f>IF(L9431="", "", L9431-B9431)</f>
        <v/>
      </c>
      <c r="O9431">
        <f>IF(L9431="", "Pending", IF(N9431&lt;=30, "Met", "Breached"))</f>
        <v/>
      </c>
    </row>
    <row r="9432">
      <c r="M9432" s="11">
        <f>B9432+30</f>
        <v/>
      </c>
      <c r="N9432">
        <f>IF(L9432="", "", L9432-B9432)</f>
        <v/>
      </c>
      <c r="O9432">
        <f>IF(L9432="", "Pending", IF(N9432&lt;=30, "Met", "Breached"))</f>
        <v/>
      </c>
    </row>
    <row r="9433">
      <c r="M9433" s="11">
        <f>B9433+30</f>
        <v/>
      </c>
      <c r="N9433">
        <f>IF(L9433="", "", L9433-B9433)</f>
        <v/>
      </c>
      <c r="O9433">
        <f>IF(L9433="", "Pending", IF(N9433&lt;=30, "Met", "Breached"))</f>
        <v/>
      </c>
    </row>
    <row r="9434">
      <c r="M9434" s="11">
        <f>B9434+30</f>
        <v/>
      </c>
      <c r="N9434">
        <f>IF(L9434="", "", L9434-B9434)</f>
        <v/>
      </c>
      <c r="O9434">
        <f>IF(L9434="", "Pending", IF(N9434&lt;=30, "Met", "Breached"))</f>
        <v/>
      </c>
    </row>
    <row r="9435">
      <c r="M9435" s="11">
        <f>B9435+30</f>
        <v/>
      </c>
      <c r="N9435">
        <f>IF(L9435="", "", L9435-B9435)</f>
        <v/>
      </c>
      <c r="O9435">
        <f>IF(L9435="", "Pending", IF(N9435&lt;=30, "Met", "Breached"))</f>
        <v/>
      </c>
    </row>
    <row r="9436">
      <c r="M9436" s="11">
        <f>B9436+30</f>
        <v/>
      </c>
      <c r="N9436">
        <f>IF(L9436="", "", L9436-B9436)</f>
        <v/>
      </c>
      <c r="O9436">
        <f>IF(L9436="", "Pending", IF(N9436&lt;=30, "Met", "Breached"))</f>
        <v/>
      </c>
    </row>
    <row r="9437">
      <c r="M9437" s="11">
        <f>B9437+30</f>
        <v/>
      </c>
      <c r="N9437">
        <f>IF(L9437="", "", L9437-B9437)</f>
        <v/>
      </c>
      <c r="O9437">
        <f>IF(L9437="", "Pending", IF(N9437&lt;=30, "Met", "Breached"))</f>
        <v/>
      </c>
    </row>
    <row r="9438">
      <c r="M9438" s="11">
        <f>B9438+30</f>
        <v/>
      </c>
      <c r="N9438">
        <f>IF(L9438="", "", L9438-B9438)</f>
        <v/>
      </c>
      <c r="O9438">
        <f>IF(L9438="", "Pending", IF(N9438&lt;=30, "Met", "Breached"))</f>
        <v/>
      </c>
    </row>
    <row r="9439">
      <c r="M9439" s="11">
        <f>B9439+30</f>
        <v/>
      </c>
      <c r="N9439">
        <f>IF(L9439="", "", L9439-B9439)</f>
        <v/>
      </c>
      <c r="O9439">
        <f>IF(L9439="", "Pending", IF(N9439&lt;=30, "Met", "Breached"))</f>
        <v/>
      </c>
    </row>
    <row r="9440">
      <c r="M9440" s="11">
        <f>B9440+30</f>
        <v/>
      </c>
      <c r="N9440">
        <f>IF(L9440="", "", L9440-B9440)</f>
        <v/>
      </c>
      <c r="O9440">
        <f>IF(L9440="", "Pending", IF(N9440&lt;=30, "Met", "Breached"))</f>
        <v/>
      </c>
    </row>
    <row r="9441">
      <c r="M9441" s="11">
        <f>B9441+30</f>
        <v/>
      </c>
      <c r="N9441">
        <f>IF(L9441="", "", L9441-B9441)</f>
        <v/>
      </c>
      <c r="O9441">
        <f>IF(L9441="", "Pending", IF(N9441&lt;=30, "Met", "Breached"))</f>
        <v/>
      </c>
    </row>
    <row r="9442">
      <c r="M9442" s="11">
        <f>B9442+30</f>
        <v/>
      </c>
      <c r="N9442">
        <f>IF(L9442="", "", L9442-B9442)</f>
        <v/>
      </c>
      <c r="O9442">
        <f>IF(L9442="", "Pending", IF(N9442&lt;=30, "Met", "Breached"))</f>
        <v/>
      </c>
    </row>
    <row r="9443">
      <c r="M9443" s="11">
        <f>B9443+30</f>
        <v/>
      </c>
      <c r="N9443">
        <f>IF(L9443="", "", L9443-B9443)</f>
        <v/>
      </c>
      <c r="O9443">
        <f>IF(L9443="", "Pending", IF(N9443&lt;=30, "Met", "Breached"))</f>
        <v/>
      </c>
    </row>
    <row r="9444">
      <c r="M9444" s="11">
        <f>B9444+30</f>
        <v/>
      </c>
      <c r="N9444">
        <f>IF(L9444="", "", L9444-B9444)</f>
        <v/>
      </c>
      <c r="O9444">
        <f>IF(L9444="", "Pending", IF(N9444&lt;=30, "Met", "Breached"))</f>
        <v/>
      </c>
    </row>
    <row r="9445">
      <c r="M9445" s="11">
        <f>B9445+30</f>
        <v/>
      </c>
      <c r="N9445">
        <f>IF(L9445="", "", L9445-B9445)</f>
        <v/>
      </c>
      <c r="O9445">
        <f>IF(L9445="", "Pending", IF(N9445&lt;=30, "Met", "Breached"))</f>
        <v/>
      </c>
    </row>
    <row r="9446">
      <c r="M9446" s="11">
        <f>B9446+30</f>
        <v/>
      </c>
      <c r="N9446">
        <f>IF(L9446="", "", L9446-B9446)</f>
        <v/>
      </c>
      <c r="O9446">
        <f>IF(L9446="", "Pending", IF(N9446&lt;=30, "Met", "Breached"))</f>
        <v/>
      </c>
    </row>
    <row r="9447">
      <c r="M9447" s="11">
        <f>B9447+30</f>
        <v/>
      </c>
      <c r="N9447">
        <f>IF(L9447="", "", L9447-B9447)</f>
        <v/>
      </c>
      <c r="O9447">
        <f>IF(L9447="", "Pending", IF(N9447&lt;=30, "Met", "Breached"))</f>
        <v/>
      </c>
    </row>
    <row r="9448">
      <c r="M9448" s="11">
        <f>B9448+30</f>
        <v/>
      </c>
      <c r="N9448">
        <f>IF(L9448="", "", L9448-B9448)</f>
        <v/>
      </c>
      <c r="O9448">
        <f>IF(L9448="", "Pending", IF(N9448&lt;=30, "Met", "Breached"))</f>
        <v/>
      </c>
    </row>
    <row r="9449">
      <c r="M9449" s="11">
        <f>B9449+30</f>
        <v/>
      </c>
      <c r="N9449">
        <f>IF(L9449="", "", L9449-B9449)</f>
        <v/>
      </c>
      <c r="O9449">
        <f>IF(L9449="", "Pending", IF(N9449&lt;=30, "Met", "Breached"))</f>
        <v/>
      </c>
    </row>
    <row r="9450">
      <c r="M9450" s="11">
        <f>B9450+30</f>
        <v/>
      </c>
      <c r="N9450">
        <f>IF(L9450="", "", L9450-B9450)</f>
        <v/>
      </c>
      <c r="O9450">
        <f>IF(L9450="", "Pending", IF(N9450&lt;=30, "Met", "Breached"))</f>
        <v/>
      </c>
    </row>
    <row r="9451">
      <c r="M9451" s="11">
        <f>B9451+30</f>
        <v/>
      </c>
      <c r="N9451">
        <f>IF(L9451="", "", L9451-B9451)</f>
        <v/>
      </c>
      <c r="O9451">
        <f>IF(L9451="", "Pending", IF(N9451&lt;=30, "Met", "Breached"))</f>
        <v/>
      </c>
    </row>
    <row r="9452">
      <c r="M9452" s="11">
        <f>B9452+30</f>
        <v/>
      </c>
      <c r="N9452">
        <f>IF(L9452="", "", L9452-B9452)</f>
        <v/>
      </c>
      <c r="O9452">
        <f>IF(L9452="", "Pending", IF(N9452&lt;=30, "Met", "Breached"))</f>
        <v/>
      </c>
    </row>
    <row r="9453">
      <c r="M9453" s="11">
        <f>B9453+30</f>
        <v/>
      </c>
      <c r="N9453">
        <f>IF(L9453="", "", L9453-B9453)</f>
        <v/>
      </c>
      <c r="O9453">
        <f>IF(L9453="", "Pending", IF(N9453&lt;=30, "Met", "Breached"))</f>
        <v/>
      </c>
    </row>
    <row r="9454">
      <c r="M9454" s="11">
        <f>B9454+30</f>
        <v/>
      </c>
      <c r="N9454">
        <f>IF(L9454="", "", L9454-B9454)</f>
        <v/>
      </c>
      <c r="O9454">
        <f>IF(L9454="", "Pending", IF(N9454&lt;=30, "Met", "Breached"))</f>
        <v/>
      </c>
    </row>
    <row r="9455">
      <c r="M9455" s="11">
        <f>B9455+30</f>
        <v/>
      </c>
      <c r="N9455">
        <f>IF(L9455="", "", L9455-B9455)</f>
        <v/>
      </c>
      <c r="O9455">
        <f>IF(L9455="", "Pending", IF(N9455&lt;=30, "Met", "Breached"))</f>
        <v/>
      </c>
    </row>
    <row r="9456">
      <c r="M9456" s="11">
        <f>B9456+30</f>
        <v/>
      </c>
      <c r="N9456">
        <f>IF(L9456="", "", L9456-B9456)</f>
        <v/>
      </c>
      <c r="O9456">
        <f>IF(L9456="", "Pending", IF(N9456&lt;=30, "Met", "Breached"))</f>
        <v/>
      </c>
    </row>
    <row r="9457">
      <c r="M9457" s="11">
        <f>B9457+30</f>
        <v/>
      </c>
      <c r="N9457">
        <f>IF(L9457="", "", L9457-B9457)</f>
        <v/>
      </c>
      <c r="O9457">
        <f>IF(L9457="", "Pending", IF(N9457&lt;=30, "Met", "Breached"))</f>
        <v/>
      </c>
    </row>
    <row r="9458">
      <c r="M9458" s="11">
        <f>B9458+30</f>
        <v/>
      </c>
      <c r="N9458">
        <f>IF(L9458="", "", L9458-B9458)</f>
        <v/>
      </c>
      <c r="O9458">
        <f>IF(L9458="", "Pending", IF(N9458&lt;=30, "Met", "Breached"))</f>
        <v/>
      </c>
    </row>
    <row r="9459">
      <c r="M9459" s="11">
        <f>B9459+30</f>
        <v/>
      </c>
      <c r="N9459">
        <f>IF(L9459="", "", L9459-B9459)</f>
        <v/>
      </c>
      <c r="O9459">
        <f>IF(L9459="", "Pending", IF(N9459&lt;=30, "Met", "Breached"))</f>
        <v/>
      </c>
    </row>
    <row r="9460">
      <c r="M9460" s="11">
        <f>B9460+30</f>
        <v/>
      </c>
      <c r="N9460">
        <f>IF(L9460="", "", L9460-B9460)</f>
        <v/>
      </c>
      <c r="O9460">
        <f>IF(L9460="", "Pending", IF(N9460&lt;=30, "Met", "Breached"))</f>
        <v/>
      </c>
    </row>
    <row r="9461">
      <c r="M9461" s="11">
        <f>B9461+30</f>
        <v/>
      </c>
      <c r="N9461">
        <f>IF(L9461="", "", L9461-B9461)</f>
        <v/>
      </c>
      <c r="O9461">
        <f>IF(L9461="", "Pending", IF(N9461&lt;=30, "Met", "Breached"))</f>
        <v/>
      </c>
    </row>
    <row r="9462">
      <c r="M9462" s="11">
        <f>B9462+30</f>
        <v/>
      </c>
      <c r="N9462">
        <f>IF(L9462="", "", L9462-B9462)</f>
        <v/>
      </c>
      <c r="O9462">
        <f>IF(L9462="", "Pending", IF(N9462&lt;=30, "Met", "Breached"))</f>
        <v/>
      </c>
    </row>
    <row r="9463">
      <c r="M9463" s="11">
        <f>B9463+30</f>
        <v/>
      </c>
      <c r="N9463">
        <f>IF(L9463="", "", L9463-B9463)</f>
        <v/>
      </c>
      <c r="O9463">
        <f>IF(L9463="", "Pending", IF(N9463&lt;=30, "Met", "Breached"))</f>
        <v/>
      </c>
    </row>
    <row r="9464">
      <c r="M9464" s="11">
        <f>B9464+30</f>
        <v/>
      </c>
      <c r="N9464">
        <f>IF(L9464="", "", L9464-B9464)</f>
        <v/>
      </c>
      <c r="O9464">
        <f>IF(L9464="", "Pending", IF(N9464&lt;=30, "Met", "Breached"))</f>
        <v/>
      </c>
    </row>
    <row r="9465">
      <c r="M9465" s="11">
        <f>B9465+30</f>
        <v/>
      </c>
      <c r="N9465">
        <f>IF(L9465="", "", L9465-B9465)</f>
        <v/>
      </c>
      <c r="O9465">
        <f>IF(L9465="", "Pending", IF(N9465&lt;=30, "Met", "Breached"))</f>
        <v/>
      </c>
    </row>
    <row r="9466">
      <c r="M9466" s="11">
        <f>B9466+30</f>
        <v/>
      </c>
      <c r="N9466">
        <f>IF(L9466="", "", L9466-B9466)</f>
        <v/>
      </c>
      <c r="O9466">
        <f>IF(L9466="", "Pending", IF(N9466&lt;=30, "Met", "Breached"))</f>
        <v/>
      </c>
    </row>
    <row r="9467">
      <c r="M9467" s="11">
        <f>B9467+30</f>
        <v/>
      </c>
      <c r="N9467">
        <f>IF(L9467="", "", L9467-B9467)</f>
        <v/>
      </c>
      <c r="O9467">
        <f>IF(L9467="", "Pending", IF(N9467&lt;=30, "Met", "Breached"))</f>
        <v/>
      </c>
    </row>
    <row r="9468">
      <c r="M9468" s="11">
        <f>B9468+30</f>
        <v/>
      </c>
      <c r="N9468">
        <f>IF(L9468="", "", L9468-B9468)</f>
        <v/>
      </c>
      <c r="O9468">
        <f>IF(L9468="", "Pending", IF(N9468&lt;=30, "Met", "Breached"))</f>
        <v/>
      </c>
    </row>
    <row r="9469">
      <c r="M9469" s="11">
        <f>B9469+30</f>
        <v/>
      </c>
      <c r="N9469">
        <f>IF(L9469="", "", L9469-B9469)</f>
        <v/>
      </c>
      <c r="O9469">
        <f>IF(L9469="", "Pending", IF(N9469&lt;=30, "Met", "Breached"))</f>
        <v/>
      </c>
    </row>
    <row r="9470">
      <c r="M9470" s="11">
        <f>B9470+30</f>
        <v/>
      </c>
      <c r="N9470">
        <f>IF(L9470="", "", L9470-B9470)</f>
        <v/>
      </c>
      <c r="O9470">
        <f>IF(L9470="", "Pending", IF(N9470&lt;=30, "Met", "Breached"))</f>
        <v/>
      </c>
    </row>
    <row r="9471">
      <c r="M9471" s="11">
        <f>B9471+30</f>
        <v/>
      </c>
      <c r="N9471">
        <f>IF(L9471="", "", L9471-B9471)</f>
        <v/>
      </c>
      <c r="O9471">
        <f>IF(L9471="", "Pending", IF(N9471&lt;=30, "Met", "Breached"))</f>
        <v/>
      </c>
    </row>
    <row r="9472">
      <c r="M9472" s="11">
        <f>B9472+30</f>
        <v/>
      </c>
      <c r="N9472">
        <f>IF(L9472="", "", L9472-B9472)</f>
        <v/>
      </c>
      <c r="O9472">
        <f>IF(L9472="", "Pending", IF(N9472&lt;=30, "Met", "Breached"))</f>
        <v/>
      </c>
    </row>
    <row r="9473">
      <c r="M9473" s="11">
        <f>B9473+30</f>
        <v/>
      </c>
      <c r="N9473">
        <f>IF(L9473="", "", L9473-B9473)</f>
        <v/>
      </c>
      <c r="O9473">
        <f>IF(L9473="", "Pending", IF(N9473&lt;=30, "Met", "Breached"))</f>
        <v/>
      </c>
    </row>
    <row r="9474">
      <c r="M9474" s="11">
        <f>B9474+30</f>
        <v/>
      </c>
      <c r="N9474">
        <f>IF(L9474="", "", L9474-B9474)</f>
        <v/>
      </c>
      <c r="O9474">
        <f>IF(L9474="", "Pending", IF(N9474&lt;=30, "Met", "Breached"))</f>
        <v/>
      </c>
    </row>
    <row r="9475">
      <c r="M9475" s="11">
        <f>B9475+30</f>
        <v/>
      </c>
      <c r="N9475">
        <f>IF(L9475="", "", L9475-B9475)</f>
        <v/>
      </c>
      <c r="O9475">
        <f>IF(L9475="", "Pending", IF(N9475&lt;=30, "Met", "Breached"))</f>
        <v/>
      </c>
    </row>
    <row r="9476">
      <c r="M9476" s="11">
        <f>B9476+30</f>
        <v/>
      </c>
      <c r="N9476">
        <f>IF(L9476="", "", L9476-B9476)</f>
        <v/>
      </c>
      <c r="O9476">
        <f>IF(L9476="", "Pending", IF(N9476&lt;=30, "Met", "Breached"))</f>
        <v/>
      </c>
    </row>
    <row r="9477">
      <c r="M9477" s="11">
        <f>B9477+30</f>
        <v/>
      </c>
      <c r="N9477">
        <f>IF(L9477="", "", L9477-B9477)</f>
        <v/>
      </c>
      <c r="O9477">
        <f>IF(L9477="", "Pending", IF(N9477&lt;=30, "Met", "Breached"))</f>
        <v/>
      </c>
    </row>
    <row r="9478">
      <c r="M9478" s="11">
        <f>B9478+30</f>
        <v/>
      </c>
      <c r="N9478">
        <f>IF(L9478="", "", L9478-B9478)</f>
        <v/>
      </c>
      <c r="O9478">
        <f>IF(L9478="", "Pending", IF(N9478&lt;=30, "Met", "Breached"))</f>
        <v/>
      </c>
    </row>
    <row r="9479">
      <c r="M9479" s="11">
        <f>B9479+30</f>
        <v/>
      </c>
      <c r="N9479">
        <f>IF(L9479="", "", L9479-B9479)</f>
        <v/>
      </c>
      <c r="O9479">
        <f>IF(L9479="", "Pending", IF(N9479&lt;=30, "Met", "Breached"))</f>
        <v/>
      </c>
    </row>
    <row r="9480">
      <c r="M9480" s="11">
        <f>B9480+30</f>
        <v/>
      </c>
      <c r="N9480">
        <f>IF(L9480="", "", L9480-B9480)</f>
        <v/>
      </c>
      <c r="O9480">
        <f>IF(L9480="", "Pending", IF(N9480&lt;=30, "Met", "Breached"))</f>
        <v/>
      </c>
    </row>
    <row r="9481">
      <c r="M9481" s="11">
        <f>B9481+30</f>
        <v/>
      </c>
      <c r="N9481">
        <f>IF(L9481="", "", L9481-B9481)</f>
        <v/>
      </c>
      <c r="O9481">
        <f>IF(L9481="", "Pending", IF(N9481&lt;=30, "Met", "Breached"))</f>
        <v/>
      </c>
    </row>
    <row r="9482">
      <c r="M9482" s="11">
        <f>B9482+30</f>
        <v/>
      </c>
      <c r="N9482">
        <f>IF(L9482="", "", L9482-B9482)</f>
        <v/>
      </c>
      <c r="O9482">
        <f>IF(L9482="", "Pending", IF(N9482&lt;=30, "Met", "Breached"))</f>
        <v/>
      </c>
    </row>
    <row r="9483">
      <c r="M9483" s="11">
        <f>B9483+30</f>
        <v/>
      </c>
      <c r="N9483">
        <f>IF(L9483="", "", L9483-B9483)</f>
        <v/>
      </c>
      <c r="O9483">
        <f>IF(L9483="", "Pending", IF(N9483&lt;=30, "Met", "Breached"))</f>
        <v/>
      </c>
    </row>
    <row r="9484">
      <c r="M9484" s="11">
        <f>B9484+30</f>
        <v/>
      </c>
      <c r="N9484">
        <f>IF(L9484="", "", L9484-B9484)</f>
        <v/>
      </c>
      <c r="O9484">
        <f>IF(L9484="", "Pending", IF(N9484&lt;=30, "Met", "Breached"))</f>
        <v/>
      </c>
    </row>
    <row r="9485">
      <c r="M9485" s="11">
        <f>B9485+30</f>
        <v/>
      </c>
      <c r="N9485">
        <f>IF(L9485="", "", L9485-B9485)</f>
        <v/>
      </c>
      <c r="O9485">
        <f>IF(L9485="", "Pending", IF(N9485&lt;=30, "Met", "Breached"))</f>
        <v/>
      </c>
    </row>
    <row r="9486">
      <c r="M9486" s="11">
        <f>B9486+30</f>
        <v/>
      </c>
      <c r="N9486">
        <f>IF(L9486="", "", L9486-B9486)</f>
        <v/>
      </c>
      <c r="O9486">
        <f>IF(L9486="", "Pending", IF(N9486&lt;=30, "Met", "Breached"))</f>
        <v/>
      </c>
    </row>
    <row r="9487">
      <c r="M9487" s="11">
        <f>B9487+30</f>
        <v/>
      </c>
      <c r="N9487">
        <f>IF(L9487="", "", L9487-B9487)</f>
        <v/>
      </c>
      <c r="O9487">
        <f>IF(L9487="", "Pending", IF(N9487&lt;=30, "Met", "Breached"))</f>
        <v/>
      </c>
    </row>
    <row r="9488">
      <c r="M9488" s="11">
        <f>B9488+30</f>
        <v/>
      </c>
      <c r="N9488">
        <f>IF(L9488="", "", L9488-B9488)</f>
        <v/>
      </c>
      <c r="O9488">
        <f>IF(L9488="", "Pending", IF(N9488&lt;=30, "Met", "Breached"))</f>
        <v/>
      </c>
    </row>
    <row r="9489">
      <c r="M9489" s="11">
        <f>B9489+30</f>
        <v/>
      </c>
      <c r="N9489">
        <f>IF(L9489="", "", L9489-B9489)</f>
        <v/>
      </c>
      <c r="O9489">
        <f>IF(L9489="", "Pending", IF(N9489&lt;=30, "Met", "Breached"))</f>
        <v/>
      </c>
    </row>
    <row r="9490">
      <c r="M9490" s="11">
        <f>B9490+30</f>
        <v/>
      </c>
      <c r="N9490">
        <f>IF(L9490="", "", L9490-B9490)</f>
        <v/>
      </c>
      <c r="O9490">
        <f>IF(L9490="", "Pending", IF(N9490&lt;=30, "Met", "Breached"))</f>
        <v/>
      </c>
    </row>
    <row r="9491">
      <c r="M9491" s="11">
        <f>B9491+30</f>
        <v/>
      </c>
      <c r="N9491">
        <f>IF(L9491="", "", L9491-B9491)</f>
        <v/>
      </c>
      <c r="O9491">
        <f>IF(L9491="", "Pending", IF(N9491&lt;=30, "Met", "Breached"))</f>
        <v/>
      </c>
    </row>
    <row r="9492">
      <c r="M9492" s="11">
        <f>B9492+30</f>
        <v/>
      </c>
      <c r="N9492">
        <f>IF(L9492="", "", L9492-B9492)</f>
        <v/>
      </c>
      <c r="O9492">
        <f>IF(L9492="", "Pending", IF(N9492&lt;=30, "Met", "Breached"))</f>
        <v/>
      </c>
    </row>
    <row r="9493">
      <c r="M9493" s="11">
        <f>B9493+30</f>
        <v/>
      </c>
      <c r="N9493">
        <f>IF(L9493="", "", L9493-B9493)</f>
        <v/>
      </c>
      <c r="O9493">
        <f>IF(L9493="", "Pending", IF(N9493&lt;=30, "Met", "Breached"))</f>
        <v/>
      </c>
    </row>
    <row r="9494">
      <c r="M9494" s="11">
        <f>B9494+30</f>
        <v/>
      </c>
      <c r="N9494">
        <f>IF(L9494="", "", L9494-B9494)</f>
        <v/>
      </c>
      <c r="O9494">
        <f>IF(L9494="", "Pending", IF(N9494&lt;=30, "Met", "Breached"))</f>
        <v/>
      </c>
    </row>
    <row r="9495">
      <c r="M9495" s="11">
        <f>B9495+30</f>
        <v/>
      </c>
      <c r="N9495">
        <f>IF(L9495="", "", L9495-B9495)</f>
        <v/>
      </c>
      <c r="O9495">
        <f>IF(L9495="", "Pending", IF(N9495&lt;=30, "Met", "Breached"))</f>
        <v/>
      </c>
    </row>
    <row r="9496">
      <c r="M9496" s="11">
        <f>B9496+30</f>
        <v/>
      </c>
      <c r="N9496">
        <f>IF(L9496="", "", L9496-B9496)</f>
        <v/>
      </c>
      <c r="O9496">
        <f>IF(L9496="", "Pending", IF(N9496&lt;=30, "Met", "Breached"))</f>
        <v/>
      </c>
    </row>
    <row r="9497">
      <c r="M9497" s="11">
        <f>B9497+30</f>
        <v/>
      </c>
      <c r="N9497">
        <f>IF(L9497="", "", L9497-B9497)</f>
        <v/>
      </c>
      <c r="O9497">
        <f>IF(L9497="", "Pending", IF(N9497&lt;=30, "Met", "Breached"))</f>
        <v/>
      </c>
    </row>
    <row r="9498">
      <c r="M9498" s="11">
        <f>B9498+30</f>
        <v/>
      </c>
      <c r="N9498">
        <f>IF(L9498="", "", L9498-B9498)</f>
        <v/>
      </c>
      <c r="O9498">
        <f>IF(L9498="", "Pending", IF(N9498&lt;=30, "Met", "Breached"))</f>
        <v/>
      </c>
    </row>
    <row r="9499">
      <c r="M9499" s="11">
        <f>B9499+30</f>
        <v/>
      </c>
      <c r="N9499">
        <f>IF(L9499="", "", L9499-B9499)</f>
        <v/>
      </c>
      <c r="O9499">
        <f>IF(L9499="", "Pending", IF(N9499&lt;=30, "Met", "Breached"))</f>
        <v/>
      </c>
    </row>
    <row r="9500">
      <c r="M9500" s="11">
        <f>B9500+30</f>
        <v/>
      </c>
      <c r="N9500">
        <f>IF(L9500="", "", L9500-B9500)</f>
        <v/>
      </c>
      <c r="O9500">
        <f>IF(L9500="", "Pending", IF(N9500&lt;=30, "Met", "Breached"))</f>
        <v/>
      </c>
    </row>
    <row r="9501">
      <c r="M9501" s="11">
        <f>B9501+30</f>
        <v/>
      </c>
      <c r="N9501">
        <f>IF(L9501="", "", L9501-B9501)</f>
        <v/>
      </c>
      <c r="O9501">
        <f>IF(L9501="", "Pending", IF(N9501&lt;=30, "Met", "Breached"))</f>
        <v/>
      </c>
    </row>
    <row r="9502">
      <c r="M9502" s="11">
        <f>B9502+30</f>
        <v/>
      </c>
      <c r="N9502">
        <f>IF(L9502="", "", L9502-B9502)</f>
        <v/>
      </c>
      <c r="O9502">
        <f>IF(L9502="", "Pending", IF(N9502&lt;=30, "Met", "Breached"))</f>
        <v/>
      </c>
    </row>
    <row r="9503">
      <c r="M9503" s="11">
        <f>B9503+30</f>
        <v/>
      </c>
      <c r="N9503">
        <f>IF(L9503="", "", L9503-B9503)</f>
        <v/>
      </c>
      <c r="O9503">
        <f>IF(L9503="", "Pending", IF(N9503&lt;=30, "Met", "Breached"))</f>
        <v/>
      </c>
    </row>
    <row r="9504">
      <c r="M9504" s="11">
        <f>B9504+30</f>
        <v/>
      </c>
      <c r="N9504">
        <f>IF(L9504="", "", L9504-B9504)</f>
        <v/>
      </c>
      <c r="O9504">
        <f>IF(L9504="", "Pending", IF(N9504&lt;=30, "Met", "Breached"))</f>
        <v/>
      </c>
    </row>
    <row r="9505">
      <c r="M9505" s="11">
        <f>B9505+30</f>
        <v/>
      </c>
      <c r="N9505">
        <f>IF(L9505="", "", L9505-B9505)</f>
        <v/>
      </c>
      <c r="O9505">
        <f>IF(L9505="", "Pending", IF(N9505&lt;=30, "Met", "Breached"))</f>
        <v/>
      </c>
    </row>
    <row r="9506">
      <c r="M9506" s="11">
        <f>B9506+30</f>
        <v/>
      </c>
      <c r="N9506">
        <f>IF(L9506="", "", L9506-B9506)</f>
        <v/>
      </c>
      <c r="O9506">
        <f>IF(L9506="", "Pending", IF(N9506&lt;=30, "Met", "Breached"))</f>
        <v/>
      </c>
    </row>
    <row r="9507">
      <c r="M9507" s="11">
        <f>B9507+30</f>
        <v/>
      </c>
      <c r="N9507">
        <f>IF(L9507="", "", L9507-B9507)</f>
        <v/>
      </c>
      <c r="O9507">
        <f>IF(L9507="", "Pending", IF(N9507&lt;=30, "Met", "Breached"))</f>
        <v/>
      </c>
    </row>
    <row r="9508">
      <c r="M9508" s="11">
        <f>B9508+30</f>
        <v/>
      </c>
      <c r="N9508">
        <f>IF(L9508="", "", L9508-B9508)</f>
        <v/>
      </c>
      <c r="O9508">
        <f>IF(L9508="", "Pending", IF(N9508&lt;=30, "Met", "Breached"))</f>
        <v/>
      </c>
    </row>
    <row r="9509">
      <c r="M9509" s="11">
        <f>B9509+30</f>
        <v/>
      </c>
      <c r="N9509">
        <f>IF(L9509="", "", L9509-B9509)</f>
        <v/>
      </c>
      <c r="O9509">
        <f>IF(L9509="", "Pending", IF(N9509&lt;=30, "Met", "Breached"))</f>
        <v/>
      </c>
    </row>
    <row r="9510">
      <c r="M9510" s="11">
        <f>B9510+30</f>
        <v/>
      </c>
      <c r="N9510">
        <f>IF(L9510="", "", L9510-B9510)</f>
        <v/>
      </c>
      <c r="O9510">
        <f>IF(L9510="", "Pending", IF(N9510&lt;=30, "Met", "Breached"))</f>
        <v/>
      </c>
    </row>
    <row r="9511">
      <c r="M9511" s="11">
        <f>B9511+30</f>
        <v/>
      </c>
      <c r="N9511">
        <f>IF(L9511="", "", L9511-B9511)</f>
        <v/>
      </c>
      <c r="O9511">
        <f>IF(L9511="", "Pending", IF(N9511&lt;=30, "Met", "Breached"))</f>
        <v/>
      </c>
    </row>
    <row r="9512">
      <c r="M9512" s="11">
        <f>B9512+30</f>
        <v/>
      </c>
      <c r="N9512">
        <f>IF(L9512="", "", L9512-B9512)</f>
        <v/>
      </c>
      <c r="O9512">
        <f>IF(L9512="", "Pending", IF(N9512&lt;=30, "Met", "Breached"))</f>
        <v/>
      </c>
    </row>
    <row r="9513">
      <c r="M9513" s="11">
        <f>B9513+30</f>
        <v/>
      </c>
      <c r="N9513">
        <f>IF(L9513="", "", L9513-B9513)</f>
        <v/>
      </c>
      <c r="O9513">
        <f>IF(L9513="", "Pending", IF(N9513&lt;=30, "Met", "Breached"))</f>
        <v/>
      </c>
    </row>
    <row r="9514">
      <c r="M9514" s="11">
        <f>B9514+30</f>
        <v/>
      </c>
      <c r="N9514">
        <f>IF(L9514="", "", L9514-B9514)</f>
        <v/>
      </c>
      <c r="O9514">
        <f>IF(L9514="", "Pending", IF(N9514&lt;=30, "Met", "Breached"))</f>
        <v/>
      </c>
    </row>
    <row r="9515">
      <c r="M9515" s="11">
        <f>B9515+30</f>
        <v/>
      </c>
      <c r="N9515">
        <f>IF(L9515="", "", L9515-B9515)</f>
        <v/>
      </c>
      <c r="O9515">
        <f>IF(L9515="", "Pending", IF(N9515&lt;=30, "Met", "Breached"))</f>
        <v/>
      </c>
    </row>
    <row r="9516">
      <c r="M9516" s="11">
        <f>B9516+30</f>
        <v/>
      </c>
      <c r="N9516">
        <f>IF(L9516="", "", L9516-B9516)</f>
        <v/>
      </c>
      <c r="O9516">
        <f>IF(L9516="", "Pending", IF(N9516&lt;=30, "Met", "Breached"))</f>
        <v/>
      </c>
    </row>
    <row r="9517">
      <c r="M9517" s="11">
        <f>B9517+30</f>
        <v/>
      </c>
      <c r="N9517">
        <f>IF(L9517="", "", L9517-B9517)</f>
        <v/>
      </c>
      <c r="O9517">
        <f>IF(L9517="", "Pending", IF(N9517&lt;=30, "Met", "Breached"))</f>
        <v/>
      </c>
    </row>
    <row r="9518">
      <c r="M9518" s="11">
        <f>B9518+30</f>
        <v/>
      </c>
      <c r="N9518">
        <f>IF(L9518="", "", L9518-B9518)</f>
        <v/>
      </c>
      <c r="O9518">
        <f>IF(L9518="", "Pending", IF(N9518&lt;=30, "Met", "Breached"))</f>
        <v/>
      </c>
    </row>
    <row r="9519">
      <c r="M9519" s="11">
        <f>B9519+30</f>
        <v/>
      </c>
      <c r="N9519">
        <f>IF(L9519="", "", L9519-B9519)</f>
        <v/>
      </c>
      <c r="O9519">
        <f>IF(L9519="", "Pending", IF(N9519&lt;=30, "Met", "Breached"))</f>
        <v/>
      </c>
    </row>
    <row r="9520">
      <c r="M9520" s="11">
        <f>B9520+30</f>
        <v/>
      </c>
      <c r="N9520">
        <f>IF(L9520="", "", L9520-B9520)</f>
        <v/>
      </c>
      <c r="O9520">
        <f>IF(L9520="", "Pending", IF(N9520&lt;=30, "Met", "Breached"))</f>
        <v/>
      </c>
    </row>
    <row r="9521">
      <c r="M9521" s="11">
        <f>B9521+30</f>
        <v/>
      </c>
      <c r="N9521">
        <f>IF(L9521="", "", L9521-B9521)</f>
        <v/>
      </c>
      <c r="O9521">
        <f>IF(L9521="", "Pending", IF(N9521&lt;=30, "Met", "Breached"))</f>
        <v/>
      </c>
    </row>
    <row r="9522">
      <c r="M9522" s="11">
        <f>B9522+30</f>
        <v/>
      </c>
      <c r="N9522">
        <f>IF(L9522="", "", L9522-B9522)</f>
        <v/>
      </c>
      <c r="O9522">
        <f>IF(L9522="", "Pending", IF(N9522&lt;=30, "Met", "Breached"))</f>
        <v/>
      </c>
    </row>
    <row r="9523">
      <c r="M9523" s="11">
        <f>B9523+30</f>
        <v/>
      </c>
      <c r="N9523">
        <f>IF(L9523="", "", L9523-B9523)</f>
        <v/>
      </c>
      <c r="O9523">
        <f>IF(L9523="", "Pending", IF(N9523&lt;=30, "Met", "Breached"))</f>
        <v/>
      </c>
    </row>
    <row r="9524">
      <c r="M9524" s="11">
        <f>B9524+30</f>
        <v/>
      </c>
      <c r="N9524">
        <f>IF(L9524="", "", L9524-B9524)</f>
        <v/>
      </c>
      <c r="O9524">
        <f>IF(L9524="", "Pending", IF(N9524&lt;=30, "Met", "Breached"))</f>
        <v/>
      </c>
    </row>
    <row r="9525">
      <c r="M9525" s="11">
        <f>B9525+30</f>
        <v/>
      </c>
      <c r="N9525">
        <f>IF(L9525="", "", L9525-B9525)</f>
        <v/>
      </c>
      <c r="O9525">
        <f>IF(L9525="", "Pending", IF(N9525&lt;=30, "Met", "Breached"))</f>
        <v/>
      </c>
    </row>
    <row r="9526">
      <c r="M9526" s="11">
        <f>B9526+30</f>
        <v/>
      </c>
      <c r="N9526">
        <f>IF(L9526="", "", L9526-B9526)</f>
        <v/>
      </c>
      <c r="O9526">
        <f>IF(L9526="", "Pending", IF(N9526&lt;=30, "Met", "Breached"))</f>
        <v/>
      </c>
    </row>
    <row r="9527">
      <c r="M9527" s="11">
        <f>B9527+30</f>
        <v/>
      </c>
      <c r="N9527">
        <f>IF(L9527="", "", L9527-B9527)</f>
        <v/>
      </c>
      <c r="O9527">
        <f>IF(L9527="", "Pending", IF(N9527&lt;=30, "Met", "Breached"))</f>
        <v/>
      </c>
    </row>
    <row r="9528">
      <c r="M9528" s="11">
        <f>B9528+30</f>
        <v/>
      </c>
      <c r="N9528">
        <f>IF(L9528="", "", L9528-B9528)</f>
        <v/>
      </c>
      <c r="O9528">
        <f>IF(L9528="", "Pending", IF(N9528&lt;=30, "Met", "Breached"))</f>
        <v/>
      </c>
    </row>
    <row r="9529">
      <c r="M9529" s="11">
        <f>B9529+30</f>
        <v/>
      </c>
      <c r="N9529">
        <f>IF(L9529="", "", L9529-B9529)</f>
        <v/>
      </c>
      <c r="O9529">
        <f>IF(L9529="", "Pending", IF(N9529&lt;=30, "Met", "Breached"))</f>
        <v/>
      </c>
    </row>
    <row r="9530">
      <c r="M9530" s="11">
        <f>B9530+30</f>
        <v/>
      </c>
      <c r="N9530">
        <f>IF(L9530="", "", L9530-B9530)</f>
        <v/>
      </c>
      <c r="O9530">
        <f>IF(L9530="", "Pending", IF(N9530&lt;=30, "Met", "Breached"))</f>
        <v/>
      </c>
    </row>
    <row r="9531">
      <c r="M9531" s="11">
        <f>B9531+30</f>
        <v/>
      </c>
      <c r="N9531">
        <f>IF(L9531="", "", L9531-B9531)</f>
        <v/>
      </c>
      <c r="O9531">
        <f>IF(L9531="", "Pending", IF(N9531&lt;=30, "Met", "Breached"))</f>
        <v/>
      </c>
    </row>
    <row r="9532">
      <c r="M9532" s="11">
        <f>B9532+30</f>
        <v/>
      </c>
      <c r="N9532">
        <f>IF(L9532="", "", L9532-B9532)</f>
        <v/>
      </c>
      <c r="O9532">
        <f>IF(L9532="", "Pending", IF(N9532&lt;=30, "Met", "Breached"))</f>
        <v/>
      </c>
    </row>
    <row r="9533">
      <c r="M9533" s="11">
        <f>B9533+30</f>
        <v/>
      </c>
      <c r="N9533">
        <f>IF(L9533="", "", L9533-B9533)</f>
        <v/>
      </c>
      <c r="O9533">
        <f>IF(L9533="", "Pending", IF(N9533&lt;=30, "Met", "Breached"))</f>
        <v/>
      </c>
    </row>
    <row r="9534">
      <c r="M9534" s="11">
        <f>B9534+30</f>
        <v/>
      </c>
      <c r="N9534">
        <f>IF(L9534="", "", L9534-B9534)</f>
        <v/>
      </c>
      <c r="O9534">
        <f>IF(L9534="", "Pending", IF(N9534&lt;=30, "Met", "Breached"))</f>
        <v/>
      </c>
    </row>
    <row r="9535">
      <c r="M9535" s="11">
        <f>B9535+30</f>
        <v/>
      </c>
      <c r="N9535">
        <f>IF(L9535="", "", L9535-B9535)</f>
        <v/>
      </c>
      <c r="O9535">
        <f>IF(L9535="", "Pending", IF(N9535&lt;=30, "Met", "Breached"))</f>
        <v/>
      </c>
    </row>
    <row r="9536">
      <c r="M9536" s="11">
        <f>B9536+30</f>
        <v/>
      </c>
      <c r="N9536">
        <f>IF(L9536="", "", L9536-B9536)</f>
        <v/>
      </c>
      <c r="O9536">
        <f>IF(L9536="", "Pending", IF(N9536&lt;=30, "Met", "Breached"))</f>
        <v/>
      </c>
    </row>
    <row r="9537">
      <c r="M9537" s="11">
        <f>B9537+30</f>
        <v/>
      </c>
      <c r="N9537">
        <f>IF(L9537="", "", L9537-B9537)</f>
        <v/>
      </c>
      <c r="O9537">
        <f>IF(L9537="", "Pending", IF(N9537&lt;=30, "Met", "Breached"))</f>
        <v/>
      </c>
    </row>
    <row r="9538">
      <c r="M9538" s="11">
        <f>B9538+30</f>
        <v/>
      </c>
      <c r="N9538">
        <f>IF(L9538="", "", L9538-B9538)</f>
        <v/>
      </c>
      <c r="O9538">
        <f>IF(L9538="", "Pending", IF(N9538&lt;=30, "Met", "Breached"))</f>
        <v/>
      </c>
    </row>
    <row r="9539">
      <c r="M9539" s="11">
        <f>B9539+30</f>
        <v/>
      </c>
      <c r="N9539">
        <f>IF(L9539="", "", L9539-B9539)</f>
        <v/>
      </c>
      <c r="O9539">
        <f>IF(L9539="", "Pending", IF(N9539&lt;=30, "Met", "Breached"))</f>
        <v/>
      </c>
    </row>
    <row r="9540">
      <c r="M9540" s="11">
        <f>B9540+30</f>
        <v/>
      </c>
      <c r="N9540">
        <f>IF(L9540="", "", L9540-B9540)</f>
        <v/>
      </c>
      <c r="O9540">
        <f>IF(L9540="", "Pending", IF(N9540&lt;=30, "Met", "Breached"))</f>
        <v/>
      </c>
    </row>
    <row r="9541">
      <c r="M9541" s="11">
        <f>B9541+30</f>
        <v/>
      </c>
      <c r="N9541">
        <f>IF(L9541="", "", L9541-B9541)</f>
        <v/>
      </c>
      <c r="O9541">
        <f>IF(L9541="", "Pending", IF(N9541&lt;=30, "Met", "Breached"))</f>
        <v/>
      </c>
    </row>
    <row r="9542">
      <c r="M9542" s="11">
        <f>B9542+30</f>
        <v/>
      </c>
      <c r="N9542">
        <f>IF(L9542="", "", L9542-B9542)</f>
        <v/>
      </c>
      <c r="O9542">
        <f>IF(L9542="", "Pending", IF(N9542&lt;=30, "Met", "Breached"))</f>
        <v/>
      </c>
    </row>
    <row r="9543">
      <c r="M9543" s="11">
        <f>B9543+30</f>
        <v/>
      </c>
      <c r="N9543">
        <f>IF(L9543="", "", L9543-B9543)</f>
        <v/>
      </c>
      <c r="O9543">
        <f>IF(L9543="", "Pending", IF(N9543&lt;=30, "Met", "Breached"))</f>
        <v/>
      </c>
    </row>
    <row r="9544">
      <c r="M9544" s="11">
        <f>B9544+30</f>
        <v/>
      </c>
      <c r="N9544">
        <f>IF(L9544="", "", L9544-B9544)</f>
        <v/>
      </c>
      <c r="O9544">
        <f>IF(L9544="", "Pending", IF(N9544&lt;=30, "Met", "Breached"))</f>
        <v/>
      </c>
    </row>
    <row r="9545">
      <c r="M9545" s="11">
        <f>B9545+30</f>
        <v/>
      </c>
      <c r="N9545">
        <f>IF(L9545="", "", L9545-B9545)</f>
        <v/>
      </c>
      <c r="O9545">
        <f>IF(L9545="", "Pending", IF(N9545&lt;=30, "Met", "Breached"))</f>
        <v/>
      </c>
    </row>
    <row r="9546">
      <c r="M9546" s="11">
        <f>B9546+30</f>
        <v/>
      </c>
      <c r="N9546">
        <f>IF(L9546="", "", L9546-B9546)</f>
        <v/>
      </c>
      <c r="O9546">
        <f>IF(L9546="", "Pending", IF(N9546&lt;=30, "Met", "Breached"))</f>
        <v/>
      </c>
    </row>
    <row r="9547">
      <c r="M9547" s="11">
        <f>B9547+30</f>
        <v/>
      </c>
      <c r="N9547">
        <f>IF(L9547="", "", L9547-B9547)</f>
        <v/>
      </c>
      <c r="O9547">
        <f>IF(L9547="", "Pending", IF(N9547&lt;=30, "Met", "Breached"))</f>
        <v/>
      </c>
    </row>
    <row r="9548">
      <c r="M9548" s="11">
        <f>B9548+30</f>
        <v/>
      </c>
      <c r="N9548">
        <f>IF(L9548="", "", L9548-B9548)</f>
        <v/>
      </c>
      <c r="O9548">
        <f>IF(L9548="", "Pending", IF(N9548&lt;=30, "Met", "Breached"))</f>
        <v/>
      </c>
    </row>
    <row r="9549">
      <c r="M9549" s="11">
        <f>B9549+30</f>
        <v/>
      </c>
      <c r="N9549">
        <f>IF(L9549="", "", L9549-B9549)</f>
        <v/>
      </c>
      <c r="O9549">
        <f>IF(L9549="", "Pending", IF(N9549&lt;=30, "Met", "Breached"))</f>
        <v/>
      </c>
    </row>
    <row r="9550">
      <c r="M9550" s="11">
        <f>B9550+30</f>
        <v/>
      </c>
      <c r="N9550">
        <f>IF(L9550="", "", L9550-B9550)</f>
        <v/>
      </c>
      <c r="O9550">
        <f>IF(L9550="", "Pending", IF(N9550&lt;=30, "Met", "Breached"))</f>
        <v/>
      </c>
    </row>
    <row r="9551">
      <c r="M9551" s="11">
        <f>B9551+30</f>
        <v/>
      </c>
      <c r="N9551">
        <f>IF(L9551="", "", L9551-B9551)</f>
        <v/>
      </c>
      <c r="O9551">
        <f>IF(L9551="", "Pending", IF(N9551&lt;=30, "Met", "Breached"))</f>
        <v/>
      </c>
    </row>
    <row r="9552">
      <c r="M9552" s="11">
        <f>B9552+30</f>
        <v/>
      </c>
      <c r="N9552">
        <f>IF(L9552="", "", L9552-B9552)</f>
        <v/>
      </c>
      <c r="O9552">
        <f>IF(L9552="", "Pending", IF(N9552&lt;=30, "Met", "Breached"))</f>
        <v/>
      </c>
    </row>
    <row r="9553">
      <c r="M9553" s="11">
        <f>B9553+30</f>
        <v/>
      </c>
      <c r="N9553">
        <f>IF(L9553="", "", L9553-B9553)</f>
        <v/>
      </c>
      <c r="O9553">
        <f>IF(L9553="", "Pending", IF(N9553&lt;=30, "Met", "Breached"))</f>
        <v/>
      </c>
    </row>
    <row r="9554">
      <c r="M9554" s="11">
        <f>B9554+30</f>
        <v/>
      </c>
      <c r="N9554">
        <f>IF(L9554="", "", L9554-B9554)</f>
        <v/>
      </c>
      <c r="O9554">
        <f>IF(L9554="", "Pending", IF(N9554&lt;=30, "Met", "Breached"))</f>
        <v/>
      </c>
    </row>
    <row r="9555">
      <c r="M9555" s="11">
        <f>B9555+30</f>
        <v/>
      </c>
      <c r="N9555">
        <f>IF(L9555="", "", L9555-B9555)</f>
        <v/>
      </c>
      <c r="O9555">
        <f>IF(L9555="", "Pending", IF(N9555&lt;=30, "Met", "Breached"))</f>
        <v/>
      </c>
    </row>
    <row r="9556">
      <c r="M9556" s="11">
        <f>B9556+30</f>
        <v/>
      </c>
      <c r="N9556">
        <f>IF(L9556="", "", L9556-B9556)</f>
        <v/>
      </c>
      <c r="O9556">
        <f>IF(L9556="", "Pending", IF(N9556&lt;=30, "Met", "Breached"))</f>
        <v/>
      </c>
    </row>
    <row r="9557">
      <c r="M9557" s="11">
        <f>B9557+30</f>
        <v/>
      </c>
      <c r="N9557">
        <f>IF(L9557="", "", L9557-B9557)</f>
        <v/>
      </c>
      <c r="O9557">
        <f>IF(L9557="", "Pending", IF(N9557&lt;=30, "Met", "Breached"))</f>
        <v/>
      </c>
    </row>
    <row r="9558">
      <c r="M9558" s="11">
        <f>B9558+30</f>
        <v/>
      </c>
      <c r="N9558">
        <f>IF(L9558="", "", L9558-B9558)</f>
        <v/>
      </c>
      <c r="O9558">
        <f>IF(L9558="", "Pending", IF(N9558&lt;=30, "Met", "Breached"))</f>
        <v/>
      </c>
    </row>
    <row r="9559">
      <c r="M9559" s="11">
        <f>B9559+30</f>
        <v/>
      </c>
      <c r="N9559">
        <f>IF(L9559="", "", L9559-B9559)</f>
        <v/>
      </c>
      <c r="O9559">
        <f>IF(L9559="", "Pending", IF(N9559&lt;=30, "Met", "Breached"))</f>
        <v/>
      </c>
    </row>
    <row r="9560">
      <c r="M9560" s="11">
        <f>B9560+30</f>
        <v/>
      </c>
      <c r="N9560">
        <f>IF(L9560="", "", L9560-B9560)</f>
        <v/>
      </c>
      <c r="O9560">
        <f>IF(L9560="", "Pending", IF(N9560&lt;=30, "Met", "Breached"))</f>
        <v/>
      </c>
    </row>
    <row r="9561">
      <c r="M9561" s="11">
        <f>B9561+30</f>
        <v/>
      </c>
      <c r="N9561">
        <f>IF(L9561="", "", L9561-B9561)</f>
        <v/>
      </c>
      <c r="O9561">
        <f>IF(L9561="", "Pending", IF(N9561&lt;=30, "Met", "Breached"))</f>
        <v/>
      </c>
    </row>
    <row r="9562">
      <c r="M9562" s="11">
        <f>B9562+30</f>
        <v/>
      </c>
      <c r="N9562">
        <f>IF(L9562="", "", L9562-B9562)</f>
        <v/>
      </c>
      <c r="O9562">
        <f>IF(L9562="", "Pending", IF(N9562&lt;=30, "Met", "Breached"))</f>
        <v/>
      </c>
    </row>
    <row r="9563">
      <c r="M9563" s="11">
        <f>B9563+30</f>
        <v/>
      </c>
      <c r="N9563">
        <f>IF(L9563="", "", L9563-B9563)</f>
        <v/>
      </c>
      <c r="O9563">
        <f>IF(L9563="", "Pending", IF(N9563&lt;=30, "Met", "Breached"))</f>
        <v/>
      </c>
    </row>
    <row r="9564">
      <c r="M9564" s="11">
        <f>B9564+30</f>
        <v/>
      </c>
      <c r="N9564">
        <f>IF(L9564="", "", L9564-B9564)</f>
        <v/>
      </c>
      <c r="O9564">
        <f>IF(L9564="", "Pending", IF(N9564&lt;=30, "Met", "Breached"))</f>
        <v/>
      </c>
    </row>
    <row r="9565">
      <c r="M9565" s="11">
        <f>B9565+30</f>
        <v/>
      </c>
      <c r="N9565">
        <f>IF(L9565="", "", L9565-B9565)</f>
        <v/>
      </c>
      <c r="O9565">
        <f>IF(L9565="", "Pending", IF(N9565&lt;=30, "Met", "Breached"))</f>
        <v/>
      </c>
    </row>
    <row r="9566">
      <c r="M9566" s="11">
        <f>B9566+30</f>
        <v/>
      </c>
      <c r="N9566">
        <f>IF(L9566="", "", L9566-B9566)</f>
        <v/>
      </c>
      <c r="O9566">
        <f>IF(L9566="", "Pending", IF(N9566&lt;=30, "Met", "Breached"))</f>
        <v/>
      </c>
    </row>
    <row r="9567">
      <c r="M9567" s="11">
        <f>B9567+30</f>
        <v/>
      </c>
      <c r="N9567">
        <f>IF(L9567="", "", L9567-B9567)</f>
        <v/>
      </c>
      <c r="O9567">
        <f>IF(L9567="", "Pending", IF(N9567&lt;=30, "Met", "Breached"))</f>
        <v/>
      </c>
    </row>
    <row r="9568">
      <c r="M9568" s="11">
        <f>B9568+30</f>
        <v/>
      </c>
      <c r="N9568">
        <f>IF(L9568="", "", L9568-B9568)</f>
        <v/>
      </c>
      <c r="O9568">
        <f>IF(L9568="", "Pending", IF(N9568&lt;=30, "Met", "Breached"))</f>
        <v/>
      </c>
    </row>
    <row r="9569">
      <c r="M9569" s="11">
        <f>B9569+30</f>
        <v/>
      </c>
      <c r="N9569">
        <f>IF(L9569="", "", L9569-B9569)</f>
        <v/>
      </c>
      <c r="O9569">
        <f>IF(L9569="", "Pending", IF(N9569&lt;=30, "Met", "Breached"))</f>
        <v/>
      </c>
    </row>
    <row r="9570">
      <c r="M9570" s="11">
        <f>B9570+30</f>
        <v/>
      </c>
      <c r="N9570">
        <f>IF(L9570="", "", L9570-B9570)</f>
        <v/>
      </c>
      <c r="O9570">
        <f>IF(L9570="", "Pending", IF(N9570&lt;=30, "Met", "Breached"))</f>
        <v/>
      </c>
    </row>
    <row r="9571">
      <c r="M9571" s="11">
        <f>B9571+30</f>
        <v/>
      </c>
      <c r="N9571">
        <f>IF(L9571="", "", L9571-B9571)</f>
        <v/>
      </c>
      <c r="O9571">
        <f>IF(L9571="", "Pending", IF(N9571&lt;=30, "Met", "Breached"))</f>
        <v/>
      </c>
    </row>
    <row r="9572">
      <c r="M9572" s="11">
        <f>B9572+30</f>
        <v/>
      </c>
      <c r="N9572">
        <f>IF(L9572="", "", L9572-B9572)</f>
        <v/>
      </c>
      <c r="O9572">
        <f>IF(L9572="", "Pending", IF(N9572&lt;=30, "Met", "Breached"))</f>
        <v/>
      </c>
    </row>
    <row r="9573">
      <c r="M9573" s="11">
        <f>B9573+30</f>
        <v/>
      </c>
      <c r="N9573">
        <f>IF(L9573="", "", L9573-B9573)</f>
        <v/>
      </c>
      <c r="O9573">
        <f>IF(L9573="", "Pending", IF(N9573&lt;=30, "Met", "Breached"))</f>
        <v/>
      </c>
    </row>
    <row r="9574">
      <c r="M9574" s="11">
        <f>B9574+30</f>
        <v/>
      </c>
      <c r="N9574">
        <f>IF(L9574="", "", L9574-B9574)</f>
        <v/>
      </c>
      <c r="O9574">
        <f>IF(L9574="", "Pending", IF(N9574&lt;=30, "Met", "Breached"))</f>
        <v/>
      </c>
    </row>
    <row r="9575">
      <c r="M9575" s="11">
        <f>B9575+30</f>
        <v/>
      </c>
      <c r="N9575">
        <f>IF(L9575="", "", L9575-B9575)</f>
        <v/>
      </c>
      <c r="O9575">
        <f>IF(L9575="", "Pending", IF(N9575&lt;=30, "Met", "Breached"))</f>
        <v/>
      </c>
    </row>
    <row r="9576">
      <c r="M9576" s="11">
        <f>B9576+30</f>
        <v/>
      </c>
      <c r="N9576">
        <f>IF(L9576="", "", L9576-B9576)</f>
        <v/>
      </c>
      <c r="O9576">
        <f>IF(L9576="", "Pending", IF(N9576&lt;=30, "Met", "Breached"))</f>
        <v/>
      </c>
    </row>
    <row r="9577">
      <c r="M9577" s="11">
        <f>B9577+30</f>
        <v/>
      </c>
      <c r="N9577">
        <f>IF(L9577="", "", L9577-B9577)</f>
        <v/>
      </c>
      <c r="O9577">
        <f>IF(L9577="", "Pending", IF(N9577&lt;=30, "Met", "Breached"))</f>
        <v/>
      </c>
    </row>
    <row r="9578">
      <c r="M9578" s="11">
        <f>B9578+30</f>
        <v/>
      </c>
      <c r="N9578">
        <f>IF(L9578="", "", L9578-B9578)</f>
        <v/>
      </c>
      <c r="O9578">
        <f>IF(L9578="", "Pending", IF(N9578&lt;=30, "Met", "Breached"))</f>
        <v/>
      </c>
    </row>
    <row r="9579">
      <c r="M9579" s="11">
        <f>B9579+30</f>
        <v/>
      </c>
      <c r="N9579">
        <f>IF(L9579="", "", L9579-B9579)</f>
        <v/>
      </c>
      <c r="O9579">
        <f>IF(L9579="", "Pending", IF(N9579&lt;=30, "Met", "Breached"))</f>
        <v/>
      </c>
    </row>
    <row r="9580">
      <c r="M9580" s="11">
        <f>B9580+30</f>
        <v/>
      </c>
      <c r="N9580">
        <f>IF(L9580="", "", L9580-B9580)</f>
        <v/>
      </c>
      <c r="O9580">
        <f>IF(L9580="", "Pending", IF(N9580&lt;=30, "Met", "Breached"))</f>
        <v/>
      </c>
    </row>
    <row r="9581">
      <c r="M9581" s="11">
        <f>B9581+30</f>
        <v/>
      </c>
      <c r="N9581">
        <f>IF(L9581="", "", L9581-B9581)</f>
        <v/>
      </c>
      <c r="O9581">
        <f>IF(L9581="", "Pending", IF(N9581&lt;=30, "Met", "Breached"))</f>
        <v/>
      </c>
    </row>
    <row r="9582">
      <c r="M9582" s="11">
        <f>B9582+30</f>
        <v/>
      </c>
      <c r="N9582">
        <f>IF(L9582="", "", L9582-B9582)</f>
        <v/>
      </c>
      <c r="O9582">
        <f>IF(L9582="", "Pending", IF(N9582&lt;=30, "Met", "Breached"))</f>
        <v/>
      </c>
    </row>
    <row r="9583">
      <c r="M9583" s="11">
        <f>B9583+30</f>
        <v/>
      </c>
      <c r="N9583">
        <f>IF(L9583="", "", L9583-B9583)</f>
        <v/>
      </c>
      <c r="O9583">
        <f>IF(L9583="", "Pending", IF(N9583&lt;=30, "Met", "Breached"))</f>
        <v/>
      </c>
    </row>
    <row r="9584">
      <c r="M9584" s="11">
        <f>B9584+30</f>
        <v/>
      </c>
      <c r="N9584">
        <f>IF(L9584="", "", L9584-B9584)</f>
        <v/>
      </c>
      <c r="O9584">
        <f>IF(L9584="", "Pending", IF(N9584&lt;=30, "Met", "Breached"))</f>
        <v/>
      </c>
    </row>
    <row r="9585">
      <c r="M9585" s="11">
        <f>B9585+30</f>
        <v/>
      </c>
      <c r="N9585">
        <f>IF(L9585="", "", L9585-B9585)</f>
        <v/>
      </c>
      <c r="O9585">
        <f>IF(L9585="", "Pending", IF(N9585&lt;=30, "Met", "Breached"))</f>
        <v/>
      </c>
    </row>
    <row r="9586">
      <c r="M9586" s="11">
        <f>B9586+30</f>
        <v/>
      </c>
      <c r="N9586">
        <f>IF(L9586="", "", L9586-B9586)</f>
        <v/>
      </c>
      <c r="O9586">
        <f>IF(L9586="", "Pending", IF(N9586&lt;=30, "Met", "Breached"))</f>
        <v/>
      </c>
    </row>
    <row r="9587">
      <c r="M9587" s="11">
        <f>B9587+30</f>
        <v/>
      </c>
      <c r="N9587">
        <f>IF(L9587="", "", L9587-B9587)</f>
        <v/>
      </c>
      <c r="O9587">
        <f>IF(L9587="", "Pending", IF(N9587&lt;=30, "Met", "Breached"))</f>
        <v/>
      </c>
    </row>
    <row r="9588">
      <c r="M9588" s="11">
        <f>B9588+30</f>
        <v/>
      </c>
      <c r="N9588">
        <f>IF(L9588="", "", L9588-B9588)</f>
        <v/>
      </c>
      <c r="O9588">
        <f>IF(L9588="", "Pending", IF(N9588&lt;=30, "Met", "Breached"))</f>
        <v/>
      </c>
    </row>
    <row r="9589">
      <c r="M9589" s="11">
        <f>B9589+30</f>
        <v/>
      </c>
      <c r="N9589">
        <f>IF(L9589="", "", L9589-B9589)</f>
        <v/>
      </c>
      <c r="O9589">
        <f>IF(L9589="", "Pending", IF(N9589&lt;=30, "Met", "Breached"))</f>
        <v/>
      </c>
    </row>
    <row r="9590">
      <c r="M9590" s="11">
        <f>B9590+30</f>
        <v/>
      </c>
      <c r="N9590">
        <f>IF(L9590="", "", L9590-B9590)</f>
        <v/>
      </c>
      <c r="O9590">
        <f>IF(L9590="", "Pending", IF(N9590&lt;=30, "Met", "Breached"))</f>
        <v/>
      </c>
    </row>
    <row r="9591">
      <c r="M9591" s="11">
        <f>B9591+30</f>
        <v/>
      </c>
      <c r="N9591">
        <f>IF(L9591="", "", L9591-B9591)</f>
        <v/>
      </c>
      <c r="O9591">
        <f>IF(L9591="", "Pending", IF(N9591&lt;=30, "Met", "Breached"))</f>
        <v/>
      </c>
    </row>
    <row r="9592">
      <c r="M9592" s="11">
        <f>B9592+30</f>
        <v/>
      </c>
      <c r="N9592">
        <f>IF(L9592="", "", L9592-B9592)</f>
        <v/>
      </c>
      <c r="O9592">
        <f>IF(L9592="", "Pending", IF(N9592&lt;=30, "Met", "Breached"))</f>
        <v/>
      </c>
    </row>
    <row r="9593">
      <c r="M9593" s="11">
        <f>B9593+30</f>
        <v/>
      </c>
      <c r="N9593">
        <f>IF(L9593="", "", L9593-B9593)</f>
        <v/>
      </c>
      <c r="O9593">
        <f>IF(L9593="", "Pending", IF(N9593&lt;=30, "Met", "Breached"))</f>
        <v/>
      </c>
    </row>
    <row r="9594">
      <c r="M9594" s="11">
        <f>B9594+30</f>
        <v/>
      </c>
      <c r="N9594">
        <f>IF(L9594="", "", L9594-B9594)</f>
        <v/>
      </c>
      <c r="O9594">
        <f>IF(L9594="", "Pending", IF(N9594&lt;=30, "Met", "Breached"))</f>
        <v/>
      </c>
    </row>
    <row r="9595">
      <c r="M9595" s="11">
        <f>B9595+30</f>
        <v/>
      </c>
      <c r="N9595">
        <f>IF(L9595="", "", L9595-B9595)</f>
        <v/>
      </c>
      <c r="O9595">
        <f>IF(L9595="", "Pending", IF(N9595&lt;=30, "Met", "Breached"))</f>
        <v/>
      </c>
    </row>
    <row r="9596">
      <c r="M9596" s="11">
        <f>B9596+30</f>
        <v/>
      </c>
      <c r="N9596">
        <f>IF(L9596="", "", L9596-B9596)</f>
        <v/>
      </c>
      <c r="O9596">
        <f>IF(L9596="", "Pending", IF(N9596&lt;=30, "Met", "Breached"))</f>
        <v/>
      </c>
    </row>
    <row r="9597">
      <c r="M9597" s="11">
        <f>B9597+30</f>
        <v/>
      </c>
      <c r="N9597">
        <f>IF(L9597="", "", L9597-B9597)</f>
        <v/>
      </c>
      <c r="O9597">
        <f>IF(L9597="", "Pending", IF(N9597&lt;=30, "Met", "Breached"))</f>
        <v/>
      </c>
    </row>
    <row r="9598">
      <c r="M9598" s="11">
        <f>B9598+30</f>
        <v/>
      </c>
      <c r="N9598">
        <f>IF(L9598="", "", L9598-B9598)</f>
        <v/>
      </c>
      <c r="O9598">
        <f>IF(L9598="", "Pending", IF(N9598&lt;=30, "Met", "Breached"))</f>
        <v/>
      </c>
    </row>
    <row r="9599">
      <c r="M9599" s="11">
        <f>B9599+30</f>
        <v/>
      </c>
      <c r="N9599">
        <f>IF(L9599="", "", L9599-B9599)</f>
        <v/>
      </c>
      <c r="O9599">
        <f>IF(L9599="", "Pending", IF(N9599&lt;=30, "Met", "Breached"))</f>
        <v/>
      </c>
    </row>
    <row r="9600">
      <c r="M9600" s="11">
        <f>B9600+30</f>
        <v/>
      </c>
      <c r="N9600">
        <f>IF(L9600="", "", L9600-B9600)</f>
        <v/>
      </c>
      <c r="O9600">
        <f>IF(L9600="", "Pending", IF(N9600&lt;=30, "Met", "Breached"))</f>
        <v/>
      </c>
    </row>
    <row r="9601">
      <c r="M9601" s="11">
        <f>B9601+30</f>
        <v/>
      </c>
      <c r="N9601">
        <f>IF(L9601="", "", L9601-B9601)</f>
        <v/>
      </c>
      <c r="O9601">
        <f>IF(L9601="", "Pending", IF(N9601&lt;=30, "Met", "Breached"))</f>
        <v/>
      </c>
    </row>
    <row r="9602">
      <c r="M9602" s="11">
        <f>B9602+30</f>
        <v/>
      </c>
      <c r="N9602">
        <f>IF(L9602="", "", L9602-B9602)</f>
        <v/>
      </c>
      <c r="O9602">
        <f>IF(L9602="", "Pending", IF(N9602&lt;=30, "Met", "Breached"))</f>
        <v/>
      </c>
    </row>
    <row r="9603">
      <c r="M9603" s="11">
        <f>B9603+30</f>
        <v/>
      </c>
      <c r="N9603">
        <f>IF(L9603="", "", L9603-B9603)</f>
        <v/>
      </c>
      <c r="O9603">
        <f>IF(L9603="", "Pending", IF(N9603&lt;=30, "Met", "Breached"))</f>
        <v/>
      </c>
    </row>
    <row r="9604">
      <c r="M9604" s="11">
        <f>B9604+30</f>
        <v/>
      </c>
      <c r="N9604">
        <f>IF(L9604="", "", L9604-B9604)</f>
        <v/>
      </c>
      <c r="O9604">
        <f>IF(L9604="", "Pending", IF(N9604&lt;=30, "Met", "Breached"))</f>
        <v/>
      </c>
    </row>
    <row r="9605">
      <c r="M9605" s="11">
        <f>B9605+30</f>
        <v/>
      </c>
      <c r="N9605">
        <f>IF(L9605="", "", L9605-B9605)</f>
        <v/>
      </c>
      <c r="O9605">
        <f>IF(L9605="", "Pending", IF(N9605&lt;=30, "Met", "Breached"))</f>
        <v/>
      </c>
    </row>
    <row r="9606">
      <c r="M9606" s="11">
        <f>B9606+30</f>
        <v/>
      </c>
      <c r="N9606">
        <f>IF(L9606="", "", L9606-B9606)</f>
        <v/>
      </c>
      <c r="O9606">
        <f>IF(L9606="", "Pending", IF(N9606&lt;=30, "Met", "Breached"))</f>
        <v/>
      </c>
    </row>
    <row r="9607">
      <c r="M9607" s="11">
        <f>B9607+30</f>
        <v/>
      </c>
      <c r="N9607">
        <f>IF(L9607="", "", L9607-B9607)</f>
        <v/>
      </c>
      <c r="O9607">
        <f>IF(L9607="", "Pending", IF(N9607&lt;=30, "Met", "Breached"))</f>
        <v/>
      </c>
    </row>
    <row r="9608">
      <c r="M9608" s="11">
        <f>B9608+30</f>
        <v/>
      </c>
      <c r="N9608">
        <f>IF(L9608="", "", L9608-B9608)</f>
        <v/>
      </c>
      <c r="O9608">
        <f>IF(L9608="", "Pending", IF(N9608&lt;=30, "Met", "Breached"))</f>
        <v/>
      </c>
    </row>
    <row r="9609">
      <c r="M9609" s="11">
        <f>B9609+30</f>
        <v/>
      </c>
      <c r="N9609">
        <f>IF(L9609="", "", L9609-B9609)</f>
        <v/>
      </c>
      <c r="O9609">
        <f>IF(L9609="", "Pending", IF(N9609&lt;=30, "Met", "Breached"))</f>
        <v/>
      </c>
    </row>
    <row r="9610">
      <c r="M9610" s="11">
        <f>B9610+30</f>
        <v/>
      </c>
      <c r="N9610">
        <f>IF(L9610="", "", L9610-B9610)</f>
        <v/>
      </c>
      <c r="O9610">
        <f>IF(L9610="", "Pending", IF(N9610&lt;=30, "Met", "Breached"))</f>
        <v/>
      </c>
    </row>
    <row r="9611">
      <c r="M9611" s="11">
        <f>B9611+30</f>
        <v/>
      </c>
      <c r="N9611">
        <f>IF(L9611="", "", L9611-B9611)</f>
        <v/>
      </c>
      <c r="O9611">
        <f>IF(L9611="", "Pending", IF(N9611&lt;=30, "Met", "Breached"))</f>
        <v/>
      </c>
    </row>
    <row r="9612">
      <c r="M9612" s="11">
        <f>B9612+30</f>
        <v/>
      </c>
      <c r="N9612">
        <f>IF(L9612="", "", L9612-B9612)</f>
        <v/>
      </c>
      <c r="O9612">
        <f>IF(L9612="", "Pending", IF(N9612&lt;=30, "Met", "Breached"))</f>
        <v/>
      </c>
    </row>
    <row r="9613">
      <c r="M9613" s="11">
        <f>B9613+30</f>
        <v/>
      </c>
      <c r="N9613">
        <f>IF(L9613="", "", L9613-B9613)</f>
        <v/>
      </c>
      <c r="O9613">
        <f>IF(L9613="", "Pending", IF(N9613&lt;=30, "Met", "Breached"))</f>
        <v/>
      </c>
    </row>
    <row r="9614">
      <c r="M9614" s="11">
        <f>B9614+30</f>
        <v/>
      </c>
      <c r="N9614">
        <f>IF(L9614="", "", L9614-B9614)</f>
        <v/>
      </c>
      <c r="O9614">
        <f>IF(L9614="", "Pending", IF(N9614&lt;=30, "Met", "Breached"))</f>
        <v/>
      </c>
    </row>
    <row r="9615">
      <c r="M9615" s="11">
        <f>B9615+30</f>
        <v/>
      </c>
      <c r="N9615">
        <f>IF(L9615="", "", L9615-B9615)</f>
        <v/>
      </c>
      <c r="O9615">
        <f>IF(L9615="", "Pending", IF(N9615&lt;=30, "Met", "Breached"))</f>
        <v/>
      </c>
    </row>
    <row r="9616">
      <c r="M9616" s="11">
        <f>B9616+30</f>
        <v/>
      </c>
      <c r="N9616">
        <f>IF(L9616="", "", L9616-B9616)</f>
        <v/>
      </c>
      <c r="O9616">
        <f>IF(L9616="", "Pending", IF(N9616&lt;=30, "Met", "Breached"))</f>
        <v/>
      </c>
    </row>
    <row r="9617">
      <c r="M9617" s="11">
        <f>B9617+30</f>
        <v/>
      </c>
      <c r="N9617">
        <f>IF(L9617="", "", L9617-B9617)</f>
        <v/>
      </c>
      <c r="O9617">
        <f>IF(L9617="", "Pending", IF(N9617&lt;=30, "Met", "Breached"))</f>
        <v/>
      </c>
    </row>
    <row r="9618">
      <c r="M9618" s="11">
        <f>B9618+30</f>
        <v/>
      </c>
      <c r="N9618">
        <f>IF(L9618="", "", L9618-B9618)</f>
        <v/>
      </c>
      <c r="O9618">
        <f>IF(L9618="", "Pending", IF(N9618&lt;=30, "Met", "Breached"))</f>
        <v/>
      </c>
    </row>
    <row r="9619">
      <c r="M9619" s="11">
        <f>B9619+30</f>
        <v/>
      </c>
      <c r="N9619">
        <f>IF(L9619="", "", L9619-B9619)</f>
        <v/>
      </c>
      <c r="O9619">
        <f>IF(L9619="", "Pending", IF(N9619&lt;=30, "Met", "Breached"))</f>
        <v/>
      </c>
    </row>
    <row r="9620">
      <c r="M9620" s="11">
        <f>B9620+30</f>
        <v/>
      </c>
      <c r="N9620">
        <f>IF(L9620="", "", L9620-B9620)</f>
        <v/>
      </c>
      <c r="O9620">
        <f>IF(L9620="", "Pending", IF(N9620&lt;=30, "Met", "Breached"))</f>
        <v/>
      </c>
    </row>
    <row r="9621">
      <c r="M9621" s="11">
        <f>B9621+30</f>
        <v/>
      </c>
      <c r="N9621">
        <f>IF(L9621="", "", L9621-B9621)</f>
        <v/>
      </c>
      <c r="O9621">
        <f>IF(L9621="", "Pending", IF(N9621&lt;=30, "Met", "Breached"))</f>
        <v/>
      </c>
    </row>
    <row r="9622">
      <c r="M9622" s="11">
        <f>B9622+30</f>
        <v/>
      </c>
      <c r="N9622">
        <f>IF(L9622="", "", L9622-B9622)</f>
        <v/>
      </c>
      <c r="O9622">
        <f>IF(L9622="", "Pending", IF(N9622&lt;=30, "Met", "Breached"))</f>
        <v/>
      </c>
    </row>
    <row r="9623">
      <c r="M9623" s="11">
        <f>B9623+30</f>
        <v/>
      </c>
      <c r="N9623">
        <f>IF(L9623="", "", L9623-B9623)</f>
        <v/>
      </c>
      <c r="O9623">
        <f>IF(L9623="", "Pending", IF(N9623&lt;=30, "Met", "Breached"))</f>
        <v/>
      </c>
    </row>
    <row r="9624">
      <c r="M9624" s="11">
        <f>B9624+30</f>
        <v/>
      </c>
      <c r="N9624">
        <f>IF(L9624="", "", L9624-B9624)</f>
        <v/>
      </c>
      <c r="O9624">
        <f>IF(L9624="", "Pending", IF(N9624&lt;=30, "Met", "Breached"))</f>
        <v/>
      </c>
    </row>
    <row r="9625">
      <c r="M9625" s="11">
        <f>B9625+30</f>
        <v/>
      </c>
      <c r="N9625">
        <f>IF(L9625="", "", L9625-B9625)</f>
        <v/>
      </c>
      <c r="O9625">
        <f>IF(L9625="", "Pending", IF(N9625&lt;=30, "Met", "Breached"))</f>
        <v/>
      </c>
    </row>
    <row r="9626">
      <c r="M9626" s="11">
        <f>B9626+30</f>
        <v/>
      </c>
      <c r="N9626">
        <f>IF(L9626="", "", L9626-B9626)</f>
        <v/>
      </c>
      <c r="O9626">
        <f>IF(L9626="", "Pending", IF(N9626&lt;=30, "Met", "Breached"))</f>
        <v/>
      </c>
    </row>
    <row r="9627">
      <c r="M9627" s="11">
        <f>B9627+30</f>
        <v/>
      </c>
      <c r="N9627">
        <f>IF(L9627="", "", L9627-B9627)</f>
        <v/>
      </c>
      <c r="O9627">
        <f>IF(L9627="", "Pending", IF(N9627&lt;=30, "Met", "Breached"))</f>
        <v/>
      </c>
    </row>
    <row r="9628">
      <c r="M9628" s="11">
        <f>B9628+30</f>
        <v/>
      </c>
      <c r="N9628">
        <f>IF(L9628="", "", L9628-B9628)</f>
        <v/>
      </c>
      <c r="O9628">
        <f>IF(L9628="", "Pending", IF(N9628&lt;=30, "Met", "Breached"))</f>
        <v/>
      </c>
    </row>
    <row r="9629">
      <c r="M9629" s="11">
        <f>B9629+30</f>
        <v/>
      </c>
      <c r="N9629">
        <f>IF(L9629="", "", L9629-B9629)</f>
        <v/>
      </c>
      <c r="O9629">
        <f>IF(L9629="", "Pending", IF(N9629&lt;=30, "Met", "Breached"))</f>
        <v/>
      </c>
    </row>
    <row r="9630">
      <c r="M9630" s="11">
        <f>B9630+30</f>
        <v/>
      </c>
      <c r="N9630">
        <f>IF(L9630="", "", L9630-B9630)</f>
        <v/>
      </c>
      <c r="O9630">
        <f>IF(L9630="", "Pending", IF(N9630&lt;=30, "Met", "Breached"))</f>
        <v/>
      </c>
    </row>
    <row r="9631">
      <c r="M9631" s="11">
        <f>B9631+30</f>
        <v/>
      </c>
      <c r="N9631">
        <f>IF(L9631="", "", L9631-B9631)</f>
        <v/>
      </c>
      <c r="O9631">
        <f>IF(L9631="", "Pending", IF(N9631&lt;=30, "Met", "Breached"))</f>
        <v/>
      </c>
    </row>
    <row r="9632">
      <c r="M9632" s="11">
        <f>B9632+30</f>
        <v/>
      </c>
      <c r="N9632">
        <f>IF(L9632="", "", L9632-B9632)</f>
        <v/>
      </c>
      <c r="O9632">
        <f>IF(L9632="", "Pending", IF(N9632&lt;=30, "Met", "Breached"))</f>
        <v/>
      </c>
    </row>
    <row r="9633">
      <c r="M9633" s="11">
        <f>B9633+30</f>
        <v/>
      </c>
      <c r="N9633">
        <f>IF(L9633="", "", L9633-B9633)</f>
        <v/>
      </c>
      <c r="O9633">
        <f>IF(L9633="", "Pending", IF(N9633&lt;=30, "Met", "Breached"))</f>
        <v/>
      </c>
    </row>
    <row r="9634">
      <c r="M9634" s="11">
        <f>B9634+30</f>
        <v/>
      </c>
      <c r="N9634">
        <f>IF(L9634="", "", L9634-B9634)</f>
        <v/>
      </c>
      <c r="O9634">
        <f>IF(L9634="", "Pending", IF(N9634&lt;=30, "Met", "Breached"))</f>
        <v/>
      </c>
    </row>
    <row r="9635">
      <c r="M9635" s="11">
        <f>B9635+30</f>
        <v/>
      </c>
      <c r="N9635">
        <f>IF(L9635="", "", L9635-B9635)</f>
        <v/>
      </c>
      <c r="O9635">
        <f>IF(L9635="", "Pending", IF(N9635&lt;=30, "Met", "Breached"))</f>
        <v/>
      </c>
    </row>
    <row r="9636">
      <c r="M9636" s="11">
        <f>B9636+30</f>
        <v/>
      </c>
      <c r="N9636">
        <f>IF(L9636="", "", L9636-B9636)</f>
        <v/>
      </c>
      <c r="O9636">
        <f>IF(L9636="", "Pending", IF(N9636&lt;=30, "Met", "Breached"))</f>
        <v/>
      </c>
    </row>
    <row r="9637">
      <c r="M9637" s="11">
        <f>B9637+30</f>
        <v/>
      </c>
      <c r="N9637">
        <f>IF(L9637="", "", L9637-B9637)</f>
        <v/>
      </c>
      <c r="O9637">
        <f>IF(L9637="", "Pending", IF(N9637&lt;=30, "Met", "Breached"))</f>
        <v/>
      </c>
    </row>
    <row r="9638">
      <c r="M9638" s="11">
        <f>B9638+30</f>
        <v/>
      </c>
      <c r="N9638">
        <f>IF(L9638="", "", L9638-B9638)</f>
        <v/>
      </c>
      <c r="O9638">
        <f>IF(L9638="", "Pending", IF(N9638&lt;=30, "Met", "Breached"))</f>
        <v/>
      </c>
    </row>
    <row r="9639">
      <c r="M9639" s="11">
        <f>B9639+30</f>
        <v/>
      </c>
      <c r="N9639">
        <f>IF(L9639="", "", L9639-B9639)</f>
        <v/>
      </c>
      <c r="O9639">
        <f>IF(L9639="", "Pending", IF(N9639&lt;=30, "Met", "Breached"))</f>
        <v/>
      </c>
    </row>
    <row r="9640">
      <c r="M9640" s="11">
        <f>B9640+30</f>
        <v/>
      </c>
      <c r="N9640">
        <f>IF(L9640="", "", L9640-B9640)</f>
        <v/>
      </c>
      <c r="O9640">
        <f>IF(L9640="", "Pending", IF(N9640&lt;=30, "Met", "Breached"))</f>
        <v/>
      </c>
    </row>
    <row r="9641">
      <c r="M9641" s="11">
        <f>B9641+30</f>
        <v/>
      </c>
      <c r="N9641">
        <f>IF(L9641="", "", L9641-B9641)</f>
        <v/>
      </c>
      <c r="O9641">
        <f>IF(L9641="", "Pending", IF(N9641&lt;=30, "Met", "Breached"))</f>
        <v/>
      </c>
    </row>
    <row r="9642">
      <c r="M9642" s="11">
        <f>B9642+30</f>
        <v/>
      </c>
      <c r="N9642">
        <f>IF(L9642="", "", L9642-B9642)</f>
        <v/>
      </c>
      <c r="O9642">
        <f>IF(L9642="", "Pending", IF(N9642&lt;=30, "Met", "Breached"))</f>
        <v/>
      </c>
    </row>
    <row r="9643">
      <c r="M9643" s="11">
        <f>B9643+30</f>
        <v/>
      </c>
      <c r="N9643">
        <f>IF(L9643="", "", L9643-B9643)</f>
        <v/>
      </c>
      <c r="O9643">
        <f>IF(L9643="", "Pending", IF(N9643&lt;=30, "Met", "Breached"))</f>
        <v/>
      </c>
    </row>
    <row r="9644">
      <c r="M9644" s="11">
        <f>B9644+30</f>
        <v/>
      </c>
      <c r="N9644">
        <f>IF(L9644="", "", L9644-B9644)</f>
        <v/>
      </c>
      <c r="O9644">
        <f>IF(L9644="", "Pending", IF(N9644&lt;=30, "Met", "Breached"))</f>
        <v/>
      </c>
    </row>
    <row r="9645">
      <c r="M9645" s="11">
        <f>B9645+30</f>
        <v/>
      </c>
      <c r="N9645">
        <f>IF(L9645="", "", L9645-B9645)</f>
        <v/>
      </c>
      <c r="O9645">
        <f>IF(L9645="", "Pending", IF(N9645&lt;=30, "Met", "Breached"))</f>
        <v/>
      </c>
    </row>
    <row r="9646">
      <c r="M9646" s="11">
        <f>B9646+30</f>
        <v/>
      </c>
      <c r="N9646">
        <f>IF(L9646="", "", L9646-B9646)</f>
        <v/>
      </c>
      <c r="O9646">
        <f>IF(L9646="", "Pending", IF(N9646&lt;=30, "Met", "Breached"))</f>
        <v/>
      </c>
    </row>
    <row r="9647">
      <c r="M9647" s="11">
        <f>B9647+30</f>
        <v/>
      </c>
      <c r="N9647">
        <f>IF(L9647="", "", L9647-B9647)</f>
        <v/>
      </c>
      <c r="O9647">
        <f>IF(L9647="", "Pending", IF(N9647&lt;=30, "Met", "Breached"))</f>
        <v/>
      </c>
    </row>
    <row r="9648">
      <c r="M9648" s="11">
        <f>B9648+30</f>
        <v/>
      </c>
      <c r="N9648">
        <f>IF(L9648="", "", L9648-B9648)</f>
        <v/>
      </c>
      <c r="O9648">
        <f>IF(L9648="", "Pending", IF(N9648&lt;=30, "Met", "Breached"))</f>
        <v/>
      </c>
    </row>
    <row r="9649">
      <c r="M9649" s="11">
        <f>B9649+30</f>
        <v/>
      </c>
      <c r="N9649">
        <f>IF(L9649="", "", L9649-B9649)</f>
        <v/>
      </c>
      <c r="O9649">
        <f>IF(L9649="", "Pending", IF(N9649&lt;=30, "Met", "Breached"))</f>
        <v/>
      </c>
    </row>
    <row r="9650">
      <c r="M9650" s="11">
        <f>B9650+30</f>
        <v/>
      </c>
      <c r="N9650">
        <f>IF(L9650="", "", L9650-B9650)</f>
        <v/>
      </c>
      <c r="O9650">
        <f>IF(L9650="", "Pending", IF(N9650&lt;=30, "Met", "Breached"))</f>
        <v/>
      </c>
    </row>
    <row r="9651">
      <c r="M9651" s="11">
        <f>B9651+30</f>
        <v/>
      </c>
      <c r="N9651">
        <f>IF(L9651="", "", L9651-B9651)</f>
        <v/>
      </c>
      <c r="O9651">
        <f>IF(L9651="", "Pending", IF(N9651&lt;=30, "Met", "Breached"))</f>
        <v/>
      </c>
    </row>
    <row r="9652">
      <c r="M9652" s="11">
        <f>B9652+30</f>
        <v/>
      </c>
      <c r="N9652">
        <f>IF(L9652="", "", L9652-B9652)</f>
        <v/>
      </c>
      <c r="O9652">
        <f>IF(L9652="", "Pending", IF(N9652&lt;=30, "Met", "Breached"))</f>
        <v/>
      </c>
    </row>
    <row r="9653">
      <c r="M9653" s="11">
        <f>B9653+30</f>
        <v/>
      </c>
      <c r="N9653">
        <f>IF(L9653="", "", L9653-B9653)</f>
        <v/>
      </c>
      <c r="O9653">
        <f>IF(L9653="", "Pending", IF(N9653&lt;=30, "Met", "Breached"))</f>
        <v/>
      </c>
    </row>
    <row r="9654">
      <c r="M9654" s="11">
        <f>B9654+30</f>
        <v/>
      </c>
      <c r="N9654">
        <f>IF(L9654="", "", L9654-B9654)</f>
        <v/>
      </c>
      <c r="O9654">
        <f>IF(L9654="", "Pending", IF(N9654&lt;=30, "Met", "Breached"))</f>
        <v/>
      </c>
    </row>
    <row r="9655">
      <c r="M9655" s="11">
        <f>B9655+30</f>
        <v/>
      </c>
      <c r="N9655">
        <f>IF(L9655="", "", L9655-B9655)</f>
        <v/>
      </c>
      <c r="O9655">
        <f>IF(L9655="", "Pending", IF(N9655&lt;=30, "Met", "Breached"))</f>
        <v/>
      </c>
    </row>
    <row r="9656">
      <c r="M9656" s="11">
        <f>B9656+30</f>
        <v/>
      </c>
      <c r="N9656">
        <f>IF(L9656="", "", L9656-B9656)</f>
        <v/>
      </c>
      <c r="O9656">
        <f>IF(L9656="", "Pending", IF(N9656&lt;=30, "Met", "Breached"))</f>
        <v/>
      </c>
    </row>
    <row r="9657">
      <c r="M9657" s="11">
        <f>B9657+30</f>
        <v/>
      </c>
      <c r="N9657">
        <f>IF(L9657="", "", L9657-B9657)</f>
        <v/>
      </c>
      <c r="O9657">
        <f>IF(L9657="", "Pending", IF(N9657&lt;=30, "Met", "Breached"))</f>
        <v/>
      </c>
    </row>
    <row r="9658">
      <c r="M9658" s="11">
        <f>B9658+30</f>
        <v/>
      </c>
      <c r="N9658">
        <f>IF(L9658="", "", L9658-B9658)</f>
        <v/>
      </c>
      <c r="O9658">
        <f>IF(L9658="", "Pending", IF(N9658&lt;=30, "Met", "Breached"))</f>
        <v/>
      </c>
    </row>
    <row r="9659">
      <c r="M9659" s="11">
        <f>B9659+30</f>
        <v/>
      </c>
      <c r="N9659">
        <f>IF(L9659="", "", L9659-B9659)</f>
        <v/>
      </c>
      <c r="O9659">
        <f>IF(L9659="", "Pending", IF(N9659&lt;=30, "Met", "Breached"))</f>
        <v/>
      </c>
    </row>
    <row r="9660">
      <c r="M9660" s="11">
        <f>B9660+30</f>
        <v/>
      </c>
      <c r="N9660">
        <f>IF(L9660="", "", L9660-B9660)</f>
        <v/>
      </c>
      <c r="O9660">
        <f>IF(L9660="", "Pending", IF(N9660&lt;=30, "Met", "Breached"))</f>
        <v/>
      </c>
    </row>
    <row r="9661">
      <c r="M9661" s="11">
        <f>B9661+30</f>
        <v/>
      </c>
      <c r="N9661">
        <f>IF(L9661="", "", L9661-B9661)</f>
        <v/>
      </c>
      <c r="O9661">
        <f>IF(L9661="", "Pending", IF(N9661&lt;=30, "Met", "Breached"))</f>
        <v/>
      </c>
    </row>
    <row r="9662">
      <c r="M9662" s="11">
        <f>B9662+30</f>
        <v/>
      </c>
      <c r="N9662">
        <f>IF(L9662="", "", L9662-B9662)</f>
        <v/>
      </c>
      <c r="O9662">
        <f>IF(L9662="", "Pending", IF(N9662&lt;=30, "Met", "Breached"))</f>
        <v/>
      </c>
    </row>
    <row r="9663">
      <c r="M9663" s="11">
        <f>B9663+30</f>
        <v/>
      </c>
      <c r="N9663">
        <f>IF(L9663="", "", L9663-B9663)</f>
        <v/>
      </c>
      <c r="O9663">
        <f>IF(L9663="", "Pending", IF(N9663&lt;=30, "Met", "Breached"))</f>
        <v/>
      </c>
    </row>
    <row r="9664">
      <c r="M9664" s="11">
        <f>B9664+30</f>
        <v/>
      </c>
      <c r="N9664">
        <f>IF(L9664="", "", L9664-B9664)</f>
        <v/>
      </c>
      <c r="O9664">
        <f>IF(L9664="", "Pending", IF(N9664&lt;=30, "Met", "Breached"))</f>
        <v/>
      </c>
    </row>
    <row r="9665">
      <c r="M9665" s="11">
        <f>B9665+30</f>
        <v/>
      </c>
      <c r="N9665">
        <f>IF(L9665="", "", L9665-B9665)</f>
        <v/>
      </c>
      <c r="O9665">
        <f>IF(L9665="", "Pending", IF(N9665&lt;=30, "Met", "Breached"))</f>
        <v/>
      </c>
    </row>
    <row r="9666">
      <c r="M9666" s="11">
        <f>B9666+30</f>
        <v/>
      </c>
      <c r="N9666">
        <f>IF(L9666="", "", L9666-B9666)</f>
        <v/>
      </c>
      <c r="O9666">
        <f>IF(L9666="", "Pending", IF(N9666&lt;=30, "Met", "Breached"))</f>
        <v/>
      </c>
    </row>
    <row r="9667">
      <c r="M9667" s="11">
        <f>B9667+30</f>
        <v/>
      </c>
      <c r="N9667">
        <f>IF(L9667="", "", L9667-B9667)</f>
        <v/>
      </c>
      <c r="O9667">
        <f>IF(L9667="", "Pending", IF(N9667&lt;=30, "Met", "Breached"))</f>
        <v/>
      </c>
    </row>
    <row r="9668">
      <c r="M9668" s="11">
        <f>B9668+30</f>
        <v/>
      </c>
      <c r="N9668">
        <f>IF(L9668="", "", L9668-B9668)</f>
        <v/>
      </c>
      <c r="O9668">
        <f>IF(L9668="", "Pending", IF(N9668&lt;=30, "Met", "Breached"))</f>
        <v/>
      </c>
    </row>
    <row r="9669">
      <c r="M9669" s="11">
        <f>B9669+30</f>
        <v/>
      </c>
      <c r="N9669">
        <f>IF(L9669="", "", L9669-B9669)</f>
        <v/>
      </c>
      <c r="O9669">
        <f>IF(L9669="", "Pending", IF(N9669&lt;=30, "Met", "Breached"))</f>
        <v/>
      </c>
    </row>
    <row r="9670">
      <c r="M9670" s="11">
        <f>B9670+30</f>
        <v/>
      </c>
      <c r="N9670">
        <f>IF(L9670="", "", L9670-B9670)</f>
        <v/>
      </c>
      <c r="O9670">
        <f>IF(L9670="", "Pending", IF(N9670&lt;=30, "Met", "Breached"))</f>
        <v/>
      </c>
    </row>
    <row r="9671">
      <c r="M9671" s="11">
        <f>B9671+30</f>
        <v/>
      </c>
      <c r="N9671">
        <f>IF(L9671="", "", L9671-B9671)</f>
        <v/>
      </c>
      <c r="O9671">
        <f>IF(L9671="", "Pending", IF(N9671&lt;=30, "Met", "Breached"))</f>
        <v/>
      </c>
    </row>
    <row r="9672">
      <c r="M9672" s="11">
        <f>B9672+30</f>
        <v/>
      </c>
      <c r="N9672">
        <f>IF(L9672="", "", L9672-B9672)</f>
        <v/>
      </c>
      <c r="O9672">
        <f>IF(L9672="", "Pending", IF(N9672&lt;=30, "Met", "Breached"))</f>
        <v/>
      </c>
    </row>
    <row r="9673">
      <c r="M9673" s="11">
        <f>B9673+30</f>
        <v/>
      </c>
      <c r="N9673">
        <f>IF(L9673="", "", L9673-B9673)</f>
        <v/>
      </c>
      <c r="O9673">
        <f>IF(L9673="", "Pending", IF(N9673&lt;=30, "Met", "Breached"))</f>
        <v/>
      </c>
    </row>
    <row r="9674">
      <c r="M9674" s="11">
        <f>B9674+30</f>
        <v/>
      </c>
      <c r="N9674">
        <f>IF(L9674="", "", L9674-B9674)</f>
        <v/>
      </c>
      <c r="O9674">
        <f>IF(L9674="", "Pending", IF(N9674&lt;=30, "Met", "Breached"))</f>
        <v/>
      </c>
    </row>
    <row r="9675">
      <c r="M9675" s="11">
        <f>B9675+30</f>
        <v/>
      </c>
      <c r="N9675">
        <f>IF(L9675="", "", L9675-B9675)</f>
        <v/>
      </c>
      <c r="O9675">
        <f>IF(L9675="", "Pending", IF(N9675&lt;=30, "Met", "Breached"))</f>
        <v/>
      </c>
    </row>
    <row r="9676">
      <c r="M9676" s="11">
        <f>B9676+30</f>
        <v/>
      </c>
      <c r="N9676">
        <f>IF(L9676="", "", L9676-B9676)</f>
        <v/>
      </c>
      <c r="O9676">
        <f>IF(L9676="", "Pending", IF(N9676&lt;=30, "Met", "Breached"))</f>
        <v/>
      </c>
    </row>
    <row r="9677">
      <c r="M9677" s="11">
        <f>B9677+30</f>
        <v/>
      </c>
      <c r="N9677">
        <f>IF(L9677="", "", L9677-B9677)</f>
        <v/>
      </c>
      <c r="O9677">
        <f>IF(L9677="", "Pending", IF(N9677&lt;=30, "Met", "Breached"))</f>
        <v/>
      </c>
    </row>
    <row r="9678">
      <c r="M9678" s="11">
        <f>B9678+30</f>
        <v/>
      </c>
      <c r="N9678">
        <f>IF(L9678="", "", L9678-B9678)</f>
        <v/>
      </c>
      <c r="O9678">
        <f>IF(L9678="", "Pending", IF(N9678&lt;=30, "Met", "Breached"))</f>
        <v/>
      </c>
    </row>
    <row r="9679">
      <c r="M9679" s="11">
        <f>B9679+30</f>
        <v/>
      </c>
      <c r="N9679">
        <f>IF(L9679="", "", L9679-B9679)</f>
        <v/>
      </c>
      <c r="O9679">
        <f>IF(L9679="", "Pending", IF(N9679&lt;=30, "Met", "Breached"))</f>
        <v/>
      </c>
    </row>
    <row r="9680">
      <c r="M9680" s="11">
        <f>B9680+30</f>
        <v/>
      </c>
      <c r="N9680">
        <f>IF(L9680="", "", L9680-B9680)</f>
        <v/>
      </c>
      <c r="O9680">
        <f>IF(L9680="", "Pending", IF(N9680&lt;=30, "Met", "Breached"))</f>
        <v/>
      </c>
    </row>
    <row r="9681">
      <c r="M9681" s="11">
        <f>B9681+30</f>
        <v/>
      </c>
      <c r="N9681">
        <f>IF(L9681="", "", L9681-B9681)</f>
        <v/>
      </c>
      <c r="O9681">
        <f>IF(L9681="", "Pending", IF(N9681&lt;=30, "Met", "Breached"))</f>
        <v/>
      </c>
    </row>
    <row r="9682">
      <c r="M9682" s="11">
        <f>B9682+30</f>
        <v/>
      </c>
      <c r="N9682">
        <f>IF(L9682="", "", L9682-B9682)</f>
        <v/>
      </c>
      <c r="O9682">
        <f>IF(L9682="", "Pending", IF(N9682&lt;=30, "Met", "Breached"))</f>
        <v/>
      </c>
    </row>
    <row r="9683">
      <c r="M9683" s="11">
        <f>B9683+30</f>
        <v/>
      </c>
      <c r="N9683">
        <f>IF(L9683="", "", L9683-B9683)</f>
        <v/>
      </c>
      <c r="O9683">
        <f>IF(L9683="", "Pending", IF(N9683&lt;=30, "Met", "Breached"))</f>
        <v/>
      </c>
    </row>
    <row r="9684">
      <c r="M9684" s="11">
        <f>B9684+30</f>
        <v/>
      </c>
      <c r="N9684">
        <f>IF(L9684="", "", L9684-B9684)</f>
        <v/>
      </c>
      <c r="O9684">
        <f>IF(L9684="", "Pending", IF(N9684&lt;=30, "Met", "Breached"))</f>
        <v/>
      </c>
    </row>
    <row r="9685">
      <c r="M9685" s="11">
        <f>B9685+30</f>
        <v/>
      </c>
      <c r="N9685">
        <f>IF(L9685="", "", L9685-B9685)</f>
        <v/>
      </c>
      <c r="O9685">
        <f>IF(L9685="", "Pending", IF(N9685&lt;=30, "Met", "Breached"))</f>
        <v/>
      </c>
    </row>
    <row r="9686">
      <c r="M9686" s="11">
        <f>B9686+30</f>
        <v/>
      </c>
      <c r="N9686">
        <f>IF(L9686="", "", L9686-B9686)</f>
        <v/>
      </c>
      <c r="O9686">
        <f>IF(L9686="", "Pending", IF(N9686&lt;=30, "Met", "Breached"))</f>
        <v/>
      </c>
    </row>
    <row r="9687">
      <c r="M9687" s="11">
        <f>B9687+30</f>
        <v/>
      </c>
      <c r="N9687">
        <f>IF(L9687="", "", L9687-B9687)</f>
        <v/>
      </c>
      <c r="O9687">
        <f>IF(L9687="", "Pending", IF(N9687&lt;=30, "Met", "Breached"))</f>
        <v/>
      </c>
    </row>
    <row r="9688">
      <c r="M9688" s="11">
        <f>B9688+30</f>
        <v/>
      </c>
      <c r="N9688">
        <f>IF(L9688="", "", L9688-B9688)</f>
        <v/>
      </c>
      <c r="O9688">
        <f>IF(L9688="", "Pending", IF(N9688&lt;=30, "Met", "Breached"))</f>
        <v/>
      </c>
    </row>
    <row r="9689">
      <c r="M9689" s="11">
        <f>B9689+30</f>
        <v/>
      </c>
      <c r="N9689">
        <f>IF(L9689="", "", L9689-B9689)</f>
        <v/>
      </c>
      <c r="O9689">
        <f>IF(L9689="", "Pending", IF(N9689&lt;=30, "Met", "Breached"))</f>
        <v/>
      </c>
    </row>
    <row r="9690">
      <c r="M9690" s="11">
        <f>B9690+30</f>
        <v/>
      </c>
      <c r="N9690">
        <f>IF(L9690="", "", L9690-B9690)</f>
        <v/>
      </c>
      <c r="O9690">
        <f>IF(L9690="", "Pending", IF(N9690&lt;=30, "Met", "Breached"))</f>
        <v/>
      </c>
    </row>
    <row r="9691">
      <c r="M9691" s="11">
        <f>B9691+30</f>
        <v/>
      </c>
      <c r="N9691">
        <f>IF(L9691="", "", L9691-B9691)</f>
        <v/>
      </c>
      <c r="O9691">
        <f>IF(L9691="", "Pending", IF(N9691&lt;=30, "Met", "Breached"))</f>
        <v/>
      </c>
    </row>
    <row r="9692">
      <c r="M9692" s="11">
        <f>B9692+30</f>
        <v/>
      </c>
      <c r="N9692">
        <f>IF(L9692="", "", L9692-B9692)</f>
        <v/>
      </c>
      <c r="O9692">
        <f>IF(L9692="", "Pending", IF(N9692&lt;=30, "Met", "Breached"))</f>
        <v/>
      </c>
    </row>
    <row r="9693">
      <c r="M9693" s="11">
        <f>B9693+30</f>
        <v/>
      </c>
      <c r="N9693">
        <f>IF(L9693="", "", L9693-B9693)</f>
        <v/>
      </c>
      <c r="O9693">
        <f>IF(L9693="", "Pending", IF(N9693&lt;=30, "Met", "Breached"))</f>
        <v/>
      </c>
    </row>
    <row r="9694">
      <c r="M9694" s="11">
        <f>B9694+30</f>
        <v/>
      </c>
      <c r="N9694">
        <f>IF(L9694="", "", L9694-B9694)</f>
        <v/>
      </c>
      <c r="O9694">
        <f>IF(L9694="", "Pending", IF(N9694&lt;=30, "Met", "Breached"))</f>
        <v/>
      </c>
    </row>
    <row r="9695">
      <c r="M9695" s="11">
        <f>B9695+30</f>
        <v/>
      </c>
      <c r="N9695">
        <f>IF(L9695="", "", L9695-B9695)</f>
        <v/>
      </c>
      <c r="O9695">
        <f>IF(L9695="", "Pending", IF(N9695&lt;=30, "Met", "Breached"))</f>
        <v/>
      </c>
    </row>
    <row r="9696">
      <c r="M9696" s="11">
        <f>B9696+30</f>
        <v/>
      </c>
      <c r="N9696">
        <f>IF(L9696="", "", L9696-B9696)</f>
        <v/>
      </c>
      <c r="O9696">
        <f>IF(L9696="", "Pending", IF(N9696&lt;=30, "Met", "Breached"))</f>
        <v/>
      </c>
    </row>
    <row r="9697">
      <c r="M9697" s="11">
        <f>B9697+30</f>
        <v/>
      </c>
      <c r="N9697">
        <f>IF(L9697="", "", L9697-B9697)</f>
        <v/>
      </c>
      <c r="O9697">
        <f>IF(L9697="", "Pending", IF(N9697&lt;=30, "Met", "Breached"))</f>
        <v/>
      </c>
    </row>
    <row r="9698">
      <c r="M9698" s="11">
        <f>B9698+30</f>
        <v/>
      </c>
      <c r="N9698">
        <f>IF(L9698="", "", L9698-B9698)</f>
        <v/>
      </c>
      <c r="O9698">
        <f>IF(L9698="", "Pending", IF(N9698&lt;=30, "Met", "Breached"))</f>
        <v/>
      </c>
    </row>
    <row r="9699">
      <c r="M9699" s="11">
        <f>B9699+30</f>
        <v/>
      </c>
      <c r="N9699">
        <f>IF(L9699="", "", L9699-B9699)</f>
        <v/>
      </c>
      <c r="O9699">
        <f>IF(L9699="", "Pending", IF(N9699&lt;=30, "Met", "Breached"))</f>
        <v/>
      </c>
    </row>
    <row r="9700">
      <c r="M9700" s="11">
        <f>B9700+30</f>
        <v/>
      </c>
      <c r="N9700">
        <f>IF(L9700="", "", L9700-B9700)</f>
        <v/>
      </c>
      <c r="O9700">
        <f>IF(L9700="", "Pending", IF(N9700&lt;=30, "Met", "Breached"))</f>
        <v/>
      </c>
    </row>
    <row r="9701">
      <c r="M9701" s="11">
        <f>B9701+30</f>
        <v/>
      </c>
      <c r="N9701">
        <f>IF(L9701="", "", L9701-B9701)</f>
        <v/>
      </c>
      <c r="O9701">
        <f>IF(L9701="", "Pending", IF(N9701&lt;=30, "Met", "Breached"))</f>
        <v/>
      </c>
    </row>
    <row r="9702">
      <c r="M9702" s="11">
        <f>B9702+30</f>
        <v/>
      </c>
      <c r="N9702">
        <f>IF(L9702="", "", L9702-B9702)</f>
        <v/>
      </c>
      <c r="O9702">
        <f>IF(L9702="", "Pending", IF(N9702&lt;=30, "Met", "Breached"))</f>
        <v/>
      </c>
    </row>
    <row r="9703">
      <c r="M9703" s="11">
        <f>B9703+30</f>
        <v/>
      </c>
      <c r="N9703">
        <f>IF(L9703="", "", L9703-B9703)</f>
        <v/>
      </c>
      <c r="O9703">
        <f>IF(L9703="", "Pending", IF(N9703&lt;=30, "Met", "Breached"))</f>
        <v/>
      </c>
    </row>
    <row r="9704">
      <c r="M9704" s="11">
        <f>B9704+30</f>
        <v/>
      </c>
      <c r="N9704">
        <f>IF(L9704="", "", L9704-B9704)</f>
        <v/>
      </c>
      <c r="O9704">
        <f>IF(L9704="", "Pending", IF(N9704&lt;=30, "Met", "Breached"))</f>
        <v/>
      </c>
    </row>
    <row r="9705">
      <c r="M9705" s="11">
        <f>B9705+30</f>
        <v/>
      </c>
      <c r="N9705">
        <f>IF(L9705="", "", L9705-B9705)</f>
        <v/>
      </c>
      <c r="O9705">
        <f>IF(L9705="", "Pending", IF(N9705&lt;=30, "Met", "Breached"))</f>
        <v/>
      </c>
    </row>
    <row r="9706">
      <c r="M9706" s="11">
        <f>B9706+30</f>
        <v/>
      </c>
      <c r="N9706">
        <f>IF(L9706="", "", L9706-B9706)</f>
        <v/>
      </c>
      <c r="O9706">
        <f>IF(L9706="", "Pending", IF(N9706&lt;=30, "Met", "Breached"))</f>
        <v/>
      </c>
    </row>
    <row r="9707">
      <c r="M9707" s="11">
        <f>B9707+30</f>
        <v/>
      </c>
      <c r="N9707">
        <f>IF(L9707="", "", L9707-B9707)</f>
        <v/>
      </c>
      <c r="O9707">
        <f>IF(L9707="", "Pending", IF(N9707&lt;=30, "Met", "Breached"))</f>
        <v/>
      </c>
    </row>
    <row r="9708">
      <c r="M9708" s="11">
        <f>B9708+30</f>
        <v/>
      </c>
      <c r="N9708">
        <f>IF(L9708="", "", L9708-B9708)</f>
        <v/>
      </c>
      <c r="O9708">
        <f>IF(L9708="", "Pending", IF(N9708&lt;=30, "Met", "Breached"))</f>
        <v/>
      </c>
    </row>
    <row r="9709">
      <c r="M9709" s="11">
        <f>B9709+30</f>
        <v/>
      </c>
      <c r="N9709">
        <f>IF(L9709="", "", L9709-B9709)</f>
        <v/>
      </c>
      <c r="O9709">
        <f>IF(L9709="", "Pending", IF(N9709&lt;=30, "Met", "Breached"))</f>
        <v/>
      </c>
    </row>
    <row r="9710">
      <c r="M9710" s="11">
        <f>B9710+30</f>
        <v/>
      </c>
      <c r="N9710">
        <f>IF(L9710="", "", L9710-B9710)</f>
        <v/>
      </c>
      <c r="O9710">
        <f>IF(L9710="", "Pending", IF(N9710&lt;=30, "Met", "Breached"))</f>
        <v/>
      </c>
    </row>
    <row r="9711">
      <c r="M9711" s="11">
        <f>B9711+30</f>
        <v/>
      </c>
      <c r="N9711">
        <f>IF(L9711="", "", L9711-B9711)</f>
        <v/>
      </c>
      <c r="O9711">
        <f>IF(L9711="", "Pending", IF(N9711&lt;=30, "Met", "Breached"))</f>
        <v/>
      </c>
    </row>
    <row r="9712">
      <c r="M9712" s="11">
        <f>B9712+30</f>
        <v/>
      </c>
      <c r="N9712">
        <f>IF(L9712="", "", L9712-B9712)</f>
        <v/>
      </c>
      <c r="O9712">
        <f>IF(L9712="", "Pending", IF(N9712&lt;=30, "Met", "Breached"))</f>
        <v/>
      </c>
    </row>
    <row r="9713">
      <c r="M9713" s="11">
        <f>B9713+30</f>
        <v/>
      </c>
      <c r="N9713">
        <f>IF(L9713="", "", L9713-B9713)</f>
        <v/>
      </c>
      <c r="O9713">
        <f>IF(L9713="", "Pending", IF(N9713&lt;=30, "Met", "Breached"))</f>
        <v/>
      </c>
    </row>
    <row r="9714">
      <c r="M9714" s="11">
        <f>B9714+30</f>
        <v/>
      </c>
      <c r="N9714">
        <f>IF(L9714="", "", L9714-B9714)</f>
        <v/>
      </c>
      <c r="O9714">
        <f>IF(L9714="", "Pending", IF(N9714&lt;=30, "Met", "Breached"))</f>
        <v/>
      </c>
    </row>
    <row r="9715">
      <c r="M9715" s="11">
        <f>B9715+30</f>
        <v/>
      </c>
      <c r="N9715">
        <f>IF(L9715="", "", L9715-B9715)</f>
        <v/>
      </c>
      <c r="O9715">
        <f>IF(L9715="", "Pending", IF(N9715&lt;=30, "Met", "Breached"))</f>
        <v/>
      </c>
    </row>
    <row r="9716">
      <c r="M9716" s="11">
        <f>B9716+30</f>
        <v/>
      </c>
      <c r="N9716">
        <f>IF(L9716="", "", L9716-B9716)</f>
        <v/>
      </c>
      <c r="O9716">
        <f>IF(L9716="", "Pending", IF(N9716&lt;=30, "Met", "Breached"))</f>
        <v/>
      </c>
    </row>
    <row r="9717">
      <c r="M9717" s="11">
        <f>B9717+30</f>
        <v/>
      </c>
      <c r="N9717">
        <f>IF(L9717="", "", L9717-B9717)</f>
        <v/>
      </c>
      <c r="O9717">
        <f>IF(L9717="", "Pending", IF(N9717&lt;=30, "Met", "Breached"))</f>
        <v/>
      </c>
    </row>
    <row r="9718">
      <c r="M9718" s="11">
        <f>B9718+30</f>
        <v/>
      </c>
      <c r="N9718">
        <f>IF(L9718="", "", L9718-B9718)</f>
        <v/>
      </c>
      <c r="O9718">
        <f>IF(L9718="", "Pending", IF(N9718&lt;=30, "Met", "Breached"))</f>
        <v/>
      </c>
    </row>
    <row r="9719">
      <c r="M9719" s="11">
        <f>B9719+30</f>
        <v/>
      </c>
      <c r="N9719">
        <f>IF(L9719="", "", L9719-B9719)</f>
        <v/>
      </c>
      <c r="O9719">
        <f>IF(L9719="", "Pending", IF(N9719&lt;=30, "Met", "Breached"))</f>
        <v/>
      </c>
    </row>
    <row r="9720">
      <c r="M9720" s="11">
        <f>B9720+30</f>
        <v/>
      </c>
      <c r="N9720">
        <f>IF(L9720="", "", L9720-B9720)</f>
        <v/>
      </c>
      <c r="O9720">
        <f>IF(L9720="", "Pending", IF(N9720&lt;=30, "Met", "Breached"))</f>
        <v/>
      </c>
    </row>
    <row r="9721">
      <c r="M9721" s="11">
        <f>B9721+30</f>
        <v/>
      </c>
      <c r="N9721">
        <f>IF(L9721="", "", L9721-B9721)</f>
        <v/>
      </c>
      <c r="O9721">
        <f>IF(L9721="", "Pending", IF(N9721&lt;=30, "Met", "Breached"))</f>
        <v/>
      </c>
    </row>
    <row r="9722">
      <c r="M9722" s="11">
        <f>B9722+30</f>
        <v/>
      </c>
      <c r="N9722">
        <f>IF(L9722="", "", L9722-B9722)</f>
        <v/>
      </c>
      <c r="O9722">
        <f>IF(L9722="", "Pending", IF(N9722&lt;=30, "Met", "Breached"))</f>
        <v/>
      </c>
    </row>
    <row r="9723">
      <c r="M9723" s="11">
        <f>B9723+30</f>
        <v/>
      </c>
      <c r="N9723">
        <f>IF(L9723="", "", L9723-B9723)</f>
        <v/>
      </c>
      <c r="O9723">
        <f>IF(L9723="", "Pending", IF(N9723&lt;=30, "Met", "Breached"))</f>
        <v/>
      </c>
    </row>
    <row r="9724">
      <c r="M9724" s="11">
        <f>B9724+30</f>
        <v/>
      </c>
      <c r="N9724">
        <f>IF(L9724="", "", L9724-B9724)</f>
        <v/>
      </c>
      <c r="O9724">
        <f>IF(L9724="", "Pending", IF(N9724&lt;=30, "Met", "Breached"))</f>
        <v/>
      </c>
    </row>
    <row r="9725">
      <c r="M9725" s="11">
        <f>B9725+30</f>
        <v/>
      </c>
      <c r="N9725">
        <f>IF(L9725="", "", L9725-B9725)</f>
        <v/>
      </c>
      <c r="O9725">
        <f>IF(L9725="", "Pending", IF(N9725&lt;=30, "Met", "Breached"))</f>
        <v/>
      </c>
    </row>
    <row r="9726">
      <c r="M9726" s="11">
        <f>B9726+30</f>
        <v/>
      </c>
      <c r="N9726">
        <f>IF(L9726="", "", L9726-B9726)</f>
        <v/>
      </c>
      <c r="O9726">
        <f>IF(L9726="", "Pending", IF(N9726&lt;=30, "Met", "Breached"))</f>
        <v/>
      </c>
    </row>
    <row r="9727">
      <c r="M9727" s="11">
        <f>B9727+30</f>
        <v/>
      </c>
      <c r="N9727">
        <f>IF(L9727="", "", L9727-B9727)</f>
        <v/>
      </c>
      <c r="O9727">
        <f>IF(L9727="", "Pending", IF(N9727&lt;=30, "Met", "Breached"))</f>
        <v/>
      </c>
    </row>
    <row r="9728">
      <c r="M9728" s="11">
        <f>B9728+30</f>
        <v/>
      </c>
      <c r="N9728">
        <f>IF(L9728="", "", L9728-B9728)</f>
        <v/>
      </c>
      <c r="O9728">
        <f>IF(L9728="", "Pending", IF(N9728&lt;=30, "Met", "Breached"))</f>
        <v/>
      </c>
    </row>
    <row r="9729">
      <c r="M9729" s="11">
        <f>B9729+30</f>
        <v/>
      </c>
      <c r="N9729">
        <f>IF(L9729="", "", L9729-B9729)</f>
        <v/>
      </c>
      <c r="O9729">
        <f>IF(L9729="", "Pending", IF(N9729&lt;=30, "Met", "Breached"))</f>
        <v/>
      </c>
    </row>
    <row r="9730">
      <c r="M9730" s="11">
        <f>B9730+30</f>
        <v/>
      </c>
      <c r="N9730">
        <f>IF(L9730="", "", L9730-B9730)</f>
        <v/>
      </c>
      <c r="O9730">
        <f>IF(L9730="", "Pending", IF(N9730&lt;=30, "Met", "Breached"))</f>
        <v/>
      </c>
    </row>
    <row r="9731">
      <c r="M9731" s="11">
        <f>B9731+30</f>
        <v/>
      </c>
      <c r="N9731">
        <f>IF(L9731="", "", L9731-B9731)</f>
        <v/>
      </c>
      <c r="O9731">
        <f>IF(L9731="", "Pending", IF(N9731&lt;=30, "Met", "Breached"))</f>
        <v/>
      </c>
    </row>
    <row r="9732">
      <c r="M9732" s="11">
        <f>B9732+30</f>
        <v/>
      </c>
      <c r="N9732">
        <f>IF(L9732="", "", L9732-B9732)</f>
        <v/>
      </c>
      <c r="O9732">
        <f>IF(L9732="", "Pending", IF(N9732&lt;=30, "Met", "Breached"))</f>
        <v/>
      </c>
    </row>
    <row r="9733">
      <c r="M9733" s="11">
        <f>B9733+30</f>
        <v/>
      </c>
      <c r="N9733">
        <f>IF(L9733="", "", L9733-B9733)</f>
        <v/>
      </c>
      <c r="O9733">
        <f>IF(L9733="", "Pending", IF(N9733&lt;=30, "Met", "Breached"))</f>
        <v/>
      </c>
    </row>
    <row r="9734">
      <c r="M9734" s="11">
        <f>B9734+30</f>
        <v/>
      </c>
      <c r="N9734">
        <f>IF(L9734="", "", L9734-B9734)</f>
        <v/>
      </c>
      <c r="O9734">
        <f>IF(L9734="", "Pending", IF(N9734&lt;=30, "Met", "Breached"))</f>
        <v/>
      </c>
    </row>
    <row r="9735">
      <c r="M9735" s="11">
        <f>B9735+30</f>
        <v/>
      </c>
      <c r="N9735">
        <f>IF(L9735="", "", L9735-B9735)</f>
        <v/>
      </c>
      <c r="O9735">
        <f>IF(L9735="", "Pending", IF(N9735&lt;=30, "Met", "Breached"))</f>
        <v/>
      </c>
    </row>
    <row r="9736">
      <c r="M9736" s="11">
        <f>B9736+30</f>
        <v/>
      </c>
      <c r="N9736">
        <f>IF(L9736="", "", L9736-B9736)</f>
        <v/>
      </c>
      <c r="O9736">
        <f>IF(L9736="", "Pending", IF(N9736&lt;=30, "Met", "Breached"))</f>
        <v/>
      </c>
    </row>
    <row r="9737">
      <c r="M9737" s="11">
        <f>B9737+30</f>
        <v/>
      </c>
      <c r="N9737">
        <f>IF(L9737="", "", L9737-B9737)</f>
        <v/>
      </c>
      <c r="O9737">
        <f>IF(L9737="", "Pending", IF(N9737&lt;=30, "Met", "Breached"))</f>
        <v/>
      </c>
    </row>
    <row r="9738">
      <c r="M9738" s="11">
        <f>B9738+30</f>
        <v/>
      </c>
      <c r="N9738">
        <f>IF(L9738="", "", L9738-B9738)</f>
        <v/>
      </c>
      <c r="O9738">
        <f>IF(L9738="", "Pending", IF(N9738&lt;=30, "Met", "Breached"))</f>
        <v/>
      </c>
    </row>
    <row r="9739">
      <c r="M9739" s="11">
        <f>B9739+30</f>
        <v/>
      </c>
      <c r="N9739">
        <f>IF(L9739="", "", L9739-B9739)</f>
        <v/>
      </c>
      <c r="O9739">
        <f>IF(L9739="", "Pending", IF(N9739&lt;=30, "Met", "Breached"))</f>
        <v/>
      </c>
    </row>
    <row r="9740">
      <c r="M9740" s="11">
        <f>B9740+30</f>
        <v/>
      </c>
      <c r="N9740">
        <f>IF(L9740="", "", L9740-B9740)</f>
        <v/>
      </c>
      <c r="O9740">
        <f>IF(L9740="", "Pending", IF(N9740&lt;=30, "Met", "Breached"))</f>
        <v/>
      </c>
    </row>
    <row r="9741">
      <c r="M9741" s="11">
        <f>B9741+30</f>
        <v/>
      </c>
      <c r="N9741">
        <f>IF(L9741="", "", L9741-B9741)</f>
        <v/>
      </c>
      <c r="O9741">
        <f>IF(L9741="", "Pending", IF(N9741&lt;=30, "Met", "Breached"))</f>
        <v/>
      </c>
    </row>
    <row r="9742">
      <c r="M9742" s="11">
        <f>B9742+30</f>
        <v/>
      </c>
      <c r="N9742">
        <f>IF(L9742="", "", L9742-B9742)</f>
        <v/>
      </c>
      <c r="O9742">
        <f>IF(L9742="", "Pending", IF(N9742&lt;=30, "Met", "Breached"))</f>
        <v/>
      </c>
    </row>
    <row r="9743">
      <c r="M9743" s="11">
        <f>B9743+30</f>
        <v/>
      </c>
      <c r="N9743">
        <f>IF(L9743="", "", L9743-B9743)</f>
        <v/>
      </c>
      <c r="O9743">
        <f>IF(L9743="", "Pending", IF(N9743&lt;=30, "Met", "Breached"))</f>
        <v/>
      </c>
    </row>
    <row r="9744">
      <c r="M9744" s="11">
        <f>B9744+30</f>
        <v/>
      </c>
      <c r="N9744">
        <f>IF(L9744="", "", L9744-B9744)</f>
        <v/>
      </c>
      <c r="O9744">
        <f>IF(L9744="", "Pending", IF(N9744&lt;=30, "Met", "Breached"))</f>
        <v/>
      </c>
    </row>
    <row r="9745">
      <c r="M9745" s="11">
        <f>B9745+30</f>
        <v/>
      </c>
      <c r="N9745">
        <f>IF(L9745="", "", L9745-B9745)</f>
        <v/>
      </c>
      <c r="O9745">
        <f>IF(L9745="", "Pending", IF(N9745&lt;=30, "Met", "Breached"))</f>
        <v/>
      </c>
    </row>
    <row r="9746">
      <c r="M9746" s="11">
        <f>B9746+30</f>
        <v/>
      </c>
      <c r="N9746">
        <f>IF(L9746="", "", L9746-B9746)</f>
        <v/>
      </c>
      <c r="O9746">
        <f>IF(L9746="", "Pending", IF(N9746&lt;=30, "Met", "Breached"))</f>
        <v/>
      </c>
    </row>
    <row r="9747">
      <c r="M9747" s="11">
        <f>B9747+30</f>
        <v/>
      </c>
      <c r="N9747">
        <f>IF(L9747="", "", L9747-B9747)</f>
        <v/>
      </c>
      <c r="O9747">
        <f>IF(L9747="", "Pending", IF(N9747&lt;=30, "Met", "Breached"))</f>
        <v/>
      </c>
    </row>
    <row r="9748">
      <c r="M9748" s="11">
        <f>B9748+30</f>
        <v/>
      </c>
      <c r="N9748">
        <f>IF(L9748="", "", L9748-B9748)</f>
        <v/>
      </c>
      <c r="O9748">
        <f>IF(L9748="", "Pending", IF(N9748&lt;=30, "Met", "Breached"))</f>
        <v/>
      </c>
    </row>
    <row r="9749">
      <c r="M9749" s="11">
        <f>B9749+30</f>
        <v/>
      </c>
      <c r="N9749">
        <f>IF(L9749="", "", L9749-B9749)</f>
        <v/>
      </c>
      <c r="O9749">
        <f>IF(L9749="", "Pending", IF(N9749&lt;=30, "Met", "Breached"))</f>
        <v/>
      </c>
    </row>
    <row r="9750">
      <c r="M9750" s="11">
        <f>B9750+30</f>
        <v/>
      </c>
      <c r="N9750">
        <f>IF(L9750="", "", L9750-B9750)</f>
        <v/>
      </c>
      <c r="O9750">
        <f>IF(L9750="", "Pending", IF(N9750&lt;=30, "Met", "Breached"))</f>
        <v/>
      </c>
    </row>
    <row r="9751">
      <c r="M9751" s="11">
        <f>B9751+30</f>
        <v/>
      </c>
      <c r="N9751">
        <f>IF(L9751="", "", L9751-B9751)</f>
        <v/>
      </c>
      <c r="O9751">
        <f>IF(L9751="", "Pending", IF(N9751&lt;=30, "Met", "Breached"))</f>
        <v/>
      </c>
    </row>
    <row r="9752">
      <c r="M9752" s="11">
        <f>B9752+30</f>
        <v/>
      </c>
      <c r="N9752">
        <f>IF(L9752="", "", L9752-B9752)</f>
        <v/>
      </c>
      <c r="O9752">
        <f>IF(L9752="", "Pending", IF(N9752&lt;=30, "Met", "Breached"))</f>
        <v/>
      </c>
    </row>
    <row r="9753">
      <c r="M9753" s="11">
        <f>B9753+30</f>
        <v/>
      </c>
      <c r="N9753">
        <f>IF(L9753="", "", L9753-B9753)</f>
        <v/>
      </c>
      <c r="O9753">
        <f>IF(L9753="", "Pending", IF(N9753&lt;=30, "Met", "Breached"))</f>
        <v/>
      </c>
    </row>
    <row r="9754">
      <c r="M9754" s="11">
        <f>B9754+30</f>
        <v/>
      </c>
      <c r="N9754">
        <f>IF(L9754="", "", L9754-B9754)</f>
        <v/>
      </c>
      <c r="O9754">
        <f>IF(L9754="", "Pending", IF(N9754&lt;=30, "Met", "Breached"))</f>
        <v/>
      </c>
    </row>
    <row r="9755">
      <c r="M9755" s="11">
        <f>B9755+30</f>
        <v/>
      </c>
      <c r="N9755">
        <f>IF(L9755="", "", L9755-B9755)</f>
        <v/>
      </c>
      <c r="O9755">
        <f>IF(L9755="", "Pending", IF(N9755&lt;=30, "Met", "Breached"))</f>
        <v/>
      </c>
    </row>
    <row r="9756">
      <c r="M9756" s="11">
        <f>B9756+30</f>
        <v/>
      </c>
      <c r="N9756">
        <f>IF(L9756="", "", L9756-B9756)</f>
        <v/>
      </c>
      <c r="O9756">
        <f>IF(L9756="", "Pending", IF(N9756&lt;=30, "Met", "Breached"))</f>
        <v/>
      </c>
    </row>
    <row r="9757">
      <c r="M9757" s="11">
        <f>B9757+30</f>
        <v/>
      </c>
      <c r="N9757">
        <f>IF(L9757="", "", L9757-B9757)</f>
        <v/>
      </c>
      <c r="O9757">
        <f>IF(L9757="", "Pending", IF(N9757&lt;=30, "Met", "Breached"))</f>
        <v/>
      </c>
    </row>
    <row r="9758">
      <c r="M9758" s="11">
        <f>B9758+30</f>
        <v/>
      </c>
      <c r="N9758">
        <f>IF(L9758="", "", L9758-B9758)</f>
        <v/>
      </c>
      <c r="O9758">
        <f>IF(L9758="", "Pending", IF(N9758&lt;=30, "Met", "Breached"))</f>
        <v/>
      </c>
    </row>
    <row r="9759">
      <c r="M9759" s="11">
        <f>B9759+30</f>
        <v/>
      </c>
      <c r="N9759">
        <f>IF(L9759="", "", L9759-B9759)</f>
        <v/>
      </c>
      <c r="O9759">
        <f>IF(L9759="", "Pending", IF(N9759&lt;=30, "Met", "Breached"))</f>
        <v/>
      </c>
    </row>
    <row r="9760">
      <c r="M9760" s="11">
        <f>B9760+30</f>
        <v/>
      </c>
      <c r="N9760">
        <f>IF(L9760="", "", L9760-B9760)</f>
        <v/>
      </c>
      <c r="O9760">
        <f>IF(L9760="", "Pending", IF(N9760&lt;=30, "Met", "Breached"))</f>
        <v/>
      </c>
    </row>
    <row r="9761">
      <c r="M9761" s="11">
        <f>B9761+30</f>
        <v/>
      </c>
      <c r="N9761">
        <f>IF(L9761="", "", L9761-B9761)</f>
        <v/>
      </c>
      <c r="O9761">
        <f>IF(L9761="", "Pending", IF(N9761&lt;=30, "Met", "Breached"))</f>
        <v/>
      </c>
    </row>
    <row r="9762">
      <c r="M9762" s="11">
        <f>B9762+30</f>
        <v/>
      </c>
      <c r="N9762">
        <f>IF(L9762="", "", L9762-B9762)</f>
        <v/>
      </c>
      <c r="O9762">
        <f>IF(L9762="", "Pending", IF(N9762&lt;=30, "Met", "Breached"))</f>
        <v/>
      </c>
    </row>
    <row r="9763">
      <c r="M9763" s="11">
        <f>B9763+30</f>
        <v/>
      </c>
      <c r="N9763">
        <f>IF(L9763="", "", L9763-B9763)</f>
        <v/>
      </c>
      <c r="O9763">
        <f>IF(L9763="", "Pending", IF(N9763&lt;=30, "Met", "Breached"))</f>
        <v/>
      </c>
    </row>
    <row r="9764">
      <c r="M9764" s="11">
        <f>B9764+30</f>
        <v/>
      </c>
      <c r="N9764">
        <f>IF(L9764="", "", L9764-B9764)</f>
        <v/>
      </c>
      <c r="O9764">
        <f>IF(L9764="", "Pending", IF(N9764&lt;=30, "Met", "Breached"))</f>
        <v/>
      </c>
    </row>
    <row r="9765">
      <c r="M9765" s="11">
        <f>B9765+30</f>
        <v/>
      </c>
      <c r="N9765">
        <f>IF(L9765="", "", L9765-B9765)</f>
        <v/>
      </c>
      <c r="O9765">
        <f>IF(L9765="", "Pending", IF(N9765&lt;=30, "Met", "Breached"))</f>
        <v/>
      </c>
    </row>
    <row r="9766">
      <c r="M9766" s="11">
        <f>B9766+30</f>
        <v/>
      </c>
      <c r="N9766">
        <f>IF(L9766="", "", L9766-B9766)</f>
        <v/>
      </c>
      <c r="O9766">
        <f>IF(L9766="", "Pending", IF(N9766&lt;=30, "Met", "Breached"))</f>
        <v/>
      </c>
    </row>
    <row r="9767">
      <c r="M9767" s="11">
        <f>B9767+30</f>
        <v/>
      </c>
      <c r="N9767">
        <f>IF(L9767="", "", L9767-B9767)</f>
        <v/>
      </c>
      <c r="O9767">
        <f>IF(L9767="", "Pending", IF(N9767&lt;=30, "Met", "Breached"))</f>
        <v/>
      </c>
    </row>
    <row r="9768">
      <c r="M9768" s="11">
        <f>B9768+30</f>
        <v/>
      </c>
      <c r="N9768">
        <f>IF(L9768="", "", L9768-B9768)</f>
        <v/>
      </c>
      <c r="O9768">
        <f>IF(L9768="", "Pending", IF(N9768&lt;=30, "Met", "Breached"))</f>
        <v/>
      </c>
    </row>
    <row r="9769">
      <c r="M9769" s="11">
        <f>B9769+30</f>
        <v/>
      </c>
      <c r="N9769">
        <f>IF(L9769="", "", L9769-B9769)</f>
        <v/>
      </c>
      <c r="O9769">
        <f>IF(L9769="", "Pending", IF(N9769&lt;=30, "Met", "Breached"))</f>
        <v/>
      </c>
    </row>
    <row r="9770">
      <c r="M9770" s="11">
        <f>B9770+30</f>
        <v/>
      </c>
      <c r="N9770">
        <f>IF(L9770="", "", L9770-B9770)</f>
        <v/>
      </c>
      <c r="O9770">
        <f>IF(L9770="", "Pending", IF(N9770&lt;=30, "Met", "Breached"))</f>
        <v/>
      </c>
    </row>
    <row r="9771">
      <c r="M9771" s="11">
        <f>B9771+30</f>
        <v/>
      </c>
      <c r="N9771">
        <f>IF(L9771="", "", L9771-B9771)</f>
        <v/>
      </c>
      <c r="O9771">
        <f>IF(L9771="", "Pending", IF(N9771&lt;=30, "Met", "Breached"))</f>
        <v/>
      </c>
    </row>
    <row r="9772">
      <c r="M9772" s="11">
        <f>B9772+30</f>
        <v/>
      </c>
      <c r="N9772">
        <f>IF(L9772="", "", L9772-B9772)</f>
        <v/>
      </c>
      <c r="O9772">
        <f>IF(L9772="", "Pending", IF(N9772&lt;=30, "Met", "Breached"))</f>
        <v/>
      </c>
    </row>
    <row r="9773">
      <c r="M9773" s="11">
        <f>B9773+30</f>
        <v/>
      </c>
      <c r="N9773">
        <f>IF(L9773="", "", L9773-B9773)</f>
        <v/>
      </c>
      <c r="O9773">
        <f>IF(L9773="", "Pending", IF(N9773&lt;=30, "Met", "Breached"))</f>
        <v/>
      </c>
    </row>
    <row r="9774">
      <c r="M9774" s="11">
        <f>B9774+30</f>
        <v/>
      </c>
      <c r="N9774">
        <f>IF(L9774="", "", L9774-B9774)</f>
        <v/>
      </c>
      <c r="O9774">
        <f>IF(L9774="", "Pending", IF(N9774&lt;=30, "Met", "Breached"))</f>
        <v/>
      </c>
    </row>
    <row r="9775">
      <c r="M9775" s="11">
        <f>B9775+30</f>
        <v/>
      </c>
      <c r="N9775">
        <f>IF(L9775="", "", L9775-B9775)</f>
        <v/>
      </c>
      <c r="O9775">
        <f>IF(L9775="", "Pending", IF(N9775&lt;=30, "Met", "Breached"))</f>
        <v/>
      </c>
    </row>
    <row r="9776">
      <c r="M9776" s="11">
        <f>B9776+30</f>
        <v/>
      </c>
      <c r="N9776">
        <f>IF(L9776="", "", L9776-B9776)</f>
        <v/>
      </c>
      <c r="O9776">
        <f>IF(L9776="", "Pending", IF(N9776&lt;=30, "Met", "Breached"))</f>
        <v/>
      </c>
    </row>
    <row r="9777">
      <c r="M9777" s="11">
        <f>B9777+30</f>
        <v/>
      </c>
      <c r="N9777">
        <f>IF(L9777="", "", L9777-B9777)</f>
        <v/>
      </c>
      <c r="O9777">
        <f>IF(L9777="", "Pending", IF(N9777&lt;=30, "Met", "Breached"))</f>
        <v/>
      </c>
    </row>
    <row r="9778">
      <c r="M9778" s="11">
        <f>B9778+30</f>
        <v/>
      </c>
      <c r="N9778">
        <f>IF(L9778="", "", L9778-B9778)</f>
        <v/>
      </c>
      <c r="O9778">
        <f>IF(L9778="", "Pending", IF(N9778&lt;=30, "Met", "Breached"))</f>
        <v/>
      </c>
    </row>
    <row r="9779">
      <c r="M9779" s="11">
        <f>B9779+30</f>
        <v/>
      </c>
      <c r="N9779">
        <f>IF(L9779="", "", L9779-B9779)</f>
        <v/>
      </c>
      <c r="O9779">
        <f>IF(L9779="", "Pending", IF(N9779&lt;=30, "Met", "Breached"))</f>
        <v/>
      </c>
    </row>
    <row r="9780">
      <c r="M9780" s="11">
        <f>B9780+30</f>
        <v/>
      </c>
      <c r="N9780">
        <f>IF(L9780="", "", L9780-B9780)</f>
        <v/>
      </c>
      <c r="O9780">
        <f>IF(L9780="", "Pending", IF(N9780&lt;=30, "Met", "Breached"))</f>
        <v/>
      </c>
    </row>
    <row r="9781">
      <c r="M9781" s="11">
        <f>B9781+30</f>
        <v/>
      </c>
      <c r="N9781">
        <f>IF(L9781="", "", L9781-B9781)</f>
        <v/>
      </c>
      <c r="O9781">
        <f>IF(L9781="", "Pending", IF(N9781&lt;=30, "Met", "Breached"))</f>
        <v/>
      </c>
    </row>
    <row r="9782">
      <c r="M9782" s="11">
        <f>B9782+30</f>
        <v/>
      </c>
      <c r="N9782">
        <f>IF(L9782="", "", L9782-B9782)</f>
        <v/>
      </c>
      <c r="O9782">
        <f>IF(L9782="", "Pending", IF(N9782&lt;=30, "Met", "Breached"))</f>
        <v/>
      </c>
    </row>
    <row r="9783">
      <c r="M9783" s="11">
        <f>B9783+30</f>
        <v/>
      </c>
      <c r="N9783">
        <f>IF(L9783="", "", L9783-B9783)</f>
        <v/>
      </c>
      <c r="O9783">
        <f>IF(L9783="", "Pending", IF(N9783&lt;=30, "Met", "Breached"))</f>
        <v/>
      </c>
    </row>
    <row r="9784">
      <c r="M9784" s="11">
        <f>B9784+30</f>
        <v/>
      </c>
      <c r="N9784">
        <f>IF(L9784="", "", L9784-B9784)</f>
        <v/>
      </c>
      <c r="O9784">
        <f>IF(L9784="", "Pending", IF(N9784&lt;=30, "Met", "Breached"))</f>
        <v/>
      </c>
    </row>
    <row r="9785">
      <c r="M9785" s="11">
        <f>B9785+30</f>
        <v/>
      </c>
      <c r="N9785">
        <f>IF(L9785="", "", L9785-B9785)</f>
        <v/>
      </c>
      <c r="O9785">
        <f>IF(L9785="", "Pending", IF(N9785&lt;=30, "Met", "Breached"))</f>
        <v/>
      </c>
    </row>
    <row r="9786">
      <c r="M9786" s="11">
        <f>B9786+30</f>
        <v/>
      </c>
      <c r="N9786">
        <f>IF(L9786="", "", L9786-B9786)</f>
        <v/>
      </c>
      <c r="O9786">
        <f>IF(L9786="", "Pending", IF(N9786&lt;=30, "Met", "Breached"))</f>
        <v/>
      </c>
    </row>
    <row r="9787">
      <c r="M9787" s="11">
        <f>B9787+30</f>
        <v/>
      </c>
      <c r="N9787">
        <f>IF(L9787="", "", L9787-B9787)</f>
        <v/>
      </c>
      <c r="O9787">
        <f>IF(L9787="", "Pending", IF(N9787&lt;=30, "Met", "Breached"))</f>
        <v/>
      </c>
    </row>
    <row r="9788">
      <c r="M9788" s="11">
        <f>B9788+30</f>
        <v/>
      </c>
      <c r="N9788">
        <f>IF(L9788="", "", L9788-B9788)</f>
        <v/>
      </c>
      <c r="O9788">
        <f>IF(L9788="", "Pending", IF(N9788&lt;=30, "Met", "Breached"))</f>
        <v/>
      </c>
    </row>
    <row r="9789">
      <c r="M9789" s="11">
        <f>B9789+30</f>
        <v/>
      </c>
      <c r="N9789">
        <f>IF(L9789="", "", L9789-B9789)</f>
        <v/>
      </c>
      <c r="O9789">
        <f>IF(L9789="", "Pending", IF(N9789&lt;=30, "Met", "Breached"))</f>
        <v/>
      </c>
    </row>
    <row r="9790">
      <c r="M9790" s="11">
        <f>B9790+30</f>
        <v/>
      </c>
      <c r="N9790">
        <f>IF(L9790="", "", L9790-B9790)</f>
        <v/>
      </c>
      <c r="O9790">
        <f>IF(L9790="", "Pending", IF(N9790&lt;=30, "Met", "Breached"))</f>
        <v/>
      </c>
    </row>
    <row r="9791">
      <c r="M9791" s="11">
        <f>B9791+30</f>
        <v/>
      </c>
      <c r="N9791">
        <f>IF(L9791="", "", L9791-B9791)</f>
        <v/>
      </c>
      <c r="O9791">
        <f>IF(L9791="", "Pending", IF(N9791&lt;=30, "Met", "Breached"))</f>
        <v/>
      </c>
    </row>
    <row r="9792">
      <c r="M9792" s="11">
        <f>B9792+30</f>
        <v/>
      </c>
      <c r="N9792">
        <f>IF(L9792="", "", L9792-B9792)</f>
        <v/>
      </c>
      <c r="O9792">
        <f>IF(L9792="", "Pending", IF(N9792&lt;=30, "Met", "Breached"))</f>
        <v/>
      </c>
    </row>
    <row r="9793">
      <c r="M9793" s="11">
        <f>B9793+30</f>
        <v/>
      </c>
      <c r="N9793">
        <f>IF(L9793="", "", L9793-B9793)</f>
        <v/>
      </c>
      <c r="O9793">
        <f>IF(L9793="", "Pending", IF(N9793&lt;=30, "Met", "Breached"))</f>
        <v/>
      </c>
    </row>
    <row r="9794">
      <c r="M9794" s="11">
        <f>B9794+30</f>
        <v/>
      </c>
      <c r="N9794">
        <f>IF(L9794="", "", L9794-B9794)</f>
        <v/>
      </c>
      <c r="O9794">
        <f>IF(L9794="", "Pending", IF(N9794&lt;=30, "Met", "Breached"))</f>
        <v/>
      </c>
    </row>
    <row r="9795">
      <c r="M9795" s="11">
        <f>B9795+30</f>
        <v/>
      </c>
      <c r="N9795">
        <f>IF(L9795="", "", L9795-B9795)</f>
        <v/>
      </c>
      <c r="O9795">
        <f>IF(L9795="", "Pending", IF(N9795&lt;=30, "Met", "Breached"))</f>
        <v/>
      </c>
    </row>
    <row r="9796">
      <c r="M9796" s="11">
        <f>B9796+30</f>
        <v/>
      </c>
      <c r="N9796">
        <f>IF(L9796="", "", L9796-B9796)</f>
        <v/>
      </c>
      <c r="O9796">
        <f>IF(L9796="", "Pending", IF(N9796&lt;=30, "Met", "Breached"))</f>
        <v/>
      </c>
    </row>
    <row r="9797">
      <c r="M9797" s="11">
        <f>B9797+30</f>
        <v/>
      </c>
      <c r="N9797">
        <f>IF(L9797="", "", L9797-B9797)</f>
        <v/>
      </c>
      <c r="O9797">
        <f>IF(L9797="", "Pending", IF(N9797&lt;=30, "Met", "Breached"))</f>
        <v/>
      </c>
    </row>
    <row r="9798">
      <c r="M9798" s="11">
        <f>B9798+30</f>
        <v/>
      </c>
      <c r="N9798">
        <f>IF(L9798="", "", L9798-B9798)</f>
        <v/>
      </c>
      <c r="O9798">
        <f>IF(L9798="", "Pending", IF(N9798&lt;=30, "Met", "Breached"))</f>
        <v/>
      </c>
    </row>
    <row r="9799">
      <c r="M9799" s="11">
        <f>B9799+30</f>
        <v/>
      </c>
      <c r="N9799">
        <f>IF(L9799="", "", L9799-B9799)</f>
        <v/>
      </c>
      <c r="O9799">
        <f>IF(L9799="", "Pending", IF(N9799&lt;=30, "Met", "Breached"))</f>
        <v/>
      </c>
    </row>
    <row r="9800">
      <c r="M9800" s="11">
        <f>B9800+30</f>
        <v/>
      </c>
      <c r="N9800">
        <f>IF(L9800="", "", L9800-B9800)</f>
        <v/>
      </c>
      <c r="O9800">
        <f>IF(L9800="", "Pending", IF(N9800&lt;=30, "Met", "Breached"))</f>
        <v/>
      </c>
    </row>
    <row r="9801">
      <c r="M9801" s="11">
        <f>B9801+30</f>
        <v/>
      </c>
      <c r="N9801">
        <f>IF(L9801="", "", L9801-B9801)</f>
        <v/>
      </c>
      <c r="O9801">
        <f>IF(L9801="", "Pending", IF(N9801&lt;=30, "Met", "Breached"))</f>
        <v/>
      </c>
    </row>
    <row r="9802">
      <c r="M9802" s="11">
        <f>B9802+30</f>
        <v/>
      </c>
      <c r="N9802">
        <f>IF(L9802="", "", L9802-B9802)</f>
        <v/>
      </c>
      <c r="O9802">
        <f>IF(L9802="", "Pending", IF(N9802&lt;=30, "Met", "Breached"))</f>
        <v/>
      </c>
    </row>
    <row r="9803">
      <c r="M9803" s="11">
        <f>B9803+30</f>
        <v/>
      </c>
      <c r="N9803">
        <f>IF(L9803="", "", L9803-B9803)</f>
        <v/>
      </c>
      <c r="O9803">
        <f>IF(L9803="", "Pending", IF(N9803&lt;=30, "Met", "Breached"))</f>
        <v/>
      </c>
    </row>
    <row r="9804">
      <c r="M9804" s="11">
        <f>B9804+30</f>
        <v/>
      </c>
      <c r="N9804">
        <f>IF(L9804="", "", L9804-B9804)</f>
        <v/>
      </c>
      <c r="O9804">
        <f>IF(L9804="", "Pending", IF(N9804&lt;=30, "Met", "Breached"))</f>
        <v/>
      </c>
    </row>
    <row r="9805">
      <c r="M9805" s="11">
        <f>B9805+30</f>
        <v/>
      </c>
      <c r="N9805">
        <f>IF(L9805="", "", L9805-B9805)</f>
        <v/>
      </c>
      <c r="O9805">
        <f>IF(L9805="", "Pending", IF(N9805&lt;=30, "Met", "Breached"))</f>
        <v/>
      </c>
    </row>
    <row r="9806">
      <c r="M9806" s="11">
        <f>B9806+30</f>
        <v/>
      </c>
      <c r="N9806">
        <f>IF(L9806="", "", L9806-B9806)</f>
        <v/>
      </c>
      <c r="O9806">
        <f>IF(L9806="", "Pending", IF(N9806&lt;=30, "Met", "Breached"))</f>
        <v/>
      </c>
    </row>
    <row r="9807">
      <c r="M9807" s="11">
        <f>B9807+30</f>
        <v/>
      </c>
      <c r="N9807">
        <f>IF(L9807="", "", L9807-B9807)</f>
        <v/>
      </c>
      <c r="O9807">
        <f>IF(L9807="", "Pending", IF(N9807&lt;=30, "Met", "Breached"))</f>
        <v/>
      </c>
    </row>
    <row r="9808">
      <c r="M9808" s="11">
        <f>B9808+30</f>
        <v/>
      </c>
      <c r="N9808">
        <f>IF(L9808="", "", L9808-B9808)</f>
        <v/>
      </c>
      <c r="O9808">
        <f>IF(L9808="", "Pending", IF(N9808&lt;=30, "Met", "Breached"))</f>
        <v/>
      </c>
    </row>
    <row r="9809">
      <c r="M9809" s="11">
        <f>B9809+30</f>
        <v/>
      </c>
      <c r="N9809">
        <f>IF(L9809="", "", L9809-B9809)</f>
        <v/>
      </c>
      <c r="O9809">
        <f>IF(L9809="", "Pending", IF(N9809&lt;=30, "Met", "Breached"))</f>
        <v/>
      </c>
    </row>
    <row r="9810">
      <c r="M9810" s="11">
        <f>B9810+30</f>
        <v/>
      </c>
      <c r="N9810">
        <f>IF(L9810="", "", L9810-B9810)</f>
        <v/>
      </c>
      <c r="O9810">
        <f>IF(L9810="", "Pending", IF(N9810&lt;=30, "Met", "Breached"))</f>
        <v/>
      </c>
    </row>
    <row r="9811">
      <c r="M9811" s="11">
        <f>B9811+30</f>
        <v/>
      </c>
      <c r="N9811">
        <f>IF(L9811="", "", L9811-B9811)</f>
        <v/>
      </c>
      <c r="O9811">
        <f>IF(L9811="", "Pending", IF(N9811&lt;=30, "Met", "Breached"))</f>
        <v/>
      </c>
    </row>
    <row r="9812">
      <c r="M9812" s="11">
        <f>B9812+30</f>
        <v/>
      </c>
      <c r="N9812">
        <f>IF(L9812="", "", L9812-B9812)</f>
        <v/>
      </c>
      <c r="O9812">
        <f>IF(L9812="", "Pending", IF(N9812&lt;=30, "Met", "Breached"))</f>
        <v/>
      </c>
    </row>
    <row r="9813">
      <c r="M9813" s="11">
        <f>B9813+30</f>
        <v/>
      </c>
      <c r="N9813">
        <f>IF(L9813="", "", L9813-B9813)</f>
        <v/>
      </c>
      <c r="O9813">
        <f>IF(L9813="", "Pending", IF(N9813&lt;=30, "Met", "Breached"))</f>
        <v/>
      </c>
    </row>
    <row r="9814">
      <c r="M9814" s="11">
        <f>B9814+30</f>
        <v/>
      </c>
      <c r="N9814">
        <f>IF(L9814="", "", L9814-B9814)</f>
        <v/>
      </c>
      <c r="O9814">
        <f>IF(L9814="", "Pending", IF(N9814&lt;=30, "Met", "Breached"))</f>
        <v/>
      </c>
    </row>
    <row r="9815">
      <c r="M9815" s="11">
        <f>B9815+30</f>
        <v/>
      </c>
      <c r="N9815">
        <f>IF(L9815="", "", L9815-B9815)</f>
        <v/>
      </c>
      <c r="O9815">
        <f>IF(L9815="", "Pending", IF(N9815&lt;=30, "Met", "Breached"))</f>
        <v/>
      </c>
    </row>
    <row r="9816">
      <c r="M9816" s="11">
        <f>B9816+30</f>
        <v/>
      </c>
      <c r="N9816">
        <f>IF(L9816="", "", L9816-B9816)</f>
        <v/>
      </c>
      <c r="O9816">
        <f>IF(L9816="", "Pending", IF(N9816&lt;=30, "Met", "Breached"))</f>
        <v/>
      </c>
    </row>
    <row r="9817">
      <c r="M9817" s="11">
        <f>B9817+30</f>
        <v/>
      </c>
      <c r="N9817">
        <f>IF(L9817="", "", L9817-B9817)</f>
        <v/>
      </c>
      <c r="O9817">
        <f>IF(L9817="", "Pending", IF(N9817&lt;=30, "Met", "Breached"))</f>
        <v/>
      </c>
    </row>
    <row r="9818">
      <c r="M9818" s="11">
        <f>B9818+30</f>
        <v/>
      </c>
      <c r="N9818">
        <f>IF(L9818="", "", L9818-B9818)</f>
        <v/>
      </c>
      <c r="O9818">
        <f>IF(L9818="", "Pending", IF(N9818&lt;=30, "Met", "Breached"))</f>
        <v/>
      </c>
    </row>
    <row r="9819">
      <c r="M9819" s="11">
        <f>B9819+30</f>
        <v/>
      </c>
      <c r="N9819">
        <f>IF(L9819="", "", L9819-B9819)</f>
        <v/>
      </c>
      <c r="O9819">
        <f>IF(L9819="", "Pending", IF(N9819&lt;=30, "Met", "Breached"))</f>
        <v/>
      </c>
    </row>
    <row r="9820">
      <c r="M9820" s="11">
        <f>B9820+30</f>
        <v/>
      </c>
      <c r="N9820">
        <f>IF(L9820="", "", L9820-B9820)</f>
        <v/>
      </c>
      <c r="O9820">
        <f>IF(L9820="", "Pending", IF(N9820&lt;=30, "Met", "Breached"))</f>
        <v/>
      </c>
    </row>
    <row r="9821">
      <c r="M9821" s="11">
        <f>B9821+30</f>
        <v/>
      </c>
      <c r="N9821">
        <f>IF(L9821="", "", L9821-B9821)</f>
        <v/>
      </c>
      <c r="O9821">
        <f>IF(L9821="", "Pending", IF(N9821&lt;=30, "Met", "Breached"))</f>
        <v/>
      </c>
    </row>
    <row r="9822">
      <c r="M9822" s="11">
        <f>B9822+30</f>
        <v/>
      </c>
      <c r="N9822">
        <f>IF(L9822="", "", L9822-B9822)</f>
        <v/>
      </c>
      <c r="O9822">
        <f>IF(L9822="", "Pending", IF(N9822&lt;=30, "Met", "Breached"))</f>
        <v/>
      </c>
    </row>
    <row r="9823">
      <c r="M9823" s="11">
        <f>B9823+30</f>
        <v/>
      </c>
      <c r="N9823">
        <f>IF(L9823="", "", L9823-B9823)</f>
        <v/>
      </c>
      <c r="O9823">
        <f>IF(L9823="", "Pending", IF(N9823&lt;=30, "Met", "Breached"))</f>
        <v/>
      </c>
    </row>
    <row r="9824">
      <c r="M9824" s="11">
        <f>B9824+30</f>
        <v/>
      </c>
      <c r="N9824">
        <f>IF(L9824="", "", L9824-B9824)</f>
        <v/>
      </c>
      <c r="O9824">
        <f>IF(L9824="", "Pending", IF(N9824&lt;=30, "Met", "Breached"))</f>
        <v/>
      </c>
    </row>
    <row r="9825">
      <c r="M9825" s="11">
        <f>B9825+30</f>
        <v/>
      </c>
      <c r="N9825">
        <f>IF(L9825="", "", L9825-B9825)</f>
        <v/>
      </c>
      <c r="O9825">
        <f>IF(L9825="", "Pending", IF(N9825&lt;=30, "Met", "Breached"))</f>
        <v/>
      </c>
    </row>
    <row r="9826">
      <c r="M9826" s="11">
        <f>B9826+30</f>
        <v/>
      </c>
      <c r="N9826">
        <f>IF(L9826="", "", L9826-B9826)</f>
        <v/>
      </c>
      <c r="O9826">
        <f>IF(L9826="", "Pending", IF(N9826&lt;=30, "Met", "Breached"))</f>
        <v/>
      </c>
    </row>
    <row r="9827">
      <c r="M9827" s="11">
        <f>B9827+30</f>
        <v/>
      </c>
      <c r="N9827">
        <f>IF(L9827="", "", L9827-B9827)</f>
        <v/>
      </c>
      <c r="O9827">
        <f>IF(L9827="", "Pending", IF(N9827&lt;=30, "Met", "Breached"))</f>
        <v/>
      </c>
    </row>
    <row r="9828">
      <c r="M9828" s="11">
        <f>B9828+30</f>
        <v/>
      </c>
      <c r="N9828">
        <f>IF(L9828="", "", L9828-B9828)</f>
        <v/>
      </c>
      <c r="O9828">
        <f>IF(L9828="", "Pending", IF(N9828&lt;=30, "Met", "Breached"))</f>
        <v/>
      </c>
    </row>
    <row r="9829">
      <c r="M9829" s="11">
        <f>B9829+30</f>
        <v/>
      </c>
      <c r="N9829">
        <f>IF(L9829="", "", L9829-B9829)</f>
        <v/>
      </c>
      <c r="O9829">
        <f>IF(L9829="", "Pending", IF(N9829&lt;=30, "Met", "Breached"))</f>
        <v/>
      </c>
    </row>
    <row r="9830">
      <c r="M9830" s="11">
        <f>B9830+30</f>
        <v/>
      </c>
      <c r="N9830">
        <f>IF(L9830="", "", L9830-B9830)</f>
        <v/>
      </c>
      <c r="O9830">
        <f>IF(L9830="", "Pending", IF(N9830&lt;=30, "Met", "Breached"))</f>
        <v/>
      </c>
    </row>
    <row r="9831">
      <c r="M9831" s="11">
        <f>B9831+30</f>
        <v/>
      </c>
      <c r="N9831">
        <f>IF(L9831="", "", L9831-B9831)</f>
        <v/>
      </c>
      <c r="O9831">
        <f>IF(L9831="", "Pending", IF(N9831&lt;=30, "Met", "Breached"))</f>
        <v/>
      </c>
    </row>
    <row r="9832">
      <c r="M9832" s="11">
        <f>B9832+30</f>
        <v/>
      </c>
      <c r="N9832">
        <f>IF(L9832="", "", L9832-B9832)</f>
        <v/>
      </c>
      <c r="O9832">
        <f>IF(L9832="", "Pending", IF(N9832&lt;=30, "Met", "Breached"))</f>
        <v/>
      </c>
    </row>
    <row r="9833">
      <c r="M9833" s="11">
        <f>B9833+30</f>
        <v/>
      </c>
      <c r="N9833">
        <f>IF(L9833="", "", L9833-B9833)</f>
        <v/>
      </c>
      <c r="O9833">
        <f>IF(L9833="", "Pending", IF(N9833&lt;=30, "Met", "Breached"))</f>
        <v/>
      </c>
    </row>
    <row r="9834">
      <c r="M9834" s="11">
        <f>B9834+30</f>
        <v/>
      </c>
      <c r="N9834">
        <f>IF(L9834="", "", L9834-B9834)</f>
        <v/>
      </c>
      <c r="O9834">
        <f>IF(L9834="", "Pending", IF(N9834&lt;=30, "Met", "Breached"))</f>
        <v/>
      </c>
    </row>
    <row r="9835">
      <c r="M9835" s="11">
        <f>B9835+30</f>
        <v/>
      </c>
      <c r="N9835">
        <f>IF(L9835="", "", L9835-B9835)</f>
        <v/>
      </c>
      <c r="O9835">
        <f>IF(L9835="", "Pending", IF(N9835&lt;=30, "Met", "Breached"))</f>
        <v/>
      </c>
    </row>
    <row r="9836">
      <c r="M9836" s="11">
        <f>B9836+30</f>
        <v/>
      </c>
      <c r="N9836">
        <f>IF(L9836="", "", L9836-B9836)</f>
        <v/>
      </c>
      <c r="O9836">
        <f>IF(L9836="", "Pending", IF(N9836&lt;=30, "Met", "Breached"))</f>
        <v/>
      </c>
    </row>
    <row r="9837">
      <c r="M9837" s="11">
        <f>B9837+30</f>
        <v/>
      </c>
      <c r="N9837">
        <f>IF(L9837="", "", L9837-B9837)</f>
        <v/>
      </c>
      <c r="O9837">
        <f>IF(L9837="", "Pending", IF(N9837&lt;=30, "Met", "Breached"))</f>
        <v/>
      </c>
    </row>
    <row r="9838">
      <c r="M9838" s="11">
        <f>B9838+30</f>
        <v/>
      </c>
      <c r="N9838">
        <f>IF(L9838="", "", L9838-B9838)</f>
        <v/>
      </c>
      <c r="O9838">
        <f>IF(L9838="", "Pending", IF(N9838&lt;=30, "Met", "Breached"))</f>
        <v/>
      </c>
    </row>
    <row r="9839">
      <c r="M9839" s="11">
        <f>B9839+30</f>
        <v/>
      </c>
      <c r="N9839">
        <f>IF(L9839="", "", L9839-B9839)</f>
        <v/>
      </c>
      <c r="O9839">
        <f>IF(L9839="", "Pending", IF(N9839&lt;=30, "Met", "Breached"))</f>
        <v/>
      </c>
    </row>
    <row r="9840">
      <c r="M9840" s="11">
        <f>B9840+30</f>
        <v/>
      </c>
      <c r="N9840">
        <f>IF(L9840="", "", L9840-B9840)</f>
        <v/>
      </c>
      <c r="O9840">
        <f>IF(L9840="", "Pending", IF(N9840&lt;=30, "Met", "Breached"))</f>
        <v/>
      </c>
    </row>
    <row r="9841">
      <c r="M9841" s="11">
        <f>B9841+30</f>
        <v/>
      </c>
      <c r="N9841">
        <f>IF(L9841="", "", L9841-B9841)</f>
        <v/>
      </c>
      <c r="O9841">
        <f>IF(L9841="", "Pending", IF(N9841&lt;=30, "Met", "Breached"))</f>
        <v/>
      </c>
    </row>
    <row r="9842">
      <c r="M9842" s="11">
        <f>B9842+30</f>
        <v/>
      </c>
      <c r="N9842">
        <f>IF(L9842="", "", L9842-B9842)</f>
        <v/>
      </c>
      <c r="O9842">
        <f>IF(L9842="", "Pending", IF(N9842&lt;=30, "Met", "Breached"))</f>
        <v/>
      </c>
    </row>
    <row r="9843">
      <c r="M9843" s="11">
        <f>B9843+30</f>
        <v/>
      </c>
      <c r="N9843">
        <f>IF(L9843="", "", L9843-B9843)</f>
        <v/>
      </c>
      <c r="O9843">
        <f>IF(L9843="", "Pending", IF(N9843&lt;=30, "Met", "Breached"))</f>
        <v/>
      </c>
    </row>
    <row r="9844">
      <c r="M9844" s="11">
        <f>B9844+30</f>
        <v/>
      </c>
      <c r="N9844">
        <f>IF(L9844="", "", L9844-B9844)</f>
        <v/>
      </c>
      <c r="O9844">
        <f>IF(L9844="", "Pending", IF(N9844&lt;=30, "Met", "Breached"))</f>
        <v/>
      </c>
    </row>
    <row r="9845">
      <c r="M9845" s="11">
        <f>B9845+30</f>
        <v/>
      </c>
      <c r="N9845">
        <f>IF(L9845="", "", L9845-B9845)</f>
        <v/>
      </c>
      <c r="O9845">
        <f>IF(L9845="", "Pending", IF(N9845&lt;=30, "Met", "Breached"))</f>
        <v/>
      </c>
    </row>
    <row r="9846">
      <c r="M9846" s="11">
        <f>B9846+30</f>
        <v/>
      </c>
      <c r="N9846">
        <f>IF(L9846="", "", L9846-B9846)</f>
        <v/>
      </c>
      <c r="O9846">
        <f>IF(L9846="", "Pending", IF(N9846&lt;=30, "Met", "Breached"))</f>
        <v/>
      </c>
    </row>
    <row r="9847">
      <c r="M9847" s="11">
        <f>B9847+30</f>
        <v/>
      </c>
      <c r="N9847">
        <f>IF(L9847="", "", L9847-B9847)</f>
        <v/>
      </c>
      <c r="O9847">
        <f>IF(L9847="", "Pending", IF(N9847&lt;=30, "Met", "Breached"))</f>
        <v/>
      </c>
    </row>
    <row r="9848">
      <c r="M9848" s="11">
        <f>B9848+30</f>
        <v/>
      </c>
      <c r="N9848">
        <f>IF(L9848="", "", L9848-B9848)</f>
        <v/>
      </c>
      <c r="O9848">
        <f>IF(L9848="", "Pending", IF(N9848&lt;=30, "Met", "Breached"))</f>
        <v/>
      </c>
    </row>
    <row r="9849">
      <c r="M9849" s="11">
        <f>B9849+30</f>
        <v/>
      </c>
      <c r="N9849">
        <f>IF(L9849="", "", L9849-B9849)</f>
        <v/>
      </c>
      <c r="O9849">
        <f>IF(L9849="", "Pending", IF(N9849&lt;=30, "Met", "Breached"))</f>
        <v/>
      </c>
    </row>
    <row r="9850">
      <c r="M9850" s="11">
        <f>B9850+30</f>
        <v/>
      </c>
      <c r="N9850">
        <f>IF(L9850="", "", L9850-B9850)</f>
        <v/>
      </c>
      <c r="O9850">
        <f>IF(L9850="", "Pending", IF(N9850&lt;=30, "Met", "Breached"))</f>
        <v/>
      </c>
    </row>
    <row r="9851">
      <c r="M9851" s="11">
        <f>B9851+30</f>
        <v/>
      </c>
      <c r="N9851">
        <f>IF(L9851="", "", L9851-B9851)</f>
        <v/>
      </c>
      <c r="O9851">
        <f>IF(L9851="", "Pending", IF(N9851&lt;=30, "Met", "Breached"))</f>
        <v/>
      </c>
    </row>
    <row r="9852">
      <c r="M9852" s="11">
        <f>B9852+30</f>
        <v/>
      </c>
      <c r="N9852">
        <f>IF(L9852="", "", L9852-B9852)</f>
        <v/>
      </c>
      <c r="O9852">
        <f>IF(L9852="", "Pending", IF(N9852&lt;=30, "Met", "Breached"))</f>
        <v/>
      </c>
    </row>
    <row r="9853">
      <c r="M9853" s="11">
        <f>B9853+30</f>
        <v/>
      </c>
      <c r="N9853">
        <f>IF(L9853="", "", L9853-B9853)</f>
        <v/>
      </c>
      <c r="O9853">
        <f>IF(L9853="", "Pending", IF(N9853&lt;=30, "Met", "Breached"))</f>
        <v/>
      </c>
    </row>
    <row r="9854">
      <c r="M9854" s="11">
        <f>B9854+30</f>
        <v/>
      </c>
      <c r="N9854">
        <f>IF(L9854="", "", L9854-B9854)</f>
        <v/>
      </c>
      <c r="O9854">
        <f>IF(L9854="", "Pending", IF(N9854&lt;=30, "Met", "Breached"))</f>
        <v/>
      </c>
    </row>
    <row r="9855">
      <c r="M9855" s="11">
        <f>B9855+30</f>
        <v/>
      </c>
      <c r="N9855">
        <f>IF(L9855="", "", L9855-B9855)</f>
        <v/>
      </c>
      <c r="O9855">
        <f>IF(L9855="", "Pending", IF(N9855&lt;=30, "Met", "Breached"))</f>
        <v/>
      </c>
    </row>
    <row r="9856">
      <c r="M9856" s="11">
        <f>B9856+30</f>
        <v/>
      </c>
      <c r="N9856">
        <f>IF(L9856="", "", L9856-B9856)</f>
        <v/>
      </c>
      <c r="O9856">
        <f>IF(L9856="", "Pending", IF(N9856&lt;=30, "Met", "Breached"))</f>
        <v/>
      </c>
    </row>
    <row r="9857">
      <c r="M9857" s="11">
        <f>B9857+30</f>
        <v/>
      </c>
      <c r="N9857">
        <f>IF(L9857="", "", L9857-B9857)</f>
        <v/>
      </c>
      <c r="O9857">
        <f>IF(L9857="", "Pending", IF(N9857&lt;=30, "Met", "Breached"))</f>
        <v/>
      </c>
    </row>
    <row r="9858">
      <c r="M9858" s="11">
        <f>B9858+30</f>
        <v/>
      </c>
      <c r="N9858">
        <f>IF(L9858="", "", L9858-B9858)</f>
        <v/>
      </c>
      <c r="O9858">
        <f>IF(L9858="", "Pending", IF(N9858&lt;=30, "Met", "Breached"))</f>
        <v/>
      </c>
    </row>
    <row r="9859">
      <c r="M9859" s="11">
        <f>B9859+30</f>
        <v/>
      </c>
      <c r="N9859">
        <f>IF(L9859="", "", L9859-B9859)</f>
        <v/>
      </c>
      <c r="O9859">
        <f>IF(L9859="", "Pending", IF(N9859&lt;=30, "Met", "Breached"))</f>
        <v/>
      </c>
    </row>
    <row r="9860">
      <c r="M9860" s="11">
        <f>B9860+30</f>
        <v/>
      </c>
      <c r="N9860">
        <f>IF(L9860="", "", L9860-B9860)</f>
        <v/>
      </c>
      <c r="O9860">
        <f>IF(L9860="", "Pending", IF(N9860&lt;=30, "Met", "Breached"))</f>
        <v/>
      </c>
    </row>
    <row r="9861">
      <c r="M9861" s="11">
        <f>B9861+30</f>
        <v/>
      </c>
      <c r="N9861">
        <f>IF(L9861="", "", L9861-B9861)</f>
        <v/>
      </c>
      <c r="O9861">
        <f>IF(L9861="", "Pending", IF(N9861&lt;=30, "Met", "Breached"))</f>
        <v/>
      </c>
    </row>
    <row r="9862">
      <c r="M9862" s="11">
        <f>B9862+30</f>
        <v/>
      </c>
      <c r="N9862">
        <f>IF(L9862="", "", L9862-B9862)</f>
        <v/>
      </c>
      <c r="O9862">
        <f>IF(L9862="", "Pending", IF(N9862&lt;=30, "Met", "Breached"))</f>
        <v/>
      </c>
    </row>
    <row r="9863">
      <c r="M9863" s="11">
        <f>B9863+30</f>
        <v/>
      </c>
      <c r="N9863">
        <f>IF(L9863="", "", L9863-B9863)</f>
        <v/>
      </c>
      <c r="O9863">
        <f>IF(L9863="", "Pending", IF(N9863&lt;=30, "Met", "Breached"))</f>
        <v/>
      </c>
    </row>
    <row r="9864">
      <c r="M9864" s="11">
        <f>B9864+30</f>
        <v/>
      </c>
      <c r="N9864">
        <f>IF(L9864="", "", L9864-B9864)</f>
        <v/>
      </c>
      <c r="O9864">
        <f>IF(L9864="", "Pending", IF(N9864&lt;=30, "Met", "Breached"))</f>
        <v/>
      </c>
    </row>
    <row r="9865">
      <c r="M9865" s="11">
        <f>B9865+30</f>
        <v/>
      </c>
      <c r="N9865">
        <f>IF(L9865="", "", L9865-B9865)</f>
        <v/>
      </c>
      <c r="O9865">
        <f>IF(L9865="", "Pending", IF(N9865&lt;=30, "Met", "Breached"))</f>
        <v/>
      </c>
    </row>
    <row r="9866">
      <c r="M9866" s="11">
        <f>B9866+30</f>
        <v/>
      </c>
      <c r="N9866">
        <f>IF(L9866="", "", L9866-B9866)</f>
        <v/>
      </c>
      <c r="O9866">
        <f>IF(L9866="", "Pending", IF(N9866&lt;=30, "Met", "Breached"))</f>
        <v/>
      </c>
    </row>
    <row r="9867">
      <c r="M9867" s="11">
        <f>B9867+30</f>
        <v/>
      </c>
      <c r="N9867">
        <f>IF(L9867="", "", L9867-B9867)</f>
        <v/>
      </c>
      <c r="O9867">
        <f>IF(L9867="", "Pending", IF(N9867&lt;=30, "Met", "Breached"))</f>
        <v/>
      </c>
    </row>
    <row r="9868">
      <c r="M9868" s="11">
        <f>B9868+30</f>
        <v/>
      </c>
      <c r="N9868">
        <f>IF(L9868="", "", L9868-B9868)</f>
        <v/>
      </c>
      <c r="O9868">
        <f>IF(L9868="", "Pending", IF(N9868&lt;=30, "Met", "Breached"))</f>
        <v/>
      </c>
    </row>
    <row r="9869">
      <c r="M9869" s="11">
        <f>B9869+30</f>
        <v/>
      </c>
      <c r="N9869">
        <f>IF(L9869="", "", L9869-B9869)</f>
        <v/>
      </c>
      <c r="O9869">
        <f>IF(L9869="", "Pending", IF(N9869&lt;=30, "Met", "Breached"))</f>
        <v/>
      </c>
    </row>
    <row r="9870">
      <c r="M9870" s="11">
        <f>B9870+30</f>
        <v/>
      </c>
      <c r="N9870">
        <f>IF(L9870="", "", L9870-B9870)</f>
        <v/>
      </c>
      <c r="O9870">
        <f>IF(L9870="", "Pending", IF(N9870&lt;=30, "Met", "Breached"))</f>
        <v/>
      </c>
    </row>
    <row r="9871">
      <c r="M9871" s="11">
        <f>B9871+30</f>
        <v/>
      </c>
      <c r="N9871">
        <f>IF(L9871="", "", L9871-B9871)</f>
        <v/>
      </c>
      <c r="O9871">
        <f>IF(L9871="", "Pending", IF(N9871&lt;=30, "Met", "Breached"))</f>
        <v/>
      </c>
    </row>
    <row r="9872">
      <c r="M9872" s="11">
        <f>B9872+30</f>
        <v/>
      </c>
      <c r="N9872">
        <f>IF(L9872="", "", L9872-B9872)</f>
        <v/>
      </c>
      <c r="O9872">
        <f>IF(L9872="", "Pending", IF(N9872&lt;=30, "Met", "Breached"))</f>
        <v/>
      </c>
    </row>
    <row r="9873">
      <c r="M9873" s="11">
        <f>B9873+30</f>
        <v/>
      </c>
      <c r="N9873">
        <f>IF(L9873="", "", L9873-B9873)</f>
        <v/>
      </c>
      <c r="O9873">
        <f>IF(L9873="", "Pending", IF(N9873&lt;=30, "Met", "Breached"))</f>
        <v/>
      </c>
    </row>
    <row r="9874">
      <c r="M9874" s="11">
        <f>B9874+30</f>
        <v/>
      </c>
      <c r="N9874">
        <f>IF(L9874="", "", L9874-B9874)</f>
        <v/>
      </c>
      <c r="O9874">
        <f>IF(L9874="", "Pending", IF(N9874&lt;=30, "Met", "Breached"))</f>
        <v/>
      </c>
    </row>
    <row r="9875">
      <c r="M9875" s="11">
        <f>B9875+30</f>
        <v/>
      </c>
      <c r="N9875">
        <f>IF(L9875="", "", L9875-B9875)</f>
        <v/>
      </c>
      <c r="O9875">
        <f>IF(L9875="", "Pending", IF(N9875&lt;=30, "Met", "Breached"))</f>
        <v/>
      </c>
    </row>
    <row r="9876">
      <c r="M9876" s="11">
        <f>B9876+30</f>
        <v/>
      </c>
      <c r="N9876">
        <f>IF(L9876="", "", L9876-B9876)</f>
        <v/>
      </c>
      <c r="O9876">
        <f>IF(L9876="", "Pending", IF(N9876&lt;=30, "Met", "Breached"))</f>
        <v/>
      </c>
    </row>
    <row r="9877">
      <c r="M9877" s="11">
        <f>B9877+30</f>
        <v/>
      </c>
      <c r="N9877">
        <f>IF(L9877="", "", L9877-B9877)</f>
        <v/>
      </c>
      <c r="O9877">
        <f>IF(L9877="", "Pending", IF(N9877&lt;=30, "Met", "Breached"))</f>
        <v/>
      </c>
    </row>
    <row r="9878">
      <c r="M9878" s="11">
        <f>B9878+30</f>
        <v/>
      </c>
      <c r="N9878">
        <f>IF(L9878="", "", L9878-B9878)</f>
        <v/>
      </c>
      <c r="O9878">
        <f>IF(L9878="", "Pending", IF(N9878&lt;=30, "Met", "Breached"))</f>
        <v/>
      </c>
    </row>
    <row r="9879">
      <c r="M9879" s="11">
        <f>B9879+30</f>
        <v/>
      </c>
      <c r="N9879">
        <f>IF(L9879="", "", L9879-B9879)</f>
        <v/>
      </c>
      <c r="O9879">
        <f>IF(L9879="", "Pending", IF(N9879&lt;=30, "Met", "Breached"))</f>
        <v/>
      </c>
    </row>
    <row r="9880">
      <c r="M9880" s="11">
        <f>B9880+30</f>
        <v/>
      </c>
      <c r="N9880">
        <f>IF(L9880="", "", L9880-B9880)</f>
        <v/>
      </c>
      <c r="O9880">
        <f>IF(L9880="", "Pending", IF(N9880&lt;=30, "Met", "Breached"))</f>
        <v/>
      </c>
    </row>
    <row r="9881">
      <c r="M9881" s="11">
        <f>B9881+30</f>
        <v/>
      </c>
      <c r="N9881">
        <f>IF(L9881="", "", L9881-B9881)</f>
        <v/>
      </c>
      <c r="O9881">
        <f>IF(L9881="", "Pending", IF(N9881&lt;=30, "Met", "Breached"))</f>
        <v/>
      </c>
    </row>
    <row r="9882">
      <c r="M9882" s="11">
        <f>B9882+30</f>
        <v/>
      </c>
      <c r="N9882">
        <f>IF(L9882="", "", L9882-B9882)</f>
        <v/>
      </c>
      <c r="O9882">
        <f>IF(L9882="", "Pending", IF(N9882&lt;=30, "Met", "Breached"))</f>
        <v/>
      </c>
    </row>
    <row r="9883">
      <c r="M9883" s="11">
        <f>B9883+30</f>
        <v/>
      </c>
      <c r="N9883">
        <f>IF(L9883="", "", L9883-B9883)</f>
        <v/>
      </c>
      <c r="O9883">
        <f>IF(L9883="", "Pending", IF(N9883&lt;=30, "Met", "Breached"))</f>
        <v/>
      </c>
    </row>
    <row r="9884">
      <c r="M9884" s="11">
        <f>B9884+30</f>
        <v/>
      </c>
      <c r="N9884">
        <f>IF(L9884="", "", L9884-B9884)</f>
        <v/>
      </c>
      <c r="O9884">
        <f>IF(L9884="", "Pending", IF(N9884&lt;=30, "Met", "Breached"))</f>
        <v/>
      </c>
    </row>
    <row r="9885">
      <c r="M9885" s="11">
        <f>B9885+30</f>
        <v/>
      </c>
      <c r="N9885">
        <f>IF(L9885="", "", L9885-B9885)</f>
        <v/>
      </c>
      <c r="O9885">
        <f>IF(L9885="", "Pending", IF(N9885&lt;=30, "Met", "Breached"))</f>
        <v/>
      </c>
    </row>
    <row r="9886">
      <c r="M9886" s="11">
        <f>B9886+30</f>
        <v/>
      </c>
      <c r="N9886">
        <f>IF(L9886="", "", L9886-B9886)</f>
        <v/>
      </c>
      <c r="O9886">
        <f>IF(L9886="", "Pending", IF(N9886&lt;=30, "Met", "Breached"))</f>
        <v/>
      </c>
    </row>
    <row r="9887">
      <c r="M9887" s="11">
        <f>B9887+30</f>
        <v/>
      </c>
      <c r="N9887">
        <f>IF(L9887="", "", L9887-B9887)</f>
        <v/>
      </c>
      <c r="O9887">
        <f>IF(L9887="", "Pending", IF(N9887&lt;=30, "Met", "Breached"))</f>
        <v/>
      </c>
    </row>
    <row r="9888">
      <c r="M9888" s="11">
        <f>B9888+30</f>
        <v/>
      </c>
      <c r="N9888">
        <f>IF(L9888="", "", L9888-B9888)</f>
        <v/>
      </c>
      <c r="O9888">
        <f>IF(L9888="", "Pending", IF(N9888&lt;=30, "Met", "Breached"))</f>
        <v/>
      </c>
    </row>
    <row r="9889">
      <c r="M9889" s="11">
        <f>B9889+30</f>
        <v/>
      </c>
      <c r="N9889">
        <f>IF(L9889="", "", L9889-B9889)</f>
        <v/>
      </c>
      <c r="O9889">
        <f>IF(L9889="", "Pending", IF(N9889&lt;=30, "Met", "Breached"))</f>
        <v/>
      </c>
    </row>
    <row r="9890">
      <c r="M9890" s="11">
        <f>B9890+30</f>
        <v/>
      </c>
      <c r="N9890">
        <f>IF(L9890="", "", L9890-B9890)</f>
        <v/>
      </c>
      <c r="O9890">
        <f>IF(L9890="", "Pending", IF(N9890&lt;=30, "Met", "Breached"))</f>
        <v/>
      </c>
    </row>
    <row r="9891">
      <c r="M9891" s="11">
        <f>B9891+30</f>
        <v/>
      </c>
      <c r="N9891">
        <f>IF(L9891="", "", L9891-B9891)</f>
        <v/>
      </c>
      <c r="O9891">
        <f>IF(L9891="", "Pending", IF(N9891&lt;=30, "Met", "Breached"))</f>
        <v/>
      </c>
    </row>
    <row r="9892">
      <c r="M9892" s="11">
        <f>B9892+30</f>
        <v/>
      </c>
      <c r="N9892">
        <f>IF(L9892="", "", L9892-B9892)</f>
        <v/>
      </c>
      <c r="O9892">
        <f>IF(L9892="", "Pending", IF(N9892&lt;=30, "Met", "Breached"))</f>
        <v/>
      </c>
    </row>
    <row r="9893">
      <c r="M9893" s="11">
        <f>B9893+30</f>
        <v/>
      </c>
      <c r="N9893">
        <f>IF(L9893="", "", L9893-B9893)</f>
        <v/>
      </c>
      <c r="O9893">
        <f>IF(L9893="", "Pending", IF(N9893&lt;=30, "Met", "Breached"))</f>
        <v/>
      </c>
    </row>
    <row r="9894">
      <c r="M9894" s="11">
        <f>B9894+30</f>
        <v/>
      </c>
      <c r="N9894">
        <f>IF(L9894="", "", L9894-B9894)</f>
        <v/>
      </c>
      <c r="O9894">
        <f>IF(L9894="", "Pending", IF(N9894&lt;=30, "Met", "Breached"))</f>
        <v/>
      </c>
    </row>
    <row r="9895">
      <c r="M9895" s="11">
        <f>B9895+30</f>
        <v/>
      </c>
      <c r="N9895">
        <f>IF(L9895="", "", L9895-B9895)</f>
        <v/>
      </c>
      <c r="O9895">
        <f>IF(L9895="", "Pending", IF(N9895&lt;=30, "Met", "Breached"))</f>
        <v/>
      </c>
    </row>
    <row r="9896">
      <c r="M9896" s="11">
        <f>B9896+30</f>
        <v/>
      </c>
      <c r="N9896">
        <f>IF(L9896="", "", L9896-B9896)</f>
        <v/>
      </c>
      <c r="O9896">
        <f>IF(L9896="", "Pending", IF(N9896&lt;=30, "Met", "Breached"))</f>
        <v/>
      </c>
    </row>
    <row r="9897">
      <c r="M9897" s="11">
        <f>B9897+30</f>
        <v/>
      </c>
      <c r="N9897">
        <f>IF(L9897="", "", L9897-B9897)</f>
        <v/>
      </c>
      <c r="O9897">
        <f>IF(L9897="", "Pending", IF(N9897&lt;=30, "Met", "Breached"))</f>
        <v/>
      </c>
    </row>
    <row r="9898">
      <c r="M9898" s="11">
        <f>B9898+30</f>
        <v/>
      </c>
      <c r="N9898">
        <f>IF(L9898="", "", L9898-B9898)</f>
        <v/>
      </c>
      <c r="O9898">
        <f>IF(L9898="", "Pending", IF(N9898&lt;=30, "Met", "Breached"))</f>
        <v/>
      </c>
    </row>
    <row r="9899">
      <c r="M9899" s="11">
        <f>B9899+30</f>
        <v/>
      </c>
      <c r="N9899">
        <f>IF(L9899="", "", L9899-B9899)</f>
        <v/>
      </c>
      <c r="O9899">
        <f>IF(L9899="", "Pending", IF(N9899&lt;=30, "Met", "Breached"))</f>
        <v/>
      </c>
    </row>
    <row r="9900">
      <c r="M9900" s="11">
        <f>B9900+30</f>
        <v/>
      </c>
      <c r="N9900">
        <f>IF(L9900="", "", L9900-B9900)</f>
        <v/>
      </c>
      <c r="O9900">
        <f>IF(L9900="", "Pending", IF(N9900&lt;=30, "Met", "Breached"))</f>
        <v/>
      </c>
    </row>
    <row r="9901">
      <c r="M9901" s="11">
        <f>B9901+30</f>
        <v/>
      </c>
      <c r="N9901">
        <f>IF(L9901="", "", L9901-B9901)</f>
        <v/>
      </c>
      <c r="O9901">
        <f>IF(L9901="", "Pending", IF(N9901&lt;=30, "Met", "Breached"))</f>
        <v/>
      </c>
    </row>
    <row r="9902">
      <c r="M9902" s="11">
        <f>B9902+30</f>
        <v/>
      </c>
      <c r="N9902">
        <f>IF(L9902="", "", L9902-B9902)</f>
        <v/>
      </c>
      <c r="O9902">
        <f>IF(L9902="", "Pending", IF(N9902&lt;=30, "Met", "Breached"))</f>
        <v/>
      </c>
    </row>
    <row r="9903">
      <c r="M9903" s="11">
        <f>B9903+30</f>
        <v/>
      </c>
      <c r="N9903">
        <f>IF(L9903="", "", L9903-B9903)</f>
        <v/>
      </c>
      <c r="O9903">
        <f>IF(L9903="", "Pending", IF(N9903&lt;=30, "Met", "Breached"))</f>
        <v/>
      </c>
    </row>
    <row r="9904">
      <c r="M9904" s="11">
        <f>B9904+30</f>
        <v/>
      </c>
      <c r="N9904">
        <f>IF(L9904="", "", L9904-B9904)</f>
        <v/>
      </c>
      <c r="O9904">
        <f>IF(L9904="", "Pending", IF(N9904&lt;=30, "Met", "Breached"))</f>
        <v/>
      </c>
    </row>
    <row r="9905">
      <c r="M9905" s="11">
        <f>B9905+30</f>
        <v/>
      </c>
      <c r="N9905">
        <f>IF(L9905="", "", L9905-B9905)</f>
        <v/>
      </c>
      <c r="O9905">
        <f>IF(L9905="", "Pending", IF(N9905&lt;=30, "Met", "Breached"))</f>
        <v/>
      </c>
    </row>
    <row r="9906">
      <c r="M9906" s="11">
        <f>B9906+30</f>
        <v/>
      </c>
      <c r="N9906">
        <f>IF(L9906="", "", L9906-B9906)</f>
        <v/>
      </c>
      <c r="O9906">
        <f>IF(L9906="", "Pending", IF(N9906&lt;=30, "Met", "Breached"))</f>
        <v/>
      </c>
    </row>
    <row r="9907">
      <c r="M9907" s="11">
        <f>B9907+30</f>
        <v/>
      </c>
      <c r="N9907">
        <f>IF(L9907="", "", L9907-B9907)</f>
        <v/>
      </c>
      <c r="O9907">
        <f>IF(L9907="", "Pending", IF(N9907&lt;=30, "Met", "Breached"))</f>
        <v/>
      </c>
    </row>
    <row r="9908">
      <c r="M9908" s="11">
        <f>B9908+30</f>
        <v/>
      </c>
      <c r="N9908">
        <f>IF(L9908="", "", L9908-B9908)</f>
        <v/>
      </c>
      <c r="O9908">
        <f>IF(L9908="", "Pending", IF(N9908&lt;=30, "Met", "Breached"))</f>
        <v/>
      </c>
    </row>
    <row r="9909">
      <c r="M9909" s="11">
        <f>B9909+30</f>
        <v/>
      </c>
      <c r="N9909">
        <f>IF(L9909="", "", L9909-B9909)</f>
        <v/>
      </c>
      <c r="O9909">
        <f>IF(L9909="", "Pending", IF(N9909&lt;=30, "Met", "Breached"))</f>
        <v/>
      </c>
    </row>
    <row r="9910">
      <c r="M9910" s="11">
        <f>B9910+30</f>
        <v/>
      </c>
      <c r="N9910">
        <f>IF(L9910="", "", L9910-B9910)</f>
        <v/>
      </c>
      <c r="O9910">
        <f>IF(L9910="", "Pending", IF(N9910&lt;=30, "Met", "Breached"))</f>
        <v/>
      </c>
    </row>
    <row r="9911">
      <c r="M9911" s="11">
        <f>B9911+30</f>
        <v/>
      </c>
      <c r="N9911">
        <f>IF(L9911="", "", L9911-B9911)</f>
        <v/>
      </c>
      <c r="O9911">
        <f>IF(L9911="", "Pending", IF(N9911&lt;=30, "Met", "Breached"))</f>
        <v/>
      </c>
    </row>
    <row r="9912">
      <c r="M9912" s="11">
        <f>B9912+30</f>
        <v/>
      </c>
      <c r="N9912">
        <f>IF(L9912="", "", L9912-B9912)</f>
        <v/>
      </c>
      <c r="O9912">
        <f>IF(L9912="", "Pending", IF(N9912&lt;=30, "Met", "Breached"))</f>
        <v/>
      </c>
    </row>
    <row r="9913">
      <c r="M9913" s="11">
        <f>B9913+30</f>
        <v/>
      </c>
      <c r="N9913">
        <f>IF(L9913="", "", L9913-B9913)</f>
        <v/>
      </c>
      <c r="O9913">
        <f>IF(L9913="", "Pending", IF(N9913&lt;=30, "Met", "Breached"))</f>
        <v/>
      </c>
    </row>
    <row r="9914">
      <c r="M9914" s="11">
        <f>B9914+30</f>
        <v/>
      </c>
      <c r="N9914">
        <f>IF(L9914="", "", L9914-B9914)</f>
        <v/>
      </c>
      <c r="O9914">
        <f>IF(L9914="", "Pending", IF(N9914&lt;=30, "Met", "Breached"))</f>
        <v/>
      </c>
    </row>
    <row r="9915">
      <c r="M9915" s="11">
        <f>B9915+30</f>
        <v/>
      </c>
      <c r="N9915">
        <f>IF(L9915="", "", L9915-B9915)</f>
        <v/>
      </c>
      <c r="O9915">
        <f>IF(L9915="", "Pending", IF(N9915&lt;=30, "Met", "Breached"))</f>
        <v/>
      </c>
    </row>
    <row r="9916">
      <c r="M9916" s="11">
        <f>B9916+30</f>
        <v/>
      </c>
      <c r="N9916">
        <f>IF(L9916="", "", L9916-B9916)</f>
        <v/>
      </c>
      <c r="O9916">
        <f>IF(L9916="", "Pending", IF(N9916&lt;=30, "Met", "Breached"))</f>
        <v/>
      </c>
    </row>
    <row r="9917">
      <c r="M9917" s="11">
        <f>B9917+30</f>
        <v/>
      </c>
      <c r="N9917">
        <f>IF(L9917="", "", L9917-B9917)</f>
        <v/>
      </c>
      <c r="O9917">
        <f>IF(L9917="", "Pending", IF(N9917&lt;=30, "Met", "Breached"))</f>
        <v/>
      </c>
    </row>
    <row r="9918">
      <c r="M9918" s="11">
        <f>B9918+30</f>
        <v/>
      </c>
      <c r="N9918">
        <f>IF(L9918="", "", L9918-B9918)</f>
        <v/>
      </c>
      <c r="O9918">
        <f>IF(L9918="", "Pending", IF(N9918&lt;=30, "Met", "Breached"))</f>
        <v/>
      </c>
    </row>
    <row r="9919">
      <c r="M9919" s="11">
        <f>B9919+30</f>
        <v/>
      </c>
      <c r="N9919">
        <f>IF(L9919="", "", L9919-B9919)</f>
        <v/>
      </c>
      <c r="O9919">
        <f>IF(L9919="", "Pending", IF(N9919&lt;=30, "Met", "Breached"))</f>
        <v/>
      </c>
    </row>
    <row r="9920">
      <c r="M9920" s="11">
        <f>B9920+30</f>
        <v/>
      </c>
      <c r="N9920">
        <f>IF(L9920="", "", L9920-B9920)</f>
        <v/>
      </c>
      <c r="O9920">
        <f>IF(L9920="", "Pending", IF(N9920&lt;=30, "Met", "Breached"))</f>
        <v/>
      </c>
    </row>
    <row r="9921">
      <c r="M9921" s="11">
        <f>B9921+30</f>
        <v/>
      </c>
      <c r="N9921">
        <f>IF(L9921="", "", L9921-B9921)</f>
        <v/>
      </c>
      <c r="O9921">
        <f>IF(L9921="", "Pending", IF(N9921&lt;=30, "Met", "Breached"))</f>
        <v/>
      </c>
    </row>
    <row r="9922">
      <c r="M9922" s="11">
        <f>B9922+30</f>
        <v/>
      </c>
      <c r="N9922">
        <f>IF(L9922="", "", L9922-B9922)</f>
        <v/>
      </c>
      <c r="O9922">
        <f>IF(L9922="", "Pending", IF(N9922&lt;=30, "Met", "Breached"))</f>
        <v/>
      </c>
    </row>
    <row r="9923">
      <c r="M9923" s="11">
        <f>B9923+30</f>
        <v/>
      </c>
      <c r="N9923">
        <f>IF(L9923="", "", L9923-B9923)</f>
        <v/>
      </c>
      <c r="O9923">
        <f>IF(L9923="", "Pending", IF(N9923&lt;=30, "Met", "Breached"))</f>
        <v/>
      </c>
    </row>
    <row r="9924">
      <c r="M9924" s="11">
        <f>B9924+30</f>
        <v/>
      </c>
      <c r="N9924">
        <f>IF(L9924="", "", L9924-B9924)</f>
        <v/>
      </c>
      <c r="O9924">
        <f>IF(L9924="", "Pending", IF(N9924&lt;=30, "Met", "Breached"))</f>
        <v/>
      </c>
    </row>
    <row r="9925">
      <c r="M9925" s="11">
        <f>B9925+30</f>
        <v/>
      </c>
      <c r="N9925">
        <f>IF(L9925="", "", L9925-B9925)</f>
        <v/>
      </c>
      <c r="O9925">
        <f>IF(L9925="", "Pending", IF(N9925&lt;=30, "Met", "Breached"))</f>
        <v/>
      </c>
    </row>
    <row r="9926">
      <c r="M9926" s="11">
        <f>B9926+30</f>
        <v/>
      </c>
      <c r="N9926">
        <f>IF(L9926="", "", L9926-B9926)</f>
        <v/>
      </c>
      <c r="O9926">
        <f>IF(L9926="", "Pending", IF(N9926&lt;=30, "Met", "Breached"))</f>
        <v/>
      </c>
    </row>
    <row r="9927">
      <c r="M9927" s="11">
        <f>B9927+30</f>
        <v/>
      </c>
      <c r="N9927">
        <f>IF(L9927="", "", L9927-B9927)</f>
        <v/>
      </c>
      <c r="O9927">
        <f>IF(L9927="", "Pending", IF(N9927&lt;=30, "Met", "Breached"))</f>
        <v/>
      </c>
    </row>
    <row r="9928">
      <c r="M9928" s="11">
        <f>B9928+30</f>
        <v/>
      </c>
      <c r="N9928">
        <f>IF(L9928="", "", L9928-B9928)</f>
        <v/>
      </c>
      <c r="O9928">
        <f>IF(L9928="", "Pending", IF(N9928&lt;=30, "Met", "Breached"))</f>
        <v/>
      </c>
    </row>
    <row r="9929">
      <c r="M9929" s="11">
        <f>B9929+30</f>
        <v/>
      </c>
      <c r="N9929">
        <f>IF(L9929="", "", L9929-B9929)</f>
        <v/>
      </c>
      <c r="O9929">
        <f>IF(L9929="", "Pending", IF(N9929&lt;=30, "Met", "Breached"))</f>
        <v/>
      </c>
    </row>
    <row r="9930">
      <c r="M9930" s="11">
        <f>B9930+30</f>
        <v/>
      </c>
      <c r="N9930">
        <f>IF(L9930="", "", L9930-B9930)</f>
        <v/>
      </c>
      <c r="O9930">
        <f>IF(L9930="", "Pending", IF(N9930&lt;=30, "Met", "Breached"))</f>
        <v/>
      </c>
    </row>
    <row r="9931">
      <c r="M9931" s="11">
        <f>B9931+30</f>
        <v/>
      </c>
      <c r="N9931">
        <f>IF(L9931="", "", L9931-B9931)</f>
        <v/>
      </c>
      <c r="O9931">
        <f>IF(L9931="", "Pending", IF(N9931&lt;=30, "Met", "Breached"))</f>
        <v/>
      </c>
    </row>
    <row r="9932">
      <c r="M9932" s="11">
        <f>B9932+30</f>
        <v/>
      </c>
      <c r="N9932">
        <f>IF(L9932="", "", L9932-B9932)</f>
        <v/>
      </c>
      <c r="O9932">
        <f>IF(L9932="", "Pending", IF(N9932&lt;=30, "Met", "Breached"))</f>
        <v/>
      </c>
    </row>
    <row r="9933">
      <c r="M9933" s="11">
        <f>B9933+30</f>
        <v/>
      </c>
      <c r="N9933">
        <f>IF(L9933="", "", L9933-B9933)</f>
        <v/>
      </c>
      <c r="O9933">
        <f>IF(L9933="", "Pending", IF(N9933&lt;=30, "Met", "Breached"))</f>
        <v/>
      </c>
    </row>
    <row r="9934">
      <c r="M9934" s="11">
        <f>B9934+30</f>
        <v/>
      </c>
      <c r="N9934">
        <f>IF(L9934="", "", L9934-B9934)</f>
        <v/>
      </c>
      <c r="O9934">
        <f>IF(L9934="", "Pending", IF(N9934&lt;=30, "Met", "Breached"))</f>
        <v/>
      </c>
    </row>
    <row r="9935">
      <c r="M9935" s="11">
        <f>B9935+30</f>
        <v/>
      </c>
      <c r="N9935">
        <f>IF(L9935="", "", L9935-B9935)</f>
        <v/>
      </c>
      <c r="O9935">
        <f>IF(L9935="", "Pending", IF(N9935&lt;=30, "Met", "Breached"))</f>
        <v/>
      </c>
    </row>
    <row r="9936">
      <c r="M9936" s="11">
        <f>B9936+30</f>
        <v/>
      </c>
      <c r="N9936">
        <f>IF(L9936="", "", L9936-B9936)</f>
        <v/>
      </c>
      <c r="O9936">
        <f>IF(L9936="", "Pending", IF(N9936&lt;=30, "Met", "Breached"))</f>
        <v/>
      </c>
    </row>
    <row r="9937">
      <c r="M9937" s="11">
        <f>B9937+30</f>
        <v/>
      </c>
      <c r="N9937">
        <f>IF(L9937="", "", L9937-B9937)</f>
        <v/>
      </c>
      <c r="O9937">
        <f>IF(L9937="", "Pending", IF(N9937&lt;=30, "Met", "Breached"))</f>
        <v/>
      </c>
    </row>
    <row r="9938">
      <c r="M9938" s="11">
        <f>B9938+30</f>
        <v/>
      </c>
      <c r="N9938">
        <f>IF(L9938="", "", L9938-B9938)</f>
        <v/>
      </c>
      <c r="O9938">
        <f>IF(L9938="", "Pending", IF(N9938&lt;=30, "Met", "Breached"))</f>
        <v/>
      </c>
    </row>
    <row r="9939">
      <c r="M9939" s="11">
        <f>B9939+30</f>
        <v/>
      </c>
      <c r="N9939">
        <f>IF(L9939="", "", L9939-B9939)</f>
        <v/>
      </c>
      <c r="O9939">
        <f>IF(L9939="", "Pending", IF(N9939&lt;=30, "Met", "Breached"))</f>
        <v/>
      </c>
    </row>
    <row r="9940">
      <c r="M9940" s="11">
        <f>B9940+30</f>
        <v/>
      </c>
      <c r="N9940">
        <f>IF(L9940="", "", L9940-B9940)</f>
        <v/>
      </c>
      <c r="O9940">
        <f>IF(L9940="", "Pending", IF(N9940&lt;=30, "Met", "Breached"))</f>
        <v/>
      </c>
    </row>
    <row r="9941">
      <c r="M9941" s="11">
        <f>B9941+30</f>
        <v/>
      </c>
      <c r="N9941">
        <f>IF(L9941="", "", L9941-B9941)</f>
        <v/>
      </c>
      <c r="O9941">
        <f>IF(L9941="", "Pending", IF(N9941&lt;=30, "Met", "Breached"))</f>
        <v/>
      </c>
    </row>
    <row r="9942">
      <c r="M9942" s="11">
        <f>B9942+30</f>
        <v/>
      </c>
      <c r="N9942">
        <f>IF(L9942="", "", L9942-B9942)</f>
        <v/>
      </c>
      <c r="O9942">
        <f>IF(L9942="", "Pending", IF(N9942&lt;=30, "Met", "Breached"))</f>
        <v/>
      </c>
    </row>
    <row r="9943">
      <c r="M9943" s="11">
        <f>B9943+30</f>
        <v/>
      </c>
      <c r="N9943">
        <f>IF(L9943="", "", L9943-B9943)</f>
        <v/>
      </c>
      <c r="O9943">
        <f>IF(L9943="", "Pending", IF(N9943&lt;=30, "Met", "Breached"))</f>
        <v/>
      </c>
    </row>
    <row r="9944">
      <c r="M9944" s="11">
        <f>B9944+30</f>
        <v/>
      </c>
      <c r="N9944">
        <f>IF(L9944="", "", L9944-B9944)</f>
        <v/>
      </c>
      <c r="O9944">
        <f>IF(L9944="", "Pending", IF(N9944&lt;=30, "Met", "Breached"))</f>
        <v/>
      </c>
    </row>
    <row r="9945">
      <c r="M9945" s="11">
        <f>B9945+30</f>
        <v/>
      </c>
      <c r="N9945">
        <f>IF(L9945="", "", L9945-B9945)</f>
        <v/>
      </c>
      <c r="O9945">
        <f>IF(L9945="", "Pending", IF(N9945&lt;=30, "Met", "Breached"))</f>
        <v/>
      </c>
    </row>
    <row r="9946">
      <c r="M9946" s="11">
        <f>B9946+30</f>
        <v/>
      </c>
      <c r="N9946">
        <f>IF(L9946="", "", L9946-B9946)</f>
        <v/>
      </c>
      <c r="O9946">
        <f>IF(L9946="", "Pending", IF(N9946&lt;=30, "Met", "Breached"))</f>
        <v/>
      </c>
    </row>
    <row r="9947">
      <c r="M9947" s="11">
        <f>B9947+30</f>
        <v/>
      </c>
      <c r="N9947">
        <f>IF(L9947="", "", L9947-B9947)</f>
        <v/>
      </c>
      <c r="O9947">
        <f>IF(L9947="", "Pending", IF(N9947&lt;=30, "Met", "Breached"))</f>
        <v/>
      </c>
    </row>
    <row r="9948">
      <c r="M9948" s="11">
        <f>B9948+30</f>
        <v/>
      </c>
      <c r="N9948">
        <f>IF(L9948="", "", L9948-B9948)</f>
        <v/>
      </c>
      <c r="O9948">
        <f>IF(L9948="", "Pending", IF(N9948&lt;=30, "Met", "Breached"))</f>
        <v/>
      </c>
    </row>
    <row r="9949">
      <c r="M9949" s="11">
        <f>B9949+30</f>
        <v/>
      </c>
      <c r="N9949">
        <f>IF(L9949="", "", L9949-B9949)</f>
        <v/>
      </c>
      <c r="O9949">
        <f>IF(L9949="", "Pending", IF(N9949&lt;=30, "Met", "Breached"))</f>
        <v/>
      </c>
    </row>
    <row r="9950">
      <c r="M9950" s="11">
        <f>B9950+30</f>
        <v/>
      </c>
      <c r="N9950">
        <f>IF(L9950="", "", L9950-B9950)</f>
        <v/>
      </c>
      <c r="O9950">
        <f>IF(L9950="", "Pending", IF(N9950&lt;=30, "Met", "Breached"))</f>
        <v/>
      </c>
    </row>
    <row r="9951">
      <c r="M9951" s="11">
        <f>B9951+30</f>
        <v/>
      </c>
      <c r="N9951">
        <f>IF(L9951="", "", L9951-B9951)</f>
        <v/>
      </c>
      <c r="O9951">
        <f>IF(L9951="", "Pending", IF(N9951&lt;=30, "Met", "Breached"))</f>
        <v/>
      </c>
    </row>
    <row r="9952">
      <c r="M9952" s="11">
        <f>B9952+30</f>
        <v/>
      </c>
      <c r="N9952">
        <f>IF(L9952="", "", L9952-B9952)</f>
        <v/>
      </c>
      <c r="O9952">
        <f>IF(L9952="", "Pending", IF(N9952&lt;=30, "Met", "Breached"))</f>
        <v/>
      </c>
    </row>
    <row r="9953">
      <c r="M9953" s="11">
        <f>B9953+30</f>
        <v/>
      </c>
      <c r="N9953">
        <f>IF(L9953="", "", L9953-B9953)</f>
        <v/>
      </c>
      <c r="O9953">
        <f>IF(L9953="", "Pending", IF(N9953&lt;=30, "Met", "Breached"))</f>
        <v/>
      </c>
    </row>
    <row r="9954">
      <c r="M9954" s="11">
        <f>B9954+30</f>
        <v/>
      </c>
      <c r="N9954">
        <f>IF(L9954="", "", L9954-B9954)</f>
        <v/>
      </c>
      <c r="O9954">
        <f>IF(L9954="", "Pending", IF(N9954&lt;=30, "Met", "Breached"))</f>
        <v/>
      </c>
    </row>
    <row r="9955">
      <c r="M9955" s="11">
        <f>B9955+30</f>
        <v/>
      </c>
      <c r="N9955">
        <f>IF(L9955="", "", L9955-B9955)</f>
        <v/>
      </c>
      <c r="O9955">
        <f>IF(L9955="", "Pending", IF(N9955&lt;=30, "Met", "Breached"))</f>
        <v/>
      </c>
    </row>
    <row r="9956">
      <c r="M9956" s="11">
        <f>B9956+30</f>
        <v/>
      </c>
      <c r="N9956">
        <f>IF(L9956="", "", L9956-B9956)</f>
        <v/>
      </c>
      <c r="O9956">
        <f>IF(L9956="", "Pending", IF(N9956&lt;=30, "Met", "Breached"))</f>
        <v/>
      </c>
    </row>
    <row r="9957">
      <c r="M9957" s="11">
        <f>B9957+30</f>
        <v/>
      </c>
      <c r="N9957">
        <f>IF(L9957="", "", L9957-B9957)</f>
        <v/>
      </c>
      <c r="O9957">
        <f>IF(L9957="", "Pending", IF(N9957&lt;=30, "Met", "Breached"))</f>
        <v/>
      </c>
    </row>
    <row r="9958">
      <c r="M9958" s="11">
        <f>B9958+30</f>
        <v/>
      </c>
      <c r="N9958">
        <f>IF(L9958="", "", L9958-B9958)</f>
        <v/>
      </c>
      <c r="O9958">
        <f>IF(L9958="", "Pending", IF(N9958&lt;=30, "Met", "Breached"))</f>
        <v/>
      </c>
    </row>
    <row r="9959">
      <c r="M9959" s="11">
        <f>B9959+30</f>
        <v/>
      </c>
      <c r="N9959">
        <f>IF(L9959="", "", L9959-B9959)</f>
        <v/>
      </c>
      <c r="O9959">
        <f>IF(L9959="", "Pending", IF(N9959&lt;=30, "Met", "Breached"))</f>
        <v/>
      </c>
    </row>
    <row r="9960">
      <c r="M9960" s="11">
        <f>B9960+30</f>
        <v/>
      </c>
      <c r="N9960">
        <f>IF(L9960="", "", L9960-B9960)</f>
        <v/>
      </c>
      <c r="O9960">
        <f>IF(L9960="", "Pending", IF(N9960&lt;=30, "Met", "Breached"))</f>
        <v/>
      </c>
    </row>
    <row r="9961">
      <c r="M9961" s="11">
        <f>B9961+30</f>
        <v/>
      </c>
      <c r="N9961">
        <f>IF(L9961="", "", L9961-B9961)</f>
        <v/>
      </c>
      <c r="O9961">
        <f>IF(L9961="", "Pending", IF(N9961&lt;=30, "Met", "Breached"))</f>
        <v/>
      </c>
    </row>
    <row r="9962">
      <c r="M9962" s="11">
        <f>B9962+30</f>
        <v/>
      </c>
      <c r="N9962">
        <f>IF(L9962="", "", L9962-B9962)</f>
        <v/>
      </c>
      <c r="O9962">
        <f>IF(L9962="", "Pending", IF(N9962&lt;=30, "Met", "Breached"))</f>
        <v/>
      </c>
    </row>
    <row r="9963">
      <c r="M9963" s="11">
        <f>B9963+30</f>
        <v/>
      </c>
      <c r="N9963">
        <f>IF(L9963="", "", L9963-B9963)</f>
        <v/>
      </c>
      <c r="O9963">
        <f>IF(L9963="", "Pending", IF(N9963&lt;=30, "Met", "Breached"))</f>
        <v/>
      </c>
    </row>
    <row r="9964">
      <c r="M9964" s="11">
        <f>B9964+30</f>
        <v/>
      </c>
      <c r="N9964">
        <f>IF(L9964="", "", L9964-B9964)</f>
        <v/>
      </c>
      <c r="O9964">
        <f>IF(L9964="", "Pending", IF(N9964&lt;=30, "Met", "Breached"))</f>
        <v/>
      </c>
    </row>
    <row r="9965">
      <c r="M9965" s="11">
        <f>B9965+30</f>
        <v/>
      </c>
      <c r="N9965">
        <f>IF(L9965="", "", L9965-B9965)</f>
        <v/>
      </c>
      <c r="O9965">
        <f>IF(L9965="", "Pending", IF(N9965&lt;=30, "Met", "Breached"))</f>
        <v/>
      </c>
    </row>
    <row r="9966">
      <c r="M9966" s="11">
        <f>B9966+30</f>
        <v/>
      </c>
      <c r="N9966">
        <f>IF(L9966="", "", L9966-B9966)</f>
        <v/>
      </c>
      <c r="O9966">
        <f>IF(L9966="", "Pending", IF(N9966&lt;=30, "Met", "Breached"))</f>
        <v/>
      </c>
    </row>
    <row r="9967">
      <c r="M9967" s="11">
        <f>B9967+30</f>
        <v/>
      </c>
      <c r="N9967">
        <f>IF(L9967="", "", L9967-B9967)</f>
        <v/>
      </c>
      <c r="O9967">
        <f>IF(L9967="", "Pending", IF(N9967&lt;=30, "Met", "Breached"))</f>
        <v/>
      </c>
    </row>
    <row r="9968">
      <c r="M9968" s="11">
        <f>B9968+30</f>
        <v/>
      </c>
      <c r="N9968">
        <f>IF(L9968="", "", L9968-B9968)</f>
        <v/>
      </c>
      <c r="O9968">
        <f>IF(L9968="", "Pending", IF(N9968&lt;=30, "Met", "Breached"))</f>
        <v/>
      </c>
    </row>
    <row r="9969">
      <c r="M9969" s="11">
        <f>B9969+30</f>
        <v/>
      </c>
      <c r="N9969">
        <f>IF(L9969="", "", L9969-B9969)</f>
        <v/>
      </c>
      <c r="O9969">
        <f>IF(L9969="", "Pending", IF(N9969&lt;=30, "Met", "Breached"))</f>
        <v/>
      </c>
    </row>
    <row r="9970">
      <c r="M9970" s="11">
        <f>B9970+30</f>
        <v/>
      </c>
      <c r="N9970">
        <f>IF(L9970="", "", L9970-B9970)</f>
        <v/>
      </c>
      <c r="O9970">
        <f>IF(L9970="", "Pending", IF(N9970&lt;=30, "Met", "Breached"))</f>
        <v/>
      </c>
    </row>
    <row r="9971">
      <c r="M9971" s="11">
        <f>B9971+30</f>
        <v/>
      </c>
      <c r="N9971">
        <f>IF(L9971="", "", L9971-B9971)</f>
        <v/>
      </c>
      <c r="O9971">
        <f>IF(L9971="", "Pending", IF(N9971&lt;=30, "Met", "Breached"))</f>
        <v/>
      </c>
    </row>
    <row r="9972">
      <c r="M9972" s="11">
        <f>B9972+30</f>
        <v/>
      </c>
      <c r="N9972">
        <f>IF(L9972="", "", L9972-B9972)</f>
        <v/>
      </c>
      <c r="O9972">
        <f>IF(L9972="", "Pending", IF(N9972&lt;=30, "Met", "Breached"))</f>
        <v/>
      </c>
    </row>
    <row r="9973">
      <c r="M9973" s="11">
        <f>B9973+30</f>
        <v/>
      </c>
      <c r="N9973">
        <f>IF(L9973="", "", L9973-B9973)</f>
        <v/>
      </c>
      <c r="O9973">
        <f>IF(L9973="", "Pending", IF(N9973&lt;=30, "Met", "Breached"))</f>
        <v/>
      </c>
    </row>
    <row r="9974">
      <c r="M9974" s="11">
        <f>B9974+30</f>
        <v/>
      </c>
      <c r="N9974">
        <f>IF(L9974="", "", L9974-B9974)</f>
        <v/>
      </c>
      <c r="O9974">
        <f>IF(L9974="", "Pending", IF(N9974&lt;=30, "Met", "Breached"))</f>
        <v/>
      </c>
    </row>
    <row r="9975">
      <c r="M9975" s="11">
        <f>B9975+30</f>
        <v/>
      </c>
      <c r="N9975">
        <f>IF(L9975="", "", L9975-B9975)</f>
        <v/>
      </c>
      <c r="O9975">
        <f>IF(L9975="", "Pending", IF(N9975&lt;=30, "Met", "Breached"))</f>
        <v/>
      </c>
    </row>
    <row r="9976">
      <c r="M9976" s="11">
        <f>B9976+30</f>
        <v/>
      </c>
      <c r="N9976">
        <f>IF(L9976="", "", L9976-B9976)</f>
        <v/>
      </c>
      <c r="O9976">
        <f>IF(L9976="", "Pending", IF(N9976&lt;=30, "Met", "Breached"))</f>
        <v/>
      </c>
    </row>
    <row r="9977">
      <c r="M9977" s="11">
        <f>B9977+30</f>
        <v/>
      </c>
      <c r="N9977">
        <f>IF(L9977="", "", L9977-B9977)</f>
        <v/>
      </c>
      <c r="O9977">
        <f>IF(L9977="", "Pending", IF(N9977&lt;=30, "Met", "Breached"))</f>
        <v/>
      </c>
    </row>
    <row r="9978">
      <c r="M9978" s="11">
        <f>B9978+30</f>
        <v/>
      </c>
      <c r="N9978">
        <f>IF(L9978="", "", L9978-B9978)</f>
        <v/>
      </c>
      <c r="O9978">
        <f>IF(L9978="", "Pending", IF(N9978&lt;=30, "Met", "Breached"))</f>
        <v/>
      </c>
    </row>
    <row r="9979">
      <c r="M9979" s="11">
        <f>B9979+30</f>
        <v/>
      </c>
      <c r="N9979">
        <f>IF(L9979="", "", L9979-B9979)</f>
        <v/>
      </c>
      <c r="O9979">
        <f>IF(L9979="", "Pending", IF(N9979&lt;=30, "Met", "Breached"))</f>
        <v/>
      </c>
    </row>
    <row r="9980">
      <c r="M9980" s="11">
        <f>B9980+30</f>
        <v/>
      </c>
      <c r="N9980">
        <f>IF(L9980="", "", L9980-B9980)</f>
        <v/>
      </c>
      <c r="O9980">
        <f>IF(L9980="", "Pending", IF(N9980&lt;=30, "Met", "Breached"))</f>
        <v/>
      </c>
    </row>
    <row r="9981">
      <c r="M9981" s="11">
        <f>B9981+30</f>
        <v/>
      </c>
      <c r="N9981">
        <f>IF(L9981="", "", L9981-B9981)</f>
        <v/>
      </c>
      <c r="O9981">
        <f>IF(L9981="", "Pending", IF(N9981&lt;=30, "Met", "Breached"))</f>
        <v/>
      </c>
    </row>
    <row r="9982">
      <c r="M9982" s="11">
        <f>B9982+30</f>
        <v/>
      </c>
      <c r="N9982">
        <f>IF(L9982="", "", L9982-B9982)</f>
        <v/>
      </c>
      <c r="O9982">
        <f>IF(L9982="", "Pending", IF(N9982&lt;=30, "Met", "Breached"))</f>
        <v/>
      </c>
    </row>
    <row r="9983">
      <c r="M9983" s="11">
        <f>B9983+30</f>
        <v/>
      </c>
      <c r="N9983">
        <f>IF(L9983="", "", L9983-B9983)</f>
        <v/>
      </c>
      <c r="O9983">
        <f>IF(L9983="", "Pending", IF(N9983&lt;=30, "Met", "Breached"))</f>
        <v/>
      </c>
    </row>
    <row r="9984">
      <c r="M9984" s="11">
        <f>B9984+30</f>
        <v/>
      </c>
      <c r="N9984">
        <f>IF(L9984="", "", L9984-B9984)</f>
        <v/>
      </c>
      <c r="O9984">
        <f>IF(L9984="", "Pending", IF(N9984&lt;=30, "Met", "Breached"))</f>
        <v/>
      </c>
    </row>
    <row r="9985">
      <c r="M9985" s="11">
        <f>B9985+30</f>
        <v/>
      </c>
      <c r="N9985">
        <f>IF(L9985="", "", L9985-B9985)</f>
        <v/>
      </c>
      <c r="O9985">
        <f>IF(L9985="", "Pending", IF(N9985&lt;=30, "Met", "Breached"))</f>
        <v/>
      </c>
    </row>
    <row r="9986">
      <c r="M9986" s="11">
        <f>B9986+30</f>
        <v/>
      </c>
      <c r="N9986">
        <f>IF(L9986="", "", L9986-B9986)</f>
        <v/>
      </c>
      <c r="O9986">
        <f>IF(L9986="", "Pending", IF(N9986&lt;=30, "Met", "Breached"))</f>
        <v/>
      </c>
    </row>
    <row r="9987">
      <c r="M9987" s="11">
        <f>B9987+30</f>
        <v/>
      </c>
      <c r="N9987">
        <f>IF(L9987="", "", L9987-B9987)</f>
        <v/>
      </c>
      <c r="O9987">
        <f>IF(L9987="", "Pending", IF(N9987&lt;=30, "Met", "Breached"))</f>
        <v/>
      </c>
    </row>
    <row r="9988">
      <c r="M9988" s="11">
        <f>B9988+30</f>
        <v/>
      </c>
      <c r="N9988">
        <f>IF(L9988="", "", L9988-B9988)</f>
        <v/>
      </c>
      <c r="O9988">
        <f>IF(L9988="", "Pending", IF(N9988&lt;=30, "Met", "Breached"))</f>
        <v/>
      </c>
    </row>
    <row r="9989">
      <c r="M9989" s="11">
        <f>B9989+30</f>
        <v/>
      </c>
      <c r="N9989">
        <f>IF(L9989="", "", L9989-B9989)</f>
        <v/>
      </c>
      <c r="O9989">
        <f>IF(L9989="", "Pending", IF(N9989&lt;=30, "Met", "Breached"))</f>
        <v/>
      </c>
    </row>
    <row r="9990">
      <c r="M9990" s="11">
        <f>B9990+30</f>
        <v/>
      </c>
      <c r="N9990">
        <f>IF(L9990="", "", L9990-B9990)</f>
        <v/>
      </c>
      <c r="O9990">
        <f>IF(L9990="", "Pending", IF(N9990&lt;=30, "Met", "Breached"))</f>
        <v/>
      </c>
    </row>
    <row r="9991">
      <c r="M9991" s="11">
        <f>B9991+30</f>
        <v/>
      </c>
      <c r="N9991">
        <f>IF(L9991="", "", L9991-B9991)</f>
        <v/>
      </c>
      <c r="O9991">
        <f>IF(L9991="", "Pending", IF(N9991&lt;=30, "Met", "Breached"))</f>
        <v/>
      </c>
    </row>
    <row r="9992">
      <c r="M9992" s="11">
        <f>B9992+30</f>
        <v/>
      </c>
      <c r="N9992">
        <f>IF(L9992="", "", L9992-B9992)</f>
        <v/>
      </c>
      <c r="O9992">
        <f>IF(L9992="", "Pending", IF(N9992&lt;=30, "Met", "Breached"))</f>
        <v/>
      </c>
    </row>
    <row r="9993">
      <c r="M9993" s="11">
        <f>B9993+30</f>
        <v/>
      </c>
      <c r="N9993">
        <f>IF(L9993="", "", L9993-B9993)</f>
        <v/>
      </c>
      <c r="O9993">
        <f>IF(L9993="", "Pending", IF(N9993&lt;=30, "Met", "Breached"))</f>
        <v/>
      </c>
    </row>
    <row r="9994">
      <c r="M9994" s="11">
        <f>B9994+30</f>
        <v/>
      </c>
      <c r="N9994">
        <f>IF(L9994="", "", L9994-B9994)</f>
        <v/>
      </c>
      <c r="O9994">
        <f>IF(L9994="", "Pending", IF(N9994&lt;=30, "Met", "Breached"))</f>
        <v/>
      </c>
    </row>
    <row r="9995">
      <c r="M9995" s="11">
        <f>B9995+30</f>
        <v/>
      </c>
      <c r="N9995">
        <f>IF(L9995="", "", L9995-B9995)</f>
        <v/>
      </c>
      <c r="O9995">
        <f>IF(L9995="", "Pending", IF(N9995&lt;=30, "Met", "Breached"))</f>
        <v/>
      </c>
    </row>
    <row r="9996">
      <c r="M9996" s="11">
        <f>B9996+30</f>
        <v/>
      </c>
      <c r="N9996">
        <f>IF(L9996="", "", L9996-B9996)</f>
        <v/>
      </c>
      <c r="O9996">
        <f>IF(L9996="", "Pending", IF(N9996&lt;=30, "Met", "Breached"))</f>
        <v/>
      </c>
    </row>
    <row r="9997">
      <c r="M9997" s="11">
        <f>B9997+30</f>
        <v/>
      </c>
      <c r="N9997">
        <f>IF(L9997="", "", L9997-B9997)</f>
        <v/>
      </c>
      <c r="O9997">
        <f>IF(L9997="", "Pending", IF(N9997&lt;=30, "Met", "Breached"))</f>
        <v/>
      </c>
    </row>
    <row r="9998">
      <c r="M9998" s="11">
        <f>B9998+30</f>
        <v/>
      </c>
      <c r="N9998">
        <f>IF(L9998="", "", L9998-B9998)</f>
        <v/>
      </c>
      <c r="O9998">
        <f>IF(L9998="", "Pending", IF(N9998&lt;=30, "Met", "Breached"))</f>
        <v/>
      </c>
    </row>
    <row r="9999">
      <c r="M9999" s="11">
        <f>B9999+30</f>
        <v/>
      </c>
      <c r="N9999">
        <f>IF(L9999="", "", L9999-B9999)</f>
        <v/>
      </c>
      <c r="O9999">
        <f>IF(L9999="", "Pending", IF(N9999&lt;=30, "Met", "Breached"))</f>
        <v/>
      </c>
    </row>
    <row r="10000">
      <c r="M10000" s="11">
        <f>B10000+30</f>
        <v/>
      </c>
      <c r="N10000">
        <f>IF(L10000="", "", L10000-B10000)</f>
        <v/>
      </c>
      <c r="O10000">
        <f>IF(L10000="", "Pending", IF(N10000&lt;=30, "Met", "Breached"))</f>
        <v/>
      </c>
    </row>
  </sheetData>
  <conditionalFormatting sqref="O2:O10000">
    <cfRule type="cellIs" priority="1" operator="equal" dxfId="0">
      <formula>"Met"</formula>
    </cfRule>
    <cfRule type="cellIs" priority="2" operator="equal" dxfId="1">
      <formula>"Breached"</formula>
    </cfRule>
    <cfRule type="cellIs" priority="3" operator="equal" dxfId="2">
      <formula>"Pending"</formula>
    </cfRule>
  </conditionalFormatting>
  <conditionalFormatting sqref="M2:M10000">
    <cfRule type="expression" priority="4" dxfId="1">
      <formula>AND(M2&lt;TODAY(), L2="")</formula>
    </cfRule>
  </conditionalFormatting>
  <conditionalFormatting sqref="J2:J10000">
    <cfRule type="cellIs" priority="5" operator="equal" dxfId="2">
      <formula>"Verification Failed"</formula>
    </cfRule>
  </conditionalFormatting>
  <conditionalFormatting sqref="R2:R10000">
    <cfRule type="cellIs" priority="6" operator="equal" dxfId="2">
      <formula>"Rejected"</formula>
    </cfRule>
  </conditionalFormatting>
  <dataValidations count="9">
    <dataValidation sqref="C2:C10000" showDropDown="0" showInputMessage="0" showErrorMessage="0" allowBlank="0" type="list">
      <formula1>"Email,Web Portal,Phone,Postal Mail,In-Person"</formula1>
    </dataValidation>
    <dataValidation sqref="D2:D10000" showDropDown="0" showInputMessage="0" showErrorMessage="0" allowBlank="0" type="list">
      <formula1>"Access (Art. 15),Rectification (Art. 16),Erasure (Art. 17),Restriction (Art. 18),Data Portability (Art. 20),Object (Art. 21),Automated Decision-Making (Art. 22)"</formula1>
    </dataValidation>
    <dataValidation sqref="I2:I10000" showDropDown="0" showInputMessage="0" showErrorMessage="0" allowBlank="0" type="list">
      <formula1>"Account Login,Email Confirmation,ID Document,Phone Verification,In-Person,Not Required"</formula1>
    </dataValidation>
    <dataValidation sqref="J2:J10000" showDropDown="0" showInputMessage="0" showErrorMessage="0" allowBlank="0" type="list">
      <formula1>"Verified,Verification Failed,Verification Pending,Not Required"</formula1>
    </dataValidation>
    <dataValidation sqref="P2:P10000" showDropDown="0" showInputMessage="0" showErrorMessage="0" allowBlank="0" type="list">
      <formula1>"Email,Secure Portal,Postal Mail,In-Person,Download Link"</formula1>
    </dataValidation>
    <dataValidation sqref="R2:R10000" showDropDown="0" showInputMessage="0" showErrorMessage="0" allowBlank="0" type="list">
      <formula1>"Fulfilled,Partially Fulfilled,Rejected,Extended,Withdrawn"</formula1>
    </dataValidation>
    <dataValidation sqref="S2:S10000" showDropDown="0" showInputMessage="0" showErrorMessage="0" allowBlank="1" type="list">
      <formula1>"Legal Obligation (Art. 17(3)(b) - Tax, Employment Law),Legal Claims (Art. 17(3)(e) - Litigation, Defence),Public Interest (Art. 17(3)(d) - Research, Statistics),Freedom of Expression (Art. 17(3)(a)),Vital Interests (Art. 17(1)(d)),Manifestly Unfounded/Excessive (Art. 12(5)),Overriding Legitimate Grounds (Art. 21(1)),Identity Not Verified (Art. 12(6)),Other (Specify in Comments)"</formula1>
    </dataValidation>
    <dataValidation sqref="U2:U10000" showDropDown="0" showInputMessage="0" showErrorMessage="0" allowBlank="1" type="list">
      <formula1>"Satisfied,Neutral,Dissatisfied,No Feedback"</formula1>
    </dataValidation>
    <dataValidation sqref="V2:V10000" showDropDown="0" showInputMessage="0" showErrorMessage="0" allowBlank="0" type="list">
      <formula1>"Low,Medium,High,Very High"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60" customWidth="1" min="4" max="4"/>
    <col width="40" customWidth="1" min="5" max="5"/>
    <col width="60" customWidth="1" min="6" max="6"/>
    <col width="50" customWidth="1" min="7" max="7"/>
    <col width="50" customWidth="1" min="8" max="8"/>
  </cols>
  <sheetData>
    <row r="1">
      <c r="A1" s="10" t="inlineStr">
        <is>
          <t>Right Type</t>
        </is>
      </c>
      <c r="B1" s="10" t="inlineStr">
        <is>
          <t>Standard Response Time</t>
        </is>
      </c>
      <c r="C1" s="10" t="inlineStr">
        <is>
          <t>Identity Verification Required</t>
        </is>
      </c>
      <c r="D1" s="10" t="inlineStr">
        <is>
          <t>Typical Fulfillment Steps</t>
        </is>
      </c>
      <c r="E1" s="10" t="inlineStr">
        <is>
          <t>Systems Involved</t>
        </is>
      </c>
      <c r="F1" s="10" t="inlineStr">
        <is>
          <t>Quality Checklist</t>
        </is>
      </c>
      <c r="G1" s="10" t="inlineStr">
        <is>
          <t>Common Exceptions</t>
        </is>
      </c>
      <c r="H1" s="10" t="inlineStr">
        <is>
          <t>Escalation Criteria</t>
        </is>
      </c>
    </row>
    <row r="2">
      <c r="A2" s="3" t="inlineStr">
        <is>
          <t>Access</t>
        </is>
      </c>
    </row>
    <row r="3">
      <c r="A3" s="3" t="inlineStr">
        <is>
          <t>Rectification</t>
        </is>
      </c>
    </row>
    <row r="4">
      <c r="A4" s="3" t="inlineStr">
        <is>
          <t>Erasure</t>
        </is>
      </c>
    </row>
    <row r="5">
      <c r="A5" s="3" t="inlineStr">
        <is>
          <t>Restriction</t>
        </is>
      </c>
    </row>
    <row r="6">
      <c r="A6" s="3" t="inlineStr">
        <is>
          <t>Data Portability</t>
        </is>
      </c>
    </row>
    <row r="7">
      <c r="A7" s="3" t="inlineStr">
        <is>
          <t>Object</t>
        </is>
      </c>
    </row>
    <row r="8">
      <c r="A8" s="3" t="inlineStr">
        <is>
          <t>Automated Decision-Making</t>
        </is>
      </c>
    </row>
  </sheetData>
  <dataValidations count="1">
    <dataValidation sqref="C2:C8" showDropDown="0" showInputMessage="0" showErrorMessage="0" allowBlank="0" type="list">
      <formula1>"Yes - Always,Yes - High Risk Only,No - Optional"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>
      <c r="A1" s="12" t="inlineStr">
        <is>
          <t>SLA COMPLIANCE DASHBOARD</t>
        </is>
      </c>
    </row>
    <row r="4">
      <c r="A4" s="13" t="inlineStr">
        <is>
          <t>SUMMARY METRICS</t>
        </is>
      </c>
    </row>
    <row r="5">
      <c r="A5" s="3" t="inlineStr">
        <is>
          <t>Total Requests in Period</t>
        </is>
      </c>
      <c r="B5">
        <f>COUNTA('2. DSR Request Inventory'!A2:A10000)</f>
        <v/>
      </c>
    </row>
    <row r="6">
      <c r="A6" s="3" t="inlineStr">
        <is>
          <t>Requests Met SLA</t>
        </is>
      </c>
      <c r="B6">
        <f>COUNTIF('2. DSR Request Inventory'!O2:O10000, "Met")</f>
        <v/>
      </c>
    </row>
    <row r="7">
      <c r="A7" s="3" t="inlineStr">
        <is>
          <t>Requests Breached SLA</t>
        </is>
      </c>
      <c r="B7">
        <f>COUNTIF('2. DSR Request Inventory'!O2:O10000, "Breached")</f>
        <v/>
      </c>
    </row>
    <row r="8">
      <c r="A8" s="3" t="inlineStr">
        <is>
          <t>Requests Pending</t>
        </is>
      </c>
      <c r="B8">
        <f>COUNTIF('2. DSR Request Inventory'!O2:O10000, "Pending")</f>
        <v/>
      </c>
    </row>
    <row r="9">
      <c r="A9" s="3" t="inlineStr">
        <is>
          <t>SLA Compliance Rate</t>
        </is>
      </c>
      <c r="B9" s="14">
        <f>IF(B5-B8=0, 0, B6/(B5-B8))</f>
        <v/>
      </c>
    </row>
    <row r="10">
      <c r="A10" s="3" t="inlineStr">
        <is>
          <t>Average Response Time (Days)</t>
        </is>
      </c>
      <c r="B10">
        <f>AVERAGE('2. DSR Request Inventory'!N2:N10000)</f>
        <v/>
      </c>
    </row>
    <row r="13">
      <c r="A13" s="13" t="inlineStr">
        <is>
          <t>BREAKDOWN BY RIGHT TYPE</t>
        </is>
      </c>
    </row>
    <row r="14">
      <c r="A14" s="15" t="inlineStr">
        <is>
          <t>Right Type</t>
        </is>
      </c>
      <c r="B14" s="15" t="inlineStr">
        <is>
          <t>Total</t>
        </is>
      </c>
      <c r="C14" s="15" t="inlineStr">
        <is>
          <t>SLA Met</t>
        </is>
      </c>
      <c r="D14" s="15" t="inlineStr">
        <is>
          <t>SLA Breached</t>
        </is>
      </c>
      <c r="E14" s="15" t="inlineStr">
        <is>
          <t>Avg Response Time</t>
        </is>
      </c>
    </row>
    <row r="15">
      <c r="A15" s="3" t="inlineStr">
        <is>
          <t>Access</t>
        </is>
      </c>
      <c r="B15">
        <f>COUNTIF('2. DSR Request Inventory'!D2:D10000, "Access (Art. 15)*")</f>
        <v/>
      </c>
      <c r="C15">
        <f>COUNTIFS('2. DSR Request Inventory'!D2:D10000, "Access (Art. 15)*", '2. DSR Request Inventory'!O2:O10000, "Met")</f>
        <v/>
      </c>
      <c r="D15">
        <f>COUNTIFS('2. DSR Request Inventory'!D2:D10000, "Access (Art. 15)*", '2. DSR Request Inventory'!O2:O10000, "Breached")</f>
        <v/>
      </c>
      <c r="E15">
        <f>AVERAGEIF('2. DSR Request Inventory'!D2:D10000, "Access (Art. 15)*", '2. DSR Request Inventory'!N2:N10000)</f>
        <v/>
      </c>
    </row>
    <row r="16">
      <c r="A16" s="3" t="inlineStr">
        <is>
          <t>Rectification</t>
        </is>
      </c>
      <c r="B16">
        <f>COUNTIF('2. DSR Request Inventory'!D2:D10000, "Rectification (Art. 16)*")</f>
        <v/>
      </c>
      <c r="C16">
        <f>COUNTIFS('2. DSR Request Inventory'!D2:D10000, "Rectification (Art. 16)*", '2. DSR Request Inventory'!O2:O10000, "Met")</f>
        <v/>
      </c>
      <c r="D16">
        <f>COUNTIFS('2. DSR Request Inventory'!D2:D10000, "Rectification (Art. 16)*", '2. DSR Request Inventory'!O2:O10000, "Breached")</f>
        <v/>
      </c>
      <c r="E16">
        <f>AVERAGEIF('2. DSR Request Inventory'!D2:D10000, "Rectification (Art. 16)*", '2. DSR Request Inventory'!N2:N10000)</f>
        <v/>
      </c>
    </row>
    <row r="17">
      <c r="A17" s="3" t="inlineStr">
        <is>
          <t>Erasure</t>
        </is>
      </c>
      <c r="B17">
        <f>COUNTIF('2. DSR Request Inventory'!D2:D10000, "Erasure (Art. 17)*")</f>
        <v/>
      </c>
      <c r="C17">
        <f>COUNTIFS('2. DSR Request Inventory'!D2:D10000, "Erasure (Art. 17)*", '2. DSR Request Inventory'!O2:O10000, "Met")</f>
        <v/>
      </c>
      <c r="D17">
        <f>COUNTIFS('2. DSR Request Inventory'!D2:D10000, "Erasure (Art. 17)*", '2. DSR Request Inventory'!O2:O10000, "Breached")</f>
        <v/>
      </c>
      <c r="E17">
        <f>AVERAGEIF('2. DSR Request Inventory'!D2:D10000, "Erasure (Art. 17)*", '2. DSR Request Inventory'!N2:N10000)</f>
        <v/>
      </c>
    </row>
    <row r="18">
      <c r="A18" s="3" t="inlineStr">
        <is>
          <t>Restriction</t>
        </is>
      </c>
      <c r="B18">
        <f>COUNTIF('2. DSR Request Inventory'!D2:D10000, "Restriction (Art. 18)*")</f>
        <v/>
      </c>
      <c r="C18">
        <f>COUNTIFS('2. DSR Request Inventory'!D2:D10000, "Restriction (Art. 18)*", '2. DSR Request Inventory'!O2:O10000, "Met")</f>
        <v/>
      </c>
      <c r="D18">
        <f>COUNTIFS('2. DSR Request Inventory'!D2:D10000, "Restriction (Art. 18)*", '2. DSR Request Inventory'!O2:O10000, "Breached")</f>
        <v/>
      </c>
      <c r="E18">
        <f>AVERAGEIF('2. DSR Request Inventory'!D2:D10000, "Restriction (Art. 18)*", '2. DSR Request Inventory'!N2:N10000)</f>
        <v/>
      </c>
    </row>
    <row r="19">
      <c r="A19" s="3" t="inlineStr">
        <is>
          <t>Data Portability</t>
        </is>
      </c>
      <c r="B19">
        <f>COUNTIF('2. DSR Request Inventory'!D2:D10000, "Data Portability (Art. 20)*")</f>
        <v/>
      </c>
      <c r="C19">
        <f>COUNTIFS('2. DSR Request Inventory'!D2:D10000, "Data Portability (Art. 20)*", '2. DSR Request Inventory'!O2:O10000, "Met")</f>
        <v/>
      </c>
      <c r="D19">
        <f>COUNTIFS('2. DSR Request Inventory'!D2:D10000, "Data Portability (Art. 20)*", '2. DSR Request Inventory'!O2:O10000, "Breached")</f>
        <v/>
      </c>
      <c r="E19">
        <f>AVERAGEIF('2. DSR Request Inventory'!D2:D10000, "Data Portability (Art. 20)*", '2. DSR Request Inventory'!N2:N10000)</f>
        <v/>
      </c>
    </row>
    <row r="20">
      <c r="A20" s="3" t="inlineStr">
        <is>
          <t>Object</t>
        </is>
      </c>
      <c r="B20">
        <f>COUNTIF('2. DSR Request Inventory'!D2:D10000, "Object (Art. 21)*")</f>
        <v/>
      </c>
      <c r="C20">
        <f>COUNTIFS('2. DSR Request Inventory'!D2:D10000, "Object (Art. 21)*", '2. DSR Request Inventory'!O2:O10000, "Met")</f>
        <v/>
      </c>
      <c r="D20">
        <f>COUNTIFS('2. DSR Request Inventory'!D2:D10000, "Object (Art. 21)*", '2. DSR Request Inventory'!O2:O10000, "Breached")</f>
        <v/>
      </c>
      <c r="E20">
        <f>AVERAGEIF('2. DSR Request Inventory'!D2:D10000, "Object (Art. 21)*", '2. DSR Request Inventory'!N2:N10000)</f>
        <v/>
      </c>
    </row>
    <row r="21">
      <c r="A21" s="3" t="inlineStr">
        <is>
          <t>Automated Decision-Making</t>
        </is>
      </c>
      <c r="B21">
        <f>COUNTIF('2. DSR Request Inventory'!D2:D10000, "Automated Decision-Making (Art. 22)*")</f>
        <v/>
      </c>
      <c r="C21">
        <f>COUNTIFS('2. DSR Request Inventory'!D2:D10000, "Automated Decision-Making (Art. 22)*", '2. DSR Request Inventory'!O2:O10000, "Met")</f>
        <v/>
      </c>
      <c r="D21">
        <f>COUNTIFS('2. DSR Request Inventory'!D2:D10000, "Automated Decision-Making (Art. 22)*", '2. DSR Request Inventory'!O2:O10000, "Breached")</f>
        <v/>
      </c>
      <c r="E21">
        <f>AVERAGEIF('2. DSR Request Inventory'!D2:D10000, "Automated Decision-Making (Art. 22)*", '2. DSR Request Inventory'!N2:N10000)</f>
        <v/>
      </c>
    </row>
  </sheetData>
  <mergeCells count="3">
    <mergeCell ref="A4:B4"/>
    <mergeCell ref="A1:D1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60" customWidth="1" min="4" max="4"/>
    <col width="15" customWidth="1" min="5" max="5"/>
    <col width="15" customWidth="1" min="6" max="6"/>
    <col width="50" customWidth="1" min="7" max="7"/>
    <col width="15" customWidth="1" min="8" max="8"/>
    <col width="15" customWidth="1" min="9" max="9"/>
    <col width="25" customWidth="1" min="10" max="10"/>
  </cols>
  <sheetData>
    <row r="1">
      <c r="A1" s="10" t="inlineStr">
        <is>
          <t>Request ID</t>
        </is>
      </c>
      <c r="B1" s="10" t="inlineStr">
        <is>
          <t>Right Type</t>
        </is>
      </c>
      <c r="C1" s="10" t="inlineStr">
        <is>
          <t>Exception Legal Basis</t>
        </is>
      </c>
      <c r="D1" s="10" t="inlineStr">
        <is>
          <t>Detailed Justification</t>
        </is>
      </c>
      <c r="E1" s="10" t="inlineStr">
        <is>
          <t>Data Subject Notified</t>
        </is>
      </c>
      <c r="F1" s="10" t="inlineStr">
        <is>
          <t>Appeal Rights Communicated</t>
        </is>
      </c>
      <c r="G1" s="10" t="inlineStr">
        <is>
          <t>Alternative Measures Offered</t>
        </is>
      </c>
      <c r="H1" s="10" t="inlineStr">
        <is>
          <t>DPO Review</t>
        </is>
      </c>
      <c r="I1" s="10" t="inlineStr">
        <is>
          <t>Legal Counsel Review</t>
        </is>
      </c>
      <c r="J1" s="10" t="inlineStr">
        <is>
          <t>Requester Response</t>
        </is>
      </c>
    </row>
  </sheetData>
  <conditionalFormatting sqref="F2:F1000">
    <cfRule type="cellIs" priority="1" operator="equal" dxfId="1">
      <formula>"No"</formula>
    </cfRule>
  </conditionalFormatting>
  <conditionalFormatting sqref="H2:H1000">
    <cfRule type="expression" priority="2" dxfId="2">
      <formula>AND(B2&lt;&gt;"", H2="No")</formula>
    </cfRule>
  </conditionalFormatting>
  <dataValidations count="7">
    <dataValidation sqref="B2:B1000" showDropDown="0" showInputMessage="0" showErrorMessage="0" allowBlank="0" type="list">
      <formula1>"Access (Art. 15),Rectification (Art. 16),Erasure (Art. 17),Restriction (Art. 18),Data Portability (Art. 20),Object (Art. 21),Automated Decision-Making (Art. 22)"</formula1>
    </dataValidation>
    <dataValidation sqref="C2:C1000" showDropDown="0" showInputMessage="0" showErrorMessage="0" allowBlank="0" type="list">
      <formula1>"Legal Obligation (Art. 17(3)(b) - Tax, Employment Law),Legal Claims (Art. 17(3)(e) - Litigation, Defence),Public Interest (Art. 17(3)(d) - Research, Statistics),Freedom of Expression (Art. 17(3)(a)),Vital Interests (Art. 17(1)(d)),Manifestly Unfounded/Excessive (Art. 12(5)),Overriding Legitimate Grounds (Art. 21(1)),Identity Not Verified (Art. 12(6)),Other (Specify in Comments)"</formula1>
    </dataValidation>
    <dataValidation sqref="E2:E1000" showDropDown="0" showInputMessage="0" showErrorMessage="0" allowBlank="0" type="list">
      <formula1>"Yes,No,Pending"</formula1>
    </dataValidation>
    <dataValidation sqref="F2:F1000" showDropDown="0" showInputMessage="0" showErrorMessage="0" allowBlank="0" type="list">
      <formula1>"Yes,No"</formula1>
    </dataValidation>
    <dataValidation sqref="H2:H1000" showDropDown="0" showInputMessage="0" showErrorMessage="0" allowBlank="0" type="list">
      <formula1>"Yes,No,N/A"</formula1>
    </dataValidation>
    <dataValidation sqref="I2:I1000" showDropDown="0" showInputMessage="0" showErrorMessage="0" allowBlank="0" type="list">
      <formula1>"Yes,No,N/A"</formula1>
    </dataValidation>
    <dataValidation sqref="J2:J1000" showDropDown="0" showInputMessage="0" showErrorMessage="0" allowBlank="1" type="list">
      <formula1>"Accepted,Appealed to Supervisory Authority,Disputed,No Response"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2" t="inlineStr">
        <is>
          <t>RIGHTS-SPECIFIC DEEP-DIVE ANALYSIS</t>
        </is>
      </c>
    </row>
    <row r="4">
      <c r="A4" s="16" t="inlineStr">
        <is>
          <t>ACCESS</t>
        </is>
      </c>
    </row>
    <row r="5">
      <c r="A5" s="3" t="inlineStr">
        <is>
          <t>Total Requests</t>
        </is>
      </c>
      <c r="B5">
        <f>COUNTIF('2. DSR Request Inventory'!D2:D10000, "Access (Art. 15)*")</f>
        <v/>
      </c>
    </row>
    <row r="6">
      <c r="A6" s="3" t="inlineStr">
        <is>
          <t>Avg Response Time</t>
        </is>
      </c>
      <c r="B6">
        <f>AVERAGEIF('2. DSR Request Inventory'!D2:D10000, "Access (Art. 15)*", '2. DSR Request Inventory'!N2:N10000)</f>
        <v/>
      </c>
    </row>
    <row r="7">
      <c r="A7" s="3" t="inlineStr">
        <is>
          <t>SLA Compliance Rate</t>
        </is>
      </c>
      <c r="B7" s="14">
        <f>IFERROR(COUNTIFS('2. DSR Request Inventory'!D2:D10000, "Access (Art. 15)*", '2. DSR Request Inventory'!O2:O10000, "Met")/COUNTIF('2. DSR Request Inventory'!D2:D10000, "Access (Art. 15)*"), 0)</f>
        <v/>
      </c>
    </row>
    <row r="8">
      <c r="A8" s="3" t="inlineStr">
        <is>
          <t>Rejection Rate</t>
        </is>
      </c>
      <c r="B8" s="14">
        <f>IFERROR(COUNTIFS('2. DSR Request Inventory'!D2:D10000, "Access (Art. 15)*", '2. DSR Request Inventory'!R2:R10000, "Rejected")/COUNTIF('2. DSR Request Inventory'!D2:D10000, "Access (Art. 15)*"), 0)</f>
        <v/>
      </c>
    </row>
    <row r="11">
      <c r="A11" s="16" t="inlineStr">
        <is>
          <t>RECTIFICATION</t>
        </is>
      </c>
    </row>
    <row r="12">
      <c r="A12" s="3" t="inlineStr">
        <is>
          <t>Total Requests</t>
        </is>
      </c>
      <c r="B12">
        <f>COUNTIF('2. DSR Request Inventory'!D2:D10000, "Rectification (Art. 16)*")</f>
        <v/>
      </c>
    </row>
    <row r="13">
      <c r="A13" s="3" t="inlineStr">
        <is>
          <t>Avg Response Time</t>
        </is>
      </c>
      <c r="B13">
        <f>AVERAGEIF('2. DSR Request Inventory'!D2:D10000, "Rectification (Art. 16)*", '2. DSR Request Inventory'!N2:N10000)</f>
        <v/>
      </c>
    </row>
    <row r="14">
      <c r="A14" s="3" t="inlineStr">
        <is>
          <t>SLA Compliance Rate</t>
        </is>
      </c>
      <c r="B14" s="14">
        <f>IFERROR(COUNTIFS('2. DSR Request Inventory'!D2:D10000, "Rectification (Art. 16)*", '2. DSR Request Inventory'!O2:O10000, "Met")/COUNTIF('2. DSR Request Inventory'!D2:D10000, "Rectification (Art. 16)*"), 0)</f>
        <v/>
      </c>
    </row>
    <row r="15">
      <c r="A15" s="3" t="inlineStr">
        <is>
          <t>Rejection Rate</t>
        </is>
      </c>
      <c r="B15" s="14">
        <f>IFERROR(COUNTIFS('2. DSR Request Inventory'!D2:D10000, "Rectification (Art. 16)*", '2. DSR Request Inventory'!R2:R10000, "Rejected")/COUNTIF('2. DSR Request Inventory'!D2:D10000, "Rectification (Art. 16)*"), 0)</f>
        <v/>
      </c>
    </row>
    <row r="18">
      <c r="A18" s="16" t="inlineStr">
        <is>
          <t>ERASURE</t>
        </is>
      </c>
    </row>
    <row r="19">
      <c r="A19" s="3" t="inlineStr">
        <is>
          <t>Total Requests</t>
        </is>
      </c>
      <c r="B19">
        <f>COUNTIF('2. DSR Request Inventory'!D2:D10000, "Erasure (Art. 17)*")</f>
        <v/>
      </c>
    </row>
    <row r="20">
      <c r="A20" s="3" t="inlineStr">
        <is>
          <t>Avg Response Time</t>
        </is>
      </c>
      <c r="B20">
        <f>AVERAGEIF('2. DSR Request Inventory'!D2:D10000, "Erasure (Art. 17)*", '2. DSR Request Inventory'!N2:N10000)</f>
        <v/>
      </c>
    </row>
    <row r="21">
      <c r="A21" s="3" t="inlineStr">
        <is>
          <t>SLA Compliance Rate</t>
        </is>
      </c>
      <c r="B21" s="14">
        <f>IFERROR(COUNTIFS('2. DSR Request Inventory'!D2:D10000, "Erasure (Art. 17)*", '2. DSR Request Inventory'!O2:O10000, "Met")/COUNTIF('2. DSR Request Inventory'!D2:D10000, "Erasure (Art. 17)*"), 0)</f>
        <v/>
      </c>
    </row>
    <row r="22">
      <c r="A22" s="3" t="inlineStr">
        <is>
          <t>Rejection Rate</t>
        </is>
      </c>
      <c r="B22" s="14">
        <f>IFERROR(COUNTIFS('2. DSR Request Inventory'!D2:D10000, "Erasure (Art. 17)*", '2. DSR Request Inventory'!R2:R10000, "Rejected")/COUNTIF('2. DSR Request Inventory'!D2:D10000, "Erasure (Art. 17)*"), 0)</f>
        <v/>
      </c>
    </row>
    <row r="25">
      <c r="A25" s="16" t="inlineStr">
        <is>
          <t>RESTRICTION</t>
        </is>
      </c>
    </row>
    <row r="26">
      <c r="A26" s="3" t="inlineStr">
        <is>
          <t>Total Requests</t>
        </is>
      </c>
      <c r="B26">
        <f>COUNTIF('2. DSR Request Inventory'!D2:D10000, "Restriction (Art. 18)*")</f>
        <v/>
      </c>
    </row>
    <row r="27">
      <c r="A27" s="3" t="inlineStr">
        <is>
          <t>Avg Response Time</t>
        </is>
      </c>
      <c r="B27">
        <f>AVERAGEIF('2. DSR Request Inventory'!D2:D10000, "Restriction (Art. 18)*", '2. DSR Request Inventory'!N2:N10000)</f>
        <v/>
      </c>
    </row>
    <row r="28">
      <c r="A28" s="3" t="inlineStr">
        <is>
          <t>SLA Compliance Rate</t>
        </is>
      </c>
      <c r="B28" s="14">
        <f>IFERROR(COUNTIFS('2. DSR Request Inventory'!D2:D10000, "Restriction (Art. 18)*", '2. DSR Request Inventory'!O2:O10000, "Met")/COUNTIF('2. DSR Request Inventory'!D2:D10000, "Restriction (Art. 18)*"), 0)</f>
        <v/>
      </c>
    </row>
    <row r="29">
      <c r="A29" s="3" t="inlineStr">
        <is>
          <t>Rejection Rate</t>
        </is>
      </c>
      <c r="B29" s="14">
        <f>IFERROR(COUNTIFS('2. DSR Request Inventory'!D2:D10000, "Restriction (Art. 18)*", '2. DSR Request Inventory'!R2:R10000, "Rejected")/COUNTIF('2. DSR Request Inventory'!D2:D10000, "Restriction (Art. 18)*"), 0)</f>
        <v/>
      </c>
    </row>
    <row r="32">
      <c r="A32" s="16" t="inlineStr">
        <is>
          <t>DATA PORTABILITY</t>
        </is>
      </c>
    </row>
    <row r="33">
      <c r="A33" s="3" t="inlineStr">
        <is>
          <t>Total Requests</t>
        </is>
      </c>
      <c r="B33">
        <f>COUNTIF('2. DSR Request Inventory'!D2:D10000, "Data Portability (Art. 20)*")</f>
        <v/>
      </c>
    </row>
    <row r="34">
      <c r="A34" s="3" t="inlineStr">
        <is>
          <t>Avg Response Time</t>
        </is>
      </c>
      <c r="B34">
        <f>AVERAGEIF('2. DSR Request Inventory'!D2:D10000, "Data Portability (Art. 20)*", '2. DSR Request Inventory'!N2:N10000)</f>
        <v/>
      </c>
    </row>
    <row r="35">
      <c r="A35" s="3" t="inlineStr">
        <is>
          <t>SLA Compliance Rate</t>
        </is>
      </c>
      <c r="B35" s="14">
        <f>IFERROR(COUNTIFS('2. DSR Request Inventory'!D2:D10000, "Data Portability (Art. 20)*", '2. DSR Request Inventory'!O2:O10000, "Met")/COUNTIF('2. DSR Request Inventory'!D2:D10000, "Data Portability (Art. 20)*"), 0)</f>
        <v/>
      </c>
    </row>
    <row r="36">
      <c r="A36" s="3" t="inlineStr">
        <is>
          <t>Rejection Rate</t>
        </is>
      </c>
      <c r="B36" s="14">
        <f>IFERROR(COUNTIFS('2. DSR Request Inventory'!D2:D10000, "Data Portability (Art. 20)*", '2. DSR Request Inventory'!R2:R10000, "Rejected")/COUNTIF('2. DSR Request Inventory'!D2:D10000, "Data Portability (Art. 20)*"), 0)</f>
        <v/>
      </c>
    </row>
    <row r="39">
      <c r="A39" s="16" t="inlineStr">
        <is>
          <t>OBJECT</t>
        </is>
      </c>
    </row>
    <row r="40">
      <c r="A40" s="3" t="inlineStr">
        <is>
          <t>Total Requests</t>
        </is>
      </c>
      <c r="B40">
        <f>COUNTIF('2. DSR Request Inventory'!D2:D10000, "Object (Art. 21)*")</f>
        <v/>
      </c>
    </row>
    <row r="41">
      <c r="A41" s="3" t="inlineStr">
        <is>
          <t>Avg Response Time</t>
        </is>
      </c>
      <c r="B41">
        <f>AVERAGEIF('2. DSR Request Inventory'!D2:D10000, "Object (Art. 21)*", '2. DSR Request Inventory'!N2:N10000)</f>
        <v/>
      </c>
    </row>
    <row r="42">
      <c r="A42" s="3" t="inlineStr">
        <is>
          <t>SLA Compliance Rate</t>
        </is>
      </c>
      <c r="B42" s="14">
        <f>IFERROR(COUNTIFS('2. DSR Request Inventory'!D2:D10000, "Object (Art. 21)*", '2. DSR Request Inventory'!O2:O10000, "Met")/COUNTIF('2. DSR Request Inventory'!D2:D10000, "Object (Art. 21)*"), 0)</f>
        <v/>
      </c>
    </row>
    <row r="43">
      <c r="A43" s="3" t="inlineStr">
        <is>
          <t>Rejection Rate</t>
        </is>
      </c>
      <c r="B43" s="14">
        <f>IFERROR(COUNTIFS('2. DSR Request Inventory'!D2:D10000, "Object (Art. 21)*", '2. DSR Request Inventory'!R2:R10000, "Rejected")/COUNTIF('2. DSR Request Inventory'!D2:D10000, "Object (Art. 21)*"), 0)</f>
        <v/>
      </c>
    </row>
    <row r="46">
      <c r="A46" s="16" t="inlineStr">
        <is>
          <t>AUTOMATED DECISION-MAKING</t>
        </is>
      </c>
    </row>
    <row r="47">
      <c r="A47" s="3" t="inlineStr">
        <is>
          <t>Total Requests</t>
        </is>
      </c>
      <c r="B47">
        <f>COUNTIF('2. DSR Request Inventory'!D2:D10000, "Automated Decision-Making (Art. 22)*")</f>
        <v/>
      </c>
    </row>
    <row r="48">
      <c r="A48" s="3" t="inlineStr">
        <is>
          <t>Avg Response Time</t>
        </is>
      </c>
      <c r="B48">
        <f>AVERAGEIF('2. DSR Request Inventory'!D2:D10000, "Automated Decision-Making (Art. 22)*", '2. DSR Request Inventory'!N2:N10000)</f>
        <v/>
      </c>
    </row>
    <row r="49">
      <c r="A49" s="3" t="inlineStr">
        <is>
          <t>SLA Compliance Rate</t>
        </is>
      </c>
      <c r="B49" s="14">
        <f>IFERROR(COUNTIFS('2. DSR Request Inventory'!D2:D10000, "Automated Decision-Making (Art. 22)*", '2. DSR Request Inventory'!O2:O10000, "Met")/COUNTIF('2. DSR Request Inventory'!D2:D10000, "Automated Decision-Making (Art. 22)*"), 0)</f>
        <v/>
      </c>
    </row>
    <row r="50">
      <c r="A50" s="3" t="inlineStr">
        <is>
          <t>Rejection Rate</t>
        </is>
      </c>
      <c r="B50" s="14">
        <f>IFERROR(COUNTIFS('2. DSR Request Inventory'!D2:D10000, "Automated Decision-Making (Art. 22)*", '2. DSR Request Inventory'!R2:R10000, "Rejected")/COUNTIF('2. DSR Request Inventory'!D2:D10000, "Automated Decision-Making (Art. 22)*"), 0)</f>
        <v/>
      </c>
    </row>
  </sheetData>
  <mergeCells count="8">
    <mergeCell ref="A25:C25"/>
    <mergeCell ref="A11:C11"/>
    <mergeCell ref="A1:C1"/>
    <mergeCell ref="A46:C46"/>
    <mergeCell ref="A32:C32"/>
    <mergeCell ref="A18:C18"/>
    <mergeCell ref="A39:C39"/>
    <mergeCell ref="A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50" customWidth="1" min="4" max="4"/>
    <col width="60" customWidth="1" min="5" max="5"/>
    <col width="12" customWidth="1" min="6" max="6"/>
    <col width="10" customWidth="1" min="7" max="7"/>
    <col width="20" customWidth="1" min="8" max="8"/>
    <col width="50" customWidth="1" min="9" max="9"/>
  </cols>
  <sheetData>
    <row r="1" ht="35" customHeight="1">
      <c r="A1" s="12" t="inlineStr">
        <is>
          <t>EVIDENCE REPOSITORY</t>
        </is>
      </c>
    </row>
    <row r="2">
      <c r="A2" s="10" t="inlineStr">
        <is>
          <t>Evidence ID</t>
        </is>
      </c>
      <c r="B2" s="10" t="inlineStr">
        <is>
          <t>Request ID (Link)</t>
        </is>
      </c>
      <c r="C2" s="10" t="inlineStr">
        <is>
          <t>Evidence Type</t>
        </is>
      </c>
      <c r="D2" s="10" t="inlineStr">
        <is>
          <t>Description</t>
        </is>
      </c>
      <c r="E2" s="10" t="inlineStr">
        <is>
          <t>File Location</t>
        </is>
      </c>
      <c r="F2" s="10" t="inlineStr">
        <is>
          <t>Evidence Date</t>
        </is>
      </c>
      <c r="G2" s="10" t="inlineStr">
        <is>
          <t>Retention Period (Years)</t>
        </is>
      </c>
      <c r="H2" s="10" t="inlineStr">
        <is>
          <t>Verification Status</t>
        </is>
      </c>
      <c r="I2" s="10" t="inlineStr">
        <is>
          <t>Notes</t>
        </is>
      </c>
    </row>
  </sheetData>
  <mergeCells count="1">
    <mergeCell ref="A1:I1"/>
  </mergeCells>
  <conditionalFormatting sqref="H2:H1000">
    <cfRule type="cellIs" priority="1" operator="equal" dxfId="2">
      <formula>"Incomplete"</formula>
    </cfRule>
  </conditionalFormatting>
  <conditionalFormatting sqref="F2:F1000">
    <cfRule type="expression" priority="2" dxfId="3">
      <formula>F2+G2*365&lt;TODAY()</formula>
    </cfRule>
  </conditionalFormatting>
  <dataValidations count="2">
    <dataValidation sqref="C2:C1000" showDropDown="0" showInputMessage="0" showErrorMessage="0" allowBlank="0" type="list">
      <formula1>"Request Email,Response Email,Data Export (Access/Portability),Deletion Certificate (Erasure),Identity Verification Document,Legal Analysis (Rejection),Third-Party Notification (Art. 19),Appeal Documentation,Extension Notification,Fee Justification"</formula1>
    </dataValidation>
    <dataValidation sqref="H2:H1000" showDropDown="0" showInputMessage="0" showErrorMessage="0" allowBlank="0" type="list">
      <formula1>"Complete,Incomplete,Under Review,Archived"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7" t="inlineStr">
        <is>
          <t>DATA SUBJECT RIGHTS MANAGEMENT — SUMMARY DASHBOARD</t>
        </is>
      </c>
      <c r="B1" s="6" t="n"/>
      <c r="C1" s="6" t="n"/>
      <c r="D1" s="6" t="n"/>
      <c r="E1" s="6" t="n"/>
      <c r="F1" s="6" t="n"/>
      <c r="G1" s="6" t="n"/>
    </row>
    <row r="2">
      <c r="A2" s="18" t="inlineStr">
        <is>
          <t>ISO/IEC 27001:2022 — Control A.5.34: Privacy and Protection of Personally Identifiable Information (PII)</t>
        </is>
      </c>
    </row>
    <row r="4">
      <c r="A4" s="19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20" t="inlineStr">
        <is>
          <t>Assessment Area</t>
        </is>
      </c>
      <c r="B5" s="20" t="inlineStr">
        <is>
          <t>Total Items</t>
        </is>
      </c>
      <c r="C5" s="20" t="inlineStr">
        <is>
          <t>Compliant</t>
        </is>
      </c>
      <c r="D5" s="20" t="inlineStr">
        <is>
          <t>Partial</t>
        </is>
      </c>
      <c r="E5" s="20" t="inlineStr">
        <is>
          <t>Non-Compliant</t>
        </is>
      </c>
      <c r="F5" s="20" t="inlineStr">
        <is>
          <t>N/A</t>
        </is>
      </c>
      <c r="G5" s="20" t="inlineStr">
        <is>
          <t>Compliance %</t>
        </is>
      </c>
    </row>
    <row r="6">
      <c r="A6" s="21" t="inlineStr">
        <is>
          <t>DSR Request Inventory</t>
        </is>
      </c>
      <c r="B6" s="22">
        <f>COUNTA('2. DSR Request Inventory'!B2:B51)</f>
        <v/>
      </c>
      <c r="C6" s="22">
        <f>COUNTIF('2. DSR Request Inventory'!O2:O51,"Met")</f>
        <v/>
      </c>
      <c r="D6" s="22">
        <f>COUNTIF('2. DSR Request Inventory'!O2:O51,"Pending")</f>
        <v/>
      </c>
      <c r="E6" s="22">
        <f>COUNTIF('2. DSR Request Inventory'!O2:O51,"Breached")</f>
        <v/>
      </c>
      <c r="F6" s="22">
        <f>""</f>
        <v/>
      </c>
      <c r="G6" s="23">
        <f>IF((B6-F6)=0,0,C6/(B6-F6))</f>
        <v/>
      </c>
    </row>
    <row r="7">
      <c r="A7" s="21" t="inlineStr">
        <is>
          <t>Request Processing Procedures</t>
        </is>
      </c>
      <c r="B7" s="22">
        <f>COUNTA('3. Request Process. Procedures'!A2:A8)</f>
        <v/>
      </c>
      <c r="C7" s="22">
        <f>COUNTIF('3. Request Process. Procedures'!C2:C8,"Yes - Always")</f>
        <v/>
      </c>
      <c r="D7" s="22">
        <f>COUNTIF('3. Request Process. Procedures'!C2:C8,"Yes - High Risk Only")</f>
        <v/>
      </c>
      <c r="E7" s="22">
        <f>COUNTIF('3. Request Process. Procedures'!C2:C8,"No - Optional")</f>
        <v/>
      </c>
      <c r="F7" s="22">
        <f>""</f>
        <v/>
      </c>
      <c r="G7" s="23">
        <f>IF((B7-F7)=0,0,C7/(B7-F7))</f>
        <v/>
      </c>
    </row>
    <row r="8">
      <c r="A8" s="21" t="inlineStr">
        <is>
          <t>Exception &amp; Rejection Tracking</t>
        </is>
      </c>
      <c r="B8" s="22">
        <f>COUNTA('5. Exception &amp; Reject. Tracking'!A2:A51)</f>
        <v/>
      </c>
      <c r="C8" s="22">
        <f>""</f>
        <v/>
      </c>
      <c r="D8" s="22">
        <f>""</f>
        <v/>
      </c>
      <c r="E8" s="22">
        <f>COUNTA('5. Exception &amp; Reject. Tracking'!A2:A51)</f>
        <v/>
      </c>
      <c r="F8" s="22">
        <f>""</f>
        <v/>
      </c>
      <c r="G8" s="23">
        <f>IF((B8-F8)=0,0,C8/(B8-F8))</f>
        <v/>
      </c>
    </row>
    <row r="9">
      <c r="A9" s="21" t="inlineStr">
        <is>
          <t>Evidence Repository</t>
        </is>
      </c>
      <c r="B9" s="22">
        <f>COUNTA('7. Evidence Repository'!A3:A52)</f>
        <v/>
      </c>
      <c r="C9" s="22">
        <f>COUNTIF('7. Evidence Repository'!H3:H52,"Complete")</f>
        <v/>
      </c>
      <c r="D9" s="22">
        <f>COUNTIF('7. Evidence Repository'!H3:H52,"Under Review")</f>
        <v/>
      </c>
      <c r="E9" s="22">
        <f>COUNTIF('7. Evidence Repository'!H3:H52,"Incomplete")</f>
        <v/>
      </c>
      <c r="F9" s="22">
        <f>""</f>
        <v/>
      </c>
      <c r="G9" s="23">
        <f>IF((B9-F9)=0,0,C9/(B9-F9))</f>
        <v/>
      </c>
    </row>
    <row r="10">
      <c r="A10" s="24" t="inlineStr">
        <is>
          <t>TOTAL</t>
        </is>
      </c>
      <c r="B10" s="25">
        <f>SUM(B6:B9)</f>
        <v/>
      </c>
      <c r="C10" s="25">
        <f>SUM(C6:C9)</f>
        <v/>
      </c>
      <c r="D10" s="25">
        <f>SUM(D6:D9)</f>
        <v/>
      </c>
      <c r="E10" s="25">
        <f>SUM(E6:E9)</f>
        <v/>
      </c>
      <c r="F10" s="25">
        <f>SUM(F6:F9)</f>
        <v/>
      </c>
      <c r="G10" s="26">
        <f>IF((B10-F10)=0,0,C10/(B10-F10))</f>
        <v/>
      </c>
    </row>
    <row r="12">
      <c r="A12" s="19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25" t="inlineStr">
        <is>
          <t>Metric</t>
        </is>
      </c>
      <c r="B13" s="25" t="inlineStr">
        <is>
          <t>Value</t>
        </is>
      </c>
      <c r="C13" s="25" t="n"/>
      <c r="D13" s="25" t="n"/>
      <c r="E13" s="25" t="n"/>
      <c r="F13" s="25" t="n"/>
      <c r="G13" s="25" t="n"/>
    </row>
    <row r="14">
      <c r="A14" s="21" t="inlineStr">
        <is>
          <t>Total DSRs Received</t>
        </is>
      </c>
      <c r="B14" s="22">
        <f>COUNTA('2. DSR Request Inventory'!B2:B51)</f>
        <v/>
      </c>
      <c r="C14" s="6" t="n"/>
      <c r="D14" s="6" t="n"/>
      <c r="E14" s="6" t="n"/>
      <c r="F14" s="6" t="n"/>
      <c r="G14" s="6" t="n"/>
    </row>
    <row r="15">
      <c r="A15" s="21" t="inlineStr">
        <is>
          <t>SLA Met (Within 30 Days — GDPR Art. 12)</t>
        </is>
      </c>
      <c r="B15" s="22">
        <f>COUNTIF('2. DSR Request Inventory'!O2:O51,"Met")</f>
        <v/>
      </c>
      <c r="C15" s="6" t="n"/>
      <c r="D15" s="6" t="n"/>
      <c r="E15" s="6" t="n"/>
      <c r="F15" s="6" t="n"/>
      <c r="G15" s="6" t="n"/>
    </row>
    <row r="16">
      <c r="A16" s="21" t="inlineStr">
        <is>
          <t>SLA Pending</t>
        </is>
      </c>
      <c r="B16" s="22">
        <f>COUNTIF('2. DSR Request Inventory'!O2:O51,"Pending")</f>
        <v/>
      </c>
      <c r="C16" s="6" t="n"/>
      <c r="D16" s="6" t="n"/>
      <c r="E16" s="6" t="n"/>
      <c r="F16" s="6" t="n"/>
      <c r="G16" s="6" t="n"/>
    </row>
    <row r="17">
      <c r="A17" s="21" t="inlineStr">
        <is>
          <t>SLA Breached (&gt;30 Days — GDPR Art. 12 Violation)</t>
        </is>
      </c>
      <c r="B17" s="22">
        <f>COUNTIF('2. DSR Request Inventory'!O2:O51,"Breached")</f>
        <v/>
      </c>
      <c r="C17" s="6" t="n"/>
      <c r="D17" s="6" t="n"/>
      <c r="E17" s="6" t="n"/>
      <c r="F17" s="6" t="n"/>
      <c r="G17" s="6" t="n"/>
    </row>
    <row r="18">
      <c r="A18" s="21" t="inlineStr">
        <is>
          <t>Requests Fulfilled</t>
        </is>
      </c>
      <c r="B18" s="22">
        <f>COUNTIF('2. DSR Request Inventory'!R2:R51,"Fulfilled")</f>
        <v/>
      </c>
      <c r="C18" s="6" t="n"/>
      <c r="D18" s="6" t="n"/>
      <c r="E18" s="6" t="n"/>
      <c r="F18" s="6" t="n"/>
      <c r="G18" s="6" t="n"/>
    </row>
    <row r="19">
      <c r="A19" s="21" t="inlineStr">
        <is>
          <t>Requests Partially Fulfilled</t>
        </is>
      </c>
      <c r="B19" s="22">
        <f>COUNTIF('2. DSR Request Inventory'!R2:R51,"Partially Fulfilled")</f>
        <v/>
      </c>
      <c r="C19" s="6" t="n"/>
      <c r="D19" s="6" t="n"/>
      <c r="E19" s="6" t="n"/>
      <c r="F19" s="6" t="n"/>
      <c r="G19" s="6" t="n"/>
    </row>
    <row r="20">
      <c r="A20" s="21" t="inlineStr">
        <is>
          <t>Requests Rejected</t>
        </is>
      </c>
      <c r="B20" s="22">
        <f>COUNTIF('2. DSR Request Inventory'!R2:R51,"Rejected")</f>
        <v/>
      </c>
      <c r="C20" s="6" t="n"/>
      <c r="D20" s="6" t="n"/>
      <c r="E20" s="6" t="n"/>
      <c r="F20" s="6" t="n"/>
      <c r="G20" s="6" t="n"/>
    </row>
    <row r="21">
      <c r="A21" s="21" t="inlineStr">
        <is>
          <t>Access Requests (Art. 15)</t>
        </is>
      </c>
      <c r="B21" s="22">
        <f>COUNTIF('2. DSR Request Inventory'!D2:D51,"Access*")</f>
        <v/>
      </c>
      <c r="C21" s="6" t="n"/>
      <c r="D21" s="6" t="n"/>
      <c r="E21" s="6" t="n"/>
      <c r="F21" s="6" t="n"/>
      <c r="G21" s="6" t="n"/>
    </row>
    <row r="22">
      <c r="A22" s="21" t="inlineStr">
        <is>
          <t>Erasure Requests (Right to be Forgotten, Art. 17)</t>
        </is>
      </c>
      <c r="B22" s="22">
        <f>COUNTIF('2. DSR Request Inventory'!D2:D51,"Erasure*")</f>
        <v/>
      </c>
      <c r="C22" s="6" t="n"/>
      <c r="D22" s="6" t="n"/>
      <c r="E22" s="6" t="n"/>
      <c r="F22" s="6" t="n"/>
      <c r="G22" s="6" t="n"/>
    </row>
    <row r="23">
      <c r="A23" s="21" t="inlineStr">
        <is>
          <t>Data Portability Requests (Art. 20)</t>
        </is>
      </c>
      <c r="B23" s="22">
        <f>COUNTIF('2. DSR Request Inventory'!D2:D51,"Data Portability*")</f>
        <v/>
      </c>
      <c r="C23" s="6" t="n"/>
      <c r="D23" s="6" t="n"/>
      <c r="E23" s="6" t="n"/>
      <c r="F23" s="6" t="n"/>
      <c r="G23" s="6" t="n"/>
    </row>
    <row r="24">
      <c r="A24" s="21" t="inlineStr">
        <is>
          <t>Identity Verification Failed</t>
        </is>
      </c>
      <c r="B24" s="22">
        <f>COUNTIF('2. DSR Request Inventory'!J2:J51,"Verification Failed")</f>
        <v/>
      </c>
      <c r="C24" s="6" t="n"/>
      <c r="D24" s="6" t="n"/>
      <c r="E24" s="6" t="n"/>
      <c r="F24" s="6" t="n"/>
      <c r="G24" s="6" t="n"/>
    </row>
    <row r="25">
      <c r="A25" s="21" t="inlineStr">
        <is>
          <t>Total Exceptions / Rejections Logged</t>
        </is>
      </c>
      <c r="B25" s="22">
        <f>COUNTA('5. Exception &amp; Reject. Tracking'!A2:A51)</f>
        <v/>
      </c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9">
      <c r="A29" s="27" t="inlineStr">
        <is>
          <t>TABLE 3: CRITICAL FINDINGS REQUIRING IMMEDIATE ATTENTION</t>
        </is>
      </c>
      <c r="B29" s="6" t="n"/>
      <c r="C29" s="6" t="n"/>
      <c r="D29" s="6" t="n"/>
      <c r="E29" s="6" t="n"/>
      <c r="F29" s="6" t="n"/>
      <c r="G29" s="6" t="n"/>
    </row>
    <row r="30">
      <c r="A30" s="25" t="inlineStr">
        <is>
          <t>Category</t>
        </is>
      </c>
      <c r="B30" s="25" t="inlineStr">
        <is>
          <t>Finding</t>
        </is>
      </c>
      <c r="C30" s="25" t="inlineStr">
        <is>
          <t>Count</t>
        </is>
      </c>
      <c r="D30" s="25" t="inlineStr">
        <is>
          <t>Severity</t>
        </is>
      </c>
      <c r="E30" s="25" t="inlineStr">
        <is>
          <t>Action Required</t>
        </is>
      </c>
      <c r="F30" s="25" t="n"/>
      <c r="G30" s="25" t="n"/>
    </row>
    <row r="31">
      <c r="A31" s="28" t="inlineStr">
        <is>
          <t>DSR SLA</t>
        </is>
      </c>
      <c r="B31" s="28" t="inlineStr">
        <is>
          <t>Requests with SLA breached (&gt;30 days — GDPR Art. 12)</t>
        </is>
      </c>
      <c r="C31" s="29">
        <f>COUNTIF('2. DSR Request Inventory'!O2:O51,"Breached")</f>
        <v/>
      </c>
      <c r="D31" s="28" t="inlineStr">
        <is>
          <t>Critical</t>
        </is>
      </c>
      <c r="E31" s="28" t="inlineStr">
        <is>
          <t>Immediate</t>
        </is>
      </c>
      <c r="F31" s="28" t="n"/>
      <c r="G31" s="28" t="n"/>
    </row>
    <row r="32">
      <c r="A32" s="28" t="inlineStr">
        <is>
          <t>Identity</t>
        </is>
      </c>
      <c r="B32" s="28" t="inlineStr">
        <is>
          <t>Identity verification failed (data at risk of disclosure)</t>
        </is>
      </c>
      <c r="C32" s="29">
        <f>COUNTIF('2. DSR Request Inventory'!J2:J51,"Verification Failed")</f>
        <v/>
      </c>
      <c r="D32" s="28" t="inlineStr">
        <is>
          <t>Critical</t>
        </is>
      </c>
      <c r="E32" s="28" t="inlineStr">
        <is>
          <t>Immediate</t>
        </is>
      </c>
      <c r="F32" s="28" t="n"/>
      <c r="G32" s="28" t="n"/>
    </row>
    <row r="33">
      <c r="A33" s="28" t="inlineStr">
        <is>
          <t>Request Outcome</t>
        </is>
      </c>
      <c r="B33" s="28" t="inlineStr">
        <is>
          <t>Requests rejected (must have documented lawful basis)</t>
        </is>
      </c>
      <c r="C33" s="29">
        <f>COUNTIF('2. DSR Request Inventory'!R2:R51,"Rejected")</f>
        <v/>
      </c>
      <c r="D33" s="28" t="inlineStr">
        <is>
          <t>High</t>
        </is>
      </c>
      <c r="E33" s="28" t="inlineStr">
        <is>
          <t>Urgent</t>
        </is>
      </c>
      <c r="F33" s="28" t="n"/>
      <c r="G33" s="28" t="n"/>
    </row>
    <row r="34">
      <c r="A34" s="28" t="inlineStr">
        <is>
          <t>Erasure</t>
        </is>
      </c>
      <c r="B34" s="28" t="inlineStr">
        <is>
          <t>Erasure requests (Right to be Forgotten — GDPR Art. 17)</t>
        </is>
      </c>
      <c r="C34" s="29">
        <f>COUNTIF('2. DSR Request Inventory'!D2:D51,"Erasure*")</f>
        <v/>
      </c>
      <c r="D34" s="28" t="inlineStr">
        <is>
          <t>High</t>
        </is>
      </c>
      <c r="E34" s="28" t="inlineStr">
        <is>
          <t>Urgent</t>
        </is>
      </c>
      <c r="F34" s="28" t="n"/>
      <c r="G34" s="28" t="n"/>
    </row>
    <row r="35">
      <c r="A35" s="28" t="inlineStr">
        <is>
          <t>Exceptions</t>
        </is>
      </c>
      <c r="B35" s="28" t="inlineStr">
        <is>
          <t>Total exceptions and rejections logged</t>
        </is>
      </c>
      <c r="C35" s="29">
        <f>COUNTA('5. Exception &amp; Reject. Tracking'!A2:A51)</f>
        <v/>
      </c>
      <c r="D35" s="28" t="inlineStr">
        <is>
          <t>Medium</t>
        </is>
      </c>
      <c r="E35" s="28" t="inlineStr">
        <is>
          <t>Plan</t>
        </is>
      </c>
      <c r="F35" s="28" t="n"/>
      <c r="G35" s="28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</sheetData>
  <mergeCells count="5">
    <mergeCell ref="A1:G1"/>
    <mergeCell ref="A12:G12"/>
    <mergeCell ref="A4:G4"/>
    <mergeCell ref="A2:G2"/>
    <mergeCell ref="A29:G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ASSESSMENT APPROVAL AND SIGN-OFF</t>
        </is>
      </c>
      <c r="B1" s="6" t="n"/>
      <c r="C1" s="6" t="n"/>
      <c r="D1" s="6" t="n"/>
      <c r="E1" s="6" t="n"/>
    </row>
    <row r="2">
      <c r="A2" s="30" t="inlineStr">
        <is>
          <t>ISO/IEC 27001:2022 - Control A.5.34: Privacy and Protection of PII</t>
        </is>
      </c>
      <c r="B2" s="6" t="n"/>
      <c r="C2" s="6" t="n"/>
      <c r="D2" s="6" t="n"/>
      <c r="E2" s="6" t="n"/>
    </row>
    <row r="3">
      <c r="A3" s="31" t="inlineStr">
        <is>
          <t>ASSESSMENT SUMMARY</t>
        </is>
      </c>
      <c r="B3" s="6" t="n"/>
      <c r="C3" s="6" t="n"/>
      <c r="D3" s="6" t="n"/>
      <c r="E3" s="6" t="n"/>
    </row>
    <row r="4">
      <c r="A4" s="32" t="inlineStr">
        <is>
          <t>Document:</t>
        </is>
      </c>
      <c r="B4" s="6" t="inlineStr">
        <is>
          <t>ISMS-IMP-A.5.34.3 - Data Subject Rights Management Assessment</t>
        </is>
      </c>
      <c r="C4" s="6" t="n"/>
      <c r="D4" s="6" t="n"/>
      <c r="E4" s="6" t="n"/>
    </row>
    <row r="5">
      <c r="A5" s="32" t="inlineStr">
        <is>
          <t>Assessment Period:</t>
        </is>
      </c>
      <c r="B5" s="4" t="inlineStr"/>
      <c r="C5" s="6" t="n"/>
      <c r="D5" s="6" t="n"/>
      <c r="E5" s="6" t="n"/>
    </row>
    <row r="6">
      <c r="A6" s="32" t="inlineStr">
        <is>
          <t>Overall Compliance Rating:</t>
        </is>
      </c>
      <c r="B6" s="33">
        <f>IFERROR(AVERAGE('Summary Dashboard'!G6:G9),"")</f>
        <v/>
      </c>
      <c r="C6" s="6" t="n"/>
      <c r="D6" s="6" t="n"/>
      <c r="E6" s="6" t="n"/>
    </row>
    <row r="7">
      <c r="A7" s="32" t="inlineStr">
        <is>
          <t>Assessment Status:</t>
        </is>
      </c>
      <c r="B7" s="4" t="inlineStr"/>
      <c r="C7" s="6" t="n"/>
      <c r="D7" s="6" t="n"/>
      <c r="E7" s="6" t="n"/>
    </row>
    <row r="8">
      <c r="A8" s="32" t="inlineStr">
        <is>
          <t>Assessed By:</t>
        </is>
      </c>
      <c r="B8" s="4" t="inlineStr"/>
      <c r="C8" s="6" t="n"/>
      <c r="D8" s="6" t="n"/>
      <c r="E8" s="6" t="n"/>
    </row>
    <row r="11">
      <c r="A11" s="31" t="inlineStr">
        <is>
          <t>COMPLETED BY (ASSESSOR)</t>
        </is>
      </c>
      <c r="B11" s="6" t="n"/>
      <c r="C11" s="6" t="n"/>
      <c r="D11" s="6" t="n"/>
      <c r="E11" s="6" t="n"/>
    </row>
    <row r="12">
      <c r="A12" s="32" t="inlineStr">
        <is>
          <t>Name:</t>
        </is>
      </c>
      <c r="B12" s="4" t="n"/>
      <c r="C12" s="6" t="n"/>
      <c r="D12" s="6" t="n"/>
      <c r="E12" s="6" t="n"/>
    </row>
    <row r="13">
      <c r="A13" s="32" t="inlineStr">
        <is>
          <t>Title:</t>
        </is>
      </c>
      <c r="B13" s="4" t="n"/>
      <c r="C13" s="6" t="n"/>
      <c r="D13" s="6" t="n"/>
      <c r="E13" s="6" t="n"/>
    </row>
    <row r="14">
      <c r="A14" s="32" t="inlineStr">
        <is>
          <t>Date:</t>
        </is>
      </c>
      <c r="B14" s="4" t="n"/>
      <c r="C14" s="6" t="n"/>
      <c r="D14" s="6" t="n"/>
      <c r="E14" s="6" t="n"/>
    </row>
    <row r="15">
      <c r="A15" s="32" t="inlineStr">
        <is>
          <t>Signature:</t>
        </is>
      </c>
      <c r="B15" s="4" t="n"/>
      <c r="C15" s="6" t="n"/>
      <c r="D15" s="6" t="n"/>
      <c r="E15" s="6" t="n"/>
    </row>
    <row r="16">
      <c r="A16" s="32" t="inlineStr">
        <is>
          <t>Comments:</t>
        </is>
      </c>
      <c r="B16" s="4" t="n"/>
      <c r="C16" s="6" t="n"/>
      <c r="D16" s="6" t="n"/>
      <c r="E16" s="6" t="n"/>
    </row>
    <row r="18">
      <c r="A18" s="31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2" t="inlineStr">
        <is>
          <t>Name:</t>
        </is>
      </c>
      <c r="B19" s="4" t="n"/>
      <c r="C19" s="6" t="n"/>
      <c r="D19" s="6" t="n"/>
      <c r="E19" s="6" t="n"/>
    </row>
    <row r="20">
      <c r="A20" s="32" t="inlineStr">
        <is>
          <t>Title:</t>
        </is>
      </c>
      <c r="B20" s="4" t="n"/>
      <c r="C20" s="6" t="n"/>
      <c r="D20" s="6" t="n"/>
      <c r="E20" s="6" t="n"/>
    </row>
    <row r="21">
      <c r="A21" s="32" t="inlineStr">
        <is>
          <t>Date:</t>
        </is>
      </c>
      <c r="B21" s="4" t="n"/>
      <c r="C21" s="6" t="n"/>
      <c r="D21" s="6" t="n"/>
      <c r="E21" s="6" t="n"/>
    </row>
    <row r="22">
      <c r="A22" s="32" t="inlineStr">
        <is>
          <t>Signature:</t>
        </is>
      </c>
      <c r="B22" s="4" t="n"/>
      <c r="C22" s="6" t="n"/>
      <c r="D22" s="6" t="n"/>
      <c r="E22" s="6" t="n"/>
    </row>
    <row r="23">
      <c r="A23" s="32" t="inlineStr">
        <is>
          <t>Comments:</t>
        </is>
      </c>
      <c r="B23" s="4" t="n"/>
      <c r="C23" s="6" t="n"/>
      <c r="D23" s="6" t="n"/>
      <c r="E23" s="6" t="n"/>
    </row>
    <row r="25">
      <c r="A25" s="34" t="inlineStr">
        <is>
          <t>APPROVED BY (CISO)</t>
        </is>
      </c>
      <c r="B25" s="6" t="n"/>
      <c r="C25" s="6" t="n"/>
      <c r="D25" s="6" t="n"/>
      <c r="E25" s="6" t="n"/>
    </row>
    <row r="26">
      <c r="A26" s="32" t="inlineStr">
        <is>
          <t>Name:</t>
        </is>
      </c>
      <c r="B26" s="4" t="n"/>
      <c r="C26" s="6" t="n"/>
      <c r="D26" s="6" t="n"/>
      <c r="E26" s="6" t="n"/>
    </row>
    <row r="27">
      <c r="A27" s="32" t="inlineStr">
        <is>
          <t>Title:</t>
        </is>
      </c>
      <c r="B27" s="4" t="n"/>
      <c r="C27" s="6" t="n"/>
      <c r="D27" s="6" t="n"/>
      <c r="E27" s="6" t="n"/>
    </row>
    <row r="28">
      <c r="A28" s="32" t="inlineStr">
        <is>
          <t>Date:</t>
        </is>
      </c>
      <c r="B28" s="4" t="n"/>
      <c r="C28" s="6" t="n"/>
      <c r="D28" s="6" t="n"/>
      <c r="E28" s="6" t="n"/>
    </row>
    <row r="29">
      <c r="A29" s="32" t="inlineStr">
        <is>
          <t>Signature:</t>
        </is>
      </c>
      <c r="B29" s="4" t="n"/>
      <c r="C29" s="6" t="n"/>
      <c r="D29" s="6" t="n"/>
      <c r="E29" s="6" t="n"/>
    </row>
    <row r="30">
      <c r="A30" s="32" t="inlineStr">
        <is>
          <t>Comments:</t>
        </is>
      </c>
      <c r="B30" s="4" t="n"/>
      <c r="C30" s="6" t="n"/>
      <c r="D30" s="6" t="n"/>
      <c r="E30" s="6" t="n"/>
    </row>
    <row r="32">
      <c r="A32" s="32" t="inlineStr">
        <is>
          <t>FINAL DECISION:</t>
        </is>
      </c>
      <c r="B32" s="4" t="n"/>
      <c r="C32" s="6" t="n"/>
      <c r="D32" s="6" t="n"/>
      <c r="E32" s="6" t="n"/>
    </row>
    <row r="35">
      <c r="A35" s="31" t="inlineStr">
        <is>
          <t>NEXT REVIEW DETAILS</t>
        </is>
      </c>
      <c r="B35" s="6" t="n"/>
      <c r="C35" s="6" t="n"/>
      <c r="D35" s="6" t="n"/>
      <c r="E35" s="6" t="n"/>
    </row>
    <row r="36">
      <c r="A36" s="32" t="inlineStr">
        <is>
          <t>Next Review Date:</t>
        </is>
      </c>
      <c r="B36" s="4" t="n"/>
      <c r="C36" s="6" t="n"/>
      <c r="D36" s="6" t="n"/>
      <c r="E36" s="6" t="n"/>
    </row>
    <row r="37">
      <c r="A37" s="32" t="inlineStr">
        <is>
          <t>Review Responsible:</t>
        </is>
      </c>
      <c r="B37" s="4" t="n"/>
      <c r="C37" s="6" t="n"/>
      <c r="D37" s="6" t="n"/>
      <c r="E37" s="6" t="n"/>
    </row>
    <row r="38">
      <c r="A38" s="32" t="inlineStr">
        <is>
          <t>Special Considerations:</t>
        </is>
      </c>
      <c r="B38" s="4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ISMS-IMP-A.5.34.3 — Data Subject Rights Management Assessment</dc:title>
  <dc:description xmlns:dc="http://purl.org/dc/elements/1.1/">ISMS Implementation Workbook — ISMS-IMP-A.5.34.3</dc:description>
  <dc:subject xmlns:dc="http://purl.org/dc/elements/1.1/">ISO/IEC 27001:2022 — Control A.5.34: Privacy and Protection of PII</dc:subject>
  <dcterms:created xmlns:dcterms="http://purl.org/dc/terms/" xmlns:xsi="http://www.w3.org/2001/XMLSchema-instance" xsi:type="dcterms:W3CDTF">2026-03-07T11:27:37Z</dcterms:created>
  <dcterms:modified xmlns:dcterms="http://purl.org/dc/terms/" xmlns:xsi="http://www.w3.org/2001/XMLSchema-instance" xsi:type="dcterms:W3CDTF">2026-03-07T11:27:37Z</dcterms:modified>
</cp:coreProperties>
</file>