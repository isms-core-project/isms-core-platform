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Transfer Register" sheetId="2" state="visible" r:id="rId2"/>
    <sheet xmlns:r="http://schemas.openxmlformats.org/officeDocument/2006/relationships" name="TIA Register" sheetId="3" state="visible" r:id="rId3"/>
    <sheet xmlns:r="http://schemas.openxmlformats.org/officeDocument/2006/relationships" name="Processor Tracker" sheetId="4" state="visible" r:id="rId4"/>
    <sheet xmlns:r="http://schemas.openxmlformats.org/officeDocument/2006/relationships" name="Evidence Repository" sheetId="5" state="visible" r:id="rId5"/>
    <sheet xmlns:r="http://schemas.openxmlformats.org/officeDocument/2006/relationships" name="Gap Analysis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b val="1"/>
      <color rgb="00FFFFFF"/>
      <sz val="14"/>
    </font>
    <font>
      <b val="1"/>
      <color rgb="00FFFFFF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0" borderId="1" pivotButton="0" quotePrefix="0" xfId="0"/>
    <xf numFmtId="0" fontId="5" fillId="8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8" borderId="1" pivotButton="0" quotePrefix="0" xfId="0"/>
    <xf numFmtId="0" fontId="9" fillId="11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left"/>
    </xf>
    <xf numFmtId="0" fontId="9" fillId="11" borderId="1" applyAlignment="1" pivotButton="0" quotePrefix="0" xfId="0">
      <alignment horizontal="center"/>
    </xf>
    <xf numFmtId="164" fontId="9" fillId="11" borderId="1" applyAlignment="1" pivotButton="0" quotePrefix="0" xfId="0">
      <alignment horizontal="center"/>
    </xf>
    <xf numFmtId="0" fontId="8" fillId="12" borderId="1" pivotButton="0" quotePrefix="0" xfId="0"/>
    <xf numFmtId="0" fontId="10" fillId="10" borderId="1" pivotButton="0" quotePrefix="0" xfId="0"/>
    <xf numFmtId="0" fontId="10" fillId="1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11" fillId="13" borderId="1" pivotButton="0" quotePrefix="0" xfId="0"/>
    <xf numFmtId="164" fontId="0" fillId="0" borderId="1" pivotButton="0" quotePrefix="0" xfId="0"/>
    <xf numFmtId="0" fontId="11" fillId="8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ISMS-IMP-A.5.34.6  -  Cross-Border Transfer Assessment
ISO/IEC 27001:2022 - Control A.5.34: Privacy and Protection of PII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ISMS-IMP-A.5.34.6</t>
        </is>
      </c>
    </row>
    <row r="5">
      <c r="A5" s="3" t="inlineStr">
        <is>
          <t>Workbook Title</t>
        </is>
      </c>
      <c r="B5" t="inlineStr">
        <is>
          <t>Cross-Border Transfer Assessment</t>
        </is>
      </c>
    </row>
    <row r="6">
      <c r="A6" s="3" t="inlineStr">
        <is>
          <t>Control Reference</t>
        </is>
      </c>
      <c r="B6" t="inlineStr">
        <is>
          <t>ISO/IEC 27001:2022 - Control A.5.34: Privacy and Protection of PII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Sheet 2 (Transfer Register) — inventory all international personal data transfers.</t>
        </is>
      </c>
    </row>
    <row r="14">
      <c r="A14" t="inlineStr">
        <is>
          <t>2. Complete Sheet 3 (TIA Register) — conduct Transfer Impact Assessments for non-adequate countries.</t>
        </is>
      </c>
    </row>
    <row r="15">
      <c r="A15" t="inlineStr">
        <is>
          <t>3. Complete Sheet 4 (Processor Tracker) — verify DPAs and SCCs for all processors.</t>
        </is>
      </c>
    </row>
    <row r="16">
      <c r="A16" t="inlineStr">
        <is>
          <t>4. Complete Sheet 5 (Evidence Repository) — link supporting evidence for all transfers.</t>
        </is>
      </c>
    </row>
    <row r="17">
      <c r="A17" t="inlineStr">
        <is>
          <t>5. Complete Sheet 6 (Gap Analysis) — document non-compliant or under-documented transfers.</t>
        </is>
      </c>
    </row>
    <row r="18">
      <c r="A18" t="inlineStr">
        <is>
          <t>6. Review Sheet 7 (Dashboard) — validate transfer compliance metrics.</t>
        </is>
      </c>
    </row>
    <row r="19">
      <c r="A19" t="inlineStr">
        <is>
          <t>7. Obtain sign-offs in Sheet 8 (Approvals) — DPO and stakeholder approvals.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CROSS-BORDER TRANSFER REGISTER</t>
        </is>
      </c>
    </row>
    <row r="2">
      <c r="A2" s="12" t="inlineStr">
        <is>
          <t>Transfer ID</t>
        </is>
      </c>
      <c r="B2" s="12" t="inlineStr">
        <is>
          <t>Status</t>
        </is>
      </c>
      <c r="C2" s="12" t="inlineStr">
        <is>
          <t>Transfer Name</t>
        </is>
      </c>
      <c r="D2" s="12" t="inlineStr">
        <is>
          <t>Source System</t>
        </is>
      </c>
      <c r="E2" s="12" t="inlineStr">
        <is>
          <t>Destination System</t>
        </is>
      </c>
      <c r="F2" s="12" t="inlineStr">
        <is>
          <t>Destination Country</t>
        </is>
      </c>
      <c r="G2" s="12" t="inlineStr">
        <is>
          <t>Adequacy Status</t>
        </is>
      </c>
      <c r="H2" s="12" t="inlineStr">
        <is>
          <t>Transfer Mechanism</t>
        </is>
      </c>
      <c r="I2" s="12" t="inlineStr">
        <is>
          <t>SCC Version</t>
        </is>
      </c>
      <c r="J2" s="12" t="inlineStr">
        <is>
          <t>SCC Date</t>
        </is>
      </c>
      <c r="K2" s="12" t="inlineStr">
        <is>
          <t>DPF Cert?</t>
        </is>
      </c>
      <c r="L2" s="12" t="inlineStr">
        <is>
          <t>TIA Required?</t>
        </is>
      </c>
      <c r="M2" s="12" t="inlineStr">
        <is>
          <t>TIA ID</t>
        </is>
      </c>
      <c r="N2" s="12" t="inlineStr">
        <is>
          <t>PII Categories</t>
        </is>
      </c>
      <c r="O2" s="12" t="inlineStr">
        <is>
          <t>Transfer Volume</t>
        </is>
      </c>
      <c r="P2" s="12" t="inlineStr">
        <is>
          <t>Transfer Frequency</t>
        </is>
      </c>
      <c r="Q2" s="12" t="inlineStr">
        <is>
          <t>Purpose</t>
        </is>
      </c>
      <c r="R2" s="12" t="inlineStr">
        <is>
          <t>Legal Basis (Art.6)</t>
        </is>
      </c>
      <c r="S2" s="12" t="inlineStr">
        <is>
          <t>Last Updated</t>
        </is>
      </c>
      <c r="T2" s="12" t="inlineStr">
        <is>
          <t>Notes</t>
        </is>
      </c>
    </row>
    <row r="3">
      <c r="A3" s="13">
        <f>TEXT(ROW()-2,"XFER-0000")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</row>
  </sheetData>
  <mergeCells count="1">
    <mergeCell ref="A1:T1"/>
  </mergeCells>
  <dataValidations count="3">
    <dataValidation sqref="B4:B1000" showDropDown="0" showInputMessage="0" showErrorMessage="0" allowBlank="0" error="Select valid status" type="list" errorStyle="stop">
      <formula1>"Not Started,In Progress,Complete,Validated"</formula1>
    </dataValidation>
    <dataValidation sqref="H4:H1000" showDropDown="0" showInputMessage="0" showErrorMessage="0" allowBlank="0" error="Select mechanism" type="list" errorStyle="stop">
      <formula1>"Adequacy,SCCs,BCRs,DPF,Derogation"</formula1>
    </dataValidation>
    <dataValidation sqref="L4:L1000" showDropDown="0" showInputMessage="0" showErrorMessage="0" allowBlank="0" error="YES or NO" type="list" errorStyle="stop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TIA REGISTER</t>
        </is>
      </c>
    </row>
    <row r="2">
      <c r="A2" s="12" t="inlineStr">
        <is>
          <t>TIA ID</t>
        </is>
      </c>
      <c r="B2" s="12" t="inlineStr">
        <is>
          <t>Transfer ID</t>
        </is>
      </c>
      <c r="C2" s="12" t="inlineStr">
        <is>
          <t>Status</t>
        </is>
      </c>
      <c r="D2" s="12" t="inlineStr">
        <is>
          <t>Destination Country</t>
        </is>
      </c>
      <c r="E2" s="12" t="inlineStr">
        <is>
          <t>Assessment Date</t>
        </is>
      </c>
      <c r="F2" s="12" t="inlineStr">
        <is>
          <t>Assessor</t>
        </is>
      </c>
      <c r="G2" s="12" t="inlineStr">
        <is>
          <t>Surveillance Laws</t>
        </is>
      </c>
      <c r="H2" s="12" t="inlineStr">
        <is>
          <t>Gov Access Risk</t>
        </is>
      </c>
      <c r="I2" s="12" t="inlineStr">
        <is>
          <t>Risk Justification</t>
        </is>
      </c>
      <c r="J2" s="12" t="inlineStr">
        <is>
          <t>Supplementary Measures</t>
        </is>
      </c>
      <c r="K2" s="12" t="inlineStr">
        <is>
          <t>Residual Risk</t>
        </is>
      </c>
      <c r="L2" s="12" t="inlineStr">
        <is>
          <t>TIA Conclusion</t>
        </is>
      </c>
      <c r="M2" s="12" t="inlineStr">
        <is>
          <t>DPO Approval</t>
        </is>
      </c>
      <c r="N2" s="12" t="inlineStr">
        <is>
          <t>Next Review Date</t>
        </is>
      </c>
      <c r="O2" s="12" t="inlineStr">
        <is>
          <t>Notes</t>
        </is>
      </c>
    </row>
    <row r="3">
      <c r="A3" s="13">
        <f>TEXT(ROW()-2,"TIA-0000")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</row>
  </sheetData>
  <mergeCells count="1">
    <mergeCell ref="A1:O1"/>
  </mergeCells>
  <dataValidations count="4">
    <dataValidation sqref="C4:C1000" showDropDown="0" showInputMessage="0" showErrorMessage="0" allowBlank="0" error="Status" type="list" errorStyle="stop">
      <formula1>"Not Started,In Progress,Complete,Approved"</formula1>
    </dataValidation>
    <dataValidation sqref="H4:H1000" showDropDown="0" showInputMessage="0" showErrorMessage="0" allowBlank="0" error="Risk level" type="list" errorStyle="stop">
      <formula1>"Low,Medium,High,Critical"</formula1>
    </dataValidation>
    <dataValidation sqref="K4:K1000" showDropDown="0" showInputMessage="0" showErrorMessage="0" allowBlank="0" error="Risk level" type="list" errorStyle="stop">
      <formula1>"Low,Medium,High,Critical"</formula1>
    </dataValidation>
    <dataValidation sqref="L4:L1000" showDropDown="0" showInputMessage="0" showErrorMessage="0" allowBlank="0" error="TIA result" type="list" errorStyle="stop">
      <formula1>"PASS,PASS with Conditions,FAIL"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PROCESSOR AGREEMENT TRACKER</t>
        </is>
      </c>
    </row>
    <row r="2">
      <c r="A2" s="12" t="inlineStr">
        <is>
          <t>Processor ID</t>
        </is>
      </c>
      <c r="B2" s="12" t="inlineStr">
        <is>
          <t>Transfer ID</t>
        </is>
      </c>
      <c r="C2" s="12" t="inlineStr">
        <is>
          <t>Processor Name</t>
        </is>
      </c>
      <c r="D2" s="12" t="inlineStr">
        <is>
          <t>Processor Location</t>
        </is>
      </c>
      <c r="E2" s="12" t="inlineStr">
        <is>
          <t>DPA Exists?</t>
        </is>
      </c>
      <c r="F2" s="12" t="inlineStr">
        <is>
          <t>DPA Date</t>
        </is>
      </c>
      <c r="G2" s="12" t="inlineStr">
        <is>
          <t>SCCs Included?</t>
        </is>
      </c>
      <c r="H2" s="12" t="inlineStr">
        <is>
          <t>SCC Version</t>
        </is>
      </c>
      <c r="I2" s="12" t="inlineStr">
        <is>
          <t>SCC Date</t>
        </is>
      </c>
      <c r="J2" s="12" t="inlineStr">
        <is>
          <t>Subprocessors?</t>
        </is>
      </c>
      <c r="K2" s="12" t="inlineStr">
        <is>
          <t>Compliance Status</t>
        </is>
      </c>
      <c r="L2" s="12" t="inlineStr">
        <is>
          <t>Gap Description</t>
        </is>
      </c>
      <c r="M2" s="12" t="inlineStr">
        <is>
          <t>Remediation Action</t>
        </is>
      </c>
      <c r="N2" s="12" t="inlineStr">
        <is>
          <t>Owner</t>
        </is>
      </c>
      <c r="O2" s="12" t="inlineStr">
        <is>
          <t>Deadline</t>
        </is>
      </c>
      <c r="P2" s="12" t="inlineStr">
        <is>
          <t>Notes</t>
        </is>
      </c>
    </row>
    <row r="3">
      <c r="A3" s="13">
        <f>TEXT(ROW()-2,"PROC-0000")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</row>
  </sheetData>
  <mergeCells count="1">
    <mergeCell ref="A1:P1"/>
  </mergeCells>
  <dataValidations count="3">
    <dataValidation sqref="E4:E1000" showDropDown="0" showInputMessage="0" showErrorMessage="0" allowBlank="0" error="DPA status" type="list" errorStyle="stop">
      <formula1>"YES,NO"</formula1>
    </dataValidation>
    <dataValidation sqref="G4:G1000" showDropDown="0" showInputMessage="0" showErrorMessage="0" allowBlank="0" error="SCCs status" type="list" errorStyle="stop">
      <formula1>"YES,NO"</formula1>
    </dataValidation>
    <dataValidation sqref="K4:K1000" showDropDown="0" showInputMessage="0" showErrorMessage="0" allowBlank="0" error="Status" type="list" errorStyle="stop">
      <formula1>"Compliant,Partially Compliant,Non-Compliant"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EVIDENCE REPOSITORY</t>
        </is>
      </c>
    </row>
    <row r="2">
      <c r="A2" s="12" t="inlineStr">
        <is>
          <t>Evidence ID</t>
        </is>
      </c>
      <c r="B2" s="12" t="inlineStr">
        <is>
          <t>Transfer ID</t>
        </is>
      </c>
      <c r="C2" s="12" t="inlineStr">
        <is>
          <t>TIA ID</t>
        </is>
      </c>
      <c r="D2" s="12" t="inlineStr">
        <is>
          <t>Evidence Type</t>
        </is>
      </c>
      <c r="E2" s="12" t="inlineStr">
        <is>
          <t>Description</t>
        </is>
      </c>
      <c r="F2" s="12" t="inlineStr">
        <is>
          <t>Document Name</t>
        </is>
      </c>
      <c r="G2" s="12" t="inlineStr">
        <is>
          <t>File Location</t>
        </is>
      </c>
      <c r="H2" s="12" t="inlineStr">
        <is>
          <t>Upload Date</t>
        </is>
      </c>
      <c r="I2" s="12" t="inlineStr">
        <is>
          <t>Owner</t>
        </is>
      </c>
      <c r="J2" s="12" t="inlineStr">
        <is>
          <t>Status</t>
        </is>
      </c>
      <c r="K2" s="12" t="inlineStr">
        <is>
          <t>Notes</t>
        </is>
      </c>
    </row>
    <row r="3">
      <c r="A3" s="13">
        <f>TEXT(ROW()-2,"EVID-0000")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</row>
  </sheetData>
  <mergeCells count="1">
    <mergeCell ref="A1:K1"/>
  </mergeCells>
  <dataValidations count="2">
    <dataValidation sqref="D4:D1000" showDropDown="0" showInputMessage="0" showErrorMessage="0" allowBlank="0" error="Evidence type" type="list" errorStyle="stop">
      <formula1>"SCCs (Signed),DPA,TIA,DPF Cert,Legal Memo,Other"</formula1>
    </dataValidation>
    <dataValidation sqref="J4:J1000" showDropDown="0" showInputMessage="0" showErrorMessage="0" allowBlank="0" error="Status" type="list" errorStyle="stop">
      <formula1>"Current,Expired,Superseded"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GAP ANALYSIS</t>
        </is>
      </c>
    </row>
    <row r="2">
      <c r="A2" s="12" t="inlineStr">
        <is>
          <t>Gap ID</t>
        </is>
      </c>
      <c r="B2" s="12" t="inlineStr">
        <is>
          <t>Transfer ID</t>
        </is>
      </c>
      <c r="C2" s="12" t="inlineStr">
        <is>
          <t>Gap Type</t>
        </is>
      </c>
      <c r="D2" s="12" t="inlineStr">
        <is>
          <t>Description</t>
        </is>
      </c>
      <c r="E2" s="12" t="inlineStr">
        <is>
          <t>Risk Level</t>
        </is>
      </c>
      <c r="F2" s="12" t="inlineStr">
        <is>
          <t>Affected Data Subjects</t>
        </is>
      </c>
      <c r="G2" s="12" t="inlineStr">
        <is>
          <t>Discovery Date</t>
        </is>
      </c>
      <c r="H2" s="12" t="inlineStr">
        <is>
          <t>Remediation Action</t>
        </is>
      </c>
      <c r="I2" s="12" t="inlineStr">
        <is>
          <t>Owner</t>
        </is>
      </c>
      <c r="J2" s="12" t="inlineStr">
        <is>
          <t>Target Date</t>
        </is>
      </c>
      <c r="K2" s="12" t="inlineStr">
        <is>
          <t>Status</t>
        </is>
      </c>
      <c r="L2" s="12" t="inlineStr">
        <is>
          <t>Notes</t>
        </is>
      </c>
    </row>
    <row r="3">
      <c r="A3" s="13">
        <f>TEXT(ROW()-2,"GAP-0000")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</row>
  </sheetData>
  <mergeCells count="1">
    <mergeCell ref="A1:L1"/>
  </mergeCells>
  <conditionalFormatting sqref="E3:E1000">
    <cfRule type="cellIs" priority="1" operator="equal" dxfId="0">
      <formula>"Critical"</formula>
    </cfRule>
  </conditionalFormatting>
  <dataValidations count="3">
    <dataValidation sqref="C4:C1000" showDropDown="0" showInputMessage="0" showErrorMessage="0" allowBlank="0" error="Gap type" type="list" errorStyle="stop">
      <formula1>"Missing SCCs,No TIA,Undocumented Transfer,Old SCCs,Other"</formula1>
    </dataValidation>
    <dataValidation sqref="E4:E1000" showDropDown="0" showInputMessage="0" showErrorMessage="0" allowBlank="0" error="Risk level" type="list" errorStyle="stop">
      <formula1>"Low,Medium,High,Critical"</formula1>
    </dataValidation>
    <dataValidation sqref="K4:K1000" showDropDown="0" showInputMessage="0" showErrorMessage="0" allowBlank="0" error="Status" type="list" errorStyle="stop">
      <formula1>"Open,In Progress,Completed,Blocked"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5" t="inlineStr">
        <is>
          <t>CROSS-BORDER TRANSFER — SUMMARY DASHBOARD</t>
        </is>
      </c>
      <c r="B1" s="6" t="n"/>
      <c r="C1" s="6" t="n"/>
      <c r="D1" s="6" t="n"/>
      <c r="E1" s="6" t="n"/>
      <c r="F1" s="6" t="n"/>
      <c r="G1" s="6" t="n"/>
    </row>
    <row r="2">
      <c r="A2" s="16" t="inlineStr">
        <is>
          <t>ISO/IEC 27001:2022 — Control A.5.34: Privacy and Protection of Personally Identifiable Information (PII)</t>
        </is>
      </c>
    </row>
    <row r="4">
      <c r="A4" s="17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18" t="inlineStr">
        <is>
          <t>Assessment Area</t>
        </is>
      </c>
      <c r="B5" s="18" t="inlineStr">
        <is>
          <t>Total Items</t>
        </is>
      </c>
      <c r="C5" s="18" t="inlineStr">
        <is>
          <t>Compliant</t>
        </is>
      </c>
      <c r="D5" s="18" t="inlineStr">
        <is>
          <t>Partial</t>
        </is>
      </c>
      <c r="E5" s="18" t="inlineStr">
        <is>
          <t>Non-Compliant</t>
        </is>
      </c>
      <c r="F5" s="18" t="inlineStr">
        <is>
          <t>N/A</t>
        </is>
      </c>
      <c r="G5" s="18" t="inlineStr">
        <is>
          <t>Compliance %</t>
        </is>
      </c>
    </row>
    <row r="6">
      <c r="A6" s="19" t="inlineStr">
        <is>
          <t>Transfer Register</t>
        </is>
      </c>
      <c r="B6" s="20">
        <f>COUNTA('Transfer Register'!C4:C53)</f>
        <v/>
      </c>
      <c r="C6" s="20">
        <f>COUNTIF('Transfer Register'!H4:H53,"Adequacy")+COUNTIF('Transfer Register'!H4:H53,"DPF")</f>
        <v/>
      </c>
      <c r="D6" s="20">
        <f>COUNTIF('Transfer Register'!H4:H53,"SCCs")+COUNTIF('Transfer Register'!H4:H53,"BCRs")</f>
        <v/>
      </c>
      <c r="E6" s="20">
        <f>COUNTIF('Transfer Register'!H4:H53,"Derogation")</f>
        <v/>
      </c>
      <c r="F6" s="20">
        <f>""</f>
        <v/>
      </c>
      <c r="G6" s="21">
        <f>IF((B6-F6)=0,0,C6/(B6-F6))</f>
        <v/>
      </c>
    </row>
    <row r="7">
      <c r="A7" s="19" t="inlineStr">
        <is>
          <t>TIA Register</t>
        </is>
      </c>
      <c r="B7" s="20">
        <f>COUNTA('TIA Register'!B4:B53)</f>
        <v/>
      </c>
      <c r="C7" s="20">
        <f>COUNTIF('TIA Register'!L4:L53,"PASS")</f>
        <v/>
      </c>
      <c r="D7" s="20">
        <f>COUNTIF('TIA Register'!L4:L53,"PASS with Conditions")</f>
        <v/>
      </c>
      <c r="E7" s="20">
        <f>COUNTIF('TIA Register'!L4:L53,"FAIL")</f>
        <v/>
      </c>
      <c r="F7" s="20">
        <f>""</f>
        <v/>
      </c>
      <c r="G7" s="21">
        <f>IF((B7-F7)=0,0,C7/(B7-F7))</f>
        <v/>
      </c>
    </row>
    <row r="8">
      <c r="A8" s="19" t="inlineStr">
        <is>
          <t>Processor Tracker</t>
        </is>
      </c>
      <c r="B8" s="20">
        <f>COUNTA('Processor Tracker'!C4:C53)</f>
        <v/>
      </c>
      <c r="C8" s="20">
        <f>COUNTIF('Processor Tracker'!K4:K53,"Compliant")</f>
        <v/>
      </c>
      <c r="D8" s="20">
        <f>COUNTIF('Processor Tracker'!K4:K53,"Partially Compliant")</f>
        <v/>
      </c>
      <c r="E8" s="20">
        <f>COUNTIF('Processor Tracker'!K4:K53,"Non-Compliant")</f>
        <v/>
      </c>
      <c r="F8" s="20">
        <f>""</f>
        <v/>
      </c>
      <c r="G8" s="21">
        <f>IF((B8-F8)=0,0,C8/(B8-F8))</f>
        <v/>
      </c>
    </row>
    <row r="9">
      <c r="A9" s="19" t="inlineStr">
        <is>
          <t>Gap Analysis</t>
        </is>
      </c>
      <c r="B9" s="20">
        <f>COUNTA('Gap Analysis'!B4:B53)</f>
        <v/>
      </c>
      <c r="C9" s="20">
        <f>COUNTIF('Gap Analysis'!E4:E53,"Low")</f>
        <v/>
      </c>
      <c r="D9" s="20">
        <f>COUNTIF('Gap Analysis'!E4:E53,"Medium")</f>
        <v/>
      </c>
      <c r="E9" s="20">
        <f>COUNTIF('Gap Analysis'!E4:E53,"High")+COUNTIF('Gap Analysis'!E4:E53,"Critical")</f>
        <v/>
      </c>
      <c r="F9" s="20">
        <f>""</f>
        <v/>
      </c>
      <c r="G9" s="21">
        <f>IF((B9-F9)=0,0,C9/(B9-F9))</f>
        <v/>
      </c>
    </row>
    <row r="10">
      <c r="A10" s="22" t="inlineStr">
        <is>
          <t>TOTAL</t>
        </is>
      </c>
      <c r="B10" s="23">
        <f>SUM(B6:B9)</f>
        <v/>
      </c>
      <c r="C10" s="23">
        <f>SUM(C6:C9)</f>
        <v/>
      </c>
      <c r="D10" s="23">
        <f>SUM(D6:D9)</f>
        <v/>
      </c>
      <c r="E10" s="23">
        <f>SUM(E6:E9)</f>
        <v/>
      </c>
      <c r="F10" s="23">
        <f>SUM(F6:F9)</f>
        <v/>
      </c>
      <c r="G10" s="24">
        <f>IF((B10-F10)=0,0,C10/(B10-F10))</f>
        <v/>
      </c>
    </row>
    <row r="12">
      <c r="A12" s="17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23" t="inlineStr">
        <is>
          <t>Metric</t>
        </is>
      </c>
      <c r="B13" s="23" t="inlineStr">
        <is>
          <t>Value</t>
        </is>
      </c>
      <c r="C13" s="23" t="n"/>
      <c r="D13" s="23" t="n"/>
      <c r="E13" s="23" t="n"/>
      <c r="F13" s="23" t="n"/>
      <c r="G13" s="23" t="n"/>
    </row>
    <row r="14">
      <c r="A14" s="19" t="inlineStr">
        <is>
          <t>Total Transfers Registered</t>
        </is>
      </c>
      <c r="B14" s="20">
        <f>COUNTA('Transfer Register'!C4:C53)</f>
        <v/>
      </c>
      <c r="C14" s="6" t="n"/>
      <c r="D14" s="6" t="n"/>
      <c r="E14" s="6" t="n"/>
      <c r="F14" s="6" t="n"/>
      <c r="G14" s="6" t="n"/>
    </row>
    <row r="15">
      <c r="A15" s="19" t="inlineStr">
        <is>
          <t>Transfers with Adequacy Decision (Art. 45)</t>
        </is>
      </c>
      <c r="B15" s="20">
        <f>COUNTIF('Transfer Register'!H4:H53,"Adequacy")</f>
        <v/>
      </c>
      <c r="C15" s="6" t="n"/>
      <c r="D15" s="6" t="n"/>
      <c r="E15" s="6" t="n"/>
      <c r="F15" s="6" t="n"/>
      <c r="G15" s="6" t="n"/>
    </row>
    <row r="16">
      <c r="A16" s="19" t="inlineStr">
        <is>
          <t>Transfers with Standard Contractual Clauses</t>
        </is>
      </c>
      <c r="B16" s="20">
        <f>COUNTIF('Transfer Register'!H4:H53,"SCCs")</f>
        <v/>
      </c>
      <c r="C16" s="6" t="n"/>
      <c r="D16" s="6" t="n"/>
      <c r="E16" s="6" t="n"/>
      <c r="F16" s="6" t="n"/>
      <c r="G16" s="6" t="n"/>
    </row>
    <row r="17">
      <c r="A17" s="19" t="inlineStr">
        <is>
          <t>Transfers with Binding Corporate Rules</t>
        </is>
      </c>
      <c r="B17" s="20">
        <f>COUNTIF('Transfer Register'!H4:H53,"BCRs")</f>
        <v/>
      </c>
      <c r="C17" s="6" t="n"/>
      <c r="D17" s="6" t="n"/>
      <c r="E17" s="6" t="n"/>
      <c r="F17" s="6" t="n"/>
      <c r="G17" s="6" t="n"/>
    </row>
    <row r="18">
      <c r="A18" s="19" t="inlineStr">
        <is>
          <t>Transfers via Data Privacy Framework</t>
        </is>
      </c>
      <c r="B18" s="20">
        <f>COUNTIF('Transfer Register'!H4:H53,"DPF")</f>
        <v/>
      </c>
      <c r="C18" s="6" t="n"/>
      <c r="D18" s="6" t="n"/>
      <c r="E18" s="6" t="n"/>
      <c r="F18" s="6" t="n"/>
      <c r="G18" s="6" t="n"/>
    </row>
    <row r="19">
      <c r="A19" s="19" t="inlineStr">
        <is>
          <t>Transfers via Derogation (Art. 49 — Exceptional)</t>
        </is>
      </c>
      <c r="B19" s="20">
        <f>COUNTIF('Transfer Register'!H4:H53,"Derogation")</f>
        <v/>
      </c>
      <c r="C19" s="6" t="n"/>
      <c r="D19" s="6" t="n"/>
      <c r="E19" s="6" t="n"/>
      <c r="F19" s="6" t="n"/>
      <c r="G19" s="6" t="n"/>
    </row>
    <row r="20">
      <c r="A20" s="19" t="inlineStr">
        <is>
          <t>Total TIAs Conducted</t>
        </is>
      </c>
      <c r="B20" s="20">
        <f>COUNTA('TIA Register'!B4:B53)</f>
        <v/>
      </c>
      <c r="C20" s="6" t="n"/>
      <c r="D20" s="6" t="n"/>
      <c r="E20" s="6" t="n"/>
      <c r="F20" s="6" t="n"/>
      <c r="G20" s="6" t="n"/>
    </row>
    <row r="21">
      <c r="A21" s="19" t="inlineStr">
        <is>
          <t>TIAs Passing</t>
        </is>
      </c>
      <c r="B21" s="20">
        <f>COUNTIF('TIA Register'!L4:L53,"PASS")</f>
        <v/>
      </c>
      <c r="C21" s="6" t="n"/>
      <c r="D21" s="6" t="n"/>
      <c r="E21" s="6" t="n"/>
      <c r="F21" s="6" t="n"/>
      <c r="G21" s="6" t="n"/>
    </row>
    <row r="22">
      <c r="A22" s="19" t="inlineStr">
        <is>
          <t>TIAs Passing with Conditions</t>
        </is>
      </c>
      <c r="B22" s="20">
        <f>COUNTIF('TIA Register'!L4:L53,"PASS with Conditions")</f>
        <v/>
      </c>
      <c r="C22" s="6" t="n"/>
      <c r="D22" s="6" t="n"/>
      <c r="E22" s="6" t="n"/>
      <c r="F22" s="6" t="n"/>
      <c r="G22" s="6" t="n"/>
    </row>
    <row r="23">
      <c r="A23" s="19" t="inlineStr">
        <is>
          <t>TIAs Failing (Transfer at Risk)</t>
        </is>
      </c>
      <c r="B23" s="20">
        <f>COUNTIF('TIA Register'!L4:L53,"FAIL")</f>
        <v/>
      </c>
      <c r="C23" s="6" t="n"/>
      <c r="D23" s="6" t="n"/>
      <c r="E23" s="6" t="n"/>
      <c r="F23" s="6" t="n"/>
      <c r="G23" s="6" t="n"/>
    </row>
    <row r="24">
      <c r="A24" s="19" t="inlineStr">
        <is>
          <t>Processors Tracked</t>
        </is>
      </c>
      <c r="B24" s="20">
        <f>COUNTA('Processor Tracker'!C4:C53)</f>
        <v/>
      </c>
      <c r="C24" s="6" t="n"/>
      <c r="D24" s="6" t="n"/>
      <c r="E24" s="6" t="n"/>
      <c r="F24" s="6" t="n"/>
      <c r="G24" s="6" t="n"/>
    </row>
    <row r="25">
      <c r="A25" s="19" t="inlineStr">
        <is>
          <t>Compliant Processors</t>
        </is>
      </c>
      <c r="B25" s="20">
        <f>COUNTIF('Processor Tracker'!K4:K53,"Compliant")</f>
        <v/>
      </c>
      <c r="C25" s="6" t="n"/>
      <c r="D25" s="6" t="n"/>
      <c r="E25" s="6" t="n"/>
      <c r="F25" s="6" t="n"/>
      <c r="G25" s="6" t="n"/>
    </row>
    <row r="26">
      <c r="A26" s="19" t="inlineStr">
        <is>
          <t>Non-Compliant Processors</t>
        </is>
      </c>
      <c r="B26" s="20">
        <f>COUNTIF('Processor Tracker'!K4:K53,"Non-Compliant")</f>
        <v/>
      </c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30">
      <c r="A30" s="25" t="inlineStr">
        <is>
          <t>TABLE 3: CRITICAL FINDINGS REQUIRING IMMEDIATE ATTENTION</t>
        </is>
      </c>
      <c r="B30" s="6" t="n"/>
      <c r="C30" s="6" t="n"/>
      <c r="D30" s="6" t="n"/>
      <c r="E30" s="6" t="n"/>
      <c r="F30" s="6" t="n"/>
      <c r="G30" s="6" t="n"/>
    </row>
    <row r="31">
      <c r="A31" s="23" t="inlineStr">
        <is>
          <t>Category</t>
        </is>
      </c>
      <c r="B31" s="23" t="inlineStr">
        <is>
          <t>Finding</t>
        </is>
      </c>
      <c r="C31" s="23" t="inlineStr">
        <is>
          <t>Count</t>
        </is>
      </c>
      <c r="D31" s="23" t="inlineStr">
        <is>
          <t>Severity</t>
        </is>
      </c>
      <c r="E31" s="23" t="inlineStr">
        <is>
          <t>Action Required</t>
        </is>
      </c>
      <c r="F31" s="23" t="n"/>
      <c r="G31" s="23" t="n"/>
    </row>
    <row r="32">
      <c r="A32" s="26" t="inlineStr">
        <is>
          <t>TIA Register</t>
        </is>
      </c>
      <c r="B32" s="26" t="inlineStr">
        <is>
          <t>TIAs with FAIL conclusion (transfer at risk — GDPR Chapter V)</t>
        </is>
      </c>
      <c r="C32" s="27">
        <f>COUNTIF('TIA Register'!L4:L53,"FAIL")</f>
        <v/>
      </c>
      <c r="D32" s="26" t="inlineStr">
        <is>
          <t>Critical</t>
        </is>
      </c>
      <c r="E32" s="26" t="inlineStr">
        <is>
          <t>Immediate</t>
        </is>
      </c>
      <c r="F32" s="26" t="n"/>
      <c r="G32" s="26" t="n"/>
    </row>
    <row r="33">
      <c r="A33" s="26" t="inlineStr">
        <is>
          <t>Processor Tracker</t>
        </is>
      </c>
      <c r="B33" s="26" t="inlineStr">
        <is>
          <t>Non-compliant third-country processors</t>
        </is>
      </c>
      <c r="C33" s="27">
        <f>COUNTIF('Processor Tracker'!K4:K53,"Non-Compliant")</f>
        <v/>
      </c>
      <c r="D33" s="26" t="inlineStr">
        <is>
          <t>Critical</t>
        </is>
      </c>
      <c r="E33" s="26" t="inlineStr">
        <is>
          <t>Immediate</t>
        </is>
      </c>
      <c r="F33" s="26" t="n"/>
      <c r="G33" s="26" t="n"/>
    </row>
    <row r="34">
      <c r="A34" s="26" t="inlineStr">
        <is>
          <t>Transfer Register</t>
        </is>
      </c>
      <c r="B34" s="26" t="inlineStr">
        <is>
          <t>Transfers via derogation only (Art. 49 — not a general basis)</t>
        </is>
      </c>
      <c r="C34" s="27">
        <f>COUNTIF('Transfer Register'!H4:H53,"Derogation")</f>
        <v/>
      </c>
      <c r="D34" s="26" t="inlineStr">
        <is>
          <t>High</t>
        </is>
      </c>
      <c r="E34" s="26" t="inlineStr">
        <is>
          <t>Urgent</t>
        </is>
      </c>
      <c r="F34" s="26" t="n"/>
      <c r="G34" s="26" t="n"/>
    </row>
    <row r="35">
      <c r="A35" s="26" t="inlineStr">
        <is>
          <t>Gap Analysis</t>
        </is>
      </c>
      <c r="B35" s="26" t="inlineStr">
        <is>
          <t>Critical risk transfer gaps</t>
        </is>
      </c>
      <c r="C35" s="27">
        <f>COUNTIF('Gap Analysis'!E4:E53,"Critical")</f>
        <v/>
      </c>
      <c r="D35" s="26" t="inlineStr">
        <is>
          <t>Critical</t>
        </is>
      </c>
      <c r="E35" s="26" t="inlineStr">
        <is>
          <t>Immediate</t>
        </is>
      </c>
      <c r="F35" s="26" t="n"/>
      <c r="G35" s="26" t="n"/>
    </row>
    <row r="36">
      <c r="A36" s="26" t="inlineStr">
        <is>
          <t>Gap Analysis</t>
        </is>
      </c>
      <c r="B36" s="26" t="inlineStr">
        <is>
          <t>High risk transfer gaps</t>
        </is>
      </c>
      <c r="C36" s="27">
        <f>COUNTIF('Gap Analysis'!E4:E53,"High")</f>
        <v/>
      </c>
      <c r="D36" s="26" t="inlineStr">
        <is>
          <t>High</t>
        </is>
      </c>
      <c r="E36" s="26" t="inlineStr">
        <is>
          <t>Urgent</t>
        </is>
      </c>
      <c r="F36" s="26" t="n"/>
      <c r="G36" s="26" t="n"/>
    </row>
    <row r="37">
      <c r="A37" s="26" t="inlineStr">
        <is>
          <t>Processor Tracker</t>
        </is>
      </c>
      <c r="B37" s="26" t="inlineStr">
        <is>
          <t>Partially compliant processors requiring remediation</t>
        </is>
      </c>
      <c r="C37" s="27">
        <f>COUNTIF('Processor Tracker'!K4:K53,"Partially Compliant")</f>
        <v/>
      </c>
      <c r="D37" s="26" t="inlineStr">
        <is>
          <t>Medium</t>
        </is>
      </c>
      <c r="E37" s="26" t="inlineStr">
        <is>
          <t>Plan</t>
        </is>
      </c>
      <c r="F37" s="26" t="n"/>
      <c r="G37" s="26" t="n"/>
    </row>
    <row r="38">
      <c r="A38" s="14" t="n"/>
      <c r="B38" s="14" t="n"/>
      <c r="C38" s="14" t="n"/>
      <c r="D38" s="14" t="n"/>
      <c r="E38" s="14" t="n"/>
      <c r="F38" s="14" t="n"/>
      <c r="G38" s="14" t="n"/>
    </row>
    <row r="39">
      <c r="A39" s="14" t="n"/>
      <c r="B39" s="14" t="n"/>
      <c r="C39" s="14" t="n"/>
      <c r="D39" s="14" t="n"/>
      <c r="E39" s="14" t="n"/>
      <c r="F39" s="14" t="n"/>
      <c r="G39" s="14" t="n"/>
    </row>
  </sheetData>
  <mergeCells count="5">
    <mergeCell ref="A1:G1"/>
    <mergeCell ref="A12:G12"/>
    <mergeCell ref="A4:G4"/>
    <mergeCell ref="A30:G30"/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28" t="inlineStr">
        <is>
          <t>ASSESSMENT APPROVAL AND SIGN-OFF</t>
        </is>
      </c>
      <c r="B1" s="6" t="n"/>
      <c r="C1" s="6" t="n"/>
      <c r="D1" s="6" t="n"/>
      <c r="E1" s="6" t="n"/>
    </row>
    <row r="2">
      <c r="A2" s="29" t="inlineStr">
        <is>
          <t>ISO/IEC 27001:2022 - Control A.5.34: Privacy and Protection of PII</t>
        </is>
      </c>
      <c r="B2" s="6" t="n"/>
      <c r="C2" s="6" t="n"/>
      <c r="D2" s="6" t="n"/>
      <c r="E2" s="6" t="n"/>
    </row>
    <row r="3">
      <c r="A3" s="30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ISMS-IMP-A.5.34.6 - Cross-Border Transfer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14" t="inlineStr"/>
      <c r="C5" s="6" t="n"/>
      <c r="D5" s="6" t="n"/>
      <c r="E5" s="6" t="n"/>
    </row>
    <row r="6">
      <c r="A6" s="3" t="inlineStr">
        <is>
          <t>Overall Compliance Rating:</t>
        </is>
      </c>
      <c r="B6" s="31">
        <f>IFERROR(AVERAGE('Summary Dashboard'!G6:G9),"")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4" t="inlineStr"/>
      <c r="C7" s="6" t="n"/>
      <c r="D7" s="6" t="n"/>
      <c r="E7" s="6" t="n"/>
    </row>
    <row r="8">
      <c r="A8" s="3" t="inlineStr">
        <is>
          <t>Assessed By:</t>
        </is>
      </c>
      <c r="B8" s="14" t="inlineStr"/>
      <c r="C8" s="6" t="n"/>
      <c r="D8" s="6" t="n"/>
      <c r="E8" s="6" t="n"/>
    </row>
    <row r="11">
      <c r="A11" s="30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4" t="n"/>
      <c r="C12" s="6" t="n"/>
      <c r="D12" s="6" t="n"/>
      <c r="E12" s="6" t="n"/>
    </row>
    <row r="13">
      <c r="A13" s="3" t="inlineStr">
        <is>
          <t>Title:</t>
        </is>
      </c>
      <c r="B13" s="14" t="n"/>
      <c r="C13" s="6" t="n"/>
      <c r="D13" s="6" t="n"/>
      <c r="E13" s="6" t="n"/>
    </row>
    <row r="14">
      <c r="A14" s="3" t="inlineStr">
        <is>
          <t>Date:</t>
        </is>
      </c>
      <c r="B14" s="14" t="n"/>
      <c r="C14" s="6" t="n"/>
      <c r="D14" s="6" t="n"/>
      <c r="E14" s="6" t="n"/>
    </row>
    <row r="15">
      <c r="A15" s="3" t="inlineStr">
        <is>
          <t>Signature:</t>
        </is>
      </c>
      <c r="B15" s="14" t="n"/>
      <c r="C15" s="6" t="n"/>
      <c r="D15" s="6" t="n"/>
      <c r="E15" s="6" t="n"/>
    </row>
    <row r="16">
      <c r="A16" s="3" t="inlineStr">
        <is>
          <t>Comments:</t>
        </is>
      </c>
      <c r="B16" s="14" t="n"/>
      <c r="C16" s="6" t="n"/>
      <c r="D16" s="6" t="n"/>
      <c r="E16" s="6" t="n"/>
    </row>
    <row r="18">
      <c r="A18" s="30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4" t="n"/>
      <c r="C19" s="6" t="n"/>
      <c r="D19" s="6" t="n"/>
      <c r="E19" s="6" t="n"/>
    </row>
    <row r="20">
      <c r="A20" s="3" t="inlineStr">
        <is>
          <t>Title:</t>
        </is>
      </c>
      <c r="B20" s="14" t="n"/>
      <c r="C20" s="6" t="n"/>
      <c r="D20" s="6" t="n"/>
      <c r="E20" s="6" t="n"/>
    </row>
    <row r="21">
      <c r="A21" s="3" t="inlineStr">
        <is>
          <t>Date:</t>
        </is>
      </c>
      <c r="B21" s="14" t="n"/>
      <c r="C21" s="6" t="n"/>
      <c r="D21" s="6" t="n"/>
      <c r="E21" s="6" t="n"/>
    </row>
    <row r="22">
      <c r="A22" s="3" t="inlineStr">
        <is>
          <t>Signature:</t>
        </is>
      </c>
      <c r="B22" s="14" t="n"/>
      <c r="C22" s="6" t="n"/>
      <c r="D22" s="6" t="n"/>
      <c r="E22" s="6" t="n"/>
    </row>
    <row r="23">
      <c r="A23" s="3" t="inlineStr">
        <is>
          <t>Comments:</t>
        </is>
      </c>
      <c r="B23" s="14" t="n"/>
      <c r="C23" s="6" t="n"/>
      <c r="D23" s="6" t="n"/>
      <c r="E23" s="6" t="n"/>
    </row>
    <row r="25">
      <c r="A25" s="32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4" t="n"/>
      <c r="C26" s="6" t="n"/>
      <c r="D26" s="6" t="n"/>
      <c r="E26" s="6" t="n"/>
    </row>
    <row r="27">
      <c r="A27" s="3" t="inlineStr">
        <is>
          <t>Title:</t>
        </is>
      </c>
      <c r="B27" s="14" t="n"/>
      <c r="C27" s="6" t="n"/>
      <c r="D27" s="6" t="n"/>
      <c r="E27" s="6" t="n"/>
    </row>
    <row r="28">
      <c r="A28" s="3" t="inlineStr">
        <is>
          <t>Date:</t>
        </is>
      </c>
      <c r="B28" s="14" t="n"/>
      <c r="C28" s="6" t="n"/>
      <c r="D28" s="6" t="n"/>
      <c r="E28" s="6" t="n"/>
    </row>
    <row r="29">
      <c r="A29" s="3" t="inlineStr">
        <is>
          <t>Signature:</t>
        </is>
      </c>
      <c r="B29" s="14" t="n"/>
      <c r="C29" s="6" t="n"/>
      <c r="D29" s="6" t="n"/>
      <c r="E29" s="6" t="n"/>
    </row>
    <row r="30">
      <c r="A30" s="3" t="inlineStr">
        <is>
          <t>Comments:</t>
        </is>
      </c>
      <c r="B30" s="14" t="n"/>
      <c r="C30" s="6" t="n"/>
      <c r="D30" s="6" t="n"/>
      <c r="E30" s="6" t="n"/>
    </row>
    <row r="32">
      <c r="A32" s="3" t="inlineStr">
        <is>
          <t>FINAL DECISION:</t>
        </is>
      </c>
      <c r="B32" s="14" t="n"/>
      <c r="C32" s="6" t="n"/>
      <c r="D32" s="6" t="n"/>
      <c r="E32" s="6" t="n"/>
    </row>
    <row r="35">
      <c r="A35" s="30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4" t="n"/>
      <c r="C36" s="6" t="n"/>
      <c r="D36" s="6" t="n"/>
      <c r="E36" s="6" t="n"/>
    </row>
    <row r="37">
      <c r="A37" s="3" t="inlineStr">
        <is>
          <t>Review Responsible:</t>
        </is>
      </c>
      <c r="B37" s="14" t="n"/>
      <c r="C37" s="6" t="n"/>
      <c r="D37" s="6" t="n"/>
      <c r="E37" s="6" t="n"/>
    </row>
    <row r="38">
      <c r="A38" s="3" t="inlineStr">
        <is>
          <t>Special Considerations:</t>
        </is>
      </c>
      <c r="B38" s="14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ISMS-IMP-A.5.34.6 — Cross-Border Transfer Assessment</dc:title>
  <dc:description xmlns:dc="http://purl.org/dc/elements/1.1/">ISMS Implementation Workbook — ISMS-IMP-A.5.34.6</dc:description>
  <dc:subject xmlns:dc="http://purl.org/dc/elements/1.1/">ISO/IEC 27001:2022 — Control A.5.34: Privacy and Protection of PII</dc:subject>
  <dcterms:created xmlns:dcterms="http://purl.org/dc/terms/" xmlns:xsi="http://www.w3.org/2001/XMLSchema-instance" xsi:type="dcterms:W3CDTF">2026-03-07T11:27:39Z</dcterms:created>
  <dcterms:modified xmlns:dcterms="http://purl.org/dc/terms/" xmlns:xsi="http://www.w3.org/2001/XMLSchema-instance" xsi:type="dcterms:W3CDTF">2026-03-07T11:27:39Z</dcterms:modified>
</cp:coreProperties>
</file>