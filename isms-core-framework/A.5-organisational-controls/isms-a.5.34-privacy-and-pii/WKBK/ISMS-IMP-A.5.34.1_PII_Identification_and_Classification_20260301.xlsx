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2. PII System Inventory" sheetId="2" state="visible" r:id="rId2"/>
    <sheet xmlns:r="http://schemas.openxmlformats.org/officeDocument/2006/relationships" name="3. PII Data Flow Mapping" sheetId="3" state="visible" r:id="rId3"/>
    <sheet xmlns:r="http://schemas.openxmlformats.org/officeDocument/2006/relationships" name="4. ROPA (Record of Processing)" sheetId="4" state="visible" r:id="rId4"/>
    <sheet xmlns:r="http://schemas.openxmlformats.org/officeDocument/2006/relationships" name="5. PII Discovery Gaps"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3">
    <font>
      <name val="Calibri"/>
      <family val="2"/>
      <color theme="1"/>
      <sz val="11"/>
      <scheme val="minor"/>
    </font>
    <font>
      <name val="Calibri"/>
      <b val="1"/>
      <color rgb="00FFFFFF"/>
      <sz val="14"/>
    </font>
    <font>
      <name val="Calibri"/>
      <b val="1"/>
      <sz val="12"/>
    </font>
    <font>
      <name val="Calibri"/>
      <b val="1"/>
    </font>
    <font>
      <name val="Calibri"/>
      <b val="1"/>
      <sz val="10"/>
    </font>
    <font>
      <b val="1"/>
      <color rgb="00FFFFFF"/>
      <sz val="11"/>
    </font>
    <font>
      <name val="Calibri"/>
      <i val="1"/>
      <color rgb="00003366"/>
      <sz val="10"/>
    </font>
    <font>
      <name val="Calibri"/>
      <b val="1"/>
      <color rgb="00FFFFFF"/>
      <sz val="10"/>
    </font>
    <font>
      <name val="Calibri"/>
      <i val="1"/>
      <color rgb="00808080"/>
      <sz val="10"/>
    </font>
    <font>
      <b val="1"/>
      <color rgb="00FFFFFF"/>
      <sz val="14"/>
    </font>
    <font>
      <b val="1"/>
      <color rgb="00000000"/>
    </font>
    <font>
      <color rgb="00000000"/>
    </font>
    <font>
      <name val="Calibri"/>
      <b val="1"/>
      <color rgb="00FFFFFF"/>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2F2F2"/>
        <bgColor rgb="00F2F2F2"/>
      </patternFill>
    </fill>
    <fill>
      <patternFill patternType="solid">
        <fgColor rgb="00FFFFCC"/>
        <bgColor rgb="00FFFFCC"/>
      </patternFill>
    </fill>
    <fill>
      <patternFill patternType="solid">
        <fgColor rgb="00D9D9D9"/>
        <bgColor rgb="00D9D9D9"/>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6">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1" applyAlignment="1" pivotButton="0" quotePrefix="0" xfId="0">
      <alignment horizontal="center" vertical="center" wrapText="1"/>
    </xf>
    <xf numFmtId="0" fontId="0" fillId="9" borderId="1" pivotButton="0" quotePrefix="0" xfId="0"/>
    <xf numFmtId="0" fontId="0" fillId="10" borderId="1" pivotButton="0" quotePrefix="0" xfId="0"/>
    <xf numFmtId="0" fontId="1" fillId="8" borderId="1" applyAlignment="1" pivotButton="0" quotePrefix="0" xfId="0">
      <alignment horizontal="center" vertical="center"/>
    </xf>
    <xf numFmtId="0" fontId="6" fillId="0" borderId="1" applyAlignment="1" pivotButton="0" quotePrefix="0" xfId="0">
      <alignment horizontal="center" vertical="center"/>
    </xf>
    <xf numFmtId="0" fontId="7" fillId="8" borderId="1" applyAlignment="1" pivotButton="0" quotePrefix="0" xfId="0">
      <alignment horizontal="center" vertical="center" wrapText="1"/>
    </xf>
    <xf numFmtId="0" fontId="8" fillId="9" borderId="1" pivotButton="0" quotePrefix="0" xfId="0"/>
    <xf numFmtId="0" fontId="0" fillId="10" borderId="1" applyAlignment="1" pivotButton="0" quotePrefix="0" xfId="0">
      <alignment vertical="center"/>
    </xf>
    <xf numFmtId="0" fontId="9" fillId="8" borderId="1" applyAlignment="1" pivotButton="0" quotePrefix="0" xfId="0">
      <alignment horizontal="center" vertical="center" wrapText="1"/>
    </xf>
    <xf numFmtId="0" fontId="6" fillId="0" borderId="0" applyAlignment="1" pivotButton="0" quotePrefix="0" xfId="0">
      <alignment horizontal="left" vertical="center"/>
    </xf>
    <xf numFmtId="0" fontId="5" fillId="8" borderId="1" pivotButton="0" quotePrefix="0" xfId="0"/>
    <xf numFmtId="0" fontId="10" fillId="11" borderId="1" applyAlignment="1" pivotButton="0" quotePrefix="0" xfId="0">
      <alignment horizontal="center" vertical="center" wrapText="1"/>
    </xf>
    <xf numFmtId="0" fontId="11" fillId="0" borderId="1" pivotButton="0" quotePrefix="0" xfId="0"/>
    <xf numFmtId="0" fontId="11" fillId="0" borderId="1" applyAlignment="1" pivotButton="0" quotePrefix="0" xfId="0">
      <alignment horizontal="center"/>
    </xf>
    <xf numFmtId="164" fontId="11" fillId="0" borderId="1" applyAlignment="1" pivotButton="0" quotePrefix="0" xfId="0">
      <alignment horizontal="center"/>
    </xf>
    <xf numFmtId="0" fontId="10" fillId="11" borderId="1" applyAlignment="1" pivotButton="0" quotePrefix="0" xfId="0">
      <alignment horizontal="left"/>
    </xf>
    <xf numFmtId="0" fontId="10" fillId="11" borderId="1" applyAlignment="1" pivotButton="0" quotePrefix="0" xfId="0">
      <alignment horizontal="center"/>
    </xf>
    <xf numFmtId="164" fontId="10" fillId="11" borderId="1" applyAlignment="1" pivotButton="0" quotePrefix="0" xfId="0">
      <alignment horizontal="center"/>
    </xf>
    <xf numFmtId="0" fontId="5" fillId="12" borderId="1" pivotButton="0" quotePrefix="0" xfId="0"/>
    <xf numFmtId="0" fontId="11" fillId="10" borderId="1" pivotButton="0" quotePrefix="0" xfId="0"/>
    <xf numFmtId="0" fontId="11" fillId="10" borderId="1" applyAlignment="1" pivotButton="0" quotePrefix="0" xfId="0">
      <alignment horizontal="center"/>
    </xf>
    <xf numFmtId="0" fontId="1" fillId="8" borderId="1" applyAlignment="1" pivotButton="0" quotePrefix="0" xfId="0">
      <alignment horizontal="center" vertical="center" wrapText="1"/>
    </xf>
    <xf numFmtId="0" fontId="12" fillId="13" borderId="1" pivotButton="0" quotePrefix="0" xfId="0"/>
    <xf numFmtId="164" fontId="0" fillId="0" borderId="1" pivotButton="0" quotePrefix="0" xfId="0"/>
    <xf numFmtId="0" fontId="12" fillId="8" borderId="1" pivotButton="0" quotePrefix="0" xfId="0"/>
  </cellXfs>
  <cellStyles count="1">
    <cellStyle name="Normal" xfId="0" builtinId="0" hidden="0"/>
  </cellStyles>
  <dxfs count="7">
    <dxf>
      <fill>
        <patternFill patternType="solid">
          <fgColor rgb="00D9D9D9"/>
          <bgColor rgb="00D9D9D9"/>
        </patternFill>
      </fill>
    </dxf>
    <dxf>
      <fill>
        <patternFill patternType="solid">
          <fgColor rgb="00FFFFCC"/>
          <bgColor rgb="00FFFFCC"/>
        </patternFill>
      </fill>
    </dxf>
    <dxf>
      <fill>
        <patternFill patternType="solid">
          <fgColor rgb="00C6EFCE"/>
          <bgColor rgb="00C6EFCE"/>
        </patternFill>
      </fill>
    </dxf>
    <dxf>
      <font>
        <b val="1"/>
        <color rgb="00FFFFFF"/>
      </font>
      <fill>
        <patternFill patternType="solid">
          <fgColor rgb="00006400"/>
          <bgColor rgb="00006400"/>
        </patternFill>
      </fill>
    </dxf>
    <dxf>
      <fill>
        <patternFill patternType="solid">
          <fgColor rgb="00FFA500"/>
          <bgColor rgb="00FFA500"/>
        </patternFill>
      </fill>
    </dxf>
    <dxf>
      <font>
        <b val="1"/>
        <color rgb="00FFFFFF"/>
      </font>
      <fill>
        <patternFill patternType="solid">
          <fgColor rgb="008B0000"/>
          <bgColor rgb="008B0000"/>
        </patternFill>
      </fill>
    </dxf>
    <dxf>
      <fill>
        <patternFill patternType="solid">
          <fgColor rgb="0087CEEB"/>
          <bgColor rgb="0087CEE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ISMS-IMP-A.5.34.1  -  PII Identification and Classification
ISO/IEC 27001:2022 - Control A.5.34: Privacy and Protection of PII</t>
        </is>
      </c>
    </row>
    <row r="3">
      <c r="A3" s="2" t="inlineStr">
        <is>
          <t>Document Information</t>
        </is>
      </c>
    </row>
    <row r="4">
      <c r="A4" s="3" t="inlineStr">
        <is>
          <t>Document ID</t>
        </is>
      </c>
      <c r="B4" t="inlineStr">
        <is>
          <t>ISMS-IMP-A.5.34.1</t>
        </is>
      </c>
    </row>
    <row r="5">
      <c r="A5" s="3" t="inlineStr">
        <is>
          <t>Workbook Title</t>
        </is>
      </c>
      <c r="B5" t="inlineStr">
        <is>
          <t>PII Identification and Classification</t>
        </is>
      </c>
    </row>
    <row r="6">
      <c r="A6" s="3" t="inlineStr">
        <is>
          <t>Control Reference</t>
        </is>
      </c>
      <c r="B6" t="inlineStr">
        <is>
          <t>ISO/IEC 27001:2022 - Control A.5.34: Privacy and Protection of PII</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Sheet 2 (PII System Inventory) — identify all PII-containing systems.</t>
        </is>
      </c>
    </row>
    <row r="14">
      <c r="A14" t="inlineStr">
        <is>
          <t>2. Complete Sheet 3 (Data Flow Mapping) — map PII flows including cross-border transfers.</t>
        </is>
      </c>
    </row>
    <row r="15">
      <c r="A15" t="inlineStr">
        <is>
          <t>3. Complete Sheet 4 (ROPA) — create GDPR-compliant processing activity records.</t>
        </is>
      </c>
    </row>
    <row r="16">
      <c r="A16" t="inlineStr">
        <is>
          <t>4. Complete Sheet 5 (Gaps) — document non-compliant processing and remediation plans.</t>
        </is>
      </c>
    </row>
    <row r="17">
      <c r="A17" t="inlineStr">
        <is>
          <t>5. Complete Sheet 6 (Evidence Register) — link supporting evidence for audit trail.</t>
        </is>
      </c>
    </row>
    <row r="18">
      <c r="A18" t="inlineStr">
        <is>
          <t>6. Review Sheet 7 (Dashboard) — validate compliance metrics.</t>
        </is>
      </c>
    </row>
    <row r="19">
      <c r="A19" t="inlineStr">
        <is>
          <t>7. Obtain approvals in Sheet 8 (Approval Sign-Off).</t>
        </is>
      </c>
    </row>
    <row r="21">
      <c r="A21" s="2" t="inlineStr">
        <is>
          <t>Status Legend</t>
        </is>
      </c>
    </row>
    <row r="22">
      <c r="A22" s="5" t="inlineStr">
        <is>
          <t>Symbol</t>
        </is>
      </c>
      <c r="B22" s="5" t="inlineStr">
        <is>
          <t>Status</t>
        </is>
      </c>
      <c r="C22" s="5" t="inlineStr">
        <is>
          <t>Description</t>
        </is>
      </c>
    </row>
    <row r="23">
      <c r="A23" s="6" t="inlineStr">
        <is>
          <t>✓</t>
        </is>
      </c>
      <c r="B23" s="7" t="inlineStr">
        <is>
          <t>Compliant / Complete</t>
        </is>
      </c>
      <c r="C23" s="8" t="inlineStr">
        <is>
          <t>Requirement fully met</t>
        </is>
      </c>
    </row>
    <row r="24">
      <c r="A24" s="6" t="inlineStr">
        <is>
          <t>⚠</t>
        </is>
      </c>
      <c r="B24" s="9" t="inlineStr">
        <is>
          <t>Partial / In Progress</t>
        </is>
      </c>
      <c r="C24" s="8" t="inlineStr">
        <is>
          <t>Partially met or in progress</t>
        </is>
      </c>
    </row>
    <row r="25">
      <c r="A25" s="6" t="inlineStr">
        <is>
          <t>✗</t>
        </is>
      </c>
      <c r="B25" s="10" t="inlineStr">
        <is>
          <t>Non-Compliant / Not Started</t>
        </is>
      </c>
      <c r="C25" s="8" t="inlineStr">
        <is>
          <t>Requirement not met</t>
        </is>
      </c>
    </row>
    <row r="26">
      <c r="A26" s="6" t="inlineStr">
        <is>
          <t>—</t>
        </is>
      </c>
      <c r="B26" s="8" t="inlineStr">
        <is>
          <t>Not Applicable</t>
        </is>
      </c>
      <c r="C26"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2"/>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25" customWidth="1" min="3" max="3"/>
    <col width="25" customWidth="1" min="4" max="4"/>
    <col width="30" customWidth="1" min="5" max="5"/>
    <col width="18" customWidth="1" min="6" max="6"/>
    <col width="20" customWidth="1" min="7" max="7"/>
    <col width="35" customWidth="1" min="8" max="8"/>
    <col width="20" customWidth="1" min="9" max="9"/>
    <col width="30" customWidth="1" min="10" max="10"/>
    <col width="18" customWidth="1" min="11" max="11"/>
    <col width="30" customWidth="1" min="12" max="12"/>
    <col width="25" customWidth="1" min="13" max="13"/>
    <col width="20" customWidth="1" min="14" max="14"/>
    <col width="15" customWidth="1" min="15" max="15"/>
    <col width="15" customWidth="1" min="16" max="16"/>
    <col width="20" customWidth="1" min="17" max="17"/>
    <col width="35" customWidth="1" min="18" max="18"/>
    <col width="20" customWidth="1" min="19" max="19"/>
    <col width="25" customWidth="1" min="20" max="20"/>
  </cols>
  <sheetData>
    <row r="1">
      <c r="A1" s="11" t="inlineStr">
        <is>
          <t>RowID</t>
        </is>
      </c>
      <c r="B1" s="11" t="inlineStr">
        <is>
          <t>Status</t>
        </is>
      </c>
      <c r="C1" s="11" t="inlineStr">
        <is>
          <t>System Name</t>
        </is>
      </c>
      <c r="D1" s="11" t="inlineStr">
        <is>
          <t>System Owner</t>
        </is>
      </c>
      <c r="E1" s="11" t="inlineStr">
        <is>
          <t>System Type</t>
        </is>
      </c>
      <c r="F1" s="11" t="inlineStr">
        <is>
          <t>PII Processing Role</t>
        </is>
      </c>
      <c r="G1" s="11" t="inlineStr">
        <is>
          <t>PII Data Subjects</t>
        </is>
      </c>
      <c r="H1" s="11" t="inlineStr">
        <is>
          <t>PII Categories</t>
        </is>
      </c>
      <c r="I1" s="11" t="inlineStr">
        <is>
          <t>PII Classification</t>
        </is>
      </c>
      <c r="J1" s="11" t="inlineStr">
        <is>
          <t>Sensitive PII Types (if applicable)</t>
        </is>
      </c>
      <c r="K1" s="11" t="inlineStr">
        <is>
          <t>Data Volume (approx. records)</t>
        </is>
      </c>
      <c r="L1" s="11" t="inlineStr">
        <is>
          <t>Hosting Location</t>
        </is>
      </c>
      <c r="M1" s="11" t="inlineStr">
        <is>
          <t>Access Level (who/how many)</t>
        </is>
      </c>
      <c r="N1" s="11" t="inlineStr">
        <is>
          <t>Discovery Method</t>
        </is>
      </c>
      <c r="O1" s="11" t="inlineStr">
        <is>
          <t>Discovery Date</t>
        </is>
      </c>
      <c r="P1" s="11" t="inlineStr">
        <is>
          <t>Last Updated</t>
        </is>
      </c>
      <c r="Q1" s="11" t="inlineStr">
        <is>
          <t>Updated By</t>
        </is>
      </c>
      <c r="R1" s="11" t="inlineStr">
        <is>
          <t>Notes</t>
        </is>
      </c>
      <c r="S1" s="11" t="inlineStr">
        <is>
          <t>Evidence Reference</t>
        </is>
      </c>
      <c r="T1" s="11" t="inlineStr">
        <is>
          <t>Review Comments</t>
        </is>
      </c>
    </row>
    <row r="2">
      <c r="A2" s="12">
        <f>TEXT(ROW()-1,"SYS-000")</f>
        <v/>
      </c>
      <c r="B2" s="12" t="n"/>
      <c r="C2" s="12" t="inlineStr">
        <is>
          <t>Example Corp HR System</t>
        </is>
      </c>
      <c r="D2" s="12" t="inlineStr">
        <is>
          <t>IT Security Manager</t>
        </is>
      </c>
      <c r="E2" s="12" t="inlineStr">
        <is>
          <t>Enterprise Application</t>
        </is>
      </c>
      <c r="F2" s="12" t="inlineStr">
        <is>
          <t>Controller</t>
        </is>
      </c>
      <c r="G2" s="12" t="inlineStr">
        <is>
          <t>Employees, Contractors</t>
        </is>
      </c>
      <c r="H2" s="12" t="inlineStr">
        <is>
          <t>Names, Email, Employee ID, Job Title</t>
        </is>
      </c>
      <c r="I2" s="12" t="inlineStr">
        <is>
          <t>Basic PII (GDPR Art. 4(1))</t>
        </is>
      </c>
      <c r="J2" s="12" t="n"/>
      <c r="K2" s="12" t="inlineStr">
        <is>
          <t>~2,500</t>
        </is>
      </c>
      <c r="L2" s="12" t="inlineStr">
        <is>
          <t>On-Premises Data Centre</t>
        </is>
      </c>
      <c r="M2" s="12" t="n"/>
      <c r="N2" s="12" t="inlineStr">
        <is>
          <t>Manual System Audit</t>
        </is>
      </c>
      <c r="O2" s="12" t="n"/>
      <c r="P2" s="12" t="n"/>
      <c r="Q2" s="12" t="n"/>
      <c r="R2" s="12" t="n"/>
      <c r="S2" s="12" t="n"/>
      <c r="T2" s="12" t="n"/>
    </row>
    <row r="3">
      <c r="A3" s="13" t="n"/>
      <c r="B3" s="13" t="n"/>
      <c r="C3" s="13" t="n"/>
      <c r="D3" s="13" t="n"/>
      <c r="E3" s="13" t="n"/>
      <c r="F3" s="13" t="n"/>
      <c r="G3" s="13" t="n"/>
      <c r="H3" s="13" t="n"/>
      <c r="I3" s="13" t="n"/>
      <c r="J3" s="13" t="n"/>
      <c r="K3" s="13" t="n"/>
      <c r="L3" s="13" t="n"/>
      <c r="M3" s="13" t="n"/>
      <c r="N3" s="13" t="n"/>
      <c r="O3" s="13" t="n"/>
      <c r="P3" s="13" t="n"/>
      <c r="Q3" s="13" t="n"/>
      <c r="R3" s="13" t="n"/>
      <c r="S3" s="13" t="n"/>
      <c r="T3" s="13" t="n"/>
    </row>
    <row r="4">
      <c r="A4" s="13" t="n"/>
      <c r="B4" s="13" t="n"/>
      <c r="C4" s="13" t="n"/>
      <c r="D4" s="13" t="n"/>
      <c r="E4" s="13" t="n"/>
      <c r="F4" s="13" t="n"/>
      <c r="G4" s="13" t="n"/>
      <c r="H4" s="13" t="n"/>
      <c r="I4" s="13" t="n"/>
      <c r="J4" s="13" t="n"/>
      <c r="K4" s="13" t="n"/>
      <c r="L4" s="13" t="n"/>
      <c r="M4" s="13" t="n"/>
      <c r="N4" s="13" t="n"/>
      <c r="O4" s="13" t="n"/>
      <c r="P4" s="13" t="n"/>
      <c r="Q4" s="13" t="n"/>
      <c r="R4" s="13" t="n"/>
      <c r="S4" s="13" t="n"/>
      <c r="T4" s="13" t="n"/>
    </row>
    <row r="5">
      <c r="A5" s="13" t="n"/>
      <c r="B5" s="13" t="n"/>
      <c r="C5" s="13" t="n"/>
      <c r="D5" s="13" t="n"/>
      <c r="E5" s="13" t="n"/>
      <c r="F5" s="13" t="n"/>
      <c r="G5" s="13" t="n"/>
      <c r="H5" s="13" t="n"/>
      <c r="I5" s="13" t="n"/>
      <c r="J5" s="13" t="n"/>
      <c r="K5" s="13" t="n"/>
      <c r="L5" s="13" t="n"/>
      <c r="M5" s="13" t="n"/>
      <c r="N5" s="13" t="n"/>
      <c r="O5" s="13" t="n"/>
      <c r="P5" s="13" t="n"/>
      <c r="Q5" s="13" t="n"/>
      <c r="R5" s="13" t="n"/>
      <c r="S5" s="13" t="n"/>
      <c r="T5" s="13" t="n"/>
    </row>
    <row r="6">
      <c r="A6" s="13" t="n"/>
      <c r="B6" s="13" t="n"/>
      <c r="C6" s="13" t="n"/>
      <c r="D6" s="13" t="n"/>
      <c r="E6" s="13" t="n"/>
      <c r="F6" s="13" t="n"/>
      <c r="G6" s="13" t="n"/>
      <c r="H6" s="13" t="n"/>
      <c r="I6" s="13" t="n"/>
      <c r="J6" s="13" t="n"/>
      <c r="K6" s="13" t="n"/>
      <c r="L6" s="13" t="n"/>
      <c r="M6" s="13" t="n"/>
      <c r="N6" s="13" t="n"/>
      <c r="O6" s="13" t="n"/>
      <c r="P6" s="13" t="n"/>
      <c r="Q6" s="13" t="n"/>
      <c r="R6" s="13" t="n"/>
      <c r="S6" s="13" t="n"/>
      <c r="T6" s="13" t="n"/>
    </row>
    <row r="7">
      <c r="A7" s="13" t="n"/>
      <c r="B7" s="13" t="n"/>
      <c r="C7" s="13" t="n"/>
      <c r="D7" s="13" t="n"/>
      <c r="E7" s="13" t="n"/>
      <c r="F7" s="13" t="n"/>
      <c r="G7" s="13" t="n"/>
      <c r="H7" s="13" t="n"/>
      <c r="I7" s="13" t="n"/>
      <c r="J7" s="13" t="n"/>
      <c r="K7" s="13" t="n"/>
      <c r="L7" s="13" t="n"/>
      <c r="M7" s="13" t="n"/>
      <c r="N7" s="13" t="n"/>
      <c r="O7" s="13" t="n"/>
      <c r="P7" s="13" t="n"/>
      <c r="Q7" s="13" t="n"/>
      <c r="R7" s="13" t="n"/>
      <c r="S7" s="13" t="n"/>
      <c r="T7" s="13" t="n"/>
    </row>
    <row r="8">
      <c r="A8" s="13" t="n"/>
      <c r="B8" s="13" t="n"/>
      <c r="C8" s="13" t="n"/>
      <c r="D8" s="13" t="n"/>
      <c r="E8" s="13" t="n"/>
      <c r="F8" s="13" t="n"/>
      <c r="G8" s="13" t="n"/>
      <c r="H8" s="13" t="n"/>
      <c r="I8" s="13" t="n"/>
      <c r="J8" s="13" t="n"/>
      <c r="K8" s="13" t="n"/>
      <c r="L8" s="13" t="n"/>
      <c r="M8" s="13" t="n"/>
      <c r="N8" s="13" t="n"/>
      <c r="O8" s="13" t="n"/>
      <c r="P8" s="13" t="n"/>
      <c r="Q8" s="13" t="n"/>
      <c r="R8" s="13" t="n"/>
      <c r="S8" s="13" t="n"/>
      <c r="T8" s="13" t="n"/>
    </row>
    <row r="9">
      <c r="A9" s="13" t="n"/>
      <c r="B9" s="13" t="n"/>
      <c r="C9" s="13" t="n"/>
      <c r="D9" s="13" t="n"/>
      <c r="E9" s="13" t="n"/>
      <c r="F9" s="13" t="n"/>
      <c r="G9" s="13" t="n"/>
      <c r="H9" s="13" t="n"/>
      <c r="I9" s="13" t="n"/>
      <c r="J9" s="13" t="n"/>
      <c r="K9" s="13" t="n"/>
      <c r="L9" s="13" t="n"/>
      <c r="M9" s="13" t="n"/>
      <c r="N9" s="13" t="n"/>
      <c r="O9" s="13" t="n"/>
      <c r="P9" s="13" t="n"/>
      <c r="Q9" s="13" t="n"/>
      <c r="R9" s="13" t="n"/>
      <c r="S9" s="13" t="n"/>
      <c r="T9" s="13" t="n"/>
    </row>
    <row r="10">
      <c r="A10" s="13" t="n"/>
      <c r="B10" s="13" t="n"/>
      <c r="C10" s="13" t="n"/>
      <c r="D10" s="13" t="n"/>
      <c r="E10" s="13" t="n"/>
      <c r="F10" s="13" t="n"/>
      <c r="G10" s="13" t="n"/>
      <c r="H10" s="13" t="n"/>
      <c r="I10" s="13" t="n"/>
      <c r="J10" s="13" t="n"/>
      <c r="K10" s="13" t="n"/>
      <c r="L10" s="13" t="n"/>
      <c r="M10" s="13" t="n"/>
      <c r="N10" s="13" t="n"/>
      <c r="O10" s="13" t="n"/>
      <c r="P10" s="13" t="n"/>
      <c r="Q10" s="13" t="n"/>
      <c r="R10" s="13" t="n"/>
      <c r="S10" s="13" t="n"/>
      <c r="T10" s="13" t="n"/>
    </row>
    <row r="11">
      <c r="A11" s="13" t="n"/>
      <c r="B11" s="13" t="n"/>
      <c r="C11" s="13" t="n"/>
      <c r="D11" s="13" t="n"/>
      <c r="E11" s="13" t="n"/>
      <c r="F11" s="13" t="n"/>
      <c r="G11" s="13" t="n"/>
      <c r="H11" s="13" t="n"/>
      <c r="I11" s="13" t="n"/>
      <c r="J11" s="13" t="n"/>
      <c r="K11" s="13" t="n"/>
      <c r="L11" s="13" t="n"/>
      <c r="M11" s="13" t="n"/>
      <c r="N11" s="13" t="n"/>
      <c r="O11" s="13" t="n"/>
      <c r="P11" s="13" t="n"/>
      <c r="Q11" s="13" t="n"/>
      <c r="R11" s="13" t="n"/>
      <c r="S11" s="13" t="n"/>
      <c r="T11" s="13" t="n"/>
    </row>
    <row r="12">
      <c r="A12" s="13" t="n"/>
      <c r="B12" s="13" t="n"/>
      <c r="C12" s="13" t="n"/>
      <c r="D12" s="13" t="n"/>
      <c r="E12" s="13" t="n"/>
      <c r="F12" s="13" t="n"/>
      <c r="G12" s="13" t="n"/>
      <c r="H12" s="13" t="n"/>
      <c r="I12" s="13" t="n"/>
      <c r="J12" s="13" t="n"/>
      <c r="K12" s="13" t="n"/>
      <c r="L12" s="13" t="n"/>
      <c r="M12" s="13" t="n"/>
      <c r="N12" s="13" t="n"/>
      <c r="O12" s="13" t="n"/>
      <c r="P12" s="13" t="n"/>
      <c r="Q12" s="13" t="n"/>
      <c r="R12" s="13" t="n"/>
      <c r="S12" s="13" t="n"/>
      <c r="T12" s="13" t="n"/>
    </row>
    <row r="13">
      <c r="A13" s="13" t="n"/>
      <c r="B13" s="13" t="n"/>
      <c r="C13" s="13" t="n"/>
      <c r="D13" s="13" t="n"/>
      <c r="E13" s="13" t="n"/>
      <c r="F13" s="13" t="n"/>
      <c r="G13" s="13" t="n"/>
      <c r="H13" s="13" t="n"/>
      <c r="I13" s="13" t="n"/>
      <c r="J13" s="13" t="n"/>
      <c r="K13" s="13" t="n"/>
      <c r="L13" s="13" t="n"/>
      <c r="M13" s="13" t="n"/>
      <c r="N13" s="13" t="n"/>
      <c r="O13" s="13" t="n"/>
      <c r="P13" s="13" t="n"/>
      <c r="Q13" s="13" t="n"/>
      <c r="R13" s="13" t="n"/>
      <c r="S13" s="13" t="n"/>
      <c r="T13" s="13" t="n"/>
    </row>
    <row r="14">
      <c r="A14" s="13" t="n"/>
      <c r="B14" s="13" t="n"/>
      <c r="C14" s="13" t="n"/>
      <c r="D14" s="13" t="n"/>
      <c r="E14" s="13" t="n"/>
      <c r="F14" s="13" t="n"/>
      <c r="G14" s="13" t="n"/>
      <c r="H14" s="13" t="n"/>
      <c r="I14" s="13" t="n"/>
      <c r="J14" s="13" t="n"/>
      <c r="K14" s="13" t="n"/>
      <c r="L14" s="13" t="n"/>
      <c r="M14" s="13" t="n"/>
      <c r="N14" s="13" t="n"/>
      <c r="O14" s="13" t="n"/>
      <c r="P14" s="13" t="n"/>
      <c r="Q14" s="13" t="n"/>
      <c r="R14" s="13" t="n"/>
      <c r="S14" s="13" t="n"/>
      <c r="T14" s="13" t="n"/>
    </row>
    <row r="15">
      <c r="A15" s="13" t="n"/>
      <c r="B15" s="13" t="n"/>
      <c r="C15" s="13" t="n"/>
      <c r="D15" s="13" t="n"/>
      <c r="E15" s="13" t="n"/>
      <c r="F15" s="13" t="n"/>
      <c r="G15" s="13" t="n"/>
      <c r="H15" s="13" t="n"/>
      <c r="I15" s="13" t="n"/>
      <c r="J15" s="13" t="n"/>
      <c r="K15" s="13" t="n"/>
      <c r="L15" s="13" t="n"/>
      <c r="M15" s="13" t="n"/>
      <c r="N15" s="13" t="n"/>
      <c r="O15" s="13" t="n"/>
      <c r="P15" s="13" t="n"/>
      <c r="Q15" s="13" t="n"/>
      <c r="R15" s="13" t="n"/>
      <c r="S15" s="13" t="n"/>
      <c r="T15" s="13" t="n"/>
    </row>
    <row r="16">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row>
    <row r="17">
      <c r="A17" s="13" t="n"/>
      <c r="B17" s="13" t="n"/>
      <c r="C17" s="13" t="n"/>
      <c r="D17" s="13" t="n"/>
      <c r="E17" s="13" t="n"/>
      <c r="F17" s="13" t="n"/>
      <c r="G17" s="13" t="n"/>
      <c r="H17" s="13" t="n"/>
      <c r="I17" s="13" t="n"/>
      <c r="J17" s="13" t="n"/>
      <c r="K17" s="13" t="n"/>
      <c r="L17" s="13" t="n"/>
      <c r="M17" s="13" t="n"/>
      <c r="N17" s="13" t="n"/>
      <c r="O17" s="13" t="n"/>
      <c r="P17" s="13" t="n"/>
      <c r="Q17" s="13" t="n"/>
      <c r="R17" s="13" t="n"/>
      <c r="S17" s="13" t="n"/>
      <c r="T17" s="13" t="n"/>
    </row>
    <row r="18">
      <c r="A18" s="13" t="n"/>
      <c r="B18" s="13" t="n"/>
      <c r="C18" s="13" t="n"/>
      <c r="D18" s="13" t="n"/>
      <c r="E18" s="13" t="n"/>
      <c r="F18" s="13" t="n"/>
      <c r="G18" s="13" t="n"/>
      <c r="H18" s="13" t="n"/>
      <c r="I18" s="13" t="n"/>
      <c r="J18" s="13" t="n"/>
      <c r="K18" s="13" t="n"/>
      <c r="L18" s="13" t="n"/>
      <c r="M18" s="13" t="n"/>
      <c r="N18" s="13" t="n"/>
      <c r="O18" s="13" t="n"/>
      <c r="P18" s="13" t="n"/>
      <c r="Q18" s="13" t="n"/>
      <c r="R18" s="13" t="n"/>
      <c r="S18" s="13" t="n"/>
      <c r="T18" s="13" t="n"/>
    </row>
    <row r="19">
      <c r="A19" s="13" t="n"/>
      <c r="B19" s="13" t="n"/>
      <c r="C19" s="13" t="n"/>
      <c r="D19" s="13" t="n"/>
      <c r="E19" s="13" t="n"/>
      <c r="F19" s="13" t="n"/>
      <c r="G19" s="13" t="n"/>
      <c r="H19" s="13" t="n"/>
      <c r="I19" s="13" t="n"/>
      <c r="J19" s="13" t="n"/>
      <c r="K19" s="13" t="n"/>
      <c r="L19" s="13" t="n"/>
      <c r="M19" s="13" t="n"/>
      <c r="N19" s="13" t="n"/>
      <c r="O19" s="13" t="n"/>
      <c r="P19" s="13" t="n"/>
      <c r="Q19" s="13" t="n"/>
      <c r="R19" s="13" t="n"/>
      <c r="S19" s="13" t="n"/>
      <c r="T19" s="13" t="n"/>
    </row>
    <row r="20">
      <c r="A20" s="13" t="n"/>
      <c r="B20" s="13" t="n"/>
      <c r="C20" s="13" t="n"/>
      <c r="D20" s="13" t="n"/>
      <c r="E20" s="13" t="n"/>
      <c r="F20" s="13" t="n"/>
      <c r="G20" s="13" t="n"/>
      <c r="H20" s="13" t="n"/>
      <c r="I20" s="13" t="n"/>
      <c r="J20" s="13" t="n"/>
      <c r="K20" s="13" t="n"/>
      <c r="L20" s="13" t="n"/>
      <c r="M20" s="13" t="n"/>
      <c r="N20" s="13" t="n"/>
      <c r="O20" s="13" t="n"/>
      <c r="P20" s="13" t="n"/>
      <c r="Q20" s="13" t="n"/>
      <c r="R20" s="13" t="n"/>
      <c r="S20" s="13" t="n"/>
      <c r="T20" s="13" t="n"/>
    </row>
    <row r="21">
      <c r="A21" s="13" t="n"/>
      <c r="B21" s="13" t="n"/>
      <c r="C21" s="13" t="n"/>
      <c r="D21" s="13" t="n"/>
      <c r="E21" s="13" t="n"/>
      <c r="F21" s="13" t="n"/>
      <c r="G21" s="13" t="n"/>
      <c r="H21" s="13" t="n"/>
      <c r="I21" s="13" t="n"/>
      <c r="J21" s="13" t="n"/>
      <c r="K21" s="13" t="n"/>
      <c r="L21" s="13" t="n"/>
      <c r="M21" s="13" t="n"/>
      <c r="N21" s="13" t="n"/>
      <c r="O21" s="13" t="n"/>
      <c r="P21" s="13" t="n"/>
      <c r="Q21" s="13" t="n"/>
      <c r="R21" s="13" t="n"/>
      <c r="S21" s="13" t="n"/>
      <c r="T21" s="13" t="n"/>
    </row>
    <row r="22">
      <c r="A22" s="13" t="n"/>
      <c r="B22" s="13" t="n"/>
      <c r="C22" s="13" t="n"/>
      <c r="D22" s="13" t="n"/>
      <c r="E22" s="13" t="n"/>
      <c r="F22" s="13" t="n"/>
      <c r="G22" s="13" t="n"/>
      <c r="H22" s="13" t="n"/>
      <c r="I22" s="13" t="n"/>
      <c r="J22" s="13" t="n"/>
      <c r="K22" s="13" t="n"/>
      <c r="L22" s="13" t="n"/>
      <c r="M22" s="13" t="n"/>
      <c r="N22" s="13" t="n"/>
      <c r="O22" s="13" t="n"/>
      <c r="P22" s="13" t="n"/>
      <c r="Q22" s="13" t="n"/>
      <c r="R22" s="13" t="n"/>
      <c r="S22" s="13" t="n"/>
      <c r="T22" s="13" t="n"/>
    </row>
    <row r="23">
      <c r="A23" s="13" t="n"/>
      <c r="B23" s="13" t="n"/>
      <c r="C23" s="13" t="n"/>
      <c r="D23" s="13" t="n"/>
      <c r="E23" s="13" t="n"/>
      <c r="F23" s="13" t="n"/>
      <c r="G23" s="13" t="n"/>
      <c r="H23" s="13" t="n"/>
      <c r="I23" s="13" t="n"/>
      <c r="J23" s="13" t="n"/>
      <c r="K23" s="13" t="n"/>
      <c r="L23" s="13" t="n"/>
      <c r="M23" s="13" t="n"/>
      <c r="N23" s="13" t="n"/>
      <c r="O23" s="13" t="n"/>
      <c r="P23" s="13" t="n"/>
      <c r="Q23" s="13" t="n"/>
      <c r="R23" s="13" t="n"/>
      <c r="S23" s="13" t="n"/>
      <c r="T23" s="13" t="n"/>
    </row>
    <row r="24">
      <c r="A24" s="13" t="n"/>
      <c r="B24" s="13" t="n"/>
      <c r="C24" s="13" t="n"/>
      <c r="D24" s="13" t="n"/>
      <c r="E24" s="13" t="n"/>
      <c r="F24" s="13" t="n"/>
      <c r="G24" s="13" t="n"/>
      <c r="H24" s="13" t="n"/>
      <c r="I24" s="13" t="n"/>
      <c r="J24" s="13" t="n"/>
      <c r="K24" s="13" t="n"/>
      <c r="L24" s="13" t="n"/>
      <c r="M24" s="13" t="n"/>
      <c r="N24" s="13" t="n"/>
      <c r="O24" s="13" t="n"/>
      <c r="P24" s="13" t="n"/>
      <c r="Q24" s="13" t="n"/>
      <c r="R24" s="13" t="n"/>
      <c r="S24" s="13" t="n"/>
      <c r="T24" s="13" t="n"/>
    </row>
    <row r="25">
      <c r="A25" s="13" t="n"/>
      <c r="B25" s="13" t="n"/>
      <c r="C25" s="13" t="n"/>
      <c r="D25" s="13" t="n"/>
      <c r="E25" s="13" t="n"/>
      <c r="F25" s="13" t="n"/>
      <c r="G25" s="13" t="n"/>
      <c r="H25" s="13" t="n"/>
      <c r="I25" s="13" t="n"/>
      <c r="J25" s="13" t="n"/>
      <c r="K25" s="13" t="n"/>
      <c r="L25" s="13" t="n"/>
      <c r="M25" s="13" t="n"/>
      <c r="N25" s="13" t="n"/>
      <c r="O25" s="13" t="n"/>
      <c r="P25" s="13" t="n"/>
      <c r="Q25" s="13" t="n"/>
      <c r="R25" s="13" t="n"/>
      <c r="S25" s="13" t="n"/>
      <c r="T25" s="13" t="n"/>
    </row>
    <row r="26">
      <c r="A26" s="13" t="n"/>
      <c r="B26" s="13" t="n"/>
      <c r="C26" s="13" t="n"/>
      <c r="D26" s="13" t="n"/>
      <c r="E26" s="13" t="n"/>
      <c r="F26" s="13" t="n"/>
      <c r="G26" s="13" t="n"/>
      <c r="H26" s="13" t="n"/>
      <c r="I26" s="13" t="n"/>
      <c r="J26" s="13" t="n"/>
      <c r="K26" s="13" t="n"/>
      <c r="L26" s="13" t="n"/>
      <c r="M26" s="13" t="n"/>
      <c r="N26" s="13" t="n"/>
      <c r="O26" s="13" t="n"/>
      <c r="P26" s="13" t="n"/>
      <c r="Q26" s="13" t="n"/>
      <c r="R26" s="13" t="n"/>
      <c r="S26" s="13" t="n"/>
      <c r="T26" s="13" t="n"/>
    </row>
    <row r="27">
      <c r="A27" s="13" t="n"/>
      <c r="B27" s="13" t="n"/>
      <c r="C27" s="13" t="n"/>
      <c r="D27" s="13" t="n"/>
      <c r="E27" s="13" t="n"/>
      <c r="F27" s="13" t="n"/>
      <c r="G27" s="13" t="n"/>
      <c r="H27" s="13" t="n"/>
      <c r="I27" s="13" t="n"/>
      <c r="J27" s="13" t="n"/>
      <c r="K27" s="13" t="n"/>
      <c r="L27" s="13" t="n"/>
      <c r="M27" s="13" t="n"/>
      <c r="N27" s="13" t="n"/>
      <c r="O27" s="13" t="n"/>
      <c r="P27" s="13" t="n"/>
      <c r="Q27" s="13" t="n"/>
      <c r="R27" s="13" t="n"/>
      <c r="S27" s="13" t="n"/>
      <c r="T27" s="13" t="n"/>
    </row>
    <row r="28">
      <c r="A28" s="13" t="n"/>
      <c r="B28" s="13" t="n"/>
      <c r="C28" s="13" t="n"/>
      <c r="D28" s="13" t="n"/>
      <c r="E28" s="13" t="n"/>
      <c r="F28" s="13" t="n"/>
      <c r="G28" s="13" t="n"/>
      <c r="H28" s="13" t="n"/>
      <c r="I28" s="13" t="n"/>
      <c r="J28" s="13" t="n"/>
      <c r="K28" s="13" t="n"/>
      <c r="L28" s="13" t="n"/>
      <c r="M28" s="13" t="n"/>
      <c r="N28" s="13" t="n"/>
      <c r="O28" s="13" t="n"/>
      <c r="P28" s="13" t="n"/>
      <c r="Q28" s="13" t="n"/>
      <c r="R28" s="13" t="n"/>
      <c r="S28" s="13" t="n"/>
      <c r="T28" s="13" t="n"/>
    </row>
    <row r="29">
      <c r="A29" s="13" t="n"/>
      <c r="B29" s="13" t="n"/>
      <c r="C29" s="13" t="n"/>
      <c r="D29" s="13" t="n"/>
      <c r="E29" s="13" t="n"/>
      <c r="F29" s="13" t="n"/>
      <c r="G29" s="13" t="n"/>
      <c r="H29" s="13" t="n"/>
      <c r="I29" s="13" t="n"/>
      <c r="J29" s="13" t="n"/>
      <c r="K29" s="13" t="n"/>
      <c r="L29" s="13" t="n"/>
      <c r="M29" s="13" t="n"/>
      <c r="N29" s="13" t="n"/>
      <c r="O29" s="13" t="n"/>
      <c r="P29" s="13" t="n"/>
      <c r="Q29" s="13" t="n"/>
      <c r="R29" s="13" t="n"/>
      <c r="S29" s="13" t="n"/>
      <c r="T29" s="13" t="n"/>
    </row>
    <row r="30">
      <c r="A30" s="13" t="n"/>
      <c r="B30" s="13" t="n"/>
      <c r="C30" s="13" t="n"/>
      <c r="D30" s="13" t="n"/>
      <c r="E30" s="13" t="n"/>
      <c r="F30" s="13" t="n"/>
      <c r="G30" s="13" t="n"/>
      <c r="H30" s="13" t="n"/>
      <c r="I30" s="13" t="n"/>
      <c r="J30" s="13" t="n"/>
      <c r="K30" s="13" t="n"/>
      <c r="L30" s="13" t="n"/>
      <c r="M30" s="13" t="n"/>
      <c r="N30" s="13" t="n"/>
      <c r="O30" s="13" t="n"/>
      <c r="P30" s="13" t="n"/>
      <c r="Q30" s="13" t="n"/>
      <c r="R30" s="13" t="n"/>
      <c r="S30" s="13" t="n"/>
      <c r="T30" s="13" t="n"/>
    </row>
    <row r="31">
      <c r="A31" s="13" t="n"/>
      <c r="B31" s="13" t="n"/>
      <c r="C31" s="13" t="n"/>
      <c r="D31" s="13" t="n"/>
      <c r="E31" s="13" t="n"/>
      <c r="F31" s="13" t="n"/>
      <c r="G31" s="13" t="n"/>
      <c r="H31" s="13" t="n"/>
      <c r="I31" s="13" t="n"/>
      <c r="J31" s="13" t="n"/>
      <c r="K31" s="13" t="n"/>
      <c r="L31" s="13" t="n"/>
      <c r="M31" s="13" t="n"/>
      <c r="N31" s="13" t="n"/>
      <c r="O31" s="13" t="n"/>
      <c r="P31" s="13" t="n"/>
      <c r="Q31" s="13" t="n"/>
      <c r="R31" s="13" t="n"/>
      <c r="S31" s="13" t="n"/>
      <c r="T31" s="13" t="n"/>
    </row>
    <row r="32">
      <c r="A32" s="13" t="n"/>
      <c r="B32" s="13" t="n"/>
      <c r="C32" s="13" t="n"/>
      <c r="D32" s="13" t="n"/>
      <c r="E32" s="13" t="n"/>
      <c r="F32" s="13" t="n"/>
      <c r="G32" s="13" t="n"/>
      <c r="H32" s="13" t="n"/>
      <c r="I32" s="13" t="n"/>
      <c r="J32" s="13" t="n"/>
      <c r="K32" s="13" t="n"/>
      <c r="L32" s="13" t="n"/>
      <c r="M32" s="13" t="n"/>
      <c r="N32" s="13" t="n"/>
      <c r="O32" s="13" t="n"/>
      <c r="P32" s="13" t="n"/>
      <c r="Q32" s="13" t="n"/>
      <c r="R32" s="13" t="n"/>
      <c r="S32" s="13" t="n"/>
      <c r="T32" s="13" t="n"/>
    </row>
    <row r="33">
      <c r="A33" s="13" t="n"/>
      <c r="B33" s="13" t="n"/>
      <c r="C33" s="13" t="n"/>
      <c r="D33" s="13" t="n"/>
      <c r="E33" s="13" t="n"/>
      <c r="F33" s="13" t="n"/>
      <c r="G33" s="13" t="n"/>
      <c r="H33" s="13" t="n"/>
      <c r="I33" s="13" t="n"/>
      <c r="J33" s="13" t="n"/>
      <c r="K33" s="13" t="n"/>
      <c r="L33" s="13" t="n"/>
      <c r="M33" s="13" t="n"/>
      <c r="N33" s="13" t="n"/>
      <c r="O33" s="13" t="n"/>
      <c r="P33" s="13" t="n"/>
      <c r="Q33" s="13" t="n"/>
      <c r="R33" s="13" t="n"/>
      <c r="S33" s="13" t="n"/>
      <c r="T33" s="13" t="n"/>
    </row>
    <row r="34">
      <c r="A34" s="13" t="n"/>
      <c r="B34" s="13" t="n"/>
      <c r="C34" s="13" t="n"/>
      <c r="D34" s="13" t="n"/>
      <c r="E34" s="13" t="n"/>
      <c r="F34" s="13" t="n"/>
      <c r="G34" s="13" t="n"/>
      <c r="H34" s="13" t="n"/>
      <c r="I34" s="13" t="n"/>
      <c r="J34" s="13" t="n"/>
      <c r="K34" s="13" t="n"/>
      <c r="L34" s="13" t="n"/>
      <c r="M34" s="13" t="n"/>
      <c r="N34" s="13" t="n"/>
      <c r="O34" s="13" t="n"/>
      <c r="P34" s="13" t="n"/>
      <c r="Q34" s="13" t="n"/>
      <c r="R34" s="13" t="n"/>
      <c r="S34" s="13" t="n"/>
      <c r="T34" s="13" t="n"/>
    </row>
    <row r="35">
      <c r="A35" s="13" t="n"/>
      <c r="B35" s="13" t="n"/>
      <c r="C35" s="13" t="n"/>
      <c r="D35" s="13" t="n"/>
      <c r="E35" s="13" t="n"/>
      <c r="F35" s="13" t="n"/>
      <c r="G35" s="13" t="n"/>
      <c r="H35" s="13" t="n"/>
      <c r="I35" s="13" t="n"/>
      <c r="J35" s="13" t="n"/>
      <c r="K35" s="13" t="n"/>
      <c r="L35" s="13" t="n"/>
      <c r="M35" s="13" t="n"/>
      <c r="N35" s="13" t="n"/>
      <c r="O35" s="13" t="n"/>
      <c r="P35" s="13" t="n"/>
      <c r="Q35" s="13" t="n"/>
      <c r="R35" s="13" t="n"/>
      <c r="S35" s="13" t="n"/>
      <c r="T35" s="13" t="n"/>
    </row>
    <row r="36">
      <c r="A36" s="13" t="n"/>
      <c r="B36" s="13" t="n"/>
      <c r="C36" s="13" t="n"/>
      <c r="D36" s="13" t="n"/>
      <c r="E36" s="13" t="n"/>
      <c r="F36" s="13" t="n"/>
      <c r="G36" s="13" t="n"/>
      <c r="H36" s="13" t="n"/>
      <c r="I36" s="13" t="n"/>
      <c r="J36" s="13" t="n"/>
      <c r="K36" s="13" t="n"/>
      <c r="L36" s="13" t="n"/>
      <c r="M36" s="13" t="n"/>
      <c r="N36" s="13" t="n"/>
      <c r="O36" s="13" t="n"/>
      <c r="P36" s="13" t="n"/>
      <c r="Q36" s="13" t="n"/>
      <c r="R36" s="13" t="n"/>
      <c r="S36" s="13" t="n"/>
      <c r="T36" s="13" t="n"/>
    </row>
    <row r="37">
      <c r="A37" s="13" t="n"/>
      <c r="B37" s="13" t="n"/>
      <c r="C37" s="13" t="n"/>
      <c r="D37" s="13" t="n"/>
      <c r="E37" s="13" t="n"/>
      <c r="F37" s="13" t="n"/>
      <c r="G37" s="13" t="n"/>
      <c r="H37" s="13" t="n"/>
      <c r="I37" s="13" t="n"/>
      <c r="J37" s="13" t="n"/>
      <c r="K37" s="13" t="n"/>
      <c r="L37" s="13" t="n"/>
      <c r="M37" s="13" t="n"/>
      <c r="N37" s="13" t="n"/>
      <c r="O37" s="13" t="n"/>
      <c r="P37" s="13" t="n"/>
      <c r="Q37" s="13" t="n"/>
      <c r="R37" s="13" t="n"/>
      <c r="S37" s="13" t="n"/>
      <c r="T37" s="13" t="n"/>
    </row>
    <row r="38">
      <c r="A38" s="13" t="n"/>
      <c r="B38" s="13" t="n"/>
      <c r="C38" s="13" t="n"/>
      <c r="D38" s="13" t="n"/>
      <c r="E38" s="13" t="n"/>
      <c r="F38" s="13" t="n"/>
      <c r="G38" s="13" t="n"/>
      <c r="H38" s="13" t="n"/>
      <c r="I38" s="13" t="n"/>
      <c r="J38" s="13" t="n"/>
      <c r="K38" s="13" t="n"/>
      <c r="L38" s="13" t="n"/>
      <c r="M38" s="13" t="n"/>
      <c r="N38" s="13" t="n"/>
      <c r="O38" s="13" t="n"/>
      <c r="P38" s="13" t="n"/>
      <c r="Q38" s="13" t="n"/>
      <c r="R38" s="13" t="n"/>
      <c r="S38" s="13" t="n"/>
      <c r="T38" s="13" t="n"/>
    </row>
    <row r="39">
      <c r="A39" s="13" t="n"/>
      <c r="B39" s="13" t="n"/>
      <c r="C39" s="13" t="n"/>
      <c r="D39" s="13" t="n"/>
      <c r="E39" s="13" t="n"/>
      <c r="F39" s="13" t="n"/>
      <c r="G39" s="13" t="n"/>
      <c r="H39" s="13" t="n"/>
      <c r="I39" s="13" t="n"/>
      <c r="J39" s="13" t="n"/>
      <c r="K39" s="13" t="n"/>
      <c r="L39" s="13" t="n"/>
      <c r="M39" s="13" t="n"/>
      <c r="N39" s="13" t="n"/>
      <c r="O39" s="13" t="n"/>
      <c r="P39" s="13" t="n"/>
      <c r="Q39" s="13" t="n"/>
      <c r="R39" s="13" t="n"/>
      <c r="S39" s="13" t="n"/>
      <c r="T39" s="13" t="n"/>
    </row>
    <row r="40">
      <c r="A40" s="13" t="n"/>
      <c r="B40" s="13" t="n"/>
      <c r="C40" s="13" t="n"/>
      <c r="D40" s="13" t="n"/>
      <c r="E40" s="13" t="n"/>
      <c r="F40" s="13" t="n"/>
      <c r="G40" s="13" t="n"/>
      <c r="H40" s="13" t="n"/>
      <c r="I40" s="13" t="n"/>
      <c r="J40" s="13" t="n"/>
      <c r="K40" s="13" t="n"/>
      <c r="L40" s="13" t="n"/>
      <c r="M40" s="13" t="n"/>
      <c r="N40" s="13" t="n"/>
      <c r="O40" s="13" t="n"/>
      <c r="P40" s="13" t="n"/>
      <c r="Q40" s="13" t="n"/>
      <c r="R40" s="13" t="n"/>
      <c r="S40" s="13" t="n"/>
      <c r="T40" s="13" t="n"/>
    </row>
    <row r="41">
      <c r="A41" s="13" t="n"/>
      <c r="B41" s="13" t="n"/>
      <c r="C41" s="13" t="n"/>
      <c r="D41" s="13" t="n"/>
      <c r="E41" s="13" t="n"/>
      <c r="F41" s="13" t="n"/>
      <c r="G41" s="13" t="n"/>
      <c r="H41" s="13" t="n"/>
      <c r="I41" s="13" t="n"/>
      <c r="J41" s="13" t="n"/>
      <c r="K41" s="13" t="n"/>
      <c r="L41" s="13" t="n"/>
      <c r="M41" s="13" t="n"/>
      <c r="N41" s="13" t="n"/>
      <c r="O41" s="13" t="n"/>
      <c r="P41" s="13" t="n"/>
      <c r="Q41" s="13" t="n"/>
      <c r="R41" s="13" t="n"/>
      <c r="S41" s="13" t="n"/>
      <c r="T41" s="13" t="n"/>
    </row>
    <row r="42">
      <c r="A42" s="13" t="n"/>
      <c r="B42" s="13" t="n"/>
      <c r="C42" s="13" t="n"/>
      <c r="D42" s="13" t="n"/>
      <c r="E42" s="13" t="n"/>
      <c r="F42" s="13" t="n"/>
      <c r="G42" s="13" t="n"/>
      <c r="H42" s="13" t="n"/>
      <c r="I42" s="13" t="n"/>
      <c r="J42" s="13" t="n"/>
      <c r="K42" s="13" t="n"/>
      <c r="L42" s="13" t="n"/>
      <c r="M42" s="13" t="n"/>
      <c r="N42" s="13" t="n"/>
      <c r="O42" s="13" t="n"/>
      <c r="P42" s="13" t="n"/>
      <c r="Q42" s="13" t="n"/>
      <c r="R42" s="13" t="n"/>
      <c r="S42" s="13" t="n"/>
      <c r="T42" s="13" t="n"/>
    </row>
    <row r="43">
      <c r="A43" s="13" t="n"/>
      <c r="B43" s="13" t="n"/>
      <c r="C43" s="13" t="n"/>
      <c r="D43" s="13" t="n"/>
      <c r="E43" s="13" t="n"/>
      <c r="F43" s="13" t="n"/>
      <c r="G43" s="13" t="n"/>
      <c r="H43" s="13" t="n"/>
      <c r="I43" s="13" t="n"/>
      <c r="J43" s="13" t="n"/>
      <c r="K43" s="13" t="n"/>
      <c r="L43" s="13" t="n"/>
      <c r="M43" s="13" t="n"/>
      <c r="N43" s="13" t="n"/>
      <c r="O43" s="13" t="n"/>
      <c r="P43" s="13" t="n"/>
      <c r="Q43" s="13" t="n"/>
      <c r="R43" s="13" t="n"/>
      <c r="S43" s="13" t="n"/>
      <c r="T43" s="13" t="n"/>
    </row>
    <row r="44">
      <c r="A44" s="13" t="n"/>
      <c r="B44" s="13" t="n"/>
      <c r="C44" s="13" t="n"/>
      <c r="D44" s="13" t="n"/>
      <c r="E44" s="13" t="n"/>
      <c r="F44" s="13" t="n"/>
      <c r="G44" s="13" t="n"/>
      <c r="H44" s="13" t="n"/>
      <c r="I44" s="13" t="n"/>
      <c r="J44" s="13" t="n"/>
      <c r="K44" s="13" t="n"/>
      <c r="L44" s="13" t="n"/>
      <c r="M44" s="13" t="n"/>
      <c r="N44" s="13" t="n"/>
      <c r="O44" s="13" t="n"/>
      <c r="P44" s="13" t="n"/>
      <c r="Q44" s="13" t="n"/>
      <c r="R44" s="13" t="n"/>
      <c r="S44" s="13" t="n"/>
      <c r="T44" s="13" t="n"/>
    </row>
    <row r="45">
      <c r="A45" s="13" t="n"/>
      <c r="B45" s="13" t="n"/>
      <c r="C45" s="13" t="n"/>
      <c r="D45" s="13" t="n"/>
      <c r="E45" s="13" t="n"/>
      <c r="F45" s="13" t="n"/>
      <c r="G45" s="13" t="n"/>
      <c r="H45" s="13" t="n"/>
      <c r="I45" s="13" t="n"/>
      <c r="J45" s="13" t="n"/>
      <c r="K45" s="13" t="n"/>
      <c r="L45" s="13" t="n"/>
      <c r="M45" s="13" t="n"/>
      <c r="N45" s="13" t="n"/>
      <c r="O45" s="13" t="n"/>
      <c r="P45" s="13" t="n"/>
      <c r="Q45" s="13" t="n"/>
      <c r="R45" s="13" t="n"/>
      <c r="S45" s="13" t="n"/>
      <c r="T45" s="13" t="n"/>
    </row>
    <row r="46">
      <c r="A46" s="13" t="n"/>
      <c r="B46" s="13" t="n"/>
      <c r="C46" s="13" t="n"/>
      <c r="D46" s="13" t="n"/>
      <c r="E46" s="13" t="n"/>
      <c r="F46" s="13" t="n"/>
      <c r="G46" s="13" t="n"/>
      <c r="H46" s="13" t="n"/>
      <c r="I46" s="13" t="n"/>
      <c r="J46" s="13" t="n"/>
      <c r="K46" s="13" t="n"/>
      <c r="L46" s="13" t="n"/>
      <c r="M46" s="13" t="n"/>
      <c r="N46" s="13" t="n"/>
      <c r="O46" s="13" t="n"/>
      <c r="P46" s="13" t="n"/>
      <c r="Q46" s="13" t="n"/>
      <c r="R46" s="13" t="n"/>
      <c r="S46" s="13" t="n"/>
      <c r="T46" s="13" t="n"/>
    </row>
    <row r="47">
      <c r="A47" s="13" t="n"/>
      <c r="B47" s="13" t="n"/>
      <c r="C47" s="13" t="n"/>
      <c r="D47" s="13" t="n"/>
      <c r="E47" s="13" t="n"/>
      <c r="F47" s="13" t="n"/>
      <c r="G47" s="13" t="n"/>
      <c r="H47" s="13" t="n"/>
      <c r="I47" s="13" t="n"/>
      <c r="J47" s="13" t="n"/>
      <c r="K47" s="13" t="n"/>
      <c r="L47" s="13" t="n"/>
      <c r="M47" s="13" t="n"/>
      <c r="N47" s="13" t="n"/>
      <c r="O47" s="13" t="n"/>
      <c r="P47" s="13" t="n"/>
      <c r="Q47" s="13" t="n"/>
      <c r="R47" s="13" t="n"/>
      <c r="S47" s="13" t="n"/>
      <c r="T47" s="13" t="n"/>
    </row>
    <row r="48">
      <c r="A48" s="13" t="n"/>
      <c r="B48" s="13" t="n"/>
      <c r="C48" s="13" t="n"/>
      <c r="D48" s="13" t="n"/>
      <c r="E48" s="13" t="n"/>
      <c r="F48" s="13" t="n"/>
      <c r="G48" s="13" t="n"/>
      <c r="H48" s="13" t="n"/>
      <c r="I48" s="13" t="n"/>
      <c r="J48" s="13" t="n"/>
      <c r="K48" s="13" t="n"/>
      <c r="L48" s="13" t="n"/>
      <c r="M48" s="13" t="n"/>
      <c r="N48" s="13" t="n"/>
      <c r="O48" s="13" t="n"/>
      <c r="P48" s="13" t="n"/>
      <c r="Q48" s="13" t="n"/>
      <c r="R48" s="13" t="n"/>
      <c r="S48" s="13" t="n"/>
      <c r="T48" s="13" t="n"/>
    </row>
    <row r="49">
      <c r="A49" s="13" t="n"/>
      <c r="B49" s="13" t="n"/>
      <c r="C49" s="13" t="n"/>
      <c r="D49" s="13" t="n"/>
      <c r="E49" s="13" t="n"/>
      <c r="F49" s="13" t="n"/>
      <c r="G49" s="13" t="n"/>
      <c r="H49" s="13" t="n"/>
      <c r="I49" s="13" t="n"/>
      <c r="J49" s="13" t="n"/>
      <c r="K49" s="13" t="n"/>
      <c r="L49" s="13" t="n"/>
      <c r="M49" s="13" t="n"/>
      <c r="N49" s="13" t="n"/>
      <c r="O49" s="13" t="n"/>
      <c r="P49" s="13" t="n"/>
      <c r="Q49" s="13" t="n"/>
      <c r="R49" s="13" t="n"/>
      <c r="S49" s="13" t="n"/>
      <c r="T49" s="13" t="n"/>
    </row>
    <row r="50">
      <c r="A50" s="13" t="n"/>
      <c r="B50" s="13" t="n"/>
      <c r="C50" s="13" t="n"/>
      <c r="D50" s="13" t="n"/>
      <c r="E50" s="13" t="n"/>
      <c r="F50" s="13" t="n"/>
      <c r="G50" s="13" t="n"/>
      <c r="H50" s="13" t="n"/>
      <c r="I50" s="13" t="n"/>
      <c r="J50" s="13" t="n"/>
      <c r="K50" s="13" t="n"/>
      <c r="L50" s="13" t="n"/>
      <c r="M50" s="13" t="n"/>
      <c r="N50" s="13" t="n"/>
      <c r="O50" s="13" t="n"/>
      <c r="P50" s="13" t="n"/>
      <c r="Q50" s="13" t="n"/>
      <c r="R50" s="13" t="n"/>
      <c r="S50" s="13" t="n"/>
      <c r="T50" s="13" t="n"/>
    </row>
    <row r="51">
      <c r="A51" s="13" t="n"/>
      <c r="B51" s="13" t="n"/>
      <c r="C51" s="13" t="n"/>
      <c r="D51" s="13" t="n"/>
      <c r="E51" s="13" t="n"/>
      <c r="F51" s="13" t="n"/>
      <c r="G51" s="13" t="n"/>
      <c r="H51" s="13" t="n"/>
      <c r="I51" s="13" t="n"/>
      <c r="J51" s="13" t="n"/>
      <c r="K51" s="13" t="n"/>
      <c r="L51" s="13" t="n"/>
      <c r="M51" s="13" t="n"/>
      <c r="N51" s="13" t="n"/>
      <c r="O51" s="13" t="n"/>
      <c r="P51" s="13" t="n"/>
      <c r="Q51" s="13" t="n"/>
      <c r="R51" s="13" t="n"/>
      <c r="S51" s="13" t="n"/>
      <c r="T51" s="13" t="n"/>
    </row>
    <row r="52">
      <c r="A52" s="13" t="n"/>
      <c r="B52" s="13" t="n"/>
      <c r="C52" s="13" t="n"/>
      <c r="D52" s="13" t="n"/>
      <c r="E52" s="13" t="n"/>
      <c r="F52" s="13" t="n"/>
      <c r="G52" s="13" t="n"/>
      <c r="H52" s="13" t="n"/>
      <c r="I52" s="13" t="n"/>
      <c r="J52" s="13" t="n"/>
      <c r="K52" s="13" t="n"/>
      <c r="L52" s="13" t="n"/>
      <c r="M52" s="13" t="n"/>
      <c r="N52" s="13" t="n"/>
      <c r="O52" s="13" t="n"/>
      <c r="P52" s="13" t="n"/>
      <c r="Q52" s="13" t="n"/>
      <c r="R52" s="13" t="n"/>
      <c r="S52" s="13" t="n"/>
      <c r="T52" s="13" t="n"/>
    </row>
  </sheetData>
  <conditionalFormatting sqref="B2:B1000">
    <cfRule type="cellIs" priority="1" operator="equal" dxfId="0">
      <formula>"Not Started"</formula>
    </cfRule>
    <cfRule type="cellIs" priority="2" operator="equal" dxfId="1">
      <formula>"In Progress"</formula>
    </cfRule>
    <cfRule type="cellIs" priority="3" operator="equal" dxfId="2">
      <formula>"Complete"</formula>
    </cfRule>
    <cfRule type="cellIs" priority="4" operator="equal" dxfId="3">
      <formula>"Validated"</formula>
    </cfRule>
  </conditionalFormatting>
  <conditionalFormatting sqref="I2:I1000">
    <cfRule type="cellIs" priority="5" operator="equal" dxfId="4">
      <formula>"Sensitive PII (GDPR Art. 9 / FADP Art. 5(c))"</formula>
    </cfRule>
    <cfRule type="cellIs" priority="6" operator="equal" dxfId="5">
      <formula>"Criminal Offense Data (GDPR Art. 10 / FADP Art. 5(c)5)"</formula>
    </cfRule>
  </conditionalFormatting>
  <dataValidations count="5">
    <dataValidation sqref="B3:B1000" showDropDown="1" showInputMessage="0" showErrorMessage="0" allowBlank="1" errorTitle="Invalid Entry" error="Invalid value. Please select from dropdown." type="list">
      <formula1>"Not Started,In Progress,Complete,Validated"</formula1>
    </dataValidation>
    <dataValidation sqref="E3:E1000" showDropDown="1" showInputMessage="0" showErrorMessage="0" allowBlank="1" errorTitle="Invalid Entry" error="Invalid value. Please select from dropdown." type="list">
      <formula1>"Customer Relationship Management (CRM),Human Resources Information System (HRIS),Payroll System,Email System,Collaboration Tool (Slack, Teams, etc.),File Storage (Google Drive, SharePoint, etc.),Marketing Automation,Analytics Platform,E-Commerce / Shopping Cart,Payment Processing,Customer Support / Help Desk,Backup System,Database Server,Website / Web Application,Mobile Application,CCTV / Physical Security,Access Control System,Other"</formula1>
    </dataValidation>
    <dataValidation sqref="F3:F1000" showDropDown="1" showInputMessage="0" showErrorMessage="0" allowBlank="1" errorTitle="Invalid Entry" error="Invalid value. Please select from dropdown." type="list">
      <formula1>"Controller,Processor,Joint Controller"</formula1>
    </dataValidation>
    <dataValidation sqref="I3:I1000" showDropDown="1" showInputMessage="0" showErrorMessage="0" allowBlank="1" errorTitle="Invalid Entry" error="Invalid value. Please select from dropdown." type="list">
      <formula1>"Basic PII,Sensitive PII (GDPR Art. 9 / FADP Art. 5(c)),Criminal Offense Data (GDPR Art. 10 / FADP Art. 5(c)5)"</formula1>
    </dataValidation>
    <dataValidation sqref="N3:N1000" showDropDown="1" showInputMessage="0" showErrorMessage="0" allowBlank="1" errorTitle="Invalid Entry" error="Invalid value. Please select from dropdown." type="list">
      <formula1>"Automated Scan (DLP),Manual Survey,Interview (System Owner),Documentation Review,Database Schema Analysis,Other"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52"/>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25" customWidth="1" min="3" max="3"/>
    <col width="25" customWidth="1" min="4" max="4"/>
    <col width="30" customWidth="1" min="5" max="5"/>
    <col width="18" customWidth="1" min="6" max="6"/>
    <col width="15" customWidth="1" min="7" max="7"/>
    <col width="30" customWidth="1" min="8" max="8"/>
    <col width="25" customWidth="1" min="9" max="9"/>
    <col width="18" customWidth="1" min="10" max="10"/>
    <col width="25" customWidth="1" min="11" max="11"/>
    <col width="15" customWidth="1" min="12" max="12"/>
    <col width="20" customWidth="1" min="13" max="13"/>
    <col width="30" customWidth="1" min="14" max="14"/>
    <col width="15" customWidth="1" min="15" max="15"/>
    <col width="20" customWidth="1" min="16" max="16"/>
    <col width="35" customWidth="1" min="17" max="17"/>
    <col width="15" customWidth="1" min="18" max="18"/>
    <col width="20" customWidth="1" min="19" max="19"/>
    <col width="35" customWidth="1" min="20" max="20"/>
    <col width="20" customWidth="1" min="21" max="21"/>
    <col width="25" customWidth="1" min="22" max="22"/>
  </cols>
  <sheetData>
    <row r="1">
      <c r="A1" s="11" t="inlineStr">
        <is>
          <t>RowID</t>
        </is>
      </c>
      <c r="B1" s="11" t="inlineStr">
        <is>
          <t>Status</t>
        </is>
      </c>
      <c r="C1" s="11" t="inlineStr">
        <is>
          <t>Source System</t>
        </is>
      </c>
      <c r="D1" s="11" t="inlineStr">
        <is>
          <t>Destination System</t>
        </is>
      </c>
      <c r="E1" s="11" t="inlineStr">
        <is>
          <t>PII Categories Transferred</t>
        </is>
      </c>
      <c r="F1" s="11" t="inlineStr">
        <is>
          <t>Transfer Method</t>
        </is>
      </c>
      <c r="G1" s="11" t="inlineStr">
        <is>
          <t>Transfer Frequency</t>
        </is>
      </c>
      <c r="H1" s="11" t="inlineStr">
        <is>
          <t>Purpose of Transfer</t>
        </is>
      </c>
      <c r="I1" s="11" t="inlineStr">
        <is>
          <t>Legal Basis (Art. 6)</t>
        </is>
      </c>
      <c r="J1" s="11" t="inlineStr">
        <is>
          <t>Recipient Type</t>
        </is>
      </c>
      <c r="K1" s="11" t="inlineStr">
        <is>
          <t>Recipient Name (if external)</t>
        </is>
      </c>
      <c r="L1" s="11" t="inlineStr">
        <is>
          <t>Cross-Border Transfer?</t>
        </is>
      </c>
      <c r="M1" s="11" t="inlineStr">
        <is>
          <t>Destination Country</t>
        </is>
      </c>
      <c r="N1" s="11" t="inlineStr">
        <is>
          <t>Transfer Mechanism</t>
        </is>
      </c>
      <c r="O1" s="11" t="inlineStr">
        <is>
          <t>SCC Date (if applicable)</t>
        </is>
      </c>
      <c r="P1" s="11" t="inlineStr">
        <is>
          <t>TIA Completed? (if cross-border)</t>
        </is>
      </c>
      <c r="Q1" s="11" t="inlineStr">
        <is>
          <t>Security Measures</t>
        </is>
      </c>
      <c r="R1" s="11" t="inlineStr">
        <is>
          <t>Last Updated</t>
        </is>
      </c>
      <c r="S1" s="11" t="inlineStr">
        <is>
          <t>Updated By</t>
        </is>
      </c>
      <c r="T1" s="11" t="inlineStr">
        <is>
          <t>Notes</t>
        </is>
      </c>
      <c r="U1" s="11" t="inlineStr">
        <is>
          <t>Evidence Reference</t>
        </is>
      </c>
      <c r="V1" s="11" t="inlineStr">
        <is>
          <t>Review Comments</t>
        </is>
      </c>
    </row>
    <row r="2">
      <c r="A2" s="12">
        <f>TEXT(ROW()-1,"FLOW-000")</f>
        <v/>
      </c>
      <c r="B2" s="12" t="n"/>
      <c r="C2" s="12" t="inlineStr">
        <is>
          <t>HR System</t>
        </is>
      </c>
      <c r="D2" s="12" t="inlineStr">
        <is>
          <t>Microsoft Azure AD</t>
        </is>
      </c>
      <c r="E2" s="12" t="inlineStr">
        <is>
          <t>Names, Email, Employee ID</t>
        </is>
      </c>
      <c r="F2" s="12" t="inlineStr">
        <is>
          <t>API</t>
        </is>
      </c>
      <c r="G2" s="12" t="inlineStr">
        <is>
          <t>Real-time</t>
        </is>
      </c>
      <c r="H2" s="12" t="inlineStr">
        <is>
          <t>Identity and Access Management</t>
        </is>
      </c>
      <c r="I2" s="12" t="inlineStr">
        <is>
          <t>Contract (GDPR Art. 6(1)(b))</t>
        </is>
      </c>
      <c r="J2" s="12" t="inlineStr">
        <is>
          <t>Internal Processor</t>
        </is>
      </c>
      <c r="K2" s="12" t="n"/>
      <c r="L2" s="12" t="inlineStr">
        <is>
          <t>No</t>
        </is>
      </c>
      <c r="M2" s="12" t="n"/>
      <c r="N2" s="12" t="n"/>
      <c r="O2" s="12" t="n"/>
      <c r="P2" s="12" t="n"/>
      <c r="Q2" s="12" t="n"/>
      <c r="R2" s="12" t="n"/>
      <c r="S2" s="12" t="n"/>
      <c r="T2" s="12" t="n"/>
      <c r="U2" s="12" t="n"/>
      <c r="V2" s="12" t="n"/>
    </row>
    <row r="3">
      <c r="A3" s="13" t="n"/>
      <c r="B3" s="13" t="n"/>
      <c r="C3" s="13" t="n"/>
      <c r="D3" s="13" t="n"/>
      <c r="E3" s="13" t="n"/>
      <c r="F3" s="13" t="n"/>
      <c r="G3" s="13" t="n"/>
      <c r="H3" s="13" t="n"/>
      <c r="I3" s="13" t="n"/>
      <c r="J3" s="13" t="n"/>
      <c r="K3" s="13" t="n"/>
      <c r="L3" s="13" t="n"/>
      <c r="M3" s="13" t="n"/>
      <c r="N3" s="13" t="n"/>
      <c r="O3" s="13" t="n"/>
      <c r="P3" s="13" t="n"/>
      <c r="Q3" s="13" t="n"/>
      <c r="R3" s="13" t="n"/>
      <c r="S3" s="13" t="n"/>
      <c r="T3" s="13" t="n"/>
      <c r="U3" s="13" t="n"/>
      <c r="V3" s="13" t="n"/>
    </row>
    <row r="4">
      <c r="A4" s="13" t="n"/>
      <c r="B4" s="13" t="n"/>
      <c r="C4" s="13" t="n"/>
      <c r="D4" s="13" t="n"/>
      <c r="E4" s="13" t="n"/>
      <c r="F4" s="13" t="n"/>
      <c r="G4" s="13" t="n"/>
      <c r="H4" s="13" t="n"/>
      <c r="I4" s="13" t="n"/>
      <c r="J4" s="13" t="n"/>
      <c r="K4" s="13" t="n"/>
      <c r="L4" s="13" t="n"/>
      <c r="M4" s="13" t="n"/>
      <c r="N4" s="13" t="n"/>
      <c r="O4" s="13" t="n"/>
      <c r="P4" s="13" t="n"/>
      <c r="Q4" s="13" t="n"/>
      <c r="R4" s="13" t="n"/>
      <c r="S4" s="13" t="n"/>
      <c r="T4" s="13" t="n"/>
      <c r="U4" s="13" t="n"/>
      <c r="V4" s="13" t="n"/>
    </row>
    <row r="5">
      <c r="A5" s="13" t="n"/>
      <c r="B5" s="13" t="n"/>
      <c r="C5" s="13" t="n"/>
      <c r="D5" s="13" t="n"/>
      <c r="E5" s="13" t="n"/>
      <c r="F5" s="13" t="n"/>
      <c r="G5" s="13" t="n"/>
      <c r="H5" s="13" t="n"/>
      <c r="I5" s="13" t="n"/>
      <c r="J5" s="13" t="n"/>
      <c r="K5" s="13" t="n"/>
      <c r="L5" s="13" t="n"/>
      <c r="M5" s="13" t="n"/>
      <c r="N5" s="13" t="n"/>
      <c r="O5" s="13" t="n"/>
      <c r="P5" s="13" t="n"/>
      <c r="Q5" s="13" t="n"/>
      <c r="R5" s="13" t="n"/>
      <c r="S5" s="13" t="n"/>
      <c r="T5" s="13" t="n"/>
      <c r="U5" s="13" t="n"/>
      <c r="V5" s="13" t="n"/>
    </row>
    <row r="6">
      <c r="A6" s="13" t="n"/>
      <c r="B6" s="13" t="n"/>
      <c r="C6" s="13" t="n"/>
      <c r="D6" s="13" t="n"/>
      <c r="E6" s="13" t="n"/>
      <c r="F6" s="13" t="n"/>
      <c r="G6" s="13" t="n"/>
      <c r="H6" s="13" t="n"/>
      <c r="I6" s="13" t="n"/>
      <c r="J6" s="13" t="n"/>
      <c r="K6" s="13" t="n"/>
      <c r="L6" s="13" t="n"/>
      <c r="M6" s="13" t="n"/>
      <c r="N6" s="13" t="n"/>
      <c r="O6" s="13" t="n"/>
      <c r="P6" s="13" t="n"/>
      <c r="Q6" s="13" t="n"/>
      <c r="R6" s="13" t="n"/>
      <c r="S6" s="13" t="n"/>
      <c r="T6" s="13" t="n"/>
      <c r="U6" s="13" t="n"/>
      <c r="V6" s="13" t="n"/>
    </row>
    <row r="7">
      <c r="A7" s="13" t="n"/>
      <c r="B7" s="13" t="n"/>
      <c r="C7" s="13" t="n"/>
      <c r="D7" s="13" t="n"/>
      <c r="E7" s="13" t="n"/>
      <c r="F7" s="13" t="n"/>
      <c r="G7" s="13" t="n"/>
      <c r="H7" s="13" t="n"/>
      <c r="I7" s="13" t="n"/>
      <c r="J7" s="13" t="n"/>
      <c r="K7" s="13" t="n"/>
      <c r="L7" s="13" t="n"/>
      <c r="M7" s="13" t="n"/>
      <c r="N7" s="13" t="n"/>
      <c r="O7" s="13" t="n"/>
      <c r="P7" s="13" t="n"/>
      <c r="Q7" s="13" t="n"/>
      <c r="R7" s="13" t="n"/>
      <c r="S7" s="13" t="n"/>
      <c r="T7" s="13" t="n"/>
      <c r="U7" s="13" t="n"/>
      <c r="V7" s="13" t="n"/>
    </row>
    <row r="8">
      <c r="A8" s="13" t="n"/>
      <c r="B8" s="13" t="n"/>
      <c r="C8" s="13" t="n"/>
      <c r="D8" s="13" t="n"/>
      <c r="E8" s="13" t="n"/>
      <c r="F8" s="13" t="n"/>
      <c r="G8" s="13" t="n"/>
      <c r="H8" s="13" t="n"/>
      <c r="I8" s="13" t="n"/>
      <c r="J8" s="13" t="n"/>
      <c r="K8" s="13" t="n"/>
      <c r="L8" s="13" t="n"/>
      <c r="M8" s="13" t="n"/>
      <c r="N8" s="13" t="n"/>
      <c r="O8" s="13" t="n"/>
      <c r="P8" s="13" t="n"/>
      <c r="Q8" s="13" t="n"/>
      <c r="R8" s="13" t="n"/>
      <c r="S8" s="13" t="n"/>
      <c r="T8" s="13" t="n"/>
      <c r="U8" s="13" t="n"/>
      <c r="V8" s="13" t="n"/>
    </row>
    <row r="9">
      <c r="A9" s="13" t="n"/>
      <c r="B9" s="13" t="n"/>
      <c r="C9" s="13" t="n"/>
      <c r="D9" s="13" t="n"/>
      <c r="E9" s="13" t="n"/>
      <c r="F9" s="13" t="n"/>
      <c r="G9" s="13" t="n"/>
      <c r="H9" s="13" t="n"/>
      <c r="I9" s="13" t="n"/>
      <c r="J9" s="13" t="n"/>
      <c r="K9" s="13" t="n"/>
      <c r="L9" s="13" t="n"/>
      <c r="M9" s="13" t="n"/>
      <c r="N9" s="13" t="n"/>
      <c r="O9" s="13" t="n"/>
      <c r="P9" s="13" t="n"/>
      <c r="Q9" s="13" t="n"/>
      <c r="R9" s="13" t="n"/>
      <c r="S9" s="13" t="n"/>
      <c r="T9" s="13" t="n"/>
      <c r="U9" s="13" t="n"/>
      <c r="V9" s="13" t="n"/>
    </row>
    <row r="10">
      <c r="A10" s="13" t="n"/>
      <c r="B10" s="13" t="n"/>
      <c r="C10" s="13" t="n"/>
      <c r="D10" s="13" t="n"/>
      <c r="E10" s="13" t="n"/>
      <c r="F10" s="13" t="n"/>
      <c r="G10" s="13" t="n"/>
      <c r="H10" s="13" t="n"/>
      <c r="I10" s="13" t="n"/>
      <c r="J10" s="13" t="n"/>
      <c r="K10" s="13" t="n"/>
      <c r="L10" s="13" t="n"/>
      <c r="M10" s="13" t="n"/>
      <c r="N10" s="13" t="n"/>
      <c r="O10" s="13" t="n"/>
      <c r="P10" s="13" t="n"/>
      <c r="Q10" s="13" t="n"/>
      <c r="R10" s="13" t="n"/>
      <c r="S10" s="13" t="n"/>
      <c r="T10" s="13" t="n"/>
      <c r="U10" s="13" t="n"/>
      <c r="V10" s="13" t="n"/>
    </row>
    <row r="11">
      <c r="A11" s="13" t="n"/>
      <c r="B11" s="13" t="n"/>
      <c r="C11" s="13" t="n"/>
      <c r="D11" s="13" t="n"/>
      <c r="E11" s="13" t="n"/>
      <c r="F11" s="13" t="n"/>
      <c r="G11" s="13" t="n"/>
      <c r="H11" s="13" t="n"/>
      <c r="I11" s="13" t="n"/>
      <c r="J11" s="13" t="n"/>
      <c r="K11" s="13" t="n"/>
      <c r="L11" s="13" t="n"/>
      <c r="M11" s="13" t="n"/>
      <c r="N11" s="13" t="n"/>
      <c r="O11" s="13" t="n"/>
      <c r="P11" s="13" t="n"/>
      <c r="Q11" s="13" t="n"/>
      <c r="R11" s="13" t="n"/>
      <c r="S11" s="13" t="n"/>
      <c r="T11" s="13" t="n"/>
      <c r="U11" s="13" t="n"/>
      <c r="V11" s="13" t="n"/>
    </row>
    <row r="12">
      <c r="A12" s="13" t="n"/>
      <c r="B12" s="13" t="n"/>
      <c r="C12" s="13" t="n"/>
      <c r="D12" s="13" t="n"/>
      <c r="E12" s="13" t="n"/>
      <c r="F12" s="13" t="n"/>
      <c r="G12" s="13" t="n"/>
      <c r="H12" s="13" t="n"/>
      <c r="I12" s="13" t="n"/>
      <c r="J12" s="13" t="n"/>
      <c r="K12" s="13" t="n"/>
      <c r="L12" s="13" t="n"/>
      <c r="M12" s="13" t="n"/>
      <c r="N12" s="13" t="n"/>
      <c r="O12" s="13" t="n"/>
      <c r="P12" s="13" t="n"/>
      <c r="Q12" s="13" t="n"/>
      <c r="R12" s="13" t="n"/>
      <c r="S12" s="13" t="n"/>
      <c r="T12" s="13" t="n"/>
      <c r="U12" s="13" t="n"/>
      <c r="V12" s="13" t="n"/>
    </row>
    <row r="13">
      <c r="A13" s="13" t="n"/>
      <c r="B13" s="13" t="n"/>
      <c r="C13" s="13" t="n"/>
      <c r="D13" s="13" t="n"/>
      <c r="E13" s="13" t="n"/>
      <c r="F13" s="13" t="n"/>
      <c r="G13" s="13" t="n"/>
      <c r="H13" s="13" t="n"/>
      <c r="I13" s="13" t="n"/>
      <c r="J13" s="13" t="n"/>
      <c r="K13" s="13" t="n"/>
      <c r="L13" s="13" t="n"/>
      <c r="M13" s="13" t="n"/>
      <c r="N13" s="13" t="n"/>
      <c r="O13" s="13" t="n"/>
      <c r="P13" s="13" t="n"/>
      <c r="Q13" s="13" t="n"/>
      <c r="R13" s="13" t="n"/>
      <c r="S13" s="13" t="n"/>
      <c r="T13" s="13" t="n"/>
      <c r="U13" s="13" t="n"/>
      <c r="V13" s="13" t="n"/>
    </row>
    <row r="14">
      <c r="A14" s="13" t="n"/>
      <c r="B14" s="13" t="n"/>
      <c r="C14" s="13" t="n"/>
      <c r="D14" s="13" t="n"/>
      <c r="E14" s="13" t="n"/>
      <c r="F14" s="13" t="n"/>
      <c r="G14" s="13" t="n"/>
      <c r="H14" s="13" t="n"/>
      <c r="I14" s="13" t="n"/>
      <c r="J14" s="13" t="n"/>
      <c r="K14" s="13" t="n"/>
      <c r="L14" s="13" t="n"/>
      <c r="M14" s="13" t="n"/>
      <c r="N14" s="13" t="n"/>
      <c r="O14" s="13" t="n"/>
      <c r="P14" s="13" t="n"/>
      <c r="Q14" s="13" t="n"/>
      <c r="R14" s="13" t="n"/>
      <c r="S14" s="13" t="n"/>
      <c r="T14" s="13" t="n"/>
      <c r="U14" s="13" t="n"/>
      <c r="V14" s="13" t="n"/>
    </row>
    <row r="15">
      <c r="A15" s="13" t="n"/>
      <c r="B15" s="13" t="n"/>
      <c r="C15" s="13" t="n"/>
      <c r="D15" s="13" t="n"/>
      <c r="E15" s="13" t="n"/>
      <c r="F15" s="13" t="n"/>
      <c r="G15" s="13" t="n"/>
      <c r="H15" s="13" t="n"/>
      <c r="I15" s="13" t="n"/>
      <c r="J15" s="13" t="n"/>
      <c r="K15" s="13" t="n"/>
      <c r="L15" s="13" t="n"/>
      <c r="M15" s="13" t="n"/>
      <c r="N15" s="13" t="n"/>
      <c r="O15" s="13" t="n"/>
      <c r="P15" s="13" t="n"/>
      <c r="Q15" s="13" t="n"/>
      <c r="R15" s="13" t="n"/>
      <c r="S15" s="13" t="n"/>
      <c r="T15" s="13" t="n"/>
      <c r="U15" s="13" t="n"/>
      <c r="V15" s="13" t="n"/>
    </row>
    <row r="16">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c r="U16" s="13" t="n"/>
      <c r="V16" s="13" t="n"/>
    </row>
    <row r="17">
      <c r="A17" s="13" t="n"/>
      <c r="B17" s="13" t="n"/>
      <c r="C17" s="13" t="n"/>
      <c r="D17" s="13" t="n"/>
      <c r="E17" s="13" t="n"/>
      <c r="F17" s="13" t="n"/>
      <c r="G17" s="13" t="n"/>
      <c r="H17" s="13" t="n"/>
      <c r="I17" s="13" t="n"/>
      <c r="J17" s="13" t="n"/>
      <c r="K17" s="13" t="n"/>
      <c r="L17" s="13" t="n"/>
      <c r="M17" s="13" t="n"/>
      <c r="N17" s="13" t="n"/>
      <c r="O17" s="13" t="n"/>
      <c r="P17" s="13" t="n"/>
      <c r="Q17" s="13" t="n"/>
      <c r="R17" s="13" t="n"/>
      <c r="S17" s="13" t="n"/>
      <c r="T17" s="13" t="n"/>
      <c r="U17" s="13" t="n"/>
      <c r="V17" s="13" t="n"/>
    </row>
    <row r="18">
      <c r="A18" s="13" t="n"/>
      <c r="B18" s="13" t="n"/>
      <c r="C18" s="13" t="n"/>
      <c r="D18" s="13" t="n"/>
      <c r="E18" s="13" t="n"/>
      <c r="F18" s="13" t="n"/>
      <c r="G18" s="13" t="n"/>
      <c r="H18" s="13" t="n"/>
      <c r="I18" s="13" t="n"/>
      <c r="J18" s="13" t="n"/>
      <c r="K18" s="13" t="n"/>
      <c r="L18" s="13" t="n"/>
      <c r="M18" s="13" t="n"/>
      <c r="N18" s="13" t="n"/>
      <c r="O18" s="13" t="n"/>
      <c r="P18" s="13" t="n"/>
      <c r="Q18" s="13" t="n"/>
      <c r="R18" s="13" t="n"/>
      <c r="S18" s="13" t="n"/>
      <c r="T18" s="13" t="n"/>
      <c r="U18" s="13" t="n"/>
      <c r="V18" s="13" t="n"/>
    </row>
    <row r="19">
      <c r="A19" s="13" t="n"/>
      <c r="B19" s="13" t="n"/>
      <c r="C19" s="13" t="n"/>
      <c r="D19" s="13" t="n"/>
      <c r="E19" s="13" t="n"/>
      <c r="F19" s="13" t="n"/>
      <c r="G19" s="13" t="n"/>
      <c r="H19" s="13" t="n"/>
      <c r="I19" s="13" t="n"/>
      <c r="J19" s="13" t="n"/>
      <c r="K19" s="13" t="n"/>
      <c r="L19" s="13" t="n"/>
      <c r="M19" s="13" t="n"/>
      <c r="N19" s="13" t="n"/>
      <c r="O19" s="13" t="n"/>
      <c r="P19" s="13" t="n"/>
      <c r="Q19" s="13" t="n"/>
      <c r="R19" s="13" t="n"/>
      <c r="S19" s="13" t="n"/>
      <c r="T19" s="13" t="n"/>
      <c r="U19" s="13" t="n"/>
      <c r="V19" s="13" t="n"/>
    </row>
    <row r="20">
      <c r="A20" s="13" t="n"/>
      <c r="B20" s="13" t="n"/>
      <c r="C20" s="13" t="n"/>
      <c r="D20" s="13" t="n"/>
      <c r="E20" s="13" t="n"/>
      <c r="F20" s="13" t="n"/>
      <c r="G20" s="13" t="n"/>
      <c r="H20" s="13" t="n"/>
      <c r="I20" s="13" t="n"/>
      <c r="J20" s="13" t="n"/>
      <c r="K20" s="13" t="n"/>
      <c r="L20" s="13" t="n"/>
      <c r="M20" s="13" t="n"/>
      <c r="N20" s="13" t="n"/>
      <c r="O20" s="13" t="n"/>
      <c r="P20" s="13" t="n"/>
      <c r="Q20" s="13" t="n"/>
      <c r="R20" s="13" t="n"/>
      <c r="S20" s="13" t="n"/>
      <c r="T20" s="13" t="n"/>
      <c r="U20" s="13" t="n"/>
      <c r="V20" s="13" t="n"/>
    </row>
    <row r="21">
      <c r="A21" s="13" t="n"/>
      <c r="B21" s="13" t="n"/>
      <c r="C21" s="13" t="n"/>
      <c r="D21" s="13" t="n"/>
      <c r="E21" s="13" t="n"/>
      <c r="F21" s="13" t="n"/>
      <c r="G21" s="13" t="n"/>
      <c r="H21" s="13" t="n"/>
      <c r="I21" s="13" t="n"/>
      <c r="J21" s="13" t="n"/>
      <c r="K21" s="13" t="n"/>
      <c r="L21" s="13" t="n"/>
      <c r="M21" s="13" t="n"/>
      <c r="N21" s="13" t="n"/>
      <c r="O21" s="13" t="n"/>
      <c r="P21" s="13" t="n"/>
      <c r="Q21" s="13" t="n"/>
      <c r="R21" s="13" t="n"/>
      <c r="S21" s="13" t="n"/>
      <c r="T21" s="13" t="n"/>
      <c r="U21" s="13" t="n"/>
      <c r="V21" s="13" t="n"/>
    </row>
    <row r="22">
      <c r="A22" s="13" t="n"/>
      <c r="B22" s="13" t="n"/>
      <c r="C22" s="13" t="n"/>
      <c r="D22" s="13" t="n"/>
      <c r="E22" s="13" t="n"/>
      <c r="F22" s="13" t="n"/>
      <c r="G22" s="13" t="n"/>
      <c r="H22" s="13" t="n"/>
      <c r="I22" s="13" t="n"/>
      <c r="J22" s="13" t="n"/>
      <c r="K22" s="13" t="n"/>
      <c r="L22" s="13" t="n"/>
      <c r="M22" s="13" t="n"/>
      <c r="N22" s="13" t="n"/>
      <c r="O22" s="13" t="n"/>
      <c r="P22" s="13" t="n"/>
      <c r="Q22" s="13" t="n"/>
      <c r="R22" s="13" t="n"/>
      <c r="S22" s="13" t="n"/>
      <c r="T22" s="13" t="n"/>
      <c r="U22" s="13" t="n"/>
      <c r="V22" s="13" t="n"/>
    </row>
    <row r="23">
      <c r="A23" s="13" t="n"/>
      <c r="B23" s="13" t="n"/>
      <c r="C23" s="13" t="n"/>
      <c r="D23" s="13" t="n"/>
      <c r="E23" s="13" t="n"/>
      <c r="F23" s="13" t="n"/>
      <c r="G23" s="13" t="n"/>
      <c r="H23" s="13" t="n"/>
      <c r="I23" s="13" t="n"/>
      <c r="J23" s="13" t="n"/>
      <c r="K23" s="13" t="n"/>
      <c r="L23" s="13" t="n"/>
      <c r="M23" s="13" t="n"/>
      <c r="N23" s="13" t="n"/>
      <c r="O23" s="13" t="n"/>
      <c r="P23" s="13" t="n"/>
      <c r="Q23" s="13" t="n"/>
      <c r="R23" s="13" t="n"/>
      <c r="S23" s="13" t="n"/>
      <c r="T23" s="13" t="n"/>
      <c r="U23" s="13" t="n"/>
      <c r="V23" s="13" t="n"/>
    </row>
    <row r="24">
      <c r="A24" s="13" t="n"/>
      <c r="B24" s="13" t="n"/>
      <c r="C24" s="13" t="n"/>
      <c r="D24" s="13" t="n"/>
      <c r="E24" s="13" t="n"/>
      <c r="F24" s="13" t="n"/>
      <c r="G24" s="13" t="n"/>
      <c r="H24" s="13" t="n"/>
      <c r="I24" s="13" t="n"/>
      <c r="J24" s="13" t="n"/>
      <c r="K24" s="13" t="n"/>
      <c r="L24" s="13" t="n"/>
      <c r="M24" s="13" t="n"/>
      <c r="N24" s="13" t="n"/>
      <c r="O24" s="13" t="n"/>
      <c r="P24" s="13" t="n"/>
      <c r="Q24" s="13" t="n"/>
      <c r="R24" s="13" t="n"/>
      <c r="S24" s="13" t="n"/>
      <c r="T24" s="13" t="n"/>
      <c r="U24" s="13" t="n"/>
      <c r="V24" s="13" t="n"/>
    </row>
    <row r="25">
      <c r="A25" s="13" t="n"/>
      <c r="B25" s="13" t="n"/>
      <c r="C25" s="13" t="n"/>
      <c r="D25" s="13" t="n"/>
      <c r="E25" s="13" t="n"/>
      <c r="F25" s="13" t="n"/>
      <c r="G25" s="13" t="n"/>
      <c r="H25" s="13" t="n"/>
      <c r="I25" s="13" t="n"/>
      <c r="J25" s="13" t="n"/>
      <c r="K25" s="13" t="n"/>
      <c r="L25" s="13" t="n"/>
      <c r="M25" s="13" t="n"/>
      <c r="N25" s="13" t="n"/>
      <c r="O25" s="13" t="n"/>
      <c r="P25" s="13" t="n"/>
      <c r="Q25" s="13" t="n"/>
      <c r="R25" s="13" t="n"/>
      <c r="S25" s="13" t="n"/>
      <c r="T25" s="13" t="n"/>
      <c r="U25" s="13" t="n"/>
      <c r="V25" s="13" t="n"/>
    </row>
    <row r="26">
      <c r="A26" s="13" t="n"/>
      <c r="B26" s="13" t="n"/>
      <c r="C26" s="13" t="n"/>
      <c r="D26" s="13" t="n"/>
      <c r="E26" s="13" t="n"/>
      <c r="F26" s="13" t="n"/>
      <c r="G26" s="13" t="n"/>
      <c r="H26" s="13" t="n"/>
      <c r="I26" s="13" t="n"/>
      <c r="J26" s="13" t="n"/>
      <c r="K26" s="13" t="n"/>
      <c r="L26" s="13" t="n"/>
      <c r="M26" s="13" t="n"/>
      <c r="N26" s="13" t="n"/>
      <c r="O26" s="13" t="n"/>
      <c r="P26" s="13" t="n"/>
      <c r="Q26" s="13" t="n"/>
      <c r="R26" s="13" t="n"/>
      <c r="S26" s="13" t="n"/>
      <c r="T26" s="13" t="n"/>
      <c r="U26" s="13" t="n"/>
      <c r="V26" s="13" t="n"/>
    </row>
    <row r="27">
      <c r="A27" s="13" t="n"/>
      <c r="B27" s="13" t="n"/>
      <c r="C27" s="13" t="n"/>
      <c r="D27" s="13" t="n"/>
      <c r="E27" s="13" t="n"/>
      <c r="F27" s="13" t="n"/>
      <c r="G27" s="13" t="n"/>
      <c r="H27" s="13" t="n"/>
      <c r="I27" s="13" t="n"/>
      <c r="J27" s="13" t="n"/>
      <c r="K27" s="13" t="n"/>
      <c r="L27" s="13" t="n"/>
      <c r="M27" s="13" t="n"/>
      <c r="N27" s="13" t="n"/>
      <c r="O27" s="13" t="n"/>
      <c r="P27" s="13" t="n"/>
      <c r="Q27" s="13" t="n"/>
      <c r="R27" s="13" t="n"/>
      <c r="S27" s="13" t="n"/>
      <c r="T27" s="13" t="n"/>
      <c r="U27" s="13" t="n"/>
      <c r="V27" s="13" t="n"/>
    </row>
    <row r="28">
      <c r="A28" s="13" t="n"/>
      <c r="B28" s="13" t="n"/>
      <c r="C28" s="13" t="n"/>
      <c r="D28" s="13" t="n"/>
      <c r="E28" s="13" t="n"/>
      <c r="F28" s="13" t="n"/>
      <c r="G28" s="13" t="n"/>
      <c r="H28" s="13" t="n"/>
      <c r="I28" s="13" t="n"/>
      <c r="J28" s="13" t="n"/>
      <c r="K28" s="13" t="n"/>
      <c r="L28" s="13" t="n"/>
      <c r="M28" s="13" t="n"/>
      <c r="N28" s="13" t="n"/>
      <c r="O28" s="13" t="n"/>
      <c r="P28" s="13" t="n"/>
      <c r="Q28" s="13" t="n"/>
      <c r="R28" s="13" t="n"/>
      <c r="S28" s="13" t="n"/>
      <c r="T28" s="13" t="n"/>
      <c r="U28" s="13" t="n"/>
      <c r="V28" s="13" t="n"/>
    </row>
    <row r="29">
      <c r="A29" s="13" t="n"/>
      <c r="B29" s="13" t="n"/>
      <c r="C29" s="13" t="n"/>
      <c r="D29" s="13" t="n"/>
      <c r="E29" s="13" t="n"/>
      <c r="F29" s="13" t="n"/>
      <c r="G29" s="13" t="n"/>
      <c r="H29" s="13" t="n"/>
      <c r="I29" s="13" t="n"/>
      <c r="J29" s="13" t="n"/>
      <c r="K29" s="13" t="n"/>
      <c r="L29" s="13" t="n"/>
      <c r="M29" s="13" t="n"/>
      <c r="N29" s="13" t="n"/>
      <c r="O29" s="13" t="n"/>
      <c r="P29" s="13" t="n"/>
      <c r="Q29" s="13" t="n"/>
      <c r="R29" s="13" t="n"/>
      <c r="S29" s="13" t="n"/>
      <c r="T29" s="13" t="n"/>
      <c r="U29" s="13" t="n"/>
      <c r="V29" s="13" t="n"/>
    </row>
    <row r="30">
      <c r="A30" s="13" t="n"/>
      <c r="B30" s="13" t="n"/>
      <c r="C30" s="13" t="n"/>
      <c r="D30" s="13" t="n"/>
      <c r="E30" s="13" t="n"/>
      <c r="F30" s="13" t="n"/>
      <c r="G30" s="13" t="n"/>
      <c r="H30" s="13" t="n"/>
      <c r="I30" s="13" t="n"/>
      <c r="J30" s="13" t="n"/>
      <c r="K30" s="13" t="n"/>
      <c r="L30" s="13" t="n"/>
      <c r="M30" s="13" t="n"/>
      <c r="N30" s="13" t="n"/>
      <c r="O30" s="13" t="n"/>
      <c r="P30" s="13" t="n"/>
      <c r="Q30" s="13" t="n"/>
      <c r="R30" s="13" t="n"/>
      <c r="S30" s="13" t="n"/>
      <c r="T30" s="13" t="n"/>
      <c r="U30" s="13" t="n"/>
      <c r="V30" s="13" t="n"/>
    </row>
    <row r="31">
      <c r="A31" s="13" t="n"/>
      <c r="B31" s="13" t="n"/>
      <c r="C31" s="13" t="n"/>
      <c r="D31" s="13" t="n"/>
      <c r="E31" s="13" t="n"/>
      <c r="F31" s="13" t="n"/>
      <c r="G31" s="13" t="n"/>
      <c r="H31" s="13" t="n"/>
      <c r="I31" s="13" t="n"/>
      <c r="J31" s="13" t="n"/>
      <c r="K31" s="13" t="n"/>
      <c r="L31" s="13" t="n"/>
      <c r="M31" s="13" t="n"/>
      <c r="N31" s="13" t="n"/>
      <c r="O31" s="13" t="n"/>
      <c r="P31" s="13" t="n"/>
      <c r="Q31" s="13" t="n"/>
      <c r="R31" s="13" t="n"/>
      <c r="S31" s="13" t="n"/>
      <c r="T31" s="13" t="n"/>
      <c r="U31" s="13" t="n"/>
      <c r="V31" s="13" t="n"/>
    </row>
    <row r="32">
      <c r="A32" s="13" t="n"/>
      <c r="B32" s="13" t="n"/>
      <c r="C32" s="13" t="n"/>
      <c r="D32" s="13" t="n"/>
      <c r="E32" s="13" t="n"/>
      <c r="F32" s="13" t="n"/>
      <c r="G32" s="13" t="n"/>
      <c r="H32" s="13" t="n"/>
      <c r="I32" s="13" t="n"/>
      <c r="J32" s="13" t="n"/>
      <c r="K32" s="13" t="n"/>
      <c r="L32" s="13" t="n"/>
      <c r="M32" s="13" t="n"/>
      <c r="N32" s="13" t="n"/>
      <c r="O32" s="13" t="n"/>
      <c r="P32" s="13" t="n"/>
      <c r="Q32" s="13" t="n"/>
      <c r="R32" s="13" t="n"/>
      <c r="S32" s="13" t="n"/>
      <c r="T32" s="13" t="n"/>
      <c r="U32" s="13" t="n"/>
      <c r="V32" s="13" t="n"/>
    </row>
    <row r="33">
      <c r="A33" s="13" t="n"/>
      <c r="B33" s="13" t="n"/>
      <c r="C33" s="13" t="n"/>
      <c r="D33" s="13" t="n"/>
      <c r="E33" s="13" t="n"/>
      <c r="F33" s="13" t="n"/>
      <c r="G33" s="13" t="n"/>
      <c r="H33" s="13" t="n"/>
      <c r="I33" s="13" t="n"/>
      <c r="J33" s="13" t="n"/>
      <c r="K33" s="13" t="n"/>
      <c r="L33" s="13" t="n"/>
      <c r="M33" s="13" t="n"/>
      <c r="N33" s="13" t="n"/>
      <c r="O33" s="13" t="n"/>
      <c r="P33" s="13" t="n"/>
      <c r="Q33" s="13" t="n"/>
      <c r="R33" s="13" t="n"/>
      <c r="S33" s="13" t="n"/>
      <c r="T33" s="13" t="n"/>
      <c r="U33" s="13" t="n"/>
      <c r="V33" s="13" t="n"/>
    </row>
    <row r="34">
      <c r="A34" s="13" t="n"/>
      <c r="B34" s="13" t="n"/>
      <c r="C34" s="13" t="n"/>
      <c r="D34" s="13" t="n"/>
      <c r="E34" s="13" t="n"/>
      <c r="F34" s="13" t="n"/>
      <c r="G34" s="13" t="n"/>
      <c r="H34" s="13" t="n"/>
      <c r="I34" s="13" t="n"/>
      <c r="J34" s="13" t="n"/>
      <c r="K34" s="13" t="n"/>
      <c r="L34" s="13" t="n"/>
      <c r="M34" s="13" t="n"/>
      <c r="N34" s="13" t="n"/>
      <c r="O34" s="13" t="n"/>
      <c r="P34" s="13" t="n"/>
      <c r="Q34" s="13" t="n"/>
      <c r="R34" s="13" t="n"/>
      <c r="S34" s="13" t="n"/>
      <c r="T34" s="13" t="n"/>
      <c r="U34" s="13" t="n"/>
      <c r="V34" s="13" t="n"/>
    </row>
    <row r="35">
      <c r="A35" s="13" t="n"/>
      <c r="B35" s="13" t="n"/>
      <c r="C35" s="13" t="n"/>
      <c r="D35" s="13" t="n"/>
      <c r="E35" s="13" t="n"/>
      <c r="F35" s="13" t="n"/>
      <c r="G35" s="13" t="n"/>
      <c r="H35" s="13" t="n"/>
      <c r="I35" s="13" t="n"/>
      <c r="J35" s="13" t="n"/>
      <c r="K35" s="13" t="n"/>
      <c r="L35" s="13" t="n"/>
      <c r="M35" s="13" t="n"/>
      <c r="N35" s="13" t="n"/>
      <c r="O35" s="13" t="n"/>
      <c r="P35" s="13" t="n"/>
      <c r="Q35" s="13" t="n"/>
      <c r="R35" s="13" t="n"/>
      <c r="S35" s="13" t="n"/>
      <c r="T35" s="13" t="n"/>
      <c r="U35" s="13" t="n"/>
      <c r="V35" s="13" t="n"/>
    </row>
    <row r="36">
      <c r="A36" s="13" t="n"/>
      <c r="B36" s="13" t="n"/>
      <c r="C36" s="13" t="n"/>
      <c r="D36" s="13" t="n"/>
      <c r="E36" s="13" t="n"/>
      <c r="F36" s="13" t="n"/>
      <c r="G36" s="13" t="n"/>
      <c r="H36" s="13" t="n"/>
      <c r="I36" s="13" t="n"/>
      <c r="J36" s="13" t="n"/>
      <c r="K36" s="13" t="n"/>
      <c r="L36" s="13" t="n"/>
      <c r="M36" s="13" t="n"/>
      <c r="N36" s="13" t="n"/>
      <c r="O36" s="13" t="n"/>
      <c r="P36" s="13" t="n"/>
      <c r="Q36" s="13" t="n"/>
      <c r="R36" s="13" t="n"/>
      <c r="S36" s="13" t="n"/>
      <c r="T36" s="13" t="n"/>
      <c r="U36" s="13" t="n"/>
      <c r="V36" s="13" t="n"/>
    </row>
    <row r="37">
      <c r="A37" s="13" t="n"/>
      <c r="B37" s="13" t="n"/>
      <c r="C37" s="13" t="n"/>
      <c r="D37" s="13" t="n"/>
      <c r="E37" s="13" t="n"/>
      <c r="F37" s="13" t="n"/>
      <c r="G37" s="13" t="n"/>
      <c r="H37" s="13" t="n"/>
      <c r="I37" s="13" t="n"/>
      <c r="J37" s="13" t="n"/>
      <c r="K37" s="13" t="n"/>
      <c r="L37" s="13" t="n"/>
      <c r="M37" s="13" t="n"/>
      <c r="N37" s="13" t="n"/>
      <c r="O37" s="13" t="n"/>
      <c r="P37" s="13" t="n"/>
      <c r="Q37" s="13" t="n"/>
      <c r="R37" s="13" t="n"/>
      <c r="S37" s="13" t="n"/>
      <c r="T37" s="13" t="n"/>
      <c r="U37" s="13" t="n"/>
      <c r="V37" s="13" t="n"/>
    </row>
    <row r="38">
      <c r="A38" s="13" t="n"/>
      <c r="B38" s="13" t="n"/>
      <c r="C38" s="13" t="n"/>
      <c r="D38" s="13" t="n"/>
      <c r="E38" s="13" t="n"/>
      <c r="F38" s="13" t="n"/>
      <c r="G38" s="13" t="n"/>
      <c r="H38" s="13" t="n"/>
      <c r="I38" s="13" t="n"/>
      <c r="J38" s="13" t="n"/>
      <c r="K38" s="13" t="n"/>
      <c r="L38" s="13" t="n"/>
      <c r="M38" s="13" t="n"/>
      <c r="N38" s="13" t="n"/>
      <c r="O38" s="13" t="n"/>
      <c r="P38" s="13" t="n"/>
      <c r="Q38" s="13" t="n"/>
      <c r="R38" s="13" t="n"/>
      <c r="S38" s="13" t="n"/>
      <c r="T38" s="13" t="n"/>
      <c r="U38" s="13" t="n"/>
      <c r="V38" s="13" t="n"/>
    </row>
    <row r="39">
      <c r="A39" s="13" t="n"/>
      <c r="B39" s="13" t="n"/>
      <c r="C39" s="13" t="n"/>
      <c r="D39" s="13" t="n"/>
      <c r="E39" s="13" t="n"/>
      <c r="F39" s="13" t="n"/>
      <c r="G39" s="13" t="n"/>
      <c r="H39" s="13" t="n"/>
      <c r="I39" s="13" t="n"/>
      <c r="J39" s="13" t="n"/>
      <c r="K39" s="13" t="n"/>
      <c r="L39" s="13" t="n"/>
      <c r="M39" s="13" t="n"/>
      <c r="N39" s="13" t="n"/>
      <c r="O39" s="13" t="n"/>
      <c r="P39" s="13" t="n"/>
      <c r="Q39" s="13" t="n"/>
      <c r="R39" s="13" t="n"/>
      <c r="S39" s="13" t="n"/>
      <c r="T39" s="13" t="n"/>
      <c r="U39" s="13" t="n"/>
      <c r="V39" s="13" t="n"/>
    </row>
    <row r="40">
      <c r="A40" s="13" t="n"/>
      <c r="B40" s="13" t="n"/>
      <c r="C40" s="13" t="n"/>
      <c r="D40" s="13" t="n"/>
      <c r="E40" s="13" t="n"/>
      <c r="F40" s="13" t="n"/>
      <c r="G40" s="13" t="n"/>
      <c r="H40" s="13" t="n"/>
      <c r="I40" s="13" t="n"/>
      <c r="J40" s="13" t="n"/>
      <c r="K40" s="13" t="n"/>
      <c r="L40" s="13" t="n"/>
      <c r="M40" s="13" t="n"/>
      <c r="N40" s="13" t="n"/>
      <c r="O40" s="13" t="n"/>
      <c r="P40" s="13" t="n"/>
      <c r="Q40" s="13" t="n"/>
      <c r="R40" s="13" t="n"/>
      <c r="S40" s="13" t="n"/>
      <c r="T40" s="13" t="n"/>
      <c r="U40" s="13" t="n"/>
      <c r="V40" s="13" t="n"/>
    </row>
    <row r="41">
      <c r="A41" s="13" t="n"/>
      <c r="B41" s="13" t="n"/>
      <c r="C41" s="13" t="n"/>
      <c r="D41" s="13" t="n"/>
      <c r="E41" s="13" t="n"/>
      <c r="F41" s="13" t="n"/>
      <c r="G41" s="13" t="n"/>
      <c r="H41" s="13" t="n"/>
      <c r="I41" s="13" t="n"/>
      <c r="J41" s="13" t="n"/>
      <c r="K41" s="13" t="n"/>
      <c r="L41" s="13" t="n"/>
      <c r="M41" s="13" t="n"/>
      <c r="N41" s="13" t="n"/>
      <c r="O41" s="13" t="n"/>
      <c r="P41" s="13" t="n"/>
      <c r="Q41" s="13" t="n"/>
      <c r="R41" s="13" t="n"/>
      <c r="S41" s="13" t="n"/>
      <c r="T41" s="13" t="n"/>
      <c r="U41" s="13" t="n"/>
      <c r="V41" s="13" t="n"/>
    </row>
    <row r="42">
      <c r="A42" s="13" t="n"/>
      <c r="B42" s="13" t="n"/>
      <c r="C42" s="13" t="n"/>
      <c r="D42" s="13" t="n"/>
      <c r="E42" s="13" t="n"/>
      <c r="F42" s="13" t="n"/>
      <c r="G42" s="13" t="n"/>
      <c r="H42" s="13" t="n"/>
      <c r="I42" s="13" t="n"/>
      <c r="J42" s="13" t="n"/>
      <c r="K42" s="13" t="n"/>
      <c r="L42" s="13" t="n"/>
      <c r="M42" s="13" t="n"/>
      <c r="N42" s="13" t="n"/>
      <c r="O42" s="13" t="n"/>
      <c r="P42" s="13" t="n"/>
      <c r="Q42" s="13" t="n"/>
      <c r="R42" s="13" t="n"/>
      <c r="S42" s="13" t="n"/>
      <c r="T42" s="13" t="n"/>
      <c r="U42" s="13" t="n"/>
      <c r="V42" s="13" t="n"/>
    </row>
    <row r="43">
      <c r="A43" s="13" t="n"/>
      <c r="B43" s="13" t="n"/>
      <c r="C43" s="13" t="n"/>
      <c r="D43" s="13" t="n"/>
      <c r="E43" s="13" t="n"/>
      <c r="F43" s="13" t="n"/>
      <c r="G43" s="13" t="n"/>
      <c r="H43" s="13" t="n"/>
      <c r="I43" s="13" t="n"/>
      <c r="J43" s="13" t="n"/>
      <c r="K43" s="13" t="n"/>
      <c r="L43" s="13" t="n"/>
      <c r="M43" s="13" t="n"/>
      <c r="N43" s="13" t="n"/>
      <c r="O43" s="13" t="n"/>
      <c r="P43" s="13" t="n"/>
      <c r="Q43" s="13" t="n"/>
      <c r="R43" s="13" t="n"/>
      <c r="S43" s="13" t="n"/>
      <c r="T43" s="13" t="n"/>
      <c r="U43" s="13" t="n"/>
      <c r="V43" s="13" t="n"/>
    </row>
    <row r="44">
      <c r="A44" s="13" t="n"/>
      <c r="B44" s="13" t="n"/>
      <c r="C44" s="13" t="n"/>
      <c r="D44" s="13" t="n"/>
      <c r="E44" s="13" t="n"/>
      <c r="F44" s="13" t="n"/>
      <c r="G44" s="13" t="n"/>
      <c r="H44" s="13" t="n"/>
      <c r="I44" s="13" t="n"/>
      <c r="J44" s="13" t="n"/>
      <c r="K44" s="13" t="n"/>
      <c r="L44" s="13" t="n"/>
      <c r="M44" s="13" t="n"/>
      <c r="N44" s="13" t="n"/>
      <c r="O44" s="13" t="n"/>
      <c r="P44" s="13" t="n"/>
      <c r="Q44" s="13" t="n"/>
      <c r="R44" s="13" t="n"/>
      <c r="S44" s="13" t="n"/>
      <c r="T44" s="13" t="n"/>
      <c r="U44" s="13" t="n"/>
      <c r="V44" s="13" t="n"/>
    </row>
    <row r="45">
      <c r="A45" s="13" t="n"/>
      <c r="B45" s="13" t="n"/>
      <c r="C45" s="13" t="n"/>
      <c r="D45" s="13" t="n"/>
      <c r="E45" s="13" t="n"/>
      <c r="F45" s="13" t="n"/>
      <c r="G45" s="13" t="n"/>
      <c r="H45" s="13" t="n"/>
      <c r="I45" s="13" t="n"/>
      <c r="J45" s="13" t="n"/>
      <c r="K45" s="13" t="n"/>
      <c r="L45" s="13" t="n"/>
      <c r="M45" s="13" t="n"/>
      <c r="N45" s="13" t="n"/>
      <c r="O45" s="13" t="n"/>
      <c r="P45" s="13" t="n"/>
      <c r="Q45" s="13" t="n"/>
      <c r="R45" s="13" t="n"/>
      <c r="S45" s="13" t="n"/>
      <c r="T45" s="13" t="n"/>
      <c r="U45" s="13" t="n"/>
      <c r="V45" s="13" t="n"/>
    </row>
    <row r="46">
      <c r="A46" s="13" t="n"/>
      <c r="B46" s="13" t="n"/>
      <c r="C46" s="13" t="n"/>
      <c r="D46" s="13" t="n"/>
      <c r="E46" s="13" t="n"/>
      <c r="F46" s="13" t="n"/>
      <c r="G46" s="13" t="n"/>
      <c r="H46" s="13" t="n"/>
      <c r="I46" s="13" t="n"/>
      <c r="J46" s="13" t="n"/>
      <c r="K46" s="13" t="n"/>
      <c r="L46" s="13" t="n"/>
      <c r="M46" s="13" t="n"/>
      <c r="N46" s="13" t="n"/>
      <c r="O46" s="13" t="n"/>
      <c r="P46" s="13" t="n"/>
      <c r="Q46" s="13" t="n"/>
      <c r="R46" s="13" t="n"/>
      <c r="S46" s="13" t="n"/>
      <c r="T46" s="13" t="n"/>
      <c r="U46" s="13" t="n"/>
      <c r="V46" s="13" t="n"/>
    </row>
    <row r="47">
      <c r="A47" s="13" t="n"/>
      <c r="B47" s="13" t="n"/>
      <c r="C47" s="13" t="n"/>
      <c r="D47" s="13" t="n"/>
      <c r="E47" s="13" t="n"/>
      <c r="F47" s="13" t="n"/>
      <c r="G47" s="13" t="n"/>
      <c r="H47" s="13" t="n"/>
      <c r="I47" s="13" t="n"/>
      <c r="J47" s="13" t="n"/>
      <c r="K47" s="13" t="n"/>
      <c r="L47" s="13" t="n"/>
      <c r="M47" s="13" t="n"/>
      <c r="N47" s="13" t="n"/>
      <c r="O47" s="13" t="n"/>
      <c r="P47" s="13" t="n"/>
      <c r="Q47" s="13" t="n"/>
      <c r="R47" s="13" t="n"/>
      <c r="S47" s="13" t="n"/>
      <c r="T47" s="13" t="n"/>
      <c r="U47" s="13" t="n"/>
      <c r="V47" s="13" t="n"/>
    </row>
    <row r="48">
      <c r="A48" s="13" t="n"/>
      <c r="B48" s="13" t="n"/>
      <c r="C48" s="13" t="n"/>
      <c r="D48" s="13" t="n"/>
      <c r="E48" s="13" t="n"/>
      <c r="F48" s="13" t="n"/>
      <c r="G48" s="13" t="n"/>
      <c r="H48" s="13" t="n"/>
      <c r="I48" s="13" t="n"/>
      <c r="J48" s="13" t="n"/>
      <c r="K48" s="13" t="n"/>
      <c r="L48" s="13" t="n"/>
      <c r="M48" s="13" t="n"/>
      <c r="N48" s="13" t="n"/>
      <c r="O48" s="13" t="n"/>
      <c r="P48" s="13" t="n"/>
      <c r="Q48" s="13" t="n"/>
      <c r="R48" s="13" t="n"/>
      <c r="S48" s="13" t="n"/>
      <c r="T48" s="13" t="n"/>
      <c r="U48" s="13" t="n"/>
      <c r="V48" s="13" t="n"/>
    </row>
    <row r="49">
      <c r="A49" s="13" t="n"/>
      <c r="B49" s="13" t="n"/>
      <c r="C49" s="13" t="n"/>
      <c r="D49" s="13" t="n"/>
      <c r="E49" s="13" t="n"/>
      <c r="F49" s="13" t="n"/>
      <c r="G49" s="13" t="n"/>
      <c r="H49" s="13" t="n"/>
      <c r="I49" s="13" t="n"/>
      <c r="J49" s="13" t="n"/>
      <c r="K49" s="13" t="n"/>
      <c r="L49" s="13" t="n"/>
      <c r="M49" s="13" t="n"/>
      <c r="N49" s="13" t="n"/>
      <c r="O49" s="13" t="n"/>
      <c r="P49" s="13" t="n"/>
      <c r="Q49" s="13" t="n"/>
      <c r="R49" s="13" t="n"/>
      <c r="S49" s="13" t="n"/>
      <c r="T49" s="13" t="n"/>
      <c r="U49" s="13" t="n"/>
      <c r="V49" s="13" t="n"/>
    </row>
    <row r="50">
      <c r="A50" s="13" t="n"/>
      <c r="B50" s="13" t="n"/>
      <c r="C50" s="13" t="n"/>
      <c r="D50" s="13" t="n"/>
      <c r="E50" s="13" t="n"/>
      <c r="F50" s="13" t="n"/>
      <c r="G50" s="13" t="n"/>
      <c r="H50" s="13" t="n"/>
      <c r="I50" s="13" t="n"/>
      <c r="J50" s="13" t="n"/>
      <c r="K50" s="13" t="n"/>
      <c r="L50" s="13" t="n"/>
      <c r="M50" s="13" t="n"/>
      <c r="N50" s="13" t="n"/>
      <c r="O50" s="13" t="n"/>
      <c r="P50" s="13" t="n"/>
      <c r="Q50" s="13" t="n"/>
      <c r="R50" s="13" t="n"/>
      <c r="S50" s="13" t="n"/>
      <c r="T50" s="13" t="n"/>
      <c r="U50" s="13" t="n"/>
      <c r="V50" s="13" t="n"/>
    </row>
    <row r="51">
      <c r="A51" s="13" t="n"/>
      <c r="B51" s="13" t="n"/>
      <c r="C51" s="13" t="n"/>
      <c r="D51" s="13" t="n"/>
      <c r="E51" s="13" t="n"/>
      <c r="F51" s="13" t="n"/>
      <c r="G51" s="13" t="n"/>
      <c r="H51" s="13" t="n"/>
      <c r="I51" s="13" t="n"/>
      <c r="J51" s="13" t="n"/>
      <c r="K51" s="13" t="n"/>
      <c r="L51" s="13" t="n"/>
      <c r="M51" s="13" t="n"/>
      <c r="N51" s="13" t="n"/>
      <c r="O51" s="13" t="n"/>
      <c r="P51" s="13" t="n"/>
      <c r="Q51" s="13" t="n"/>
      <c r="R51" s="13" t="n"/>
      <c r="S51" s="13" t="n"/>
      <c r="T51" s="13" t="n"/>
      <c r="U51" s="13" t="n"/>
      <c r="V51" s="13" t="n"/>
    </row>
    <row r="52">
      <c r="A52" s="13" t="n"/>
      <c r="B52" s="13" t="n"/>
      <c r="C52" s="13" t="n"/>
      <c r="D52" s="13" t="n"/>
      <c r="E52" s="13" t="n"/>
      <c r="F52" s="13" t="n"/>
      <c r="G52" s="13" t="n"/>
      <c r="H52" s="13" t="n"/>
      <c r="I52" s="13" t="n"/>
      <c r="J52" s="13" t="n"/>
      <c r="K52" s="13" t="n"/>
      <c r="L52" s="13" t="n"/>
      <c r="M52" s="13" t="n"/>
      <c r="N52" s="13" t="n"/>
      <c r="O52" s="13" t="n"/>
      <c r="P52" s="13" t="n"/>
      <c r="Q52" s="13" t="n"/>
      <c r="R52" s="13" t="n"/>
      <c r="S52" s="13" t="n"/>
      <c r="T52" s="13" t="n"/>
      <c r="U52" s="13" t="n"/>
      <c r="V52" s="13" t="n"/>
    </row>
  </sheetData>
  <conditionalFormatting sqref="B2:B1000">
    <cfRule type="cellIs" priority="1" operator="equal" dxfId="0">
      <formula>"Not Started"</formula>
    </cfRule>
    <cfRule type="cellIs" priority="2" operator="equal" dxfId="1">
      <formula>"In Progress"</formula>
    </cfRule>
    <cfRule type="cellIs" priority="3" operator="equal" dxfId="2">
      <formula>"Complete"</formula>
    </cfRule>
    <cfRule type="cellIs" priority="4" operator="equal" dxfId="3">
      <formula>"Validated"</formula>
    </cfRule>
  </conditionalFormatting>
  <conditionalFormatting sqref="L2:L1000">
    <cfRule type="expression" priority="5" dxfId="5">
      <formula>AND($L2="Yes",$N2="")</formula>
    </cfRule>
  </conditionalFormatting>
  <dataValidations count="8">
    <dataValidation sqref="B3:B1000" showDropDown="1" showInputMessage="0" showErrorMessage="0" allowBlank="1" errorTitle="Invalid Entry" error="Invalid value. Please select from dropdown." type="list">
      <formula1>"Not Started,In Progress,Complete,Validated"</formula1>
    </dataValidation>
    <dataValidation sqref="F3:F1000" showDropDown="1" showInputMessage="0" showErrorMessage="0" allowBlank="1" errorTitle="Invalid Entry" error="Invalid value. Please select from dropdown." type="list">
      <formula1>"API,File Transfer,Email,Manual Entry,Database Replication,Backup,Other"</formula1>
    </dataValidation>
    <dataValidation sqref="G3:G1000" showDropDown="1" showInputMessage="0" showErrorMessage="0" allowBlank="1" errorTitle="Invalid Entry" error="Invalid value. Please select from dropdown." type="list">
      <formula1>"Real-time,Hourly,Daily,Weekly,Monthly,On-Demand,One-Time"</formula1>
    </dataValidation>
    <dataValidation sqref="I3:I1000" showDropDown="1" showInputMessage="0" showErrorMessage="0" allowBlank="1" errorTitle="Invalid Entry" error="Invalid value. Please select from dropdown." type="list">
      <formula1>"Consent (Art. 6(1)(a)),Contract (Art. 6(1)(b)),Legal Obligation (Art. 6(1)(c)),Vital Interests (Art. 6(1)(d)),Public Task (Art. 6(1)(e)),Legitimate Interests (Art. 6(1)(f))"</formula1>
    </dataValidation>
    <dataValidation sqref="J3:J1000" showDropDown="1" showInputMessage="0" showErrorMessage="0" allowBlank="1" errorTitle="Invalid Entry" error="Invalid value. Please select from dropdown." type="list">
      <formula1>"Internal (within organisation),Processor (processes on our behalf per Art. 28),Third Party (separate controller),Public Authority (government, regulator)"</formula1>
    </dataValidation>
    <dataValidation sqref="L3:L1000" showDropDown="1" showInputMessage="0" showErrorMessage="0" allowBlank="1" errorTitle="Invalid Entry" error="Invalid value. Please select from dropdown." type="list">
      <formula1>"Yes,No"</formula1>
    </dataValidation>
    <dataValidation sqref="N3:N1000" showDropDown="1" showInputMessage="0" showErrorMessage="0" allowBlank="1" errorTitle="Invalid Entry" error="Invalid value. Please select from dropdown." type="list">
      <formula1>"No cross-border transfer,Adequacy Decision (EU/CH recognizes country),Standard Contractual Clauses (SCCs),Binding Corporate Rules (BCRs),EU-US Data Privacy Framework (DPF) Certification,Derogation - Explicit Consent,Derogation - Contract Necessity,Derogation - Legal Claims,Derogation - Vital Interests,Derogation - Legitimate Interests (Occasional)"</formula1>
    </dataValidation>
    <dataValidation sqref="P3:P1000" showDropDown="1" showInputMessage="0" showErrorMessage="0" allowBlank="1" errorTitle="Invalid Entry" error="Invalid value. Please select from dropdown." type="list">
      <formula1>"Yes,No,N/A"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5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0" customWidth="1" min="3" max="3"/>
    <col width="40" customWidth="1" min="4" max="4"/>
    <col width="25" customWidth="1" min="5" max="5"/>
    <col width="30" customWidth="1" min="6" max="6"/>
    <col width="40" customWidth="1" min="7" max="7"/>
    <col width="25" customWidth="1" min="8" max="8"/>
    <col width="40" customWidth="1" min="9" max="9"/>
    <col width="18" customWidth="1" min="10" max="10"/>
    <col width="35" customWidth="1" min="11" max="11"/>
    <col width="30" customWidth="1" min="12" max="12"/>
    <col width="35" customWidth="1" min="13" max="13"/>
    <col width="30" customWidth="1" min="14" max="14"/>
    <col width="30" customWidth="1" min="15" max="15"/>
    <col width="15" customWidth="1" min="16" max="16"/>
    <col width="25" customWidth="1" min="17" max="17"/>
    <col width="35" customWidth="1" min="18" max="18"/>
    <col width="30" customWidth="1" min="19" max="19"/>
    <col width="35" customWidth="1" min="20" max="20"/>
    <col width="25" customWidth="1" min="21" max="21"/>
    <col width="40" customWidth="1" min="22" max="22"/>
    <col width="40" customWidth="1" min="23" max="23"/>
    <col width="30" customWidth="1" min="24" max="24"/>
    <col width="35" customWidth="1" min="25" max="25"/>
    <col width="15" customWidth="1" min="26" max="26"/>
    <col width="20" customWidth="1" min="27" max="27"/>
    <col width="18" customWidth="1" min="28" max="28"/>
    <col width="20" customWidth="1" min="29" max="29"/>
    <col width="15" customWidth="1" min="30" max="30"/>
    <col width="20" customWidth="1" min="31" max="31"/>
    <col width="40" customWidth="1" min="32" max="32"/>
    <col width="20" customWidth="1" min="33" max="33"/>
    <col width="30" customWidth="1" min="34" max="34"/>
  </cols>
  <sheetData>
    <row r="1">
      <c r="A1" s="11" t="inlineStr">
        <is>
          <t>RowID</t>
        </is>
      </c>
      <c r="B1" s="11" t="inlineStr">
        <is>
          <t>Status</t>
        </is>
      </c>
      <c r="C1" s="11" t="inlineStr">
        <is>
          <t>Processing Activity Name</t>
        </is>
      </c>
      <c r="D1" s="11" t="inlineStr">
        <is>
          <t>Purpose of Processing</t>
        </is>
      </c>
      <c r="E1" s="11" t="inlineStr">
        <is>
          <t>Legal Basis (Art. 6)</t>
        </is>
      </c>
      <c r="F1" s="11" t="inlineStr">
        <is>
          <t>Legal Basis (Art. 9 if special category)</t>
        </is>
      </c>
      <c r="G1" s="11" t="inlineStr">
        <is>
          <t>Legal Basis Justification</t>
        </is>
      </c>
      <c r="H1" s="11" t="inlineStr">
        <is>
          <t>Categories of Data Subjects</t>
        </is>
      </c>
      <c r="I1" s="11" t="inlineStr">
        <is>
          <t>Categories of Personal Data</t>
        </is>
      </c>
      <c r="J1" s="11" t="inlineStr">
        <is>
          <t>Contains Special Category Data?</t>
        </is>
      </c>
      <c r="K1" s="11" t="inlineStr">
        <is>
          <t>Specific Special Category Types</t>
        </is>
      </c>
      <c r="L1" s="11" t="inlineStr">
        <is>
          <t>Categories of Recipients (Internal)</t>
        </is>
      </c>
      <c r="M1" s="11" t="inlineStr">
        <is>
          <t>Categories of Recipients (Processors)</t>
        </is>
      </c>
      <c r="N1" s="11" t="inlineStr">
        <is>
          <t>Categories of Recipients (Third Parties)</t>
        </is>
      </c>
      <c r="O1" s="11" t="inlineStr">
        <is>
          <t>Categories of Recipients (Public Authorities)</t>
        </is>
      </c>
      <c r="P1" s="11" t="inlineStr">
        <is>
          <t>Transfers to Third Countries?</t>
        </is>
      </c>
      <c r="Q1" s="11" t="inlineStr">
        <is>
          <t>Third Countries</t>
        </is>
      </c>
      <c r="R1" s="11" t="inlineStr">
        <is>
          <t>Transfer Safeguards</t>
        </is>
      </c>
      <c r="S1" s="11" t="inlineStr">
        <is>
          <t>Retention Period</t>
        </is>
      </c>
      <c r="T1" s="11" t="inlineStr">
        <is>
          <t>Retention Justification</t>
        </is>
      </c>
      <c r="U1" s="11" t="inlineStr">
        <is>
          <t>Deletion Method</t>
        </is>
      </c>
      <c r="V1" s="11" t="inlineStr">
        <is>
          <t>Technical Security Measures</t>
        </is>
      </c>
      <c r="W1" s="11" t="inlineStr">
        <is>
          <t>Organisational Security Measures</t>
        </is>
      </c>
      <c r="X1" s="11" t="inlineStr">
        <is>
          <t>Data Sources</t>
        </is>
      </c>
      <c r="Y1" s="11" t="inlineStr">
        <is>
          <t>Data Subject Rights Supported</t>
        </is>
      </c>
      <c r="Z1" s="11" t="inlineStr">
        <is>
          <t>DPIA Completed?</t>
        </is>
      </c>
      <c r="AA1" s="11" t="inlineStr">
        <is>
          <t>DPIA Reference</t>
        </is>
      </c>
      <c r="AB1" s="11" t="inlineStr">
        <is>
          <t>LIA Completed? (if Leg. Interest)</t>
        </is>
      </c>
      <c r="AC1" s="11" t="inlineStr">
        <is>
          <t>LIA Reference</t>
        </is>
      </c>
      <c r="AD1" s="11" t="inlineStr">
        <is>
          <t>Last Updated</t>
        </is>
      </c>
      <c r="AE1" s="11" t="inlineStr">
        <is>
          <t>Updated By</t>
        </is>
      </c>
      <c r="AF1" s="11" t="inlineStr">
        <is>
          <t>Notes</t>
        </is>
      </c>
      <c r="AG1" s="11" t="inlineStr">
        <is>
          <t>Evidence Reference</t>
        </is>
      </c>
      <c r="AH1" s="11" t="inlineStr">
        <is>
          <t>Review Comments</t>
        </is>
      </c>
    </row>
    <row r="2">
      <c r="A2" s="12">
        <f>TEXT(ROW()-1,"ROPA-000")</f>
        <v/>
      </c>
      <c r="B2" s="12" t="n"/>
      <c r="C2" s="12" t="inlineStr">
        <is>
          <t>Employee Payroll Processing</t>
        </is>
      </c>
      <c r="D2" s="12" t="inlineStr">
        <is>
          <t>Processing employee salaries and tax obligations</t>
        </is>
      </c>
      <c r="E2" s="12" t="inlineStr">
        <is>
          <t>Contract (GDPR Art. 6(1)(b))</t>
        </is>
      </c>
      <c r="F2" s="12" t="n"/>
      <c r="G2" s="12" t="n"/>
      <c r="H2" s="12" t="inlineStr">
        <is>
          <t>Employees</t>
        </is>
      </c>
      <c r="I2" s="12" t="inlineStr">
        <is>
          <t>Names, Bank Account Details, Tax ID, Salary</t>
        </is>
      </c>
      <c r="J2" s="12" t="inlineStr">
        <is>
          <t>No</t>
        </is>
      </c>
      <c r="K2" s="12" t="n"/>
      <c r="L2" s="12" t="n"/>
      <c r="M2" s="12" t="n"/>
      <c r="N2" s="12" t="n"/>
      <c r="O2" s="12" t="n"/>
      <c r="P2" s="12" t="inlineStr">
        <is>
          <t>No</t>
        </is>
      </c>
      <c r="Q2" s="12" t="n"/>
      <c r="R2" s="12" t="n"/>
      <c r="S2" s="12" t="inlineStr">
        <is>
          <t>AES-256 encryption at rest and in transit</t>
        </is>
      </c>
      <c r="T2" s="12" t="inlineStr">
        <is>
          <t>Need-to-know access control, HR policy</t>
        </is>
      </c>
      <c r="U2" s="12" t="n"/>
      <c r="V2" s="12" t="n"/>
      <c r="W2" s="12" t="n"/>
      <c r="X2" s="12" t="n"/>
      <c r="Y2" s="12" t="n"/>
      <c r="Z2" s="12" t="n"/>
      <c r="AA2" s="12" t="n"/>
      <c r="AB2" s="12" t="n"/>
      <c r="AC2" s="12" t="n"/>
      <c r="AD2" s="12" t="n"/>
      <c r="AE2" s="12" t="n"/>
      <c r="AF2" s="12" t="n"/>
      <c r="AG2" s="12" t="n"/>
      <c r="AH2" s="12" t="n"/>
    </row>
    <row r="3">
      <c r="A3" s="13" t="n"/>
      <c r="B3" s="13" t="n"/>
      <c r="C3" s="13" t="n"/>
      <c r="D3" s="13" t="n"/>
      <c r="E3" s="13" t="n"/>
      <c r="F3" s="13" t="n"/>
      <c r="G3" s="13" t="n"/>
      <c r="H3" s="13" t="n"/>
      <c r="I3" s="13" t="n"/>
      <c r="J3" s="13" t="n"/>
      <c r="K3" s="13" t="n"/>
      <c r="L3" s="13" t="n"/>
      <c r="M3" s="13" t="n"/>
      <c r="N3" s="13" t="n"/>
      <c r="O3" s="13" t="n"/>
      <c r="P3" s="13" t="n"/>
      <c r="Q3" s="13" t="n"/>
      <c r="R3" s="13" t="n"/>
      <c r="S3" s="13" t="n"/>
      <c r="T3" s="13" t="n"/>
      <c r="U3" s="13" t="n"/>
      <c r="V3" s="13" t="n"/>
      <c r="W3" s="13" t="n"/>
      <c r="X3" s="13" t="n"/>
      <c r="Y3" s="13" t="n"/>
      <c r="Z3" s="13" t="n"/>
      <c r="AA3" s="13" t="n"/>
      <c r="AB3" s="13" t="n"/>
      <c r="AC3" s="13" t="n"/>
      <c r="AD3" s="13" t="n"/>
      <c r="AE3" s="13" t="n"/>
      <c r="AF3" s="13" t="n"/>
      <c r="AG3" s="13" t="n"/>
      <c r="AH3" s="13" t="n"/>
    </row>
    <row r="4">
      <c r="A4" s="13" t="n"/>
      <c r="B4" s="13" t="n"/>
      <c r="C4" s="13" t="n"/>
      <c r="D4" s="13" t="n"/>
      <c r="E4" s="13" t="n"/>
      <c r="F4" s="13" t="n"/>
      <c r="G4" s="13" t="n"/>
      <c r="H4" s="13" t="n"/>
      <c r="I4" s="13" t="n"/>
      <c r="J4" s="13" t="n"/>
      <c r="K4" s="13" t="n"/>
      <c r="L4" s="13" t="n"/>
      <c r="M4" s="13" t="n"/>
      <c r="N4" s="13" t="n"/>
      <c r="O4" s="13" t="n"/>
      <c r="P4" s="13" t="n"/>
      <c r="Q4" s="13" t="n"/>
      <c r="R4" s="13" t="n"/>
      <c r="S4" s="13" t="n"/>
      <c r="T4" s="13" t="n"/>
      <c r="U4" s="13" t="n"/>
      <c r="V4" s="13" t="n"/>
      <c r="W4" s="13" t="n"/>
      <c r="X4" s="13" t="n"/>
      <c r="Y4" s="13" t="n"/>
      <c r="Z4" s="13" t="n"/>
      <c r="AA4" s="13" t="n"/>
      <c r="AB4" s="13" t="n"/>
      <c r="AC4" s="13" t="n"/>
      <c r="AD4" s="13" t="n"/>
      <c r="AE4" s="13" t="n"/>
      <c r="AF4" s="13" t="n"/>
      <c r="AG4" s="13" t="n"/>
      <c r="AH4" s="13" t="n"/>
    </row>
    <row r="5">
      <c r="A5" s="13" t="n"/>
      <c r="B5" s="13" t="n"/>
      <c r="C5" s="13" t="n"/>
      <c r="D5" s="13" t="n"/>
      <c r="E5" s="13" t="n"/>
      <c r="F5" s="13" t="n"/>
      <c r="G5" s="13" t="n"/>
      <c r="H5" s="13" t="n"/>
      <c r="I5" s="13" t="n"/>
      <c r="J5" s="13" t="n"/>
      <c r="K5" s="13" t="n"/>
      <c r="L5" s="13" t="n"/>
      <c r="M5" s="13" t="n"/>
      <c r="N5" s="13" t="n"/>
      <c r="O5" s="13" t="n"/>
      <c r="P5" s="13" t="n"/>
      <c r="Q5" s="13" t="n"/>
      <c r="R5" s="13" t="n"/>
      <c r="S5" s="13" t="n"/>
      <c r="T5" s="13" t="n"/>
      <c r="U5" s="13" t="n"/>
      <c r="V5" s="13" t="n"/>
      <c r="W5" s="13" t="n"/>
      <c r="X5" s="13" t="n"/>
      <c r="Y5" s="13" t="n"/>
      <c r="Z5" s="13" t="n"/>
      <c r="AA5" s="13" t="n"/>
      <c r="AB5" s="13" t="n"/>
      <c r="AC5" s="13" t="n"/>
      <c r="AD5" s="13" t="n"/>
      <c r="AE5" s="13" t="n"/>
      <c r="AF5" s="13" t="n"/>
      <c r="AG5" s="13" t="n"/>
      <c r="AH5" s="13" t="n"/>
    </row>
    <row r="6">
      <c r="A6" s="13" t="n"/>
      <c r="B6" s="13" t="n"/>
      <c r="C6" s="13" t="n"/>
      <c r="D6" s="13" t="n"/>
      <c r="E6" s="13" t="n"/>
      <c r="F6" s="13" t="n"/>
      <c r="G6" s="13" t="n"/>
      <c r="H6" s="13" t="n"/>
      <c r="I6" s="13" t="n"/>
      <c r="J6" s="13" t="n"/>
      <c r="K6" s="13" t="n"/>
      <c r="L6" s="13" t="n"/>
      <c r="M6" s="13" t="n"/>
      <c r="N6" s="13" t="n"/>
      <c r="O6" s="13" t="n"/>
      <c r="P6" s="13" t="n"/>
      <c r="Q6" s="13" t="n"/>
      <c r="R6" s="13" t="n"/>
      <c r="S6" s="13" t="n"/>
      <c r="T6" s="13" t="n"/>
      <c r="U6" s="13" t="n"/>
      <c r="V6" s="13" t="n"/>
      <c r="W6" s="13" t="n"/>
      <c r="X6" s="13" t="n"/>
      <c r="Y6" s="13" t="n"/>
      <c r="Z6" s="13" t="n"/>
      <c r="AA6" s="13" t="n"/>
      <c r="AB6" s="13" t="n"/>
      <c r="AC6" s="13" t="n"/>
      <c r="AD6" s="13" t="n"/>
      <c r="AE6" s="13" t="n"/>
      <c r="AF6" s="13" t="n"/>
      <c r="AG6" s="13" t="n"/>
      <c r="AH6" s="13" t="n"/>
    </row>
    <row r="7">
      <c r="A7" s="13" t="n"/>
      <c r="B7" s="13" t="n"/>
      <c r="C7" s="13" t="n"/>
      <c r="D7" s="13" t="n"/>
      <c r="E7" s="13" t="n"/>
      <c r="F7" s="13" t="n"/>
      <c r="G7" s="13" t="n"/>
      <c r="H7" s="13" t="n"/>
      <c r="I7" s="13" t="n"/>
      <c r="J7" s="13" t="n"/>
      <c r="K7" s="13" t="n"/>
      <c r="L7" s="13" t="n"/>
      <c r="M7" s="13" t="n"/>
      <c r="N7" s="13" t="n"/>
      <c r="O7" s="13" t="n"/>
      <c r="P7" s="13" t="n"/>
      <c r="Q7" s="13" t="n"/>
      <c r="R7" s="13" t="n"/>
      <c r="S7" s="13" t="n"/>
      <c r="T7" s="13" t="n"/>
      <c r="U7" s="13" t="n"/>
      <c r="V7" s="13" t="n"/>
      <c r="W7" s="13" t="n"/>
      <c r="X7" s="13" t="n"/>
      <c r="Y7" s="13" t="n"/>
      <c r="Z7" s="13" t="n"/>
      <c r="AA7" s="13" t="n"/>
      <c r="AB7" s="13" t="n"/>
      <c r="AC7" s="13" t="n"/>
      <c r="AD7" s="13" t="n"/>
      <c r="AE7" s="13" t="n"/>
      <c r="AF7" s="13" t="n"/>
      <c r="AG7" s="13" t="n"/>
      <c r="AH7" s="13" t="n"/>
    </row>
    <row r="8">
      <c r="A8" s="13" t="n"/>
      <c r="B8" s="13" t="n"/>
      <c r="C8" s="13" t="n"/>
      <c r="D8" s="13" t="n"/>
      <c r="E8" s="13" t="n"/>
      <c r="F8" s="13" t="n"/>
      <c r="G8" s="13" t="n"/>
      <c r="H8" s="13" t="n"/>
      <c r="I8" s="13" t="n"/>
      <c r="J8" s="13" t="n"/>
      <c r="K8" s="13" t="n"/>
      <c r="L8" s="13" t="n"/>
      <c r="M8" s="13" t="n"/>
      <c r="N8" s="13" t="n"/>
      <c r="O8" s="13" t="n"/>
      <c r="P8" s="13" t="n"/>
      <c r="Q8" s="13" t="n"/>
      <c r="R8" s="13" t="n"/>
      <c r="S8" s="13" t="n"/>
      <c r="T8" s="13" t="n"/>
      <c r="U8" s="13" t="n"/>
      <c r="V8" s="13" t="n"/>
      <c r="W8" s="13" t="n"/>
      <c r="X8" s="13" t="n"/>
      <c r="Y8" s="13" t="n"/>
      <c r="Z8" s="13" t="n"/>
      <c r="AA8" s="13" t="n"/>
      <c r="AB8" s="13" t="n"/>
      <c r="AC8" s="13" t="n"/>
      <c r="AD8" s="13" t="n"/>
      <c r="AE8" s="13" t="n"/>
      <c r="AF8" s="13" t="n"/>
      <c r="AG8" s="13" t="n"/>
      <c r="AH8" s="13" t="n"/>
    </row>
    <row r="9">
      <c r="A9" s="13" t="n"/>
      <c r="B9" s="13" t="n"/>
      <c r="C9" s="13" t="n"/>
      <c r="D9" s="13" t="n"/>
      <c r="E9" s="13" t="n"/>
      <c r="F9" s="13" t="n"/>
      <c r="G9" s="13" t="n"/>
      <c r="H9" s="13" t="n"/>
      <c r="I9" s="13" t="n"/>
      <c r="J9" s="13" t="n"/>
      <c r="K9" s="13" t="n"/>
      <c r="L9" s="13" t="n"/>
      <c r="M9" s="13" t="n"/>
      <c r="N9" s="13" t="n"/>
      <c r="O9" s="13" t="n"/>
      <c r="P9" s="13" t="n"/>
      <c r="Q9" s="13" t="n"/>
      <c r="R9" s="13" t="n"/>
      <c r="S9" s="13" t="n"/>
      <c r="T9" s="13" t="n"/>
      <c r="U9" s="13" t="n"/>
      <c r="V9" s="13" t="n"/>
      <c r="W9" s="13" t="n"/>
      <c r="X9" s="13" t="n"/>
      <c r="Y9" s="13" t="n"/>
      <c r="Z9" s="13" t="n"/>
      <c r="AA9" s="13" t="n"/>
      <c r="AB9" s="13" t="n"/>
      <c r="AC9" s="13" t="n"/>
      <c r="AD9" s="13" t="n"/>
      <c r="AE9" s="13" t="n"/>
      <c r="AF9" s="13" t="n"/>
      <c r="AG9" s="13" t="n"/>
      <c r="AH9" s="13" t="n"/>
    </row>
    <row r="10">
      <c r="A10" s="13" t="n"/>
      <c r="B10" s="13" t="n"/>
      <c r="C10" s="13" t="n"/>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c r="Y10" s="13" t="n"/>
      <c r="Z10" s="13" t="n"/>
      <c r="AA10" s="13" t="n"/>
      <c r="AB10" s="13" t="n"/>
      <c r="AC10" s="13" t="n"/>
      <c r="AD10" s="13" t="n"/>
      <c r="AE10" s="13" t="n"/>
      <c r="AF10" s="13" t="n"/>
      <c r="AG10" s="13" t="n"/>
      <c r="AH10" s="13" t="n"/>
    </row>
    <row r="11">
      <c r="A11" s="13" t="n"/>
      <c r="B11" s="13" t="n"/>
      <c r="C11" s="13" t="n"/>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c r="Y11" s="13" t="n"/>
      <c r="Z11" s="13" t="n"/>
      <c r="AA11" s="13" t="n"/>
      <c r="AB11" s="13" t="n"/>
      <c r="AC11" s="13" t="n"/>
      <c r="AD11" s="13" t="n"/>
      <c r="AE11" s="13" t="n"/>
      <c r="AF11" s="13" t="n"/>
      <c r="AG11" s="13" t="n"/>
      <c r="AH11" s="13" t="n"/>
    </row>
    <row r="12">
      <c r="A12" s="13" t="n"/>
      <c r="B12" s="13" t="n"/>
      <c r="C12" s="13" t="n"/>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c r="Y12" s="13" t="n"/>
      <c r="Z12" s="13" t="n"/>
      <c r="AA12" s="13" t="n"/>
      <c r="AB12" s="13" t="n"/>
      <c r="AC12" s="13" t="n"/>
      <c r="AD12" s="13" t="n"/>
      <c r="AE12" s="13" t="n"/>
      <c r="AF12" s="13" t="n"/>
      <c r="AG12" s="13" t="n"/>
      <c r="AH12" s="13" t="n"/>
    </row>
    <row r="13">
      <c r="A13" s="13" t="n"/>
      <c r="B13" s="13" t="n"/>
      <c r="C13" s="13" t="n"/>
      <c r="D13" s="13" t="n"/>
      <c r="E13" s="13" t="n"/>
      <c r="F13" s="13" t="n"/>
      <c r="G13" s="13" t="n"/>
      <c r="H13" s="13" t="n"/>
      <c r="I13" s="13" t="n"/>
      <c r="J13" s="13" t="n"/>
      <c r="K13" s="13" t="n"/>
      <c r="L13" s="13" t="n"/>
      <c r="M13" s="13" t="n"/>
      <c r="N13" s="13" t="n"/>
      <c r="O13" s="13" t="n"/>
      <c r="P13" s="13" t="n"/>
      <c r="Q13" s="13" t="n"/>
      <c r="R13" s="13" t="n"/>
      <c r="S13" s="13" t="n"/>
      <c r="T13" s="13" t="n"/>
      <c r="U13" s="13" t="n"/>
      <c r="V13" s="13" t="n"/>
      <c r="W13" s="13" t="n"/>
      <c r="X13" s="13" t="n"/>
      <c r="Y13" s="13" t="n"/>
      <c r="Z13" s="13" t="n"/>
      <c r="AA13" s="13" t="n"/>
      <c r="AB13" s="13" t="n"/>
      <c r="AC13" s="13" t="n"/>
      <c r="AD13" s="13" t="n"/>
      <c r="AE13" s="13" t="n"/>
      <c r="AF13" s="13" t="n"/>
      <c r="AG13" s="13" t="n"/>
      <c r="AH13" s="13" t="n"/>
    </row>
    <row r="14">
      <c r="A14" s="13" t="n"/>
      <c r="B14" s="13" t="n"/>
      <c r="C14" s="13" t="n"/>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c r="X14" s="13" t="n"/>
      <c r="Y14" s="13" t="n"/>
      <c r="Z14" s="13" t="n"/>
      <c r="AA14" s="13" t="n"/>
      <c r="AB14" s="13" t="n"/>
      <c r="AC14" s="13" t="n"/>
      <c r="AD14" s="13" t="n"/>
      <c r="AE14" s="13" t="n"/>
      <c r="AF14" s="13" t="n"/>
      <c r="AG14" s="13" t="n"/>
      <c r="AH14" s="13" t="n"/>
    </row>
    <row r="15">
      <c r="A15" s="13" t="n"/>
      <c r="B15" s="13" t="n"/>
      <c r="C15" s="13" t="n"/>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c r="X15" s="13" t="n"/>
      <c r="Y15" s="13" t="n"/>
      <c r="Z15" s="13" t="n"/>
      <c r="AA15" s="13" t="n"/>
      <c r="AB15" s="13" t="n"/>
      <c r="AC15" s="13" t="n"/>
      <c r="AD15" s="13" t="n"/>
      <c r="AE15" s="13" t="n"/>
      <c r="AF15" s="13" t="n"/>
      <c r="AG15" s="13" t="n"/>
      <c r="AH15" s="13" t="n"/>
    </row>
    <row r="16">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c r="Y16" s="13" t="n"/>
      <c r="Z16" s="13" t="n"/>
      <c r="AA16" s="13" t="n"/>
      <c r="AB16" s="13" t="n"/>
      <c r="AC16" s="13" t="n"/>
      <c r="AD16" s="13" t="n"/>
      <c r="AE16" s="13" t="n"/>
      <c r="AF16" s="13" t="n"/>
      <c r="AG16" s="13" t="n"/>
      <c r="AH16" s="13" t="n"/>
    </row>
    <row r="17">
      <c r="A17" s="13" t="n"/>
      <c r="B17" s="13" t="n"/>
      <c r="C17" s="13" t="n"/>
      <c r="D17" s="13" t="n"/>
      <c r="E17" s="13" t="n"/>
      <c r="F17" s="13" t="n"/>
      <c r="G17" s="13" t="n"/>
      <c r="H17" s="13" t="n"/>
      <c r="I17" s="13" t="n"/>
      <c r="J17" s="13" t="n"/>
      <c r="K17" s="13" t="n"/>
      <c r="L17" s="13" t="n"/>
      <c r="M17" s="13" t="n"/>
      <c r="N17" s="13" t="n"/>
      <c r="O17" s="13" t="n"/>
      <c r="P17" s="13" t="n"/>
      <c r="Q17" s="13" t="n"/>
      <c r="R17" s="13" t="n"/>
      <c r="S17" s="13" t="n"/>
      <c r="T17" s="13" t="n"/>
      <c r="U17" s="13" t="n"/>
      <c r="V17" s="13" t="n"/>
      <c r="W17" s="13" t="n"/>
      <c r="X17" s="13" t="n"/>
      <c r="Y17" s="13" t="n"/>
      <c r="Z17" s="13" t="n"/>
      <c r="AA17" s="13" t="n"/>
      <c r="AB17" s="13" t="n"/>
      <c r="AC17" s="13" t="n"/>
      <c r="AD17" s="13" t="n"/>
      <c r="AE17" s="13" t="n"/>
      <c r="AF17" s="13" t="n"/>
      <c r="AG17" s="13" t="n"/>
      <c r="AH17" s="13" t="n"/>
    </row>
    <row r="18">
      <c r="A18" s="13" t="n"/>
      <c r="B18" s="13" t="n"/>
      <c r="C18" s="13" t="n"/>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c r="X18" s="13" t="n"/>
      <c r="Y18" s="13" t="n"/>
      <c r="Z18" s="13" t="n"/>
      <c r="AA18" s="13" t="n"/>
      <c r="AB18" s="13" t="n"/>
      <c r="AC18" s="13" t="n"/>
      <c r="AD18" s="13" t="n"/>
      <c r="AE18" s="13" t="n"/>
      <c r="AF18" s="13" t="n"/>
      <c r="AG18" s="13" t="n"/>
      <c r="AH18" s="13" t="n"/>
    </row>
    <row r="19">
      <c r="A19" s="13" t="n"/>
      <c r="B19" s="13" t="n"/>
      <c r="C19" s="13" t="n"/>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c r="Y19" s="13" t="n"/>
      <c r="Z19" s="13" t="n"/>
      <c r="AA19" s="13" t="n"/>
      <c r="AB19" s="13" t="n"/>
      <c r="AC19" s="13" t="n"/>
      <c r="AD19" s="13" t="n"/>
      <c r="AE19" s="13" t="n"/>
      <c r="AF19" s="13" t="n"/>
      <c r="AG19" s="13" t="n"/>
      <c r="AH19" s="13" t="n"/>
    </row>
    <row r="20">
      <c r="A20" s="13" t="n"/>
      <c r="B20" s="13" t="n"/>
      <c r="C20" s="13" t="n"/>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c r="Y20" s="13" t="n"/>
      <c r="Z20" s="13" t="n"/>
      <c r="AA20" s="13" t="n"/>
      <c r="AB20" s="13" t="n"/>
      <c r="AC20" s="13" t="n"/>
      <c r="AD20" s="13" t="n"/>
      <c r="AE20" s="13" t="n"/>
      <c r="AF20" s="13" t="n"/>
      <c r="AG20" s="13" t="n"/>
      <c r="AH20" s="13" t="n"/>
    </row>
    <row r="21">
      <c r="A21" s="13" t="n"/>
      <c r="B21" s="13" t="n"/>
      <c r="C21" s="13" t="n"/>
      <c r="D21" s="13" t="n"/>
      <c r="E21" s="13" t="n"/>
      <c r="F21" s="13" t="n"/>
      <c r="G21" s="13" t="n"/>
      <c r="H21" s="13" t="n"/>
      <c r="I21" s="13" t="n"/>
      <c r="J21" s="13" t="n"/>
      <c r="K21" s="13" t="n"/>
      <c r="L21" s="13" t="n"/>
      <c r="M21" s="13" t="n"/>
      <c r="N21" s="13" t="n"/>
      <c r="O21" s="13" t="n"/>
      <c r="P21" s="13" t="n"/>
      <c r="Q21" s="13" t="n"/>
      <c r="R21" s="13" t="n"/>
      <c r="S21" s="13" t="n"/>
      <c r="T21" s="13" t="n"/>
      <c r="U21" s="13" t="n"/>
      <c r="V21" s="13" t="n"/>
      <c r="W21" s="13" t="n"/>
      <c r="X21" s="13" t="n"/>
      <c r="Y21" s="13" t="n"/>
      <c r="Z21" s="13" t="n"/>
      <c r="AA21" s="13" t="n"/>
      <c r="AB21" s="13" t="n"/>
      <c r="AC21" s="13" t="n"/>
      <c r="AD21" s="13" t="n"/>
      <c r="AE21" s="13" t="n"/>
      <c r="AF21" s="13" t="n"/>
      <c r="AG21" s="13" t="n"/>
      <c r="AH21" s="13" t="n"/>
    </row>
    <row r="22">
      <c r="A22" s="13" t="n"/>
      <c r="B22" s="13" t="n"/>
      <c r="C22" s="13" t="n"/>
      <c r="D22" s="13" t="n"/>
      <c r="E22" s="13" t="n"/>
      <c r="F22" s="13" t="n"/>
      <c r="G22" s="13" t="n"/>
      <c r="H22" s="13" t="n"/>
      <c r="I22" s="13" t="n"/>
      <c r="J22" s="13" t="n"/>
      <c r="K22" s="13" t="n"/>
      <c r="L22" s="13" t="n"/>
      <c r="M22" s="13" t="n"/>
      <c r="N22" s="13" t="n"/>
      <c r="O22" s="13" t="n"/>
      <c r="P22" s="13" t="n"/>
      <c r="Q22" s="13" t="n"/>
      <c r="R22" s="13" t="n"/>
      <c r="S22" s="13" t="n"/>
      <c r="T22" s="13" t="n"/>
      <c r="U22" s="13" t="n"/>
      <c r="V22" s="13" t="n"/>
      <c r="W22" s="13" t="n"/>
      <c r="X22" s="13" t="n"/>
      <c r="Y22" s="13" t="n"/>
      <c r="Z22" s="13" t="n"/>
      <c r="AA22" s="13" t="n"/>
      <c r="AB22" s="13" t="n"/>
      <c r="AC22" s="13" t="n"/>
      <c r="AD22" s="13" t="n"/>
      <c r="AE22" s="13" t="n"/>
      <c r="AF22" s="13" t="n"/>
      <c r="AG22" s="13" t="n"/>
      <c r="AH22" s="13" t="n"/>
    </row>
    <row r="23">
      <c r="A23" s="13" t="n"/>
      <c r="B23" s="13" t="n"/>
      <c r="C23" s="13" t="n"/>
      <c r="D23" s="13" t="n"/>
      <c r="E23" s="13" t="n"/>
      <c r="F23" s="13" t="n"/>
      <c r="G23" s="13" t="n"/>
      <c r="H23" s="13" t="n"/>
      <c r="I23" s="13" t="n"/>
      <c r="J23" s="13" t="n"/>
      <c r="K23" s="13" t="n"/>
      <c r="L23" s="13" t="n"/>
      <c r="M23" s="13" t="n"/>
      <c r="N23" s="13" t="n"/>
      <c r="O23" s="13" t="n"/>
      <c r="P23" s="13" t="n"/>
      <c r="Q23" s="13" t="n"/>
      <c r="R23" s="13" t="n"/>
      <c r="S23" s="13" t="n"/>
      <c r="T23" s="13" t="n"/>
      <c r="U23" s="13" t="n"/>
      <c r="V23" s="13" t="n"/>
      <c r="W23" s="13" t="n"/>
      <c r="X23" s="13" t="n"/>
      <c r="Y23" s="13" t="n"/>
      <c r="Z23" s="13" t="n"/>
      <c r="AA23" s="13" t="n"/>
      <c r="AB23" s="13" t="n"/>
      <c r="AC23" s="13" t="n"/>
      <c r="AD23" s="13" t="n"/>
      <c r="AE23" s="13" t="n"/>
      <c r="AF23" s="13" t="n"/>
      <c r="AG23" s="13" t="n"/>
      <c r="AH23" s="13" t="n"/>
    </row>
    <row r="24">
      <c r="A24" s="13" t="n"/>
      <c r="B24" s="13" t="n"/>
      <c r="C24" s="13" t="n"/>
      <c r="D24" s="13" t="n"/>
      <c r="E24" s="13" t="n"/>
      <c r="F24" s="13" t="n"/>
      <c r="G24" s="13" t="n"/>
      <c r="H24" s="13" t="n"/>
      <c r="I24" s="13" t="n"/>
      <c r="J24" s="13" t="n"/>
      <c r="K24" s="13" t="n"/>
      <c r="L24" s="13" t="n"/>
      <c r="M24" s="13" t="n"/>
      <c r="N24" s="13" t="n"/>
      <c r="O24" s="13" t="n"/>
      <c r="P24" s="13" t="n"/>
      <c r="Q24" s="13" t="n"/>
      <c r="R24" s="13" t="n"/>
      <c r="S24" s="13" t="n"/>
      <c r="T24" s="13" t="n"/>
      <c r="U24" s="13" t="n"/>
      <c r="V24" s="13" t="n"/>
      <c r="W24" s="13" t="n"/>
      <c r="X24" s="13" t="n"/>
      <c r="Y24" s="13" t="n"/>
      <c r="Z24" s="13" t="n"/>
      <c r="AA24" s="13" t="n"/>
      <c r="AB24" s="13" t="n"/>
      <c r="AC24" s="13" t="n"/>
      <c r="AD24" s="13" t="n"/>
      <c r="AE24" s="13" t="n"/>
      <c r="AF24" s="13" t="n"/>
      <c r="AG24" s="13" t="n"/>
      <c r="AH24" s="13" t="n"/>
    </row>
    <row r="25">
      <c r="A25" s="13" t="n"/>
      <c r="B25" s="13" t="n"/>
      <c r="C25" s="13" t="n"/>
      <c r="D25" s="13" t="n"/>
      <c r="E25" s="13" t="n"/>
      <c r="F25" s="13" t="n"/>
      <c r="G25" s="13" t="n"/>
      <c r="H25" s="13" t="n"/>
      <c r="I25" s="13" t="n"/>
      <c r="J25" s="13" t="n"/>
      <c r="K25" s="13" t="n"/>
      <c r="L25" s="13" t="n"/>
      <c r="M25" s="13" t="n"/>
      <c r="N25" s="13" t="n"/>
      <c r="O25" s="13" t="n"/>
      <c r="P25" s="13" t="n"/>
      <c r="Q25" s="13" t="n"/>
      <c r="R25" s="13" t="n"/>
      <c r="S25" s="13" t="n"/>
      <c r="T25" s="13" t="n"/>
      <c r="U25" s="13" t="n"/>
      <c r="V25" s="13" t="n"/>
      <c r="W25" s="13" t="n"/>
      <c r="X25" s="13" t="n"/>
      <c r="Y25" s="13" t="n"/>
      <c r="Z25" s="13" t="n"/>
      <c r="AA25" s="13" t="n"/>
      <c r="AB25" s="13" t="n"/>
      <c r="AC25" s="13" t="n"/>
      <c r="AD25" s="13" t="n"/>
      <c r="AE25" s="13" t="n"/>
      <c r="AF25" s="13" t="n"/>
      <c r="AG25" s="13" t="n"/>
      <c r="AH25" s="13" t="n"/>
    </row>
    <row r="26">
      <c r="A26" s="13" t="n"/>
      <c r="B26" s="13" t="n"/>
      <c r="C26" s="13" t="n"/>
      <c r="D26" s="13" t="n"/>
      <c r="E26" s="13" t="n"/>
      <c r="F26" s="13" t="n"/>
      <c r="G26" s="13" t="n"/>
      <c r="H26" s="13" t="n"/>
      <c r="I26" s="13" t="n"/>
      <c r="J26" s="13" t="n"/>
      <c r="K26" s="13" t="n"/>
      <c r="L26" s="13" t="n"/>
      <c r="M26" s="13" t="n"/>
      <c r="N26" s="13" t="n"/>
      <c r="O26" s="13" t="n"/>
      <c r="P26" s="13" t="n"/>
      <c r="Q26" s="13" t="n"/>
      <c r="R26" s="13" t="n"/>
      <c r="S26" s="13" t="n"/>
      <c r="T26" s="13" t="n"/>
      <c r="U26" s="13" t="n"/>
      <c r="V26" s="13" t="n"/>
      <c r="W26" s="13" t="n"/>
      <c r="X26" s="13" t="n"/>
      <c r="Y26" s="13" t="n"/>
      <c r="Z26" s="13" t="n"/>
      <c r="AA26" s="13" t="n"/>
      <c r="AB26" s="13" t="n"/>
      <c r="AC26" s="13" t="n"/>
      <c r="AD26" s="13" t="n"/>
      <c r="AE26" s="13" t="n"/>
      <c r="AF26" s="13" t="n"/>
      <c r="AG26" s="13" t="n"/>
      <c r="AH26" s="13" t="n"/>
    </row>
    <row r="27">
      <c r="A27" s="13" t="n"/>
      <c r="B27" s="13" t="n"/>
      <c r="C27" s="13" t="n"/>
      <c r="D27" s="13" t="n"/>
      <c r="E27" s="13" t="n"/>
      <c r="F27" s="13" t="n"/>
      <c r="G27" s="13" t="n"/>
      <c r="H27" s="13" t="n"/>
      <c r="I27" s="13" t="n"/>
      <c r="J27" s="13" t="n"/>
      <c r="K27" s="13" t="n"/>
      <c r="L27" s="13" t="n"/>
      <c r="M27" s="13" t="n"/>
      <c r="N27" s="13" t="n"/>
      <c r="O27" s="13" t="n"/>
      <c r="P27" s="13" t="n"/>
      <c r="Q27" s="13" t="n"/>
      <c r="R27" s="13" t="n"/>
      <c r="S27" s="13" t="n"/>
      <c r="T27" s="13" t="n"/>
      <c r="U27" s="13" t="n"/>
      <c r="V27" s="13" t="n"/>
      <c r="W27" s="13" t="n"/>
      <c r="X27" s="13" t="n"/>
      <c r="Y27" s="13" t="n"/>
      <c r="Z27" s="13" t="n"/>
      <c r="AA27" s="13" t="n"/>
      <c r="AB27" s="13" t="n"/>
      <c r="AC27" s="13" t="n"/>
      <c r="AD27" s="13" t="n"/>
      <c r="AE27" s="13" t="n"/>
      <c r="AF27" s="13" t="n"/>
      <c r="AG27" s="13" t="n"/>
      <c r="AH27" s="13" t="n"/>
    </row>
    <row r="28">
      <c r="A28" s="13" t="n"/>
      <c r="B28" s="13" t="n"/>
      <c r="C28" s="13" t="n"/>
      <c r="D28" s="13" t="n"/>
      <c r="E28" s="13" t="n"/>
      <c r="F28" s="13" t="n"/>
      <c r="G28" s="13" t="n"/>
      <c r="H28" s="13" t="n"/>
      <c r="I28" s="13" t="n"/>
      <c r="J28" s="13" t="n"/>
      <c r="K28" s="13" t="n"/>
      <c r="L28" s="13" t="n"/>
      <c r="M28" s="13" t="n"/>
      <c r="N28" s="13" t="n"/>
      <c r="O28" s="13" t="n"/>
      <c r="P28" s="13" t="n"/>
      <c r="Q28" s="13" t="n"/>
      <c r="R28" s="13" t="n"/>
      <c r="S28" s="13" t="n"/>
      <c r="T28" s="13" t="n"/>
      <c r="U28" s="13" t="n"/>
      <c r="V28" s="13" t="n"/>
      <c r="W28" s="13" t="n"/>
      <c r="X28" s="13" t="n"/>
      <c r="Y28" s="13" t="n"/>
      <c r="Z28" s="13" t="n"/>
      <c r="AA28" s="13" t="n"/>
      <c r="AB28" s="13" t="n"/>
      <c r="AC28" s="13" t="n"/>
      <c r="AD28" s="13" t="n"/>
      <c r="AE28" s="13" t="n"/>
      <c r="AF28" s="13" t="n"/>
      <c r="AG28" s="13" t="n"/>
      <c r="AH28" s="13" t="n"/>
    </row>
    <row r="29">
      <c r="A29" s="13" t="n"/>
      <c r="B29" s="13" t="n"/>
      <c r="C29" s="13" t="n"/>
      <c r="D29" s="13" t="n"/>
      <c r="E29" s="13" t="n"/>
      <c r="F29" s="13" t="n"/>
      <c r="G29" s="13" t="n"/>
      <c r="H29" s="13" t="n"/>
      <c r="I29" s="13" t="n"/>
      <c r="J29" s="13" t="n"/>
      <c r="K29" s="13" t="n"/>
      <c r="L29" s="13" t="n"/>
      <c r="M29" s="13" t="n"/>
      <c r="N29" s="13" t="n"/>
      <c r="O29" s="13" t="n"/>
      <c r="P29" s="13" t="n"/>
      <c r="Q29" s="13" t="n"/>
      <c r="R29" s="13" t="n"/>
      <c r="S29" s="13" t="n"/>
      <c r="T29" s="13" t="n"/>
      <c r="U29" s="13" t="n"/>
      <c r="V29" s="13" t="n"/>
      <c r="W29" s="13" t="n"/>
      <c r="X29" s="13" t="n"/>
      <c r="Y29" s="13" t="n"/>
      <c r="Z29" s="13" t="n"/>
      <c r="AA29" s="13" t="n"/>
      <c r="AB29" s="13" t="n"/>
      <c r="AC29" s="13" t="n"/>
      <c r="AD29" s="13" t="n"/>
      <c r="AE29" s="13" t="n"/>
      <c r="AF29" s="13" t="n"/>
      <c r="AG29" s="13" t="n"/>
      <c r="AH29" s="13" t="n"/>
    </row>
    <row r="30">
      <c r="A30" s="13" t="n"/>
      <c r="B30" s="13" t="n"/>
      <c r="C30" s="13" t="n"/>
      <c r="D30" s="13" t="n"/>
      <c r="E30" s="13" t="n"/>
      <c r="F30" s="13" t="n"/>
      <c r="G30" s="13" t="n"/>
      <c r="H30" s="13" t="n"/>
      <c r="I30" s="13" t="n"/>
      <c r="J30" s="13" t="n"/>
      <c r="K30" s="13" t="n"/>
      <c r="L30" s="13" t="n"/>
      <c r="M30" s="13" t="n"/>
      <c r="N30" s="13" t="n"/>
      <c r="O30" s="13" t="n"/>
      <c r="P30" s="13" t="n"/>
      <c r="Q30" s="13" t="n"/>
      <c r="R30" s="13" t="n"/>
      <c r="S30" s="13" t="n"/>
      <c r="T30" s="13" t="n"/>
      <c r="U30" s="13" t="n"/>
      <c r="V30" s="13" t="n"/>
      <c r="W30" s="13" t="n"/>
      <c r="X30" s="13" t="n"/>
      <c r="Y30" s="13" t="n"/>
      <c r="Z30" s="13" t="n"/>
      <c r="AA30" s="13" t="n"/>
      <c r="AB30" s="13" t="n"/>
      <c r="AC30" s="13" t="n"/>
      <c r="AD30" s="13" t="n"/>
      <c r="AE30" s="13" t="n"/>
      <c r="AF30" s="13" t="n"/>
      <c r="AG30" s="13" t="n"/>
      <c r="AH30" s="13" t="n"/>
    </row>
    <row r="31">
      <c r="A31" s="13" t="n"/>
      <c r="B31" s="13" t="n"/>
      <c r="C31" s="13" t="n"/>
      <c r="D31" s="13" t="n"/>
      <c r="E31" s="13" t="n"/>
      <c r="F31" s="13" t="n"/>
      <c r="G31" s="13" t="n"/>
      <c r="H31" s="13" t="n"/>
      <c r="I31" s="13" t="n"/>
      <c r="J31" s="13" t="n"/>
      <c r="K31" s="13" t="n"/>
      <c r="L31" s="13" t="n"/>
      <c r="M31" s="13" t="n"/>
      <c r="N31" s="13" t="n"/>
      <c r="O31" s="13" t="n"/>
      <c r="P31" s="13" t="n"/>
      <c r="Q31" s="13" t="n"/>
      <c r="R31" s="13" t="n"/>
      <c r="S31" s="13" t="n"/>
      <c r="T31" s="13" t="n"/>
      <c r="U31" s="13" t="n"/>
      <c r="V31" s="13" t="n"/>
      <c r="W31" s="13" t="n"/>
      <c r="X31" s="13" t="n"/>
      <c r="Y31" s="13" t="n"/>
      <c r="Z31" s="13" t="n"/>
      <c r="AA31" s="13" t="n"/>
      <c r="AB31" s="13" t="n"/>
      <c r="AC31" s="13" t="n"/>
      <c r="AD31" s="13" t="n"/>
      <c r="AE31" s="13" t="n"/>
      <c r="AF31" s="13" t="n"/>
      <c r="AG31" s="13" t="n"/>
      <c r="AH31" s="13" t="n"/>
    </row>
    <row r="32">
      <c r="A32" s="13" t="n"/>
      <c r="B32" s="13" t="n"/>
      <c r="C32" s="13" t="n"/>
      <c r="D32" s="13" t="n"/>
      <c r="E32" s="13" t="n"/>
      <c r="F32" s="13" t="n"/>
      <c r="G32" s="13" t="n"/>
      <c r="H32" s="13" t="n"/>
      <c r="I32" s="13" t="n"/>
      <c r="J32" s="13" t="n"/>
      <c r="K32" s="13" t="n"/>
      <c r="L32" s="13" t="n"/>
      <c r="M32" s="13" t="n"/>
      <c r="N32" s="13" t="n"/>
      <c r="O32" s="13" t="n"/>
      <c r="P32" s="13" t="n"/>
      <c r="Q32" s="13" t="n"/>
      <c r="R32" s="13" t="n"/>
      <c r="S32" s="13" t="n"/>
      <c r="T32" s="13" t="n"/>
      <c r="U32" s="13" t="n"/>
      <c r="V32" s="13" t="n"/>
      <c r="W32" s="13" t="n"/>
      <c r="X32" s="13" t="n"/>
      <c r="Y32" s="13" t="n"/>
      <c r="Z32" s="13" t="n"/>
      <c r="AA32" s="13" t="n"/>
      <c r="AB32" s="13" t="n"/>
      <c r="AC32" s="13" t="n"/>
      <c r="AD32" s="13" t="n"/>
      <c r="AE32" s="13" t="n"/>
      <c r="AF32" s="13" t="n"/>
      <c r="AG32" s="13" t="n"/>
      <c r="AH32" s="13" t="n"/>
    </row>
    <row r="33">
      <c r="A33" s="13" t="n"/>
      <c r="B33" s="13" t="n"/>
      <c r="C33" s="13" t="n"/>
      <c r="D33" s="13" t="n"/>
      <c r="E33" s="13" t="n"/>
      <c r="F33" s="13" t="n"/>
      <c r="G33" s="13" t="n"/>
      <c r="H33" s="13" t="n"/>
      <c r="I33" s="13" t="n"/>
      <c r="J33" s="13" t="n"/>
      <c r="K33" s="13" t="n"/>
      <c r="L33" s="13" t="n"/>
      <c r="M33" s="13" t="n"/>
      <c r="N33" s="13" t="n"/>
      <c r="O33" s="13" t="n"/>
      <c r="P33" s="13" t="n"/>
      <c r="Q33" s="13" t="n"/>
      <c r="R33" s="13" t="n"/>
      <c r="S33" s="13" t="n"/>
      <c r="T33" s="13" t="n"/>
      <c r="U33" s="13" t="n"/>
      <c r="V33" s="13" t="n"/>
      <c r="W33" s="13" t="n"/>
      <c r="X33" s="13" t="n"/>
      <c r="Y33" s="13" t="n"/>
      <c r="Z33" s="13" t="n"/>
      <c r="AA33" s="13" t="n"/>
      <c r="AB33" s="13" t="n"/>
      <c r="AC33" s="13" t="n"/>
      <c r="AD33" s="13" t="n"/>
      <c r="AE33" s="13" t="n"/>
      <c r="AF33" s="13" t="n"/>
      <c r="AG33" s="13" t="n"/>
      <c r="AH33" s="13" t="n"/>
    </row>
    <row r="34">
      <c r="A34" s="13" t="n"/>
      <c r="B34" s="13" t="n"/>
      <c r="C34" s="13" t="n"/>
      <c r="D34" s="13" t="n"/>
      <c r="E34" s="13" t="n"/>
      <c r="F34" s="13" t="n"/>
      <c r="G34" s="13" t="n"/>
      <c r="H34" s="13" t="n"/>
      <c r="I34" s="13" t="n"/>
      <c r="J34" s="13" t="n"/>
      <c r="K34" s="13" t="n"/>
      <c r="L34" s="13" t="n"/>
      <c r="M34" s="13" t="n"/>
      <c r="N34" s="13" t="n"/>
      <c r="O34" s="13" t="n"/>
      <c r="P34" s="13" t="n"/>
      <c r="Q34" s="13" t="n"/>
      <c r="R34" s="13" t="n"/>
      <c r="S34" s="13" t="n"/>
      <c r="T34" s="13" t="n"/>
      <c r="U34" s="13" t="n"/>
      <c r="V34" s="13" t="n"/>
      <c r="W34" s="13" t="n"/>
      <c r="X34" s="13" t="n"/>
      <c r="Y34" s="13" t="n"/>
      <c r="Z34" s="13" t="n"/>
      <c r="AA34" s="13" t="n"/>
      <c r="AB34" s="13" t="n"/>
      <c r="AC34" s="13" t="n"/>
      <c r="AD34" s="13" t="n"/>
      <c r="AE34" s="13" t="n"/>
      <c r="AF34" s="13" t="n"/>
      <c r="AG34" s="13" t="n"/>
      <c r="AH34" s="13" t="n"/>
    </row>
    <row r="35">
      <c r="A35" s="13" t="n"/>
      <c r="B35" s="13" t="n"/>
      <c r="C35" s="13" t="n"/>
      <c r="D35" s="13" t="n"/>
      <c r="E35" s="13" t="n"/>
      <c r="F35" s="13" t="n"/>
      <c r="G35" s="13" t="n"/>
      <c r="H35" s="13" t="n"/>
      <c r="I35" s="13" t="n"/>
      <c r="J35" s="13" t="n"/>
      <c r="K35" s="13" t="n"/>
      <c r="L35" s="13" t="n"/>
      <c r="M35" s="13" t="n"/>
      <c r="N35" s="13" t="n"/>
      <c r="O35" s="13" t="n"/>
      <c r="P35" s="13" t="n"/>
      <c r="Q35" s="13" t="n"/>
      <c r="R35" s="13" t="n"/>
      <c r="S35" s="13" t="n"/>
      <c r="T35" s="13" t="n"/>
      <c r="U35" s="13" t="n"/>
      <c r="V35" s="13" t="n"/>
      <c r="W35" s="13" t="n"/>
      <c r="X35" s="13" t="n"/>
      <c r="Y35" s="13" t="n"/>
      <c r="Z35" s="13" t="n"/>
      <c r="AA35" s="13" t="n"/>
      <c r="AB35" s="13" t="n"/>
      <c r="AC35" s="13" t="n"/>
      <c r="AD35" s="13" t="n"/>
      <c r="AE35" s="13" t="n"/>
      <c r="AF35" s="13" t="n"/>
      <c r="AG35" s="13" t="n"/>
      <c r="AH35" s="13" t="n"/>
    </row>
    <row r="36">
      <c r="A36" s="13" t="n"/>
      <c r="B36" s="13" t="n"/>
      <c r="C36" s="13" t="n"/>
      <c r="D36" s="13" t="n"/>
      <c r="E36" s="13" t="n"/>
      <c r="F36" s="13" t="n"/>
      <c r="G36" s="13" t="n"/>
      <c r="H36" s="13" t="n"/>
      <c r="I36" s="13" t="n"/>
      <c r="J36" s="13" t="n"/>
      <c r="K36" s="13" t="n"/>
      <c r="L36" s="13" t="n"/>
      <c r="M36" s="13" t="n"/>
      <c r="N36" s="13" t="n"/>
      <c r="O36" s="13" t="n"/>
      <c r="P36" s="13" t="n"/>
      <c r="Q36" s="13" t="n"/>
      <c r="R36" s="13" t="n"/>
      <c r="S36" s="13" t="n"/>
      <c r="T36" s="13" t="n"/>
      <c r="U36" s="13" t="n"/>
      <c r="V36" s="13" t="n"/>
      <c r="W36" s="13" t="n"/>
      <c r="X36" s="13" t="n"/>
      <c r="Y36" s="13" t="n"/>
      <c r="Z36" s="13" t="n"/>
      <c r="AA36" s="13" t="n"/>
      <c r="AB36" s="13" t="n"/>
      <c r="AC36" s="13" t="n"/>
      <c r="AD36" s="13" t="n"/>
      <c r="AE36" s="13" t="n"/>
      <c r="AF36" s="13" t="n"/>
      <c r="AG36" s="13" t="n"/>
      <c r="AH36" s="13" t="n"/>
    </row>
    <row r="37">
      <c r="A37" s="13" t="n"/>
      <c r="B37" s="13" t="n"/>
      <c r="C37" s="13" t="n"/>
      <c r="D37" s="13" t="n"/>
      <c r="E37" s="13" t="n"/>
      <c r="F37" s="13" t="n"/>
      <c r="G37" s="13" t="n"/>
      <c r="H37" s="13" t="n"/>
      <c r="I37" s="13" t="n"/>
      <c r="J37" s="13" t="n"/>
      <c r="K37" s="13" t="n"/>
      <c r="L37" s="13" t="n"/>
      <c r="M37" s="13" t="n"/>
      <c r="N37" s="13" t="n"/>
      <c r="O37" s="13" t="n"/>
      <c r="P37" s="13" t="n"/>
      <c r="Q37" s="13" t="n"/>
      <c r="R37" s="13" t="n"/>
      <c r="S37" s="13" t="n"/>
      <c r="T37" s="13" t="n"/>
      <c r="U37" s="13" t="n"/>
      <c r="V37" s="13" t="n"/>
      <c r="W37" s="13" t="n"/>
      <c r="X37" s="13" t="n"/>
      <c r="Y37" s="13" t="n"/>
      <c r="Z37" s="13" t="n"/>
      <c r="AA37" s="13" t="n"/>
      <c r="AB37" s="13" t="n"/>
      <c r="AC37" s="13" t="n"/>
      <c r="AD37" s="13" t="n"/>
      <c r="AE37" s="13" t="n"/>
      <c r="AF37" s="13" t="n"/>
      <c r="AG37" s="13" t="n"/>
      <c r="AH37" s="13" t="n"/>
    </row>
    <row r="38">
      <c r="A38" s="13" t="n"/>
      <c r="B38" s="13" t="n"/>
      <c r="C38" s="13" t="n"/>
      <c r="D38" s="13" t="n"/>
      <c r="E38" s="13" t="n"/>
      <c r="F38" s="13" t="n"/>
      <c r="G38" s="13" t="n"/>
      <c r="H38" s="13" t="n"/>
      <c r="I38" s="13" t="n"/>
      <c r="J38" s="13" t="n"/>
      <c r="K38" s="13" t="n"/>
      <c r="L38" s="13" t="n"/>
      <c r="M38" s="13" t="n"/>
      <c r="N38" s="13" t="n"/>
      <c r="O38" s="13" t="n"/>
      <c r="P38" s="13" t="n"/>
      <c r="Q38" s="13" t="n"/>
      <c r="R38" s="13" t="n"/>
      <c r="S38" s="13" t="n"/>
      <c r="T38" s="13" t="n"/>
      <c r="U38" s="13" t="n"/>
      <c r="V38" s="13" t="n"/>
      <c r="W38" s="13" t="n"/>
      <c r="X38" s="13" t="n"/>
      <c r="Y38" s="13" t="n"/>
      <c r="Z38" s="13" t="n"/>
      <c r="AA38" s="13" t="n"/>
      <c r="AB38" s="13" t="n"/>
      <c r="AC38" s="13" t="n"/>
      <c r="AD38" s="13" t="n"/>
      <c r="AE38" s="13" t="n"/>
      <c r="AF38" s="13" t="n"/>
      <c r="AG38" s="13" t="n"/>
      <c r="AH38" s="13" t="n"/>
    </row>
    <row r="39">
      <c r="A39" s="13" t="n"/>
      <c r="B39" s="13" t="n"/>
      <c r="C39" s="13" t="n"/>
      <c r="D39" s="13" t="n"/>
      <c r="E39" s="13" t="n"/>
      <c r="F39" s="13" t="n"/>
      <c r="G39" s="13" t="n"/>
      <c r="H39" s="13" t="n"/>
      <c r="I39" s="13" t="n"/>
      <c r="J39" s="13" t="n"/>
      <c r="K39" s="13" t="n"/>
      <c r="L39" s="13" t="n"/>
      <c r="M39" s="13" t="n"/>
      <c r="N39" s="13" t="n"/>
      <c r="O39" s="13" t="n"/>
      <c r="P39" s="13" t="n"/>
      <c r="Q39" s="13" t="n"/>
      <c r="R39" s="13" t="n"/>
      <c r="S39" s="13" t="n"/>
      <c r="T39" s="13" t="n"/>
      <c r="U39" s="13" t="n"/>
      <c r="V39" s="13" t="n"/>
      <c r="W39" s="13" t="n"/>
      <c r="X39" s="13" t="n"/>
      <c r="Y39" s="13" t="n"/>
      <c r="Z39" s="13" t="n"/>
      <c r="AA39" s="13" t="n"/>
      <c r="AB39" s="13" t="n"/>
      <c r="AC39" s="13" t="n"/>
      <c r="AD39" s="13" t="n"/>
      <c r="AE39" s="13" t="n"/>
      <c r="AF39" s="13" t="n"/>
      <c r="AG39" s="13" t="n"/>
      <c r="AH39" s="13" t="n"/>
    </row>
    <row r="40">
      <c r="A40" s="13" t="n"/>
      <c r="B40" s="13" t="n"/>
      <c r="C40" s="13" t="n"/>
      <c r="D40" s="13" t="n"/>
      <c r="E40" s="13" t="n"/>
      <c r="F40" s="13" t="n"/>
      <c r="G40" s="13" t="n"/>
      <c r="H40" s="13" t="n"/>
      <c r="I40" s="13" t="n"/>
      <c r="J40" s="13" t="n"/>
      <c r="K40" s="13" t="n"/>
      <c r="L40" s="13" t="n"/>
      <c r="M40" s="13" t="n"/>
      <c r="N40" s="13" t="n"/>
      <c r="O40" s="13" t="n"/>
      <c r="P40" s="13" t="n"/>
      <c r="Q40" s="13" t="n"/>
      <c r="R40" s="13" t="n"/>
      <c r="S40" s="13" t="n"/>
      <c r="T40" s="13" t="n"/>
      <c r="U40" s="13" t="n"/>
      <c r="V40" s="13" t="n"/>
      <c r="W40" s="13" t="n"/>
      <c r="X40" s="13" t="n"/>
      <c r="Y40" s="13" t="n"/>
      <c r="Z40" s="13" t="n"/>
      <c r="AA40" s="13" t="n"/>
      <c r="AB40" s="13" t="n"/>
      <c r="AC40" s="13" t="n"/>
      <c r="AD40" s="13" t="n"/>
      <c r="AE40" s="13" t="n"/>
      <c r="AF40" s="13" t="n"/>
      <c r="AG40" s="13" t="n"/>
      <c r="AH40" s="13" t="n"/>
    </row>
    <row r="41">
      <c r="A41" s="13" t="n"/>
      <c r="B41" s="13" t="n"/>
      <c r="C41" s="13" t="n"/>
      <c r="D41" s="13" t="n"/>
      <c r="E41" s="13" t="n"/>
      <c r="F41" s="13" t="n"/>
      <c r="G41" s="13" t="n"/>
      <c r="H41" s="13" t="n"/>
      <c r="I41" s="13" t="n"/>
      <c r="J41" s="13" t="n"/>
      <c r="K41" s="13" t="n"/>
      <c r="L41" s="13" t="n"/>
      <c r="M41" s="13" t="n"/>
      <c r="N41" s="13" t="n"/>
      <c r="O41" s="13" t="n"/>
      <c r="P41" s="13" t="n"/>
      <c r="Q41" s="13" t="n"/>
      <c r="R41" s="13" t="n"/>
      <c r="S41" s="13" t="n"/>
      <c r="T41" s="13" t="n"/>
      <c r="U41" s="13" t="n"/>
      <c r="V41" s="13" t="n"/>
      <c r="W41" s="13" t="n"/>
      <c r="X41" s="13" t="n"/>
      <c r="Y41" s="13" t="n"/>
      <c r="Z41" s="13" t="n"/>
      <c r="AA41" s="13" t="n"/>
      <c r="AB41" s="13" t="n"/>
      <c r="AC41" s="13" t="n"/>
      <c r="AD41" s="13" t="n"/>
      <c r="AE41" s="13" t="n"/>
      <c r="AF41" s="13" t="n"/>
      <c r="AG41" s="13" t="n"/>
      <c r="AH41" s="13" t="n"/>
    </row>
    <row r="42">
      <c r="A42" s="13" t="n"/>
      <c r="B42" s="13" t="n"/>
      <c r="C42" s="13" t="n"/>
      <c r="D42" s="13" t="n"/>
      <c r="E42" s="13" t="n"/>
      <c r="F42" s="13" t="n"/>
      <c r="G42" s="13" t="n"/>
      <c r="H42" s="13" t="n"/>
      <c r="I42" s="13" t="n"/>
      <c r="J42" s="13" t="n"/>
      <c r="K42" s="13" t="n"/>
      <c r="L42" s="13" t="n"/>
      <c r="M42" s="13" t="n"/>
      <c r="N42" s="13" t="n"/>
      <c r="O42" s="13" t="n"/>
      <c r="P42" s="13" t="n"/>
      <c r="Q42" s="13" t="n"/>
      <c r="R42" s="13" t="n"/>
      <c r="S42" s="13" t="n"/>
      <c r="T42" s="13" t="n"/>
      <c r="U42" s="13" t="n"/>
      <c r="V42" s="13" t="n"/>
      <c r="W42" s="13" t="n"/>
      <c r="X42" s="13" t="n"/>
      <c r="Y42" s="13" t="n"/>
      <c r="Z42" s="13" t="n"/>
      <c r="AA42" s="13" t="n"/>
      <c r="AB42" s="13" t="n"/>
      <c r="AC42" s="13" t="n"/>
      <c r="AD42" s="13" t="n"/>
      <c r="AE42" s="13" t="n"/>
      <c r="AF42" s="13" t="n"/>
      <c r="AG42" s="13" t="n"/>
      <c r="AH42" s="13" t="n"/>
    </row>
    <row r="43">
      <c r="A43" s="13" t="n"/>
      <c r="B43" s="13" t="n"/>
      <c r="C43" s="13" t="n"/>
      <c r="D43" s="13" t="n"/>
      <c r="E43" s="13" t="n"/>
      <c r="F43" s="13" t="n"/>
      <c r="G43" s="13" t="n"/>
      <c r="H43" s="13" t="n"/>
      <c r="I43" s="13" t="n"/>
      <c r="J43" s="13" t="n"/>
      <c r="K43" s="13" t="n"/>
      <c r="L43" s="13" t="n"/>
      <c r="M43" s="13" t="n"/>
      <c r="N43" s="13" t="n"/>
      <c r="O43" s="13" t="n"/>
      <c r="P43" s="13" t="n"/>
      <c r="Q43" s="13" t="n"/>
      <c r="R43" s="13" t="n"/>
      <c r="S43" s="13" t="n"/>
      <c r="T43" s="13" t="n"/>
      <c r="U43" s="13" t="n"/>
      <c r="V43" s="13" t="n"/>
      <c r="W43" s="13" t="n"/>
      <c r="X43" s="13" t="n"/>
      <c r="Y43" s="13" t="n"/>
      <c r="Z43" s="13" t="n"/>
      <c r="AA43" s="13" t="n"/>
      <c r="AB43" s="13" t="n"/>
      <c r="AC43" s="13" t="n"/>
      <c r="AD43" s="13" t="n"/>
      <c r="AE43" s="13" t="n"/>
      <c r="AF43" s="13" t="n"/>
      <c r="AG43" s="13" t="n"/>
      <c r="AH43" s="13" t="n"/>
    </row>
    <row r="44">
      <c r="A44" s="13" t="n"/>
      <c r="B44" s="13" t="n"/>
      <c r="C44" s="13" t="n"/>
      <c r="D44" s="13" t="n"/>
      <c r="E44" s="13" t="n"/>
      <c r="F44" s="13" t="n"/>
      <c r="G44" s="13" t="n"/>
      <c r="H44" s="13" t="n"/>
      <c r="I44" s="13" t="n"/>
      <c r="J44" s="13" t="n"/>
      <c r="K44" s="13" t="n"/>
      <c r="L44" s="13" t="n"/>
      <c r="M44" s="13" t="n"/>
      <c r="N44" s="13" t="n"/>
      <c r="O44" s="13" t="n"/>
      <c r="P44" s="13" t="n"/>
      <c r="Q44" s="13" t="n"/>
      <c r="R44" s="13" t="n"/>
      <c r="S44" s="13" t="n"/>
      <c r="T44" s="13" t="n"/>
      <c r="U44" s="13" t="n"/>
      <c r="V44" s="13" t="n"/>
      <c r="W44" s="13" t="n"/>
      <c r="X44" s="13" t="n"/>
      <c r="Y44" s="13" t="n"/>
      <c r="Z44" s="13" t="n"/>
      <c r="AA44" s="13" t="n"/>
      <c r="AB44" s="13" t="n"/>
      <c r="AC44" s="13" t="n"/>
      <c r="AD44" s="13" t="n"/>
      <c r="AE44" s="13" t="n"/>
      <c r="AF44" s="13" t="n"/>
      <c r="AG44" s="13" t="n"/>
      <c r="AH44" s="13" t="n"/>
    </row>
    <row r="45">
      <c r="A45" s="13" t="n"/>
      <c r="B45" s="13" t="n"/>
      <c r="C45" s="13" t="n"/>
      <c r="D45" s="13" t="n"/>
      <c r="E45" s="13" t="n"/>
      <c r="F45" s="13" t="n"/>
      <c r="G45" s="13" t="n"/>
      <c r="H45" s="13" t="n"/>
      <c r="I45" s="13" t="n"/>
      <c r="J45" s="13" t="n"/>
      <c r="K45" s="13" t="n"/>
      <c r="L45" s="13" t="n"/>
      <c r="M45" s="13" t="n"/>
      <c r="N45" s="13" t="n"/>
      <c r="O45" s="13" t="n"/>
      <c r="P45" s="13" t="n"/>
      <c r="Q45" s="13" t="n"/>
      <c r="R45" s="13" t="n"/>
      <c r="S45" s="13" t="n"/>
      <c r="T45" s="13" t="n"/>
      <c r="U45" s="13" t="n"/>
      <c r="V45" s="13" t="n"/>
      <c r="W45" s="13" t="n"/>
      <c r="X45" s="13" t="n"/>
      <c r="Y45" s="13" t="n"/>
      <c r="Z45" s="13" t="n"/>
      <c r="AA45" s="13" t="n"/>
      <c r="AB45" s="13" t="n"/>
      <c r="AC45" s="13" t="n"/>
      <c r="AD45" s="13" t="n"/>
      <c r="AE45" s="13" t="n"/>
      <c r="AF45" s="13" t="n"/>
      <c r="AG45" s="13" t="n"/>
      <c r="AH45" s="13" t="n"/>
    </row>
    <row r="46">
      <c r="A46" s="13" t="n"/>
      <c r="B46" s="13" t="n"/>
      <c r="C46" s="13" t="n"/>
      <c r="D46" s="13" t="n"/>
      <c r="E46" s="13" t="n"/>
      <c r="F46" s="13" t="n"/>
      <c r="G46" s="13" t="n"/>
      <c r="H46" s="13" t="n"/>
      <c r="I46" s="13" t="n"/>
      <c r="J46" s="13" t="n"/>
      <c r="K46" s="13" t="n"/>
      <c r="L46" s="13" t="n"/>
      <c r="M46" s="13" t="n"/>
      <c r="N46" s="13" t="n"/>
      <c r="O46" s="13" t="n"/>
      <c r="P46" s="13" t="n"/>
      <c r="Q46" s="13" t="n"/>
      <c r="R46" s="13" t="n"/>
      <c r="S46" s="13" t="n"/>
      <c r="T46" s="13" t="n"/>
      <c r="U46" s="13" t="n"/>
      <c r="V46" s="13" t="n"/>
      <c r="W46" s="13" t="n"/>
      <c r="X46" s="13" t="n"/>
      <c r="Y46" s="13" t="n"/>
      <c r="Z46" s="13" t="n"/>
      <c r="AA46" s="13" t="n"/>
      <c r="AB46" s="13" t="n"/>
      <c r="AC46" s="13" t="n"/>
      <c r="AD46" s="13" t="n"/>
      <c r="AE46" s="13" t="n"/>
      <c r="AF46" s="13" t="n"/>
      <c r="AG46" s="13" t="n"/>
      <c r="AH46" s="13" t="n"/>
    </row>
    <row r="47">
      <c r="A47" s="13" t="n"/>
      <c r="B47" s="13" t="n"/>
      <c r="C47" s="13" t="n"/>
      <c r="D47" s="13" t="n"/>
      <c r="E47" s="13" t="n"/>
      <c r="F47" s="13" t="n"/>
      <c r="G47" s="13" t="n"/>
      <c r="H47" s="13" t="n"/>
      <c r="I47" s="13" t="n"/>
      <c r="J47" s="13" t="n"/>
      <c r="K47" s="13" t="n"/>
      <c r="L47" s="13" t="n"/>
      <c r="M47" s="13" t="n"/>
      <c r="N47" s="13" t="n"/>
      <c r="O47" s="13" t="n"/>
      <c r="P47" s="13" t="n"/>
      <c r="Q47" s="13" t="n"/>
      <c r="R47" s="13" t="n"/>
      <c r="S47" s="13" t="n"/>
      <c r="T47" s="13" t="n"/>
      <c r="U47" s="13" t="n"/>
      <c r="V47" s="13" t="n"/>
      <c r="W47" s="13" t="n"/>
      <c r="X47" s="13" t="n"/>
      <c r="Y47" s="13" t="n"/>
      <c r="Z47" s="13" t="n"/>
      <c r="AA47" s="13" t="n"/>
      <c r="AB47" s="13" t="n"/>
      <c r="AC47" s="13" t="n"/>
      <c r="AD47" s="13" t="n"/>
      <c r="AE47" s="13" t="n"/>
      <c r="AF47" s="13" t="n"/>
      <c r="AG47" s="13" t="n"/>
      <c r="AH47" s="13" t="n"/>
    </row>
    <row r="48">
      <c r="A48" s="13" t="n"/>
      <c r="B48" s="13" t="n"/>
      <c r="C48" s="13" t="n"/>
      <c r="D48" s="13" t="n"/>
      <c r="E48" s="13" t="n"/>
      <c r="F48" s="13" t="n"/>
      <c r="G48" s="13" t="n"/>
      <c r="H48" s="13" t="n"/>
      <c r="I48" s="13" t="n"/>
      <c r="J48" s="13" t="n"/>
      <c r="K48" s="13" t="n"/>
      <c r="L48" s="13" t="n"/>
      <c r="M48" s="13" t="n"/>
      <c r="N48" s="13" t="n"/>
      <c r="O48" s="13" t="n"/>
      <c r="P48" s="13" t="n"/>
      <c r="Q48" s="13" t="n"/>
      <c r="R48" s="13" t="n"/>
      <c r="S48" s="13" t="n"/>
      <c r="T48" s="13" t="n"/>
      <c r="U48" s="13" t="n"/>
      <c r="V48" s="13" t="n"/>
      <c r="W48" s="13" t="n"/>
      <c r="X48" s="13" t="n"/>
      <c r="Y48" s="13" t="n"/>
      <c r="Z48" s="13" t="n"/>
      <c r="AA48" s="13" t="n"/>
      <c r="AB48" s="13" t="n"/>
      <c r="AC48" s="13" t="n"/>
      <c r="AD48" s="13" t="n"/>
      <c r="AE48" s="13" t="n"/>
      <c r="AF48" s="13" t="n"/>
      <c r="AG48" s="13" t="n"/>
      <c r="AH48" s="13" t="n"/>
    </row>
    <row r="49">
      <c r="A49" s="13" t="n"/>
      <c r="B49" s="13" t="n"/>
      <c r="C49" s="13" t="n"/>
      <c r="D49" s="13" t="n"/>
      <c r="E49" s="13" t="n"/>
      <c r="F49" s="13" t="n"/>
      <c r="G49" s="13" t="n"/>
      <c r="H49" s="13" t="n"/>
      <c r="I49" s="13" t="n"/>
      <c r="J49" s="13" t="n"/>
      <c r="K49" s="13" t="n"/>
      <c r="L49" s="13" t="n"/>
      <c r="M49" s="13" t="n"/>
      <c r="N49" s="13" t="n"/>
      <c r="O49" s="13" t="n"/>
      <c r="P49" s="13" t="n"/>
      <c r="Q49" s="13" t="n"/>
      <c r="R49" s="13" t="n"/>
      <c r="S49" s="13" t="n"/>
      <c r="T49" s="13" t="n"/>
      <c r="U49" s="13" t="n"/>
      <c r="V49" s="13" t="n"/>
      <c r="W49" s="13" t="n"/>
      <c r="X49" s="13" t="n"/>
      <c r="Y49" s="13" t="n"/>
      <c r="Z49" s="13" t="n"/>
      <c r="AA49" s="13" t="n"/>
      <c r="AB49" s="13" t="n"/>
      <c r="AC49" s="13" t="n"/>
      <c r="AD49" s="13" t="n"/>
      <c r="AE49" s="13" t="n"/>
      <c r="AF49" s="13" t="n"/>
      <c r="AG49" s="13" t="n"/>
      <c r="AH49" s="13" t="n"/>
    </row>
    <row r="50">
      <c r="A50" s="13" t="n"/>
      <c r="B50" s="13" t="n"/>
      <c r="C50" s="13" t="n"/>
      <c r="D50" s="13" t="n"/>
      <c r="E50" s="13" t="n"/>
      <c r="F50" s="13" t="n"/>
      <c r="G50" s="13" t="n"/>
      <c r="H50" s="13" t="n"/>
      <c r="I50" s="13" t="n"/>
      <c r="J50" s="13" t="n"/>
      <c r="K50" s="13" t="n"/>
      <c r="L50" s="13" t="n"/>
      <c r="M50" s="13" t="n"/>
      <c r="N50" s="13" t="n"/>
      <c r="O50" s="13" t="n"/>
      <c r="P50" s="13" t="n"/>
      <c r="Q50" s="13" t="n"/>
      <c r="R50" s="13" t="n"/>
      <c r="S50" s="13" t="n"/>
      <c r="T50" s="13" t="n"/>
      <c r="U50" s="13" t="n"/>
      <c r="V50" s="13" t="n"/>
      <c r="W50" s="13" t="n"/>
      <c r="X50" s="13" t="n"/>
      <c r="Y50" s="13" t="n"/>
      <c r="Z50" s="13" t="n"/>
      <c r="AA50" s="13" t="n"/>
      <c r="AB50" s="13" t="n"/>
      <c r="AC50" s="13" t="n"/>
      <c r="AD50" s="13" t="n"/>
      <c r="AE50" s="13" t="n"/>
      <c r="AF50" s="13" t="n"/>
      <c r="AG50" s="13" t="n"/>
      <c r="AH50" s="13" t="n"/>
    </row>
    <row r="51">
      <c r="A51" s="13" t="n"/>
      <c r="B51" s="13" t="n"/>
      <c r="C51" s="13" t="n"/>
      <c r="D51" s="13" t="n"/>
      <c r="E51" s="13" t="n"/>
      <c r="F51" s="13" t="n"/>
      <c r="G51" s="13" t="n"/>
      <c r="H51" s="13" t="n"/>
      <c r="I51" s="13" t="n"/>
      <c r="J51" s="13" t="n"/>
      <c r="K51" s="13" t="n"/>
      <c r="L51" s="13" t="n"/>
      <c r="M51" s="13" t="n"/>
      <c r="N51" s="13" t="n"/>
      <c r="O51" s="13" t="n"/>
      <c r="P51" s="13" t="n"/>
      <c r="Q51" s="13" t="n"/>
      <c r="R51" s="13" t="n"/>
      <c r="S51" s="13" t="n"/>
      <c r="T51" s="13" t="n"/>
      <c r="U51" s="13" t="n"/>
      <c r="V51" s="13" t="n"/>
      <c r="W51" s="13" t="n"/>
      <c r="X51" s="13" t="n"/>
      <c r="Y51" s="13" t="n"/>
      <c r="Z51" s="13" t="n"/>
      <c r="AA51" s="13" t="n"/>
      <c r="AB51" s="13" t="n"/>
      <c r="AC51" s="13" t="n"/>
      <c r="AD51" s="13" t="n"/>
      <c r="AE51" s="13" t="n"/>
      <c r="AF51" s="13" t="n"/>
      <c r="AG51" s="13" t="n"/>
      <c r="AH51" s="13" t="n"/>
    </row>
    <row r="52">
      <c r="A52" s="13" t="n"/>
      <c r="B52" s="13" t="n"/>
      <c r="C52" s="13" t="n"/>
      <c r="D52" s="13" t="n"/>
      <c r="E52" s="13" t="n"/>
      <c r="F52" s="13" t="n"/>
      <c r="G52" s="13" t="n"/>
      <c r="H52" s="13" t="n"/>
      <c r="I52" s="13" t="n"/>
      <c r="J52" s="13" t="n"/>
      <c r="K52" s="13" t="n"/>
      <c r="L52" s="13" t="n"/>
      <c r="M52" s="13" t="n"/>
      <c r="N52" s="13" t="n"/>
      <c r="O52" s="13" t="n"/>
      <c r="P52" s="13" t="n"/>
      <c r="Q52" s="13" t="n"/>
      <c r="R52" s="13" t="n"/>
      <c r="S52" s="13" t="n"/>
      <c r="T52" s="13" t="n"/>
      <c r="U52" s="13" t="n"/>
      <c r="V52" s="13" t="n"/>
      <c r="W52" s="13" t="n"/>
      <c r="X52" s="13" t="n"/>
      <c r="Y52" s="13" t="n"/>
      <c r="Z52" s="13" t="n"/>
      <c r="AA52" s="13" t="n"/>
      <c r="AB52" s="13" t="n"/>
      <c r="AC52" s="13" t="n"/>
      <c r="AD52" s="13" t="n"/>
      <c r="AE52" s="13" t="n"/>
      <c r="AF52" s="13" t="n"/>
      <c r="AG52" s="13" t="n"/>
      <c r="AH52" s="13" t="n"/>
    </row>
  </sheetData>
  <conditionalFormatting sqref="B2:B1000">
    <cfRule type="cellIs" priority="1" operator="equal" dxfId="0">
      <formula>"Not Started"</formula>
    </cfRule>
    <cfRule type="cellIs" priority="2" operator="equal" dxfId="1">
      <formula>"In Progress"</formula>
    </cfRule>
    <cfRule type="cellIs" priority="3" operator="equal" dxfId="2">
      <formula>"Complete"</formula>
    </cfRule>
    <cfRule type="cellIs" priority="4" operator="equal" dxfId="3">
      <formula>"Validated"</formula>
    </cfRule>
  </conditionalFormatting>
  <conditionalFormatting sqref="E2:E1000">
    <cfRule type="expression" priority="5" dxfId="5">
      <formula>AND($B2&lt;&gt;"Not Started",$E2="")</formula>
    </cfRule>
  </conditionalFormatting>
  <conditionalFormatting sqref="F2:F1000">
    <cfRule type="expression" priority="6" dxfId="5">
      <formula>AND($J2="Yes",$F2="N/A (No special category data)")</formula>
    </cfRule>
  </conditionalFormatting>
  <dataValidations count="7">
    <dataValidation sqref="B3:B1000" showDropDown="1" showInputMessage="0" showErrorMessage="0" allowBlank="1" errorTitle="Invalid Entry" error="Invalid value. Please select from dropdown." type="list">
      <formula1>"Not Started,In Progress,Complete,Validated"</formula1>
    </dataValidation>
    <dataValidation sqref="E3:E1000" showDropDown="1" showInputMessage="0" showErrorMessage="0" allowBlank="1" errorTitle="Invalid Entry" error="Invalid value. Please select from dropdown." type="list">
      <formula1>"Consent (Art. 6(1)(a)),Contract (Art. 6(1)(b)),Legal Obligation (Art. 6(1)(c)),Vital Interests (Art. 6(1)(d)),Public Task (Art. 6(1)(e)),Legitimate Interests (Art. 6(1)(f))"</formula1>
    </dataValidation>
    <dataValidation sqref="F3:F1000" showDropDown="1" showInputMessage="0" showErrorMessage="0" allowBlank="1" errorTitle="Invalid Entry" error="Invalid value. Please select from dropdown." type="list">
      <formula1>"N/A (No special category data),Explicit Consent (Art. 9(2)(a)),Employment / Social Security (Art. 9(2)(b)),Vital Interests (Art. 9(2)(c)),Legitimate Activities of Foundation/Association (Art. 9(2)(d)),Made Public by Data Subject (Art. 9(2)(e)),Legal Claims (Art. 9(2)(f)),Substantial Public Interest (Art. 9(2)(g)),Health / Social Care (Art. 9(2)(h)),Public Health (Art. 9(2)(i)),Archiving / Research / Statistics (Art. 9(2)(j))"</formula1>
    </dataValidation>
    <dataValidation sqref="J3:J1000" showDropDown="1" showInputMessage="0" showErrorMessage="0" allowBlank="1" errorTitle="Invalid Entry" error="Invalid value. Please select from dropdown." type="list">
      <formula1>"Yes,No"</formula1>
    </dataValidation>
    <dataValidation sqref="P3:P1000" showDropDown="1" showInputMessage="0" showErrorMessage="0" allowBlank="1" errorTitle="Invalid Entry" error="Invalid value. Please select from dropdown." type="list">
      <formula1>"Yes,No"</formula1>
    </dataValidation>
    <dataValidation sqref="Z3:Z1000" showDropDown="1" showInputMessage="0" showErrorMessage="0" allowBlank="1" errorTitle="Invalid Entry" error="Invalid value. Please select from dropdown." type="list">
      <formula1>"Yes,No,N/A"</formula1>
    </dataValidation>
    <dataValidation sqref="AB3:AB1000" showDropDown="1" showInputMessage="0" showErrorMessage="0" allowBlank="1" errorTitle="Invalid Entry" error="Invalid value. Please select from dropdown." type="list">
      <formula1>"Yes,No,N/A"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52"/>
  <sheetViews>
    <sheetView showGridLines="0" workbookViewId="0">
      <pane ySplit="1" topLeftCell="A2" activePane="bottomLeft" state="frozen"/>
      <selection pane="bottomLeft" activeCell="A1" sqref="A1"/>
    </sheetView>
  </sheetViews>
  <sheetFormatPr baseColWidth="8" defaultRowHeight="15"/>
  <cols>
    <col width="15" customWidth="1" min="1" max="1"/>
    <col width="15" customWidth="1" min="2" max="2"/>
    <col width="25" customWidth="1" min="3" max="3"/>
    <col width="45" customWidth="1" min="4" max="4"/>
    <col width="30" customWidth="1" min="5" max="5"/>
    <col width="12" customWidth="1" min="6" max="6"/>
    <col width="35" customWidth="1" min="7" max="7"/>
    <col width="45" customWidth="1" min="8" max="8"/>
    <col width="25" customWidth="1" min="9" max="9"/>
    <col width="18" customWidth="1" min="10" max="10"/>
    <col width="18" customWidth="1" min="11" max="11"/>
    <col width="15" customWidth="1" min="12" max="12"/>
    <col width="20" customWidth="1" min="13" max="13"/>
    <col width="15" customWidth="1" min="14" max="14"/>
    <col width="20" customWidth="1" min="15" max="15"/>
    <col width="40" customWidth="1" min="16" max="16"/>
    <col width="20" customWidth="1" min="17" max="17"/>
    <col width="30" customWidth="1" min="18" max="18"/>
  </cols>
  <sheetData>
    <row r="1">
      <c r="A1" s="11" t="inlineStr">
        <is>
          <t>GapID</t>
        </is>
      </c>
      <c r="B1" s="11" t="inlineStr">
        <is>
          <t>Status</t>
        </is>
      </c>
      <c r="C1" s="11" t="inlineStr">
        <is>
          <t>Gap Type</t>
        </is>
      </c>
      <c r="D1" s="11" t="inlineStr">
        <is>
          <t>Gap Description</t>
        </is>
      </c>
      <c r="E1" s="11" t="inlineStr">
        <is>
          <t>System/Activity Affected</t>
        </is>
      </c>
      <c r="F1" s="11" t="inlineStr">
        <is>
          <t>Risk Level</t>
        </is>
      </c>
      <c r="G1" s="11" t="inlineStr">
        <is>
          <t>Risk Justification</t>
        </is>
      </c>
      <c r="H1" s="11" t="inlineStr">
        <is>
          <t>Remediation Action</t>
        </is>
      </c>
      <c r="I1" s="11" t="inlineStr">
        <is>
          <t>Remediation Owner</t>
        </is>
      </c>
      <c r="J1" s="11" t="inlineStr">
        <is>
          <t>Target Completion Date</t>
        </is>
      </c>
      <c r="K1" s="11" t="inlineStr">
        <is>
          <t>Actual Completion Date</t>
        </is>
      </c>
      <c r="L1" s="11" t="inlineStr">
        <is>
          <t>Date Identified</t>
        </is>
      </c>
      <c r="M1" s="11" t="inlineStr">
        <is>
          <t>Identified By</t>
        </is>
      </c>
      <c r="N1" s="11" t="inlineStr">
        <is>
          <t>Last Updated</t>
        </is>
      </c>
      <c r="O1" s="11" t="inlineStr">
        <is>
          <t>Updated By</t>
        </is>
      </c>
      <c r="P1" s="11" t="inlineStr">
        <is>
          <t>Notes</t>
        </is>
      </c>
      <c r="Q1" s="11" t="inlineStr">
        <is>
          <t>Evidence Reference</t>
        </is>
      </c>
      <c r="R1" s="11" t="inlineStr">
        <is>
          <t>Review Comments</t>
        </is>
      </c>
    </row>
    <row r="2">
      <c r="A2" s="12">
        <f>TEXT(YEAR(TODAY()),"0000")&amp;"-GAP-"&amp;TEXT(ROW()-1,"000")</f>
        <v/>
      </c>
      <c r="B2" s="12" t="n"/>
      <c r="C2" s="12" t="inlineStr">
        <is>
          <t>Missing Legal Basis</t>
        </is>
      </c>
      <c r="D2" s="12" t="inlineStr">
        <is>
          <t>Processing activity lacks documented legal basis under GDPR Art. 6</t>
        </is>
      </c>
      <c r="E2" s="12" t="inlineStr">
        <is>
          <t>Marketing Email System</t>
        </is>
      </c>
      <c r="F2" s="12" t="inlineStr">
        <is>
          <t>High</t>
        </is>
      </c>
      <c r="G2" s="12" t="inlineStr">
        <is>
          <t>Potential GDPR Art. 83 fine risk</t>
        </is>
      </c>
      <c r="H2" s="12" t="inlineStr">
        <is>
          <t>Document consent capture mechanism or identify lawful basis</t>
        </is>
      </c>
      <c r="I2" s="12" t="inlineStr">
        <is>
          <t>DPO / Privacy Officer</t>
        </is>
      </c>
      <c r="J2" s="12" t="n"/>
      <c r="K2" s="12" t="n"/>
      <c r="L2" s="12" t="n"/>
      <c r="M2" s="12" t="n"/>
      <c r="N2" s="12" t="n"/>
      <c r="O2" s="12" t="n"/>
      <c r="P2" s="12" t="n"/>
      <c r="Q2" s="12" t="n"/>
      <c r="R2" s="12" t="n"/>
    </row>
    <row r="3">
      <c r="A3" s="13" t="n"/>
      <c r="B3" s="13" t="n"/>
      <c r="C3" s="13" t="n"/>
      <c r="D3" s="13" t="n"/>
      <c r="E3" s="13" t="n"/>
      <c r="F3" s="13" t="n"/>
      <c r="G3" s="13" t="n"/>
      <c r="H3" s="13" t="n"/>
      <c r="I3" s="13" t="n"/>
      <c r="J3" s="13" t="n"/>
      <c r="K3" s="13" t="n"/>
      <c r="L3" s="13" t="n"/>
      <c r="M3" s="13" t="n"/>
      <c r="N3" s="13" t="n"/>
      <c r="O3" s="13" t="n"/>
      <c r="P3" s="13" t="n"/>
      <c r="Q3" s="13" t="n"/>
      <c r="R3" s="13" t="n"/>
    </row>
    <row r="4">
      <c r="A4" s="13" t="n"/>
      <c r="B4" s="13" t="n"/>
      <c r="C4" s="13" t="n"/>
      <c r="D4" s="13" t="n"/>
      <c r="E4" s="13" t="n"/>
      <c r="F4" s="13" t="n"/>
      <c r="G4" s="13" t="n"/>
      <c r="H4" s="13" t="n"/>
      <c r="I4" s="13" t="n"/>
      <c r="J4" s="13" t="n"/>
      <c r="K4" s="13" t="n"/>
      <c r="L4" s="13" t="n"/>
      <c r="M4" s="13" t="n"/>
      <c r="N4" s="13" t="n"/>
      <c r="O4" s="13" t="n"/>
      <c r="P4" s="13" t="n"/>
      <c r="Q4" s="13" t="n"/>
      <c r="R4" s="13" t="n"/>
    </row>
    <row r="5">
      <c r="A5" s="13" t="n"/>
      <c r="B5" s="13" t="n"/>
      <c r="C5" s="13" t="n"/>
      <c r="D5" s="13" t="n"/>
      <c r="E5" s="13" t="n"/>
      <c r="F5" s="13" t="n"/>
      <c r="G5" s="13" t="n"/>
      <c r="H5" s="13" t="n"/>
      <c r="I5" s="13" t="n"/>
      <c r="J5" s="13" t="n"/>
      <c r="K5" s="13" t="n"/>
      <c r="L5" s="13" t="n"/>
      <c r="M5" s="13" t="n"/>
      <c r="N5" s="13" t="n"/>
      <c r="O5" s="13" t="n"/>
      <c r="P5" s="13" t="n"/>
      <c r="Q5" s="13" t="n"/>
      <c r="R5" s="13" t="n"/>
    </row>
    <row r="6">
      <c r="A6" s="13" t="n"/>
      <c r="B6" s="13" t="n"/>
      <c r="C6" s="13" t="n"/>
      <c r="D6" s="13" t="n"/>
      <c r="E6" s="13" t="n"/>
      <c r="F6" s="13" t="n"/>
      <c r="G6" s="13" t="n"/>
      <c r="H6" s="13" t="n"/>
      <c r="I6" s="13" t="n"/>
      <c r="J6" s="13" t="n"/>
      <c r="K6" s="13" t="n"/>
      <c r="L6" s="13" t="n"/>
      <c r="M6" s="13" t="n"/>
      <c r="N6" s="13" t="n"/>
      <c r="O6" s="13" t="n"/>
      <c r="P6" s="13" t="n"/>
      <c r="Q6" s="13" t="n"/>
      <c r="R6" s="13" t="n"/>
    </row>
    <row r="7">
      <c r="A7" s="13" t="n"/>
      <c r="B7" s="13" t="n"/>
      <c r="C7" s="13" t="n"/>
      <c r="D7" s="13" t="n"/>
      <c r="E7" s="13" t="n"/>
      <c r="F7" s="13" t="n"/>
      <c r="G7" s="13" t="n"/>
      <c r="H7" s="13" t="n"/>
      <c r="I7" s="13" t="n"/>
      <c r="J7" s="13" t="n"/>
      <c r="K7" s="13" t="n"/>
      <c r="L7" s="13" t="n"/>
      <c r="M7" s="13" t="n"/>
      <c r="N7" s="13" t="n"/>
      <c r="O7" s="13" t="n"/>
      <c r="P7" s="13" t="n"/>
      <c r="Q7" s="13" t="n"/>
      <c r="R7" s="13" t="n"/>
    </row>
    <row r="8">
      <c r="A8" s="13" t="n"/>
      <c r="B8" s="13" t="n"/>
      <c r="C8" s="13" t="n"/>
      <c r="D8" s="13" t="n"/>
      <c r="E8" s="13" t="n"/>
      <c r="F8" s="13" t="n"/>
      <c r="G8" s="13" t="n"/>
      <c r="H8" s="13" t="n"/>
      <c r="I8" s="13" t="n"/>
      <c r="J8" s="13" t="n"/>
      <c r="K8" s="13" t="n"/>
      <c r="L8" s="13" t="n"/>
      <c r="M8" s="13" t="n"/>
      <c r="N8" s="13" t="n"/>
      <c r="O8" s="13" t="n"/>
      <c r="P8" s="13" t="n"/>
      <c r="Q8" s="13" t="n"/>
      <c r="R8" s="13" t="n"/>
    </row>
    <row r="9">
      <c r="A9" s="13" t="n"/>
      <c r="B9" s="13" t="n"/>
      <c r="C9" s="13" t="n"/>
      <c r="D9" s="13" t="n"/>
      <c r="E9" s="13" t="n"/>
      <c r="F9" s="13" t="n"/>
      <c r="G9" s="13" t="n"/>
      <c r="H9" s="13" t="n"/>
      <c r="I9" s="13" t="n"/>
      <c r="J9" s="13" t="n"/>
      <c r="K9" s="13" t="n"/>
      <c r="L9" s="13" t="n"/>
      <c r="M9" s="13" t="n"/>
      <c r="N9" s="13" t="n"/>
      <c r="O9" s="13" t="n"/>
      <c r="P9" s="13" t="n"/>
      <c r="Q9" s="13" t="n"/>
      <c r="R9" s="13" t="n"/>
    </row>
    <row r="10">
      <c r="A10" s="13" t="n"/>
      <c r="B10" s="13" t="n"/>
      <c r="C10" s="13" t="n"/>
      <c r="D10" s="13" t="n"/>
      <c r="E10" s="13" t="n"/>
      <c r="F10" s="13" t="n"/>
      <c r="G10" s="13" t="n"/>
      <c r="H10" s="13" t="n"/>
      <c r="I10" s="13" t="n"/>
      <c r="J10" s="13" t="n"/>
      <c r="K10" s="13" t="n"/>
      <c r="L10" s="13" t="n"/>
      <c r="M10" s="13" t="n"/>
      <c r="N10" s="13" t="n"/>
      <c r="O10" s="13" t="n"/>
      <c r="P10" s="13" t="n"/>
      <c r="Q10" s="13" t="n"/>
      <c r="R10" s="13" t="n"/>
    </row>
    <row r="11">
      <c r="A11" s="13" t="n"/>
      <c r="B11" s="13" t="n"/>
      <c r="C11" s="13" t="n"/>
      <c r="D11" s="13" t="n"/>
      <c r="E11" s="13" t="n"/>
      <c r="F11" s="13" t="n"/>
      <c r="G11" s="13" t="n"/>
      <c r="H11" s="13" t="n"/>
      <c r="I11" s="13" t="n"/>
      <c r="J11" s="13" t="n"/>
      <c r="K11" s="13" t="n"/>
      <c r="L11" s="13" t="n"/>
      <c r="M11" s="13" t="n"/>
      <c r="N11" s="13" t="n"/>
      <c r="O11" s="13" t="n"/>
      <c r="P11" s="13" t="n"/>
      <c r="Q11" s="13" t="n"/>
      <c r="R11" s="13" t="n"/>
    </row>
    <row r="12">
      <c r="A12" s="13" t="n"/>
      <c r="B12" s="13" t="n"/>
      <c r="C12" s="13" t="n"/>
      <c r="D12" s="13" t="n"/>
      <c r="E12" s="13" t="n"/>
      <c r="F12" s="13" t="n"/>
      <c r="G12" s="13" t="n"/>
      <c r="H12" s="13" t="n"/>
      <c r="I12" s="13" t="n"/>
      <c r="J12" s="13" t="n"/>
      <c r="K12" s="13" t="n"/>
      <c r="L12" s="13" t="n"/>
      <c r="M12" s="13" t="n"/>
      <c r="N12" s="13" t="n"/>
      <c r="O12" s="13" t="n"/>
      <c r="P12" s="13" t="n"/>
      <c r="Q12" s="13" t="n"/>
      <c r="R12" s="13" t="n"/>
    </row>
    <row r="13">
      <c r="A13" s="13" t="n"/>
      <c r="B13" s="13" t="n"/>
      <c r="C13" s="13" t="n"/>
      <c r="D13" s="13" t="n"/>
      <c r="E13" s="13" t="n"/>
      <c r="F13" s="13" t="n"/>
      <c r="G13" s="13" t="n"/>
      <c r="H13" s="13" t="n"/>
      <c r="I13" s="13" t="n"/>
      <c r="J13" s="13" t="n"/>
      <c r="K13" s="13" t="n"/>
      <c r="L13" s="13" t="n"/>
      <c r="M13" s="13" t="n"/>
      <c r="N13" s="13" t="n"/>
      <c r="O13" s="13" t="n"/>
      <c r="P13" s="13" t="n"/>
      <c r="Q13" s="13" t="n"/>
      <c r="R13" s="13" t="n"/>
    </row>
    <row r="14">
      <c r="A14" s="13" t="n"/>
      <c r="B14" s="13" t="n"/>
      <c r="C14" s="13" t="n"/>
      <c r="D14" s="13" t="n"/>
      <c r="E14" s="13" t="n"/>
      <c r="F14" s="13" t="n"/>
      <c r="G14" s="13" t="n"/>
      <c r="H14" s="13" t="n"/>
      <c r="I14" s="13" t="n"/>
      <c r="J14" s="13" t="n"/>
      <c r="K14" s="13" t="n"/>
      <c r="L14" s="13" t="n"/>
      <c r="M14" s="13" t="n"/>
      <c r="N14" s="13" t="n"/>
      <c r="O14" s="13" t="n"/>
      <c r="P14" s="13" t="n"/>
      <c r="Q14" s="13" t="n"/>
      <c r="R14" s="13" t="n"/>
    </row>
    <row r="15">
      <c r="A15" s="13" t="n"/>
      <c r="B15" s="13" t="n"/>
      <c r="C15" s="13" t="n"/>
      <c r="D15" s="13" t="n"/>
      <c r="E15" s="13" t="n"/>
      <c r="F15" s="13" t="n"/>
      <c r="G15" s="13" t="n"/>
      <c r="H15" s="13" t="n"/>
      <c r="I15" s="13" t="n"/>
      <c r="J15" s="13" t="n"/>
      <c r="K15" s="13" t="n"/>
      <c r="L15" s="13" t="n"/>
      <c r="M15" s="13" t="n"/>
      <c r="N15" s="13" t="n"/>
      <c r="O15" s="13" t="n"/>
      <c r="P15" s="13" t="n"/>
      <c r="Q15" s="13" t="n"/>
      <c r="R15" s="13" t="n"/>
    </row>
    <row r="16">
      <c r="A16" s="13" t="n"/>
      <c r="B16" s="13" t="n"/>
      <c r="C16" s="13" t="n"/>
      <c r="D16" s="13" t="n"/>
      <c r="E16" s="13" t="n"/>
      <c r="F16" s="13" t="n"/>
      <c r="G16" s="13" t="n"/>
      <c r="H16" s="13" t="n"/>
      <c r="I16" s="13" t="n"/>
      <c r="J16" s="13" t="n"/>
      <c r="K16" s="13" t="n"/>
      <c r="L16" s="13" t="n"/>
      <c r="M16" s="13" t="n"/>
      <c r="N16" s="13" t="n"/>
      <c r="O16" s="13" t="n"/>
      <c r="P16" s="13" t="n"/>
      <c r="Q16" s="13" t="n"/>
      <c r="R16" s="13" t="n"/>
    </row>
    <row r="17">
      <c r="A17" s="13" t="n"/>
      <c r="B17" s="13" t="n"/>
      <c r="C17" s="13" t="n"/>
      <c r="D17" s="13" t="n"/>
      <c r="E17" s="13" t="n"/>
      <c r="F17" s="13" t="n"/>
      <c r="G17" s="13" t="n"/>
      <c r="H17" s="13" t="n"/>
      <c r="I17" s="13" t="n"/>
      <c r="J17" s="13" t="n"/>
      <c r="K17" s="13" t="n"/>
      <c r="L17" s="13" t="n"/>
      <c r="M17" s="13" t="n"/>
      <c r="N17" s="13" t="n"/>
      <c r="O17" s="13" t="n"/>
      <c r="P17" s="13" t="n"/>
      <c r="Q17" s="13" t="n"/>
      <c r="R17" s="13" t="n"/>
    </row>
    <row r="18">
      <c r="A18" s="13" t="n"/>
      <c r="B18" s="13" t="n"/>
      <c r="C18" s="13" t="n"/>
      <c r="D18" s="13" t="n"/>
      <c r="E18" s="13" t="n"/>
      <c r="F18" s="13" t="n"/>
      <c r="G18" s="13" t="n"/>
      <c r="H18" s="13" t="n"/>
      <c r="I18" s="13" t="n"/>
      <c r="J18" s="13" t="n"/>
      <c r="K18" s="13" t="n"/>
      <c r="L18" s="13" t="n"/>
      <c r="M18" s="13" t="n"/>
      <c r="N18" s="13" t="n"/>
      <c r="O18" s="13" t="n"/>
      <c r="P18" s="13" t="n"/>
      <c r="Q18" s="13" t="n"/>
      <c r="R18" s="13" t="n"/>
    </row>
    <row r="19">
      <c r="A19" s="13" t="n"/>
      <c r="B19" s="13" t="n"/>
      <c r="C19" s="13" t="n"/>
      <c r="D19" s="13" t="n"/>
      <c r="E19" s="13" t="n"/>
      <c r="F19" s="13" t="n"/>
      <c r="G19" s="13" t="n"/>
      <c r="H19" s="13" t="n"/>
      <c r="I19" s="13" t="n"/>
      <c r="J19" s="13" t="n"/>
      <c r="K19" s="13" t="n"/>
      <c r="L19" s="13" t="n"/>
      <c r="M19" s="13" t="n"/>
      <c r="N19" s="13" t="n"/>
      <c r="O19" s="13" t="n"/>
      <c r="P19" s="13" t="n"/>
      <c r="Q19" s="13" t="n"/>
      <c r="R19" s="13" t="n"/>
    </row>
    <row r="20">
      <c r="A20" s="13" t="n"/>
      <c r="B20" s="13" t="n"/>
      <c r="C20" s="13" t="n"/>
      <c r="D20" s="13" t="n"/>
      <c r="E20" s="13" t="n"/>
      <c r="F20" s="13" t="n"/>
      <c r="G20" s="13" t="n"/>
      <c r="H20" s="13" t="n"/>
      <c r="I20" s="13" t="n"/>
      <c r="J20" s="13" t="n"/>
      <c r="K20" s="13" t="n"/>
      <c r="L20" s="13" t="n"/>
      <c r="M20" s="13" t="n"/>
      <c r="N20" s="13" t="n"/>
      <c r="O20" s="13" t="n"/>
      <c r="P20" s="13" t="n"/>
      <c r="Q20" s="13" t="n"/>
      <c r="R20" s="13" t="n"/>
    </row>
    <row r="21">
      <c r="A21" s="13" t="n"/>
      <c r="B21" s="13" t="n"/>
      <c r="C21" s="13" t="n"/>
      <c r="D21" s="13" t="n"/>
      <c r="E21" s="13" t="n"/>
      <c r="F21" s="13" t="n"/>
      <c r="G21" s="13" t="n"/>
      <c r="H21" s="13" t="n"/>
      <c r="I21" s="13" t="n"/>
      <c r="J21" s="13" t="n"/>
      <c r="K21" s="13" t="n"/>
      <c r="L21" s="13" t="n"/>
      <c r="M21" s="13" t="n"/>
      <c r="N21" s="13" t="n"/>
      <c r="O21" s="13" t="n"/>
      <c r="P21" s="13" t="n"/>
      <c r="Q21" s="13" t="n"/>
      <c r="R21" s="13" t="n"/>
    </row>
    <row r="22">
      <c r="A22" s="13" t="n"/>
      <c r="B22" s="13" t="n"/>
      <c r="C22" s="13" t="n"/>
      <c r="D22" s="13" t="n"/>
      <c r="E22" s="13" t="n"/>
      <c r="F22" s="13" t="n"/>
      <c r="G22" s="13" t="n"/>
      <c r="H22" s="13" t="n"/>
      <c r="I22" s="13" t="n"/>
      <c r="J22" s="13" t="n"/>
      <c r="K22" s="13" t="n"/>
      <c r="L22" s="13" t="n"/>
      <c r="M22" s="13" t="n"/>
      <c r="N22" s="13" t="n"/>
      <c r="O22" s="13" t="n"/>
      <c r="P22" s="13" t="n"/>
      <c r="Q22" s="13" t="n"/>
      <c r="R22" s="13" t="n"/>
    </row>
    <row r="23">
      <c r="A23" s="13" t="n"/>
      <c r="B23" s="13" t="n"/>
      <c r="C23" s="13" t="n"/>
      <c r="D23" s="13" t="n"/>
      <c r="E23" s="13" t="n"/>
      <c r="F23" s="13" t="n"/>
      <c r="G23" s="13" t="n"/>
      <c r="H23" s="13" t="n"/>
      <c r="I23" s="13" t="n"/>
      <c r="J23" s="13" t="n"/>
      <c r="K23" s="13" t="n"/>
      <c r="L23" s="13" t="n"/>
      <c r="M23" s="13" t="n"/>
      <c r="N23" s="13" t="n"/>
      <c r="O23" s="13" t="n"/>
      <c r="P23" s="13" t="n"/>
      <c r="Q23" s="13" t="n"/>
      <c r="R23" s="13" t="n"/>
    </row>
    <row r="24">
      <c r="A24" s="13" t="n"/>
      <c r="B24" s="13" t="n"/>
      <c r="C24" s="13" t="n"/>
      <c r="D24" s="13" t="n"/>
      <c r="E24" s="13" t="n"/>
      <c r="F24" s="13" t="n"/>
      <c r="G24" s="13" t="n"/>
      <c r="H24" s="13" t="n"/>
      <c r="I24" s="13" t="n"/>
      <c r="J24" s="13" t="n"/>
      <c r="K24" s="13" t="n"/>
      <c r="L24" s="13" t="n"/>
      <c r="M24" s="13" t="n"/>
      <c r="N24" s="13" t="n"/>
      <c r="O24" s="13" t="n"/>
      <c r="P24" s="13" t="n"/>
      <c r="Q24" s="13" t="n"/>
      <c r="R24" s="13" t="n"/>
    </row>
    <row r="25">
      <c r="A25" s="13" t="n"/>
      <c r="B25" s="13" t="n"/>
      <c r="C25" s="13" t="n"/>
      <c r="D25" s="13" t="n"/>
      <c r="E25" s="13" t="n"/>
      <c r="F25" s="13" t="n"/>
      <c r="G25" s="13" t="n"/>
      <c r="H25" s="13" t="n"/>
      <c r="I25" s="13" t="n"/>
      <c r="J25" s="13" t="n"/>
      <c r="K25" s="13" t="n"/>
      <c r="L25" s="13" t="n"/>
      <c r="M25" s="13" t="n"/>
      <c r="N25" s="13" t="n"/>
      <c r="O25" s="13" t="n"/>
      <c r="P25" s="13" t="n"/>
      <c r="Q25" s="13" t="n"/>
      <c r="R25" s="13" t="n"/>
    </row>
    <row r="26">
      <c r="A26" s="13" t="n"/>
      <c r="B26" s="13" t="n"/>
      <c r="C26" s="13" t="n"/>
      <c r="D26" s="13" t="n"/>
      <c r="E26" s="13" t="n"/>
      <c r="F26" s="13" t="n"/>
      <c r="G26" s="13" t="n"/>
      <c r="H26" s="13" t="n"/>
      <c r="I26" s="13" t="n"/>
      <c r="J26" s="13" t="n"/>
      <c r="K26" s="13" t="n"/>
      <c r="L26" s="13" t="n"/>
      <c r="M26" s="13" t="n"/>
      <c r="N26" s="13" t="n"/>
      <c r="O26" s="13" t="n"/>
      <c r="P26" s="13" t="n"/>
      <c r="Q26" s="13" t="n"/>
      <c r="R26" s="13" t="n"/>
    </row>
    <row r="27">
      <c r="A27" s="13" t="n"/>
      <c r="B27" s="13" t="n"/>
      <c r="C27" s="13" t="n"/>
      <c r="D27" s="13" t="n"/>
      <c r="E27" s="13" t="n"/>
      <c r="F27" s="13" t="n"/>
      <c r="G27" s="13" t="n"/>
      <c r="H27" s="13" t="n"/>
      <c r="I27" s="13" t="n"/>
      <c r="J27" s="13" t="n"/>
      <c r="K27" s="13" t="n"/>
      <c r="L27" s="13" t="n"/>
      <c r="M27" s="13" t="n"/>
      <c r="N27" s="13" t="n"/>
      <c r="O27" s="13" t="n"/>
      <c r="P27" s="13" t="n"/>
      <c r="Q27" s="13" t="n"/>
      <c r="R27" s="13" t="n"/>
    </row>
    <row r="28">
      <c r="A28" s="13" t="n"/>
      <c r="B28" s="13" t="n"/>
      <c r="C28" s="13" t="n"/>
      <c r="D28" s="13" t="n"/>
      <c r="E28" s="13" t="n"/>
      <c r="F28" s="13" t="n"/>
      <c r="G28" s="13" t="n"/>
      <c r="H28" s="13" t="n"/>
      <c r="I28" s="13" t="n"/>
      <c r="J28" s="13" t="n"/>
      <c r="K28" s="13" t="n"/>
      <c r="L28" s="13" t="n"/>
      <c r="M28" s="13" t="n"/>
      <c r="N28" s="13" t="n"/>
      <c r="O28" s="13" t="n"/>
      <c r="P28" s="13" t="n"/>
      <c r="Q28" s="13" t="n"/>
      <c r="R28" s="13" t="n"/>
    </row>
    <row r="29">
      <c r="A29" s="13" t="n"/>
      <c r="B29" s="13" t="n"/>
      <c r="C29" s="13" t="n"/>
      <c r="D29" s="13" t="n"/>
      <c r="E29" s="13" t="n"/>
      <c r="F29" s="13" t="n"/>
      <c r="G29" s="13" t="n"/>
      <c r="H29" s="13" t="n"/>
      <c r="I29" s="13" t="n"/>
      <c r="J29" s="13" t="n"/>
      <c r="K29" s="13" t="n"/>
      <c r="L29" s="13" t="n"/>
      <c r="M29" s="13" t="n"/>
      <c r="N29" s="13" t="n"/>
      <c r="O29" s="13" t="n"/>
      <c r="P29" s="13" t="n"/>
      <c r="Q29" s="13" t="n"/>
      <c r="R29" s="13" t="n"/>
    </row>
    <row r="30">
      <c r="A30" s="13" t="n"/>
      <c r="B30" s="13" t="n"/>
      <c r="C30" s="13" t="n"/>
      <c r="D30" s="13" t="n"/>
      <c r="E30" s="13" t="n"/>
      <c r="F30" s="13" t="n"/>
      <c r="G30" s="13" t="n"/>
      <c r="H30" s="13" t="n"/>
      <c r="I30" s="13" t="n"/>
      <c r="J30" s="13" t="n"/>
      <c r="K30" s="13" t="n"/>
      <c r="L30" s="13" t="n"/>
      <c r="M30" s="13" t="n"/>
      <c r="N30" s="13" t="n"/>
      <c r="O30" s="13" t="n"/>
      <c r="P30" s="13" t="n"/>
      <c r="Q30" s="13" t="n"/>
      <c r="R30" s="13" t="n"/>
    </row>
    <row r="31">
      <c r="A31" s="13" t="n"/>
      <c r="B31" s="13" t="n"/>
      <c r="C31" s="13" t="n"/>
      <c r="D31" s="13" t="n"/>
      <c r="E31" s="13" t="n"/>
      <c r="F31" s="13" t="n"/>
      <c r="G31" s="13" t="n"/>
      <c r="H31" s="13" t="n"/>
      <c r="I31" s="13" t="n"/>
      <c r="J31" s="13" t="n"/>
      <c r="K31" s="13" t="n"/>
      <c r="L31" s="13" t="n"/>
      <c r="M31" s="13" t="n"/>
      <c r="N31" s="13" t="n"/>
      <c r="O31" s="13" t="n"/>
      <c r="P31" s="13" t="n"/>
      <c r="Q31" s="13" t="n"/>
      <c r="R31" s="13" t="n"/>
    </row>
    <row r="32">
      <c r="A32" s="13" t="n"/>
      <c r="B32" s="13" t="n"/>
      <c r="C32" s="13" t="n"/>
      <c r="D32" s="13" t="n"/>
      <c r="E32" s="13" t="n"/>
      <c r="F32" s="13" t="n"/>
      <c r="G32" s="13" t="n"/>
      <c r="H32" s="13" t="n"/>
      <c r="I32" s="13" t="n"/>
      <c r="J32" s="13" t="n"/>
      <c r="K32" s="13" t="n"/>
      <c r="L32" s="13" t="n"/>
      <c r="M32" s="13" t="n"/>
      <c r="N32" s="13" t="n"/>
      <c r="O32" s="13" t="n"/>
      <c r="P32" s="13" t="n"/>
      <c r="Q32" s="13" t="n"/>
      <c r="R32" s="13" t="n"/>
    </row>
    <row r="33">
      <c r="A33" s="13" t="n"/>
      <c r="B33" s="13" t="n"/>
      <c r="C33" s="13" t="n"/>
      <c r="D33" s="13" t="n"/>
      <c r="E33" s="13" t="n"/>
      <c r="F33" s="13" t="n"/>
      <c r="G33" s="13" t="n"/>
      <c r="H33" s="13" t="n"/>
      <c r="I33" s="13" t="n"/>
      <c r="J33" s="13" t="n"/>
      <c r="K33" s="13" t="n"/>
      <c r="L33" s="13" t="n"/>
      <c r="M33" s="13" t="n"/>
      <c r="N33" s="13" t="n"/>
      <c r="O33" s="13" t="n"/>
      <c r="P33" s="13" t="n"/>
      <c r="Q33" s="13" t="n"/>
      <c r="R33" s="13" t="n"/>
    </row>
    <row r="34">
      <c r="A34" s="13" t="n"/>
      <c r="B34" s="13" t="n"/>
      <c r="C34" s="13" t="n"/>
      <c r="D34" s="13" t="n"/>
      <c r="E34" s="13" t="n"/>
      <c r="F34" s="13" t="n"/>
      <c r="G34" s="13" t="n"/>
      <c r="H34" s="13" t="n"/>
      <c r="I34" s="13" t="n"/>
      <c r="J34" s="13" t="n"/>
      <c r="K34" s="13" t="n"/>
      <c r="L34" s="13" t="n"/>
      <c r="M34" s="13" t="n"/>
      <c r="N34" s="13" t="n"/>
      <c r="O34" s="13" t="n"/>
      <c r="P34" s="13" t="n"/>
      <c r="Q34" s="13" t="n"/>
      <c r="R34" s="13" t="n"/>
    </row>
    <row r="35">
      <c r="A35" s="13" t="n"/>
      <c r="B35" s="13" t="n"/>
      <c r="C35" s="13" t="n"/>
      <c r="D35" s="13" t="n"/>
      <c r="E35" s="13" t="n"/>
      <c r="F35" s="13" t="n"/>
      <c r="G35" s="13" t="n"/>
      <c r="H35" s="13" t="n"/>
      <c r="I35" s="13" t="n"/>
      <c r="J35" s="13" t="n"/>
      <c r="K35" s="13" t="n"/>
      <c r="L35" s="13" t="n"/>
      <c r="M35" s="13" t="n"/>
      <c r="N35" s="13" t="n"/>
      <c r="O35" s="13" t="n"/>
      <c r="P35" s="13" t="n"/>
      <c r="Q35" s="13" t="n"/>
      <c r="R35" s="13" t="n"/>
    </row>
    <row r="36">
      <c r="A36" s="13" t="n"/>
      <c r="B36" s="13" t="n"/>
      <c r="C36" s="13" t="n"/>
      <c r="D36" s="13" t="n"/>
      <c r="E36" s="13" t="n"/>
      <c r="F36" s="13" t="n"/>
      <c r="G36" s="13" t="n"/>
      <c r="H36" s="13" t="n"/>
      <c r="I36" s="13" t="n"/>
      <c r="J36" s="13" t="n"/>
      <c r="K36" s="13" t="n"/>
      <c r="L36" s="13" t="n"/>
      <c r="M36" s="13" t="n"/>
      <c r="N36" s="13" t="n"/>
      <c r="O36" s="13" t="n"/>
      <c r="P36" s="13" t="n"/>
      <c r="Q36" s="13" t="n"/>
      <c r="R36" s="13" t="n"/>
    </row>
    <row r="37">
      <c r="A37" s="13" t="n"/>
      <c r="B37" s="13" t="n"/>
      <c r="C37" s="13" t="n"/>
      <c r="D37" s="13" t="n"/>
      <c r="E37" s="13" t="n"/>
      <c r="F37" s="13" t="n"/>
      <c r="G37" s="13" t="n"/>
      <c r="H37" s="13" t="n"/>
      <c r="I37" s="13" t="n"/>
      <c r="J37" s="13" t="n"/>
      <c r="K37" s="13" t="n"/>
      <c r="L37" s="13" t="n"/>
      <c r="M37" s="13" t="n"/>
      <c r="N37" s="13" t="n"/>
      <c r="O37" s="13" t="n"/>
      <c r="P37" s="13" t="n"/>
      <c r="Q37" s="13" t="n"/>
      <c r="R37" s="13" t="n"/>
    </row>
    <row r="38">
      <c r="A38" s="13" t="n"/>
      <c r="B38" s="13" t="n"/>
      <c r="C38" s="13" t="n"/>
      <c r="D38" s="13" t="n"/>
      <c r="E38" s="13" t="n"/>
      <c r="F38" s="13" t="n"/>
      <c r="G38" s="13" t="n"/>
      <c r="H38" s="13" t="n"/>
      <c r="I38" s="13" t="n"/>
      <c r="J38" s="13" t="n"/>
      <c r="K38" s="13" t="n"/>
      <c r="L38" s="13" t="n"/>
      <c r="M38" s="13" t="n"/>
      <c r="N38" s="13" t="n"/>
      <c r="O38" s="13" t="n"/>
      <c r="P38" s="13" t="n"/>
      <c r="Q38" s="13" t="n"/>
      <c r="R38" s="13" t="n"/>
    </row>
    <row r="39">
      <c r="A39" s="13" t="n"/>
      <c r="B39" s="13" t="n"/>
      <c r="C39" s="13" t="n"/>
      <c r="D39" s="13" t="n"/>
      <c r="E39" s="13" t="n"/>
      <c r="F39" s="13" t="n"/>
      <c r="G39" s="13" t="n"/>
      <c r="H39" s="13" t="n"/>
      <c r="I39" s="13" t="n"/>
      <c r="J39" s="13" t="n"/>
      <c r="K39" s="13" t="n"/>
      <c r="L39" s="13" t="n"/>
      <c r="M39" s="13" t="n"/>
      <c r="N39" s="13" t="n"/>
      <c r="O39" s="13" t="n"/>
      <c r="P39" s="13" t="n"/>
      <c r="Q39" s="13" t="n"/>
      <c r="R39" s="13" t="n"/>
    </row>
    <row r="40">
      <c r="A40" s="13" t="n"/>
      <c r="B40" s="13" t="n"/>
      <c r="C40" s="13" t="n"/>
      <c r="D40" s="13" t="n"/>
      <c r="E40" s="13" t="n"/>
      <c r="F40" s="13" t="n"/>
      <c r="G40" s="13" t="n"/>
      <c r="H40" s="13" t="n"/>
      <c r="I40" s="13" t="n"/>
      <c r="J40" s="13" t="n"/>
      <c r="K40" s="13" t="n"/>
      <c r="L40" s="13" t="n"/>
      <c r="M40" s="13" t="n"/>
      <c r="N40" s="13" t="n"/>
      <c r="O40" s="13" t="n"/>
      <c r="P40" s="13" t="n"/>
      <c r="Q40" s="13" t="n"/>
      <c r="R40" s="13" t="n"/>
    </row>
    <row r="41">
      <c r="A41" s="13" t="n"/>
      <c r="B41" s="13" t="n"/>
      <c r="C41" s="13" t="n"/>
      <c r="D41" s="13" t="n"/>
      <c r="E41" s="13" t="n"/>
      <c r="F41" s="13" t="n"/>
      <c r="G41" s="13" t="n"/>
      <c r="H41" s="13" t="n"/>
      <c r="I41" s="13" t="n"/>
      <c r="J41" s="13" t="n"/>
      <c r="K41" s="13" t="n"/>
      <c r="L41" s="13" t="n"/>
      <c r="M41" s="13" t="n"/>
      <c r="N41" s="13" t="n"/>
      <c r="O41" s="13" t="n"/>
      <c r="P41" s="13" t="n"/>
      <c r="Q41" s="13" t="n"/>
      <c r="R41" s="13" t="n"/>
    </row>
    <row r="42">
      <c r="A42" s="13" t="n"/>
      <c r="B42" s="13" t="n"/>
      <c r="C42" s="13" t="n"/>
      <c r="D42" s="13" t="n"/>
      <c r="E42" s="13" t="n"/>
      <c r="F42" s="13" t="n"/>
      <c r="G42" s="13" t="n"/>
      <c r="H42" s="13" t="n"/>
      <c r="I42" s="13" t="n"/>
      <c r="J42" s="13" t="n"/>
      <c r="K42" s="13" t="n"/>
      <c r="L42" s="13" t="n"/>
      <c r="M42" s="13" t="n"/>
      <c r="N42" s="13" t="n"/>
      <c r="O42" s="13" t="n"/>
      <c r="P42" s="13" t="n"/>
      <c r="Q42" s="13" t="n"/>
      <c r="R42" s="13" t="n"/>
    </row>
    <row r="43">
      <c r="A43" s="13" t="n"/>
      <c r="B43" s="13" t="n"/>
      <c r="C43" s="13" t="n"/>
      <c r="D43" s="13" t="n"/>
      <c r="E43" s="13" t="n"/>
      <c r="F43" s="13" t="n"/>
      <c r="G43" s="13" t="n"/>
      <c r="H43" s="13" t="n"/>
      <c r="I43" s="13" t="n"/>
      <c r="J43" s="13" t="n"/>
      <c r="K43" s="13" t="n"/>
      <c r="L43" s="13" t="n"/>
      <c r="M43" s="13" t="n"/>
      <c r="N43" s="13" t="n"/>
      <c r="O43" s="13" t="n"/>
      <c r="P43" s="13" t="n"/>
      <c r="Q43" s="13" t="n"/>
      <c r="R43" s="13" t="n"/>
    </row>
    <row r="44">
      <c r="A44" s="13" t="n"/>
      <c r="B44" s="13" t="n"/>
      <c r="C44" s="13" t="n"/>
      <c r="D44" s="13" t="n"/>
      <c r="E44" s="13" t="n"/>
      <c r="F44" s="13" t="n"/>
      <c r="G44" s="13" t="n"/>
      <c r="H44" s="13" t="n"/>
      <c r="I44" s="13" t="n"/>
      <c r="J44" s="13" t="n"/>
      <c r="K44" s="13" t="n"/>
      <c r="L44" s="13" t="n"/>
      <c r="M44" s="13" t="n"/>
      <c r="N44" s="13" t="n"/>
      <c r="O44" s="13" t="n"/>
      <c r="P44" s="13" t="n"/>
      <c r="Q44" s="13" t="n"/>
      <c r="R44" s="13" t="n"/>
    </row>
    <row r="45">
      <c r="A45" s="13" t="n"/>
      <c r="B45" s="13" t="n"/>
      <c r="C45" s="13" t="n"/>
      <c r="D45" s="13" t="n"/>
      <c r="E45" s="13" t="n"/>
      <c r="F45" s="13" t="n"/>
      <c r="G45" s="13" t="n"/>
      <c r="H45" s="13" t="n"/>
      <c r="I45" s="13" t="n"/>
      <c r="J45" s="13" t="n"/>
      <c r="K45" s="13" t="n"/>
      <c r="L45" s="13" t="n"/>
      <c r="M45" s="13" t="n"/>
      <c r="N45" s="13" t="n"/>
      <c r="O45" s="13" t="n"/>
      <c r="P45" s="13" t="n"/>
      <c r="Q45" s="13" t="n"/>
      <c r="R45" s="13" t="n"/>
    </row>
    <row r="46">
      <c r="A46" s="13" t="n"/>
      <c r="B46" s="13" t="n"/>
      <c r="C46" s="13" t="n"/>
      <c r="D46" s="13" t="n"/>
      <c r="E46" s="13" t="n"/>
      <c r="F46" s="13" t="n"/>
      <c r="G46" s="13" t="n"/>
      <c r="H46" s="13" t="n"/>
      <c r="I46" s="13" t="n"/>
      <c r="J46" s="13" t="n"/>
      <c r="K46" s="13" t="n"/>
      <c r="L46" s="13" t="n"/>
      <c r="M46" s="13" t="n"/>
      <c r="N46" s="13" t="n"/>
      <c r="O46" s="13" t="n"/>
      <c r="P46" s="13" t="n"/>
      <c r="Q46" s="13" t="n"/>
      <c r="R46" s="13" t="n"/>
    </row>
    <row r="47">
      <c r="A47" s="13" t="n"/>
      <c r="B47" s="13" t="n"/>
      <c r="C47" s="13" t="n"/>
      <c r="D47" s="13" t="n"/>
      <c r="E47" s="13" t="n"/>
      <c r="F47" s="13" t="n"/>
      <c r="G47" s="13" t="n"/>
      <c r="H47" s="13" t="n"/>
      <c r="I47" s="13" t="n"/>
      <c r="J47" s="13" t="n"/>
      <c r="K47" s="13" t="n"/>
      <c r="L47" s="13" t="n"/>
      <c r="M47" s="13" t="n"/>
      <c r="N47" s="13" t="n"/>
      <c r="O47" s="13" t="n"/>
      <c r="P47" s="13" t="n"/>
      <c r="Q47" s="13" t="n"/>
      <c r="R47" s="13" t="n"/>
    </row>
    <row r="48">
      <c r="A48" s="13" t="n"/>
      <c r="B48" s="13" t="n"/>
      <c r="C48" s="13" t="n"/>
      <c r="D48" s="13" t="n"/>
      <c r="E48" s="13" t="n"/>
      <c r="F48" s="13" t="n"/>
      <c r="G48" s="13" t="n"/>
      <c r="H48" s="13" t="n"/>
      <c r="I48" s="13" t="n"/>
      <c r="J48" s="13" t="n"/>
      <c r="K48" s="13" t="n"/>
      <c r="L48" s="13" t="n"/>
      <c r="M48" s="13" t="n"/>
      <c r="N48" s="13" t="n"/>
      <c r="O48" s="13" t="n"/>
      <c r="P48" s="13" t="n"/>
      <c r="Q48" s="13" t="n"/>
      <c r="R48" s="13" t="n"/>
    </row>
    <row r="49">
      <c r="A49" s="13" t="n"/>
      <c r="B49" s="13" t="n"/>
      <c r="C49" s="13" t="n"/>
      <c r="D49" s="13" t="n"/>
      <c r="E49" s="13" t="n"/>
      <c r="F49" s="13" t="n"/>
      <c r="G49" s="13" t="n"/>
      <c r="H49" s="13" t="n"/>
      <c r="I49" s="13" t="n"/>
      <c r="J49" s="13" t="n"/>
      <c r="K49" s="13" t="n"/>
      <c r="L49" s="13" t="n"/>
      <c r="M49" s="13" t="n"/>
      <c r="N49" s="13" t="n"/>
      <c r="O49" s="13" t="n"/>
      <c r="P49" s="13" t="n"/>
      <c r="Q49" s="13" t="n"/>
      <c r="R49" s="13" t="n"/>
    </row>
    <row r="50">
      <c r="A50" s="13" t="n"/>
      <c r="B50" s="13" t="n"/>
      <c r="C50" s="13" t="n"/>
      <c r="D50" s="13" t="n"/>
      <c r="E50" s="13" t="n"/>
      <c r="F50" s="13" t="n"/>
      <c r="G50" s="13" t="n"/>
      <c r="H50" s="13" t="n"/>
      <c r="I50" s="13" t="n"/>
      <c r="J50" s="13" t="n"/>
      <c r="K50" s="13" t="n"/>
      <c r="L50" s="13" t="n"/>
      <c r="M50" s="13" t="n"/>
      <c r="N50" s="13" t="n"/>
      <c r="O50" s="13" t="n"/>
      <c r="P50" s="13" t="n"/>
      <c r="Q50" s="13" t="n"/>
      <c r="R50" s="13" t="n"/>
    </row>
    <row r="51">
      <c r="A51" s="13" t="n"/>
      <c r="B51" s="13" t="n"/>
      <c r="C51" s="13" t="n"/>
      <c r="D51" s="13" t="n"/>
      <c r="E51" s="13" t="n"/>
      <c r="F51" s="13" t="n"/>
      <c r="G51" s="13" t="n"/>
      <c r="H51" s="13" t="n"/>
      <c r="I51" s="13" t="n"/>
      <c r="J51" s="13" t="n"/>
      <c r="K51" s="13" t="n"/>
      <c r="L51" s="13" t="n"/>
      <c r="M51" s="13" t="n"/>
      <c r="N51" s="13" t="n"/>
      <c r="O51" s="13" t="n"/>
      <c r="P51" s="13" t="n"/>
      <c r="Q51" s="13" t="n"/>
      <c r="R51" s="13" t="n"/>
    </row>
    <row r="52">
      <c r="A52" s="13" t="n"/>
      <c r="B52" s="13" t="n"/>
      <c r="C52" s="13" t="n"/>
      <c r="D52" s="13" t="n"/>
      <c r="E52" s="13" t="n"/>
      <c r="F52" s="13" t="n"/>
      <c r="G52" s="13" t="n"/>
      <c r="H52" s="13" t="n"/>
      <c r="I52" s="13" t="n"/>
      <c r="J52" s="13" t="n"/>
      <c r="K52" s="13" t="n"/>
      <c r="L52" s="13" t="n"/>
      <c r="M52" s="13" t="n"/>
      <c r="N52" s="13" t="n"/>
      <c r="O52" s="13" t="n"/>
      <c r="P52" s="13" t="n"/>
      <c r="Q52" s="13" t="n"/>
      <c r="R52" s="13" t="n"/>
    </row>
  </sheetData>
  <conditionalFormatting sqref="B2:B1000">
    <cfRule type="cellIs" priority="1" operator="equal" dxfId="4">
      <formula>"Open"</formula>
    </cfRule>
    <cfRule type="cellIs" priority="2" operator="equal" dxfId="1">
      <formula>"In Progress"</formula>
    </cfRule>
    <cfRule type="cellIs" priority="3" operator="equal" dxfId="2">
      <formula>"Completed"</formula>
    </cfRule>
  </conditionalFormatting>
  <conditionalFormatting sqref="F2:F1000">
    <cfRule type="cellIs" priority="4" operator="equal" dxfId="5">
      <formula>"Critical"</formula>
    </cfRule>
    <cfRule type="cellIs" priority="5" operator="equal" dxfId="4">
      <formula>"High"</formula>
    </cfRule>
    <cfRule type="cellIs" priority="6" operator="equal" dxfId="1">
      <formula>"Medium"</formula>
    </cfRule>
    <cfRule type="cellIs" priority="7" operator="equal" dxfId="6">
      <formula>"Low"</formula>
    </cfRule>
  </conditionalFormatting>
  <conditionalFormatting sqref="J2:J1000">
    <cfRule type="expression" priority="8" dxfId="5">
      <formula>AND($J2&lt;TODAY(),$B2&lt;&gt;"Completed")</formula>
    </cfRule>
  </conditionalFormatting>
  <dataValidations count="3">
    <dataValidation sqref="B3:B1000" showDropDown="1" showInputMessage="0" showErrorMessage="0" allowBlank="1" errorTitle="Invalid Entry" error="Invalid value. Please select from dropdown." type="list">
      <formula1>"Open,In Progress,Completed,Accepted"</formula1>
    </dataValidation>
    <dataValidation sqref="C3:C1000" showDropDown="1" showInputMessage="0" showErrorMessage="0" allowBlank="1" errorTitle="Invalid Entry" error="Invalid value. Please select from dropdown." type="list">
      <formula1>"Unknown System (Not in inventory),Undocumented Data Flow,Missing Legal Basis,Unclear Retention Period,Unverified Cross-Border Transfer,Missing Processor Agreement (GDPR Art. 28),Incomplete PII Categories,Missing DPIA (High-risk processing),Missing Consent Records,Shadow IT (Unknown to IT),Unlawful Processing,Inadequate Security Measures,Other"</formula1>
    </dataValidation>
    <dataValidation sqref="F3:F1000" showDropDown="1" showInputMessage="0" showErrorMessage="0" allowBlank="1" errorTitle="Invalid Entry" error="Invalid value. Please select from dropdown." type="list">
      <formula1>"Critical,High,Medium,Low"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5" customWidth="1" min="2" max="2"/>
    <col width="45" customWidth="1" min="3" max="3"/>
    <col width="30" customWidth="1" min="4" max="4"/>
    <col width="22" customWidth="1" min="5" max="5"/>
    <col width="38" customWidth="1" min="6" max="6"/>
    <col width="22" customWidth="1" min="7" max="7"/>
    <col width="14" customWidth="1" min="8" max="8"/>
  </cols>
  <sheetData>
    <row r="1" ht="35" customHeight="1">
      <c r="A1" s="14" t="inlineStr">
        <is>
          <t>EVIDENCE REGISTER</t>
        </is>
      </c>
    </row>
    <row r="2">
      <c r="A2" s="15" t="inlineStr">
        <is>
          <t>ISO/IEC 27001:2022 - Control A.5.34: Privacy and Protection of PII | PII Identification and Classification Assessment</t>
        </is>
      </c>
    </row>
    <row r="4">
      <c r="A4" s="16" t="inlineStr">
        <is>
          <t>Evidence ID</t>
        </is>
      </c>
      <c r="B4" s="16" t="inlineStr">
        <is>
          <t>Evidence Type</t>
        </is>
      </c>
      <c r="C4" s="16" t="inlineStr">
        <is>
          <t>Description</t>
        </is>
      </c>
      <c r="D4" s="16" t="inlineStr">
        <is>
          <t>Related System / Activity</t>
        </is>
      </c>
      <c r="E4" s="16" t="inlineStr">
        <is>
          <t>Collection Date (DD.MM.YYYY)</t>
        </is>
      </c>
      <c r="F4" s="16" t="inlineStr">
        <is>
          <t>Storage Location / Reference</t>
        </is>
      </c>
      <c r="G4" s="16" t="inlineStr">
        <is>
          <t>Collected By</t>
        </is>
      </c>
      <c r="H4" s="16" t="inlineStr">
        <is>
          <t>Status</t>
        </is>
      </c>
    </row>
    <row r="5">
      <c r="A5" s="17" t="inlineStr">
        <is>
          <t>EV-A534.1-001</t>
        </is>
      </c>
      <c r="B5" s="17" t="inlineStr">
        <is>
          <t>Document</t>
        </is>
      </c>
      <c r="C5" s="17" t="inlineStr">
        <is>
          <t>Sample evidence entry — replace with actual evidence</t>
        </is>
      </c>
      <c r="D5" s="17" t="inlineStr">
        <is>
          <t>A.5.34.1 All Domains</t>
        </is>
      </c>
      <c r="E5" s="17" t="inlineStr">
        <is>
          <t>01.01.2026</t>
        </is>
      </c>
      <c r="F5" s="17" t="inlineStr">
        <is>
          <t>SharePoint/ISMS/Evidence/</t>
        </is>
      </c>
      <c r="G5" s="17" t="inlineStr">
        <is>
          <t>ISMS Team</t>
        </is>
      </c>
      <c r="H5" s="17" t="inlineStr">
        <is>
          <t>Active</t>
        </is>
      </c>
    </row>
    <row r="6">
      <c r="A6" s="18" t="n"/>
      <c r="B6" s="18" t="n"/>
      <c r="C6" s="18" t="n"/>
      <c r="D6" s="18" t="n"/>
      <c r="E6" s="18" t="n"/>
      <c r="F6" s="18" t="n"/>
      <c r="G6" s="18" t="n"/>
      <c r="H6" s="18" t="n"/>
    </row>
    <row r="7">
      <c r="A7" s="18" t="n"/>
      <c r="B7" s="18" t="n"/>
      <c r="C7" s="18" t="n"/>
      <c r="D7" s="18" t="n"/>
      <c r="E7" s="18" t="n"/>
      <c r="F7" s="18" t="n"/>
      <c r="G7" s="18" t="n"/>
      <c r="H7" s="18" t="n"/>
    </row>
    <row r="8">
      <c r="A8" s="18" t="n"/>
      <c r="B8" s="18" t="n"/>
      <c r="C8" s="18" t="n"/>
      <c r="D8" s="18" t="n"/>
      <c r="E8" s="18" t="n"/>
      <c r="F8" s="18" t="n"/>
      <c r="G8" s="18" t="n"/>
      <c r="H8" s="18" t="n"/>
    </row>
    <row r="9">
      <c r="A9" s="18" t="n"/>
      <c r="B9" s="18" t="n"/>
      <c r="C9" s="18" t="n"/>
      <c r="D9" s="18" t="n"/>
      <c r="E9" s="18" t="n"/>
      <c r="F9" s="18" t="n"/>
      <c r="G9" s="18" t="n"/>
      <c r="H9" s="18" t="n"/>
    </row>
    <row r="10">
      <c r="A10" s="18" t="n"/>
      <c r="B10" s="18" t="n"/>
      <c r="C10" s="18" t="n"/>
      <c r="D10" s="18" t="n"/>
      <c r="E10" s="18" t="n"/>
      <c r="F10" s="18" t="n"/>
      <c r="G10" s="18" t="n"/>
      <c r="H10" s="18" t="n"/>
    </row>
    <row r="11">
      <c r="A11" s="18" t="n"/>
      <c r="B11" s="18" t="n"/>
      <c r="C11" s="18" t="n"/>
      <c r="D11" s="18" t="n"/>
      <c r="E11" s="18" t="n"/>
      <c r="F11" s="18" t="n"/>
      <c r="G11" s="18" t="n"/>
      <c r="H11" s="18" t="n"/>
    </row>
    <row r="12">
      <c r="A12" s="18" t="n"/>
      <c r="B12" s="18" t="n"/>
      <c r="C12" s="18" t="n"/>
      <c r="D12" s="18" t="n"/>
      <c r="E12" s="18" t="n"/>
      <c r="F12" s="18" t="n"/>
      <c r="G12" s="18" t="n"/>
      <c r="H12" s="18" t="n"/>
    </row>
    <row r="13">
      <c r="A13" s="18" t="n"/>
      <c r="B13" s="18" t="n"/>
      <c r="C13" s="18" t="n"/>
      <c r="D13" s="18" t="n"/>
      <c r="E13" s="18" t="n"/>
      <c r="F13" s="18" t="n"/>
      <c r="G13" s="18" t="n"/>
      <c r="H13" s="18" t="n"/>
    </row>
    <row r="14">
      <c r="A14" s="18" t="n"/>
      <c r="B14" s="18" t="n"/>
      <c r="C14" s="18" t="n"/>
      <c r="D14" s="18" t="n"/>
      <c r="E14" s="18" t="n"/>
      <c r="F14" s="18" t="n"/>
      <c r="G14" s="18" t="n"/>
      <c r="H14" s="18" t="n"/>
    </row>
    <row r="15">
      <c r="A15" s="18" t="n"/>
      <c r="B15" s="18" t="n"/>
      <c r="C15" s="18" t="n"/>
      <c r="D15" s="18" t="n"/>
      <c r="E15" s="18" t="n"/>
      <c r="F15" s="18" t="n"/>
      <c r="G15" s="18" t="n"/>
      <c r="H15" s="18" t="n"/>
    </row>
    <row r="16">
      <c r="A16" s="18" t="n"/>
      <c r="B16" s="18" t="n"/>
      <c r="C16" s="18" t="n"/>
      <c r="D16" s="18" t="n"/>
      <c r="E16" s="18" t="n"/>
      <c r="F16" s="18" t="n"/>
      <c r="G16" s="18" t="n"/>
      <c r="H16" s="18" t="n"/>
    </row>
    <row r="17">
      <c r="A17" s="18" t="n"/>
      <c r="B17" s="18" t="n"/>
      <c r="C17" s="18" t="n"/>
      <c r="D17" s="18" t="n"/>
      <c r="E17" s="18" t="n"/>
      <c r="F17" s="18" t="n"/>
      <c r="G17" s="18" t="n"/>
      <c r="H17" s="18" t="n"/>
    </row>
    <row r="18">
      <c r="A18" s="18" t="n"/>
      <c r="B18" s="18" t="n"/>
      <c r="C18" s="18" t="n"/>
      <c r="D18" s="18" t="n"/>
      <c r="E18" s="18" t="n"/>
      <c r="F18" s="18" t="n"/>
      <c r="G18" s="18" t="n"/>
      <c r="H18" s="18" t="n"/>
    </row>
    <row r="19">
      <c r="A19" s="18" t="n"/>
      <c r="B19" s="18" t="n"/>
      <c r="C19" s="18" t="n"/>
      <c r="D19" s="18" t="n"/>
      <c r="E19" s="18" t="n"/>
      <c r="F19" s="18" t="n"/>
      <c r="G19" s="18" t="n"/>
      <c r="H19" s="18" t="n"/>
    </row>
    <row r="20">
      <c r="A20" s="18" t="n"/>
      <c r="B20" s="18" t="n"/>
      <c r="C20" s="18" t="n"/>
      <c r="D20" s="18" t="n"/>
      <c r="E20" s="18" t="n"/>
      <c r="F20" s="18" t="n"/>
      <c r="G20" s="18" t="n"/>
      <c r="H20" s="18" t="n"/>
    </row>
    <row r="21">
      <c r="A21" s="18" t="n"/>
      <c r="B21" s="18" t="n"/>
      <c r="C21" s="18" t="n"/>
      <c r="D21" s="18" t="n"/>
      <c r="E21" s="18" t="n"/>
      <c r="F21" s="18" t="n"/>
      <c r="G21" s="18" t="n"/>
      <c r="H21" s="18" t="n"/>
    </row>
    <row r="22">
      <c r="A22" s="18" t="n"/>
      <c r="B22" s="18" t="n"/>
      <c r="C22" s="18" t="n"/>
      <c r="D22" s="18" t="n"/>
      <c r="E22" s="18" t="n"/>
      <c r="F22" s="18" t="n"/>
      <c r="G22" s="18" t="n"/>
      <c r="H22" s="18" t="n"/>
    </row>
    <row r="23">
      <c r="A23" s="18" t="n"/>
      <c r="B23" s="18" t="n"/>
      <c r="C23" s="18" t="n"/>
      <c r="D23" s="18" t="n"/>
      <c r="E23" s="18" t="n"/>
      <c r="F23" s="18" t="n"/>
      <c r="G23" s="18" t="n"/>
      <c r="H23" s="18" t="n"/>
    </row>
    <row r="24">
      <c r="A24" s="18" t="n"/>
      <c r="B24" s="18" t="n"/>
      <c r="C24" s="18" t="n"/>
      <c r="D24" s="18" t="n"/>
      <c r="E24" s="18" t="n"/>
      <c r="F24" s="18" t="n"/>
      <c r="G24" s="18" t="n"/>
      <c r="H24" s="18" t="n"/>
    </row>
    <row r="25">
      <c r="A25" s="18" t="n"/>
      <c r="B25" s="18" t="n"/>
      <c r="C25" s="18" t="n"/>
      <c r="D25" s="18" t="n"/>
      <c r="E25" s="18" t="n"/>
      <c r="F25" s="18" t="n"/>
      <c r="G25" s="18" t="n"/>
      <c r="H25" s="18" t="n"/>
    </row>
    <row r="26">
      <c r="A26" s="18" t="n"/>
      <c r="B26" s="18" t="n"/>
      <c r="C26" s="18" t="n"/>
      <c r="D26" s="18" t="n"/>
      <c r="E26" s="18" t="n"/>
      <c r="F26" s="18" t="n"/>
      <c r="G26" s="18" t="n"/>
      <c r="H26" s="18" t="n"/>
    </row>
    <row r="27">
      <c r="A27" s="18" t="n"/>
      <c r="B27" s="18" t="n"/>
      <c r="C27" s="18" t="n"/>
      <c r="D27" s="18" t="n"/>
      <c r="E27" s="18" t="n"/>
      <c r="F27" s="18" t="n"/>
      <c r="G27" s="18" t="n"/>
      <c r="H27" s="18" t="n"/>
    </row>
    <row r="28">
      <c r="A28" s="18" t="n"/>
      <c r="B28" s="18" t="n"/>
      <c r="C28" s="18" t="n"/>
      <c r="D28" s="18" t="n"/>
      <c r="E28" s="18" t="n"/>
      <c r="F28" s="18" t="n"/>
      <c r="G28" s="18" t="n"/>
      <c r="H28" s="18" t="n"/>
    </row>
    <row r="29">
      <c r="A29" s="18" t="n"/>
      <c r="B29" s="18" t="n"/>
      <c r="C29" s="18" t="n"/>
      <c r="D29" s="18" t="n"/>
      <c r="E29" s="18" t="n"/>
      <c r="F29" s="18" t="n"/>
      <c r="G29" s="18" t="n"/>
      <c r="H29" s="18" t="n"/>
    </row>
    <row r="30">
      <c r="A30" s="18" t="n"/>
      <c r="B30" s="18" t="n"/>
      <c r="C30" s="18" t="n"/>
      <c r="D30" s="18" t="n"/>
      <c r="E30" s="18" t="n"/>
      <c r="F30" s="18" t="n"/>
      <c r="G30" s="18" t="n"/>
      <c r="H30" s="18" t="n"/>
    </row>
    <row r="31">
      <c r="A31" s="18" t="n"/>
      <c r="B31" s="18" t="n"/>
      <c r="C31" s="18" t="n"/>
      <c r="D31" s="18" t="n"/>
      <c r="E31" s="18" t="n"/>
      <c r="F31" s="18" t="n"/>
      <c r="G31" s="18" t="n"/>
      <c r="H31" s="18" t="n"/>
    </row>
    <row r="32">
      <c r="A32" s="18" t="n"/>
      <c r="B32" s="18" t="n"/>
      <c r="C32" s="18" t="n"/>
      <c r="D32" s="18" t="n"/>
      <c r="E32" s="18" t="n"/>
      <c r="F32" s="18" t="n"/>
      <c r="G32" s="18" t="n"/>
      <c r="H32" s="18" t="n"/>
    </row>
    <row r="33">
      <c r="A33" s="18" t="n"/>
      <c r="B33" s="18" t="n"/>
      <c r="C33" s="18" t="n"/>
      <c r="D33" s="18" t="n"/>
      <c r="E33" s="18" t="n"/>
      <c r="F33" s="18" t="n"/>
      <c r="G33" s="18" t="n"/>
      <c r="H33" s="18" t="n"/>
    </row>
    <row r="34">
      <c r="A34" s="18" t="n"/>
      <c r="B34" s="18" t="n"/>
      <c r="C34" s="18" t="n"/>
      <c r="D34" s="18" t="n"/>
      <c r="E34" s="18" t="n"/>
      <c r="F34" s="18" t="n"/>
      <c r="G34" s="18" t="n"/>
      <c r="H34" s="18" t="n"/>
    </row>
    <row r="35">
      <c r="A35" s="18" t="n"/>
      <c r="B35" s="18" t="n"/>
      <c r="C35" s="18" t="n"/>
      <c r="D35" s="18" t="n"/>
      <c r="E35" s="18" t="n"/>
      <c r="F35" s="18" t="n"/>
      <c r="G35" s="18" t="n"/>
      <c r="H35" s="18" t="n"/>
    </row>
    <row r="36">
      <c r="A36" s="18" t="n"/>
      <c r="B36" s="18" t="n"/>
      <c r="C36" s="18" t="n"/>
      <c r="D36" s="18" t="n"/>
      <c r="E36" s="18" t="n"/>
      <c r="F36" s="18" t="n"/>
      <c r="G36" s="18" t="n"/>
      <c r="H36" s="18" t="n"/>
    </row>
    <row r="37">
      <c r="A37" s="18" t="n"/>
      <c r="B37" s="18" t="n"/>
      <c r="C37" s="18" t="n"/>
      <c r="D37" s="18" t="n"/>
      <c r="E37" s="18" t="n"/>
      <c r="F37" s="18" t="n"/>
      <c r="G37" s="18" t="n"/>
      <c r="H37" s="18" t="n"/>
    </row>
    <row r="38">
      <c r="A38" s="18" t="n"/>
      <c r="B38" s="18" t="n"/>
      <c r="C38" s="18" t="n"/>
      <c r="D38" s="18" t="n"/>
      <c r="E38" s="18" t="n"/>
      <c r="F38" s="18" t="n"/>
      <c r="G38" s="18" t="n"/>
      <c r="H38" s="18" t="n"/>
    </row>
    <row r="39">
      <c r="A39" s="18" t="n"/>
      <c r="B39" s="18" t="n"/>
      <c r="C39" s="18" t="n"/>
      <c r="D39" s="18" t="n"/>
      <c r="E39" s="18" t="n"/>
      <c r="F39" s="18" t="n"/>
      <c r="G39" s="18" t="n"/>
      <c r="H39" s="18" t="n"/>
    </row>
    <row r="40">
      <c r="A40" s="18" t="n"/>
      <c r="B40" s="18" t="n"/>
      <c r="C40" s="18" t="n"/>
      <c r="D40" s="18" t="n"/>
      <c r="E40" s="18" t="n"/>
      <c r="F40" s="18" t="n"/>
      <c r="G40" s="18" t="n"/>
      <c r="H40" s="18" t="n"/>
    </row>
    <row r="41">
      <c r="A41" s="18" t="n"/>
      <c r="B41" s="18" t="n"/>
      <c r="C41" s="18" t="n"/>
      <c r="D41" s="18" t="n"/>
      <c r="E41" s="18" t="n"/>
      <c r="F41" s="18" t="n"/>
      <c r="G41" s="18" t="n"/>
      <c r="H41" s="18" t="n"/>
    </row>
    <row r="42">
      <c r="A42" s="18" t="n"/>
      <c r="B42" s="18" t="n"/>
      <c r="C42" s="18" t="n"/>
      <c r="D42" s="18" t="n"/>
      <c r="E42" s="18" t="n"/>
      <c r="F42" s="18" t="n"/>
      <c r="G42" s="18" t="n"/>
      <c r="H42" s="18" t="n"/>
    </row>
    <row r="43">
      <c r="A43" s="18" t="n"/>
      <c r="B43" s="18" t="n"/>
      <c r="C43" s="18" t="n"/>
      <c r="D43" s="18" t="n"/>
      <c r="E43" s="18" t="n"/>
      <c r="F43" s="18" t="n"/>
      <c r="G43" s="18" t="n"/>
      <c r="H43" s="18" t="n"/>
    </row>
    <row r="44">
      <c r="A44" s="18" t="n"/>
      <c r="B44" s="18" t="n"/>
      <c r="C44" s="18" t="n"/>
      <c r="D44" s="18" t="n"/>
      <c r="E44" s="18" t="n"/>
      <c r="F44" s="18" t="n"/>
      <c r="G44" s="18" t="n"/>
      <c r="H44" s="18" t="n"/>
    </row>
    <row r="45">
      <c r="A45" s="18" t="n"/>
      <c r="B45" s="18" t="n"/>
      <c r="C45" s="18" t="n"/>
      <c r="D45" s="18" t="n"/>
      <c r="E45" s="18" t="n"/>
      <c r="F45" s="18" t="n"/>
      <c r="G45" s="18" t="n"/>
      <c r="H45" s="18" t="n"/>
    </row>
    <row r="46">
      <c r="A46" s="18" t="n"/>
      <c r="B46" s="18" t="n"/>
      <c r="C46" s="18" t="n"/>
      <c r="D46" s="18" t="n"/>
      <c r="E46" s="18" t="n"/>
      <c r="F46" s="18" t="n"/>
      <c r="G46" s="18" t="n"/>
      <c r="H46" s="18" t="n"/>
    </row>
    <row r="47">
      <c r="A47" s="18" t="n"/>
      <c r="B47" s="18" t="n"/>
      <c r="C47" s="18" t="n"/>
      <c r="D47" s="18" t="n"/>
      <c r="E47" s="18" t="n"/>
      <c r="F47" s="18" t="n"/>
      <c r="G47" s="18" t="n"/>
      <c r="H47" s="18" t="n"/>
    </row>
    <row r="48">
      <c r="A48" s="18" t="n"/>
      <c r="B48" s="18" t="n"/>
      <c r="C48" s="18" t="n"/>
      <c r="D48" s="18" t="n"/>
      <c r="E48" s="18" t="n"/>
      <c r="F48" s="18" t="n"/>
      <c r="G48" s="18" t="n"/>
      <c r="H48" s="18" t="n"/>
    </row>
    <row r="49">
      <c r="A49" s="18" t="n"/>
      <c r="B49" s="18" t="n"/>
      <c r="C49" s="18" t="n"/>
      <c r="D49" s="18" t="n"/>
      <c r="E49" s="18" t="n"/>
      <c r="F49" s="18" t="n"/>
      <c r="G49" s="18" t="n"/>
      <c r="H49" s="18" t="n"/>
    </row>
    <row r="50">
      <c r="A50" s="18" t="n"/>
      <c r="B50" s="18" t="n"/>
      <c r="C50" s="18" t="n"/>
      <c r="D50" s="18" t="n"/>
      <c r="E50" s="18" t="n"/>
      <c r="F50" s="18" t="n"/>
      <c r="G50" s="18" t="n"/>
      <c r="H50" s="18" t="n"/>
    </row>
    <row r="51">
      <c r="A51" s="18" t="n"/>
      <c r="B51" s="18" t="n"/>
      <c r="C51" s="18" t="n"/>
      <c r="D51" s="18" t="n"/>
      <c r="E51" s="18" t="n"/>
      <c r="F51" s="18" t="n"/>
      <c r="G51" s="18" t="n"/>
      <c r="H51" s="18" t="n"/>
    </row>
    <row r="52">
      <c r="A52" s="18" t="n"/>
      <c r="B52" s="18" t="n"/>
      <c r="C52" s="18" t="n"/>
      <c r="D52" s="18" t="n"/>
      <c r="E52" s="18" t="n"/>
      <c r="F52" s="18" t="n"/>
      <c r="G52" s="18" t="n"/>
      <c r="H52" s="18" t="n"/>
    </row>
    <row r="53">
      <c r="A53" s="18" t="n"/>
      <c r="B53" s="18" t="n"/>
      <c r="C53" s="18" t="n"/>
      <c r="D53" s="18" t="n"/>
      <c r="E53" s="18" t="n"/>
      <c r="F53" s="18" t="n"/>
      <c r="G53" s="18" t="n"/>
      <c r="H53" s="18" t="n"/>
    </row>
    <row r="54">
      <c r="A54" s="18" t="n"/>
      <c r="B54" s="18" t="n"/>
      <c r="C54" s="18" t="n"/>
      <c r="D54" s="18" t="n"/>
      <c r="E54" s="18" t="n"/>
      <c r="F54" s="18" t="n"/>
      <c r="G54" s="18" t="n"/>
      <c r="H54" s="18" t="n"/>
    </row>
    <row r="55">
      <c r="A55" s="18" t="n"/>
      <c r="B55" s="18" t="n"/>
      <c r="C55" s="18" t="n"/>
      <c r="D55" s="18" t="n"/>
      <c r="E55" s="18" t="n"/>
      <c r="F55" s="18" t="n"/>
      <c r="G55" s="18" t="n"/>
      <c r="H55" s="18" t="n"/>
    </row>
    <row r="56">
      <c r="A56" s="18" t="n"/>
      <c r="B56" s="18" t="n"/>
      <c r="C56" s="18" t="n"/>
      <c r="D56" s="18" t="n"/>
      <c r="E56" s="18" t="n"/>
      <c r="F56" s="18" t="n"/>
      <c r="G56" s="18" t="n"/>
      <c r="H56" s="18" t="n"/>
    </row>
    <row r="57">
      <c r="A57" s="18" t="n"/>
      <c r="B57" s="18" t="n"/>
      <c r="C57" s="18" t="n"/>
      <c r="D57" s="18" t="n"/>
      <c r="E57" s="18" t="n"/>
      <c r="F57" s="18" t="n"/>
      <c r="G57" s="18" t="n"/>
      <c r="H57" s="18" t="n"/>
    </row>
    <row r="58">
      <c r="A58" s="18" t="n"/>
      <c r="B58" s="18" t="n"/>
      <c r="C58" s="18" t="n"/>
      <c r="D58" s="18" t="n"/>
      <c r="E58" s="18" t="n"/>
      <c r="F58" s="18" t="n"/>
      <c r="G58" s="18" t="n"/>
      <c r="H58" s="18" t="n"/>
    </row>
    <row r="59">
      <c r="A59" s="18" t="n"/>
      <c r="B59" s="18" t="n"/>
      <c r="C59" s="18" t="n"/>
      <c r="D59" s="18" t="n"/>
      <c r="E59" s="18" t="n"/>
      <c r="F59" s="18" t="n"/>
      <c r="G59" s="18" t="n"/>
      <c r="H59" s="18" t="n"/>
    </row>
    <row r="60">
      <c r="A60" s="18" t="n"/>
      <c r="B60" s="18" t="n"/>
      <c r="C60" s="18" t="n"/>
      <c r="D60" s="18" t="n"/>
      <c r="E60" s="18" t="n"/>
      <c r="F60" s="18" t="n"/>
      <c r="G60" s="18" t="n"/>
      <c r="H60" s="18" t="n"/>
    </row>
    <row r="61">
      <c r="A61" s="18" t="n"/>
      <c r="B61" s="18" t="n"/>
      <c r="C61" s="18" t="n"/>
      <c r="D61" s="18" t="n"/>
      <c r="E61" s="18" t="n"/>
      <c r="F61" s="18" t="n"/>
      <c r="G61" s="18" t="n"/>
      <c r="H61" s="18" t="n"/>
    </row>
    <row r="62">
      <c r="A62" s="18" t="n"/>
      <c r="B62" s="18" t="n"/>
      <c r="C62" s="18" t="n"/>
      <c r="D62" s="18" t="n"/>
      <c r="E62" s="18" t="n"/>
      <c r="F62" s="18" t="n"/>
      <c r="G62" s="18" t="n"/>
      <c r="H62" s="18" t="n"/>
    </row>
    <row r="63">
      <c r="A63" s="18" t="n"/>
      <c r="B63" s="18" t="n"/>
      <c r="C63" s="18" t="n"/>
      <c r="D63" s="18" t="n"/>
      <c r="E63" s="18" t="n"/>
      <c r="F63" s="18" t="n"/>
      <c r="G63" s="18" t="n"/>
      <c r="H63" s="18" t="n"/>
    </row>
    <row r="64">
      <c r="A64" s="18" t="n"/>
      <c r="B64" s="18" t="n"/>
      <c r="C64" s="18" t="n"/>
      <c r="D64" s="18" t="n"/>
      <c r="E64" s="18" t="n"/>
      <c r="F64" s="18" t="n"/>
      <c r="G64" s="18" t="n"/>
      <c r="H64" s="18" t="n"/>
    </row>
    <row r="65">
      <c r="A65" s="18" t="n"/>
      <c r="B65" s="18" t="n"/>
      <c r="C65" s="18" t="n"/>
      <c r="D65" s="18" t="n"/>
      <c r="E65" s="18" t="n"/>
      <c r="F65" s="18" t="n"/>
      <c r="G65" s="18" t="n"/>
      <c r="H65" s="18" t="n"/>
    </row>
    <row r="66">
      <c r="A66" s="18" t="n"/>
      <c r="B66" s="18" t="n"/>
      <c r="C66" s="18" t="n"/>
      <c r="D66" s="18" t="n"/>
      <c r="E66" s="18" t="n"/>
      <c r="F66" s="18" t="n"/>
      <c r="G66" s="18" t="n"/>
      <c r="H66" s="18" t="n"/>
    </row>
    <row r="67">
      <c r="A67" s="18" t="n"/>
      <c r="B67" s="18" t="n"/>
      <c r="C67" s="18" t="n"/>
      <c r="D67" s="18" t="n"/>
      <c r="E67" s="18" t="n"/>
      <c r="F67" s="18" t="n"/>
      <c r="G67" s="18" t="n"/>
      <c r="H67" s="18" t="n"/>
    </row>
    <row r="68">
      <c r="A68" s="18" t="n"/>
      <c r="B68" s="18" t="n"/>
      <c r="C68" s="18" t="n"/>
      <c r="D68" s="18" t="n"/>
      <c r="E68" s="18" t="n"/>
      <c r="F68" s="18" t="n"/>
      <c r="G68" s="18" t="n"/>
      <c r="H68" s="18" t="n"/>
    </row>
    <row r="69">
      <c r="A69" s="18" t="n"/>
      <c r="B69" s="18" t="n"/>
      <c r="C69" s="18" t="n"/>
      <c r="D69" s="18" t="n"/>
      <c r="E69" s="18" t="n"/>
      <c r="F69" s="18" t="n"/>
      <c r="G69" s="18" t="n"/>
      <c r="H69" s="18" t="n"/>
    </row>
    <row r="70">
      <c r="A70" s="18" t="n"/>
      <c r="B70" s="18" t="n"/>
      <c r="C70" s="18" t="n"/>
      <c r="D70" s="18" t="n"/>
      <c r="E70" s="18" t="n"/>
      <c r="F70" s="18" t="n"/>
      <c r="G70" s="18" t="n"/>
      <c r="H70" s="18" t="n"/>
    </row>
    <row r="71">
      <c r="A71" s="18" t="n"/>
      <c r="B71" s="18" t="n"/>
      <c r="C71" s="18" t="n"/>
      <c r="D71" s="18" t="n"/>
      <c r="E71" s="18" t="n"/>
      <c r="F71" s="18" t="n"/>
      <c r="G71" s="18" t="n"/>
      <c r="H71" s="18" t="n"/>
    </row>
    <row r="72">
      <c r="A72" s="18" t="n"/>
      <c r="B72" s="18" t="n"/>
      <c r="C72" s="18" t="n"/>
      <c r="D72" s="18" t="n"/>
      <c r="E72" s="18" t="n"/>
      <c r="F72" s="18" t="n"/>
      <c r="G72" s="18" t="n"/>
      <c r="H72" s="18" t="n"/>
    </row>
    <row r="73">
      <c r="A73" s="18" t="n"/>
      <c r="B73" s="18" t="n"/>
      <c r="C73" s="18" t="n"/>
      <c r="D73" s="18" t="n"/>
      <c r="E73" s="18" t="n"/>
      <c r="F73" s="18" t="n"/>
      <c r="G73" s="18" t="n"/>
      <c r="H73" s="18" t="n"/>
    </row>
    <row r="74">
      <c r="A74" s="18" t="n"/>
      <c r="B74" s="18" t="n"/>
      <c r="C74" s="18" t="n"/>
      <c r="D74" s="18" t="n"/>
      <c r="E74" s="18" t="n"/>
      <c r="F74" s="18" t="n"/>
      <c r="G74" s="18" t="n"/>
      <c r="H74" s="18" t="n"/>
    </row>
    <row r="75">
      <c r="A75" s="18" t="n"/>
      <c r="B75" s="18" t="n"/>
      <c r="C75" s="18" t="n"/>
      <c r="D75" s="18" t="n"/>
      <c r="E75" s="18" t="n"/>
      <c r="F75" s="18" t="n"/>
      <c r="G75" s="18" t="n"/>
      <c r="H75" s="18" t="n"/>
    </row>
    <row r="76">
      <c r="A76" s="18" t="n"/>
      <c r="B76" s="18" t="n"/>
      <c r="C76" s="18" t="n"/>
      <c r="D76" s="18" t="n"/>
      <c r="E76" s="18" t="n"/>
      <c r="F76" s="18" t="n"/>
      <c r="G76" s="18" t="n"/>
      <c r="H76" s="18" t="n"/>
    </row>
    <row r="77">
      <c r="A77" s="18" t="n"/>
      <c r="B77" s="18" t="n"/>
      <c r="C77" s="18" t="n"/>
      <c r="D77" s="18" t="n"/>
      <c r="E77" s="18" t="n"/>
      <c r="F77" s="18" t="n"/>
      <c r="G77" s="18" t="n"/>
      <c r="H77" s="18" t="n"/>
    </row>
    <row r="78">
      <c r="A78" s="18" t="n"/>
      <c r="B78" s="18" t="n"/>
      <c r="C78" s="18" t="n"/>
      <c r="D78" s="18" t="n"/>
      <c r="E78" s="18" t="n"/>
      <c r="F78" s="18" t="n"/>
      <c r="G78" s="18" t="n"/>
      <c r="H78" s="18" t="n"/>
    </row>
    <row r="79">
      <c r="A79" s="18" t="n"/>
      <c r="B79" s="18" t="n"/>
      <c r="C79" s="18" t="n"/>
      <c r="D79" s="18" t="n"/>
      <c r="E79" s="18" t="n"/>
      <c r="F79" s="18" t="n"/>
      <c r="G79" s="18" t="n"/>
      <c r="H79" s="18" t="n"/>
    </row>
    <row r="80">
      <c r="A80" s="18" t="n"/>
      <c r="B80" s="18" t="n"/>
      <c r="C80" s="18" t="n"/>
      <c r="D80" s="18" t="n"/>
      <c r="E80" s="18" t="n"/>
      <c r="F80" s="18" t="n"/>
      <c r="G80" s="18" t="n"/>
      <c r="H80" s="18" t="n"/>
    </row>
    <row r="81">
      <c r="A81" s="18" t="n"/>
      <c r="B81" s="18" t="n"/>
      <c r="C81" s="18" t="n"/>
      <c r="D81" s="18" t="n"/>
      <c r="E81" s="18" t="n"/>
      <c r="F81" s="18" t="n"/>
      <c r="G81" s="18" t="n"/>
      <c r="H81" s="18" t="n"/>
    </row>
    <row r="82">
      <c r="A82" s="18" t="n"/>
      <c r="B82" s="18" t="n"/>
      <c r="C82" s="18" t="n"/>
      <c r="D82" s="18" t="n"/>
      <c r="E82" s="18" t="n"/>
      <c r="F82" s="18" t="n"/>
      <c r="G82" s="18" t="n"/>
      <c r="H82" s="18" t="n"/>
    </row>
    <row r="83">
      <c r="A83" s="18" t="n"/>
      <c r="B83" s="18" t="n"/>
      <c r="C83" s="18" t="n"/>
      <c r="D83" s="18" t="n"/>
      <c r="E83" s="18" t="n"/>
      <c r="F83" s="18" t="n"/>
      <c r="G83" s="18" t="n"/>
      <c r="H83" s="18" t="n"/>
    </row>
    <row r="84">
      <c r="A84" s="18" t="n"/>
      <c r="B84" s="18" t="n"/>
      <c r="C84" s="18" t="n"/>
      <c r="D84" s="18" t="n"/>
      <c r="E84" s="18" t="n"/>
      <c r="F84" s="18" t="n"/>
      <c r="G84" s="18" t="n"/>
      <c r="H84" s="18" t="n"/>
    </row>
    <row r="85">
      <c r="A85" s="18" t="n"/>
      <c r="B85" s="18" t="n"/>
      <c r="C85" s="18" t="n"/>
      <c r="D85" s="18" t="n"/>
      <c r="E85" s="18" t="n"/>
      <c r="F85" s="18" t="n"/>
      <c r="G85" s="18" t="n"/>
      <c r="H85" s="18" t="n"/>
    </row>
    <row r="86">
      <c r="A86" s="18" t="n"/>
      <c r="B86" s="18" t="n"/>
      <c r="C86" s="18" t="n"/>
      <c r="D86" s="18" t="n"/>
      <c r="E86" s="18" t="n"/>
      <c r="F86" s="18" t="n"/>
      <c r="G86" s="18" t="n"/>
      <c r="H86" s="18" t="n"/>
    </row>
    <row r="87">
      <c r="A87" s="18" t="n"/>
      <c r="B87" s="18" t="n"/>
      <c r="C87" s="18" t="n"/>
      <c r="D87" s="18" t="n"/>
      <c r="E87" s="18" t="n"/>
      <c r="F87" s="18" t="n"/>
      <c r="G87" s="18" t="n"/>
      <c r="H87" s="18" t="n"/>
    </row>
    <row r="88">
      <c r="A88" s="18" t="n"/>
      <c r="B88" s="18" t="n"/>
      <c r="C88" s="18" t="n"/>
      <c r="D88" s="18" t="n"/>
      <c r="E88" s="18" t="n"/>
      <c r="F88" s="18" t="n"/>
      <c r="G88" s="18" t="n"/>
      <c r="H88" s="18" t="n"/>
    </row>
    <row r="89">
      <c r="A89" s="18" t="n"/>
      <c r="B89" s="18" t="n"/>
      <c r="C89" s="18" t="n"/>
      <c r="D89" s="18" t="n"/>
      <c r="E89" s="18" t="n"/>
      <c r="F89" s="18" t="n"/>
      <c r="G89" s="18" t="n"/>
      <c r="H89" s="18" t="n"/>
    </row>
    <row r="90">
      <c r="A90" s="18" t="n"/>
      <c r="B90" s="18" t="n"/>
      <c r="C90" s="18" t="n"/>
      <c r="D90" s="18" t="n"/>
      <c r="E90" s="18" t="n"/>
      <c r="F90" s="18" t="n"/>
      <c r="G90" s="18" t="n"/>
      <c r="H90" s="18" t="n"/>
    </row>
    <row r="91">
      <c r="A91" s="18" t="n"/>
      <c r="B91" s="18" t="n"/>
      <c r="C91" s="18" t="n"/>
      <c r="D91" s="18" t="n"/>
      <c r="E91" s="18" t="n"/>
      <c r="F91" s="18" t="n"/>
      <c r="G91" s="18" t="n"/>
      <c r="H91" s="18" t="n"/>
    </row>
    <row r="92">
      <c r="A92" s="18" t="n"/>
      <c r="B92" s="18" t="n"/>
      <c r="C92" s="18" t="n"/>
      <c r="D92" s="18" t="n"/>
      <c r="E92" s="18" t="n"/>
      <c r="F92" s="18" t="n"/>
      <c r="G92" s="18" t="n"/>
      <c r="H92" s="18" t="n"/>
    </row>
    <row r="93">
      <c r="A93" s="18" t="n"/>
      <c r="B93" s="18" t="n"/>
      <c r="C93" s="18" t="n"/>
      <c r="D93" s="18" t="n"/>
      <c r="E93" s="18" t="n"/>
      <c r="F93" s="18" t="n"/>
      <c r="G93" s="18" t="n"/>
      <c r="H93" s="18" t="n"/>
    </row>
    <row r="94">
      <c r="A94" s="18" t="n"/>
      <c r="B94" s="18" t="n"/>
      <c r="C94" s="18" t="n"/>
      <c r="D94" s="18" t="n"/>
      <c r="E94" s="18" t="n"/>
      <c r="F94" s="18" t="n"/>
      <c r="G94" s="18" t="n"/>
      <c r="H94" s="18" t="n"/>
    </row>
    <row r="95">
      <c r="A95" s="18" t="n"/>
      <c r="B95" s="18" t="n"/>
      <c r="C95" s="18" t="n"/>
      <c r="D95" s="18" t="n"/>
      <c r="E95" s="18" t="n"/>
      <c r="F95" s="18" t="n"/>
      <c r="G95" s="18" t="n"/>
      <c r="H95" s="18" t="n"/>
    </row>
    <row r="96">
      <c r="A96" s="18" t="n"/>
      <c r="B96" s="18" t="n"/>
      <c r="C96" s="18" t="n"/>
      <c r="D96" s="18" t="n"/>
      <c r="E96" s="18" t="n"/>
      <c r="F96" s="18" t="n"/>
      <c r="G96" s="18" t="n"/>
      <c r="H96" s="18" t="n"/>
    </row>
    <row r="97">
      <c r="A97" s="18" t="n"/>
      <c r="B97" s="18" t="n"/>
      <c r="C97" s="18" t="n"/>
      <c r="D97" s="18" t="n"/>
      <c r="E97" s="18" t="n"/>
      <c r="F97" s="18" t="n"/>
      <c r="G97" s="18" t="n"/>
      <c r="H97" s="18" t="n"/>
    </row>
    <row r="98">
      <c r="A98" s="18" t="n"/>
      <c r="B98" s="18" t="n"/>
      <c r="C98" s="18" t="n"/>
      <c r="D98" s="18" t="n"/>
      <c r="E98" s="18" t="n"/>
      <c r="F98" s="18" t="n"/>
      <c r="G98" s="18" t="n"/>
      <c r="H98" s="18" t="n"/>
    </row>
    <row r="99">
      <c r="A99" s="18" t="n"/>
      <c r="B99" s="18" t="n"/>
      <c r="C99" s="18" t="n"/>
      <c r="D99" s="18" t="n"/>
      <c r="E99" s="18" t="n"/>
      <c r="F99" s="18" t="n"/>
      <c r="G99" s="18" t="n"/>
      <c r="H99" s="18" t="n"/>
    </row>
    <row r="100">
      <c r="A100" s="18" t="n"/>
      <c r="B100" s="18" t="n"/>
      <c r="C100" s="18" t="n"/>
      <c r="D100" s="18" t="n"/>
      <c r="E100" s="18" t="n"/>
      <c r="F100" s="18" t="n"/>
      <c r="G100" s="18" t="n"/>
      <c r="H100" s="18" t="n"/>
    </row>
    <row r="101">
      <c r="A101" s="18" t="n"/>
      <c r="B101" s="18" t="n"/>
      <c r="C101" s="18" t="n"/>
      <c r="D101" s="18" t="n"/>
      <c r="E101" s="18" t="n"/>
      <c r="F101" s="18" t="n"/>
      <c r="G101" s="18" t="n"/>
      <c r="H101" s="18" t="n"/>
    </row>
    <row r="102">
      <c r="A102" s="18" t="n"/>
      <c r="B102" s="18" t="n"/>
      <c r="C102" s="18" t="n"/>
      <c r="D102" s="18" t="n"/>
      <c r="E102" s="18" t="n"/>
      <c r="F102" s="18" t="n"/>
      <c r="G102" s="18" t="n"/>
      <c r="H102" s="18" t="n"/>
    </row>
    <row r="103">
      <c r="A103" s="18" t="n"/>
      <c r="B103" s="18" t="n"/>
      <c r="C103" s="18" t="n"/>
      <c r="D103" s="18" t="n"/>
      <c r="E103" s="18" t="n"/>
      <c r="F103" s="18" t="n"/>
      <c r="G103" s="18" t="n"/>
      <c r="H103" s="18" t="n"/>
    </row>
    <row r="104">
      <c r="A104" s="18" t="n"/>
      <c r="B104" s="18" t="n"/>
      <c r="C104" s="18" t="n"/>
      <c r="D104" s="18" t="n"/>
      <c r="E104" s="18" t="n"/>
      <c r="F104" s="18" t="n"/>
      <c r="G104" s="18" t="n"/>
      <c r="H104" s="18" t="n"/>
    </row>
    <row r="105">
      <c r="A105" s="18" t="n"/>
      <c r="B105" s="18" t="n"/>
      <c r="C105" s="18" t="n"/>
      <c r="D105" s="18" t="n"/>
      <c r="E105" s="18" t="n"/>
      <c r="F105" s="18" t="n"/>
      <c r="G105" s="18" t="n"/>
      <c r="H105" s="18" t="n"/>
    </row>
  </sheetData>
  <mergeCells count="2">
    <mergeCell ref="A2:H2"/>
    <mergeCell ref="A1:H1"/>
  </mergeCells>
  <dataValidations count="2">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"Active,Archived,Superseded,Pending Review"</formula1>
    </dataValidation>
    <dataValidation sqref="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1" type="list">
      <formula1>"System Documentation,Interview Notes,DLP Scan Results,Contract (Processor Agreement, SCCs),Consent Form/Mechanism,Data Flow Diagram,Legal Basis Assessment (LIA),DPIA (Data Protection Impact Assessment),Retention Policy,Screenshot (System interface),Email Confirmation,Audit Report,Privacy Policy/Notice,Training Records,Other"</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0"/>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19" t="inlineStr">
        <is>
          <t>PII IDENTIFICATION AND CLASSIFICATION — SUMMARY DASHBOARD</t>
        </is>
      </c>
      <c r="B1" s="6" t="n"/>
      <c r="C1" s="6" t="n"/>
      <c r="D1" s="6" t="n"/>
      <c r="E1" s="6" t="n"/>
      <c r="F1" s="6" t="n"/>
      <c r="G1" s="6" t="n"/>
    </row>
    <row r="2">
      <c r="A2" s="20" t="inlineStr">
        <is>
          <t>ISO/IEC 27001:2022 — Control A.5.34: Privacy and Protection of Personally Identifiable Information (PII)</t>
        </is>
      </c>
    </row>
    <row r="4">
      <c r="A4" s="21" t="inlineStr">
        <is>
          <t>TABLE 1: ASSESSMENT AREA COMPLIANCE OVERVIEW</t>
        </is>
      </c>
      <c r="B4" s="6" t="n"/>
      <c r="C4" s="6" t="n"/>
      <c r="D4" s="6" t="n"/>
      <c r="E4" s="6" t="n"/>
      <c r="F4" s="6" t="n"/>
      <c r="G4" s="6" t="n"/>
    </row>
    <row r="5">
      <c r="A5" s="22" t="inlineStr">
        <is>
          <t>Assessment Area</t>
        </is>
      </c>
      <c r="B5" s="22" t="inlineStr">
        <is>
          <t>Total Items</t>
        </is>
      </c>
      <c r="C5" s="22" t="inlineStr">
        <is>
          <t>Compliant</t>
        </is>
      </c>
      <c r="D5" s="22" t="inlineStr">
        <is>
          <t>Partial</t>
        </is>
      </c>
      <c r="E5" s="22" t="inlineStr">
        <is>
          <t>Non-Compliant</t>
        </is>
      </c>
      <c r="F5" s="22" t="inlineStr">
        <is>
          <t>N/A</t>
        </is>
      </c>
      <c r="G5" s="22" t="inlineStr">
        <is>
          <t>Compliance %</t>
        </is>
      </c>
    </row>
    <row r="6">
      <c r="A6" s="23" t="inlineStr">
        <is>
          <t>PII System Inventory</t>
        </is>
      </c>
      <c r="B6" s="24">
        <f>COUNTA('2. PII System Inventory'!C3:C52)</f>
        <v/>
      </c>
      <c r="C6" s="24">
        <f>COUNTIF('2. PII System Inventory'!B3:B52,"Validated")</f>
        <v/>
      </c>
      <c r="D6" s="24">
        <f>COUNTIF('2. PII System Inventory'!B3:B52,"In Progress")</f>
        <v/>
      </c>
      <c r="E6" s="24">
        <f>COUNTIF('2. PII System Inventory'!B3:B52,"Not Started")</f>
        <v/>
      </c>
      <c r="F6" s="24">
        <f>COUNTIF('2. PII System Inventory'!B3:B52,"Complete")</f>
        <v/>
      </c>
      <c r="G6" s="25">
        <f>IF((B6-F6)=0,0,C6/(B6-F6))</f>
        <v/>
      </c>
    </row>
    <row r="7">
      <c r="A7" s="23" t="inlineStr">
        <is>
          <t>PII Data Flow Mapping</t>
        </is>
      </c>
      <c r="B7" s="24">
        <f>COUNTA('3. PII Data Flow Mapping'!C3:C52)</f>
        <v/>
      </c>
      <c r="C7" s="24">
        <f>COUNTIF('3. PII Data Flow Mapping'!B3:B52,"Complete")</f>
        <v/>
      </c>
      <c r="D7" s="24">
        <f>COUNTIF('3. PII Data Flow Mapping'!B3:B52,"In Progress")</f>
        <v/>
      </c>
      <c r="E7" s="24">
        <f>COUNTIF('3. PII Data Flow Mapping'!B3:B52,"Not Started")</f>
        <v/>
      </c>
      <c r="F7" s="24">
        <f>""</f>
        <v/>
      </c>
      <c r="G7" s="25">
        <f>IF((B7-F7)=0,0,C7/(B7-F7))</f>
        <v/>
      </c>
    </row>
    <row r="8">
      <c r="A8" s="23" t="inlineStr">
        <is>
          <t>Processing Activities (ROPA)</t>
        </is>
      </c>
      <c r="B8" s="24">
        <f>COUNTA('4. ROPA (Record of Processing)'!C3:C52)</f>
        <v/>
      </c>
      <c r="C8" s="24">
        <f>COUNTIF('4. ROPA (Record of Processing)'!B3:B52,"Validated")</f>
        <v/>
      </c>
      <c r="D8" s="24">
        <f>COUNTIF('4. ROPA (Record of Processing)'!B3:B52,"In Progress")</f>
        <v/>
      </c>
      <c r="E8" s="24">
        <f>COUNTIF('4. ROPA (Record of Processing)'!B3:B52,"Not Started")</f>
        <v/>
      </c>
      <c r="F8" s="24">
        <f>COUNTIF('4. ROPA (Record of Processing)'!B3:B52,"Complete")</f>
        <v/>
      </c>
      <c r="G8" s="25">
        <f>IF((B8-F8)=0,0,C8/(B8-F8))</f>
        <v/>
      </c>
    </row>
    <row r="9">
      <c r="A9" s="23" t="inlineStr">
        <is>
          <t>PII Discovery Gaps</t>
        </is>
      </c>
      <c r="B9" s="24">
        <f>COUNTA('5. PII Discovery Gaps'!B3:B52)</f>
        <v/>
      </c>
      <c r="C9" s="24">
        <f>COUNTIF('5. PII Discovery Gaps'!B3:B52,"Completed")</f>
        <v/>
      </c>
      <c r="D9" s="24">
        <f>COUNTIF('5. PII Discovery Gaps'!B3:B52,"In Progress")</f>
        <v/>
      </c>
      <c r="E9" s="24">
        <f>COUNTIF('5. PII Discovery Gaps'!B3:B52,"Open")</f>
        <v/>
      </c>
      <c r="F9" s="24">
        <f>COUNTIF('5. PII Discovery Gaps'!B3:B52,"Accepted")</f>
        <v/>
      </c>
      <c r="G9" s="25">
        <f>IF((B9-F9)=0,0,C9/(B9-F9))</f>
        <v/>
      </c>
    </row>
    <row r="10">
      <c r="A10" s="26" t="inlineStr">
        <is>
          <t>TOTAL</t>
        </is>
      </c>
      <c r="B10" s="27">
        <f>SUM(B6:B9)</f>
        <v/>
      </c>
      <c r="C10" s="27">
        <f>SUM(C6:C9)</f>
        <v/>
      </c>
      <c r="D10" s="27">
        <f>SUM(D6:D9)</f>
        <v/>
      </c>
      <c r="E10" s="27">
        <f>SUM(E6:E9)</f>
        <v/>
      </c>
      <c r="F10" s="27">
        <f>SUM(F6:F9)</f>
        <v/>
      </c>
      <c r="G10" s="28">
        <f>IF((B10-F10)=0,0,C10/(B10-F10))</f>
        <v/>
      </c>
    </row>
    <row r="12">
      <c r="A12" s="21" t="inlineStr">
        <is>
          <t>TABLE 2: KEY METRICS</t>
        </is>
      </c>
      <c r="B12" s="6" t="n"/>
      <c r="C12" s="6" t="n"/>
      <c r="D12" s="6" t="n"/>
      <c r="E12" s="6" t="n"/>
      <c r="F12" s="6" t="n"/>
      <c r="G12" s="6" t="n"/>
    </row>
    <row r="13">
      <c r="A13" s="27" t="inlineStr">
        <is>
          <t>Metric</t>
        </is>
      </c>
      <c r="B13" s="27" t="inlineStr">
        <is>
          <t>Value</t>
        </is>
      </c>
      <c r="C13" s="27" t="n"/>
      <c r="D13" s="27" t="n"/>
      <c r="E13" s="27" t="n"/>
      <c r="F13" s="27" t="n"/>
      <c r="G13" s="27" t="n"/>
    </row>
    <row r="14">
      <c r="A14" s="23" t="inlineStr">
        <is>
          <t>Total Systems Processing PII</t>
        </is>
      </c>
      <c r="B14" s="24">
        <f>COUNTA('2. PII System Inventory'!C3:C52)</f>
        <v/>
      </c>
      <c r="C14" s="6" t="n"/>
      <c r="D14" s="6" t="n"/>
      <c r="E14" s="6" t="n"/>
      <c r="F14" s="6" t="n"/>
      <c r="G14" s="6" t="n"/>
    </row>
    <row r="15">
      <c r="A15" s="23" t="inlineStr">
        <is>
          <t>Systems Validated (Assessment Complete)</t>
        </is>
      </c>
      <c r="B15" s="24">
        <f>COUNTIF('2. PII System Inventory'!B3:B52,"Validated")</f>
        <v/>
      </c>
      <c r="C15" s="6" t="n"/>
      <c r="D15" s="6" t="n"/>
      <c r="E15" s="6" t="n"/>
      <c r="F15" s="6" t="n"/>
      <c r="G15" s="6" t="n"/>
    </row>
    <row r="16">
      <c r="A16" s="23" t="inlineStr">
        <is>
          <t>Systems Not Started (Action Required)</t>
        </is>
      </c>
      <c r="B16" s="24">
        <f>COUNTIF('2. PII System Inventory'!B3:B52,"Not Started")</f>
        <v/>
      </c>
      <c r="C16" s="6" t="n"/>
      <c r="D16" s="6" t="n"/>
      <c r="E16" s="6" t="n"/>
      <c r="F16" s="6" t="n"/>
      <c r="G16" s="6" t="n"/>
    </row>
    <row r="17">
      <c r="A17" s="23" t="inlineStr">
        <is>
          <t>Systems with Sensitive PII (GDPR Art. 9)</t>
        </is>
      </c>
      <c r="B17" s="24">
        <f>COUNTIF('2. PII System Inventory'!I3:I52,"Sensitive PII*")</f>
        <v/>
      </c>
      <c r="C17" s="6" t="n"/>
      <c r="D17" s="6" t="n"/>
      <c r="E17" s="6" t="n"/>
      <c r="F17" s="6" t="n"/>
      <c r="G17" s="6" t="n"/>
    </row>
    <row r="18">
      <c r="A18" s="23" t="inlineStr">
        <is>
          <t>Systems with Criminal Offense Data (Art. 10)</t>
        </is>
      </c>
      <c r="B18" s="24">
        <f>COUNTIF('2. PII System Inventory'!I3:I52,"Criminal Offense*")</f>
        <v/>
      </c>
      <c r="C18" s="6" t="n"/>
      <c r="D18" s="6" t="n"/>
      <c r="E18" s="6" t="n"/>
      <c r="F18" s="6" t="n"/>
      <c r="G18" s="6" t="n"/>
    </row>
    <row r="19">
      <c r="A19" s="23" t="inlineStr">
        <is>
          <t>Total Data Flows Mapped</t>
        </is>
      </c>
      <c r="B19" s="24">
        <f>COUNTA('3. PII Data Flow Mapping'!C3:C52)</f>
        <v/>
      </c>
      <c r="C19" s="6" t="n"/>
      <c r="D19" s="6" t="n"/>
      <c r="E19" s="6" t="n"/>
      <c r="F19" s="6" t="n"/>
      <c r="G19" s="6" t="n"/>
    </row>
    <row r="20">
      <c r="A20" s="23" t="inlineStr">
        <is>
          <t>Active Data Flows</t>
        </is>
      </c>
      <c r="B20" s="24">
        <f>COUNTIF('3. PII Data Flow Mapping'!B3:B52,"Complete")</f>
        <v/>
      </c>
      <c r="C20" s="6" t="n"/>
      <c r="D20" s="6" t="n"/>
      <c r="E20" s="6" t="n"/>
      <c r="F20" s="6" t="n"/>
      <c r="G20" s="6" t="n"/>
    </row>
    <row r="21">
      <c r="A21" s="23" t="inlineStr">
        <is>
          <t>Data Flows with Sensitive PII</t>
        </is>
      </c>
      <c r="B21" s="24">
        <f>COUNTIF('3. PII Data Flow Mapping'!E3:E52,"Sensitive PII*")</f>
        <v/>
      </c>
      <c r="C21" s="6" t="n"/>
      <c r="D21" s="6" t="n"/>
      <c r="E21" s="6" t="n"/>
      <c r="F21" s="6" t="n"/>
      <c r="G21" s="6" t="n"/>
    </row>
    <row r="22">
      <c r="A22" s="23" t="inlineStr">
        <is>
          <t>Total ROPA Processing Activities</t>
        </is>
      </c>
      <c r="B22" s="24">
        <f>COUNTA('4. ROPA (Record of Processing)'!C3:C52)</f>
        <v/>
      </c>
      <c r="C22" s="6" t="n"/>
      <c r="D22" s="6" t="n"/>
      <c r="E22" s="6" t="n"/>
      <c r="F22" s="6" t="n"/>
      <c r="G22" s="6" t="n"/>
    </row>
    <row r="23">
      <c r="A23" s="23" t="inlineStr">
        <is>
          <t>Active Processing Activities</t>
        </is>
      </c>
      <c r="B23" s="24">
        <f>COUNTIF('4. ROPA (Record of Processing)'!B3:B52,"Validated")</f>
        <v/>
      </c>
      <c r="C23" s="6" t="n"/>
      <c r="D23" s="6" t="n"/>
      <c r="E23" s="6" t="n"/>
      <c r="F23" s="6" t="n"/>
      <c r="G23" s="6" t="n"/>
    </row>
    <row r="24">
      <c r="A24" s="23" t="inlineStr">
        <is>
          <t>ROPA Entries Under Review</t>
        </is>
      </c>
      <c r="B24" s="24">
        <f>COUNTIF('4. ROPA (Record of Processing)'!B3:B52,"In Progress")</f>
        <v/>
      </c>
      <c r="C24" s="6" t="n"/>
      <c r="D24" s="6" t="n"/>
      <c r="E24" s="6" t="n"/>
      <c r="F24" s="6" t="n"/>
      <c r="G24" s="6" t="n"/>
    </row>
    <row r="25">
      <c r="A25" s="23" t="inlineStr">
        <is>
          <t>Total PII Discovery Gaps</t>
        </is>
      </c>
      <c r="B25" s="24">
        <f>COUNTA('5. PII Discovery Gaps'!B3:B52)</f>
        <v/>
      </c>
      <c r="C25" s="6" t="n"/>
      <c r="D25" s="6" t="n"/>
      <c r="E25" s="6" t="n"/>
      <c r="F25" s="6" t="n"/>
      <c r="G25" s="6" t="n"/>
    </row>
    <row r="26">
      <c r="A26" s="23" t="inlineStr">
        <is>
          <t>Open / Active Gaps</t>
        </is>
      </c>
      <c r="B26" s="24">
        <f>COUNTIF('5. PII Discovery Gaps'!B3:B52,"Open")</f>
        <v/>
      </c>
      <c r="C26" s="6" t="n"/>
      <c r="D26" s="6" t="n"/>
      <c r="E26" s="6" t="n"/>
      <c r="F26" s="6" t="n"/>
      <c r="G26" s="6" t="n"/>
    </row>
    <row r="27">
      <c r="A27" s="23" t="inlineStr">
        <is>
          <t>Resolved Gaps</t>
        </is>
      </c>
      <c r="B27" s="24">
        <f>COUNTIF('5. PII Discovery Gaps'!B3:B52,"Completed")</f>
        <v/>
      </c>
      <c r="C27" s="6" t="n"/>
      <c r="D27" s="6" t="n"/>
      <c r="E27" s="6" t="n"/>
      <c r="F27" s="6" t="n"/>
      <c r="G27" s="6" t="n"/>
    </row>
    <row r="28">
      <c r="A28" s="6" t="n"/>
      <c r="B28" s="6" t="n"/>
      <c r="C28" s="6" t="n"/>
      <c r="D28" s="6" t="n"/>
      <c r="E28" s="6" t="n"/>
      <c r="F28" s="6" t="n"/>
      <c r="G28" s="6" t="n"/>
    </row>
    <row r="29">
      <c r="A29" s="6" t="n"/>
      <c r="B29" s="6" t="n"/>
      <c r="C29" s="6" t="n"/>
      <c r="D29" s="6" t="n"/>
      <c r="E29" s="6" t="n"/>
      <c r="F29" s="6" t="n"/>
      <c r="G29" s="6" t="n"/>
    </row>
    <row r="31">
      <c r="A31" s="29" t="inlineStr">
        <is>
          <t>TABLE 3: CRITICAL FINDINGS REQUIRING IMMEDIATE ATTENTION</t>
        </is>
      </c>
      <c r="B31" s="6" t="n"/>
      <c r="C31" s="6" t="n"/>
      <c r="D31" s="6" t="n"/>
      <c r="E31" s="6" t="n"/>
      <c r="F31" s="6" t="n"/>
      <c r="G31" s="6" t="n"/>
    </row>
    <row r="32">
      <c r="A32" s="27" t="inlineStr">
        <is>
          <t>Category</t>
        </is>
      </c>
      <c r="B32" s="27" t="inlineStr">
        <is>
          <t>Finding</t>
        </is>
      </c>
      <c r="C32" s="27" t="inlineStr">
        <is>
          <t>Count</t>
        </is>
      </c>
      <c r="D32" s="27" t="inlineStr">
        <is>
          <t>Severity</t>
        </is>
      </c>
      <c r="E32" s="27" t="inlineStr">
        <is>
          <t>Action Required</t>
        </is>
      </c>
      <c r="F32" s="27" t="n"/>
      <c r="G32" s="27" t="n"/>
    </row>
    <row r="33">
      <c r="A33" s="30" t="inlineStr">
        <is>
          <t>PII System Inventory</t>
        </is>
      </c>
      <c r="B33" s="30" t="inlineStr">
        <is>
          <t>Systems not started (PII processing unknown)</t>
        </is>
      </c>
      <c r="C33" s="31">
        <f>COUNTIF('2. PII System Inventory'!B3:B52,"Not Started")</f>
        <v/>
      </c>
      <c r="D33" s="30" t="inlineStr">
        <is>
          <t>Critical</t>
        </is>
      </c>
      <c r="E33" s="30" t="inlineStr">
        <is>
          <t>Immediate</t>
        </is>
      </c>
      <c r="F33" s="30" t="n"/>
      <c r="G33" s="30" t="n"/>
    </row>
    <row r="34">
      <c r="A34" s="30" t="inlineStr">
        <is>
          <t>PII System Inventory</t>
        </is>
      </c>
      <c r="B34" s="30" t="inlineStr">
        <is>
          <t>Systems with Criminal Offense Data (GDPR Art. 10)</t>
        </is>
      </c>
      <c r="C34" s="31">
        <f>COUNTIF('2. PII System Inventory'!I3:I52,"Criminal Offense*")</f>
        <v/>
      </c>
      <c r="D34" s="30" t="inlineStr">
        <is>
          <t>Critical</t>
        </is>
      </c>
      <c r="E34" s="30" t="inlineStr">
        <is>
          <t>Immediate</t>
        </is>
      </c>
      <c r="F34" s="30" t="n"/>
      <c r="G34" s="30" t="n"/>
    </row>
    <row r="35">
      <c r="A35" s="30" t="inlineStr">
        <is>
          <t>PII System Inventory</t>
        </is>
      </c>
      <c r="B35" s="30" t="inlineStr">
        <is>
          <t>Systems with Sensitive / Special Category PII (Art. 9)</t>
        </is>
      </c>
      <c r="C35" s="31">
        <f>COUNTIF('2. PII System Inventory'!I3:I52,"Sensitive PII*")</f>
        <v/>
      </c>
      <c r="D35" s="30" t="inlineStr">
        <is>
          <t>High</t>
        </is>
      </c>
      <c r="E35" s="30" t="inlineStr">
        <is>
          <t>Urgent</t>
        </is>
      </c>
      <c r="F35" s="30" t="n"/>
      <c r="G35" s="30" t="n"/>
    </row>
    <row r="36">
      <c r="A36" s="30" t="inlineStr">
        <is>
          <t>ROPA</t>
        </is>
      </c>
      <c r="B36" s="30" t="inlineStr">
        <is>
          <t>Processing activities not yet started</t>
        </is>
      </c>
      <c r="C36" s="31">
        <f>COUNTIF('4. ROPA (Record of Processing)'!B3:B52,"Not Started")</f>
        <v/>
      </c>
      <c r="D36" s="30" t="inlineStr">
        <is>
          <t>High</t>
        </is>
      </c>
      <c r="E36" s="30" t="inlineStr">
        <is>
          <t>Urgent</t>
        </is>
      </c>
      <c r="F36" s="30" t="n"/>
      <c r="G36" s="30" t="n"/>
    </row>
    <row r="37">
      <c r="A37" s="30" t="inlineStr">
        <is>
          <t>PII Discovery Gaps</t>
        </is>
      </c>
      <c r="B37" s="30" t="inlineStr">
        <is>
          <t>Open / unresolved PII discovery gaps</t>
        </is>
      </c>
      <c r="C37" s="31">
        <f>COUNTIF('5. PII Discovery Gaps'!B3:B52,"Open")</f>
        <v/>
      </c>
      <c r="D37" s="30" t="inlineStr">
        <is>
          <t>High</t>
        </is>
      </c>
      <c r="E37" s="30" t="inlineStr">
        <is>
          <t>Urgent</t>
        </is>
      </c>
      <c r="F37" s="30" t="n"/>
      <c r="G37" s="30" t="n"/>
    </row>
    <row r="38">
      <c r="A38" s="30" t="inlineStr">
        <is>
          <t>PII Discovery Gaps</t>
        </is>
      </c>
      <c r="B38" s="30" t="inlineStr">
        <is>
          <t>Critical risk PII gaps</t>
        </is>
      </c>
      <c r="C38" s="31">
        <f>COUNTIF('5. PII Discovery Gaps'!F3:F52,"Critical")</f>
        <v/>
      </c>
      <c r="D38" s="30" t="inlineStr">
        <is>
          <t>Critical</t>
        </is>
      </c>
      <c r="E38" s="30" t="inlineStr">
        <is>
          <t>Immediate</t>
        </is>
      </c>
      <c r="F38" s="30" t="n"/>
      <c r="G38" s="30" t="n"/>
    </row>
    <row r="39">
      <c r="A39" s="13" t="n"/>
      <c r="B39" s="13" t="n"/>
      <c r="C39" s="13" t="n"/>
      <c r="D39" s="13" t="n"/>
      <c r="E39" s="13" t="n"/>
      <c r="F39" s="13" t="n"/>
      <c r="G39" s="13" t="n"/>
    </row>
    <row r="40">
      <c r="A40" s="13" t="n"/>
      <c r="B40" s="13" t="n"/>
      <c r="C40" s="13" t="n"/>
      <c r="D40" s="13" t="n"/>
      <c r="E40" s="13" t="n"/>
      <c r="F40" s="13" t="n"/>
      <c r="G40" s="13" t="n"/>
    </row>
  </sheetData>
  <mergeCells count="5">
    <mergeCell ref="A1:G1"/>
    <mergeCell ref="A31:G31"/>
    <mergeCell ref="A12:G12"/>
    <mergeCell ref="A4:G4"/>
    <mergeCell ref="A2:G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2" t="inlineStr">
        <is>
          <t>ASSESSMENT APPROVAL AND SIGN-OFF</t>
        </is>
      </c>
      <c r="B1" s="6" t="n"/>
      <c r="C1" s="6" t="n"/>
      <c r="D1" s="6" t="n"/>
      <c r="E1" s="6" t="n"/>
    </row>
    <row r="2">
      <c r="A2" s="15" t="inlineStr">
        <is>
          <t>ISO/IEC 27001:2022 - Control A.5.34: Privacy and Protection of PII</t>
        </is>
      </c>
      <c r="B2" s="6" t="n"/>
      <c r="C2" s="6" t="n"/>
      <c r="D2" s="6" t="n"/>
      <c r="E2" s="6" t="n"/>
    </row>
    <row r="3">
      <c r="A3" s="33" t="inlineStr">
        <is>
          <t>ASSESSMENT SUMMARY</t>
        </is>
      </c>
      <c r="B3" s="6" t="n"/>
      <c r="C3" s="6" t="n"/>
      <c r="D3" s="6" t="n"/>
      <c r="E3" s="6" t="n"/>
    </row>
    <row r="4">
      <c r="A4" s="3" t="inlineStr">
        <is>
          <t>Document:</t>
        </is>
      </c>
      <c r="B4" s="6" t="inlineStr">
        <is>
          <t>ISMS-IMP-A.5.34.1 - PII Identification and Classification</t>
        </is>
      </c>
      <c r="C4" s="6" t="n"/>
      <c r="D4" s="6" t="n"/>
      <c r="E4" s="6" t="n"/>
    </row>
    <row r="5">
      <c r="A5" s="3" t="inlineStr">
        <is>
          <t>Assessment Period:</t>
        </is>
      </c>
      <c r="B5" s="13" t="inlineStr"/>
      <c r="C5" s="6" t="n"/>
      <c r="D5" s="6" t="n"/>
      <c r="E5" s="6" t="n"/>
    </row>
    <row r="6">
      <c r="A6" s="3" t="inlineStr">
        <is>
          <t>Overall Compliance Rating:</t>
        </is>
      </c>
      <c r="B6" s="34">
        <f>IFERROR(AVERAGE('Summary Dashboard'!G6:G9),"")</f>
        <v/>
      </c>
      <c r="C6" s="6" t="n"/>
      <c r="D6" s="6" t="n"/>
      <c r="E6" s="6" t="n"/>
    </row>
    <row r="7">
      <c r="A7" s="3" t="inlineStr">
        <is>
          <t>Assessment Status:</t>
        </is>
      </c>
      <c r="B7" s="13" t="inlineStr"/>
      <c r="C7" s="6" t="n"/>
      <c r="D7" s="6" t="n"/>
      <c r="E7" s="6" t="n"/>
    </row>
    <row r="8">
      <c r="A8" s="3" t="inlineStr">
        <is>
          <t>Assessed By:</t>
        </is>
      </c>
      <c r="B8" s="13" t="inlineStr"/>
      <c r="C8" s="6" t="n"/>
      <c r="D8" s="6" t="n"/>
      <c r="E8" s="6" t="n"/>
    </row>
    <row r="11">
      <c r="A11" s="33" t="inlineStr">
        <is>
          <t>COMPLETED BY (ASSESSOR)</t>
        </is>
      </c>
      <c r="B11" s="6" t="n"/>
      <c r="C11" s="6" t="n"/>
      <c r="D11" s="6" t="n"/>
      <c r="E11" s="6" t="n"/>
    </row>
    <row r="12">
      <c r="A12" s="3" t="inlineStr">
        <is>
          <t>Name:</t>
        </is>
      </c>
      <c r="B12" s="13" t="n"/>
      <c r="C12" s="6" t="n"/>
      <c r="D12" s="6" t="n"/>
      <c r="E12" s="6" t="n"/>
    </row>
    <row r="13">
      <c r="A13" s="3" t="inlineStr">
        <is>
          <t>Title:</t>
        </is>
      </c>
      <c r="B13" s="13" t="n"/>
      <c r="C13" s="6" t="n"/>
      <c r="D13" s="6" t="n"/>
      <c r="E13" s="6" t="n"/>
    </row>
    <row r="14">
      <c r="A14" s="3" t="inlineStr">
        <is>
          <t>Date:</t>
        </is>
      </c>
      <c r="B14" s="13" t="n"/>
      <c r="C14" s="6" t="n"/>
      <c r="D14" s="6" t="n"/>
      <c r="E14" s="6" t="n"/>
    </row>
    <row r="15">
      <c r="A15" s="3" t="inlineStr">
        <is>
          <t>Signature:</t>
        </is>
      </c>
      <c r="B15" s="13" t="n"/>
      <c r="C15" s="6" t="n"/>
      <c r="D15" s="6" t="n"/>
      <c r="E15" s="6" t="n"/>
    </row>
    <row r="16">
      <c r="A16" s="3" t="inlineStr">
        <is>
          <t>Comments:</t>
        </is>
      </c>
      <c r="B16" s="13" t="n"/>
      <c r="C16" s="6" t="n"/>
      <c r="D16" s="6" t="n"/>
      <c r="E16" s="6" t="n"/>
    </row>
    <row r="18">
      <c r="A18" s="33" t="inlineStr">
        <is>
          <t>REVIEWED BY (INFORMATION SECURITY OFFICER)</t>
        </is>
      </c>
      <c r="B18" s="6" t="n"/>
      <c r="C18" s="6" t="n"/>
      <c r="D18" s="6" t="n"/>
      <c r="E18" s="6" t="n"/>
    </row>
    <row r="19">
      <c r="A19" s="3" t="inlineStr">
        <is>
          <t>Name:</t>
        </is>
      </c>
      <c r="B19" s="13" t="n"/>
      <c r="C19" s="6" t="n"/>
      <c r="D19" s="6" t="n"/>
      <c r="E19" s="6" t="n"/>
    </row>
    <row r="20">
      <c r="A20" s="3" t="inlineStr">
        <is>
          <t>Title:</t>
        </is>
      </c>
      <c r="B20" s="13" t="n"/>
      <c r="C20" s="6" t="n"/>
      <c r="D20" s="6" t="n"/>
      <c r="E20" s="6" t="n"/>
    </row>
    <row r="21">
      <c r="A21" s="3" t="inlineStr">
        <is>
          <t>Date:</t>
        </is>
      </c>
      <c r="B21" s="13" t="n"/>
      <c r="C21" s="6" t="n"/>
      <c r="D21" s="6" t="n"/>
      <c r="E21" s="6" t="n"/>
    </row>
    <row r="22">
      <c r="A22" s="3" t="inlineStr">
        <is>
          <t>Signature:</t>
        </is>
      </c>
      <c r="B22" s="13" t="n"/>
      <c r="C22" s="6" t="n"/>
      <c r="D22" s="6" t="n"/>
      <c r="E22" s="6" t="n"/>
    </row>
    <row r="23">
      <c r="A23" s="3" t="inlineStr">
        <is>
          <t>Comments:</t>
        </is>
      </c>
      <c r="B23" s="13" t="n"/>
      <c r="C23" s="6" t="n"/>
      <c r="D23" s="6" t="n"/>
      <c r="E23" s="6" t="n"/>
    </row>
    <row r="25">
      <c r="A25" s="35" t="inlineStr">
        <is>
          <t>APPROVED BY (CISO)</t>
        </is>
      </c>
      <c r="B25" s="6" t="n"/>
      <c r="C25" s="6" t="n"/>
      <c r="D25" s="6" t="n"/>
      <c r="E25" s="6" t="n"/>
    </row>
    <row r="26">
      <c r="A26" s="3" t="inlineStr">
        <is>
          <t>Name:</t>
        </is>
      </c>
      <c r="B26" s="13" t="n"/>
      <c r="C26" s="6" t="n"/>
      <c r="D26" s="6" t="n"/>
      <c r="E26" s="6" t="n"/>
    </row>
    <row r="27">
      <c r="A27" s="3" t="inlineStr">
        <is>
          <t>Title:</t>
        </is>
      </c>
      <c r="B27" s="13" t="n"/>
      <c r="C27" s="6" t="n"/>
      <c r="D27" s="6" t="n"/>
      <c r="E27" s="6" t="n"/>
    </row>
    <row r="28">
      <c r="A28" s="3" t="inlineStr">
        <is>
          <t>Date:</t>
        </is>
      </c>
      <c r="B28" s="13" t="n"/>
      <c r="C28" s="6" t="n"/>
      <c r="D28" s="6" t="n"/>
      <c r="E28" s="6" t="n"/>
    </row>
    <row r="29">
      <c r="A29" s="3" t="inlineStr">
        <is>
          <t>Signature:</t>
        </is>
      </c>
      <c r="B29" s="13" t="n"/>
      <c r="C29" s="6" t="n"/>
      <c r="D29" s="6" t="n"/>
      <c r="E29" s="6" t="n"/>
    </row>
    <row r="30">
      <c r="A30" s="3" t="inlineStr">
        <is>
          <t>Comments:</t>
        </is>
      </c>
      <c r="B30" s="13" t="n"/>
      <c r="C30" s="6" t="n"/>
      <c r="D30" s="6" t="n"/>
      <c r="E30" s="6" t="n"/>
    </row>
    <row r="32">
      <c r="A32" s="3" t="inlineStr">
        <is>
          <t>FINAL DECISION:</t>
        </is>
      </c>
      <c r="B32" s="13" t="n"/>
      <c r="C32" s="6" t="n"/>
      <c r="D32" s="6" t="n"/>
      <c r="E32" s="6" t="n"/>
    </row>
    <row r="35">
      <c r="A35" s="33" t="inlineStr">
        <is>
          <t>NEXT REVIEW DETAILS</t>
        </is>
      </c>
      <c r="B35" s="6" t="n"/>
      <c r="C35" s="6" t="n"/>
      <c r="D35" s="6" t="n"/>
      <c r="E35" s="6" t="n"/>
    </row>
    <row r="36">
      <c r="A36" s="3" t="inlineStr">
        <is>
          <t>Next Review Date:</t>
        </is>
      </c>
      <c r="B36" s="13" t="n"/>
      <c r="C36" s="6" t="n"/>
      <c r="D36" s="6" t="n"/>
      <c r="E36" s="6" t="n"/>
    </row>
    <row r="37">
      <c r="A37" s="3" t="inlineStr">
        <is>
          <t>Review Responsible:</t>
        </is>
      </c>
      <c r="B37" s="13" t="n"/>
      <c r="C37" s="6" t="n"/>
      <c r="D37" s="6" t="n"/>
      <c r="E37" s="6" t="n"/>
    </row>
    <row r="38">
      <c r="A38" s="3" t="inlineStr">
        <is>
          <t>Special Considerations:</t>
        </is>
      </c>
      <c r="B38" s="13"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ISMS-IMP-A.5.34.1 — PII Identification and Classification</dc:title>
  <dc:description xmlns:dc="http://purl.org/dc/elements/1.1/">ISMS Implementation Workbook — ISMS-IMP-A.5.34.1</dc:description>
  <dc:subject xmlns:dc="http://purl.org/dc/elements/1.1/">ISO/IEC 27001:2022 — Control A.5.34: Privacy and Protection of PII</dc:subject>
  <dcterms:created xmlns:dcterms="http://purl.org/dc/terms/" xmlns:xsi="http://www.w3.org/2001/XMLSchema-instance" xsi:type="dcterms:W3CDTF">2026-03-01T09:47:43Z</dcterms:created>
  <dcterms:modified xmlns:dcterms="http://purl.org/dc/terms/" xmlns:xsi="http://www.w3.org/2001/XMLSchema-instance" xsi:type="dcterms:W3CDTF">2026-03-01T09:47:43Z</dcterms:modified>
</cp:coreProperties>
</file>