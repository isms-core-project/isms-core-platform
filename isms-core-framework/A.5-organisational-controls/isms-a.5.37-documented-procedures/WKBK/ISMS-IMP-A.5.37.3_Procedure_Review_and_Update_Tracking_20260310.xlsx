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Change Requests" sheetId="3" state="visible" r:id="rId3"/>
    <sheet xmlns:r="http://schemas.openxmlformats.org/officeDocument/2006/relationships" name="Version History" sheetId="4" state="visible" r:id="rId4"/>
    <sheet xmlns:r="http://schemas.openxmlformats.org/officeDocument/2006/relationships" name="Communication Log" sheetId="5" state="visible" r:id="rId5"/>
    <sheet xmlns:r="http://schemas.openxmlformats.org/officeDocument/2006/relationships" name="Overdue Escal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ISMS-IMP-A.5.37.3  -  Procedure Review and Update Tracking
ISO/IEC 27001:2022 - Control A.5.37: Documented Operating Procedures</t>
        </is>
      </c>
    </row>
    <row r="3">
      <c r="A3" s="2" t="inlineStr">
        <is>
          <t>Document Information</t>
        </is>
      </c>
    </row>
    <row r="4">
      <c r="A4" s="3" t="inlineStr">
        <is>
          <t>Document ID</t>
        </is>
      </c>
      <c r="B4" t="inlineStr">
        <is>
          <t>ISMS-IMP-A.5.37.3</t>
        </is>
      </c>
    </row>
    <row r="5">
      <c r="A5" s="3" t="inlineStr">
        <is>
          <t>Workbook Title</t>
        </is>
      </c>
      <c r="B5" t="inlineStr">
        <is>
          <t>Procedure Review and Update Tracking</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The Review Schedule shows auto-calculated days until review due and review status.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4" customWidth="1" min="3" max="3"/>
    <col width="16" customWidth="1" min="4" max="4"/>
    <col width="16" customWidth="1" min="5" max="5"/>
    <col width="16" customWidth="1" min="6" max="6"/>
    <col width="14" customWidth="1" min="7" max="7"/>
    <col width="16" customWidth="1" min="8" max="8"/>
    <col width="22" customWidth="1" min="9" max="9"/>
    <col width="16" customWidth="1" min="10" max="10"/>
    <col width="16" customWidth="1" min="11" max="11"/>
    <col width="20" customWidth="1" min="12" max="12"/>
    <col width="14" customWidth="1" min="13" max="13"/>
    <col width="35" customWidth="1" min="14" max="14"/>
  </cols>
  <sheetData>
    <row r="1" ht="35" customHeight="1">
      <c r="A1" s="11" t="inlineStr">
        <is>
          <t>REVIEW SCHEDULE</t>
        </is>
      </c>
    </row>
    <row r="2">
      <c r="A2" s="12" t="inlineStr">
        <is>
          <t>Track procedure review cycles — next review date, days until due and review status are auto-calculated</t>
        </is>
      </c>
    </row>
    <row r="3">
      <c r="A3" s="13" t="inlineStr">
        <is>
          <t>Procedure ID</t>
        </is>
      </c>
      <c r="B3" s="13" t="inlineStr">
        <is>
          <t>Procedure Name</t>
        </is>
      </c>
      <c r="C3" s="13" t="inlineStr">
        <is>
          <t>Criticality</t>
        </is>
      </c>
      <c r="D3" s="13" t="inlineStr">
        <is>
          <t>Review Cycle Days</t>
        </is>
      </c>
      <c r="E3" s="13" t="inlineStr">
        <is>
          <t>Last Review Date</t>
        </is>
      </c>
      <c r="F3" s="13" t="inlineStr">
        <is>
          <t>Next Review Due</t>
        </is>
      </c>
      <c r="G3" s="13" t="inlineStr">
        <is>
          <t>Days Until Due</t>
        </is>
      </c>
      <c r="H3" s="13" t="inlineStr">
        <is>
          <t>Review Status</t>
        </is>
      </c>
      <c r="I3" s="13" t="inlineStr">
        <is>
          <t>Assigned Reviewer</t>
        </is>
      </c>
      <c r="J3" s="13" t="inlineStr">
        <is>
          <t>Review Started</t>
        </is>
      </c>
      <c r="K3" s="13" t="inlineStr">
        <is>
          <t>Review Completed</t>
        </is>
      </c>
      <c r="L3" s="13" t="inlineStr">
        <is>
          <t>Review Outcome</t>
        </is>
      </c>
      <c r="M3" s="13" t="inlineStr">
        <is>
          <t>New Version</t>
        </is>
      </c>
      <c r="N3" s="13" t="inlineStr">
        <is>
          <t>Notes</t>
        </is>
      </c>
    </row>
    <row r="4">
      <c r="A4" s="14" t="inlineStr">
        <is>
          <t>PROC-001</t>
        </is>
      </c>
      <c r="B4" s="14" t="inlineStr">
        <is>
          <t>Server Backup and Recovery Procedure</t>
        </is>
      </c>
      <c r="C4" s="14" t="inlineStr">
        <is>
          <t>Critical</t>
        </is>
      </c>
      <c r="D4" s="14" t="n">
        <v>365</v>
      </c>
      <c r="E4" s="14" t="inlineStr">
        <is>
          <t>01.01.2026</t>
        </is>
      </c>
      <c r="F4" s="14">
        <f>IF(A4&lt;&gt;"",IF(E4&lt;&gt;"",E4+D4,""),"")</f>
        <v/>
      </c>
      <c r="G4" s="14">
        <f>IF(A4&lt;&gt;"",IF(F4&lt;&gt;"",F4-TODAY(),""),"")</f>
        <v/>
      </c>
      <c r="H4" s="14">
        <f>IF(A4="","",IF(G4="","",IF(G4&lt;0,"OVERDUE",IF(G4&lt;=30,"DUE SOON","CURRENT"))))</f>
        <v/>
      </c>
      <c r="I4" s="14" t="inlineStr">
        <is>
          <t>IT Operations Manager</t>
        </is>
      </c>
      <c r="J4" s="14" t="n"/>
      <c r="K4" s="14" t="n"/>
      <c r="L4" s="14" t="inlineStr">
        <is>
          <t>Current - No Changes</t>
        </is>
      </c>
      <c r="M4" s="14" t="inlineStr">
        <is>
          <t>v1.2</t>
        </is>
      </c>
      <c r="N4" s="14" t="n"/>
    </row>
    <row r="5">
      <c r="A5" s="15" t="n"/>
      <c r="B5" s="15" t="n"/>
      <c r="C5" s="15" t="n"/>
      <c r="D5" s="15" t="n"/>
      <c r="E5" s="15" t="n"/>
      <c r="F5" s="15">
        <f>IF(A5="","",IF(E5&lt;&gt;"",E5+D5,""))</f>
        <v/>
      </c>
      <c r="G5" s="15">
        <f>IF(A5="","",IF(F5&lt;&gt;"",F5-TODAY(),""))</f>
        <v/>
      </c>
      <c r="H5" s="15">
        <f>IF(A5="","",IF(G5="","",IF(G5&lt;0,"OVERDUE",IF(G5&lt;=30,"DUE SOON","CURRENT"))))</f>
        <v/>
      </c>
      <c r="I5" s="15" t="n"/>
      <c r="J5" s="15" t="n"/>
      <c r="K5" s="15" t="n"/>
      <c r="L5" s="15" t="n"/>
      <c r="M5" s="15" t="n"/>
      <c r="N5" s="15" t="n"/>
    </row>
    <row r="6">
      <c r="A6" s="15" t="n"/>
      <c r="B6" s="15" t="n"/>
      <c r="C6" s="15" t="n"/>
      <c r="D6" s="15" t="n"/>
      <c r="E6" s="15" t="n"/>
      <c r="F6" s="15">
        <f>IF(A6="","",IF(E6&lt;&gt;"",E6+D6,""))</f>
        <v/>
      </c>
      <c r="G6" s="15">
        <f>IF(A6="","",IF(F6&lt;&gt;"",F6-TODAY(),""))</f>
        <v/>
      </c>
      <c r="H6" s="15">
        <f>IF(A6="","",IF(G6="","",IF(G6&lt;0,"OVERDUE",IF(G6&lt;=30,"DUE SOON","CURRENT"))))</f>
        <v/>
      </c>
      <c r="I6" s="15" t="n"/>
      <c r="J6" s="15" t="n"/>
      <c r="K6" s="15" t="n"/>
      <c r="L6" s="15" t="n"/>
      <c r="M6" s="15" t="n"/>
      <c r="N6" s="15" t="n"/>
    </row>
    <row r="7">
      <c r="A7" s="15" t="n"/>
      <c r="B7" s="15" t="n"/>
      <c r="C7" s="15" t="n"/>
      <c r="D7" s="15" t="n"/>
      <c r="E7" s="15" t="n"/>
      <c r="F7" s="15">
        <f>IF(A7="","",IF(E7&lt;&gt;"",E7+D7,""))</f>
        <v/>
      </c>
      <c r="G7" s="15">
        <f>IF(A7="","",IF(F7&lt;&gt;"",F7-TODAY(),""))</f>
        <v/>
      </c>
      <c r="H7" s="15">
        <f>IF(A7="","",IF(G7="","",IF(G7&lt;0,"OVERDUE",IF(G7&lt;=30,"DUE SOON","CURRENT"))))</f>
        <v/>
      </c>
      <c r="I7" s="15" t="n"/>
      <c r="J7" s="15" t="n"/>
      <c r="K7" s="15" t="n"/>
      <c r="L7" s="15" t="n"/>
      <c r="M7" s="15" t="n"/>
      <c r="N7" s="15" t="n"/>
    </row>
    <row r="8">
      <c r="A8" s="15" t="n"/>
      <c r="B8" s="15" t="n"/>
      <c r="C8" s="15" t="n"/>
      <c r="D8" s="15" t="n"/>
      <c r="E8" s="15" t="n"/>
      <c r="F8" s="15">
        <f>IF(A8="","",IF(E8&lt;&gt;"",E8+D8,""))</f>
        <v/>
      </c>
      <c r="G8" s="15">
        <f>IF(A8="","",IF(F8&lt;&gt;"",F8-TODAY(),""))</f>
        <v/>
      </c>
      <c r="H8" s="15">
        <f>IF(A8="","",IF(G8="","",IF(G8&lt;0,"OVERDUE",IF(G8&lt;=30,"DUE SOON","CURRENT"))))</f>
        <v/>
      </c>
      <c r="I8" s="15" t="n"/>
      <c r="J8" s="15" t="n"/>
      <c r="K8" s="15" t="n"/>
      <c r="L8" s="15" t="n"/>
      <c r="M8" s="15" t="n"/>
      <c r="N8" s="15" t="n"/>
    </row>
    <row r="9">
      <c r="A9" s="15" t="n"/>
      <c r="B9" s="15" t="n"/>
      <c r="C9" s="15" t="n"/>
      <c r="D9" s="15" t="n"/>
      <c r="E9" s="15" t="n"/>
      <c r="F9" s="15">
        <f>IF(A9="","",IF(E9&lt;&gt;"",E9+D9,""))</f>
        <v/>
      </c>
      <c r="G9" s="15">
        <f>IF(A9="","",IF(F9&lt;&gt;"",F9-TODAY(),""))</f>
        <v/>
      </c>
      <c r="H9" s="15">
        <f>IF(A9="","",IF(G9="","",IF(G9&lt;0,"OVERDUE",IF(G9&lt;=30,"DUE SOON","CURRENT"))))</f>
        <v/>
      </c>
      <c r="I9" s="15" t="n"/>
      <c r="J9" s="15" t="n"/>
      <c r="K9" s="15" t="n"/>
      <c r="L9" s="15" t="n"/>
      <c r="M9" s="15" t="n"/>
      <c r="N9" s="15" t="n"/>
    </row>
    <row r="10">
      <c r="A10" s="15" t="n"/>
      <c r="B10" s="15" t="n"/>
      <c r="C10" s="15" t="n"/>
      <c r="D10" s="15" t="n"/>
      <c r="E10" s="15" t="n"/>
      <c r="F10" s="15">
        <f>IF(A10="","",IF(E10&lt;&gt;"",E10+D10,""))</f>
        <v/>
      </c>
      <c r="G10" s="15">
        <f>IF(A10="","",IF(F10&lt;&gt;"",F10-TODAY(),""))</f>
        <v/>
      </c>
      <c r="H10" s="15">
        <f>IF(A10="","",IF(G10="","",IF(G10&lt;0,"OVERDUE",IF(G10&lt;=30,"DUE SOON","CURRENT"))))</f>
        <v/>
      </c>
      <c r="I10" s="15" t="n"/>
      <c r="J10" s="15" t="n"/>
      <c r="K10" s="15" t="n"/>
      <c r="L10" s="15" t="n"/>
      <c r="M10" s="15" t="n"/>
      <c r="N10" s="15" t="n"/>
    </row>
    <row r="11">
      <c r="A11" s="15" t="n"/>
      <c r="B11" s="15" t="n"/>
      <c r="C11" s="15" t="n"/>
      <c r="D11" s="15" t="n"/>
      <c r="E11" s="15" t="n"/>
      <c r="F11" s="15">
        <f>IF(A11="","",IF(E11&lt;&gt;"",E11+D11,""))</f>
        <v/>
      </c>
      <c r="G11" s="15">
        <f>IF(A11="","",IF(F11&lt;&gt;"",F11-TODAY(),""))</f>
        <v/>
      </c>
      <c r="H11" s="15">
        <f>IF(A11="","",IF(G11="","",IF(G11&lt;0,"OVERDUE",IF(G11&lt;=30,"DUE SOON","CURRENT"))))</f>
        <v/>
      </c>
      <c r="I11" s="15" t="n"/>
      <c r="J11" s="15" t="n"/>
      <c r="K11" s="15" t="n"/>
      <c r="L11" s="15" t="n"/>
      <c r="M11" s="15" t="n"/>
      <c r="N11" s="15" t="n"/>
    </row>
    <row r="12">
      <c r="A12" s="15" t="n"/>
      <c r="B12" s="15" t="n"/>
      <c r="C12" s="15" t="n"/>
      <c r="D12" s="15" t="n"/>
      <c r="E12" s="15" t="n"/>
      <c r="F12" s="15">
        <f>IF(A12="","",IF(E12&lt;&gt;"",E12+D12,""))</f>
        <v/>
      </c>
      <c r="G12" s="15">
        <f>IF(A12="","",IF(F12&lt;&gt;"",F12-TODAY(),""))</f>
        <v/>
      </c>
      <c r="H12" s="15">
        <f>IF(A12="","",IF(G12="","",IF(G12&lt;0,"OVERDUE",IF(G12&lt;=30,"DUE SOON","CURRENT"))))</f>
        <v/>
      </c>
      <c r="I12" s="15" t="n"/>
      <c r="J12" s="15" t="n"/>
      <c r="K12" s="15" t="n"/>
      <c r="L12" s="15" t="n"/>
      <c r="M12" s="15" t="n"/>
      <c r="N12" s="15" t="n"/>
    </row>
    <row r="13">
      <c r="A13" s="15" t="n"/>
      <c r="B13" s="15" t="n"/>
      <c r="C13" s="15" t="n"/>
      <c r="D13" s="15" t="n"/>
      <c r="E13" s="15" t="n"/>
      <c r="F13" s="15">
        <f>IF(A13="","",IF(E13&lt;&gt;"",E13+D13,""))</f>
        <v/>
      </c>
      <c r="G13" s="15">
        <f>IF(A13="","",IF(F13&lt;&gt;"",F13-TODAY(),""))</f>
        <v/>
      </c>
      <c r="H13" s="15">
        <f>IF(A13="","",IF(G13="","",IF(G13&lt;0,"OVERDUE",IF(G13&lt;=30,"DUE SOON","CURRENT"))))</f>
        <v/>
      </c>
      <c r="I13" s="15" t="n"/>
      <c r="J13" s="15" t="n"/>
      <c r="K13" s="15" t="n"/>
      <c r="L13" s="15" t="n"/>
      <c r="M13" s="15" t="n"/>
      <c r="N13" s="15" t="n"/>
    </row>
    <row r="14">
      <c r="A14" s="15" t="n"/>
      <c r="B14" s="15" t="n"/>
      <c r="C14" s="15" t="n"/>
      <c r="D14" s="15" t="n"/>
      <c r="E14" s="15" t="n"/>
      <c r="F14" s="15">
        <f>IF(A14="","",IF(E14&lt;&gt;"",E14+D14,""))</f>
        <v/>
      </c>
      <c r="G14" s="15">
        <f>IF(A14="","",IF(F14&lt;&gt;"",F14-TODAY(),""))</f>
        <v/>
      </c>
      <c r="H14" s="15">
        <f>IF(A14="","",IF(G14="","",IF(G14&lt;0,"OVERDUE",IF(G14&lt;=30,"DUE SOON","CURRENT"))))</f>
        <v/>
      </c>
      <c r="I14" s="15" t="n"/>
      <c r="J14" s="15" t="n"/>
      <c r="K14" s="15" t="n"/>
      <c r="L14" s="15" t="n"/>
      <c r="M14" s="15" t="n"/>
      <c r="N14" s="15" t="n"/>
    </row>
    <row r="15">
      <c r="A15" s="15" t="n"/>
      <c r="B15" s="15" t="n"/>
      <c r="C15" s="15" t="n"/>
      <c r="D15" s="15" t="n"/>
      <c r="E15" s="15" t="n"/>
      <c r="F15" s="15">
        <f>IF(A15="","",IF(E15&lt;&gt;"",E15+D15,""))</f>
        <v/>
      </c>
      <c r="G15" s="15">
        <f>IF(A15="","",IF(F15&lt;&gt;"",F15-TODAY(),""))</f>
        <v/>
      </c>
      <c r="H15" s="15">
        <f>IF(A15="","",IF(G15="","",IF(G15&lt;0,"OVERDUE",IF(G15&lt;=30,"DUE SOON","CURRENT"))))</f>
        <v/>
      </c>
      <c r="I15" s="15" t="n"/>
      <c r="J15" s="15" t="n"/>
      <c r="K15" s="15" t="n"/>
      <c r="L15" s="15" t="n"/>
      <c r="M15" s="15" t="n"/>
      <c r="N15" s="15" t="n"/>
    </row>
    <row r="16">
      <c r="A16" s="15" t="n"/>
      <c r="B16" s="15" t="n"/>
      <c r="C16" s="15" t="n"/>
      <c r="D16" s="15" t="n"/>
      <c r="E16" s="15" t="n"/>
      <c r="F16" s="15">
        <f>IF(A16="","",IF(E16&lt;&gt;"",E16+D16,""))</f>
        <v/>
      </c>
      <c r="G16" s="15">
        <f>IF(A16="","",IF(F16&lt;&gt;"",F16-TODAY(),""))</f>
        <v/>
      </c>
      <c r="H16" s="15">
        <f>IF(A16="","",IF(G16="","",IF(G16&lt;0,"OVERDUE",IF(G16&lt;=30,"DUE SOON","CURRENT"))))</f>
        <v/>
      </c>
      <c r="I16" s="15" t="n"/>
      <c r="J16" s="15" t="n"/>
      <c r="K16" s="15" t="n"/>
      <c r="L16" s="15" t="n"/>
      <c r="M16" s="15" t="n"/>
      <c r="N16" s="15" t="n"/>
    </row>
    <row r="17">
      <c r="A17" s="15" t="n"/>
      <c r="B17" s="15" t="n"/>
      <c r="C17" s="15" t="n"/>
      <c r="D17" s="15" t="n"/>
      <c r="E17" s="15" t="n"/>
      <c r="F17" s="15">
        <f>IF(A17="","",IF(E17&lt;&gt;"",E17+D17,""))</f>
        <v/>
      </c>
      <c r="G17" s="15">
        <f>IF(A17="","",IF(F17&lt;&gt;"",F17-TODAY(),""))</f>
        <v/>
      </c>
      <c r="H17" s="15">
        <f>IF(A17="","",IF(G17="","",IF(G17&lt;0,"OVERDUE",IF(G17&lt;=30,"DUE SOON","CURRENT"))))</f>
        <v/>
      </c>
      <c r="I17" s="15" t="n"/>
      <c r="J17" s="15" t="n"/>
      <c r="K17" s="15" t="n"/>
      <c r="L17" s="15" t="n"/>
      <c r="M17" s="15" t="n"/>
      <c r="N17" s="15" t="n"/>
    </row>
    <row r="18">
      <c r="A18" s="15" t="n"/>
      <c r="B18" s="15" t="n"/>
      <c r="C18" s="15" t="n"/>
      <c r="D18" s="15" t="n"/>
      <c r="E18" s="15" t="n"/>
      <c r="F18" s="15">
        <f>IF(A18="","",IF(E18&lt;&gt;"",E18+D18,""))</f>
        <v/>
      </c>
      <c r="G18" s="15">
        <f>IF(A18="","",IF(F18&lt;&gt;"",F18-TODAY(),""))</f>
        <v/>
      </c>
      <c r="H18" s="15">
        <f>IF(A18="","",IF(G18="","",IF(G18&lt;0,"OVERDUE",IF(G18&lt;=30,"DUE SOON","CURRENT"))))</f>
        <v/>
      </c>
      <c r="I18" s="15" t="n"/>
      <c r="J18" s="15" t="n"/>
      <c r="K18" s="15" t="n"/>
      <c r="L18" s="15" t="n"/>
      <c r="M18" s="15" t="n"/>
      <c r="N18" s="15" t="n"/>
    </row>
    <row r="19">
      <c r="A19" s="15" t="n"/>
      <c r="B19" s="15" t="n"/>
      <c r="C19" s="15" t="n"/>
      <c r="D19" s="15" t="n"/>
      <c r="E19" s="15" t="n"/>
      <c r="F19" s="15">
        <f>IF(A19="","",IF(E19&lt;&gt;"",E19+D19,""))</f>
        <v/>
      </c>
      <c r="G19" s="15">
        <f>IF(A19="","",IF(F19&lt;&gt;"",F19-TODAY(),""))</f>
        <v/>
      </c>
      <c r="H19" s="15">
        <f>IF(A19="","",IF(G19="","",IF(G19&lt;0,"OVERDUE",IF(G19&lt;=30,"DUE SOON","CURRENT"))))</f>
        <v/>
      </c>
      <c r="I19" s="15" t="n"/>
      <c r="J19" s="15" t="n"/>
      <c r="K19" s="15" t="n"/>
      <c r="L19" s="15" t="n"/>
      <c r="M19" s="15" t="n"/>
      <c r="N19" s="15" t="n"/>
    </row>
    <row r="20">
      <c r="A20" s="15" t="n"/>
      <c r="B20" s="15" t="n"/>
      <c r="C20" s="15" t="n"/>
      <c r="D20" s="15" t="n"/>
      <c r="E20" s="15" t="n"/>
      <c r="F20" s="15">
        <f>IF(A20="","",IF(E20&lt;&gt;"",E20+D20,""))</f>
        <v/>
      </c>
      <c r="G20" s="15">
        <f>IF(A20="","",IF(F20&lt;&gt;"",F20-TODAY(),""))</f>
        <v/>
      </c>
      <c r="H20" s="15">
        <f>IF(A20="","",IF(G20="","",IF(G20&lt;0,"OVERDUE",IF(G20&lt;=30,"DUE SOON","CURRENT"))))</f>
        <v/>
      </c>
      <c r="I20" s="15" t="n"/>
      <c r="J20" s="15" t="n"/>
      <c r="K20" s="15" t="n"/>
      <c r="L20" s="15" t="n"/>
      <c r="M20" s="15" t="n"/>
      <c r="N20" s="15" t="n"/>
    </row>
    <row r="21">
      <c r="A21" s="15" t="n"/>
      <c r="B21" s="15" t="n"/>
      <c r="C21" s="15" t="n"/>
      <c r="D21" s="15" t="n"/>
      <c r="E21" s="15" t="n"/>
      <c r="F21" s="15">
        <f>IF(A21="","",IF(E21&lt;&gt;"",E21+D21,""))</f>
        <v/>
      </c>
      <c r="G21" s="15">
        <f>IF(A21="","",IF(F21&lt;&gt;"",F21-TODAY(),""))</f>
        <v/>
      </c>
      <c r="H21" s="15">
        <f>IF(A21="","",IF(G21="","",IF(G21&lt;0,"OVERDUE",IF(G21&lt;=30,"DUE SOON","CURRENT"))))</f>
        <v/>
      </c>
      <c r="I21" s="15" t="n"/>
      <c r="J21" s="15" t="n"/>
      <c r="K21" s="15" t="n"/>
      <c r="L21" s="15" t="n"/>
      <c r="M21" s="15" t="n"/>
      <c r="N21" s="15" t="n"/>
    </row>
    <row r="22">
      <c r="A22" s="15" t="n"/>
      <c r="B22" s="15" t="n"/>
      <c r="C22" s="15" t="n"/>
      <c r="D22" s="15" t="n"/>
      <c r="E22" s="15" t="n"/>
      <c r="F22" s="15">
        <f>IF(A22="","",IF(E22&lt;&gt;"",E22+D22,""))</f>
        <v/>
      </c>
      <c r="G22" s="15">
        <f>IF(A22="","",IF(F22&lt;&gt;"",F22-TODAY(),""))</f>
        <v/>
      </c>
      <c r="H22" s="15">
        <f>IF(A22="","",IF(G22="","",IF(G22&lt;0,"OVERDUE",IF(G22&lt;=30,"DUE SOON","CURRENT"))))</f>
        <v/>
      </c>
      <c r="I22" s="15" t="n"/>
      <c r="J22" s="15" t="n"/>
      <c r="K22" s="15" t="n"/>
      <c r="L22" s="15" t="n"/>
      <c r="M22" s="15" t="n"/>
      <c r="N22" s="15" t="n"/>
    </row>
    <row r="23">
      <c r="A23" s="15" t="n"/>
      <c r="B23" s="15" t="n"/>
      <c r="C23" s="15" t="n"/>
      <c r="D23" s="15" t="n"/>
      <c r="E23" s="15" t="n"/>
      <c r="F23" s="15">
        <f>IF(A23="","",IF(E23&lt;&gt;"",E23+D23,""))</f>
        <v/>
      </c>
      <c r="G23" s="15">
        <f>IF(A23="","",IF(F23&lt;&gt;"",F23-TODAY(),""))</f>
        <v/>
      </c>
      <c r="H23" s="15">
        <f>IF(A23="","",IF(G23="","",IF(G23&lt;0,"OVERDUE",IF(G23&lt;=30,"DUE SOON","CURRENT"))))</f>
        <v/>
      </c>
      <c r="I23" s="15" t="n"/>
      <c r="J23" s="15" t="n"/>
      <c r="K23" s="15" t="n"/>
      <c r="L23" s="15" t="n"/>
      <c r="M23" s="15" t="n"/>
      <c r="N23" s="15" t="n"/>
    </row>
    <row r="24">
      <c r="A24" s="15" t="n"/>
      <c r="B24" s="15" t="n"/>
      <c r="C24" s="15" t="n"/>
      <c r="D24" s="15" t="n"/>
      <c r="E24" s="15" t="n"/>
      <c r="F24" s="15">
        <f>IF(A24="","",IF(E24&lt;&gt;"",E24+D24,""))</f>
        <v/>
      </c>
      <c r="G24" s="15">
        <f>IF(A24="","",IF(F24&lt;&gt;"",F24-TODAY(),""))</f>
        <v/>
      </c>
      <c r="H24" s="15">
        <f>IF(A24="","",IF(G24="","",IF(G24&lt;0,"OVERDUE",IF(G24&lt;=30,"DUE SOON","CURRENT"))))</f>
        <v/>
      </c>
      <c r="I24" s="15" t="n"/>
      <c r="J24" s="15" t="n"/>
      <c r="K24" s="15" t="n"/>
      <c r="L24" s="15" t="n"/>
      <c r="M24" s="15" t="n"/>
      <c r="N24" s="15" t="n"/>
    </row>
    <row r="25">
      <c r="A25" s="15" t="n"/>
      <c r="B25" s="15" t="n"/>
      <c r="C25" s="15" t="n"/>
      <c r="D25" s="15" t="n"/>
      <c r="E25" s="15" t="n"/>
      <c r="F25" s="15">
        <f>IF(A25="","",IF(E25&lt;&gt;"",E25+D25,""))</f>
        <v/>
      </c>
      <c r="G25" s="15">
        <f>IF(A25="","",IF(F25&lt;&gt;"",F25-TODAY(),""))</f>
        <v/>
      </c>
      <c r="H25" s="15">
        <f>IF(A25="","",IF(G25="","",IF(G25&lt;0,"OVERDUE",IF(G25&lt;=30,"DUE SOON","CURRENT"))))</f>
        <v/>
      </c>
      <c r="I25" s="15" t="n"/>
      <c r="J25" s="15" t="n"/>
      <c r="K25" s="15" t="n"/>
      <c r="L25" s="15" t="n"/>
      <c r="M25" s="15" t="n"/>
      <c r="N25" s="15" t="n"/>
    </row>
    <row r="26">
      <c r="A26" s="15" t="n"/>
      <c r="B26" s="15" t="n"/>
      <c r="C26" s="15" t="n"/>
      <c r="D26" s="15" t="n"/>
      <c r="E26" s="15" t="n"/>
      <c r="F26" s="15">
        <f>IF(A26="","",IF(E26&lt;&gt;"",E26+D26,""))</f>
        <v/>
      </c>
      <c r="G26" s="15">
        <f>IF(A26="","",IF(F26&lt;&gt;"",F26-TODAY(),""))</f>
        <v/>
      </c>
      <c r="H26" s="15">
        <f>IF(A26="","",IF(G26="","",IF(G26&lt;0,"OVERDUE",IF(G26&lt;=30,"DUE SOON","CURRENT"))))</f>
        <v/>
      </c>
      <c r="I26" s="15" t="n"/>
      <c r="J26" s="15" t="n"/>
      <c r="K26" s="15" t="n"/>
      <c r="L26" s="15" t="n"/>
      <c r="M26" s="15" t="n"/>
      <c r="N26" s="15" t="n"/>
    </row>
    <row r="27">
      <c r="A27" s="15" t="n"/>
      <c r="B27" s="15" t="n"/>
      <c r="C27" s="15" t="n"/>
      <c r="D27" s="15" t="n"/>
      <c r="E27" s="15" t="n"/>
      <c r="F27" s="15">
        <f>IF(A27="","",IF(E27&lt;&gt;"",E27+D27,""))</f>
        <v/>
      </c>
      <c r="G27" s="15">
        <f>IF(A27="","",IF(F27&lt;&gt;"",F27-TODAY(),""))</f>
        <v/>
      </c>
      <c r="H27" s="15">
        <f>IF(A27="","",IF(G27="","",IF(G27&lt;0,"OVERDUE",IF(G27&lt;=30,"DUE SOON","CURRENT"))))</f>
        <v/>
      </c>
      <c r="I27" s="15" t="n"/>
      <c r="J27" s="15" t="n"/>
      <c r="K27" s="15" t="n"/>
      <c r="L27" s="15" t="n"/>
      <c r="M27" s="15" t="n"/>
      <c r="N27" s="15" t="n"/>
    </row>
    <row r="28">
      <c r="A28" s="15" t="n"/>
      <c r="B28" s="15" t="n"/>
      <c r="C28" s="15" t="n"/>
      <c r="D28" s="15" t="n"/>
      <c r="E28" s="15" t="n"/>
      <c r="F28" s="15">
        <f>IF(A28="","",IF(E28&lt;&gt;"",E28+D28,""))</f>
        <v/>
      </c>
      <c r="G28" s="15">
        <f>IF(A28="","",IF(F28&lt;&gt;"",F28-TODAY(),""))</f>
        <v/>
      </c>
      <c r="H28" s="15">
        <f>IF(A28="","",IF(G28="","",IF(G28&lt;0,"OVERDUE",IF(G28&lt;=30,"DUE SOON","CURRENT"))))</f>
        <v/>
      </c>
      <c r="I28" s="15" t="n"/>
      <c r="J28" s="15" t="n"/>
      <c r="K28" s="15" t="n"/>
      <c r="L28" s="15" t="n"/>
      <c r="M28" s="15" t="n"/>
      <c r="N28" s="15" t="n"/>
    </row>
    <row r="29">
      <c r="A29" s="15" t="n"/>
      <c r="B29" s="15" t="n"/>
      <c r="C29" s="15" t="n"/>
      <c r="D29" s="15" t="n"/>
      <c r="E29" s="15" t="n"/>
      <c r="F29" s="15">
        <f>IF(A29="","",IF(E29&lt;&gt;"",E29+D29,""))</f>
        <v/>
      </c>
      <c r="G29" s="15">
        <f>IF(A29="","",IF(F29&lt;&gt;"",F29-TODAY(),""))</f>
        <v/>
      </c>
      <c r="H29" s="15">
        <f>IF(A29="","",IF(G29="","",IF(G29&lt;0,"OVERDUE",IF(G29&lt;=30,"DUE SOON","CURRENT"))))</f>
        <v/>
      </c>
      <c r="I29" s="15" t="n"/>
      <c r="J29" s="15" t="n"/>
      <c r="K29" s="15" t="n"/>
      <c r="L29" s="15" t="n"/>
      <c r="M29" s="15" t="n"/>
      <c r="N29" s="15" t="n"/>
    </row>
    <row r="30">
      <c r="A30" s="15" t="n"/>
      <c r="B30" s="15" t="n"/>
      <c r="C30" s="15" t="n"/>
      <c r="D30" s="15" t="n"/>
      <c r="E30" s="15" t="n"/>
      <c r="F30" s="15">
        <f>IF(A30="","",IF(E30&lt;&gt;"",E30+D30,""))</f>
        <v/>
      </c>
      <c r="G30" s="15">
        <f>IF(A30="","",IF(F30&lt;&gt;"",F30-TODAY(),""))</f>
        <v/>
      </c>
      <c r="H30" s="15">
        <f>IF(A30="","",IF(G30="","",IF(G30&lt;0,"OVERDUE",IF(G30&lt;=30,"DUE SOON","CURRENT"))))</f>
        <v/>
      </c>
      <c r="I30" s="15" t="n"/>
      <c r="J30" s="15" t="n"/>
      <c r="K30" s="15" t="n"/>
      <c r="L30" s="15" t="n"/>
      <c r="M30" s="15" t="n"/>
      <c r="N30" s="15" t="n"/>
    </row>
    <row r="31">
      <c r="A31" s="15" t="n"/>
      <c r="B31" s="15" t="n"/>
      <c r="C31" s="15" t="n"/>
      <c r="D31" s="15" t="n"/>
      <c r="E31" s="15" t="n"/>
      <c r="F31" s="15">
        <f>IF(A31="","",IF(E31&lt;&gt;"",E31+D31,""))</f>
        <v/>
      </c>
      <c r="G31" s="15">
        <f>IF(A31="","",IF(F31&lt;&gt;"",F31-TODAY(),""))</f>
        <v/>
      </c>
      <c r="H31" s="15">
        <f>IF(A31="","",IF(G31="","",IF(G31&lt;0,"OVERDUE",IF(G31&lt;=30,"DUE SOON","CURRENT"))))</f>
        <v/>
      </c>
      <c r="I31" s="15" t="n"/>
      <c r="J31" s="15" t="n"/>
      <c r="K31" s="15" t="n"/>
      <c r="L31" s="15" t="n"/>
      <c r="M31" s="15" t="n"/>
      <c r="N31" s="15" t="n"/>
    </row>
    <row r="32">
      <c r="A32" s="15" t="n"/>
      <c r="B32" s="15" t="n"/>
      <c r="C32" s="15" t="n"/>
      <c r="D32" s="15" t="n"/>
      <c r="E32" s="15" t="n"/>
      <c r="F32" s="15">
        <f>IF(A32="","",IF(E32&lt;&gt;"",E32+D32,""))</f>
        <v/>
      </c>
      <c r="G32" s="15">
        <f>IF(A32="","",IF(F32&lt;&gt;"",F32-TODAY(),""))</f>
        <v/>
      </c>
      <c r="H32" s="15">
        <f>IF(A32="","",IF(G32="","",IF(G32&lt;0,"OVERDUE",IF(G32&lt;=30,"DUE SOON","CURRENT"))))</f>
        <v/>
      </c>
      <c r="I32" s="15" t="n"/>
      <c r="J32" s="15" t="n"/>
      <c r="K32" s="15" t="n"/>
      <c r="L32" s="15" t="n"/>
      <c r="M32" s="15" t="n"/>
      <c r="N32" s="15" t="n"/>
    </row>
    <row r="33">
      <c r="A33" s="15" t="n"/>
      <c r="B33" s="15" t="n"/>
      <c r="C33" s="15" t="n"/>
      <c r="D33" s="15" t="n"/>
      <c r="E33" s="15" t="n"/>
      <c r="F33" s="15">
        <f>IF(A33="","",IF(E33&lt;&gt;"",E33+D33,""))</f>
        <v/>
      </c>
      <c r="G33" s="15">
        <f>IF(A33="","",IF(F33&lt;&gt;"",F33-TODAY(),""))</f>
        <v/>
      </c>
      <c r="H33" s="15">
        <f>IF(A33="","",IF(G33="","",IF(G33&lt;0,"OVERDUE",IF(G33&lt;=30,"DUE SOON","CURRENT"))))</f>
        <v/>
      </c>
      <c r="I33" s="15" t="n"/>
      <c r="J33" s="15" t="n"/>
      <c r="K33" s="15" t="n"/>
      <c r="L33" s="15" t="n"/>
      <c r="M33" s="15" t="n"/>
      <c r="N33" s="15" t="n"/>
    </row>
    <row r="34">
      <c r="A34" s="15" t="n"/>
      <c r="B34" s="15" t="n"/>
      <c r="C34" s="15" t="n"/>
      <c r="D34" s="15" t="n"/>
      <c r="E34" s="15" t="n"/>
      <c r="F34" s="15">
        <f>IF(A34="","",IF(E34&lt;&gt;"",E34+D34,""))</f>
        <v/>
      </c>
      <c r="G34" s="15">
        <f>IF(A34="","",IF(F34&lt;&gt;"",F34-TODAY(),""))</f>
        <v/>
      </c>
      <c r="H34" s="15">
        <f>IF(A34="","",IF(G34="","",IF(G34&lt;0,"OVERDUE",IF(G34&lt;=30,"DUE SOON","CURRENT"))))</f>
        <v/>
      </c>
      <c r="I34" s="15" t="n"/>
      <c r="J34" s="15" t="n"/>
      <c r="K34" s="15" t="n"/>
      <c r="L34" s="15" t="n"/>
      <c r="M34" s="15" t="n"/>
      <c r="N34" s="15" t="n"/>
    </row>
    <row r="35">
      <c r="A35" s="15" t="n"/>
      <c r="B35" s="15" t="n"/>
      <c r="C35" s="15" t="n"/>
      <c r="D35" s="15" t="n"/>
      <c r="E35" s="15" t="n"/>
      <c r="F35" s="15">
        <f>IF(A35="","",IF(E35&lt;&gt;"",E35+D35,""))</f>
        <v/>
      </c>
      <c r="G35" s="15">
        <f>IF(A35="","",IF(F35&lt;&gt;"",F35-TODAY(),""))</f>
        <v/>
      </c>
      <c r="H35" s="15">
        <f>IF(A35="","",IF(G35="","",IF(G35&lt;0,"OVERDUE",IF(G35&lt;=30,"DUE SOON","CURRENT"))))</f>
        <v/>
      </c>
      <c r="I35" s="15" t="n"/>
      <c r="J35" s="15" t="n"/>
      <c r="K35" s="15" t="n"/>
      <c r="L35" s="15" t="n"/>
      <c r="M35" s="15" t="n"/>
      <c r="N35" s="15" t="n"/>
    </row>
    <row r="36">
      <c r="A36" s="15" t="n"/>
      <c r="B36" s="15" t="n"/>
      <c r="C36" s="15" t="n"/>
      <c r="D36" s="15" t="n"/>
      <c r="E36" s="15" t="n"/>
      <c r="F36" s="15">
        <f>IF(A36="","",IF(E36&lt;&gt;"",E36+D36,""))</f>
        <v/>
      </c>
      <c r="G36" s="15">
        <f>IF(A36="","",IF(F36&lt;&gt;"",F36-TODAY(),""))</f>
        <v/>
      </c>
      <c r="H36" s="15">
        <f>IF(A36="","",IF(G36="","",IF(G36&lt;0,"OVERDUE",IF(G36&lt;=30,"DUE SOON","CURRENT"))))</f>
        <v/>
      </c>
      <c r="I36" s="15" t="n"/>
      <c r="J36" s="15" t="n"/>
      <c r="K36" s="15" t="n"/>
      <c r="L36" s="15" t="n"/>
      <c r="M36" s="15" t="n"/>
      <c r="N36" s="15" t="n"/>
    </row>
    <row r="37">
      <c r="A37" s="15" t="n"/>
      <c r="B37" s="15" t="n"/>
      <c r="C37" s="15" t="n"/>
      <c r="D37" s="15" t="n"/>
      <c r="E37" s="15" t="n"/>
      <c r="F37" s="15">
        <f>IF(A37="","",IF(E37&lt;&gt;"",E37+D37,""))</f>
        <v/>
      </c>
      <c r="G37" s="15">
        <f>IF(A37="","",IF(F37&lt;&gt;"",F37-TODAY(),""))</f>
        <v/>
      </c>
      <c r="H37" s="15">
        <f>IF(A37="","",IF(G37="","",IF(G37&lt;0,"OVERDUE",IF(G37&lt;=30,"DUE SOON","CURRENT"))))</f>
        <v/>
      </c>
      <c r="I37" s="15" t="n"/>
      <c r="J37" s="15" t="n"/>
      <c r="K37" s="15" t="n"/>
      <c r="L37" s="15" t="n"/>
      <c r="M37" s="15" t="n"/>
      <c r="N37" s="15" t="n"/>
    </row>
    <row r="38">
      <c r="A38" s="15" t="n"/>
      <c r="B38" s="15" t="n"/>
      <c r="C38" s="15" t="n"/>
      <c r="D38" s="15" t="n"/>
      <c r="E38" s="15" t="n"/>
      <c r="F38" s="15">
        <f>IF(A38="","",IF(E38&lt;&gt;"",E38+D38,""))</f>
        <v/>
      </c>
      <c r="G38" s="15">
        <f>IF(A38="","",IF(F38&lt;&gt;"",F38-TODAY(),""))</f>
        <v/>
      </c>
      <c r="H38" s="15">
        <f>IF(A38="","",IF(G38="","",IF(G38&lt;0,"OVERDUE",IF(G38&lt;=30,"DUE SOON","CURRENT"))))</f>
        <v/>
      </c>
      <c r="I38" s="15" t="n"/>
      <c r="J38" s="15" t="n"/>
      <c r="K38" s="15" t="n"/>
      <c r="L38" s="15" t="n"/>
      <c r="M38" s="15" t="n"/>
      <c r="N38" s="15" t="n"/>
    </row>
    <row r="39">
      <c r="A39" s="15" t="n"/>
      <c r="B39" s="15" t="n"/>
      <c r="C39" s="15" t="n"/>
      <c r="D39" s="15" t="n"/>
      <c r="E39" s="15" t="n"/>
      <c r="F39" s="15">
        <f>IF(A39="","",IF(E39&lt;&gt;"",E39+D39,""))</f>
        <v/>
      </c>
      <c r="G39" s="15">
        <f>IF(A39="","",IF(F39&lt;&gt;"",F39-TODAY(),""))</f>
        <v/>
      </c>
      <c r="H39" s="15">
        <f>IF(A39="","",IF(G39="","",IF(G39&lt;0,"OVERDUE",IF(G39&lt;=30,"DUE SOON","CURRENT"))))</f>
        <v/>
      </c>
      <c r="I39" s="15" t="n"/>
      <c r="J39" s="15" t="n"/>
      <c r="K39" s="15" t="n"/>
      <c r="L39" s="15" t="n"/>
      <c r="M39" s="15" t="n"/>
      <c r="N39" s="15" t="n"/>
    </row>
    <row r="40">
      <c r="A40" s="15" t="n"/>
      <c r="B40" s="15" t="n"/>
      <c r="C40" s="15" t="n"/>
      <c r="D40" s="15" t="n"/>
      <c r="E40" s="15" t="n"/>
      <c r="F40" s="15">
        <f>IF(A40="","",IF(E40&lt;&gt;"",E40+D40,""))</f>
        <v/>
      </c>
      <c r="G40" s="15">
        <f>IF(A40="","",IF(F40&lt;&gt;"",F40-TODAY(),""))</f>
        <v/>
      </c>
      <c r="H40" s="15">
        <f>IF(A40="","",IF(G40="","",IF(G40&lt;0,"OVERDUE",IF(G40&lt;=30,"DUE SOON","CURRENT"))))</f>
        <v/>
      </c>
      <c r="I40" s="15" t="n"/>
      <c r="J40" s="15" t="n"/>
      <c r="K40" s="15" t="n"/>
      <c r="L40" s="15" t="n"/>
      <c r="M40" s="15" t="n"/>
      <c r="N40" s="15" t="n"/>
    </row>
    <row r="41">
      <c r="A41" s="15" t="n"/>
      <c r="B41" s="15" t="n"/>
      <c r="C41" s="15" t="n"/>
      <c r="D41" s="15" t="n"/>
      <c r="E41" s="15" t="n"/>
      <c r="F41" s="15">
        <f>IF(A41="","",IF(E41&lt;&gt;"",E41+D41,""))</f>
        <v/>
      </c>
      <c r="G41" s="15">
        <f>IF(A41="","",IF(F41&lt;&gt;"",F41-TODAY(),""))</f>
        <v/>
      </c>
      <c r="H41" s="15">
        <f>IF(A41="","",IF(G41="","",IF(G41&lt;0,"OVERDUE",IF(G41&lt;=30,"DUE SOON","CURRENT"))))</f>
        <v/>
      </c>
      <c r="I41" s="15" t="n"/>
      <c r="J41" s="15" t="n"/>
      <c r="K41" s="15" t="n"/>
      <c r="L41" s="15" t="n"/>
      <c r="M41" s="15" t="n"/>
      <c r="N41" s="15" t="n"/>
    </row>
    <row r="42">
      <c r="A42" s="15" t="n"/>
      <c r="B42" s="15" t="n"/>
      <c r="C42" s="15" t="n"/>
      <c r="D42" s="15" t="n"/>
      <c r="E42" s="15" t="n"/>
      <c r="F42" s="15">
        <f>IF(A42="","",IF(E42&lt;&gt;"",E42+D42,""))</f>
        <v/>
      </c>
      <c r="G42" s="15">
        <f>IF(A42="","",IF(F42&lt;&gt;"",F42-TODAY(),""))</f>
        <v/>
      </c>
      <c r="H42" s="15">
        <f>IF(A42="","",IF(G42="","",IF(G42&lt;0,"OVERDUE",IF(G42&lt;=30,"DUE SOON","CURRENT"))))</f>
        <v/>
      </c>
      <c r="I42" s="15" t="n"/>
      <c r="J42" s="15" t="n"/>
      <c r="K42" s="15" t="n"/>
      <c r="L42" s="15" t="n"/>
      <c r="M42" s="15" t="n"/>
      <c r="N42" s="15" t="n"/>
    </row>
    <row r="43">
      <c r="A43" s="15" t="n"/>
      <c r="B43" s="15" t="n"/>
      <c r="C43" s="15" t="n"/>
      <c r="D43" s="15" t="n"/>
      <c r="E43" s="15" t="n"/>
      <c r="F43" s="15">
        <f>IF(A43="","",IF(E43&lt;&gt;"",E43+D43,""))</f>
        <v/>
      </c>
      <c r="G43" s="15">
        <f>IF(A43="","",IF(F43&lt;&gt;"",F43-TODAY(),""))</f>
        <v/>
      </c>
      <c r="H43" s="15">
        <f>IF(A43="","",IF(G43="","",IF(G43&lt;0,"OVERDUE",IF(G43&lt;=30,"DUE SOON","CURRENT"))))</f>
        <v/>
      </c>
      <c r="I43" s="15" t="n"/>
      <c r="J43" s="15" t="n"/>
      <c r="K43" s="15" t="n"/>
      <c r="L43" s="15" t="n"/>
      <c r="M43" s="15" t="n"/>
      <c r="N43" s="15" t="n"/>
    </row>
    <row r="44">
      <c r="A44" s="15" t="n"/>
      <c r="B44" s="15" t="n"/>
      <c r="C44" s="15" t="n"/>
      <c r="D44" s="15" t="n"/>
      <c r="E44" s="15" t="n"/>
      <c r="F44" s="15">
        <f>IF(A44="","",IF(E44&lt;&gt;"",E44+D44,""))</f>
        <v/>
      </c>
      <c r="G44" s="15">
        <f>IF(A44="","",IF(F44&lt;&gt;"",F44-TODAY(),""))</f>
        <v/>
      </c>
      <c r="H44" s="15">
        <f>IF(A44="","",IF(G44="","",IF(G44&lt;0,"OVERDUE",IF(G44&lt;=30,"DUE SOON","CURRENT"))))</f>
        <v/>
      </c>
      <c r="I44" s="15" t="n"/>
      <c r="J44" s="15" t="n"/>
      <c r="K44" s="15" t="n"/>
      <c r="L44" s="15" t="n"/>
      <c r="M44" s="15" t="n"/>
      <c r="N44" s="15" t="n"/>
    </row>
    <row r="45">
      <c r="A45" s="15" t="n"/>
      <c r="B45" s="15" t="n"/>
      <c r="C45" s="15" t="n"/>
      <c r="D45" s="15" t="n"/>
      <c r="E45" s="15" t="n"/>
      <c r="F45" s="15">
        <f>IF(A45="","",IF(E45&lt;&gt;"",E45+D45,""))</f>
        <v/>
      </c>
      <c r="G45" s="15">
        <f>IF(A45="","",IF(F45&lt;&gt;"",F45-TODAY(),""))</f>
        <v/>
      </c>
      <c r="H45" s="15">
        <f>IF(A45="","",IF(G45="","",IF(G45&lt;0,"OVERDUE",IF(G45&lt;=30,"DUE SOON","CURRENT"))))</f>
        <v/>
      </c>
      <c r="I45" s="15" t="n"/>
      <c r="J45" s="15" t="n"/>
      <c r="K45" s="15" t="n"/>
      <c r="L45" s="15" t="n"/>
      <c r="M45" s="15" t="n"/>
      <c r="N45" s="15" t="n"/>
    </row>
    <row r="46">
      <c r="A46" s="15" t="n"/>
      <c r="B46" s="15" t="n"/>
      <c r="C46" s="15" t="n"/>
      <c r="D46" s="15" t="n"/>
      <c r="E46" s="15" t="n"/>
      <c r="F46" s="15">
        <f>IF(A46="","",IF(E46&lt;&gt;"",E46+D46,""))</f>
        <v/>
      </c>
      <c r="G46" s="15">
        <f>IF(A46="","",IF(F46&lt;&gt;"",F46-TODAY(),""))</f>
        <v/>
      </c>
      <c r="H46" s="15">
        <f>IF(A46="","",IF(G46="","",IF(G46&lt;0,"OVERDUE",IF(G46&lt;=30,"DUE SOON","CURRENT"))))</f>
        <v/>
      </c>
      <c r="I46" s="15" t="n"/>
      <c r="J46" s="15" t="n"/>
      <c r="K46" s="15" t="n"/>
      <c r="L46" s="15" t="n"/>
      <c r="M46" s="15" t="n"/>
      <c r="N46" s="15" t="n"/>
    </row>
    <row r="47">
      <c r="A47" s="15" t="n"/>
      <c r="B47" s="15" t="n"/>
      <c r="C47" s="15" t="n"/>
      <c r="D47" s="15" t="n"/>
      <c r="E47" s="15" t="n"/>
      <c r="F47" s="15">
        <f>IF(A47="","",IF(E47&lt;&gt;"",E47+D47,""))</f>
        <v/>
      </c>
      <c r="G47" s="15">
        <f>IF(A47="","",IF(F47&lt;&gt;"",F47-TODAY(),""))</f>
        <v/>
      </c>
      <c r="H47" s="15">
        <f>IF(A47="","",IF(G47="","",IF(G47&lt;0,"OVERDUE",IF(G47&lt;=30,"DUE SOON","CURRENT"))))</f>
        <v/>
      </c>
      <c r="I47" s="15" t="n"/>
      <c r="J47" s="15" t="n"/>
      <c r="K47" s="15" t="n"/>
      <c r="L47" s="15" t="n"/>
      <c r="M47" s="15" t="n"/>
      <c r="N47" s="15" t="n"/>
    </row>
    <row r="48">
      <c r="A48" s="15" t="n"/>
      <c r="B48" s="15" t="n"/>
      <c r="C48" s="15" t="n"/>
      <c r="D48" s="15" t="n"/>
      <c r="E48" s="15" t="n"/>
      <c r="F48" s="15">
        <f>IF(A48="","",IF(E48&lt;&gt;"",E48+D48,""))</f>
        <v/>
      </c>
      <c r="G48" s="15">
        <f>IF(A48="","",IF(F48&lt;&gt;"",F48-TODAY(),""))</f>
        <v/>
      </c>
      <c r="H48" s="15">
        <f>IF(A48="","",IF(G48="","",IF(G48&lt;0,"OVERDUE",IF(G48&lt;=30,"DUE SOON","CURRENT"))))</f>
        <v/>
      </c>
      <c r="I48" s="15" t="n"/>
      <c r="J48" s="15" t="n"/>
      <c r="K48" s="15" t="n"/>
      <c r="L48" s="15" t="n"/>
      <c r="M48" s="15" t="n"/>
      <c r="N48" s="15" t="n"/>
    </row>
    <row r="49">
      <c r="A49" s="15" t="n"/>
      <c r="B49" s="15" t="n"/>
      <c r="C49" s="15" t="n"/>
      <c r="D49" s="15" t="n"/>
      <c r="E49" s="15" t="n"/>
      <c r="F49" s="15">
        <f>IF(A49="","",IF(E49&lt;&gt;"",E49+D49,""))</f>
        <v/>
      </c>
      <c r="G49" s="15">
        <f>IF(A49="","",IF(F49&lt;&gt;"",F49-TODAY(),""))</f>
        <v/>
      </c>
      <c r="H49" s="15">
        <f>IF(A49="","",IF(G49="","",IF(G49&lt;0,"OVERDUE",IF(G49&lt;=30,"DUE SOON","CURRENT"))))</f>
        <v/>
      </c>
      <c r="I49" s="15" t="n"/>
      <c r="J49" s="15" t="n"/>
      <c r="K49" s="15" t="n"/>
      <c r="L49" s="15" t="n"/>
      <c r="M49" s="15" t="n"/>
      <c r="N49" s="15" t="n"/>
    </row>
    <row r="50">
      <c r="A50" s="15" t="n"/>
      <c r="B50" s="15" t="n"/>
      <c r="C50" s="15" t="n"/>
      <c r="D50" s="15" t="n"/>
      <c r="E50" s="15" t="n"/>
      <c r="F50" s="15">
        <f>IF(A50="","",IF(E50&lt;&gt;"",E50+D50,""))</f>
        <v/>
      </c>
      <c r="G50" s="15">
        <f>IF(A50="","",IF(F50&lt;&gt;"",F50-TODAY(),""))</f>
        <v/>
      </c>
      <c r="H50" s="15">
        <f>IF(A50="","",IF(G50="","",IF(G50&lt;0,"OVERDUE",IF(G50&lt;=30,"DUE SOON","CURRENT"))))</f>
        <v/>
      </c>
      <c r="I50" s="15" t="n"/>
      <c r="J50" s="15" t="n"/>
      <c r="K50" s="15" t="n"/>
      <c r="L50" s="15" t="n"/>
      <c r="M50" s="15" t="n"/>
      <c r="N50" s="15" t="n"/>
    </row>
    <row r="51">
      <c r="A51" s="15" t="n"/>
      <c r="B51" s="15" t="n"/>
      <c r="C51" s="15" t="n"/>
      <c r="D51" s="15" t="n"/>
      <c r="E51" s="15" t="n"/>
      <c r="F51" s="15">
        <f>IF(A51="","",IF(E51&lt;&gt;"",E51+D51,""))</f>
        <v/>
      </c>
      <c r="G51" s="15">
        <f>IF(A51="","",IF(F51&lt;&gt;"",F51-TODAY(),""))</f>
        <v/>
      </c>
      <c r="H51" s="15">
        <f>IF(A51="","",IF(G51="","",IF(G51&lt;0,"OVERDUE",IF(G51&lt;=30,"DUE SOON","CURRENT"))))</f>
        <v/>
      </c>
      <c r="I51" s="15" t="n"/>
      <c r="J51" s="15" t="n"/>
      <c r="K51" s="15" t="n"/>
      <c r="L51" s="15" t="n"/>
      <c r="M51" s="15" t="n"/>
      <c r="N51" s="15" t="n"/>
    </row>
    <row r="52">
      <c r="A52" s="15" t="n"/>
      <c r="B52" s="15" t="n"/>
      <c r="C52" s="15" t="n"/>
      <c r="D52" s="15" t="n"/>
      <c r="E52" s="15" t="n"/>
      <c r="F52" s="15">
        <f>IF(A52="","",IF(E52&lt;&gt;"",E52+D52,""))</f>
        <v/>
      </c>
      <c r="G52" s="15">
        <f>IF(A52="","",IF(F52&lt;&gt;"",F52-TODAY(),""))</f>
        <v/>
      </c>
      <c r="H52" s="15">
        <f>IF(A52="","",IF(G52="","",IF(G52&lt;0,"OVERDUE",IF(G52&lt;=30,"DUE SOON","CURRENT"))))</f>
        <v/>
      </c>
      <c r="I52" s="15" t="n"/>
      <c r="J52" s="15" t="n"/>
      <c r="K52" s="15" t="n"/>
      <c r="L52" s="15" t="n"/>
      <c r="M52" s="15" t="n"/>
      <c r="N52" s="15" t="n"/>
    </row>
    <row r="53">
      <c r="A53" s="15" t="n"/>
      <c r="B53" s="15" t="n"/>
      <c r="C53" s="15" t="n"/>
      <c r="D53" s="15" t="n"/>
      <c r="E53" s="15" t="n"/>
      <c r="F53" s="15">
        <f>IF(A53="","",IF(E53&lt;&gt;"",E53+D53,""))</f>
        <v/>
      </c>
      <c r="G53" s="15">
        <f>IF(A53="","",IF(F53&lt;&gt;"",F53-TODAY(),""))</f>
        <v/>
      </c>
      <c r="H53" s="15">
        <f>IF(A53="","",IF(G53="","",IF(G53&lt;0,"OVERDUE",IF(G53&lt;=30,"DUE SOON","CURRENT"))))</f>
        <v/>
      </c>
      <c r="I53" s="15" t="n"/>
      <c r="J53" s="15" t="n"/>
      <c r="K53" s="15" t="n"/>
      <c r="L53" s="15" t="n"/>
      <c r="M53" s="15" t="n"/>
      <c r="N53" s="15" t="n"/>
    </row>
    <row r="54">
      <c r="A54" s="15" t="n"/>
      <c r="B54" s="15" t="n"/>
      <c r="C54" s="15" t="n"/>
      <c r="D54" s="15" t="n"/>
      <c r="E54" s="15" t="n"/>
      <c r="F54" s="15">
        <f>IF(A54="","",IF(E54&lt;&gt;"",E54+D54,""))</f>
        <v/>
      </c>
      <c r="G54" s="15">
        <f>IF(A54="","",IF(F54&lt;&gt;"",F54-TODAY(),""))</f>
        <v/>
      </c>
      <c r="H54" s="15">
        <f>IF(A54="","",IF(G54="","",IF(G54&lt;0,"OVERDUE",IF(G54&lt;=30,"DUE SOON","CURRENT"))))</f>
        <v/>
      </c>
      <c r="I54" s="15" t="n"/>
      <c r="J54" s="15" t="n"/>
      <c r="K54" s="15" t="n"/>
      <c r="L54" s="15" t="n"/>
      <c r="M54" s="15" t="n"/>
      <c r="N54" s="15" t="n"/>
    </row>
  </sheetData>
  <mergeCells count="2">
    <mergeCell ref="A2:N2"/>
    <mergeCell ref="A1:N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"Current - No Changes,Minor Updates,Major Updates,Obsolete,Superseded"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8" customWidth="1" min="5" max="5"/>
    <col width="18" customWidth="1" min="6" max="6"/>
    <col width="40" customWidth="1" min="7" max="7"/>
    <col width="35" customWidth="1" min="8" max="8"/>
    <col width="35" customWidth="1" min="9" max="9"/>
    <col width="16" customWidth="1" min="10" max="10"/>
    <col width="22" customWidth="1" min="11" max="11"/>
    <col width="14" customWidth="1" min="12" max="12"/>
    <col width="16" customWidth="1" min="13" max="13"/>
    <col width="30" customWidth="1" min="14" max="14"/>
  </cols>
  <sheetData>
    <row r="1" ht="35" customHeight="1">
      <c r="A1" s="11" t="inlineStr">
        <is>
          <t>CHANGE REQUESTS</t>
        </is>
      </c>
    </row>
    <row r="2">
      <c r="A2" s="12" t="inlineStr">
        <is>
          <t>Record all change requests for operating procedures — track approval, implementation and verification</t>
        </is>
      </c>
    </row>
    <row r="3">
      <c r="A3" s="13" t="inlineStr">
        <is>
          <t>CR ID</t>
        </is>
      </c>
      <c r="B3" s="13" t="inlineStr">
        <is>
          <t>Procedure ID</t>
        </is>
      </c>
      <c r="C3" s="13" t="inlineStr">
        <is>
          <t>Request Date</t>
        </is>
      </c>
      <c r="D3" s="13" t="inlineStr">
        <is>
          <t>Requestor</t>
        </is>
      </c>
      <c r="E3" s="13" t="inlineStr">
        <is>
          <t>Change Category</t>
        </is>
      </c>
      <c r="F3" s="13" t="inlineStr">
        <is>
          <t>Trigger</t>
        </is>
      </c>
      <c r="G3" s="13" t="inlineStr">
        <is>
          <t>Description</t>
        </is>
      </c>
      <c r="H3" s="13" t="inlineStr">
        <is>
          <t>Justification</t>
        </is>
      </c>
      <c r="I3" s="13" t="inlineStr">
        <is>
          <t>Impact Assessment</t>
        </is>
      </c>
      <c r="J3" s="13" t="inlineStr">
        <is>
          <t>Status</t>
        </is>
      </c>
      <c r="K3" s="13" t="inlineStr">
        <is>
          <t>Approver</t>
        </is>
      </c>
      <c r="L3" s="13" t="inlineStr">
        <is>
          <t>Approval Date</t>
        </is>
      </c>
      <c r="M3" s="13" t="inlineStr">
        <is>
          <t>Implementation Date</t>
        </is>
      </c>
      <c r="N3" s="13" t="inlineStr">
        <is>
          <t>Verification</t>
        </is>
      </c>
    </row>
    <row r="4">
      <c r="A4" s="14" t="inlineStr">
        <is>
          <t>CR-001</t>
        </is>
      </c>
      <c r="B4" s="14" t="inlineStr">
        <is>
          <t>PROC-001</t>
        </is>
      </c>
      <c r="C4" s="14" t="inlineStr">
        <is>
          <t>01.02.2026</t>
        </is>
      </c>
      <c r="D4" s="14" t="inlineStr">
        <is>
          <t>IT Operations Manager</t>
        </is>
      </c>
      <c r="E4" s="14" t="inlineStr">
        <is>
          <t>Minor</t>
        </is>
      </c>
      <c r="F4" s="14" t="inlineStr">
        <is>
          <t>Scheduled Review</t>
        </is>
      </c>
      <c r="G4" s="14" t="inlineStr">
        <is>
          <t>Update contact information in section 2.3</t>
        </is>
      </c>
      <c r="H4" s="14" t="inlineStr">
        <is>
          <t>Annual review identified outdated contact details</t>
        </is>
      </c>
      <c r="I4" s="14" t="inlineStr">
        <is>
          <t>Low impact — contact info only</t>
        </is>
      </c>
      <c r="J4" s="14" t="inlineStr">
        <is>
          <t>Approved</t>
        </is>
      </c>
      <c r="K4" s="14" t="inlineStr">
        <is>
          <t>IT Security Manager</t>
        </is>
      </c>
      <c r="L4" s="14" t="inlineStr">
        <is>
          <t>05.02.2026</t>
        </is>
      </c>
      <c r="M4" s="14" t="inlineStr">
        <is>
          <t>10.02.2026</t>
        </is>
      </c>
      <c r="N4" s="14" t="inlineStr">
        <is>
          <t>Version 1.3 published</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"Administrative,Minor,Major,Emergency"</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"Scheduled Review,System Change,Incident Related,Regulatory Change,Audit Finding,Personnel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"Submitted,Under Review,Approved,Rejected,Implemented"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14" customWidth="1" min="4" max="4"/>
    <col width="50" customWidth="1" min="5" max="5"/>
    <col width="20" customWidth="1" min="6" max="6"/>
    <col width="25" customWidth="1" min="7" max="7"/>
    <col width="16" customWidth="1" min="8" max="8"/>
  </cols>
  <sheetData>
    <row r="1" ht="35" customHeight="1">
      <c r="A1" s="11" t="inlineStr">
        <is>
          <t>VERSION HISTORY</t>
        </is>
      </c>
    </row>
    <row r="2">
      <c r="A2" s="12" t="inlineStr">
        <is>
          <t>Track all procedure version changes — maintain a complete audit trail of document evolution</t>
        </is>
      </c>
    </row>
    <row r="3">
      <c r="A3" s="13" t="inlineStr">
        <is>
          <t>Procedure ID</t>
        </is>
      </c>
      <c r="B3" s="13" t="inlineStr">
        <is>
          <t>Version</t>
        </is>
      </c>
      <c r="C3" s="13" t="inlineStr">
        <is>
          <t>Effective Date</t>
        </is>
      </c>
      <c r="D3" s="13" t="inlineStr">
        <is>
          <t>Supersedes</t>
        </is>
      </c>
      <c r="E3" s="13" t="inlineStr">
        <is>
          <t>Change Summary</t>
        </is>
      </c>
      <c r="F3" s="13" t="inlineStr">
        <is>
          <t>CR Reference</t>
        </is>
      </c>
      <c r="G3" s="13" t="inlineStr">
        <is>
          <t>Approved By</t>
        </is>
      </c>
      <c r="H3" s="13" t="inlineStr">
        <is>
          <t>Status</t>
        </is>
      </c>
    </row>
    <row r="4">
      <c r="A4" s="14" t="inlineStr">
        <is>
          <t>PROC-001</t>
        </is>
      </c>
      <c r="B4" s="14" t="inlineStr">
        <is>
          <t>v1.3</t>
        </is>
      </c>
      <c r="C4" s="14" t="inlineStr">
        <is>
          <t>10.02.2026</t>
        </is>
      </c>
      <c r="D4" s="14" t="inlineStr">
        <is>
          <t>v1.2</t>
        </is>
      </c>
      <c r="E4" s="14" t="inlineStr">
        <is>
          <t>Updated contact information in section 2.3</t>
        </is>
      </c>
      <c r="F4" s="14" t="inlineStr">
        <is>
          <t>CR-001</t>
        </is>
      </c>
      <c r="G4" s="14" t="inlineStr">
        <is>
          <t>IT Security Manager</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"Active,Superseded,Archived"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2" customWidth="1" min="3" max="3"/>
    <col width="18" customWidth="1" min="4" max="4"/>
    <col width="20" customWidth="1" min="5" max="5"/>
    <col width="30" customWidth="1" min="6" max="6"/>
    <col width="22" customWidth="1" min="7" max="7"/>
    <col width="18" customWidth="1" min="8" max="8"/>
    <col width="16" customWidth="1" min="9" max="9"/>
    <col width="18" customWidth="1" min="10" max="10"/>
  </cols>
  <sheetData>
    <row r="1" ht="35" customHeight="1">
      <c r="A1" s="11" t="inlineStr">
        <is>
          <t>COMMUNICATION LOG</t>
        </is>
      </c>
    </row>
    <row r="2">
      <c r="A2" s="12" t="inlineStr">
        <is>
          <t>Record all communications about procedure updates — track acknowledgements and training requirements</t>
        </is>
      </c>
    </row>
    <row r="3">
      <c r="A3" s="13" t="inlineStr">
        <is>
          <t>Comm ID</t>
        </is>
      </c>
      <c r="B3" s="13" t="inlineStr">
        <is>
          <t>Procedure ID</t>
        </is>
      </c>
      <c r="C3" s="13" t="inlineStr">
        <is>
          <t>Version</t>
        </is>
      </c>
      <c r="D3" s="13" t="inlineStr">
        <is>
          <t>Communication Date</t>
        </is>
      </c>
      <c r="E3" s="13" t="inlineStr">
        <is>
          <t>Communication Method</t>
        </is>
      </c>
      <c r="F3" s="13" t="inlineStr">
        <is>
          <t>Audience</t>
        </is>
      </c>
      <c r="G3" s="13" t="inlineStr">
        <is>
          <t>Acknowledgement Required</t>
        </is>
      </c>
      <c r="H3" s="13" t="inlineStr">
        <is>
          <t>Acknowledgement Rate</t>
        </is>
      </c>
      <c r="I3" s="13" t="inlineStr">
        <is>
          <t>Training Required</t>
        </is>
      </c>
      <c r="J3" s="13" t="inlineStr">
        <is>
          <t>Training Completion</t>
        </is>
      </c>
    </row>
    <row r="4">
      <c r="A4" s="14" t="inlineStr">
        <is>
          <t>COMM-001</t>
        </is>
      </c>
      <c r="B4" s="14" t="inlineStr">
        <is>
          <t>PROC-001</t>
        </is>
      </c>
      <c r="C4" s="14" t="inlineStr">
        <is>
          <t>v1.3</t>
        </is>
      </c>
      <c r="D4" s="14" t="inlineStr">
        <is>
          <t>12.02.2026</t>
        </is>
      </c>
      <c r="E4" s="14" t="inlineStr">
        <is>
          <t>Email</t>
        </is>
      </c>
      <c r="F4" s="14" t="inlineStr">
        <is>
          <t>IT Operations Team</t>
        </is>
      </c>
      <c r="G4" s="14" t="inlineStr">
        <is>
          <t>Yes</t>
        </is>
      </c>
      <c r="H4" s="14" t="inlineStr">
        <is>
          <t>85%</t>
        </is>
      </c>
      <c r="I4" s="14" t="inlineStr">
        <is>
          <t>No</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"Email,Intranet,Meeting,Training"</formula1>
    </dataValidation>
    <dataValidation sqref="G5 G6 G7 G8 G9 G10 G11 G12 G13 G14 G15 G16 G17 G18 G19 G20 G21 G22 G23 G24 G25 G26 G27 G28 G29 G30 G31 G32 G33 G34 G35 G36 G37 G38 G39 G40 G41 G42 G43 G44 G45 G46 G47 G48 G49 G50 G51 G52 G53 G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6" customWidth="1" min="3" max="3"/>
    <col width="30" customWidth="1" min="4" max="4"/>
    <col width="16" customWidth="1" min="5" max="5"/>
    <col width="18" customWidth="1" min="6" max="6"/>
    <col width="16" customWidth="1" min="7" max="7"/>
    <col width="40" customWidth="1" min="8" max="8"/>
  </cols>
  <sheetData>
    <row r="1" ht="35" customHeight="1">
      <c r="A1" s="11" t="inlineStr">
        <is>
          <t>OVERDUE ESCALATION</t>
        </is>
      </c>
    </row>
    <row r="2">
      <c r="A2" s="12" t="inlineStr">
        <is>
          <t>Track escalations for procedures with overdue reviews — assign escalation levels and record resolutions</t>
        </is>
      </c>
    </row>
    <row r="3">
      <c r="A3" s="13" t="inlineStr">
        <is>
          <t>Procedure ID</t>
        </is>
      </c>
      <c r="B3" s="13" t="inlineStr">
        <is>
          <t>Days Overdue</t>
        </is>
      </c>
      <c r="C3" s="13" t="inlineStr">
        <is>
          <t>Escalation Level</t>
        </is>
      </c>
      <c r="D3" s="13" t="inlineStr">
        <is>
          <t>Escalated To</t>
        </is>
      </c>
      <c r="E3" s="13" t="inlineStr">
        <is>
          <t>Escalation Date</t>
        </is>
      </c>
      <c r="F3" s="13" t="inlineStr">
        <is>
          <t>Response Required By</t>
        </is>
      </c>
      <c r="G3" s="13" t="inlineStr">
        <is>
          <t>Status</t>
        </is>
      </c>
      <c r="H3" s="13" t="inlineStr">
        <is>
          <t>Resolution</t>
        </is>
      </c>
    </row>
    <row r="4">
      <c r="A4" s="14" t="inlineStr">
        <is>
          <t>PROC-007</t>
        </is>
      </c>
      <c r="B4" s="14" t="n">
        <v>45</v>
      </c>
      <c r="C4" s="14" t="inlineStr">
        <is>
          <t>L2</t>
        </is>
      </c>
      <c r="D4" s="14" t="inlineStr">
        <is>
          <t>IT Security Manager</t>
        </is>
      </c>
      <c r="E4" s="14" t="inlineStr">
        <is>
          <t>10.02.2026</t>
        </is>
      </c>
      <c r="F4" s="14" t="inlineStr">
        <is>
          <t>17.02.2026</t>
        </is>
      </c>
      <c r="G4" s="14" t="inlineStr">
        <is>
          <t>Open</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"L1,L2,L3"</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"Open,Acknowledged,Resolved"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Review Schedule</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REVIEW AND UPDATE TRACKING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Review Schedule</t>
        </is>
      </c>
      <c r="B6" s="28">
        <f>COUNTA('Review Schedule'!B5:B54)</f>
        <v/>
      </c>
      <c r="C6" s="28">
        <f>COUNTIF('Review Schedule'!H5:H54,"CURRENT")</f>
        <v/>
      </c>
      <c r="D6" s="28">
        <f>COUNTIF('Review Schedule'!H5:H54,"DUE SOON")</f>
        <v/>
      </c>
      <c r="E6" s="28">
        <f>COUNTIF('Review Schedule'!H5:H54,"OVERDUE")</f>
        <v/>
      </c>
      <c r="F6" s="28">
        <f>0</f>
        <v/>
      </c>
      <c r="G6" s="29">
        <f>IFERROR(IF((B6-F6)=0,0,C6/(B6-F6)),"")</f>
        <v/>
      </c>
    </row>
    <row r="7">
      <c r="A7" s="27" t="inlineStr">
        <is>
          <t>Change Requests</t>
        </is>
      </c>
      <c r="B7" s="28">
        <f>COUNTA('Change Requests'!B5:B54)</f>
        <v/>
      </c>
      <c r="C7" s="28">
        <f>COUNTIF('Change Requests'!J5:J54,"Implemented")+COUNTIF('Change Requests'!J5:J54,"Approved")</f>
        <v/>
      </c>
      <c r="D7" s="28">
        <f>COUNTIF('Change Requests'!J5:J54,"Under Review")+COUNTIF('Change Requests'!J5:J54,"Submitted")</f>
        <v/>
      </c>
      <c r="E7" s="28">
        <f>COUNTIF('Change Requests'!J5:J54,"Rejected")</f>
        <v/>
      </c>
      <c r="F7" s="28">
        <f>0</f>
        <v/>
      </c>
      <c r="G7" s="29">
        <f>IFERROR(IF((B7-F7)=0,0,C7/(B7-F7)),"")</f>
        <v/>
      </c>
    </row>
    <row r="8">
      <c r="A8" s="27" t="inlineStr">
        <is>
          <t>Version History</t>
        </is>
      </c>
      <c r="B8" s="28">
        <f>COUNTA('Version History'!A5:A54)</f>
        <v/>
      </c>
      <c r="C8" s="28">
        <f>COUNTIF('Version History'!H5:H54,"Active")</f>
        <v/>
      </c>
      <c r="D8" s="28">
        <f>COUNTIF('Version History'!H5:H54,"Superseded")</f>
        <v/>
      </c>
      <c r="E8" s="28">
        <f>COUNTIF('Version History'!H5:H54,"Archived")</f>
        <v/>
      </c>
      <c r="F8" s="28">
        <f>0</f>
        <v/>
      </c>
      <c r="G8" s="29">
        <f>IFERROR(IF((B8-F8)=0,0,C8/(B8-F8)),"")</f>
        <v/>
      </c>
    </row>
    <row r="9">
      <c r="A9" s="27" t="inlineStr">
        <is>
          <t>Communication Log</t>
        </is>
      </c>
      <c r="B9" s="28">
        <f>COUNTA('Communication Log'!B5:B54)</f>
        <v/>
      </c>
      <c r="C9" s="28">
        <f>COUNTIF('Communication Log'!G5:G54,"Yes")</f>
        <v/>
      </c>
      <c r="D9" s="28">
        <f>0</f>
        <v/>
      </c>
      <c r="E9" s="28">
        <f>COUNTIF('Communication Log'!G5:G54,"No")</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 Review Schedule</t>
        </is>
      </c>
      <c r="B14" s="28">
        <f>COUNTA('Review Schedule'!B5:B54)</f>
        <v/>
      </c>
      <c r="C14" s="23" t="n"/>
      <c r="D14" s="23" t="n"/>
      <c r="E14" s="23" t="n"/>
      <c r="F14" s="23" t="n"/>
      <c r="G14" s="23" t="n"/>
    </row>
    <row r="15">
      <c r="A15" s="27" t="inlineStr">
        <is>
          <t>Procedures with CURRENT Status</t>
        </is>
      </c>
      <c r="B15" s="28">
        <f>COUNTIF('Review Schedule'!H5:H54,"CURRENT")</f>
        <v/>
      </c>
      <c r="C15" s="23" t="n"/>
      <c r="D15" s="23" t="n"/>
      <c r="E15" s="23" t="n"/>
      <c r="F15" s="23" t="n"/>
      <c r="G15" s="23" t="n"/>
    </row>
    <row r="16">
      <c r="A16" s="27" t="inlineStr">
        <is>
          <t>Procedures Due for Review (DUE SOON)</t>
        </is>
      </c>
      <c r="B16" s="28">
        <f>COUNTIF('Review Schedule'!H5:H54,"DUE SOON")</f>
        <v/>
      </c>
      <c r="C16" s="23" t="n"/>
      <c r="D16" s="23" t="n"/>
      <c r="E16" s="23" t="n"/>
      <c r="F16" s="23" t="n"/>
      <c r="G16" s="23" t="n"/>
    </row>
    <row r="17">
      <c r="A17" s="27" t="inlineStr">
        <is>
          <t>Overdue Procedures (Missed Review)</t>
        </is>
      </c>
      <c r="B17" s="28">
        <f>COUNTIF('Review Schedule'!H5:H54,"OVERDUE")</f>
        <v/>
      </c>
      <c r="C17" s="23" t="n"/>
      <c r="D17" s="23" t="n"/>
      <c r="E17" s="23" t="n"/>
      <c r="F17" s="23" t="n"/>
      <c r="G17" s="23" t="n"/>
    </row>
    <row r="18">
      <c r="A18" s="27" t="inlineStr">
        <is>
          <t>Critical Procedures Tracked</t>
        </is>
      </c>
      <c r="B18" s="28">
        <f>COUNTIF('Review Schedule'!C5:C54,"Critical")</f>
        <v/>
      </c>
      <c r="C18" s="23" t="n"/>
      <c r="D18" s="23" t="n"/>
      <c r="E18" s="23" t="n"/>
      <c r="F18" s="23" t="n"/>
      <c r="G18" s="23" t="n"/>
    </row>
    <row r="19">
      <c r="A19" s="27" t="inlineStr">
        <is>
          <t>Reviews with Major Updates</t>
        </is>
      </c>
      <c r="B19" s="28">
        <f>COUNTIF('Review Schedule'!L5:L54,"Major Updates")</f>
        <v/>
      </c>
      <c r="C19" s="23" t="n"/>
      <c r="D19" s="23" t="n"/>
      <c r="E19" s="23" t="n"/>
      <c r="F19" s="23" t="n"/>
      <c r="G19" s="23" t="n"/>
    </row>
    <row r="20">
      <c r="A20" s="27" t="inlineStr">
        <is>
          <t>Obsolete Procedures Identified</t>
        </is>
      </c>
      <c r="B20" s="28">
        <f>COUNTIF('Review Schedule'!L5:L54,"Obsolete")</f>
        <v/>
      </c>
      <c r="C20" s="23" t="n"/>
      <c r="D20" s="23" t="n"/>
      <c r="E20" s="23" t="n"/>
      <c r="F20" s="23" t="n"/>
      <c r="G20" s="23" t="n"/>
    </row>
    <row r="21">
      <c r="A21" s="27" t="inlineStr">
        <is>
          <t>Total Change Requests</t>
        </is>
      </c>
      <c r="B21" s="28">
        <f>COUNTA('Change Requests'!B5:B54)</f>
        <v/>
      </c>
      <c r="C21" s="23" t="n"/>
      <c r="D21" s="23" t="n"/>
      <c r="E21" s="23" t="n"/>
      <c r="F21" s="23" t="n"/>
      <c r="G21" s="23" t="n"/>
    </row>
    <row r="22">
      <c r="A22" s="27" t="inlineStr">
        <is>
          <t>Emergency Change Requests</t>
        </is>
      </c>
      <c r="B22" s="28">
        <f>COUNTIF('Change Requests'!E5:E54,"Emergency")</f>
        <v/>
      </c>
      <c r="C22" s="23" t="n"/>
      <c r="D22" s="23" t="n"/>
      <c r="E22" s="23" t="n"/>
      <c r="F22" s="23" t="n"/>
      <c r="G22" s="23" t="n"/>
    </row>
    <row r="23">
      <c r="A23" s="27" t="inlineStr">
        <is>
          <t>Major Changes</t>
        </is>
      </c>
      <c r="B23" s="28">
        <f>COUNTIF('Change Requests'!E5:E54,"Major")</f>
        <v/>
      </c>
      <c r="C23" s="23" t="n"/>
      <c r="D23" s="23" t="n"/>
      <c r="E23" s="23" t="n"/>
      <c r="F23" s="23" t="n"/>
      <c r="G23" s="23" t="n"/>
    </row>
    <row r="24">
      <c r="A24" s="27" t="inlineStr">
        <is>
          <t>Incident-Related Changes</t>
        </is>
      </c>
      <c r="B24" s="28">
        <f>COUNTIF('Change Requests'!F5:F54,"Incident Related")</f>
        <v/>
      </c>
      <c r="C24" s="23" t="n"/>
      <c r="D24" s="23" t="n"/>
      <c r="E24" s="23" t="n"/>
      <c r="F24" s="23" t="n"/>
      <c r="G24" s="23" t="n"/>
    </row>
    <row r="25">
      <c r="A25" s="27" t="inlineStr">
        <is>
          <t>Implemented Changes</t>
        </is>
      </c>
      <c r="B25" s="28">
        <f>COUNTIF('Change Requests'!J5:J54,"Implemented")</f>
        <v/>
      </c>
      <c r="C25" s="23" t="n"/>
      <c r="D25" s="23" t="n"/>
      <c r="E25" s="23" t="n"/>
      <c r="F25" s="23" t="n"/>
      <c r="G25" s="23" t="n"/>
    </row>
    <row r="26">
      <c r="A26" s="27" t="inlineStr">
        <is>
          <t>Rejected Changes</t>
        </is>
      </c>
      <c r="B26" s="28">
        <f>COUNTIF('Change Requests'!J5:J54,"Rejected")</f>
        <v/>
      </c>
      <c r="C26" s="23" t="n"/>
      <c r="D26" s="23" t="n"/>
      <c r="E26" s="23" t="n"/>
      <c r="F26" s="23" t="n"/>
      <c r="G26" s="23" t="n"/>
    </row>
    <row r="27">
      <c r="A27" s="27" t="inlineStr">
        <is>
          <t>Total Version Records</t>
        </is>
      </c>
      <c r="B27" s="28">
        <f>COUNTA('Version History'!A5:A54)</f>
        <v/>
      </c>
      <c r="C27" s="23" t="n"/>
      <c r="D27" s="23" t="n"/>
      <c r="E27" s="23" t="n"/>
      <c r="F27" s="23" t="n"/>
      <c r="G27" s="23" t="n"/>
    </row>
    <row r="28">
      <c r="A28" s="27" t="inlineStr">
        <is>
          <t>Active Procedure Versions</t>
        </is>
      </c>
      <c r="B28" s="28">
        <f>COUNTIF('Version History'!H5:H54,"Active")</f>
        <v/>
      </c>
      <c r="C28" s="23" t="n"/>
      <c r="D28" s="23" t="n"/>
      <c r="E28" s="23" t="n"/>
      <c r="F28" s="23" t="n"/>
      <c r="G28" s="23" t="n"/>
    </row>
    <row r="29">
      <c r="A29" s="27" t="inlineStr">
        <is>
          <t>Superseded Versions</t>
        </is>
      </c>
      <c r="B29" s="28">
        <f>COUNTIF('Version History'!H5:H54,"Superseded")</f>
        <v/>
      </c>
      <c r="C29" s="23" t="n"/>
      <c r="D29" s="23" t="n"/>
      <c r="E29" s="23" t="n"/>
      <c r="F29" s="23" t="n"/>
      <c r="G29" s="23" t="n"/>
    </row>
    <row r="30">
      <c r="A30" s="27" t="inlineStr">
        <is>
          <t>Total Communications Logged</t>
        </is>
      </c>
      <c r="B30" s="28">
        <f>COUNTA('Communication Log'!B5:B54)</f>
        <v/>
      </c>
      <c r="C30" s="23" t="n"/>
      <c r="D30" s="23" t="n"/>
      <c r="E30" s="23" t="n"/>
      <c r="F30" s="23" t="n"/>
      <c r="G30" s="23" t="n"/>
    </row>
    <row r="31">
      <c r="A31" s="27" t="inlineStr">
        <is>
          <t>Training-Required Communications</t>
        </is>
      </c>
      <c r="B31" s="28">
        <f>COUNTIF('Communication Log'!I5:I54,"Yes")</f>
        <v/>
      </c>
      <c r="C31" s="23" t="n"/>
      <c r="D31" s="23" t="n"/>
      <c r="E31" s="23" t="n"/>
      <c r="F31" s="23" t="n"/>
      <c r="G31" s="23" t="n"/>
    </row>
    <row r="32">
      <c r="A32" s="27" t="inlineStr">
        <is>
          <t>Open Escalations</t>
        </is>
      </c>
      <c r="B32" s="28">
        <f>COUNTIF('Overdue Escalation'!G5:G54,"Open")</f>
        <v/>
      </c>
      <c r="C32" s="23" t="n"/>
      <c r="D32" s="23" t="n"/>
      <c r="E32" s="23" t="n"/>
      <c r="F32" s="23" t="n"/>
      <c r="G32" s="23" t="n"/>
    </row>
    <row r="33">
      <c r="A33" s="27" t="inlineStr">
        <is>
          <t>L3 (Senior Management) Escalations</t>
        </is>
      </c>
      <c r="B33" s="28">
        <f>COUNTIF('Overdue Escalation'!C5:C54,"L3")</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Review Schedule</t>
        </is>
      </c>
      <c r="B39" s="35" t="inlineStr">
        <is>
          <t>Overdue procedure reviews</t>
        </is>
      </c>
      <c r="C39" s="36">
        <f>COUNTIF('Review Schedule'!H5:H54,"OVERDUE")</f>
        <v/>
      </c>
      <c r="D39" s="35" t="inlineStr">
        <is>
          <t>Critical</t>
        </is>
      </c>
      <c r="E39" s="35" t="inlineStr">
        <is>
          <t>Immediate</t>
        </is>
      </c>
      <c r="F39" s="35" t="n"/>
      <c r="G39" s="35" t="n"/>
    </row>
    <row r="40">
      <c r="A40" s="35" t="inlineStr">
        <is>
          <t>Review Schedule</t>
        </is>
      </c>
      <c r="B40" s="35" t="inlineStr">
        <is>
          <t>Critical procedures overdue for review</t>
        </is>
      </c>
      <c r="C40" s="36">
        <f>COUNTIFS('Review Schedule'!C5:C54,"Critical",'Review Schedule'!H5:H54,"OVERDUE")</f>
        <v/>
      </c>
      <c r="D40" s="35" t="inlineStr">
        <is>
          <t>Critical</t>
        </is>
      </c>
      <c r="E40" s="35" t="inlineStr">
        <is>
          <t>Immediate</t>
        </is>
      </c>
      <c r="F40" s="35" t="n"/>
      <c r="G40" s="35" t="n"/>
    </row>
    <row r="41">
      <c r="A41" s="35" t="inlineStr">
        <is>
          <t>Overdue Escalation</t>
        </is>
      </c>
      <c r="B41" s="35" t="inlineStr">
        <is>
          <t>Open L3 escalations (senior management required)</t>
        </is>
      </c>
      <c r="C41" s="36">
        <f>COUNTIFS('Overdue Escalation'!C5:C54,"L3",'Overdue Escalation'!G5:G54,"Open")</f>
        <v/>
      </c>
      <c r="D41" s="35" t="inlineStr">
        <is>
          <t>Critical</t>
        </is>
      </c>
      <c r="E41" s="35" t="inlineStr">
        <is>
          <t>Immediate</t>
        </is>
      </c>
      <c r="F41" s="35" t="n"/>
      <c r="G41" s="35" t="n"/>
    </row>
    <row r="42">
      <c r="A42" s="35" t="inlineStr">
        <is>
          <t>Overdue Escalation</t>
        </is>
      </c>
      <c r="B42" s="35" t="inlineStr">
        <is>
          <t>All open unresolved escalations</t>
        </is>
      </c>
      <c r="C42" s="36">
        <f>COUNTIF('Overdue Escalation'!G5:G54,"Open")</f>
        <v/>
      </c>
      <c r="D42" s="35" t="inlineStr">
        <is>
          <t>High</t>
        </is>
      </c>
      <c r="E42" s="35" t="inlineStr">
        <is>
          <t>Urgent</t>
        </is>
      </c>
      <c r="F42" s="35" t="n"/>
      <c r="G42" s="35" t="n"/>
    </row>
    <row r="43">
      <c r="A43" s="35" t="inlineStr">
        <is>
          <t>Change Requests</t>
        </is>
      </c>
      <c r="B43" s="35" t="inlineStr">
        <is>
          <t>Emergency change requests pending implementation</t>
        </is>
      </c>
      <c r="C43" s="36">
        <f>COUNTIFS('Change Requests'!E5:E54,"Emergency",'Change Requests'!J5:J54,"Submitted")</f>
        <v/>
      </c>
      <c r="D43" s="35" t="inlineStr">
        <is>
          <t>High</t>
        </is>
      </c>
      <c r="E43" s="35" t="inlineStr">
        <is>
          <t>Urgent</t>
        </is>
      </c>
      <c r="F43" s="35" t="n"/>
      <c r="G43" s="35" t="n"/>
    </row>
    <row r="44">
      <c r="A44" s="35" t="inlineStr">
        <is>
          <t>Review Schedule</t>
        </is>
      </c>
      <c r="B44" s="35" t="inlineStr">
        <is>
          <t>Procedures due for review within 30 days</t>
        </is>
      </c>
      <c r="C44" s="36">
        <f>COUNTIF('Review Schedule'!H5:H54,"DUE SOON")</f>
        <v/>
      </c>
      <c r="D44" s="35" t="inlineStr">
        <is>
          <t>Medium</t>
        </is>
      </c>
      <c r="E44" s="35" t="inlineStr">
        <is>
          <t>Plan</t>
        </is>
      </c>
      <c r="F44" s="35" t="n"/>
      <c r="G44" s="35" t="n"/>
    </row>
    <row r="45">
      <c r="A45" s="35" t="inlineStr">
        <is>
          <t>Review Schedule</t>
        </is>
      </c>
      <c r="B45" s="35" t="inlineStr">
        <is>
          <t>Obsolete procedures still in active schedule</t>
        </is>
      </c>
      <c r="C45" s="36">
        <f>COUNTIF('Review Schedule'!L5:L54,"Obsolete")</f>
        <v/>
      </c>
      <c r="D45" s="35" t="inlineStr">
        <is>
          <t>Medium</t>
        </is>
      </c>
      <c r="E45" s="35" t="inlineStr">
        <is>
          <t>Plan</t>
        </is>
      </c>
      <c r="F45" s="35" t="n"/>
      <c r="G45" s="35" t="n"/>
    </row>
    <row r="46">
      <c r="A46" s="33" t="n"/>
      <c r="B46" s="33" t="n"/>
      <c r="C46" s="33" t="n"/>
      <c r="D46" s="33" t="n"/>
      <c r="E46" s="33" t="n"/>
      <c r="F46" s="33" t="n"/>
      <c r="G46" s="33" t="n"/>
    </row>
    <row r="47">
      <c r="A47" s="33" t="n"/>
      <c r="B47" s="33" t="n"/>
      <c r="C47" s="33" t="n"/>
      <c r="D47" s="33" t="n"/>
      <c r="E47" s="33" t="n"/>
      <c r="F47" s="33" t="n"/>
      <c r="G47" s="33"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ISMS-IMP-A.5.37.3 - Procedure Review and Update Tracking</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ISMS-IMP-A.5.37.3 — Procedure Review and Update Tracking</dc:title>
  <dc:description xmlns:dc="http://purl.org/dc/elements/1.1/">ISMS Implementation Workbook — ISMS-IMP-A.5.37.3</dc:description>
  <dc:subject xmlns:dc="http://purl.org/dc/elements/1.1/">ISO/IEC 27001:2022 — Control A.5.37: Documented Operating Procedures</dc:subject>
  <dcterms:created xmlns:dcterms="http://purl.org/dc/terms/" xmlns:xsi="http://www.w3.org/2001/XMLSchema-instance" xsi:type="dcterms:W3CDTF">2026-03-10T18:48:54Z</dcterms:created>
  <dcterms:modified xmlns:dcterms="http://purl.org/dc/terms/" xmlns:xsi="http://www.w3.org/2001/XMLSchema-instance" xsi:type="dcterms:W3CDTF">2026-03-10T18:48:54Z</dcterms:modified>
</cp:coreProperties>
</file>