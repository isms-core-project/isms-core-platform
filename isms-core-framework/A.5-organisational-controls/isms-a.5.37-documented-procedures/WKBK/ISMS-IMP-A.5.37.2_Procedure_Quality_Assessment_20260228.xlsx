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Quality Assessment" sheetId="2" state="visible" r:id="rId2"/>
    <sheet xmlns:r="http://schemas.openxmlformats.org/officeDocument/2006/relationships" name="Quality Checklist" sheetId="3" state="visible" r:id="rId3"/>
    <sheet xmlns:r="http://schemas.openxmlformats.org/officeDocument/2006/relationships" name="Improvement Actions" sheetId="4" state="visible" r:id="rId4"/>
    <sheet xmlns:r="http://schemas.openxmlformats.org/officeDocument/2006/relationships" name="Trend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6" fillId="8"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pivotButton="0" quotePrefix="0" xfId="0"/>
    <xf numFmtId="0" fontId="11" fillId="9" borderId="2" applyAlignment="1" pivotButton="0" quotePrefix="0" xfId="0">
      <alignment horizontal="center"/>
    </xf>
    <xf numFmtId="164" fontId="11" fillId="9" borderId="2" applyAlignment="1" pivotButton="0" quotePrefix="0" xfId="0">
      <alignment horizontal="center"/>
    </xf>
    <xf numFmtId="0" fontId="0" fillId="11" borderId="2" pivotButton="0" quotePrefix="0" xfId="0"/>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9" fillId="0" borderId="1" applyAlignment="1" pivotButton="0" quotePrefix="0" xfId="0">
      <alignment horizontal="center" vertical="center"/>
    </xf>
    <xf numFmtId="0" fontId="13" fillId="13" borderId="1" applyAlignment="1" pivotButton="0" quotePrefix="0" xfId="0">
      <alignment horizontal="center" vertical="center"/>
    </xf>
    <xf numFmtId="0" fontId="0" fillId="11" borderId="1" pivotButton="0" quotePrefix="0" xfId="0"/>
    <xf numFmtId="164" fontId="0" fillId="0" borderId="1" pivotButton="0" quotePrefix="0" xfId="0"/>
    <xf numFmtId="0" fontId="13" fillId="13" borderId="1" pivotButton="0" quotePrefix="0" xfId="0"/>
    <xf numFmtId="0" fontId="1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ISMS-IMP-A.5.37.2  -  Procedure Quality Assessment
ISO/IEC 27001:2022 - Control A.5.37: Documented Operating Procedures</t>
        </is>
      </c>
    </row>
    <row r="3">
      <c r="A3" s="2" t="inlineStr">
        <is>
          <t>Document Information</t>
        </is>
      </c>
    </row>
    <row r="4">
      <c r="A4" s="3" t="inlineStr">
        <is>
          <t>Document ID</t>
        </is>
      </c>
      <c r="B4" t="inlineStr">
        <is>
          <t>ISMS-IMP-A.5.37.2</t>
        </is>
      </c>
    </row>
    <row r="5">
      <c r="A5" s="3" t="inlineStr">
        <is>
          <t>Workbook Title</t>
        </is>
      </c>
      <c r="B5" t="inlineStr">
        <is>
          <t>Procedure Quality Assessment</t>
        </is>
      </c>
    </row>
    <row r="6">
      <c r="A6" s="3" t="inlineStr">
        <is>
          <t>Control Reference</t>
        </is>
      </c>
      <c r="B6" t="inlineStr">
        <is>
          <t>ISO/IEC 27001:2022 - Control A.5.37: Documented Operating Procedures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8" customWidth="1" min="1" max="1"/>
    <col width="40" customWidth="1" min="2" max="2"/>
    <col width="16" customWidth="1" min="3" max="3"/>
    <col width="22" customWidth="1" min="4" max="4"/>
    <col width="14" customWidth="1" min="5" max="5"/>
    <col width="16" customWidth="1" min="6" max="6"/>
    <col width="14" customWidth="1" min="7" max="7"/>
    <col width="14" customWidth="1" min="8" max="8"/>
    <col width="18" customWidth="1" min="9" max="9"/>
    <col width="14" customWidth="1" min="10" max="10"/>
    <col width="16" customWidth="1" min="11" max="11"/>
    <col width="30" customWidth="1" min="12" max="12"/>
    <col width="40" customWidth="1" min="13" max="13"/>
    <col width="16" customWidth="1" min="14" max="14"/>
  </cols>
  <sheetData>
    <row r="1" ht="35" customHeight="1">
      <c r="A1" s="11" t="inlineStr">
        <is>
          <t>QUALITY ASSESSMENT</t>
        </is>
      </c>
    </row>
    <row r="2">
      <c r="A2" s="12" t="inlineStr">
        <is>
          <t>Score each procedure 0-5 on five quality dimensions — overall score and rating are auto-calculated</t>
        </is>
      </c>
    </row>
    <row r="3">
      <c r="A3" s="13" t="inlineStr">
        <is>
          <t>Procedure ID</t>
        </is>
      </c>
      <c r="B3" s="13" t="inlineStr">
        <is>
          <t>Procedure Name</t>
        </is>
      </c>
      <c r="C3" s="13" t="inlineStr">
        <is>
          <t>Assessment Date</t>
        </is>
      </c>
      <c r="D3" s="13" t="inlineStr">
        <is>
          <t>Assessor</t>
        </is>
      </c>
      <c r="E3" s="13" t="inlineStr">
        <is>
          <t>Clarity Score</t>
        </is>
      </c>
      <c r="F3" s="13" t="inlineStr">
        <is>
          <t>Completeness Score</t>
        </is>
      </c>
      <c r="G3" s="13" t="inlineStr">
        <is>
          <t>Accuracy Score</t>
        </is>
      </c>
      <c r="H3" s="13" t="inlineStr">
        <is>
          <t>Usability Score</t>
        </is>
      </c>
      <c r="I3" s="13" t="inlineStr">
        <is>
          <t>Maintainability Score</t>
        </is>
      </c>
      <c r="J3" s="13" t="inlineStr">
        <is>
          <t>Overall Score</t>
        </is>
      </c>
      <c r="K3" s="13" t="inlineStr">
        <is>
          <t>Quality Rating</t>
        </is>
      </c>
      <c r="L3" s="13" t="inlineStr">
        <is>
          <t>Priority Improvements</t>
        </is>
      </c>
      <c r="M3" s="13" t="inlineStr">
        <is>
          <t>Findings</t>
        </is>
      </c>
      <c r="N3" s="13" t="inlineStr">
        <is>
          <t>Next Review</t>
        </is>
      </c>
    </row>
    <row r="4">
      <c r="A4" s="14" t="inlineStr">
        <is>
          <t>PROC-001</t>
        </is>
      </c>
      <c r="B4" s="14" t="inlineStr">
        <is>
          <t>Server Backup and Recovery Procedure</t>
        </is>
      </c>
      <c r="C4" s="14" t="inlineStr">
        <is>
          <t>01.02.2026</t>
        </is>
      </c>
      <c r="D4" s="14" t="inlineStr">
        <is>
          <t>IT Assessor</t>
        </is>
      </c>
      <c r="E4" s="14" t="n">
        <v>4</v>
      </c>
      <c r="F4" s="14" t="n">
        <v>5</v>
      </c>
      <c r="G4" s="14" t="n">
        <v>4</v>
      </c>
      <c r="H4" s="14" t="n">
        <v>3</v>
      </c>
      <c r="I4" s="14" t="n">
        <v>4</v>
      </c>
      <c r="J4" s="14">
        <f>IF(E4&lt;&gt;"",ROUND((E4*0.2)+(F4*0.2)+(G4*0.2)+(H4*0.2)+(I4*0.2),2),"")</f>
        <v/>
      </c>
      <c r="K4" s="14">
        <f>IF(J4="","",IF(J4&gt;=4.5,"Excellent",IF(J4&gt;=3.5,"Good",IF(J4&gt;=2.5,"Adequate",IF(J4&gt;=1.5,"Needs Improvement","Poor")))))</f>
        <v/>
      </c>
      <c r="L4" s="14" t="n"/>
      <c r="M4" s="14" t="n"/>
      <c r="N4" s="14">
        <f>IF(K4="Excellent",C4+365,IF(K4="Good",C4+180,IF(K4="Adequate",C4+90,IF(K4&lt;&gt;"",C4+30,""))))</f>
        <v/>
      </c>
    </row>
    <row r="5">
      <c r="A5" s="15" t="n"/>
      <c r="B5" s="15" t="n"/>
      <c r="C5" s="15" t="n"/>
      <c r="D5" s="15" t="n"/>
      <c r="E5" s="15" t="n"/>
      <c r="F5" s="15" t="n"/>
      <c r="G5" s="15" t="n"/>
      <c r="H5" s="15" t="n"/>
      <c r="I5" s="15" t="n"/>
      <c r="J5" s="15">
        <f>IF(E5&lt;&gt;"",ROUND((E5*0.2)+(F5*0.2)+(G5*0.2)+(H5*0.2)+(I5*0.2),2),"")</f>
        <v/>
      </c>
      <c r="K5" s="15">
        <f>IF(J5="","",IF(J5&gt;=4.5,"Excellent",IF(J5&gt;=3.5,"Good",IF(J5&gt;=2.5,"Adequate",IF(J5&gt;=1.5,"Needs Improvement","Poor")))))</f>
        <v/>
      </c>
      <c r="L5" s="15" t="n"/>
      <c r="M5" s="15" t="n"/>
      <c r="N5" s="15">
        <f>IF(K5="Excellent",C5+365,IF(K5="Good",C5+180,IF(K5="Adequate",C5+90,IF(K5&lt;&gt;"",C5+30,""))))</f>
        <v/>
      </c>
    </row>
    <row r="6">
      <c r="A6" s="15" t="n"/>
      <c r="B6" s="15" t="n"/>
      <c r="C6" s="15" t="n"/>
      <c r="D6" s="15" t="n"/>
      <c r="E6" s="15" t="n"/>
      <c r="F6" s="15" t="n"/>
      <c r="G6" s="15" t="n"/>
      <c r="H6" s="15" t="n"/>
      <c r="I6" s="15" t="n"/>
      <c r="J6" s="15">
        <f>IF(E6&lt;&gt;"",ROUND((E6*0.2)+(F6*0.2)+(G6*0.2)+(H6*0.2)+(I6*0.2),2),"")</f>
        <v/>
      </c>
      <c r="K6" s="15">
        <f>IF(J6="","",IF(J6&gt;=4.5,"Excellent",IF(J6&gt;=3.5,"Good",IF(J6&gt;=2.5,"Adequate",IF(J6&gt;=1.5,"Needs Improvement","Poor")))))</f>
        <v/>
      </c>
      <c r="L6" s="15" t="n"/>
      <c r="M6" s="15" t="n"/>
      <c r="N6" s="15">
        <f>IF(K6="Excellent",C6+365,IF(K6="Good",C6+180,IF(K6="Adequate",C6+90,IF(K6&lt;&gt;"",C6+30,""))))</f>
        <v/>
      </c>
    </row>
    <row r="7">
      <c r="A7" s="15" t="n"/>
      <c r="B7" s="15" t="n"/>
      <c r="C7" s="15" t="n"/>
      <c r="D7" s="15" t="n"/>
      <c r="E7" s="15" t="n"/>
      <c r="F7" s="15" t="n"/>
      <c r="G7" s="15" t="n"/>
      <c r="H7" s="15" t="n"/>
      <c r="I7" s="15" t="n"/>
      <c r="J7" s="15">
        <f>IF(E7&lt;&gt;"",ROUND((E7*0.2)+(F7*0.2)+(G7*0.2)+(H7*0.2)+(I7*0.2),2),"")</f>
        <v/>
      </c>
      <c r="K7" s="15">
        <f>IF(J7="","",IF(J7&gt;=4.5,"Excellent",IF(J7&gt;=3.5,"Good",IF(J7&gt;=2.5,"Adequate",IF(J7&gt;=1.5,"Needs Improvement","Poor")))))</f>
        <v/>
      </c>
      <c r="L7" s="15" t="n"/>
      <c r="M7" s="15" t="n"/>
      <c r="N7" s="15">
        <f>IF(K7="Excellent",C7+365,IF(K7="Good",C7+180,IF(K7="Adequate",C7+90,IF(K7&lt;&gt;"",C7+30,""))))</f>
        <v/>
      </c>
    </row>
    <row r="8">
      <c r="A8" s="15" t="n"/>
      <c r="B8" s="15" t="n"/>
      <c r="C8" s="15" t="n"/>
      <c r="D8" s="15" t="n"/>
      <c r="E8" s="15" t="n"/>
      <c r="F8" s="15" t="n"/>
      <c r="G8" s="15" t="n"/>
      <c r="H8" s="15" t="n"/>
      <c r="I8" s="15" t="n"/>
      <c r="J8" s="15">
        <f>IF(E8&lt;&gt;"",ROUND((E8*0.2)+(F8*0.2)+(G8*0.2)+(H8*0.2)+(I8*0.2),2),"")</f>
        <v/>
      </c>
      <c r="K8" s="15">
        <f>IF(J8="","",IF(J8&gt;=4.5,"Excellent",IF(J8&gt;=3.5,"Good",IF(J8&gt;=2.5,"Adequate",IF(J8&gt;=1.5,"Needs Improvement","Poor")))))</f>
        <v/>
      </c>
      <c r="L8" s="15" t="n"/>
      <c r="M8" s="15" t="n"/>
      <c r="N8" s="15">
        <f>IF(K8="Excellent",C8+365,IF(K8="Good",C8+180,IF(K8="Adequate",C8+90,IF(K8&lt;&gt;"",C8+30,""))))</f>
        <v/>
      </c>
    </row>
    <row r="9">
      <c r="A9" s="15" t="n"/>
      <c r="B9" s="15" t="n"/>
      <c r="C9" s="15" t="n"/>
      <c r="D9" s="15" t="n"/>
      <c r="E9" s="15" t="n"/>
      <c r="F9" s="15" t="n"/>
      <c r="G9" s="15" t="n"/>
      <c r="H9" s="15" t="n"/>
      <c r="I9" s="15" t="n"/>
      <c r="J9" s="15">
        <f>IF(E9&lt;&gt;"",ROUND((E9*0.2)+(F9*0.2)+(G9*0.2)+(H9*0.2)+(I9*0.2),2),"")</f>
        <v/>
      </c>
      <c r="K9" s="15">
        <f>IF(J9="","",IF(J9&gt;=4.5,"Excellent",IF(J9&gt;=3.5,"Good",IF(J9&gt;=2.5,"Adequate",IF(J9&gt;=1.5,"Needs Improvement","Poor")))))</f>
        <v/>
      </c>
      <c r="L9" s="15" t="n"/>
      <c r="M9" s="15" t="n"/>
      <c r="N9" s="15">
        <f>IF(K9="Excellent",C9+365,IF(K9="Good",C9+180,IF(K9="Adequate",C9+90,IF(K9&lt;&gt;"",C9+30,""))))</f>
        <v/>
      </c>
    </row>
    <row r="10">
      <c r="A10" s="15" t="n"/>
      <c r="B10" s="15" t="n"/>
      <c r="C10" s="15" t="n"/>
      <c r="D10" s="15" t="n"/>
      <c r="E10" s="15" t="n"/>
      <c r="F10" s="15" t="n"/>
      <c r="G10" s="15" t="n"/>
      <c r="H10" s="15" t="n"/>
      <c r="I10" s="15" t="n"/>
      <c r="J10" s="15">
        <f>IF(E10&lt;&gt;"",ROUND((E10*0.2)+(F10*0.2)+(G10*0.2)+(H10*0.2)+(I10*0.2),2),"")</f>
        <v/>
      </c>
      <c r="K10" s="15">
        <f>IF(J10="","",IF(J10&gt;=4.5,"Excellent",IF(J10&gt;=3.5,"Good",IF(J10&gt;=2.5,"Adequate",IF(J10&gt;=1.5,"Needs Improvement","Poor")))))</f>
        <v/>
      </c>
      <c r="L10" s="15" t="n"/>
      <c r="M10" s="15" t="n"/>
      <c r="N10" s="15">
        <f>IF(K10="Excellent",C10+365,IF(K10="Good",C10+180,IF(K10="Adequate",C10+90,IF(K10&lt;&gt;"",C10+30,""))))</f>
        <v/>
      </c>
    </row>
    <row r="11">
      <c r="A11" s="15" t="n"/>
      <c r="B11" s="15" t="n"/>
      <c r="C11" s="15" t="n"/>
      <c r="D11" s="15" t="n"/>
      <c r="E11" s="15" t="n"/>
      <c r="F11" s="15" t="n"/>
      <c r="G11" s="15" t="n"/>
      <c r="H11" s="15" t="n"/>
      <c r="I11" s="15" t="n"/>
      <c r="J11" s="15">
        <f>IF(E11&lt;&gt;"",ROUND((E11*0.2)+(F11*0.2)+(G11*0.2)+(H11*0.2)+(I11*0.2),2),"")</f>
        <v/>
      </c>
      <c r="K11" s="15">
        <f>IF(J11="","",IF(J11&gt;=4.5,"Excellent",IF(J11&gt;=3.5,"Good",IF(J11&gt;=2.5,"Adequate",IF(J11&gt;=1.5,"Needs Improvement","Poor")))))</f>
        <v/>
      </c>
      <c r="L11" s="15" t="n"/>
      <c r="M11" s="15" t="n"/>
      <c r="N11" s="15">
        <f>IF(K11="Excellent",C11+365,IF(K11="Good",C11+180,IF(K11="Adequate",C11+90,IF(K11&lt;&gt;"",C11+30,""))))</f>
        <v/>
      </c>
    </row>
    <row r="12">
      <c r="A12" s="15" t="n"/>
      <c r="B12" s="15" t="n"/>
      <c r="C12" s="15" t="n"/>
      <c r="D12" s="15" t="n"/>
      <c r="E12" s="15" t="n"/>
      <c r="F12" s="15" t="n"/>
      <c r="G12" s="15" t="n"/>
      <c r="H12" s="15" t="n"/>
      <c r="I12" s="15" t="n"/>
      <c r="J12" s="15">
        <f>IF(E12&lt;&gt;"",ROUND((E12*0.2)+(F12*0.2)+(G12*0.2)+(H12*0.2)+(I12*0.2),2),"")</f>
        <v/>
      </c>
      <c r="K12" s="15">
        <f>IF(J12="","",IF(J12&gt;=4.5,"Excellent",IF(J12&gt;=3.5,"Good",IF(J12&gt;=2.5,"Adequate",IF(J12&gt;=1.5,"Needs Improvement","Poor")))))</f>
        <v/>
      </c>
      <c r="L12" s="15" t="n"/>
      <c r="M12" s="15" t="n"/>
      <c r="N12" s="15">
        <f>IF(K12="Excellent",C12+365,IF(K12="Good",C12+180,IF(K12="Adequate",C12+90,IF(K12&lt;&gt;"",C12+30,""))))</f>
        <v/>
      </c>
    </row>
    <row r="13">
      <c r="A13" s="15" t="n"/>
      <c r="B13" s="15" t="n"/>
      <c r="C13" s="15" t="n"/>
      <c r="D13" s="15" t="n"/>
      <c r="E13" s="15" t="n"/>
      <c r="F13" s="15" t="n"/>
      <c r="G13" s="15" t="n"/>
      <c r="H13" s="15" t="n"/>
      <c r="I13" s="15" t="n"/>
      <c r="J13" s="15">
        <f>IF(E13&lt;&gt;"",ROUND((E13*0.2)+(F13*0.2)+(G13*0.2)+(H13*0.2)+(I13*0.2),2),"")</f>
        <v/>
      </c>
      <c r="K13" s="15">
        <f>IF(J13="","",IF(J13&gt;=4.5,"Excellent",IF(J13&gt;=3.5,"Good",IF(J13&gt;=2.5,"Adequate",IF(J13&gt;=1.5,"Needs Improvement","Poor")))))</f>
        <v/>
      </c>
      <c r="L13" s="15" t="n"/>
      <c r="M13" s="15" t="n"/>
      <c r="N13" s="15">
        <f>IF(K13="Excellent",C13+365,IF(K13="Good",C13+180,IF(K13="Adequate",C13+90,IF(K13&lt;&gt;"",C13+30,""))))</f>
        <v/>
      </c>
    </row>
    <row r="14">
      <c r="A14" s="15" t="n"/>
      <c r="B14" s="15" t="n"/>
      <c r="C14" s="15" t="n"/>
      <c r="D14" s="15" t="n"/>
      <c r="E14" s="15" t="n"/>
      <c r="F14" s="15" t="n"/>
      <c r="G14" s="15" t="n"/>
      <c r="H14" s="15" t="n"/>
      <c r="I14" s="15" t="n"/>
      <c r="J14" s="15">
        <f>IF(E14&lt;&gt;"",ROUND((E14*0.2)+(F14*0.2)+(G14*0.2)+(H14*0.2)+(I14*0.2),2),"")</f>
        <v/>
      </c>
      <c r="K14" s="15">
        <f>IF(J14="","",IF(J14&gt;=4.5,"Excellent",IF(J14&gt;=3.5,"Good",IF(J14&gt;=2.5,"Adequate",IF(J14&gt;=1.5,"Needs Improvement","Poor")))))</f>
        <v/>
      </c>
      <c r="L14" s="15" t="n"/>
      <c r="M14" s="15" t="n"/>
      <c r="N14" s="15">
        <f>IF(K14="Excellent",C14+365,IF(K14="Good",C14+180,IF(K14="Adequate",C14+90,IF(K14&lt;&gt;"",C14+30,""))))</f>
        <v/>
      </c>
    </row>
    <row r="15">
      <c r="A15" s="15" t="n"/>
      <c r="B15" s="15" t="n"/>
      <c r="C15" s="15" t="n"/>
      <c r="D15" s="15" t="n"/>
      <c r="E15" s="15" t="n"/>
      <c r="F15" s="15" t="n"/>
      <c r="G15" s="15" t="n"/>
      <c r="H15" s="15" t="n"/>
      <c r="I15" s="15" t="n"/>
      <c r="J15" s="15">
        <f>IF(E15&lt;&gt;"",ROUND((E15*0.2)+(F15*0.2)+(G15*0.2)+(H15*0.2)+(I15*0.2),2),"")</f>
        <v/>
      </c>
      <c r="K15" s="15">
        <f>IF(J15="","",IF(J15&gt;=4.5,"Excellent",IF(J15&gt;=3.5,"Good",IF(J15&gt;=2.5,"Adequate",IF(J15&gt;=1.5,"Needs Improvement","Poor")))))</f>
        <v/>
      </c>
      <c r="L15" s="15" t="n"/>
      <c r="M15" s="15" t="n"/>
      <c r="N15" s="15">
        <f>IF(K15="Excellent",C15+365,IF(K15="Good",C15+180,IF(K15="Adequate",C15+90,IF(K15&lt;&gt;"",C15+30,""))))</f>
        <v/>
      </c>
    </row>
    <row r="16">
      <c r="A16" s="15" t="n"/>
      <c r="B16" s="15" t="n"/>
      <c r="C16" s="15" t="n"/>
      <c r="D16" s="15" t="n"/>
      <c r="E16" s="15" t="n"/>
      <c r="F16" s="15" t="n"/>
      <c r="G16" s="15" t="n"/>
      <c r="H16" s="15" t="n"/>
      <c r="I16" s="15" t="n"/>
      <c r="J16" s="15">
        <f>IF(E16&lt;&gt;"",ROUND((E16*0.2)+(F16*0.2)+(G16*0.2)+(H16*0.2)+(I16*0.2),2),"")</f>
        <v/>
      </c>
      <c r="K16" s="15">
        <f>IF(J16="","",IF(J16&gt;=4.5,"Excellent",IF(J16&gt;=3.5,"Good",IF(J16&gt;=2.5,"Adequate",IF(J16&gt;=1.5,"Needs Improvement","Poor")))))</f>
        <v/>
      </c>
      <c r="L16" s="15" t="n"/>
      <c r="M16" s="15" t="n"/>
      <c r="N16" s="15">
        <f>IF(K16="Excellent",C16+365,IF(K16="Good",C16+180,IF(K16="Adequate",C16+90,IF(K16&lt;&gt;"",C16+30,""))))</f>
        <v/>
      </c>
    </row>
    <row r="17">
      <c r="A17" s="15" t="n"/>
      <c r="B17" s="15" t="n"/>
      <c r="C17" s="15" t="n"/>
      <c r="D17" s="15" t="n"/>
      <c r="E17" s="15" t="n"/>
      <c r="F17" s="15" t="n"/>
      <c r="G17" s="15" t="n"/>
      <c r="H17" s="15" t="n"/>
      <c r="I17" s="15" t="n"/>
      <c r="J17" s="15">
        <f>IF(E17&lt;&gt;"",ROUND((E17*0.2)+(F17*0.2)+(G17*0.2)+(H17*0.2)+(I17*0.2),2),"")</f>
        <v/>
      </c>
      <c r="K17" s="15">
        <f>IF(J17="","",IF(J17&gt;=4.5,"Excellent",IF(J17&gt;=3.5,"Good",IF(J17&gt;=2.5,"Adequate",IF(J17&gt;=1.5,"Needs Improvement","Poor")))))</f>
        <v/>
      </c>
      <c r="L17" s="15" t="n"/>
      <c r="M17" s="15" t="n"/>
      <c r="N17" s="15">
        <f>IF(K17="Excellent",C17+365,IF(K17="Good",C17+180,IF(K17="Adequate",C17+90,IF(K17&lt;&gt;"",C17+30,""))))</f>
        <v/>
      </c>
    </row>
    <row r="18">
      <c r="A18" s="15" t="n"/>
      <c r="B18" s="15" t="n"/>
      <c r="C18" s="15" t="n"/>
      <c r="D18" s="15" t="n"/>
      <c r="E18" s="15" t="n"/>
      <c r="F18" s="15" t="n"/>
      <c r="G18" s="15" t="n"/>
      <c r="H18" s="15" t="n"/>
      <c r="I18" s="15" t="n"/>
      <c r="J18" s="15">
        <f>IF(E18&lt;&gt;"",ROUND((E18*0.2)+(F18*0.2)+(G18*0.2)+(H18*0.2)+(I18*0.2),2),"")</f>
        <v/>
      </c>
      <c r="K18" s="15">
        <f>IF(J18="","",IF(J18&gt;=4.5,"Excellent",IF(J18&gt;=3.5,"Good",IF(J18&gt;=2.5,"Adequate",IF(J18&gt;=1.5,"Needs Improvement","Poor")))))</f>
        <v/>
      </c>
      <c r="L18" s="15" t="n"/>
      <c r="M18" s="15" t="n"/>
      <c r="N18" s="15">
        <f>IF(K18="Excellent",C18+365,IF(K18="Good",C18+180,IF(K18="Adequate",C18+90,IF(K18&lt;&gt;"",C18+30,""))))</f>
        <v/>
      </c>
    </row>
    <row r="19">
      <c r="A19" s="15" t="n"/>
      <c r="B19" s="15" t="n"/>
      <c r="C19" s="15" t="n"/>
      <c r="D19" s="15" t="n"/>
      <c r="E19" s="15" t="n"/>
      <c r="F19" s="15" t="n"/>
      <c r="G19" s="15" t="n"/>
      <c r="H19" s="15" t="n"/>
      <c r="I19" s="15" t="n"/>
      <c r="J19" s="15">
        <f>IF(E19&lt;&gt;"",ROUND((E19*0.2)+(F19*0.2)+(G19*0.2)+(H19*0.2)+(I19*0.2),2),"")</f>
        <v/>
      </c>
      <c r="K19" s="15">
        <f>IF(J19="","",IF(J19&gt;=4.5,"Excellent",IF(J19&gt;=3.5,"Good",IF(J19&gt;=2.5,"Adequate",IF(J19&gt;=1.5,"Needs Improvement","Poor")))))</f>
        <v/>
      </c>
      <c r="L19" s="15" t="n"/>
      <c r="M19" s="15" t="n"/>
      <c r="N19" s="15">
        <f>IF(K19="Excellent",C19+365,IF(K19="Good",C19+180,IF(K19="Adequate",C19+90,IF(K19&lt;&gt;"",C19+30,""))))</f>
        <v/>
      </c>
    </row>
    <row r="20">
      <c r="A20" s="15" t="n"/>
      <c r="B20" s="15" t="n"/>
      <c r="C20" s="15" t="n"/>
      <c r="D20" s="15" t="n"/>
      <c r="E20" s="15" t="n"/>
      <c r="F20" s="15" t="n"/>
      <c r="G20" s="15" t="n"/>
      <c r="H20" s="15" t="n"/>
      <c r="I20" s="15" t="n"/>
      <c r="J20" s="15">
        <f>IF(E20&lt;&gt;"",ROUND((E20*0.2)+(F20*0.2)+(G20*0.2)+(H20*0.2)+(I20*0.2),2),"")</f>
        <v/>
      </c>
      <c r="K20" s="15">
        <f>IF(J20="","",IF(J20&gt;=4.5,"Excellent",IF(J20&gt;=3.5,"Good",IF(J20&gt;=2.5,"Adequate",IF(J20&gt;=1.5,"Needs Improvement","Poor")))))</f>
        <v/>
      </c>
      <c r="L20" s="15" t="n"/>
      <c r="M20" s="15" t="n"/>
      <c r="N20" s="15">
        <f>IF(K20="Excellent",C20+365,IF(K20="Good",C20+180,IF(K20="Adequate",C20+90,IF(K20&lt;&gt;"",C20+30,""))))</f>
        <v/>
      </c>
    </row>
    <row r="21">
      <c r="A21" s="15" t="n"/>
      <c r="B21" s="15" t="n"/>
      <c r="C21" s="15" t="n"/>
      <c r="D21" s="15" t="n"/>
      <c r="E21" s="15" t="n"/>
      <c r="F21" s="15" t="n"/>
      <c r="G21" s="15" t="n"/>
      <c r="H21" s="15" t="n"/>
      <c r="I21" s="15" t="n"/>
      <c r="J21" s="15">
        <f>IF(E21&lt;&gt;"",ROUND((E21*0.2)+(F21*0.2)+(G21*0.2)+(H21*0.2)+(I21*0.2),2),"")</f>
        <v/>
      </c>
      <c r="K21" s="15">
        <f>IF(J21="","",IF(J21&gt;=4.5,"Excellent",IF(J21&gt;=3.5,"Good",IF(J21&gt;=2.5,"Adequate",IF(J21&gt;=1.5,"Needs Improvement","Poor")))))</f>
        <v/>
      </c>
      <c r="L21" s="15" t="n"/>
      <c r="M21" s="15" t="n"/>
      <c r="N21" s="15">
        <f>IF(K21="Excellent",C21+365,IF(K21="Good",C21+180,IF(K21="Adequate",C21+90,IF(K21&lt;&gt;"",C21+30,""))))</f>
        <v/>
      </c>
    </row>
    <row r="22">
      <c r="A22" s="15" t="n"/>
      <c r="B22" s="15" t="n"/>
      <c r="C22" s="15" t="n"/>
      <c r="D22" s="15" t="n"/>
      <c r="E22" s="15" t="n"/>
      <c r="F22" s="15" t="n"/>
      <c r="G22" s="15" t="n"/>
      <c r="H22" s="15" t="n"/>
      <c r="I22" s="15" t="n"/>
      <c r="J22" s="15">
        <f>IF(E22&lt;&gt;"",ROUND((E22*0.2)+(F22*0.2)+(G22*0.2)+(H22*0.2)+(I22*0.2),2),"")</f>
        <v/>
      </c>
      <c r="K22" s="15">
        <f>IF(J22="","",IF(J22&gt;=4.5,"Excellent",IF(J22&gt;=3.5,"Good",IF(J22&gt;=2.5,"Adequate",IF(J22&gt;=1.5,"Needs Improvement","Poor")))))</f>
        <v/>
      </c>
      <c r="L22" s="15" t="n"/>
      <c r="M22" s="15" t="n"/>
      <c r="N22" s="15">
        <f>IF(K22="Excellent",C22+365,IF(K22="Good",C22+180,IF(K22="Adequate",C22+90,IF(K22&lt;&gt;"",C22+30,""))))</f>
        <v/>
      </c>
    </row>
    <row r="23">
      <c r="A23" s="15" t="n"/>
      <c r="B23" s="15" t="n"/>
      <c r="C23" s="15" t="n"/>
      <c r="D23" s="15" t="n"/>
      <c r="E23" s="15" t="n"/>
      <c r="F23" s="15" t="n"/>
      <c r="G23" s="15" t="n"/>
      <c r="H23" s="15" t="n"/>
      <c r="I23" s="15" t="n"/>
      <c r="J23" s="15">
        <f>IF(E23&lt;&gt;"",ROUND((E23*0.2)+(F23*0.2)+(G23*0.2)+(H23*0.2)+(I23*0.2),2),"")</f>
        <v/>
      </c>
      <c r="K23" s="15">
        <f>IF(J23="","",IF(J23&gt;=4.5,"Excellent",IF(J23&gt;=3.5,"Good",IF(J23&gt;=2.5,"Adequate",IF(J23&gt;=1.5,"Needs Improvement","Poor")))))</f>
        <v/>
      </c>
      <c r="L23" s="15" t="n"/>
      <c r="M23" s="15" t="n"/>
      <c r="N23" s="15">
        <f>IF(K23="Excellent",C23+365,IF(K23="Good",C23+180,IF(K23="Adequate",C23+90,IF(K23&lt;&gt;"",C23+30,""))))</f>
        <v/>
      </c>
    </row>
    <row r="24">
      <c r="A24" s="15" t="n"/>
      <c r="B24" s="15" t="n"/>
      <c r="C24" s="15" t="n"/>
      <c r="D24" s="15" t="n"/>
      <c r="E24" s="15" t="n"/>
      <c r="F24" s="15" t="n"/>
      <c r="G24" s="15" t="n"/>
      <c r="H24" s="15" t="n"/>
      <c r="I24" s="15" t="n"/>
      <c r="J24" s="15">
        <f>IF(E24&lt;&gt;"",ROUND((E24*0.2)+(F24*0.2)+(G24*0.2)+(H24*0.2)+(I24*0.2),2),"")</f>
        <v/>
      </c>
      <c r="K24" s="15">
        <f>IF(J24="","",IF(J24&gt;=4.5,"Excellent",IF(J24&gt;=3.5,"Good",IF(J24&gt;=2.5,"Adequate",IF(J24&gt;=1.5,"Needs Improvement","Poor")))))</f>
        <v/>
      </c>
      <c r="L24" s="15" t="n"/>
      <c r="M24" s="15" t="n"/>
      <c r="N24" s="15">
        <f>IF(K24="Excellent",C24+365,IF(K24="Good",C24+180,IF(K24="Adequate",C24+90,IF(K24&lt;&gt;"",C24+30,""))))</f>
        <v/>
      </c>
    </row>
    <row r="25">
      <c r="A25" s="15" t="n"/>
      <c r="B25" s="15" t="n"/>
      <c r="C25" s="15" t="n"/>
      <c r="D25" s="15" t="n"/>
      <c r="E25" s="15" t="n"/>
      <c r="F25" s="15" t="n"/>
      <c r="G25" s="15" t="n"/>
      <c r="H25" s="15" t="n"/>
      <c r="I25" s="15" t="n"/>
      <c r="J25" s="15">
        <f>IF(E25&lt;&gt;"",ROUND((E25*0.2)+(F25*0.2)+(G25*0.2)+(H25*0.2)+(I25*0.2),2),"")</f>
        <v/>
      </c>
      <c r="K25" s="15">
        <f>IF(J25="","",IF(J25&gt;=4.5,"Excellent",IF(J25&gt;=3.5,"Good",IF(J25&gt;=2.5,"Adequate",IF(J25&gt;=1.5,"Needs Improvement","Poor")))))</f>
        <v/>
      </c>
      <c r="L25" s="15" t="n"/>
      <c r="M25" s="15" t="n"/>
      <c r="N25" s="15">
        <f>IF(K25="Excellent",C25+365,IF(K25="Good",C25+180,IF(K25="Adequate",C25+90,IF(K25&lt;&gt;"",C25+30,""))))</f>
        <v/>
      </c>
    </row>
    <row r="26">
      <c r="A26" s="15" t="n"/>
      <c r="B26" s="15" t="n"/>
      <c r="C26" s="15" t="n"/>
      <c r="D26" s="15" t="n"/>
      <c r="E26" s="15" t="n"/>
      <c r="F26" s="15" t="n"/>
      <c r="G26" s="15" t="n"/>
      <c r="H26" s="15" t="n"/>
      <c r="I26" s="15" t="n"/>
      <c r="J26" s="15">
        <f>IF(E26&lt;&gt;"",ROUND((E26*0.2)+(F26*0.2)+(G26*0.2)+(H26*0.2)+(I26*0.2),2),"")</f>
        <v/>
      </c>
      <c r="K26" s="15">
        <f>IF(J26="","",IF(J26&gt;=4.5,"Excellent",IF(J26&gt;=3.5,"Good",IF(J26&gt;=2.5,"Adequate",IF(J26&gt;=1.5,"Needs Improvement","Poor")))))</f>
        <v/>
      </c>
      <c r="L26" s="15" t="n"/>
      <c r="M26" s="15" t="n"/>
      <c r="N26" s="15">
        <f>IF(K26="Excellent",C26+365,IF(K26="Good",C26+180,IF(K26="Adequate",C26+90,IF(K26&lt;&gt;"",C26+30,""))))</f>
        <v/>
      </c>
    </row>
    <row r="27">
      <c r="A27" s="15" t="n"/>
      <c r="B27" s="15" t="n"/>
      <c r="C27" s="15" t="n"/>
      <c r="D27" s="15" t="n"/>
      <c r="E27" s="15" t="n"/>
      <c r="F27" s="15" t="n"/>
      <c r="G27" s="15" t="n"/>
      <c r="H27" s="15" t="n"/>
      <c r="I27" s="15" t="n"/>
      <c r="J27" s="15">
        <f>IF(E27&lt;&gt;"",ROUND((E27*0.2)+(F27*0.2)+(G27*0.2)+(H27*0.2)+(I27*0.2),2),"")</f>
        <v/>
      </c>
      <c r="K27" s="15">
        <f>IF(J27="","",IF(J27&gt;=4.5,"Excellent",IF(J27&gt;=3.5,"Good",IF(J27&gt;=2.5,"Adequate",IF(J27&gt;=1.5,"Needs Improvement","Poor")))))</f>
        <v/>
      </c>
      <c r="L27" s="15" t="n"/>
      <c r="M27" s="15" t="n"/>
      <c r="N27" s="15">
        <f>IF(K27="Excellent",C27+365,IF(K27="Good",C27+180,IF(K27="Adequate",C27+90,IF(K27&lt;&gt;"",C27+30,""))))</f>
        <v/>
      </c>
    </row>
    <row r="28">
      <c r="A28" s="15" t="n"/>
      <c r="B28" s="15" t="n"/>
      <c r="C28" s="15" t="n"/>
      <c r="D28" s="15" t="n"/>
      <c r="E28" s="15" t="n"/>
      <c r="F28" s="15" t="n"/>
      <c r="G28" s="15" t="n"/>
      <c r="H28" s="15" t="n"/>
      <c r="I28" s="15" t="n"/>
      <c r="J28" s="15">
        <f>IF(E28&lt;&gt;"",ROUND((E28*0.2)+(F28*0.2)+(G28*0.2)+(H28*0.2)+(I28*0.2),2),"")</f>
        <v/>
      </c>
      <c r="K28" s="15">
        <f>IF(J28="","",IF(J28&gt;=4.5,"Excellent",IF(J28&gt;=3.5,"Good",IF(J28&gt;=2.5,"Adequate",IF(J28&gt;=1.5,"Needs Improvement","Poor")))))</f>
        <v/>
      </c>
      <c r="L28" s="15" t="n"/>
      <c r="M28" s="15" t="n"/>
      <c r="N28" s="15">
        <f>IF(K28="Excellent",C28+365,IF(K28="Good",C28+180,IF(K28="Adequate",C28+90,IF(K28&lt;&gt;"",C28+30,""))))</f>
        <v/>
      </c>
    </row>
    <row r="29">
      <c r="A29" s="15" t="n"/>
      <c r="B29" s="15" t="n"/>
      <c r="C29" s="15" t="n"/>
      <c r="D29" s="15" t="n"/>
      <c r="E29" s="15" t="n"/>
      <c r="F29" s="15" t="n"/>
      <c r="G29" s="15" t="n"/>
      <c r="H29" s="15" t="n"/>
      <c r="I29" s="15" t="n"/>
      <c r="J29" s="15">
        <f>IF(E29&lt;&gt;"",ROUND((E29*0.2)+(F29*0.2)+(G29*0.2)+(H29*0.2)+(I29*0.2),2),"")</f>
        <v/>
      </c>
      <c r="K29" s="15">
        <f>IF(J29="","",IF(J29&gt;=4.5,"Excellent",IF(J29&gt;=3.5,"Good",IF(J29&gt;=2.5,"Adequate",IF(J29&gt;=1.5,"Needs Improvement","Poor")))))</f>
        <v/>
      </c>
      <c r="L29" s="15" t="n"/>
      <c r="M29" s="15" t="n"/>
      <c r="N29" s="15">
        <f>IF(K29="Excellent",C29+365,IF(K29="Good",C29+180,IF(K29="Adequate",C29+90,IF(K29&lt;&gt;"",C29+30,""))))</f>
        <v/>
      </c>
    </row>
    <row r="30">
      <c r="A30" s="15" t="n"/>
      <c r="B30" s="15" t="n"/>
      <c r="C30" s="15" t="n"/>
      <c r="D30" s="15" t="n"/>
      <c r="E30" s="15" t="n"/>
      <c r="F30" s="15" t="n"/>
      <c r="G30" s="15" t="n"/>
      <c r="H30" s="15" t="n"/>
      <c r="I30" s="15" t="n"/>
      <c r="J30" s="15">
        <f>IF(E30&lt;&gt;"",ROUND((E30*0.2)+(F30*0.2)+(G30*0.2)+(H30*0.2)+(I30*0.2),2),"")</f>
        <v/>
      </c>
      <c r="K30" s="15">
        <f>IF(J30="","",IF(J30&gt;=4.5,"Excellent",IF(J30&gt;=3.5,"Good",IF(J30&gt;=2.5,"Adequate",IF(J30&gt;=1.5,"Needs Improvement","Poor")))))</f>
        <v/>
      </c>
      <c r="L30" s="15" t="n"/>
      <c r="M30" s="15" t="n"/>
      <c r="N30" s="15">
        <f>IF(K30="Excellent",C30+365,IF(K30="Good",C30+180,IF(K30="Adequate",C30+90,IF(K30&lt;&gt;"",C30+30,""))))</f>
        <v/>
      </c>
    </row>
    <row r="31">
      <c r="A31" s="15" t="n"/>
      <c r="B31" s="15" t="n"/>
      <c r="C31" s="15" t="n"/>
      <c r="D31" s="15" t="n"/>
      <c r="E31" s="15" t="n"/>
      <c r="F31" s="15" t="n"/>
      <c r="G31" s="15" t="n"/>
      <c r="H31" s="15" t="n"/>
      <c r="I31" s="15" t="n"/>
      <c r="J31" s="15">
        <f>IF(E31&lt;&gt;"",ROUND((E31*0.2)+(F31*0.2)+(G31*0.2)+(H31*0.2)+(I31*0.2),2),"")</f>
        <v/>
      </c>
      <c r="K31" s="15">
        <f>IF(J31="","",IF(J31&gt;=4.5,"Excellent",IF(J31&gt;=3.5,"Good",IF(J31&gt;=2.5,"Adequate",IF(J31&gt;=1.5,"Needs Improvement","Poor")))))</f>
        <v/>
      </c>
      <c r="L31" s="15" t="n"/>
      <c r="M31" s="15" t="n"/>
      <c r="N31" s="15">
        <f>IF(K31="Excellent",C31+365,IF(K31="Good",C31+180,IF(K31="Adequate",C31+90,IF(K31&lt;&gt;"",C31+30,""))))</f>
        <v/>
      </c>
    </row>
    <row r="32">
      <c r="A32" s="15" t="n"/>
      <c r="B32" s="15" t="n"/>
      <c r="C32" s="15" t="n"/>
      <c r="D32" s="15" t="n"/>
      <c r="E32" s="15" t="n"/>
      <c r="F32" s="15" t="n"/>
      <c r="G32" s="15" t="n"/>
      <c r="H32" s="15" t="n"/>
      <c r="I32" s="15" t="n"/>
      <c r="J32" s="15">
        <f>IF(E32&lt;&gt;"",ROUND((E32*0.2)+(F32*0.2)+(G32*0.2)+(H32*0.2)+(I32*0.2),2),"")</f>
        <v/>
      </c>
      <c r="K32" s="15">
        <f>IF(J32="","",IF(J32&gt;=4.5,"Excellent",IF(J32&gt;=3.5,"Good",IF(J32&gt;=2.5,"Adequate",IF(J32&gt;=1.5,"Needs Improvement","Poor")))))</f>
        <v/>
      </c>
      <c r="L32" s="15" t="n"/>
      <c r="M32" s="15" t="n"/>
      <c r="N32" s="15">
        <f>IF(K32="Excellent",C32+365,IF(K32="Good",C32+180,IF(K32="Adequate",C32+90,IF(K32&lt;&gt;"",C32+30,""))))</f>
        <v/>
      </c>
    </row>
    <row r="33">
      <c r="A33" s="15" t="n"/>
      <c r="B33" s="15" t="n"/>
      <c r="C33" s="15" t="n"/>
      <c r="D33" s="15" t="n"/>
      <c r="E33" s="15" t="n"/>
      <c r="F33" s="15" t="n"/>
      <c r="G33" s="15" t="n"/>
      <c r="H33" s="15" t="n"/>
      <c r="I33" s="15" t="n"/>
      <c r="J33" s="15">
        <f>IF(E33&lt;&gt;"",ROUND((E33*0.2)+(F33*0.2)+(G33*0.2)+(H33*0.2)+(I33*0.2),2),"")</f>
        <v/>
      </c>
      <c r="K33" s="15">
        <f>IF(J33="","",IF(J33&gt;=4.5,"Excellent",IF(J33&gt;=3.5,"Good",IF(J33&gt;=2.5,"Adequate",IF(J33&gt;=1.5,"Needs Improvement","Poor")))))</f>
        <v/>
      </c>
      <c r="L33" s="15" t="n"/>
      <c r="M33" s="15" t="n"/>
      <c r="N33" s="15">
        <f>IF(K33="Excellent",C33+365,IF(K33="Good",C33+180,IF(K33="Adequate",C33+90,IF(K33&lt;&gt;"",C33+30,""))))</f>
        <v/>
      </c>
    </row>
    <row r="34">
      <c r="A34" s="15" t="n"/>
      <c r="B34" s="15" t="n"/>
      <c r="C34" s="15" t="n"/>
      <c r="D34" s="15" t="n"/>
      <c r="E34" s="15" t="n"/>
      <c r="F34" s="15" t="n"/>
      <c r="G34" s="15" t="n"/>
      <c r="H34" s="15" t="n"/>
      <c r="I34" s="15" t="n"/>
      <c r="J34" s="15">
        <f>IF(E34&lt;&gt;"",ROUND((E34*0.2)+(F34*0.2)+(G34*0.2)+(H34*0.2)+(I34*0.2),2),"")</f>
        <v/>
      </c>
      <c r="K34" s="15">
        <f>IF(J34="","",IF(J34&gt;=4.5,"Excellent",IF(J34&gt;=3.5,"Good",IF(J34&gt;=2.5,"Adequate",IF(J34&gt;=1.5,"Needs Improvement","Poor")))))</f>
        <v/>
      </c>
      <c r="L34" s="15" t="n"/>
      <c r="M34" s="15" t="n"/>
      <c r="N34" s="15">
        <f>IF(K34="Excellent",C34+365,IF(K34="Good",C34+180,IF(K34="Adequate",C34+90,IF(K34&lt;&gt;"",C34+30,""))))</f>
        <v/>
      </c>
    </row>
    <row r="35">
      <c r="A35" s="15" t="n"/>
      <c r="B35" s="15" t="n"/>
      <c r="C35" s="15" t="n"/>
      <c r="D35" s="15" t="n"/>
      <c r="E35" s="15" t="n"/>
      <c r="F35" s="15" t="n"/>
      <c r="G35" s="15" t="n"/>
      <c r="H35" s="15" t="n"/>
      <c r="I35" s="15" t="n"/>
      <c r="J35" s="15">
        <f>IF(E35&lt;&gt;"",ROUND((E35*0.2)+(F35*0.2)+(G35*0.2)+(H35*0.2)+(I35*0.2),2),"")</f>
        <v/>
      </c>
      <c r="K35" s="15">
        <f>IF(J35="","",IF(J35&gt;=4.5,"Excellent",IF(J35&gt;=3.5,"Good",IF(J35&gt;=2.5,"Adequate",IF(J35&gt;=1.5,"Needs Improvement","Poor")))))</f>
        <v/>
      </c>
      <c r="L35" s="15" t="n"/>
      <c r="M35" s="15" t="n"/>
      <c r="N35" s="15">
        <f>IF(K35="Excellent",C35+365,IF(K35="Good",C35+180,IF(K35="Adequate",C35+90,IF(K35&lt;&gt;"",C35+30,""))))</f>
        <v/>
      </c>
    </row>
    <row r="36">
      <c r="A36" s="15" t="n"/>
      <c r="B36" s="15" t="n"/>
      <c r="C36" s="15" t="n"/>
      <c r="D36" s="15" t="n"/>
      <c r="E36" s="15" t="n"/>
      <c r="F36" s="15" t="n"/>
      <c r="G36" s="15" t="n"/>
      <c r="H36" s="15" t="n"/>
      <c r="I36" s="15" t="n"/>
      <c r="J36" s="15">
        <f>IF(E36&lt;&gt;"",ROUND((E36*0.2)+(F36*0.2)+(G36*0.2)+(H36*0.2)+(I36*0.2),2),"")</f>
        <v/>
      </c>
      <c r="K36" s="15">
        <f>IF(J36="","",IF(J36&gt;=4.5,"Excellent",IF(J36&gt;=3.5,"Good",IF(J36&gt;=2.5,"Adequate",IF(J36&gt;=1.5,"Needs Improvement","Poor")))))</f>
        <v/>
      </c>
      <c r="L36" s="15" t="n"/>
      <c r="M36" s="15" t="n"/>
      <c r="N36" s="15">
        <f>IF(K36="Excellent",C36+365,IF(K36="Good",C36+180,IF(K36="Adequate",C36+90,IF(K36&lt;&gt;"",C36+30,""))))</f>
        <v/>
      </c>
    </row>
    <row r="37">
      <c r="A37" s="15" t="n"/>
      <c r="B37" s="15" t="n"/>
      <c r="C37" s="15" t="n"/>
      <c r="D37" s="15" t="n"/>
      <c r="E37" s="15" t="n"/>
      <c r="F37" s="15" t="n"/>
      <c r="G37" s="15" t="n"/>
      <c r="H37" s="15" t="n"/>
      <c r="I37" s="15" t="n"/>
      <c r="J37" s="15">
        <f>IF(E37&lt;&gt;"",ROUND((E37*0.2)+(F37*0.2)+(G37*0.2)+(H37*0.2)+(I37*0.2),2),"")</f>
        <v/>
      </c>
      <c r="K37" s="15">
        <f>IF(J37="","",IF(J37&gt;=4.5,"Excellent",IF(J37&gt;=3.5,"Good",IF(J37&gt;=2.5,"Adequate",IF(J37&gt;=1.5,"Needs Improvement","Poor")))))</f>
        <v/>
      </c>
      <c r="L37" s="15" t="n"/>
      <c r="M37" s="15" t="n"/>
      <c r="N37" s="15">
        <f>IF(K37="Excellent",C37+365,IF(K37="Good",C37+180,IF(K37="Adequate",C37+90,IF(K37&lt;&gt;"",C37+30,""))))</f>
        <v/>
      </c>
    </row>
    <row r="38">
      <c r="A38" s="15" t="n"/>
      <c r="B38" s="15" t="n"/>
      <c r="C38" s="15" t="n"/>
      <c r="D38" s="15" t="n"/>
      <c r="E38" s="15" t="n"/>
      <c r="F38" s="15" t="n"/>
      <c r="G38" s="15" t="n"/>
      <c r="H38" s="15" t="n"/>
      <c r="I38" s="15" t="n"/>
      <c r="J38" s="15">
        <f>IF(E38&lt;&gt;"",ROUND((E38*0.2)+(F38*0.2)+(G38*0.2)+(H38*0.2)+(I38*0.2),2),"")</f>
        <v/>
      </c>
      <c r="K38" s="15">
        <f>IF(J38="","",IF(J38&gt;=4.5,"Excellent",IF(J38&gt;=3.5,"Good",IF(J38&gt;=2.5,"Adequate",IF(J38&gt;=1.5,"Needs Improvement","Poor")))))</f>
        <v/>
      </c>
      <c r="L38" s="15" t="n"/>
      <c r="M38" s="15" t="n"/>
      <c r="N38" s="15">
        <f>IF(K38="Excellent",C38+365,IF(K38="Good",C38+180,IF(K38="Adequate",C38+90,IF(K38&lt;&gt;"",C38+30,""))))</f>
        <v/>
      </c>
    </row>
    <row r="39">
      <c r="A39" s="15" t="n"/>
      <c r="B39" s="15" t="n"/>
      <c r="C39" s="15" t="n"/>
      <c r="D39" s="15" t="n"/>
      <c r="E39" s="15" t="n"/>
      <c r="F39" s="15" t="n"/>
      <c r="G39" s="15" t="n"/>
      <c r="H39" s="15" t="n"/>
      <c r="I39" s="15" t="n"/>
      <c r="J39" s="15">
        <f>IF(E39&lt;&gt;"",ROUND((E39*0.2)+(F39*0.2)+(G39*0.2)+(H39*0.2)+(I39*0.2),2),"")</f>
        <v/>
      </c>
      <c r="K39" s="15">
        <f>IF(J39="","",IF(J39&gt;=4.5,"Excellent",IF(J39&gt;=3.5,"Good",IF(J39&gt;=2.5,"Adequate",IF(J39&gt;=1.5,"Needs Improvement","Poor")))))</f>
        <v/>
      </c>
      <c r="L39" s="15" t="n"/>
      <c r="M39" s="15" t="n"/>
      <c r="N39" s="15">
        <f>IF(K39="Excellent",C39+365,IF(K39="Good",C39+180,IF(K39="Adequate",C39+90,IF(K39&lt;&gt;"",C39+30,""))))</f>
        <v/>
      </c>
    </row>
    <row r="40">
      <c r="A40" s="15" t="n"/>
      <c r="B40" s="15" t="n"/>
      <c r="C40" s="15" t="n"/>
      <c r="D40" s="15" t="n"/>
      <c r="E40" s="15" t="n"/>
      <c r="F40" s="15" t="n"/>
      <c r="G40" s="15" t="n"/>
      <c r="H40" s="15" t="n"/>
      <c r="I40" s="15" t="n"/>
      <c r="J40" s="15">
        <f>IF(E40&lt;&gt;"",ROUND((E40*0.2)+(F40*0.2)+(G40*0.2)+(H40*0.2)+(I40*0.2),2),"")</f>
        <v/>
      </c>
      <c r="K40" s="15">
        <f>IF(J40="","",IF(J40&gt;=4.5,"Excellent",IF(J40&gt;=3.5,"Good",IF(J40&gt;=2.5,"Adequate",IF(J40&gt;=1.5,"Needs Improvement","Poor")))))</f>
        <v/>
      </c>
      <c r="L40" s="15" t="n"/>
      <c r="M40" s="15" t="n"/>
      <c r="N40" s="15">
        <f>IF(K40="Excellent",C40+365,IF(K40="Good",C40+180,IF(K40="Adequate",C40+90,IF(K40&lt;&gt;"",C40+30,""))))</f>
        <v/>
      </c>
    </row>
    <row r="41">
      <c r="A41" s="15" t="n"/>
      <c r="B41" s="15" t="n"/>
      <c r="C41" s="15" t="n"/>
      <c r="D41" s="15" t="n"/>
      <c r="E41" s="15" t="n"/>
      <c r="F41" s="15" t="n"/>
      <c r="G41" s="15" t="n"/>
      <c r="H41" s="15" t="n"/>
      <c r="I41" s="15" t="n"/>
      <c r="J41" s="15">
        <f>IF(E41&lt;&gt;"",ROUND((E41*0.2)+(F41*0.2)+(G41*0.2)+(H41*0.2)+(I41*0.2),2),"")</f>
        <v/>
      </c>
      <c r="K41" s="15">
        <f>IF(J41="","",IF(J41&gt;=4.5,"Excellent",IF(J41&gt;=3.5,"Good",IF(J41&gt;=2.5,"Adequate",IF(J41&gt;=1.5,"Needs Improvement","Poor")))))</f>
        <v/>
      </c>
      <c r="L41" s="15" t="n"/>
      <c r="M41" s="15" t="n"/>
      <c r="N41" s="15">
        <f>IF(K41="Excellent",C41+365,IF(K41="Good",C41+180,IF(K41="Adequate",C41+90,IF(K41&lt;&gt;"",C41+30,""))))</f>
        <v/>
      </c>
    </row>
    <row r="42">
      <c r="A42" s="15" t="n"/>
      <c r="B42" s="15" t="n"/>
      <c r="C42" s="15" t="n"/>
      <c r="D42" s="15" t="n"/>
      <c r="E42" s="15" t="n"/>
      <c r="F42" s="15" t="n"/>
      <c r="G42" s="15" t="n"/>
      <c r="H42" s="15" t="n"/>
      <c r="I42" s="15" t="n"/>
      <c r="J42" s="15">
        <f>IF(E42&lt;&gt;"",ROUND((E42*0.2)+(F42*0.2)+(G42*0.2)+(H42*0.2)+(I42*0.2),2),"")</f>
        <v/>
      </c>
      <c r="K42" s="15">
        <f>IF(J42="","",IF(J42&gt;=4.5,"Excellent",IF(J42&gt;=3.5,"Good",IF(J42&gt;=2.5,"Adequate",IF(J42&gt;=1.5,"Needs Improvement","Poor")))))</f>
        <v/>
      </c>
      <c r="L42" s="15" t="n"/>
      <c r="M42" s="15" t="n"/>
      <c r="N42" s="15">
        <f>IF(K42="Excellent",C42+365,IF(K42="Good",C42+180,IF(K42="Adequate",C42+90,IF(K42&lt;&gt;"",C42+30,""))))</f>
        <v/>
      </c>
    </row>
    <row r="43">
      <c r="A43" s="15" t="n"/>
      <c r="B43" s="15" t="n"/>
      <c r="C43" s="15" t="n"/>
      <c r="D43" s="15" t="n"/>
      <c r="E43" s="15" t="n"/>
      <c r="F43" s="15" t="n"/>
      <c r="G43" s="15" t="n"/>
      <c r="H43" s="15" t="n"/>
      <c r="I43" s="15" t="n"/>
      <c r="J43" s="15">
        <f>IF(E43&lt;&gt;"",ROUND((E43*0.2)+(F43*0.2)+(G43*0.2)+(H43*0.2)+(I43*0.2),2),"")</f>
        <v/>
      </c>
      <c r="K43" s="15">
        <f>IF(J43="","",IF(J43&gt;=4.5,"Excellent",IF(J43&gt;=3.5,"Good",IF(J43&gt;=2.5,"Adequate",IF(J43&gt;=1.5,"Needs Improvement","Poor")))))</f>
        <v/>
      </c>
      <c r="L43" s="15" t="n"/>
      <c r="M43" s="15" t="n"/>
      <c r="N43" s="15">
        <f>IF(K43="Excellent",C43+365,IF(K43="Good",C43+180,IF(K43="Adequate",C43+90,IF(K43&lt;&gt;"",C43+30,""))))</f>
        <v/>
      </c>
    </row>
    <row r="44">
      <c r="A44" s="15" t="n"/>
      <c r="B44" s="15" t="n"/>
      <c r="C44" s="15" t="n"/>
      <c r="D44" s="15" t="n"/>
      <c r="E44" s="15" t="n"/>
      <c r="F44" s="15" t="n"/>
      <c r="G44" s="15" t="n"/>
      <c r="H44" s="15" t="n"/>
      <c r="I44" s="15" t="n"/>
      <c r="J44" s="15">
        <f>IF(E44&lt;&gt;"",ROUND((E44*0.2)+(F44*0.2)+(G44*0.2)+(H44*0.2)+(I44*0.2),2),"")</f>
        <v/>
      </c>
      <c r="K44" s="15">
        <f>IF(J44="","",IF(J44&gt;=4.5,"Excellent",IF(J44&gt;=3.5,"Good",IF(J44&gt;=2.5,"Adequate",IF(J44&gt;=1.5,"Needs Improvement","Poor")))))</f>
        <v/>
      </c>
      <c r="L44" s="15" t="n"/>
      <c r="M44" s="15" t="n"/>
      <c r="N44" s="15">
        <f>IF(K44="Excellent",C44+365,IF(K44="Good",C44+180,IF(K44="Adequate",C44+90,IF(K44&lt;&gt;"",C44+30,""))))</f>
        <v/>
      </c>
    </row>
    <row r="45">
      <c r="A45" s="15" t="n"/>
      <c r="B45" s="15" t="n"/>
      <c r="C45" s="15" t="n"/>
      <c r="D45" s="15" t="n"/>
      <c r="E45" s="15" t="n"/>
      <c r="F45" s="15" t="n"/>
      <c r="G45" s="15" t="n"/>
      <c r="H45" s="15" t="n"/>
      <c r="I45" s="15" t="n"/>
      <c r="J45" s="15">
        <f>IF(E45&lt;&gt;"",ROUND((E45*0.2)+(F45*0.2)+(G45*0.2)+(H45*0.2)+(I45*0.2),2),"")</f>
        <v/>
      </c>
      <c r="K45" s="15">
        <f>IF(J45="","",IF(J45&gt;=4.5,"Excellent",IF(J45&gt;=3.5,"Good",IF(J45&gt;=2.5,"Adequate",IF(J45&gt;=1.5,"Needs Improvement","Poor")))))</f>
        <v/>
      </c>
      <c r="L45" s="15" t="n"/>
      <c r="M45" s="15" t="n"/>
      <c r="N45" s="15">
        <f>IF(K45="Excellent",C45+365,IF(K45="Good",C45+180,IF(K45="Adequate",C45+90,IF(K45&lt;&gt;"",C45+30,""))))</f>
        <v/>
      </c>
    </row>
    <row r="46">
      <c r="A46" s="15" t="n"/>
      <c r="B46" s="15" t="n"/>
      <c r="C46" s="15" t="n"/>
      <c r="D46" s="15" t="n"/>
      <c r="E46" s="15" t="n"/>
      <c r="F46" s="15" t="n"/>
      <c r="G46" s="15" t="n"/>
      <c r="H46" s="15" t="n"/>
      <c r="I46" s="15" t="n"/>
      <c r="J46" s="15">
        <f>IF(E46&lt;&gt;"",ROUND((E46*0.2)+(F46*0.2)+(G46*0.2)+(H46*0.2)+(I46*0.2),2),"")</f>
        <v/>
      </c>
      <c r="K46" s="15">
        <f>IF(J46="","",IF(J46&gt;=4.5,"Excellent",IF(J46&gt;=3.5,"Good",IF(J46&gt;=2.5,"Adequate",IF(J46&gt;=1.5,"Needs Improvement","Poor")))))</f>
        <v/>
      </c>
      <c r="L46" s="15" t="n"/>
      <c r="M46" s="15" t="n"/>
      <c r="N46" s="15">
        <f>IF(K46="Excellent",C46+365,IF(K46="Good",C46+180,IF(K46="Adequate",C46+90,IF(K46&lt;&gt;"",C46+30,""))))</f>
        <v/>
      </c>
    </row>
    <row r="47">
      <c r="A47" s="15" t="n"/>
      <c r="B47" s="15" t="n"/>
      <c r="C47" s="15" t="n"/>
      <c r="D47" s="15" t="n"/>
      <c r="E47" s="15" t="n"/>
      <c r="F47" s="15" t="n"/>
      <c r="G47" s="15" t="n"/>
      <c r="H47" s="15" t="n"/>
      <c r="I47" s="15" t="n"/>
      <c r="J47" s="15">
        <f>IF(E47&lt;&gt;"",ROUND((E47*0.2)+(F47*0.2)+(G47*0.2)+(H47*0.2)+(I47*0.2),2),"")</f>
        <v/>
      </c>
      <c r="K47" s="15">
        <f>IF(J47="","",IF(J47&gt;=4.5,"Excellent",IF(J47&gt;=3.5,"Good",IF(J47&gt;=2.5,"Adequate",IF(J47&gt;=1.5,"Needs Improvement","Poor")))))</f>
        <v/>
      </c>
      <c r="L47" s="15" t="n"/>
      <c r="M47" s="15" t="n"/>
      <c r="N47" s="15">
        <f>IF(K47="Excellent",C47+365,IF(K47="Good",C47+180,IF(K47="Adequate",C47+90,IF(K47&lt;&gt;"",C47+30,""))))</f>
        <v/>
      </c>
    </row>
    <row r="48">
      <c r="A48" s="15" t="n"/>
      <c r="B48" s="15" t="n"/>
      <c r="C48" s="15" t="n"/>
      <c r="D48" s="15" t="n"/>
      <c r="E48" s="15" t="n"/>
      <c r="F48" s="15" t="n"/>
      <c r="G48" s="15" t="n"/>
      <c r="H48" s="15" t="n"/>
      <c r="I48" s="15" t="n"/>
      <c r="J48" s="15">
        <f>IF(E48&lt;&gt;"",ROUND((E48*0.2)+(F48*0.2)+(G48*0.2)+(H48*0.2)+(I48*0.2),2),"")</f>
        <v/>
      </c>
      <c r="K48" s="15">
        <f>IF(J48="","",IF(J48&gt;=4.5,"Excellent",IF(J48&gt;=3.5,"Good",IF(J48&gt;=2.5,"Adequate",IF(J48&gt;=1.5,"Needs Improvement","Poor")))))</f>
        <v/>
      </c>
      <c r="L48" s="15" t="n"/>
      <c r="M48" s="15" t="n"/>
      <c r="N48" s="15">
        <f>IF(K48="Excellent",C48+365,IF(K48="Good",C48+180,IF(K48="Adequate",C48+90,IF(K48&lt;&gt;"",C48+30,""))))</f>
        <v/>
      </c>
    </row>
    <row r="49">
      <c r="A49" s="15" t="n"/>
      <c r="B49" s="15" t="n"/>
      <c r="C49" s="15" t="n"/>
      <c r="D49" s="15" t="n"/>
      <c r="E49" s="15" t="n"/>
      <c r="F49" s="15" t="n"/>
      <c r="G49" s="15" t="n"/>
      <c r="H49" s="15" t="n"/>
      <c r="I49" s="15" t="n"/>
      <c r="J49" s="15">
        <f>IF(E49&lt;&gt;"",ROUND((E49*0.2)+(F49*0.2)+(G49*0.2)+(H49*0.2)+(I49*0.2),2),"")</f>
        <v/>
      </c>
      <c r="K49" s="15">
        <f>IF(J49="","",IF(J49&gt;=4.5,"Excellent",IF(J49&gt;=3.5,"Good",IF(J49&gt;=2.5,"Adequate",IF(J49&gt;=1.5,"Needs Improvement","Poor")))))</f>
        <v/>
      </c>
      <c r="L49" s="15" t="n"/>
      <c r="M49" s="15" t="n"/>
      <c r="N49" s="15">
        <f>IF(K49="Excellent",C49+365,IF(K49="Good",C49+180,IF(K49="Adequate",C49+90,IF(K49&lt;&gt;"",C49+30,""))))</f>
        <v/>
      </c>
    </row>
    <row r="50">
      <c r="A50" s="15" t="n"/>
      <c r="B50" s="15" t="n"/>
      <c r="C50" s="15" t="n"/>
      <c r="D50" s="15" t="n"/>
      <c r="E50" s="15" t="n"/>
      <c r="F50" s="15" t="n"/>
      <c r="G50" s="15" t="n"/>
      <c r="H50" s="15" t="n"/>
      <c r="I50" s="15" t="n"/>
      <c r="J50" s="15">
        <f>IF(E50&lt;&gt;"",ROUND((E50*0.2)+(F50*0.2)+(G50*0.2)+(H50*0.2)+(I50*0.2),2),"")</f>
        <v/>
      </c>
      <c r="K50" s="15">
        <f>IF(J50="","",IF(J50&gt;=4.5,"Excellent",IF(J50&gt;=3.5,"Good",IF(J50&gt;=2.5,"Adequate",IF(J50&gt;=1.5,"Needs Improvement","Poor")))))</f>
        <v/>
      </c>
      <c r="L50" s="15" t="n"/>
      <c r="M50" s="15" t="n"/>
      <c r="N50" s="15">
        <f>IF(K50="Excellent",C50+365,IF(K50="Good",C50+180,IF(K50="Adequate",C50+90,IF(K50&lt;&gt;"",C50+30,""))))</f>
        <v/>
      </c>
    </row>
    <row r="51">
      <c r="A51" s="15" t="n"/>
      <c r="B51" s="15" t="n"/>
      <c r="C51" s="15" t="n"/>
      <c r="D51" s="15" t="n"/>
      <c r="E51" s="15" t="n"/>
      <c r="F51" s="15" t="n"/>
      <c r="G51" s="15" t="n"/>
      <c r="H51" s="15" t="n"/>
      <c r="I51" s="15" t="n"/>
      <c r="J51" s="15">
        <f>IF(E51&lt;&gt;"",ROUND((E51*0.2)+(F51*0.2)+(G51*0.2)+(H51*0.2)+(I51*0.2),2),"")</f>
        <v/>
      </c>
      <c r="K51" s="15">
        <f>IF(J51="","",IF(J51&gt;=4.5,"Excellent",IF(J51&gt;=3.5,"Good",IF(J51&gt;=2.5,"Adequate",IF(J51&gt;=1.5,"Needs Improvement","Poor")))))</f>
        <v/>
      </c>
      <c r="L51" s="15" t="n"/>
      <c r="M51" s="15" t="n"/>
      <c r="N51" s="15">
        <f>IF(K51="Excellent",C51+365,IF(K51="Good",C51+180,IF(K51="Adequate",C51+90,IF(K51&lt;&gt;"",C51+30,""))))</f>
        <v/>
      </c>
    </row>
    <row r="52">
      <c r="A52" s="15" t="n"/>
      <c r="B52" s="15" t="n"/>
      <c r="C52" s="15" t="n"/>
      <c r="D52" s="15" t="n"/>
      <c r="E52" s="15" t="n"/>
      <c r="F52" s="15" t="n"/>
      <c r="G52" s="15" t="n"/>
      <c r="H52" s="15" t="n"/>
      <c r="I52" s="15" t="n"/>
      <c r="J52" s="15">
        <f>IF(E52&lt;&gt;"",ROUND((E52*0.2)+(F52*0.2)+(G52*0.2)+(H52*0.2)+(I52*0.2),2),"")</f>
        <v/>
      </c>
      <c r="K52" s="15">
        <f>IF(J52="","",IF(J52&gt;=4.5,"Excellent",IF(J52&gt;=3.5,"Good",IF(J52&gt;=2.5,"Adequate",IF(J52&gt;=1.5,"Needs Improvement","Poor")))))</f>
        <v/>
      </c>
      <c r="L52" s="15" t="n"/>
      <c r="M52" s="15" t="n"/>
      <c r="N52" s="15">
        <f>IF(K52="Excellent",C52+365,IF(K52="Good",C52+180,IF(K52="Adequate",C52+90,IF(K52&lt;&gt;"",C52+30,""))))</f>
        <v/>
      </c>
    </row>
    <row r="53">
      <c r="A53" s="15" t="n"/>
      <c r="B53" s="15" t="n"/>
      <c r="C53" s="15" t="n"/>
      <c r="D53" s="15" t="n"/>
      <c r="E53" s="15" t="n"/>
      <c r="F53" s="15" t="n"/>
      <c r="G53" s="15" t="n"/>
      <c r="H53" s="15" t="n"/>
      <c r="I53" s="15" t="n"/>
      <c r="J53" s="15">
        <f>IF(E53&lt;&gt;"",ROUND((E53*0.2)+(F53*0.2)+(G53*0.2)+(H53*0.2)+(I53*0.2),2),"")</f>
        <v/>
      </c>
      <c r="K53" s="15">
        <f>IF(J53="","",IF(J53&gt;=4.5,"Excellent",IF(J53&gt;=3.5,"Good",IF(J53&gt;=2.5,"Adequate",IF(J53&gt;=1.5,"Needs Improvement","Poor")))))</f>
        <v/>
      </c>
      <c r="L53" s="15" t="n"/>
      <c r="M53" s="15" t="n"/>
      <c r="N53" s="15">
        <f>IF(K53="Excellent",C53+365,IF(K53="Good",C53+180,IF(K53="Adequate",C53+90,IF(K53&lt;&gt;"",C53+30,""))))</f>
        <v/>
      </c>
    </row>
    <row r="54">
      <c r="A54" s="15" t="n"/>
      <c r="B54" s="15" t="n"/>
      <c r="C54" s="15" t="n"/>
      <c r="D54" s="15" t="n"/>
      <c r="E54" s="15" t="n"/>
      <c r="F54" s="15" t="n"/>
      <c r="G54" s="15" t="n"/>
      <c r="H54" s="15" t="n"/>
      <c r="I54" s="15" t="n"/>
      <c r="J54" s="15">
        <f>IF(E54&lt;&gt;"",ROUND((E54*0.2)+(F54*0.2)+(G54*0.2)+(H54*0.2)+(I54*0.2),2),"")</f>
        <v/>
      </c>
      <c r="K54" s="15">
        <f>IF(J54="","",IF(J54&gt;=4.5,"Excellent",IF(J54&gt;=3.5,"Good",IF(J54&gt;=2.5,"Adequate",IF(J54&gt;=1.5,"Needs Improvement","Poor")))))</f>
        <v/>
      </c>
      <c r="L54" s="15" t="n"/>
      <c r="M54" s="15" t="n"/>
      <c r="N54" s="15">
        <f>IF(K54="Excellent",C54+365,IF(K54="Good",C54+180,IF(K54="Adequate",C54+90,IF(K54&lt;&gt;"",C54+30,""))))</f>
        <v/>
      </c>
    </row>
  </sheetData>
  <mergeCells count="2">
    <mergeCell ref="A2:N2"/>
    <mergeCell ref="A1:N1"/>
  </mergeCells>
  <dataValidations count="1">
    <dataValidation sqref="E5 E6 E7 E8 E9 E10 E11 E12 E13 E14 E15 E16 E17 E18 E19 E20 E21 E22 E23 E24 E25 E26 E27 E28 E29 E30 E31 E32 E33 E34 E35 E36 E37 E38 E39 E40 E41 E42 E43 E44 E45 E46 E47 E48 E49 E50 E51 E52 E53 E54 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showDropDown="0" showInputMessage="0" showErrorMessage="0" allowBlank="1" error="Score must be between 0 and 5" type="whole" operator="between">
      <formula1>0</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6"/>
  <sheetViews>
    <sheetView showGridLines="0" workbookViewId="0">
      <pane ySplit="3" topLeftCell="A4" activePane="bottomLeft" state="frozen"/>
      <selection pane="bottomLeft" activeCell="A1" sqref="A1"/>
    </sheetView>
  </sheetViews>
  <sheetFormatPr baseColWidth="8" defaultRowHeight="15"/>
  <cols>
    <col width="18" customWidth="1" min="1" max="1"/>
    <col width="20" customWidth="1" min="2" max="2"/>
    <col width="55" customWidth="1" min="3" max="3"/>
    <col width="14" customWidth="1" min="4" max="4"/>
    <col width="40" customWidth="1" min="5" max="5"/>
    <col width="40" customWidth="1" min="6" max="6"/>
  </cols>
  <sheetData>
    <row r="1" ht="35" customHeight="1">
      <c r="A1" s="11" t="inlineStr">
        <is>
          <t>QUALITY CHECKLIST</t>
        </is>
      </c>
    </row>
    <row r="2">
      <c r="A2" s="12" t="inlineStr">
        <is>
          <t>Systematic checklist for procedure quality — assess each item against a specific procedure and record findings</t>
        </is>
      </c>
    </row>
    <row r="3">
      <c r="A3" s="13" t="inlineStr">
        <is>
          <t>Procedure ID</t>
        </is>
      </c>
      <c r="B3" s="13" t="inlineStr">
        <is>
          <t>Check Category</t>
        </is>
      </c>
      <c r="C3" s="13" t="inlineStr">
        <is>
          <t>Check Item</t>
        </is>
      </c>
      <c r="D3" s="13" t="inlineStr">
        <is>
          <t>Status</t>
        </is>
      </c>
      <c r="E3" s="13" t="inlineStr">
        <is>
          <t>Finding</t>
        </is>
      </c>
      <c r="F3" s="13" t="inlineStr">
        <is>
          <t>Recommendation</t>
        </is>
      </c>
    </row>
    <row r="4">
      <c r="A4" s="14" t="n"/>
      <c r="B4" s="14" t="inlineStr">
        <is>
          <t>Document Structure</t>
        </is>
      </c>
      <c r="C4" s="14" t="inlineStr">
        <is>
          <t>Document ID and title present</t>
        </is>
      </c>
      <c r="D4" s="15" t="n"/>
      <c r="E4" s="15" t="n"/>
      <c r="F4" s="15" t="n"/>
    </row>
    <row r="5">
      <c r="A5" s="14" t="n"/>
      <c r="B5" s="14" t="inlineStr">
        <is>
          <t>Document Structure</t>
        </is>
      </c>
      <c r="C5" s="14" t="inlineStr">
        <is>
          <t>Version control information</t>
        </is>
      </c>
      <c r="D5" s="15" t="n"/>
      <c r="E5" s="15" t="n"/>
      <c r="F5" s="15" t="n"/>
    </row>
    <row r="6">
      <c r="A6" s="14" t="n"/>
      <c r="B6" s="14" t="inlineStr">
        <is>
          <t>Document Structure</t>
        </is>
      </c>
      <c r="C6" s="14" t="inlineStr">
        <is>
          <t>Owner and approver identified</t>
        </is>
      </c>
      <c r="D6" s="15" t="n"/>
      <c r="E6" s="15" t="n"/>
      <c r="F6" s="15" t="n"/>
    </row>
    <row r="7">
      <c r="A7" s="14" t="n"/>
      <c r="B7" s="14" t="inlineStr">
        <is>
          <t>Document Structure</t>
        </is>
      </c>
      <c r="C7" s="14" t="inlineStr">
        <is>
          <t>Last review date documented</t>
        </is>
      </c>
      <c r="D7" s="15" t="n"/>
      <c r="E7" s="15" t="n"/>
      <c r="F7" s="15" t="n"/>
    </row>
    <row r="8">
      <c r="A8" s="14" t="n"/>
      <c r="B8" s="14" t="inlineStr">
        <is>
          <t>Document Structure</t>
        </is>
      </c>
      <c r="C8" s="14" t="inlineStr">
        <is>
          <t>Scope clearly defined</t>
        </is>
      </c>
      <c r="D8" s="15" t="n"/>
      <c r="E8" s="15" t="n"/>
      <c r="F8" s="15" t="n"/>
    </row>
    <row r="9">
      <c r="A9" s="14" t="n"/>
      <c r="B9" s="14" t="inlineStr">
        <is>
          <t>Document Structure</t>
        </is>
      </c>
      <c r="C9" s="14" t="inlineStr">
        <is>
          <t>Prerequisites listed</t>
        </is>
      </c>
      <c r="D9" s="15" t="n"/>
      <c r="E9" s="15" t="n"/>
      <c r="F9" s="15" t="n"/>
    </row>
    <row r="10">
      <c r="A10" s="14" t="n"/>
      <c r="B10" s="14" t="inlineStr">
        <is>
          <t>Document Structure</t>
        </is>
      </c>
      <c r="C10" s="14" t="inlineStr">
        <is>
          <t>Related documents referenced</t>
        </is>
      </c>
      <c r="D10" s="15" t="n"/>
      <c r="E10" s="15" t="n"/>
      <c r="F10" s="15" t="n"/>
    </row>
    <row r="11">
      <c r="A11" s="14" t="n"/>
      <c r="B11" s="14" t="inlineStr">
        <is>
          <t>Content Quality</t>
        </is>
      </c>
      <c r="C11" s="14" t="inlineStr">
        <is>
          <t>Purpose statement clear</t>
        </is>
      </c>
      <c r="D11" s="15" t="n"/>
      <c r="E11" s="15" t="n"/>
      <c r="F11" s="15" t="n"/>
    </row>
    <row r="12">
      <c r="A12" s="14" t="n"/>
      <c r="B12" s="14" t="inlineStr">
        <is>
          <t>Content Quality</t>
        </is>
      </c>
      <c r="C12" s="14" t="inlineStr">
        <is>
          <t>Step-by-step instructions</t>
        </is>
      </c>
      <c r="D12" s="15" t="n"/>
      <c r="E12" s="15" t="n"/>
      <c r="F12" s="15" t="n"/>
    </row>
    <row r="13">
      <c r="A13" s="14" t="n"/>
      <c r="B13" s="14" t="inlineStr">
        <is>
          <t>Content Quality</t>
        </is>
      </c>
      <c r="C13" s="14" t="inlineStr">
        <is>
          <t>Decision trees/flowcharts where needed</t>
        </is>
      </c>
      <c r="D13" s="15" t="n"/>
      <c r="E13" s="15" t="n"/>
      <c r="F13" s="15" t="n"/>
    </row>
    <row r="14">
      <c r="A14" s="14" t="n"/>
      <c r="B14" s="14" t="inlineStr">
        <is>
          <t>Content Quality</t>
        </is>
      </c>
      <c r="C14" s="14" t="inlineStr">
        <is>
          <t>Screenshots/diagrams included</t>
        </is>
      </c>
      <c r="D14" s="15" t="n"/>
      <c r="E14" s="15" t="n"/>
      <c r="F14" s="15" t="n"/>
    </row>
    <row r="15">
      <c r="A15" s="14" t="n"/>
      <c r="B15" s="14" t="inlineStr">
        <is>
          <t>Content Quality</t>
        </is>
      </c>
      <c r="C15" s="14" t="inlineStr">
        <is>
          <t>Error handling documented</t>
        </is>
      </c>
      <c r="D15" s="15" t="n"/>
      <c r="E15" s="15" t="n"/>
      <c r="F15" s="15" t="n"/>
    </row>
    <row r="16">
      <c r="A16" s="14" t="n"/>
      <c r="B16" s="14" t="inlineStr">
        <is>
          <t>Content Quality</t>
        </is>
      </c>
      <c r="C16" s="14" t="inlineStr">
        <is>
          <t>Escalation procedures defined</t>
        </is>
      </c>
      <c r="D16" s="15" t="n"/>
      <c r="E16" s="15" t="n"/>
      <c r="F16" s="15" t="n"/>
    </row>
    <row r="17">
      <c r="A17" s="14" t="n"/>
      <c r="B17" s="14" t="inlineStr">
        <is>
          <t>Content Quality</t>
        </is>
      </c>
      <c r="C17" s="14" t="inlineStr">
        <is>
          <t>Contact information current</t>
        </is>
      </c>
      <c r="D17" s="15" t="n"/>
      <c r="E17" s="15" t="n"/>
      <c r="F17" s="15" t="n"/>
    </row>
    <row r="18">
      <c r="A18" s="14" t="n"/>
      <c r="B18" s="14" t="inlineStr">
        <is>
          <t>Content Quality</t>
        </is>
      </c>
      <c r="C18" s="14" t="inlineStr">
        <is>
          <t>Glossary of terms (if needed)</t>
        </is>
      </c>
      <c r="D18" s="15" t="n"/>
      <c r="E18" s="15" t="n"/>
      <c r="F18" s="15" t="n"/>
    </row>
    <row r="19">
      <c r="A19" s="14" t="n"/>
      <c r="B19" s="14" t="inlineStr">
        <is>
          <t>Operational Elements</t>
        </is>
      </c>
      <c r="C19" s="14" t="inlineStr">
        <is>
          <t>Pre-execution checks defined</t>
        </is>
      </c>
      <c r="D19" s="15" t="n"/>
      <c r="E19" s="15" t="n"/>
      <c r="F19" s="15" t="n"/>
    </row>
    <row r="20">
      <c r="A20" s="14" t="n"/>
      <c r="B20" s="14" t="inlineStr">
        <is>
          <t>Operational Elements</t>
        </is>
      </c>
      <c r="C20" s="14" t="inlineStr">
        <is>
          <t>Execution steps numbered</t>
        </is>
      </c>
      <c r="D20" s="15" t="n"/>
      <c r="E20" s="15" t="n"/>
      <c r="F20" s="15" t="n"/>
    </row>
    <row r="21">
      <c r="A21" s="14" t="n"/>
      <c r="B21" s="14" t="inlineStr">
        <is>
          <t>Operational Elements</t>
        </is>
      </c>
      <c r="C21" s="14" t="inlineStr">
        <is>
          <t>Verification steps included</t>
        </is>
      </c>
      <c r="D21" s="15" t="n"/>
      <c r="E21" s="15" t="n"/>
      <c r="F21" s="15" t="n"/>
    </row>
    <row r="22">
      <c r="A22" s="14" t="n"/>
      <c r="B22" s="14" t="inlineStr">
        <is>
          <t>Operational Elements</t>
        </is>
      </c>
      <c r="C22" s="14" t="inlineStr">
        <is>
          <t>Expected outcomes stated</t>
        </is>
      </c>
      <c r="D22" s="15" t="n"/>
      <c r="E22" s="15" t="n"/>
      <c r="F22" s="15" t="n"/>
    </row>
    <row r="23">
      <c r="A23" s="14" t="n"/>
      <c r="B23" s="14" t="inlineStr">
        <is>
          <t>Operational Elements</t>
        </is>
      </c>
      <c r="C23" s="14" t="inlineStr">
        <is>
          <t>Rollback procedures documented</t>
        </is>
      </c>
      <c r="D23" s="15" t="n"/>
      <c r="E23" s="15" t="n"/>
      <c r="F23" s="15" t="n"/>
    </row>
    <row r="24">
      <c r="A24" s="14" t="n"/>
      <c r="B24" s="14" t="inlineStr">
        <is>
          <t>Operational Elements</t>
        </is>
      </c>
      <c r="C24" s="14" t="inlineStr">
        <is>
          <t>Recovery steps included</t>
        </is>
      </c>
      <c r="D24" s="15" t="n"/>
      <c r="E24" s="15" t="n"/>
      <c r="F24" s="15" t="n"/>
    </row>
    <row r="25">
      <c r="A25" s="14" t="n"/>
      <c r="B25" s="14" t="inlineStr">
        <is>
          <t>Operational Elements</t>
        </is>
      </c>
      <c r="C25" s="14" t="inlineStr">
        <is>
          <t>Time estimates provided</t>
        </is>
      </c>
      <c r="D25" s="15" t="n"/>
      <c r="E25" s="15" t="n"/>
      <c r="F25" s="15" t="n"/>
    </row>
    <row r="26">
      <c r="A26" s="14" t="n"/>
      <c r="B26" s="14" t="inlineStr">
        <is>
          <t>Operational Elements</t>
        </is>
      </c>
      <c r="C26" s="14" t="inlineStr">
        <is>
          <t>Resource requirements listed</t>
        </is>
      </c>
      <c r="D26" s="15" t="n"/>
      <c r="E26" s="15" t="n"/>
      <c r="F26" s="15" t="n"/>
    </row>
    <row r="27">
      <c r="A27" s="15" t="n"/>
      <c r="B27" s="15" t="n"/>
      <c r="C27" s="15" t="n"/>
      <c r="D27" s="15" t="n"/>
      <c r="E27" s="15" t="n"/>
      <c r="F27" s="15" t="n"/>
    </row>
    <row r="28">
      <c r="A28" s="15" t="n"/>
      <c r="B28" s="15" t="n"/>
      <c r="C28" s="15" t="n"/>
      <c r="D28" s="15" t="n"/>
      <c r="E28" s="15" t="n"/>
      <c r="F28" s="15" t="n"/>
    </row>
    <row r="29">
      <c r="A29" s="15" t="n"/>
      <c r="B29" s="15" t="n"/>
      <c r="C29" s="15" t="n"/>
      <c r="D29" s="15" t="n"/>
      <c r="E29" s="15" t="n"/>
      <c r="F29" s="15" t="n"/>
    </row>
    <row r="30">
      <c r="A30" s="15" t="n"/>
      <c r="B30" s="15" t="n"/>
      <c r="C30" s="15" t="n"/>
      <c r="D30" s="15" t="n"/>
      <c r="E30" s="15" t="n"/>
      <c r="F30" s="15" t="n"/>
    </row>
    <row r="31">
      <c r="A31" s="15" t="n"/>
      <c r="B31" s="15" t="n"/>
      <c r="C31" s="15" t="n"/>
      <c r="D31" s="15" t="n"/>
      <c r="E31" s="15" t="n"/>
      <c r="F31" s="15" t="n"/>
    </row>
    <row r="32">
      <c r="A32" s="15" t="n"/>
      <c r="B32" s="15" t="n"/>
      <c r="C32" s="15" t="n"/>
      <c r="D32" s="15" t="n"/>
      <c r="E32" s="15" t="n"/>
      <c r="F32" s="15" t="n"/>
    </row>
    <row r="33">
      <c r="A33" s="15" t="n"/>
      <c r="B33" s="15" t="n"/>
      <c r="C33" s="15" t="n"/>
      <c r="D33" s="15" t="n"/>
      <c r="E33" s="15" t="n"/>
      <c r="F33" s="15" t="n"/>
    </row>
    <row r="34">
      <c r="A34" s="15" t="n"/>
      <c r="B34" s="15" t="n"/>
      <c r="C34" s="15" t="n"/>
      <c r="D34" s="15" t="n"/>
      <c r="E34" s="15" t="n"/>
      <c r="F34" s="15" t="n"/>
    </row>
    <row r="35">
      <c r="A35" s="15" t="n"/>
      <c r="B35" s="15" t="n"/>
      <c r="C35" s="15" t="n"/>
      <c r="D35" s="15" t="n"/>
      <c r="E35" s="15" t="n"/>
      <c r="F35" s="15" t="n"/>
    </row>
    <row r="36">
      <c r="A36" s="15" t="n"/>
      <c r="B36" s="15" t="n"/>
      <c r="C36" s="15" t="n"/>
      <c r="D36" s="15" t="n"/>
      <c r="E36" s="15" t="n"/>
      <c r="F36" s="15" t="n"/>
    </row>
    <row r="37">
      <c r="A37" s="15" t="n"/>
      <c r="B37" s="15" t="n"/>
      <c r="C37" s="15" t="n"/>
      <c r="D37" s="15" t="n"/>
      <c r="E37" s="15" t="n"/>
      <c r="F37" s="15" t="n"/>
    </row>
    <row r="38">
      <c r="A38" s="15" t="n"/>
      <c r="B38" s="15" t="n"/>
      <c r="C38" s="15" t="n"/>
      <c r="D38" s="15" t="n"/>
      <c r="E38" s="15" t="n"/>
      <c r="F38" s="15" t="n"/>
    </row>
    <row r="39">
      <c r="A39" s="15" t="n"/>
      <c r="B39" s="15" t="n"/>
      <c r="C39" s="15" t="n"/>
      <c r="D39" s="15" t="n"/>
      <c r="E39" s="15" t="n"/>
      <c r="F39" s="15" t="n"/>
    </row>
    <row r="40">
      <c r="A40" s="15" t="n"/>
      <c r="B40" s="15" t="n"/>
      <c r="C40" s="15" t="n"/>
      <c r="D40" s="15" t="n"/>
      <c r="E40" s="15" t="n"/>
      <c r="F40" s="15" t="n"/>
    </row>
    <row r="41">
      <c r="A41" s="15" t="n"/>
      <c r="B41" s="15" t="n"/>
      <c r="C41" s="15" t="n"/>
      <c r="D41" s="15" t="n"/>
      <c r="E41" s="15" t="n"/>
      <c r="F41" s="15" t="n"/>
    </row>
    <row r="42">
      <c r="A42" s="15" t="n"/>
      <c r="B42" s="15" t="n"/>
      <c r="C42" s="15" t="n"/>
      <c r="D42" s="15" t="n"/>
      <c r="E42" s="15" t="n"/>
      <c r="F42" s="15" t="n"/>
    </row>
    <row r="43">
      <c r="A43" s="15" t="n"/>
      <c r="B43" s="15" t="n"/>
      <c r="C43" s="15" t="n"/>
      <c r="D43" s="15" t="n"/>
      <c r="E43" s="15" t="n"/>
      <c r="F43" s="15" t="n"/>
    </row>
    <row r="44">
      <c r="A44" s="15" t="n"/>
      <c r="B44" s="15" t="n"/>
      <c r="C44" s="15" t="n"/>
      <c r="D44" s="15" t="n"/>
      <c r="E44" s="15" t="n"/>
      <c r="F44" s="15" t="n"/>
    </row>
    <row r="45">
      <c r="A45" s="15" t="n"/>
      <c r="B45" s="15" t="n"/>
      <c r="C45" s="15" t="n"/>
      <c r="D45" s="15" t="n"/>
      <c r="E45" s="15" t="n"/>
      <c r="F45" s="15" t="n"/>
    </row>
    <row r="46">
      <c r="A46" s="15" t="n"/>
      <c r="B46" s="15" t="n"/>
      <c r="C46" s="15" t="n"/>
      <c r="D46" s="15" t="n"/>
      <c r="E46" s="15" t="n"/>
      <c r="F46" s="15" t="n"/>
    </row>
    <row r="47">
      <c r="A47" s="15" t="n"/>
      <c r="B47" s="15" t="n"/>
      <c r="C47" s="15" t="n"/>
      <c r="D47" s="15" t="n"/>
      <c r="E47" s="15" t="n"/>
      <c r="F47" s="15" t="n"/>
    </row>
    <row r="48">
      <c r="A48" s="15" t="n"/>
      <c r="B48" s="15" t="n"/>
      <c r="C48" s="15" t="n"/>
      <c r="D48" s="15" t="n"/>
      <c r="E48" s="15" t="n"/>
      <c r="F48" s="15" t="n"/>
    </row>
    <row r="49">
      <c r="A49" s="15" t="n"/>
      <c r="B49" s="15" t="n"/>
      <c r="C49" s="15" t="n"/>
      <c r="D49" s="15" t="n"/>
      <c r="E49" s="15" t="n"/>
      <c r="F49" s="15" t="n"/>
    </row>
    <row r="50">
      <c r="A50" s="15" t="n"/>
      <c r="B50" s="15" t="n"/>
      <c r="C50" s="15" t="n"/>
      <c r="D50" s="15" t="n"/>
      <c r="E50" s="15" t="n"/>
      <c r="F50" s="15" t="n"/>
    </row>
    <row r="51">
      <c r="A51" s="15" t="n"/>
      <c r="B51" s="15" t="n"/>
      <c r="C51" s="15" t="n"/>
      <c r="D51" s="15" t="n"/>
      <c r="E51" s="15" t="n"/>
      <c r="F51" s="15" t="n"/>
    </row>
    <row r="52">
      <c r="A52" s="15" t="n"/>
      <c r="B52" s="15" t="n"/>
      <c r="C52" s="15" t="n"/>
      <c r="D52" s="15" t="n"/>
      <c r="E52" s="15" t="n"/>
      <c r="F52" s="15" t="n"/>
    </row>
    <row r="53">
      <c r="A53" s="15" t="n"/>
      <c r="B53" s="15" t="n"/>
      <c r="C53" s="15" t="n"/>
      <c r="D53" s="15" t="n"/>
      <c r="E53" s="15" t="n"/>
      <c r="F53" s="15" t="n"/>
    </row>
    <row r="54">
      <c r="A54" s="15" t="n"/>
      <c r="B54" s="15" t="n"/>
      <c r="C54" s="15" t="n"/>
      <c r="D54" s="15" t="n"/>
      <c r="E54" s="15" t="n"/>
      <c r="F54" s="15" t="n"/>
    </row>
    <row r="55">
      <c r="A55" s="15" t="n"/>
      <c r="B55" s="15" t="n"/>
      <c r="C55" s="15" t="n"/>
      <c r="D55" s="15" t="n"/>
      <c r="E55" s="15" t="n"/>
      <c r="F55" s="15" t="n"/>
    </row>
    <row r="56">
      <c r="A56" s="15" t="n"/>
      <c r="B56" s="15" t="n"/>
      <c r="C56" s="15" t="n"/>
      <c r="D56" s="15" t="n"/>
      <c r="E56" s="15" t="n"/>
      <c r="F56" s="15" t="n"/>
    </row>
    <row r="57">
      <c r="A57" s="15" t="n"/>
      <c r="B57" s="15" t="n"/>
      <c r="C57" s="15" t="n"/>
      <c r="D57" s="15" t="n"/>
      <c r="E57" s="15" t="n"/>
      <c r="F57" s="15" t="n"/>
    </row>
    <row r="58">
      <c r="A58" s="15" t="n"/>
      <c r="B58" s="15" t="n"/>
      <c r="C58" s="15" t="n"/>
      <c r="D58" s="15" t="n"/>
      <c r="E58" s="15" t="n"/>
      <c r="F58" s="15" t="n"/>
    </row>
    <row r="59">
      <c r="A59" s="15" t="n"/>
      <c r="B59" s="15" t="n"/>
      <c r="C59" s="15" t="n"/>
      <c r="D59" s="15" t="n"/>
      <c r="E59" s="15" t="n"/>
      <c r="F59" s="15" t="n"/>
    </row>
    <row r="60">
      <c r="A60" s="15" t="n"/>
      <c r="B60" s="15" t="n"/>
      <c r="C60" s="15" t="n"/>
      <c r="D60" s="15" t="n"/>
      <c r="E60" s="15" t="n"/>
      <c r="F60" s="15" t="n"/>
    </row>
    <row r="61">
      <c r="A61" s="15" t="n"/>
      <c r="B61" s="15" t="n"/>
      <c r="C61" s="15" t="n"/>
      <c r="D61" s="15" t="n"/>
      <c r="E61" s="15" t="n"/>
      <c r="F61" s="15" t="n"/>
    </row>
    <row r="62">
      <c r="A62" s="15" t="n"/>
      <c r="B62" s="15" t="n"/>
      <c r="C62" s="15" t="n"/>
      <c r="D62" s="15" t="n"/>
      <c r="E62" s="15" t="n"/>
      <c r="F62" s="15" t="n"/>
    </row>
    <row r="63">
      <c r="A63" s="15" t="n"/>
      <c r="B63" s="15" t="n"/>
      <c r="C63" s="15" t="n"/>
      <c r="D63" s="15" t="n"/>
      <c r="E63" s="15" t="n"/>
      <c r="F63" s="15" t="n"/>
    </row>
    <row r="64">
      <c r="A64" s="15" t="n"/>
      <c r="B64" s="15" t="n"/>
      <c r="C64" s="15" t="n"/>
      <c r="D64" s="15" t="n"/>
      <c r="E64" s="15" t="n"/>
      <c r="F64" s="15" t="n"/>
    </row>
    <row r="65">
      <c r="A65" s="15" t="n"/>
      <c r="B65" s="15" t="n"/>
      <c r="C65" s="15" t="n"/>
      <c r="D65" s="15" t="n"/>
      <c r="E65" s="15" t="n"/>
      <c r="F65" s="15" t="n"/>
    </row>
    <row r="66">
      <c r="A66" s="15" t="n"/>
      <c r="B66" s="15" t="n"/>
      <c r="C66" s="15" t="n"/>
      <c r="D66" s="15" t="n"/>
      <c r="E66" s="15" t="n"/>
      <c r="F66" s="15" t="n"/>
    </row>
    <row r="67">
      <c r="A67" s="15" t="n"/>
      <c r="B67" s="15" t="n"/>
      <c r="C67" s="15" t="n"/>
      <c r="D67" s="15" t="n"/>
      <c r="E67" s="15" t="n"/>
      <c r="F67" s="15" t="n"/>
    </row>
    <row r="68">
      <c r="A68" s="15" t="n"/>
      <c r="B68" s="15" t="n"/>
      <c r="C68" s="15" t="n"/>
      <c r="D68" s="15" t="n"/>
      <c r="E68" s="15" t="n"/>
      <c r="F68" s="15" t="n"/>
    </row>
    <row r="69">
      <c r="A69" s="15" t="n"/>
      <c r="B69" s="15" t="n"/>
      <c r="C69" s="15" t="n"/>
      <c r="D69" s="15" t="n"/>
      <c r="E69" s="15" t="n"/>
      <c r="F69" s="15" t="n"/>
    </row>
    <row r="70">
      <c r="A70" s="15" t="n"/>
      <c r="B70" s="15" t="n"/>
      <c r="C70" s="15" t="n"/>
      <c r="D70" s="15" t="n"/>
      <c r="E70" s="15" t="n"/>
      <c r="F70" s="15" t="n"/>
    </row>
    <row r="71">
      <c r="A71" s="15" t="n"/>
      <c r="B71" s="15" t="n"/>
      <c r="C71" s="15" t="n"/>
      <c r="D71" s="15" t="n"/>
      <c r="E71" s="15" t="n"/>
      <c r="F71" s="15" t="n"/>
    </row>
    <row r="72">
      <c r="A72" s="15" t="n"/>
      <c r="B72" s="15" t="n"/>
      <c r="C72" s="15" t="n"/>
      <c r="D72" s="15" t="n"/>
      <c r="E72" s="15" t="n"/>
      <c r="F72" s="15" t="n"/>
    </row>
    <row r="73">
      <c r="A73" s="15" t="n"/>
      <c r="B73" s="15" t="n"/>
      <c r="C73" s="15" t="n"/>
      <c r="D73" s="15" t="n"/>
      <c r="E73" s="15" t="n"/>
      <c r="F73" s="15" t="n"/>
    </row>
    <row r="74">
      <c r="A74" s="15" t="n"/>
      <c r="B74" s="15" t="n"/>
      <c r="C74" s="15" t="n"/>
      <c r="D74" s="15" t="n"/>
      <c r="E74" s="15" t="n"/>
      <c r="F74" s="15" t="n"/>
    </row>
    <row r="75">
      <c r="A75" s="15" t="n"/>
      <c r="B75" s="15" t="n"/>
      <c r="C75" s="15" t="n"/>
      <c r="D75" s="15" t="n"/>
      <c r="E75" s="15" t="n"/>
      <c r="F75" s="15" t="n"/>
    </row>
    <row r="76">
      <c r="A76" s="15" t="n"/>
      <c r="B76" s="15" t="n"/>
      <c r="C76" s="15" t="n"/>
      <c r="D76" s="15" t="n"/>
      <c r="E76" s="15" t="n"/>
      <c r="F76" s="15" t="n"/>
    </row>
  </sheetData>
  <mergeCells count="2">
    <mergeCell ref="A2:F2"/>
    <mergeCell ref="A1:F1"/>
  </mergeCells>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showDropDown="0" showInputMessage="0" showErrorMessage="0" allowBlank="0" type="list">
      <formula1>"Pass,Partial,Fail,N/A"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18" customWidth="1" min="3" max="3"/>
    <col width="40" customWidth="1" min="4" max="4"/>
    <col width="40" customWidth="1" min="5" max="5"/>
    <col width="22" customWidth="1" min="6" max="6"/>
    <col width="14" customWidth="1" min="7" max="7"/>
    <col width="16" customWidth="1" min="8" max="8"/>
    <col width="16" customWidth="1" min="9" max="9"/>
    <col width="16" customWidth="1" min="10" max="10"/>
    <col width="30" customWidth="1" min="11" max="11"/>
  </cols>
  <sheetData>
    <row r="1" ht="35" customHeight="1">
      <c r="A1" s="11" t="inlineStr">
        <is>
          <t>IMPROVEMENT ACTIONS</t>
        </is>
      </c>
    </row>
    <row r="2">
      <c r="A2" s="12" t="inlineStr">
        <is>
          <t>Track improvement actions identified during quality assessments — assign owners, priorities and target dates</t>
        </is>
      </c>
    </row>
    <row r="3">
      <c r="A3" s="13" t="inlineStr">
        <is>
          <t>Action ID</t>
        </is>
      </c>
      <c r="B3" s="13" t="inlineStr">
        <is>
          <t>Procedure ID</t>
        </is>
      </c>
      <c r="C3" s="13" t="inlineStr">
        <is>
          <t>Dimension</t>
        </is>
      </c>
      <c r="D3" s="13" t="inlineStr">
        <is>
          <t>Issue Description</t>
        </is>
      </c>
      <c r="E3" s="13" t="inlineStr">
        <is>
          <t>Action Required</t>
        </is>
      </c>
      <c r="F3" s="13" t="inlineStr">
        <is>
          <t>Owner</t>
        </is>
      </c>
      <c r="G3" s="13" t="inlineStr">
        <is>
          <t>Priority</t>
        </is>
      </c>
      <c r="H3" s="13" t="inlineStr">
        <is>
          <t>Target Date</t>
        </is>
      </c>
      <c r="I3" s="13" t="inlineStr">
        <is>
          <t>Status</t>
        </is>
      </c>
      <c r="J3" s="13" t="inlineStr">
        <is>
          <t>Completion Date</t>
        </is>
      </c>
      <c r="K3" s="13" t="inlineStr">
        <is>
          <t>Verification</t>
        </is>
      </c>
    </row>
    <row r="4">
      <c r="A4" s="14" t="inlineStr">
        <is>
          <t>ACT-001</t>
        </is>
      </c>
      <c r="B4" s="14" t="inlineStr">
        <is>
          <t>PROC-001</t>
        </is>
      </c>
      <c r="C4" s="14" t="inlineStr">
        <is>
          <t>Completeness</t>
        </is>
      </c>
      <c r="D4" s="14" t="inlineStr">
        <is>
          <t>Rollback procedure not documented</t>
        </is>
      </c>
      <c r="E4" s="14" t="inlineStr">
        <is>
          <t>Add rollback steps to section 4</t>
        </is>
      </c>
      <c r="F4" s="14" t="inlineStr">
        <is>
          <t>IT Operations Manager</t>
        </is>
      </c>
      <c r="G4" s="14" t="inlineStr">
        <is>
          <t>High</t>
        </is>
      </c>
      <c r="H4" s="14" t="inlineStr">
        <is>
          <t>01.03.2026</t>
        </is>
      </c>
      <c r="I4" s="14" t="inlineStr">
        <is>
          <t>Open</t>
        </is>
      </c>
      <c r="J4" s="14" t="inlineStr"/>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3">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"Clarity,Completeness,Accuracy,Usability,Maintainability"</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"Critical,High,Medium,Low"</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"Open,In Progress,Completed,Cancelled"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
  <sheetViews>
    <sheetView showGridLines="0" workbookViewId="0">
      <pane ySplit="3" topLeftCell="A4" activePane="bottomLeft" state="frozen"/>
      <selection pane="bottomLeft" activeCell="A1" sqref="A1"/>
    </sheetView>
  </sheetViews>
  <sheetFormatPr baseColWidth="8" defaultRowHeight="15"/>
  <cols>
    <col width="16" customWidth="1" min="1" max="1"/>
    <col width="18" customWidth="1" min="2" max="2"/>
    <col width="14" customWidth="1" min="3" max="3"/>
    <col width="16" customWidth="1" min="4" max="4"/>
    <col width="14" customWidth="1" min="5" max="5"/>
    <col width="14" customWidth="1" min="6" max="6"/>
    <col width="18" customWidth="1" min="7" max="7"/>
    <col width="14" customWidth="1" min="8" max="8"/>
    <col width="16" customWidth="1" min="9" max="9"/>
    <col width="14" customWidth="1" min="10" max="10"/>
    <col width="14" customWidth="1" min="11" max="11"/>
  </cols>
  <sheetData>
    <row r="1" ht="35" customHeight="1">
      <c r="A1" s="11" t="inlineStr">
        <is>
          <t>TREND ANALYSIS</t>
        </is>
      </c>
    </row>
    <row r="2">
      <c r="A2" s="12" t="inlineStr">
        <is>
          <t>Track quality score trends over time — record period averages to identify improvement or decline patterns</t>
        </is>
      </c>
    </row>
    <row r="3">
      <c r="A3" s="13" t="inlineStr">
        <is>
          <t>Period</t>
        </is>
      </c>
      <c r="B3" s="13" t="inlineStr">
        <is>
          <t>Procedures Assessed</t>
        </is>
      </c>
      <c r="C3" s="13" t="inlineStr">
        <is>
          <t>Avg Clarity</t>
        </is>
      </c>
      <c r="D3" s="13" t="inlineStr">
        <is>
          <t>Avg Completeness</t>
        </is>
      </c>
      <c r="E3" s="13" t="inlineStr">
        <is>
          <t>Avg Accuracy</t>
        </is>
      </c>
      <c r="F3" s="13" t="inlineStr">
        <is>
          <t>Avg Usability</t>
        </is>
      </c>
      <c r="G3" s="13" t="inlineStr">
        <is>
          <t>Avg Maintainability</t>
        </is>
      </c>
      <c r="H3" s="13" t="inlineStr">
        <is>
          <t>Overall Avg</t>
        </is>
      </c>
      <c r="I3" s="13" t="inlineStr">
        <is>
          <t>Excellent Count</t>
        </is>
      </c>
      <c r="J3" s="13" t="inlineStr">
        <is>
          <t>Poor Count</t>
        </is>
      </c>
      <c r="K3" s="13" t="inlineStr">
        <is>
          <t>Improvement %</t>
        </is>
      </c>
    </row>
    <row r="4">
      <c r="A4" s="14" t="inlineStr">
        <is>
          <t>Q1 2026</t>
        </is>
      </c>
      <c r="B4" s="14" t="n">
        <v>15</v>
      </c>
      <c r="C4" s="14" t="n">
        <v>3.8</v>
      </c>
      <c r="D4" s="14" t="n">
        <v>4.1</v>
      </c>
      <c r="E4" s="14" t="n">
        <v>3.9</v>
      </c>
      <c r="F4" s="14" t="n">
        <v>3.5</v>
      </c>
      <c r="G4" s="14" t="n">
        <v>3.7</v>
      </c>
      <c r="H4" s="14" t="n">
        <v>3.8</v>
      </c>
      <c r="I4" s="14" t="n">
        <v>4</v>
      </c>
      <c r="J4" s="14" t="n">
        <v>1</v>
      </c>
      <c r="K4" s="14" t="inlineStr">
        <is>
          <t>12%</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Quality Assessment</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Verified</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PROCEDURE QUALITY ASSESSMENT — SUMMARY DASHBOARD</t>
        </is>
      </c>
      <c r="B1" s="23" t="n"/>
      <c r="C1" s="23" t="n"/>
      <c r="D1" s="23" t="n"/>
      <c r="E1" s="23" t="n"/>
      <c r="F1" s="23" t="n"/>
      <c r="G1" s="23" t="n"/>
    </row>
    <row r="2">
      <c r="A2" s="24" t="inlineStr">
        <is>
          <t>ISO/IEC 27001:2022 — Control A.5.37: Documented Operating Procedures</t>
        </is>
      </c>
    </row>
    <row r="4" ht="20" customHeight="1">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Quality Assessment</t>
        </is>
      </c>
      <c r="B6" s="28">
        <f>COUNTA('Quality Assessment'!B5:B54)</f>
        <v/>
      </c>
      <c r="C6" s="28">
        <f>COUNTIF('Quality Assessment'!K5:K54,"Excellent")+COUNTIF('Quality Assessment'!K5:K54,"Good")</f>
        <v/>
      </c>
      <c r="D6" s="28">
        <f>COUNTIF('Quality Assessment'!K5:K54,"Adequate")+COUNTIF('Quality Assessment'!K5:K54,"Needs Improvement")</f>
        <v/>
      </c>
      <c r="E6" s="28">
        <f>COUNTIF('Quality Assessment'!K5:K54,"Poor")</f>
        <v/>
      </c>
      <c r="F6" s="28">
        <f>0</f>
        <v/>
      </c>
      <c r="G6" s="29">
        <f>IFERROR(IF((B6-F6)=0,0,C6/(B6-F6)),"")</f>
        <v/>
      </c>
    </row>
    <row r="7">
      <c r="A7" s="27" t="inlineStr">
        <is>
          <t>Quality Checklist</t>
        </is>
      </c>
      <c r="B7" s="28">
        <f>COUNTA('Quality Checklist'!C5:C76)</f>
        <v/>
      </c>
      <c r="C7" s="28">
        <f>COUNTIF('Quality Checklist'!D5:D76,"Pass")</f>
        <v/>
      </c>
      <c r="D7" s="28">
        <f>COUNTIF('Quality Checklist'!D5:D76,"Partial")</f>
        <v/>
      </c>
      <c r="E7" s="28">
        <f>COUNTIF('Quality Checklist'!D5:D76,"Fail")</f>
        <v/>
      </c>
      <c r="F7" s="28">
        <f>COUNTIF('Quality Checklist'!D5:D76,"N/A")</f>
        <v/>
      </c>
      <c r="G7" s="29">
        <f>IFERROR(IF((B7-F7)=0,0,C7/(B7-F7)),"")</f>
        <v/>
      </c>
    </row>
    <row r="8">
      <c r="A8" s="27" t="inlineStr">
        <is>
          <t>Improvement Actions</t>
        </is>
      </c>
      <c r="B8" s="28">
        <f>COUNTA('Improvement Actions'!B5:B54)</f>
        <v/>
      </c>
      <c r="C8" s="28">
        <f>COUNTIF('Improvement Actions'!I5:I54,"Completed")</f>
        <v/>
      </c>
      <c r="D8" s="28">
        <f>COUNTIF('Improvement Actions'!I5:I54,"In Progress")</f>
        <v/>
      </c>
      <c r="E8" s="28">
        <f>COUNTIF('Improvement Actions'!I5:I54,"Open")</f>
        <v/>
      </c>
      <c r="F8" s="28">
        <f>COUNTIF('Improvement Actions'!I5:I54,"Cancelled")</f>
        <v/>
      </c>
      <c r="G8" s="29">
        <f>IFERROR(IF((B8-F8)=0,0,C8/(B8-F8)),"")</f>
        <v/>
      </c>
    </row>
    <row r="9">
      <c r="A9" s="27" t="inlineStr">
        <is>
          <t>Trend Analysis</t>
        </is>
      </c>
      <c r="B9" s="28">
        <f>COUNTA('Trend Analysis'!A5:A24)</f>
        <v/>
      </c>
      <c r="C9" s="28">
        <f>0</f>
        <v/>
      </c>
      <c r="D9" s="28">
        <f>0</f>
        <v/>
      </c>
      <c r="E9" s="28">
        <f>0</f>
        <v/>
      </c>
      <c r="F9" s="28">
        <f>0</f>
        <v/>
      </c>
      <c r="G9" s="29">
        <f>IFERROR(IF((B9-F9)=0,0,C9/(B9-F9)),"")</f>
        <v/>
      </c>
    </row>
    <row r="10">
      <c r="A10" s="30" t="inlineStr">
        <is>
          <t>TOTAL</t>
        </is>
      </c>
      <c r="B10" s="31">
        <f>SUM(B6:B9)</f>
        <v/>
      </c>
      <c r="C10" s="31">
        <f>SUM(C6:C9)</f>
        <v/>
      </c>
      <c r="D10" s="31">
        <f>SUM(D6:D9)</f>
        <v/>
      </c>
      <c r="E10" s="31">
        <f>SUM(E6:E9)</f>
        <v/>
      </c>
      <c r="F10" s="31">
        <f>SUM(F6:F9)</f>
        <v/>
      </c>
      <c r="G10" s="32">
        <f>IFERROR(IF((B10-F10)=0,0,C10/(B10-F10)),"")</f>
        <v/>
      </c>
    </row>
    <row r="12" ht="20" customHeight="1">
      <c r="A12" s="25" t="inlineStr">
        <is>
          <t>TABLE 2: KEY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Procedures Assessed</t>
        </is>
      </c>
      <c r="B14" s="28">
        <f>COUNTA('Quality Assessment'!B5:B54)</f>
        <v/>
      </c>
      <c r="C14" s="23" t="n"/>
      <c r="D14" s="23" t="n"/>
      <c r="E14" s="23" t="n"/>
      <c r="F14" s="23" t="n"/>
      <c r="G14" s="23" t="n"/>
    </row>
    <row r="15">
      <c r="A15" s="27" t="inlineStr">
        <is>
          <t>Excellent Quality Procedures</t>
        </is>
      </c>
      <c r="B15" s="28">
        <f>COUNTIF('Quality Assessment'!K5:K54,"Excellent")</f>
        <v/>
      </c>
      <c r="C15" s="23" t="n"/>
      <c r="D15" s="23" t="n"/>
      <c r="E15" s="23" t="n"/>
      <c r="F15" s="23" t="n"/>
      <c r="G15" s="23" t="n"/>
    </row>
    <row r="16">
      <c r="A16" s="27" t="inlineStr">
        <is>
          <t>Good Quality Procedures</t>
        </is>
      </c>
      <c r="B16" s="28">
        <f>COUNTIF('Quality Assessment'!K5:K54,"Good")</f>
        <v/>
      </c>
      <c r="C16" s="23" t="n"/>
      <c r="D16" s="23" t="n"/>
      <c r="E16" s="23" t="n"/>
      <c r="F16" s="23" t="n"/>
      <c r="G16" s="23" t="n"/>
    </row>
    <row r="17">
      <c r="A17" s="27" t="inlineStr">
        <is>
          <t>Adequate Quality Procedures</t>
        </is>
      </c>
      <c r="B17" s="28">
        <f>COUNTIF('Quality Assessment'!K5:K54,"Adequate")</f>
        <v/>
      </c>
      <c r="C17" s="23" t="n"/>
      <c r="D17" s="23" t="n"/>
      <c r="E17" s="23" t="n"/>
      <c r="F17" s="23" t="n"/>
      <c r="G17" s="23" t="n"/>
    </row>
    <row r="18">
      <c r="A18" s="27" t="inlineStr">
        <is>
          <t>Needs Improvement Procedures</t>
        </is>
      </c>
      <c r="B18" s="28">
        <f>COUNTIF('Quality Assessment'!K5:K54,"Needs Improvement")</f>
        <v/>
      </c>
      <c r="C18" s="23" t="n"/>
      <c r="D18" s="23" t="n"/>
      <c r="E18" s="23" t="n"/>
      <c r="F18" s="23" t="n"/>
      <c r="G18" s="23" t="n"/>
    </row>
    <row r="19">
      <c r="A19" s="27" t="inlineStr">
        <is>
          <t>Poor Quality Procedures (Immediate Rework)</t>
        </is>
      </c>
      <c r="B19" s="28">
        <f>COUNTIF('Quality Assessment'!K5:K54,"Poor")</f>
        <v/>
      </c>
      <c r="C19" s="23" t="n"/>
      <c r="D19" s="23" t="n"/>
      <c r="E19" s="23" t="n"/>
      <c r="F19" s="23" t="n"/>
      <c r="G19" s="23" t="n"/>
    </row>
    <row r="20">
      <c r="A20" s="27" t="inlineStr">
        <is>
          <t>Average Clarity Score (0-5)</t>
        </is>
      </c>
      <c r="B20" s="28">
        <f>IFERROR(ROUND(AVERAGE('Quality Assessment'!E5:E54),2),"")</f>
        <v/>
      </c>
      <c r="C20" s="23" t="n"/>
      <c r="D20" s="23" t="n"/>
      <c r="E20" s="23" t="n"/>
      <c r="F20" s="23" t="n"/>
      <c r="G20" s="23" t="n"/>
    </row>
    <row r="21">
      <c r="A21" s="27" t="inlineStr">
        <is>
          <t>Average Completeness Score (0-5)</t>
        </is>
      </c>
      <c r="B21" s="28">
        <f>IFERROR(ROUND(AVERAGE('Quality Assessment'!F5:F54),2),"")</f>
        <v/>
      </c>
      <c r="C21" s="23" t="n"/>
      <c r="D21" s="23" t="n"/>
      <c r="E21" s="23" t="n"/>
      <c r="F21" s="23" t="n"/>
      <c r="G21" s="23" t="n"/>
    </row>
    <row r="22">
      <c r="A22" s="27" t="inlineStr">
        <is>
          <t>Average Accuracy Score (0-5)</t>
        </is>
      </c>
      <c r="B22" s="28">
        <f>IFERROR(ROUND(AVERAGE('Quality Assessment'!G5:G54),2),"")</f>
        <v/>
      </c>
      <c r="C22" s="23" t="n"/>
      <c r="D22" s="23" t="n"/>
      <c r="E22" s="23" t="n"/>
      <c r="F22" s="23" t="n"/>
      <c r="G22" s="23" t="n"/>
    </row>
    <row r="23">
      <c r="A23" s="27" t="inlineStr">
        <is>
          <t>Average Usability Score (0-5)</t>
        </is>
      </c>
      <c r="B23" s="28">
        <f>IFERROR(ROUND(AVERAGE('Quality Assessment'!H5:H54),2),"")</f>
        <v/>
      </c>
      <c r="C23" s="23" t="n"/>
      <c r="D23" s="23" t="n"/>
      <c r="E23" s="23" t="n"/>
      <c r="F23" s="23" t="n"/>
      <c r="G23" s="23" t="n"/>
    </row>
    <row r="24">
      <c r="A24" s="27" t="inlineStr">
        <is>
          <t>Average Maintainability Score (0-5)</t>
        </is>
      </c>
      <c r="B24" s="28">
        <f>IFERROR(ROUND(AVERAGE('Quality Assessment'!I5:I54),2),"")</f>
        <v/>
      </c>
      <c r="C24" s="23" t="n"/>
      <c r="D24" s="23" t="n"/>
      <c r="E24" s="23" t="n"/>
      <c r="F24" s="23" t="n"/>
      <c r="G24" s="23" t="n"/>
    </row>
    <row r="25">
      <c r="A25" s="27" t="inlineStr">
        <is>
          <t>Total Improvement Actions</t>
        </is>
      </c>
      <c r="B25" s="28">
        <f>COUNTA('Improvement Actions'!B5:B54)</f>
        <v/>
      </c>
      <c r="C25" s="23" t="n"/>
      <c r="D25" s="23" t="n"/>
      <c r="E25" s="23" t="n"/>
      <c r="F25" s="23" t="n"/>
      <c r="G25" s="23" t="n"/>
    </row>
    <row r="26">
      <c r="A26" s="27" t="inlineStr">
        <is>
          <t>Critical Priority Actions</t>
        </is>
      </c>
      <c r="B26" s="28">
        <f>COUNTIF('Improvement Actions'!G5:G54,"Critical")</f>
        <v/>
      </c>
      <c r="C26" s="23" t="n"/>
      <c r="D26" s="23" t="n"/>
      <c r="E26" s="23" t="n"/>
      <c r="F26" s="23" t="n"/>
      <c r="G26" s="23" t="n"/>
    </row>
    <row r="27">
      <c r="A27" s="27" t="inlineStr">
        <is>
          <t>High Priority Actions</t>
        </is>
      </c>
      <c r="B27" s="28">
        <f>COUNTIF('Improvement Actions'!G5:G54,"High")</f>
        <v/>
      </c>
      <c r="C27" s="23" t="n"/>
      <c r="D27" s="23" t="n"/>
      <c r="E27" s="23" t="n"/>
      <c r="F27" s="23" t="n"/>
      <c r="G27" s="23" t="n"/>
    </row>
    <row r="28">
      <c r="A28" s="27" t="inlineStr">
        <is>
          <t>Open Improvement Actions</t>
        </is>
      </c>
      <c r="B28" s="28">
        <f>COUNTIF('Improvement Actions'!I5:I54,"Open")</f>
        <v/>
      </c>
      <c r="C28" s="23" t="n"/>
      <c r="D28" s="23" t="n"/>
      <c r="E28" s="23" t="n"/>
      <c r="F28" s="23" t="n"/>
      <c r="G28" s="23" t="n"/>
    </row>
    <row r="29">
      <c r="A29" s="27" t="inlineStr">
        <is>
          <t>Completed Improvement Actions</t>
        </is>
      </c>
      <c r="B29" s="28">
        <f>COUNTIF('Improvement Actions'!I5:I54,"Completed")</f>
        <v/>
      </c>
      <c r="C29" s="23" t="n"/>
      <c r="D29" s="23" t="n"/>
      <c r="E29" s="23" t="n"/>
      <c r="F29" s="23" t="n"/>
      <c r="G29" s="23" t="n"/>
    </row>
    <row r="30">
      <c r="A30" s="27" t="inlineStr">
        <is>
          <t>Clarity Improvement Actions</t>
        </is>
      </c>
      <c r="B30" s="28">
        <f>COUNTIF('Improvement Actions'!C5:C54,"Clarity")</f>
        <v/>
      </c>
      <c r="C30" s="23" t="n"/>
      <c r="D30" s="23" t="n"/>
      <c r="E30" s="23" t="n"/>
      <c r="F30" s="23" t="n"/>
      <c r="G30" s="23" t="n"/>
    </row>
    <row r="31">
      <c r="A31" s="27" t="inlineStr">
        <is>
          <t>Completeness Improvement Actions</t>
        </is>
      </c>
      <c r="B31" s="28">
        <f>COUNTIF('Improvement Actions'!C5:C54,"Completeness")</f>
        <v/>
      </c>
      <c r="C31" s="23" t="n"/>
      <c r="D31" s="23" t="n"/>
      <c r="E31" s="23" t="n"/>
      <c r="F31" s="23" t="n"/>
      <c r="G31" s="23" t="n"/>
    </row>
    <row r="32">
      <c r="A32" s="27" t="inlineStr">
        <is>
          <t>Total Checklist Items</t>
        </is>
      </c>
      <c r="B32" s="28">
        <f>COUNTA('Quality Checklist'!C5:C76)</f>
        <v/>
      </c>
      <c r="C32" s="23" t="n"/>
      <c r="D32" s="23" t="n"/>
      <c r="E32" s="23" t="n"/>
      <c r="F32" s="23" t="n"/>
      <c r="G32" s="23" t="n"/>
    </row>
    <row r="33">
      <c r="A33" s="27" t="inlineStr">
        <is>
          <t>Checklist Items Passed</t>
        </is>
      </c>
      <c r="B33" s="28">
        <f>COUNTIF('Quality Checklist'!D5:D76,"Pass")</f>
        <v/>
      </c>
      <c r="C33" s="23" t="n"/>
      <c r="D33" s="23" t="n"/>
      <c r="E33" s="23" t="n"/>
      <c r="F33" s="23" t="n"/>
      <c r="G33" s="23" t="n"/>
    </row>
    <row r="34">
      <c r="A34" s="27" t="inlineStr">
        <is>
          <t>Checklist Items Failed</t>
        </is>
      </c>
      <c r="B34" s="28">
        <f>COUNTIF('Quality Checklist'!D5:D76,"Fail")</f>
        <v/>
      </c>
      <c r="C34" s="23" t="n"/>
      <c r="D34" s="23" t="n"/>
      <c r="E34" s="23" t="n"/>
      <c r="F34" s="23" t="n"/>
      <c r="G34" s="23" t="n"/>
    </row>
    <row r="35">
      <c r="A35" s="27" t="inlineStr">
        <is>
          <t>Checklist Items N/A</t>
        </is>
      </c>
      <c r="B35" s="28">
        <f>COUNTIF('Quality Checklist'!D5:D76,"N/A")</f>
        <v/>
      </c>
      <c r="C35" s="23" t="n"/>
      <c r="D35" s="23" t="n"/>
      <c r="E35" s="23" t="n"/>
      <c r="F35" s="23" t="n"/>
      <c r="G35" s="23" t="n"/>
    </row>
    <row r="36">
      <c r="A36" s="33" t="n"/>
      <c r="B36" s="33" t="n"/>
      <c r="C36" s="33" t="n"/>
      <c r="D36" s="33" t="n"/>
      <c r="E36" s="33" t="n"/>
      <c r="F36" s="33" t="n"/>
      <c r="G36" s="33" t="n"/>
    </row>
    <row r="37">
      <c r="A37" s="33" t="n"/>
      <c r="B37" s="33" t="n"/>
      <c r="C37" s="33" t="n"/>
      <c r="D37" s="33" t="n"/>
      <c r="E37" s="33" t="n"/>
      <c r="F37" s="33" t="n"/>
      <c r="G37" s="33" t="n"/>
    </row>
    <row r="39" ht="20" customHeight="1">
      <c r="A39" s="34" t="inlineStr">
        <is>
          <t>TABLE 3: CRITICAL FINDINGS REQUIRING IMMEDIATE ATTENTION</t>
        </is>
      </c>
      <c r="B39" s="23" t="n"/>
      <c r="C39" s="23" t="n"/>
      <c r="D39" s="23" t="n"/>
      <c r="E39" s="23" t="n"/>
      <c r="F39" s="23" t="n"/>
      <c r="G39" s="23" t="n"/>
    </row>
    <row r="40">
      <c r="A40" s="31" t="inlineStr">
        <is>
          <t>Category</t>
        </is>
      </c>
      <c r="B40" s="31" t="inlineStr">
        <is>
          <t>Finding</t>
        </is>
      </c>
      <c r="C40" s="31" t="inlineStr">
        <is>
          <t>Count</t>
        </is>
      </c>
      <c r="D40" s="31" t="inlineStr">
        <is>
          <t>Severity</t>
        </is>
      </c>
      <c r="E40" s="31" t="inlineStr">
        <is>
          <t>Action Required</t>
        </is>
      </c>
      <c r="F40" s="31" t="n"/>
      <c r="G40" s="31" t="n"/>
    </row>
    <row r="41">
      <c r="A41" s="35" t="inlineStr">
        <is>
          <t>Quality Assessment</t>
        </is>
      </c>
      <c r="B41" s="35" t="inlineStr">
        <is>
          <t>Poor quality procedures requiring immediate rework</t>
        </is>
      </c>
      <c r="C41" s="36">
        <f>COUNTIF('Quality Assessment'!K5:K54,"Poor")</f>
        <v/>
      </c>
      <c r="D41" s="35" t="inlineStr">
        <is>
          <t>Critical</t>
        </is>
      </c>
      <c r="E41" s="35" t="inlineStr">
        <is>
          <t>Immediate</t>
        </is>
      </c>
      <c r="F41" s="35" t="n"/>
      <c r="G41" s="35" t="n"/>
    </row>
    <row r="42">
      <c r="A42" s="35" t="inlineStr">
        <is>
          <t>Improvement Actions</t>
        </is>
      </c>
      <c r="B42" s="35" t="inlineStr">
        <is>
          <t>Critical priority improvement actions open</t>
        </is>
      </c>
      <c r="C42" s="36">
        <f>COUNTIFS('Improvement Actions'!G5:G54,"Critical",'Improvement Actions'!I5:I54,"Open")</f>
        <v/>
      </c>
      <c r="D42" s="35" t="inlineStr">
        <is>
          <t>Critical</t>
        </is>
      </c>
      <c r="E42" s="35" t="inlineStr">
        <is>
          <t>Immediate</t>
        </is>
      </c>
      <c r="F42" s="35" t="n"/>
      <c r="G42" s="35" t="n"/>
    </row>
    <row r="43">
      <c r="A43" s="35" t="inlineStr">
        <is>
          <t>Improvement Actions</t>
        </is>
      </c>
      <c r="B43" s="35" t="inlineStr">
        <is>
          <t>High priority open improvement actions</t>
        </is>
      </c>
      <c r="C43" s="36">
        <f>COUNTIFS('Improvement Actions'!G5:G54,"High",'Improvement Actions'!I5:I54,"Open")</f>
        <v/>
      </c>
      <c r="D43" s="35" t="inlineStr">
        <is>
          <t>High</t>
        </is>
      </c>
      <c r="E43" s="35" t="inlineStr">
        <is>
          <t>Urgent</t>
        </is>
      </c>
      <c r="F43" s="35" t="n"/>
      <c r="G43" s="35" t="n"/>
    </row>
    <row r="44">
      <c r="A44" s="35" t="inlineStr">
        <is>
          <t>Quality Checklist</t>
        </is>
      </c>
      <c r="B44" s="35" t="inlineStr">
        <is>
          <t>Failed checklist items (non-compliant elements)</t>
        </is>
      </c>
      <c r="C44" s="36">
        <f>COUNTIF('Quality Checklist'!D5:D76,"Fail")</f>
        <v/>
      </c>
      <c r="D44" s="35" t="inlineStr">
        <is>
          <t>High</t>
        </is>
      </c>
      <c r="E44" s="35" t="inlineStr">
        <is>
          <t>Urgent</t>
        </is>
      </c>
      <c r="F44" s="35" t="n"/>
      <c r="G44" s="35" t="n"/>
    </row>
    <row r="45">
      <c r="A45" s="35" t="inlineStr">
        <is>
          <t>Quality Assessment</t>
        </is>
      </c>
      <c r="B45" s="35" t="inlineStr">
        <is>
          <t>Procedures rated Needs Improvement</t>
        </is>
      </c>
      <c r="C45" s="36">
        <f>COUNTIF('Quality Assessment'!K5:K54,"Needs Improvement")</f>
        <v/>
      </c>
      <c r="D45" s="35" t="inlineStr">
        <is>
          <t>Medium</t>
        </is>
      </c>
      <c r="E45" s="35" t="inlineStr">
        <is>
          <t>Plan</t>
        </is>
      </c>
      <c r="F45" s="35" t="n"/>
      <c r="G45" s="35" t="n"/>
    </row>
    <row r="46">
      <c r="A46" s="35" t="inlineStr">
        <is>
          <t>Improvement Actions</t>
        </is>
      </c>
      <c r="B46" s="35" t="inlineStr">
        <is>
          <t>Completeness deficiencies across procedures</t>
        </is>
      </c>
      <c r="C46" s="36">
        <f>COUNTIF('Improvement Actions'!C5:C54,"Completeness")</f>
        <v/>
      </c>
      <c r="D46" s="35" t="inlineStr">
        <is>
          <t>Medium</t>
        </is>
      </c>
      <c r="E46" s="35" t="inlineStr">
        <is>
          <t>Plan</t>
        </is>
      </c>
      <c r="F46" s="35" t="n"/>
      <c r="G46" s="35" t="n"/>
    </row>
    <row r="47">
      <c r="A47" s="33" t="n"/>
      <c r="B47" s="33" t="n"/>
      <c r="C47" s="33" t="n"/>
      <c r="D47" s="33" t="n"/>
      <c r="E47" s="33" t="n"/>
      <c r="F47" s="33" t="n"/>
      <c r="G47" s="33" t="n"/>
    </row>
    <row r="48">
      <c r="A48" s="33" t="n"/>
      <c r="B48" s="33" t="n"/>
      <c r="C48" s="33" t="n"/>
      <c r="D48" s="33" t="n"/>
      <c r="E48" s="33" t="n"/>
      <c r="F48" s="33" t="n"/>
      <c r="G48" s="33" t="n"/>
    </row>
  </sheetData>
  <mergeCells count="5">
    <mergeCell ref="A1:G1"/>
    <mergeCell ref="A39:G39"/>
    <mergeCell ref="A12:G12"/>
    <mergeCell ref="A4:G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ASSESSMENT APPROVAL AND SIGN-OFF</t>
        </is>
      </c>
    </row>
    <row r="2">
      <c r="A2" s="37" t="inlineStr">
        <is>
          <t>ISO/IEC 27001:2022 - Control A.5.37: Documented Operating Procedures</t>
        </is>
      </c>
      <c r="B2" s="6" t="n"/>
      <c r="C2" s="6" t="n"/>
      <c r="D2" s="6" t="n"/>
      <c r="E2" s="6" t="n"/>
    </row>
    <row r="3">
      <c r="A3" s="38" t="inlineStr">
        <is>
          <t>ASSESSMENT SUMMARY</t>
        </is>
      </c>
      <c r="B3" s="6" t="n"/>
      <c r="C3" s="6" t="n"/>
      <c r="D3" s="6" t="n"/>
      <c r="E3" s="6" t="n"/>
    </row>
    <row r="4">
      <c r="A4" s="3" t="inlineStr">
        <is>
          <t>Document:</t>
        </is>
      </c>
      <c r="B4" s="6" t="inlineStr">
        <is>
          <t>ISMS-IMP-A.5.37.2 - Procedure Quality Assessment</t>
        </is>
      </c>
      <c r="C4" s="6" t="n"/>
      <c r="D4" s="6" t="n"/>
      <c r="E4" s="6" t="n"/>
    </row>
    <row r="5">
      <c r="A5" s="3" t="inlineStr">
        <is>
          <t>Assessment Period:</t>
        </is>
      </c>
      <c r="B5" s="39" t="inlineStr"/>
      <c r="C5" s="6" t="n"/>
      <c r="D5" s="6" t="n"/>
      <c r="E5" s="6" t="n"/>
    </row>
    <row r="6">
      <c r="A6" s="3" t="inlineStr">
        <is>
          <t>Overall Compliance Rating:</t>
        </is>
      </c>
      <c r="B6" s="40">
        <f>IFERROR(AVERAGE('Summary Dashboard'!G6:G9),"")</f>
        <v/>
      </c>
      <c r="C6" s="6" t="n"/>
      <c r="D6" s="6" t="n"/>
      <c r="E6" s="6" t="n"/>
    </row>
    <row r="7">
      <c r="A7" s="3" t="inlineStr">
        <is>
          <t>Assessment Status:</t>
        </is>
      </c>
      <c r="B7" s="39" t="inlineStr"/>
      <c r="C7" s="6" t="n"/>
      <c r="D7" s="6" t="n"/>
      <c r="E7" s="6" t="n"/>
    </row>
    <row r="8">
      <c r="A8" s="3" t="inlineStr">
        <is>
          <t>Assessed By:</t>
        </is>
      </c>
      <c r="B8" s="39" t="inlineStr"/>
      <c r="C8" s="6" t="n"/>
      <c r="D8" s="6" t="n"/>
      <c r="E8" s="6" t="n"/>
    </row>
    <row r="11">
      <c r="A11" s="41" t="inlineStr">
        <is>
          <t>COMPLETED BY (ASSESSOR)</t>
        </is>
      </c>
      <c r="B11" s="6" t="n"/>
      <c r="C11" s="6" t="n"/>
      <c r="D11" s="6" t="n"/>
      <c r="E11" s="6" t="n"/>
    </row>
    <row r="12">
      <c r="A12" s="3" t="inlineStr">
        <is>
          <t>Name:</t>
        </is>
      </c>
      <c r="B12" s="39" t="n"/>
      <c r="C12" s="6" t="n"/>
      <c r="D12" s="6" t="n"/>
      <c r="E12" s="6" t="n"/>
    </row>
    <row r="13">
      <c r="A13" s="3" t="inlineStr">
        <is>
          <t>Title:</t>
        </is>
      </c>
      <c r="B13" s="39" t="n"/>
      <c r="C13" s="6" t="n"/>
      <c r="D13" s="6" t="n"/>
      <c r="E13" s="6" t="n"/>
    </row>
    <row r="14">
      <c r="A14" s="3" t="inlineStr">
        <is>
          <t>Date:</t>
        </is>
      </c>
      <c r="B14" s="39" t="n"/>
      <c r="C14" s="6" t="n"/>
      <c r="D14" s="6" t="n"/>
      <c r="E14" s="6" t="n"/>
    </row>
    <row r="15">
      <c r="A15" s="3" t="inlineStr">
        <is>
          <t>Signature:</t>
        </is>
      </c>
      <c r="B15" s="39" t="n"/>
      <c r="C15" s="6" t="n"/>
      <c r="D15" s="6" t="n"/>
      <c r="E15" s="6" t="n"/>
    </row>
    <row r="16">
      <c r="A16" s="3" t="inlineStr">
        <is>
          <t>Comments:</t>
        </is>
      </c>
      <c r="B16" s="39" t="n"/>
      <c r="C16" s="6" t="n"/>
      <c r="D16" s="6" t="n"/>
      <c r="E16" s="6" t="n"/>
    </row>
    <row r="18">
      <c r="A18" s="41" t="inlineStr">
        <is>
          <t>REVIEWED BY (IT SECURITY MANAGER)</t>
        </is>
      </c>
      <c r="B18" s="6" t="n"/>
      <c r="C18" s="6" t="n"/>
      <c r="D18" s="6" t="n"/>
      <c r="E18" s="6" t="n"/>
    </row>
    <row r="19">
      <c r="A19" s="3" t="inlineStr">
        <is>
          <t>Name:</t>
        </is>
      </c>
      <c r="B19" s="39" t="n"/>
      <c r="C19" s="6" t="n"/>
      <c r="D19" s="6" t="n"/>
      <c r="E19" s="6" t="n"/>
    </row>
    <row r="20">
      <c r="A20" s="3" t="inlineStr">
        <is>
          <t>Title:</t>
        </is>
      </c>
      <c r="B20" s="39" t="n"/>
      <c r="C20" s="6" t="n"/>
      <c r="D20" s="6" t="n"/>
      <c r="E20" s="6" t="n"/>
    </row>
    <row r="21">
      <c r="A21" s="3" t="inlineStr">
        <is>
          <t>Date:</t>
        </is>
      </c>
      <c r="B21" s="39" t="n"/>
      <c r="C21" s="6" t="n"/>
      <c r="D21" s="6" t="n"/>
      <c r="E21" s="6" t="n"/>
    </row>
    <row r="22">
      <c r="A22" s="3" t="inlineStr">
        <is>
          <t>Signature:</t>
        </is>
      </c>
      <c r="B22" s="39" t="n"/>
      <c r="C22" s="6" t="n"/>
      <c r="D22" s="6" t="n"/>
      <c r="E22" s="6" t="n"/>
    </row>
    <row r="23">
      <c r="A23" s="3" t="inlineStr">
        <is>
          <t>Comments:</t>
        </is>
      </c>
      <c r="B23" s="39" t="n"/>
      <c r="C23" s="6" t="n"/>
      <c r="D23" s="6" t="n"/>
      <c r="E23" s="6" t="n"/>
    </row>
    <row r="25">
      <c r="A25" s="42" t="inlineStr">
        <is>
          <t>APPROVED BY (CISO)</t>
        </is>
      </c>
      <c r="B25" s="6" t="n"/>
      <c r="C25" s="6" t="n"/>
      <c r="D25" s="6" t="n"/>
      <c r="E25" s="6" t="n"/>
    </row>
    <row r="26">
      <c r="A26" s="3" t="inlineStr">
        <is>
          <t>Name:</t>
        </is>
      </c>
      <c r="B26" s="39" t="n"/>
      <c r="C26" s="6" t="n"/>
      <c r="D26" s="6" t="n"/>
      <c r="E26" s="6" t="n"/>
    </row>
    <row r="27">
      <c r="A27" s="3" t="inlineStr">
        <is>
          <t>Title:</t>
        </is>
      </c>
      <c r="B27" s="39" t="n"/>
      <c r="C27" s="6" t="n"/>
      <c r="D27" s="6" t="n"/>
      <c r="E27" s="6" t="n"/>
    </row>
    <row r="28">
      <c r="A28" s="3" t="inlineStr">
        <is>
          <t>Date:</t>
        </is>
      </c>
      <c r="B28" s="39" t="n"/>
      <c r="C28" s="6" t="n"/>
      <c r="D28" s="6" t="n"/>
      <c r="E28" s="6" t="n"/>
    </row>
    <row r="29">
      <c r="A29" s="3" t="inlineStr">
        <is>
          <t>Signature:</t>
        </is>
      </c>
      <c r="B29" s="39" t="n"/>
      <c r="C29" s="6" t="n"/>
      <c r="D29" s="6" t="n"/>
      <c r="E29" s="6" t="n"/>
    </row>
    <row r="30">
      <c r="A30" s="3" t="inlineStr">
        <is>
          <t>Comments:</t>
        </is>
      </c>
      <c r="B30" s="39" t="n"/>
      <c r="C30" s="6" t="n"/>
      <c r="D30" s="6" t="n"/>
      <c r="E30" s="6" t="n"/>
    </row>
    <row r="32">
      <c r="A32" s="3" t="inlineStr">
        <is>
          <t>FINAL DECISION:</t>
        </is>
      </c>
      <c r="B32" s="39" t="n"/>
      <c r="C32" s="6" t="n"/>
      <c r="D32" s="6" t="n"/>
      <c r="E32" s="6" t="n"/>
    </row>
    <row r="34">
      <c r="A34" s="41" t="inlineStr">
        <is>
          <t>NEXT REVIEW DETAILS</t>
        </is>
      </c>
      <c r="B34" s="6" t="n"/>
      <c r="C34" s="6" t="n"/>
      <c r="D34" s="6" t="n"/>
      <c r="E34" s="6" t="n"/>
    </row>
    <row r="35">
      <c r="A35" s="3" t="inlineStr">
        <is>
          <t>Next Review Date (DD.MM.YYYY):</t>
        </is>
      </c>
      <c r="B35" s="39" t="n"/>
      <c r="C35" s="6" t="n"/>
      <c r="D35" s="6" t="n"/>
      <c r="E35" s="6" t="n"/>
    </row>
    <row r="36">
      <c r="A36" s="3" t="inlineStr">
        <is>
          <t>Review Owner:</t>
        </is>
      </c>
      <c r="B36" s="39" t="n"/>
      <c r="C36" s="6" t="n"/>
      <c r="D36" s="6" t="n"/>
      <c r="E36" s="6" t="n"/>
    </row>
  </sheetData>
  <mergeCells count="30">
    <mergeCell ref="A34:E34"/>
    <mergeCell ref="B6:E6"/>
    <mergeCell ref="B30:E30"/>
    <mergeCell ref="A11:E11"/>
    <mergeCell ref="B15:E15"/>
    <mergeCell ref="A1:E1"/>
    <mergeCell ref="B5:E5"/>
    <mergeCell ref="B20:E20"/>
    <mergeCell ref="B36:E36"/>
    <mergeCell ref="B32:E32"/>
    <mergeCell ref="B26:E26"/>
    <mergeCell ref="B35:E35"/>
    <mergeCell ref="B4:E4"/>
    <mergeCell ref="A25:E25"/>
    <mergeCell ref="B16:E16"/>
    <mergeCell ref="B7:E7"/>
    <mergeCell ref="A18:E18"/>
    <mergeCell ref="B22:E22"/>
    <mergeCell ref="A3:E3"/>
    <mergeCell ref="B27:E27"/>
    <mergeCell ref="A2:E2"/>
    <mergeCell ref="B12:E12"/>
    <mergeCell ref="B21:E21"/>
    <mergeCell ref="B14:E14"/>
    <mergeCell ref="B23:E23"/>
    <mergeCell ref="B8:E8"/>
    <mergeCell ref="B13:E13"/>
    <mergeCell ref="B29:E29"/>
    <mergeCell ref="B19:E19"/>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ISMS-IMP-A.5.37.2 — Procedure Quality Assessment</dc:title>
  <dc:description xmlns:dc="http://purl.org/dc/elements/1.1/">ISMS Implementation Workbook — ISMS-IMP-A.5.37.2</dc:description>
  <dc:subject xmlns:dc="http://purl.org/dc/elements/1.1/">ISO/IEC 27001:2022 — Control A.5.37: Documented Operating Procedures</dc:subject>
  <dcterms:created xmlns:dcterms="http://purl.org/dc/terms/" xmlns:xsi="http://www.w3.org/2001/XMLSchema-instance" xsi:type="dcterms:W3CDTF">2026-02-28T21:08:03Z</dcterms:created>
  <dcterms:modified xmlns:dcterms="http://purl.org/dc/terms/" xmlns:xsi="http://www.w3.org/2001/XMLSchema-instance" xsi:type="dcterms:W3CDTF">2026-02-28T21:08:03Z</dcterms:modified>
</cp:coreProperties>
</file>