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cedure Inventory" sheetId="2" state="visible" r:id="rId2"/>
    <sheet xmlns:r="http://schemas.openxmlformats.org/officeDocument/2006/relationships" name="Required Procedures" sheetId="3" state="visible" r:id="rId3"/>
    <sheet xmlns:r="http://schemas.openxmlformats.org/officeDocument/2006/relationships" name="Accessibility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ISMS-IMP-A.5.37.1  -  Procedure Inventory Assessment
ISO/IEC 27001:2022 - Control A.5.37: Documented Operating Procedures</t>
        </is>
      </c>
    </row>
    <row r="3">
      <c r="A3" s="2" t="inlineStr">
        <is>
          <t>Document Information</t>
        </is>
      </c>
    </row>
    <row r="4">
      <c r="A4" s="3" t="inlineStr">
        <is>
          <t>Document ID</t>
        </is>
      </c>
      <c r="B4" t="inlineStr">
        <is>
          <t>ISMS-IMP-A.5.37.1</t>
        </is>
      </c>
    </row>
    <row r="5">
      <c r="A5" s="3" t="inlineStr">
        <is>
          <t>Workbook Title</t>
        </is>
      </c>
      <c r="B5" t="inlineStr">
        <is>
          <t>Procedure Inventory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Procedure Inventory — list all operating procedures for information processing facilities.</t>
        </is>
      </c>
    </row>
    <row r="14">
      <c r="A14" t="inlineStr">
        <is>
          <t>2. For each procedure, document owner, version, review date, and location.</t>
        </is>
      </c>
    </row>
    <row r="15">
      <c r="A15" t="inlineStr">
        <is>
          <t>3. Complete the Required Procedures sheet — verify all ISO 27001:2022 A.5.37 mandatory procedures exist.</t>
        </is>
      </c>
    </row>
    <row r="16">
      <c r="A16" t="inlineStr">
        <is>
          <t>4. Complete the Accessibility Matrix — confirm each procedure is accessible to personnel who need it.</t>
        </is>
      </c>
    </row>
    <row r="17">
      <c r="A17" t="inlineStr">
        <is>
          <t>5. Complete the Gap Analysis — identify missing, outdated, or inaccessible procedures.</t>
        </is>
      </c>
    </row>
    <row r="18">
      <c r="A18" t="inlineStr">
        <is>
          <t>6. Maintain the Evidence Register with procedure documents and accessibility confirmations.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20" customWidth="1" min="3" max="3"/>
    <col width="25" customWidth="1" min="4" max="4"/>
    <col width="20" customWidth="1" min="5" max="5"/>
    <col width="35" customWidth="1" min="6" max="6"/>
    <col width="16" customWidth="1" min="7" max="7"/>
    <col width="16" customWidth="1" min="8" max="8"/>
    <col width="16" customWidth="1" min="9" max="9"/>
    <col width="12" customWidth="1" min="10" max="10"/>
    <col width="18" customWidth="1" min="11" max="11"/>
    <col width="25" customWidth="1" min="12" max="12"/>
    <col width="16" customWidth="1" min="13" max="13"/>
    <col width="25" customWidth="1" min="14" max="14"/>
    <col width="14" customWidth="1" min="15" max="15"/>
    <col width="35" customWidth="1" min="16" max="16"/>
  </cols>
  <sheetData>
    <row r="1" ht="35" customHeight="1">
      <c r="A1" s="11" t="inlineStr">
        <is>
          <t>PROCEDURE INVENTORY</t>
        </is>
      </c>
    </row>
    <row r="2">
      <c r="A2" s="12" t="inlineStr">
        <is>
          <t>Master catalogue of all documented operating procedures — record each procedure, its owner, location, approval status and review dates</t>
        </is>
      </c>
    </row>
    <row r="3">
      <c r="A3" s="13" t="inlineStr">
        <is>
          <t>Procedure ID</t>
        </is>
      </c>
      <c r="B3" s="13" t="inlineStr">
        <is>
          <t>Procedure Name</t>
        </is>
      </c>
      <c r="C3" s="13" t="inlineStr">
        <is>
          <t>Category</t>
        </is>
      </c>
      <c r="D3" s="13" t="inlineStr">
        <is>
          <t>Process Owner</t>
        </is>
      </c>
      <c r="E3" s="13" t="inlineStr">
        <is>
          <t>Department</t>
        </is>
      </c>
      <c r="F3" s="13" t="inlineStr">
        <is>
          <t>Document Location</t>
        </is>
      </c>
      <c r="G3" s="13" t="inlineStr">
        <is>
          <t>Last Review Date</t>
        </is>
      </c>
      <c r="H3" s="13" t="inlineStr">
        <is>
          <t>Next Review Due</t>
        </is>
      </c>
      <c r="I3" s="13" t="inlineStr">
        <is>
          <t>Review Cycle Days</t>
        </is>
      </c>
      <c r="J3" s="13" t="inlineStr">
        <is>
          <t>Version</t>
        </is>
      </c>
      <c r="K3" s="13" t="inlineStr">
        <is>
          <t>Approval Status</t>
        </is>
      </c>
      <c r="L3" s="13" t="inlineStr">
        <is>
          <t>Approver</t>
        </is>
      </c>
      <c r="M3" s="13" t="inlineStr">
        <is>
          <t>Approval Date</t>
        </is>
      </c>
      <c r="N3" s="13" t="inlineStr">
        <is>
          <t>Related Controls</t>
        </is>
      </c>
      <c r="O3" s="13" t="inlineStr">
        <is>
          <t>Criticality</t>
        </is>
      </c>
      <c r="P3" s="13" t="inlineStr">
        <is>
          <t>Notes</t>
        </is>
      </c>
    </row>
    <row r="4">
      <c r="A4" s="14" t="inlineStr">
        <is>
          <t>PROC-001</t>
        </is>
      </c>
      <c r="B4" s="14" t="inlineStr">
        <is>
          <t>Server Backup and Recovery Procedure</t>
        </is>
      </c>
      <c r="C4" s="14" t="inlineStr">
        <is>
          <t>System Operations</t>
        </is>
      </c>
      <c r="D4" s="14" t="inlineStr">
        <is>
          <t>IT Operations Manager</t>
        </is>
      </c>
      <c r="E4" s="14" t="inlineStr">
        <is>
          <t>IT Department</t>
        </is>
      </c>
      <c r="F4" s="14" t="inlineStr">
        <is>
          <t>/policies/ops/backup-recovery.pdf</t>
        </is>
      </c>
      <c r="G4" s="14" t="inlineStr">
        <is>
          <t>01.01.2026</t>
        </is>
      </c>
      <c r="H4" s="14">
        <f>IF(G4&lt;&gt;"",G4+I4,"")</f>
        <v/>
      </c>
      <c r="I4" s="14" t="n">
        <v>365</v>
      </c>
      <c r="J4" s="14" t="inlineStr">
        <is>
          <t>v1.2</t>
        </is>
      </c>
      <c r="K4" s="14" t="inlineStr">
        <is>
          <t>Approved</t>
        </is>
      </c>
      <c r="L4" s="14" t="inlineStr">
        <is>
          <t>CTO</t>
        </is>
      </c>
      <c r="M4" s="14" t="inlineStr">
        <is>
          <t>15.01.2026</t>
        </is>
      </c>
      <c r="N4" s="14" t="inlineStr">
        <is>
          <t>A.8.13</t>
        </is>
      </c>
      <c r="O4" s="14" t="inlineStr">
        <is>
          <t>Critical</t>
        </is>
      </c>
      <c r="P4" s="14" t="inlineStr">
        <is>
          <t>Annual review required</t>
        </is>
      </c>
    </row>
    <row r="5">
      <c r="A5" s="15" t="n"/>
      <c r="B5" s="15" t="n"/>
      <c r="C5" s="15" t="n"/>
      <c r="D5" s="15" t="n"/>
      <c r="E5" s="15" t="n"/>
      <c r="F5" s="15" t="n"/>
      <c r="G5" s="15" t="n"/>
      <c r="H5" s="15">
        <f>IF(G5&lt;&gt;"",G5+I5,"")</f>
        <v/>
      </c>
      <c r="I5" s="15" t="n">
        <v>365</v>
      </c>
      <c r="J5" s="15" t="n"/>
      <c r="K5" s="15" t="n"/>
      <c r="L5" s="15" t="n"/>
      <c r="M5" s="15" t="n"/>
      <c r="N5" s="15" t="n"/>
      <c r="O5" s="15" t="n"/>
      <c r="P5" s="15" t="n"/>
    </row>
    <row r="6">
      <c r="A6" s="15" t="n"/>
      <c r="B6" s="15" t="n"/>
      <c r="C6" s="15" t="n"/>
      <c r="D6" s="15" t="n"/>
      <c r="E6" s="15" t="n"/>
      <c r="F6" s="15" t="n"/>
      <c r="G6" s="15" t="n"/>
      <c r="H6" s="15">
        <f>IF(G6&lt;&gt;"",G6+I6,"")</f>
        <v/>
      </c>
      <c r="I6" s="15" t="n">
        <v>365</v>
      </c>
      <c r="J6" s="15" t="n"/>
      <c r="K6" s="15" t="n"/>
      <c r="L6" s="15" t="n"/>
      <c r="M6" s="15" t="n"/>
      <c r="N6" s="15" t="n"/>
      <c r="O6" s="15" t="n"/>
      <c r="P6" s="15" t="n"/>
    </row>
    <row r="7">
      <c r="A7" s="15" t="n"/>
      <c r="B7" s="15" t="n"/>
      <c r="C7" s="15" t="n"/>
      <c r="D7" s="15" t="n"/>
      <c r="E7" s="15" t="n"/>
      <c r="F7" s="15" t="n"/>
      <c r="G7" s="15" t="n"/>
      <c r="H7" s="15">
        <f>IF(G7&lt;&gt;"",G7+I7,"")</f>
        <v/>
      </c>
      <c r="I7" s="15" t="n">
        <v>365</v>
      </c>
      <c r="J7" s="15" t="n"/>
      <c r="K7" s="15" t="n"/>
      <c r="L7" s="15" t="n"/>
      <c r="M7" s="15" t="n"/>
      <c r="N7" s="15" t="n"/>
      <c r="O7" s="15" t="n"/>
      <c r="P7" s="15" t="n"/>
    </row>
    <row r="8">
      <c r="A8" s="15" t="n"/>
      <c r="B8" s="15" t="n"/>
      <c r="C8" s="15" t="n"/>
      <c r="D8" s="15" t="n"/>
      <c r="E8" s="15" t="n"/>
      <c r="F8" s="15" t="n"/>
      <c r="G8" s="15" t="n"/>
      <c r="H8" s="15">
        <f>IF(G8&lt;&gt;"",G8+I8,"")</f>
        <v/>
      </c>
      <c r="I8" s="15" t="n">
        <v>365</v>
      </c>
      <c r="J8" s="15" t="n"/>
      <c r="K8" s="15" t="n"/>
      <c r="L8" s="15" t="n"/>
      <c r="M8" s="15" t="n"/>
      <c r="N8" s="15" t="n"/>
      <c r="O8" s="15" t="n"/>
      <c r="P8" s="15" t="n"/>
    </row>
    <row r="9">
      <c r="A9" s="15" t="n"/>
      <c r="B9" s="15" t="n"/>
      <c r="C9" s="15" t="n"/>
      <c r="D9" s="15" t="n"/>
      <c r="E9" s="15" t="n"/>
      <c r="F9" s="15" t="n"/>
      <c r="G9" s="15" t="n"/>
      <c r="H9" s="15">
        <f>IF(G9&lt;&gt;"",G9+I9,"")</f>
        <v/>
      </c>
      <c r="I9" s="15" t="n">
        <v>365</v>
      </c>
      <c r="J9" s="15" t="n"/>
      <c r="K9" s="15" t="n"/>
      <c r="L9" s="15" t="n"/>
      <c r="M9" s="15" t="n"/>
      <c r="N9" s="15" t="n"/>
      <c r="O9" s="15" t="n"/>
      <c r="P9" s="15" t="n"/>
    </row>
    <row r="10">
      <c r="A10" s="15" t="n"/>
      <c r="B10" s="15" t="n"/>
      <c r="C10" s="15" t="n"/>
      <c r="D10" s="15" t="n"/>
      <c r="E10" s="15" t="n"/>
      <c r="F10" s="15" t="n"/>
      <c r="G10" s="15" t="n"/>
      <c r="H10" s="15">
        <f>IF(G10&lt;&gt;"",G10+I10,"")</f>
        <v/>
      </c>
      <c r="I10" s="15" t="n">
        <v>365</v>
      </c>
      <c r="J10" s="15" t="n"/>
      <c r="K10" s="15" t="n"/>
      <c r="L10" s="15" t="n"/>
      <c r="M10" s="15" t="n"/>
      <c r="N10" s="15" t="n"/>
      <c r="O10" s="15" t="n"/>
      <c r="P10" s="15" t="n"/>
    </row>
    <row r="11">
      <c r="A11" s="15" t="n"/>
      <c r="B11" s="15" t="n"/>
      <c r="C11" s="15" t="n"/>
      <c r="D11" s="15" t="n"/>
      <c r="E11" s="15" t="n"/>
      <c r="F11" s="15" t="n"/>
      <c r="G11" s="15" t="n"/>
      <c r="H11" s="15">
        <f>IF(G11&lt;&gt;"",G11+I11,"")</f>
        <v/>
      </c>
      <c r="I11" s="15" t="n">
        <v>365</v>
      </c>
      <c r="J11" s="15" t="n"/>
      <c r="K11" s="15" t="n"/>
      <c r="L11" s="15" t="n"/>
      <c r="M11" s="15" t="n"/>
      <c r="N11" s="15" t="n"/>
      <c r="O11" s="15" t="n"/>
      <c r="P11" s="15" t="n"/>
    </row>
    <row r="12">
      <c r="A12" s="15" t="n"/>
      <c r="B12" s="15" t="n"/>
      <c r="C12" s="15" t="n"/>
      <c r="D12" s="15" t="n"/>
      <c r="E12" s="15" t="n"/>
      <c r="F12" s="15" t="n"/>
      <c r="G12" s="15" t="n"/>
      <c r="H12" s="15">
        <f>IF(G12&lt;&gt;"",G12+I12,"")</f>
        <v/>
      </c>
      <c r="I12" s="15" t="n">
        <v>365</v>
      </c>
      <c r="J12" s="15" t="n"/>
      <c r="K12" s="15" t="n"/>
      <c r="L12" s="15" t="n"/>
      <c r="M12" s="15" t="n"/>
      <c r="N12" s="15" t="n"/>
      <c r="O12" s="15" t="n"/>
      <c r="P12" s="15" t="n"/>
    </row>
    <row r="13">
      <c r="A13" s="15" t="n"/>
      <c r="B13" s="15" t="n"/>
      <c r="C13" s="15" t="n"/>
      <c r="D13" s="15" t="n"/>
      <c r="E13" s="15" t="n"/>
      <c r="F13" s="15" t="n"/>
      <c r="G13" s="15" t="n"/>
      <c r="H13" s="15">
        <f>IF(G13&lt;&gt;"",G13+I13,"")</f>
        <v/>
      </c>
      <c r="I13" s="15" t="n">
        <v>365</v>
      </c>
      <c r="J13" s="15" t="n"/>
      <c r="K13" s="15" t="n"/>
      <c r="L13" s="15" t="n"/>
      <c r="M13" s="15" t="n"/>
      <c r="N13" s="15" t="n"/>
      <c r="O13" s="15" t="n"/>
      <c r="P13" s="15" t="n"/>
    </row>
    <row r="14">
      <c r="A14" s="15" t="n"/>
      <c r="B14" s="15" t="n"/>
      <c r="C14" s="15" t="n"/>
      <c r="D14" s="15" t="n"/>
      <c r="E14" s="15" t="n"/>
      <c r="F14" s="15" t="n"/>
      <c r="G14" s="15" t="n"/>
      <c r="H14" s="15">
        <f>IF(G14&lt;&gt;"",G14+I14,"")</f>
        <v/>
      </c>
      <c r="I14" s="15" t="n">
        <v>365</v>
      </c>
      <c r="J14" s="15" t="n"/>
      <c r="K14" s="15" t="n"/>
      <c r="L14" s="15" t="n"/>
      <c r="M14" s="15" t="n"/>
      <c r="N14" s="15" t="n"/>
      <c r="O14" s="15" t="n"/>
      <c r="P14" s="15" t="n"/>
    </row>
    <row r="15">
      <c r="A15" s="15" t="n"/>
      <c r="B15" s="15" t="n"/>
      <c r="C15" s="15" t="n"/>
      <c r="D15" s="15" t="n"/>
      <c r="E15" s="15" t="n"/>
      <c r="F15" s="15" t="n"/>
      <c r="G15" s="15" t="n"/>
      <c r="H15" s="15">
        <f>IF(G15&lt;&gt;"",G15+I15,"")</f>
        <v/>
      </c>
      <c r="I15" s="15" t="n">
        <v>365</v>
      </c>
      <c r="J15" s="15" t="n"/>
      <c r="K15" s="15" t="n"/>
      <c r="L15" s="15" t="n"/>
      <c r="M15" s="15" t="n"/>
      <c r="N15" s="15" t="n"/>
      <c r="O15" s="15" t="n"/>
      <c r="P15" s="15" t="n"/>
    </row>
    <row r="16">
      <c r="A16" s="15" t="n"/>
      <c r="B16" s="15" t="n"/>
      <c r="C16" s="15" t="n"/>
      <c r="D16" s="15" t="n"/>
      <c r="E16" s="15" t="n"/>
      <c r="F16" s="15" t="n"/>
      <c r="G16" s="15" t="n"/>
      <c r="H16" s="15">
        <f>IF(G16&lt;&gt;"",G16+I16,"")</f>
        <v/>
      </c>
      <c r="I16" s="15" t="n">
        <v>365</v>
      </c>
      <c r="J16" s="15" t="n"/>
      <c r="K16" s="15" t="n"/>
      <c r="L16" s="15" t="n"/>
      <c r="M16" s="15" t="n"/>
      <c r="N16" s="15" t="n"/>
      <c r="O16" s="15" t="n"/>
      <c r="P16" s="15" t="n"/>
    </row>
    <row r="17">
      <c r="A17" s="15" t="n"/>
      <c r="B17" s="15" t="n"/>
      <c r="C17" s="15" t="n"/>
      <c r="D17" s="15" t="n"/>
      <c r="E17" s="15" t="n"/>
      <c r="F17" s="15" t="n"/>
      <c r="G17" s="15" t="n"/>
      <c r="H17" s="15">
        <f>IF(G17&lt;&gt;"",G17+I17,"")</f>
        <v/>
      </c>
      <c r="I17" s="15" t="n">
        <v>365</v>
      </c>
      <c r="J17" s="15" t="n"/>
      <c r="K17" s="15" t="n"/>
      <c r="L17" s="15" t="n"/>
      <c r="M17" s="15" t="n"/>
      <c r="N17" s="15" t="n"/>
      <c r="O17" s="15" t="n"/>
      <c r="P17" s="15" t="n"/>
    </row>
    <row r="18">
      <c r="A18" s="15" t="n"/>
      <c r="B18" s="15" t="n"/>
      <c r="C18" s="15" t="n"/>
      <c r="D18" s="15" t="n"/>
      <c r="E18" s="15" t="n"/>
      <c r="F18" s="15" t="n"/>
      <c r="G18" s="15" t="n"/>
      <c r="H18" s="15">
        <f>IF(G18&lt;&gt;"",G18+I18,"")</f>
        <v/>
      </c>
      <c r="I18" s="15" t="n">
        <v>365</v>
      </c>
      <c r="J18" s="15" t="n"/>
      <c r="K18" s="15" t="n"/>
      <c r="L18" s="15" t="n"/>
      <c r="M18" s="15" t="n"/>
      <c r="N18" s="15" t="n"/>
      <c r="O18" s="15" t="n"/>
      <c r="P18" s="15" t="n"/>
    </row>
    <row r="19">
      <c r="A19" s="15" t="n"/>
      <c r="B19" s="15" t="n"/>
      <c r="C19" s="15" t="n"/>
      <c r="D19" s="15" t="n"/>
      <c r="E19" s="15" t="n"/>
      <c r="F19" s="15" t="n"/>
      <c r="G19" s="15" t="n"/>
      <c r="H19" s="15">
        <f>IF(G19&lt;&gt;"",G19+I19,"")</f>
        <v/>
      </c>
      <c r="I19" s="15" t="n">
        <v>365</v>
      </c>
      <c r="J19" s="15" t="n"/>
      <c r="K19" s="15" t="n"/>
      <c r="L19" s="15" t="n"/>
      <c r="M19" s="15" t="n"/>
      <c r="N19" s="15" t="n"/>
      <c r="O19" s="15" t="n"/>
      <c r="P19" s="15" t="n"/>
    </row>
    <row r="20">
      <c r="A20" s="15" t="n"/>
      <c r="B20" s="15" t="n"/>
      <c r="C20" s="15" t="n"/>
      <c r="D20" s="15" t="n"/>
      <c r="E20" s="15" t="n"/>
      <c r="F20" s="15" t="n"/>
      <c r="G20" s="15" t="n"/>
      <c r="H20" s="15">
        <f>IF(G20&lt;&gt;"",G20+I20,"")</f>
        <v/>
      </c>
      <c r="I20" s="15" t="n">
        <v>365</v>
      </c>
      <c r="J20" s="15" t="n"/>
      <c r="K20" s="15" t="n"/>
      <c r="L20" s="15" t="n"/>
      <c r="M20" s="15" t="n"/>
      <c r="N20" s="15" t="n"/>
      <c r="O20" s="15" t="n"/>
      <c r="P20" s="15" t="n"/>
    </row>
    <row r="21">
      <c r="A21" s="15" t="n"/>
      <c r="B21" s="15" t="n"/>
      <c r="C21" s="15" t="n"/>
      <c r="D21" s="15" t="n"/>
      <c r="E21" s="15" t="n"/>
      <c r="F21" s="15" t="n"/>
      <c r="G21" s="15" t="n"/>
      <c r="H21" s="15">
        <f>IF(G21&lt;&gt;"",G21+I21,"")</f>
        <v/>
      </c>
      <c r="I21" s="15" t="n">
        <v>365</v>
      </c>
      <c r="J21" s="15" t="n"/>
      <c r="K21" s="15" t="n"/>
      <c r="L21" s="15" t="n"/>
      <c r="M21" s="15" t="n"/>
      <c r="N21" s="15" t="n"/>
      <c r="O21" s="15" t="n"/>
      <c r="P21" s="15" t="n"/>
    </row>
    <row r="22">
      <c r="A22" s="15" t="n"/>
      <c r="B22" s="15" t="n"/>
      <c r="C22" s="15" t="n"/>
      <c r="D22" s="15" t="n"/>
      <c r="E22" s="15" t="n"/>
      <c r="F22" s="15" t="n"/>
      <c r="G22" s="15" t="n"/>
      <c r="H22" s="15">
        <f>IF(G22&lt;&gt;"",G22+I22,"")</f>
        <v/>
      </c>
      <c r="I22" s="15" t="n">
        <v>365</v>
      </c>
      <c r="J22" s="15" t="n"/>
      <c r="K22" s="15" t="n"/>
      <c r="L22" s="15" t="n"/>
      <c r="M22" s="15" t="n"/>
      <c r="N22" s="15" t="n"/>
      <c r="O22" s="15" t="n"/>
      <c r="P22" s="15" t="n"/>
    </row>
    <row r="23">
      <c r="A23" s="15" t="n"/>
      <c r="B23" s="15" t="n"/>
      <c r="C23" s="15" t="n"/>
      <c r="D23" s="15" t="n"/>
      <c r="E23" s="15" t="n"/>
      <c r="F23" s="15" t="n"/>
      <c r="G23" s="15" t="n"/>
      <c r="H23" s="15">
        <f>IF(G23&lt;&gt;"",G23+I23,"")</f>
        <v/>
      </c>
      <c r="I23" s="15" t="n">
        <v>365</v>
      </c>
      <c r="J23" s="15" t="n"/>
      <c r="K23" s="15" t="n"/>
      <c r="L23" s="15" t="n"/>
      <c r="M23" s="15" t="n"/>
      <c r="N23" s="15" t="n"/>
      <c r="O23" s="15" t="n"/>
      <c r="P23" s="15" t="n"/>
    </row>
    <row r="24">
      <c r="A24" s="15" t="n"/>
      <c r="B24" s="15" t="n"/>
      <c r="C24" s="15" t="n"/>
      <c r="D24" s="15" t="n"/>
      <c r="E24" s="15" t="n"/>
      <c r="F24" s="15" t="n"/>
      <c r="G24" s="15" t="n"/>
      <c r="H24" s="15">
        <f>IF(G24&lt;&gt;"",G24+I24,"")</f>
        <v/>
      </c>
      <c r="I24" s="15" t="n">
        <v>365</v>
      </c>
      <c r="J24" s="15" t="n"/>
      <c r="K24" s="15" t="n"/>
      <c r="L24" s="15" t="n"/>
      <c r="M24" s="15" t="n"/>
      <c r="N24" s="15" t="n"/>
      <c r="O24" s="15" t="n"/>
      <c r="P24" s="15" t="n"/>
    </row>
    <row r="25">
      <c r="A25" s="15" t="n"/>
      <c r="B25" s="15" t="n"/>
      <c r="C25" s="15" t="n"/>
      <c r="D25" s="15" t="n"/>
      <c r="E25" s="15" t="n"/>
      <c r="F25" s="15" t="n"/>
      <c r="G25" s="15" t="n"/>
      <c r="H25" s="15">
        <f>IF(G25&lt;&gt;"",G25+I25,"")</f>
        <v/>
      </c>
      <c r="I25" s="15" t="n">
        <v>365</v>
      </c>
      <c r="J25" s="15" t="n"/>
      <c r="K25" s="15" t="n"/>
      <c r="L25" s="15" t="n"/>
      <c r="M25" s="15" t="n"/>
      <c r="N25" s="15" t="n"/>
      <c r="O25" s="15" t="n"/>
      <c r="P25" s="15" t="n"/>
    </row>
    <row r="26">
      <c r="A26" s="15" t="n"/>
      <c r="B26" s="15" t="n"/>
      <c r="C26" s="15" t="n"/>
      <c r="D26" s="15" t="n"/>
      <c r="E26" s="15" t="n"/>
      <c r="F26" s="15" t="n"/>
      <c r="G26" s="15" t="n"/>
      <c r="H26" s="15">
        <f>IF(G26&lt;&gt;"",G26+I26,"")</f>
        <v/>
      </c>
      <c r="I26" s="15" t="n">
        <v>365</v>
      </c>
      <c r="J26" s="15" t="n"/>
      <c r="K26" s="15" t="n"/>
      <c r="L26" s="15" t="n"/>
      <c r="M26" s="15" t="n"/>
      <c r="N26" s="15" t="n"/>
      <c r="O26" s="15" t="n"/>
      <c r="P26" s="15" t="n"/>
    </row>
    <row r="27">
      <c r="A27" s="15" t="n"/>
      <c r="B27" s="15" t="n"/>
      <c r="C27" s="15" t="n"/>
      <c r="D27" s="15" t="n"/>
      <c r="E27" s="15" t="n"/>
      <c r="F27" s="15" t="n"/>
      <c r="G27" s="15" t="n"/>
      <c r="H27" s="15">
        <f>IF(G27&lt;&gt;"",G27+I27,"")</f>
        <v/>
      </c>
      <c r="I27" s="15" t="n">
        <v>365</v>
      </c>
      <c r="J27" s="15" t="n"/>
      <c r="K27" s="15" t="n"/>
      <c r="L27" s="15" t="n"/>
      <c r="M27" s="15" t="n"/>
      <c r="N27" s="15" t="n"/>
      <c r="O27" s="15" t="n"/>
      <c r="P27" s="15" t="n"/>
    </row>
    <row r="28">
      <c r="A28" s="15" t="n"/>
      <c r="B28" s="15" t="n"/>
      <c r="C28" s="15" t="n"/>
      <c r="D28" s="15" t="n"/>
      <c r="E28" s="15" t="n"/>
      <c r="F28" s="15" t="n"/>
      <c r="G28" s="15" t="n"/>
      <c r="H28" s="15">
        <f>IF(G28&lt;&gt;"",G28+I28,"")</f>
        <v/>
      </c>
      <c r="I28" s="15" t="n">
        <v>365</v>
      </c>
      <c r="J28" s="15" t="n"/>
      <c r="K28" s="15" t="n"/>
      <c r="L28" s="15" t="n"/>
      <c r="M28" s="15" t="n"/>
      <c r="N28" s="15" t="n"/>
      <c r="O28" s="15" t="n"/>
      <c r="P28" s="15" t="n"/>
    </row>
    <row r="29">
      <c r="A29" s="15" t="n"/>
      <c r="B29" s="15" t="n"/>
      <c r="C29" s="15" t="n"/>
      <c r="D29" s="15" t="n"/>
      <c r="E29" s="15" t="n"/>
      <c r="F29" s="15" t="n"/>
      <c r="G29" s="15" t="n"/>
      <c r="H29" s="15">
        <f>IF(G29&lt;&gt;"",G29+I29,"")</f>
        <v/>
      </c>
      <c r="I29" s="15" t="n">
        <v>365</v>
      </c>
      <c r="J29" s="15" t="n"/>
      <c r="K29" s="15" t="n"/>
      <c r="L29" s="15" t="n"/>
      <c r="M29" s="15" t="n"/>
      <c r="N29" s="15" t="n"/>
      <c r="O29" s="15" t="n"/>
      <c r="P29" s="15" t="n"/>
    </row>
    <row r="30">
      <c r="A30" s="15" t="n"/>
      <c r="B30" s="15" t="n"/>
      <c r="C30" s="15" t="n"/>
      <c r="D30" s="15" t="n"/>
      <c r="E30" s="15" t="n"/>
      <c r="F30" s="15" t="n"/>
      <c r="G30" s="15" t="n"/>
      <c r="H30" s="15">
        <f>IF(G30&lt;&gt;"",G30+I30,"")</f>
        <v/>
      </c>
      <c r="I30" s="15" t="n">
        <v>365</v>
      </c>
      <c r="J30" s="15" t="n"/>
      <c r="K30" s="15" t="n"/>
      <c r="L30" s="15" t="n"/>
      <c r="M30" s="15" t="n"/>
      <c r="N30" s="15" t="n"/>
      <c r="O30" s="15" t="n"/>
      <c r="P30" s="15" t="n"/>
    </row>
    <row r="31">
      <c r="A31" s="15" t="n"/>
      <c r="B31" s="15" t="n"/>
      <c r="C31" s="15" t="n"/>
      <c r="D31" s="15" t="n"/>
      <c r="E31" s="15" t="n"/>
      <c r="F31" s="15" t="n"/>
      <c r="G31" s="15" t="n"/>
      <c r="H31" s="15">
        <f>IF(G31&lt;&gt;"",G31+I31,"")</f>
        <v/>
      </c>
      <c r="I31" s="15" t="n">
        <v>365</v>
      </c>
      <c r="J31" s="15" t="n"/>
      <c r="K31" s="15" t="n"/>
      <c r="L31" s="15" t="n"/>
      <c r="M31" s="15" t="n"/>
      <c r="N31" s="15" t="n"/>
      <c r="O31" s="15" t="n"/>
      <c r="P31" s="15" t="n"/>
    </row>
    <row r="32">
      <c r="A32" s="15" t="n"/>
      <c r="B32" s="15" t="n"/>
      <c r="C32" s="15" t="n"/>
      <c r="D32" s="15" t="n"/>
      <c r="E32" s="15" t="n"/>
      <c r="F32" s="15" t="n"/>
      <c r="G32" s="15" t="n"/>
      <c r="H32" s="15">
        <f>IF(G32&lt;&gt;"",G32+I32,"")</f>
        <v/>
      </c>
      <c r="I32" s="15" t="n">
        <v>365</v>
      </c>
      <c r="J32" s="15" t="n"/>
      <c r="K32" s="15" t="n"/>
      <c r="L32" s="15" t="n"/>
      <c r="M32" s="15" t="n"/>
      <c r="N32" s="15" t="n"/>
      <c r="O32" s="15" t="n"/>
      <c r="P32" s="15" t="n"/>
    </row>
    <row r="33">
      <c r="A33" s="15" t="n"/>
      <c r="B33" s="15" t="n"/>
      <c r="C33" s="15" t="n"/>
      <c r="D33" s="15" t="n"/>
      <c r="E33" s="15" t="n"/>
      <c r="F33" s="15" t="n"/>
      <c r="G33" s="15" t="n"/>
      <c r="H33" s="15">
        <f>IF(G33&lt;&gt;"",G33+I33,"")</f>
        <v/>
      </c>
      <c r="I33" s="15" t="n">
        <v>365</v>
      </c>
      <c r="J33" s="15" t="n"/>
      <c r="K33" s="15" t="n"/>
      <c r="L33" s="15" t="n"/>
      <c r="M33" s="15" t="n"/>
      <c r="N33" s="15" t="n"/>
      <c r="O33" s="15" t="n"/>
      <c r="P33" s="15" t="n"/>
    </row>
    <row r="34">
      <c r="A34" s="15" t="n"/>
      <c r="B34" s="15" t="n"/>
      <c r="C34" s="15" t="n"/>
      <c r="D34" s="15" t="n"/>
      <c r="E34" s="15" t="n"/>
      <c r="F34" s="15" t="n"/>
      <c r="G34" s="15" t="n"/>
      <c r="H34" s="15">
        <f>IF(G34&lt;&gt;"",G34+I34,"")</f>
        <v/>
      </c>
      <c r="I34" s="15" t="n">
        <v>365</v>
      </c>
      <c r="J34" s="15" t="n"/>
      <c r="K34" s="15" t="n"/>
      <c r="L34" s="15" t="n"/>
      <c r="M34" s="15" t="n"/>
      <c r="N34" s="15" t="n"/>
      <c r="O34" s="15" t="n"/>
      <c r="P34" s="15" t="n"/>
    </row>
    <row r="35">
      <c r="A35" s="15" t="n"/>
      <c r="B35" s="15" t="n"/>
      <c r="C35" s="15" t="n"/>
      <c r="D35" s="15" t="n"/>
      <c r="E35" s="15" t="n"/>
      <c r="F35" s="15" t="n"/>
      <c r="G35" s="15" t="n"/>
      <c r="H35" s="15">
        <f>IF(G35&lt;&gt;"",G35+I35,"")</f>
        <v/>
      </c>
      <c r="I35" s="15" t="n">
        <v>365</v>
      </c>
      <c r="J35" s="15" t="n"/>
      <c r="K35" s="15" t="n"/>
      <c r="L35" s="15" t="n"/>
      <c r="M35" s="15" t="n"/>
      <c r="N35" s="15" t="n"/>
      <c r="O35" s="15" t="n"/>
      <c r="P35" s="15" t="n"/>
    </row>
    <row r="36">
      <c r="A36" s="15" t="n"/>
      <c r="B36" s="15" t="n"/>
      <c r="C36" s="15" t="n"/>
      <c r="D36" s="15" t="n"/>
      <c r="E36" s="15" t="n"/>
      <c r="F36" s="15" t="n"/>
      <c r="G36" s="15" t="n"/>
      <c r="H36" s="15">
        <f>IF(G36&lt;&gt;"",G36+I36,"")</f>
        <v/>
      </c>
      <c r="I36" s="15" t="n">
        <v>365</v>
      </c>
      <c r="J36" s="15" t="n"/>
      <c r="K36" s="15" t="n"/>
      <c r="L36" s="15" t="n"/>
      <c r="M36" s="15" t="n"/>
      <c r="N36" s="15" t="n"/>
      <c r="O36" s="15" t="n"/>
      <c r="P36" s="15" t="n"/>
    </row>
    <row r="37">
      <c r="A37" s="15" t="n"/>
      <c r="B37" s="15" t="n"/>
      <c r="C37" s="15" t="n"/>
      <c r="D37" s="15" t="n"/>
      <c r="E37" s="15" t="n"/>
      <c r="F37" s="15" t="n"/>
      <c r="G37" s="15" t="n"/>
      <c r="H37" s="15">
        <f>IF(G37&lt;&gt;"",G37+I37,"")</f>
        <v/>
      </c>
      <c r="I37" s="15" t="n">
        <v>365</v>
      </c>
      <c r="J37" s="15" t="n"/>
      <c r="K37" s="15" t="n"/>
      <c r="L37" s="15" t="n"/>
      <c r="M37" s="15" t="n"/>
      <c r="N37" s="15" t="n"/>
      <c r="O37" s="15" t="n"/>
      <c r="P37" s="15" t="n"/>
    </row>
    <row r="38">
      <c r="A38" s="15" t="n"/>
      <c r="B38" s="15" t="n"/>
      <c r="C38" s="15" t="n"/>
      <c r="D38" s="15" t="n"/>
      <c r="E38" s="15" t="n"/>
      <c r="F38" s="15" t="n"/>
      <c r="G38" s="15" t="n"/>
      <c r="H38" s="15">
        <f>IF(G38&lt;&gt;"",G38+I38,"")</f>
        <v/>
      </c>
      <c r="I38" s="15" t="n">
        <v>365</v>
      </c>
      <c r="J38" s="15" t="n"/>
      <c r="K38" s="15" t="n"/>
      <c r="L38" s="15" t="n"/>
      <c r="M38" s="15" t="n"/>
      <c r="N38" s="15" t="n"/>
      <c r="O38" s="15" t="n"/>
      <c r="P38" s="15" t="n"/>
    </row>
    <row r="39">
      <c r="A39" s="15" t="n"/>
      <c r="B39" s="15" t="n"/>
      <c r="C39" s="15" t="n"/>
      <c r="D39" s="15" t="n"/>
      <c r="E39" s="15" t="n"/>
      <c r="F39" s="15" t="n"/>
      <c r="G39" s="15" t="n"/>
      <c r="H39" s="15">
        <f>IF(G39&lt;&gt;"",G39+I39,"")</f>
        <v/>
      </c>
      <c r="I39" s="15" t="n">
        <v>365</v>
      </c>
      <c r="J39" s="15" t="n"/>
      <c r="K39" s="15" t="n"/>
      <c r="L39" s="15" t="n"/>
      <c r="M39" s="15" t="n"/>
      <c r="N39" s="15" t="n"/>
      <c r="O39" s="15" t="n"/>
      <c r="P39" s="15" t="n"/>
    </row>
    <row r="40">
      <c r="A40" s="15" t="n"/>
      <c r="B40" s="15" t="n"/>
      <c r="C40" s="15" t="n"/>
      <c r="D40" s="15" t="n"/>
      <c r="E40" s="15" t="n"/>
      <c r="F40" s="15" t="n"/>
      <c r="G40" s="15" t="n"/>
      <c r="H40" s="15">
        <f>IF(G40&lt;&gt;"",G40+I40,"")</f>
        <v/>
      </c>
      <c r="I40" s="15" t="n">
        <v>365</v>
      </c>
      <c r="J40" s="15" t="n"/>
      <c r="K40" s="15" t="n"/>
      <c r="L40" s="15" t="n"/>
      <c r="M40" s="15" t="n"/>
      <c r="N40" s="15" t="n"/>
      <c r="O40" s="15" t="n"/>
      <c r="P40" s="15" t="n"/>
    </row>
    <row r="41">
      <c r="A41" s="15" t="n"/>
      <c r="B41" s="15" t="n"/>
      <c r="C41" s="15" t="n"/>
      <c r="D41" s="15" t="n"/>
      <c r="E41" s="15" t="n"/>
      <c r="F41" s="15" t="n"/>
      <c r="G41" s="15" t="n"/>
      <c r="H41" s="15">
        <f>IF(G41&lt;&gt;"",G41+I41,"")</f>
        <v/>
      </c>
      <c r="I41" s="15" t="n">
        <v>365</v>
      </c>
      <c r="J41" s="15" t="n"/>
      <c r="K41" s="15" t="n"/>
      <c r="L41" s="15" t="n"/>
      <c r="M41" s="15" t="n"/>
      <c r="N41" s="15" t="n"/>
      <c r="O41" s="15" t="n"/>
      <c r="P41" s="15" t="n"/>
    </row>
    <row r="42">
      <c r="A42" s="15" t="n"/>
      <c r="B42" s="15" t="n"/>
      <c r="C42" s="15" t="n"/>
      <c r="D42" s="15" t="n"/>
      <c r="E42" s="15" t="n"/>
      <c r="F42" s="15" t="n"/>
      <c r="G42" s="15" t="n"/>
      <c r="H42" s="15">
        <f>IF(G42&lt;&gt;"",G42+I42,"")</f>
        <v/>
      </c>
      <c r="I42" s="15" t="n">
        <v>365</v>
      </c>
      <c r="J42" s="15" t="n"/>
      <c r="K42" s="15" t="n"/>
      <c r="L42" s="15" t="n"/>
      <c r="M42" s="15" t="n"/>
      <c r="N42" s="15" t="n"/>
      <c r="O42" s="15" t="n"/>
      <c r="P42" s="15" t="n"/>
    </row>
    <row r="43">
      <c r="A43" s="15" t="n"/>
      <c r="B43" s="15" t="n"/>
      <c r="C43" s="15" t="n"/>
      <c r="D43" s="15" t="n"/>
      <c r="E43" s="15" t="n"/>
      <c r="F43" s="15" t="n"/>
      <c r="G43" s="15" t="n"/>
      <c r="H43" s="15">
        <f>IF(G43&lt;&gt;"",G43+I43,"")</f>
        <v/>
      </c>
      <c r="I43" s="15" t="n">
        <v>365</v>
      </c>
      <c r="J43" s="15" t="n"/>
      <c r="K43" s="15" t="n"/>
      <c r="L43" s="15" t="n"/>
      <c r="M43" s="15" t="n"/>
      <c r="N43" s="15" t="n"/>
      <c r="O43" s="15" t="n"/>
      <c r="P43" s="15" t="n"/>
    </row>
    <row r="44">
      <c r="A44" s="15" t="n"/>
      <c r="B44" s="15" t="n"/>
      <c r="C44" s="15" t="n"/>
      <c r="D44" s="15" t="n"/>
      <c r="E44" s="15" t="n"/>
      <c r="F44" s="15" t="n"/>
      <c r="G44" s="15" t="n"/>
      <c r="H44" s="15">
        <f>IF(G44&lt;&gt;"",G44+I44,"")</f>
        <v/>
      </c>
      <c r="I44" s="15" t="n">
        <v>365</v>
      </c>
      <c r="J44" s="15" t="n"/>
      <c r="K44" s="15" t="n"/>
      <c r="L44" s="15" t="n"/>
      <c r="M44" s="15" t="n"/>
      <c r="N44" s="15" t="n"/>
      <c r="O44" s="15" t="n"/>
      <c r="P44" s="15" t="n"/>
    </row>
    <row r="45">
      <c r="A45" s="15" t="n"/>
      <c r="B45" s="15" t="n"/>
      <c r="C45" s="15" t="n"/>
      <c r="D45" s="15" t="n"/>
      <c r="E45" s="15" t="n"/>
      <c r="F45" s="15" t="n"/>
      <c r="G45" s="15" t="n"/>
      <c r="H45" s="15">
        <f>IF(G45&lt;&gt;"",G45+I45,"")</f>
        <v/>
      </c>
      <c r="I45" s="15" t="n">
        <v>365</v>
      </c>
      <c r="J45" s="15" t="n"/>
      <c r="K45" s="15" t="n"/>
      <c r="L45" s="15" t="n"/>
      <c r="M45" s="15" t="n"/>
      <c r="N45" s="15" t="n"/>
      <c r="O45" s="15" t="n"/>
      <c r="P45" s="15" t="n"/>
    </row>
    <row r="46">
      <c r="A46" s="15" t="n"/>
      <c r="B46" s="15" t="n"/>
      <c r="C46" s="15" t="n"/>
      <c r="D46" s="15" t="n"/>
      <c r="E46" s="15" t="n"/>
      <c r="F46" s="15" t="n"/>
      <c r="G46" s="15" t="n"/>
      <c r="H46" s="15">
        <f>IF(G46&lt;&gt;"",G46+I46,"")</f>
        <v/>
      </c>
      <c r="I46" s="15" t="n">
        <v>365</v>
      </c>
      <c r="J46" s="15" t="n"/>
      <c r="K46" s="15" t="n"/>
      <c r="L46" s="15" t="n"/>
      <c r="M46" s="15" t="n"/>
      <c r="N46" s="15" t="n"/>
      <c r="O46" s="15" t="n"/>
      <c r="P46" s="15" t="n"/>
    </row>
    <row r="47">
      <c r="A47" s="15" t="n"/>
      <c r="B47" s="15" t="n"/>
      <c r="C47" s="15" t="n"/>
      <c r="D47" s="15" t="n"/>
      <c r="E47" s="15" t="n"/>
      <c r="F47" s="15" t="n"/>
      <c r="G47" s="15" t="n"/>
      <c r="H47" s="15">
        <f>IF(G47&lt;&gt;"",G47+I47,"")</f>
        <v/>
      </c>
      <c r="I47" s="15" t="n">
        <v>365</v>
      </c>
      <c r="J47" s="15" t="n"/>
      <c r="K47" s="15" t="n"/>
      <c r="L47" s="15" t="n"/>
      <c r="M47" s="15" t="n"/>
      <c r="N47" s="15" t="n"/>
      <c r="O47" s="15" t="n"/>
      <c r="P47" s="15" t="n"/>
    </row>
    <row r="48">
      <c r="A48" s="15" t="n"/>
      <c r="B48" s="15" t="n"/>
      <c r="C48" s="15" t="n"/>
      <c r="D48" s="15" t="n"/>
      <c r="E48" s="15" t="n"/>
      <c r="F48" s="15" t="n"/>
      <c r="G48" s="15" t="n"/>
      <c r="H48" s="15">
        <f>IF(G48&lt;&gt;"",G48+I48,"")</f>
        <v/>
      </c>
      <c r="I48" s="15" t="n">
        <v>365</v>
      </c>
      <c r="J48" s="15" t="n"/>
      <c r="K48" s="15" t="n"/>
      <c r="L48" s="15" t="n"/>
      <c r="M48" s="15" t="n"/>
      <c r="N48" s="15" t="n"/>
      <c r="O48" s="15" t="n"/>
      <c r="P48" s="15" t="n"/>
    </row>
    <row r="49">
      <c r="A49" s="15" t="n"/>
      <c r="B49" s="15" t="n"/>
      <c r="C49" s="15" t="n"/>
      <c r="D49" s="15" t="n"/>
      <c r="E49" s="15" t="n"/>
      <c r="F49" s="15" t="n"/>
      <c r="G49" s="15" t="n"/>
      <c r="H49" s="15">
        <f>IF(G49&lt;&gt;"",G49+I49,"")</f>
        <v/>
      </c>
      <c r="I49" s="15" t="n">
        <v>365</v>
      </c>
      <c r="J49" s="15" t="n"/>
      <c r="K49" s="15" t="n"/>
      <c r="L49" s="15" t="n"/>
      <c r="M49" s="15" t="n"/>
      <c r="N49" s="15" t="n"/>
      <c r="O49" s="15" t="n"/>
      <c r="P49" s="15" t="n"/>
    </row>
    <row r="50">
      <c r="A50" s="15" t="n"/>
      <c r="B50" s="15" t="n"/>
      <c r="C50" s="15" t="n"/>
      <c r="D50" s="15" t="n"/>
      <c r="E50" s="15" t="n"/>
      <c r="F50" s="15" t="n"/>
      <c r="G50" s="15" t="n"/>
      <c r="H50" s="15">
        <f>IF(G50&lt;&gt;"",G50+I50,"")</f>
        <v/>
      </c>
      <c r="I50" s="15" t="n">
        <v>365</v>
      </c>
      <c r="J50" s="15" t="n"/>
      <c r="K50" s="15" t="n"/>
      <c r="L50" s="15" t="n"/>
      <c r="M50" s="15" t="n"/>
      <c r="N50" s="15" t="n"/>
      <c r="O50" s="15" t="n"/>
      <c r="P50" s="15" t="n"/>
    </row>
    <row r="51">
      <c r="A51" s="15" t="n"/>
      <c r="B51" s="15" t="n"/>
      <c r="C51" s="15" t="n"/>
      <c r="D51" s="15" t="n"/>
      <c r="E51" s="15" t="n"/>
      <c r="F51" s="15" t="n"/>
      <c r="G51" s="15" t="n"/>
      <c r="H51" s="15">
        <f>IF(G51&lt;&gt;"",G51+I51,"")</f>
        <v/>
      </c>
      <c r="I51" s="15" t="n">
        <v>365</v>
      </c>
      <c r="J51" s="15" t="n"/>
      <c r="K51" s="15" t="n"/>
      <c r="L51" s="15" t="n"/>
      <c r="M51" s="15" t="n"/>
      <c r="N51" s="15" t="n"/>
      <c r="O51" s="15" t="n"/>
      <c r="P51" s="15" t="n"/>
    </row>
    <row r="52">
      <c r="A52" s="15" t="n"/>
      <c r="B52" s="15" t="n"/>
      <c r="C52" s="15" t="n"/>
      <c r="D52" s="15" t="n"/>
      <c r="E52" s="15" t="n"/>
      <c r="F52" s="15" t="n"/>
      <c r="G52" s="15" t="n"/>
      <c r="H52" s="15">
        <f>IF(G52&lt;&gt;"",G52+I52,"")</f>
        <v/>
      </c>
      <c r="I52" s="15" t="n">
        <v>365</v>
      </c>
      <c r="J52" s="15" t="n"/>
      <c r="K52" s="15" t="n"/>
      <c r="L52" s="15" t="n"/>
      <c r="M52" s="15" t="n"/>
      <c r="N52" s="15" t="n"/>
      <c r="O52" s="15" t="n"/>
      <c r="P52" s="15" t="n"/>
    </row>
    <row r="53">
      <c r="A53" s="15" t="n"/>
      <c r="B53" s="15" t="n"/>
      <c r="C53" s="15" t="n"/>
      <c r="D53" s="15" t="n"/>
      <c r="E53" s="15" t="n"/>
      <c r="F53" s="15" t="n"/>
      <c r="G53" s="15" t="n"/>
      <c r="H53" s="15">
        <f>IF(G53&lt;&gt;"",G53+I53,"")</f>
        <v/>
      </c>
      <c r="I53" s="15" t="n">
        <v>365</v>
      </c>
      <c r="J53" s="15" t="n"/>
      <c r="K53" s="15" t="n"/>
      <c r="L53" s="15" t="n"/>
      <c r="M53" s="15" t="n"/>
      <c r="N53" s="15" t="n"/>
      <c r="O53" s="15" t="n"/>
      <c r="P53" s="15" t="n"/>
    </row>
    <row r="54">
      <c r="A54" s="15" t="n"/>
      <c r="B54" s="15" t="n"/>
      <c r="C54" s="15" t="n"/>
      <c r="D54" s="15" t="n"/>
      <c r="E54" s="15" t="n"/>
      <c r="F54" s="15" t="n"/>
      <c r="G54" s="15" t="n"/>
      <c r="H54" s="15">
        <f>IF(G54&lt;&gt;"",G54+I54,"")</f>
        <v/>
      </c>
      <c r="I54" s="15" t="n">
        <v>365</v>
      </c>
      <c r="J54" s="15" t="n"/>
      <c r="K54" s="15" t="n"/>
      <c r="L54" s="15" t="n"/>
      <c r="M54" s="15" t="n"/>
      <c r="N54" s="15" t="n"/>
      <c r="O54" s="15" t="n"/>
      <c r="P54" s="15" t="n"/>
    </row>
  </sheetData>
  <mergeCells count="2">
    <mergeCell ref="A1:P1"/>
    <mergeCell ref="A2:P2"/>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"System Operations,Security Operations,Facility Operations,Change Management,Recovery Operations,User Management,Other"</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"Draft,Pending Approval,Approved,Expired,Under Review"</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22" customWidth="1" min="4" max="4"/>
    <col width="14" customWidth="1" min="5" max="5"/>
    <col width="18" customWidth="1" min="6" max="6"/>
    <col width="20" customWidth="1" min="7" max="7"/>
    <col width="40" customWidth="1" min="8" max="8"/>
  </cols>
  <sheetData>
    <row r="1" ht="35" customHeight="1">
      <c r="A1" s="11" t="inlineStr">
        <is>
          <t>REQUIRED PROCEDURES</t>
        </is>
      </c>
    </row>
    <row r="2">
      <c r="A2" s="12" t="inlineStr">
        <is>
          <t>ISO 27001:2022 required procedure reference list — map existing procedures to required ones and record gaps</t>
        </is>
      </c>
    </row>
    <row r="3">
      <c r="A3" s="13" t="inlineStr">
        <is>
          <t>Reference ID</t>
        </is>
      </c>
      <c r="B3" s="13" t="inlineStr">
        <is>
          <t>Required Procedure</t>
        </is>
      </c>
      <c r="C3" s="13" t="inlineStr">
        <is>
          <t>ISO Control</t>
        </is>
      </c>
      <c r="D3" s="13" t="inlineStr">
        <is>
          <t>Category</t>
        </is>
      </c>
      <c r="E3" s="13" t="inlineStr">
        <is>
          <t>Priority</t>
        </is>
      </c>
      <c r="F3" s="13" t="inlineStr">
        <is>
          <t>Current Status</t>
        </is>
      </c>
      <c r="G3" s="13" t="inlineStr">
        <is>
          <t>Mapped Procedure ID</t>
        </is>
      </c>
      <c r="H3" s="13" t="inlineStr">
        <is>
          <t>Gap Notes</t>
        </is>
      </c>
    </row>
    <row r="4">
      <c r="A4" s="14" t="inlineStr">
        <is>
          <t>REQ-001</t>
        </is>
      </c>
      <c r="B4" s="14" t="inlineStr">
        <is>
          <t>Information Security Incident Response Procedure</t>
        </is>
      </c>
      <c r="C4" s="14" t="inlineStr">
        <is>
          <t>A.5.24-28</t>
        </is>
      </c>
      <c r="D4" s="14" t="inlineStr">
        <is>
          <t>Security Operations</t>
        </is>
      </c>
      <c r="E4" s="14" t="inlineStr">
        <is>
          <t>High</t>
        </is>
      </c>
      <c r="F4" s="15" t="n"/>
      <c r="G4" s="15" t="n"/>
      <c r="H4" s="15" t="n"/>
    </row>
    <row r="5">
      <c r="A5" s="14" t="inlineStr">
        <is>
          <t>REQ-002</t>
        </is>
      </c>
      <c r="B5" s="14" t="inlineStr">
        <is>
          <t>Access Control Management Procedure</t>
        </is>
      </c>
      <c r="C5" s="14" t="inlineStr">
        <is>
          <t>A.5.15-18</t>
        </is>
      </c>
      <c r="D5" s="14" t="inlineStr">
        <is>
          <t>User Management</t>
        </is>
      </c>
      <c r="E5" s="14" t="inlineStr">
        <is>
          <t>High</t>
        </is>
      </c>
      <c r="F5" s="15" t="n"/>
      <c r="G5" s="15" t="n"/>
      <c r="H5" s="15" t="n"/>
    </row>
    <row r="6">
      <c r="A6" s="14" t="inlineStr">
        <is>
          <t>REQ-003</t>
        </is>
      </c>
      <c r="B6" s="14" t="inlineStr">
        <is>
          <t>Change Management Procedure</t>
        </is>
      </c>
      <c r="C6" s="14" t="inlineStr">
        <is>
          <t>A.8.32</t>
        </is>
      </c>
      <c r="D6" s="14" t="inlineStr">
        <is>
          <t>Change Management</t>
        </is>
      </c>
      <c r="E6" s="14" t="inlineStr">
        <is>
          <t>High</t>
        </is>
      </c>
      <c r="F6" s="15" t="n"/>
      <c r="G6" s="15" t="n"/>
      <c r="H6" s="15" t="n"/>
    </row>
    <row r="7">
      <c r="A7" s="14" t="inlineStr">
        <is>
          <t>REQ-004</t>
        </is>
      </c>
      <c r="B7" s="14" t="inlineStr">
        <is>
          <t>Backup and Recovery Procedure</t>
        </is>
      </c>
      <c r="C7" s="14" t="inlineStr">
        <is>
          <t>A.8.13</t>
        </is>
      </c>
      <c r="D7" s="14" t="inlineStr">
        <is>
          <t>System Operations</t>
        </is>
      </c>
      <c r="E7" s="14" t="inlineStr">
        <is>
          <t>Critical</t>
        </is>
      </c>
      <c r="F7" s="15" t="n"/>
      <c r="G7" s="15" t="n"/>
      <c r="H7" s="15" t="n"/>
    </row>
    <row r="8">
      <c r="A8" s="14" t="inlineStr">
        <is>
          <t>REQ-005</t>
        </is>
      </c>
      <c r="B8" s="14" t="inlineStr">
        <is>
          <t>Business Continuity Activation Procedure</t>
        </is>
      </c>
      <c r="C8" s="14" t="inlineStr">
        <is>
          <t>A.5.29-30</t>
        </is>
      </c>
      <c r="D8" s="14" t="inlineStr">
        <is>
          <t>Recovery Operations</t>
        </is>
      </c>
      <c r="E8" s="14" t="inlineStr">
        <is>
          <t>Critical</t>
        </is>
      </c>
      <c r="F8" s="15" t="n"/>
      <c r="G8" s="15" t="n"/>
      <c r="H8" s="15" t="n"/>
    </row>
    <row r="9">
      <c r="A9" s="14" t="inlineStr">
        <is>
          <t>REQ-006</t>
        </is>
      </c>
      <c r="B9" s="14" t="inlineStr">
        <is>
          <t>User Onboarding/Offboarding Procedure</t>
        </is>
      </c>
      <c r="C9" s="14" t="inlineStr">
        <is>
          <t>A.6.1-5</t>
        </is>
      </c>
      <c r="D9" s="14" t="inlineStr">
        <is>
          <t>User Management</t>
        </is>
      </c>
      <c r="E9" s="14" t="inlineStr">
        <is>
          <t>High</t>
        </is>
      </c>
      <c r="F9" s="15" t="n"/>
      <c r="G9" s="15" t="n"/>
      <c r="H9" s="15" t="n"/>
    </row>
    <row r="10">
      <c r="A10" s="14" t="inlineStr">
        <is>
          <t>REQ-007</t>
        </is>
      </c>
      <c r="B10" s="14" t="inlineStr">
        <is>
          <t>Vulnerability Management Procedure</t>
        </is>
      </c>
      <c r="C10" s="14" t="inlineStr">
        <is>
          <t>A.8.8</t>
        </is>
      </c>
      <c r="D10" s="14" t="inlineStr">
        <is>
          <t>Security Operations</t>
        </is>
      </c>
      <c r="E10" s="14" t="inlineStr">
        <is>
          <t>High</t>
        </is>
      </c>
      <c r="F10" s="15" t="n"/>
      <c r="G10" s="15" t="n"/>
      <c r="H10" s="15" t="n"/>
    </row>
    <row r="11">
      <c r="A11" s="14" t="inlineStr">
        <is>
          <t>REQ-008</t>
        </is>
      </c>
      <c r="B11" s="14" t="inlineStr">
        <is>
          <t>Logging and Monitoring Procedure</t>
        </is>
      </c>
      <c r="C11" s="14" t="inlineStr">
        <is>
          <t>A.8.15-16</t>
        </is>
      </c>
      <c r="D11" s="14" t="inlineStr">
        <is>
          <t>System Operations</t>
        </is>
      </c>
      <c r="E11" s="14" t="inlineStr">
        <is>
          <t>High</t>
        </is>
      </c>
      <c r="F11" s="15" t="n"/>
      <c r="G11" s="15" t="n"/>
      <c r="H11" s="15" t="n"/>
    </row>
    <row r="12">
      <c r="A12" s="14" t="inlineStr">
        <is>
          <t>REQ-009</t>
        </is>
      </c>
      <c r="B12" s="14" t="inlineStr">
        <is>
          <t>Physical Access Control Procedure</t>
        </is>
      </c>
      <c r="C12" s="14" t="inlineStr">
        <is>
          <t>A.7.1-4</t>
        </is>
      </c>
      <c r="D12" s="14" t="inlineStr">
        <is>
          <t>Facility Operations</t>
        </is>
      </c>
      <c r="E12" s="14" t="inlineStr">
        <is>
          <t>High</t>
        </is>
      </c>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sheetData>
  <mergeCells count="2">
    <mergeCell ref="A2:H2"/>
    <mergeCell ref="A1:H1"/>
  </mergeCells>
  <dataValidations count="2">
    <dataValidation sqref="F4 F5 F6 F7 F8 F9 F10 F11 F12 F13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"Exists,Partial,Missing"</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25" customWidth="1" min="7" max="7"/>
    <col width="16" customWidth="1" min="8" max="8"/>
  </cols>
  <sheetData>
    <row r="1" ht="35" customHeight="1">
      <c r="A1" s="11" t="inlineStr">
        <is>
          <t>ACCESSIBILITY MATRIX</t>
        </is>
      </c>
    </row>
    <row r="2">
      <c r="A2" s="12" t="inlineStr">
        <is>
          <t>Role-based procedure access mapping — verify that all relevant staff can access the procedures they need</t>
        </is>
      </c>
    </row>
    <row r="3">
      <c r="A3" s="13" t="inlineStr">
        <is>
          <t>Procedure ID</t>
        </is>
      </c>
      <c r="B3" s="13" t="inlineStr">
        <is>
          <t>IT Operations</t>
        </is>
      </c>
      <c r="C3" s="13" t="inlineStr">
        <is>
          <t>Security Team</t>
        </is>
      </c>
      <c r="D3" s="13" t="inlineStr">
        <is>
          <t>Facilities</t>
        </is>
      </c>
      <c r="E3" s="13" t="inlineStr">
        <is>
          <t>Help Desk</t>
        </is>
      </c>
      <c r="F3" s="13" t="inlineStr">
        <is>
          <t>Management</t>
        </is>
      </c>
      <c r="G3" s="13" t="inlineStr">
        <is>
          <t>Access Method</t>
        </is>
      </c>
      <c r="H3" s="13" t="inlineStr">
        <is>
          <t>Verified Date</t>
        </is>
      </c>
    </row>
    <row r="4">
      <c r="A4" s="14" t="inlineStr">
        <is>
          <t>PROC-001</t>
        </is>
      </c>
      <c r="B4" s="14" t="inlineStr">
        <is>
          <t>Yes</t>
        </is>
      </c>
      <c r="C4" s="14" t="inlineStr">
        <is>
          <t>Yes</t>
        </is>
      </c>
      <c r="D4" s="14" t="inlineStr">
        <is>
          <t>No</t>
        </is>
      </c>
      <c r="E4" s="14" t="inlineStr">
        <is>
          <t>Yes</t>
        </is>
      </c>
      <c r="F4" s="14" t="inlineStr">
        <is>
          <t>Yes</t>
        </is>
      </c>
      <c r="G4" s="14" t="inlineStr">
        <is>
          <t>SharePoint: /IT/Procedures/</t>
        </is>
      </c>
      <c r="H4" s="14" t="inlineStr">
        <is>
          <t>15.01.2026</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35" customWidth="1" min="3" max="3"/>
    <col width="14" customWidth="1" min="4" max="4"/>
    <col width="16" customWidth="1" min="5" max="5"/>
    <col width="25" customWidth="1" min="6" max="6"/>
    <col width="16" customWidth="1" min="7" max="7"/>
    <col width="16" customWidth="1" min="8" max="8"/>
    <col width="16" customWidth="1" min="9" max="9"/>
    <col width="35" customWidth="1" min="10" max="10"/>
  </cols>
  <sheetData>
    <row r="1" ht="35" customHeight="1">
      <c r="A1" s="11" t="inlineStr">
        <is>
          <t>GAP ANALYSIS</t>
        </is>
      </c>
    </row>
    <row r="2">
      <c r="A2" s="12" t="inlineStr">
        <is>
          <t>Track missing, incomplete, outdated or unapproved procedures — assign remediation owners and target dates</t>
        </is>
      </c>
    </row>
    <row r="3">
      <c r="A3" s="13" t="inlineStr">
        <is>
          <t>Gap ID</t>
        </is>
      </c>
      <c r="B3" s="13" t="inlineStr">
        <is>
          <t>Gap Type</t>
        </is>
      </c>
      <c r="C3" s="13" t="inlineStr">
        <is>
          <t>Procedure Reference</t>
        </is>
      </c>
      <c r="D3" s="13" t="inlineStr">
        <is>
          <t>Severity</t>
        </is>
      </c>
      <c r="E3" s="13" t="inlineStr">
        <is>
          <t>Identified Date</t>
        </is>
      </c>
      <c r="F3" s="13" t="inlineStr">
        <is>
          <t>Remediation Owner</t>
        </is>
      </c>
      <c r="G3" s="13" t="inlineStr">
        <is>
          <t>Target Date</t>
        </is>
      </c>
      <c r="H3" s="13" t="inlineStr">
        <is>
          <t>Status</t>
        </is>
      </c>
      <c r="I3" s="13" t="inlineStr">
        <is>
          <t>Completion Date</t>
        </is>
      </c>
      <c r="J3" s="13" t="inlineStr">
        <is>
          <t>Evidence</t>
        </is>
      </c>
    </row>
    <row r="4">
      <c r="A4" s="14" t="inlineStr">
        <is>
          <t>GAP-001</t>
        </is>
      </c>
      <c r="B4" s="14" t="inlineStr">
        <is>
          <t>Missing</t>
        </is>
      </c>
      <c r="C4" s="14" t="inlineStr">
        <is>
          <t>Patch Management Procedure</t>
        </is>
      </c>
      <c r="D4" s="14" t="inlineStr">
        <is>
          <t>High</t>
        </is>
      </c>
      <c r="E4" s="14" t="inlineStr">
        <is>
          <t>01.02.2026</t>
        </is>
      </c>
      <c r="F4" s="14" t="inlineStr">
        <is>
          <t>IT Security Manager</t>
        </is>
      </c>
      <c r="G4" s="14" t="inlineStr">
        <is>
          <t>01.04.2026</t>
        </is>
      </c>
      <c r="H4" s="14" t="inlineStr">
        <is>
          <t>Open</t>
        </is>
      </c>
      <c r="I4" s="14" t="inlineStr"/>
      <c r="J4" s="14" t="inlineStr">
        <is>
          <t>/evidence/gap-001-assessment.pdf</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"Missing,Incomplete,Outdated,Unapproved"</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 Progress,Closed"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Procedure Inventory</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INVENTORY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Procedure Inventory</t>
        </is>
      </c>
      <c r="B6" s="28">
        <f>COUNTA('Procedure Inventory'!B5:B54)</f>
        <v/>
      </c>
      <c r="C6" s="28">
        <f>COUNTIF('Procedure Inventory'!K5:K54,"Approved")</f>
        <v/>
      </c>
      <c r="D6" s="28">
        <f>COUNTIF('Procedure Inventory'!K5:K54,"Draft")+COUNTIF('Procedure Inventory'!K5:K54,"Pending Approval")+COUNTIF('Procedure Inventory'!K5:K54,"Under Review")</f>
        <v/>
      </c>
      <c r="E6" s="28">
        <f>COUNTIF('Procedure Inventory'!K5:K54,"Expired")</f>
        <v/>
      </c>
      <c r="F6" s="28">
        <f>0</f>
        <v/>
      </c>
      <c r="G6" s="29">
        <f>IFERROR(IF((B6-F6)=0,0,C6/(B6-F6)),"")</f>
        <v/>
      </c>
    </row>
    <row r="7">
      <c r="A7" s="27" t="inlineStr">
        <is>
          <t>Required Procedures</t>
        </is>
      </c>
      <c r="B7" s="28">
        <f>COUNTA('Required Procedures'!B5:B63)</f>
        <v/>
      </c>
      <c r="C7" s="28">
        <f>COUNTIF('Required Procedures'!F5:F63,"Exists")</f>
        <v/>
      </c>
      <c r="D7" s="28">
        <f>COUNTIF('Required Procedures'!F5:F63,"Partial")</f>
        <v/>
      </c>
      <c r="E7" s="28">
        <f>COUNTIF('Required Procedures'!F5:F63,"Missing")</f>
        <v/>
      </c>
      <c r="F7" s="28">
        <f>0</f>
        <v/>
      </c>
      <c r="G7" s="29">
        <f>IFERROR(IF((B7-F7)=0,0,C7/(B7-F7)),"")</f>
        <v/>
      </c>
    </row>
    <row r="8">
      <c r="A8" s="27" t="inlineStr">
        <is>
          <t>Accessibility Matrix</t>
        </is>
      </c>
      <c r="B8" s="28">
        <f>COUNTA('Accessibility Matrix'!A5:A54)</f>
        <v/>
      </c>
      <c r="C8" s="28">
        <f>COUNTA('Accessibility Matrix'!G5:G54)</f>
        <v/>
      </c>
      <c r="D8" s="28">
        <f>0</f>
        <v/>
      </c>
      <c r="E8" s="28">
        <f>B8-C8</f>
        <v/>
      </c>
      <c r="F8" s="28">
        <f>0</f>
        <v/>
      </c>
      <c r="G8" s="29">
        <f>IFERROR(IF((B8-F8)=0,0,C8/(B8-F8)),"")</f>
        <v/>
      </c>
    </row>
    <row r="9">
      <c r="A9" s="27" t="inlineStr">
        <is>
          <t>Gap Analysis</t>
        </is>
      </c>
      <c r="B9" s="28">
        <f>COUNTA('Gap Analysis'!A5:A54)</f>
        <v/>
      </c>
      <c r="C9" s="28">
        <f>COUNTIF('Gap Analysis'!H5:H54,"Closed")</f>
        <v/>
      </c>
      <c r="D9" s="28">
        <f>COUNTIF('Gap Analysis'!H5:H54,"In Progress")</f>
        <v/>
      </c>
      <c r="E9" s="28">
        <f>COUNTIF('Gap Analysis'!H5:H54,"Open")</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Inventoried</t>
        </is>
      </c>
      <c r="B14" s="28">
        <f>COUNTA('Procedure Inventory'!B5:B54)</f>
        <v/>
      </c>
      <c r="C14" s="23" t="n"/>
      <c r="D14" s="23" t="n"/>
      <c r="E14" s="23" t="n"/>
      <c r="F14" s="23" t="n"/>
      <c r="G14" s="23" t="n"/>
    </row>
    <row r="15">
      <c r="A15" s="27" t="inlineStr">
        <is>
          <t>Approved Procedures</t>
        </is>
      </c>
      <c r="B15" s="28">
        <f>COUNTIF('Procedure Inventory'!K5:K54,"Approved")</f>
        <v/>
      </c>
      <c r="C15" s="23" t="n"/>
      <c r="D15" s="23" t="n"/>
      <c r="E15" s="23" t="n"/>
      <c r="F15" s="23" t="n"/>
      <c r="G15" s="23" t="n"/>
    </row>
    <row r="16">
      <c r="A16" s="27" t="inlineStr">
        <is>
          <t>Expired Procedures (Require Renewal)</t>
        </is>
      </c>
      <c r="B16" s="28">
        <f>COUNTIF('Procedure Inventory'!K5:K54,"Expired")</f>
        <v/>
      </c>
      <c r="C16" s="23" t="n"/>
      <c r="D16" s="23" t="n"/>
      <c r="E16" s="23" t="n"/>
      <c r="F16" s="23" t="n"/>
      <c r="G16" s="23" t="n"/>
    </row>
    <row r="17">
      <c r="A17" s="27" t="inlineStr">
        <is>
          <t>Critical Procedures</t>
        </is>
      </c>
      <c r="B17" s="28">
        <f>COUNTIF('Procedure Inventory'!O5:O54,"Critical")</f>
        <v/>
      </c>
      <c r="C17" s="23" t="n"/>
      <c r="D17" s="23" t="n"/>
      <c r="E17" s="23" t="n"/>
      <c r="F17" s="23" t="n"/>
      <c r="G17" s="23" t="n"/>
    </row>
    <row r="18">
      <c r="A18" s="27" t="inlineStr">
        <is>
          <t>High Criticality Procedures</t>
        </is>
      </c>
      <c r="B18" s="28">
        <f>COUNTIF('Procedure Inventory'!O5:O54,"High")</f>
        <v/>
      </c>
      <c r="C18" s="23" t="n"/>
      <c r="D18" s="23" t="n"/>
      <c r="E18" s="23" t="n"/>
      <c r="F18" s="23" t="n"/>
      <c r="G18" s="23" t="n"/>
    </row>
    <row r="19">
      <c r="A19" s="27" t="inlineStr">
        <is>
          <t>Security Operations Procedures</t>
        </is>
      </c>
      <c r="B19" s="28">
        <f>COUNTIF('Procedure Inventory'!C5:C54,"Security Operations")</f>
        <v/>
      </c>
      <c r="C19" s="23" t="n"/>
      <c r="D19" s="23" t="n"/>
      <c r="E19" s="23" t="n"/>
      <c r="F19" s="23" t="n"/>
      <c r="G19" s="23" t="n"/>
    </row>
    <row r="20">
      <c r="A20" s="27" t="inlineStr">
        <is>
          <t>System Operations Procedures</t>
        </is>
      </c>
      <c r="B20" s="28">
        <f>COUNTIF('Procedure Inventory'!C5:C54,"System Operations")</f>
        <v/>
      </c>
      <c r="C20" s="23" t="n"/>
      <c r="D20" s="23" t="n"/>
      <c r="E20" s="23" t="n"/>
      <c r="F20" s="23" t="n"/>
      <c r="G20" s="23" t="n"/>
    </row>
    <row r="21">
      <c r="A21" s="27" t="inlineStr">
        <is>
          <t>Recovery Operations Procedures</t>
        </is>
      </c>
      <c r="B21" s="28">
        <f>COUNTIF('Procedure Inventory'!C5:C54,"Recovery Operations")</f>
        <v/>
      </c>
      <c r="C21" s="23" t="n"/>
      <c r="D21" s="23" t="n"/>
      <c r="E21" s="23" t="n"/>
      <c r="F21" s="23" t="n"/>
      <c r="G21" s="23" t="n"/>
    </row>
    <row r="22">
      <c r="A22" s="27" t="inlineStr">
        <is>
          <t>Required Procedures Identified</t>
        </is>
      </c>
      <c r="B22" s="28">
        <f>COUNTA('Required Procedures'!B5:B63)</f>
        <v/>
      </c>
      <c r="C22" s="23" t="n"/>
      <c r="D22" s="23" t="n"/>
      <c r="E22" s="23" t="n"/>
      <c r="F22" s="23" t="n"/>
      <c r="G22" s="23" t="n"/>
    </row>
    <row r="23">
      <c r="A23" s="27" t="inlineStr">
        <is>
          <t>Procedures Fully Existing</t>
        </is>
      </c>
      <c r="B23" s="28">
        <f>COUNTIF('Required Procedures'!F5:F63,"Exists")</f>
        <v/>
      </c>
      <c r="C23" s="23" t="n"/>
      <c r="D23" s="23" t="n"/>
      <c r="E23" s="23" t="n"/>
      <c r="F23" s="23" t="n"/>
      <c r="G23" s="23" t="n"/>
    </row>
    <row r="24">
      <c r="A24" s="27" t="inlineStr">
        <is>
          <t>Procedures Partially Covered</t>
        </is>
      </c>
      <c r="B24" s="28">
        <f>COUNTIF('Required Procedures'!F5:F63,"Partial")</f>
        <v/>
      </c>
      <c r="C24" s="23" t="n"/>
      <c r="D24" s="23" t="n"/>
      <c r="E24" s="23" t="n"/>
      <c r="F24" s="23" t="n"/>
      <c r="G24" s="23" t="n"/>
    </row>
    <row r="25">
      <c r="A25" s="27" t="inlineStr">
        <is>
          <t>Procedures Missing</t>
        </is>
      </c>
      <c r="B25" s="28">
        <f>COUNTIF('Required Procedures'!F5:F63,"Missing")</f>
        <v/>
      </c>
      <c r="C25" s="23" t="n"/>
      <c r="D25" s="23" t="n"/>
      <c r="E25" s="23" t="n"/>
      <c r="F25" s="23" t="n"/>
      <c r="G25" s="23" t="n"/>
    </row>
    <row r="26">
      <c r="A26" s="27" t="inlineStr">
        <is>
          <t>Critical Priority Requirements</t>
        </is>
      </c>
      <c r="B26" s="28">
        <f>COUNTIF('Required Procedures'!E5:E63,"Critical")</f>
        <v/>
      </c>
      <c r="C26" s="23" t="n"/>
      <c r="D26" s="23" t="n"/>
      <c r="E26" s="23" t="n"/>
      <c r="F26" s="23" t="n"/>
      <c r="G26" s="23" t="n"/>
    </row>
    <row r="27">
      <c r="A27" s="27" t="inlineStr">
        <is>
          <t>Total Gap Items Identified</t>
        </is>
      </c>
      <c r="B27" s="28">
        <f>COUNTA('Gap Analysis'!A5:A54)</f>
        <v/>
      </c>
      <c r="C27" s="23" t="n"/>
      <c r="D27" s="23" t="n"/>
      <c r="E27" s="23" t="n"/>
      <c r="F27" s="23" t="n"/>
      <c r="G27" s="23" t="n"/>
    </row>
    <row r="28">
      <c r="A28" s="27" t="inlineStr">
        <is>
          <t>Critical Severity Gaps</t>
        </is>
      </c>
      <c r="B28" s="28">
        <f>COUNTIF('Gap Analysis'!D5:D54,"Critical")</f>
        <v/>
      </c>
      <c r="C28" s="23" t="n"/>
      <c r="D28" s="23" t="n"/>
      <c r="E28" s="23" t="n"/>
      <c r="F28" s="23" t="n"/>
      <c r="G28" s="23" t="n"/>
    </row>
    <row r="29">
      <c r="A29" s="27" t="inlineStr">
        <is>
          <t>High Severity Gaps</t>
        </is>
      </c>
      <c r="B29" s="28">
        <f>COUNTIF('Gap Analysis'!D5:D54,"High")</f>
        <v/>
      </c>
      <c r="C29" s="23" t="n"/>
      <c r="D29" s="23" t="n"/>
      <c r="E29" s="23" t="n"/>
      <c r="F29" s="23" t="n"/>
      <c r="G29" s="23" t="n"/>
    </row>
    <row r="30">
      <c r="A30" s="27" t="inlineStr">
        <is>
          <t>Open Gaps (Unresolved)</t>
        </is>
      </c>
      <c r="B30" s="28">
        <f>COUNTIF('Gap Analysis'!H5:H54,"Open")</f>
        <v/>
      </c>
      <c r="C30" s="23" t="n"/>
      <c r="D30" s="23" t="n"/>
      <c r="E30" s="23" t="n"/>
      <c r="F30" s="23" t="n"/>
      <c r="G30" s="23" t="n"/>
    </row>
    <row r="31">
      <c r="A31" s="27" t="inlineStr">
        <is>
          <t>Missing Procedures (Gap Type)</t>
        </is>
      </c>
      <c r="B31" s="28">
        <f>COUNTIF('Gap Analysis'!B5:B54,"Missing")</f>
        <v/>
      </c>
      <c r="C31" s="23" t="n"/>
      <c r="D31" s="23" t="n"/>
      <c r="E31" s="23" t="n"/>
      <c r="F31" s="23" t="n"/>
      <c r="G31" s="23" t="n"/>
    </row>
    <row r="32">
      <c r="A32" s="27" t="inlineStr">
        <is>
          <t>Outdated Procedures</t>
        </is>
      </c>
      <c r="B32" s="28">
        <f>COUNTIF('Gap Analysis'!B5:B54,"Outdated")</f>
        <v/>
      </c>
      <c r="C32" s="23" t="n"/>
      <c r="D32" s="23" t="n"/>
      <c r="E32" s="23" t="n"/>
      <c r="F32" s="23" t="n"/>
      <c r="G32" s="23" t="n"/>
    </row>
    <row r="33">
      <c r="A33" s="27" t="inlineStr">
        <is>
          <t>Procedures with Verified Access</t>
        </is>
      </c>
      <c r="B33" s="28">
        <f>COUNTA('Accessibility Matrix'!H5:H54)</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Required Procedures</t>
        </is>
      </c>
      <c r="B39" s="35" t="inlineStr">
        <is>
          <t>Missing required ISO procedures</t>
        </is>
      </c>
      <c r="C39" s="36">
        <f>COUNTIF('Required Procedures'!F5:F63,"Missing")</f>
        <v/>
      </c>
      <c r="D39" s="35" t="inlineStr">
        <is>
          <t>Critical</t>
        </is>
      </c>
      <c r="E39" s="35" t="inlineStr">
        <is>
          <t>Immediate</t>
        </is>
      </c>
      <c r="F39" s="35" t="n"/>
      <c r="G39" s="35" t="n"/>
    </row>
    <row r="40">
      <c r="A40" s="35" t="inlineStr">
        <is>
          <t>Required Procedures</t>
        </is>
      </c>
      <c r="B40" s="35" t="inlineStr">
        <is>
          <t>Critical priority procedures missing</t>
        </is>
      </c>
      <c r="C40" s="36">
        <f>COUNTIFS('Required Procedures'!E5:E63,"Critical",'Required Procedures'!F5:F63,"Missing")</f>
        <v/>
      </c>
      <c r="D40" s="35" t="inlineStr">
        <is>
          <t>Critical</t>
        </is>
      </c>
      <c r="E40" s="35" t="inlineStr">
        <is>
          <t>Immediate</t>
        </is>
      </c>
      <c r="F40" s="35" t="n"/>
      <c r="G40" s="35" t="n"/>
    </row>
    <row r="41">
      <c r="A41" s="35" t="inlineStr">
        <is>
          <t>Procedure Inventory</t>
        </is>
      </c>
      <c r="B41" s="35" t="inlineStr">
        <is>
          <t>Expired procedures not renewed</t>
        </is>
      </c>
      <c r="C41" s="36">
        <f>COUNTIF('Procedure Inventory'!K5:K54,"Expired")</f>
        <v/>
      </c>
      <c r="D41" s="35" t="inlineStr">
        <is>
          <t>Critical</t>
        </is>
      </c>
      <c r="E41" s="35" t="inlineStr">
        <is>
          <t>Immediate</t>
        </is>
      </c>
      <c r="F41" s="35" t="n"/>
      <c r="G41" s="35" t="n"/>
    </row>
    <row r="42">
      <c r="A42" s="35" t="inlineStr">
        <is>
          <t>Procedure Inventory</t>
        </is>
      </c>
      <c r="B42" s="35" t="inlineStr">
        <is>
          <t>Critical procedures not yet approved (Draft)</t>
        </is>
      </c>
      <c r="C42" s="36">
        <f>COUNTIFS('Procedure Inventory'!O5:O54,"Critical",'Procedure Inventory'!K5:K54,"Draft")</f>
        <v/>
      </c>
      <c r="D42" s="35" t="inlineStr">
        <is>
          <t>Critical</t>
        </is>
      </c>
      <c r="E42" s="35" t="inlineStr">
        <is>
          <t>Immediate</t>
        </is>
      </c>
      <c r="F42" s="35" t="n"/>
      <c r="G42" s="35" t="n"/>
    </row>
    <row r="43">
      <c r="A43" s="35" t="inlineStr">
        <is>
          <t>Gap Analysis</t>
        </is>
      </c>
      <c r="B43" s="35" t="inlineStr">
        <is>
          <t>Open critical severity gaps</t>
        </is>
      </c>
      <c r="C43" s="36">
        <f>COUNTIFS('Gap Analysis'!D5:D54,"Critical",'Gap Analysis'!H5:H54,"Open")</f>
        <v/>
      </c>
      <c r="D43" s="35" t="inlineStr">
        <is>
          <t>Critical</t>
        </is>
      </c>
      <c r="E43" s="35" t="inlineStr">
        <is>
          <t>Immediate</t>
        </is>
      </c>
      <c r="F43" s="35" t="n"/>
      <c r="G43" s="35" t="n"/>
    </row>
    <row r="44">
      <c r="A44" s="35" t="inlineStr">
        <is>
          <t>Gap Analysis</t>
        </is>
      </c>
      <c r="B44" s="35" t="inlineStr">
        <is>
          <t>Open high severity gaps</t>
        </is>
      </c>
      <c r="C44" s="36">
        <f>COUNTIFS('Gap Analysis'!D5:D54,"High",'Gap Analysis'!H5:H54,"Open")</f>
        <v/>
      </c>
      <c r="D44" s="35" t="inlineStr">
        <is>
          <t>High</t>
        </is>
      </c>
      <c r="E44" s="35" t="inlineStr">
        <is>
          <t>Urgent</t>
        </is>
      </c>
      <c r="F44" s="35" t="n"/>
      <c r="G44" s="35" t="n"/>
    </row>
    <row r="45">
      <c r="A45" s="35" t="inlineStr">
        <is>
          <t>Gap Analysis</t>
        </is>
      </c>
      <c r="B45" s="35" t="inlineStr">
        <is>
          <t>Missing procedure gaps (no procedure exists)</t>
        </is>
      </c>
      <c r="C45" s="36">
        <f>COUNTIF('Gap Analysis'!B5:B54,"Missing")</f>
        <v/>
      </c>
      <c r="D45" s="35" t="inlineStr">
        <is>
          <t>High</t>
        </is>
      </c>
      <c r="E45" s="35" t="inlineStr">
        <is>
          <t>Urgent</t>
        </is>
      </c>
      <c r="F45" s="35" t="n"/>
      <c r="G45" s="35" t="n"/>
    </row>
    <row r="46">
      <c r="A46" s="35" t="inlineStr">
        <is>
          <t>Procedure Inventory</t>
        </is>
      </c>
      <c r="B46" s="35" t="inlineStr">
        <is>
          <t>Recovery operations procedures inventory</t>
        </is>
      </c>
      <c r="C46" s="36">
        <f>COUNTIF('Procedure Inventory'!C5:C54,"Recovery Operations")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ISMS-IMP-A.5.37.1 - Procedure Inventory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ISMS-IMP-A.5.37.1 — Procedure Inventory Assessment</dc:title>
  <dc:description xmlns:dc="http://purl.org/dc/elements/1.1/">ISMS Implementation Workbook — ISMS-IMP-A.5.37.1</dc:description>
  <dc:subject xmlns:dc="http://purl.org/dc/elements/1.1/">ISO/IEC 27001:2022 — Control A.5.37: Documented Operating Procedures</dc:subject>
  <dcterms:created xmlns:dcterms="http://purl.org/dc/terms/" xmlns:xsi="http://www.w3.org/2001/XMLSchema-instance" xsi:type="dcterms:W3CDTF">2026-03-07T11:27:40Z</dcterms:created>
  <dcterms:modified xmlns:dcterms="http://purl.org/dc/terms/" xmlns:xsi="http://www.w3.org/2001/XMLSchema-instance" xsi:type="dcterms:W3CDTF">2026-03-07T11:27:40Z</dcterms:modified>
</cp:coreProperties>
</file>