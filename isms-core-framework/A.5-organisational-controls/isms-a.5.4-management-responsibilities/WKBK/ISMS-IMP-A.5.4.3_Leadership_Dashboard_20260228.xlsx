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ISMS-IMP-A.5.4.3  -  Leadership Dashboard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ISMS-IMP-A.5.4.3</t>
        </is>
      </c>
    </row>
    <row r="5">
      <c r="A5" s="3" t="inlineStr">
        <is>
          <t>Workbook Title</t>
        </is>
      </c>
      <c r="B5" t="inlineStr">
        <is>
          <t>Leadership Dashboard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 ht="35" customHeight="1">
      <c r="A1" s="11" t="inlineStr">
        <is>
          <t>MANAGEMENT SECURITY LEADERSHIP - EXECUTIVE SUMMARY</t>
        </is>
      </c>
      <c r="B1" s="6" t="n"/>
      <c r="C1" s="6" t="n"/>
      <c r="D1" s="6" t="n"/>
      <c r="E1" s="6" t="n"/>
      <c r="F1" s="6" t="n"/>
    </row>
    <row r="2">
      <c r="A2" s="12" t="inlineStr">
        <is>
          <t>Report Date: 28.02.2026 | Data sources: ISMS-IMP-A.5.4.1 and ISMS-IMP-A.5.4.2</t>
        </is>
      </c>
    </row>
    <row r="3">
      <c r="A3" s="13" t="inlineStr">
        <is>
          <t>Metric</t>
        </is>
      </c>
      <c r="B3" s="13" t="inlineStr">
        <is>
          <t>Current Value</t>
        </is>
      </c>
      <c r="C3" s="13" t="inlineStr">
        <is>
          <t>Minimum Target</t>
        </is>
      </c>
      <c r="D3" s="13" t="inlineStr">
        <is>
          <t>Stretch Target</t>
        </is>
      </c>
      <c r="E3" s="13" t="inlineStr">
        <is>
          <t>Status</t>
        </is>
      </c>
      <c r="F3" s="13" t="inlineStr">
        <is>
          <t>Notes</t>
        </is>
      </c>
    </row>
    <row r="4">
      <c r="A4" s="14" t="inlineStr">
        <is>
          <t>Overall Commitment Score</t>
        </is>
      </c>
      <c r="B4" s="14" t="inlineStr">
        <is>
          <t>[Score]%</t>
        </is>
      </c>
      <c r="C4" s="14" t="inlineStr">
        <is>
          <t>70%</t>
        </is>
      </c>
      <c r="D4" s="14" t="inlineStr">
        <is>
          <t>85%</t>
        </is>
      </c>
      <c r="E4" s="14" t="inlineStr">
        <is>
          <t>Meets</t>
        </is>
      </c>
      <c r="F4" s="14" t="inlineStr"/>
    </row>
    <row r="5">
      <c r="A5" s="15" t="n"/>
      <c r="B5" s="15" t="n"/>
      <c r="C5" s="15" t="n"/>
      <c r="D5" s="15" t="n"/>
      <c r="E5" s="15" t="n"/>
      <c r="F5" s="15" t="n"/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</sheetData>
  <mergeCells count="2">
    <mergeCell ref="A2:F2"/>
    <mergeCell ref="A1:F1"/>
  </mergeCells>
  <dataValidations count="1">
    <dataValidation sqref="E4:E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 ht="35" customHeight="1">
      <c r="A1" s="11" t="inlineStr">
        <is>
          <t>LEADERSHIP METRICS BY DEPARTMENT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Department-level breakdown of management security leadership metrics.</t>
        </is>
      </c>
    </row>
    <row r="3">
      <c r="A3" s="13" t="inlineStr">
        <is>
          <t>Department</t>
        </is>
      </c>
      <c r="B3" s="13" t="inlineStr">
        <is>
          <t>Manager Count</t>
        </is>
      </c>
      <c r="C3" s="13" t="inlineStr">
        <is>
          <t>Avg Commitment Score</t>
        </is>
      </c>
      <c r="D3" s="13" t="inlineStr">
        <is>
          <t>Training Compliance</t>
        </is>
      </c>
      <c r="E3" s="13" t="inlineStr">
        <is>
          <t>Violations Handled</t>
        </is>
      </c>
      <c r="F3" s="13" t="inlineStr">
        <is>
          <t>Access Reviews</t>
        </is>
      </c>
      <c r="G3" s="13" t="inlineStr">
        <is>
          <t>Status</t>
        </is>
      </c>
      <c r="H3" s="13" t="inlineStr">
        <is>
          <t>Notes</t>
        </is>
      </c>
    </row>
    <row r="4">
      <c r="A4" s="14" t="inlineStr">
        <is>
          <t>Executive</t>
        </is>
      </c>
      <c r="B4" s="14" t="inlineStr">
        <is>
          <t>3</t>
        </is>
      </c>
      <c r="C4" s="14" t="inlineStr">
        <is>
          <t>88%</t>
        </is>
      </c>
      <c r="D4" s="14" t="inlineStr">
        <is>
          <t>95%</t>
        </is>
      </c>
      <c r="E4" s="14" t="inlineStr">
        <is>
          <t>2</t>
        </is>
      </c>
      <c r="F4" s="14" t="inlineStr">
        <is>
          <t>Yes</t>
        </is>
      </c>
      <c r="G4" s="14" t="inlineStr">
        <is>
          <t>Meets</t>
        </is>
      </c>
      <c r="H4" s="14" t="inlineStr">
        <is>
          <t>Strong leadership engagement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G4:G5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1" t="inlineStr">
        <is>
          <t>LEADERSHIP METRICS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Quarter-over-quarter trend data for management security leadership metrics.</t>
        </is>
      </c>
    </row>
    <row r="3">
      <c r="A3" s="13" t="inlineStr">
        <is>
          <t>Metric</t>
        </is>
      </c>
      <c r="B3" s="13" t="inlineStr">
        <is>
          <t>Q1</t>
        </is>
      </c>
      <c r="C3" s="13" t="inlineStr">
        <is>
          <t>Q2</t>
        </is>
      </c>
      <c r="D3" s="13" t="inlineStr">
        <is>
          <t>Q3</t>
        </is>
      </c>
      <c r="E3" s="13" t="inlineStr">
        <is>
          <t>Q4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Overall Commitment Score (%)</t>
        </is>
      </c>
      <c r="B4" s="14" t="inlineStr">
        <is>
          <t>82%</t>
        </is>
      </c>
      <c r="C4" s="14" t="inlineStr">
        <is>
          <t>84%</t>
        </is>
      </c>
      <c r="D4" s="14" t="inlineStr">
        <is>
          <t>86%</t>
        </is>
      </c>
      <c r="E4" s="14" t="inlineStr">
        <is>
          <t>88%</t>
        </is>
      </c>
      <c r="F4" s="14" t="inlineStr">
        <is>
          <t>+2%</t>
        </is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 ht="35" customHeight="1">
      <c r="A1" s="11" t="inlineStr">
        <is>
          <t>ACTION ITEMS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Track improvement actions arising from the leadership dashboard review.</t>
        </is>
      </c>
    </row>
    <row r="3">
      <c r="A3" s="13" t="inlineStr">
        <is>
          <t>Action ID</t>
        </is>
      </c>
      <c r="B3" s="13" t="inlineStr">
        <is>
          <t>Finding</t>
        </is>
      </c>
      <c r="C3" s="13" t="inlineStr">
        <is>
          <t>Action Required</t>
        </is>
      </c>
      <c r="D3" s="13" t="inlineStr">
        <is>
          <t>Owner</t>
        </is>
      </c>
      <c r="E3" s="13" t="inlineStr">
        <is>
          <t>Due Date</t>
        </is>
      </c>
      <c r="F3" s="13" t="inlineStr">
        <is>
          <t>Status</t>
        </is>
      </c>
      <c r="G3" s="13" t="inlineStr">
        <is>
          <t>Completion Date</t>
        </is>
      </c>
      <c r="H3" s="13" t="inlineStr">
        <is>
          <t>Evidence</t>
        </is>
      </c>
    </row>
    <row r="4">
      <c r="A4" s="14" t="inlineStr">
        <is>
          <t>ACT-001</t>
        </is>
      </c>
      <c r="B4" s="14" t="inlineStr">
        <is>
          <t>3 managers below commitment target</t>
        </is>
      </c>
      <c r="C4" s="14" t="inlineStr">
        <is>
          <t>Schedule coaching sessions</t>
        </is>
      </c>
      <c r="D4" s="14" t="inlineStr">
        <is>
          <t>CISO</t>
        </is>
      </c>
      <c r="E4" s="14" t="inlineStr">
        <is>
          <t>01.03.2026</t>
        </is>
      </c>
      <c r="F4" s="14" t="inlineStr">
        <is>
          <t>In Progress</t>
        </is>
      </c>
      <c r="G4" s="14" t="inlineStr"/>
      <c r="H4" s="14" t="inlineStr">
        <is>
          <t>Meeting minutes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F4:F53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Dashboard Data</t>
        </is>
      </c>
      <c r="C5" s="20" t="inlineStr">
        <is>
          <t>Leadership dashboard metrics evidence</t>
        </is>
      </c>
      <c r="D5" s="20" t="inlineStr">
        <is>
          <t>Executive Summary</t>
        </is>
      </c>
      <c r="E5" s="20" t="inlineStr">
        <is>
          <t>dashboard_records.pdf</t>
        </is>
      </c>
      <c r="F5" s="20" t="inlineStr">
        <is>
          <t>/ISMS/Evidence/A.5.4/</t>
        </is>
      </c>
      <c r="G5" s="20" t="inlineStr">
        <is>
          <t>28.02.2026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LEADERSHIP DASHBOARD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28.02.2026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LEADERSHIP METRICS STATUS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EXECUTIVE METRICS — STATUS  (Source: Executive Summary col E)</t>
        </is>
      </c>
      <c r="B5" s="6" t="n"/>
      <c r="C5" s="6" t="n"/>
      <c r="D5" s="6" t="n"/>
      <c r="E5" s="6" t="n"/>
      <c r="F5" s="6" t="n"/>
    </row>
    <row r="6">
      <c r="A6" s="24" t="inlineStr">
        <is>
          <t>Metric Status</t>
        </is>
      </c>
      <c r="B6" s="24" t="inlineStr">
        <is>
          <t>Meaning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</t>
        </is>
      </c>
      <c r="B7" s="25" t="inlineStr">
        <is>
          <t>Metric exceeds target</t>
        </is>
      </c>
      <c r="C7" s="25">
        <f>COUNTIF('Executive Summary'!E5:E54,"Exceeds")</f>
        <v/>
      </c>
      <c r="D7" s="25" t="inlineStr">
        <is>
          <t>Majority</t>
        </is>
      </c>
      <c r="E7" s="25" t="inlineStr">
        <is>
          <t>A.5.4: leadership should exceed baseline requirements</t>
        </is>
      </c>
      <c r="F7" s="25" t="inlineStr">
        <is>
          <t>Recognise and maintain</t>
        </is>
      </c>
    </row>
    <row r="8">
      <c r="A8" s="25" t="inlineStr">
        <is>
          <t>Meets</t>
        </is>
      </c>
      <c r="B8" s="25" t="inlineStr">
        <is>
          <t>Metric meets target</t>
        </is>
      </c>
      <c r="C8" s="25">
        <f>COUNTIF('Executive Summary'!E5:E54,"Meets")</f>
        <v/>
      </c>
      <c r="D8" s="25" t="inlineStr">
        <is>
          <t>All</t>
        </is>
      </c>
      <c r="E8" s="25" t="inlineStr">
        <is>
          <t>A.5.4: all leadership metrics must meet targets</t>
        </is>
      </c>
      <c r="F8" s="25" t="inlineStr">
        <is>
          <t>Monitor continuously</t>
        </is>
      </c>
    </row>
    <row r="9">
      <c r="A9" s="25" t="inlineStr">
        <is>
          <t>Below</t>
        </is>
      </c>
      <c r="B9" s="25" t="inlineStr">
        <is>
          <t>Metric below target</t>
        </is>
      </c>
      <c r="C9" s="25">
        <f>COUNTIF('Executive Summary'!E5:E54,"Below")</f>
        <v/>
      </c>
      <c r="D9" s="25" t="inlineStr">
        <is>
          <t>0</t>
        </is>
      </c>
      <c r="E9" s="25" t="inlineStr">
        <is>
          <t>Below-target metrics require corrective action</t>
        </is>
      </c>
      <c r="F9" s="25" t="inlineStr">
        <is>
          <t>Corrective action plan required</t>
        </is>
      </c>
    </row>
    <row r="10">
      <c r="A10" s="25" t="inlineStr">
        <is>
          <t>N/A</t>
        </is>
      </c>
      <c r="B10" s="25" t="inlineStr">
        <is>
          <t>Metric not applicable</t>
        </is>
      </c>
      <c r="C10" s="25">
        <f>COUNTIF('Executive Summary'!E5:E54,"N/A")</f>
        <v/>
      </c>
      <c r="D10" s="25" t="inlineStr">
        <is>
          <t>—</t>
        </is>
      </c>
      <c r="E10" s="25" t="inlineStr">
        <is>
          <t>N/A metrics should be reviewed for relevance</t>
        </is>
      </c>
      <c r="F10" s="25" t="inlineStr">
        <is>
          <t>Review and reassign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ACTION ITEMS — STATUS  (Source: Action Items col F)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Open</t>
        </is>
      </c>
      <c r="B14" s="25" t="inlineStr">
        <is>
          <t>Not yet started</t>
        </is>
      </c>
      <c r="C14" s="25">
        <f>COUNTIF('Action Items'!F5:F54,"Open")</f>
        <v/>
      </c>
      <c r="D14" s="25" t="inlineStr">
        <is>
          <t>0</t>
        </is>
      </c>
      <c r="E14" s="25" t="inlineStr">
        <is>
          <t>Open actions must be assigned and commenced</t>
        </is>
      </c>
      <c r="F14" s="25" t="inlineStr">
        <is>
          <t>Assign owner and start date</t>
        </is>
      </c>
    </row>
    <row r="15">
      <c r="A15" s="25" t="inlineStr">
        <is>
          <t>In Progress</t>
        </is>
      </c>
      <c r="B15" s="25" t="inlineStr">
        <is>
          <t>Under active management</t>
        </is>
      </c>
      <c r="C15" s="25">
        <f>COUNTIF('Action Items'!F5:F54,"In Progress")</f>
        <v/>
      </c>
      <c r="D15" s="25" t="inlineStr">
        <is>
          <t>All</t>
        </is>
      </c>
      <c r="E15" s="25" t="inlineStr">
        <is>
          <t>In-progress actions must meet due date targets</t>
        </is>
      </c>
      <c r="F15" s="25" t="inlineStr">
        <is>
          <t>Monitor progress</t>
        </is>
      </c>
    </row>
    <row r="16">
      <c r="A16" s="25" t="inlineStr">
        <is>
          <t>Completed</t>
        </is>
      </c>
      <c r="B16" s="25" t="inlineStr">
        <is>
          <t>Successfully closed</t>
        </is>
      </c>
      <c r="C16" s="25">
        <f>COUNTIF('Action Items'!F5:F54,"Completed")</f>
        <v/>
      </c>
      <c r="D16" s="25" t="inlineStr">
        <is>
          <t>All</t>
        </is>
      </c>
      <c r="E16" s="25" t="inlineStr">
        <is>
          <t>Completion rate demonstrates management commitment</t>
        </is>
      </c>
      <c r="F16" s="25" t="inlineStr">
        <is>
          <t>Archive evidence</t>
        </is>
      </c>
    </row>
    <row r="17">
      <c r="A17" s="25" t="inlineStr">
        <is>
          <t>Overdue</t>
        </is>
      </c>
      <c r="B17" s="25" t="inlineStr">
        <is>
          <t>Past due date</t>
        </is>
      </c>
      <c r="C17" s="25">
        <f>COUNTIF('Action Items'!F5:F54,"Overdue")</f>
        <v/>
      </c>
      <c r="D17" s="25" t="inlineStr">
        <is>
          <t>0</t>
        </is>
      </c>
      <c r="E17" s="25" t="inlineStr">
        <is>
          <t>Overdue actions are non-compliant with A.5.4</t>
        </is>
      </c>
      <c r="F17" s="25" t="inlineStr">
        <is>
          <t>Escalate immediately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LEADERSHIP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Departments tracked</t>
        </is>
      </c>
      <c r="C22" s="29">
        <f>COUNTA('By Department'!A5:A54)</f>
        <v/>
      </c>
      <c r="D22" s="29" t="inlineStr">
        <is>
          <t>All</t>
        </is>
      </c>
      <c r="E22" s="29" t="inlineStr">
        <is>
          <t>All departments must report leadership metrics per A.5.4</t>
        </is>
      </c>
      <c r="F22" s="29" t="inlineStr"/>
    </row>
    <row r="23">
      <c r="A23" s="29" t="inlineStr">
        <is>
          <t>2</t>
        </is>
      </c>
      <c r="B23" s="29" t="inlineStr">
        <is>
          <t>Departments exceeding targets</t>
        </is>
      </c>
      <c r="C23" s="29">
        <f>COUNTIF('By Department'!G5:G54,"Exceeds")</f>
        <v/>
      </c>
      <c r="D23" s="29" t="inlineStr">
        <is>
          <t>Majority</t>
        </is>
      </c>
      <c r="E23" s="29" t="inlineStr">
        <is>
          <t>A.5.4: majority of departments should exceed minimum targets</t>
        </is>
      </c>
      <c r="F23" s="29" t="inlineStr"/>
    </row>
    <row r="24">
      <c r="A24" s="29" t="inlineStr">
        <is>
          <t>3</t>
        </is>
      </c>
      <c r="B24" s="29" t="inlineStr">
        <is>
          <t>Departments below target</t>
        </is>
      </c>
      <c r="C24" s="29">
        <f>COUNTIF('By Department'!G5:G54,"Below")</f>
        <v/>
      </c>
      <c r="D24" s="29" t="inlineStr">
        <is>
          <t>0</t>
        </is>
      </c>
      <c r="E24" s="29" t="inlineStr">
        <is>
          <t>Below-target departments require corrective action plans</t>
        </is>
      </c>
      <c r="F24" s="29" t="inlineStr"/>
    </row>
    <row r="25">
      <c r="A25" s="29" t="inlineStr">
        <is>
          <t>4</t>
        </is>
      </c>
      <c r="B25" s="29" t="inlineStr">
        <is>
          <t>Executive metrics below target</t>
        </is>
      </c>
      <c r="C25" s="29">
        <f>COUNTIF('Executive Summary'!E5:E54,"Below")</f>
        <v/>
      </c>
      <c r="D25" s="29" t="inlineStr">
        <is>
          <t>0</t>
        </is>
      </c>
      <c r="E25" s="29" t="inlineStr">
        <is>
          <t>All leadership metrics must meet or exceed defined targets</t>
        </is>
      </c>
      <c r="F25" s="29" t="inlineStr"/>
    </row>
    <row r="26">
      <c r="A26" s="29" t="inlineStr">
        <is>
          <t>5</t>
        </is>
      </c>
      <c r="B26" s="29" t="inlineStr">
        <is>
          <t>Open action items (not yet started)</t>
        </is>
      </c>
      <c r="C26" s="29">
        <f>COUNTIF('Action Items'!F5:F54,"Open")</f>
        <v/>
      </c>
      <c r="D26" s="29" t="inlineStr">
        <is>
          <t>0</t>
        </is>
      </c>
      <c r="E26" s="29" t="inlineStr">
        <is>
          <t>Open actions represent unaddressed management findings</t>
        </is>
      </c>
      <c r="F26" s="29" t="inlineStr"/>
    </row>
    <row r="27">
      <c r="A27" s="29" t="inlineStr">
        <is>
          <t>6</t>
        </is>
      </c>
      <c r="B27" s="29" t="inlineStr">
        <is>
          <t>Overdue action items</t>
        </is>
      </c>
      <c r="C27" s="29">
        <f>COUNTIF('Action Items'!F5:F54,"Overdue")</f>
        <v/>
      </c>
      <c r="D27" s="29" t="inlineStr">
        <is>
          <t>0</t>
        </is>
      </c>
      <c r="E27" s="29" t="inlineStr">
        <is>
          <t>Overdue actions indicate non-compliance with A.5.4 commitments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Overdue action items</t>
        </is>
      </c>
      <c r="C31" s="29">
        <f>COUNTIF('Action Items'!F5:F54,"Overdue")</f>
        <v/>
      </c>
      <c r="D31" s="29" t="inlineStr">
        <is>
          <t>0</t>
        </is>
      </c>
      <c r="E31" s="29" t="inlineStr">
        <is>
          <t>A.5.4: management must act on identified security gaps</t>
        </is>
      </c>
      <c r="F31" s="29" t="inlineStr">
        <is>
          <t>Escalate to CISO immediately</t>
        </is>
      </c>
    </row>
    <row r="32">
      <c r="A32" s="29" t="inlineStr">
        <is>
          <t>HIGH</t>
        </is>
      </c>
      <c r="B32" s="29" t="inlineStr">
        <is>
          <t>Executive metrics below target</t>
        </is>
      </c>
      <c r="C32" s="29">
        <f>COUNTIF('Executive Summary'!E5:E54,"Below")</f>
        <v/>
      </c>
      <c r="D32" s="29" t="inlineStr">
        <is>
          <t>0</t>
        </is>
      </c>
      <c r="E32" s="29" t="inlineStr">
        <is>
          <t>A.5.4: all leadership metrics must meet defined targets</t>
        </is>
      </c>
      <c r="F32" s="29" t="inlineStr">
        <is>
          <t>Develop corrective action plans within 5 days</t>
        </is>
      </c>
    </row>
    <row r="33">
      <c r="A33" s="29" t="inlineStr">
        <is>
          <t>MEDIUM</t>
        </is>
      </c>
      <c r="B33" s="29" t="inlineStr">
        <is>
          <t>Departments with below-target status</t>
        </is>
      </c>
      <c r="C33" s="29">
        <f>COUNTIF('By Department'!G5:G54,"Below")</f>
        <v/>
      </c>
      <c r="D33" s="29" t="inlineStr">
        <is>
          <t>0</t>
        </is>
      </c>
      <c r="E33" s="29" t="inlineStr">
        <is>
          <t>A.5.4: all departments must demonstrate management commitment</t>
        </is>
      </c>
      <c r="F33" s="29" t="inlineStr">
        <is>
          <t>Engage department heads for improvement plans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ISMS-IMP-A.5.4.3 - Leadership Dashboard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ISMS-IMP-A.5.4.3 — Leadership Dashboard</dc:title>
  <dc:description xmlns:dc="http://purl.org/dc/elements/1.1/">ISMS Implementation Workbook — ISMS-IMP-A.5.4.3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2026-02-28T22:50:25Z</dcterms:created>
  <dcterms:modified xmlns:dcterms="http://purl.org/dc/terms/" xmlns:xsi="http://www.w3.org/2001/XMLSchema-instance" xsi:type="dcterms:W3CDTF">2026-02-28T22:50:25Z</dcterms:modified>
</cp:coreProperties>
</file>