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ining Oversight" sheetId="2" state="visible" r:id="rId2"/>
    <sheet xmlns:r="http://schemas.openxmlformats.org/officeDocument/2006/relationships" name="Policy Violations" sheetId="3" state="visible" r:id="rId3"/>
    <sheet xmlns:r="http://schemas.openxmlformats.org/officeDocument/2006/relationships" name="Access Reviews" sheetId="4" state="visible" r:id="rId4"/>
    <sheet xmlns:r="http://schemas.openxmlformats.org/officeDocument/2006/relationships" name="Escalation Triggers" sheetId="5" state="visible" r:id="rId5"/>
    <sheet xmlns:r="http://schemas.openxmlformats.org/officeDocument/2006/relationships" name="Quarterly Summary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b val="1"/>
      <color rgb="00FFFFFF"/>
      <sz val="12"/>
    </font>
    <font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8" fillId="8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7" fillId="9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5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/>
    </xf>
    <xf numFmtId="0" fontId="14" fillId="12" borderId="1" pivotButton="0" quotePrefix="0" xfId="0"/>
    <xf numFmtId="164" fontId="0" fillId="0" borderId="1" pivotButton="0" quotePrefix="0" xfId="0"/>
    <xf numFmtId="0" fontId="1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ISMS-IMP-A.5.4.2  -  Compliance Oversight Tracker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ISMS-IMP-A.5.4.2</t>
        </is>
      </c>
    </row>
    <row r="5">
      <c r="A5" s="3" t="inlineStr">
        <is>
          <t>Workbook Title</t>
        </is>
      </c>
      <c r="B5" t="inlineStr">
        <is>
          <t>Compliance Oversight Tracker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Training Oversight — verify managers ensure team training completion.</t>
        </is>
      </c>
    </row>
    <row r="14">
      <c r="A14" t="inlineStr">
        <is>
          <t>2. Complete Policy Violations — record violations and management responses.</t>
        </is>
      </c>
    </row>
    <row r="15">
      <c r="A15" t="inlineStr">
        <is>
          <t>3. Complete Access Reviews — confirm managers conduct periodic access certification.</t>
        </is>
      </c>
    </row>
    <row r="16">
      <c r="A16" t="inlineStr">
        <is>
          <t>4. Document Escalation Triggers — record instances requiring management escalation.</t>
        </is>
      </c>
    </row>
    <row r="17">
      <c r="A17" t="inlineStr">
        <is>
          <t>5. Review Quarterly Summary — validate management oversight trend across the quarter.</t>
        </is>
      </c>
    </row>
    <row r="18">
      <c r="A18" t="inlineStr">
        <is>
          <t>6. Maintain the Evidence Register with supporting documentation.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0" customWidth="1" min="4" max="4"/>
    <col width="15" customWidth="1" min="5" max="5"/>
    <col width="18" customWidth="1" min="6" max="6"/>
    <col width="15" customWidth="1" min="7" max="7"/>
    <col width="12" customWidth="1" min="8" max="8"/>
    <col width="35" customWidth="1" min="9" max="9"/>
    <col width="15" customWidth="1" min="10" max="10"/>
  </cols>
  <sheetData>
    <row r="1" ht="35" customHeight="1">
      <c r="A1" s="11" t="inlineStr">
        <is>
          <t>TRAINING OVERSIGHT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12" t="inlineStr">
        <is>
          <t>Track each manager's oversight of team training completion rates.</t>
        </is>
      </c>
    </row>
    <row r="3">
      <c r="A3" s="13" t="inlineStr">
        <is>
          <t>Manager ID</t>
        </is>
      </c>
      <c r="B3" s="13" t="inlineStr">
        <is>
          <t>Manager Name</t>
        </is>
      </c>
      <c r="C3" s="13" t="inlineStr">
        <is>
          <t>Department</t>
        </is>
      </c>
      <c r="D3" s="13" t="inlineStr">
        <is>
          <t>Team Size</t>
        </is>
      </c>
      <c r="E3" s="13" t="inlineStr">
        <is>
          <t>Training Required</t>
        </is>
      </c>
      <c r="F3" s="13" t="inlineStr">
        <is>
          <t>Training Completed</t>
        </is>
      </c>
      <c r="G3" s="13" t="inlineStr">
        <is>
          <t>Completion Rate</t>
        </is>
      </c>
      <c r="H3" s="13" t="inlineStr">
        <is>
          <t>Overdue Count</t>
        </is>
      </c>
      <c r="I3" s="13" t="inlineStr">
        <is>
          <t>Follow-Up Actions</t>
        </is>
      </c>
      <c r="J3" s="13" t="inlineStr">
        <is>
          <t>Last Review Date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Operations</t>
        </is>
      </c>
      <c r="D4" s="14" t="inlineStr">
        <is>
          <t>12</t>
        </is>
      </c>
      <c r="E4" s="14" t="inlineStr">
        <is>
          <t>12</t>
        </is>
      </c>
      <c r="F4" s="14" t="inlineStr">
        <is>
          <t>11</t>
        </is>
      </c>
      <c r="G4" s="14">
        <f>IF(E4&gt;0,F4/E4*100,0)</f>
        <v/>
      </c>
      <c r="H4" s="14" t="inlineStr">
        <is>
          <t>1</t>
        </is>
      </c>
      <c r="I4" s="14" t="inlineStr">
        <is>
          <t>Follow up with 1 overdue member</t>
        </is>
      </c>
      <c r="J4" s="14" t="inlineStr">
        <is>
          <t>01.01.2026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2" customWidth="1" min="5" max="5"/>
    <col width="25" customWidth="1" min="6" max="6"/>
    <col width="10" customWidth="1" min="7" max="7"/>
    <col width="18" customWidth="1" min="8" max="8"/>
    <col width="15" customWidth="1" min="9" max="9"/>
    <col width="12" customWidth="1" min="10" max="10"/>
    <col width="35" customWidth="1" min="11" max="11"/>
  </cols>
  <sheetData>
    <row r="1" ht="35" customHeight="1">
      <c r="A1" s="11" t="inlineStr">
        <is>
          <t>POLICY VIOLATIONS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12" t="inlineStr">
        <is>
          <t>Log policy violations and record manager response and resolution.</t>
        </is>
      </c>
    </row>
    <row r="3">
      <c r="A3" s="13" t="inlineStr">
        <is>
          <t>Violation ID</t>
        </is>
      </c>
      <c r="B3" s="13" t="inlineStr">
        <is>
          <t>Date Reported</t>
        </is>
      </c>
      <c r="C3" s="13" t="inlineStr">
        <is>
          <t>Manager ID</t>
        </is>
      </c>
      <c r="D3" s="13" t="inlineStr">
        <is>
          <t>Manager Name</t>
        </is>
      </c>
      <c r="E3" s="13" t="inlineStr">
        <is>
          <t>Employee ID</t>
        </is>
      </c>
      <c r="F3" s="13" t="inlineStr">
        <is>
          <t>Violation Type</t>
        </is>
      </c>
      <c r="G3" s="13" t="inlineStr">
        <is>
          <t>Severity</t>
        </is>
      </c>
      <c r="H3" s="13" t="inlineStr">
        <is>
          <t>Manager Response</t>
        </is>
      </c>
      <c r="I3" s="13" t="inlineStr">
        <is>
          <t>Response Date</t>
        </is>
      </c>
      <c r="J3" s="13" t="inlineStr">
        <is>
          <t>Resolution</t>
        </is>
      </c>
      <c r="K3" s="13" t="inlineStr">
        <is>
          <t>Lessons Learned</t>
        </is>
      </c>
    </row>
    <row r="4">
      <c r="A4" s="14" t="inlineStr">
        <is>
          <t>VIO-001</t>
        </is>
      </c>
      <c r="B4" s="14" t="inlineStr">
        <is>
          <t>01.01.2026</t>
        </is>
      </c>
      <c r="C4" s="14" t="inlineStr">
        <is>
          <t>MGR-001</t>
        </is>
      </c>
      <c r="D4" s="14" t="inlineStr">
        <is>
          <t>Jane Smith</t>
        </is>
      </c>
      <c r="E4" s="14" t="inlineStr">
        <is>
          <t>EMP-042</t>
        </is>
      </c>
      <c r="F4" s="14" t="inlineStr">
        <is>
          <t>Unlocked workstation</t>
        </is>
      </c>
      <c r="G4" s="14" t="inlineStr">
        <is>
          <t>Medium</t>
        </is>
      </c>
      <c r="H4" s="14" t="inlineStr">
        <is>
          <t>Coaching</t>
        </is>
      </c>
      <c r="I4" s="14" t="inlineStr">
        <is>
          <t>03.01.2026</t>
        </is>
      </c>
      <c r="J4" s="14" t="inlineStr">
        <is>
          <t>Resolved</t>
        </is>
      </c>
      <c r="K4" s="14" t="inlineStr">
        <is>
          <t>Added to team briefing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</sheetData>
  <mergeCells count="2">
    <mergeCell ref="A2:K2"/>
    <mergeCell ref="A1:K1"/>
  </mergeCells>
  <dataValidations count="3">
    <dataValidation sqref="G4:G103" showDropDown="0" showInputMessage="0" showErrorMessage="0" allowBlank="0" type="list">
      <formula1>"Critical,High,Medium,Low"</formula1>
    </dataValidation>
    <dataValidation sqref="H4:H103" showDropDown="0" showInputMessage="0" showErrorMessage="0" allowBlank="0" type="list">
      <formula1>"Coaching,Written Warning,Performance Plan,Escalated,No Action"</formula1>
    </dataValidation>
    <dataValidation sqref="J4:J103" showDropDown="0" showInputMessage="0" showErrorMessage="0" allowBlank="0" type="list">
      <formula1>"Resolved,In Progress,Escalated,Pending"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25" customWidth="1" min="5" max="5"/>
    <col width="18" customWidth="1" min="6" max="6"/>
    <col width="18" customWidth="1" min="7" max="7"/>
    <col width="15" customWidth="1" min="8" max="8"/>
    <col width="15" customWidth="1" min="9" max="9"/>
    <col width="35" customWidth="1" min="10" max="10"/>
  </cols>
  <sheetData>
    <row r="1" ht="35" customHeight="1">
      <c r="A1" s="11" t="inlineStr">
        <is>
          <t>ACCESS REVIEWS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12" t="inlineStr">
        <is>
          <t>Track manager participation in periodic access reviews.</t>
        </is>
      </c>
    </row>
    <row r="3">
      <c r="A3" s="13" t="inlineStr">
        <is>
          <t>Review ID</t>
        </is>
      </c>
      <c r="B3" s="13" t="inlineStr">
        <is>
          <t>Review Period</t>
        </is>
      </c>
      <c r="C3" s="13" t="inlineStr">
        <is>
          <t>Manager ID</t>
        </is>
      </c>
      <c r="D3" s="13" t="inlineStr">
        <is>
          <t>Manager Name</t>
        </is>
      </c>
      <c r="E3" s="13" t="inlineStr">
        <is>
          <t>System Scope</t>
        </is>
      </c>
      <c r="F3" s="13" t="inlineStr">
        <is>
          <t>Accounts Reviewed</t>
        </is>
      </c>
      <c r="G3" s="13" t="inlineStr">
        <is>
          <t>Changes Requested</t>
        </is>
      </c>
      <c r="H3" s="13" t="inlineStr">
        <is>
          <t>Review Completed</t>
        </is>
      </c>
      <c r="I3" s="13" t="inlineStr">
        <is>
          <t>Completion Date</t>
        </is>
      </c>
      <c r="J3" s="13" t="inlineStr">
        <is>
          <t>Notes</t>
        </is>
      </c>
    </row>
    <row r="4">
      <c r="A4" s="14" t="inlineStr">
        <is>
          <t>REV-001</t>
        </is>
      </c>
      <c r="B4" s="14" t="inlineStr">
        <is>
          <t>Q1 2026</t>
        </is>
      </c>
      <c r="C4" s="14" t="inlineStr">
        <is>
          <t>MGR-001</t>
        </is>
      </c>
      <c r="D4" s="14" t="inlineStr">
        <is>
          <t>Jane Smith</t>
        </is>
      </c>
      <c r="E4" s="14" t="inlineStr">
        <is>
          <t>ERP, CRM</t>
        </is>
      </c>
      <c r="F4" s="14" t="inlineStr">
        <is>
          <t>45</t>
        </is>
      </c>
      <c r="G4" s="14" t="inlineStr">
        <is>
          <t>3</t>
        </is>
      </c>
      <c r="H4" s="14" t="inlineStr">
        <is>
          <t>Yes</t>
        </is>
      </c>
      <c r="I4" s="14" t="inlineStr">
        <is>
          <t>15.01.2026</t>
        </is>
      </c>
      <c r="J4" s="14" t="inlineStr">
        <is>
          <t>All unnecessary access removed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1">
    <dataValidation sqref="H4:H103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2" customWidth="1" min="5" max="5"/>
    <col width="20" customWidth="1" min="6" max="6"/>
    <col width="15" customWidth="1" min="7" max="7"/>
    <col width="15" customWidth="1" min="8" max="8"/>
  </cols>
  <sheetData>
    <row r="1" ht="35" customHeight="1">
      <c r="A1" s="16" t="inlineStr">
        <is>
          <t>COMPLIANCE OVERSIGHT - ESCALATION TRIGGERS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Automatic escalation thresholds per ISMS Copilot audit requirements.</t>
        </is>
      </c>
    </row>
    <row r="4">
      <c r="A4" s="17" t="inlineStr">
        <is>
          <t>Trigger Thresholds</t>
        </is>
      </c>
      <c r="B4" s="6" t="n"/>
      <c r="C4" s="6" t="n"/>
      <c r="D4" s="6" t="n"/>
    </row>
    <row r="5">
      <c r="A5" s="18" t="inlineStr">
        <is>
          <t>Metric</t>
        </is>
      </c>
      <c r="B5" s="18" t="inlineStr">
        <is>
          <t>Threshold</t>
        </is>
      </c>
      <c r="C5" s="18" t="inlineStr">
        <is>
          <t>Condition</t>
        </is>
      </c>
      <c r="D5" s="18" t="inlineStr">
        <is>
          <t>Escalation Action</t>
        </is>
      </c>
    </row>
    <row r="6">
      <c r="A6" s="6" t="inlineStr">
        <is>
          <t>Training Completion Rate</t>
        </is>
      </c>
      <c r="B6" s="6" t="inlineStr">
        <is>
          <t>90%</t>
        </is>
      </c>
      <c r="C6" s="6" t="inlineStr">
        <is>
          <t>&lt; threshold</t>
        </is>
      </c>
      <c r="D6" s="6" t="inlineStr">
        <is>
          <t>Escalate to CISO</t>
        </is>
      </c>
    </row>
    <row r="7">
      <c r="A7" s="6" t="inlineStr">
        <is>
          <t>Policy Violations</t>
        </is>
      </c>
      <c r="B7" s="6" t="inlineStr">
        <is>
          <t>5</t>
        </is>
      </c>
      <c r="C7" s="6" t="inlineStr">
        <is>
          <t>&gt; threshold</t>
        </is>
      </c>
      <c r="D7" s="6" t="inlineStr">
        <is>
          <t>Manager performance review</t>
        </is>
      </c>
    </row>
    <row r="8">
      <c r="A8" s="6" t="inlineStr">
        <is>
          <t>Manager Response Time</t>
        </is>
      </c>
      <c r="B8" s="6" t="inlineStr">
        <is>
          <t>15 days</t>
        </is>
      </c>
      <c r="C8" s="6" t="inlineStr">
        <is>
          <t>&gt; threshold</t>
        </is>
      </c>
      <c r="D8" s="6" t="inlineStr">
        <is>
          <t>Escalate to Department Head</t>
        </is>
      </c>
    </row>
    <row r="11">
      <c r="A11" s="17" t="inlineStr">
        <is>
          <t>Triggered Escalations Log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18" t="inlineStr">
        <is>
          <t>Escalation ID</t>
        </is>
      </c>
      <c r="B12" s="18" t="inlineStr">
        <is>
          <t>Date</t>
        </is>
      </c>
      <c r="C12" s="18" t="inlineStr">
        <is>
          <t>Manager ID</t>
        </is>
      </c>
      <c r="D12" s="18" t="inlineStr">
        <is>
          <t>Metric Triggered</t>
        </is>
      </c>
      <c r="E12" s="18" t="inlineStr">
        <is>
          <t>Actual Value</t>
        </is>
      </c>
      <c r="F12" s="18" t="inlineStr">
        <is>
          <t>Escalated To</t>
        </is>
      </c>
      <c r="G12" s="18" t="inlineStr">
        <is>
          <t>Resolution</t>
        </is>
      </c>
      <c r="H12" s="18" t="inlineStr">
        <is>
          <t>Resolution Date</t>
        </is>
      </c>
    </row>
    <row r="13">
      <c r="A13" s="14" t="inlineStr">
        <is>
          <t>ESC-001</t>
        </is>
      </c>
      <c r="B13" s="14" t="inlineStr">
        <is>
          <t>01.01.2026</t>
        </is>
      </c>
      <c r="C13" s="14" t="inlineStr">
        <is>
          <t>MGR-002</t>
        </is>
      </c>
      <c r="D13" s="14" t="inlineStr">
        <is>
          <t>Training Completion Rate</t>
        </is>
      </c>
      <c r="E13" s="14" t="inlineStr">
        <is>
          <t>82%</t>
        </is>
      </c>
      <c r="F13" s="14" t="inlineStr">
        <is>
          <t>CISO</t>
        </is>
      </c>
      <c r="G13" s="14" t="inlineStr">
        <is>
          <t>Resolved</t>
        </is>
      </c>
      <c r="H13" s="14" t="inlineStr">
        <is>
          <t>15.01.2026</t>
        </is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</sheetData>
  <mergeCells count="3">
    <mergeCell ref="A4:D4"/>
    <mergeCell ref="A11:H11"/>
    <mergeCell ref="A1:H1"/>
  </mergeCells>
  <dataValidations count="2">
    <dataValidation sqref="D13:D63" showDropDown="0" showInputMessage="0" showErrorMessage="0" allowBlank="0" type="list">
      <formula1>"Training Completion Rate,Policy Violations,Manager Response Time"</formula1>
    </dataValidation>
    <dataValidation sqref="G13:G63" showDropDown="0" showInputMessage="0" showErrorMessage="0" allowBlank="0" type="list">
      <formula1>"Resolved,In Progress,Pending,Closed - No Action"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18" customWidth="1" min="5" max="5"/>
    <col width="18" customWidth="1" min="6" max="6"/>
    <col width="25" customWidth="1" min="7" max="7"/>
    <col width="15" customWidth="1" min="8" max="8"/>
    <col width="40" customWidth="1" min="9" max="9"/>
  </cols>
  <sheetData>
    <row r="1" ht="35" customHeight="1">
      <c r="A1" s="11" t="inlineStr">
        <is>
          <t>QUARTERLY SUMMARY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Aggregated quarterly oversight metrics per manager.</t>
        </is>
      </c>
    </row>
    <row r="3">
      <c r="A3" s="13" t="inlineStr">
        <is>
          <t>Manager ID</t>
        </is>
      </c>
      <c r="B3" s="13" t="inlineStr">
        <is>
          <t>Manager Name</t>
        </is>
      </c>
      <c r="C3" s="13" t="inlineStr">
        <is>
          <t>Quarter</t>
        </is>
      </c>
      <c r="D3" s="13" t="inlineStr">
        <is>
          <t>Training Compliance Rate</t>
        </is>
      </c>
      <c r="E3" s="13" t="inlineStr">
        <is>
          <t>Violations Handled</t>
        </is>
      </c>
      <c r="F3" s="13" t="inlineStr">
        <is>
          <t>Avg Response Days</t>
        </is>
      </c>
      <c r="G3" s="13" t="inlineStr">
        <is>
          <t>Access Reviews Completed</t>
        </is>
      </c>
      <c r="H3" s="13" t="inlineStr">
        <is>
          <t>Overall Rating</t>
        </is>
      </c>
      <c r="I3" s="13" t="inlineStr">
        <is>
          <t>Comments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Q1</t>
        </is>
      </c>
      <c r="D4" s="14" t="inlineStr">
        <is>
          <t>91.7%</t>
        </is>
      </c>
      <c r="E4" s="14" t="inlineStr">
        <is>
          <t>2</t>
        </is>
      </c>
      <c r="F4" s="14" t="inlineStr">
        <is>
          <t>3</t>
        </is>
      </c>
      <c r="G4" s="14" t="inlineStr">
        <is>
          <t>Yes</t>
        </is>
      </c>
      <c r="H4" s="14" t="inlineStr">
        <is>
          <t>Exceeds</t>
        </is>
      </c>
      <c r="I4" s="14" t="inlineStr">
        <is>
          <t>Strong quarter performance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C4:C203" showDropDown="0" showInputMessage="0" showErrorMessage="0" allowBlank="0" type="list">
      <formula1>"Q1,Q2,Q3,Q4"</formula1>
    </dataValidation>
    <dataValidation sqref="H4:H20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9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0" t="inlineStr">
        <is>
          <t>Document all supporting evidence for audit traceability and compliance verification.</t>
        </is>
      </c>
    </row>
    <row r="4">
      <c r="A4" s="21" t="inlineStr">
        <is>
          <t>Evidence ID</t>
        </is>
      </c>
      <c r="B4" s="21" t="inlineStr">
        <is>
          <t>Evidence Type</t>
        </is>
      </c>
      <c r="C4" s="21" t="inlineStr">
        <is>
          <t>Description</t>
        </is>
      </c>
      <c r="D4" s="21" t="inlineStr">
        <is>
          <t>Related Sheet</t>
        </is>
      </c>
      <c r="E4" s="21" t="inlineStr">
        <is>
          <t>File Name</t>
        </is>
      </c>
      <c r="F4" s="21" t="inlineStr">
        <is>
          <t>File Location</t>
        </is>
      </c>
      <c r="G4" s="21" t="inlineStr">
        <is>
          <t>Collection Date</t>
        </is>
      </c>
      <c r="H4" s="21" t="inlineStr">
        <is>
          <t>Collected By</t>
        </is>
      </c>
    </row>
    <row r="5">
      <c r="A5" s="22" t="inlineStr">
        <is>
          <t>EV-001</t>
        </is>
      </c>
      <c r="B5" s="23" t="inlineStr">
        <is>
          <t>Assessment Record</t>
        </is>
      </c>
      <c r="C5" s="23" t="inlineStr">
        <is>
          <t>Compliance oversight tracker evidence</t>
        </is>
      </c>
      <c r="D5" s="23" t="inlineStr">
        <is>
          <t>Training Oversight</t>
        </is>
      </c>
      <c r="E5" s="23" t="inlineStr">
        <is>
          <t>oversight_records.pdf</t>
        </is>
      </c>
      <c r="F5" s="23" t="inlineStr">
        <is>
          <t>/ISMS/Evidence/A.5.4/</t>
        </is>
      </c>
      <c r="G5" s="23" t="inlineStr">
        <is>
          <t>01.03.2026</t>
        </is>
      </c>
      <c r="H5" s="23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9" t="inlineStr">
        <is>
          <t>COMPLIANCE OVERSIGHT TRACKER — SUMMARY DASHBOARD</t>
        </is>
      </c>
      <c r="B1" s="6" t="n"/>
      <c r="C1" s="6" t="n"/>
      <c r="D1" s="6" t="n"/>
      <c r="E1" s="6" t="n"/>
      <c r="F1" s="6" t="n"/>
    </row>
    <row r="2">
      <c r="A2" s="24" t="inlineStr">
        <is>
          <t>ISO 27001:2022 | Control A.5.4 | Management Responsibilities | 01.03.2026</t>
        </is>
      </c>
      <c r="B2" s="6" t="n"/>
      <c r="C2" s="6" t="n"/>
      <c r="D2" s="6" t="n"/>
      <c r="E2" s="6" t="n"/>
      <c r="F2" s="6" t="n"/>
    </row>
    <row r="4">
      <c r="A4" s="25" t="inlineStr">
        <is>
          <t>TABLE 1 — COMPLIANCE OVERSIGHT STATUS</t>
        </is>
      </c>
      <c r="B4" s="6" t="n"/>
      <c r="C4" s="6" t="n"/>
      <c r="D4" s="6" t="n"/>
      <c r="E4" s="6" t="n"/>
      <c r="F4" s="6" t="n"/>
    </row>
    <row r="5">
      <c r="A5" s="26" t="inlineStr">
        <is>
          <t>SECTION A: POLICY VIOLATIONS — RESOLUTION STATUS  (Source: Policy Violations col J)</t>
        </is>
      </c>
      <c r="B5" s="6" t="n"/>
      <c r="C5" s="6" t="n"/>
      <c r="D5" s="6" t="n"/>
      <c r="E5" s="6" t="n"/>
      <c r="F5" s="6" t="n"/>
    </row>
    <row r="6">
      <c r="A6" s="27" t="inlineStr">
        <is>
          <t>Resolution Status</t>
        </is>
      </c>
      <c r="B6" s="27" t="inlineStr">
        <is>
          <t>Meaning</t>
        </is>
      </c>
      <c r="C6" s="27" t="inlineStr">
        <is>
          <t>Count</t>
        </is>
      </c>
      <c r="D6" s="27" t="inlineStr">
        <is>
          <t>Target</t>
        </is>
      </c>
      <c r="E6" s="27" t="inlineStr">
        <is>
          <t>ISO A.5.4 Requirement</t>
        </is>
      </c>
      <c r="F6" s="27" t="inlineStr">
        <is>
          <t>Action Required</t>
        </is>
      </c>
    </row>
    <row r="7">
      <c r="A7" s="28" t="inlineStr">
        <is>
          <t>Resolved</t>
        </is>
      </c>
      <c r="B7" s="28" t="inlineStr">
        <is>
          <t>Violation fully resolved</t>
        </is>
      </c>
      <c r="C7" s="28">
        <f>COUNTIF('Policy Violations'!J5:J54,"Resolved")</f>
        <v/>
      </c>
      <c r="D7" s="28" t="inlineStr">
        <is>
          <t>All</t>
        </is>
      </c>
      <c r="E7" s="28" t="inlineStr">
        <is>
          <t>Timely resolution of policy violations required</t>
        </is>
      </c>
      <c r="F7" s="28" t="inlineStr">
        <is>
          <t>Archive evidence</t>
        </is>
      </c>
    </row>
    <row r="8">
      <c r="A8" s="28" t="inlineStr">
        <is>
          <t>In Progress</t>
        </is>
      </c>
      <c r="B8" s="28" t="inlineStr">
        <is>
          <t>Under active management</t>
        </is>
      </c>
      <c r="C8" s="28">
        <f>COUNTIF('Policy Violations'!J5:J54,"In Progress")</f>
        <v/>
      </c>
      <c r="D8" s="28" t="inlineStr">
        <is>
          <t>0</t>
        </is>
      </c>
      <c r="E8" s="28" t="inlineStr">
        <is>
          <t>Violations must be actively managed</t>
        </is>
      </c>
      <c r="F8" s="28" t="inlineStr">
        <is>
          <t>Monitor and expedite</t>
        </is>
      </c>
    </row>
    <row r="9">
      <c r="A9" s="28" t="inlineStr">
        <is>
          <t>Escalated</t>
        </is>
      </c>
      <c r="B9" s="28" t="inlineStr">
        <is>
          <t>Raised to senior management</t>
        </is>
      </c>
      <c r="C9" s="28">
        <f>COUNTIF('Policy Violations'!J5:J54,"Escalated")</f>
        <v/>
      </c>
      <c r="D9" s="28" t="inlineStr">
        <is>
          <t>0</t>
        </is>
      </c>
      <c r="E9" s="28" t="inlineStr">
        <is>
          <t>Escalated violations require senior oversight</t>
        </is>
      </c>
      <c r="F9" s="28" t="inlineStr">
        <is>
          <t>Track resolution timeline</t>
        </is>
      </c>
    </row>
    <row r="10">
      <c r="A10" s="28" t="inlineStr">
        <is>
          <t>Pending</t>
        </is>
      </c>
      <c r="B10" s="28" t="inlineStr">
        <is>
          <t>Awaiting manager action</t>
        </is>
      </c>
      <c r="C10" s="28">
        <f>COUNTIF('Policy Violations'!J5:J54,"Pending")</f>
        <v/>
      </c>
      <c r="D10" s="28" t="inlineStr">
        <is>
          <t>0</t>
        </is>
      </c>
      <c r="E10" s="28" t="inlineStr">
        <is>
          <t>Pending violations must be actioned promptly</t>
        </is>
      </c>
      <c r="F10" s="28" t="inlineStr">
        <is>
          <t>Prompt action required</t>
        </is>
      </c>
    </row>
    <row r="11">
      <c r="A11" s="29" t="inlineStr">
        <is>
          <t>TOTAL</t>
        </is>
      </c>
      <c r="B11" s="30" t="n"/>
      <c r="C11" s="29">
        <f>SUM(C7:C10)</f>
        <v/>
      </c>
      <c r="D11" s="30" t="n"/>
      <c r="E11" s="30" t="n"/>
      <c r="F11" s="30" t="n"/>
    </row>
    <row r="12">
      <c r="A12" s="26" t="inlineStr">
        <is>
          <t>SECTION B: ACCESS REVIEWS — COMPLETION STATUS  (Source: Access Reviews col H)</t>
        </is>
      </c>
      <c r="B12" s="6" t="n"/>
      <c r="C12" s="6" t="n"/>
      <c r="D12" s="6" t="n"/>
      <c r="E12" s="6" t="n"/>
      <c r="F12" s="6" t="n"/>
    </row>
    <row r="13">
      <c r="A13" s="27" t="inlineStr">
        <is>
          <t>Completion Status</t>
        </is>
      </c>
      <c r="B13" s="27" t="inlineStr">
        <is>
          <t>Meaning</t>
        </is>
      </c>
      <c r="C13" s="27" t="inlineStr">
        <is>
          <t>Count</t>
        </is>
      </c>
      <c r="D13" s="27" t="inlineStr">
        <is>
          <t>Target</t>
        </is>
      </c>
      <c r="E13" s="27" t="inlineStr">
        <is>
          <t>ISO A.5.4 Requirement</t>
        </is>
      </c>
      <c r="F13" s="27" t="inlineStr">
        <is>
          <t>Action Required</t>
        </is>
      </c>
    </row>
    <row r="14">
      <c r="A14" s="28" t="inlineStr">
        <is>
          <t>Yes</t>
        </is>
      </c>
      <c r="B14" s="28" t="inlineStr">
        <is>
          <t>Review fully completed</t>
        </is>
      </c>
      <c r="C14" s="28">
        <f>COUNTIF('Access Reviews'!H5:H54,"Yes")</f>
        <v/>
      </c>
      <c r="D14" s="28" t="inlineStr">
        <is>
          <t>All</t>
        </is>
      </c>
      <c r="E14" s="28" t="inlineStr">
        <is>
          <t>Managers must complete all access reviews</t>
        </is>
      </c>
      <c r="F14" s="28" t="inlineStr">
        <is>
          <t>Archive evidence</t>
        </is>
      </c>
    </row>
    <row r="15">
      <c r="A15" s="28" t="inlineStr">
        <is>
          <t>Partial</t>
        </is>
      </c>
      <c r="B15" s="28" t="inlineStr">
        <is>
          <t>Review partially completed</t>
        </is>
      </c>
      <c r="C15" s="28">
        <f>COUNTIF('Access Reviews'!H5:H54,"Partial")</f>
        <v/>
      </c>
      <c r="D15" s="28" t="inlineStr">
        <is>
          <t>0</t>
        </is>
      </c>
      <c r="E15" s="28" t="inlineStr">
        <is>
          <t>Partial reviews must be completed</t>
        </is>
      </c>
      <c r="F15" s="28" t="inlineStr">
        <is>
          <t>Complete outstanding items</t>
        </is>
      </c>
    </row>
    <row r="16">
      <c r="A16" s="28" t="inlineStr">
        <is>
          <t>No</t>
        </is>
      </c>
      <c r="B16" s="28" t="inlineStr">
        <is>
          <t>Review not completed</t>
        </is>
      </c>
      <c r="C16" s="28">
        <f>COUNTIF('Access Reviews'!H5:H54,"No")</f>
        <v/>
      </c>
      <c r="D16" s="28" t="inlineStr">
        <is>
          <t>0</t>
        </is>
      </c>
      <c r="E16" s="28" t="inlineStr">
        <is>
          <t>Non-completion of access reviews is non-compliant</t>
        </is>
      </c>
      <c r="F16" s="28" t="inlineStr">
        <is>
          <t>Escalate to CISO</t>
        </is>
      </c>
    </row>
    <row r="17">
      <c r="A17" s="29" t="inlineStr">
        <is>
          <t>TOTAL</t>
        </is>
      </c>
      <c r="B17" s="30" t="n"/>
      <c r="C17" s="29">
        <f>SUM(C14:C16)</f>
        <v/>
      </c>
      <c r="D17" s="30" t="n"/>
      <c r="E17" s="30" t="n"/>
      <c r="F17" s="30" t="n"/>
    </row>
    <row r="19">
      <c r="A19" s="25" t="inlineStr">
        <is>
          <t>TABLE 2 — KEY COMPLIANCE OVERSIGHT METRICS</t>
        </is>
      </c>
      <c r="B19" s="6" t="n"/>
      <c r="C19" s="6" t="n"/>
      <c r="D19" s="6" t="n"/>
      <c r="E19" s="6" t="n"/>
      <c r="F19" s="6" t="n"/>
    </row>
    <row r="20">
      <c r="A20" s="31" t="inlineStr">
        <is>
          <t>#</t>
        </is>
      </c>
      <c r="B20" s="31" t="inlineStr">
        <is>
          <t>KPI Metric</t>
        </is>
      </c>
      <c r="C20" s="31" t="inlineStr">
        <is>
          <t>Value</t>
        </is>
      </c>
      <c r="D20" s="31" t="inlineStr">
        <is>
          <t>Target</t>
        </is>
      </c>
      <c r="E20" s="31" t="inlineStr">
        <is>
          <t>ISO A.5.4 Requirement</t>
        </is>
      </c>
      <c r="F20" s="31" t="inlineStr">
        <is>
          <t>Notes</t>
        </is>
      </c>
    </row>
    <row r="21">
      <c r="A21" s="32" t="inlineStr">
        <is>
          <t>1</t>
        </is>
      </c>
      <c r="B21" s="32" t="inlineStr">
        <is>
          <t>Policy violations logged</t>
        </is>
      </c>
      <c r="C21" s="32">
        <f>COUNTA('Policy Violations'!A5:A54)</f>
        <v/>
      </c>
      <c r="D21" s="32" t="inlineStr">
        <is>
          <t>Track all</t>
        </is>
      </c>
      <c r="E21" s="32" t="inlineStr">
        <is>
          <t>All policy violations must be logged and managed by managers</t>
        </is>
      </c>
      <c r="F21" s="32" t="inlineStr"/>
    </row>
    <row r="22">
      <c r="A22" s="32" t="inlineStr">
        <is>
          <t>2</t>
        </is>
      </c>
      <c r="B22" s="32" t="inlineStr">
        <is>
          <t>Critical violations</t>
        </is>
      </c>
      <c r="C22" s="32">
        <f>COUNTIF('Policy Violations'!G5:G54,"Critical")</f>
        <v/>
      </c>
      <c r="D22" s="32" t="inlineStr">
        <is>
          <t>0</t>
        </is>
      </c>
      <c r="E22" s="32" t="inlineStr">
        <is>
          <t>Critical violations require immediate management response</t>
        </is>
      </c>
      <c r="F22" s="32" t="inlineStr"/>
    </row>
    <row r="23">
      <c r="A23" s="32" t="inlineStr">
        <is>
          <t>3</t>
        </is>
      </c>
      <c r="B23" s="32" t="inlineStr">
        <is>
          <t>Unresolved violations (In Progress, Escalated, Pending)</t>
        </is>
      </c>
      <c r="C23" s="32">
        <f>COUNTIF('Policy Violations'!J5:J54,"In Progress")+COUNTIF('Policy Violations'!J5:J54,"Escalated")+COUNTIF('Policy Violations'!J5:J54,"Pending")</f>
        <v/>
      </c>
      <c r="D23" s="32" t="inlineStr">
        <is>
          <t>0</t>
        </is>
      </c>
      <c r="E23" s="32" t="inlineStr">
        <is>
          <t>All violations must be resolved within defined SLAs</t>
        </is>
      </c>
      <c r="F23" s="32" t="inlineStr"/>
    </row>
    <row r="24">
      <c r="A24" s="32" t="inlineStr">
        <is>
          <t>4</t>
        </is>
      </c>
      <c r="B24" s="32" t="inlineStr">
        <is>
          <t>Access reviews conducted</t>
        </is>
      </c>
      <c r="C24" s="32">
        <f>COUNTA('Access Reviews'!A5:A54)</f>
        <v/>
      </c>
      <c r="D24" s="32" t="inlineStr">
        <is>
          <t>All</t>
        </is>
      </c>
      <c r="E24" s="32" t="inlineStr">
        <is>
          <t>Managers must participate in all periodic access reviews</t>
        </is>
      </c>
      <c r="F24" s="32" t="inlineStr"/>
    </row>
    <row r="25">
      <c r="A25" s="32" t="inlineStr">
        <is>
          <t>5</t>
        </is>
      </c>
      <c r="B25" s="32" t="inlineStr">
        <is>
          <t>Incomplete access reviews (No or Partial)</t>
        </is>
      </c>
      <c r="C25" s="32">
        <f>COUNTIF('Access Reviews'!H5:H54,"No")+COUNTIF('Access Reviews'!H5:H54,"Partial")</f>
        <v/>
      </c>
      <c r="D25" s="32" t="inlineStr">
        <is>
          <t>0</t>
        </is>
      </c>
      <c r="E25" s="32" t="inlineStr">
        <is>
          <t>Incomplete access reviews are non-compliant with A.5.4</t>
        </is>
      </c>
      <c r="F25" s="32" t="inlineStr"/>
    </row>
    <row r="26">
      <c r="A26" s="32" t="inlineStr">
        <is>
          <t>6</t>
        </is>
      </c>
      <c r="B26" s="32" t="inlineStr">
        <is>
          <t>Managers rated Exceeds (quarterly oversight)</t>
        </is>
      </c>
      <c r="C26" s="32">
        <f>COUNTIF('Quarterly Summary'!H5:H54,"Exceeds")</f>
        <v/>
      </c>
      <c r="D26" s="32" t="inlineStr">
        <is>
          <t>Majority</t>
        </is>
      </c>
      <c r="E26" s="32" t="inlineStr">
        <is>
          <t>A.5.4: managers should exceed minimum oversight requirements</t>
        </is>
      </c>
      <c r="F26" s="32" t="inlineStr"/>
    </row>
    <row r="28">
      <c r="A28" s="33" t="inlineStr">
        <is>
          <t>TABLE 3 — CRITICAL FINDINGS REQUIRING IMMEDIATE ACTION</t>
        </is>
      </c>
      <c r="B28" s="6" t="n"/>
      <c r="C28" s="6" t="n"/>
      <c r="D28" s="6" t="n"/>
      <c r="E28" s="6" t="n"/>
      <c r="F28" s="6" t="n"/>
    </row>
    <row r="29">
      <c r="A29" s="31" t="inlineStr">
        <is>
          <t>Priority</t>
        </is>
      </c>
      <c r="B29" s="31" t="inlineStr">
        <is>
          <t>Finding</t>
        </is>
      </c>
      <c r="C29" s="31" t="inlineStr">
        <is>
          <t>Count</t>
        </is>
      </c>
      <c r="D29" s="31" t="inlineStr">
        <is>
          <t>Target</t>
        </is>
      </c>
      <c r="E29" s="31" t="inlineStr">
        <is>
          <t>ISO A.5.4 Requirement</t>
        </is>
      </c>
      <c r="F29" s="31" t="inlineStr">
        <is>
          <t>Recommended Action</t>
        </is>
      </c>
    </row>
    <row r="30">
      <c r="A30" s="32" t="inlineStr">
        <is>
          <t>CRITICAL</t>
        </is>
      </c>
      <c r="B30" s="32" t="inlineStr">
        <is>
          <t>Unresolved critical violations</t>
        </is>
      </c>
      <c r="C30" s="32">
        <f>COUNTIF('Policy Violations'!G5:G54,"Critical")-COUNTIF('Policy Violations'!J5:J54,"Resolved")</f>
        <v/>
      </c>
      <c r="D30" s="32" t="inlineStr">
        <is>
          <t>0</t>
        </is>
      </c>
      <c r="E30" s="32" t="inlineStr">
        <is>
          <t>A.5.4: managers must resolve critical violations immediately</t>
        </is>
      </c>
      <c r="F30" s="32" t="inlineStr">
        <is>
          <t>Escalate to CISO and department head</t>
        </is>
      </c>
    </row>
    <row r="31">
      <c r="A31" s="32" t="inlineStr">
        <is>
          <t>HIGH</t>
        </is>
      </c>
      <c r="B31" s="32" t="inlineStr">
        <is>
          <t>Access reviews not completed (No response)</t>
        </is>
      </c>
      <c r="C31" s="32">
        <f>COUNTIF('Access Reviews'!H5:H54,"No")</f>
        <v/>
      </c>
      <c r="D31" s="32" t="inlineStr">
        <is>
          <t>0</t>
        </is>
      </c>
      <c r="E31" s="32" t="inlineStr">
        <is>
          <t>A.5.4: managers must complete all assigned access reviews</t>
        </is>
      </c>
      <c r="F31" s="32" t="inlineStr">
        <is>
          <t>Escalate non-completion to CISO</t>
        </is>
      </c>
    </row>
    <row r="32">
      <c r="A32" s="32" t="inlineStr">
        <is>
          <t>MEDIUM</t>
        </is>
      </c>
      <c r="B32" s="32" t="inlineStr">
        <is>
          <t>Unresolved violations of any severity</t>
        </is>
      </c>
      <c r="C32" s="32">
        <f>COUNTIF('Policy Violations'!J5:J54,"In Progress")+COUNTIF('Policy Violations'!J5:J54,"Pending")</f>
        <v/>
      </c>
      <c r="D32" s="32" t="inlineStr">
        <is>
          <t>0</t>
        </is>
      </c>
      <c r="E32" s="32" t="inlineStr">
        <is>
          <t>Policy violations must be resolved within defined SLA timeframes</t>
        </is>
      </c>
      <c r="F32" s="32" t="inlineStr">
        <is>
          <t>Review and expedite outstanding cases</t>
        </is>
      </c>
    </row>
  </sheetData>
  <mergeCells count="7">
    <mergeCell ref="A2:F2"/>
    <mergeCell ref="A28:F28"/>
    <mergeCell ref="A19:F19"/>
    <mergeCell ref="A1:F1"/>
    <mergeCell ref="A5:F5"/>
    <mergeCell ref="A12:F12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9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ISMS-IMP-A.5.4.2 - Compliance Oversight Tracker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ISMS-IMP-A.5.4.2 — Compliance Oversight Tracker</dc:title>
  <dc:description xmlns:dc="http://purl.org/dc/elements/1.1/">ISMS Implementation Workbook — ISMS-IMP-A.5.4.2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2026-03-01T16:57:34Z</dcterms:created>
  <dcterms:modified xmlns:dcterms="http://purl.org/dc/terms/" xmlns:xsi="http://www.w3.org/2001/XMLSchema-instance" xsi:type="dcterms:W3CDTF">2026-03-01T16:57:35Z</dcterms:modified>
</cp:coreProperties>
</file>