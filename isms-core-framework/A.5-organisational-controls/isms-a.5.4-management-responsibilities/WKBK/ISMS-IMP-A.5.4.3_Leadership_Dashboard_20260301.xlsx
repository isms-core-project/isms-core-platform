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y Department" sheetId="3" state="visible" r:id="rId3"/>
    <sheet xmlns:r="http://schemas.openxmlformats.org/officeDocument/2006/relationships" name="Trend Analysis" sheetId="4" state="visible" r:id="rId4"/>
    <sheet xmlns:r="http://schemas.openxmlformats.org/officeDocument/2006/relationships" name="Action Items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12" fillId="12" borderId="1" pivotButton="0" quotePrefix="0" xfId="0"/>
    <xf numFmtId="164" fontId="0" fillId="0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ISMS-IMP-A.5.4.3  -  Leadership Dashboard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ISMS-IMP-A.5.4.3</t>
        </is>
      </c>
    </row>
    <row r="5">
      <c r="A5" s="3" t="inlineStr">
        <is>
          <t>Workbook Title</t>
        </is>
      </c>
      <c r="B5" t="inlineStr">
        <is>
          <t>Leadership Dashboard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Executive Summary — validate top-level metrics for management reporting.</t>
        </is>
      </c>
    </row>
    <row r="14">
      <c r="A14" t="inlineStr">
        <is>
          <t>2. Complete By Department — assess security posture across all departments.</t>
        </is>
      </c>
    </row>
    <row r="15">
      <c r="A15" t="inlineStr">
        <is>
          <t>3. Review Trend Analysis — identify improving or deteriorating compliance areas.</t>
        </is>
      </c>
    </row>
    <row r="16">
      <c r="A16" t="inlineStr">
        <is>
          <t>4. Maintain Action Items — track management-committed remediation actions.</t>
        </is>
      </c>
    </row>
    <row r="17">
      <c r="A17" t="inlineStr">
        <is>
          <t>5. Maintain the Evidence Register with supporting documentation.</t>
        </is>
      </c>
    </row>
    <row r="18">
      <c r="A18" t="inlineStr">
        <is>
          <t>6. Obtain final approval and sign-off in the Approval Sign-Off sheet.</t>
        </is>
      </c>
    </row>
    <row r="20">
      <c r="A20" s="2" t="inlineStr">
        <is>
          <t>Status Legend</t>
        </is>
      </c>
    </row>
    <row r="21">
      <c r="A21" s="5" t="inlineStr">
        <is>
          <t>Symbol</t>
        </is>
      </c>
      <c r="B21" s="5" t="inlineStr">
        <is>
          <t>Status</t>
        </is>
      </c>
      <c r="C21" s="5" t="inlineStr">
        <is>
          <t>Description</t>
        </is>
      </c>
    </row>
    <row r="22">
      <c r="A22" s="6" t="inlineStr">
        <is>
          <t>✓</t>
        </is>
      </c>
      <c r="B22" s="7" t="inlineStr">
        <is>
          <t>Compliant / Complete</t>
        </is>
      </c>
      <c r="C22" s="8" t="inlineStr">
        <is>
          <t>Requirement fully met</t>
        </is>
      </c>
    </row>
    <row r="23">
      <c r="A23" s="6" t="inlineStr">
        <is>
          <t>⚠</t>
        </is>
      </c>
      <c r="B23" s="9" t="inlineStr">
        <is>
          <t>Partial / In Progress</t>
        </is>
      </c>
      <c r="C23" s="8" t="inlineStr">
        <is>
          <t>Partially met or in progress</t>
        </is>
      </c>
    </row>
    <row r="24">
      <c r="A24" s="6" t="inlineStr">
        <is>
          <t>✗</t>
        </is>
      </c>
      <c r="B24" s="10" t="inlineStr">
        <is>
          <t>Non-Compliant / Not Started</t>
        </is>
      </c>
      <c r="C24" s="8" t="inlineStr">
        <is>
          <t>Requirement not met</t>
        </is>
      </c>
    </row>
    <row r="25">
      <c r="A25" s="6" t="inlineStr">
        <is>
          <t>—</t>
        </is>
      </c>
      <c r="B25" s="8" t="inlineStr">
        <is>
          <t>Not Applicable</t>
        </is>
      </c>
      <c r="C25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2" customWidth="1" min="5" max="5"/>
    <col width="30" customWidth="1" min="6" max="6"/>
  </cols>
  <sheetData>
    <row r="1" ht="35" customHeight="1">
      <c r="A1" s="11" t="inlineStr">
        <is>
          <t>MANAGEMENT SECURITY LEADERSHIP - EXECUTIVE SUMMARY</t>
        </is>
      </c>
      <c r="B1" s="6" t="n"/>
      <c r="C1" s="6" t="n"/>
      <c r="D1" s="6" t="n"/>
      <c r="E1" s="6" t="n"/>
      <c r="F1" s="6" t="n"/>
    </row>
    <row r="2">
      <c r="A2" s="12" t="inlineStr">
        <is>
          <t>Report Date: 01.03.2026 | Data sources: ISMS-IMP-A.5.4.1 and ISMS-IMP-A.5.4.2</t>
        </is>
      </c>
    </row>
    <row r="3">
      <c r="A3" s="13" t="inlineStr">
        <is>
          <t>Metric</t>
        </is>
      </c>
      <c r="B3" s="13" t="inlineStr">
        <is>
          <t>Current Value</t>
        </is>
      </c>
      <c r="C3" s="13" t="inlineStr">
        <is>
          <t>Minimum Target</t>
        </is>
      </c>
      <c r="D3" s="13" t="inlineStr">
        <is>
          <t>Stretch Target</t>
        </is>
      </c>
      <c r="E3" s="13" t="inlineStr">
        <is>
          <t>Status</t>
        </is>
      </c>
      <c r="F3" s="13" t="inlineStr">
        <is>
          <t>Notes</t>
        </is>
      </c>
    </row>
    <row r="4">
      <c r="A4" s="14" t="inlineStr">
        <is>
          <t>Overall Commitment Score</t>
        </is>
      </c>
      <c r="B4" s="14" t="inlineStr">
        <is>
          <t>[Score]%</t>
        </is>
      </c>
      <c r="C4" s="14" t="inlineStr">
        <is>
          <t>70%</t>
        </is>
      </c>
      <c r="D4" s="14" t="inlineStr">
        <is>
          <t>85%</t>
        </is>
      </c>
      <c r="E4" s="14" t="inlineStr">
        <is>
          <t>Meets</t>
        </is>
      </c>
      <c r="F4" s="14" t="inlineStr"/>
    </row>
    <row r="5">
      <c r="A5" s="15" t="n"/>
      <c r="B5" s="15" t="n"/>
      <c r="C5" s="15" t="n"/>
      <c r="D5" s="15" t="n"/>
      <c r="E5" s="15" t="n"/>
      <c r="F5" s="15" t="n"/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</sheetData>
  <mergeCells count="2">
    <mergeCell ref="A2:F2"/>
    <mergeCell ref="A1:F1"/>
  </mergeCells>
  <dataValidations count="1">
    <dataValidation sqref="E4:E53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8" customWidth="1" min="5" max="5"/>
    <col width="15" customWidth="1" min="6" max="6"/>
    <col width="10" customWidth="1" min="7" max="7"/>
    <col width="30" customWidth="1" min="8" max="8"/>
  </cols>
  <sheetData>
    <row r="1" ht="35" customHeight="1">
      <c r="A1" s="11" t="inlineStr">
        <is>
          <t>LEADERSHIP METRICS BY DEPARTMENT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Department-level breakdown of management security leadership metrics.</t>
        </is>
      </c>
    </row>
    <row r="3">
      <c r="A3" s="13" t="inlineStr">
        <is>
          <t>Department</t>
        </is>
      </c>
      <c r="B3" s="13" t="inlineStr">
        <is>
          <t>Manager Count</t>
        </is>
      </c>
      <c r="C3" s="13" t="inlineStr">
        <is>
          <t>Avg Commitment Score</t>
        </is>
      </c>
      <c r="D3" s="13" t="inlineStr">
        <is>
          <t>Training Compliance</t>
        </is>
      </c>
      <c r="E3" s="13" t="inlineStr">
        <is>
          <t>Violations Handled</t>
        </is>
      </c>
      <c r="F3" s="13" t="inlineStr">
        <is>
          <t>Access Reviews</t>
        </is>
      </c>
      <c r="G3" s="13" t="inlineStr">
        <is>
          <t>Status</t>
        </is>
      </c>
      <c r="H3" s="13" t="inlineStr">
        <is>
          <t>Notes</t>
        </is>
      </c>
    </row>
    <row r="4">
      <c r="A4" s="14" t="inlineStr">
        <is>
          <t>Executive</t>
        </is>
      </c>
      <c r="B4" s="14" t="inlineStr">
        <is>
          <t>3</t>
        </is>
      </c>
      <c r="C4" s="14" t="inlineStr">
        <is>
          <t>88%</t>
        </is>
      </c>
      <c r="D4" s="14" t="inlineStr">
        <is>
          <t>95%</t>
        </is>
      </c>
      <c r="E4" s="14" t="inlineStr">
        <is>
          <t>2</t>
        </is>
      </c>
      <c r="F4" s="14" t="inlineStr">
        <is>
          <t>Yes</t>
        </is>
      </c>
      <c r="G4" s="14" t="inlineStr">
        <is>
          <t>Meets</t>
        </is>
      </c>
      <c r="H4" s="14" t="inlineStr">
        <is>
          <t>Strong leadership engagement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G4:G53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11" t="inlineStr">
        <is>
          <t>LEADERSHIP METRICS TREND ANALYSIS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Quarter-over-quarter trend data for management security leadership metrics.</t>
        </is>
      </c>
    </row>
    <row r="3">
      <c r="A3" s="13" t="inlineStr">
        <is>
          <t>Metric</t>
        </is>
      </c>
      <c r="B3" s="13" t="inlineStr">
        <is>
          <t>Q1</t>
        </is>
      </c>
      <c r="C3" s="13" t="inlineStr">
        <is>
          <t>Q2</t>
        </is>
      </c>
      <c r="D3" s="13" t="inlineStr">
        <is>
          <t>Q3</t>
        </is>
      </c>
      <c r="E3" s="13" t="inlineStr">
        <is>
          <t>Q4</t>
        </is>
      </c>
      <c r="F3" s="13" t="inlineStr">
        <is>
          <t>YoY Change</t>
        </is>
      </c>
      <c r="G3" s="13" t="inlineStr">
        <is>
          <t>Trend</t>
        </is>
      </c>
    </row>
    <row r="4">
      <c r="A4" s="14" t="inlineStr">
        <is>
          <t>Overall Commitment Score (%)</t>
        </is>
      </c>
      <c r="B4" s="14" t="inlineStr">
        <is>
          <t>82%</t>
        </is>
      </c>
      <c r="C4" s="14" t="inlineStr">
        <is>
          <t>84%</t>
        </is>
      </c>
      <c r="D4" s="14" t="inlineStr">
        <is>
          <t>86%</t>
        </is>
      </c>
      <c r="E4" s="14" t="inlineStr">
        <is>
          <t>88%</t>
        </is>
      </c>
      <c r="F4" s="14" t="inlineStr">
        <is>
          <t>+2%</t>
        </is>
      </c>
      <c r="G4" s="14" t="inlineStr">
        <is>
          <t>Improving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</sheetData>
  <mergeCells count="2">
    <mergeCell ref="A2:G2"/>
    <mergeCell ref="A1:G1"/>
  </mergeCells>
  <dataValidations count="1">
    <dataValidation sqref="G4:G53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0" customWidth="1" min="4" max="4"/>
    <col width="12" customWidth="1" min="5" max="5"/>
    <col width="12" customWidth="1" min="6" max="6"/>
    <col width="15" customWidth="1" min="7" max="7"/>
    <col width="30" customWidth="1" min="8" max="8"/>
  </cols>
  <sheetData>
    <row r="1" ht="35" customHeight="1">
      <c r="A1" s="11" t="inlineStr">
        <is>
          <t>ACTION ITEMS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Track improvement actions arising from the leadership dashboard review.</t>
        </is>
      </c>
    </row>
    <row r="3">
      <c r="A3" s="13" t="inlineStr">
        <is>
          <t>Action ID</t>
        </is>
      </c>
      <c r="B3" s="13" t="inlineStr">
        <is>
          <t>Finding</t>
        </is>
      </c>
      <c r="C3" s="13" t="inlineStr">
        <is>
          <t>Action Required</t>
        </is>
      </c>
      <c r="D3" s="13" t="inlineStr">
        <is>
          <t>Owner</t>
        </is>
      </c>
      <c r="E3" s="13" t="inlineStr">
        <is>
          <t>Due Date</t>
        </is>
      </c>
      <c r="F3" s="13" t="inlineStr">
        <is>
          <t>Status</t>
        </is>
      </c>
      <c r="G3" s="13" t="inlineStr">
        <is>
          <t>Completion Date</t>
        </is>
      </c>
      <c r="H3" s="13" t="inlineStr">
        <is>
          <t>Evidence</t>
        </is>
      </c>
    </row>
    <row r="4">
      <c r="A4" s="14" t="inlineStr">
        <is>
          <t>ACT-001</t>
        </is>
      </c>
      <c r="B4" s="14" t="inlineStr">
        <is>
          <t>3 managers below commitment target</t>
        </is>
      </c>
      <c r="C4" s="14" t="inlineStr">
        <is>
          <t>Schedule coaching sessions</t>
        </is>
      </c>
      <c r="D4" s="14" t="inlineStr">
        <is>
          <t>CISO</t>
        </is>
      </c>
      <c r="E4" s="14" t="inlineStr">
        <is>
          <t>01.03.2026</t>
        </is>
      </c>
      <c r="F4" s="14" t="inlineStr">
        <is>
          <t>In Progress</t>
        </is>
      </c>
      <c r="G4" s="14" t="inlineStr"/>
      <c r="H4" s="14" t="inlineStr">
        <is>
          <t>Meeting minutes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F4:F53" showDropDown="0" showInputMessage="0" showErrorMessage="0" allowBlank="0" type="list">
      <formula1>"Open,In Progress,Completed,Overdue,Cancelled"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Sheet</t>
        </is>
      </c>
      <c r="E4" s="18" t="inlineStr">
        <is>
          <t>File Name</t>
        </is>
      </c>
      <c r="F4" s="18" t="inlineStr">
        <is>
          <t>File Location</t>
        </is>
      </c>
      <c r="G4" s="18" t="inlineStr">
        <is>
          <t>Collection Date</t>
        </is>
      </c>
      <c r="H4" s="18" t="inlineStr">
        <is>
          <t>Collected By</t>
        </is>
      </c>
    </row>
    <row r="5">
      <c r="A5" s="19" t="inlineStr">
        <is>
          <t>EV-001</t>
        </is>
      </c>
      <c r="B5" s="20" t="inlineStr">
        <is>
          <t>Dashboard Data</t>
        </is>
      </c>
      <c r="C5" s="20" t="inlineStr">
        <is>
          <t>Leadership dashboard metrics evidence</t>
        </is>
      </c>
      <c r="D5" s="20" t="inlineStr">
        <is>
          <t>Executive Summary</t>
        </is>
      </c>
      <c r="E5" s="20" t="inlineStr">
        <is>
          <t>dashboard_records.pdf</t>
        </is>
      </c>
      <c r="F5" s="20" t="inlineStr">
        <is>
          <t>/ISMS/Evidence/A.5.4/</t>
        </is>
      </c>
      <c r="G5" s="20" t="inlineStr">
        <is>
          <t>01.03.2026</t>
        </is>
      </c>
      <c r="H5" s="20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6" t="inlineStr">
        <is>
          <t>LEADERSHIP DASHBOARD — SUMMARY DASHBOARD</t>
        </is>
      </c>
      <c r="B1" s="6" t="n"/>
      <c r="C1" s="6" t="n"/>
      <c r="D1" s="6" t="n"/>
      <c r="E1" s="6" t="n"/>
      <c r="F1" s="6" t="n"/>
    </row>
    <row r="2">
      <c r="A2" s="21" t="inlineStr">
        <is>
          <t>ISO 27001:2022 | Control A.5.4 | Management Responsibilities | 01.03.2026</t>
        </is>
      </c>
      <c r="B2" s="6" t="n"/>
      <c r="C2" s="6" t="n"/>
      <c r="D2" s="6" t="n"/>
      <c r="E2" s="6" t="n"/>
      <c r="F2" s="6" t="n"/>
    </row>
    <row r="4">
      <c r="A4" s="22" t="inlineStr">
        <is>
          <t>TABLE 1 — LEADERSHIP METRICS STATUS</t>
        </is>
      </c>
      <c r="B4" s="6" t="n"/>
      <c r="C4" s="6" t="n"/>
      <c r="D4" s="6" t="n"/>
      <c r="E4" s="6" t="n"/>
      <c r="F4" s="6" t="n"/>
    </row>
    <row r="5">
      <c r="A5" s="23" t="inlineStr">
        <is>
          <t>SECTION A: EXECUTIVE METRICS — STATUS  (Source: Executive Summary col E)</t>
        </is>
      </c>
      <c r="B5" s="6" t="n"/>
      <c r="C5" s="6" t="n"/>
      <c r="D5" s="6" t="n"/>
      <c r="E5" s="6" t="n"/>
      <c r="F5" s="6" t="n"/>
    </row>
    <row r="6">
      <c r="A6" s="24" t="inlineStr">
        <is>
          <t>Metric Status</t>
        </is>
      </c>
      <c r="B6" s="24" t="inlineStr">
        <is>
          <t>Meaning</t>
        </is>
      </c>
      <c r="C6" s="24" t="inlineStr">
        <is>
          <t>Count</t>
        </is>
      </c>
      <c r="D6" s="24" t="inlineStr">
        <is>
          <t>Target</t>
        </is>
      </c>
      <c r="E6" s="24" t="inlineStr">
        <is>
          <t>ISO A.5.4 Requirement</t>
        </is>
      </c>
      <c r="F6" s="24" t="inlineStr">
        <is>
          <t>Action Required</t>
        </is>
      </c>
    </row>
    <row r="7">
      <c r="A7" s="25" t="inlineStr">
        <is>
          <t>Exceeds</t>
        </is>
      </c>
      <c r="B7" s="25" t="inlineStr">
        <is>
          <t>Metric exceeds target</t>
        </is>
      </c>
      <c r="C7" s="25">
        <f>COUNTIF('Executive Summary'!E5:E54,"Exceeds")</f>
        <v/>
      </c>
      <c r="D7" s="25" t="inlineStr">
        <is>
          <t>Majority</t>
        </is>
      </c>
      <c r="E7" s="25" t="inlineStr">
        <is>
          <t>A.5.4: leadership should exceed baseline requirements</t>
        </is>
      </c>
      <c r="F7" s="25" t="inlineStr">
        <is>
          <t>Recognise and maintain</t>
        </is>
      </c>
    </row>
    <row r="8">
      <c r="A8" s="25" t="inlineStr">
        <is>
          <t>Meets</t>
        </is>
      </c>
      <c r="B8" s="25" t="inlineStr">
        <is>
          <t>Metric meets target</t>
        </is>
      </c>
      <c r="C8" s="25">
        <f>COUNTIF('Executive Summary'!E5:E54,"Meets")</f>
        <v/>
      </c>
      <c r="D8" s="25" t="inlineStr">
        <is>
          <t>All</t>
        </is>
      </c>
      <c r="E8" s="25" t="inlineStr">
        <is>
          <t>A.5.4: all leadership metrics must meet targets</t>
        </is>
      </c>
      <c r="F8" s="25" t="inlineStr">
        <is>
          <t>Monitor continuously</t>
        </is>
      </c>
    </row>
    <row r="9">
      <c r="A9" s="25" t="inlineStr">
        <is>
          <t>Below</t>
        </is>
      </c>
      <c r="B9" s="25" t="inlineStr">
        <is>
          <t>Metric below target</t>
        </is>
      </c>
      <c r="C9" s="25">
        <f>COUNTIF('Executive Summary'!E5:E54,"Below")</f>
        <v/>
      </c>
      <c r="D9" s="25" t="inlineStr">
        <is>
          <t>0</t>
        </is>
      </c>
      <c r="E9" s="25" t="inlineStr">
        <is>
          <t>Below-target metrics require corrective action</t>
        </is>
      </c>
      <c r="F9" s="25" t="inlineStr">
        <is>
          <t>Corrective action plan required</t>
        </is>
      </c>
    </row>
    <row r="10">
      <c r="A10" s="25" t="inlineStr">
        <is>
          <t>N/A</t>
        </is>
      </c>
      <c r="B10" s="25" t="inlineStr">
        <is>
          <t>Metric not applicable</t>
        </is>
      </c>
      <c r="C10" s="25">
        <f>COUNTIF('Executive Summary'!E5:E54,"N/A")</f>
        <v/>
      </c>
      <c r="D10" s="25" t="inlineStr">
        <is>
          <t>—</t>
        </is>
      </c>
      <c r="E10" s="25" t="inlineStr">
        <is>
          <t>N/A metrics should be reviewed for relevance</t>
        </is>
      </c>
      <c r="F10" s="25" t="inlineStr">
        <is>
          <t>Review and reassign</t>
        </is>
      </c>
    </row>
    <row r="11">
      <c r="A11" s="26" t="inlineStr">
        <is>
          <t>TOTAL</t>
        </is>
      </c>
      <c r="B11" s="27" t="n"/>
      <c r="C11" s="26">
        <f>SUM(C7:C10)</f>
        <v/>
      </c>
      <c r="D11" s="27" t="n"/>
      <c r="E11" s="27" t="n"/>
      <c r="F11" s="27" t="n"/>
    </row>
    <row r="12">
      <c r="A12" s="23" t="inlineStr">
        <is>
          <t>SECTION B: ACTION ITEMS — STATUS  (Source: Action Items col F)</t>
        </is>
      </c>
      <c r="B12" s="6" t="n"/>
      <c r="C12" s="6" t="n"/>
      <c r="D12" s="6" t="n"/>
      <c r="E12" s="6" t="n"/>
      <c r="F12" s="6" t="n"/>
    </row>
    <row r="13">
      <c r="A13" s="24" t="inlineStr">
        <is>
          <t>Action Status</t>
        </is>
      </c>
      <c r="B13" s="24" t="inlineStr">
        <is>
          <t>Meaning</t>
        </is>
      </c>
      <c r="C13" s="24" t="inlineStr">
        <is>
          <t>Count</t>
        </is>
      </c>
      <c r="D13" s="24" t="inlineStr">
        <is>
          <t>Target</t>
        </is>
      </c>
      <c r="E13" s="24" t="inlineStr">
        <is>
          <t>ISO A.5.4 Requirement</t>
        </is>
      </c>
      <c r="F13" s="24" t="inlineStr">
        <is>
          <t>Action Required</t>
        </is>
      </c>
    </row>
    <row r="14">
      <c r="A14" s="25" t="inlineStr">
        <is>
          <t>Open</t>
        </is>
      </c>
      <c r="B14" s="25" t="inlineStr">
        <is>
          <t>Not yet started</t>
        </is>
      </c>
      <c r="C14" s="25">
        <f>COUNTIF('Action Items'!F5:F54,"Open")</f>
        <v/>
      </c>
      <c r="D14" s="25" t="inlineStr">
        <is>
          <t>0</t>
        </is>
      </c>
      <c r="E14" s="25" t="inlineStr">
        <is>
          <t>Open actions must be assigned and commenced</t>
        </is>
      </c>
      <c r="F14" s="25" t="inlineStr">
        <is>
          <t>Assign owner and start date</t>
        </is>
      </c>
    </row>
    <row r="15">
      <c r="A15" s="25" t="inlineStr">
        <is>
          <t>In Progress</t>
        </is>
      </c>
      <c r="B15" s="25" t="inlineStr">
        <is>
          <t>Under active management</t>
        </is>
      </c>
      <c r="C15" s="25">
        <f>COUNTIF('Action Items'!F5:F54,"In Progress")</f>
        <v/>
      </c>
      <c r="D15" s="25" t="inlineStr">
        <is>
          <t>All</t>
        </is>
      </c>
      <c r="E15" s="25" t="inlineStr">
        <is>
          <t>In-progress actions must meet due date targets</t>
        </is>
      </c>
      <c r="F15" s="25" t="inlineStr">
        <is>
          <t>Monitor progress</t>
        </is>
      </c>
    </row>
    <row r="16">
      <c r="A16" s="25" t="inlineStr">
        <is>
          <t>Completed</t>
        </is>
      </c>
      <c r="B16" s="25" t="inlineStr">
        <is>
          <t>Successfully closed</t>
        </is>
      </c>
      <c r="C16" s="25">
        <f>COUNTIF('Action Items'!F5:F54,"Completed")</f>
        <v/>
      </c>
      <c r="D16" s="25" t="inlineStr">
        <is>
          <t>All</t>
        </is>
      </c>
      <c r="E16" s="25" t="inlineStr">
        <is>
          <t>Completion rate demonstrates management commitment</t>
        </is>
      </c>
      <c r="F16" s="25" t="inlineStr">
        <is>
          <t>Archive evidence</t>
        </is>
      </c>
    </row>
    <row r="17">
      <c r="A17" s="25" t="inlineStr">
        <is>
          <t>Overdue</t>
        </is>
      </c>
      <c r="B17" s="25" t="inlineStr">
        <is>
          <t>Past due date</t>
        </is>
      </c>
      <c r="C17" s="25">
        <f>COUNTIF('Action Items'!F5:F54,"Overdue")</f>
        <v/>
      </c>
      <c r="D17" s="25" t="inlineStr">
        <is>
          <t>0</t>
        </is>
      </c>
      <c r="E17" s="25" t="inlineStr">
        <is>
          <t>Overdue actions are non-compliant with A.5.4</t>
        </is>
      </c>
      <c r="F17" s="25" t="inlineStr">
        <is>
          <t>Escalate immediately</t>
        </is>
      </c>
    </row>
    <row r="18">
      <c r="A18" s="26" t="inlineStr">
        <is>
          <t>TOTAL</t>
        </is>
      </c>
      <c r="B18" s="27" t="n"/>
      <c r="C18" s="26">
        <f>SUM(C14:C17)</f>
        <v/>
      </c>
      <c r="D18" s="27" t="n"/>
      <c r="E18" s="27" t="n"/>
      <c r="F18" s="27" t="n"/>
    </row>
    <row r="20">
      <c r="A20" s="22" t="inlineStr">
        <is>
          <t>TABLE 2 — KEY LEADERSHIP METRICS</t>
        </is>
      </c>
      <c r="B20" s="6" t="n"/>
      <c r="C20" s="6" t="n"/>
      <c r="D20" s="6" t="n"/>
      <c r="E20" s="6" t="n"/>
      <c r="F20" s="6" t="n"/>
    </row>
    <row r="21">
      <c r="A21" s="28" t="inlineStr">
        <is>
          <t>#</t>
        </is>
      </c>
      <c r="B21" s="28" t="inlineStr">
        <is>
          <t>KPI Metric</t>
        </is>
      </c>
      <c r="C21" s="28" t="inlineStr">
        <is>
          <t>Value</t>
        </is>
      </c>
      <c r="D21" s="28" t="inlineStr">
        <is>
          <t>Target</t>
        </is>
      </c>
      <c r="E21" s="28" t="inlineStr">
        <is>
          <t>ISO A.5.4 Requirement</t>
        </is>
      </c>
      <c r="F21" s="28" t="inlineStr">
        <is>
          <t>Notes</t>
        </is>
      </c>
    </row>
    <row r="22">
      <c r="A22" s="29" t="inlineStr">
        <is>
          <t>1</t>
        </is>
      </c>
      <c r="B22" s="29" t="inlineStr">
        <is>
          <t>Departments tracked</t>
        </is>
      </c>
      <c r="C22" s="29">
        <f>COUNTA('By Department'!A5:A54)</f>
        <v/>
      </c>
      <c r="D22" s="29" t="inlineStr">
        <is>
          <t>All</t>
        </is>
      </c>
      <c r="E22" s="29" t="inlineStr">
        <is>
          <t>All departments must report leadership metrics per A.5.4</t>
        </is>
      </c>
      <c r="F22" s="29" t="inlineStr"/>
    </row>
    <row r="23">
      <c r="A23" s="29" t="inlineStr">
        <is>
          <t>2</t>
        </is>
      </c>
      <c r="B23" s="29" t="inlineStr">
        <is>
          <t>Departments exceeding targets</t>
        </is>
      </c>
      <c r="C23" s="29">
        <f>COUNTIF('By Department'!G5:G54,"Exceeds")</f>
        <v/>
      </c>
      <c r="D23" s="29" t="inlineStr">
        <is>
          <t>Majority</t>
        </is>
      </c>
      <c r="E23" s="29" t="inlineStr">
        <is>
          <t>A.5.4: majority of departments should exceed minimum targets</t>
        </is>
      </c>
      <c r="F23" s="29" t="inlineStr"/>
    </row>
    <row r="24">
      <c r="A24" s="29" t="inlineStr">
        <is>
          <t>3</t>
        </is>
      </c>
      <c r="B24" s="29" t="inlineStr">
        <is>
          <t>Departments below target</t>
        </is>
      </c>
      <c r="C24" s="29">
        <f>COUNTIF('By Department'!G5:G54,"Below")</f>
        <v/>
      </c>
      <c r="D24" s="29" t="inlineStr">
        <is>
          <t>0</t>
        </is>
      </c>
      <c r="E24" s="29" t="inlineStr">
        <is>
          <t>Below-target departments require corrective action plans</t>
        </is>
      </c>
      <c r="F24" s="29" t="inlineStr"/>
    </row>
    <row r="25">
      <c r="A25" s="29" t="inlineStr">
        <is>
          <t>4</t>
        </is>
      </c>
      <c r="B25" s="29" t="inlineStr">
        <is>
          <t>Executive metrics below target</t>
        </is>
      </c>
      <c r="C25" s="29">
        <f>COUNTIF('Executive Summary'!E5:E54,"Below")</f>
        <v/>
      </c>
      <c r="D25" s="29" t="inlineStr">
        <is>
          <t>0</t>
        </is>
      </c>
      <c r="E25" s="29" t="inlineStr">
        <is>
          <t>All leadership metrics must meet or exceed defined targets</t>
        </is>
      </c>
      <c r="F25" s="29" t="inlineStr"/>
    </row>
    <row r="26">
      <c r="A26" s="29" t="inlineStr">
        <is>
          <t>5</t>
        </is>
      </c>
      <c r="B26" s="29" t="inlineStr">
        <is>
          <t>Open action items (not yet started)</t>
        </is>
      </c>
      <c r="C26" s="29">
        <f>COUNTIF('Action Items'!F5:F54,"Open")</f>
        <v/>
      </c>
      <c r="D26" s="29" t="inlineStr">
        <is>
          <t>0</t>
        </is>
      </c>
      <c r="E26" s="29" t="inlineStr">
        <is>
          <t>Open actions represent unaddressed management findings</t>
        </is>
      </c>
      <c r="F26" s="29" t="inlineStr"/>
    </row>
    <row r="27">
      <c r="A27" s="29" t="inlineStr">
        <is>
          <t>6</t>
        </is>
      </c>
      <c r="B27" s="29" t="inlineStr">
        <is>
          <t>Overdue action items</t>
        </is>
      </c>
      <c r="C27" s="29">
        <f>COUNTIF('Action Items'!F5:F54,"Overdue")</f>
        <v/>
      </c>
      <c r="D27" s="29" t="inlineStr">
        <is>
          <t>0</t>
        </is>
      </c>
      <c r="E27" s="29" t="inlineStr">
        <is>
          <t>Overdue actions indicate non-compliance with A.5.4 commitments</t>
        </is>
      </c>
      <c r="F27" s="29" t="inlineStr"/>
    </row>
    <row r="29">
      <c r="A29" s="30" t="inlineStr">
        <is>
          <t>TABLE 3 — CRITICAL FINDINGS REQUIRING IMMEDIATE ACTION</t>
        </is>
      </c>
      <c r="B29" s="6" t="n"/>
      <c r="C29" s="6" t="n"/>
      <c r="D29" s="6" t="n"/>
      <c r="E29" s="6" t="n"/>
      <c r="F29" s="6" t="n"/>
    </row>
    <row r="30">
      <c r="A30" s="28" t="inlineStr">
        <is>
          <t>Priority</t>
        </is>
      </c>
      <c r="B30" s="28" t="inlineStr">
        <is>
          <t>Finding</t>
        </is>
      </c>
      <c r="C30" s="28" t="inlineStr">
        <is>
          <t>Count</t>
        </is>
      </c>
      <c r="D30" s="28" t="inlineStr">
        <is>
          <t>Target</t>
        </is>
      </c>
      <c r="E30" s="28" t="inlineStr">
        <is>
          <t>ISO A.5.4 Requirement</t>
        </is>
      </c>
      <c r="F30" s="28" t="inlineStr">
        <is>
          <t>Recommended Action</t>
        </is>
      </c>
    </row>
    <row r="31">
      <c r="A31" s="29" t="inlineStr">
        <is>
          <t>CRITICAL</t>
        </is>
      </c>
      <c r="B31" s="29" t="inlineStr">
        <is>
          <t>Overdue action items</t>
        </is>
      </c>
      <c r="C31" s="29">
        <f>COUNTIF('Action Items'!F5:F54,"Overdue")</f>
        <v/>
      </c>
      <c r="D31" s="29" t="inlineStr">
        <is>
          <t>0</t>
        </is>
      </c>
      <c r="E31" s="29" t="inlineStr">
        <is>
          <t>A.5.4: management must act on identified security gaps</t>
        </is>
      </c>
      <c r="F31" s="29" t="inlineStr">
        <is>
          <t>Escalate to CISO immediately</t>
        </is>
      </c>
    </row>
    <row r="32">
      <c r="A32" s="29" t="inlineStr">
        <is>
          <t>HIGH</t>
        </is>
      </c>
      <c r="B32" s="29" t="inlineStr">
        <is>
          <t>Executive metrics below target</t>
        </is>
      </c>
      <c r="C32" s="29">
        <f>COUNTIF('Executive Summary'!E5:E54,"Below")</f>
        <v/>
      </c>
      <c r="D32" s="29" t="inlineStr">
        <is>
          <t>0</t>
        </is>
      </c>
      <c r="E32" s="29" t="inlineStr">
        <is>
          <t>A.5.4: all leadership metrics must meet defined targets</t>
        </is>
      </c>
      <c r="F32" s="29" t="inlineStr">
        <is>
          <t>Develop corrective action plans within 5 days</t>
        </is>
      </c>
    </row>
    <row r="33">
      <c r="A33" s="29" t="inlineStr">
        <is>
          <t>MEDIUM</t>
        </is>
      </c>
      <c r="B33" s="29" t="inlineStr">
        <is>
          <t>Departments with below-target status</t>
        </is>
      </c>
      <c r="C33" s="29">
        <f>COUNTIF('By Department'!G5:G54,"Below")</f>
        <v/>
      </c>
      <c r="D33" s="29" t="inlineStr">
        <is>
          <t>0</t>
        </is>
      </c>
      <c r="E33" s="29" t="inlineStr">
        <is>
          <t>A.5.4: all departments must demonstrate management commitment</t>
        </is>
      </c>
      <c r="F33" s="29" t="inlineStr">
        <is>
          <t>Engage department heads for improvement plans</t>
        </is>
      </c>
    </row>
  </sheetData>
  <mergeCells count="7">
    <mergeCell ref="A2:F2"/>
    <mergeCell ref="A1:F1"/>
    <mergeCell ref="A5:F5"/>
    <mergeCell ref="A12:F12"/>
    <mergeCell ref="A4:F4"/>
    <mergeCell ref="A20:F20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1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ISMS-IMP-A.5.4.3 - Leadership Dashboard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3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2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2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4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2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ISMS-IMP-A.5.4.3 — Leadership Dashboard</dc:title>
  <dc:description xmlns:dc="http://purl.org/dc/elements/1.1/">ISMS Implementation Workbook — ISMS-IMP-A.5.4.3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2026-03-01T11:11:30Z</dcterms:created>
  <dcterms:modified xmlns:dcterms="http://purl.org/dc/terms/" xmlns:xsi="http://www.w3.org/2001/XMLSchema-instance" xsi:type="dcterms:W3CDTF">2026-03-01T11:11:30Z</dcterms:modified>
</cp:coreProperties>
</file>