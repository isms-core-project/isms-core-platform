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nager Inventory" sheetId="2" state="visible" r:id="rId2"/>
    <sheet xmlns:r="http://schemas.openxmlformats.org/officeDocument/2006/relationships" name="Commitment Assessment" sheetId="3" state="visible" r:id="rId3"/>
    <sheet xmlns:r="http://schemas.openxmlformats.org/officeDocument/2006/relationships" name="Summary Scores" sheetId="4" state="visible" r:id="rId4"/>
    <sheet xmlns:r="http://schemas.openxmlformats.org/officeDocument/2006/relationships" name="Evidence Register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/>
    </xf>
    <xf numFmtId="0" fontId="12" fillId="12" borderId="1" pivotButton="0" quotePrefix="0" xfId="0"/>
    <xf numFmtId="164" fontId="0" fillId="0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ISMS-IMP-A.5.4.1  -  Management Commitment Assessment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ISMS-IMP-A.5.4.1</t>
        </is>
      </c>
    </row>
    <row r="5">
      <c r="A5" s="3" t="inlineStr">
        <is>
          <t>Workbook Title</t>
        </is>
      </c>
      <c r="B5" t="inlineStr">
        <is>
          <t>Management Commitment Assessment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Manager Inventory — list all managers with information security responsibilities.</t>
        </is>
      </c>
    </row>
    <row r="14">
      <c r="A14" t="inlineStr">
        <is>
          <t>2. Complete Commitment Assessment — assess each manager’s compliance with ISMS requirements.</t>
        </is>
      </c>
    </row>
    <row r="15">
      <c r="A15" t="inlineStr">
        <is>
          <t>3. Review Summary Scores — identify managers requiring coaching or escalation.</t>
        </is>
      </c>
    </row>
    <row r="16">
      <c r="A16" t="inlineStr">
        <is>
          <t>4. Maintain the Evidence Register with policy acknowledgements, meeting minutes, and records.</t>
        </is>
      </c>
    </row>
    <row r="17">
      <c r="A17" t="inlineStr">
        <is>
          <t>5. Obtain final approval and sign-off in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0" customWidth="1" min="4" max="4"/>
    <col width="18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35" customHeight="1">
      <c r="A1" s="11" t="inlineStr">
        <is>
          <t>MANAGER INVENTORY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Record all management personnel subject to commitment assessment under A.5.4.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Title</t>
        </is>
      </c>
      <c r="D3" s="13" t="inlineStr">
        <is>
          <t>Department</t>
        </is>
      </c>
      <c r="E3" s="13" t="inlineStr">
        <is>
          <t>Management Level</t>
        </is>
      </c>
      <c r="F3" s="13" t="inlineStr">
        <is>
          <t>Direct Reports</t>
        </is>
      </c>
      <c r="G3" s="13" t="inlineStr">
        <is>
          <t>Assessment Date</t>
        </is>
      </c>
      <c r="H3" s="13" t="inlineStr">
        <is>
          <t>Assessor</t>
        </is>
      </c>
      <c r="I3" s="13" t="inlineStr">
        <is>
          <t>Status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Head of Operations</t>
        </is>
      </c>
      <c r="D4" s="14" t="inlineStr">
        <is>
          <t>Operations</t>
        </is>
      </c>
      <c r="E4" s="14" t="inlineStr">
        <is>
          <t>Director</t>
        </is>
      </c>
      <c r="F4" s="14" t="inlineStr">
        <is>
          <t>12</t>
        </is>
      </c>
      <c r="G4" s="14" t="inlineStr">
        <is>
          <t>01.01.2026</t>
        </is>
      </c>
      <c r="H4" s="14" t="inlineStr">
        <is>
          <t>ISMS Manager</t>
        </is>
      </c>
      <c r="I4" s="14" t="inlineStr">
        <is>
          <t>Complete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E4:E53" showDropDown="0" showInputMessage="0" showErrorMessage="0" allowBlank="0" type="list">
      <formula1>"Executive,Director,Manager,Team Lead,Supervisor"</formula1>
    </dataValidation>
    <dataValidation sqref="I4:I53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8" customWidth="1" min="4" max="4"/>
    <col width="12" customWidth="1" min="5" max="5"/>
    <col width="15" customWidth="1" min="6" max="6"/>
    <col width="35" customWidth="1" min="7" max="7"/>
    <col width="30" customWidth="1" min="8" max="8"/>
  </cols>
  <sheetData>
    <row r="1" ht="35" customHeight="1">
      <c r="A1" s="11" t="inlineStr">
        <is>
          <t>COMMITMENT ASSESSMENT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Score each criterion 0-5 per manager. Weighted score is calculated automatically.</t>
        </is>
      </c>
    </row>
    <row r="3">
      <c r="A3" s="13" t="inlineStr">
        <is>
          <t>Manager ID</t>
        </is>
      </c>
      <c r="B3" s="13" t="inlineStr">
        <is>
          <t>Category</t>
        </is>
      </c>
      <c r="C3" s="13" t="inlineStr">
        <is>
          <t>Criterion</t>
        </is>
      </c>
      <c r="D3" s="13" t="inlineStr">
        <is>
          <t>Weight</t>
        </is>
      </c>
      <c r="E3" s="13" t="inlineStr">
        <is>
          <t>Score (0-5)</t>
        </is>
      </c>
      <c r="F3" s="13" t="inlineStr">
        <is>
          <t>Weighted Score</t>
        </is>
      </c>
      <c r="G3" s="13" t="inlineStr">
        <is>
          <t>Evidence</t>
        </is>
      </c>
      <c r="H3" s="13" t="inlineStr">
        <is>
          <t>Notes</t>
        </is>
      </c>
    </row>
    <row r="4">
      <c r="A4" s="14" t="inlineStr">
        <is>
          <t>MGR-001</t>
        </is>
      </c>
      <c r="B4" s="14" t="inlineStr">
        <is>
          <t>Attendance</t>
        </is>
      </c>
      <c r="C4" s="14" t="inlineStr">
        <is>
          <t>Attends scheduled ISMS Committee meetings</t>
        </is>
      </c>
      <c r="D4" s="14" t="n">
        <v>10</v>
      </c>
      <c r="E4" s="14" t="n">
        <v>5</v>
      </c>
      <c r="F4" s="14">
        <f>E4*D4/5</f>
        <v/>
      </c>
      <c r="G4" s="14" t="inlineStr">
        <is>
          <t>Attendance records reviewed</t>
        </is>
      </c>
      <c r="H4" s="14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dataValidations count="1">
    <dataValidation sqref="E4:E500" showDropDown="0" showInputMessage="0" showErrorMessage="0" allowBlank="0" error="Score must be 0-5" type="whole" operator="between">
      <formula1>0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  <col width="40" customWidth="1" min="8" max="8"/>
  </cols>
  <sheetData>
    <row r="1" ht="35" customHeight="1">
      <c r="A1" s="11" t="inlineStr">
        <is>
          <t>SUMMARY SCORES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Aggregated commitment scores per manager. Status calculated automatically.</t>
        </is>
      </c>
    </row>
    <row r="3">
      <c r="A3" s="13" t="inlineStr">
        <is>
          <t>Manager ID</t>
        </is>
      </c>
      <c r="B3" s="13" t="inlineStr">
        <is>
          <t>Name</t>
        </is>
      </c>
      <c r="C3" s="13" t="inlineStr">
        <is>
          <t>Management Level</t>
        </is>
      </c>
      <c r="D3" s="13" t="inlineStr">
        <is>
          <t>Total Weight</t>
        </is>
      </c>
      <c r="E3" s="13" t="inlineStr">
        <is>
          <t>Achieved Score</t>
        </is>
      </c>
      <c r="F3" s="13" t="inlineStr">
        <is>
          <t>Percentage</t>
        </is>
      </c>
      <c r="G3" s="13" t="inlineStr">
        <is>
          <t>Status</t>
        </is>
      </c>
      <c r="H3" s="13" t="inlineStr">
        <is>
          <t>Improvement Areas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Director</t>
        </is>
      </c>
      <c r="D4" s="14" t="n">
        <v>100</v>
      </c>
      <c r="E4" s="14" t="n">
        <v>92</v>
      </c>
      <c r="F4" s="14">
        <f>IF(E4&gt;0,E4/D4*100,0)</f>
        <v/>
      </c>
      <c r="G4" s="14">
        <f>IF(F4&gt;=90,"Exemplary",IF(F4&gt;=70,"Adequate",IF(F4&gt;=50,"Improvement Needed","Non-Compliant")))</f>
        <v/>
      </c>
      <c r="H4" s="14" t="inlineStr">
        <is>
          <t>None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Sheet</t>
        </is>
      </c>
      <c r="E4" s="18" t="inlineStr">
        <is>
          <t>File Name</t>
        </is>
      </c>
      <c r="F4" s="18" t="inlineStr">
        <is>
          <t>File Location</t>
        </is>
      </c>
      <c r="G4" s="18" t="inlineStr">
        <is>
          <t>Collection Date</t>
        </is>
      </c>
      <c r="H4" s="18" t="inlineStr">
        <is>
          <t>Collected By</t>
        </is>
      </c>
    </row>
    <row r="5">
      <c r="A5" s="19" t="inlineStr">
        <is>
          <t>EV-001</t>
        </is>
      </c>
      <c r="B5" s="20" t="inlineStr">
        <is>
          <t>Assessment Record</t>
        </is>
      </c>
      <c r="C5" s="20" t="inlineStr">
        <is>
          <t>Management commitment assessment evidence</t>
        </is>
      </c>
      <c r="D5" s="20" t="inlineStr">
        <is>
          <t>Manager Inventory</t>
        </is>
      </c>
      <c r="E5" s="20" t="inlineStr">
        <is>
          <t>assessment_records.pdf</t>
        </is>
      </c>
      <c r="F5" s="20" t="inlineStr">
        <is>
          <t>/ISMS/Evidence/A.5.4/</t>
        </is>
      </c>
      <c r="G5" s="20" t="inlineStr">
        <is>
          <t>10.03.2026</t>
        </is>
      </c>
      <c r="H5" s="20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6" t="inlineStr">
        <is>
          <t>MANAGEMENT COMMITMENT ASSESSMENT — SUMMARY DASHBOARD</t>
        </is>
      </c>
      <c r="B1" s="6" t="n"/>
      <c r="C1" s="6" t="n"/>
      <c r="D1" s="6" t="n"/>
      <c r="E1" s="6" t="n"/>
      <c r="F1" s="6" t="n"/>
    </row>
    <row r="2">
      <c r="A2" s="21" t="inlineStr">
        <is>
          <t>ISO 27001:2022 | Control A.5.4 | Management Responsibilities | 10.03.2026</t>
        </is>
      </c>
      <c r="B2" s="6" t="n"/>
      <c r="C2" s="6" t="n"/>
      <c r="D2" s="6" t="n"/>
      <c r="E2" s="6" t="n"/>
      <c r="F2" s="6" t="n"/>
    </row>
    <row r="4">
      <c r="A4" s="22" t="inlineStr">
        <is>
          <t>TABLE 1 — MANAGER COMMITMENT SCORE DISTRIBUTION  (Source: Summary Scores — Status col G)</t>
        </is>
      </c>
      <c r="B4" s="6" t="n"/>
      <c r="C4" s="6" t="n"/>
      <c r="D4" s="6" t="n"/>
      <c r="E4" s="6" t="n"/>
      <c r="F4" s="6" t="n"/>
    </row>
    <row r="5">
      <c r="A5" s="23" t="inlineStr">
        <is>
          <t>Score Rating</t>
        </is>
      </c>
      <c r="B5" s="23" t="inlineStr">
        <is>
          <t>Score Range</t>
        </is>
      </c>
      <c r="C5" s="23" t="inlineStr">
        <is>
          <t>Count</t>
        </is>
      </c>
      <c r="D5" s="23" t="inlineStr">
        <is>
          <t>Target</t>
        </is>
      </c>
      <c r="E5" s="23" t="inlineStr">
        <is>
          <t>ISO A.5.4 Requirement</t>
        </is>
      </c>
      <c r="F5" s="23" t="inlineStr">
        <is>
          <t>Action Required</t>
        </is>
      </c>
    </row>
    <row r="6">
      <c r="A6" s="24" t="inlineStr">
        <is>
          <t>Exemplary</t>
        </is>
      </c>
      <c r="B6" s="24" t="inlineStr">
        <is>
          <t>≥ 90%</t>
        </is>
      </c>
      <c r="C6" s="24">
        <f>COUNTIF('Summary Scores'!G5:G54,"Exemplary")</f>
        <v/>
      </c>
      <c r="D6" s="24" t="inlineStr">
        <is>
          <t>≥ 50%</t>
        </is>
      </c>
      <c r="E6" s="24" t="inlineStr">
        <is>
          <t>Management fully demonstrates information security commitment</t>
        </is>
      </c>
      <c r="F6" s="24" t="inlineStr">
        <is>
          <t>Recognise and sustain</t>
        </is>
      </c>
    </row>
    <row r="7">
      <c r="A7" s="24" t="inlineStr">
        <is>
          <t>Adequate</t>
        </is>
      </c>
      <c r="B7" s="24" t="inlineStr">
        <is>
          <t>70–89%</t>
        </is>
      </c>
      <c r="C7" s="24">
        <f>COUNTIF('Summary Scores'!G5:G54,"Adequate")</f>
        <v/>
      </c>
      <c r="D7" s="24" t="inlineStr">
        <is>
          <t>All</t>
        </is>
      </c>
      <c r="E7" s="24" t="inlineStr">
        <is>
          <t>Acceptable management commitment level demonstrated</t>
        </is>
      </c>
      <c r="F7" s="24" t="inlineStr">
        <is>
          <t>Monitor and support</t>
        </is>
      </c>
    </row>
    <row r="8">
      <c r="A8" s="24" t="inlineStr">
        <is>
          <t>Improvement Needed</t>
        </is>
      </c>
      <c r="B8" s="24" t="inlineStr">
        <is>
          <t>50–69%</t>
        </is>
      </c>
      <c r="C8" s="24">
        <f>COUNTIF('Summary Scores'!G5:G54,"Improvement Needed")</f>
        <v/>
      </c>
      <c r="D8" s="24" t="inlineStr">
        <is>
          <t>0</t>
        </is>
      </c>
      <c r="E8" s="24" t="inlineStr">
        <is>
          <t>Management commitment below minimum threshold</t>
        </is>
      </c>
      <c r="F8" s="24" t="inlineStr">
        <is>
          <t>Coaching plan within 30 days</t>
        </is>
      </c>
    </row>
    <row r="9">
      <c r="A9" s="24" t="inlineStr">
        <is>
          <t>Non-Compliant</t>
        </is>
      </c>
      <c r="B9" s="24" t="inlineStr">
        <is>
          <t>&lt; 50%</t>
        </is>
      </c>
      <c r="C9" s="24">
        <f>COUNTIF('Summary Scores'!G5:G54,"Non-Compliant")</f>
        <v/>
      </c>
      <c r="D9" s="24" t="inlineStr">
        <is>
          <t>0</t>
        </is>
      </c>
      <c r="E9" s="24" t="inlineStr">
        <is>
          <t>Management commitment critically insufficient</t>
        </is>
      </c>
      <c r="F9" s="24" t="inlineStr">
        <is>
          <t>Immediate escalation</t>
        </is>
      </c>
    </row>
    <row r="10">
      <c r="A10" s="25" t="inlineStr">
        <is>
          <t>TOTAL</t>
        </is>
      </c>
      <c r="B10" s="26" t="n"/>
      <c r="C10" s="25">
        <f>SUM(C6:C9)</f>
        <v/>
      </c>
      <c r="D10" s="26" t="n"/>
      <c r="E10" s="26" t="n"/>
      <c r="F10" s="26" t="n"/>
    </row>
    <row r="12">
      <c r="A12" s="22" t="inlineStr">
        <is>
          <t>TABLE 2 — KEY MANAGEMENT COMMITMENT METRICS</t>
        </is>
      </c>
      <c r="B12" s="6" t="n"/>
      <c r="C12" s="6" t="n"/>
      <c r="D12" s="6" t="n"/>
      <c r="E12" s="6" t="n"/>
      <c r="F12" s="6" t="n"/>
    </row>
    <row r="13">
      <c r="A13" s="27" t="inlineStr">
        <is>
          <t>#</t>
        </is>
      </c>
      <c r="B13" s="27" t="inlineStr">
        <is>
          <t>KPI Metric</t>
        </is>
      </c>
      <c r="C13" s="27" t="inlineStr">
        <is>
          <t>Value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Notes</t>
        </is>
      </c>
    </row>
    <row r="14">
      <c r="A14" s="28" t="inlineStr">
        <is>
          <t>1</t>
        </is>
      </c>
      <c r="B14" s="28" t="inlineStr">
        <is>
          <t>Managers in scope (inventory)</t>
        </is>
      </c>
      <c r="C14" s="28">
        <f>COUNTA('Manager Inventory'!A5:A54)</f>
        <v/>
      </c>
      <c r="D14" s="28" t="inlineStr">
        <is>
          <t>All</t>
        </is>
      </c>
      <c r="E14" s="28" t="inlineStr">
        <is>
          <t>All managers must be inventoried and assessed per A.5.4</t>
        </is>
      </c>
      <c r="F14" s="28" t="inlineStr"/>
    </row>
    <row r="15">
      <c r="A15" s="28" t="inlineStr">
        <is>
          <t>2</t>
        </is>
      </c>
      <c r="B15" s="28" t="inlineStr">
        <is>
          <t>Assessments completed</t>
        </is>
      </c>
      <c r="C15" s="28">
        <f>COUNTIF('Manager Inventory'!I5:I54,"Complete")</f>
        <v/>
      </c>
      <c r="D15" s="28" t="inlineStr">
        <is>
          <t>100%</t>
        </is>
      </c>
      <c r="E15" s="28" t="inlineStr">
        <is>
          <t>Annual commitment assessment completion required</t>
        </is>
      </c>
      <c r="F15" s="28" t="inlineStr"/>
    </row>
    <row r="16">
      <c r="A16" s="28" t="inlineStr">
        <is>
          <t>3</t>
        </is>
      </c>
      <c r="B16" s="28" t="inlineStr">
        <is>
          <t>Assessments pending or in progress</t>
        </is>
      </c>
      <c r="C16" s="28">
        <f>COUNTIF('Manager Inventory'!I5:I54,"Pending")+COUNTIF('Manager Inventory'!I5:I54,"In Progress")</f>
        <v/>
      </c>
      <c r="D16" s="28" t="inlineStr">
        <is>
          <t>0</t>
        </is>
      </c>
      <c r="E16" s="28" t="inlineStr">
        <is>
          <t>Overdue assessments must be escalated</t>
        </is>
      </c>
      <c r="F16" s="28" t="inlineStr"/>
    </row>
    <row r="17">
      <c r="A17" s="28" t="inlineStr">
        <is>
          <t>4</t>
        </is>
      </c>
      <c r="B17" s="28" t="inlineStr">
        <is>
          <t>Exemplary managers (≥ 90% commitment)</t>
        </is>
      </c>
      <c r="C17" s="28">
        <f>COUNTIF('Summary Scores'!G5:G54,"Exemplary")</f>
        <v/>
      </c>
      <c r="D17" s="28" t="inlineStr">
        <is>
          <t>≥ 50%</t>
        </is>
      </c>
      <c r="E17" s="28" t="inlineStr">
        <is>
          <t>A.5.4: majority of managers should be exemplary</t>
        </is>
      </c>
      <c r="F17" s="28" t="inlineStr"/>
    </row>
    <row r="18">
      <c r="A18" s="28" t="inlineStr">
        <is>
          <t>5</t>
        </is>
      </c>
      <c r="B18" s="28" t="inlineStr">
        <is>
          <t>Managers below target (Improvement Needed or Non-Compliant)</t>
        </is>
      </c>
      <c r="C18" s="28">
        <f>COUNTIF('Summary Scores'!G5:G54,"Improvement Needed")+COUNTIF('Summary Scores'!G5:G54,"Non-Compliant")</f>
        <v/>
      </c>
      <c r="D18" s="28" t="inlineStr">
        <is>
          <t>0</t>
        </is>
      </c>
      <c r="E18" s="28" t="inlineStr">
        <is>
          <t>Managers below 70% require coaching or escalation</t>
        </is>
      </c>
      <c r="F18" s="28" t="inlineStr"/>
    </row>
    <row r="19">
      <c r="A19" s="28" t="inlineStr">
        <is>
          <t>6</t>
        </is>
      </c>
      <c r="B19" s="28" t="inlineStr">
        <is>
          <t>Non-compliant managers (scoring &lt; 50%)</t>
        </is>
      </c>
      <c r="C19" s="28">
        <f>COUNTIF('Summary Scores'!G5:G54,"Non-Compliant")</f>
        <v/>
      </c>
      <c r="D19" s="28" t="inlineStr">
        <is>
          <t>0</t>
        </is>
      </c>
      <c r="E19" s="28" t="inlineStr">
        <is>
          <t>Non-compliant managers must be escalated immediately</t>
        </is>
      </c>
      <c r="F19" s="28" t="inlineStr"/>
    </row>
    <row r="21">
      <c r="A21" s="29" t="inlineStr">
        <is>
          <t>TABLE 3 — CRITICAL FINDINGS REQUIRING IMMEDIATE ACTION</t>
        </is>
      </c>
      <c r="B21" s="6" t="n"/>
      <c r="C21" s="6" t="n"/>
      <c r="D21" s="6" t="n"/>
      <c r="E21" s="6" t="n"/>
      <c r="F21" s="6" t="n"/>
    </row>
    <row r="22">
      <c r="A22" s="27" t="inlineStr">
        <is>
          <t>Priority</t>
        </is>
      </c>
      <c r="B22" s="27" t="inlineStr">
        <is>
          <t>Finding</t>
        </is>
      </c>
      <c r="C22" s="27" t="inlineStr">
        <is>
          <t>Count</t>
        </is>
      </c>
      <c r="D22" s="27" t="inlineStr">
        <is>
          <t>Target</t>
        </is>
      </c>
      <c r="E22" s="27" t="inlineStr">
        <is>
          <t>ISO A.5.4 Requirement</t>
        </is>
      </c>
      <c r="F22" s="27" t="inlineStr">
        <is>
          <t>Recommended Action</t>
        </is>
      </c>
    </row>
    <row r="23">
      <c r="A23" s="28" t="inlineStr">
        <is>
          <t>CRITICAL</t>
        </is>
      </c>
      <c r="B23" s="28" t="inlineStr">
        <is>
          <t>Non-compliant managers (commitment score &lt; 50%)</t>
        </is>
      </c>
      <c r="C23" s="28">
        <f>COUNTIF('Summary Scores'!G5:G54,"Non-Compliant")</f>
        <v/>
      </c>
      <c r="D23" s="28" t="inlineStr">
        <is>
          <t>0</t>
        </is>
      </c>
      <c r="E23" s="28" t="inlineStr">
        <is>
          <t>A.5.4: management must demonstrate information security commitment</t>
        </is>
      </c>
      <c r="F23" s="28" t="inlineStr">
        <is>
          <t>Escalate to senior leadership immediately</t>
        </is>
      </c>
    </row>
    <row r="24">
      <c r="A24" s="28" t="inlineStr">
        <is>
          <t>HIGH</t>
        </is>
      </c>
      <c r="B24" s="28" t="inlineStr">
        <is>
          <t>Managers below minimum target (50–69%)</t>
        </is>
      </c>
      <c r="C24" s="28">
        <f>COUNTIF('Summary Scores'!G5:G54,"Improvement Needed")</f>
        <v/>
      </c>
      <c r="D24" s="28" t="inlineStr">
        <is>
          <t>0</t>
        </is>
      </c>
      <c r="E24" s="28" t="inlineStr">
        <is>
          <t>A.5.4: all managers must meet minimum commitment standard</t>
        </is>
      </c>
      <c r="F24" s="28" t="inlineStr">
        <is>
          <t>Coaching sessions within 30 days</t>
        </is>
      </c>
    </row>
    <row r="25">
      <c r="A25" s="28" t="inlineStr">
        <is>
          <t>MEDIUM</t>
        </is>
      </c>
      <c r="B25" s="28" t="inlineStr">
        <is>
          <t>Assessments not yet completed</t>
        </is>
      </c>
      <c r="C25" s="28">
        <f>COUNTIF('Manager Inventory'!I5:I54,"Pending")+COUNTIF('Manager Inventory'!I5:I54,"In Progress")</f>
        <v/>
      </c>
      <c r="D25" s="28" t="inlineStr">
        <is>
          <t>0</t>
        </is>
      </c>
      <c r="E25" s="28" t="inlineStr">
        <is>
          <t>Annual assessment of all managers is mandatory</t>
        </is>
      </c>
      <c r="F25" s="28" t="inlineStr">
        <is>
          <t>Complete outstanding assessments</t>
        </is>
      </c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ISMS-IMP-A.5.4.1 - Management Commitment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2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ISMS-IMP-A.5.4.1 — Management Commitment Assessment</dc:title>
  <dc:description xmlns:dc="http://purl.org/dc/elements/1.1/">ISMS Implementation Workbook — ISMS-IMP-A.5.4.1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2026-03-10T18:48:54Z</dcterms:created>
  <dcterms:modified xmlns:dcterms="http://purl.org/dc/terms/" xmlns:xsi="http://www.w3.org/2001/XMLSchema-instance" xsi:type="dcterms:W3CDTF">2026-03-10T18:48:54Z</dcterms:modified>
</cp:coreProperties>
</file>