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Response Data" sheetId="3" state="visible" r:id="rId3"/>
    <sheet xmlns:r="http://schemas.openxmlformats.org/officeDocument/2006/relationships" name="YoY Trend Analysis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ISMS-IMP-A.5.4.4  -  Security Culture Survey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ISMS-IMP-A.5.4.4</t>
        </is>
      </c>
    </row>
    <row r="5">
      <c r="A5" s="3" t="inlineStr">
        <is>
          <t>Workbook Title</t>
        </is>
      </c>
      <c r="B5" t="inlineStr">
        <is>
          <t>Security Culture Survey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Survey Questions — confirm questions cover all ISO 27001:2022 A.5.4 responsibilities.</t>
        </is>
      </c>
    </row>
    <row r="14">
      <c r="A14" t="inlineStr">
        <is>
          <t>2. Complete Response Data — enter survey responses per department and role.</t>
        </is>
      </c>
    </row>
    <row r="15">
      <c r="A15" t="inlineStr">
        <is>
          <t>3. Review YoY Trend Analysis — compare current results to prior periods.</t>
        </is>
      </c>
    </row>
    <row r="16">
      <c r="A16" t="inlineStr">
        <is>
          <t>4. Develop Action Plan — address identified culture gaps with named owners.</t>
        </is>
      </c>
    </row>
    <row r="17">
      <c r="A17" t="inlineStr">
        <is>
          <t>5. Review Executive Summary — prepare management-level findings for reporting.</t>
        </is>
      </c>
    </row>
    <row r="18">
      <c r="A18" t="inlineStr">
        <is>
          <t>6. Maintain the Evidence Register with survey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0" customWidth="1" min="4" max="4"/>
  </cols>
  <sheetData>
    <row r="1" ht="35" customHeight="1">
      <c r="A1" s="11" t="inlineStr">
        <is>
          <t>SURVEY QUESTIONS</t>
        </is>
      </c>
      <c r="B1" s="6" t="n"/>
      <c r="C1" s="6" t="n"/>
      <c r="D1" s="6" t="n"/>
    </row>
    <row r="2">
      <c r="A2" s="12" t="inlineStr">
        <is>
          <t>Standard survey questionnaire for annual security culture assessment.</t>
        </is>
      </c>
    </row>
    <row r="3">
      <c r="A3" s="13" t="inlineStr">
        <is>
          <t>Question ID</t>
        </is>
      </c>
      <c r="B3" s="13" t="inlineStr">
        <is>
          <t>Category</t>
        </is>
      </c>
      <c r="C3" s="13" t="inlineStr">
        <is>
          <t>Question Text</t>
        </is>
      </c>
      <c r="D3" s="13" t="inlineStr">
        <is>
          <t>Response Scale</t>
        </is>
      </c>
    </row>
    <row r="4">
      <c r="A4" s="14" t="inlineStr">
        <is>
          <t>Q01</t>
        </is>
      </c>
      <c r="B4" s="14" t="inlineStr">
        <is>
          <t>Leadership Commitment</t>
        </is>
      </c>
      <c r="C4" s="14" t="inlineStr">
        <is>
          <t>Management demonstrates commitment to information security</t>
        </is>
      </c>
      <c r="D4" s="14" t="inlineStr">
        <is>
          <t>1-5 (Strongly Disagree to Strongly Agree)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1" t="inlineStr">
        <is>
          <t>SURVEY RESPONSE DATA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survey responses by department.</t>
        </is>
      </c>
    </row>
    <row r="3">
      <c r="A3" s="13" t="inlineStr">
        <is>
          <t>Department</t>
        </is>
      </c>
      <c r="B3" s="13" t="inlineStr">
        <is>
          <t>Respondents</t>
        </is>
      </c>
      <c r="C3" s="13" t="inlineStr">
        <is>
          <t>Response Rate</t>
        </is>
      </c>
      <c r="D3" s="13" t="inlineStr">
        <is>
          <t>Leadership Commitment Avg</t>
        </is>
      </c>
      <c r="E3" s="13" t="inlineStr">
        <is>
          <t>Policy Awareness Avg</t>
        </is>
      </c>
      <c r="F3" s="13" t="inlineStr">
        <is>
          <t>Training Effectiveness Avg</t>
        </is>
      </c>
      <c r="G3" s="13" t="inlineStr">
        <is>
          <t>Reporting Culture Avg</t>
        </is>
      </c>
      <c r="H3" s="13" t="inlineStr">
        <is>
          <t>Personal Responsibility Avg</t>
        </is>
      </c>
      <c r="I3" s="13" t="inlineStr">
        <is>
          <t>Overall Avg</t>
        </is>
      </c>
    </row>
    <row r="4">
      <c r="A4" s="14" t="inlineStr">
        <is>
          <t>Executive</t>
        </is>
      </c>
      <c r="B4" s="14" t="inlineStr">
        <is>
          <t>12</t>
        </is>
      </c>
      <c r="C4" s="14" t="inlineStr">
        <is>
          <t>100%</t>
        </is>
      </c>
      <c r="D4" s="14" t="inlineStr">
        <is>
          <t>4.2</t>
        </is>
      </c>
      <c r="E4" s="14" t="inlineStr">
        <is>
          <t>4.2</t>
        </is>
      </c>
      <c r="F4" s="14" t="inlineStr">
        <is>
          <t>4.2</t>
        </is>
      </c>
      <c r="G4" s="14" t="inlineStr">
        <is>
          <t>4.2</t>
        </is>
      </c>
      <c r="H4" s="14" t="inlineStr">
        <is>
          <t>4.2</t>
        </is>
      </c>
      <c r="I4" s="14" t="inlineStr">
        <is>
          <t>4.2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35" customHeight="1">
      <c r="A1" s="11" t="inlineStr">
        <is>
          <t>SECURITY CULTURE SURVEY - YEAR-OVER-YEAR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Report Date: 01.03.2026</t>
        </is>
      </c>
    </row>
    <row r="3">
      <c r="A3" s="13" t="inlineStr">
        <is>
          <t>Category</t>
        </is>
      </c>
      <c r="B3" s="13" t="inlineStr">
        <is>
          <t>Year-3</t>
        </is>
      </c>
      <c r="C3" s="13" t="inlineStr">
        <is>
          <t>Year-2</t>
        </is>
      </c>
      <c r="D3" s="13" t="inlineStr">
        <is>
          <t>Year-1</t>
        </is>
      </c>
      <c r="E3" s="13" t="inlineStr">
        <is>
          <t>Current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Leadership Commitment</t>
        </is>
      </c>
      <c r="B4" s="14" t="inlineStr">
        <is>
          <t>3.9</t>
        </is>
      </c>
      <c r="C4" s="14" t="inlineStr">
        <is>
          <t>4.0</t>
        </is>
      </c>
      <c r="D4" s="14" t="inlineStr">
        <is>
          <t>4.1</t>
        </is>
      </c>
      <c r="E4" s="14" t="inlineStr">
        <is>
          <t>4.2</t>
        </is>
      </c>
      <c r="F4" s="14">
        <f>IF(AND(D4&gt;0,E4&gt;0),E4-D4,"-")</f>
        <v/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1"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 ht="35" customHeight="1">
      <c r="A1" s="11" t="inlineStr">
        <is>
          <t>SECURITY CULTURE IMPROVEMENT ACTION PLAN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Actions required for categories scoring below 70% (3.5/5.0).</t>
        </is>
      </c>
    </row>
    <row r="3">
      <c r="A3" s="13" t="inlineStr">
        <is>
          <t>Action ID</t>
        </is>
      </c>
      <c r="B3" s="13" t="inlineStr">
        <is>
          <t>Category</t>
        </is>
      </c>
      <c r="C3" s="13" t="inlineStr">
        <is>
          <t>Current Score</t>
        </is>
      </c>
      <c r="D3" s="13" t="inlineStr">
        <is>
          <t>Gap</t>
        </is>
      </c>
      <c r="E3" s="13" t="inlineStr">
        <is>
          <t>Action Required</t>
        </is>
      </c>
      <c r="F3" s="13" t="inlineStr">
        <is>
          <t>Owner</t>
        </is>
      </c>
      <c r="G3" s="13" t="inlineStr">
        <is>
          <t>Due Date</t>
        </is>
      </c>
      <c r="H3" s="13" t="inlineStr">
        <is>
          <t>Status</t>
        </is>
      </c>
    </row>
    <row r="4">
      <c r="A4" s="14" t="inlineStr">
        <is>
          <t>SCS-01</t>
        </is>
      </c>
      <c r="B4" s="14" t="inlineStr">
        <is>
          <t>Leadership Commitment</t>
        </is>
      </c>
      <c r="C4" s="14" t="inlineStr">
        <is>
          <t>4.2</t>
        </is>
      </c>
      <c r="D4" s="14">
        <f>IF(C4&gt;0,3.5-C4,"-")</f>
        <v/>
      </c>
      <c r="E4" s="14" t="inlineStr">
        <is>
          <t>No action required - above target</t>
        </is>
      </c>
      <c r="F4" s="14" t="inlineStr">
        <is>
          <t>ISMS Manager</t>
        </is>
      </c>
      <c r="G4" s="14" t="inlineStr">
        <is>
          <t>01.06.2026</t>
        </is>
      </c>
      <c r="H4" s="14" t="inlineStr">
        <is>
          <t>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1">
    <mergeCell ref="A1:H1"/>
  </mergeCells>
  <dataValidations count="1">
    <dataValidation sqref="H4:H53" showDropDown="0" showInputMessage="0" showErrorMessage="0" allowBlank="0" type="list">
      <formula1>"Not Started,In Progress,Completed,Deferred"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</cols>
  <sheetData>
    <row r="1" ht="35" customHeight="1">
      <c r="A1" s="11" t="inlineStr">
        <is>
          <t>SECURITY CULTURE SURVEY - EXECUTIVE SUMMARY</t>
        </is>
      </c>
      <c r="B1" s="6" t="n"/>
      <c r="C1" s="6" t="n"/>
      <c r="D1" s="6" t="n"/>
    </row>
    <row r="2">
      <c r="A2" s="12" t="inlineStr">
        <is>
          <t>Survey Period: [Year] | Report Date: 01.03.2026</t>
        </is>
      </c>
    </row>
    <row r="3">
      <c r="A3" s="13" t="inlineStr">
        <is>
          <t>Metric / Category</t>
        </is>
      </c>
      <c r="B3" s="13" t="inlineStr">
        <is>
          <t>Value</t>
        </is>
      </c>
      <c r="C3" s="13" t="inlineStr">
        <is>
          <t>Status</t>
        </is>
      </c>
      <c r="D3" s="13" t="inlineStr">
        <is>
          <t>Priority Action</t>
        </is>
      </c>
    </row>
    <row r="4">
      <c r="A4" s="14" t="inlineStr">
        <is>
          <t>Overall Culture Score</t>
        </is>
      </c>
      <c r="B4" s="14" t="inlineStr">
        <is>
          <t>4.2/5.0 (84%)</t>
        </is>
      </c>
      <c r="C4" s="14" t="inlineStr">
        <is>
          <t>Meets Target</t>
        </is>
      </c>
      <c r="D4" s="14" t="inlineStr">
        <is>
          <t>Maintain current programme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1">
    <mergeCell ref="A1:D1"/>
  </mergeCells>
  <dataValidations count="1">
    <dataValidation sqref="C4:C53" showDropDown="0" showInputMessage="0" showErrorMessage="0" allowBlank="0" type="list">
      <formula1>"Exceeds Target,Meets Target,Below Target,Critical"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Survey Data</t>
        </is>
      </c>
      <c r="C5" s="20" t="inlineStr">
        <is>
          <t>Security culture survey evidence</t>
        </is>
      </c>
      <c r="D5" s="20" t="inlineStr">
        <is>
          <t>Response Data</t>
        </is>
      </c>
      <c r="E5" s="20" t="inlineStr">
        <is>
          <t>survey_results.pdf</t>
        </is>
      </c>
      <c r="F5" s="20" t="inlineStr">
        <is>
          <t>/ISMS/Evidence/A.5.4/</t>
        </is>
      </c>
      <c r="G5" s="20" t="inlineStr">
        <is>
          <t>01.03.2026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SECURITY CULTURE SURVEY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01.03.2026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SECURITY CULTURE SURVEY RESULTS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SURVEY CATEGORY RESULTS — STATUS  (Source: Executive Summary col C)</t>
        </is>
      </c>
      <c r="B5" s="6" t="n"/>
      <c r="C5" s="6" t="n"/>
      <c r="D5" s="6" t="n"/>
      <c r="E5" s="6" t="n"/>
      <c r="F5" s="6" t="n"/>
    </row>
    <row r="6">
      <c r="A6" s="24" t="inlineStr">
        <is>
          <t>Category Status</t>
        </is>
      </c>
      <c r="B6" s="24" t="inlineStr">
        <is>
          <t>Score Range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 Target</t>
        </is>
      </c>
      <c r="B7" s="25" t="inlineStr">
        <is>
          <t>≥ 80% (4.0/5.0)</t>
        </is>
      </c>
      <c r="C7" s="25">
        <f>COUNTIF('Executive Summary'!C5:C54,"Exceeds Target")</f>
        <v/>
      </c>
      <c r="D7" s="25" t="inlineStr">
        <is>
          <t>Majority</t>
        </is>
      </c>
      <c r="E7" s="25" t="inlineStr">
        <is>
          <t>A.5.4: management should foster exemplary security culture</t>
        </is>
      </c>
      <c r="F7" s="25" t="inlineStr">
        <is>
          <t>Maintain programme</t>
        </is>
      </c>
    </row>
    <row r="8">
      <c r="A8" s="25" t="inlineStr">
        <is>
          <t>Meets Target</t>
        </is>
      </c>
      <c r="B8" s="25" t="inlineStr">
        <is>
          <t>70–79% (3.5/5.0)</t>
        </is>
      </c>
      <c r="C8" s="25">
        <f>COUNTIF('Executive Summary'!C5:C54,"Meets Target")</f>
        <v/>
      </c>
      <c r="D8" s="25" t="inlineStr">
        <is>
          <t>All</t>
        </is>
      </c>
      <c r="E8" s="25" t="inlineStr">
        <is>
          <t>A.5.4: all culture categories must meet minimum target</t>
        </is>
      </c>
      <c r="F8" s="25" t="inlineStr">
        <is>
          <t>Monitor and sustain</t>
        </is>
      </c>
    </row>
    <row r="9">
      <c r="A9" s="25" t="inlineStr">
        <is>
          <t>Below Target</t>
        </is>
      </c>
      <c r="B9" s="25" t="inlineStr">
        <is>
          <t>50–69% (2.5/5.0)</t>
        </is>
      </c>
      <c r="C9" s="25">
        <f>COUNTIF('Executive Summary'!C5:C54,"Below Target")</f>
        <v/>
      </c>
      <c r="D9" s="25" t="inlineStr">
        <is>
          <t>0</t>
        </is>
      </c>
      <c r="E9" s="25" t="inlineStr">
        <is>
          <t>Below-target categories require management intervention</t>
        </is>
      </c>
      <c r="F9" s="25" t="inlineStr">
        <is>
          <t>Culture improvement programme</t>
        </is>
      </c>
    </row>
    <row r="10">
      <c r="A10" s="25" t="inlineStr">
        <is>
          <t>Critical</t>
        </is>
      </c>
      <c r="B10" s="25" t="inlineStr">
        <is>
          <t>&lt; 50% (2.5/5.0)</t>
        </is>
      </c>
      <c r="C10" s="25">
        <f>COUNTIF('Executive Summary'!C5:C54,"Critical")</f>
        <v/>
      </c>
      <c r="D10" s="25" t="inlineStr">
        <is>
          <t>0</t>
        </is>
      </c>
      <c r="E10" s="25" t="inlineStr">
        <is>
          <t>Critical culture gaps indicate management failure</t>
        </is>
      </c>
      <c r="F10" s="25" t="inlineStr">
        <is>
          <t>Immediate escalation to leadership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IMPROVEMENT ACTIONS — STATUS  (Source: Action Plan col H)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Not Started</t>
        </is>
      </c>
      <c r="B14" s="25" t="inlineStr">
        <is>
          <t>Action not yet commenced</t>
        </is>
      </c>
      <c r="C14" s="25">
        <f>COUNTIF('Action Plan'!H5:H54,"Not Started")</f>
        <v/>
      </c>
      <c r="D14" s="25" t="inlineStr">
        <is>
          <t>0</t>
        </is>
      </c>
      <c r="E14" s="25" t="inlineStr">
        <is>
          <t>Actions must be commenced promptly</t>
        </is>
      </c>
      <c r="F14" s="25" t="inlineStr">
        <is>
          <t>Assign and start immediately</t>
        </is>
      </c>
    </row>
    <row r="15">
      <c r="A15" s="25" t="inlineStr">
        <is>
          <t>In Progress</t>
        </is>
      </c>
      <c r="B15" s="25" t="inlineStr">
        <is>
          <t>Action under active work</t>
        </is>
      </c>
      <c r="C15" s="25">
        <f>COUNTIF('Action Plan'!H5:H54,"In Progress")</f>
        <v/>
      </c>
      <c r="D15" s="25" t="inlineStr">
        <is>
          <t>All</t>
        </is>
      </c>
      <c r="E15" s="25" t="inlineStr">
        <is>
          <t>In-progress actions must meet due dates</t>
        </is>
      </c>
      <c r="F15" s="25" t="inlineStr">
        <is>
          <t>Monitor against due dates</t>
        </is>
      </c>
    </row>
    <row r="16">
      <c r="A16" s="25" t="inlineStr">
        <is>
          <t>Completed</t>
        </is>
      </c>
      <c r="B16" s="25" t="inlineStr">
        <is>
          <t>Action successfully closed</t>
        </is>
      </c>
      <c r="C16" s="25">
        <f>COUNTIF('Action Plan'!H5:H54,"Completed")</f>
        <v/>
      </c>
      <c r="D16" s="25" t="inlineStr">
        <is>
          <t>All</t>
        </is>
      </c>
      <c r="E16" s="25" t="inlineStr">
        <is>
          <t>Completion demonstrates management commitment</t>
        </is>
      </c>
      <c r="F16" s="25" t="inlineStr">
        <is>
          <t>Archive and verify</t>
        </is>
      </c>
    </row>
    <row r="17">
      <c r="A17" s="25" t="inlineStr">
        <is>
          <t>Deferred</t>
        </is>
      </c>
      <c r="B17" s="25" t="inlineStr">
        <is>
          <t>Action postponed</t>
        </is>
      </c>
      <c r="C17" s="25">
        <f>COUNTIF('Action Plan'!H5:H54,"Deferred")</f>
        <v/>
      </c>
      <c r="D17" s="25" t="inlineStr">
        <is>
          <t>0</t>
        </is>
      </c>
      <c r="E17" s="25" t="inlineStr">
        <is>
          <t>Deferrals should be justified and time-limited</t>
        </is>
      </c>
      <c r="F17" s="25" t="inlineStr">
        <is>
          <t>Review and re-schedule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SECURITY CULTURE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Survey response data sets (departments)</t>
        </is>
      </c>
      <c r="C22" s="29">
        <f>COUNTA('Response Data'!A5:A54)</f>
        <v/>
      </c>
      <c r="D22" s="29" t="inlineStr">
        <is>
          <t>All</t>
        </is>
      </c>
      <c r="E22" s="29" t="inlineStr">
        <is>
          <t>All departments must participate in the annual culture survey</t>
        </is>
      </c>
      <c r="F22" s="29" t="inlineStr"/>
    </row>
    <row r="23">
      <c r="A23" s="29" t="inlineStr">
        <is>
          <t>2</t>
        </is>
      </c>
      <c r="B23" s="29" t="inlineStr">
        <is>
          <t>Categories meeting or exceeding target</t>
        </is>
      </c>
      <c r="C23" s="29">
        <f>COUNTIF('Executive Summary'!C5:C54,"Exceeds Target")+COUNTIF('Executive Summary'!C5:C54,"Meets Target")</f>
        <v/>
      </c>
      <c r="D23" s="29" t="inlineStr">
        <is>
          <t>All</t>
        </is>
      </c>
      <c r="E23" s="29" t="inlineStr">
        <is>
          <t>A.5.4: all culture categories must meet minimum 70% target</t>
        </is>
      </c>
      <c r="F23" s="29" t="inlineStr"/>
    </row>
    <row r="24">
      <c r="A24" s="29" t="inlineStr">
        <is>
          <t>3</t>
        </is>
      </c>
      <c r="B24" s="29" t="inlineStr">
        <is>
          <t>Categories below target (Below Target or Critical)</t>
        </is>
      </c>
      <c r="C24" s="29">
        <f>COUNTIF('Executive Summary'!C5:C54,"Below Target")+COUNTIF('Executive Summary'!C5:C54,"Critical")</f>
        <v/>
      </c>
      <c r="D24" s="29" t="inlineStr">
        <is>
          <t>0</t>
        </is>
      </c>
      <c r="E24" s="29" t="inlineStr">
        <is>
          <t>Below-target culture areas require management intervention</t>
        </is>
      </c>
      <c r="F24" s="29" t="inlineStr"/>
    </row>
    <row r="25">
      <c r="A25" s="29" t="inlineStr">
        <is>
          <t>4</t>
        </is>
      </c>
      <c r="B25" s="29" t="inlineStr">
        <is>
          <t>Critical culture categories (&lt; 50%)</t>
        </is>
      </c>
      <c r="C25" s="29">
        <f>COUNTIF('Executive Summary'!C5:C54,"Critical")</f>
        <v/>
      </c>
      <c r="D25" s="29" t="inlineStr">
        <is>
          <t>0</t>
        </is>
      </c>
      <c r="E25" s="29" t="inlineStr">
        <is>
          <t>Critical gaps indicate systemic management failure in A.5.4</t>
        </is>
      </c>
      <c r="F25" s="29" t="inlineStr"/>
    </row>
    <row r="26">
      <c r="A26" s="29" t="inlineStr">
        <is>
          <t>5</t>
        </is>
      </c>
      <c r="B26" s="29" t="inlineStr">
        <is>
          <t>Year-over-year improving trends</t>
        </is>
      </c>
      <c r="C26" s="29">
        <f>COUNTIF('YoY Trend Analysis'!G5:G54,"Improving")</f>
        <v/>
      </c>
      <c r="D26" s="29" t="inlineStr">
        <is>
          <t>Majority</t>
        </is>
      </c>
      <c r="E26" s="29" t="inlineStr">
        <is>
          <t>Positive trend demonstrates A.5.4 management effectiveness</t>
        </is>
      </c>
      <c r="F26" s="29" t="inlineStr"/>
    </row>
    <row r="27">
      <c r="A27" s="29" t="inlineStr">
        <is>
          <t>6</t>
        </is>
      </c>
      <c r="B27" s="29" t="inlineStr">
        <is>
          <t>Year-over-year declining trends</t>
        </is>
      </c>
      <c r="C27" s="29">
        <f>COUNTIF('YoY Trend Analysis'!G5:G54,"Declining")</f>
        <v/>
      </c>
      <c r="D27" s="29" t="inlineStr">
        <is>
          <t>0</t>
        </is>
      </c>
      <c r="E27" s="29" t="inlineStr">
        <is>
          <t>Declining trends require management review and corrective action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Critical culture categories (satisfaction &lt; 50%)</t>
        </is>
      </c>
      <c r="C31" s="29">
        <f>COUNTIF('Executive Summary'!C5:C54,"Critical")</f>
        <v/>
      </c>
      <c r="D31" s="29" t="inlineStr">
        <is>
          <t>0</t>
        </is>
      </c>
      <c r="E31" s="29" t="inlineStr">
        <is>
          <t>A.5.4: management must foster a positive security culture</t>
        </is>
      </c>
      <c r="F31" s="29" t="inlineStr">
        <is>
          <t>Immediate executive intervention and culture programme review</t>
        </is>
      </c>
    </row>
    <row r="32">
      <c r="A32" s="29" t="inlineStr">
        <is>
          <t>HIGH</t>
        </is>
      </c>
      <c r="B32" s="29" t="inlineStr">
        <is>
          <t>Below-target culture categories</t>
        </is>
      </c>
      <c r="C32" s="29">
        <f>COUNTIF('Executive Summary'!C5:C54,"Below Target")</f>
        <v/>
      </c>
      <c r="D32" s="29" t="inlineStr">
        <is>
          <t>0</t>
        </is>
      </c>
      <c r="E32" s="29" t="inlineStr">
        <is>
          <t>A.5.4: all culture dimensions must meet minimum 70% target</t>
        </is>
      </c>
      <c r="F32" s="29" t="inlineStr">
        <is>
          <t>Targeted awareness and leadership engagement programme</t>
        </is>
      </c>
    </row>
    <row r="33">
      <c r="A33" s="29" t="inlineStr">
        <is>
          <t>HIGH</t>
        </is>
      </c>
      <c r="B33" s="29" t="inlineStr">
        <is>
          <t>Improvement actions not started</t>
        </is>
      </c>
      <c r="C33" s="29">
        <f>COUNTIF('Action Plan'!H5:H54,"Not Started")</f>
        <v/>
      </c>
      <c r="D33" s="29" t="inlineStr">
        <is>
          <t>0</t>
        </is>
      </c>
      <c r="E33" s="29" t="inlineStr">
        <is>
          <t>Identified culture gaps must have active improvement actions</t>
        </is>
      </c>
      <c r="F33" s="29" t="inlineStr">
        <is>
          <t>Assign owners and commence actions immediately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ISMS-IMP-A.5.4.4 - Security Culture Survey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ISMS-IMP-A.5.4.4 — Security Culture Survey</dc:title>
  <dc:description xmlns:dc="http://purl.org/dc/elements/1.1/">ISMS Implementation Workbook — ISMS-IMP-A.5.4.4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2026-03-01T11:11:30Z</dcterms:created>
  <dcterms:modified xmlns:dcterms="http://purl.org/dc/terms/" xmlns:xsi="http://www.w3.org/2001/XMLSchema-instance" xsi:type="dcterms:W3CDTF">2026-03-01T11:11:30Z</dcterms:modified>
</cp:coreProperties>
</file>