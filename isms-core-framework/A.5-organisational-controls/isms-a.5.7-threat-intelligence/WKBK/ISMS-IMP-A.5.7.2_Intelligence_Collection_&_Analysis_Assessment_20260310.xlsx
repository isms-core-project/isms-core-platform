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Intelligence Requirements" sheetId="2" state="visible" r:id="rId2"/>
    <sheet xmlns:r="http://schemas.openxmlformats.org/officeDocument/2006/relationships" name="Collection Sources" sheetId="3" state="visible" r:id="rId3"/>
    <sheet xmlns:r="http://schemas.openxmlformats.org/officeDocument/2006/relationships" name="Raw Intelligence Log" sheetId="4" state="visible" r:id="rId4"/>
    <sheet xmlns:r="http://schemas.openxmlformats.org/officeDocument/2006/relationships" name="Intelligence Production" sheetId="5" state="visible" r:id="rId5"/>
    <sheet xmlns:r="http://schemas.openxmlformats.org/officeDocument/2006/relationships" name="MITRE Mapping" sheetId="6" state="visible" r:id="rId6"/>
    <sheet xmlns:r="http://schemas.openxmlformats.org/officeDocument/2006/relationships" name="Quality Metrics" sheetId="7" state="visible" r:id="rId7"/>
    <sheet xmlns:r="http://schemas.openxmlformats.org/officeDocument/2006/relationships" name="Process Maturity" sheetId="8" state="visible" r:id="rId8"/>
    <sheet xmlns:r="http://schemas.openxmlformats.org/officeDocument/2006/relationships" name="Action Items" sheetId="9" state="visible" r:id="rId9"/>
    <sheet xmlns:r="http://schemas.openxmlformats.org/officeDocument/2006/relationships" name="Analysis Tools" sheetId="10" state="visible" r:id="rId10"/>
    <sheet xmlns:r="http://schemas.openxmlformats.org/officeDocument/2006/relationships" name="Threat Actor Profiles" sheetId="11" state="visible" r:id="rId11"/>
    <sheet xmlns:r="http://schemas.openxmlformats.org/officeDocument/2006/relationships" name="Campaign Tracking" sheetId="12" state="visible" r:id="rId12"/>
    <sheet xmlns:r="http://schemas.openxmlformats.org/officeDocument/2006/relationships" name="Evidence Register" sheetId="13" state="visible" r:id="rId13"/>
    <sheet xmlns:r="http://schemas.openxmlformats.org/officeDocument/2006/relationships" name="Summary Dashboard" sheetId="14" state="visible" r:id="rId14"/>
    <sheet xmlns:r="http://schemas.openxmlformats.org/officeDocument/2006/relationships" name="Approval Sign-Off" sheetId="15" state="visible" r:id="rId15"/>
  </sheets>
  <definedNames/>
  <calcPr calcId="124519" fullCalcOnLoad="1"/>
</workbook>
</file>

<file path=xl/styles.xml><?xml version="1.0" encoding="utf-8"?>
<styleSheet xmlns="http://schemas.openxmlformats.org/spreadsheetml/2006/main">
  <numFmts count="4">
    <numFmt numFmtId="164" formatCode="DD.MM.YYYY"/>
    <numFmt numFmtId="165" formatCode="HH:MM"/>
    <numFmt numFmtId="166" formatCode="0.0"/>
    <numFmt numFmtId="167" formatCode="0.0%"/>
  </numFmts>
  <fonts count="15">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color rgb="00003366"/>
      <sz val="10"/>
    </font>
    <font>
      <name val="Calibri"/>
      <b val="1"/>
      <color rgb="00FFFFFF"/>
      <sz val="11"/>
    </font>
    <font>
      <name val="Calibri"/>
      <sz val="10"/>
    </font>
    <font>
      <name val="Calibri"/>
      <i val="1"/>
      <color rgb="00666666"/>
      <sz val="9"/>
    </font>
    <font>
      <name val="Calibri"/>
      <b val="1"/>
      <color rgb="00FFFFFF"/>
      <sz val="10"/>
    </font>
    <font>
      <name val="Calibri"/>
      <b val="1"/>
      <color rgb="00FFFFFF"/>
      <sz val="12"/>
    </font>
    <font>
      <name val="Calibri"/>
      <b val="1"/>
      <color rgb="00000000"/>
      <sz val="10"/>
    </font>
    <font>
      <name val="Calibri"/>
      <color rgb="00000000"/>
    </font>
    <font>
      <name val="Calibri"/>
      <b val="1"/>
      <color rgb="00000000"/>
    </font>
    <font>
      <name val="Calibri"/>
      <b val="1"/>
      <sz val="11"/>
    </font>
  </fonts>
  <fills count="17">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patternFill>
    </fill>
    <fill>
      <patternFill patternType="solid">
        <fgColor rgb="004472C4"/>
        <bgColor rgb="004472C4"/>
      </patternFill>
    </fill>
    <fill>
      <patternFill patternType="solid">
        <fgColor rgb="00FFFFCC"/>
        <bgColor rgb="00FFFFCC"/>
      </patternFill>
    </fill>
    <fill>
      <patternFill patternType="solid">
        <fgColor rgb="00F2F2F2"/>
        <bgColor rgb="00F2F2F2"/>
      </patternFill>
    </fill>
    <fill>
      <patternFill patternType="solid">
        <fgColor rgb="004472C4"/>
      </patternFill>
    </fill>
    <fill>
      <patternFill patternType="solid">
        <fgColor rgb="00FFFFFF"/>
      </patternFill>
    </fill>
    <fill>
      <patternFill patternType="solid">
        <fgColor rgb="00C00000"/>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66">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horizontal="left" vertical="center" wrapText="1"/>
    </xf>
    <xf numFmtId="0" fontId="4" fillId="9" borderId="1" applyAlignment="1" pivotButton="0" quotePrefix="0" xfId="0">
      <alignment horizontal="center" vertical="center" wrapText="1"/>
    </xf>
    <xf numFmtId="0" fontId="0" fillId="10" borderId="1" pivotButton="0" quotePrefix="0" xfId="0"/>
    <xf numFmtId="0" fontId="0" fillId="4" borderId="1" pivotButton="0" quotePrefix="0" xfId="0"/>
    <xf numFmtId="164" fontId="0" fillId="3" borderId="1" pivotButton="0" quotePrefix="0" xfId="0"/>
    <xf numFmtId="0" fontId="6" fillId="11" borderId="0" pivotButton="0" quotePrefix="0" xfId="0"/>
    <xf numFmtId="0" fontId="4" fillId="0" borderId="0" pivotButton="0" quotePrefix="0" xfId="0"/>
    <xf numFmtId="4" fontId="0" fillId="3" borderId="1" pivotButton="0" quotePrefix="0" xfId="0"/>
    <xf numFmtId="164" fontId="0" fillId="12" borderId="1" pivotButton="0" quotePrefix="0" xfId="0"/>
    <xf numFmtId="165" fontId="0" fillId="12" borderId="1" pivotButton="0" quotePrefix="0" xfId="0"/>
    <xf numFmtId="0" fontId="0" fillId="12" borderId="1" pivotButton="0" quotePrefix="0" xfId="0"/>
    <xf numFmtId="1" fontId="0" fillId="12" borderId="1" pivotButton="0" quotePrefix="0" xfId="0"/>
    <xf numFmtId="9" fontId="0" fillId="12" borderId="1" pivotButton="0" quotePrefix="0" xfId="0"/>
    <xf numFmtId="166" fontId="0" fillId="12" borderId="1" pivotButton="0" quotePrefix="0" xfId="0"/>
    <xf numFmtId="166" fontId="4" fillId="0" borderId="0" pivotButton="0" quotePrefix="0" xfId="0"/>
    <xf numFmtId="9" fontId="4" fillId="0" borderId="0" pivotButton="0" quotePrefix="0" xfId="0"/>
    <xf numFmtId="164" fontId="0" fillId="10" borderId="1" pivotButton="0" quotePrefix="0" xfId="0"/>
    <xf numFmtId="0" fontId="0" fillId="9" borderId="1" pivotButton="0" quotePrefix="0" xfId="0"/>
    <xf numFmtId="0" fontId="4" fillId="12" borderId="1" pivotButton="0" quotePrefix="0" xfId="0"/>
    <xf numFmtId="0" fontId="6" fillId="11" borderId="1" pivotButton="0" quotePrefix="0" xfId="0"/>
    <xf numFmtId="0" fontId="7" fillId="0" borderId="0" pivotButton="0" quotePrefix="0" xfId="0"/>
    <xf numFmtId="0" fontId="8" fillId="10" borderId="1" pivotButton="0" quotePrefix="0" xfId="0"/>
    <xf numFmtId="166" fontId="0" fillId="9" borderId="1" pivotButton="0" quotePrefix="0" xfId="0"/>
    <xf numFmtId="0" fontId="1" fillId="8" borderId="1" applyAlignment="1" pivotButton="0" quotePrefix="0" xfId="0">
      <alignment horizontal="center" vertical="center"/>
    </xf>
    <xf numFmtId="0" fontId="5" fillId="0" borderId="1" applyAlignment="1" pivotButton="0" quotePrefix="0" xfId="0">
      <alignment horizontal="left" vertical="center"/>
    </xf>
    <xf numFmtId="0" fontId="9" fillId="8" borderId="1" applyAlignment="1" pivotButton="0" quotePrefix="0" xfId="0">
      <alignment horizontal="center" vertical="center" wrapText="1"/>
    </xf>
    <xf numFmtId="0" fontId="7" fillId="13" borderId="1" applyAlignment="1" pivotButton="0" quotePrefix="0" xfId="0">
      <alignment horizontal="center" vertical="center" wrapText="1"/>
    </xf>
    <xf numFmtId="0" fontId="7" fillId="13" borderId="1" applyAlignment="1" pivotButton="0" quotePrefix="0" xfId="0">
      <alignment horizontal="left" vertical="center" wrapText="1"/>
    </xf>
    <xf numFmtId="0" fontId="0" fillId="12" borderId="1" applyAlignment="1" pivotButton="0" quotePrefix="0" xfId="0">
      <alignment horizontal="center" vertical="center" wrapText="1"/>
    </xf>
    <xf numFmtId="0" fontId="0" fillId="12" borderId="1" applyAlignment="1" pivotButton="0" quotePrefix="0" xfId="0">
      <alignment horizontal="left" vertical="center" wrapText="1"/>
    </xf>
    <xf numFmtId="0" fontId="1" fillId="2" borderId="1" applyAlignment="1" pivotButton="0" quotePrefix="0" xfId="0">
      <alignment horizontal="center" vertical="center" wrapText="1"/>
    </xf>
    <xf numFmtId="0" fontId="5" fillId="0" borderId="0" applyAlignment="1" pivotButton="0" quotePrefix="0" xfId="0">
      <alignment horizontal="left" vertical="center"/>
    </xf>
    <xf numFmtId="0" fontId="10" fillId="2" borderId="1" applyAlignment="1" pivotButton="0" quotePrefix="0" xfId="0">
      <alignment horizontal="left" vertical="center"/>
    </xf>
    <xf numFmtId="0" fontId="9" fillId="14" borderId="1" applyAlignment="1" pivotButton="0" quotePrefix="0" xfId="0">
      <alignment horizontal="left" vertical="center"/>
    </xf>
    <xf numFmtId="0" fontId="11" fillId="4" borderId="1" applyAlignment="1" pivotButton="0" quotePrefix="0" xfId="0">
      <alignment horizontal="center" vertical="center"/>
    </xf>
    <xf numFmtId="0" fontId="12" fillId="3" borderId="1" applyAlignment="1" pivotButton="0" quotePrefix="0" xfId="0">
      <alignment horizontal="left" vertical="center" wrapText="1"/>
    </xf>
    <xf numFmtId="0" fontId="12" fillId="3" borderId="1" applyAlignment="1" pivotButton="0" quotePrefix="0" xfId="0">
      <alignment horizontal="center" vertical="center" wrapText="1"/>
    </xf>
    <xf numFmtId="0" fontId="13" fillId="4" borderId="1" applyAlignment="1" pivotButton="0" quotePrefix="0" xfId="0">
      <alignment horizontal="left" vertical="center" wrapText="1"/>
    </xf>
    <xf numFmtId="0" fontId="12" fillId="4" borderId="1" applyAlignment="1" pivotButton="0" quotePrefix="0" xfId="0">
      <alignment horizontal="center" vertical="center" wrapText="1"/>
    </xf>
    <xf numFmtId="0" fontId="0" fillId="15" borderId="0" pivotButton="0" quotePrefix="0" xfId="0"/>
    <xf numFmtId="0" fontId="0" fillId="0" borderId="4" pivotButton="0" quotePrefix="0" xfId="0"/>
    <xf numFmtId="0" fontId="0" fillId="0" borderId="5" pivotButton="0" quotePrefix="0" xfId="0"/>
    <xf numFmtId="0" fontId="12" fillId="15" borderId="1" applyAlignment="1" pivotButton="0" quotePrefix="0" xfId="0">
      <alignment horizontal="left" vertical="center" wrapText="1"/>
    </xf>
    <xf numFmtId="0" fontId="12" fillId="15" borderId="1" applyAlignment="1" pivotButton="0" quotePrefix="0" xfId="0">
      <alignment horizontal="center" vertical="center"/>
    </xf>
    <xf numFmtId="0" fontId="10" fillId="16" borderId="1" applyAlignment="1" pivotButton="0" quotePrefix="0" xfId="0">
      <alignment horizontal="left" vertical="center"/>
    </xf>
    <xf numFmtId="0" fontId="13" fillId="3" borderId="1" applyAlignment="1" pivotButton="0" quotePrefix="0" xfId="0">
      <alignment horizontal="left" vertical="center" wrapText="1"/>
    </xf>
    <xf numFmtId="0" fontId="12" fillId="3" borderId="1" applyAlignment="1" pivotButton="0" quotePrefix="0" xfId="0">
      <alignment horizontal="center" vertical="center"/>
    </xf>
    <xf numFmtId="0" fontId="1" fillId="8" borderId="1" applyAlignment="1" pivotButton="0" quotePrefix="0" xfId="0">
      <alignment horizontal="center" vertical="center" wrapText="1"/>
    </xf>
    <xf numFmtId="0" fontId="5" fillId="0" borderId="1" applyAlignment="1" pivotButton="0" quotePrefix="0" xfId="0">
      <alignment horizontal="center" vertical="center"/>
    </xf>
    <xf numFmtId="0" fontId="6" fillId="11" borderId="1" applyAlignment="1" pivotButton="0" quotePrefix="0" xfId="0">
      <alignment horizontal="left" vertical="center"/>
    </xf>
    <xf numFmtId="0" fontId="4" fillId="0" borderId="1" pivotButton="0" quotePrefix="0" xfId="0"/>
    <xf numFmtId="167" fontId="0" fillId="12" borderId="1" pivotButton="0" quotePrefix="0" xfId="0"/>
    <xf numFmtId="0" fontId="6" fillId="8" borderId="1" applyAlignment="1" pivotButton="0" quotePrefix="0" xfId="0">
      <alignment horizontal="left" vertical="center"/>
    </xf>
    <xf numFmtId="0" fontId="14" fillId="0" borderId="1" pivotButton="0" quotePrefix="0" xfId="0"/>
  </cellXfs>
  <cellStyles count="1">
    <cellStyle name="Normal" xfId="0" builtinId="0" hidden="0"/>
  </cellStyles>
  <dxfs count="5">
    <dxf>
      <fill>
        <patternFill patternType="solid">
          <fgColor rgb="00FFC7CE"/>
          <bgColor rgb="00FFC7CE"/>
        </patternFill>
      </fill>
    </dxf>
    <dxf>
      <fill>
        <patternFill patternType="solid">
          <fgColor rgb="00FFEB9C"/>
          <bgColor rgb="00FFEB9C"/>
        </patternFill>
      </fill>
    </dxf>
    <dxf>
      <fill>
        <patternFill patternType="solid">
          <fgColor rgb="00C6EFCE"/>
          <bgColor rgb="00C6EFCE"/>
        </patternFill>
      </fill>
    </dxf>
    <dxf>
      <fill>
        <patternFill patternType="solid">
          <fgColor rgb="00D9D9D9"/>
          <bgColor rgb="00D9D9D9"/>
        </patternFill>
      </fill>
    </dxf>
    <dxf>
      <font>
        <b val="1"/>
      </font>
      <fill>
        <patternFill patternType="solid">
          <fgColor rgb="00FFC7CE"/>
          <b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4"/>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ISMS-IMP-A.5.7.2  -  Intelligence Collection &amp; Analysis Assessment
ISO/IEC 27001:2022 - Control A.5.7: Threat Intelligence</t>
        </is>
      </c>
    </row>
    <row r="3">
      <c r="A3" s="2" t="inlineStr">
        <is>
          <t>Document Information</t>
        </is>
      </c>
    </row>
    <row r="4">
      <c r="A4" s="3" t="inlineStr">
        <is>
          <t>Document ID</t>
        </is>
      </c>
      <c r="B4" t="inlineStr">
        <is>
          <t>ISMS-IMP-A.5.7.2</t>
        </is>
      </c>
    </row>
    <row r="5">
      <c r="A5" s="3" t="inlineStr">
        <is>
          <t>Workbook Title</t>
        </is>
      </c>
      <c r="B5" t="inlineStr">
        <is>
          <t>Intelligence Collection &amp; Analysis Assessment</t>
        </is>
      </c>
    </row>
    <row r="6">
      <c r="A6" s="3" t="inlineStr">
        <is>
          <t>Control Reference</t>
        </is>
      </c>
      <c r="B6" t="inlineStr">
        <is>
          <t>ISO/IEC 27001:2022 - Control A.5.7: Threat Intelligence</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Define intelligence requirements (PIRs/SIRs) in the Intelligence Requirements sheet — align each requirement to a specific threat scenario, business process, or risk.</t>
        </is>
      </c>
    </row>
    <row r="14">
      <c r="A14" t="inlineStr">
        <is>
          <t>2. Map collection activities to each requirement in the Collection Plan sheet — identify responsible owners, collection methods, sources, and frequency.</t>
        </is>
      </c>
    </row>
    <row r="15">
      <c r="A15" t="inlineStr">
        <is>
          <t>3. Record processed intelligence findings in the Analysis Records sheet — document source, confidence level, threat actor attribution, and recommended defensive actions.</t>
        </is>
      </c>
    </row>
    <row r="16">
      <c r="A16" t="inlineStr">
        <is>
          <t>4. Document all intelligence sharing activities in the Sharing Records sheet — include recipient organisation, format, TLP classification, and date shared.</t>
        </is>
      </c>
    </row>
    <row r="17">
      <c r="A17" t="inlineStr">
        <is>
          <t>5. Apply TLP labels (TLP:RED, TLP:AMBER, TLP:GREEN, TLP:CLEAR) to all intelligence products before dissemination to internal or external recipients.</t>
        </is>
      </c>
    </row>
    <row r="18">
      <c r="A18" t="inlineStr">
        <is>
          <t>6. Ensure all shared intelligence includes provenance information, confidence ratings, and handling restrictions as required by your sharing agreements.</t>
        </is>
      </c>
    </row>
    <row r="19">
      <c r="A19" t="inlineStr">
        <is>
          <t>7. Maintain the Evidence Register with analysis reports, intelligence products, sharing agreements, and dissemination logs.</t>
        </is>
      </c>
    </row>
    <row r="20">
      <c r="A20" t="inlineStr">
        <is>
          <t>8. Obtain sign-off from the Threat Intelligence Manager, Information Security Officer, and Legal (for external sharing arrangements).</t>
        </is>
      </c>
    </row>
    <row r="22">
      <c r="A22" s="2" t="inlineStr">
        <is>
          <t>Status Legend</t>
        </is>
      </c>
    </row>
    <row r="23">
      <c r="A23" s="5" t="inlineStr">
        <is>
          <t>Symbol</t>
        </is>
      </c>
      <c r="B23" s="5" t="inlineStr">
        <is>
          <t>Status</t>
        </is>
      </c>
      <c r="C23" s="5" t="inlineStr">
        <is>
          <t>Description</t>
        </is>
      </c>
    </row>
    <row r="24">
      <c r="A24" s="6" t="inlineStr">
        <is>
          <t>✓</t>
        </is>
      </c>
      <c r="B24" s="7" t="inlineStr">
        <is>
          <t>Compliant / Complete</t>
        </is>
      </c>
      <c r="C24" s="8" t="inlineStr">
        <is>
          <t>Requirement fully met</t>
        </is>
      </c>
    </row>
    <row r="25">
      <c r="A25" s="6" t="inlineStr">
        <is>
          <t>⚠</t>
        </is>
      </c>
      <c r="B25" s="9" t="inlineStr">
        <is>
          <t>Partial / In Progress</t>
        </is>
      </c>
      <c r="C25" s="8" t="inlineStr">
        <is>
          <t>Partially met or in progress</t>
        </is>
      </c>
    </row>
    <row r="26">
      <c r="A26" s="6" t="inlineStr">
        <is>
          <t>✗</t>
        </is>
      </c>
      <c r="B26" s="10" t="inlineStr">
        <is>
          <t>Non-Compliant / Not Started</t>
        </is>
      </c>
      <c r="C26" s="8" t="inlineStr">
        <is>
          <t>Requirement not met</t>
        </is>
      </c>
    </row>
    <row r="27">
      <c r="A27" s="6" t="inlineStr">
        <is>
          <t>—</t>
        </is>
      </c>
      <c r="B27" s="8" t="inlineStr">
        <is>
          <t>Not Applicable</t>
        </is>
      </c>
      <c r="C27" s="8" t="inlineStr">
        <is>
          <t>Not applicable to this assessment</t>
        </is>
      </c>
    </row>
    <row r="29">
      <c r="A29" s="2" t="inlineStr">
        <is>
          <t>Acceptable Evidence (examples)</t>
        </is>
      </c>
    </row>
    <row r="30">
      <c r="A30" t="inlineStr">
        <is>
          <t>✓ Intelligence requirements documentation (PIR / SIR register)</t>
        </is>
      </c>
    </row>
    <row r="31">
      <c r="A31" t="inlineStr">
        <is>
          <t>✓ Intelligence collection and analysis reports</t>
        </is>
      </c>
    </row>
    <row r="32">
      <c r="A32" t="inlineStr">
        <is>
          <t>✓ TLP-marked intelligence products disseminated internally or externally</t>
        </is>
      </c>
    </row>
    <row r="33">
      <c r="A33" t="inlineStr">
        <is>
          <t>✓ Sharing agreements with ISACs, sector partners, or government bodies</t>
        </is>
      </c>
    </row>
    <row r="34">
      <c r="A34" t="inlineStr">
        <is>
          <t>✓ Dissemination records and recipient acknowledgement logs</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63"/>
  <sheetViews>
    <sheetView showGridLines="0" workbookViewId="0">
      <pane ySplit="3" topLeftCell="A4" activePane="bottomLeft" state="frozen"/>
      <selection pane="bottomLeft" activeCell="A1" sqref="A1"/>
    </sheetView>
  </sheetViews>
  <sheetFormatPr baseColWidth="8" defaultRowHeight="15"/>
  <cols>
    <col width="15" customWidth="1" min="1" max="1"/>
    <col width="15" customWidth="1" min="2" max="2"/>
    <col width="40" customWidth="1" min="3" max="3"/>
    <col width="12" customWidth="1" min="4" max="4"/>
    <col width="18" customWidth="1" min="5" max="5"/>
    <col width="15" customWidth="1" min="6" max="6"/>
    <col width="20" customWidth="1" min="7" max="7"/>
    <col width="15" customWidth="1" min="8" max="8"/>
    <col width="15" customWidth="1" min="9" max="9"/>
    <col width="15" customWidth="1" min="10" max="10"/>
    <col width="18" customWidth="1" min="11" max="11"/>
    <col width="15" customWidth="1" min="12" max="12"/>
    <col width="18" customWidth="1" min="13" max="13"/>
    <col width="14" customWidth="1" min="14" max="14"/>
    <col width="14" customWidth="1" min="15" max="15"/>
    <col width="30" customWidth="1" min="16" max="16"/>
    <col width="25" customWidth="1" min="17" max="17"/>
    <col width="30" customWidth="1" min="18" max="18"/>
  </cols>
  <sheetData>
    <row r="1" ht="35" customHeight="1">
      <c r="A1" s="11" t="inlineStr">
        <is>
          <t>INTELLIGENCE REQUIREMENTS (PIR/SIR/IR)</t>
        </is>
      </c>
    </row>
    <row r="2">
      <c r="A2" s="12" t="inlineStr">
        <is>
          <t>Document all intelligence requirements (PIRs, SIRs, IRs). Map sources from A.5.7.1. Identify coverage gaps.</t>
        </is>
      </c>
    </row>
    <row r="4">
      <c r="A4" s="13" t="inlineStr">
        <is>
          <t>Requirement ID</t>
        </is>
      </c>
      <c r="B4" s="13" t="inlineStr">
        <is>
          <t>Intelligence Type</t>
        </is>
      </c>
      <c r="C4" s="13" t="inlineStr">
        <is>
          <t>Requirement Description</t>
        </is>
      </c>
      <c r="D4" s="13" t="inlineStr">
        <is>
          <t>Priority</t>
        </is>
      </c>
      <c r="E4" s="13" t="inlineStr">
        <is>
          <t>Target Sector</t>
        </is>
      </c>
      <c r="F4" s="13" t="inlineStr">
        <is>
          <t>Target Region</t>
        </is>
      </c>
      <c r="G4" s="13" t="inlineStr">
        <is>
          <t>Threat Category</t>
        </is>
      </c>
      <c r="H4" s="13" t="inlineStr">
        <is>
          <t>Collection Source 1</t>
        </is>
      </c>
      <c r="I4" s="13" t="inlineStr">
        <is>
          <t>Collection Source 2</t>
        </is>
      </c>
      <c r="J4" s="13" t="inlineStr">
        <is>
          <t>Collection Source 3</t>
        </is>
      </c>
      <c r="K4" s="13" t="inlineStr">
        <is>
          <t>Collection Method</t>
        </is>
      </c>
      <c r="L4" s="13" t="inlineStr">
        <is>
          <t>Coverage Status</t>
        </is>
      </c>
      <c r="M4" s="13" t="inlineStr">
        <is>
          <t>Collection Frequency</t>
        </is>
      </c>
      <c r="N4" s="13" t="inlineStr">
        <is>
          <t>Last Collected</t>
        </is>
      </c>
      <c r="O4" s="13" t="inlineStr">
        <is>
          <t>Gap Identified</t>
        </is>
      </c>
      <c r="P4" s="13" t="inlineStr">
        <is>
          <t>Gap Remediation</t>
        </is>
      </c>
      <c r="Q4" s="13" t="inlineStr">
        <is>
          <t>Responsible Analyst</t>
        </is>
      </c>
      <c r="R4" s="13" t="inlineStr">
        <is>
          <t>Notes</t>
        </is>
      </c>
    </row>
    <row r="5">
      <c r="A5" s="14" t="inlineStr">
        <is>
          <t>REQ-2025-EXX</t>
        </is>
      </c>
      <c r="B5" s="14" t="inlineStr">
        <is>
          <t>Strategic</t>
        </is>
      </c>
      <c r="C5" s="14" t="inlineStr">
        <is>
          <t>Track APT groups targeting EMEA financial sector</t>
        </is>
      </c>
      <c r="D5" s="14" t="inlineStr">
        <is>
          <t>Critical</t>
        </is>
      </c>
      <c r="E5" s="14" t="inlineStr">
        <is>
          <t>Finance</t>
        </is>
      </c>
      <c r="F5" s="14" t="inlineStr">
        <is>
          <t>EMEA</t>
        </is>
      </c>
      <c r="G5" s="14" t="inlineStr">
        <is>
          <t>APT/Ransomware</t>
        </is>
      </c>
      <c r="H5" s="14" t="inlineStr">
        <is>
          <t>MISP Community</t>
        </is>
      </c>
      <c r="I5" s="14" t="inlineStr">
        <is>
          <t>Commercial TI</t>
        </is>
      </c>
      <c r="J5" s="14" t="inlineStr">
        <is>
          <t>OSINT</t>
        </is>
      </c>
      <c r="K5" s="14" t="inlineStr">
        <is>
          <t>Automated API</t>
        </is>
      </c>
      <c r="L5" s="14" t="inlineStr">
        <is>
          <t>Adequate</t>
        </is>
      </c>
      <c r="M5" s="14" t="inlineStr">
        <is>
          <t>Weekly</t>
        </is>
      </c>
      <c r="N5" s="14" t="inlineStr">
        <is>
          <t>25.01.2026</t>
        </is>
      </c>
      <c r="O5" s="14" t="inlineStr">
        <is>
          <t>No</t>
        </is>
      </c>
      <c r="P5" s="14" t="n"/>
      <c r="Q5" s="14" t="inlineStr">
        <is>
          <t>J. Smith</t>
        </is>
      </c>
      <c r="R5" s="14" t="n"/>
    </row>
    <row r="6">
      <c r="A6" s="15">
        <f>IF(B6&lt;&gt;"","REQ-"&amp;TEXT(ROW()-5,"000"),"")</f>
        <v/>
      </c>
      <c r="B6" s="4" t="n"/>
      <c r="C6" s="4" t="n"/>
      <c r="D6" s="4" t="n"/>
      <c r="E6" s="4" t="n"/>
      <c r="F6" s="4" t="n"/>
      <c r="G6" s="4" t="n"/>
      <c r="H6" s="4" t="n"/>
      <c r="I6" s="4" t="n"/>
      <c r="J6" s="4" t="n"/>
      <c r="K6" s="4" t="n"/>
      <c r="L6" s="15">
        <f>IF(COUNTA(H6:J6)&gt;=2,"Adequate",IF(COUNTA(H6:J6)=1,"Minimal","Gap"))</f>
        <v/>
      </c>
      <c r="M6" s="4" t="n"/>
      <c r="N6" s="16" t="n"/>
      <c r="O6" s="15">
        <f>IF(L6="Gap","Yes","No")</f>
        <v/>
      </c>
      <c r="P6" s="4" t="n"/>
      <c r="Q6" s="4" t="n"/>
      <c r="R6" s="4" t="n"/>
    </row>
    <row r="7">
      <c r="A7" s="15">
        <f>IF(B7&lt;&gt;"","REQ-"&amp;TEXT(ROW()-5,"000"),"")</f>
        <v/>
      </c>
      <c r="B7" s="4" t="n"/>
      <c r="C7" s="4" t="n"/>
      <c r="D7" s="4" t="n"/>
      <c r="E7" s="4" t="n"/>
      <c r="F7" s="4" t="n"/>
      <c r="G7" s="4" t="n"/>
      <c r="H7" s="4" t="n"/>
      <c r="I7" s="4" t="n"/>
      <c r="J7" s="4" t="n"/>
      <c r="K7" s="4" t="n"/>
      <c r="L7" s="15">
        <f>IF(COUNTA(H7:J7)&gt;=2,"Adequate",IF(COUNTA(H7:J7)=1,"Minimal","Gap"))</f>
        <v/>
      </c>
      <c r="M7" s="4" t="n"/>
      <c r="N7" s="16" t="n"/>
      <c r="O7" s="15">
        <f>IF(L7="Gap","Yes","No")</f>
        <v/>
      </c>
      <c r="P7" s="4" t="n"/>
      <c r="Q7" s="4" t="n"/>
      <c r="R7" s="4" t="n"/>
    </row>
    <row r="8">
      <c r="A8" s="15">
        <f>IF(B8&lt;&gt;"","REQ-"&amp;TEXT(ROW()-5,"000"),"")</f>
        <v/>
      </c>
      <c r="B8" s="4" t="n"/>
      <c r="C8" s="4" t="n"/>
      <c r="D8" s="4" t="n"/>
      <c r="E8" s="4" t="n"/>
      <c r="F8" s="4" t="n"/>
      <c r="G8" s="4" t="n"/>
      <c r="H8" s="4" t="n"/>
      <c r="I8" s="4" t="n"/>
      <c r="J8" s="4" t="n"/>
      <c r="K8" s="4" t="n"/>
      <c r="L8" s="15">
        <f>IF(COUNTA(H8:J8)&gt;=2,"Adequate",IF(COUNTA(H8:J8)=1,"Minimal","Gap"))</f>
        <v/>
      </c>
      <c r="M8" s="4" t="n"/>
      <c r="N8" s="16" t="n"/>
      <c r="O8" s="15">
        <f>IF(L8="Gap","Yes","No")</f>
        <v/>
      </c>
      <c r="P8" s="4" t="n"/>
      <c r="Q8" s="4" t="n"/>
      <c r="R8" s="4" t="n"/>
    </row>
    <row r="9">
      <c r="A9" s="15">
        <f>IF(B9&lt;&gt;"","REQ-"&amp;TEXT(ROW()-5,"000"),"")</f>
        <v/>
      </c>
      <c r="B9" s="4" t="n"/>
      <c r="C9" s="4" t="n"/>
      <c r="D9" s="4" t="n"/>
      <c r="E9" s="4" t="n"/>
      <c r="F9" s="4" t="n"/>
      <c r="G9" s="4" t="n"/>
      <c r="H9" s="4" t="n"/>
      <c r="I9" s="4" t="n"/>
      <c r="J9" s="4" t="n"/>
      <c r="K9" s="4" t="n"/>
      <c r="L9" s="15">
        <f>IF(COUNTA(H9:J9)&gt;=2,"Adequate",IF(COUNTA(H9:J9)=1,"Minimal","Gap"))</f>
        <v/>
      </c>
      <c r="M9" s="4" t="n"/>
      <c r="N9" s="16" t="n"/>
      <c r="O9" s="15">
        <f>IF(L9="Gap","Yes","No")</f>
        <v/>
      </c>
      <c r="P9" s="4" t="n"/>
      <c r="Q9" s="4" t="n"/>
      <c r="R9" s="4" t="n"/>
    </row>
    <row r="10">
      <c r="A10" s="15">
        <f>IF(B10&lt;&gt;"","REQ-"&amp;TEXT(ROW()-5,"000"),"")</f>
        <v/>
      </c>
      <c r="B10" s="4" t="n"/>
      <c r="C10" s="4" t="n"/>
      <c r="D10" s="4" t="n"/>
      <c r="E10" s="4" t="n"/>
      <c r="F10" s="4" t="n"/>
      <c r="G10" s="4" t="n"/>
      <c r="H10" s="4" t="n"/>
      <c r="I10" s="4" t="n"/>
      <c r="J10" s="4" t="n"/>
      <c r="K10" s="4" t="n"/>
      <c r="L10" s="15">
        <f>IF(COUNTA(H10:J10)&gt;=2,"Adequate",IF(COUNTA(H10:J10)=1,"Minimal","Gap"))</f>
        <v/>
      </c>
      <c r="M10" s="4" t="n"/>
      <c r="N10" s="16" t="n"/>
      <c r="O10" s="15">
        <f>IF(L10="Gap","Yes","No")</f>
        <v/>
      </c>
      <c r="P10" s="4" t="n"/>
      <c r="Q10" s="4" t="n"/>
      <c r="R10" s="4" t="n"/>
    </row>
    <row r="11">
      <c r="A11" s="15">
        <f>IF(B11&lt;&gt;"","REQ-"&amp;TEXT(ROW()-5,"000"),"")</f>
        <v/>
      </c>
      <c r="B11" s="4" t="n"/>
      <c r="C11" s="4" t="n"/>
      <c r="D11" s="4" t="n"/>
      <c r="E11" s="4" t="n"/>
      <c r="F11" s="4" t="n"/>
      <c r="G11" s="4" t="n"/>
      <c r="H11" s="4" t="n"/>
      <c r="I11" s="4" t="n"/>
      <c r="J11" s="4" t="n"/>
      <c r="K11" s="4" t="n"/>
      <c r="L11" s="15">
        <f>IF(COUNTA(H11:J11)&gt;=2,"Adequate",IF(COUNTA(H11:J11)=1,"Minimal","Gap"))</f>
        <v/>
      </c>
      <c r="M11" s="4" t="n"/>
      <c r="N11" s="16" t="n"/>
      <c r="O11" s="15">
        <f>IF(L11="Gap","Yes","No")</f>
        <v/>
      </c>
      <c r="P11" s="4" t="n"/>
      <c r="Q11" s="4" t="n"/>
      <c r="R11" s="4" t="n"/>
    </row>
    <row r="12">
      <c r="A12" s="15">
        <f>IF(B12&lt;&gt;"","REQ-"&amp;TEXT(ROW()-5,"000"),"")</f>
        <v/>
      </c>
      <c r="B12" s="4" t="n"/>
      <c r="C12" s="4" t="n"/>
      <c r="D12" s="4" t="n"/>
      <c r="E12" s="4" t="n"/>
      <c r="F12" s="4" t="n"/>
      <c r="G12" s="4" t="n"/>
      <c r="H12" s="4" t="n"/>
      <c r="I12" s="4" t="n"/>
      <c r="J12" s="4" t="n"/>
      <c r="K12" s="4" t="n"/>
      <c r="L12" s="15">
        <f>IF(COUNTA(H12:J12)&gt;=2,"Adequate",IF(COUNTA(H12:J12)=1,"Minimal","Gap"))</f>
        <v/>
      </c>
      <c r="M12" s="4" t="n"/>
      <c r="N12" s="16" t="n"/>
      <c r="O12" s="15">
        <f>IF(L12="Gap","Yes","No")</f>
        <v/>
      </c>
      <c r="P12" s="4" t="n"/>
      <c r="Q12" s="4" t="n"/>
      <c r="R12" s="4" t="n"/>
    </row>
    <row r="13">
      <c r="A13" s="15">
        <f>IF(B13&lt;&gt;"","REQ-"&amp;TEXT(ROW()-5,"000"),"")</f>
        <v/>
      </c>
      <c r="B13" s="4" t="n"/>
      <c r="C13" s="4" t="n"/>
      <c r="D13" s="4" t="n"/>
      <c r="E13" s="4" t="n"/>
      <c r="F13" s="4" t="n"/>
      <c r="G13" s="4" t="n"/>
      <c r="H13" s="4" t="n"/>
      <c r="I13" s="4" t="n"/>
      <c r="J13" s="4" t="n"/>
      <c r="K13" s="4" t="n"/>
      <c r="L13" s="15">
        <f>IF(COUNTA(H13:J13)&gt;=2,"Adequate",IF(COUNTA(H13:J13)=1,"Minimal","Gap"))</f>
        <v/>
      </c>
      <c r="M13" s="4" t="n"/>
      <c r="N13" s="16" t="n"/>
      <c r="O13" s="15">
        <f>IF(L13="Gap","Yes","No")</f>
        <v/>
      </c>
      <c r="P13" s="4" t="n"/>
      <c r="Q13" s="4" t="n"/>
      <c r="R13" s="4" t="n"/>
    </row>
    <row r="14">
      <c r="A14" s="15">
        <f>IF(B14&lt;&gt;"","REQ-"&amp;TEXT(ROW()-5,"000"),"")</f>
        <v/>
      </c>
      <c r="B14" s="4" t="n"/>
      <c r="C14" s="4" t="n"/>
      <c r="D14" s="4" t="n"/>
      <c r="E14" s="4" t="n"/>
      <c r="F14" s="4" t="n"/>
      <c r="G14" s="4" t="n"/>
      <c r="H14" s="4" t="n"/>
      <c r="I14" s="4" t="n"/>
      <c r="J14" s="4" t="n"/>
      <c r="K14" s="4" t="n"/>
      <c r="L14" s="15">
        <f>IF(COUNTA(H14:J14)&gt;=2,"Adequate",IF(COUNTA(H14:J14)=1,"Minimal","Gap"))</f>
        <v/>
      </c>
      <c r="M14" s="4" t="n"/>
      <c r="N14" s="16" t="n"/>
      <c r="O14" s="15">
        <f>IF(L14="Gap","Yes","No")</f>
        <v/>
      </c>
      <c r="P14" s="4" t="n"/>
      <c r="Q14" s="4" t="n"/>
      <c r="R14" s="4" t="n"/>
    </row>
    <row r="15">
      <c r="A15" s="15">
        <f>IF(B15&lt;&gt;"","REQ-"&amp;TEXT(ROW()-5,"000"),"")</f>
        <v/>
      </c>
      <c r="B15" s="4" t="n"/>
      <c r="C15" s="4" t="n"/>
      <c r="D15" s="4" t="n"/>
      <c r="E15" s="4" t="n"/>
      <c r="F15" s="4" t="n"/>
      <c r="G15" s="4" t="n"/>
      <c r="H15" s="4" t="n"/>
      <c r="I15" s="4" t="n"/>
      <c r="J15" s="4" t="n"/>
      <c r="K15" s="4" t="n"/>
      <c r="L15" s="15">
        <f>IF(COUNTA(H15:J15)&gt;=2,"Adequate",IF(COUNTA(H15:J15)=1,"Minimal","Gap"))</f>
        <v/>
      </c>
      <c r="M15" s="4" t="n"/>
      <c r="N15" s="16" t="n"/>
      <c r="O15" s="15">
        <f>IF(L15="Gap","Yes","No")</f>
        <v/>
      </c>
      <c r="P15" s="4" t="n"/>
      <c r="Q15" s="4" t="n"/>
      <c r="R15" s="4" t="n"/>
    </row>
    <row r="16">
      <c r="A16" s="15">
        <f>IF(B16&lt;&gt;"","REQ-"&amp;TEXT(ROW()-5,"000"),"")</f>
        <v/>
      </c>
      <c r="B16" s="4" t="n"/>
      <c r="C16" s="4" t="n"/>
      <c r="D16" s="4" t="n"/>
      <c r="E16" s="4" t="n"/>
      <c r="F16" s="4" t="n"/>
      <c r="G16" s="4" t="n"/>
      <c r="H16" s="4" t="n"/>
      <c r="I16" s="4" t="n"/>
      <c r="J16" s="4" t="n"/>
      <c r="K16" s="4" t="n"/>
      <c r="L16" s="15">
        <f>IF(COUNTA(H16:J16)&gt;=2,"Adequate",IF(COUNTA(H16:J16)=1,"Minimal","Gap"))</f>
        <v/>
      </c>
      <c r="M16" s="4" t="n"/>
      <c r="N16" s="16" t="n"/>
      <c r="O16" s="15">
        <f>IF(L16="Gap","Yes","No")</f>
        <v/>
      </c>
      <c r="P16" s="4" t="n"/>
      <c r="Q16" s="4" t="n"/>
      <c r="R16" s="4" t="n"/>
    </row>
    <row r="17">
      <c r="A17" s="15">
        <f>IF(B17&lt;&gt;"","REQ-"&amp;TEXT(ROW()-5,"000"),"")</f>
        <v/>
      </c>
      <c r="B17" s="4" t="n"/>
      <c r="C17" s="4" t="n"/>
      <c r="D17" s="4" t="n"/>
      <c r="E17" s="4" t="n"/>
      <c r="F17" s="4" t="n"/>
      <c r="G17" s="4" t="n"/>
      <c r="H17" s="4" t="n"/>
      <c r="I17" s="4" t="n"/>
      <c r="J17" s="4" t="n"/>
      <c r="K17" s="4" t="n"/>
      <c r="L17" s="15">
        <f>IF(COUNTA(H17:J17)&gt;=2,"Adequate",IF(COUNTA(H17:J17)=1,"Minimal","Gap"))</f>
        <v/>
      </c>
      <c r="M17" s="4" t="n"/>
      <c r="N17" s="16" t="n"/>
      <c r="O17" s="15">
        <f>IF(L17="Gap","Yes","No")</f>
        <v/>
      </c>
      <c r="P17" s="4" t="n"/>
      <c r="Q17" s="4" t="n"/>
      <c r="R17" s="4" t="n"/>
    </row>
    <row r="18">
      <c r="A18" s="15">
        <f>IF(B18&lt;&gt;"","REQ-"&amp;TEXT(ROW()-5,"000"),"")</f>
        <v/>
      </c>
      <c r="B18" s="4" t="n"/>
      <c r="C18" s="4" t="n"/>
      <c r="D18" s="4" t="n"/>
      <c r="E18" s="4" t="n"/>
      <c r="F18" s="4" t="n"/>
      <c r="G18" s="4" t="n"/>
      <c r="H18" s="4" t="n"/>
      <c r="I18" s="4" t="n"/>
      <c r="J18" s="4" t="n"/>
      <c r="K18" s="4" t="n"/>
      <c r="L18" s="15">
        <f>IF(COUNTA(H18:J18)&gt;=2,"Adequate",IF(COUNTA(H18:J18)=1,"Minimal","Gap"))</f>
        <v/>
      </c>
      <c r="M18" s="4" t="n"/>
      <c r="N18" s="16" t="n"/>
      <c r="O18" s="15">
        <f>IF(L18="Gap","Yes","No")</f>
        <v/>
      </c>
      <c r="P18" s="4" t="n"/>
      <c r="Q18" s="4" t="n"/>
      <c r="R18" s="4" t="n"/>
    </row>
    <row r="19">
      <c r="A19" s="15">
        <f>IF(B19&lt;&gt;"","REQ-"&amp;TEXT(ROW()-5,"000"),"")</f>
        <v/>
      </c>
      <c r="B19" s="4" t="n"/>
      <c r="C19" s="4" t="n"/>
      <c r="D19" s="4" t="n"/>
      <c r="E19" s="4" t="n"/>
      <c r="F19" s="4" t="n"/>
      <c r="G19" s="4" t="n"/>
      <c r="H19" s="4" t="n"/>
      <c r="I19" s="4" t="n"/>
      <c r="J19" s="4" t="n"/>
      <c r="K19" s="4" t="n"/>
      <c r="L19" s="15">
        <f>IF(COUNTA(H19:J19)&gt;=2,"Adequate",IF(COUNTA(H19:J19)=1,"Minimal","Gap"))</f>
        <v/>
      </c>
      <c r="M19" s="4" t="n"/>
      <c r="N19" s="16" t="n"/>
      <c r="O19" s="15">
        <f>IF(L19="Gap","Yes","No")</f>
        <v/>
      </c>
      <c r="P19" s="4" t="n"/>
      <c r="Q19" s="4" t="n"/>
      <c r="R19" s="4" t="n"/>
    </row>
    <row r="20">
      <c r="A20" s="15">
        <f>IF(B20&lt;&gt;"","REQ-"&amp;TEXT(ROW()-5,"000"),"")</f>
        <v/>
      </c>
      <c r="B20" s="4" t="n"/>
      <c r="C20" s="4" t="n"/>
      <c r="D20" s="4" t="n"/>
      <c r="E20" s="4" t="n"/>
      <c r="F20" s="4" t="n"/>
      <c r="G20" s="4" t="n"/>
      <c r="H20" s="4" t="n"/>
      <c r="I20" s="4" t="n"/>
      <c r="J20" s="4" t="n"/>
      <c r="K20" s="4" t="n"/>
      <c r="L20" s="15">
        <f>IF(COUNTA(H20:J20)&gt;=2,"Adequate",IF(COUNTA(H20:J20)=1,"Minimal","Gap"))</f>
        <v/>
      </c>
      <c r="M20" s="4" t="n"/>
      <c r="N20" s="16" t="n"/>
      <c r="O20" s="15">
        <f>IF(L20="Gap","Yes","No")</f>
        <v/>
      </c>
      <c r="P20" s="4" t="n"/>
      <c r="Q20" s="4" t="n"/>
      <c r="R20" s="4" t="n"/>
    </row>
    <row r="21">
      <c r="A21" s="15">
        <f>IF(B21&lt;&gt;"","REQ-"&amp;TEXT(ROW()-5,"000"),"")</f>
        <v/>
      </c>
      <c r="B21" s="4" t="n"/>
      <c r="C21" s="4" t="n"/>
      <c r="D21" s="4" t="n"/>
      <c r="E21" s="4" t="n"/>
      <c r="F21" s="4" t="n"/>
      <c r="G21" s="4" t="n"/>
      <c r="H21" s="4" t="n"/>
      <c r="I21" s="4" t="n"/>
      <c r="J21" s="4" t="n"/>
      <c r="K21" s="4" t="n"/>
      <c r="L21" s="15">
        <f>IF(COUNTA(H21:J21)&gt;=2,"Adequate",IF(COUNTA(H21:J21)=1,"Minimal","Gap"))</f>
        <v/>
      </c>
      <c r="M21" s="4" t="n"/>
      <c r="N21" s="16" t="n"/>
      <c r="O21" s="15">
        <f>IF(L21="Gap","Yes","No")</f>
        <v/>
      </c>
      <c r="P21" s="4" t="n"/>
      <c r="Q21" s="4" t="n"/>
      <c r="R21" s="4" t="n"/>
    </row>
    <row r="22">
      <c r="A22" s="15">
        <f>IF(B22&lt;&gt;"","REQ-"&amp;TEXT(ROW()-5,"000"),"")</f>
        <v/>
      </c>
      <c r="B22" s="4" t="n"/>
      <c r="C22" s="4" t="n"/>
      <c r="D22" s="4" t="n"/>
      <c r="E22" s="4" t="n"/>
      <c r="F22" s="4" t="n"/>
      <c r="G22" s="4" t="n"/>
      <c r="H22" s="4" t="n"/>
      <c r="I22" s="4" t="n"/>
      <c r="J22" s="4" t="n"/>
      <c r="K22" s="4" t="n"/>
      <c r="L22" s="15">
        <f>IF(COUNTA(H22:J22)&gt;=2,"Adequate",IF(COUNTA(H22:J22)=1,"Minimal","Gap"))</f>
        <v/>
      </c>
      <c r="M22" s="4" t="n"/>
      <c r="N22" s="16" t="n"/>
      <c r="O22" s="15">
        <f>IF(L22="Gap","Yes","No")</f>
        <v/>
      </c>
      <c r="P22" s="4" t="n"/>
      <c r="Q22" s="4" t="n"/>
      <c r="R22" s="4" t="n"/>
    </row>
    <row r="23">
      <c r="A23" s="15">
        <f>IF(B23&lt;&gt;"","REQ-"&amp;TEXT(ROW()-5,"000"),"")</f>
        <v/>
      </c>
      <c r="B23" s="4" t="n"/>
      <c r="C23" s="4" t="n"/>
      <c r="D23" s="4" t="n"/>
      <c r="E23" s="4" t="n"/>
      <c r="F23" s="4" t="n"/>
      <c r="G23" s="4" t="n"/>
      <c r="H23" s="4" t="n"/>
      <c r="I23" s="4" t="n"/>
      <c r="J23" s="4" t="n"/>
      <c r="K23" s="4" t="n"/>
      <c r="L23" s="15">
        <f>IF(COUNTA(H23:J23)&gt;=2,"Adequate",IF(COUNTA(H23:J23)=1,"Minimal","Gap"))</f>
        <v/>
      </c>
      <c r="M23" s="4" t="n"/>
      <c r="N23" s="16" t="n"/>
      <c r="O23" s="15">
        <f>IF(L23="Gap","Yes","No")</f>
        <v/>
      </c>
      <c r="P23" s="4" t="n"/>
      <c r="Q23" s="4" t="n"/>
      <c r="R23" s="4" t="n"/>
    </row>
    <row r="24">
      <c r="A24" s="15">
        <f>IF(B24&lt;&gt;"","REQ-"&amp;TEXT(ROW()-5,"000"),"")</f>
        <v/>
      </c>
      <c r="B24" s="4" t="n"/>
      <c r="C24" s="4" t="n"/>
      <c r="D24" s="4" t="n"/>
      <c r="E24" s="4" t="n"/>
      <c r="F24" s="4" t="n"/>
      <c r="G24" s="4" t="n"/>
      <c r="H24" s="4" t="n"/>
      <c r="I24" s="4" t="n"/>
      <c r="J24" s="4" t="n"/>
      <c r="K24" s="4" t="n"/>
      <c r="L24" s="15">
        <f>IF(COUNTA(H24:J24)&gt;=2,"Adequate",IF(COUNTA(H24:J24)=1,"Minimal","Gap"))</f>
        <v/>
      </c>
      <c r="M24" s="4" t="n"/>
      <c r="N24" s="16" t="n"/>
      <c r="O24" s="15">
        <f>IF(L24="Gap","Yes","No")</f>
        <v/>
      </c>
      <c r="P24" s="4" t="n"/>
      <c r="Q24" s="4" t="n"/>
      <c r="R24" s="4" t="n"/>
    </row>
    <row r="25">
      <c r="A25" s="15">
        <f>IF(B25&lt;&gt;"","REQ-"&amp;TEXT(ROW()-5,"000"),"")</f>
        <v/>
      </c>
      <c r="B25" s="4" t="n"/>
      <c r="C25" s="4" t="n"/>
      <c r="D25" s="4" t="n"/>
      <c r="E25" s="4" t="n"/>
      <c r="F25" s="4" t="n"/>
      <c r="G25" s="4" t="n"/>
      <c r="H25" s="4" t="n"/>
      <c r="I25" s="4" t="n"/>
      <c r="J25" s="4" t="n"/>
      <c r="K25" s="4" t="n"/>
      <c r="L25" s="15">
        <f>IF(COUNTA(H25:J25)&gt;=2,"Adequate",IF(COUNTA(H25:J25)=1,"Minimal","Gap"))</f>
        <v/>
      </c>
      <c r="M25" s="4" t="n"/>
      <c r="N25" s="16" t="n"/>
      <c r="O25" s="15">
        <f>IF(L25="Gap","Yes","No")</f>
        <v/>
      </c>
      <c r="P25" s="4" t="n"/>
      <c r="Q25" s="4" t="n"/>
      <c r="R25" s="4" t="n"/>
    </row>
    <row r="26">
      <c r="A26" s="15">
        <f>IF(B26&lt;&gt;"","REQ-"&amp;TEXT(ROW()-5,"000"),"")</f>
        <v/>
      </c>
      <c r="B26" s="4" t="n"/>
      <c r="C26" s="4" t="n"/>
      <c r="D26" s="4" t="n"/>
      <c r="E26" s="4" t="n"/>
      <c r="F26" s="4" t="n"/>
      <c r="G26" s="4" t="n"/>
      <c r="H26" s="4" t="n"/>
      <c r="I26" s="4" t="n"/>
      <c r="J26" s="4" t="n"/>
      <c r="K26" s="4" t="n"/>
      <c r="L26" s="15">
        <f>IF(COUNTA(H26:J26)&gt;=2,"Adequate",IF(COUNTA(H26:J26)=1,"Minimal","Gap"))</f>
        <v/>
      </c>
      <c r="M26" s="4" t="n"/>
      <c r="N26" s="16" t="n"/>
      <c r="O26" s="15">
        <f>IF(L26="Gap","Yes","No")</f>
        <v/>
      </c>
      <c r="P26" s="4" t="n"/>
      <c r="Q26" s="4" t="n"/>
      <c r="R26" s="4" t="n"/>
    </row>
    <row r="27">
      <c r="A27" s="15">
        <f>IF(B27&lt;&gt;"","REQ-"&amp;TEXT(ROW()-5,"000"),"")</f>
        <v/>
      </c>
      <c r="B27" s="4" t="n"/>
      <c r="C27" s="4" t="n"/>
      <c r="D27" s="4" t="n"/>
      <c r="E27" s="4" t="n"/>
      <c r="F27" s="4" t="n"/>
      <c r="G27" s="4" t="n"/>
      <c r="H27" s="4" t="n"/>
      <c r="I27" s="4" t="n"/>
      <c r="J27" s="4" t="n"/>
      <c r="K27" s="4" t="n"/>
      <c r="L27" s="15">
        <f>IF(COUNTA(H27:J27)&gt;=2,"Adequate",IF(COUNTA(H27:J27)=1,"Minimal","Gap"))</f>
        <v/>
      </c>
      <c r="M27" s="4" t="n"/>
      <c r="N27" s="16" t="n"/>
      <c r="O27" s="15">
        <f>IF(L27="Gap","Yes","No")</f>
        <v/>
      </c>
      <c r="P27" s="4" t="n"/>
      <c r="Q27" s="4" t="n"/>
      <c r="R27" s="4" t="n"/>
    </row>
    <row r="28">
      <c r="A28" s="15">
        <f>IF(B28&lt;&gt;"","REQ-"&amp;TEXT(ROW()-5,"000"),"")</f>
        <v/>
      </c>
      <c r="B28" s="4" t="n"/>
      <c r="C28" s="4" t="n"/>
      <c r="D28" s="4" t="n"/>
      <c r="E28" s="4" t="n"/>
      <c r="F28" s="4" t="n"/>
      <c r="G28" s="4" t="n"/>
      <c r="H28" s="4" t="n"/>
      <c r="I28" s="4" t="n"/>
      <c r="J28" s="4" t="n"/>
      <c r="K28" s="4" t="n"/>
      <c r="L28" s="15">
        <f>IF(COUNTA(H28:J28)&gt;=2,"Adequate",IF(COUNTA(H28:J28)=1,"Minimal","Gap"))</f>
        <v/>
      </c>
      <c r="M28" s="4" t="n"/>
      <c r="N28" s="16" t="n"/>
      <c r="O28" s="15">
        <f>IF(L28="Gap","Yes","No")</f>
        <v/>
      </c>
      <c r="P28" s="4" t="n"/>
      <c r="Q28" s="4" t="n"/>
      <c r="R28" s="4" t="n"/>
    </row>
    <row r="29">
      <c r="A29" s="15">
        <f>IF(B29&lt;&gt;"","REQ-"&amp;TEXT(ROW()-5,"000"),"")</f>
        <v/>
      </c>
      <c r="B29" s="4" t="n"/>
      <c r="C29" s="4" t="n"/>
      <c r="D29" s="4" t="n"/>
      <c r="E29" s="4" t="n"/>
      <c r="F29" s="4" t="n"/>
      <c r="G29" s="4" t="n"/>
      <c r="H29" s="4" t="n"/>
      <c r="I29" s="4" t="n"/>
      <c r="J29" s="4" t="n"/>
      <c r="K29" s="4" t="n"/>
      <c r="L29" s="15">
        <f>IF(COUNTA(H29:J29)&gt;=2,"Adequate",IF(COUNTA(H29:J29)=1,"Minimal","Gap"))</f>
        <v/>
      </c>
      <c r="M29" s="4" t="n"/>
      <c r="N29" s="16" t="n"/>
      <c r="O29" s="15">
        <f>IF(L29="Gap","Yes","No")</f>
        <v/>
      </c>
      <c r="P29" s="4" t="n"/>
      <c r="Q29" s="4" t="n"/>
      <c r="R29" s="4" t="n"/>
    </row>
    <row r="30">
      <c r="A30" s="15">
        <f>IF(B30&lt;&gt;"","REQ-"&amp;TEXT(ROW()-5,"000"),"")</f>
        <v/>
      </c>
      <c r="B30" s="4" t="n"/>
      <c r="C30" s="4" t="n"/>
      <c r="D30" s="4" t="n"/>
      <c r="E30" s="4" t="n"/>
      <c r="F30" s="4" t="n"/>
      <c r="G30" s="4" t="n"/>
      <c r="H30" s="4" t="n"/>
      <c r="I30" s="4" t="n"/>
      <c r="J30" s="4" t="n"/>
      <c r="K30" s="4" t="n"/>
      <c r="L30" s="15">
        <f>IF(COUNTA(H30:J30)&gt;=2,"Adequate",IF(COUNTA(H30:J30)=1,"Minimal","Gap"))</f>
        <v/>
      </c>
      <c r="M30" s="4" t="n"/>
      <c r="N30" s="16" t="n"/>
      <c r="O30" s="15">
        <f>IF(L30="Gap","Yes","No")</f>
        <v/>
      </c>
      <c r="P30" s="4" t="n"/>
      <c r="Q30" s="4" t="n"/>
      <c r="R30" s="4" t="n"/>
    </row>
    <row r="31">
      <c r="A31" s="15">
        <f>IF(B31&lt;&gt;"","REQ-"&amp;TEXT(ROW()-5,"000"),"")</f>
        <v/>
      </c>
      <c r="B31" s="4" t="n"/>
      <c r="C31" s="4" t="n"/>
      <c r="D31" s="4" t="n"/>
      <c r="E31" s="4" t="n"/>
      <c r="F31" s="4" t="n"/>
      <c r="G31" s="4" t="n"/>
      <c r="H31" s="4" t="n"/>
      <c r="I31" s="4" t="n"/>
      <c r="J31" s="4" t="n"/>
      <c r="K31" s="4" t="n"/>
      <c r="L31" s="15">
        <f>IF(COUNTA(H31:J31)&gt;=2,"Adequate",IF(COUNTA(H31:J31)=1,"Minimal","Gap"))</f>
        <v/>
      </c>
      <c r="M31" s="4" t="n"/>
      <c r="N31" s="16" t="n"/>
      <c r="O31" s="15">
        <f>IF(L31="Gap","Yes","No")</f>
        <v/>
      </c>
      <c r="P31" s="4" t="n"/>
      <c r="Q31" s="4" t="n"/>
      <c r="R31" s="4" t="n"/>
    </row>
    <row r="32">
      <c r="A32" s="15">
        <f>IF(B32&lt;&gt;"","REQ-"&amp;TEXT(ROW()-5,"000"),"")</f>
        <v/>
      </c>
      <c r="B32" s="4" t="n"/>
      <c r="C32" s="4" t="n"/>
      <c r="D32" s="4" t="n"/>
      <c r="E32" s="4" t="n"/>
      <c r="F32" s="4" t="n"/>
      <c r="G32" s="4" t="n"/>
      <c r="H32" s="4" t="n"/>
      <c r="I32" s="4" t="n"/>
      <c r="J32" s="4" t="n"/>
      <c r="K32" s="4" t="n"/>
      <c r="L32" s="15">
        <f>IF(COUNTA(H32:J32)&gt;=2,"Adequate",IF(COUNTA(H32:J32)=1,"Minimal","Gap"))</f>
        <v/>
      </c>
      <c r="M32" s="4" t="n"/>
      <c r="N32" s="16" t="n"/>
      <c r="O32" s="15">
        <f>IF(L32="Gap","Yes","No")</f>
        <v/>
      </c>
      <c r="P32" s="4" t="n"/>
      <c r="Q32" s="4" t="n"/>
      <c r="R32" s="4" t="n"/>
    </row>
    <row r="33">
      <c r="A33" s="15">
        <f>IF(B33&lt;&gt;"","REQ-"&amp;TEXT(ROW()-5,"000"),"")</f>
        <v/>
      </c>
      <c r="B33" s="4" t="n"/>
      <c r="C33" s="4" t="n"/>
      <c r="D33" s="4" t="n"/>
      <c r="E33" s="4" t="n"/>
      <c r="F33" s="4" t="n"/>
      <c r="G33" s="4" t="n"/>
      <c r="H33" s="4" t="n"/>
      <c r="I33" s="4" t="n"/>
      <c r="J33" s="4" t="n"/>
      <c r="K33" s="4" t="n"/>
      <c r="L33" s="15">
        <f>IF(COUNTA(H33:J33)&gt;=2,"Adequate",IF(COUNTA(H33:J33)=1,"Minimal","Gap"))</f>
        <v/>
      </c>
      <c r="M33" s="4" t="n"/>
      <c r="N33" s="16" t="n"/>
      <c r="O33" s="15">
        <f>IF(L33="Gap","Yes","No")</f>
        <v/>
      </c>
      <c r="P33" s="4" t="n"/>
      <c r="Q33" s="4" t="n"/>
      <c r="R33" s="4" t="n"/>
    </row>
    <row r="34">
      <c r="A34" s="15">
        <f>IF(B34&lt;&gt;"","REQ-"&amp;TEXT(ROW()-5,"000"),"")</f>
        <v/>
      </c>
      <c r="B34" s="4" t="n"/>
      <c r="C34" s="4" t="n"/>
      <c r="D34" s="4" t="n"/>
      <c r="E34" s="4" t="n"/>
      <c r="F34" s="4" t="n"/>
      <c r="G34" s="4" t="n"/>
      <c r="H34" s="4" t="n"/>
      <c r="I34" s="4" t="n"/>
      <c r="J34" s="4" t="n"/>
      <c r="K34" s="4" t="n"/>
      <c r="L34" s="15">
        <f>IF(COUNTA(H34:J34)&gt;=2,"Adequate",IF(COUNTA(H34:J34)=1,"Minimal","Gap"))</f>
        <v/>
      </c>
      <c r="M34" s="4" t="n"/>
      <c r="N34" s="16" t="n"/>
      <c r="O34" s="15">
        <f>IF(L34="Gap","Yes","No")</f>
        <v/>
      </c>
      <c r="P34" s="4" t="n"/>
      <c r="Q34" s="4" t="n"/>
      <c r="R34" s="4" t="n"/>
    </row>
    <row r="35">
      <c r="A35" s="15">
        <f>IF(B35&lt;&gt;"","REQ-"&amp;TEXT(ROW()-5,"000"),"")</f>
        <v/>
      </c>
      <c r="B35" s="4" t="n"/>
      <c r="C35" s="4" t="n"/>
      <c r="D35" s="4" t="n"/>
      <c r="E35" s="4" t="n"/>
      <c r="F35" s="4" t="n"/>
      <c r="G35" s="4" t="n"/>
      <c r="H35" s="4" t="n"/>
      <c r="I35" s="4" t="n"/>
      <c r="J35" s="4" t="n"/>
      <c r="K35" s="4" t="n"/>
      <c r="L35" s="15">
        <f>IF(COUNTA(H35:J35)&gt;=2,"Adequate",IF(COUNTA(H35:J35)=1,"Minimal","Gap"))</f>
        <v/>
      </c>
      <c r="M35" s="4" t="n"/>
      <c r="N35" s="16" t="n"/>
      <c r="O35" s="15">
        <f>IF(L35="Gap","Yes","No")</f>
        <v/>
      </c>
      <c r="P35" s="4" t="n"/>
      <c r="Q35" s="4" t="n"/>
      <c r="R35" s="4" t="n"/>
    </row>
    <row r="36">
      <c r="A36" s="15">
        <f>IF(B36&lt;&gt;"","REQ-"&amp;TEXT(ROW()-5,"000"),"")</f>
        <v/>
      </c>
      <c r="B36" s="4" t="n"/>
      <c r="C36" s="4" t="n"/>
      <c r="D36" s="4" t="n"/>
      <c r="E36" s="4" t="n"/>
      <c r="F36" s="4" t="n"/>
      <c r="G36" s="4" t="n"/>
      <c r="H36" s="4" t="n"/>
      <c r="I36" s="4" t="n"/>
      <c r="J36" s="4" t="n"/>
      <c r="K36" s="4" t="n"/>
      <c r="L36" s="15">
        <f>IF(COUNTA(H36:J36)&gt;=2,"Adequate",IF(COUNTA(H36:J36)=1,"Minimal","Gap"))</f>
        <v/>
      </c>
      <c r="M36" s="4" t="n"/>
      <c r="N36" s="16" t="n"/>
      <c r="O36" s="15">
        <f>IF(L36="Gap","Yes","No")</f>
        <v/>
      </c>
      <c r="P36" s="4" t="n"/>
      <c r="Q36" s="4" t="n"/>
      <c r="R36" s="4" t="n"/>
    </row>
    <row r="37">
      <c r="A37" s="15">
        <f>IF(B37&lt;&gt;"","REQ-"&amp;TEXT(ROW()-5,"000"),"")</f>
        <v/>
      </c>
      <c r="B37" s="4" t="n"/>
      <c r="C37" s="4" t="n"/>
      <c r="D37" s="4" t="n"/>
      <c r="E37" s="4" t="n"/>
      <c r="F37" s="4" t="n"/>
      <c r="G37" s="4" t="n"/>
      <c r="H37" s="4" t="n"/>
      <c r="I37" s="4" t="n"/>
      <c r="J37" s="4" t="n"/>
      <c r="K37" s="4" t="n"/>
      <c r="L37" s="15">
        <f>IF(COUNTA(H37:J37)&gt;=2,"Adequate",IF(COUNTA(H37:J37)=1,"Minimal","Gap"))</f>
        <v/>
      </c>
      <c r="M37" s="4" t="n"/>
      <c r="N37" s="16" t="n"/>
      <c r="O37" s="15">
        <f>IF(L37="Gap","Yes","No")</f>
        <v/>
      </c>
      <c r="P37" s="4" t="n"/>
      <c r="Q37" s="4" t="n"/>
      <c r="R37" s="4" t="n"/>
    </row>
    <row r="38">
      <c r="A38" s="15">
        <f>IF(B38&lt;&gt;"","REQ-"&amp;TEXT(ROW()-5,"000"),"")</f>
        <v/>
      </c>
      <c r="B38" s="4" t="n"/>
      <c r="C38" s="4" t="n"/>
      <c r="D38" s="4" t="n"/>
      <c r="E38" s="4" t="n"/>
      <c r="F38" s="4" t="n"/>
      <c r="G38" s="4" t="n"/>
      <c r="H38" s="4" t="n"/>
      <c r="I38" s="4" t="n"/>
      <c r="J38" s="4" t="n"/>
      <c r="K38" s="4" t="n"/>
      <c r="L38" s="15">
        <f>IF(COUNTA(H38:J38)&gt;=2,"Adequate",IF(COUNTA(H38:J38)=1,"Minimal","Gap"))</f>
        <v/>
      </c>
      <c r="M38" s="4" t="n"/>
      <c r="N38" s="16" t="n"/>
      <c r="O38" s="15">
        <f>IF(L38="Gap","Yes","No")</f>
        <v/>
      </c>
      <c r="P38" s="4" t="n"/>
      <c r="Q38" s="4" t="n"/>
      <c r="R38" s="4" t="n"/>
    </row>
    <row r="39">
      <c r="A39" s="15">
        <f>IF(B39&lt;&gt;"","REQ-"&amp;TEXT(ROW()-5,"000"),"")</f>
        <v/>
      </c>
      <c r="B39" s="4" t="n"/>
      <c r="C39" s="4" t="n"/>
      <c r="D39" s="4" t="n"/>
      <c r="E39" s="4" t="n"/>
      <c r="F39" s="4" t="n"/>
      <c r="G39" s="4" t="n"/>
      <c r="H39" s="4" t="n"/>
      <c r="I39" s="4" t="n"/>
      <c r="J39" s="4" t="n"/>
      <c r="K39" s="4" t="n"/>
      <c r="L39" s="15">
        <f>IF(COUNTA(H39:J39)&gt;=2,"Adequate",IF(COUNTA(H39:J39)=1,"Minimal","Gap"))</f>
        <v/>
      </c>
      <c r="M39" s="4" t="n"/>
      <c r="N39" s="16" t="n"/>
      <c r="O39" s="15">
        <f>IF(L39="Gap","Yes","No")</f>
        <v/>
      </c>
      <c r="P39" s="4" t="n"/>
      <c r="Q39" s="4" t="n"/>
      <c r="R39" s="4" t="n"/>
    </row>
    <row r="40">
      <c r="A40" s="15">
        <f>IF(B40&lt;&gt;"","REQ-"&amp;TEXT(ROW()-5,"000"),"")</f>
        <v/>
      </c>
      <c r="B40" s="4" t="n"/>
      <c r="C40" s="4" t="n"/>
      <c r="D40" s="4" t="n"/>
      <c r="E40" s="4" t="n"/>
      <c r="F40" s="4" t="n"/>
      <c r="G40" s="4" t="n"/>
      <c r="H40" s="4" t="n"/>
      <c r="I40" s="4" t="n"/>
      <c r="J40" s="4" t="n"/>
      <c r="K40" s="4" t="n"/>
      <c r="L40" s="15">
        <f>IF(COUNTA(H40:J40)&gt;=2,"Adequate",IF(COUNTA(H40:J40)=1,"Minimal","Gap"))</f>
        <v/>
      </c>
      <c r="M40" s="4" t="n"/>
      <c r="N40" s="16" t="n"/>
      <c r="O40" s="15">
        <f>IF(L40="Gap","Yes","No")</f>
        <v/>
      </c>
      <c r="P40" s="4" t="n"/>
      <c r="Q40" s="4" t="n"/>
      <c r="R40" s="4" t="n"/>
    </row>
    <row r="41">
      <c r="A41" s="15">
        <f>IF(B41&lt;&gt;"","REQ-"&amp;TEXT(ROW()-5,"000"),"")</f>
        <v/>
      </c>
      <c r="B41" s="4" t="n"/>
      <c r="C41" s="4" t="n"/>
      <c r="D41" s="4" t="n"/>
      <c r="E41" s="4" t="n"/>
      <c r="F41" s="4" t="n"/>
      <c r="G41" s="4" t="n"/>
      <c r="H41" s="4" t="n"/>
      <c r="I41" s="4" t="n"/>
      <c r="J41" s="4" t="n"/>
      <c r="K41" s="4" t="n"/>
      <c r="L41" s="15">
        <f>IF(COUNTA(H41:J41)&gt;=2,"Adequate",IF(COUNTA(H41:J41)=1,"Minimal","Gap"))</f>
        <v/>
      </c>
      <c r="M41" s="4" t="n"/>
      <c r="N41" s="16" t="n"/>
      <c r="O41" s="15">
        <f>IF(L41="Gap","Yes","No")</f>
        <v/>
      </c>
      <c r="P41" s="4" t="n"/>
      <c r="Q41" s="4" t="n"/>
      <c r="R41" s="4" t="n"/>
    </row>
    <row r="42">
      <c r="A42" s="15">
        <f>IF(B42&lt;&gt;"","REQ-"&amp;TEXT(ROW()-5,"000"),"")</f>
        <v/>
      </c>
      <c r="B42" s="4" t="n"/>
      <c r="C42" s="4" t="n"/>
      <c r="D42" s="4" t="n"/>
      <c r="E42" s="4" t="n"/>
      <c r="F42" s="4" t="n"/>
      <c r="G42" s="4" t="n"/>
      <c r="H42" s="4" t="n"/>
      <c r="I42" s="4" t="n"/>
      <c r="J42" s="4" t="n"/>
      <c r="K42" s="4" t="n"/>
      <c r="L42" s="15">
        <f>IF(COUNTA(H42:J42)&gt;=2,"Adequate",IF(COUNTA(H42:J42)=1,"Minimal","Gap"))</f>
        <v/>
      </c>
      <c r="M42" s="4" t="n"/>
      <c r="N42" s="16" t="n"/>
      <c r="O42" s="15">
        <f>IF(L42="Gap","Yes","No")</f>
        <v/>
      </c>
      <c r="P42" s="4" t="n"/>
      <c r="Q42" s="4" t="n"/>
      <c r="R42" s="4" t="n"/>
    </row>
    <row r="43">
      <c r="A43" s="15">
        <f>IF(B43&lt;&gt;"","REQ-"&amp;TEXT(ROW()-5,"000"),"")</f>
        <v/>
      </c>
      <c r="B43" s="4" t="n"/>
      <c r="C43" s="4" t="n"/>
      <c r="D43" s="4" t="n"/>
      <c r="E43" s="4" t="n"/>
      <c r="F43" s="4" t="n"/>
      <c r="G43" s="4" t="n"/>
      <c r="H43" s="4" t="n"/>
      <c r="I43" s="4" t="n"/>
      <c r="J43" s="4" t="n"/>
      <c r="K43" s="4" t="n"/>
      <c r="L43" s="15">
        <f>IF(COUNTA(H43:J43)&gt;=2,"Adequate",IF(COUNTA(H43:J43)=1,"Minimal","Gap"))</f>
        <v/>
      </c>
      <c r="M43" s="4" t="n"/>
      <c r="N43" s="16" t="n"/>
      <c r="O43" s="15">
        <f>IF(L43="Gap","Yes","No")</f>
        <v/>
      </c>
      <c r="P43" s="4" t="n"/>
      <c r="Q43" s="4" t="n"/>
      <c r="R43" s="4" t="n"/>
    </row>
    <row r="44">
      <c r="A44" s="15">
        <f>IF(B44&lt;&gt;"","REQ-"&amp;TEXT(ROW()-5,"000"),"")</f>
        <v/>
      </c>
      <c r="B44" s="4" t="n"/>
      <c r="C44" s="4" t="n"/>
      <c r="D44" s="4" t="n"/>
      <c r="E44" s="4" t="n"/>
      <c r="F44" s="4" t="n"/>
      <c r="G44" s="4" t="n"/>
      <c r="H44" s="4" t="n"/>
      <c r="I44" s="4" t="n"/>
      <c r="J44" s="4" t="n"/>
      <c r="K44" s="4" t="n"/>
      <c r="L44" s="15">
        <f>IF(COUNTA(H44:J44)&gt;=2,"Adequate",IF(COUNTA(H44:J44)=1,"Minimal","Gap"))</f>
        <v/>
      </c>
      <c r="M44" s="4" t="n"/>
      <c r="N44" s="16" t="n"/>
      <c r="O44" s="15">
        <f>IF(L44="Gap","Yes","No")</f>
        <v/>
      </c>
      <c r="P44" s="4" t="n"/>
      <c r="Q44" s="4" t="n"/>
      <c r="R44" s="4" t="n"/>
    </row>
    <row r="45">
      <c r="A45" s="15">
        <f>IF(B45&lt;&gt;"","REQ-"&amp;TEXT(ROW()-5,"000"),"")</f>
        <v/>
      </c>
      <c r="B45" s="4" t="n"/>
      <c r="C45" s="4" t="n"/>
      <c r="D45" s="4" t="n"/>
      <c r="E45" s="4" t="n"/>
      <c r="F45" s="4" t="n"/>
      <c r="G45" s="4" t="n"/>
      <c r="H45" s="4" t="n"/>
      <c r="I45" s="4" t="n"/>
      <c r="J45" s="4" t="n"/>
      <c r="K45" s="4" t="n"/>
      <c r="L45" s="15">
        <f>IF(COUNTA(H45:J45)&gt;=2,"Adequate",IF(COUNTA(H45:J45)=1,"Minimal","Gap"))</f>
        <v/>
      </c>
      <c r="M45" s="4" t="n"/>
      <c r="N45" s="16" t="n"/>
      <c r="O45" s="15">
        <f>IF(L45="Gap","Yes","No")</f>
        <v/>
      </c>
      <c r="P45" s="4" t="n"/>
      <c r="Q45" s="4" t="n"/>
      <c r="R45" s="4" t="n"/>
    </row>
    <row r="46">
      <c r="A46" s="15">
        <f>IF(B46&lt;&gt;"","REQ-"&amp;TEXT(ROW()-5,"000"),"")</f>
        <v/>
      </c>
      <c r="B46" s="4" t="n"/>
      <c r="C46" s="4" t="n"/>
      <c r="D46" s="4" t="n"/>
      <c r="E46" s="4" t="n"/>
      <c r="F46" s="4" t="n"/>
      <c r="G46" s="4" t="n"/>
      <c r="H46" s="4" t="n"/>
      <c r="I46" s="4" t="n"/>
      <c r="J46" s="4" t="n"/>
      <c r="K46" s="4" t="n"/>
      <c r="L46" s="15">
        <f>IF(COUNTA(H46:J46)&gt;=2,"Adequate",IF(COUNTA(H46:J46)=1,"Minimal","Gap"))</f>
        <v/>
      </c>
      <c r="M46" s="4" t="n"/>
      <c r="N46" s="16" t="n"/>
      <c r="O46" s="15">
        <f>IF(L46="Gap","Yes","No")</f>
        <v/>
      </c>
      <c r="P46" s="4" t="n"/>
      <c r="Q46" s="4" t="n"/>
      <c r="R46" s="4" t="n"/>
    </row>
    <row r="47">
      <c r="A47" s="15">
        <f>IF(B47&lt;&gt;"","REQ-"&amp;TEXT(ROW()-5,"000"),"")</f>
        <v/>
      </c>
      <c r="B47" s="4" t="n"/>
      <c r="C47" s="4" t="n"/>
      <c r="D47" s="4" t="n"/>
      <c r="E47" s="4" t="n"/>
      <c r="F47" s="4" t="n"/>
      <c r="G47" s="4" t="n"/>
      <c r="H47" s="4" t="n"/>
      <c r="I47" s="4" t="n"/>
      <c r="J47" s="4" t="n"/>
      <c r="K47" s="4" t="n"/>
      <c r="L47" s="15">
        <f>IF(COUNTA(H47:J47)&gt;=2,"Adequate",IF(COUNTA(H47:J47)=1,"Minimal","Gap"))</f>
        <v/>
      </c>
      <c r="M47" s="4" t="n"/>
      <c r="N47" s="16" t="n"/>
      <c r="O47" s="15">
        <f>IF(L47="Gap","Yes","No")</f>
        <v/>
      </c>
      <c r="P47" s="4" t="n"/>
      <c r="Q47" s="4" t="n"/>
      <c r="R47" s="4" t="n"/>
    </row>
    <row r="48">
      <c r="A48" s="15">
        <f>IF(B48&lt;&gt;"","REQ-"&amp;TEXT(ROW()-5,"000"),"")</f>
        <v/>
      </c>
      <c r="B48" s="4" t="n"/>
      <c r="C48" s="4" t="n"/>
      <c r="D48" s="4" t="n"/>
      <c r="E48" s="4" t="n"/>
      <c r="F48" s="4" t="n"/>
      <c r="G48" s="4" t="n"/>
      <c r="H48" s="4" t="n"/>
      <c r="I48" s="4" t="n"/>
      <c r="J48" s="4" t="n"/>
      <c r="K48" s="4" t="n"/>
      <c r="L48" s="15">
        <f>IF(COUNTA(H48:J48)&gt;=2,"Adequate",IF(COUNTA(H48:J48)=1,"Minimal","Gap"))</f>
        <v/>
      </c>
      <c r="M48" s="4" t="n"/>
      <c r="N48" s="16" t="n"/>
      <c r="O48" s="15">
        <f>IF(L48="Gap","Yes","No")</f>
        <v/>
      </c>
      <c r="P48" s="4" t="n"/>
      <c r="Q48" s="4" t="n"/>
      <c r="R48" s="4" t="n"/>
    </row>
    <row r="49">
      <c r="A49" s="15">
        <f>IF(B49&lt;&gt;"","REQ-"&amp;TEXT(ROW()-5,"000"),"")</f>
        <v/>
      </c>
      <c r="B49" s="4" t="n"/>
      <c r="C49" s="4" t="n"/>
      <c r="D49" s="4" t="n"/>
      <c r="E49" s="4" t="n"/>
      <c r="F49" s="4" t="n"/>
      <c r="G49" s="4" t="n"/>
      <c r="H49" s="4" t="n"/>
      <c r="I49" s="4" t="n"/>
      <c r="J49" s="4" t="n"/>
      <c r="K49" s="4" t="n"/>
      <c r="L49" s="15">
        <f>IF(COUNTA(H49:J49)&gt;=2,"Adequate",IF(COUNTA(H49:J49)=1,"Minimal","Gap"))</f>
        <v/>
      </c>
      <c r="M49" s="4" t="n"/>
      <c r="N49" s="16" t="n"/>
      <c r="O49" s="15">
        <f>IF(L49="Gap","Yes","No")</f>
        <v/>
      </c>
      <c r="P49" s="4" t="n"/>
      <c r="Q49" s="4" t="n"/>
      <c r="R49" s="4" t="n"/>
    </row>
    <row r="50">
      <c r="A50" s="15">
        <f>IF(B50&lt;&gt;"","REQ-"&amp;TEXT(ROW()-5,"000"),"")</f>
        <v/>
      </c>
      <c r="B50" s="4" t="n"/>
      <c r="C50" s="4" t="n"/>
      <c r="D50" s="4" t="n"/>
      <c r="E50" s="4" t="n"/>
      <c r="F50" s="4" t="n"/>
      <c r="G50" s="4" t="n"/>
      <c r="H50" s="4" t="n"/>
      <c r="I50" s="4" t="n"/>
      <c r="J50" s="4" t="n"/>
      <c r="K50" s="4" t="n"/>
      <c r="L50" s="15">
        <f>IF(COUNTA(H50:J50)&gt;=2,"Adequate",IF(COUNTA(H50:J50)=1,"Minimal","Gap"))</f>
        <v/>
      </c>
      <c r="M50" s="4" t="n"/>
      <c r="N50" s="16" t="n"/>
      <c r="O50" s="15">
        <f>IF(L50="Gap","Yes","No")</f>
        <v/>
      </c>
      <c r="P50" s="4" t="n"/>
      <c r="Q50" s="4" t="n"/>
      <c r="R50" s="4" t="n"/>
    </row>
    <row r="51">
      <c r="A51" s="15">
        <f>IF(B51&lt;&gt;"","REQ-"&amp;TEXT(ROW()-5,"000"),"")</f>
        <v/>
      </c>
      <c r="B51" s="4" t="n"/>
      <c r="C51" s="4" t="n"/>
      <c r="D51" s="4" t="n"/>
      <c r="E51" s="4" t="n"/>
      <c r="F51" s="4" t="n"/>
      <c r="G51" s="4" t="n"/>
      <c r="H51" s="4" t="n"/>
      <c r="I51" s="4" t="n"/>
      <c r="J51" s="4" t="n"/>
      <c r="K51" s="4" t="n"/>
      <c r="L51" s="15">
        <f>IF(COUNTA(H51:J51)&gt;=2,"Adequate",IF(COUNTA(H51:J51)=1,"Minimal","Gap"))</f>
        <v/>
      </c>
      <c r="M51" s="4" t="n"/>
      <c r="N51" s="16" t="n"/>
      <c r="O51" s="15">
        <f>IF(L51="Gap","Yes","No")</f>
        <v/>
      </c>
      <c r="P51" s="4" t="n"/>
      <c r="Q51" s="4" t="n"/>
      <c r="R51" s="4" t="n"/>
    </row>
    <row r="52">
      <c r="A52" s="15">
        <f>IF(B52&lt;&gt;"","REQ-"&amp;TEXT(ROW()-5,"000"),"")</f>
        <v/>
      </c>
      <c r="B52" s="4" t="n"/>
      <c r="C52" s="4" t="n"/>
      <c r="D52" s="4" t="n"/>
      <c r="E52" s="4" t="n"/>
      <c r="F52" s="4" t="n"/>
      <c r="G52" s="4" t="n"/>
      <c r="H52" s="4" t="n"/>
      <c r="I52" s="4" t="n"/>
      <c r="J52" s="4" t="n"/>
      <c r="K52" s="4" t="n"/>
      <c r="L52" s="15">
        <f>IF(COUNTA(H52:J52)&gt;=2,"Adequate",IF(COUNTA(H52:J52)=1,"Minimal","Gap"))</f>
        <v/>
      </c>
      <c r="M52" s="4" t="n"/>
      <c r="N52" s="16" t="n"/>
      <c r="O52" s="15">
        <f>IF(L52="Gap","Yes","No")</f>
        <v/>
      </c>
      <c r="P52" s="4" t="n"/>
      <c r="Q52" s="4" t="n"/>
      <c r="R52" s="4" t="n"/>
    </row>
    <row r="53">
      <c r="A53" s="15">
        <f>IF(B53&lt;&gt;"","REQ-"&amp;TEXT(ROW()-5,"000"),"")</f>
        <v/>
      </c>
      <c r="B53" s="4" t="n"/>
      <c r="C53" s="4" t="n"/>
      <c r="D53" s="4" t="n"/>
      <c r="E53" s="4" t="n"/>
      <c r="F53" s="4" t="n"/>
      <c r="G53" s="4" t="n"/>
      <c r="H53" s="4" t="n"/>
      <c r="I53" s="4" t="n"/>
      <c r="J53" s="4" t="n"/>
      <c r="K53" s="4" t="n"/>
      <c r="L53" s="15">
        <f>IF(COUNTA(H53:J53)&gt;=2,"Adequate",IF(COUNTA(H53:J53)=1,"Minimal","Gap"))</f>
        <v/>
      </c>
      <c r="M53" s="4" t="n"/>
      <c r="N53" s="16" t="n"/>
      <c r="O53" s="15">
        <f>IF(L53="Gap","Yes","No")</f>
        <v/>
      </c>
      <c r="P53" s="4" t="n"/>
      <c r="Q53" s="4" t="n"/>
      <c r="R53" s="4" t="n"/>
    </row>
    <row r="54">
      <c r="A54" s="15">
        <f>IF(B54&lt;&gt;"","REQ-"&amp;TEXT(ROW()-5,"000"),"")</f>
        <v/>
      </c>
      <c r="B54" s="4" t="n"/>
      <c r="C54" s="4" t="n"/>
      <c r="D54" s="4" t="n"/>
      <c r="E54" s="4" t="n"/>
      <c r="F54" s="4" t="n"/>
      <c r="G54" s="4" t="n"/>
      <c r="H54" s="4" t="n"/>
      <c r="I54" s="4" t="n"/>
      <c r="J54" s="4" t="n"/>
      <c r="K54" s="4" t="n"/>
      <c r="L54" s="15">
        <f>IF(COUNTA(H54:J54)&gt;=2,"Adequate",IF(COUNTA(H54:J54)=1,"Minimal","Gap"))</f>
        <v/>
      </c>
      <c r="M54" s="4" t="n"/>
      <c r="N54" s="16" t="n"/>
      <c r="O54" s="15">
        <f>IF(L54="Gap","Yes","No")</f>
        <v/>
      </c>
      <c r="P54" s="4" t="n"/>
      <c r="Q54" s="4" t="n"/>
      <c r="R54" s="4" t="n"/>
    </row>
    <row r="55">
      <c r="A55" s="15">
        <f>IF(B55&lt;&gt;"","REQ-"&amp;TEXT(ROW()-5,"000"),"")</f>
        <v/>
      </c>
      <c r="B55" s="4" t="n"/>
      <c r="C55" s="4" t="n"/>
      <c r="D55" s="4" t="n"/>
      <c r="E55" s="4" t="n"/>
      <c r="F55" s="4" t="n"/>
      <c r="G55" s="4" t="n"/>
      <c r="H55" s="4" t="n"/>
      <c r="I55" s="4" t="n"/>
      <c r="J55" s="4" t="n"/>
      <c r="K55" s="4" t="n"/>
      <c r="L55" s="15">
        <f>IF(COUNTA(H55:J55)&gt;=2,"Adequate",IF(COUNTA(H55:J55)=1,"Minimal","Gap"))</f>
        <v/>
      </c>
      <c r="M55" s="4" t="n"/>
      <c r="N55" s="16" t="n"/>
      <c r="O55" s="15">
        <f>IF(L55="Gap","Yes","No")</f>
        <v/>
      </c>
      <c r="P55" s="4" t="n"/>
      <c r="Q55" s="4" t="n"/>
      <c r="R55" s="4" t="n"/>
    </row>
    <row r="57">
      <c r="A57" s="17" t="inlineStr">
        <is>
          <t>COLLECTION COVERAGE SUMMARY</t>
        </is>
      </c>
    </row>
    <row r="58">
      <c r="A58" s="18" t="inlineStr">
        <is>
          <t>Total Requirements:</t>
        </is>
      </c>
      <c r="B58" s="18">
        <f>COUNTA(C6:C55)</f>
        <v/>
      </c>
    </row>
    <row r="59">
      <c r="A59" s="18" t="inlineStr">
        <is>
          <t>Critical Priority:</t>
        </is>
      </c>
      <c r="B59" s="18">
        <f>COUNTIF(D6:D55,"Critical")</f>
        <v/>
      </c>
    </row>
    <row r="60">
      <c r="A60" s="18" t="inlineStr">
        <is>
          <t>High Priority:</t>
        </is>
      </c>
      <c r="B60" s="18">
        <f>COUNTIF(D6:D55,"High")</f>
        <v/>
      </c>
    </row>
    <row r="61">
      <c r="A61" s="18" t="inlineStr">
        <is>
          <t>Coverage Gaps:</t>
        </is>
      </c>
      <c r="B61" s="18">
        <f>COUNTIF(L6:L55,"Gap")</f>
        <v/>
      </c>
    </row>
    <row r="62">
      <c r="A62" s="18" t="inlineStr">
        <is>
          <t>Minimal Coverage:</t>
        </is>
      </c>
      <c r="B62" s="18">
        <f>COUNTIF(L6:L55,"Minimal")</f>
        <v/>
      </c>
    </row>
    <row r="63">
      <c r="A63" s="18" t="inlineStr">
        <is>
          <t>Adequate Coverage:</t>
        </is>
      </c>
      <c r="B63" s="18">
        <f>COUNTIF(L6:L55,"Adequate")</f>
        <v/>
      </c>
    </row>
  </sheetData>
  <mergeCells count="3">
    <mergeCell ref="A2:R2"/>
    <mergeCell ref="A57:D57"/>
    <mergeCell ref="A1:R1"/>
  </mergeCells>
  <conditionalFormatting sqref="L6:L55">
    <cfRule type="cellIs" priority="1" operator="equal" dxfId="0">
      <formula>"Gap"</formula>
    </cfRule>
    <cfRule type="cellIs" priority="2" operator="equal" dxfId="1">
      <formula>"Minimal"</formula>
    </cfRule>
    <cfRule type="cellIs" priority="3" operator="equal" dxfId="2">
      <formula>"Adequate"</formula>
    </cfRule>
  </conditionalFormatting>
  <dataValidations count="27">
    <dataValidation sqref="B6 B7 B8 B9 B10 B11 B12 B13 B14 B15 B16 B17 B18 B19 B20 B21 B22 B23 B24 B25 B26 B27 B28 B29 B30 B31 B32 B33 B34 B35 B36 B37 B38 B39 B40 B41 B42 B43 B44 B45 B46 B47 B48 B49 B50 B51 B52 B53 B54 B55 F6 F7 F8 F9 F10 F11 F12 F13 F14 F15 F16 F17 F18 F19 F20 F21 F22 F23 F24 F25 F26 F27 F28 F29 F30 F31 F32 F33 F34 F35 F36 F37 F38 F39 F40 F41 F42 F43 F44 F45 F46 F47 F48 F49 F50 F51 F52 F53 F54 F55" showDropDown="0" showInputMessage="0" showErrorMessage="0" allowBlank="0" type="list">
      <formula1>"Strategic,Tactical,Operational,Technical"</formula1>
    </dataValidation>
    <dataValidation sqref="D6 D7 D8 D9 D10 D11 D12 D13 D14 D15 D16 D17 D18 D19 D20 D21 D22 D23 D24 D25 D26 D27 D28 D29 D30 D31 D32 D33 D34 D35 D36 D37 D38 D39 D40 D41 D42 D43 D44 D45 D46 D47 D48 D49 D50 D51 D52 D53 D54 D55 E6 E7 E8 E9 E10 E11 E12 E13 E14 E15 E16 E17 E18 E19 E20 E21 E22 E23 E24 E25 E26 E27 E28 E29 E30 E31 E32 E33 E34 E35 E36 E37 E38 E39 E40 E41 E42 E43 E44 E45 E46 E47 E48 E49 E50 E51 E52 E53 E54 E55 H6 H7 H8 H9 H10 H11 H12 H13 H14 H15 H16 H17 H18 H19 H20 H21 H22 H23 H24 H25 H26 H27 H28 H29 H30 H31 H32 H33 H34 H35 H36 H37 H38 H39 H40 H41 H42 H43 H44 H45 H46 H47 H48 H49 H50 H51 H52 H53 H54 H55" showDropDown="0" showInputMessage="0" showErrorMessage="0" allowBlank="0" type="list">
      <formula1>"Critical,High,Medium,Low"</formula1>
    </dataValidation>
    <dataValidation sqref="K6 K7 K8 K9 K10 K11 K12 K13 K14 K15 K16 K17 K18 K19 K20 K21 K22 K23 K24 K25 K26 K27 K28 K29 K30 K31 K32 K33 K34 K35 K36 K37 K38 K39 K40 K41 K42 K43 K44 K45 K46 K47 K48 K49 K50 K51 K52 K53 K54 K55" showDropDown="0" showInputMessage="0" showErrorMessage="0" allowBlank="0" type="list">
      <formula1>"Automated_Feed,Manual_Research,OSINT,Partnership,Internal_Telemetry"</formula1>
    </dataValidation>
    <dataValidation sqref="E6 E7 E8 E9 E10 E11 E12 E13 E14 E15 E16 E17 E18 E19 E20 E21 E22 E23 E24 E25 E26 E27 E28 E29 E30 E31 E32 E33 E34 E35 E36 E37 E38 E39 E40 E41 E42 E43 E44 E45 E46 E47 E48 E49 E50 E51 E52 E53 E54 E55 M6 M7 M8 M9 M10 M11 M12 M13 M14 M15 M16 M17 M18 M19 M20 M21 M22 M23 M24 M25 M26 M27 M28 M29 M30 M31 M32 M33 M34 M35 M36 M37 M38 M39 M40 M41 M42 M43 M44 M45 M46 M47 M48 M49 M50 M51 M52 M53 M54 M55" showDropDown="0" showInputMessage="0" showErrorMessage="0" allowBlank="0" type="list">
      <formula1>"Real-time,Hourly,Daily,Weekly,On_Demand"</formula1>
    </dataValidation>
    <dataValidation sqref="I6 I7 I8 I9 I10 I11 I12 I13 I14 I15 I16 I17 I18 I19 I20 I21 I22 I23 I24 I25 I26 I27 I28 I29 I30 I31 I32 I33 I34 I35 I36 I37 I38 I39 I40 I41 I42 I43 I44 I45 I46 I47 I48 I49 I50 I51 I52 I53 I54 I55" showDropDown="0" showInputMessage="0" showErrorMessage="0" allowBlank="0" type="list">
      <formula1>"Fully_Implemented,Partially_Implemented,Planned,Not_Used"</formula1>
    </dataValidation>
    <dataValidation sqref="N6 N7 N8 N9 N10 N11 N12 N13 N14 N15 N16 N17 N18 N19 N20 N21 N22 N23 N24 N25 N26 N27 N28 N29 N30 N31 N32 N33 N34 N35 N36 N37 N38 N39 N40 N41 N42 N43 N44 N45 N46 N47 N48 N49 N50 N51 N52 N53 N54 N55" showDropDown="0" showInputMessage="0" showErrorMessage="0" allowBlank="1" type="list">
      <formula1>"Excellent,Good,Fair,Poor"</formula1>
    </dataValidation>
    <dataValidation sqref="B6 B7 B8 B9 B10 B11 B12 B13 B14 B15 B16 B17 B18 B19 B20 B21 B22 B23 B24 B25 B26 B27 B28 B29 B30 B31 B32 B33 B34 B35 B36 B37 B38 B39 B40 B41 B42 B43 B44 B45 B46 B47 B48 B49 B50 B51 B52 B53 B54 B55" showDropDown="0" showInputMessage="0" showErrorMessage="0" allowBlank="0" type="list">
      <formula1>"Strategic_Report,Tactical_Brief,Operational_Alert,Technical_Analysis,IOC_Package,Threat_Profile"</formula1>
    </dataValidation>
    <dataValidation sqref="L6 L7 L8 L9 L10 L11 L12 L13 L14 L15 L16 L17 L18 L19 L20 L21 L22 L23 L24 L25 L26 L27 L28 L29 L30 L31 L32 L33 L34 L35 L36 L37 L38 L39 L40 L41 L42 L43 L44 L45 L46 L47 L48 L49 L50 L51 L52 L53 L54 L55 N6 N7 N8 N9 N10 N11 N12 N13 N14 N15 N16 N17 N18 N19 N20 N21 N22 N23 N24 N25 N26 N27 N28 N29 N30 N31 N32 N33 N34 N35 N36 N37 N38 N39 N40 N41 N42 N43 N44 N45 N46 N47 N48 N49 N50 N51 N52 N53 N54 N55" showDropDown="0" showInputMessage="0" showErrorMessage="0" allowBlank="0" type="list">
      <formula1>"Draft,Review,Published,Archived"</formula1>
    </dataValidation>
    <dataValidation sqref="E6 E7 E8 E9 E10 E11 E12 E13 E14 E15 E16 E17 E18 E19 E20 E21 E22 E23 E24 E25 E26 E27 E28 E29 E30 E31 E32 E33 E34 E35 E36 E37 E38 E39 E40 E41 E42 E43 E44 E45 E46 E47 E48 E49 E50 E51 E52 E53 E54 E55 H6 H7 H8 H9 H10 H11 H12 H13 H14 H15 H16 H17 H18 H19 H20 H21 H22 H23 H24 H25 H26 H27 H28 H29 H30 H31 H32 H33 H34 H35 H36 H37 H38 H39 H40 H41 H42 H43 H44 H45 H46 H47 H48 H49 H50 H51 H52 H53 H54 H55" showDropDown="0" showInputMessage="0" showErrorMessage="0" allowBlank="0" type="list">
      <formula1>"High,Medium,Low,Unconfirmed"</formula1>
    </dataValidation>
    <dataValidation sqref="G6 G7 G8 G9 G10 G11 G12 G13 G14 G15 G16 G17 G18 G19 G20 G21 G22 G23 G24 G25 G26 G27 G28 G29 G30 G31 G32 G33 G34 G35 G36 G37 G38 G39 G40 G41 G42 G43 G44 G45 G46 G47 G48 G49 G50 G51 G52 G53 G54 G55" showDropDown="0" showInputMessage="0" showErrorMessage="0" allowBlank="0" type="list">
      <formula1>"TLP:CLEAR,TLP:GREEN,TLP:AMBER,TLP:AMBER+STRICT,TLP:RED"</formula1>
    </dataValidation>
    <dataValidation sqref="F6 F7 F8 F9 F10 F11 F12 F13 F14 F15 F16 F17 F18 F19 F20 F21 F22 F23 F24 F25 F26 F27 F28 F29 F30 F31 F32 F33 F34 F35 F36 F37 F38 F39 F40 F41 F42 F43 F44 F45 F46 F47 F48 F49 F50 F51 F52 F53 F54 F55" showDropDown="0" showInputMessage="0" showErrorMessage="0" allowBlank="0" type="list">
      <formula1>"Full,Partial,Limited,None"</formula1>
    </dataValidation>
    <dataValidation sqref="D6 D7 D8 D9 D10 D11 D12 D13 D14 D15 D16 D17 D18 D19 D20 D21 D22 D23 D24 D25 D26 D27 D28 D29 D30 D31 D32 D33 D34 D35 D36 D37 D38 D39 D40 D41 D42 D43 D44 D45 D46 D47 D48 D49 D50 D51 D52 D53 D54 D55" showDropDown="0" showInputMessage="0" showErrorMessage="0" allowBlank="1" type="list">
      <formula1>"Nation-State,Criminal_Syndicate,Hacktivist,Insider_Threat,Script_Kiddie,Unknown"</formula1>
    </dataValidation>
    <dataValidation sqref="I6 I7 I8 I9 I10 I11 I12 I13 I14 I15 I16 I17 I18 I19 I20 I21 I22 I23 I24 I25 I26 I27 I28 I29 I30 I31 I32 I33 I34 I35 I36 I37 I38 I39 I40 I41 I42 I43 I44 I45 I46 I47 I48 I49 I50 I51 I52 I53 I54 I55 M6 M7 M8 M9 M10 M11 M12 M13 M14 M15 M16 M17 M18 M19 M20 M21 M22 M23 M24 M25 M26 M27 M28 M29 M30 M31 M32 M33 M34 M35 M36 M37 M38 M39 M40 M41 M42 M43 M44 M45 M46 M47 M48 M49 M50 M51 M52 M53 M54 M55" showDropDown="0" showInputMessage="0" showErrorMessage="0" allowBlank="0" type="list">
      <formula1>"Yes,No"</formula1>
    </dataValidation>
    <dataValidation sqref="B5 B6 B7 B8 B9 B10 B11 B12 B13 B14 B15 B16 B17 B18 B19 B20 B21 B22 B23 B24 C5 C6 C7 C8 C9 C10 C11 C12 C13 C14 C15 C16 C17 C18 C19 C20 C21 C22 C23 C24" showDropDown="0" showInputMessage="0" showErrorMessage="0" allowBlank="0" type="list">
      <formula1>"1 - Initial,2 - Managed,3 - Defined,4 - Quantitatively Managed,5 - Optimizing"</formula1>
    </dataValidation>
    <dataValidation sqref="G6 G7 G8 G9 G10 G11 G12 G13 G14 G15 G16 G17 G18 G19 G20 G21 G22 G23 G24 G25 G26 G27 G28 G29 G30 G31 G32 G33 G34 G35 G36 G37 G38 G39 G40 G41 G42 G43 G44 G45 G46 G47 G48 G49 G50 G51 G52 G53 G54 G55" showDropDown="0" showInputMessage="0" showErrorMessage="0" allowBlank="0" type="list">
      <formula1>"Open,In_Progress,Blocked,Resolved,Closed"</formula1>
    </dataValidation>
    <dataValidation sqref="C6 C7 C8 C9 C10 C11 C12 C13 C14 C15 C16 C17 C18 C19 C20 C21 C22 C23 C24 C25 C26 C27 C28 C29 C30 C31 C32 C33 C34 C35 C36 C37 C38 C39 C40 C41 C42 C43 C44 C45 C46 C47 C48 C49 C50 C51 C52 C53 C54 C55" showDropDown="0" showInputMessage="0" showErrorMessage="0" allowBlank="1" type="list">
      <formula1>"TIP,SIEM,Malware_Analysis,OSINT,Collaboration,Visualization,Scripting,Other"</formula1>
    </dataValidation>
    <dataValidation sqref="E6 E7 E8 E9 E10 E11 E12 E13 E14 E15 E16 E17 E18 E19 E20 E21 E22 E23 E24 E25 E26 E27 E28 E29 E30 E31 E32 E33 E34 E35 E36 E37 E38 E39 E40 E41 E42 E43 E44 E45 E46 E47 E48 E49 E50 E51 E52 E53 E54 E55" showDropDown="0" showInputMessage="0" showErrorMessage="0" allowBlank="1" type="list">
      <formula1>"Commercial,Open_Source,Freeware,Internal_Developed"</formula1>
    </dataValidation>
    <dataValidation sqref="J6 J7 J8 J9 J10 J11 J12 J13 J14 J15 J16 J17 J18 J19 J20 J21 J22 J23 J24 J25 J26 J27 J28 J29 J30 J31 J32 J33 J34 J35 J36 J37 J38 J39 J40 J41 J42 J43 J44 J45 J46 J47 J48 J49 J50 J51 J52 J53 J54 J55" showDropDown="0" showInputMessage="0" showErrorMessage="0" allowBlank="1" type="list">
      <formula1>"Yes,No,N/A"</formula1>
    </dataValidation>
    <dataValidation sqref="I6 I7 I8 I9 I10 I11 I12 I13 I14 I15 I16 I17 I18 I19 I20 I21 I22 I23 I24 I25 I26 I27 I28 I29 I30 I31 I32 I33 I34 I35 I36 I37 I38 I39 I40 I41 I42 I43 I44 I45 I46 I47 I48 I49 I50 I51 I52 I53 I54 I55 J6 J7 J8 J9 J10 J11 J12 J13 J14 J15 J16 J17 J18 J19 J20 J21 J22 J23 J24 J25 J26 J27 J28 J29 J30 J31 J32 J33 J34 J35 J36 J37 J38 J39 J40 J41 J42 J43 J44 J45 J46 J47 J48 J49 J50 J51 J52 J53 J54 J55" showDropDown="0" showInputMessage="0" showErrorMessage="0" allowBlank="1" type="list">
      <formula1>"Yes,No,Unknown"</formula1>
    </dataValidation>
    <dataValidation sqref="J6 J7 J8 J9 J10 J11 J12 J13 J14 J15 J16 J17 J18 J19 J20 J21 J22 J23 J24 J25 J26 J27 J28 J29 J30 J31 J32 J33 J34 J35 J36 J37 J38 J39 J40 J41 J42 J43 J44 J45 J46 J47 J48 J49 J50 J51 J52 J53 J54 J55 K6 K7 K8 K9 K10 K11 K12 K13 K14 K15 K16 K17 K18 K19 K20 K21 K22 K23 K24 K25 K26 K27 K28 K29 K30 K31 K32 K33 K34 K35 K36 K37 K38 K39 K40 K41 K42 K43 K44 K45 K46 K47 K48 K49 K50 K51 K52 K53 K54 K55" showDropDown="0" showInputMessage="0" showErrorMessage="0" allowBlank="1" type="list">
      <formula1>"Confirmed,Suspected,No,Unknown"</formula1>
    </dataValidation>
    <dataValidation sqref="K6 K7 K8 K9 K10 K11 K12 K13 K14 K15 K16 K17 K18 K19 K20 K21 K22 K23 K24 K25 K26 K27 K28 K29 K30 K31 K32 K33 K34 K35 K36 K37 K38 K39 K40 K41 K42 K43 K44 K45 K46 K47 K48 K49 K50 K51 K52 K53 K54 K55" showDropDown="0" showInputMessage="0" showErrorMessage="0" allowBlank="1" type="list">
      <formula1>"Espionage,Financial,Disruption,Ideology,Unknown"</formula1>
    </dataValidation>
    <dataValidation sqref="L6 L7 L8 L9 L10 L11 L12 L13 L14 L15 L16 L17 L18 L19 L20 L21 L22 L23 L24 L25 L26 L27 L28 L29 L30 L31 L32 L33 L34 L35 L36 L37 L38 L39 L40 L41 L42 L43 L44 L45 L46 L47 L48 L49 L50 L51 L52 L53 L54 L55" showDropDown="0" showInputMessage="0" showErrorMessage="0" allowBlank="1" type="list">
      <formula1>"Advanced,Moderate,Low"</formula1>
    </dataValidation>
    <dataValidation sqref="G6 G7 G8 G9 G10 G11 G12 G13 G14 G15 G16 G17 G18 G19 G20 G21 G22 G23 G24 G25 G26 G27 G28 G29 G30 G31 G32 G33 G34 G35 G36 G37 G38 G39 G40 G41 G42 G43 G44 G45 G46 G47 G48 G49 G50 G51 G52 G53 G54 G55" showDropDown="0" showInputMessage="0" showErrorMessage="0" allowBlank="1" type="list">
      <formula1>"Active,Concluded,Dormant,Unknown"</formula1>
    </dataValidation>
    <dataValidation sqref="L6 L7 L8 L9 L10 L11 L12 L13 L14 L15 L16 L17 L18 L19 L20 L21 L22 L23 L24 L25 L26 L27 L28 L29 L30 L31 L32 L33 L34 L35 L36 L37 L38 L39 L40 L41 L42 L43 L44 L45 L46 L47 L48 L49 L50 L51 L52 L53 L54 L55" showDropDown="0" showInputMessage="0" showErrorMessage="0" allowBlank="1" type="list">
      <formula1>"Espionage,Data_Theft,Disruption,Ransomware,Credential_Harvesting,Other"</formula1>
    </dataValidation>
    <dataValidation sqref="U6 U7 U8 U9 U10 U11 U12 U13 U14 U15 U16 U17 U18 U19 U20 U21 U22 U23 U24 U25 U26 U27 U28 U29 U30 U31 U32 U33 U34 U35 U36 U37 U38 U39 U40 U41 U42 U43 U44 U45 U46 U47 U48 U49 U50 U51 U52 U53 U54 U55" showDropDown="0" showInputMessage="0" showErrorMessage="0" allowBlank="1" type="list">
      <formula1>"Critical,High,Medium,Low"</formula1>
    </dataValidation>
    <dataValidation sqref="V6 V7 V8 V9 V10 V11 V12 V13 V14 V15 V16 V17 V18 V19 V20 V21 V22 V23 V24 V25 V26 V27 V28 V29 V30 V31 V32 V33 V34 V35 V36 V37 V38 V39 V40 V41 V42 V43 V44 V45 V46 V47 V48 V49 V50 V51 V52 V53 V54 V55" showDropDown="0" showInputMessage="0" showErrorMessage="0" allowBlank="1" type="list">
      <formula1>"Active_Monitoring,Passive_Monitoring,Concluded"</formula1>
    </dataValidation>
    <dataValidation sqref="H6 H7 H8 H9 H10 H11 H12 H13 H14 H15 H16 H17 H18 H19 H20 H21 H22 H23 H24 H25 H26 H27 H28 H29 H30 H31 H32 H33 H34 H35 H36 H37 H38 H39 H40 H41 H42 H43 H44 H45 H46 H47 H48 H49 H50 H51 H52 H53 H54 H55" showDropDown="0" showInputMessage="0" showErrorMessage="0" allowBlank="1" type="list">
      <formula1>"Integrated,Standalone,Planned,Deprecated"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62"/>
  <sheetViews>
    <sheetView showGridLines="0" workbookViewId="0">
      <pane ySplit="3" topLeftCell="A4" activePane="bottomLeft" state="frozen"/>
      <selection pane="bottomLeft" activeCell="A1" sqref="A1"/>
    </sheetView>
  </sheetViews>
  <sheetFormatPr baseColWidth="8" defaultRowHeight="15"/>
  <cols>
    <col width="12" customWidth="1" min="1" max="1"/>
    <col width="30" customWidth="1" min="2" max="2"/>
    <col width="20" customWidth="1" min="3" max="3"/>
    <col width="15" customWidth="1" min="4" max="4"/>
    <col width="18" customWidth="1" min="5" max="5"/>
    <col width="20" customWidth="1" min="6" max="6"/>
    <col width="20" customWidth="1" min="7" max="7"/>
    <col width="30" customWidth="1" min="8" max="8"/>
    <col width="18" customWidth="1" min="9" max="9"/>
    <col width="20" customWidth="1" min="10" max="10"/>
    <col width="14" customWidth="1" min="11" max="11"/>
    <col width="14" customWidth="1" min="12" max="12"/>
    <col width="25" customWidth="1" min="13" max="13"/>
    <col width="18" customWidth="1" min="14" max="14"/>
    <col width="14" customWidth="1" min="15" max="15"/>
    <col width="35" customWidth="1" min="16" max="16"/>
  </cols>
  <sheetData>
    <row r="1" ht="35" customHeight="1">
      <c r="A1" s="11" t="inlineStr">
        <is>
          <t>COLLECTION SOURCES</t>
        </is>
      </c>
    </row>
    <row r="2">
      <c r="A2" s="12" t="inlineStr">
        <is>
          <t>Document collection workflows for each source from A.5.7.1. Map data formats, update frequency, and integration status.</t>
        </is>
      </c>
    </row>
    <row r="4">
      <c r="A4" s="13" t="inlineStr">
        <is>
          <t>Source ID</t>
        </is>
      </c>
      <c r="B4" s="13" t="inlineStr">
        <is>
          <t>Source Name</t>
        </is>
      </c>
      <c r="C4" s="13" t="inlineStr">
        <is>
          <t>Source Type</t>
        </is>
      </c>
      <c r="D4" s="13" t="inlineStr">
        <is>
          <t>Data Format</t>
        </is>
      </c>
      <c r="E4" s="13" t="inlineStr">
        <is>
          <t>Update Frequency</t>
        </is>
      </c>
      <c r="F4" s="13" t="inlineStr">
        <is>
          <t>Coverage Geographic</t>
        </is>
      </c>
      <c r="G4" s="13" t="inlineStr">
        <is>
          <t>Coverage Sector</t>
        </is>
      </c>
      <c r="H4" s="13" t="inlineStr">
        <is>
          <t>Coverage Threat Types</t>
        </is>
      </c>
      <c r="I4" s="13" t="inlineStr">
        <is>
          <t>Integration Status</t>
        </is>
      </c>
      <c r="J4" s="13" t="inlineStr">
        <is>
          <t>Integration Platform</t>
        </is>
      </c>
      <c r="K4" s="13" t="inlineStr">
        <is>
          <t>Cost Annual</t>
        </is>
      </c>
      <c r="L4" s="13" t="inlineStr">
        <is>
          <t>Contract Expiry</t>
        </is>
      </c>
      <c r="M4" s="13" t="inlineStr">
        <is>
          <t>Primary Contact</t>
        </is>
      </c>
      <c r="N4" s="13" t="inlineStr">
        <is>
          <t>Data Quality Rating</t>
        </is>
      </c>
      <c r="O4" s="13" t="inlineStr">
        <is>
          <t>Last Review Date</t>
        </is>
      </c>
      <c r="P4" s="13" t="inlineStr">
        <is>
          <t>Notes</t>
        </is>
      </c>
    </row>
    <row r="5">
      <c r="A5" s="14" t="inlineStr">
        <is>
          <t>SRC-001</t>
        </is>
      </c>
      <c r="B5" s="14" t="inlineStr">
        <is>
          <t>MISP Community</t>
        </is>
      </c>
      <c r="C5" s="14" t="inlineStr">
        <is>
          <t>OSINT</t>
        </is>
      </c>
      <c r="D5" s="14" t="inlineStr">
        <is>
          <t>STIX/TAXII</t>
        </is>
      </c>
      <c r="E5" s="14" t="inlineStr">
        <is>
          <t>Daily</t>
        </is>
      </c>
      <c r="F5" s="14" t="inlineStr">
        <is>
          <t>Global</t>
        </is>
      </c>
      <c r="G5" s="14" t="inlineStr">
        <is>
          <t>Finance/Tech</t>
        </is>
      </c>
      <c r="H5" s="14" t="inlineStr">
        <is>
          <t>APT/Ransomware</t>
        </is>
      </c>
      <c r="I5" s="14" t="inlineStr">
        <is>
          <t>Fully_Implemented</t>
        </is>
      </c>
      <c r="J5" s="14" t="inlineStr">
        <is>
          <t>REST API</t>
        </is>
      </c>
      <c r="K5" s="14" t="n"/>
      <c r="L5" s="14" t="n"/>
      <c r="M5" s="14" t="inlineStr">
        <is>
          <t>J. Smith</t>
        </is>
      </c>
      <c r="N5" s="14" t="inlineStr">
        <is>
          <t>Good</t>
        </is>
      </c>
      <c r="O5" s="14" t="inlineStr">
        <is>
          <t>25.01.2026</t>
        </is>
      </c>
      <c r="P5" s="14" t="n"/>
    </row>
    <row r="6">
      <c r="A6" s="15" t="n"/>
      <c r="B6" s="4" t="n"/>
      <c r="C6" s="4" t="n"/>
      <c r="D6" s="4" t="n"/>
      <c r="E6" s="4" t="n"/>
      <c r="F6" s="4" t="n"/>
      <c r="G6" s="4" t="n"/>
      <c r="H6" s="4" t="n"/>
      <c r="I6" s="4" t="n"/>
      <c r="J6" s="4" t="n"/>
      <c r="K6" s="19" t="n"/>
      <c r="L6" s="16" t="n"/>
      <c r="M6" s="4" t="n"/>
      <c r="N6" s="4" t="n"/>
      <c r="O6" s="16" t="n"/>
      <c r="P6" s="4" t="n"/>
    </row>
    <row r="7">
      <c r="A7" s="15" t="n"/>
      <c r="B7" s="4" t="n"/>
      <c r="C7" s="4" t="n"/>
      <c r="D7" s="4" t="n"/>
      <c r="E7" s="4" t="n"/>
      <c r="F7" s="4" t="n"/>
      <c r="G7" s="4" t="n"/>
      <c r="H7" s="4" t="n"/>
      <c r="I7" s="4" t="n"/>
      <c r="J7" s="4" t="n"/>
      <c r="K7" s="19" t="n"/>
      <c r="L7" s="16" t="n"/>
      <c r="M7" s="4" t="n"/>
      <c r="N7" s="4" t="n"/>
      <c r="O7" s="16" t="n"/>
      <c r="P7" s="4" t="n"/>
    </row>
    <row r="8">
      <c r="A8" s="15" t="n"/>
      <c r="B8" s="4" t="n"/>
      <c r="C8" s="4" t="n"/>
      <c r="D8" s="4" t="n"/>
      <c r="E8" s="4" t="n"/>
      <c r="F8" s="4" t="n"/>
      <c r="G8" s="4" t="n"/>
      <c r="H8" s="4" t="n"/>
      <c r="I8" s="4" t="n"/>
      <c r="J8" s="4" t="n"/>
      <c r="K8" s="19" t="n"/>
      <c r="L8" s="16" t="n"/>
      <c r="M8" s="4" t="n"/>
      <c r="N8" s="4" t="n"/>
      <c r="O8" s="16" t="n"/>
      <c r="P8" s="4" t="n"/>
    </row>
    <row r="9">
      <c r="A9" s="15" t="n"/>
      <c r="B9" s="4" t="n"/>
      <c r="C9" s="4" t="n"/>
      <c r="D9" s="4" t="n"/>
      <c r="E9" s="4" t="n"/>
      <c r="F9" s="4" t="n"/>
      <c r="G9" s="4" t="n"/>
      <c r="H9" s="4" t="n"/>
      <c r="I9" s="4" t="n"/>
      <c r="J9" s="4" t="n"/>
      <c r="K9" s="19" t="n"/>
      <c r="L9" s="16" t="n"/>
      <c r="M9" s="4" t="n"/>
      <c r="N9" s="4" t="n"/>
      <c r="O9" s="16" t="n"/>
      <c r="P9" s="4" t="n"/>
    </row>
    <row r="10">
      <c r="A10" s="15" t="n"/>
      <c r="B10" s="4" t="n"/>
      <c r="C10" s="4" t="n"/>
      <c r="D10" s="4" t="n"/>
      <c r="E10" s="4" t="n"/>
      <c r="F10" s="4" t="n"/>
      <c r="G10" s="4" t="n"/>
      <c r="H10" s="4" t="n"/>
      <c r="I10" s="4" t="n"/>
      <c r="J10" s="4" t="n"/>
      <c r="K10" s="19" t="n"/>
      <c r="L10" s="16" t="n"/>
      <c r="M10" s="4" t="n"/>
      <c r="N10" s="4" t="n"/>
      <c r="O10" s="16" t="n"/>
      <c r="P10" s="4" t="n"/>
    </row>
    <row r="11">
      <c r="A11" s="15" t="n"/>
      <c r="B11" s="4" t="n"/>
      <c r="C11" s="4" t="n"/>
      <c r="D11" s="4" t="n"/>
      <c r="E11" s="4" t="n"/>
      <c r="F11" s="4" t="n"/>
      <c r="G11" s="4" t="n"/>
      <c r="H11" s="4" t="n"/>
      <c r="I11" s="4" t="n"/>
      <c r="J11" s="4" t="n"/>
      <c r="K11" s="19" t="n"/>
      <c r="L11" s="16" t="n"/>
      <c r="M11" s="4" t="n"/>
      <c r="N11" s="4" t="n"/>
      <c r="O11" s="16" t="n"/>
      <c r="P11" s="4" t="n"/>
    </row>
    <row r="12">
      <c r="A12" s="15" t="n"/>
      <c r="B12" s="4" t="n"/>
      <c r="C12" s="4" t="n"/>
      <c r="D12" s="4" t="n"/>
      <c r="E12" s="4" t="n"/>
      <c r="F12" s="4" t="n"/>
      <c r="G12" s="4" t="n"/>
      <c r="H12" s="4" t="n"/>
      <c r="I12" s="4" t="n"/>
      <c r="J12" s="4" t="n"/>
      <c r="K12" s="19" t="n"/>
      <c r="L12" s="16" t="n"/>
      <c r="M12" s="4" t="n"/>
      <c r="N12" s="4" t="n"/>
      <c r="O12" s="16" t="n"/>
      <c r="P12" s="4" t="n"/>
    </row>
    <row r="13">
      <c r="A13" s="15" t="n"/>
      <c r="B13" s="4" t="n"/>
      <c r="C13" s="4" t="n"/>
      <c r="D13" s="4" t="n"/>
      <c r="E13" s="4" t="n"/>
      <c r="F13" s="4" t="n"/>
      <c r="G13" s="4" t="n"/>
      <c r="H13" s="4" t="n"/>
      <c r="I13" s="4" t="n"/>
      <c r="J13" s="4" t="n"/>
      <c r="K13" s="19" t="n"/>
      <c r="L13" s="16" t="n"/>
      <c r="M13" s="4" t="n"/>
      <c r="N13" s="4" t="n"/>
      <c r="O13" s="16" t="n"/>
      <c r="P13" s="4" t="n"/>
    </row>
    <row r="14">
      <c r="A14" s="15" t="n"/>
      <c r="B14" s="4" t="n"/>
      <c r="C14" s="4" t="n"/>
      <c r="D14" s="4" t="n"/>
      <c r="E14" s="4" t="n"/>
      <c r="F14" s="4" t="n"/>
      <c r="G14" s="4" t="n"/>
      <c r="H14" s="4" t="n"/>
      <c r="I14" s="4" t="n"/>
      <c r="J14" s="4" t="n"/>
      <c r="K14" s="19" t="n"/>
      <c r="L14" s="16" t="n"/>
      <c r="M14" s="4" t="n"/>
      <c r="N14" s="4" t="n"/>
      <c r="O14" s="16" t="n"/>
      <c r="P14" s="4" t="n"/>
    </row>
    <row r="15">
      <c r="A15" s="15" t="n"/>
      <c r="B15" s="4" t="n"/>
      <c r="C15" s="4" t="n"/>
      <c r="D15" s="4" t="n"/>
      <c r="E15" s="4" t="n"/>
      <c r="F15" s="4" t="n"/>
      <c r="G15" s="4" t="n"/>
      <c r="H15" s="4" t="n"/>
      <c r="I15" s="4" t="n"/>
      <c r="J15" s="4" t="n"/>
      <c r="K15" s="19" t="n"/>
      <c r="L15" s="16" t="n"/>
      <c r="M15" s="4" t="n"/>
      <c r="N15" s="4" t="n"/>
      <c r="O15" s="16" t="n"/>
      <c r="P15" s="4" t="n"/>
    </row>
    <row r="16">
      <c r="A16" s="15" t="n"/>
      <c r="B16" s="4" t="n"/>
      <c r="C16" s="4" t="n"/>
      <c r="D16" s="4" t="n"/>
      <c r="E16" s="4" t="n"/>
      <c r="F16" s="4" t="n"/>
      <c r="G16" s="4" t="n"/>
      <c r="H16" s="4" t="n"/>
      <c r="I16" s="4" t="n"/>
      <c r="J16" s="4" t="n"/>
      <c r="K16" s="19" t="n"/>
      <c r="L16" s="16" t="n"/>
      <c r="M16" s="4" t="n"/>
      <c r="N16" s="4" t="n"/>
      <c r="O16" s="16" t="n"/>
      <c r="P16" s="4" t="n"/>
    </row>
    <row r="17">
      <c r="A17" s="15" t="n"/>
      <c r="B17" s="4" t="n"/>
      <c r="C17" s="4" t="n"/>
      <c r="D17" s="4" t="n"/>
      <c r="E17" s="4" t="n"/>
      <c r="F17" s="4" t="n"/>
      <c r="G17" s="4" t="n"/>
      <c r="H17" s="4" t="n"/>
      <c r="I17" s="4" t="n"/>
      <c r="J17" s="4" t="n"/>
      <c r="K17" s="19" t="n"/>
      <c r="L17" s="16" t="n"/>
      <c r="M17" s="4" t="n"/>
      <c r="N17" s="4" t="n"/>
      <c r="O17" s="16" t="n"/>
      <c r="P17" s="4" t="n"/>
    </row>
    <row r="18">
      <c r="A18" s="15" t="n"/>
      <c r="B18" s="4" t="n"/>
      <c r="C18" s="4" t="n"/>
      <c r="D18" s="4" t="n"/>
      <c r="E18" s="4" t="n"/>
      <c r="F18" s="4" t="n"/>
      <c r="G18" s="4" t="n"/>
      <c r="H18" s="4" t="n"/>
      <c r="I18" s="4" t="n"/>
      <c r="J18" s="4" t="n"/>
      <c r="K18" s="19" t="n"/>
      <c r="L18" s="16" t="n"/>
      <c r="M18" s="4" t="n"/>
      <c r="N18" s="4" t="n"/>
      <c r="O18" s="16" t="n"/>
      <c r="P18" s="4" t="n"/>
    </row>
    <row r="19">
      <c r="A19" s="15" t="n"/>
      <c r="B19" s="4" t="n"/>
      <c r="C19" s="4" t="n"/>
      <c r="D19" s="4" t="n"/>
      <c r="E19" s="4" t="n"/>
      <c r="F19" s="4" t="n"/>
      <c r="G19" s="4" t="n"/>
      <c r="H19" s="4" t="n"/>
      <c r="I19" s="4" t="n"/>
      <c r="J19" s="4" t="n"/>
      <c r="K19" s="19" t="n"/>
      <c r="L19" s="16" t="n"/>
      <c r="M19" s="4" t="n"/>
      <c r="N19" s="4" t="n"/>
      <c r="O19" s="16" t="n"/>
      <c r="P19" s="4" t="n"/>
    </row>
    <row r="20">
      <c r="A20" s="15" t="n"/>
      <c r="B20" s="4" t="n"/>
      <c r="C20" s="4" t="n"/>
      <c r="D20" s="4" t="n"/>
      <c r="E20" s="4" t="n"/>
      <c r="F20" s="4" t="n"/>
      <c r="G20" s="4" t="n"/>
      <c r="H20" s="4" t="n"/>
      <c r="I20" s="4" t="n"/>
      <c r="J20" s="4" t="n"/>
      <c r="K20" s="19" t="n"/>
      <c r="L20" s="16" t="n"/>
      <c r="M20" s="4" t="n"/>
      <c r="N20" s="4" t="n"/>
      <c r="O20" s="16" t="n"/>
      <c r="P20" s="4" t="n"/>
    </row>
    <row r="21">
      <c r="A21" s="15" t="n"/>
      <c r="B21" s="4" t="n"/>
      <c r="C21" s="4" t="n"/>
      <c r="D21" s="4" t="n"/>
      <c r="E21" s="4" t="n"/>
      <c r="F21" s="4" t="n"/>
      <c r="G21" s="4" t="n"/>
      <c r="H21" s="4" t="n"/>
      <c r="I21" s="4" t="n"/>
      <c r="J21" s="4" t="n"/>
      <c r="K21" s="19" t="n"/>
      <c r="L21" s="16" t="n"/>
      <c r="M21" s="4" t="n"/>
      <c r="N21" s="4" t="n"/>
      <c r="O21" s="16" t="n"/>
      <c r="P21" s="4" t="n"/>
    </row>
    <row r="22">
      <c r="A22" s="15" t="n"/>
      <c r="B22" s="4" t="n"/>
      <c r="C22" s="4" t="n"/>
      <c r="D22" s="4" t="n"/>
      <c r="E22" s="4" t="n"/>
      <c r="F22" s="4" t="n"/>
      <c r="G22" s="4" t="n"/>
      <c r="H22" s="4" t="n"/>
      <c r="I22" s="4" t="n"/>
      <c r="J22" s="4" t="n"/>
      <c r="K22" s="19" t="n"/>
      <c r="L22" s="16" t="n"/>
      <c r="M22" s="4" t="n"/>
      <c r="N22" s="4" t="n"/>
      <c r="O22" s="16" t="n"/>
      <c r="P22" s="4" t="n"/>
    </row>
    <row r="23">
      <c r="A23" s="15" t="n"/>
      <c r="B23" s="4" t="n"/>
      <c r="C23" s="4" t="n"/>
      <c r="D23" s="4" t="n"/>
      <c r="E23" s="4" t="n"/>
      <c r="F23" s="4" t="n"/>
      <c r="G23" s="4" t="n"/>
      <c r="H23" s="4" t="n"/>
      <c r="I23" s="4" t="n"/>
      <c r="J23" s="4" t="n"/>
      <c r="K23" s="19" t="n"/>
      <c r="L23" s="16" t="n"/>
      <c r="M23" s="4" t="n"/>
      <c r="N23" s="4" t="n"/>
      <c r="O23" s="16" t="n"/>
      <c r="P23" s="4" t="n"/>
    </row>
    <row r="24">
      <c r="A24" s="15" t="n"/>
      <c r="B24" s="4" t="n"/>
      <c r="C24" s="4" t="n"/>
      <c r="D24" s="4" t="n"/>
      <c r="E24" s="4" t="n"/>
      <c r="F24" s="4" t="n"/>
      <c r="G24" s="4" t="n"/>
      <c r="H24" s="4" t="n"/>
      <c r="I24" s="4" t="n"/>
      <c r="J24" s="4" t="n"/>
      <c r="K24" s="19" t="n"/>
      <c r="L24" s="16" t="n"/>
      <c r="M24" s="4" t="n"/>
      <c r="N24" s="4" t="n"/>
      <c r="O24" s="16" t="n"/>
      <c r="P24" s="4" t="n"/>
    </row>
    <row r="25">
      <c r="A25" s="15" t="n"/>
      <c r="B25" s="4" t="n"/>
      <c r="C25" s="4" t="n"/>
      <c r="D25" s="4" t="n"/>
      <c r="E25" s="4" t="n"/>
      <c r="F25" s="4" t="n"/>
      <c r="G25" s="4" t="n"/>
      <c r="H25" s="4" t="n"/>
      <c r="I25" s="4" t="n"/>
      <c r="J25" s="4" t="n"/>
      <c r="K25" s="19" t="n"/>
      <c r="L25" s="16" t="n"/>
      <c r="M25" s="4" t="n"/>
      <c r="N25" s="4" t="n"/>
      <c r="O25" s="16" t="n"/>
      <c r="P25" s="4" t="n"/>
    </row>
    <row r="26">
      <c r="A26" s="15" t="n"/>
      <c r="B26" s="4" t="n"/>
      <c r="C26" s="4" t="n"/>
      <c r="D26" s="4" t="n"/>
      <c r="E26" s="4" t="n"/>
      <c r="F26" s="4" t="n"/>
      <c r="G26" s="4" t="n"/>
      <c r="H26" s="4" t="n"/>
      <c r="I26" s="4" t="n"/>
      <c r="J26" s="4" t="n"/>
      <c r="K26" s="19" t="n"/>
      <c r="L26" s="16" t="n"/>
      <c r="M26" s="4" t="n"/>
      <c r="N26" s="4" t="n"/>
      <c r="O26" s="16" t="n"/>
      <c r="P26" s="4" t="n"/>
    </row>
    <row r="27">
      <c r="A27" s="15" t="n"/>
      <c r="B27" s="4" t="n"/>
      <c r="C27" s="4" t="n"/>
      <c r="D27" s="4" t="n"/>
      <c r="E27" s="4" t="n"/>
      <c r="F27" s="4" t="n"/>
      <c r="G27" s="4" t="n"/>
      <c r="H27" s="4" t="n"/>
      <c r="I27" s="4" t="n"/>
      <c r="J27" s="4" t="n"/>
      <c r="K27" s="19" t="n"/>
      <c r="L27" s="16" t="n"/>
      <c r="M27" s="4" t="n"/>
      <c r="N27" s="4" t="n"/>
      <c r="O27" s="16" t="n"/>
      <c r="P27" s="4" t="n"/>
    </row>
    <row r="28">
      <c r="A28" s="15" t="n"/>
      <c r="B28" s="4" t="n"/>
      <c r="C28" s="4" t="n"/>
      <c r="D28" s="4" t="n"/>
      <c r="E28" s="4" t="n"/>
      <c r="F28" s="4" t="n"/>
      <c r="G28" s="4" t="n"/>
      <c r="H28" s="4" t="n"/>
      <c r="I28" s="4" t="n"/>
      <c r="J28" s="4" t="n"/>
      <c r="K28" s="19" t="n"/>
      <c r="L28" s="16" t="n"/>
      <c r="M28" s="4" t="n"/>
      <c r="N28" s="4" t="n"/>
      <c r="O28" s="16" t="n"/>
      <c r="P28" s="4" t="n"/>
    </row>
    <row r="29">
      <c r="A29" s="15" t="n"/>
      <c r="B29" s="4" t="n"/>
      <c r="C29" s="4" t="n"/>
      <c r="D29" s="4" t="n"/>
      <c r="E29" s="4" t="n"/>
      <c r="F29" s="4" t="n"/>
      <c r="G29" s="4" t="n"/>
      <c r="H29" s="4" t="n"/>
      <c r="I29" s="4" t="n"/>
      <c r="J29" s="4" t="n"/>
      <c r="K29" s="19" t="n"/>
      <c r="L29" s="16" t="n"/>
      <c r="M29" s="4" t="n"/>
      <c r="N29" s="4" t="n"/>
      <c r="O29" s="16" t="n"/>
      <c r="P29" s="4" t="n"/>
    </row>
    <row r="30">
      <c r="A30" s="15" t="n"/>
      <c r="B30" s="4" t="n"/>
      <c r="C30" s="4" t="n"/>
      <c r="D30" s="4" t="n"/>
      <c r="E30" s="4" t="n"/>
      <c r="F30" s="4" t="n"/>
      <c r="G30" s="4" t="n"/>
      <c r="H30" s="4" t="n"/>
      <c r="I30" s="4" t="n"/>
      <c r="J30" s="4" t="n"/>
      <c r="K30" s="19" t="n"/>
      <c r="L30" s="16" t="n"/>
      <c r="M30" s="4" t="n"/>
      <c r="N30" s="4" t="n"/>
      <c r="O30" s="16" t="n"/>
      <c r="P30" s="4" t="n"/>
    </row>
    <row r="31">
      <c r="A31" s="15" t="n"/>
      <c r="B31" s="4" t="n"/>
      <c r="C31" s="4" t="n"/>
      <c r="D31" s="4" t="n"/>
      <c r="E31" s="4" t="n"/>
      <c r="F31" s="4" t="n"/>
      <c r="G31" s="4" t="n"/>
      <c r="H31" s="4" t="n"/>
      <c r="I31" s="4" t="n"/>
      <c r="J31" s="4" t="n"/>
      <c r="K31" s="19" t="n"/>
      <c r="L31" s="16" t="n"/>
      <c r="M31" s="4" t="n"/>
      <c r="N31" s="4" t="n"/>
      <c r="O31" s="16" t="n"/>
      <c r="P31" s="4" t="n"/>
    </row>
    <row r="32">
      <c r="A32" s="15" t="n"/>
      <c r="B32" s="4" t="n"/>
      <c r="C32" s="4" t="n"/>
      <c r="D32" s="4" t="n"/>
      <c r="E32" s="4" t="n"/>
      <c r="F32" s="4" t="n"/>
      <c r="G32" s="4" t="n"/>
      <c r="H32" s="4" t="n"/>
      <c r="I32" s="4" t="n"/>
      <c r="J32" s="4" t="n"/>
      <c r="K32" s="19" t="n"/>
      <c r="L32" s="16" t="n"/>
      <c r="M32" s="4" t="n"/>
      <c r="N32" s="4" t="n"/>
      <c r="O32" s="16" t="n"/>
      <c r="P32" s="4" t="n"/>
    </row>
    <row r="33">
      <c r="A33" s="15" t="n"/>
      <c r="B33" s="4" t="n"/>
      <c r="C33" s="4" t="n"/>
      <c r="D33" s="4" t="n"/>
      <c r="E33" s="4" t="n"/>
      <c r="F33" s="4" t="n"/>
      <c r="G33" s="4" t="n"/>
      <c r="H33" s="4" t="n"/>
      <c r="I33" s="4" t="n"/>
      <c r="J33" s="4" t="n"/>
      <c r="K33" s="19" t="n"/>
      <c r="L33" s="16" t="n"/>
      <c r="M33" s="4" t="n"/>
      <c r="N33" s="4" t="n"/>
      <c r="O33" s="16" t="n"/>
      <c r="P33" s="4" t="n"/>
    </row>
    <row r="34">
      <c r="A34" s="15" t="n"/>
      <c r="B34" s="4" t="n"/>
      <c r="C34" s="4" t="n"/>
      <c r="D34" s="4" t="n"/>
      <c r="E34" s="4" t="n"/>
      <c r="F34" s="4" t="n"/>
      <c r="G34" s="4" t="n"/>
      <c r="H34" s="4" t="n"/>
      <c r="I34" s="4" t="n"/>
      <c r="J34" s="4" t="n"/>
      <c r="K34" s="19" t="n"/>
      <c r="L34" s="16" t="n"/>
      <c r="M34" s="4" t="n"/>
      <c r="N34" s="4" t="n"/>
      <c r="O34" s="16" t="n"/>
      <c r="P34" s="4" t="n"/>
    </row>
    <row r="35">
      <c r="A35" s="15" t="n"/>
      <c r="B35" s="4" t="n"/>
      <c r="C35" s="4" t="n"/>
      <c r="D35" s="4" t="n"/>
      <c r="E35" s="4" t="n"/>
      <c r="F35" s="4" t="n"/>
      <c r="G35" s="4" t="n"/>
      <c r="H35" s="4" t="n"/>
      <c r="I35" s="4" t="n"/>
      <c r="J35" s="4" t="n"/>
      <c r="K35" s="19" t="n"/>
      <c r="L35" s="16" t="n"/>
      <c r="M35" s="4" t="n"/>
      <c r="N35" s="4" t="n"/>
      <c r="O35" s="16" t="n"/>
      <c r="P35" s="4" t="n"/>
    </row>
    <row r="36">
      <c r="A36" s="15" t="n"/>
      <c r="B36" s="4" t="n"/>
      <c r="C36" s="4" t="n"/>
      <c r="D36" s="4" t="n"/>
      <c r="E36" s="4" t="n"/>
      <c r="F36" s="4" t="n"/>
      <c r="G36" s="4" t="n"/>
      <c r="H36" s="4" t="n"/>
      <c r="I36" s="4" t="n"/>
      <c r="J36" s="4" t="n"/>
      <c r="K36" s="19" t="n"/>
      <c r="L36" s="16" t="n"/>
      <c r="M36" s="4" t="n"/>
      <c r="N36" s="4" t="n"/>
      <c r="O36" s="16" t="n"/>
      <c r="P36" s="4" t="n"/>
    </row>
    <row r="37">
      <c r="A37" s="15" t="n"/>
      <c r="B37" s="4" t="n"/>
      <c r="C37" s="4" t="n"/>
      <c r="D37" s="4" t="n"/>
      <c r="E37" s="4" t="n"/>
      <c r="F37" s="4" t="n"/>
      <c r="G37" s="4" t="n"/>
      <c r="H37" s="4" t="n"/>
      <c r="I37" s="4" t="n"/>
      <c r="J37" s="4" t="n"/>
      <c r="K37" s="19" t="n"/>
      <c r="L37" s="16" t="n"/>
      <c r="M37" s="4" t="n"/>
      <c r="N37" s="4" t="n"/>
      <c r="O37" s="16" t="n"/>
      <c r="P37" s="4" t="n"/>
    </row>
    <row r="38">
      <c r="A38" s="15" t="n"/>
      <c r="B38" s="4" t="n"/>
      <c r="C38" s="4" t="n"/>
      <c r="D38" s="4" t="n"/>
      <c r="E38" s="4" t="n"/>
      <c r="F38" s="4" t="n"/>
      <c r="G38" s="4" t="n"/>
      <c r="H38" s="4" t="n"/>
      <c r="I38" s="4" t="n"/>
      <c r="J38" s="4" t="n"/>
      <c r="K38" s="19" t="n"/>
      <c r="L38" s="16" t="n"/>
      <c r="M38" s="4" t="n"/>
      <c r="N38" s="4" t="n"/>
      <c r="O38" s="16" t="n"/>
      <c r="P38" s="4" t="n"/>
    </row>
    <row r="39">
      <c r="A39" s="15" t="n"/>
      <c r="B39" s="4" t="n"/>
      <c r="C39" s="4" t="n"/>
      <c r="D39" s="4" t="n"/>
      <c r="E39" s="4" t="n"/>
      <c r="F39" s="4" t="n"/>
      <c r="G39" s="4" t="n"/>
      <c r="H39" s="4" t="n"/>
      <c r="I39" s="4" t="n"/>
      <c r="J39" s="4" t="n"/>
      <c r="K39" s="19" t="n"/>
      <c r="L39" s="16" t="n"/>
      <c r="M39" s="4" t="n"/>
      <c r="N39" s="4" t="n"/>
      <c r="O39" s="16" t="n"/>
      <c r="P39" s="4" t="n"/>
    </row>
    <row r="40">
      <c r="A40" s="15" t="n"/>
      <c r="B40" s="4" t="n"/>
      <c r="C40" s="4" t="n"/>
      <c r="D40" s="4" t="n"/>
      <c r="E40" s="4" t="n"/>
      <c r="F40" s="4" t="n"/>
      <c r="G40" s="4" t="n"/>
      <c r="H40" s="4" t="n"/>
      <c r="I40" s="4" t="n"/>
      <c r="J40" s="4" t="n"/>
      <c r="K40" s="19" t="n"/>
      <c r="L40" s="16" t="n"/>
      <c r="M40" s="4" t="n"/>
      <c r="N40" s="4" t="n"/>
      <c r="O40" s="16" t="n"/>
      <c r="P40" s="4" t="n"/>
    </row>
    <row r="41">
      <c r="A41" s="15" t="n"/>
      <c r="B41" s="4" t="n"/>
      <c r="C41" s="4" t="n"/>
      <c r="D41" s="4" t="n"/>
      <c r="E41" s="4" t="n"/>
      <c r="F41" s="4" t="n"/>
      <c r="G41" s="4" t="n"/>
      <c r="H41" s="4" t="n"/>
      <c r="I41" s="4" t="n"/>
      <c r="J41" s="4" t="n"/>
      <c r="K41" s="19" t="n"/>
      <c r="L41" s="16" t="n"/>
      <c r="M41" s="4" t="n"/>
      <c r="N41" s="4" t="n"/>
      <c r="O41" s="16" t="n"/>
      <c r="P41" s="4" t="n"/>
    </row>
    <row r="42">
      <c r="A42" s="15" t="n"/>
      <c r="B42" s="4" t="n"/>
      <c r="C42" s="4" t="n"/>
      <c r="D42" s="4" t="n"/>
      <c r="E42" s="4" t="n"/>
      <c r="F42" s="4" t="n"/>
      <c r="G42" s="4" t="n"/>
      <c r="H42" s="4" t="n"/>
      <c r="I42" s="4" t="n"/>
      <c r="J42" s="4" t="n"/>
      <c r="K42" s="19" t="n"/>
      <c r="L42" s="16" t="n"/>
      <c r="M42" s="4" t="n"/>
      <c r="N42" s="4" t="n"/>
      <c r="O42" s="16" t="n"/>
      <c r="P42" s="4" t="n"/>
    </row>
    <row r="43">
      <c r="A43" s="15" t="n"/>
      <c r="B43" s="4" t="n"/>
      <c r="C43" s="4" t="n"/>
      <c r="D43" s="4" t="n"/>
      <c r="E43" s="4" t="n"/>
      <c r="F43" s="4" t="n"/>
      <c r="G43" s="4" t="n"/>
      <c r="H43" s="4" t="n"/>
      <c r="I43" s="4" t="n"/>
      <c r="J43" s="4" t="n"/>
      <c r="K43" s="19" t="n"/>
      <c r="L43" s="16" t="n"/>
      <c r="M43" s="4" t="n"/>
      <c r="N43" s="4" t="n"/>
      <c r="O43" s="16" t="n"/>
      <c r="P43" s="4" t="n"/>
    </row>
    <row r="44">
      <c r="A44" s="15" t="n"/>
      <c r="B44" s="4" t="n"/>
      <c r="C44" s="4" t="n"/>
      <c r="D44" s="4" t="n"/>
      <c r="E44" s="4" t="n"/>
      <c r="F44" s="4" t="n"/>
      <c r="G44" s="4" t="n"/>
      <c r="H44" s="4" t="n"/>
      <c r="I44" s="4" t="n"/>
      <c r="J44" s="4" t="n"/>
      <c r="K44" s="19" t="n"/>
      <c r="L44" s="16" t="n"/>
      <c r="M44" s="4" t="n"/>
      <c r="N44" s="4" t="n"/>
      <c r="O44" s="16" t="n"/>
      <c r="P44" s="4" t="n"/>
    </row>
    <row r="45">
      <c r="A45" s="15" t="n"/>
      <c r="B45" s="4" t="n"/>
      <c r="C45" s="4" t="n"/>
      <c r="D45" s="4" t="n"/>
      <c r="E45" s="4" t="n"/>
      <c r="F45" s="4" t="n"/>
      <c r="G45" s="4" t="n"/>
      <c r="H45" s="4" t="n"/>
      <c r="I45" s="4" t="n"/>
      <c r="J45" s="4" t="n"/>
      <c r="K45" s="19" t="n"/>
      <c r="L45" s="16" t="n"/>
      <c r="M45" s="4" t="n"/>
      <c r="N45" s="4" t="n"/>
      <c r="O45" s="16" t="n"/>
      <c r="P45" s="4" t="n"/>
    </row>
    <row r="46">
      <c r="A46" s="15" t="n"/>
      <c r="B46" s="4" t="n"/>
      <c r="C46" s="4" t="n"/>
      <c r="D46" s="4" t="n"/>
      <c r="E46" s="4" t="n"/>
      <c r="F46" s="4" t="n"/>
      <c r="G46" s="4" t="n"/>
      <c r="H46" s="4" t="n"/>
      <c r="I46" s="4" t="n"/>
      <c r="J46" s="4" t="n"/>
      <c r="K46" s="19" t="n"/>
      <c r="L46" s="16" t="n"/>
      <c r="M46" s="4" t="n"/>
      <c r="N46" s="4" t="n"/>
      <c r="O46" s="16" t="n"/>
      <c r="P46" s="4" t="n"/>
    </row>
    <row r="47">
      <c r="A47" s="15" t="n"/>
      <c r="B47" s="4" t="n"/>
      <c r="C47" s="4" t="n"/>
      <c r="D47" s="4" t="n"/>
      <c r="E47" s="4" t="n"/>
      <c r="F47" s="4" t="n"/>
      <c r="G47" s="4" t="n"/>
      <c r="H47" s="4" t="n"/>
      <c r="I47" s="4" t="n"/>
      <c r="J47" s="4" t="n"/>
      <c r="K47" s="19" t="n"/>
      <c r="L47" s="16" t="n"/>
      <c r="M47" s="4" t="n"/>
      <c r="N47" s="4" t="n"/>
      <c r="O47" s="16" t="n"/>
      <c r="P47" s="4" t="n"/>
    </row>
    <row r="48">
      <c r="A48" s="15" t="n"/>
      <c r="B48" s="4" t="n"/>
      <c r="C48" s="4" t="n"/>
      <c r="D48" s="4" t="n"/>
      <c r="E48" s="4" t="n"/>
      <c r="F48" s="4" t="n"/>
      <c r="G48" s="4" t="n"/>
      <c r="H48" s="4" t="n"/>
      <c r="I48" s="4" t="n"/>
      <c r="J48" s="4" t="n"/>
      <c r="K48" s="19" t="n"/>
      <c r="L48" s="16" t="n"/>
      <c r="M48" s="4" t="n"/>
      <c r="N48" s="4" t="n"/>
      <c r="O48" s="16" t="n"/>
      <c r="P48" s="4" t="n"/>
    </row>
    <row r="49">
      <c r="A49" s="15" t="n"/>
      <c r="B49" s="4" t="n"/>
      <c r="C49" s="4" t="n"/>
      <c r="D49" s="4" t="n"/>
      <c r="E49" s="4" t="n"/>
      <c r="F49" s="4" t="n"/>
      <c r="G49" s="4" t="n"/>
      <c r="H49" s="4" t="n"/>
      <c r="I49" s="4" t="n"/>
      <c r="J49" s="4" t="n"/>
      <c r="K49" s="19" t="n"/>
      <c r="L49" s="16" t="n"/>
      <c r="M49" s="4" t="n"/>
      <c r="N49" s="4" t="n"/>
      <c r="O49" s="16" t="n"/>
      <c r="P49" s="4" t="n"/>
    </row>
    <row r="50">
      <c r="A50" s="15" t="n"/>
      <c r="B50" s="4" t="n"/>
      <c r="C50" s="4" t="n"/>
      <c r="D50" s="4" t="n"/>
      <c r="E50" s="4" t="n"/>
      <c r="F50" s="4" t="n"/>
      <c r="G50" s="4" t="n"/>
      <c r="H50" s="4" t="n"/>
      <c r="I50" s="4" t="n"/>
      <c r="J50" s="4" t="n"/>
      <c r="K50" s="19" t="n"/>
      <c r="L50" s="16" t="n"/>
      <c r="M50" s="4" t="n"/>
      <c r="N50" s="4" t="n"/>
      <c r="O50" s="16" t="n"/>
      <c r="P50" s="4" t="n"/>
    </row>
    <row r="51">
      <c r="A51" s="15" t="n"/>
      <c r="B51" s="4" t="n"/>
      <c r="C51" s="4" t="n"/>
      <c r="D51" s="4" t="n"/>
      <c r="E51" s="4" t="n"/>
      <c r="F51" s="4" t="n"/>
      <c r="G51" s="4" t="n"/>
      <c r="H51" s="4" t="n"/>
      <c r="I51" s="4" t="n"/>
      <c r="J51" s="4" t="n"/>
      <c r="K51" s="19" t="n"/>
      <c r="L51" s="16" t="n"/>
      <c r="M51" s="4" t="n"/>
      <c r="N51" s="4" t="n"/>
      <c r="O51" s="16" t="n"/>
      <c r="P51" s="4" t="n"/>
    </row>
    <row r="52">
      <c r="A52" s="15" t="n"/>
      <c r="B52" s="4" t="n"/>
      <c r="C52" s="4" t="n"/>
      <c r="D52" s="4" t="n"/>
      <c r="E52" s="4" t="n"/>
      <c r="F52" s="4" t="n"/>
      <c r="G52" s="4" t="n"/>
      <c r="H52" s="4" t="n"/>
      <c r="I52" s="4" t="n"/>
      <c r="J52" s="4" t="n"/>
      <c r="K52" s="19" t="n"/>
      <c r="L52" s="16" t="n"/>
      <c r="M52" s="4" t="n"/>
      <c r="N52" s="4" t="n"/>
      <c r="O52" s="16" t="n"/>
      <c r="P52" s="4" t="n"/>
    </row>
    <row r="53">
      <c r="A53" s="15" t="n"/>
      <c r="B53" s="4" t="n"/>
      <c r="C53" s="4" t="n"/>
      <c r="D53" s="4" t="n"/>
      <c r="E53" s="4" t="n"/>
      <c r="F53" s="4" t="n"/>
      <c r="G53" s="4" t="n"/>
      <c r="H53" s="4" t="n"/>
      <c r="I53" s="4" t="n"/>
      <c r="J53" s="4" t="n"/>
      <c r="K53" s="19" t="n"/>
      <c r="L53" s="16" t="n"/>
      <c r="M53" s="4" t="n"/>
      <c r="N53" s="4" t="n"/>
      <c r="O53" s="16" t="n"/>
      <c r="P53" s="4" t="n"/>
    </row>
    <row r="54">
      <c r="A54" s="15" t="n"/>
      <c r="B54" s="4" t="n"/>
      <c r="C54" s="4" t="n"/>
      <c r="D54" s="4" t="n"/>
      <c r="E54" s="4" t="n"/>
      <c r="F54" s="4" t="n"/>
      <c r="G54" s="4" t="n"/>
      <c r="H54" s="4" t="n"/>
      <c r="I54" s="4" t="n"/>
      <c r="J54" s="4" t="n"/>
      <c r="K54" s="19" t="n"/>
      <c r="L54" s="16" t="n"/>
      <c r="M54" s="4" t="n"/>
      <c r="N54" s="4" t="n"/>
      <c r="O54" s="16" t="n"/>
      <c r="P54" s="4" t="n"/>
    </row>
    <row r="55">
      <c r="A55" s="15" t="n"/>
      <c r="B55" s="4" t="n"/>
      <c r="C55" s="4" t="n"/>
      <c r="D55" s="4" t="n"/>
      <c r="E55" s="4" t="n"/>
      <c r="F55" s="4" t="n"/>
      <c r="G55" s="4" t="n"/>
      <c r="H55" s="4" t="n"/>
      <c r="I55" s="4" t="n"/>
      <c r="J55" s="4" t="n"/>
      <c r="K55" s="19" t="n"/>
      <c r="L55" s="16" t="n"/>
      <c r="M55" s="4" t="n"/>
      <c r="N55" s="4" t="n"/>
      <c r="O55" s="16" t="n"/>
      <c r="P55" s="4" t="n"/>
    </row>
    <row r="57">
      <c r="A57" s="17" t="inlineStr">
        <is>
          <t>COLLECTION SOURCES SUMMARY</t>
        </is>
      </c>
    </row>
    <row r="58">
      <c r="A58" s="18" t="inlineStr">
        <is>
          <t>Total Sources:</t>
        </is>
      </c>
      <c r="B58" s="18">
        <f>COUNTA(B6:B55)</f>
        <v/>
      </c>
    </row>
    <row r="59">
      <c r="A59" s="18" t="inlineStr">
        <is>
          <t>Integrated Sources:</t>
        </is>
      </c>
      <c r="B59" s="18">
        <f>COUNTIF(I6:I55,"Fully_Implemented")</f>
        <v/>
      </c>
    </row>
    <row r="60">
      <c r="A60" s="18" t="inlineStr">
        <is>
          <t>Manual Sources:</t>
        </is>
      </c>
      <c r="B60" s="18">
        <f>COUNTIF(I6:I55,"Partially_Implemented")</f>
        <v/>
      </c>
    </row>
    <row r="61">
      <c r="A61" s="18" t="inlineStr">
        <is>
          <t>Excellent Quality:</t>
        </is>
      </c>
      <c r="B61" s="18">
        <f>COUNTIF(N6:N55,"Excellent")</f>
        <v/>
      </c>
    </row>
    <row r="62">
      <c r="A62" s="18" t="inlineStr">
        <is>
          <t>Good Quality:</t>
        </is>
      </c>
      <c r="B62" s="18">
        <f>COUNTIF(N6:N55,"Good")</f>
        <v/>
      </c>
    </row>
  </sheetData>
  <mergeCells count="3">
    <mergeCell ref="A1:P1"/>
    <mergeCell ref="A57:D57"/>
    <mergeCell ref="A2:P2"/>
  </mergeCells>
  <dataValidations count="27">
    <dataValidation sqref="B6 B7 B8 B9 B10 B11 B12 B13 B14 B15 B16 B17 B18 B19 B20 B21 B22 B23 B24 B25 B26 B27 B28 B29 B30 B31 B32 B33 B34 B35 B36 B37 B38 B39 B40 B41 B42 B43 B44 B45 B46 B47 B48 B49 B50 B51 B52 B53 B54 B55 F6 F7 F8 F9 F10 F11 F12 F13 F14 F15 F16 F17 F18 F19 F20 F21 F22 F23 F24 F25 F26 F27 F28 F29 F30 F31 F32 F33 F34 F35 F36 F37 F38 F39 F40 F41 F42 F43 F44 F45 F46 F47 F48 F49 F50 F51 F52 F53 F54 F55" showDropDown="0" showInputMessage="0" showErrorMessage="0" allowBlank="0" type="list">
      <formula1>"Strategic,Tactical,Operational,Technical"</formula1>
    </dataValidation>
    <dataValidation sqref="D6 D7 D8 D9 D10 D11 D12 D13 D14 D15 D16 D17 D18 D19 D20 D21 D22 D23 D24 D25 D26 D27 D28 D29 D30 D31 D32 D33 D34 D35 D36 D37 D38 D39 D40 D41 D42 D43 D44 D45 D46 D47 D48 D49 D50 D51 D52 D53 D54 D55 E6 E7 E8 E9 E10 E11 E12 E13 E14 E15 E16 E17 E18 E19 E20 E21 E22 E23 E24 E25 E26 E27 E28 E29 E30 E31 E32 E33 E34 E35 E36 E37 E38 E39 E40 E41 E42 E43 E44 E45 E46 E47 E48 E49 E50 E51 E52 E53 E54 E55 H6 H7 H8 H9 H10 H11 H12 H13 H14 H15 H16 H17 H18 H19 H20 H21 H22 H23 H24 H25 H26 H27 H28 H29 H30 H31 H32 H33 H34 H35 H36 H37 H38 H39 H40 H41 H42 H43 H44 H45 H46 H47 H48 H49 H50 H51 H52 H53 H54 H55" showDropDown="0" showInputMessage="0" showErrorMessage="0" allowBlank="0" type="list">
      <formula1>"Critical,High,Medium,Low"</formula1>
    </dataValidation>
    <dataValidation sqref="K6 K7 K8 K9 K10 K11 K12 K13 K14 K15 K16 K17 K18 K19 K20 K21 K22 K23 K24 K25 K26 K27 K28 K29 K30 K31 K32 K33 K34 K35 K36 K37 K38 K39 K40 K41 K42 K43 K44 K45 K46 K47 K48 K49 K50 K51 K52 K53 K54 K55" showDropDown="0" showInputMessage="0" showErrorMessage="0" allowBlank="0" type="list">
      <formula1>"Automated_Feed,Manual_Research,OSINT,Partnership,Internal_Telemetry"</formula1>
    </dataValidation>
    <dataValidation sqref="E6 E7 E8 E9 E10 E11 E12 E13 E14 E15 E16 E17 E18 E19 E20 E21 E22 E23 E24 E25 E26 E27 E28 E29 E30 E31 E32 E33 E34 E35 E36 E37 E38 E39 E40 E41 E42 E43 E44 E45 E46 E47 E48 E49 E50 E51 E52 E53 E54 E55 M6 M7 M8 M9 M10 M11 M12 M13 M14 M15 M16 M17 M18 M19 M20 M21 M22 M23 M24 M25 M26 M27 M28 M29 M30 M31 M32 M33 M34 M35 M36 M37 M38 M39 M40 M41 M42 M43 M44 M45 M46 M47 M48 M49 M50 M51 M52 M53 M54 M55" showDropDown="0" showInputMessage="0" showErrorMessage="0" allowBlank="0" type="list">
      <formula1>"Real-time,Hourly,Daily,Weekly,On_Demand"</formula1>
    </dataValidation>
    <dataValidation sqref="I6 I7 I8 I9 I10 I11 I12 I13 I14 I15 I16 I17 I18 I19 I20 I21 I22 I23 I24 I25 I26 I27 I28 I29 I30 I31 I32 I33 I34 I35 I36 I37 I38 I39 I40 I41 I42 I43 I44 I45 I46 I47 I48 I49 I50 I51 I52 I53 I54 I55" showDropDown="0" showInputMessage="0" showErrorMessage="0" allowBlank="0" type="list">
      <formula1>"Fully_Implemented,Partially_Implemented,Planned,Not_Used"</formula1>
    </dataValidation>
    <dataValidation sqref="N6 N7 N8 N9 N10 N11 N12 N13 N14 N15 N16 N17 N18 N19 N20 N21 N22 N23 N24 N25 N26 N27 N28 N29 N30 N31 N32 N33 N34 N35 N36 N37 N38 N39 N40 N41 N42 N43 N44 N45 N46 N47 N48 N49 N50 N51 N52 N53 N54 N55" showDropDown="0" showInputMessage="0" showErrorMessage="0" allowBlank="1" type="list">
      <formula1>"Excellent,Good,Fair,Poor"</formula1>
    </dataValidation>
    <dataValidation sqref="B6 B7 B8 B9 B10 B11 B12 B13 B14 B15 B16 B17 B18 B19 B20 B21 B22 B23 B24 B25 B26 B27 B28 B29 B30 B31 B32 B33 B34 B35 B36 B37 B38 B39 B40 B41 B42 B43 B44 B45 B46 B47 B48 B49 B50 B51 B52 B53 B54 B55" showDropDown="0" showInputMessage="0" showErrorMessage="0" allowBlank="0" type="list">
      <formula1>"Strategic_Report,Tactical_Brief,Operational_Alert,Technical_Analysis,IOC_Package,Threat_Profile"</formula1>
    </dataValidation>
    <dataValidation sqref="L6 L7 L8 L9 L10 L11 L12 L13 L14 L15 L16 L17 L18 L19 L20 L21 L22 L23 L24 L25 L26 L27 L28 L29 L30 L31 L32 L33 L34 L35 L36 L37 L38 L39 L40 L41 L42 L43 L44 L45 L46 L47 L48 L49 L50 L51 L52 L53 L54 L55 N6 N7 N8 N9 N10 N11 N12 N13 N14 N15 N16 N17 N18 N19 N20 N21 N22 N23 N24 N25 N26 N27 N28 N29 N30 N31 N32 N33 N34 N35 N36 N37 N38 N39 N40 N41 N42 N43 N44 N45 N46 N47 N48 N49 N50 N51 N52 N53 N54 N55" showDropDown="0" showInputMessage="0" showErrorMessage="0" allowBlank="0" type="list">
      <formula1>"Draft,Review,Published,Archived"</formula1>
    </dataValidation>
    <dataValidation sqref="E6 E7 E8 E9 E10 E11 E12 E13 E14 E15 E16 E17 E18 E19 E20 E21 E22 E23 E24 E25 E26 E27 E28 E29 E30 E31 E32 E33 E34 E35 E36 E37 E38 E39 E40 E41 E42 E43 E44 E45 E46 E47 E48 E49 E50 E51 E52 E53 E54 E55 H6 H7 H8 H9 H10 H11 H12 H13 H14 H15 H16 H17 H18 H19 H20 H21 H22 H23 H24 H25 H26 H27 H28 H29 H30 H31 H32 H33 H34 H35 H36 H37 H38 H39 H40 H41 H42 H43 H44 H45 H46 H47 H48 H49 H50 H51 H52 H53 H54 H55" showDropDown="0" showInputMessage="0" showErrorMessage="0" allowBlank="0" type="list">
      <formula1>"High,Medium,Low,Unconfirmed"</formula1>
    </dataValidation>
    <dataValidation sqref="G6 G7 G8 G9 G10 G11 G12 G13 G14 G15 G16 G17 G18 G19 G20 G21 G22 G23 G24 G25 G26 G27 G28 G29 G30 G31 G32 G33 G34 G35 G36 G37 G38 G39 G40 G41 G42 G43 G44 G45 G46 G47 G48 G49 G50 G51 G52 G53 G54 G55" showDropDown="0" showInputMessage="0" showErrorMessage="0" allowBlank="0" type="list">
      <formula1>"TLP:CLEAR,TLP:GREEN,TLP:AMBER,TLP:AMBER+STRICT,TLP:RED"</formula1>
    </dataValidation>
    <dataValidation sqref="F6 F7 F8 F9 F10 F11 F12 F13 F14 F15 F16 F17 F18 F19 F20 F21 F22 F23 F24 F25 F26 F27 F28 F29 F30 F31 F32 F33 F34 F35 F36 F37 F38 F39 F40 F41 F42 F43 F44 F45 F46 F47 F48 F49 F50 F51 F52 F53 F54 F55" showDropDown="0" showInputMessage="0" showErrorMessage="0" allowBlank="0" type="list">
      <formula1>"Full,Partial,Limited,None"</formula1>
    </dataValidation>
    <dataValidation sqref="D6 D7 D8 D9 D10 D11 D12 D13 D14 D15 D16 D17 D18 D19 D20 D21 D22 D23 D24 D25 D26 D27 D28 D29 D30 D31 D32 D33 D34 D35 D36 D37 D38 D39 D40 D41 D42 D43 D44 D45 D46 D47 D48 D49 D50 D51 D52 D53 D54 D55" showDropDown="0" showInputMessage="0" showErrorMessage="0" allowBlank="1" type="list">
      <formula1>"Nation-State,Criminal_Syndicate,Hacktivist,Insider_Threat,Script_Kiddie,Unknown"</formula1>
    </dataValidation>
    <dataValidation sqref="I6 I7 I8 I9 I10 I11 I12 I13 I14 I15 I16 I17 I18 I19 I20 I21 I22 I23 I24 I25 I26 I27 I28 I29 I30 I31 I32 I33 I34 I35 I36 I37 I38 I39 I40 I41 I42 I43 I44 I45 I46 I47 I48 I49 I50 I51 I52 I53 I54 I55 M6 M7 M8 M9 M10 M11 M12 M13 M14 M15 M16 M17 M18 M19 M20 M21 M22 M23 M24 M25 M26 M27 M28 M29 M30 M31 M32 M33 M34 M35 M36 M37 M38 M39 M40 M41 M42 M43 M44 M45 M46 M47 M48 M49 M50 M51 M52 M53 M54 M55" showDropDown="0" showInputMessage="0" showErrorMessage="0" allowBlank="0" type="list">
      <formula1>"Yes,No"</formula1>
    </dataValidation>
    <dataValidation sqref="B5 B6 B7 B8 B9 B10 B11 B12 B13 B14 B15 B16 B17 B18 B19 B20 B21 B22 B23 B24 C5 C6 C7 C8 C9 C10 C11 C12 C13 C14 C15 C16 C17 C18 C19 C20 C21 C22 C23 C24" showDropDown="0" showInputMessage="0" showErrorMessage="0" allowBlank="0" type="list">
      <formula1>"1 - Initial,2 - Managed,3 - Defined,4 - Quantitatively Managed,5 - Optimizing"</formula1>
    </dataValidation>
    <dataValidation sqref="G6 G7 G8 G9 G10 G11 G12 G13 G14 G15 G16 G17 G18 G19 G20 G21 G22 G23 G24 G25 G26 G27 G28 G29 G30 G31 G32 G33 G34 G35 G36 G37 G38 G39 G40 G41 G42 G43 G44 G45 G46 G47 G48 G49 G50 G51 G52 G53 G54 G55" showDropDown="0" showInputMessage="0" showErrorMessage="0" allowBlank="0" type="list">
      <formula1>"Open,In_Progress,Blocked,Resolved,Closed"</formula1>
    </dataValidation>
    <dataValidation sqref="C6 C7 C8 C9 C10 C11 C12 C13 C14 C15 C16 C17 C18 C19 C20 C21 C22 C23 C24 C25 C26 C27 C28 C29 C30 C31 C32 C33 C34 C35 C36 C37 C38 C39 C40 C41 C42 C43 C44 C45 C46 C47 C48 C49 C50 C51 C52 C53 C54 C55" showDropDown="0" showInputMessage="0" showErrorMessage="0" allowBlank="1" type="list">
      <formula1>"TIP,SIEM,Malware_Analysis,OSINT,Collaboration,Visualization,Scripting,Other"</formula1>
    </dataValidation>
    <dataValidation sqref="E6 E7 E8 E9 E10 E11 E12 E13 E14 E15 E16 E17 E18 E19 E20 E21 E22 E23 E24 E25 E26 E27 E28 E29 E30 E31 E32 E33 E34 E35 E36 E37 E38 E39 E40 E41 E42 E43 E44 E45 E46 E47 E48 E49 E50 E51 E52 E53 E54 E55" showDropDown="0" showInputMessage="0" showErrorMessage="0" allowBlank="1" type="list">
      <formula1>"Commercial,Open_Source,Freeware,Internal_Developed"</formula1>
    </dataValidation>
    <dataValidation sqref="J6 J7 J8 J9 J10 J11 J12 J13 J14 J15 J16 J17 J18 J19 J20 J21 J22 J23 J24 J25 J26 J27 J28 J29 J30 J31 J32 J33 J34 J35 J36 J37 J38 J39 J40 J41 J42 J43 J44 J45 J46 J47 J48 J49 J50 J51 J52 J53 J54 J55" showDropDown="0" showInputMessage="0" showErrorMessage="0" allowBlank="1" type="list">
      <formula1>"Yes,No,N/A"</formula1>
    </dataValidation>
    <dataValidation sqref="I6 I7 I8 I9 I10 I11 I12 I13 I14 I15 I16 I17 I18 I19 I20 I21 I22 I23 I24 I25 I26 I27 I28 I29 I30 I31 I32 I33 I34 I35 I36 I37 I38 I39 I40 I41 I42 I43 I44 I45 I46 I47 I48 I49 I50 I51 I52 I53 I54 I55 J6 J7 J8 J9 J10 J11 J12 J13 J14 J15 J16 J17 J18 J19 J20 J21 J22 J23 J24 J25 J26 J27 J28 J29 J30 J31 J32 J33 J34 J35 J36 J37 J38 J39 J40 J41 J42 J43 J44 J45 J46 J47 J48 J49 J50 J51 J52 J53 J54 J55" showDropDown="0" showInputMessage="0" showErrorMessage="0" allowBlank="1" type="list">
      <formula1>"Yes,No,Unknown"</formula1>
    </dataValidation>
    <dataValidation sqref="J6 J7 J8 J9 J10 J11 J12 J13 J14 J15 J16 J17 J18 J19 J20 J21 J22 J23 J24 J25 J26 J27 J28 J29 J30 J31 J32 J33 J34 J35 J36 J37 J38 J39 J40 J41 J42 J43 J44 J45 J46 J47 J48 J49 J50 J51 J52 J53 J54 J55 K6 K7 K8 K9 K10 K11 K12 K13 K14 K15 K16 K17 K18 K19 K20 K21 K22 K23 K24 K25 K26 K27 K28 K29 K30 K31 K32 K33 K34 K35 K36 K37 K38 K39 K40 K41 K42 K43 K44 K45 K46 K47 K48 K49 K50 K51 K52 K53 K54 K55" showDropDown="0" showInputMessage="0" showErrorMessage="0" allowBlank="1" type="list">
      <formula1>"Confirmed,Suspected,No,Unknown"</formula1>
    </dataValidation>
    <dataValidation sqref="K6 K7 K8 K9 K10 K11 K12 K13 K14 K15 K16 K17 K18 K19 K20 K21 K22 K23 K24 K25 K26 K27 K28 K29 K30 K31 K32 K33 K34 K35 K36 K37 K38 K39 K40 K41 K42 K43 K44 K45 K46 K47 K48 K49 K50 K51 K52 K53 K54 K55" showDropDown="0" showInputMessage="0" showErrorMessage="0" allowBlank="1" type="list">
      <formula1>"Espionage,Financial,Disruption,Ideology,Unknown"</formula1>
    </dataValidation>
    <dataValidation sqref="L6 L7 L8 L9 L10 L11 L12 L13 L14 L15 L16 L17 L18 L19 L20 L21 L22 L23 L24 L25 L26 L27 L28 L29 L30 L31 L32 L33 L34 L35 L36 L37 L38 L39 L40 L41 L42 L43 L44 L45 L46 L47 L48 L49 L50 L51 L52 L53 L54 L55" showDropDown="0" showInputMessage="0" showErrorMessage="0" allowBlank="1" type="list">
      <formula1>"Advanced,Moderate,Low"</formula1>
    </dataValidation>
    <dataValidation sqref="G6 G7 G8 G9 G10 G11 G12 G13 G14 G15 G16 G17 G18 G19 G20 G21 G22 G23 G24 G25 G26 G27 G28 G29 G30 G31 G32 G33 G34 G35 G36 G37 G38 G39 G40 G41 G42 G43 G44 G45 G46 G47 G48 G49 G50 G51 G52 G53 G54 G55" showDropDown="0" showInputMessage="0" showErrorMessage="0" allowBlank="1" type="list">
      <formula1>"Active,Concluded,Dormant,Unknown"</formula1>
    </dataValidation>
    <dataValidation sqref="L6 L7 L8 L9 L10 L11 L12 L13 L14 L15 L16 L17 L18 L19 L20 L21 L22 L23 L24 L25 L26 L27 L28 L29 L30 L31 L32 L33 L34 L35 L36 L37 L38 L39 L40 L41 L42 L43 L44 L45 L46 L47 L48 L49 L50 L51 L52 L53 L54 L55" showDropDown="0" showInputMessage="0" showErrorMessage="0" allowBlank="1" type="list">
      <formula1>"Espionage,Data_Theft,Disruption,Ransomware,Credential_Harvesting,Other"</formula1>
    </dataValidation>
    <dataValidation sqref="U6 U7 U8 U9 U10 U11 U12 U13 U14 U15 U16 U17 U18 U19 U20 U21 U22 U23 U24 U25 U26 U27 U28 U29 U30 U31 U32 U33 U34 U35 U36 U37 U38 U39 U40 U41 U42 U43 U44 U45 U46 U47 U48 U49 U50 U51 U52 U53 U54 U55" showDropDown="0" showInputMessage="0" showErrorMessage="0" allowBlank="1" type="list">
      <formula1>"Critical,High,Medium,Low"</formula1>
    </dataValidation>
    <dataValidation sqref="V6 V7 V8 V9 V10 V11 V12 V13 V14 V15 V16 V17 V18 V19 V20 V21 V22 V23 V24 V25 V26 V27 V28 V29 V30 V31 V32 V33 V34 V35 V36 V37 V38 V39 V40 V41 V42 V43 V44 V45 V46 V47 V48 V49 V50 V51 V52 V53 V54 V55" showDropDown="0" showInputMessage="0" showErrorMessage="0" allowBlank="1" type="list">
      <formula1>"Active_Monitoring,Passive_Monitoring,Concluded"</formula1>
    </dataValidation>
    <dataValidation sqref="H6 H7 H8 H9 H10 H11 H12 H13 H14 H15 H16 H17 H18 H19 H20 H21 H22 H23 H24 H25 H26 H27 H28 H29 H30 H31 H32 H33 H34 H35 H36 H37 H38 H39 H40 H41 H42 H43 H44 H45 H46 H47 H48 H49 H50 H51 H52 H53 H54 H55" showDropDown="0" showInputMessage="0" showErrorMessage="0" allowBlank="1" type="list">
      <formula1>"Integrated,Standalone,Planned,Deprecated"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63"/>
  <sheetViews>
    <sheetView showGridLines="0" workbookViewId="0">
      <pane ySplit="3" topLeftCell="A4" activePane="bottomLeft" state="frozen"/>
      <selection pane="bottomLeft" activeCell="A1" sqref="A1"/>
    </sheetView>
  </sheetViews>
  <sheetFormatPr baseColWidth="8" defaultRowHeight="15"/>
  <cols>
    <col width="18" customWidth="1" min="1" max="1"/>
    <col width="14" customWidth="1" min="2" max="2"/>
    <col width="14" customWidth="1" min="3" max="3"/>
    <col width="15" customWidth="1" min="4" max="4"/>
    <col width="18" customWidth="1" min="5" max="5"/>
    <col width="15" customWidth="1" min="6" max="6"/>
    <col width="18" customWidth="1" min="7" max="7"/>
    <col width="20" customWidth="1" min="8" max="8"/>
    <col width="40" customWidth="1" min="9" max="9"/>
    <col width="30" customWidth="1" min="10" max="10"/>
    <col width="20" customWidth="1" min="11" max="11"/>
    <col width="18" customWidth="1" min="12" max="12"/>
    <col width="14" customWidth="1" min="13" max="13"/>
    <col width="18" customWidth="1" min="14" max="14"/>
    <col width="12" customWidth="1" min="15" max="15"/>
    <col width="35" customWidth="1" min="16" max="16"/>
  </cols>
  <sheetData>
    <row r="1" ht="35" customHeight="1">
      <c r="A1" s="11" t="inlineStr">
        <is>
          <t>RAW INTELLIGENCE LOG</t>
        </is>
      </c>
    </row>
    <row r="2">
      <c r="A2" s="12" t="inlineStr">
        <is>
          <t>Track all raw intelligence received before analysis. Log source, receipt time, initial triage, and processing status.</t>
        </is>
      </c>
    </row>
    <row r="4">
      <c r="A4" s="13" t="inlineStr">
        <is>
          <t>Log ID</t>
        </is>
      </c>
      <c r="B4" s="13" t="inlineStr">
        <is>
          <t>Date Received</t>
        </is>
      </c>
      <c r="C4" s="13" t="inlineStr">
        <is>
          <t>Time Received</t>
        </is>
      </c>
      <c r="D4" s="13" t="inlineStr">
        <is>
          <t>Source ID</t>
        </is>
      </c>
      <c r="E4" s="13" t="inlineStr">
        <is>
          <t>Source Type</t>
        </is>
      </c>
      <c r="F4" s="13" t="inlineStr">
        <is>
          <t>Intelligence Type</t>
        </is>
      </c>
      <c r="G4" s="13" t="inlineStr">
        <is>
          <t>TLP Classification</t>
        </is>
      </c>
      <c r="H4" s="13" t="inlineStr">
        <is>
          <t>Initial Triage Priority</t>
        </is>
      </c>
      <c r="I4" s="13" t="inlineStr">
        <is>
          <t>Brief Description</t>
        </is>
      </c>
      <c r="J4" s="13" t="inlineStr">
        <is>
          <t>Raw Data Location</t>
        </is>
      </c>
      <c r="K4" s="13" t="inlineStr">
        <is>
          <t>Assigned Analyst</t>
        </is>
      </c>
      <c r="L4" s="13" t="inlineStr">
        <is>
          <t>Processing Status</t>
        </is>
      </c>
      <c r="M4" s="13" t="inlineStr">
        <is>
          <t>Date Processed</t>
        </is>
      </c>
      <c r="N4" s="13" t="inlineStr">
        <is>
          <t>Linked Product ID</t>
        </is>
      </c>
      <c r="O4" s="13" t="inlineStr">
        <is>
          <t>Quality Score</t>
        </is>
      </c>
      <c r="P4" s="13" t="inlineStr">
        <is>
          <t>Notes</t>
        </is>
      </c>
    </row>
    <row r="5">
      <c r="A5" s="14" t="inlineStr">
        <is>
          <t>RAW-2026-EXX</t>
        </is>
      </c>
      <c r="B5" s="14" t="inlineStr">
        <is>
          <t>25.02.2026</t>
        </is>
      </c>
      <c r="C5" s="14" t="inlineStr">
        <is>
          <t>09:00</t>
        </is>
      </c>
      <c r="D5" s="14" t="inlineStr">
        <is>
          <t>SRC-001</t>
        </is>
      </c>
      <c r="E5" s="14" t="inlineStr">
        <is>
          <t>OSINT</t>
        </is>
      </c>
      <c r="F5" s="14" t="inlineStr">
        <is>
          <t>Tactical</t>
        </is>
      </c>
      <c r="G5" s="14" t="inlineStr">
        <is>
          <t>TLP:GREEN</t>
        </is>
      </c>
      <c r="H5" s="14" t="inlineStr">
        <is>
          <t>High</t>
        </is>
      </c>
      <c r="I5" s="14" t="inlineStr">
        <is>
          <t>Phishing campaign targeting SWIFT payment portals</t>
        </is>
      </c>
      <c r="J5" s="14" t="inlineStr">
        <is>
          <t>/evidence/raw/raw-2026-exx.json</t>
        </is>
      </c>
      <c r="K5" s="14" t="inlineStr">
        <is>
          <t>J. Smith</t>
        </is>
      </c>
      <c r="L5" s="14" t="inlineStr">
        <is>
          <t>Received</t>
        </is>
      </c>
      <c r="M5" s="14" t="n"/>
      <c r="N5" s="14" t="n"/>
      <c r="O5" s="14" t="inlineStr">
        <is>
          <t>3</t>
        </is>
      </c>
      <c r="P5" s="14" t="n"/>
    </row>
    <row r="6">
      <c r="A6" s="15" t="n"/>
      <c r="B6" s="20" t="n"/>
      <c r="C6" s="21" t="n"/>
      <c r="D6" s="22" t="n"/>
      <c r="E6" s="22" t="n"/>
      <c r="F6" s="22" t="n"/>
      <c r="G6" s="22" t="n"/>
      <c r="H6" s="22" t="n"/>
      <c r="I6" s="22" t="n"/>
      <c r="J6" s="22" t="n"/>
      <c r="K6" s="22" t="n"/>
      <c r="L6" s="22" t="n"/>
      <c r="M6" s="20" t="n"/>
      <c r="N6" s="22" t="n"/>
      <c r="O6" s="22" t="n"/>
      <c r="P6" s="22" t="n"/>
    </row>
    <row r="7">
      <c r="A7" s="15" t="n"/>
      <c r="B7" s="20" t="n"/>
      <c r="C7" s="21" t="n"/>
      <c r="D7" s="22" t="n"/>
      <c r="E7" s="22" t="n"/>
      <c r="F7" s="22" t="n"/>
      <c r="G7" s="22" t="n"/>
      <c r="H7" s="22" t="n"/>
      <c r="I7" s="22" t="n"/>
      <c r="J7" s="22" t="n"/>
      <c r="K7" s="22" t="n"/>
      <c r="L7" s="22" t="n"/>
      <c r="M7" s="20" t="n"/>
      <c r="N7" s="22" t="n"/>
      <c r="O7" s="22" t="n"/>
      <c r="P7" s="22" t="n"/>
    </row>
    <row r="8">
      <c r="A8" s="15" t="n"/>
      <c r="B8" s="20" t="n"/>
      <c r="C8" s="21" t="n"/>
      <c r="D8" s="22" t="n"/>
      <c r="E8" s="22" t="n"/>
      <c r="F8" s="22" t="n"/>
      <c r="G8" s="22" t="n"/>
      <c r="H8" s="22" t="n"/>
      <c r="I8" s="22" t="n"/>
      <c r="J8" s="22" t="n"/>
      <c r="K8" s="22" t="n"/>
      <c r="L8" s="22" t="n"/>
      <c r="M8" s="20" t="n"/>
      <c r="N8" s="22" t="n"/>
      <c r="O8" s="22" t="n"/>
      <c r="P8" s="22" t="n"/>
    </row>
    <row r="9">
      <c r="A9" s="15" t="n"/>
      <c r="B9" s="20" t="n"/>
      <c r="C9" s="21" t="n"/>
      <c r="D9" s="22" t="n"/>
      <c r="E9" s="22" t="n"/>
      <c r="F9" s="22" t="n"/>
      <c r="G9" s="22" t="n"/>
      <c r="H9" s="22" t="n"/>
      <c r="I9" s="22" t="n"/>
      <c r="J9" s="22" t="n"/>
      <c r="K9" s="22" t="n"/>
      <c r="L9" s="22" t="n"/>
      <c r="M9" s="20" t="n"/>
      <c r="N9" s="22" t="n"/>
      <c r="O9" s="22" t="n"/>
      <c r="P9" s="22" t="n"/>
    </row>
    <row r="10">
      <c r="A10" s="15" t="n"/>
      <c r="B10" s="20" t="n"/>
      <c r="C10" s="21" t="n"/>
      <c r="D10" s="22" t="n"/>
      <c r="E10" s="22" t="n"/>
      <c r="F10" s="22" t="n"/>
      <c r="G10" s="22" t="n"/>
      <c r="H10" s="22" t="n"/>
      <c r="I10" s="22" t="n"/>
      <c r="J10" s="22" t="n"/>
      <c r="K10" s="22" t="n"/>
      <c r="L10" s="22" t="n"/>
      <c r="M10" s="20" t="n"/>
      <c r="N10" s="22" t="n"/>
      <c r="O10" s="22" t="n"/>
      <c r="P10" s="22" t="n"/>
    </row>
    <row r="11">
      <c r="A11" s="15" t="n"/>
      <c r="B11" s="20" t="n"/>
      <c r="C11" s="21" t="n"/>
      <c r="D11" s="22" t="n"/>
      <c r="E11" s="22" t="n"/>
      <c r="F11" s="22" t="n"/>
      <c r="G11" s="22" t="n"/>
      <c r="H11" s="22" t="n"/>
      <c r="I11" s="22" t="n"/>
      <c r="J11" s="22" t="n"/>
      <c r="K11" s="22" t="n"/>
      <c r="L11" s="22" t="n"/>
      <c r="M11" s="20" t="n"/>
      <c r="N11" s="22" t="n"/>
      <c r="O11" s="22" t="n"/>
      <c r="P11" s="22" t="n"/>
    </row>
    <row r="12">
      <c r="A12" s="15" t="n"/>
      <c r="B12" s="20" t="n"/>
      <c r="C12" s="21" t="n"/>
      <c r="D12" s="22" t="n"/>
      <c r="E12" s="22" t="n"/>
      <c r="F12" s="22" t="n"/>
      <c r="G12" s="22" t="n"/>
      <c r="H12" s="22" t="n"/>
      <c r="I12" s="22" t="n"/>
      <c r="J12" s="22" t="n"/>
      <c r="K12" s="22" t="n"/>
      <c r="L12" s="22" t="n"/>
      <c r="M12" s="20" t="n"/>
      <c r="N12" s="22" t="n"/>
      <c r="O12" s="22" t="n"/>
      <c r="P12" s="22" t="n"/>
    </row>
    <row r="13">
      <c r="A13" s="15" t="n"/>
      <c r="B13" s="20" t="n"/>
      <c r="C13" s="21" t="n"/>
      <c r="D13" s="22" t="n"/>
      <c r="E13" s="22" t="n"/>
      <c r="F13" s="22" t="n"/>
      <c r="G13" s="22" t="n"/>
      <c r="H13" s="22" t="n"/>
      <c r="I13" s="22" t="n"/>
      <c r="J13" s="22" t="n"/>
      <c r="K13" s="22" t="n"/>
      <c r="L13" s="22" t="n"/>
      <c r="M13" s="20" t="n"/>
      <c r="N13" s="22" t="n"/>
      <c r="O13" s="22" t="n"/>
      <c r="P13" s="22" t="n"/>
    </row>
    <row r="14">
      <c r="A14" s="15" t="n"/>
      <c r="B14" s="20" t="n"/>
      <c r="C14" s="21" t="n"/>
      <c r="D14" s="22" t="n"/>
      <c r="E14" s="22" t="n"/>
      <c r="F14" s="22" t="n"/>
      <c r="G14" s="22" t="n"/>
      <c r="H14" s="22" t="n"/>
      <c r="I14" s="22" t="n"/>
      <c r="J14" s="22" t="n"/>
      <c r="K14" s="22" t="n"/>
      <c r="L14" s="22" t="n"/>
      <c r="M14" s="20" t="n"/>
      <c r="N14" s="22" t="n"/>
      <c r="O14" s="22" t="n"/>
      <c r="P14" s="22" t="n"/>
    </row>
    <row r="15">
      <c r="A15" s="15" t="n"/>
      <c r="B15" s="20" t="n"/>
      <c r="C15" s="21" t="n"/>
      <c r="D15" s="22" t="n"/>
      <c r="E15" s="22" t="n"/>
      <c r="F15" s="22" t="n"/>
      <c r="G15" s="22" t="n"/>
      <c r="H15" s="22" t="n"/>
      <c r="I15" s="22" t="n"/>
      <c r="J15" s="22" t="n"/>
      <c r="K15" s="22" t="n"/>
      <c r="L15" s="22" t="n"/>
      <c r="M15" s="20" t="n"/>
      <c r="N15" s="22" t="n"/>
      <c r="O15" s="22" t="n"/>
      <c r="P15" s="22" t="n"/>
    </row>
    <row r="16">
      <c r="A16" s="15" t="n"/>
      <c r="B16" s="20" t="n"/>
      <c r="C16" s="21" t="n"/>
      <c r="D16" s="22" t="n"/>
      <c r="E16" s="22" t="n"/>
      <c r="F16" s="22" t="n"/>
      <c r="G16" s="22" t="n"/>
      <c r="H16" s="22" t="n"/>
      <c r="I16" s="22" t="n"/>
      <c r="J16" s="22" t="n"/>
      <c r="K16" s="22" t="n"/>
      <c r="L16" s="22" t="n"/>
      <c r="M16" s="20" t="n"/>
      <c r="N16" s="22" t="n"/>
      <c r="O16" s="22" t="n"/>
      <c r="P16" s="22" t="n"/>
    </row>
    <row r="17">
      <c r="A17" s="15" t="n"/>
      <c r="B17" s="20" t="n"/>
      <c r="C17" s="21" t="n"/>
      <c r="D17" s="22" t="n"/>
      <c r="E17" s="22" t="n"/>
      <c r="F17" s="22" t="n"/>
      <c r="G17" s="22" t="n"/>
      <c r="H17" s="22" t="n"/>
      <c r="I17" s="22" t="n"/>
      <c r="J17" s="22" t="n"/>
      <c r="K17" s="22" t="n"/>
      <c r="L17" s="22" t="n"/>
      <c r="M17" s="20" t="n"/>
      <c r="N17" s="22" t="n"/>
      <c r="O17" s="22" t="n"/>
      <c r="P17" s="22" t="n"/>
    </row>
    <row r="18">
      <c r="A18" s="15" t="n"/>
      <c r="B18" s="20" t="n"/>
      <c r="C18" s="21" t="n"/>
      <c r="D18" s="22" t="n"/>
      <c r="E18" s="22" t="n"/>
      <c r="F18" s="22" t="n"/>
      <c r="G18" s="22" t="n"/>
      <c r="H18" s="22" t="n"/>
      <c r="I18" s="22" t="n"/>
      <c r="J18" s="22" t="n"/>
      <c r="K18" s="22" t="n"/>
      <c r="L18" s="22" t="n"/>
      <c r="M18" s="20" t="n"/>
      <c r="N18" s="22" t="n"/>
      <c r="O18" s="22" t="n"/>
      <c r="P18" s="22" t="n"/>
    </row>
    <row r="19">
      <c r="A19" s="15" t="n"/>
      <c r="B19" s="20" t="n"/>
      <c r="C19" s="21" t="n"/>
      <c r="D19" s="22" t="n"/>
      <c r="E19" s="22" t="n"/>
      <c r="F19" s="22" t="n"/>
      <c r="G19" s="22" t="n"/>
      <c r="H19" s="22" t="n"/>
      <c r="I19" s="22" t="n"/>
      <c r="J19" s="22" t="n"/>
      <c r="K19" s="22" t="n"/>
      <c r="L19" s="22" t="n"/>
      <c r="M19" s="20" t="n"/>
      <c r="N19" s="22" t="n"/>
      <c r="O19" s="22" t="n"/>
      <c r="P19" s="22" t="n"/>
    </row>
    <row r="20">
      <c r="A20" s="15" t="n"/>
      <c r="B20" s="20" t="n"/>
      <c r="C20" s="21" t="n"/>
      <c r="D20" s="22" t="n"/>
      <c r="E20" s="22" t="n"/>
      <c r="F20" s="22" t="n"/>
      <c r="G20" s="22" t="n"/>
      <c r="H20" s="22" t="n"/>
      <c r="I20" s="22" t="n"/>
      <c r="J20" s="22" t="n"/>
      <c r="K20" s="22" t="n"/>
      <c r="L20" s="22" t="n"/>
      <c r="M20" s="20" t="n"/>
      <c r="N20" s="22" t="n"/>
      <c r="O20" s="22" t="n"/>
      <c r="P20" s="22" t="n"/>
    </row>
    <row r="21">
      <c r="A21" s="15" t="n"/>
      <c r="B21" s="20" t="n"/>
      <c r="C21" s="21" t="n"/>
      <c r="D21" s="22" t="n"/>
      <c r="E21" s="22" t="n"/>
      <c r="F21" s="22" t="n"/>
      <c r="G21" s="22" t="n"/>
      <c r="H21" s="22" t="n"/>
      <c r="I21" s="22" t="n"/>
      <c r="J21" s="22" t="n"/>
      <c r="K21" s="22" t="n"/>
      <c r="L21" s="22" t="n"/>
      <c r="M21" s="20" t="n"/>
      <c r="N21" s="22" t="n"/>
      <c r="O21" s="22" t="n"/>
      <c r="P21" s="22" t="n"/>
    </row>
    <row r="22">
      <c r="A22" s="15" t="n"/>
      <c r="B22" s="20" t="n"/>
      <c r="C22" s="21" t="n"/>
      <c r="D22" s="22" t="n"/>
      <c r="E22" s="22" t="n"/>
      <c r="F22" s="22" t="n"/>
      <c r="G22" s="22" t="n"/>
      <c r="H22" s="22" t="n"/>
      <c r="I22" s="22" t="n"/>
      <c r="J22" s="22" t="n"/>
      <c r="K22" s="22" t="n"/>
      <c r="L22" s="22" t="n"/>
      <c r="M22" s="20" t="n"/>
      <c r="N22" s="22" t="n"/>
      <c r="O22" s="22" t="n"/>
      <c r="P22" s="22" t="n"/>
    </row>
    <row r="23">
      <c r="A23" s="15" t="n"/>
      <c r="B23" s="20" t="n"/>
      <c r="C23" s="21" t="n"/>
      <c r="D23" s="22" t="n"/>
      <c r="E23" s="22" t="n"/>
      <c r="F23" s="22" t="n"/>
      <c r="G23" s="22" t="n"/>
      <c r="H23" s="22" t="n"/>
      <c r="I23" s="22" t="n"/>
      <c r="J23" s="22" t="n"/>
      <c r="K23" s="22" t="n"/>
      <c r="L23" s="22" t="n"/>
      <c r="M23" s="20" t="n"/>
      <c r="N23" s="22" t="n"/>
      <c r="O23" s="22" t="n"/>
      <c r="P23" s="22" t="n"/>
    </row>
    <row r="24">
      <c r="A24" s="15" t="n"/>
      <c r="B24" s="20" t="n"/>
      <c r="C24" s="21" t="n"/>
      <c r="D24" s="22" t="n"/>
      <c r="E24" s="22" t="n"/>
      <c r="F24" s="22" t="n"/>
      <c r="G24" s="22" t="n"/>
      <c r="H24" s="22" t="n"/>
      <c r="I24" s="22" t="n"/>
      <c r="J24" s="22" t="n"/>
      <c r="K24" s="22" t="n"/>
      <c r="L24" s="22" t="n"/>
      <c r="M24" s="20" t="n"/>
      <c r="N24" s="22" t="n"/>
      <c r="O24" s="22" t="n"/>
      <c r="P24" s="22" t="n"/>
    </row>
    <row r="25">
      <c r="A25" s="15" t="n"/>
      <c r="B25" s="20" t="n"/>
      <c r="C25" s="21" t="n"/>
      <c r="D25" s="22" t="n"/>
      <c r="E25" s="22" t="n"/>
      <c r="F25" s="22" t="n"/>
      <c r="G25" s="22" t="n"/>
      <c r="H25" s="22" t="n"/>
      <c r="I25" s="22" t="n"/>
      <c r="J25" s="22" t="n"/>
      <c r="K25" s="22" t="n"/>
      <c r="L25" s="22" t="n"/>
      <c r="M25" s="20" t="n"/>
      <c r="N25" s="22" t="n"/>
      <c r="O25" s="22" t="n"/>
      <c r="P25" s="22" t="n"/>
    </row>
    <row r="26">
      <c r="A26" s="15" t="n"/>
      <c r="B26" s="20" t="n"/>
      <c r="C26" s="21" t="n"/>
      <c r="D26" s="22" t="n"/>
      <c r="E26" s="22" t="n"/>
      <c r="F26" s="22" t="n"/>
      <c r="G26" s="22" t="n"/>
      <c r="H26" s="22" t="n"/>
      <c r="I26" s="22" t="n"/>
      <c r="J26" s="22" t="n"/>
      <c r="K26" s="22" t="n"/>
      <c r="L26" s="22" t="n"/>
      <c r="M26" s="20" t="n"/>
      <c r="N26" s="22" t="n"/>
      <c r="O26" s="22" t="n"/>
      <c r="P26" s="22" t="n"/>
    </row>
    <row r="27">
      <c r="A27" s="15" t="n"/>
      <c r="B27" s="20" t="n"/>
      <c r="C27" s="21" t="n"/>
      <c r="D27" s="22" t="n"/>
      <c r="E27" s="22" t="n"/>
      <c r="F27" s="22" t="n"/>
      <c r="G27" s="22" t="n"/>
      <c r="H27" s="22" t="n"/>
      <c r="I27" s="22" t="n"/>
      <c r="J27" s="22" t="n"/>
      <c r="K27" s="22" t="n"/>
      <c r="L27" s="22" t="n"/>
      <c r="M27" s="20" t="n"/>
      <c r="N27" s="22" t="n"/>
      <c r="O27" s="22" t="n"/>
      <c r="P27" s="22" t="n"/>
    </row>
    <row r="28">
      <c r="A28" s="15" t="n"/>
      <c r="B28" s="20" t="n"/>
      <c r="C28" s="21" t="n"/>
      <c r="D28" s="22" t="n"/>
      <c r="E28" s="22" t="n"/>
      <c r="F28" s="22" t="n"/>
      <c r="G28" s="22" t="n"/>
      <c r="H28" s="22" t="n"/>
      <c r="I28" s="22" t="n"/>
      <c r="J28" s="22" t="n"/>
      <c r="K28" s="22" t="n"/>
      <c r="L28" s="22" t="n"/>
      <c r="M28" s="20" t="n"/>
      <c r="N28" s="22" t="n"/>
      <c r="O28" s="22" t="n"/>
      <c r="P28" s="22" t="n"/>
    </row>
    <row r="29">
      <c r="A29" s="15" t="n"/>
      <c r="B29" s="20" t="n"/>
      <c r="C29" s="21" t="n"/>
      <c r="D29" s="22" t="n"/>
      <c r="E29" s="22" t="n"/>
      <c r="F29" s="22" t="n"/>
      <c r="G29" s="22" t="n"/>
      <c r="H29" s="22" t="n"/>
      <c r="I29" s="22" t="n"/>
      <c r="J29" s="22" t="n"/>
      <c r="K29" s="22" t="n"/>
      <c r="L29" s="22" t="n"/>
      <c r="M29" s="20" t="n"/>
      <c r="N29" s="22" t="n"/>
      <c r="O29" s="22" t="n"/>
      <c r="P29" s="22" t="n"/>
    </row>
    <row r="30">
      <c r="A30" s="15" t="n"/>
      <c r="B30" s="20" t="n"/>
      <c r="C30" s="21" t="n"/>
      <c r="D30" s="22" t="n"/>
      <c r="E30" s="22" t="n"/>
      <c r="F30" s="22" t="n"/>
      <c r="G30" s="22" t="n"/>
      <c r="H30" s="22" t="n"/>
      <c r="I30" s="22" t="n"/>
      <c r="J30" s="22" t="n"/>
      <c r="K30" s="22" t="n"/>
      <c r="L30" s="22" t="n"/>
      <c r="M30" s="20" t="n"/>
      <c r="N30" s="22" t="n"/>
      <c r="O30" s="22" t="n"/>
      <c r="P30" s="22" t="n"/>
    </row>
    <row r="31">
      <c r="A31" s="15" t="n"/>
      <c r="B31" s="20" t="n"/>
      <c r="C31" s="21" t="n"/>
      <c r="D31" s="22" t="n"/>
      <c r="E31" s="22" t="n"/>
      <c r="F31" s="22" t="n"/>
      <c r="G31" s="22" t="n"/>
      <c r="H31" s="22" t="n"/>
      <c r="I31" s="22" t="n"/>
      <c r="J31" s="22" t="n"/>
      <c r="K31" s="22" t="n"/>
      <c r="L31" s="22" t="n"/>
      <c r="M31" s="20" t="n"/>
      <c r="N31" s="22" t="n"/>
      <c r="O31" s="22" t="n"/>
      <c r="P31" s="22" t="n"/>
    </row>
    <row r="32">
      <c r="A32" s="15" t="n"/>
      <c r="B32" s="20" t="n"/>
      <c r="C32" s="21" t="n"/>
      <c r="D32" s="22" t="n"/>
      <c r="E32" s="22" t="n"/>
      <c r="F32" s="22" t="n"/>
      <c r="G32" s="22" t="n"/>
      <c r="H32" s="22" t="n"/>
      <c r="I32" s="22" t="n"/>
      <c r="J32" s="22" t="n"/>
      <c r="K32" s="22" t="n"/>
      <c r="L32" s="22" t="n"/>
      <c r="M32" s="20" t="n"/>
      <c r="N32" s="22" t="n"/>
      <c r="O32" s="22" t="n"/>
      <c r="P32" s="22" t="n"/>
    </row>
    <row r="33">
      <c r="A33" s="15" t="n"/>
      <c r="B33" s="20" t="n"/>
      <c r="C33" s="21" t="n"/>
      <c r="D33" s="22" t="n"/>
      <c r="E33" s="22" t="n"/>
      <c r="F33" s="22" t="n"/>
      <c r="G33" s="22" t="n"/>
      <c r="H33" s="22" t="n"/>
      <c r="I33" s="22" t="n"/>
      <c r="J33" s="22" t="n"/>
      <c r="K33" s="22" t="n"/>
      <c r="L33" s="22" t="n"/>
      <c r="M33" s="20" t="n"/>
      <c r="N33" s="22" t="n"/>
      <c r="O33" s="22" t="n"/>
      <c r="P33" s="22" t="n"/>
    </row>
    <row r="34">
      <c r="A34" s="15" t="n"/>
      <c r="B34" s="20" t="n"/>
      <c r="C34" s="21" t="n"/>
      <c r="D34" s="22" t="n"/>
      <c r="E34" s="22" t="n"/>
      <c r="F34" s="22" t="n"/>
      <c r="G34" s="22" t="n"/>
      <c r="H34" s="22" t="n"/>
      <c r="I34" s="22" t="n"/>
      <c r="J34" s="22" t="n"/>
      <c r="K34" s="22" t="n"/>
      <c r="L34" s="22" t="n"/>
      <c r="M34" s="20" t="n"/>
      <c r="N34" s="22" t="n"/>
      <c r="O34" s="22" t="n"/>
      <c r="P34" s="22" t="n"/>
    </row>
    <row r="35">
      <c r="A35" s="15" t="n"/>
      <c r="B35" s="20" t="n"/>
      <c r="C35" s="21" t="n"/>
      <c r="D35" s="22" t="n"/>
      <c r="E35" s="22" t="n"/>
      <c r="F35" s="22" t="n"/>
      <c r="G35" s="22" t="n"/>
      <c r="H35" s="22" t="n"/>
      <c r="I35" s="22" t="n"/>
      <c r="J35" s="22" t="n"/>
      <c r="K35" s="22" t="n"/>
      <c r="L35" s="22" t="n"/>
      <c r="M35" s="20" t="n"/>
      <c r="N35" s="22" t="n"/>
      <c r="O35" s="22" t="n"/>
      <c r="P35" s="22" t="n"/>
    </row>
    <row r="36">
      <c r="A36" s="15" t="n"/>
      <c r="B36" s="20" t="n"/>
      <c r="C36" s="21" t="n"/>
      <c r="D36" s="22" t="n"/>
      <c r="E36" s="22" t="n"/>
      <c r="F36" s="22" t="n"/>
      <c r="G36" s="22" t="n"/>
      <c r="H36" s="22" t="n"/>
      <c r="I36" s="22" t="n"/>
      <c r="J36" s="22" t="n"/>
      <c r="K36" s="22" t="n"/>
      <c r="L36" s="22" t="n"/>
      <c r="M36" s="20" t="n"/>
      <c r="N36" s="22" t="n"/>
      <c r="O36" s="22" t="n"/>
      <c r="P36" s="22" t="n"/>
    </row>
    <row r="37">
      <c r="A37" s="15" t="n"/>
      <c r="B37" s="20" t="n"/>
      <c r="C37" s="21" t="n"/>
      <c r="D37" s="22" t="n"/>
      <c r="E37" s="22" t="n"/>
      <c r="F37" s="22" t="n"/>
      <c r="G37" s="22" t="n"/>
      <c r="H37" s="22" t="n"/>
      <c r="I37" s="22" t="n"/>
      <c r="J37" s="22" t="n"/>
      <c r="K37" s="22" t="n"/>
      <c r="L37" s="22" t="n"/>
      <c r="M37" s="20" t="n"/>
      <c r="N37" s="22" t="n"/>
      <c r="O37" s="22" t="n"/>
      <c r="P37" s="22" t="n"/>
    </row>
    <row r="38">
      <c r="A38" s="15" t="n"/>
      <c r="B38" s="20" t="n"/>
      <c r="C38" s="21" t="n"/>
      <c r="D38" s="22" t="n"/>
      <c r="E38" s="22" t="n"/>
      <c r="F38" s="22" t="n"/>
      <c r="G38" s="22" t="n"/>
      <c r="H38" s="22" t="n"/>
      <c r="I38" s="22" t="n"/>
      <c r="J38" s="22" t="n"/>
      <c r="K38" s="22" t="n"/>
      <c r="L38" s="22" t="n"/>
      <c r="M38" s="20" t="n"/>
      <c r="N38" s="22" t="n"/>
      <c r="O38" s="22" t="n"/>
      <c r="P38" s="22" t="n"/>
    </row>
    <row r="39">
      <c r="A39" s="15" t="n"/>
      <c r="B39" s="20" t="n"/>
      <c r="C39" s="21" t="n"/>
      <c r="D39" s="22" t="n"/>
      <c r="E39" s="22" t="n"/>
      <c r="F39" s="22" t="n"/>
      <c r="G39" s="22" t="n"/>
      <c r="H39" s="22" t="n"/>
      <c r="I39" s="22" t="n"/>
      <c r="J39" s="22" t="n"/>
      <c r="K39" s="22" t="n"/>
      <c r="L39" s="22" t="n"/>
      <c r="M39" s="20" t="n"/>
      <c r="N39" s="22" t="n"/>
      <c r="O39" s="22" t="n"/>
      <c r="P39" s="22" t="n"/>
    </row>
    <row r="40">
      <c r="A40" s="15" t="n"/>
      <c r="B40" s="20" t="n"/>
      <c r="C40" s="21" t="n"/>
      <c r="D40" s="22" t="n"/>
      <c r="E40" s="22" t="n"/>
      <c r="F40" s="22" t="n"/>
      <c r="G40" s="22" t="n"/>
      <c r="H40" s="22" t="n"/>
      <c r="I40" s="22" t="n"/>
      <c r="J40" s="22" t="n"/>
      <c r="K40" s="22" t="n"/>
      <c r="L40" s="22" t="n"/>
      <c r="M40" s="20" t="n"/>
      <c r="N40" s="22" t="n"/>
      <c r="O40" s="22" t="n"/>
      <c r="P40" s="22" t="n"/>
    </row>
    <row r="41">
      <c r="A41" s="15" t="n"/>
      <c r="B41" s="20" t="n"/>
      <c r="C41" s="21" t="n"/>
      <c r="D41" s="22" t="n"/>
      <c r="E41" s="22" t="n"/>
      <c r="F41" s="22" t="n"/>
      <c r="G41" s="22" t="n"/>
      <c r="H41" s="22" t="n"/>
      <c r="I41" s="22" t="n"/>
      <c r="J41" s="22" t="n"/>
      <c r="K41" s="22" t="n"/>
      <c r="L41" s="22" t="n"/>
      <c r="M41" s="20" t="n"/>
      <c r="N41" s="22" t="n"/>
      <c r="O41" s="22" t="n"/>
      <c r="P41" s="22" t="n"/>
    </row>
    <row r="42">
      <c r="A42" s="15" t="n"/>
      <c r="B42" s="20" t="n"/>
      <c r="C42" s="21" t="n"/>
      <c r="D42" s="22" t="n"/>
      <c r="E42" s="22" t="n"/>
      <c r="F42" s="22" t="n"/>
      <c r="G42" s="22" t="n"/>
      <c r="H42" s="22" t="n"/>
      <c r="I42" s="22" t="n"/>
      <c r="J42" s="22" t="n"/>
      <c r="K42" s="22" t="n"/>
      <c r="L42" s="22" t="n"/>
      <c r="M42" s="20" t="n"/>
      <c r="N42" s="22" t="n"/>
      <c r="O42" s="22" t="n"/>
      <c r="P42" s="22" t="n"/>
    </row>
    <row r="43">
      <c r="A43" s="15" t="n"/>
      <c r="B43" s="20" t="n"/>
      <c r="C43" s="21" t="n"/>
      <c r="D43" s="22" t="n"/>
      <c r="E43" s="22" t="n"/>
      <c r="F43" s="22" t="n"/>
      <c r="G43" s="22" t="n"/>
      <c r="H43" s="22" t="n"/>
      <c r="I43" s="22" t="n"/>
      <c r="J43" s="22" t="n"/>
      <c r="K43" s="22" t="n"/>
      <c r="L43" s="22" t="n"/>
      <c r="M43" s="20" t="n"/>
      <c r="N43" s="22" t="n"/>
      <c r="O43" s="22" t="n"/>
      <c r="P43" s="22" t="n"/>
    </row>
    <row r="44">
      <c r="A44" s="15" t="n"/>
      <c r="B44" s="20" t="n"/>
      <c r="C44" s="21" t="n"/>
      <c r="D44" s="22" t="n"/>
      <c r="E44" s="22" t="n"/>
      <c r="F44" s="22" t="n"/>
      <c r="G44" s="22" t="n"/>
      <c r="H44" s="22" t="n"/>
      <c r="I44" s="22" t="n"/>
      <c r="J44" s="22" t="n"/>
      <c r="K44" s="22" t="n"/>
      <c r="L44" s="22" t="n"/>
      <c r="M44" s="20" t="n"/>
      <c r="N44" s="22" t="n"/>
      <c r="O44" s="22" t="n"/>
      <c r="P44" s="22" t="n"/>
    </row>
    <row r="45">
      <c r="A45" s="15" t="n"/>
      <c r="B45" s="20" t="n"/>
      <c r="C45" s="21" t="n"/>
      <c r="D45" s="22" t="n"/>
      <c r="E45" s="22" t="n"/>
      <c r="F45" s="22" t="n"/>
      <c r="G45" s="22" t="n"/>
      <c r="H45" s="22" t="n"/>
      <c r="I45" s="22" t="n"/>
      <c r="J45" s="22" t="n"/>
      <c r="K45" s="22" t="n"/>
      <c r="L45" s="22" t="n"/>
      <c r="M45" s="20" t="n"/>
      <c r="N45" s="22" t="n"/>
      <c r="O45" s="22" t="n"/>
      <c r="P45" s="22" t="n"/>
    </row>
    <row r="46">
      <c r="A46" s="15" t="n"/>
      <c r="B46" s="20" t="n"/>
      <c r="C46" s="21" t="n"/>
      <c r="D46" s="22" t="n"/>
      <c r="E46" s="22" t="n"/>
      <c r="F46" s="22" t="n"/>
      <c r="G46" s="22" t="n"/>
      <c r="H46" s="22" t="n"/>
      <c r="I46" s="22" t="n"/>
      <c r="J46" s="22" t="n"/>
      <c r="K46" s="22" t="n"/>
      <c r="L46" s="22" t="n"/>
      <c r="M46" s="20" t="n"/>
      <c r="N46" s="22" t="n"/>
      <c r="O46" s="22" t="n"/>
      <c r="P46" s="22" t="n"/>
    </row>
    <row r="47">
      <c r="A47" s="15" t="n"/>
      <c r="B47" s="20" t="n"/>
      <c r="C47" s="21" t="n"/>
      <c r="D47" s="22" t="n"/>
      <c r="E47" s="22" t="n"/>
      <c r="F47" s="22" t="n"/>
      <c r="G47" s="22" t="n"/>
      <c r="H47" s="22" t="n"/>
      <c r="I47" s="22" t="n"/>
      <c r="J47" s="22" t="n"/>
      <c r="K47" s="22" t="n"/>
      <c r="L47" s="22" t="n"/>
      <c r="M47" s="20" t="n"/>
      <c r="N47" s="22" t="n"/>
      <c r="O47" s="22" t="n"/>
      <c r="P47" s="22" t="n"/>
    </row>
    <row r="48">
      <c r="A48" s="15" t="n"/>
      <c r="B48" s="20" t="n"/>
      <c r="C48" s="21" t="n"/>
      <c r="D48" s="22" t="n"/>
      <c r="E48" s="22" t="n"/>
      <c r="F48" s="22" t="n"/>
      <c r="G48" s="22" t="n"/>
      <c r="H48" s="22" t="n"/>
      <c r="I48" s="22" t="n"/>
      <c r="J48" s="22" t="n"/>
      <c r="K48" s="22" t="n"/>
      <c r="L48" s="22" t="n"/>
      <c r="M48" s="20" t="n"/>
      <c r="N48" s="22" t="n"/>
      <c r="O48" s="22" t="n"/>
      <c r="P48" s="22" t="n"/>
    </row>
    <row r="49">
      <c r="A49" s="15" t="n"/>
      <c r="B49" s="20" t="n"/>
      <c r="C49" s="21" t="n"/>
      <c r="D49" s="22" t="n"/>
      <c r="E49" s="22" t="n"/>
      <c r="F49" s="22" t="n"/>
      <c r="G49" s="22" t="n"/>
      <c r="H49" s="22" t="n"/>
      <c r="I49" s="22" t="n"/>
      <c r="J49" s="22" t="n"/>
      <c r="K49" s="22" t="n"/>
      <c r="L49" s="22" t="n"/>
      <c r="M49" s="20" t="n"/>
      <c r="N49" s="22" t="n"/>
      <c r="O49" s="22" t="n"/>
      <c r="P49" s="22" t="n"/>
    </row>
    <row r="50">
      <c r="A50" s="15" t="n"/>
      <c r="B50" s="20" t="n"/>
      <c r="C50" s="21" t="n"/>
      <c r="D50" s="22" t="n"/>
      <c r="E50" s="22" t="n"/>
      <c r="F50" s="22" t="n"/>
      <c r="G50" s="22" t="n"/>
      <c r="H50" s="22" t="n"/>
      <c r="I50" s="22" t="n"/>
      <c r="J50" s="22" t="n"/>
      <c r="K50" s="22" t="n"/>
      <c r="L50" s="22" t="n"/>
      <c r="M50" s="20" t="n"/>
      <c r="N50" s="22" t="n"/>
      <c r="O50" s="22" t="n"/>
      <c r="P50" s="22" t="n"/>
    </row>
    <row r="51">
      <c r="A51" s="15" t="n"/>
      <c r="B51" s="20" t="n"/>
      <c r="C51" s="21" t="n"/>
      <c r="D51" s="22" t="n"/>
      <c r="E51" s="22" t="n"/>
      <c r="F51" s="22" t="n"/>
      <c r="G51" s="22" t="n"/>
      <c r="H51" s="22" t="n"/>
      <c r="I51" s="22" t="n"/>
      <c r="J51" s="22" t="n"/>
      <c r="K51" s="22" t="n"/>
      <c r="L51" s="22" t="n"/>
      <c r="M51" s="20" t="n"/>
      <c r="N51" s="22" t="n"/>
      <c r="O51" s="22" t="n"/>
      <c r="P51" s="22" t="n"/>
    </row>
    <row r="52">
      <c r="A52" s="15" t="n"/>
      <c r="B52" s="20" t="n"/>
      <c r="C52" s="21" t="n"/>
      <c r="D52" s="22" t="n"/>
      <c r="E52" s="22" t="n"/>
      <c r="F52" s="22" t="n"/>
      <c r="G52" s="22" t="n"/>
      <c r="H52" s="22" t="n"/>
      <c r="I52" s="22" t="n"/>
      <c r="J52" s="22" t="n"/>
      <c r="K52" s="22" t="n"/>
      <c r="L52" s="22" t="n"/>
      <c r="M52" s="20" t="n"/>
      <c r="N52" s="22" t="n"/>
      <c r="O52" s="22" t="n"/>
      <c r="P52" s="22" t="n"/>
    </row>
    <row r="53">
      <c r="A53" s="15" t="n"/>
      <c r="B53" s="20" t="n"/>
      <c r="C53" s="21" t="n"/>
      <c r="D53" s="22" t="n"/>
      <c r="E53" s="22" t="n"/>
      <c r="F53" s="22" t="n"/>
      <c r="G53" s="22" t="n"/>
      <c r="H53" s="22" t="n"/>
      <c r="I53" s="22" t="n"/>
      <c r="J53" s="22" t="n"/>
      <c r="K53" s="22" t="n"/>
      <c r="L53" s="22" t="n"/>
      <c r="M53" s="20" t="n"/>
      <c r="N53" s="22" t="n"/>
      <c r="O53" s="22" t="n"/>
      <c r="P53" s="22" t="n"/>
    </row>
    <row r="54">
      <c r="A54" s="15" t="n"/>
      <c r="B54" s="20" t="n"/>
      <c r="C54" s="21" t="n"/>
      <c r="D54" s="22" t="n"/>
      <c r="E54" s="22" t="n"/>
      <c r="F54" s="22" t="n"/>
      <c r="G54" s="22" t="n"/>
      <c r="H54" s="22" t="n"/>
      <c r="I54" s="22" t="n"/>
      <c r="J54" s="22" t="n"/>
      <c r="K54" s="22" t="n"/>
      <c r="L54" s="22" t="n"/>
      <c r="M54" s="20" t="n"/>
      <c r="N54" s="22" t="n"/>
      <c r="O54" s="22" t="n"/>
      <c r="P54" s="22" t="n"/>
    </row>
    <row r="55">
      <c r="A55" s="15" t="n"/>
      <c r="B55" s="20" t="n"/>
      <c r="C55" s="21" t="n"/>
      <c r="D55" s="22" t="n"/>
      <c r="E55" s="22" t="n"/>
      <c r="F55" s="22" t="n"/>
      <c r="G55" s="22" t="n"/>
      <c r="H55" s="22" t="n"/>
      <c r="I55" s="22" t="n"/>
      <c r="J55" s="22" t="n"/>
      <c r="K55" s="22" t="n"/>
      <c r="L55" s="22" t="n"/>
      <c r="M55" s="20" t="n"/>
      <c r="N55" s="22" t="n"/>
      <c r="O55" s="22" t="n"/>
      <c r="P55" s="22" t="n"/>
    </row>
    <row r="57">
      <c r="A57" s="17" t="inlineStr">
        <is>
          <t>RAW INTELLIGENCE LOG SUMMARY</t>
        </is>
      </c>
    </row>
    <row r="58">
      <c r="A58" s="18" t="inlineStr">
        <is>
          <t>Total Raw Intel Logged:</t>
        </is>
      </c>
      <c r="B58" s="18">
        <f>COUNTA(I6:I55)</f>
        <v/>
      </c>
    </row>
    <row r="59">
      <c r="A59" s="18" t="inlineStr">
        <is>
          <t>Critical Priority:</t>
        </is>
      </c>
      <c r="B59" s="18">
        <f>COUNTIF(H6:H55,"Critical")</f>
        <v/>
      </c>
    </row>
    <row r="60">
      <c r="A60" s="18" t="inlineStr">
        <is>
          <t>High Priority:</t>
        </is>
      </c>
      <c r="B60" s="18">
        <f>COUNTIF(H6:H55,"High")</f>
        <v/>
      </c>
    </row>
    <row r="61">
      <c r="A61" s="18" t="inlineStr">
        <is>
          <t>Pending Processing:</t>
        </is>
      </c>
      <c r="B61" s="18">
        <f>COUNTIF(L6:L55,"Received")</f>
        <v/>
      </c>
    </row>
    <row r="62">
      <c r="A62" s="18" t="inlineStr">
        <is>
          <t>Processed:</t>
        </is>
      </c>
      <c r="B62" s="18">
        <f>COUNTIF(L6:L55,"Published")</f>
        <v/>
      </c>
    </row>
    <row r="63">
      <c r="A63" s="18" t="inlineStr">
        <is>
          <t>TLP:RED Items:</t>
        </is>
      </c>
      <c r="B63" s="18">
        <f>COUNTIF(G6:G55,"TLP:RED")</f>
        <v/>
      </c>
    </row>
  </sheetData>
  <mergeCells count="3">
    <mergeCell ref="A1:P1"/>
    <mergeCell ref="A57:D57"/>
    <mergeCell ref="A2:P2"/>
  </mergeCells>
  <conditionalFormatting sqref="H6:H55">
    <cfRule type="cellIs" priority="1" operator="equal" dxfId="0">
      <formula>"Critical"</formula>
    </cfRule>
    <cfRule type="cellIs" priority="2" operator="equal" dxfId="1">
      <formula>"High"</formula>
    </cfRule>
  </conditionalFormatting>
  <dataValidations count="27">
    <dataValidation sqref="B6 B7 B8 B9 B10 B11 B12 B13 B14 B15 B16 B17 B18 B19 B20 B21 B22 B23 B24 B25 B26 B27 B28 B29 B30 B31 B32 B33 B34 B35 B36 B37 B38 B39 B40 B41 B42 B43 B44 B45 B46 B47 B48 B49 B50 B51 B52 B53 B54 B55 F6 F7 F8 F9 F10 F11 F12 F13 F14 F15 F16 F17 F18 F19 F20 F21 F22 F23 F24 F25 F26 F27 F28 F29 F30 F31 F32 F33 F34 F35 F36 F37 F38 F39 F40 F41 F42 F43 F44 F45 F46 F47 F48 F49 F50 F51 F52 F53 F54 F55" showDropDown="0" showInputMessage="0" showErrorMessage="0" allowBlank="0" type="list">
      <formula1>"Strategic,Tactical,Operational,Technical"</formula1>
    </dataValidation>
    <dataValidation sqref="D6 D7 D8 D9 D10 D11 D12 D13 D14 D15 D16 D17 D18 D19 D20 D21 D22 D23 D24 D25 D26 D27 D28 D29 D30 D31 D32 D33 D34 D35 D36 D37 D38 D39 D40 D41 D42 D43 D44 D45 D46 D47 D48 D49 D50 D51 D52 D53 D54 D55 E6 E7 E8 E9 E10 E11 E12 E13 E14 E15 E16 E17 E18 E19 E20 E21 E22 E23 E24 E25 E26 E27 E28 E29 E30 E31 E32 E33 E34 E35 E36 E37 E38 E39 E40 E41 E42 E43 E44 E45 E46 E47 E48 E49 E50 E51 E52 E53 E54 E55 H6 H7 H8 H9 H10 H11 H12 H13 H14 H15 H16 H17 H18 H19 H20 H21 H22 H23 H24 H25 H26 H27 H28 H29 H30 H31 H32 H33 H34 H35 H36 H37 H38 H39 H40 H41 H42 H43 H44 H45 H46 H47 H48 H49 H50 H51 H52 H53 H54 H55" showDropDown="0" showInputMessage="0" showErrorMessage="0" allowBlank="0" type="list">
      <formula1>"Critical,High,Medium,Low"</formula1>
    </dataValidation>
    <dataValidation sqref="K6 K7 K8 K9 K10 K11 K12 K13 K14 K15 K16 K17 K18 K19 K20 K21 K22 K23 K24 K25 K26 K27 K28 K29 K30 K31 K32 K33 K34 K35 K36 K37 K38 K39 K40 K41 K42 K43 K44 K45 K46 K47 K48 K49 K50 K51 K52 K53 K54 K55" showDropDown="0" showInputMessage="0" showErrorMessage="0" allowBlank="0" type="list">
      <formula1>"Automated_Feed,Manual_Research,OSINT,Partnership,Internal_Telemetry"</formula1>
    </dataValidation>
    <dataValidation sqref="E6 E7 E8 E9 E10 E11 E12 E13 E14 E15 E16 E17 E18 E19 E20 E21 E22 E23 E24 E25 E26 E27 E28 E29 E30 E31 E32 E33 E34 E35 E36 E37 E38 E39 E40 E41 E42 E43 E44 E45 E46 E47 E48 E49 E50 E51 E52 E53 E54 E55 M6 M7 M8 M9 M10 M11 M12 M13 M14 M15 M16 M17 M18 M19 M20 M21 M22 M23 M24 M25 M26 M27 M28 M29 M30 M31 M32 M33 M34 M35 M36 M37 M38 M39 M40 M41 M42 M43 M44 M45 M46 M47 M48 M49 M50 M51 M52 M53 M54 M55" showDropDown="0" showInputMessage="0" showErrorMessage="0" allowBlank="0" type="list">
      <formula1>"Real-time,Hourly,Daily,Weekly,On_Demand"</formula1>
    </dataValidation>
    <dataValidation sqref="I6 I7 I8 I9 I10 I11 I12 I13 I14 I15 I16 I17 I18 I19 I20 I21 I22 I23 I24 I25 I26 I27 I28 I29 I30 I31 I32 I33 I34 I35 I36 I37 I38 I39 I40 I41 I42 I43 I44 I45 I46 I47 I48 I49 I50 I51 I52 I53 I54 I55" showDropDown="0" showInputMessage="0" showErrorMessage="0" allowBlank="0" type="list">
      <formula1>"Fully_Implemented,Partially_Implemented,Planned,Not_Used"</formula1>
    </dataValidation>
    <dataValidation sqref="N6 N7 N8 N9 N10 N11 N12 N13 N14 N15 N16 N17 N18 N19 N20 N21 N22 N23 N24 N25 N26 N27 N28 N29 N30 N31 N32 N33 N34 N35 N36 N37 N38 N39 N40 N41 N42 N43 N44 N45 N46 N47 N48 N49 N50 N51 N52 N53 N54 N55" showDropDown="0" showInputMessage="0" showErrorMessage="0" allowBlank="1" type="list">
      <formula1>"Excellent,Good,Fair,Poor"</formula1>
    </dataValidation>
    <dataValidation sqref="B6 B7 B8 B9 B10 B11 B12 B13 B14 B15 B16 B17 B18 B19 B20 B21 B22 B23 B24 B25 B26 B27 B28 B29 B30 B31 B32 B33 B34 B35 B36 B37 B38 B39 B40 B41 B42 B43 B44 B45 B46 B47 B48 B49 B50 B51 B52 B53 B54 B55" showDropDown="0" showInputMessage="0" showErrorMessage="0" allowBlank="0" type="list">
      <formula1>"Strategic_Report,Tactical_Brief,Operational_Alert,Technical_Analysis,IOC_Package,Threat_Profile"</formula1>
    </dataValidation>
    <dataValidation sqref="L6 L7 L8 L9 L10 L11 L12 L13 L14 L15 L16 L17 L18 L19 L20 L21 L22 L23 L24 L25 L26 L27 L28 L29 L30 L31 L32 L33 L34 L35 L36 L37 L38 L39 L40 L41 L42 L43 L44 L45 L46 L47 L48 L49 L50 L51 L52 L53 L54 L55 N6 N7 N8 N9 N10 N11 N12 N13 N14 N15 N16 N17 N18 N19 N20 N21 N22 N23 N24 N25 N26 N27 N28 N29 N30 N31 N32 N33 N34 N35 N36 N37 N38 N39 N40 N41 N42 N43 N44 N45 N46 N47 N48 N49 N50 N51 N52 N53 N54 N55" showDropDown="0" showInputMessage="0" showErrorMessage="0" allowBlank="0" type="list">
      <formula1>"Draft,Review,Published,Archived"</formula1>
    </dataValidation>
    <dataValidation sqref="E6 E7 E8 E9 E10 E11 E12 E13 E14 E15 E16 E17 E18 E19 E20 E21 E22 E23 E24 E25 E26 E27 E28 E29 E30 E31 E32 E33 E34 E35 E36 E37 E38 E39 E40 E41 E42 E43 E44 E45 E46 E47 E48 E49 E50 E51 E52 E53 E54 E55 H6 H7 H8 H9 H10 H11 H12 H13 H14 H15 H16 H17 H18 H19 H20 H21 H22 H23 H24 H25 H26 H27 H28 H29 H30 H31 H32 H33 H34 H35 H36 H37 H38 H39 H40 H41 H42 H43 H44 H45 H46 H47 H48 H49 H50 H51 H52 H53 H54 H55" showDropDown="0" showInputMessage="0" showErrorMessage="0" allowBlank="0" type="list">
      <formula1>"High,Medium,Low,Unconfirmed"</formula1>
    </dataValidation>
    <dataValidation sqref="G6 G7 G8 G9 G10 G11 G12 G13 G14 G15 G16 G17 G18 G19 G20 G21 G22 G23 G24 G25 G26 G27 G28 G29 G30 G31 G32 G33 G34 G35 G36 G37 G38 G39 G40 G41 G42 G43 G44 G45 G46 G47 G48 G49 G50 G51 G52 G53 G54 G55" showDropDown="0" showInputMessage="0" showErrorMessage="0" allowBlank="0" type="list">
      <formula1>"TLP:CLEAR,TLP:GREEN,TLP:AMBER,TLP:AMBER+STRICT,TLP:RED"</formula1>
    </dataValidation>
    <dataValidation sqref="F6 F7 F8 F9 F10 F11 F12 F13 F14 F15 F16 F17 F18 F19 F20 F21 F22 F23 F24 F25 F26 F27 F28 F29 F30 F31 F32 F33 F34 F35 F36 F37 F38 F39 F40 F41 F42 F43 F44 F45 F46 F47 F48 F49 F50 F51 F52 F53 F54 F55" showDropDown="0" showInputMessage="0" showErrorMessage="0" allowBlank="0" type="list">
      <formula1>"Full,Partial,Limited,None"</formula1>
    </dataValidation>
    <dataValidation sqref="D6 D7 D8 D9 D10 D11 D12 D13 D14 D15 D16 D17 D18 D19 D20 D21 D22 D23 D24 D25 D26 D27 D28 D29 D30 D31 D32 D33 D34 D35 D36 D37 D38 D39 D40 D41 D42 D43 D44 D45 D46 D47 D48 D49 D50 D51 D52 D53 D54 D55" showDropDown="0" showInputMessage="0" showErrorMessage="0" allowBlank="1" type="list">
      <formula1>"Nation-State,Criminal_Syndicate,Hacktivist,Insider_Threat,Script_Kiddie,Unknown"</formula1>
    </dataValidation>
    <dataValidation sqref="I6 I7 I8 I9 I10 I11 I12 I13 I14 I15 I16 I17 I18 I19 I20 I21 I22 I23 I24 I25 I26 I27 I28 I29 I30 I31 I32 I33 I34 I35 I36 I37 I38 I39 I40 I41 I42 I43 I44 I45 I46 I47 I48 I49 I50 I51 I52 I53 I54 I55 M6 M7 M8 M9 M10 M11 M12 M13 M14 M15 M16 M17 M18 M19 M20 M21 M22 M23 M24 M25 M26 M27 M28 M29 M30 M31 M32 M33 M34 M35 M36 M37 M38 M39 M40 M41 M42 M43 M44 M45 M46 M47 M48 M49 M50 M51 M52 M53 M54 M55" showDropDown="0" showInputMessage="0" showErrorMessage="0" allowBlank="0" type="list">
      <formula1>"Yes,No"</formula1>
    </dataValidation>
    <dataValidation sqref="B5 B6 B7 B8 B9 B10 B11 B12 B13 B14 B15 B16 B17 B18 B19 B20 B21 B22 B23 B24 C5 C6 C7 C8 C9 C10 C11 C12 C13 C14 C15 C16 C17 C18 C19 C20 C21 C22 C23 C24" showDropDown="0" showInputMessage="0" showErrorMessage="0" allowBlank="0" type="list">
      <formula1>"1 - Initial,2 - Managed,3 - Defined,4 - Quantitatively Managed,5 - Optimizing"</formula1>
    </dataValidation>
    <dataValidation sqref="G6 G7 G8 G9 G10 G11 G12 G13 G14 G15 G16 G17 G18 G19 G20 G21 G22 G23 G24 G25 G26 G27 G28 G29 G30 G31 G32 G33 G34 G35 G36 G37 G38 G39 G40 G41 G42 G43 G44 G45 G46 G47 G48 G49 G50 G51 G52 G53 G54 G55" showDropDown="0" showInputMessage="0" showErrorMessage="0" allowBlank="0" type="list">
      <formula1>"Open,In_Progress,Blocked,Resolved,Closed"</formula1>
    </dataValidation>
    <dataValidation sqref="C6 C7 C8 C9 C10 C11 C12 C13 C14 C15 C16 C17 C18 C19 C20 C21 C22 C23 C24 C25 C26 C27 C28 C29 C30 C31 C32 C33 C34 C35 C36 C37 C38 C39 C40 C41 C42 C43 C44 C45 C46 C47 C48 C49 C50 C51 C52 C53 C54 C55" showDropDown="0" showInputMessage="0" showErrorMessage="0" allowBlank="1" type="list">
      <formula1>"TIP,SIEM,Malware_Analysis,OSINT,Collaboration,Visualization,Scripting,Other"</formula1>
    </dataValidation>
    <dataValidation sqref="E6 E7 E8 E9 E10 E11 E12 E13 E14 E15 E16 E17 E18 E19 E20 E21 E22 E23 E24 E25 E26 E27 E28 E29 E30 E31 E32 E33 E34 E35 E36 E37 E38 E39 E40 E41 E42 E43 E44 E45 E46 E47 E48 E49 E50 E51 E52 E53 E54 E55" showDropDown="0" showInputMessage="0" showErrorMessage="0" allowBlank="1" type="list">
      <formula1>"Commercial,Open_Source,Freeware,Internal_Developed"</formula1>
    </dataValidation>
    <dataValidation sqref="J6 J7 J8 J9 J10 J11 J12 J13 J14 J15 J16 J17 J18 J19 J20 J21 J22 J23 J24 J25 J26 J27 J28 J29 J30 J31 J32 J33 J34 J35 J36 J37 J38 J39 J40 J41 J42 J43 J44 J45 J46 J47 J48 J49 J50 J51 J52 J53 J54 J55" showDropDown="0" showInputMessage="0" showErrorMessage="0" allowBlank="1" type="list">
      <formula1>"Yes,No,N/A"</formula1>
    </dataValidation>
    <dataValidation sqref="I6 I7 I8 I9 I10 I11 I12 I13 I14 I15 I16 I17 I18 I19 I20 I21 I22 I23 I24 I25 I26 I27 I28 I29 I30 I31 I32 I33 I34 I35 I36 I37 I38 I39 I40 I41 I42 I43 I44 I45 I46 I47 I48 I49 I50 I51 I52 I53 I54 I55 J6 J7 J8 J9 J10 J11 J12 J13 J14 J15 J16 J17 J18 J19 J20 J21 J22 J23 J24 J25 J26 J27 J28 J29 J30 J31 J32 J33 J34 J35 J36 J37 J38 J39 J40 J41 J42 J43 J44 J45 J46 J47 J48 J49 J50 J51 J52 J53 J54 J55" showDropDown="0" showInputMessage="0" showErrorMessage="0" allowBlank="1" type="list">
      <formula1>"Yes,No,Unknown"</formula1>
    </dataValidation>
    <dataValidation sqref="J6 J7 J8 J9 J10 J11 J12 J13 J14 J15 J16 J17 J18 J19 J20 J21 J22 J23 J24 J25 J26 J27 J28 J29 J30 J31 J32 J33 J34 J35 J36 J37 J38 J39 J40 J41 J42 J43 J44 J45 J46 J47 J48 J49 J50 J51 J52 J53 J54 J55 K6 K7 K8 K9 K10 K11 K12 K13 K14 K15 K16 K17 K18 K19 K20 K21 K22 K23 K24 K25 K26 K27 K28 K29 K30 K31 K32 K33 K34 K35 K36 K37 K38 K39 K40 K41 K42 K43 K44 K45 K46 K47 K48 K49 K50 K51 K52 K53 K54 K55" showDropDown="0" showInputMessage="0" showErrorMessage="0" allowBlank="1" type="list">
      <formula1>"Confirmed,Suspected,No,Unknown"</formula1>
    </dataValidation>
    <dataValidation sqref="K6 K7 K8 K9 K10 K11 K12 K13 K14 K15 K16 K17 K18 K19 K20 K21 K22 K23 K24 K25 K26 K27 K28 K29 K30 K31 K32 K33 K34 K35 K36 K37 K38 K39 K40 K41 K42 K43 K44 K45 K46 K47 K48 K49 K50 K51 K52 K53 K54 K55" showDropDown="0" showInputMessage="0" showErrorMessage="0" allowBlank="1" type="list">
      <formula1>"Espionage,Financial,Disruption,Ideology,Unknown"</formula1>
    </dataValidation>
    <dataValidation sqref="L6 L7 L8 L9 L10 L11 L12 L13 L14 L15 L16 L17 L18 L19 L20 L21 L22 L23 L24 L25 L26 L27 L28 L29 L30 L31 L32 L33 L34 L35 L36 L37 L38 L39 L40 L41 L42 L43 L44 L45 L46 L47 L48 L49 L50 L51 L52 L53 L54 L55" showDropDown="0" showInputMessage="0" showErrorMessage="0" allowBlank="1" type="list">
      <formula1>"Advanced,Moderate,Low"</formula1>
    </dataValidation>
    <dataValidation sqref="G6 G7 G8 G9 G10 G11 G12 G13 G14 G15 G16 G17 G18 G19 G20 G21 G22 G23 G24 G25 G26 G27 G28 G29 G30 G31 G32 G33 G34 G35 G36 G37 G38 G39 G40 G41 G42 G43 G44 G45 G46 G47 G48 G49 G50 G51 G52 G53 G54 G55" showDropDown="0" showInputMessage="0" showErrorMessage="0" allowBlank="1" type="list">
      <formula1>"Active,Concluded,Dormant,Unknown"</formula1>
    </dataValidation>
    <dataValidation sqref="L6 L7 L8 L9 L10 L11 L12 L13 L14 L15 L16 L17 L18 L19 L20 L21 L22 L23 L24 L25 L26 L27 L28 L29 L30 L31 L32 L33 L34 L35 L36 L37 L38 L39 L40 L41 L42 L43 L44 L45 L46 L47 L48 L49 L50 L51 L52 L53 L54 L55" showDropDown="0" showInputMessage="0" showErrorMessage="0" allowBlank="1" type="list">
      <formula1>"Espionage,Data_Theft,Disruption,Ransomware,Credential_Harvesting,Other"</formula1>
    </dataValidation>
    <dataValidation sqref="U6 U7 U8 U9 U10 U11 U12 U13 U14 U15 U16 U17 U18 U19 U20 U21 U22 U23 U24 U25 U26 U27 U28 U29 U30 U31 U32 U33 U34 U35 U36 U37 U38 U39 U40 U41 U42 U43 U44 U45 U46 U47 U48 U49 U50 U51 U52 U53 U54 U55" showDropDown="0" showInputMessage="0" showErrorMessage="0" allowBlank="1" type="list">
      <formula1>"Critical,High,Medium,Low"</formula1>
    </dataValidation>
    <dataValidation sqref="V6 V7 V8 V9 V10 V11 V12 V13 V14 V15 V16 V17 V18 V19 V20 V21 V22 V23 V24 V25 V26 V27 V28 V29 V30 V31 V32 V33 V34 V35 V36 V37 V38 V39 V40 V41 V42 V43 V44 V45 V46 V47 V48 V49 V50 V51 V52 V53 V54 V55" showDropDown="0" showInputMessage="0" showErrorMessage="0" allowBlank="1" type="list">
      <formula1>"Active_Monitoring,Passive_Monitoring,Concluded"</formula1>
    </dataValidation>
    <dataValidation sqref="H6 H7 H8 H9 H10 H11 H12 H13 H14 H15 H16 H17 H18 H19 H20 H21 H22 H23 H24 H25 H26 H27 H28 H29 H30 H31 H32 H33 H34 H35 H36 H37 H38 H39 H40 H41 H42 H43 H44 H45 H46 H47 H48 H49 H50 H51 H52 H53 H54 H55" showDropDown="0" showInputMessage="0" showErrorMessage="0" allowBlank="1" type="list">
      <formula1>"Integrated,Standalone,Planned,Deprecated"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62"/>
  <sheetViews>
    <sheetView showGridLines="0" workbookViewId="0">
      <pane ySplit="3" topLeftCell="A4" activePane="bottomLeft" state="frozen"/>
      <selection pane="bottomLeft" activeCell="A1" sqref="A1"/>
    </sheetView>
  </sheetViews>
  <sheetFormatPr baseColWidth="8" defaultRowHeight="15"/>
  <cols>
    <col width="15" customWidth="1" min="1" max="1"/>
    <col width="25" customWidth="1" min="2" max="2"/>
    <col width="45" customWidth="1" min="3" max="3"/>
    <col width="25" customWidth="1" min="4" max="4"/>
    <col width="25" customWidth="1" min="5" max="5"/>
    <col width="15" customWidth="1" min="6" max="6"/>
    <col width="18" customWidth="1" min="7" max="7"/>
    <col width="16" customWidth="1" min="8" max="8"/>
    <col width="25" customWidth="1" min="9" max="9"/>
    <col width="22" customWidth="1" min="10" max="10"/>
    <col width="18" customWidth="1" min="11" max="11"/>
    <col width="18" customWidth="1" min="12" max="12"/>
    <col width="20" customWidth="1" min="13" max="13"/>
    <col width="15" customWidth="1" min="14" max="14"/>
    <col width="30" customWidth="1" min="15" max="15"/>
  </cols>
  <sheetData>
    <row r="1" ht="35" customHeight="1">
      <c r="A1" s="11" t="inlineStr">
        <is>
          <t>INTELLIGENCE PRODUCTION TRACKING</t>
        </is>
      </c>
    </row>
    <row r="2">
      <c r="A2" s="12" t="inlineStr">
        <is>
          <t>Track all intelligence products (reports, briefings, alerts, IOC packages). Measure quality and stakeholder feedback.</t>
        </is>
      </c>
    </row>
    <row r="4">
      <c r="A4" s="13" t="inlineStr">
        <is>
          <t>Product ID</t>
        </is>
      </c>
      <c r="B4" s="13" t="inlineStr">
        <is>
          <t>Product Type</t>
        </is>
      </c>
      <c r="C4" s="13" t="inlineStr">
        <is>
          <t>Product Title</t>
        </is>
      </c>
      <c r="D4" s="13" t="inlineStr">
        <is>
          <t>Primary Author</t>
        </is>
      </c>
      <c r="E4" s="13" t="inlineStr">
        <is>
          <t>Contributors</t>
        </is>
      </c>
      <c r="F4" s="13" t="inlineStr">
        <is>
          <t>Publication Date</t>
        </is>
      </c>
      <c r="G4" s="13" t="inlineStr">
        <is>
          <t>TLP Classification</t>
        </is>
      </c>
      <c r="H4" s="13" t="inlineStr">
        <is>
          <t>Confidence Level</t>
        </is>
      </c>
      <c r="I4" s="13" t="inlineStr">
        <is>
          <t>Target Audience</t>
        </is>
      </c>
      <c r="J4" s="13" t="inlineStr">
        <is>
          <t>Stakeholder Feedback Rating</t>
        </is>
      </c>
      <c r="K4" s="13" t="inlineStr">
        <is>
          <t>Consumption Rate</t>
        </is>
      </c>
      <c r="L4" s="13" t="inlineStr">
        <is>
          <t>Actionability Score</t>
        </is>
      </c>
      <c r="M4" s="13" t="inlineStr">
        <is>
          <t>Time to Produce Hours</t>
        </is>
      </c>
      <c r="N4" s="13" t="inlineStr">
        <is>
          <t>Status</t>
        </is>
      </c>
      <c r="O4" s="13" t="inlineStr">
        <is>
          <t>Notes</t>
        </is>
      </c>
    </row>
    <row r="5">
      <c r="A5" s="14" t="inlineStr">
        <is>
          <t>PROD-2026-EXX</t>
        </is>
      </c>
      <c r="B5" s="14" t="inlineStr">
        <is>
          <t>Tactical Report</t>
        </is>
      </c>
      <c r="C5" s="14" t="inlineStr">
        <is>
          <t>APT29 EMEA Campaign Briefing</t>
        </is>
      </c>
      <c r="D5" s="14" t="inlineStr">
        <is>
          <t>J. Smith</t>
        </is>
      </c>
      <c r="E5" s="14" t="inlineStr">
        <is>
          <t>TI Team</t>
        </is>
      </c>
      <c r="F5" s="14" t="inlineStr">
        <is>
          <t>25.01.2026</t>
        </is>
      </c>
      <c r="G5" s="14" t="inlineStr">
        <is>
          <t>TLP:AMBER</t>
        </is>
      </c>
      <c r="H5" s="14" t="inlineStr">
        <is>
          <t>High</t>
        </is>
      </c>
      <c r="I5" s="14" t="inlineStr">
        <is>
          <t>SOC / IR Team</t>
        </is>
      </c>
      <c r="J5" s="14" t="n"/>
      <c r="K5" s="14" t="n"/>
      <c r="L5" s="14" t="n"/>
      <c r="M5" s="14" t="n"/>
      <c r="N5" s="14" t="inlineStr">
        <is>
          <t>Published</t>
        </is>
      </c>
      <c r="O5" s="14" t="n"/>
    </row>
    <row r="6">
      <c r="A6" s="15" t="n"/>
      <c r="B6" s="22" t="n"/>
      <c r="C6" s="22" t="n"/>
      <c r="D6" s="22" t="n"/>
      <c r="E6" s="22" t="n"/>
      <c r="F6" s="20" t="n"/>
      <c r="G6" s="22" t="n"/>
      <c r="H6" s="22" t="n"/>
      <c r="I6" s="22" t="n"/>
      <c r="J6" s="23" t="n"/>
      <c r="K6" s="24" t="n"/>
      <c r="L6" s="23" t="n"/>
      <c r="M6" s="25" t="n"/>
      <c r="N6" s="22" t="n"/>
      <c r="O6" s="22" t="n"/>
    </row>
    <row r="7">
      <c r="A7" s="15" t="n"/>
      <c r="B7" s="22" t="n"/>
      <c r="C7" s="22" t="n"/>
      <c r="D7" s="22" t="n"/>
      <c r="E7" s="22" t="n"/>
      <c r="F7" s="20" t="n"/>
      <c r="G7" s="22" t="n"/>
      <c r="H7" s="22" t="n"/>
      <c r="I7" s="22" t="n"/>
      <c r="J7" s="23" t="n"/>
      <c r="K7" s="24" t="n"/>
      <c r="L7" s="23" t="n"/>
      <c r="M7" s="25" t="n"/>
      <c r="N7" s="22" t="n"/>
      <c r="O7" s="22" t="n"/>
    </row>
    <row r="8">
      <c r="A8" s="15" t="n"/>
      <c r="B8" s="22" t="n"/>
      <c r="C8" s="22" t="n"/>
      <c r="D8" s="22" t="n"/>
      <c r="E8" s="22" t="n"/>
      <c r="F8" s="20" t="n"/>
      <c r="G8" s="22" t="n"/>
      <c r="H8" s="22" t="n"/>
      <c r="I8" s="22" t="n"/>
      <c r="J8" s="23" t="n"/>
      <c r="K8" s="24" t="n"/>
      <c r="L8" s="23" t="n"/>
      <c r="M8" s="25" t="n"/>
      <c r="N8" s="22" t="n"/>
      <c r="O8" s="22" t="n"/>
    </row>
    <row r="9">
      <c r="A9" s="15" t="n"/>
      <c r="B9" s="22" t="n"/>
      <c r="C9" s="22" t="n"/>
      <c r="D9" s="22" t="n"/>
      <c r="E9" s="22" t="n"/>
      <c r="F9" s="20" t="n"/>
      <c r="G9" s="22" t="n"/>
      <c r="H9" s="22" t="n"/>
      <c r="I9" s="22" t="n"/>
      <c r="J9" s="23" t="n"/>
      <c r="K9" s="24" t="n"/>
      <c r="L9" s="23" t="n"/>
      <c r="M9" s="25" t="n"/>
      <c r="N9" s="22" t="n"/>
      <c r="O9" s="22" t="n"/>
    </row>
    <row r="10">
      <c r="A10" s="15" t="n"/>
      <c r="B10" s="22" t="n"/>
      <c r="C10" s="22" t="n"/>
      <c r="D10" s="22" t="n"/>
      <c r="E10" s="22" t="n"/>
      <c r="F10" s="20" t="n"/>
      <c r="G10" s="22" t="n"/>
      <c r="H10" s="22" t="n"/>
      <c r="I10" s="22" t="n"/>
      <c r="J10" s="23" t="n"/>
      <c r="K10" s="24" t="n"/>
      <c r="L10" s="23" t="n"/>
      <c r="M10" s="25" t="n"/>
      <c r="N10" s="22" t="n"/>
      <c r="O10" s="22" t="n"/>
    </row>
    <row r="11">
      <c r="A11" s="15" t="n"/>
      <c r="B11" s="22" t="n"/>
      <c r="C11" s="22" t="n"/>
      <c r="D11" s="22" t="n"/>
      <c r="E11" s="22" t="n"/>
      <c r="F11" s="20" t="n"/>
      <c r="G11" s="22" t="n"/>
      <c r="H11" s="22" t="n"/>
      <c r="I11" s="22" t="n"/>
      <c r="J11" s="23" t="n"/>
      <c r="K11" s="24" t="n"/>
      <c r="L11" s="23" t="n"/>
      <c r="M11" s="25" t="n"/>
      <c r="N11" s="22" t="n"/>
      <c r="O11" s="22" t="n"/>
    </row>
    <row r="12">
      <c r="A12" s="15" t="n"/>
      <c r="B12" s="22" t="n"/>
      <c r="C12" s="22" t="n"/>
      <c r="D12" s="22" t="n"/>
      <c r="E12" s="22" t="n"/>
      <c r="F12" s="20" t="n"/>
      <c r="G12" s="22" t="n"/>
      <c r="H12" s="22" t="n"/>
      <c r="I12" s="22" t="n"/>
      <c r="J12" s="23" t="n"/>
      <c r="K12" s="24" t="n"/>
      <c r="L12" s="23" t="n"/>
      <c r="M12" s="25" t="n"/>
      <c r="N12" s="22" t="n"/>
      <c r="O12" s="22" t="n"/>
    </row>
    <row r="13">
      <c r="A13" s="15" t="n"/>
      <c r="B13" s="22" t="n"/>
      <c r="C13" s="22" t="n"/>
      <c r="D13" s="22" t="n"/>
      <c r="E13" s="22" t="n"/>
      <c r="F13" s="20" t="n"/>
      <c r="G13" s="22" t="n"/>
      <c r="H13" s="22" t="n"/>
      <c r="I13" s="22" t="n"/>
      <c r="J13" s="23" t="n"/>
      <c r="K13" s="24" t="n"/>
      <c r="L13" s="23" t="n"/>
      <c r="M13" s="25" t="n"/>
      <c r="N13" s="22" t="n"/>
      <c r="O13" s="22" t="n"/>
    </row>
    <row r="14">
      <c r="A14" s="15" t="n"/>
      <c r="B14" s="22" t="n"/>
      <c r="C14" s="22" t="n"/>
      <c r="D14" s="22" t="n"/>
      <c r="E14" s="22" t="n"/>
      <c r="F14" s="20" t="n"/>
      <c r="G14" s="22" t="n"/>
      <c r="H14" s="22" t="n"/>
      <c r="I14" s="22" t="n"/>
      <c r="J14" s="23" t="n"/>
      <c r="K14" s="24" t="n"/>
      <c r="L14" s="23" t="n"/>
      <c r="M14" s="25" t="n"/>
      <c r="N14" s="22" t="n"/>
      <c r="O14" s="22" t="n"/>
    </row>
    <row r="15">
      <c r="A15" s="15" t="n"/>
      <c r="B15" s="22" t="n"/>
      <c r="C15" s="22" t="n"/>
      <c r="D15" s="22" t="n"/>
      <c r="E15" s="22" t="n"/>
      <c r="F15" s="20" t="n"/>
      <c r="G15" s="22" t="n"/>
      <c r="H15" s="22" t="n"/>
      <c r="I15" s="22" t="n"/>
      <c r="J15" s="23" t="n"/>
      <c r="K15" s="24" t="n"/>
      <c r="L15" s="23" t="n"/>
      <c r="M15" s="25" t="n"/>
      <c r="N15" s="22" t="n"/>
      <c r="O15" s="22" t="n"/>
    </row>
    <row r="16">
      <c r="A16" s="15" t="n"/>
      <c r="B16" s="22" t="n"/>
      <c r="C16" s="22" t="n"/>
      <c r="D16" s="22" t="n"/>
      <c r="E16" s="22" t="n"/>
      <c r="F16" s="20" t="n"/>
      <c r="G16" s="22" t="n"/>
      <c r="H16" s="22" t="n"/>
      <c r="I16" s="22" t="n"/>
      <c r="J16" s="23" t="n"/>
      <c r="K16" s="24" t="n"/>
      <c r="L16" s="23" t="n"/>
      <c r="M16" s="25" t="n"/>
      <c r="N16" s="22" t="n"/>
      <c r="O16" s="22" t="n"/>
    </row>
    <row r="17">
      <c r="A17" s="15" t="n"/>
      <c r="B17" s="22" t="n"/>
      <c r="C17" s="22" t="n"/>
      <c r="D17" s="22" t="n"/>
      <c r="E17" s="22" t="n"/>
      <c r="F17" s="20" t="n"/>
      <c r="G17" s="22" t="n"/>
      <c r="H17" s="22" t="n"/>
      <c r="I17" s="22" t="n"/>
      <c r="J17" s="23" t="n"/>
      <c r="K17" s="24" t="n"/>
      <c r="L17" s="23" t="n"/>
      <c r="M17" s="25" t="n"/>
      <c r="N17" s="22" t="n"/>
      <c r="O17" s="22" t="n"/>
    </row>
    <row r="18">
      <c r="A18" s="15" t="n"/>
      <c r="B18" s="22" t="n"/>
      <c r="C18" s="22" t="n"/>
      <c r="D18" s="22" t="n"/>
      <c r="E18" s="22" t="n"/>
      <c r="F18" s="20" t="n"/>
      <c r="G18" s="22" t="n"/>
      <c r="H18" s="22" t="n"/>
      <c r="I18" s="22" t="n"/>
      <c r="J18" s="23" t="n"/>
      <c r="K18" s="24" t="n"/>
      <c r="L18" s="23" t="n"/>
      <c r="M18" s="25" t="n"/>
      <c r="N18" s="22" t="n"/>
      <c r="O18" s="22" t="n"/>
    </row>
    <row r="19">
      <c r="A19" s="15" t="n"/>
      <c r="B19" s="22" t="n"/>
      <c r="C19" s="22" t="n"/>
      <c r="D19" s="22" t="n"/>
      <c r="E19" s="22" t="n"/>
      <c r="F19" s="20" t="n"/>
      <c r="G19" s="22" t="n"/>
      <c r="H19" s="22" t="n"/>
      <c r="I19" s="22" t="n"/>
      <c r="J19" s="23" t="n"/>
      <c r="K19" s="24" t="n"/>
      <c r="L19" s="23" t="n"/>
      <c r="M19" s="25" t="n"/>
      <c r="N19" s="22" t="n"/>
      <c r="O19" s="22" t="n"/>
    </row>
    <row r="20">
      <c r="A20" s="15" t="n"/>
      <c r="B20" s="22" t="n"/>
      <c r="C20" s="22" t="n"/>
      <c r="D20" s="22" t="n"/>
      <c r="E20" s="22" t="n"/>
      <c r="F20" s="20" t="n"/>
      <c r="G20" s="22" t="n"/>
      <c r="H20" s="22" t="n"/>
      <c r="I20" s="22" t="n"/>
      <c r="J20" s="23" t="n"/>
      <c r="K20" s="24" t="n"/>
      <c r="L20" s="23" t="n"/>
      <c r="M20" s="25" t="n"/>
      <c r="N20" s="22" t="n"/>
      <c r="O20" s="22" t="n"/>
    </row>
    <row r="21">
      <c r="A21" s="15" t="n"/>
      <c r="B21" s="22" t="n"/>
      <c r="C21" s="22" t="n"/>
      <c r="D21" s="22" t="n"/>
      <c r="E21" s="22" t="n"/>
      <c r="F21" s="20" t="n"/>
      <c r="G21" s="22" t="n"/>
      <c r="H21" s="22" t="n"/>
      <c r="I21" s="22" t="n"/>
      <c r="J21" s="23" t="n"/>
      <c r="K21" s="24" t="n"/>
      <c r="L21" s="23" t="n"/>
      <c r="M21" s="25" t="n"/>
      <c r="N21" s="22" t="n"/>
      <c r="O21" s="22" t="n"/>
    </row>
    <row r="22">
      <c r="A22" s="15" t="n"/>
      <c r="B22" s="22" t="n"/>
      <c r="C22" s="22" t="n"/>
      <c r="D22" s="22" t="n"/>
      <c r="E22" s="22" t="n"/>
      <c r="F22" s="20" t="n"/>
      <c r="G22" s="22" t="n"/>
      <c r="H22" s="22" t="n"/>
      <c r="I22" s="22" t="n"/>
      <c r="J22" s="23" t="n"/>
      <c r="K22" s="24" t="n"/>
      <c r="L22" s="23" t="n"/>
      <c r="M22" s="25" t="n"/>
      <c r="N22" s="22" t="n"/>
      <c r="O22" s="22" t="n"/>
    </row>
    <row r="23">
      <c r="A23" s="15" t="n"/>
      <c r="B23" s="22" t="n"/>
      <c r="C23" s="22" t="n"/>
      <c r="D23" s="22" t="n"/>
      <c r="E23" s="22" t="n"/>
      <c r="F23" s="20" t="n"/>
      <c r="G23" s="22" t="n"/>
      <c r="H23" s="22" t="n"/>
      <c r="I23" s="22" t="n"/>
      <c r="J23" s="23" t="n"/>
      <c r="K23" s="24" t="n"/>
      <c r="L23" s="23" t="n"/>
      <c r="M23" s="25" t="n"/>
      <c r="N23" s="22" t="n"/>
      <c r="O23" s="22" t="n"/>
    </row>
    <row r="24">
      <c r="A24" s="15" t="n"/>
      <c r="B24" s="22" t="n"/>
      <c r="C24" s="22" t="n"/>
      <c r="D24" s="22" t="n"/>
      <c r="E24" s="22" t="n"/>
      <c r="F24" s="20" t="n"/>
      <c r="G24" s="22" t="n"/>
      <c r="H24" s="22" t="n"/>
      <c r="I24" s="22" t="n"/>
      <c r="J24" s="23" t="n"/>
      <c r="K24" s="24" t="n"/>
      <c r="L24" s="23" t="n"/>
      <c r="M24" s="25" t="n"/>
      <c r="N24" s="22" t="n"/>
      <c r="O24" s="22" t="n"/>
    </row>
    <row r="25">
      <c r="A25" s="15" t="n"/>
      <c r="B25" s="22" t="n"/>
      <c r="C25" s="22" t="n"/>
      <c r="D25" s="22" t="n"/>
      <c r="E25" s="22" t="n"/>
      <c r="F25" s="20" t="n"/>
      <c r="G25" s="22" t="n"/>
      <c r="H25" s="22" t="n"/>
      <c r="I25" s="22" t="n"/>
      <c r="J25" s="23" t="n"/>
      <c r="K25" s="24" t="n"/>
      <c r="L25" s="23" t="n"/>
      <c r="M25" s="25" t="n"/>
      <c r="N25" s="22" t="n"/>
      <c r="O25" s="22" t="n"/>
    </row>
    <row r="26">
      <c r="A26" s="15" t="n"/>
      <c r="B26" s="22" t="n"/>
      <c r="C26" s="22" t="n"/>
      <c r="D26" s="22" t="n"/>
      <c r="E26" s="22" t="n"/>
      <c r="F26" s="20" t="n"/>
      <c r="G26" s="22" t="n"/>
      <c r="H26" s="22" t="n"/>
      <c r="I26" s="22" t="n"/>
      <c r="J26" s="23" t="n"/>
      <c r="K26" s="24" t="n"/>
      <c r="L26" s="23" t="n"/>
      <c r="M26" s="25" t="n"/>
      <c r="N26" s="22" t="n"/>
      <c r="O26" s="22" t="n"/>
    </row>
    <row r="27">
      <c r="A27" s="15" t="n"/>
      <c r="B27" s="22" t="n"/>
      <c r="C27" s="22" t="n"/>
      <c r="D27" s="22" t="n"/>
      <c r="E27" s="22" t="n"/>
      <c r="F27" s="20" t="n"/>
      <c r="G27" s="22" t="n"/>
      <c r="H27" s="22" t="n"/>
      <c r="I27" s="22" t="n"/>
      <c r="J27" s="23" t="n"/>
      <c r="K27" s="24" t="n"/>
      <c r="L27" s="23" t="n"/>
      <c r="M27" s="25" t="n"/>
      <c r="N27" s="22" t="n"/>
      <c r="O27" s="22" t="n"/>
    </row>
    <row r="28">
      <c r="A28" s="15" t="n"/>
      <c r="B28" s="22" t="n"/>
      <c r="C28" s="22" t="n"/>
      <c r="D28" s="22" t="n"/>
      <c r="E28" s="22" t="n"/>
      <c r="F28" s="20" t="n"/>
      <c r="G28" s="22" t="n"/>
      <c r="H28" s="22" t="n"/>
      <c r="I28" s="22" t="n"/>
      <c r="J28" s="23" t="n"/>
      <c r="K28" s="24" t="n"/>
      <c r="L28" s="23" t="n"/>
      <c r="M28" s="25" t="n"/>
      <c r="N28" s="22" t="n"/>
      <c r="O28" s="22" t="n"/>
    </row>
    <row r="29">
      <c r="A29" s="15" t="n"/>
      <c r="B29" s="22" t="n"/>
      <c r="C29" s="22" t="n"/>
      <c r="D29" s="22" t="n"/>
      <c r="E29" s="22" t="n"/>
      <c r="F29" s="20" t="n"/>
      <c r="G29" s="22" t="n"/>
      <c r="H29" s="22" t="n"/>
      <c r="I29" s="22" t="n"/>
      <c r="J29" s="23" t="n"/>
      <c r="K29" s="24" t="n"/>
      <c r="L29" s="23" t="n"/>
      <c r="M29" s="25" t="n"/>
      <c r="N29" s="22" t="n"/>
      <c r="O29" s="22" t="n"/>
    </row>
    <row r="30">
      <c r="A30" s="15" t="n"/>
      <c r="B30" s="22" t="n"/>
      <c r="C30" s="22" t="n"/>
      <c r="D30" s="22" t="n"/>
      <c r="E30" s="22" t="n"/>
      <c r="F30" s="20" t="n"/>
      <c r="G30" s="22" t="n"/>
      <c r="H30" s="22" t="n"/>
      <c r="I30" s="22" t="n"/>
      <c r="J30" s="23" t="n"/>
      <c r="K30" s="24" t="n"/>
      <c r="L30" s="23" t="n"/>
      <c r="M30" s="25" t="n"/>
      <c r="N30" s="22" t="n"/>
      <c r="O30" s="22" t="n"/>
    </row>
    <row r="31">
      <c r="A31" s="15" t="n"/>
      <c r="B31" s="22" t="n"/>
      <c r="C31" s="22" t="n"/>
      <c r="D31" s="22" t="n"/>
      <c r="E31" s="22" t="n"/>
      <c r="F31" s="20" t="n"/>
      <c r="G31" s="22" t="n"/>
      <c r="H31" s="22" t="n"/>
      <c r="I31" s="22" t="n"/>
      <c r="J31" s="23" t="n"/>
      <c r="K31" s="24" t="n"/>
      <c r="L31" s="23" t="n"/>
      <c r="M31" s="25" t="n"/>
      <c r="N31" s="22" t="n"/>
      <c r="O31" s="22" t="n"/>
    </row>
    <row r="32">
      <c r="A32" s="15" t="n"/>
      <c r="B32" s="22" t="n"/>
      <c r="C32" s="22" t="n"/>
      <c r="D32" s="22" t="n"/>
      <c r="E32" s="22" t="n"/>
      <c r="F32" s="20" t="n"/>
      <c r="G32" s="22" t="n"/>
      <c r="H32" s="22" t="n"/>
      <c r="I32" s="22" t="n"/>
      <c r="J32" s="23" t="n"/>
      <c r="K32" s="24" t="n"/>
      <c r="L32" s="23" t="n"/>
      <c r="M32" s="25" t="n"/>
      <c r="N32" s="22" t="n"/>
      <c r="O32" s="22" t="n"/>
    </row>
    <row r="33">
      <c r="A33" s="15" t="n"/>
      <c r="B33" s="22" t="n"/>
      <c r="C33" s="22" t="n"/>
      <c r="D33" s="22" t="n"/>
      <c r="E33" s="22" t="n"/>
      <c r="F33" s="20" t="n"/>
      <c r="G33" s="22" t="n"/>
      <c r="H33" s="22" t="n"/>
      <c r="I33" s="22" t="n"/>
      <c r="J33" s="23" t="n"/>
      <c r="K33" s="24" t="n"/>
      <c r="L33" s="23" t="n"/>
      <c r="M33" s="25" t="n"/>
      <c r="N33" s="22" t="n"/>
      <c r="O33" s="22" t="n"/>
    </row>
    <row r="34">
      <c r="A34" s="15" t="n"/>
      <c r="B34" s="22" t="n"/>
      <c r="C34" s="22" t="n"/>
      <c r="D34" s="22" t="n"/>
      <c r="E34" s="22" t="n"/>
      <c r="F34" s="20" t="n"/>
      <c r="G34" s="22" t="n"/>
      <c r="H34" s="22" t="n"/>
      <c r="I34" s="22" t="n"/>
      <c r="J34" s="23" t="n"/>
      <c r="K34" s="24" t="n"/>
      <c r="L34" s="23" t="n"/>
      <c r="M34" s="25" t="n"/>
      <c r="N34" s="22" t="n"/>
      <c r="O34" s="22" t="n"/>
    </row>
    <row r="35">
      <c r="A35" s="15" t="n"/>
      <c r="B35" s="22" t="n"/>
      <c r="C35" s="22" t="n"/>
      <c r="D35" s="22" t="n"/>
      <c r="E35" s="22" t="n"/>
      <c r="F35" s="20" t="n"/>
      <c r="G35" s="22" t="n"/>
      <c r="H35" s="22" t="n"/>
      <c r="I35" s="22" t="n"/>
      <c r="J35" s="23" t="n"/>
      <c r="K35" s="24" t="n"/>
      <c r="L35" s="23" t="n"/>
      <c r="M35" s="25" t="n"/>
      <c r="N35" s="22" t="n"/>
      <c r="O35" s="22" t="n"/>
    </row>
    <row r="36">
      <c r="A36" s="15" t="n"/>
      <c r="B36" s="22" t="n"/>
      <c r="C36" s="22" t="n"/>
      <c r="D36" s="22" t="n"/>
      <c r="E36" s="22" t="n"/>
      <c r="F36" s="20" t="n"/>
      <c r="G36" s="22" t="n"/>
      <c r="H36" s="22" t="n"/>
      <c r="I36" s="22" t="n"/>
      <c r="J36" s="23" t="n"/>
      <c r="K36" s="24" t="n"/>
      <c r="L36" s="23" t="n"/>
      <c r="M36" s="25" t="n"/>
      <c r="N36" s="22" t="n"/>
      <c r="O36" s="22" t="n"/>
    </row>
    <row r="37">
      <c r="A37" s="15" t="n"/>
      <c r="B37" s="22" t="n"/>
      <c r="C37" s="22" t="n"/>
      <c r="D37" s="22" t="n"/>
      <c r="E37" s="22" t="n"/>
      <c r="F37" s="20" t="n"/>
      <c r="G37" s="22" t="n"/>
      <c r="H37" s="22" t="n"/>
      <c r="I37" s="22" t="n"/>
      <c r="J37" s="23" t="n"/>
      <c r="K37" s="24" t="n"/>
      <c r="L37" s="23" t="n"/>
      <c r="M37" s="25" t="n"/>
      <c r="N37" s="22" t="n"/>
      <c r="O37" s="22" t="n"/>
    </row>
    <row r="38">
      <c r="A38" s="15" t="n"/>
      <c r="B38" s="22" t="n"/>
      <c r="C38" s="22" t="n"/>
      <c r="D38" s="22" t="n"/>
      <c r="E38" s="22" t="n"/>
      <c r="F38" s="20" t="n"/>
      <c r="G38" s="22" t="n"/>
      <c r="H38" s="22" t="n"/>
      <c r="I38" s="22" t="n"/>
      <c r="J38" s="23" t="n"/>
      <c r="K38" s="24" t="n"/>
      <c r="L38" s="23" t="n"/>
      <c r="M38" s="25" t="n"/>
      <c r="N38" s="22" t="n"/>
      <c r="O38" s="22" t="n"/>
    </row>
    <row r="39">
      <c r="A39" s="15" t="n"/>
      <c r="B39" s="22" t="n"/>
      <c r="C39" s="22" t="n"/>
      <c r="D39" s="22" t="n"/>
      <c r="E39" s="22" t="n"/>
      <c r="F39" s="20" t="n"/>
      <c r="G39" s="22" t="n"/>
      <c r="H39" s="22" t="n"/>
      <c r="I39" s="22" t="n"/>
      <c r="J39" s="23" t="n"/>
      <c r="K39" s="24" t="n"/>
      <c r="L39" s="23" t="n"/>
      <c r="M39" s="25" t="n"/>
      <c r="N39" s="22" t="n"/>
      <c r="O39" s="22" t="n"/>
    </row>
    <row r="40">
      <c r="A40" s="15" t="n"/>
      <c r="B40" s="22" t="n"/>
      <c r="C40" s="22" t="n"/>
      <c r="D40" s="22" t="n"/>
      <c r="E40" s="22" t="n"/>
      <c r="F40" s="20" t="n"/>
      <c r="G40" s="22" t="n"/>
      <c r="H40" s="22" t="n"/>
      <c r="I40" s="22" t="n"/>
      <c r="J40" s="23" t="n"/>
      <c r="K40" s="24" t="n"/>
      <c r="L40" s="23" t="n"/>
      <c r="M40" s="25" t="n"/>
      <c r="N40" s="22" t="n"/>
      <c r="O40" s="22" t="n"/>
    </row>
    <row r="41">
      <c r="A41" s="15" t="n"/>
      <c r="B41" s="22" t="n"/>
      <c r="C41" s="22" t="n"/>
      <c r="D41" s="22" t="n"/>
      <c r="E41" s="22" t="n"/>
      <c r="F41" s="20" t="n"/>
      <c r="G41" s="22" t="n"/>
      <c r="H41" s="22" t="n"/>
      <c r="I41" s="22" t="n"/>
      <c r="J41" s="23" t="n"/>
      <c r="K41" s="24" t="n"/>
      <c r="L41" s="23" t="n"/>
      <c r="M41" s="25" t="n"/>
      <c r="N41" s="22" t="n"/>
      <c r="O41" s="22" t="n"/>
    </row>
    <row r="42">
      <c r="A42" s="15" t="n"/>
      <c r="B42" s="22" t="n"/>
      <c r="C42" s="22" t="n"/>
      <c r="D42" s="22" t="n"/>
      <c r="E42" s="22" t="n"/>
      <c r="F42" s="20" t="n"/>
      <c r="G42" s="22" t="n"/>
      <c r="H42" s="22" t="n"/>
      <c r="I42" s="22" t="n"/>
      <c r="J42" s="23" t="n"/>
      <c r="K42" s="24" t="n"/>
      <c r="L42" s="23" t="n"/>
      <c r="M42" s="25" t="n"/>
      <c r="N42" s="22" t="n"/>
      <c r="O42" s="22" t="n"/>
    </row>
    <row r="43">
      <c r="A43" s="15" t="n"/>
      <c r="B43" s="22" t="n"/>
      <c r="C43" s="22" t="n"/>
      <c r="D43" s="22" t="n"/>
      <c r="E43" s="22" t="n"/>
      <c r="F43" s="20" t="n"/>
      <c r="G43" s="22" t="n"/>
      <c r="H43" s="22" t="n"/>
      <c r="I43" s="22" t="n"/>
      <c r="J43" s="23" t="n"/>
      <c r="K43" s="24" t="n"/>
      <c r="L43" s="23" t="n"/>
      <c r="M43" s="25" t="n"/>
      <c r="N43" s="22" t="n"/>
      <c r="O43" s="22" t="n"/>
    </row>
    <row r="44">
      <c r="A44" s="15" t="n"/>
      <c r="B44" s="22" t="n"/>
      <c r="C44" s="22" t="n"/>
      <c r="D44" s="22" t="n"/>
      <c r="E44" s="22" t="n"/>
      <c r="F44" s="20" t="n"/>
      <c r="G44" s="22" t="n"/>
      <c r="H44" s="22" t="n"/>
      <c r="I44" s="22" t="n"/>
      <c r="J44" s="23" t="n"/>
      <c r="K44" s="24" t="n"/>
      <c r="L44" s="23" t="n"/>
      <c r="M44" s="25" t="n"/>
      <c r="N44" s="22" t="n"/>
      <c r="O44" s="22" t="n"/>
    </row>
    <row r="45">
      <c r="A45" s="15" t="n"/>
      <c r="B45" s="22" t="n"/>
      <c r="C45" s="22" t="n"/>
      <c r="D45" s="22" t="n"/>
      <c r="E45" s="22" t="n"/>
      <c r="F45" s="20" t="n"/>
      <c r="G45" s="22" t="n"/>
      <c r="H45" s="22" t="n"/>
      <c r="I45" s="22" t="n"/>
      <c r="J45" s="23" t="n"/>
      <c r="K45" s="24" t="n"/>
      <c r="L45" s="23" t="n"/>
      <c r="M45" s="25" t="n"/>
      <c r="N45" s="22" t="n"/>
      <c r="O45" s="22" t="n"/>
    </row>
    <row r="46">
      <c r="A46" s="15" t="n"/>
      <c r="B46" s="22" t="n"/>
      <c r="C46" s="22" t="n"/>
      <c r="D46" s="22" t="n"/>
      <c r="E46" s="22" t="n"/>
      <c r="F46" s="20" t="n"/>
      <c r="G46" s="22" t="n"/>
      <c r="H46" s="22" t="n"/>
      <c r="I46" s="22" t="n"/>
      <c r="J46" s="23" t="n"/>
      <c r="K46" s="24" t="n"/>
      <c r="L46" s="23" t="n"/>
      <c r="M46" s="25" t="n"/>
      <c r="N46" s="22" t="n"/>
      <c r="O46" s="22" t="n"/>
    </row>
    <row r="47">
      <c r="A47" s="15" t="n"/>
      <c r="B47" s="22" t="n"/>
      <c r="C47" s="22" t="n"/>
      <c r="D47" s="22" t="n"/>
      <c r="E47" s="22" t="n"/>
      <c r="F47" s="20" t="n"/>
      <c r="G47" s="22" t="n"/>
      <c r="H47" s="22" t="n"/>
      <c r="I47" s="22" t="n"/>
      <c r="J47" s="23" t="n"/>
      <c r="K47" s="24" t="n"/>
      <c r="L47" s="23" t="n"/>
      <c r="M47" s="25" t="n"/>
      <c r="N47" s="22" t="n"/>
      <c r="O47" s="22" t="n"/>
    </row>
    <row r="48">
      <c r="A48" s="15" t="n"/>
      <c r="B48" s="22" t="n"/>
      <c r="C48" s="22" t="n"/>
      <c r="D48" s="22" t="n"/>
      <c r="E48" s="22" t="n"/>
      <c r="F48" s="20" t="n"/>
      <c r="G48" s="22" t="n"/>
      <c r="H48" s="22" t="n"/>
      <c r="I48" s="22" t="n"/>
      <c r="J48" s="23" t="n"/>
      <c r="K48" s="24" t="n"/>
      <c r="L48" s="23" t="n"/>
      <c r="M48" s="25" t="n"/>
      <c r="N48" s="22" t="n"/>
      <c r="O48" s="22" t="n"/>
    </row>
    <row r="49">
      <c r="A49" s="15" t="n"/>
      <c r="B49" s="22" t="n"/>
      <c r="C49" s="22" t="n"/>
      <c r="D49" s="22" t="n"/>
      <c r="E49" s="22" t="n"/>
      <c r="F49" s="20" t="n"/>
      <c r="G49" s="22" t="n"/>
      <c r="H49" s="22" t="n"/>
      <c r="I49" s="22" t="n"/>
      <c r="J49" s="23" t="n"/>
      <c r="K49" s="24" t="n"/>
      <c r="L49" s="23" t="n"/>
      <c r="M49" s="25" t="n"/>
      <c r="N49" s="22" t="n"/>
      <c r="O49" s="22" t="n"/>
    </row>
    <row r="50">
      <c r="A50" s="15" t="n"/>
      <c r="B50" s="22" t="n"/>
      <c r="C50" s="22" t="n"/>
      <c r="D50" s="22" t="n"/>
      <c r="E50" s="22" t="n"/>
      <c r="F50" s="20" t="n"/>
      <c r="G50" s="22" t="n"/>
      <c r="H50" s="22" t="n"/>
      <c r="I50" s="22" t="n"/>
      <c r="J50" s="23" t="n"/>
      <c r="K50" s="24" t="n"/>
      <c r="L50" s="23" t="n"/>
      <c r="M50" s="25" t="n"/>
      <c r="N50" s="22" t="n"/>
      <c r="O50" s="22" t="n"/>
    </row>
    <row r="51">
      <c r="A51" s="15" t="n"/>
      <c r="B51" s="22" t="n"/>
      <c r="C51" s="22" t="n"/>
      <c r="D51" s="22" t="n"/>
      <c r="E51" s="22" t="n"/>
      <c r="F51" s="20" t="n"/>
      <c r="G51" s="22" t="n"/>
      <c r="H51" s="22" t="n"/>
      <c r="I51" s="22" t="n"/>
      <c r="J51" s="23" t="n"/>
      <c r="K51" s="24" t="n"/>
      <c r="L51" s="23" t="n"/>
      <c r="M51" s="25" t="n"/>
      <c r="N51" s="22" t="n"/>
      <c r="O51" s="22" t="n"/>
    </row>
    <row r="52">
      <c r="A52" s="15" t="n"/>
      <c r="B52" s="22" t="n"/>
      <c r="C52" s="22" t="n"/>
      <c r="D52" s="22" t="n"/>
      <c r="E52" s="22" t="n"/>
      <c r="F52" s="20" t="n"/>
      <c r="G52" s="22" t="n"/>
      <c r="H52" s="22" t="n"/>
      <c r="I52" s="22" t="n"/>
      <c r="J52" s="23" t="n"/>
      <c r="K52" s="24" t="n"/>
      <c r="L52" s="23" t="n"/>
      <c r="M52" s="25" t="n"/>
      <c r="N52" s="22" t="n"/>
      <c r="O52" s="22" t="n"/>
    </row>
    <row r="53">
      <c r="A53" s="15" t="n"/>
      <c r="B53" s="22" t="n"/>
      <c r="C53" s="22" t="n"/>
      <c r="D53" s="22" t="n"/>
      <c r="E53" s="22" t="n"/>
      <c r="F53" s="20" t="n"/>
      <c r="G53" s="22" t="n"/>
      <c r="H53" s="22" t="n"/>
      <c r="I53" s="22" t="n"/>
      <c r="J53" s="23" t="n"/>
      <c r="K53" s="24" t="n"/>
      <c r="L53" s="23" t="n"/>
      <c r="M53" s="25" t="n"/>
      <c r="N53" s="22" t="n"/>
      <c r="O53" s="22" t="n"/>
    </row>
    <row r="54">
      <c r="A54" s="15" t="n"/>
      <c r="B54" s="22" t="n"/>
      <c r="C54" s="22" t="n"/>
      <c r="D54" s="22" t="n"/>
      <c r="E54" s="22" t="n"/>
      <c r="F54" s="20" t="n"/>
      <c r="G54" s="22" t="n"/>
      <c r="H54" s="22" t="n"/>
      <c r="I54" s="22" t="n"/>
      <c r="J54" s="23" t="n"/>
      <c r="K54" s="24" t="n"/>
      <c r="L54" s="23" t="n"/>
      <c r="M54" s="25" t="n"/>
      <c r="N54" s="22" t="n"/>
      <c r="O54" s="22" t="n"/>
    </row>
    <row r="55">
      <c r="A55" s="15" t="n"/>
      <c r="B55" s="22" t="n"/>
      <c r="C55" s="22" t="n"/>
      <c r="D55" s="22" t="n"/>
      <c r="E55" s="22" t="n"/>
      <c r="F55" s="20" t="n"/>
      <c r="G55" s="22" t="n"/>
      <c r="H55" s="22" t="n"/>
      <c r="I55" s="22" t="n"/>
      <c r="J55" s="23" t="n"/>
      <c r="K55" s="24" t="n"/>
      <c r="L55" s="23" t="n"/>
      <c r="M55" s="25" t="n"/>
      <c r="N55" s="22" t="n"/>
      <c r="O55" s="22" t="n"/>
    </row>
    <row r="57">
      <c r="A57" s="17" t="inlineStr">
        <is>
          <t>PRODUCTION SUMMARY</t>
        </is>
      </c>
    </row>
    <row r="58">
      <c r="A58" s="18" t="inlineStr">
        <is>
          <t>Total Products:</t>
        </is>
      </c>
      <c r="B58" s="18">
        <f>COUNTA(C6:C55)</f>
        <v/>
      </c>
    </row>
    <row r="59">
      <c r="A59" s="18" t="inlineStr">
        <is>
          <t>Published This Quarter:</t>
        </is>
      </c>
      <c r="B59" s="18">
        <f>COUNTIF(N6:N55,"Published")</f>
        <v/>
      </c>
    </row>
    <row r="60">
      <c r="A60" s="18" t="inlineStr">
        <is>
          <t>Avg Feedback Rating:</t>
        </is>
      </c>
      <c r="B60" s="26">
        <f>AVERAGE(J6:J55)</f>
        <v/>
      </c>
    </row>
    <row r="61">
      <c r="A61" s="18" t="inlineStr">
        <is>
          <t>Avg Consumption Rate:</t>
        </is>
      </c>
      <c r="B61" s="27">
        <f>AVERAGE(K6:K55)</f>
        <v/>
      </c>
    </row>
    <row r="62">
      <c r="A62" s="18" t="inlineStr">
        <is>
          <t>Avg Time to Produce (hrs):</t>
        </is>
      </c>
      <c r="B62" s="26">
        <f>AVERAGE(M6:M55)</f>
        <v/>
      </c>
    </row>
  </sheetData>
  <mergeCells count="3">
    <mergeCell ref="A1:O1"/>
    <mergeCell ref="A57:D57"/>
    <mergeCell ref="A2:O2"/>
  </mergeCells>
  <dataValidations count="4">
    <dataValidation sqref="B6 B7 B8 B9 B10 B11 B12 B13 B14 B15 B16 B17 B18 B19 B20 B21 B22 B23 B24 B25 B26 B27 B28 B29 B30 B31 B32 B33 B34 B35 B36 B37 B38 B39 B40 B41 B42 B43 B44 B45 B46 B47 B48 B49 B50 B51 B52 B53 B54 B55" showDropDown="0" showInputMessage="0" showErrorMessage="0" allowBlank="0" type="list">
      <formula1>"Strategic_Report,Tactical_Brief,Operational_Alert,Technical_Analysis,IOC_Package,Threat_Profile"</formula1>
    </dataValidation>
    <dataValidation sqref="G6 G7 G8 G9 G10 G11 G12 G13 G14 G15 G16 G17 G18 G19 G20 G21 G22 G23 G24 G25 G26 G27 G28 G29 G30 G31 G32 G33 G34 G35 G36 G37 G38 G39 G40 G41 G42 G43 G44 G45 G46 G47 G48 G49 G50 G51 G52 G53 G54 G55" showDropDown="0" showInputMessage="0" showErrorMessage="0" allowBlank="0" type="list">
      <formula1>"TLP:CLEAR,TLP:GREEN,TLP:AMBER,TLP:AMBER+STRICT,TLP:RED"</formula1>
    </dataValidation>
    <dataValidation sqref="E6 E7 E8 E9 E10 E11 E12 E13 E14 E15 E16 E17 E18 E19 E20 E21 E22 E23 E24 E25 E26 E27 E28 E29 E30 E31 E32 E33 E34 E35 E36 E37 E38 E39 E40 E41 E42 E43 E44 E45 E46 E47 E48 E49 E50 E51 E52 E53 E54 E55 H6 H7 H8 H9 H10 H11 H12 H13 H14 H15 H16 H17 H18 H19 H20 H21 H22 H23 H24 H25 H26 H27 H28 H29 H30 H31 H32 H33 H34 H35 H36 H37 H38 H39 H40 H41 H42 H43 H44 H45 H46 H47 H48 H49 H50 H51 H52 H53 H54 H55" showDropDown="0" showInputMessage="0" showErrorMessage="0" allowBlank="0" type="list">
      <formula1>"High,Medium,Low,Unconfirmed"</formula1>
    </dataValidation>
    <dataValidation sqref="L6 L7 L8 L9 L10 L11 L12 L13 L14 L15 L16 L17 L18 L19 L20 L21 L22 L23 L24 L25 L26 L27 L28 L29 L30 L31 L32 L33 L34 L35 L36 L37 L38 L39 L40 L41 L42 L43 L44 L45 L46 L47 L48 L49 L50 L51 L52 L53 L54 L55 N6 N7 N8 N9 N10 N11 N12 N13 N14 N15 N16 N17 N18 N19 N20 N21 N22 N23 N24 N25 N26 N27 N28 N29 N30 N31 N32 N33 N34 N35 N36 N37 N38 N39 N40 N41 N42 N43 N44 N45 N46 N47 N48 N49 N50 N51 N52 N53 N54 N55" showDropDown="0" showInputMessage="0" showErrorMessage="0" allowBlank="0" type="list">
      <formula1>"Draft,Review,Published,Archived"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64"/>
  <sheetViews>
    <sheetView showGridLines="0" workbookViewId="0">
      <pane ySplit="3" topLeftCell="A4" activePane="bottomLeft" state="frozen"/>
      <selection pane="bottomLeft" activeCell="A1" sqref="A1"/>
    </sheetView>
  </sheetViews>
  <sheetFormatPr baseColWidth="8" defaultRowHeight="15"/>
  <cols>
    <col width="12" customWidth="1" min="1" max="1"/>
    <col width="18" customWidth="1" min="2" max="2"/>
    <col width="40" customWidth="1" min="3" max="3"/>
    <col width="35" customWidth="1" min="4" max="4"/>
    <col width="15" customWidth="1" min="5" max="5"/>
    <col width="15" customWidth="1" min="6" max="6"/>
    <col width="30" customWidth="1" min="7" max="7"/>
    <col width="18" customWidth="1" min="8" max="8"/>
    <col width="18" customWidth="1" min="9" max="9"/>
    <col width="25" customWidth="1" min="10" max="10"/>
    <col width="30" customWidth="1" min="11" max="11"/>
    <col width="30" customWidth="1" min="12" max="12"/>
  </cols>
  <sheetData>
    <row r="1" ht="35" customHeight="1">
      <c r="A1" s="11" t="inlineStr">
        <is>
          <t>MITRE ATT&amp;CK TECHNIQUE COVERAGE</t>
        </is>
      </c>
    </row>
    <row r="2">
      <c r="A2" s="12" t="inlineStr">
        <is>
          <t>Assess threat intelligence coverage of MITRE ATT&amp;CK techniques. Focus on techniques relevant to your threat landscape.</t>
        </is>
      </c>
    </row>
    <row r="4">
      <c r="A4" s="13" t="inlineStr">
        <is>
          <t>Technique ID</t>
        </is>
      </c>
      <c r="B4" s="13" t="inlineStr">
        <is>
          <t>Tactic</t>
        </is>
      </c>
      <c r="C4" s="13" t="inlineStr">
        <is>
          <t>Technique Name</t>
        </is>
      </c>
      <c r="D4" s="13" t="inlineStr">
        <is>
          <t>Sub Technique</t>
        </is>
      </c>
      <c r="E4" s="13" t="inlineStr">
        <is>
          <t>Priority for Org</t>
        </is>
      </c>
      <c r="F4" s="13" t="inlineStr">
        <is>
          <t>Coverage Level</t>
        </is>
      </c>
      <c r="G4" s="13" t="inlineStr">
        <is>
          <t>Intelligence Sources</t>
        </is>
      </c>
      <c r="H4" s="13" t="inlineStr">
        <is>
          <t>Last Intelligence Update</t>
        </is>
      </c>
      <c r="I4" s="13" t="inlineStr">
        <is>
          <t>Detection Capability</t>
        </is>
      </c>
      <c r="J4" s="13" t="inlineStr">
        <is>
          <t>Use Cases Identified</t>
        </is>
      </c>
      <c r="K4" s="13" t="inlineStr">
        <is>
          <t>Gap Analysis</t>
        </is>
      </c>
      <c r="L4" s="13" t="inlineStr">
        <is>
          <t>Notes</t>
        </is>
      </c>
    </row>
    <row r="5">
      <c r="A5" s="14" t="inlineStr">
        <is>
          <t>T1190</t>
        </is>
      </c>
      <c r="B5" s="14" t="inlineStr">
        <is>
          <t>Initial Access</t>
        </is>
      </c>
      <c r="C5" s="14" t="inlineStr">
        <is>
          <t>Exploit Public-Facing Application</t>
        </is>
      </c>
      <c r="D5" s="14" t="n"/>
      <c r="E5" s="14" t="inlineStr">
        <is>
          <t>Critical</t>
        </is>
      </c>
      <c r="F5" s="14" t="inlineStr">
        <is>
          <t>Partial</t>
        </is>
      </c>
      <c r="G5" s="14" t="inlineStr">
        <is>
          <t>OSINT Feed, Commercial TI</t>
        </is>
      </c>
      <c r="H5" s="28" t="n"/>
      <c r="I5" s="14" t="inlineStr">
        <is>
          <t>Yes</t>
        </is>
      </c>
      <c r="J5" s="14" t="inlineStr">
        <is>
          <t>Phishing, Malware delivery</t>
        </is>
      </c>
      <c r="K5" s="14" t="inlineStr">
        <is>
          <t>Coverage gap on sub-techniques</t>
        </is>
      </c>
      <c r="L5" s="14" t="n"/>
    </row>
    <row r="6">
      <c r="A6" s="4" t="n"/>
      <c r="B6" s="4" t="n"/>
      <c r="C6" s="4" t="n"/>
      <c r="D6" s="4" t="n"/>
      <c r="E6" s="4" t="n"/>
      <c r="F6" s="4" t="n"/>
      <c r="G6" s="4" t="n"/>
      <c r="H6" s="16" t="n"/>
      <c r="I6" s="4" t="n"/>
      <c r="J6" s="4" t="n"/>
      <c r="K6" s="4" t="n"/>
      <c r="L6" s="4" t="n"/>
    </row>
    <row r="7">
      <c r="A7" s="4" t="n"/>
      <c r="B7" s="4" t="n"/>
      <c r="C7" s="4" t="n"/>
      <c r="D7" s="4" t="n"/>
      <c r="E7" s="4" t="n"/>
      <c r="F7" s="4" t="n"/>
      <c r="G7" s="4" t="n"/>
      <c r="H7" s="16" t="n"/>
      <c r="I7" s="4" t="n"/>
      <c r="J7" s="4" t="n"/>
      <c r="K7" s="4" t="n"/>
      <c r="L7" s="4" t="n"/>
    </row>
    <row r="8">
      <c r="A8" s="4" t="n"/>
      <c r="B8" s="4" t="n"/>
      <c r="C8" s="4" t="n"/>
      <c r="D8" s="4" t="n"/>
      <c r="E8" s="4" t="n"/>
      <c r="F8" s="4" t="n"/>
      <c r="G8" s="4" t="n"/>
      <c r="H8" s="16" t="n"/>
      <c r="I8" s="4" t="n"/>
      <c r="J8" s="4" t="n"/>
      <c r="K8" s="4" t="n"/>
      <c r="L8" s="4" t="n"/>
    </row>
    <row r="9">
      <c r="A9" s="4" t="n"/>
      <c r="B9" s="4" t="n"/>
      <c r="C9" s="4" t="n"/>
      <c r="D9" s="4" t="n"/>
      <c r="E9" s="4" t="n"/>
      <c r="F9" s="4" t="n"/>
      <c r="G9" s="4" t="n"/>
      <c r="H9" s="16" t="n"/>
      <c r="I9" s="4" t="n"/>
      <c r="J9" s="4" t="n"/>
      <c r="K9" s="4" t="n"/>
      <c r="L9" s="4" t="n"/>
    </row>
    <row r="10">
      <c r="A10" s="4" t="n"/>
      <c r="B10" s="4" t="n"/>
      <c r="C10" s="4" t="n"/>
      <c r="D10" s="4" t="n"/>
      <c r="E10" s="4" t="n"/>
      <c r="F10" s="4" t="n"/>
      <c r="G10" s="4" t="n"/>
      <c r="H10" s="16" t="n"/>
      <c r="I10" s="4" t="n"/>
      <c r="J10" s="4" t="n"/>
      <c r="K10" s="4" t="n"/>
      <c r="L10" s="4" t="n"/>
    </row>
    <row r="11">
      <c r="A11" s="4" t="n"/>
      <c r="B11" s="4" t="n"/>
      <c r="C11" s="4" t="n"/>
      <c r="D11" s="4" t="n"/>
      <c r="E11" s="4" t="n"/>
      <c r="F11" s="4" t="n"/>
      <c r="G11" s="4" t="n"/>
      <c r="H11" s="16" t="n"/>
      <c r="I11" s="4" t="n"/>
      <c r="J11" s="4" t="n"/>
      <c r="K11" s="4" t="n"/>
      <c r="L11" s="4" t="n"/>
    </row>
    <row r="12">
      <c r="A12" s="4" t="n"/>
      <c r="B12" s="4" t="n"/>
      <c r="C12" s="4" t="n"/>
      <c r="D12" s="4" t="n"/>
      <c r="E12" s="4" t="n"/>
      <c r="F12" s="4" t="n"/>
      <c r="G12" s="4" t="n"/>
      <c r="H12" s="16" t="n"/>
      <c r="I12" s="4" t="n"/>
      <c r="J12" s="4" t="n"/>
      <c r="K12" s="4" t="n"/>
      <c r="L12" s="4" t="n"/>
    </row>
    <row r="13">
      <c r="A13" s="4" t="n"/>
      <c r="B13" s="4" t="n"/>
      <c r="C13" s="4" t="n"/>
      <c r="D13" s="4" t="n"/>
      <c r="E13" s="4" t="n"/>
      <c r="F13" s="4" t="n"/>
      <c r="G13" s="4" t="n"/>
      <c r="H13" s="16" t="n"/>
      <c r="I13" s="4" t="n"/>
      <c r="J13" s="4" t="n"/>
      <c r="K13" s="4" t="n"/>
      <c r="L13" s="4" t="n"/>
    </row>
    <row r="14">
      <c r="A14" s="4" t="n"/>
      <c r="B14" s="4" t="n"/>
      <c r="C14" s="4" t="n"/>
      <c r="D14" s="4" t="n"/>
      <c r="E14" s="4" t="n"/>
      <c r="F14" s="4" t="n"/>
      <c r="G14" s="4" t="n"/>
      <c r="H14" s="16" t="n"/>
      <c r="I14" s="4" t="n"/>
      <c r="J14" s="4" t="n"/>
      <c r="K14" s="4" t="n"/>
      <c r="L14" s="4" t="n"/>
    </row>
    <row r="15">
      <c r="A15" s="4" t="n"/>
      <c r="B15" s="4" t="n"/>
      <c r="C15" s="4" t="n"/>
      <c r="D15" s="4" t="n"/>
      <c r="E15" s="4" t="n"/>
      <c r="F15" s="4" t="n"/>
      <c r="G15" s="4" t="n"/>
      <c r="H15" s="16" t="n"/>
      <c r="I15" s="4" t="n"/>
      <c r="J15" s="4" t="n"/>
      <c r="K15" s="4" t="n"/>
      <c r="L15" s="4" t="n"/>
    </row>
    <row r="16">
      <c r="A16" s="4" t="n"/>
      <c r="B16" s="4" t="n"/>
      <c r="C16" s="4" t="n"/>
      <c r="D16" s="4" t="n"/>
      <c r="E16" s="4" t="n"/>
      <c r="F16" s="4" t="n"/>
      <c r="G16" s="4" t="n"/>
      <c r="H16" s="16" t="n"/>
      <c r="I16" s="4" t="n"/>
      <c r="J16" s="4" t="n"/>
      <c r="K16" s="4" t="n"/>
      <c r="L16" s="4" t="n"/>
    </row>
    <row r="17">
      <c r="A17" s="4" t="n"/>
      <c r="B17" s="4" t="n"/>
      <c r="C17" s="4" t="n"/>
      <c r="D17" s="4" t="n"/>
      <c r="E17" s="4" t="n"/>
      <c r="F17" s="4" t="n"/>
      <c r="G17" s="4" t="n"/>
      <c r="H17" s="16" t="n"/>
      <c r="I17" s="4" t="n"/>
      <c r="J17" s="4" t="n"/>
      <c r="K17" s="4" t="n"/>
      <c r="L17" s="4" t="n"/>
    </row>
    <row r="18">
      <c r="A18" s="4" t="n"/>
      <c r="B18" s="4" t="n"/>
      <c r="C18" s="4" t="n"/>
      <c r="D18" s="4" t="n"/>
      <c r="E18" s="4" t="n"/>
      <c r="F18" s="4" t="n"/>
      <c r="G18" s="4" t="n"/>
      <c r="H18" s="16" t="n"/>
      <c r="I18" s="4" t="n"/>
      <c r="J18" s="4" t="n"/>
      <c r="K18" s="4" t="n"/>
      <c r="L18" s="4" t="n"/>
    </row>
    <row r="19">
      <c r="A19" s="4" t="n"/>
      <c r="B19" s="4" t="n"/>
      <c r="C19" s="4" t="n"/>
      <c r="D19" s="4" t="n"/>
      <c r="E19" s="4" t="n"/>
      <c r="F19" s="4" t="n"/>
      <c r="G19" s="4" t="n"/>
      <c r="H19" s="16" t="n"/>
      <c r="I19" s="4" t="n"/>
      <c r="J19" s="4" t="n"/>
      <c r="K19" s="4" t="n"/>
      <c r="L19" s="4" t="n"/>
    </row>
    <row r="20">
      <c r="A20" s="4" t="n"/>
      <c r="B20" s="4" t="n"/>
      <c r="C20" s="4" t="n"/>
      <c r="D20" s="4" t="n"/>
      <c r="E20" s="4" t="n"/>
      <c r="F20" s="4" t="n"/>
      <c r="G20" s="4" t="n"/>
      <c r="H20" s="16" t="n"/>
      <c r="I20" s="4" t="n"/>
      <c r="J20" s="4" t="n"/>
      <c r="K20" s="4" t="n"/>
      <c r="L20" s="4" t="n"/>
    </row>
    <row r="21">
      <c r="A21" s="4" t="n"/>
      <c r="B21" s="4" t="n"/>
      <c r="C21" s="4" t="n"/>
      <c r="D21" s="4" t="n"/>
      <c r="E21" s="4" t="n"/>
      <c r="F21" s="4" t="n"/>
      <c r="G21" s="4" t="n"/>
      <c r="H21" s="16" t="n"/>
      <c r="I21" s="4" t="n"/>
      <c r="J21" s="4" t="n"/>
      <c r="K21" s="4" t="n"/>
      <c r="L21" s="4" t="n"/>
    </row>
    <row r="22">
      <c r="A22" s="4" t="n"/>
      <c r="B22" s="4" t="n"/>
      <c r="C22" s="4" t="n"/>
      <c r="D22" s="4" t="n"/>
      <c r="E22" s="4" t="n"/>
      <c r="F22" s="4" t="n"/>
      <c r="G22" s="4" t="n"/>
      <c r="H22" s="16" t="n"/>
      <c r="I22" s="4" t="n"/>
      <c r="J22" s="4" t="n"/>
      <c r="K22" s="4" t="n"/>
      <c r="L22" s="4" t="n"/>
    </row>
    <row r="23">
      <c r="A23" s="4" t="n"/>
      <c r="B23" s="4" t="n"/>
      <c r="C23" s="4" t="n"/>
      <c r="D23" s="4" t="n"/>
      <c r="E23" s="4" t="n"/>
      <c r="F23" s="4" t="n"/>
      <c r="G23" s="4" t="n"/>
      <c r="H23" s="16" t="n"/>
      <c r="I23" s="4" t="n"/>
      <c r="J23" s="4" t="n"/>
      <c r="K23" s="4" t="n"/>
      <c r="L23" s="4" t="n"/>
    </row>
    <row r="24">
      <c r="A24" s="4" t="n"/>
      <c r="B24" s="4" t="n"/>
      <c r="C24" s="4" t="n"/>
      <c r="D24" s="4" t="n"/>
      <c r="E24" s="4" t="n"/>
      <c r="F24" s="4" t="n"/>
      <c r="G24" s="4" t="n"/>
      <c r="H24" s="16" t="n"/>
      <c r="I24" s="4" t="n"/>
      <c r="J24" s="4" t="n"/>
      <c r="K24" s="4" t="n"/>
      <c r="L24" s="4" t="n"/>
    </row>
    <row r="25">
      <c r="A25" s="4" t="n"/>
      <c r="B25" s="4" t="n"/>
      <c r="C25" s="4" t="n"/>
      <c r="D25" s="4" t="n"/>
      <c r="E25" s="4" t="n"/>
      <c r="F25" s="4" t="n"/>
      <c r="G25" s="4" t="n"/>
      <c r="H25" s="16" t="n"/>
      <c r="I25" s="4" t="n"/>
      <c r="J25" s="4" t="n"/>
      <c r="K25" s="4" t="n"/>
      <c r="L25" s="4" t="n"/>
    </row>
    <row r="26">
      <c r="A26" s="4" t="n"/>
      <c r="B26" s="4" t="n"/>
      <c r="C26" s="4" t="n"/>
      <c r="D26" s="4" t="n"/>
      <c r="E26" s="4" t="n"/>
      <c r="F26" s="4" t="n"/>
      <c r="G26" s="4" t="n"/>
      <c r="H26" s="16" t="n"/>
      <c r="I26" s="4" t="n"/>
      <c r="J26" s="4" t="n"/>
      <c r="K26" s="4" t="n"/>
      <c r="L26" s="4" t="n"/>
    </row>
    <row r="27">
      <c r="A27" s="4" t="n"/>
      <c r="B27" s="4" t="n"/>
      <c r="C27" s="4" t="n"/>
      <c r="D27" s="4" t="n"/>
      <c r="E27" s="4" t="n"/>
      <c r="F27" s="4" t="n"/>
      <c r="G27" s="4" t="n"/>
      <c r="H27" s="16" t="n"/>
      <c r="I27" s="4" t="n"/>
      <c r="J27" s="4" t="n"/>
      <c r="K27" s="4" t="n"/>
      <c r="L27" s="4" t="n"/>
    </row>
    <row r="28">
      <c r="A28" s="4" t="n"/>
      <c r="B28" s="4" t="n"/>
      <c r="C28" s="4" t="n"/>
      <c r="D28" s="4" t="n"/>
      <c r="E28" s="4" t="n"/>
      <c r="F28" s="4" t="n"/>
      <c r="G28" s="4" t="n"/>
      <c r="H28" s="16" t="n"/>
      <c r="I28" s="4" t="n"/>
      <c r="J28" s="4" t="n"/>
      <c r="K28" s="4" t="n"/>
      <c r="L28" s="4" t="n"/>
    </row>
    <row r="29">
      <c r="A29" s="4" t="n"/>
      <c r="B29" s="4" t="n"/>
      <c r="C29" s="4" t="n"/>
      <c r="D29" s="4" t="n"/>
      <c r="E29" s="4" t="n"/>
      <c r="F29" s="4" t="n"/>
      <c r="G29" s="4" t="n"/>
      <c r="H29" s="16" t="n"/>
      <c r="I29" s="4" t="n"/>
      <c r="J29" s="4" t="n"/>
      <c r="K29" s="4" t="n"/>
      <c r="L29" s="4" t="n"/>
    </row>
    <row r="30">
      <c r="A30" s="4" t="n"/>
      <c r="B30" s="4" t="n"/>
      <c r="C30" s="4" t="n"/>
      <c r="D30" s="4" t="n"/>
      <c r="E30" s="4" t="n"/>
      <c r="F30" s="4" t="n"/>
      <c r="G30" s="4" t="n"/>
      <c r="H30" s="16" t="n"/>
      <c r="I30" s="4" t="n"/>
      <c r="J30" s="4" t="n"/>
      <c r="K30" s="4" t="n"/>
      <c r="L30" s="4" t="n"/>
    </row>
    <row r="31">
      <c r="A31" s="4" t="n"/>
      <c r="B31" s="4" t="n"/>
      <c r="C31" s="4" t="n"/>
      <c r="D31" s="4" t="n"/>
      <c r="E31" s="4" t="n"/>
      <c r="F31" s="4" t="n"/>
      <c r="G31" s="4" t="n"/>
      <c r="H31" s="16" t="n"/>
      <c r="I31" s="4" t="n"/>
      <c r="J31" s="4" t="n"/>
      <c r="K31" s="4" t="n"/>
      <c r="L31" s="4" t="n"/>
    </row>
    <row r="32">
      <c r="A32" s="4" t="n"/>
      <c r="B32" s="4" t="n"/>
      <c r="C32" s="4" t="n"/>
      <c r="D32" s="4" t="n"/>
      <c r="E32" s="4" t="n"/>
      <c r="F32" s="4" t="n"/>
      <c r="G32" s="4" t="n"/>
      <c r="H32" s="16" t="n"/>
      <c r="I32" s="4" t="n"/>
      <c r="J32" s="4" t="n"/>
      <c r="K32" s="4" t="n"/>
      <c r="L32" s="4" t="n"/>
    </row>
    <row r="33">
      <c r="A33" s="4" t="n"/>
      <c r="B33" s="4" t="n"/>
      <c r="C33" s="4" t="n"/>
      <c r="D33" s="4" t="n"/>
      <c r="E33" s="4" t="n"/>
      <c r="F33" s="4" t="n"/>
      <c r="G33" s="4" t="n"/>
      <c r="H33" s="16" t="n"/>
      <c r="I33" s="4" t="n"/>
      <c r="J33" s="4" t="n"/>
      <c r="K33" s="4" t="n"/>
      <c r="L33" s="4" t="n"/>
    </row>
    <row r="34">
      <c r="A34" s="4" t="n"/>
      <c r="B34" s="4" t="n"/>
      <c r="C34" s="4" t="n"/>
      <c r="D34" s="4" t="n"/>
      <c r="E34" s="4" t="n"/>
      <c r="F34" s="4" t="n"/>
      <c r="G34" s="4" t="n"/>
      <c r="H34" s="16" t="n"/>
      <c r="I34" s="4" t="n"/>
      <c r="J34" s="4" t="n"/>
      <c r="K34" s="4" t="n"/>
      <c r="L34" s="4" t="n"/>
    </row>
    <row r="35">
      <c r="A35" s="4" t="n"/>
      <c r="B35" s="4" t="n"/>
      <c r="C35" s="4" t="n"/>
      <c r="D35" s="4" t="n"/>
      <c r="E35" s="4" t="n"/>
      <c r="F35" s="4" t="n"/>
      <c r="G35" s="4" t="n"/>
      <c r="H35" s="16" t="n"/>
      <c r="I35" s="4" t="n"/>
      <c r="J35" s="4" t="n"/>
      <c r="K35" s="4" t="n"/>
      <c r="L35" s="4" t="n"/>
    </row>
    <row r="36">
      <c r="A36" s="4" t="n"/>
      <c r="B36" s="4" t="n"/>
      <c r="C36" s="4" t="n"/>
      <c r="D36" s="4" t="n"/>
      <c r="E36" s="4" t="n"/>
      <c r="F36" s="4" t="n"/>
      <c r="G36" s="4" t="n"/>
      <c r="H36" s="16" t="n"/>
      <c r="I36" s="4" t="n"/>
      <c r="J36" s="4" t="n"/>
      <c r="K36" s="4" t="n"/>
      <c r="L36" s="4" t="n"/>
    </row>
    <row r="37">
      <c r="A37" s="4" t="n"/>
      <c r="B37" s="4" t="n"/>
      <c r="C37" s="4" t="n"/>
      <c r="D37" s="4" t="n"/>
      <c r="E37" s="4" t="n"/>
      <c r="F37" s="4" t="n"/>
      <c r="G37" s="4" t="n"/>
      <c r="H37" s="16" t="n"/>
      <c r="I37" s="4" t="n"/>
      <c r="J37" s="4" t="n"/>
      <c r="K37" s="4" t="n"/>
      <c r="L37" s="4" t="n"/>
    </row>
    <row r="38">
      <c r="A38" s="4" t="n"/>
      <c r="B38" s="4" t="n"/>
      <c r="C38" s="4" t="n"/>
      <c r="D38" s="4" t="n"/>
      <c r="E38" s="4" t="n"/>
      <c r="F38" s="4" t="n"/>
      <c r="G38" s="4" t="n"/>
      <c r="H38" s="16" t="n"/>
      <c r="I38" s="4" t="n"/>
      <c r="J38" s="4" t="n"/>
      <c r="K38" s="4" t="n"/>
      <c r="L38" s="4" t="n"/>
    </row>
    <row r="39">
      <c r="A39" s="4" t="n"/>
      <c r="B39" s="4" t="n"/>
      <c r="C39" s="4" t="n"/>
      <c r="D39" s="4" t="n"/>
      <c r="E39" s="4" t="n"/>
      <c r="F39" s="4" t="n"/>
      <c r="G39" s="4" t="n"/>
      <c r="H39" s="16" t="n"/>
      <c r="I39" s="4" t="n"/>
      <c r="J39" s="4" t="n"/>
      <c r="K39" s="4" t="n"/>
      <c r="L39" s="4" t="n"/>
    </row>
    <row r="40">
      <c r="A40" s="4" t="n"/>
      <c r="B40" s="4" t="n"/>
      <c r="C40" s="4" t="n"/>
      <c r="D40" s="4" t="n"/>
      <c r="E40" s="4" t="n"/>
      <c r="F40" s="4" t="n"/>
      <c r="G40" s="4" t="n"/>
      <c r="H40" s="16" t="n"/>
      <c r="I40" s="4" t="n"/>
      <c r="J40" s="4" t="n"/>
      <c r="K40" s="4" t="n"/>
      <c r="L40" s="4" t="n"/>
    </row>
    <row r="41">
      <c r="A41" s="4" t="n"/>
      <c r="B41" s="4" t="n"/>
      <c r="C41" s="4" t="n"/>
      <c r="D41" s="4" t="n"/>
      <c r="E41" s="4" t="n"/>
      <c r="F41" s="4" t="n"/>
      <c r="G41" s="4" t="n"/>
      <c r="H41" s="16" t="n"/>
      <c r="I41" s="4" t="n"/>
      <c r="J41" s="4" t="n"/>
      <c r="K41" s="4" t="n"/>
      <c r="L41" s="4" t="n"/>
    </row>
    <row r="42">
      <c r="A42" s="4" t="n"/>
      <c r="B42" s="4" t="n"/>
      <c r="C42" s="4" t="n"/>
      <c r="D42" s="4" t="n"/>
      <c r="E42" s="4" t="n"/>
      <c r="F42" s="4" t="n"/>
      <c r="G42" s="4" t="n"/>
      <c r="H42" s="16" t="n"/>
      <c r="I42" s="4" t="n"/>
      <c r="J42" s="4" t="n"/>
      <c r="K42" s="4" t="n"/>
      <c r="L42" s="4" t="n"/>
    </row>
    <row r="43">
      <c r="A43" s="4" t="n"/>
      <c r="B43" s="4" t="n"/>
      <c r="C43" s="4" t="n"/>
      <c r="D43" s="4" t="n"/>
      <c r="E43" s="4" t="n"/>
      <c r="F43" s="4" t="n"/>
      <c r="G43" s="4" t="n"/>
      <c r="H43" s="16" t="n"/>
      <c r="I43" s="4" t="n"/>
      <c r="J43" s="4" t="n"/>
      <c r="K43" s="4" t="n"/>
      <c r="L43" s="4" t="n"/>
    </row>
    <row r="44">
      <c r="A44" s="4" t="n"/>
      <c r="B44" s="4" t="n"/>
      <c r="C44" s="4" t="n"/>
      <c r="D44" s="4" t="n"/>
      <c r="E44" s="4" t="n"/>
      <c r="F44" s="4" t="n"/>
      <c r="G44" s="4" t="n"/>
      <c r="H44" s="16" t="n"/>
      <c r="I44" s="4" t="n"/>
      <c r="J44" s="4" t="n"/>
      <c r="K44" s="4" t="n"/>
      <c r="L44" s="4" t="n"/>
    </row>
    <row r="45">
      <c r="A45" s="4" t="n"/>
      <c r="B45" s="4" t="n"/>
      <c r="C45" s="4" t="n"/>
      <c r="D45" s="4" t="n"/>
      <c r="E45" s="4" t="n"/>
      <c r="F45" s="4" t="n"/>
      <c r="G45" s="4" t="n"/>
      <c r="H45" s="16" t="n"/>
      <c r="I45" s="4" t="n"/>
      <c r="J45" s="4" t="n"/>
      <c r="K45" s="4" t="n"/>
      <c r="L45" s="4" t="n"/>
    </row>
    <row r="46">
      <c r="A46" s="4" t="n"/>
      <c r="B46" s="4" t="n"/>
      <c r="C46" s="4" t="n"/>
      <c r="D46" s="4" t="n"/>
      <c r="E46" s="4" t="n"/>
      <c r="F46" s="4" t="n"/>
      <c r="G46" s="4" t="n"/>
      <c r="H46" s="16" t="n"/>
      <c r="I46" s="4" t="n"/>
      <c r="J46" s="4" t="n"/>
      <c r="K46" s="4" t="n"/>
      <c r="L46" s="4" t="n"/>
    </row>
    <row r="47">
      <c r="A47" s="4" t="n"/>
      <c r="B47" s="4" t="n"/>
      <c r="C47" s="4" t="n"/>
      <c r="D47" s="4" t="n"/>
      <c r="E47" s="4" t="n"/>
      <c r="F47" s="4" t="n"/>
      <c r="G47" s="4" t="n"/>
      <c r="H47" s="16" t="n"/>
      <c r="I47" s="4" t="n"/>
      <c r="J47" s="4" t="n"/>
      <c r="K47" s="4" t="n"/>
      <c r="L47" s="4" t="n"/>
    </row>
    <row r="48">
      <c r="A48" s="4" t="n"/>
      <c r="B48" s="4" t="n"/>
      <c r="C48" s="4" t="n"/>
      <c r="D48" s="4" t="n"/>
      <c r="E48" s="4" t="n"/>
      <c r="F48" s="4" t="n"/>
      <c r="G48" s="4" t="n"/>
      <c r="H48" s="16" t="n"/>
      <c r="I48" s="4" t="n"/>
      <c r="J48" s="4" t="n"/>
      <c r="K48" s="4" t="n"/>
      <c r="L48" s="4" t="n"/>
    </row>
    <row r="49">
      <c r="A49" s="4" t="n"/>
      <c r="B49" s="4" t="n"/>
      <c r="C49" s="4" t="n"/>
      <c r="D49" s="4" t="n"/>
      <c r="E49" s="4" t="n"/>
      <c r="F49" s="4" t="n"/>
      <c r="G49" s="4" t="n"/>
      <c r="H49" s="16" t="n"/>
      <c r="I49" s="4" t="n"/>
      <c r="J49" s="4" t="n"/>
      <c r="K49" s="4" t="n"/>
      <c r="L49" s="4" t="n"/>
    </row>
    <row r="50">
      <c r="A50" s="4" t="n"/>
      <c r="B50" s="4" t="n"/>
      <c r="C50" s="4" t="n"/>
      <c r="D50" s="4" t="n"/>
      <c r="E50" s="4" t="n"/>
      <c r="F50" s="4" t="n"/>
      <c r="G50" s="4" t="n"/>
      <c r="H50" s="16" t="n"/>
      <c r="I50" s="4" t="n"/>
      <c r="J50" s="4" t="n"/>
      <c r="K50" s="4" t="n"/>
      <c r="L50" s="4" t="n"/>
    </row>
    <row r="51">
      <c r="A51" s="4" t="n"/>
      <c r="B51" s="4" t="n"/>
      <c r="C51" s="4" t="n"/>
      <c r="D51" s="4" t="n"/>
      <c r="E51" s="4" t="n"/>
      <c r="F51" s="4" t="n"/>
      <c r="G51" s="4" t="n"/>
      <c r="H51" s="16" t="n"/>
      <c r="I51" s="4" t="n"/>
      <c r="J51" s="4" t="n"/>
      <c r="K51" s="4" t="n"/>
      <c r="L51" s="4" t="n"/>
    </row>
    <row r="52">
      <c r="A52" s="4" t="n"/>
      <c r="B52" s="4" t="n"/>
      <c r="C52" s="4" t="n"/>
      <c r="D52" s="4" t="n"/>
      <c r="E52" s="4" t="n"/>
      <c r="F52" s="4" t="n"/>
      <c r="G52" s="4" t="n"/>
      <c r="H52" s="16" t="n"/>
      <c r="I52" s="4" t="n"/>
      <c r="J52" s="4" t="n"/>
      <c r="K52" s="4" t="n"/>
      <c r="L52" s="4" t="n"/>
    </row>
    <row r="53">
      <c r="A53" s="4" t="n"/>
      <c r="B53" s="4" t="n"/>
      <c r="C53" s="4" t="n"/>
      <c r="D53" s="4" t="n"/>
      <c r="E53" s="4" t="n"/>
      <c r="F53" s="4" t="n"/>
      <c r="G53" s="4" t="n"/>
      <c r="H53" s="16" t="n"/>
      <c r="I53" s="4" t="n"/>
      <c r="J53" s="4" t="n"/>
      <c r="K53" s="4" t="n"/>
      <c r="L53" s="4" t="n"/>
    </row>
    <row r="54">
      <c r="A54" s="4" t="n"/>
      <c r="B54" s="4" t="n"/>
      <c r="C54" s="4" t="n"/>
      <c r="D54" s="4" t="n"/>
      <c r="E54" s="4" t="n"/>
      <c r="F54" s="4" t="n"/>
      <c r="G54" s="4" t="n"/>
      <c r="H54" s="16" t="n"/>
      <c r="I54" s="4" t="n"/>
      <c r="J54" s="4" t="n"/>
      <c r="K54" s="4" t="n"/>
      <c r="L54" s="4" t="n"/>
    </row>
    <row r="55">
      <c r="A55" s="4" t="n"/>
      <c r="B55" s="4" t="n"/>
      <c r="C55" s="4" t="n"/>
      <c r="D55" s="4" t="n"/>
      <c r="E55" s="4" t="n"/>
      <c r="F55" s="4" t="n"/>
      <c r="G55" s="4" t="n"/>
      <c r="H55" s="16" t="n"/>
      <c r="I55" s="4" t="n"/>
      <c r="J55" s="4" t="n"/>
      <c r="K55" s="4" t="n"/>
      <c r="L55" s="4" t="n"/>
    </row>
    <row r="57">
      <c r="A57" s="17" t="inlineStr">
        <is>
          <t>MITRE COVERAGE SUMMARY</t>
        </is>
      </c>
    </row>
    <row r="58">
      <c r="A58" s="18" t="inlineStr">
        <is>
          <t>Total Techniques Tracked:</t>
        </is>
      </c>
      <c r="B58" s="18">
        <f>COUNTA(A6:A55)</f>
        <v/>
      </c>
    </row>
    <row r="59">
      <c r="A59" s="18" t="inlineStr">
        <is>
          <t>Critical Priority:</t>
        </is>
      </c>
      <c r="B59" s="18">
        <f>COUNTIF(E6:E55,"Critical")</f>
        <v/>
      </c>
    </row>
    <row r="60">
      <c r="A60" s="18" t="inlineStr">
        <is>
          <t>Full Coverage:</t>
        </is>
      </c>
      <c r="B60" s="18">
        <f>COUNTIF(F6:F55,"Full")</f>
        <v/>
      </c>
    </row>
    <row r="61">
      <c r="A61" s="18" t="inlineStr">
        <is>
          <t>Partial Coverage:</t>
        </is>
      </c>
      <c r="B61" s="18">
        <f>COUNTIF(F6:F55,"Partial")</f>
        <v/>
      </c>
    </row>
    <row r="62">
      <c r="A62" s="18" t="inlineStr">
        <is>
          <t>Limited Coverage:</t>
        </is>
      </c>
      <c r="B62" s="18">
        <f>COUNTIF(F6:F55,"Limited")</f>
        <v/>
      </c>
    </row>
    <row r="63">
      <c r="A63" s="18" t="inlineStr">
        <is>
          <t>No Coverage:</t>
        </is>
      </c>
      <c r="B63" s="18">
        <f>COUNTIF(F6:F55,"None")</f>
        <v/>
      </c>
    </row>
    <row r="64">
      <c r="A64" s="18" t="inlineStr">
        <is>
          <t>With Detection Capability:</t>
        </is>
      </c>
      <c r="B64" s="18">
        <f>COUNTIF(I6:I55,"Yes")</f>
        <v/>
      </c>
    </row>
  </sheetData>
  <mergeCells count="3">
    <mergeCell ref="A2:L2"/>
    <mergeCell ref="A57:D57"/>
    <mergeCell ref="A1:L1"/>
  </mergeCells>
  <conditionalFormatting sqref="F6:F55">
    <cfRule type="cellIs" priority="1" operator="equal" dxfId="2">
      <formula>"Full"</formula>
    </cfRule>
    <cfRule type="cellIs" priority="2" operator="equal" dxfId="0">
      <formula>"None"</formula>
    </cfRule>
    <cfRule type="cellIs" priority="3" operator="equal" dxfId="1">
      <formula>"Limited"</formula>
    </cfRule>
  </conditionalFormatting>
  <dataValidations count="27">
    <dataValidation sqref="B6 B7 B8 B9 B10 B11 B12 B13 B14 B15 B16 B17 B18 B19 B20 B21 B22 B23 B24 B25 B26 B27 B28 B29 B30 B31 B32 B33 B34 B35 B36 B37 B38 B39 B40 B41 B42 B43 B44 B45 B46 B47 B48 B49 B50 B51 B52 B53 B54 B55 F6 F7 F8 F9 F10 F11 F12 F13 F14 F15 F16 F17 F18 F19 F20 F21 F22 F23 F24 F25 F26 F27 F28 F29 F30 F31 F32 F33 F34 F35 F36 F37 F38 F39 F40 F41 F42 F43 F44 F45 F46 F47 F48 F49 F50 F51 F52 F53 F54 F55" showDropDown="0" showInputMessage="0" showErrorMessage="0" allowBlank="0" type="list">
      <formula1>"Strategic,Tactical,Operational,Technical"</formula1>
    </dataValidation>
    <dataValidation sqref="D6 D7 D8 D9 D10 D11 D12 D13 D14 D15 D16 D17 D18 D19 D20 D21 D22 D23 D24 D25 D26 D27 D28 D29 D30 D31 D32 D33 D34 D35 D36 D37 D38 D39 D40 D41 D42 D43 D44 D45 D46 D47 D48 D49 D50 D51 D52 D53 D54 D55 E6 E7 E8 E9 E10 E11 E12 E13 E14 E15 E16 E17 E18 E19 E20 E21 E22 E23 E24 E25 E26 E27 E28 E29 E30 E31 E32 E33 E34 E35 E36 E37 E38 E39 E40 E41 E42 E43 E44 E45 E46 E47 E48 E49 E50 E51 E52 E53 E54 E55 H6 H7 H8 H9 H10 H11 H12 H13 H14 H15 H16 H17 H18 H19 H20 H21 H22 H23 H24 H25 H26 H27 H28 H29 H30 H31 H32 H33 H34 H35 H36 H37 H38 H39 H40 H41 H42 H43 H44 H45 H46 H47 H48 H49 H50 H51 H52 H53 H54 H55" showDropDown="0" showInputMessage="0" showErrorMessage="0" allowBlank="0" type="list">
      <formula1>"Critical,High,Medium,Low"</formula1>
    </dataValidation>
    <dataValidation sqref="K6 K7 K8 K9 K10 K11 K12 K13 K14 K15 K16 K17 K18 K19 K20 K21 K22 K23 K24 K25 K26 K27 K28 K29 K30 K31 K32 K33 K34 K35 K36 K37 K38 K39 K40 K41 K42 K43 K44 K45 K46 K47 K48 K49 K50 K51 K52 K53 K54 K55" showDropDown="0" showInputMessage="0" showErrorMessage="0" allowBlank="0" type="list">
      <formula1>"Automated_Feed,Manual_Research,OSINT,Partnership,Internal_Telemetry"</formula1>
    </dataValidation>
    <dataValidation sqref="E6 E7 E8 E9 E10 E11 E12 E13 E14 E15 E16 E17 E18 E19 E20 E21 E22 E23 E24 E25 E26 E27 E28 E29 E30 E31 E32 E33 E34 E35 E36 E37 E38 E39 E40 E41 E42 E43 E44 E45 E46 E47 E48 E49 E50 E51 E52 E53 E54 E55 M6 M7 M8 M9 M10 M11 M12 M13 M14 M15 M16 M17 M18 M19 M20 M21 M22 M23 M24 M25 M26 M27 M28 M29 M30 M31 M32 M33 M34 M35 M36 M37 M38 M39 M40 M41 M42 M43 M44 M45 M46 M47 M48 M49 M50 M51 M52 M53 M54 M55" showDropDown="0" showInputMessage="0" showErrorMessage="0" allowBlank="0" type="list">
      <formula1>"Real-time,Hourly,Daily,Weekly,On_Demand"</formula1>
    </dataValidation>
    <dataValidation sqref="I6 I7 I8 I9 I10 I11 I12 I13 I14 I15 I16 I17 I18 I19 I20 I21 I22 I23 I24 I25 I26 I27 I28 I29 I30 I31 I32 I33 I34 I35 I36 I37 I38 I39 I40 I41 I42 I43 I44 I45 I46 I47 I48 I49 I50 I51 I52 I53 I54 I55" showDropDown="0" showInputMessage="0" showErrorMessage="0" allowBlank="0" type="list">
      <formula1>"Fully_Implemented,Partially_Implemented,Planned,Not_Used"</formula1>
    </dataValidation>
    <dataValidation sqref="N6 N7 N8 N9 N10 N11 N12 N13 N14 N15 N16 N17 N18 N19 N20 N21 N22 N23 N24 N25 N26 N27 N28 N29 N30 N31 N32 N33 N34 N35 N36 N37 N38 N39 N40 N41 N42 N43 N44 N45 N46 N47 N48 N49 N50 N51 N52 N53 N54 N55" showDropDown="0" showInputMessage="0" showErrorMessage="0" allowBlank="1" type="list">
      <formula1>"Excellent,Good,Fair,Poor"</formula1>
    </dataValidation>
    <dataValidation sqref="B6 B7 B8 B9 B10 B11 B12 B13 B14 B15 B16 B17 B18 B19 B20 B21 B22 B23 B24 B25 B26 B27 B28 B29 B30 B31 B32 B33 B34 B35 B36 B37 B38 B39 B40 B41 B42 B43 B44 B45 B46 B47 B48 B49 B50 B51 B52 B53 B54 B55" showDropDown="0" showInputMessage="0" showErrorMessage="0" allowBlank="0" type="list">
      <formula1>"Strategic_Report,Tactical_Brief,Operational_Alert,Technical_Analysis,IOC_Package,Threat_Profile"</formula1>
    </dataValidation>
    <dataValidation sqref="L6 L7 L8 L9 L10 L11 L12 L13 L14 L15 L16 L17 L18 L19 L20 L21 L22 L23 L24 L25 L26 L27 L28 L29 L30 L31 L32 L33 L34 L35 L36 L37 L38 L39 L40 L41 L42 L43 L44 L45 L46 L47 L48 L49 L50 L51 L52 L53 L54 L55 N6 N7 N8 N9 N10 N11 N12 N13 N14 N15 N16 N17 N18 N19 N20 N21 N22 N23 N24 N25 N26 N27 N28 N29 N30 N31 N32 N33 N34 N35 N36 N37 N38 N39 N40 N41 N42 N43 N44 N45 N46 N47 N48 N49 N50 N51 N52 N53 N54 N55" showDropDown="0" showInputMessage="0" showErrorMessage="0" allowBlank="0" type="list">
      <formula1>"Draft,Review,Published,Archived"</formula1>
    </dataValidation>
    <dataValidation sqref="E6 E7 E8 E9 E10 E11 E12 E13 E14 E15 E16 E17 E18 E19 E20 E21 E22 E23 E24 E25 E26 E27 E28 E29 E30 E31 E32 E33 E34 E35 E36 E37 E38 E39 E40 E41 E42 E43 E44 E45 E46 E47 E48 E49 E50 E51 E52 E53 E54 E55 H6 H7 H8 H9 H10 H11 H12 H13 H14 H15 H16 H17 H18 H19 H20 H21 H22 H23 H24 H25 H26 H27 H28 H29 H30 H31 H32 H33 H34 H35 H36 H37 H38 H39 H40 H41 H42 H43 H44 H45 H46 H47 H48 H49 H50 H51 H52 H53 H54 H55" showDropDown="0" showInputMessage="0" showErrorMessage="0" allowBlank="0" type="list">
      <formula1>"High,Medium,Low,Unconfirmed"</formula1>
    </dataValidation>
    <dataValidation sqref="G6 G7 G8 G9 G10 G11 G12 G13 G14 G15 G16 G17 G18 G19 G20 G21 G22 G23 G24 G25 G26 G27 G28 G29 G30 G31 G32 G33 G34 G35 G36 G37 G38 G39 G40 G41 G42 G43 G44 G45 G46 G47 G48 G49 G50 G51 G52 G53 G54 G55" showDropDown="0" showInputMessage="0" showErrorMessage="0" allowBlank="0" type="list">
      <formula1>"TLP:CLEAR,TLP:GREEN,TLP:AMBER,TLP:AMBER+STRICT,TLP:RED"</formula1>
    </dataValidation>
    <dataValidation sqref="F6 F7 F8 F9 F10 F11 F12 F13 F14 F15 F16 F17 F18 F19 F20 F21 F22 F23 F24 F25 F26 F27 F28 F29 F30 F31 F32 F33 F34 F35 F36 F37 F38 F39 F40 F41 F42 F43 F44 F45 F46 F47 F48 F49 F50 F51 F52 F53 F54 F55" showDropDown="0" showInputMessage="0" showErrorMessage="0" allowBlank="0" type="list">
      <formula1>"Full,Partial,Limited,None"</formula1>
    </dataValidation>
    <dataValidation sqref="D6 D7 D8 D9 D10 D11 D12 D13 D14 D15 D16 D17 D18 D19 D20 D21 D22 D23 D24 D25 D26 D27 D28 D29 D30 D31 D32 D33 D34 D35 D36 D37 D38 D39 D40 D41 D42 D43 D44 D45 D46 D47 D48 D49 D50 D51 D52 D53 D54 D55" showDropDown="0" showInputMessage="0" showErrorMessage="0" allowBlank="1" type="list">
      <formula1>"Nation-State,Criminal_Syndicate,Hacktivist,Insider_Threat,Script_Kiddie,Unknown"</formula1>
    </dataValidation>
    <dataValidation sqref="I6 I7 I8 I9 I10 I11 I12 I13 I14 I15 I16 I17 I18 I19 I20 I21 I22 I23 I24 I25 I26 I27 I28 I29 I30 I31 I32 I33 I34 I35 I36 I37 I38 I39 I40 I41 I42 I43 I44 I45 I46 I47 I48 I49 I50 I51 I52 I53 I54 I55 M6 M7 M8 M9 M10 M11 M12 M13 M14 M15 M16 M17 M18 M19 M20 M21 M22 M23 M24 M25 M26 M27 M28 M29 M30 M31 M32 M33 M34 M35 M36 M37 M38 M39 M40 M41 M42 M43 M44 M45 M46 M47 M48 M49 M50 M51 M52 M53 M54 M55" showDropDown="0" showInputMessage="0" showErrorMessage="0" allowBlank="0" type="list">
      <formula1>"Yes,No"</formula1>
    </dataValidation>
    <dataValidation sqref="B5 B6 B7 B8 B9 B10 B11 B12 B13 B14 B15 B16 B17 B18 B19 B20 B21 B22 B23 B24 C5 C6 C7 C8 C9 C10 C11 C12 C13 C14 C15 C16 C17 C18 C19 C20 C21 C22 C23 C24" showDropDown="0" showInputMessage="0" showErrorMessage="0" allowBlank="0" type="list">
      <formula1>"1 - Initial,2 - Managed,3 - Defined,4 - Quantitatively Managed,5 - Optimizing"</formula1>
    </dataValidation>
    <dataValidation sqref="G6 G7 G8 G9 G10 G11 G12 G13 G14 G15 G16 G17 G18 G19 G20 G21 G22 G23 G24 G25 G26 G27 G28 G29 G30 G31 G32 G33 G34 G35 G36 G37 G38 G39 G40 G41 G42 G43 G44 G45 G46 G47 G48 G49 G50 G51 G52 G53 G54 G55" showDropDown="0" showInputMessage="0" showErrorMessage="0" allowBlank="0" type="list">
      <formula1>"Open,In_Progress,Blocked,Resolved,Closed"</formula1>
    </dataValidation>
    <dataValidation sqref="C6 C7 C8 C9 C10 C11 C12 C13 C14 C15 C16 C17 C18 C19 C20 C21 C22 C23 C24 C25 C26 C27 C28 C29 C30 C31 C32 C33 C34 C35 C36 C37 C38 C39 C40 C41 C42 C43 C44 C45 C46 C47 C48 C49 C50 C51 C52 C53 C54 C55" showDropDown="0" showInputMessage="0" showErrorMessage="0" allowBlank="1" type="list">
      <formula1>"TIP,SIEM,Malware_Analysis,OSINT,Collaboration,Visualization,Scripting,Other"</formula1>
    </dataValidation>
    <dataValidation sqref="E6 E7 E8 E9 E10 E11 E12 E13 E14 E15 E16 E17 E18 E19 E20 E21 E22 E23 E24 E25 E26 E27 E28 E29 E30 E31 E32 E33 E34 E35 E36 E37 E38 E39 E40 E41 E42 E43 E44 E45 E46 E47 E48 E49 E50 E51 E52 E53 E54 E55" showDropDown="0" showInputMessage="0" showErrorMessage="0" allowBlank="1" type="list">
      <formula1>"Commercial,Open_Source,Freeware,Internal_Developed"</formula1>
    </dataValidation>
    <dataValidation sqref="J6 J7 J8 J9 J10 J11 J12 J13 J14 J15 J16 J17 J18 J19 J20 J21 J22 J23 J24 J25 J26 J27 J28 J29 J30 J31 J32 J33 J34 J35 J36 J37 J38 J39 J40 J41 J42 J43 J44 J45 J46 J47 J48 J49 J50 J51 J52 J53 J54 J55" showDropDown="0" showInputMessage="0" showErrorMessage="0" allowBlank="1" type="list">
      <formula1>"Yes,No,N/A"</formula1>
    </dataValidation>
    <dataValidation sqref="I6 I7 I8 I9 I10 I11 I12 I13 I14 I15 I16 I17 I18 I19 I20 I21 I22 I23 I24 I25 I26 I27 I28 I29 I30 I31 I32 I33 I34 I35 I36 I37 I38 I39 I40 I41 I42 I43 I44 I45 I46 I47 I48 I49 I50 I51 I52 I53 I54 I55 J6 J7 J8 J9 J10 J11 J12 J13 J14 J15 J16 J17 J18 J19 J20 J21 J22 J23 J24 J25 J26 J27 J28 J29 J30 J31 J32 J33 J34 J35 J36 J37 J38 J39 J40 J41 J42 J43 J44 J45 J46 J47 J48 J49 J50 J51 J52 J53 J54 J55" showDropDown="0" showInputMessage="0" showErrorMessage="0" allowBlank="1" type="list">
      <formula1>"Yes,No,Unknown"</formula1>
    </dataValidation>
    <dataValidation sqref="J6 J7 J8 J9 J10 J11 J12 J13 J14 J15 J16 J17 J18 J19 J20 J21 J22 J23 J24 J25 J26 J27 J28 J29 J30 J31 J32 J33 J34 J35 J36 J37 J38 J39 J40 J41 J42 J43 J44 J45 J46 J47 J48 J49 J50 J51 J52 J53 J54 J55 K6 K7 K8 K9 K10 K11 K12 K13 K14 K15 K16 K17 K18 K19 K20 K21 K22 K23 K24 K25 K26 K27 K28 K29 K30 K31 K32 K33 K34 K35 K36 K37 K38 K39 K40 K41 K42 K43 K44 K45 K46 K47 K48 K49 K50 K51 K52 K53 K54 K55" showDropDown="0" showInputMessage="0" showErrorMessage="0" allowBlank="1" type="list">
      <formula1>"Confirmed,Suspected,No,Unknown"</formula1>
    </dataValidation>
    <dataValidation sqref="K6 K7 K8 K9 K10 K11 K12 K13 K14 K15 K16 K17 K18 K19 K20 K21 K22 K23 K24 K25 K26 K27 K28 K29 K30 K31 K32 K33 K34 K35 K36 K37 K38 K39 K40 K41 K42 K43 K44 K45 K46 K47 K48 K49 K50 K51 K52 K53 K54 K55" showDropDown="0" showInputMessage="0" showErrorMessage="0" allowBlank="1" type="list">
      <formula1>"Espionage,Financial,Disruption,Ideology,Unknown"</formula1>
    </dataValidation>
    <dataValidation sqref="L6 L7 L8 L9 L10 L11 L12 L13 L14 L15 L16 L17 L18 L19 L20 L21 L22 L23 L24 L25 L26 L27 L28 L29 L30 L31 L32 L33 L34 L35 L36 L37 L38 L39 L40 L41 L42 L43 L44 L45 L46 L47 L48 L49 L50 L51 L52 L53 L54 L55" showDropDown="0" showInputMessage="0" showErrorMessage="0" allowBlank="1" type="list">
      <formula1>"Advanced,Moderate,Low"</formula1>
    </dataValidation>
    <dataValidation sqref="G6 G7 G8 G9 G10 G11 G12 G13 G14 G15 G16 G17 G18 G19 G20 G21 G22 G23 G24 G25 G26 G27 G28 G29 G30 G31 G32 G33 G34 G35 G36 G37 G38 G39 G40 G41 G42 G43 G44 G45 G46 G47 G48 G49 G50 G51 G52 G53 G54 G55" showDropDown="0" showInputMessage="0" showErrorMessage="0" allowBlank="1" type="list">
      <formula1>"Active,Concluded,Dormant,Unknown"</formula1>
    </dataValidation>
    <dataValidation sqref="L6 L7 L8 L9 L10 L11 L12 L13 L14 L15 L16 L17 L18 L19 L20 L21 L22 L23 L24 L25 L26 L27 L28 L29 L30 L31 L32 L33 L34 L35 L36 L37 L38 L39 L40 L41 L42 L43 L44 L45 L46 L47 L48 L49 L50 L51 L52 L53 L54 L55" showDropDown="0" showInputMessage="0" showErrorMessage="0" allowBlank="1" type="list">
      <formula1>"Espionage,Data_Theft,Disruption,Ransomware,Credential_Harvesting,Other"</formula1>
    </dataValidation>
    <dataValidation sqref="U6 U7 U8 U9 U10 U11 U12 U13 U14 U15 U16 U17 U18 U19 U20 U21 U22 U23 U24 U25 U26 U27 U28 U29 U30 U31 U32 U33 U34 U35 U36 U37 U38 U39 U40 U41 U42 U43 U44 U45 U46 U47 U48 U49 U50 U51 U52 U53 U54 U55" showDropDown="0" showInputMessage="0" showErrorMessage="0" allowBlank="1" type="list">
      <formula1>"Critical,High,Medium,Low"</formula1>
    </dataValidation>
    <dataValidation sqref="V6 V7 V8 V9 V10 V11 V12 V13 V14 V15 V16 V17 V18 V19 V20 V21 V22 V23 V24 V25 V26 V27 V28 V29 V30 V31 V32 V33 V34 V35 V36 V37 V38 V39 V40 V41 V42 V43 V44 V45 V46 V47 V48 V49 V50 V51 V52 V53 V54 V55" showDropDown="0" showInputMessage="0" showErrorMessage="0" allowBlank="1" type="list">
      <formula1>"Active_Monitoring,Passive_Monitoring,Concluded"</formula1>
    </dataValidation>
    <dataValidation sqref="H6 H7 H8 H9 H10 H11 H12 H13 H14 H15 H16 H17 H18 H19 H20 H21 H22 H23 H24 H25 H26 H27 H28 H29 H30 H31 H32 H33 H34 H35 H36 H37 H38 H39 H40 H41 H42 H43 H44 H45 H46 H47 H48 H49 H50 H51 H52 H53 H54 H55" showDropDown="0" showInputMessage="0" showErrorMessage="0" allowBlank="1" type="list">
      <formula1>"Integrated,Standalone,Planned,Deprecated"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31"/>
  <sheetViews>
    <sheetView showGridLines="0" workbookViewId="0">
      <pane ySplit="3" topLeftCell="A4" activePane="bottomLeft" state="frozen"/>
      <selection pane="bottomLeft" activeCell="A1" sqref="A1"/>
    </sheetView>
  </sheetViews>
  <sheetFormatPr baseColWidth="8" defaultRowHeight="15"/>
  <cols>
    <col width="10" customWidth="1" min="1" max="1"/>
    <col width="35" customWidth="1" min="2" max="2"/>
    <col width="45" customWidth="1" min="3" max="3"/>
    <col width="14" customWidth="1" min="4" max="4"/>
    <col width="14" customWidth="1" min="5" max="5"/>
    <col width="16" customWidth="1" min="6" max="6"/>
    <col width="18" customWidth="1" min="7" max="7"/>
    <col width="18" customWidth="1" min="8" max="8"/>
    <col width="12" customWidth="1" min="9" max="9"/>
    <col width="25" customWidth="1" min="10" max="10"/>
    <col width="25" customWidth="1" min="11" max="11"/>
    <col width="14" customWidth="1" min="12" max="12"/>
    <col width="30" customWidth="1" min="13" max="13"/>
  </cols>
  <sheetData>
    <row r="1" ht="35" customHeight="1">
      <c r="A1" s="11" t="inlineStr">
        <is>
          <t>INTELLIGENCE QUALITY METRICS &amp; KPIS</t>
        </is>
      </c>
    </row>
    <row r="2">
      <c r="A2" s="12" t="inlineStr">
        <is>
          <t>Track key performance indicators for intelligence collection and analysis operations.</t>
        </is>
      </c>
    </row>
    <row r="4">
      <c r="A4" s="13" t="inlineStr">
        <is>
          <t>KPI ID</t>
        </is>
      </c>
      <c r="B4" s="13" t="inlineStr">
        <is>
          <t>KPI Name</t>
        </is>
      </c>
      <c r="C4" s="13" t="inlineStr">
        <is>
          <t>Description</t>
        </is>
      </c>
      <c r="D4" s="13" t="inlineStr">
        <is>
          <t>Target Value</t>
        </is>
      </c>
      <c r="E4" s="13" t="inlineStr">
        <is>
          <t>Current Value</t>
        </is>
      </c>
      <c r="F4" s="13" t="inlineStr">
        <is>
          <t>Last Month Value</t>
        </is>
      </c>
      <c r="G4" s="13" t="inlineStr">
        <is>
          <t>Measurement Period</t>
        </is>
      </c>
      <c r="H4" s="13" t="inlineStr">
        <is>
          <t>Performance vs Target</t>
        </is>
      </c>
      <c r="I4" s="13" t="inlineStr">
        <is>
          <t>Trend</t>
        </is>
      </c>
      <c r="J4" s="13" t="inlineStr">
        <is>
          <t>Data Source</t>
        </is>
      </c>
      <c r="K4" s="13" t="inlineStr">
        <is>
          <t>Owner</t>
        </is>
      </c>
      <c r="L4" s="13" t="inlineStr">
        <is>
          <t>Last Updated</t>
        </is>
      </c>
      <c r="M4" s="13" t="inlineStr">
        <is>
          <t>Notes</t>
        </is>
      </c>
    </row>
    <row r="5">
      <c r="A5" s="29" t="inlineStr">
        <is>
          <t>KPI-001</t>
        </is>
      </c>
      <c r="B5" s="22" t="inlineStr">
        <is>
          <t>Intelligence Products per Month</t>
        </is>
      </c>
      <c r="C5" s="22" t="inlineStr">
        <is>
          <t>Count of formal intelligence products</t>
        </is>
      </c>
      <c r="D5" s="22" t="inlineStr">
        <is>
          <t>20</t>
        </is>
      </c>
      <c r="E5" s="22" t="n"/>
      <c r="F5" s="22" t="n"/>
      <c r="G5" s="22" t="n"/>
      <c r="H5" s="29">
        <f>IF(E5="","",IF(D5="","N/A",(E5/D5-1)*100))</f>
        <v/>
      </c>
      <c r="I5" s="29">
        <f>IF(OR(E5="",F5=""),"N/A",IF(E5&gt;F5,"Improving",IF(E5&lt;F5,"Declining","Stable")))</f>
        <v/>
      </c>
      <c r="J5" s="22" t="inlineStr">
        <is>
          <t>Sheet 5</t>
        </is>
      </c>
      <c r="K5" s="22" t="n"/>
      <c r="L5" s="22" t="n"/>
      <c r="M5" s="22" t="n"/>
    </row>
    <row r="6">
      <c r="A6" s="29" t="inlineStr">
        <is>
          <t>KPI-002</t>
        </is>
      </c>
      <c r="B6" s="22" t="inlineStr">
        <is>
          <t>Avg Time to Produce Intelligence (hrs)</t>
        </is>
      </c>
      <c r="C6" s="22" t="inlineStr">
        <is>
          <t>Hours from start to publication</t>
        </is>
      </c>
      <c r="D6" s="22" t="inlineStr">
        <is>
          <t>48</t>
        </is>
      </c>
      <c r="E6" s="22" t="n"/>
      <c r="F6" s="22" t="n"/>
      <c r="G6" s="22" t="n"/>
      <c r="H6" s="29">
        <f>IF(E6="","",IF(D6="","N/A",(E6/D6-1)*100))</f>
        <v/>
      </c>
      <c r="I6" s="29">
        <f>IF(OR(E6="",F6=""),"N/A",IF(E6&gt;F6,"Improving",IF(E6&lt;F6,"Declining","Stable")))</f>
        <v/>
      </c>
      <c r="J6" s="22" t="inlineStr">
        <is>
          <t>Sheet 5</t>
        </is>
      </c>
      <c r="K6" s="22" t="n"/>
      <c r="L6" s="22" t="n"/>
      <c r="M6" s="22" t="n"/>
    </row>
    <row r="7">
      <c r="A7" s="29" t="inlineStr">
        <is>
          <t>KPI-003</t>
        </is>
      </c>
      <c r="B7" s="22" t="inlineStr">
        <is>
          <t>Stakeholder Feedback Rating (1-5)</t>
        </is>
      </c>
      <c r="C7" s="22" t="inlineStr">
        <is>
          <t>Average rating from consumers</t>
        </is>
      </c>
      <c r="D7" s="22" t="inlineStr">
        <is>
          <t>4.0</t>
        </is>
      </c>
      <c r="E7" s="22" t="n"/>
      <c r="F7" s="22" t="n"/>
      <c r="G7" s="22" t="n"/>
      <c r="H7" s="29">
        <f>IF(E7="","",IF(D7="","N/A",(E7/D7-1)*100))</f>
        <v/>
      </c>
      <c r="I7" s="29">
        <f>IF(OR(E7="",F7=""),"N/A",IF(E7&gt;F7,"Improving",IF(E7&lt;F7,"Declining","Stable")))</f>
        <v/>
      </c>
      <c r="J7" s="22" t="inlineStr">
        <is>
          <t>Sheet 5</t>
        </is>
      </c>
      <c r="K7" s="22" t="n"/>
      <c r="L7" s="22" t="n"/>
      <c r="M7" s="22" t="n"/>
    </row>
    <row r="8">
      <c r="A8" s="29" t="inlineStr">
        <is>
          <t>KPI-004</t>
        </is>
      </c>
      <c r="B8" s="22" t="inlineStr">
        <is>
          <t>Intelligence Actionability Rate (%)</t>
        </is>
      </c>
      <c r="C8" s="22" t="inlineStr">
        <is>
          <t>% of products acted upon</t>
        </is>
      </c>
      <c r="D8" s="22" t="inlineStr">
        <is>
          <t>75%</t>
        </is>
      </c>
      <c r="E8" s="22" t="n"/>
      <c r="F8" s="22" t="n"/>
      <c r="G8" s="22" t="n"/>
      <c r="H8" s="29">
        <f>IF(E8="","",IF(D8="","N/A",(E8/D8-1)*100))</f>
        <v/>
      </c>
      <c r="I8" s="29">
        <f>IF(OR(E8="",F8=""),"N/A",IF(E8&gt;F8,"Improving",IF(E8&lt;F8,"Declining","Stable")))</f>
        <v/>
      </c>
      <c r="J8" s="22" t="inlineStr">
        <is>
          <t>Sheet 5</t>
        </is>
      </c>
      <c r="K8" s="22" t="n"/>
      <c r="L8" s="22" t="n"/>
      <c r="M8" s="22" t="n"/>
    </row>
    <row r="9">
      <c r="A9" s="29" t="inlineStr">
        <is>
          <t>KPI-005</t>
        </is>
      </c>
      <c r="B9" s="22" t="inlineStr">
        <is>
          <t>Mean Time from Intelligence to Action (hrs)</t>
        </is>
      </c>
      <c r="C9" s="22" t="inlineStr">
        <is>
          <t>Hours from publication to action</t>
        </is>
      </c>
      <c r="D9" s="22" t="inlineStr">
        <is>
          <t>24</t>
        </is>
      </c>
      <c r="E9" s="22" t="n"/>
      <c r="F9" s="22" t="n"/>
      <c r="G9" s="22" t="n"/>
      <c r="H9" s="29">
        <f>IF(E9="","",IF(D9="","N/A",(E9/D9-1)*100))</f>
        <v/>
      </c>
      <c r="I9" s="29">
        <f>IF(OR(E9="",F9=""),"N/A",IF(E9&gt;F9,"Improving",IF(E9&lt;F9,"Declining","Stable")))</f>
        <v/>
      </c>
      <c r="J9" s="22" t="inlineStr">
        <is>
          <t>Sheet 5</t>
        </is>
      </c>
      <c r="K9" s="22" t="n"/>
      <c r="L9" s="22" t="n"/>
      <c r="M9" s="22" t="n"/>
    </row>
    <row r="10">
      <c r="A10" s="29" t="inlineStr">
        <is>
          <t>KPI-006</t>
        </is>
      </c>
      <c r="B10" s="22" t="inlineStr">
        <is>
          <t>MITRE ATT&amp;CK Coverage (%)</t>
        </is>
      </c>
      <c r="C10" s="22" t="inlineStr">
        <is>
          <t>% of critical techniques covered</t>
        </is>
      </c>
      <c r="D10" s="22" t="inlineStr">
        <is>
          <t>80%</t>
        </is>
      </c>
      <c r="E10" s="22" t="n"/>
      <c r="F10" s="22" t="n"/>
      <c r="G10" s="22" t="n"/>
      <c r="H10" s="29">
        <f>IF(E10="","",IF(D10="","N/A",(E10/D10-1)*100))</f>
        <v/>
      </c>
      <c r="I10" s="29">
        <f>IF(OR(E10="",F10=""),"N/A",IF(E10&gt;F10,"Improving",IF(E10&lt;F10,"Declining","Stable")))</f>
        <v/>
      </c>
      <c r="J10" s="22" t="inlineStr">
        <is>
          <t>Sheet 6</t>
        </is>
      </c>
      <c r="K10" s="22" t="n"/>
      <c r="L10" s="22" t="n"/>
      <c r="M10" s="22" t="n"/>
    </row>
    <row r="11">
      <c r="A11" s="29" t="inlineStr">
        <is>
          <t>KPI-007</t>
        </is>
      </c>
      <c r="B11" s="22" t="inlineStr">
        <is>
          <t>False Positive Rate (%)</t>
        </is>
      </c>
      <c r="C11" s="22" t="inlineStr">
        <is>
          <t>% of incorrect/unusable intelligence</t>
        </is>
      </c>
      <c r="D11" s="22" t="inlineStr">
        <is>
          <t>5%</t>
        </is>
      </c>
      <c r="E11" s="22" t="n"/>
      <c r="F11" s="22" t="n"/>
      <c r="G11" s="22" t="n"/>
      <c r="H11" s="29">
        <f>IF(E11="","",IF(D11="","N/A",(E11/D11-1)*100))</f>
        <v/>
      </c>
      <c r="I11" s="29">
        <f>IF(OR(E11="",F11=""),"N/A",IF(E11&gt;F11,"Improving",IF(E11&lt;F11,"Declining","Stable")))</f>
        <v/>
      </c>
      <c r="J11" s="22" t="inlineStr">
        <is>
          <t>Sheet 5</t>
        </is>
      </c>
      <c r="K11" s="22" t="n"/>
      <c r="L11" s="22" t="n"/>
      <c r="M11" s="22" t="n"/>
    </row>
    <row r="12">
      <c r="A12" s="29" t="inlineStr">
        <is>
          <t>KPI-008</t>
        </is>
      </c>
      <c r="B12" s="22" t="inlineStr">
        <is>
          <t>Analyst Training Completion Rate (%)</t>
        </is>
      </c>
      <c r="C12" s="22" t="inlineStr">
        <is>
          <t>% of planned training completed</t>
        </is>
      </c>
      <c r="D12" s="22" t="inlineStr">
        <is>
          <t>90%</t>
        </is>
      </c>
      <c r="E12" s="22" t="n"/>
      <c r="F12" s="22" t="n"/>
      <c r="G12" s="22" t="n"/>
      <c r="H12" s="29">
        <f>IF(E12="","",IF(D12="","N/A",(E12/D12-1)*100))</f>
        <v/>
      </c>
      <c r="I12" s="29">
        <f>IF(OR(E12="",F12=""),"N/A",IF(E12&gt;F12,"Improving",IF(E12&lt;F12,"Declining","Stable")))</f>
        <v/>
      </c>
      <c r="J12" s="22" t="inlineStr">
        <is>
          <t>Sheet 4</t>
        </is>
      </c>
      <c r="K12" s="22" t="n"/>
      <c r="L12" s="22" t="n"/>
      <c r="M12" s="22" t="n"/>
    </row>
    <row r="13">
      <c r="A13" s="29" t="inlineStr">
        <is>
          <t>KPI-009</t>
        </is>
      </c>
      <c r="B13" s="22" t="inlineStr">
        <is>
          <t>Requirement Fulfillment Rate (%)</t>
        </is>
      </c>
      <c r="C13" s="22" t="inlineStr">
        <is>
          <t>% of PIRs with adequate coverage</t>
        </is>
      </c>
      <c r="D13" s="22" t="inlineStr">
        <is>
          <t>85%</t>
        </is>
      </c>
      <c r="E13" s="22" t="n"/>
      <c r="F13" s="22" t="n"/>
      <c r="G13" s="22" t="n"/>
      <c r="H13" s="29">
        <f>IF(E13="","",IF(D13="","N/A",(E13/D13-1)*100))</f>
        <v/>
      </c>
      <c r="I13" s="29">
        <f>IF(OR(E13="",F13=""),"N/A",IF(E13&gt;F13,"Improving",IF(E13&lt;F13,"Declining","Stable")))</f>
        <v/>
      </c>
      <c r="J13" s="22" t="inlineStr">
        <is>
          <t>Sheet 2</t>
        </is>
      </c>
      <c r="K13" s="22" t="n"/>
      <c r="L13" s="22" t="n"/>
      <c r="M13" s="22" t="n"/>
    </row>
    <row r="14">
      <c r="A14" s="29" t="inlineStr">
        <is>
          <t>KPI-010</t>
        </is>
      </c>
      <c r="B14" s="22" t="inlineStr">
        <is>
          <t>VT Links Created per Month</t>
        </is>
      </c>
      <c r="C14" s="22" t="inlineStr">
        <is>
          <t>Vulnerability-threat linkages</t>
        </is>
      </c>
      <c r="D14" s="22" t="inlineStr">
        <is>
          <t>10</t>
        </is>
      </c>
      <c r="E14" s="22" t="n"/>
      <c r="F14" s="22" t="n"/>
      <c r="G14" s="22" t="n"/>
      <c r="H14" s="29">
        <f>IF(E14="","",IF(D14="","N/A",(E14/D14-1)*100))</f>
        <v/>
      </c>
      <c r="I14" s="29">
        <f>IF(OR(E14="",F14=""),"N/A",IF(E14&gt;F14,"Improving",IF(E14&lt;F14,"Declining","Stable")))</f>
        <v/>
      </c>
      <c r="J14" s="22" t="inlineStr">
        <is>
          <t>Sheet 8</t>
        </is>
      </c>
      <c r="K14" s="22" t="n"/>
      <c r="L14" s="22" t="n"/>
      <c r="M14" s="22" t="n"/>
    </row>
    <row r="15">
      <c r="A15" s="29" t="n"/>
      <c r="B15" s="22" t="n"/>
      <c r="C15" s="22" t="n"/>
      <c r="D15" s="22" t="n"/>
      <c r="E15" s="22" t="n"/>
      <c r="F15" s="22" t="n"/>
      <c r="G15" s="22" t="n"/>
      <c r="H15" s="29">
        <f>IF(E15="","",IF(D15="","N/A",(E15/D15-1)*100))</f>
        <v/>
      </c>
      <c r="I15" s="29">
        <f>IF(OR(E15="",F15=""),"N/A",IF(E15&gt;F15,"Improving",IF(E15&lt;F15,"Declining","Stable")))</f>
        <v/>
      </c>
      <c r="J15" s="22" t="n"/>
      <c r="K15" s="22" t="n"/>
      <c r="L15" s="20" t="n"/>
      <c r="M15" s="22" t="n"/>
    </row>
    <row r="16">
      <c r="A16" s="29" t="n"/>
      <c r="B16" s="22" t="n"/>
      <c r="C16" s="22" t="n"/>
      <c r="D16" s="22" t="n"/>
      <c r="E16" s="22" t="n"/>
      <c r="F16" s="22" t="n"/>
      <c r="G16" s="22" t="n"/>
      <c r="H16" s="29">
        <f>IF(E16="","",IF(D16="","N/A",(E16/D16-1)*100))</f>
        <v/>
      </c>
      <c r="I16" s="29">
        <f>IF(OR(E16="",F16=""),"N/A",IF(E16&gt;F16,"Improving",IF(E16&lt;F16,"Declining","Stable")))</f>
        <v/>
      </c>
      <c r="J16" s="22" t="n"/>
      <c r="K16" s="22" t="n"/>
      <c r="L16" s="20" t="n"/>
      <c r="M16" s="22" t="n"/>
    </row>
    <row r="17">
      <c r="A17" s="29" t="n"/>
      <c r="B17" s="22" t="n"/>
      <c r="C17" s="22" t="n"/>
      <c r="D17" s="22" t="n"/>
      <c r="E17" s="22" t="n"/>
      <c r="F17" s="22" t="n"/>
      <c r="G17" s="22" t="n"/>
      <c r="H17" s="29">
        <f>IF(E17="","",IF(D17="","N/A",(E17/D17-1)*100))</f>
        <v/>
      </c>
      <c r="I17" s="29">
        <f>IF(OR(E17="",F17=""),"N/A",IF(E17&gt;F17,"Improving",IF(E17&lt;F17,"Declining","Stable")))</f>
        <v/>
      </c>
      <c r="J17" s="22" t="n"/>
      <c r="K17" s="22" t="n"/>
      <c r="L17" s="20" t="n"/>
      <c r="M17" s="22" t="n"/>
    </row>
    <row r="18">
      <c r="A18" s="29" t="n"/>
      <c r="B18" s="22" t="n"/>
      <c r="C18" s="22" t="n"/>
      <c r="D18" s="22" t="n"/>
      <c r="E18" s="22" t="n"/>
      <c r="F18" s="22" t="n"/>
      <c r="G18" s="22" t="n"/>
      <c r="H18" s="29">
        <f>IF(E18="","",IF(D18="","N/A",(E18/D18-1)*100))</f>
        <v/>
      </c>
      <c r="I18" s="29">
        <f>IF(OR(E18="",F18=""),"N/A",IF(E18&gt;F18,"Improving",IF(E18&lt;F18,"Declining","Stable")))</f>
        <v/>
      </c>
      <c r="J18" s="22" t="n"/>
      <c r="K18" s="22" t="n"/>
      <c r="L18" s="20" t="n"/>
      <c r="M18" s="22" t="n"/>
    </row>
    <row r="19">
      <c r="A19" s="29" t="n"/>
      <c r="B19" s="22" t="n"/>
      <c r="C19" s="22" t="n"/>
      <c r="D19" s="22" t="n"/>
      <c r="E19" s="22" t="n"/>
      <c r="F19" s="22" t="n"/>
      <c r="G19" s="22" t="n"/>
      <c r="H19" s="29">
        <f>IF(E19="","",IF(D19="","N/A",(E19/D19-1)*100))</f>
        <v/>
      </c>
      <c r="I19" s="29">
        <f>IF(OR(E19="",F19=""),"N/A",IF(E19&gt;F19,"Improving",IF(E19&lt;F19,"Declining","Stable")))</f>
        <v/>
      </c>
      <c r="J19" s="22" t="n"/>
      <c r="K19" s="22" t="n"/>
      <c r="L19" s="20" t="n"/>
      <c r="M19" s="22" t="n"/>
    </row>
    <row r="20">
      <c r="A20" s="29" t="n"/>
      <c r="B20" s="22" t="n"/>
      <c r="C20" s="22" t="n"/>
      <c r="D20" s="22" t="n"/>
      <c r="E20" s="22" t="n"/>
      <c r="F20" s="22" t="n"/>
      <c r="G20" s="22" t="n"/>
      <c r="H20" s="29">
        <f>IF(E20="","",IF(D20="","N/A",(E20/D20-1)*100))</f>
        <v/>
      </c>
      <c r="I20" s="29">
        <f>IF(OR(E20="",F20=""),"N/A",IF(E20&gt;F20,"Improving",IF(E20&lt;F20,"Declining","Stable")))</f>
        <v/>
      </c>
      <c r="J20" s="22" t="n"/>
      <c r="K20" s="22" t="n"/>
      <c r="L20" s="20" t="n"/>
      <c r="M20" s="22" t="n"/>
    </row>
    <row r="21">
      <c r="A21" s="29" t="n"/>
      <c r="B21" s="22" t="n"/>
      <c r="C21" s="22" t="n"/>
      <c r="D21" s="22" t="n"/>
      <c r="E21" s="22" t="n"/>
      <c r="F21" s="22" t="n"/>
      <c r="G21" s="22" t="n"/>
      <c r="H21" s="29">
        <f>IF(E21="","",IF(D21="","N/A",(E21/D21-1)*100))</f>
        <v/>
      </c>
      <c r="I21" s="29">
        <f>IF(OR(E21="",F21=""),"N/A",IF(E21&gt;F21,"Improving",IF(E21&lt;F21,"Declining","Stable")))</f>
        <v/>
      </c>
      <c r="J21" s="22" t="n"/>
      <c r="K21" s="22" t="n"/>
      <c r="L21" s="20" t="n"/>
      <c r="M21" s="22" t="n"/>
    </row>
    <row r="22">
      <c r="A22" s="29" t="n"/>
      <c r="B22" s="22" t="n"/>
      <c r="C22" s="22" t="n"/>
      <c r="D22" s="22" t="n"/>
      <c r="E22" s="22" t="n"/>
      <c r="F22" s="22" t="n"/>
      <c r="G22" s="22" t="n"/>
      <c r="H22" s="29">
        <f>IF(E22="","",IF(D22="","N/A",(E22/D22-1)*100))</f>
        <v/>
      </c>
      <c r="I22" s="29">
        <f>IF(OR(E22="",F22=""),"N/A",IF(E22&gt;F22,"Improving",IF(E22&lt;F22,"Declining","Stable")))</f>
        <v/>
      </c>
      <c r="J22" s="22" t="n"/>
      <c r="K22" s="22" t="n"/>
      <c r="L22" s="20" t="n"/>
      <c r="M22" s="22" t="n"/>
    </row>
    <row r="23">
      <c r="A23" s="29" t="n"/>
      <c r="B23" s="22" t="n"/>
      <c r="C23" s="22" t="n"/>
      <c r="D23" s="22" t="n"/>
      <c r="E23" s="22" t="n"/>
      <c r="F23" s="22" t="n"/>
      <c r="G23" s="22" t="n"/>
      <c r="H23" s="29">
        <f>IF(E23="","",IF(D23="","N/A",(E23/D23-1)*100))</f>
        <v/>
      </c>
      <c r="I23" s="29">
        <f>IF(OR(E23="",F23=""),"N/A",IF(E23&gt;F23,"Improving",IF(E23&lt;F23,"Declining","Stable")))</f>
        <v/>
      </c>
      <c r="J23" s="22" t="n"/>
      <c r="K23" s="22" t="n"/>
      <c r="L23" s="20" t="n"/>
      <c r="M23" s="22" t="n"/>
    </row>
    <row r="24">
      <c r="A24" s="29" t="n"/>
      <c r="B24" s="22" t="n"/>
      <c r="C24" s="22" t="n"/>
      <c r="D24" s="22" t="n"/>
      <c r="E24" s="22" t="n"/>
      <c r="F24" s="22" t="n"/>
      <c r="G24" s="22" t="n"/>
      <c r="H24" s="29">
        <f>IF(E24="","",IF(D24="","N/A",(E24/D24-1)*100))</f>
        <v/>
      </c>
      <c r="I24" s="29">
        <f>IF(OR(E24="",F24=""),"N/A",IF(E24&gt;F24,"Improving",IF(E24&lt;F24,"Declining","Stable")))</f>
        <v/>
      </c>
      <c r="J24" s="22" t="n"/>
      <c r="K24" s="22" t="n"/>
      <c r="L24" s="20" t="n"/>
      <c r="M24" s="22" t="n"/>
    </row>
    <row r="26">
      <c r="A26" s="17" t="inlineStr">
        <is>
          <t>KPI SUMMARY</t>
        </is>
      </c>
    </row>
    <row r="27">
      <c r="A27" s="18" t="inlineStr">
        <is>
          <t>Total KPIs Tracked:</t>
        </is>
      </c>
      <c r="B27" s="18">
        <f>COUNTA(A5:A24)</f>
        <v/>
      </c>
    </row>
    <row r="28">
      <c r="A28" s="18" t="inlineStr">
        <is>
          <t>KPIs On Target (&gt;=100%):</t>
        </is>
      </c>
      <c r="B28" s="18">
        <f>COUNTIF(H5:H24,"&gt;=0")</f>
        <v/>
      </c>
    </row>
    <row r="29">
      <c r="A29" s="18" t="inlineStr">
        <is>
          <t>KPIs Below Target:</t>
        </is>
      </c>
      <c r="B29" s="18">
        <f>COUNTIF(H5:H24,"&lt;0")</f>
        <v/>
      </c>
    </row>
    <row r="30">
      <c r="A30" s="18" t="inlineStr">
        <is>
          <t>Improving Trends:</t>
        </is>
      </c>
      <c r="B30" s="18">
        <f>COUNTIF(I5:I24,"Improving")</f>
        <v/>
      </c>
    </row>
    <row r="31">
      <c r="A31" s="18" t="inlineStr">
        <is>
          <t>Declining Trends:</t>
        </is>
      </c>
      <c r="B31" s="18">
        <f>COUNTIF(I5:I24,"Declining")</f>
        <v/>
      </c>
    </row>
  </sheetData>
  <mergeCells count="3">
    <mergeCell ref="A2:M2"/>
    <mergeCell ref="A26:D26"/>
    <mergeCell ref="A1:M1"/>
  </mergeCells>
  <conditionalFormatting sqref="H5:H24">
    <cfRule type="cellIs" priority="1" operator="greaterThan" dxfId="2">
      <formula>0</formula>
    </cfRule>
    <cfRule type="cellIs" priority="2" operator="lessThan" dxfId="0">
      <formula>0</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7"/>
  <sheetViews>
    <sheetView showGridLines="0" workbookViewId="0">
      <pane ySplit="3" topLeftCell="A4" activePane="bottomLeft" state="frozen"/>
      <selection pane="bottomLeft" activeCell="A1" sqref="A1"/>
    </sheetView>
  </sheetViews>
  <sheetFormatPr baseColWidth="8" defaultRowHeight="15"/>
  <cols>
    <col width="25" customWidth="1" min="1" max="1"/>
    <col width="25" customWidth="1" min="2" max="2"/>
    <col width="25" customWidth="1" min="3" max="3"/>
    <col width="10" customWidth="1" min="4" max="4"/>
    <col width="40" customWidth="1" min="5" max="5"/>
    <col width="40" customWidth="1" min="6" max="6"/>
    <col width="14" customWidth="1" min="7" max="7"/>
  </cols>
  <sheetData>
    <row r="1" ht="35" customHeight="1">
      <c r="A1" s="11" t="inlineStr">
        <is>
          <t>PROCESS MATURITY ASSESSMENT (CMM MODEL)</t>
        </is>
      </c>
    </row>
    <row r="2">
      <c r="A2" s="12" t="inlineStr">
        <is>
          <t>Assess capability maturity using 5-level CMM model: 1-Initial, 2-Managed, 3-Defined, 4-Quantitatively Managed, 5-Optimizing</t>
        </is>
      </c>
    </row>
    <row r="4">
      <c r="A4" s="13" t="inlineStr">
        <is>
          <t>Process Area</t>
        </is>
      </c>
      <c r="B4" s="13" t="inlineStr">
        <is>
          <t>Current Level</t>
        </is>
      </c>
      <c r="C4" s="13" t="inlineStr">
        <is>
          <t>Target Level</t>
        </is>
      </c>
      <c r="D4" s="13" t="inlineStr">
        <is>
          <t>Gap</t>
        </is>
      </c>
      <c r="E4" s="13" t="inlineStr">
        <is>
          <t>Evidence</t>
        </is>
      </c>
      <c r="F4" s="13" t="inlineStr">
        <is>
          <t>Action Plan</t>
        </is>
      </c>
      <c r="G4" s="13" t="inlineStr">
        <is>
          <t>Target Date</t>
        </is>
      </c>
    </row>
    <row r="5">
      <c r="A5" s="30" t="inlineStr">
        <is>
          <t>Collection Planning</t>
        </is>
      </c>
      <c r="B5" s="22" t="n"/>
      <c r="C5" s="22" t="n"/>
      <c r="D5" s="29">
        <f>IF(OR(B5="",C5=""),"N/A",VALUE(LEFT(C5,1))-VALUE(LEFT(B5,1)))</f>
        <v/>
      </c>
      <c r="E5" s="22" t="n"/>
      <c r="F5" s="22" t="n"/>
      <c r="G5" s="20" t="n"/>
    </row>
    <row r="6">
      <c r="A6" s="30" t="inlineStr">
        <is>
          <t>Analysis Methodologies</t>
        </is>
      </c>
      <c r="B6" s="22" t="n"/>
      <c r="C6" s="22" t="n"/>
      <c r="D6" s="29">
        <f>IF(OR(B6="",C6=""),"N/A",VALUE(LEFT(C6,1))-VALUE(LEFT(B6,1)))</f>
        <v/>
      </c>
      <c r="E6" s="22" t="n"/>
      <c r="F6" s="22" t="n"/>
      <c r="G6" s="20" t="n"/>
    </row>
    <row r="7">
      <c r="A7" s="30" t="inlineStr">
        <is>
          <t>Production Quality</t>
        </is>
      </c>
      <c r="B7" s="22" t="n"/>
      <c r="C7" s="22" t="n"/>
      <c r="D7" s="29">
        <f>IF(OR(B7="",C7=""),"N/A",VALUE(LEFT(C7,1))-VALUE(LEFT(B7,1)))</f>
        <v/>
      </c>
      <c r="E7" s="22" t="n"/>
      <c r="F7" s="22" t="n"/>
      <c r="G7" s="20" t="n"/>
    </row>
    <row r="8">
      <c r="A8" s="30" t="inlineStr">
        <is>
          <t>Dissemination</t>
        </is>
      </c>
      <c r="B8" s="22" t="n"/>
      <c r="C8" s="22" t="n"/>
      <c r="D8" s="29">
        <f>IF(OR(B8="",C8=""),"N/A",VALUE(LEFT(C8,1))-VALUE(LEFT(B8,1)))</f>
        <v/>
      </c>
      <c r="E8" s="22" t="n"/>
      <c r="F8" s="22" t="n"/>
      <c r="G8" s="20" t="n"/>
    </row>
    <row r="9">
      <c r="A9" s="30" t="inlineStr">
        <is>
          <t>Feedback Mechanisms</t>
        </is>
      </c>
      <c r="B9" s="22" t="n"/>
      <c r="C9" s="22" t="n"/>
      <c r="D9" s="29">
        <f>IF(OR(B9="",C9=""),"N/A",VALUE(LEFT(C9,1))-VALUE(LEFT(B9,1)))</f>
        <v/>
      </c>
      <c r="E9" s="22" t="n"/>
      <c r="F9" s="22" t="n"/>
      <c r="G9" s="20" t="n"/>
    </row>
    <row r="10">
      <c r="A10" s="30" t="inlineStr">
        <is>
          <t>Integration (Technical)</t>
        </is>
      </c>
      <c r="B10" s="22" t="n"/>
      <c r="C10" s="22" t="n"/>
      <c r="D10" s="29">
        <f>IF(OR(B10="",C10=""),"N/A",VALUE(LEFT(C10,1))-VALUE(LEFT(B10,1)))</f>
        <v/>
      </c>
      <c r="E10" s="22" t="n"/>
      <c r="F10" s="22" t="n"/>
      <c r="G10" s="20" t="n"/>
    </row>
    <row r="11">
      <c r="A11" s="30" t="inlineStr">
        <is>
          <t>Integration (Control 8.8)</t>
        </is>
      </c>
      <c r="B11" s="22" t="n"/>
      <c r="C11" s="22" t="n"/>
      <c r="D11" s="29">
        <f>IF(OR(B11="",C11=""),"N/A",VALUE(LEFT(C11,1))-VALUE(LEFT(B11,1)))</f>
        <v/>
      </c>
      <c r="E11" s="22" t="n"/>
      <c r="F11" s="22" t="n"/>
      <c r="G11" s="20" t="n"/>
    </row>
    <row r="12">
      <c r="A12" s="30" t="inlineStr">
        <is>
          <t>Staff Training</t>
        </is>
      </c>
      <c r="B12" s="22" t="n"/>
      <c r="C12" s="22" t="n"/>
      <c r="D12" s="29">
        <f>IF(OR(B12="",C12=""),"N/A",VALUE(LEFT(C12,1))-VALUE(LEFT(B12,1)))</f>
        <v/>
      </c>
      <c r="E12" s="22" t="n"/>
      <c r="F12" s="22" t="n"/>
      <c r="G12" s="20" t="n"/>
    </row>
    <row r="13">
      <c r="A13" s="30" t="inlineStr">
        <is>
          <t>Metrics &amp; KPIs</t>
        </is>
      </c>
      <c r="B13" s="22" t="n"/>
      <c r="C13" s="22" t="n"/>
      <c r="D13" s="29">
        <f>IF(OR(B13="",C13=""),"N/A",VALUE(LEFT(C13,1))-VALUE(LEFT(B13,1)))</f>
        <v/>
      </c>
      <c r="E13" s="22" t="n"/>
      <c r="F13" s="22" t="n"/>
      <c r="G13" s="20" t="n"/>
    </row>
    <row r="14">
      <c r="A14" s="30" t="inlineStr">
        <is>
          <t>Threat Modeling</t>
        </is>
      </c>
      <c r="B14" s="22" t="n"/>
      <c r="C14" s="22" t="n"/>
      <c r="D14" s="29">
        <f>IF(OR(B14="",C14=""),"N/A",VALUE(LEFT(C14,1))-VALUE(LEFT(B14,1)))</f>
        <v/>
      </c>
      <c r="E14" s="22" t="n"/>
      <c r="F14" s="22" t="n"/>
      <c r="G14" s="20" t="n"/>
    </row>
    <row r="15">
      <c r="A15" s="22" t="n"/>
      <c r="B15" s="22" t="n"/>
      <c r="C15" s="22" t="n"/>
      <c r="D15" s="29">
        <f>IF(OR(B15="",C15=""),"N/A",VALUE(LEFT(C15,1))-VALUE(LEFT(B15,1)))</f>
        <v/>
      </c>
      <c r="E15" s="22" t="n"/>
      <c r="F15" s="22" t="n"/>
      <c r="G15" s="20" t="n"/>
    </row>
    <row r="16">
      <c r="A16" s="31" t="inlineStr">
        <is>
          <t>MATURITY LEVEL REFERENCE</t>
        </is>
      </c>
      <c r="B16" s="22" t="n"/>
      <c r="C16" s="22" t="n"/>
      <c r="D16" s="29">
        <f>IF(OR(B16="",C16=""),"N/A",VALUE(LEFT(C16,1))-VALUE(LEFT(B16,1)))</f>
        <v/>
      </c>
      <c r="E16" s="22" t="n"/>
      <c r="F16" s="22" t="n"/>
      <c r="G16" s="20" t="n"/>
    </row>
    <row r="17">
      <c r="A17" s="22" t="n"/>
      <c r="B17" s="22" t="n"/>
      <c r="C17" s="22" t="n"/>
      <c r="D17" s="29">
        <f>IF(OR(B17="",C17=""),"N/A",VALUE(LEFT(C17,1))-VALUE(LEFT(B17,1)))</f>
        <v/>
      </c>
      <c r="E17" s="22" t="n"/>
      <c r="F17" s="22" t="n"/>
      <c r="G17" s="20" t="n"/>
    </row>
    <row r="18">
      <c r="A18" s="22" t="n"/>
      <c r="B18" s="22" t="n"/>
      <c r="C18" s="22" t="n"/>
      <c r="D18" s="29">
        <f>IF(OR(B18="",C18=""),"N/A",VALUE(LEFT(C18,1))-VALUE(LEFT(B18,1)))</f>
        <v/>
      </c>
      <c r="E18" s="22" t="n"/>
      <c r="F18" s="22" t="n"/>
      <c r="G18" s="20" t="n"/>
    </row>
    <row r="19">
      <c r="A19" s="22" t="n"/>
      <c r="B19" s="22" t="n"/>
      <c r="C19" s="22" t="n"/>
      <c r="D19" s="29">
        <f>IF(OR(B19="",C19=""),"N/A",VALUE(LEFT(C19,1))-VALUE(LEFT(B19,1)))</f>
        <v/>
      </c>
      <c r="E19" s="22" t="n"/>
      <c r="F19" s="22" t="n"/>
      <c r="G19" s="20" t="n"/>
    </row>
    <row r="20">
      <c r="A20" s="22" t="n"/>
      <c r="B20" s="22" t="n"/>
      <c r="C20" s="22" t="n"/>
      <c r="D20" s="29">
        <f>IF(OR(B20="",C20=""),"N/A",VALUE(LEFT(C20,1))-VALUE(LEFT(B20,1)))</f>
        <v/>
      </c>
      <c r="E20" s="22" t="n"/>
      <c r="F20" s="22" t="n"/>
      <c r="G20" s="20" t="n"/>
    </row>
    <row r="21">
      <c r="A21" s="22" t="n"/>
      <c r="B21" s="22" t="n"/>
      <c r="C21" s="22" t="n"/>
      <c r="D21" s="29">
        <f>IF(OR(B21="",C21=""),"N/A",VALUE(LEFT(C21,1))-VALUE(LEFT(B21,1)))</f>
        <v/>
      </c>
      <c r="E21" s="22" t="n"/>
      <c r="F21" s="22" t="n"/>
      <c r="G21" s="20" t="n"/>
    </row>
    <row r="22">
      <c r="A22" s="22" t="n"/>
      <c r="B22" s="22" t="n"/>
      <c r="C22" s="22" t="n"/>
      <c r="D22" s="29">
        <f>IF(OR(B22="",C22=""),"N/A",VALUE(LEFT(C22,1))-VALUE(LEFT(B22,1)))</f>
        <v/>
      </c>
      <c r="E22" s="22" t="n"/>
      <c r="F22" s="22" t="n"/>
      <c r="G22" s="20" t="n"/>
    </row>
    <row r="23">
      <c r="A23" s="22" t="n"/>
      <c r="B23" s="22" t="n"/>
      <c r="C23" s="22" t="n"/>
      <c r="D23" s="29">
        <f>IF(OR(B23="",C23=""),"N/A",VALUE(LEFT(C23,1))-VALUE(LEFT(B23,1)))</f>
        <v/>
      </c>
      <c r="E23" s="22" t="n"/>
      <c r="F23" s="22" t="n"/>
      <c r="G23" s="20" t="n"/>
    </row>
    <row r="24">
      <c r="A24" s="22" t="n"/>
      <c r="B24" s="22" t="n"/>
      <c r="C24" s="22" t="n"/>
      <c r="D24" s="29">
        <f>IF(OR(B24="",C24=""),"N/A",VALUE(LEFT(C24,1))-VALUE(LEFT(B24,1)))</f>
        <v/>
      </c>
      <c r="E24" s="22" t="n"/>
      <c r="F24" s="22" t="n"/>
      <c r="G24" s="20" t="n"/>
    </row>
    <row r="26"/>
    <row r="27">
      <c r="A27" s="18" t="inlineStr">
        <is>
          <t>1 - Initial</t>
        </is>
      </c>
      <c r="B27" s="32" t="inlineStr">
        <is>
          <t>Ad hoc, reactive, inconsistent processes</t>
        </is>
      </c>
    </row>
    <row r="28">
      <c r="A28" s="18" t="inlineStr">
        <is>
          <t>2 - Managed</t>
        </is>
      </c>
      <c r="B28" s="32" t="inlineStr">
        <is>
          <t>Documented processes, some repeatability</t>
        </is>
      </c>
    </row>
    <row r="29">
      <c r="A29" s="18" t="inlineStr">
        <is>
          <t>3 - Defined</t>
        </is>
      </c>
      <c r="B29" s="32" t="inlineStr">
        <is>
          <t>Standardised processes, organisation-wide adoption</t>
        </is>
      </c>
    </row>
    <row r="30">
      <c r="A30" s="18" t="inlineStr">
        <is>
          <t>4 - Quantitatively Managed</t>
        </is>
      </c>
      <c r="B30" s="32" t="inlineStr">
        <is>
          <t>Measured and controlled processes</t>
        </is>
      </c>
    </row>
    <row r="31">
      <c r="A31" s="18" t="inlineStr">
        <is>
          <t>5 - Optimizing</t>
        </is>
      </c>
      <c r="B31" s="32" t="inlineStr">
        <is>
          <t>Continuous improvement, industry-leading practices</t>
        </is>
      </c>
    </row>
    <row r="33">
      <c r="A33" s="17" t="inlineStr">
        <is>
          <t>MATURITY SUMMARY</t>
        </is>
      </c>
    </row>
    <row r="34">
      <c r="A34" s="18" t="inlineStr">
        <is>
          <t>Avg Current Maturity:</t>
        </is>
      </c>
      <c r="B34" s="26">
        <f>AVERAGE(VALUE(LEFT(B5:B24,1)))</f>
        <v/>
      </c>
    </row>
    <row r="35">
      <c r="A35" s="18" t="inlineStr">
        <is>
          <t>Avg Target Maturity:</t>
        </is>
      </c>
      <c r="B35" s="26">
        <f>AVERAGE(VALUE(LEFT(C5:C24,1)))</f>
        <v/>
      </c>
    </row>
    <row r="36">
      <c r="A36" s="18" t="inlineStr">
        <is>
          <t>Total Gap (levels):</t>
        </is>
      </c>
      <c r="B36" s="26">
        <f>SUM(D5:D24)</f>
        <v/>
      </c>
    </row>
    <row r="37">
      <c r="A37" s="18" t="inlineStr">
        <is>
          <t>Areas at Target:</t>
        </is>
      </c>
      <c r="B37" s="26">
        <f>COUNTIF(D5:D24,0)</f>
        <v/>
      </c>
    </row>
  </sheetData>
  <mergeCells count="9">
    <mergeCell ref="A1:G1"/>
    <mergeCell ref="B28:G28"/>
    <mergeCell ref="B31:G31"/>
    <mergeCell ref="B27:G27"/>
    <mergeCell ref="A26:G26"/>
    <mergeCell ref="A2:G2"/>
    <mergeCell ref="A33:D33"/>
    <mergeCell ref="B30:G30"/>
    <mergeCell ref="B29:G29"/>
  </mergeCells>
  <conditionalFormatting sqref="D5:D24">
    <cfRule type="cellIs" priority="1" operator="greaterThan" dxfId="1">
      <formula>0</formula>
    </cfRule>
    <cfRule type="cellIs" priority="2" operator="equal" dxfId="2">
      <formula>0</formula>
    </cfRule>
  </conditionalFormatting>
  <dataValidations count="27">
    <dataValidation sqref="B6 B7 B8 B9 B10 B11 B12 B13 B14 B15 B16 B17 B18 B19 B20 B21 B22 B23 B24 B25 B26 B27 B28 B29 B30 B31 B32 B33 B34 B35 B36 B37 B38 B39 B40 B41 B42 B43 B44 B45 B46 B47 B48 B49 B50 B51 B52 B53 B54 B55 F6 F7 F8 F9 F10 F11 F12 F13 F14 F15 F16 F17 F18 F19 F20 F21 F22 F23 F24 F25 F26 F27 F28 F29 F30 F31 F32 F33 F34 F35 F36 F37 F38 F39 F40 F41 F42 F43 F44 F45 F46 F47 F48 F49 F50 F51 F52 F53 F54 F55" showDropDown="0" showInputMessage="0" showErrorMessage="0" allowBlank="0" type="list">
      <formula1>"Strategic,Tactical,Operational,Technical"</formula1>
    </dataValidation>
    <dataValidation sqref="D6 D7 D8 D9 D10 D11 D12 D13 D14 D15 D16 D17 D18 D19 D20 D21 D22 D23 D24 D25 D26 D27 D28 D29 D30 D31 D32 D33 D34 D35 D36 D37 D38 D39 D40 D41 D42 D43 D44 D45 D46 D47 D48 D49 D50 D51 D52 D53 D54 D55 E6 E7 E8 E9 E10 E11 E12 E13 E14 E15 E16 E17 E18 E19 E20 E21 E22 E23 E24 E25 E26 E27 E28 E29 E30 E31 E32 E33 E34 E35 E36 E37 E38 E39 E40 E41 E42 E43 E44 E45 E46 E47 E48 E49 E50 E51 E52 E53 E54 E55 H6 H7 H8 H9 H10 H11 H12 H13 H14 H15 H16 H17 H18 H19 H20 H21 H22 H23 H24 H25 H26 H27 H28 H29 H30 H31 H32 H33 H34 H35 H36 H37 H38 H39 H40 H41 H42 H43 H44 H45 H46 H47 H48 H49 H50 H51 H52 H53 H54 H55" showDropDown="0" showInputMessage="0" showErrorMessage="0" allowBlank="0" type="list">
      <formula1>"Critical,High,Medium,Low"</formula1>
    </dataValidation>
    <dataValidation sqref="K6 K7 K8 K9 K10 K11 K12 K13 K14 K15 K16 K17 K18 K19 K20 K21 K22 K23 K24 K25 K26 K27 K28 K29 K30 K31 K32 K33 K34 K35 K36 K37 K38 K39 K40 K41 K42 K43 K44 K45 K46 K47 K48 K49 K50 K51 K52 K53 K54 K55" showDropDown="0" showInputMessage="0" showErrorMessage="0" allowBlank="0" type="list">
      <formula1>"Automated_Feed,Manual_Research,OSINT,Partnership,Internal_Telemetry"</formula1>
    </dataValidation>
    <dataValidation sqref="E6 E7 E8 E9 E10 E11 E12 E13 E14 E15 E16 E17 E18 E19 E20 E21 E22 E23 E24 E25 E26 E27 E28 E29 E30 E31 E32 E33 E34 E35 E36 E37 E38 E39 E40 E41 E42 E43 E44 E45 E46 E47 E48 E49 E50 E51 E52 E53 E54 E55 M6 M7 M8 M9 M10 M11 M12 M13 M14 M15 M16 M17 M18 M19 M20 M21 M22 M23 M24 M25 M26 M27 M28 M29 M30 M31 M32 M33 M34 M35 M36 M37 M38 M39 M40 M41 M42 M43 M44 M45 M46 M47 M48 M49 M50 M51 M52 M53 M54 M55" showDropDown="0" showInputMessage="0" showErrorMessage="0" allowBlank="0" type="list">
      <formula1>"Real-time,Hourly,Daily,Weekly,On_Demand"</formula1>
    </dataValidation>
    <dataValidation sqref="I6 I7 I8 I9 I10 I11 I12 I13 I14 I15 I16 I17 I18 I19 I20 I21 I22 I23 I24 I25 I26 I27 I28 I29 I30 I31 I32 I33 I34 I35 I36 I37 I38 I39 I40 I41 I42 I43 I44 I45 I46 I47 I48 I49 I50 I51 I52 I53 I54 I55" showDropDown="0" showInputMessage="0" showErrorMessage="0" allowBlank="0" type="list">
      <formula1>"Fully_Implemented,Partially_Implemented,Planned,Not_Used"</formula1>
    </dataValidation>
    <dataValidation sqref="N6 N7 N8 N9 N10 N11 N12 N13 N14 N15 N16 N17 N18 N19 N20 N21 N22 N23 N24 N25 N26 N27 N28 N29 N30 N31 N32 N33 N34 N35 N36 N37 N38 N39 N40 N41 N42 N43 N44 N45 N46 N47 N48 N49 N50 N51 N52 N53 N54 N55" showDropDown="0" showInputMessage="0" showErrorMessage="0" allowBlank="1" type="list">
      <formula1>"Excellent,Good,Fair,Poor"</formula1>
    </dataValidation>
    <dataValidation sqref="B6 B7 B8 B9 B10 B11 B12 B13 B14 B15 B16 B17 B18 B19 B20 B21 B22 B23 B24 B25 B26 B27 B28 B29 B30 B31 B32 B33 B34 B35 B36 B37 B38 B39 B40 B41 B42 B43 B44 B45 B46 B47 B48 B49 B50 B51 B52 B53 B54 B55" showDropDown="0" showInputMessage="0" showErrorMessage="0" allowBlank="0" type="list">
      <formula1>"Strategic_Report,Tactical_Brief,Operational_Alert,Technical_Analysis,IOC_Package,Threat_Profile"</formula1>
    </dataValidation>
    <dataValidation sqref="L6 L7 L8 L9 L10 L11 L12 L13 L14 L15 L16 L17 L18 L19 L20 L21 L22 L23 L24 L25 L26 L27 L28 L29 L30 L31 L32 L33 L34 L35 L36 L37 L38 L39 L40 L41 L42 L43 L44 L45 L46 L47 L48 L49 L50 L51 L52 L53 L54 L55 N6 N7 N8 N9 N10 N11 N12 N13 N14 N15 N16 N17 N18 N19 N20 N21 N22 N23 N24 N25 N26 N27 N28 N29 N30 N31 N32 N33 N34 N35 N36 N37 N38 N39 N40 N41 N42 N43 N44 N45 N46 N47 N48 N49 N50 N51 N52 N53 N54 N55" showDropDown="0" showInputMessage="0" showErrorMessage="0" allowBlank="0" type="list">
      <formula1>"Draft,Review,Published,Archived"</formula1>
    </dataValidation>
    <dataValidation sqref="E6 E7 E8 E9 E10 E11 E12 E13 E14 E15 E16 E17 E18 E19 E20 E21 E22 E23 E24 E25 E26 E27 E28 E29 E30 E31 E32 E33 E34 E35 E36 E37 E38 E39 E40 E41 E42 E43 E44 E45 E46 E47 E48 E49 E50 E51 E52 E53 E54 E55 H6 H7 H8 H9 H10 H11 H12 H13 H14 H15 H16 H17 H18 H19 H20 H21 H22 H23 H24 H25 H26 H27 H28 H29 H30 H31 H32 H33 H34 H35 H36 H37 H38 H39 H40 H41 H42 H43 H44 H45 H46 H47 H48 H49 H50 H51 H52 H53 H54 H55" showDropDown="0" showInputMessage="0" showErrorMessage="0" allowBlank="0" type="list">
      <formula1>"High,Medium,Low,Unconfirmed"</formula1>
    </dataValidation>
    <dataValidation sqref="G6 G7 G8 G9 G10 G11 G12 G13 G14 G15 G16 G17 G18 G19 G20 G21 G22 G23 G24 G25 G26 G27 G28 G29 G30 G31 G32 G33 G34 G35 G36 G37 G38 G39 G40 G41 G42 G43 G44 G45 G46 G47 G48 G49 G50 G51 G52 G53 G54 G55" showDropDown="0" showInputMessage="0" showErrorMessage="0" allowBlank="0" type="list">
      <formula1>"TLP:CLEAR,TLP:GREEN,TLP:AMBER,TLP:AMBER+STRICT,TLP:RED"</formula1>
    </dataValidation>
    <dataValidation sqref="F6 F7 F8 F9 F10 F11 F12 F13 F14 F15 F16 F17 F18 F19 F20 F21 F22 F23 F24 F25 F26 F27 F28 F29 F30 F31 F32 F33 F34 F35 F36 F37 F38 F39 F40 F41 F42 F43 F44 F45 F46 F47 F48 F49 F50 F51 F52 F53 F54 F55" showDropDown="0" showInputMessage="0" showErrorMessage="0" allowBlank="0" type="list">
      <formula1>"Full,Partial,Limited,None"</formula1>
    </dataValidation>
    <dataValidation sqref="D6 D7 D8 D9 D10 D11 D12 D13 D14 D15 D16 D17 D18 D19 D20 D21 D22 D23 D24 D25 D26 D27 D28 D29 D30 D31 D32 D33 D34 D35 D36 D37 D38 D39 D40 D41 D42 D43 D44 D45 D46 D47 D48 D49 D50 D51 D52 D53 D54 D55" showDropDown="0" showInputMessage="0" showErrorMessage="0" allowBlank="1" type="list">
      <formula1>"Nation-State,Criminal_Syndicate,Hacktivist,Insider_Threat,Script_Kiddie,Unknown"</formula1>
    </dataValidation>
    <dataValidation sqref="I6 I7 I8 I9 I10 I11 I12 I13 I14 I15 I16 I17 I18 I19 I20 I21 I22 I23 I24 I25 I26 I27 I28 I29 I30 I31 I32 I33 I34 I35 I36 I37 I38 I39 I40 I41 I42 I43 I44 I45 I46 I47 I48 I49 I50 I51 I52 I53 I54 I55 M6 M7 M8 M9 M10 M11 M12 M13 M14 M15 M16 M17 M18 M19 M20 M21 M22 M23 M24 M25 M26 M27 M28 M29 M30 M31 M32 M33 M34 M35 M36 M37 M38 M39 M40 M41 M42 M43 M44 M45 M46 M47 M48 M49 M50 M51 M52 M53 M54 M55" showDropDown="0" showInputMessage="0" showErrorMessage="0" allowBlank="0" type="list">
      <formula1>"Yes,No"</formula1>
    </dataValidation>
    <dataValidation sqref="B5 B6 B7 B8 B9 B10 B11 B12 B13 B14 B15 B16 B17 B18 B19 B20 B21 B22 B23 B24 C5 C6 C7 C8 C9 C10 C11 C12 C13 C14 C15 C16 C17 C18 C19 C20 C21 C22 C23 C24" showDropDown="0" showInputMessage="0" showErrorMessage="0" allowBlank="0" type="list">
      <formula1>"1 - Initial,2 - Managed,3 - Defined,4 - Quantitatively Managed,5 - Optimizing"</formula1>
    </dataValidation>
    <dataValidation sqref="G6 G7 G8 G9 G10 G11 G12 G13 G14 G15 G16 G17 G18 G19 G20 G21 G22 G23 G24 G25 G26 G27 G28 G29 G30 G31 G32 G33 G34 G35 G36 G37 G38 G39 G40 G41 G42 G43 G44 G45 G46 G47 G48 G49 G50 G51 G52 G53 G54 G55" showDropDown="0" showInputMessage="0" showErrorMessage="0" allowBlank="0" type="list">
      <formula1>"Open,In_Progress,Blocked,Resolved,Closed"</formula1>
    </dataValidation>
    <dataValidation sqref="C6 C7 C8 C9 C10 C11 C12 C13 C14 C15 C16 C17 C18 C19 C20 C21 C22 C23 C24 C25 C26 C27 C28 C29 C30 C31 C32 C33 C34 C35 C36 C37 C38 C39 C40 C41 C42 C43 C44 C45 C46 C47 C48 C49 C50 C51 C52 C53 C54 C55" showDropDown="0" showInputMessage="0" showErrorMessage="0" allowBlank="1" type="list">
      <formula1>"TIP,SIEM,Malware_Analysis,OSINT,Collaboration,Visualization,Scripting,Other"</formula1>
    </dataValidation>
    <dataValidation sqref="E6 E7 E8 E9 E10 E11 E12 E13 E14 E15 E16 E17 E18 E19 E20 E21 E22 E23 E24 E25 E26 E27 E28 E29 E30 E31 E32 E33 E34 E35 E36 E37 E38 E39 E40 E41 E42 E43 E44 E45 E46 E47 E48 E49 E50 E51 E52 E53 E54 E55" showDropDown="0" showInputMessage="0" showErrorMessage="0" allowBlank="1" type="list">
      <formula1>"Commercial,Open_Source,Freeware,Internal_Developed"</formula1>
    </dataValidation>
    <dataValidation sqref="J6 J7 J8 J9 J10 J11 J12 J13 J14 J15 J16 J17 J18 J19 J20 J21 J22 J23 J24 J25 J26 J27 J28 J29 J30 J31 J32 J33 J34 J35 J36 J37 J38 J39 J40 J41 J42 J43 J44 J45 J46 J47 J48 J49 J50 J51 J52 J53 J54 J55" showDropDown="0" showInputMessage="0" showErrorMessage="0" allowBlank="1" type="list">
      <formula1>"Yes,No,N/A"</formula1>
    </dataValidation>
    <dataValidation sqref="I6 I7 I8 I9 I10 I11 I12 I13 I14 I15 I16 I17 I18 I19 I20 I21 I22 I23 I24 I25 I26 I27 I28 I29 I30 I31 I32 I33 I34 I35 I36 I37 I38 I39 I40 I41 I42 I43 I44 I45 I46 I47 I48 I49 I50 I51 I52 I53 I54 I55 J6 J7 J8 J9 J10 J11 J12 J13 J14 J15 J16 J17 J18 J19 J20 J21 J22 J23 J24 J25 J26 J27 J28 J29 J30 J31 J32 J33 J34 J35 J36 J37 J38 J39 J40 J41 J42 J43 J44 J45 J46 J47 J48 J49 J50 J51 J52 J53 J54 J55" showDropDown="0" showInputMessage="0" showErrorMessage="0" allowBlank="1" type="list">
      <formula1>"Yes,No,Unknown"</formula1>
    </dataValidation>
    <dataValidation sqref="J6 J7 J8 J9 J10 J11 J12 J13 J14 J15 J16 J17 J18 J19 J20 J21 J22 J23 J24 J25 J26 J27 J28 J29 J30 J31 J32 J33 J34 J35 J36 J37 J38 J39 J40 J41 J42 J43 J44 J45 J46 J47 J48 J49 J50 J51 J52 J53 J54 J55 K6 K7 K8 K9 K10 K11 K12 K13 K14 K15 K16 K17 K18 K19 K20 K21 K22 K23 K24 K25 K26 K27 K28 K29 K30 K31 K32 K33 K34 K35 K36 K37 K38 K39 K40 K41 K42 K43 K44 K45 K46 K47 K48 K49 K50 K51 K52 K53 K54 K55" showDropDown="0" showInputMessage="0" showErrorMessage="0" allowBlank="1" type="list">
      <formula1>"Confirmed,Suspected,No,Unknown"</formula1>
    </dataValidation>
    <dataValidation sqref="K6 K7 K8 K9 K10 K11 K12 K13 K14 K15 K16 K17 K18 K19 K20 K21 K22 K23 K24 K25 K26 K27 K28 K29 K30 K31 K32 K33 K34 K35 K36 K37 K38 K39 K40 K41 K42 K43 K44 K45 K46 K47 K48 K49 K50 K51 K52 K53 K54 K55" showDropDown="0" showInputMessage="0" showErrorMessage="0" allowBlank="1" type="list">
      <formula1>"Espionage,Financial,Disruption,Ideology,Unknown"</formula1>
    </dataValidation>
    <dataValidation sqref="L6 L7 L8 L9 L10 L11 L12 L13 L14 L15 L16 L17 L18 L19 L20 L21 L22 L23 L24 L25 L26 L27 L28 L29 L30 L31 L32 L33 L34 L35 L36 L37 L38 L39 L40 L41 L42 L43 L44 L45 L46 L47 L48 L49 L50 L51 L52 L53 L54 L55" showDropDown="0" showInputMessage="0" showErrorMessage="0" allowBlank="1" type="list">
      <formula1>"Advanced,Moderate,Low"</formula1>
    </dataValidation>
    <dataValidation sqref="G6 G7 G8 G9 G10 G11 G12 G13 G14 G15 G16 G17 G18 G19 G20 G21 G22 G23 G24 G25 G26 G27 G28 G29 G30 G31 G32 G33 G34 G35 G36 G37 G38 G39 G40 G41 G42 G43 G44 G45 G46 G47 G48 G49 G50 G51 G52 G53 G54 G55" showDropDown="0" showInputMessage="0" showErrorMessage="0" allowBlank="1" type="list">
      <formula1>"Active,Concluded,Dormant,Unknown"</formula1>
    </dataValidation>
    <dataValidation sqref="L6 L7 L8 L9 L10 L11 L12 L13 L14 L15 L16 L17 L18 L19 L20 L21 L22 L23 L24 L25 L26 L27 L28 L29 L30 L31 L32 L33 L34 L35 L36 L37 L38 L39 L40 L41 L42 L43 L44 L45 L46 L47 L48 L49 L50 L51 L52 L53 L54 L55" showDropDown="0" showInputMessage="0" showErrorMessage="0" allowBlank="1" type="list">
      <formula1>"Espionage,Data_Theft,Disruption,Ransomware,Credential_Harvesting,Other"</formula1>
    </dataValidation>
    <dataValidation sqref="U6 U7 U8 U9 U10 U11 U12 U13 U14 U15 U16 U17 U18 U19 U20 U21 U22 U23 U24 U25 U26 U27 U28 U29 U30 U31 U32 U33 U34 U35 U36 U37 U38 U39 U40 U41 U42 U43 U44 U45 U46 U47 U48 U49 U50 U51 U52 U53 U54 U55" showDropDown="0" showInputMessage="0" showErrorMessage="0" allowBlank="1" type="list">
      <formula1>"Critical,High,Medium,Low"</formula1>
    </dataValidation>
    <dataValidation sqref="V6 V7 V8 V9 V10 V11 V12 V13 V14 V15 V16 V17 V18 V19 V20 V21 V22 V23 V24 V25 V26 V27 V28 V29 V30 V31 V32 V33 V34 V35 V36 V37 V38 V39 V40 V41 V42 V43 V44 V45 V46 V47 V48 V49 V50 V51 V52 V53 V54 V55" showDropDown="0" showInputMessage="0" showErrorMessage="0" allowBlank="1" type="list">
      <formula1>"Active_Monitoring,Passive_Monitoring,Concluded"</formula1>
    </dataValidation>
    <dataValidation sqref="H6 H7 H8 H9 H10 H11 H12 H13 H14 H15 H16 H17 H18 H19 H20 H21 H22 H23 H24 H25 H26 H27 H28 H29 H30 H31 H32 H33 H34 H35 H36 H37 H38 H39 H40 H41 H42 H43 H44 H45 H46 H47 H48 H49 H50 H51 H52 H53 H54 H55" showDropDown="0" showInputMessage="0" showErrorMessage="0" allowBlank="1" type="list">
      <formula1>"Integrated,Standalone,Planned,Deprecated"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65"/>
  <sheetViews>
    <sheetView showGridLines="0" workbookViewId="0">
      <pane ySplit="3" topLeftCell="A4" activePane="bottomLeft" state="frozen"/>
      <selection pane="bottomLeft" activeCell="A1" sqref="A1"/>
    </sheetView>
  </sheetViews>
  <sheetFormatPr baseColWidth="8" defaultRowHeight="15"/>
  <cols>
    <col width="14" customWidth="1" min="1" max="1"/>
    <col width="20" customWidth="1" min="2" max="2"/>
    <col width="45" customWidth="1" min="3" max="3"/>
    <col width="12" customWidth="1" min="4" max="4"/>
    <col width="25" customWidth="1" min="5" max="5"/>
    <col width="12" customWidth="1" min="6" max="6"/>
    <col width="15" customWidth="1" min="7" max="7"/>
    <col width="16" customWidth="1" min="8" max="8"/>
    <col width="14" customWidth="1" min="9" max="9"/>
    <col width="30" customWidth="1" min="10" max="10"/>
    <col width="35" customWidth="1" min="11" max="11"/>
    <col width="30" customWidth="1" min="12" max="12"/>
  </cols>
  <sheetData>
    <row r="1" ht="35" customHeight="1">
      <c r="A1" s="11" t="inlineStr">
        <is>
          <t>ACTION ITEMS &amp; CAPABILITY IMPROVEMENTS</t>
        </is>
      </c>
    </row>
    <row r="2">
      <c r="A2" s="12" t="inlineStr">
        <is>
          <t>Track actions to address gaps identified in collection coverage, analysis capabilities, and process maturity.</t>
        </is>
      </c>
    </row>
    <row r="4">
      <c r="A4" s="13" t="inlineStr">
        <is>
          <t>Action ID</t>
        </is>
      </c>
      <c r="B4" s="13" t="inlineStr">
        <is>
          <t>Related Sheet</t>
        </is>
      </c>
      <c r="C4" s="13" t="inlineStr">
        <is>
          <t>Issue Description</t>
        </is>
      </c>
      <c r="D4" s="13" t="inlineStr">
        <is>
          <t>Priority</t>
        </is>
      </c>
      <c r="E4" s="13" t="inlineStr">
        <is>
          <t>Assigned To</t>
        </is>
      </c>
      <c r="F4" s="13" t="inlineStr">
        <is>
          <t>Due Date</t>
        </is>
      </c>
      <c r="G4" s="13" t="inlineStr">
        <is>
          <t>Status</t>
        </is>
      </c>
      <c r="H4" s="13" t="inlineStr">
        <is>
          <t>Progress Percentage</t>
        </is>
      </c>
      <c r="I4" s="13" t="inlineStr">
        <is>
          <t>Completion Date</t>
        </is>
      </c>
      <c r="J4" s="13" t="inlineStr">
        <is>
          <t>Outcome</t>
        </is>
      </c>
      <c r="K4" s="13" t="inlineStr">
        <is>
          <t>Lessons Learned</t>
        </is>
      </c>
      <c r="L4" s="13" t="inlineStr">
        <is>
          <t>Notes</t>
        </is>
      </c>
    </row>
    <row r="5">
      <c r="A5" s="14" t="inlineStr">
        <is>
          <t>ACT-572-EXX</t>
        </is>
      </c>
      <c r="B5" s="14" t="inlineStr">
        <is>
          <t>Intelligence Requirements</t>
        </is>
      </c>
      <c r="C5" s="14" t="inlineStr">
        <is>
          <t>PIR coverage gap: no intelligence source for ICS/SCADA sector threats</t>
        </is>
      </c>
      <c r="D5" s="14" t="inlineStr">
        <is>
          <t>High</t>
        </is>
      </c>
      <c r="E5" s="14" t="inlineStr">
        <is>
          <t>J. Smith</t>
        </is>
      </c>
      <c r="F5" s="14" t="inlineStr">
        <is>
          <t>30.06.2026</t>
        </is>
      </c>
      <c r="G5" s="14" t="inlineStr">
        <is>
          <t>Open</t>
        </is>
      </c>
      <c r="H5" s="14" t="n"/>
      <c r="I5" s="14" t="n"/>
      <c r="J5" s="14" t="n"/>
      <c r="K5" s="14" t="n"/>
      <c r="L5" s="14" t="n"/>
    </row>
    <row r="6">
      <c r="A6" s="15" t="n"/>
      <c r="B6" s="22" t="n"/>
      <c r="C6" s="22" t="n"/>
      <c r="D6" s="22" t="n"/>
      <c r="E6" s="22" t="n"/>
      <c r="F6" s="20" t="n"/>
      <c r="G6" s="22" t="n"/>
      <c r="H6" s="24" t="n"/>
      <c r="I6" s="20" t="n"/>
      <c r="J6" s="22" t="n"/>
      <c r="K6" s="22" t="n"/>
      <c r="L6" s="22" t="n"/>
    </row>
    <row r="7">
      <c r="A7" s="15" t="n"/>
      <c r="B7" s="22" t="n"/>
      <c r="C7" s="22" t="n"/>
      <c r="D7" s="22" t="n"/>
      <c r="E7" s="22" t="n"/>
      <c r="F7" s="20" t="n"/>
      <c r="G7" s="22" t="n"/>
      <c r="H7" s="24" t="n"/>
      <c r="I7" s="20" t="n"/>
      <c r="J7" s="22" t="n"/>
      <c r="K7" s="22" t="n"/>
      <c r="L7" s="22" t="n"/>
    </row>
    <row r="8">
      <c r="A8" s="15" t="n"/>
      <c r="B8" s="22" t="n"/>
      <c r="C8" s="22" t="n"/>
      <c r="D8" s="22" t="n"/>
      <c r="E8" s="22" t="n"/>
      <c r="F8" s="20" t="n"/>
      <c r="G8" s="22" t="n"/>
      <c r="H8" s="24" t="n"/>
      <c r="I8" s="20" t="n"/>
      <c r="J8" s="22" t="n"/>
      <c r="K8" s="22" t="n"/>
      <c r="L8" s="22" t="n"/>
    </row>
    <row r="9">
      <c r="A9" s="15" t="n"/>
      <c r="B9" s="22" t="n"/>
      <c r="C9" s="22" t="n"/>
      <c r="D9" s="22" t="n"/>
      <c r="E9" s="22" t="n"/>
      <c r="F9" s="20" t="n"/>
      <c r="G9" s="22" t="n"/>
      <c r="H9" s="24" t="n"/>
      <c r="I9" s="20" t="n"/>
      <c r="J9" s="22" t="n"/>
      <c r="K9" s="22" t="n"/>
      <c r="L9" s="22" t="n"/>
    </row>
    <row r="10">
      <c r="A10" s="15" t="n"/>
      <c r="B10" s="22" t="n"/>
      <c r="C10" s="22" t="n"/>
      <c r="D10" s="22" t="n"/>
      <c r="E10" s="22" t="n"/>
      <c r="F10" s="20" t="n"/>
      <c r="G10" s="22" t="n"/>
      <c r="H10" s="24" t="n"/>
      <c r="I10" s="20" t="n"/>
      <c r="J10" s="22" t="n"/>
      <c r="K10" s="22" t="n"/>
      <c r="L10" s="22" t="n"/>
    </row>
    <row r="11">
      <c r="A11" s="15" t="n"/>
      <c r="B11" s="22" t="n"/>
      <c r="C11" s="22" t="n"/>
      <c r="D11" s="22" t="n"/>
      <c r="E11" s="22" t="n"/>
      <c r="F11" s="20" t="n"/>
      <c r="G11" s="22" t="n"/>
      <c r="H11" s="24" t="n"/>
      <c r="I11" s="20" t="n"/>
      <c r="J11" s="22" t="n"/>
      <c r="K11" s="22" t="n"/>
      <c r="L11" s="22" t="n"/>
    </row>
    <row r="12">
      <c r="A12" s="15" t="n"/>
      <c r="B12" s="22" t="n"/>
      <c r="C12" s="22" t="n"/>
      <c r="D12" s="22" t="n"/>
      <c r="E12" s="22" t="n"/>
      <c r="F12" s="20" t="n"/>
      <c r="G12" s="22" t="n"/>
      <c r="H12" s="24" t="n"/>
      <c r="I12" s="20" t="n"/>
      <c r="J12" s="22" t="n"/>
      <c r="K12" s="22" t="n"/>
      <c r="L12" s="22" t="n"/>
    </row>
    <row r="13">
      <c r="A13" s="15" t="n"/>
      <c r="B13" s="22" t="n"/>
      <c r="C13" s="22" t="n"/>
      <c r="D13" s="22" t="n"/>
      <c r="E13" s="22" t="n"/>
      <c r="F13" s="20" t="n"/>
      <c r="G13" s="22" t="n"/>
      <c r="H13" s="24" t="n"/>
      <c r="I13" s="20" t="n"/>
      <c r="J13" s="22" t="n"/>
      <c r="K13" s="22" t="n"/>
      <c r="L13" s="22" t="n"/>
    </row>
    <row r="14">
      <c r="A14" s="15" t="n"/>
      <c r="B14" s="22" t="n"/>
      <c r="C14" s="22" t="n"/>
      <c r="D14" s="22" t="n"/>
      <c r="E14" s="22" t="n"/>
      <c r="F14" s="20" t="n"/>
      <c r="G14" s="22" t="n"/>
      <c r="H14" s="24" t="n"/>
      <c r="I14" s="20" t="n"/>
      <c r="J14" s="22" t="n"/>
      <c r="K14" s="22" t="n"/>
      <c r="L14" s="22" t="n"/>
    </row>
    <row r="15">
      <c r="A15" s="15" t="n"/>
      <c r="B15" s="22" t="n"/>
      <c r="C15" s="22" t="n"/>
      <c r="D15" s="22" t="n"/>
      <c r="E15" s="22" t="n"/>
      <c r="F15" s="20" t="n"/>
      <c r="G15" s="22" t="n"/>
      <c r="H15" s="24" t="n"/>
      <c r="I15" s="20" t="n"/>
      <c r="J15" s="22" t="n"/>
      <c r="K15" s="22" t="n"/>
      <c r="L15" s="22" t="n"/>
    </row>
    <row r="16">
      <c r="A16" s="15" t="n"/>
      <c r="B16" s="22" t="n"/>
      <c r="C16" s="22" t="n"/>
      <c r="D16" s="22" t="n"/>
      <c r="E16" s="22" t="n"/>
      <c r="F16" s="20" t="n"/>
      <c r="G16" s="22" t="n"/>
      <c r="H16" s="24" t="n"/>
      <c r="I16" s="20" t="n"/>
      <c r="J16" s="22" t="n"/>
      <c r="K16" s="22" t="n"/>
      <c r="L16" s="22" t="n"/>
    </row>
    <row r="17">
      <c r="A17" s="15" t="n"/>
      <c r="B17" s="22" t="n"/>
      <c r="C17" s="22" t="n"/>
      <c r="D17" s="22" t="n"/>
      <c r="E17" s="22" t="n"/>
      <c r="F17" s="20" t="n"/>
      <c r="G17" s="22" t="n"/>
      <c r="H17" s="24" t="n"/>
      <c r="I17" s="20" t="n"/>
      <c r="J17" s="22" t="n"/>
      <c r="K17" s="22" t="n"/>
      <c r="L17" s="22" t="n"/>
    </row>
    <row r="18">
      <c r="A18" s="15" t="n"/>
      <c r="B18" s="22" t="n"/>
      <c r="C18" s="22" t="n"/>
      <c r="D18" s="22" t="n"/>
      <c r="E18" s="22" t="n"/>
      <c r="F18" s="20" t="n"/>
      <c r="G18" s="22" t="n"/>
      <c r="H18" s="24" t="n"/>
      <c r="I18" s="20" t="n"/>
      <c r="J18" s="22" t="n"/>
      <c r="K18" s="22" t="n"/>
      <c r="L18" s="22" t="n"/>
    </row>
    <row r="19">
      <c r="A19" s="15" t="n"/>
      <c r="B19" s="22" t="n"/>
      <c r="C19" s="22" t="n"/>
      <c r="D19" s="22" t="n"/>
      <c r="E19" s="22" t="n"/>
      <c r="F19" s="20" t="n"/>
      <c r="G19" s="22" t="n"/>
      <c r="H19" s="24" t="n"/>
      <c r="I19" s="20" t="n"/>
      <c r="J19" s="22" t="n"/>
      <c r="K19" s="22" t="n"/>
      <c r="L19" s="22" t="n"/>
    </row>
    <row r="20">
      <c r="A20" s="15" t="n"/>
      <c r="B20" s="22" t="n"/>
      <c r="C20" s="22" t="n"/>
      <c r="D20" s="22" t="n"/>
      <c r="E20" s="22" t="n"/>
      <c r="F20" s="20" t="n"/>
      <c r="G20" s="22" t="n"/>
      <c r="H20" s="24" t="n"/>
      <c r="I20" s="20" t="n"/>
      <c r="J20" s="22" t="n"/>
      <c r="K20" s="22" t="n"/>
      <c r="L20" s="22" t="n"/>
    </row>
    <row r="21">
      <c r="A21" s="15" t="n"/>
      <c r="B21" s="22" t="n"/>
      <c r="C21" s="22" t="n"/>
      <c r="D21" s="22" t="n"/>
      <c r="E21" s="22" t="n"/>
      <c r="F21" s="20" t="n"/>
      <c r="G21" s="22" t="n"/>
      <c r="H21" s="24" t="n"/>
      <c r="I21" s="20" t="n"/>
      <c r="J21" s="22" t="n"/>
      <c r="K21" s="22" t="n"/>
      <c r="L21" s="22" t="n"/>
    </row>
    <row r="22">
      <c r="A22" s="15" t="n"/>
      <c r="B22" s="22" t="n"/>
      <c r="C22" s="22" t="n"/>
      <c r="D22" s="22" t="n"/>
      <c r="E22" s="22" t="n"/>
      <c r="F22" s="20" t="n"/>
      <c r="G22" s="22" t="n"/>
      <c r="H22" s="24" t="n"/>
      <c r="I22" s="20" t="n"/>
      <c r="J22" s="22" t="n"/>
      <c r="K22" s="22" t="n"/>
      <c r="L22" s="22" t="n"/>
    </row>
    <row r="23">
      <c r="A23" s="15" t="n"/>
      <c r="B23" s="22" t="n"/>
      <c r="C23" s="22" t="n"/>
      <c r="D23" s="22" t="n"/>
      <c r="E23" s="22" t="n"/>
      <c r="F23" s="20" t="n"/>
      <c r="G23" s="22" t="n"/>
      <c r="H23" s="24" t="n"/>
      <c r="I23" s="20" t="n"/>
      <c r="J23" s="22" t="n"/>
      <c r="K23" s="22" t="n"/>
      <c r="L23" s="22" t="n"/>
    </row>
    <row r="24">
      <c r="A24" s="15" t="n"/>
      <c r="B24" s="22" t="n"/>
      <c r="C24" s="22" t="n"/>
      <c r="D24" s="22" t="n"/>
      <c r="E24" s="22" t="n"/>
      <c r="F24" s="20" t="n"/>
      <c r="G24" s="22" t="n"/>
      <c r="H24" s="24" t="n"/>
      <c r="I24" s="20" t="n"/>
      <c r="J24" s="22" t="n"/>
      <c r="K24" s="22" t="n"/>
      <c r="L24" s="22" t="n"/>
    </row>
    <row r="25">
      <c r="A25" s="15" t="n"/>
      <c r="B25" s="22" t="n"/>
      <c r="C25" s="22" t="n"/>
      <c r="D25" s="22" t="n"/>
      <c r="E25" s="22" t="n"/>
      <c r="F25" s="20" t="n"/>
      <c r="G25" s="22" t="n"/>
      <c r="H25" s="24" t="n"/>
      <c r="I25" s="20" t="n"/>
      <c r="J25" s="22" t="n"/>
      <c r="K25" s="22" t="n"/>
      <c r="L25" s="22" t="n"/>
    </row>
    <row r="26">
      <c r="A26" s="15" t="n"/>
      <c r="B26" s="22" t="n"/>
      <c r="C26" s="22" t="n"/>
      <c r="D26" s="22" t="n"/>
      <c r="E26" s="22" t="n"/>
      <c r="F26" s="20" t="n"/>
      <c r="G26" s="22" t="n"/>
      <c r="H26" s="24" t="n"/>
      <c r="I26" s="20" t="n"/>
      <c r="J26" s="22" t="n"/>
      <c r="K26" s="22" t="n"/>
      <c r="L26" s="22" t="n"/>
    </row>
    <row r="27">
      <c r="A27" s="15" t="n"/>
      <c r="B27" s="22" t="n"/>
      <c r="C27" s="22" t="n"/>
      <c r="D27" s="22" t="n"/>
      <c r="E27" s="22" t="n"/>
      <c r="F27" s="20" t="n"/>
      <c r="G27" s="22" t="n"/>
      <c r="H27" s="24" t="n"/>
      <c r="I27" s="20" t="n"/>
      <c r="J27" s="22" t="n"/>
      <c r="K27" s="22" t="n"/>
      <c r="L27" s="22" t="n"/>
    </row>
    <row r="28">
      <c r="A28" s="15" t="n"/>
      <c r="B28" s="22" t="n"/>
      <c r="C28" s="22" t="n"/>
      <c r="D28" s="22" t="n"/>
      <c r="E28" s="22" t="n"/>
      <c r="F28" s="20" t="n"/>
      <c r="G28" s="22" t="n"/>
      <c r="H28" s="24" t="n"/>
      <c r="I28" s="20" t="n"/>
      <c r="J28" s="22" t="n"/>
      <c r="K28" s="22" t="n"/>
      <c r="L28" s="22" t="n"/>
    </row>
    <row r="29">
      <c r="A29" s="15" t="n"/>
      <c r="B29" s="22" t="n"/>
      <c r="C29" s="22" t="n"/>
      <c r="D29" s="22" t="n"/>
      <c r="E29" s="22" t="n"/>
      <c r="F29" s="20" t="n"/>
      <c r="G29" s="22" t="n"/>
      <c r="H29" s="24" t="n"/>
      <c r="I29" s="20" t="n"/>
      <c r="J29" s="22" t="n"/>
      <c r="K29" s="22" t="n"/>
      <c r="L29" s="22" t="n"/>
    </row>
    <row r="30">
      <c r="A30" s="15" t="n"/>
      <c r="B30" s="22" t="n"/>
      <c r="C30" s="22" t="n"/>
      <c r="D30" s="22" t="n"/>
      <c r="E30" s="22" t="n"/>
      <c r="F30" s="20" t="n"/>
      <c r="G30" s="22" t="n"/>
      <c r="H30" s="24" t="n"/>
      <c r="I30" s="20" t="n"/>
      <c r="J30" s="22" t="n"/>
      <c r="K30" s="22" t="n"/>
      <c r="L30" s="22" t="n"/>
    </row>
    <row r="31">
      <c r="A31" s="15" t="n"/>
      <c r="B31" s="22" t="n"/>
      <c r="C31" s="22" t="n"/>
      <c r="D31" s="22" t="n"/>
      <c r="E31" s="22" t="n"/>
      <c r="F31" s="20" t="n"/>
      <c r="G31" s="22" t="n"/>
      <c r="H31" s="24" t="n"/>
      <c r="I31" s="20" t="n"/>
      <c r="J31" s="22" t="n"/>
      <c r="K31" s="22" t="n"/>
      <c r="L31" s="22" t="n"/>
    </row>
    <row r="32">
      <c r="A32" s="15" t="n"/>
      <c r="B32" s="22" t="n"/>
      <c r="C32" s="22" t="n"/>
      <c r="D32" s="22" t="n"/>
      <c r="E32" s="22" t="n"/>
      <c r="F32" s="20" t="n"/>
      <c r="G32" s="22" t="n"/>
      <c r="H32" s="24" t="n"/>
      <c r="I32" s="20" t="n"/>
      <c r="J32" s="22" t="n"/>
      <c r="K32" s="22" t="n"/>
      <c r="L32" s="22" t="n"/>
    </row>
    <row r="33">
      <c r="A33" s="15" t="n"/>
      <c r="B33" s="22" t="n"/>
      <c r="C33" s="22" t="n"/>
      <c r="D33" s="22" t="n"/>
      <c r="E33" s="22" t="n"/>
      <c r="F33" s="20" t="n"/>
      <c r="G33" s="22" t="n"/>
      <c r="H33" s="24" t="n"/>
      <c r="I33" s="20" t="n"/>
      <c r="J33" s="22" t="n"/>
      <c r="K33" s="22" t="n"/>
      <c r="L33" s="22" t="n"/>
    </row>
    <row r="34">
      <c r="A34" s="15" t="n"/>
      <c r="B34" s="22" t="n"/>
      <c r="C34" s="22" t="n"/>
      <c r="D34" s="22" t="n"/>
      <c r="E34" s="22" t="n"/>
      <c r="F34" s="20" t="n"/>
      <c r="G34" s="22" t="n"/>
      <c r="H34" s="24" t="n"/>
      <c r="I34" s="20" t="n"/>
      <c r="J34" s="22" t="n"/>
      <c r="K34" s="22" t="n"/>
      <c r="L34" s="22" t="n"/>
    </row>
    <row r="35">
      <c r="A35" s="15" t="n"/>
      <c r="B35" s="22" t="n"/>
      <c r="C35" s="22" t="n"/>
      <c r="D35" s="22" t="n"/>
      <c r="E35" s="22" t="n"/>
      <c r="F35" s="20" t="n"/>
      <c r="G35" s="22" t="n"/>
      <c r="H35" s="24" t="n"/>
      <c r="I35" s="20" t="n"/>
      <c r="J35" s="22" t="n"/>
      <c r="K35" s="22" t="n"/>
      <c r="L35" s="22" t="n"/>
    </row>
    <row r="36">
      <c r="A36" s="15" t="n"/>
      <c r="B36" s="22" t="n"/>
      <c r="C36" s="22" t="n"/>
      <c r="D36" s="22" t="n"/>
      <c r="E36" s="22" t="n"/>
      <c r="F36" s="20" t="n"/>
      <c r="G36" s="22" t="n"/>
      <c r="H36" s="24" t="n"/>
      <c r="I36" s="20" t="n"/>
      <c r="J36" s="22" t="n"/>
      <c r="K36" s="22" t="n"/>
      <c r="L36" s="22" t="n"/>
    </row>
    <row r="37">
      <c r="A37" s="15" t="n"/>
      <c r="B37" s="22" t="n"/>
      <c r="C37" s="22" t="n"/>
      <c r="D37" s="22" t="n"/>
      <c r="E37" s="22" t="n"/>
      <c r="F37" s="20" t="n"/>
      <c r="G37" s="22" t="n"/>
      <c r="H37" s="24" t="n"/>
      <c r="I37" s="20" t="n"/>
      <c r="J37" s="22" t="n"/>
      <c r="K37" s="22" t="n"/>
      <c r="L37" s="22" t="n"/>
    </row>
    <row r="38">
      <c r="A38" s="15" t="n"/>
      <c r="B38" s="22" t="n"/>
      <c r="C38" s="22" t="n"/>
      <c r="D38" s="22" t="n"/>
      <c r="E38" s="22" t="n"/>
      <c r="F38" s="20" t="n"/>
      <c r="G38" s="22" t="n"/>
      <c r="H38" s="24" t="n"/>
      <c r="I38" s="20" t="n"/>
      <c r="J38" s="22" t="n"/>
      <c r="K38" s="22" t="n"/>
      <c r="L38" s="22" t="n"/>
    </row>
    <row r="39">
      <c r="A39" s="15" t="n"/>
      <c r="B39" s="22" t="n"/>
      <c r="C39" s="22" t="n"/>
      <c r="D39" s="22" t="n"/>
      <c r="E39" s="22" t="n"/>
      <c r="F39" s="20" t="n"/>
      <c r="G39" s="22" t="n"/>
      <c r="H39" s="24" t="n"/>
      <c r="I39" s="20" t="n"/>
      <c r="J39" s="22" t="n"/>
      <c r="K39" s="22" t="n"/>
      <c r="L39" s="22" t="n"/>
    </row>
    <row r="40">
      <c r="A40" s="15" t="n"/>
      <c r="B40" s="22" t="n"/>
      <c r="C40" s="22" t="n"/>
      <c r="D40" s="22" t="n"/>
      <c r="E40" s="22" t="n"/>
      <c r="F40" s="20" t="n"/>
      <c r="G40" s="22" t="n"/>
      <c r="H40" s="24" t="n"/>
      <c r="I40" s="20" t="n"/>
      <c r="J40" s="22" t="n"/>
      <c r="K40" s="22" t="n"/>
      <c r="L40" s="22" t="n"/>
    </row>
    <row r="41">
      <c r="A41" s="15" t="n"/>
      <c r="B41" s="22" t="n"/>
      <c r="C41" s="22" t="n"/>
      <c r="D41" s="22" t="n"/>
      <c r="E41" s="22" t="n"/>
      <c r="F41" s="20" t="n"/>
      <c r="G41" s="22" t="n"/>
      <c r="H41" s="24" t="n"/>
      <c r="I41" s="20" t="n"/>
      <c r="J41" s="22" t="n"/>
      <c r="K41" s="22" t="n"/>
      <c r="L41" s="22" t="n"/>
    </row>
    <row r="42">
      <c r="A42" s="15" t="n"/>
      <c r="B42" s="22" t="n"/>
      <c r="C42" s="22" t="n"/>
      <c r="D42" s="22" t="n"/>
      <c r="E42" s="22" t="n"/>
      <c r="F42" s="20" t="n"/>
      <c r="G42" s="22" t="n"/>
      <c r="H42" s="24" t="n"/>
      <c r="I42" s="20" t="n"/>
      <c r="J42" s="22" t="n"/>
      <c r="K42" s="22" t="n"/>
      <c r="L42" s="22" t="n"/>
    </row>
    <row r="43">
      <c r="A43" s="15" t="n"/>
      <c r="B43" s="22" t="n"/>
      <c r="C43" s="22" t="n"/>
      <c r="D43" s="22" t="n"/>
      <c r="E43" s="22" t="n"/>
      <c r="F43" s="20" t="n"/>
      <c r="G43" s="22" t="n"/>
      <c r="H43" s="24" t="n"/>
      <c r="I43" s="20" t="n"/>
      <c r="J43" s="22" t="n"/>
      <c r="K43" s="22" t="n"/>
      <c r="L43" s="22" t="n"/>
    </row>
    <row r="44">
      <c r="A44" s="15" t="n"/>
      <c r="B44" s="22" t="n"/>
      <c r="C44" s="22" t="n"/>
      <c r="D44" s="22" t="n"/>
      <c r="E44" s="22" t="n"/>
      <c r="F44" s="20" t="n"/>
      <c r="G44" s="22" t="n"/>
      <c r="H44" s="24" t="n"/>
      <c r="I44" s="20" t="n"/>
      <c r="J44" s="22" t="n"/>
      <c r="K44" s="22" t="n"/>
      <c r="L44" s="22" t="n"/>
    </row>
    <row r="45">
      <c r="A45" s="15" t="n"/>
      <c r="B45" s="22" t="n"/>
      <c r="C45" s="22" t="n"/>
      <c r="D45" s="22" t="n"/>
      <c r="E45" s="22" t="n"/>
      <c r="F45" s="20" t="n"/>
      <c r="G45" s="22" t="n"/>
      <c r="H45" s="24" t="n"/>
      <c r="I45" s="20" t="n"/>
      <c r="J45" s="22" t="n"/>
      <c r="K45" s="22" t="n"/>
      <c r="L45" s="22" t="n"/>
    </row>
    <row r="46">
      <c r="A46" s="15" t="n"/>
      <c r="B46" s="22" t="n"/>
      <c r="C46" s="22" t="n"/>
      <c r="D46" s="22" t="n"/>
      <c r="E46" s="22" t="n"/>
      <c r="F46" s="20" t="n"/>
      <c r="G46" s="22" t="n"/>
      <c r="H46" s="24" t="n"/>
      <c r="I46" s="20" t="n"/>
      <c r="J46" s="22" t="n"/>
      <c r="K46" s="22" t="n"/>
      <c r="L46" s="22" t="n"/>
    </row>
    <row r="47">
      <c r="A47" s="15" t="n"/>
      <c r="B47" s="22" t="n"/>
      <c r="C47" s="22" t="n"/>
      <c r="D47" s="22" t="n"/>
      <c r="E47" s="22" t="n"/>
      <c r="F47" s="20" t="n"/>
      <c r="G47" s="22" t="n"/>
      <c r="H47" s="24" t="n"/>
      <c r="I47" s="20" t="n"/>
      <c r="J47" s="22" t="n"/>
      <c r="K47" s="22" t="n"/>
      <c r="L47" s="22" t="n"/>
    </row>
    <row r="48">
      <c r="A48" s="15" t="n"/>
      <c r="B48" s="22" t="n"/>
      <c r="C48" s="22" t="n"/>
      <c r="D48" s="22" t="n"/>
      <c r="E48" s="22" t="n"/>
      <c r="F48" s="20" t="n"/>
      <c r="G48" s="22" t="n"/>
      <c r="H48" s="24" t="n"/>
      <c r="I48" s="20" t="n"/>
      <c r="J48" s="22" t="n"/>
      <c r="K48" s="22" t="n"/>
      <c r="L48" s="22" t="n"/>
    </row>
    <row r="49">
      <c r="A49" s="15" t="n"/>
      <c r="B49" s="22" t="n"/>
      <c r="C49" s="22" t="n"/>
      <c r="D49" s="22" t="n"/>
      <c r="E49" s="22" t="n"/>
      <c r="F49" s="20" t="n"/>
      <c r="G49" s="22" t="n"/>
      <c r="H49" s="24" t="n"/>
      <c r="I49" s="20" t="n"/>
      <c r="J49" s="22" t="n"/>
      <c r="K49" s="22" t="n"/>
      <c r="L49" s="22" t="n"/>
    </row>
    <row r="50">
      <c r="A50" s="15" t="n"/>
      <c r="B50" s="22" t="n"/>
      <c r="C50" s="22" t="n"/>
      <c r="D50" s="22" t="n"/>
      <c r="E50" s="22" t="n"/>
      <c r="F50" s="20" t="n"/>
      <c r="G50" s="22" t="n"/>
      <c r="H50" s="24" t="n"/>
      <c r="I50" s="20" t="n"/>
      <c r="J50" s="22" t="n"/>
      <c r="K50" s="22" t="n"/>
      <c r="L50" s="22" t="n"/>
    </row>
    <row r="51">
      <c r="A51" s="15" t="n"/>
      <c r="B51" s="22" t="n"/>
      <c r="C51" s="22" t="n"/>
      <c r="D51" s="22" t="n"/>
      <c r="E51" s="22" t="n"/>
      <c r="F51" s="20" t="n"/>
      <c r="G51" s="22" t="n"/>
      <c r="H51" s="24" t="n"/>
      <c r="I51" s="20" t="n"/>
      <c r="J51" s="22" t="n"/>
      <c r="K51" s="22" t="n"/>
      <c r="L51" s="22" t="n"/>
    </row>
    <row r="52">
      <c r="A52" s="15" t="n"/>
      <c r="B52" s="22" t="n"/>
      <c r="C52" s="22" t="n"/>
      <c r="D52" s="22" t="n"/>
      <c r="E52" s="22" t="n"/>
      <c r="F52" s="20" t="n"/>
      <c r="G52" s="22" t="n"/>
      <c r="H52" s="24" t="n"/>
      <c r="I52" s="20" t="n"/>
      <c r="J52" s="22" t="n"/>
      <c r="K52" s="22" t="n"/>
      <c r="L52" s="22" t="n"/>
    </row>
    <row r="53">
      <c r="A53" s="15" t="n"/>
      <c r="B53" s="22" t="n"/>
      <c r="C53" s="22" t="n"/>
      <c r="D53" s="22" t="n"/>
      <c r="E53" s="22" t="n"/>
      <c r="F53" s="20" t="n"/>
      <c r="G53" s="22" t="n"/>
      <c r="H53" s="24" t="n"/>
      <c r="I53" s="20" t="n"/>
      <c r="J53" s="22" t="n"/>
      <c r="K53" s="22" t="n"/>
      <c r="L53" s="22" t="n"/>
    </row>
    <row r="54">
      <c r="A54" s="15" t="n"/>
      <c r="B54" s="22" t="n"/>
      <c r="C54" s="22" t="n"/>
      <c r="D54" s="22" t="n"/>
      <c r="E54" s="22" t="n"/>
      <c r="F54" s="20" t="n"/>
      <c r="G54" s="22" t="n"/>
      <c r="H54" s="24" t="n"/>
      <c r="I54" s="20" t="n"/>
      <c r="J54" s="22" t="n"/>
      <c r="K54" s="22" t="n"/>
      <c r="L54" s="22" t="n"/>
    </row>
    <row r="55">
      <c r="A55" s="15" t="n"/>
      <c r="B55" s="22" t="n"/>
      <c r="C55" s="22" t="n"/>
      <c r="D55" s="22" t="n"/>
      <c r="E55" s="22" t="n"/>
      <c r="F55" s="20" t="n"/>
      <c r="G55" s="22" t="n"/>
      <c r="H55" s="24" t="n"/>
      <c r="I55" s="20" t="n"/>
      <c r="J55" s="22" t="n"/>
      <c r="K55" s="22" t="n"/>
      <c r="L55" s="22" t="n"/>
    </row>
    <row r="57">
      <c r="A57" s="17" t="inlineStr">
        <is>
          <t>ACTION ITEMS SUMMARY</t>
        </is>
      </c>
    </row>
    <row r="58">
      <c r="A58" s="18" t="inlineStr">
        <is>
          <t>Total Actions:</t>
        </is>
      </c>
      <c r="B58" s="18">
        <f>COUNTA(C6:C55)</f>
        <v/>
      </c>
    </row>
    <row r="59">
      <c r="A59" s="18" t="inlineStr">
        <is>
          <t>Critical Priority:</t>
        </is>
      </c>
      <c r="B59" s="18">
        <f>COUNTIF(D6:D55,"Critical")</f>
        <v/>
      </c>
    </row>
    <row r="60">
      <c r="A60" s="18" t="inlineStr">
        <is>
          <t>High Priority:</t>
        </is>
      </c>
      <c r="B60" s="18">
        <f>COUNTIF(D6:D55,"High")</f>
        <v/>
      </c>
    </row>
    <row r="61">
      <c r="A61" s="18" t="inlineStr">
        <is>
          <t>Open:</t>
        </is>
      </c>
      <c r="B61" s="18">
        <f>COUNTIF(G6:G55,"Open")</f>
        <v/>
      </c>
    </row>
    <row r="62">
      <c r="A62" s="18" t="inlineStr">
        <is>
          <t>In Progress:</t>
        </is>
      </c>
      <c r="B62" s="18">
        <f>COUNTIF(G6:G55,"In_Progress")</f>
        <v/>
      </c>
    </row>
    <row r="63">
      <c r="A63" s="18" t="inlineStr">
        <is>
          <t>Blocked:</t>
        </is>
      </c>
      <c r="B63" s="18">
        <f>COUNTIF(G6:G55,"Blocked")</f>
        <v/>
      </c>
    </row>
    <row r="64">
      <c r="A64" s="18" t="inlineStr">
        <is>
          <t>Resolved:</t>
        </is>
      </c>
      <c r="B64" s="18">
        <f>COUNTIF(G6:G55,"Resolved")</f>
        <v/>
      </c>
    </row>
    <row r="65">
      <c r="A65" s="18" t="inlineStr">
        <is>
          <t>Closed:</t>
        </is>
      </c>
      <c r="B65" s="18">
        <f>COUNTIF(G6:G55,"Closed")</f>
        <v/>
      </c>
    </row>
  </sheetData>
  <mergeCells count="3">
    <mergeCell ref="A2:L2"/>
    <mergeCell ref="A57:D57"/>
    <mergeCell ref="A1:L1"/>
  </mergeCells>
  <conditionalFormatting sqref="D6:D55">
    <cfRule type="cellIs" priority="1" operator="equal" dxfId="0">
      <formula>"Critical"</formula>
    </cfRule>
  </conditionalFormatting>
  <conditionalFormatting sqref="G6:G55">
    <cfRule type="cellIs" priority="2" operator="equal" dxfId="2">
      <formula>"Closed"</formula>
    </cfRule>
    <cfRule type="cellIs" priority="3" operator="equal" dxfId="0">
      <formula>"Blocked"</formula>
    </cfRule>
  </conditionalFormatting>
  <dataValidations count="2">
    <dataValidation sqref="D6 D7 D8 D9 D10 D11 D12 D13 D14 D15 D16 D17 D18 D19 D20 D21 D22 D23 D24 D25 D26 D27 D28 D29 D30 D31 D32 D33 D34 D35 D36 D37 D38 D39 D40 D41 D42 D43 D44 D45 D46 D47 D48 D49 D50 D51 D52 D53 D54 D55 E6 E7 E8 E9 E10 E11 E12 E13 E14 E15 E16 E17 E18 E19 E20 E21 E22 E23 E24 E25 E26 E27 E28 E29 E30 E31 E32 E33 E34 E35 E36 E37 E38 E39 E40 E41 E42 E43 E44 E45 E46 E47 E48 E49 E50 E51 E52 E53 E54 E55 H6 H7 H8 H9 H10 H11 H12 H13 H14 H15 H16 H17 H18 H19 H20 H21 H22 H23 H24 H25 H26 H27 H28 H29 H30 H31 H32 H33 H34 H35 H36 H37 H38 H39 H40 H41 H42 H43 H44 H45 H46 H47 H48 H49 H50 H51 H52 H53 H54 H55" showDropDown="0" showInputMessage="0" showErrorMessage="0" allowBlank="0" type="list">
      <formula1>"Critical,High,Medium,Low"</formula1>
    </dataValidation>
    <dataValidation sqref="G6 G7 G8 G9 G10 G11 G12 G13 G14 G15 G16 G17 G18 G19 G20 G21 G22 G23 G24 G25 G26 G27 G28 G29 G30 G31 G32 G33 G34 G35 G36 G37 G38 G39 G40 G41 G42 G43 G44 G45 G46 G47 G48 G49 G50 G51 G52 G53 G54 G55" showDropDown="0" showInputMessage="0" showErrorMessage="0" allowBlank="0" type="list">
      <formula1>"Open,In_Progress,Blocked,Resolved,Closed"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P55"/>
  <sheetViews>
    <sheetView showGridLines="0" workbookViewId="0">
      <pane ySplit="3" topLeftCell="A4" activePane="bottomLeft" state="frozen"/>
      <selection pane="bottomLeft" activeCell="A1" sqref="A1"/>
    </sheetView>
  </sheetViews>
  <sheetFormatPr baseColWidth="8" defaultRowHeight="15"/>
  <cols>
    <col width="12" customWidth="1" min="1" max="1"/>
    <col width="25" customWidth="1" min="2" max="2"/>
    <col width="18" customWidth="1" min="3" max="3"/>
    <col width="20" customWidth="1" min="4" max="4"/>
    <col width="16" customWidth="1" min="5" max="5"/>
    <col width="20" customWidth="1" min="6" max="6"/>
    <col width="35" customWidth="1" min="7" max="7"/>
    <col width="18" customWidth="1" min="8" max="8"/>
    <col width="25" customWidth="1" min="9" max="9"/>
    <col width="14" customWidth="1" min="10" max="10"/>
    <col width="12" customWidth="1" min="11" max="11"/>
    <col width="12" customWidth="1" min="12" max="12"/>
    <col width="16" customWidth="1" min="13" max="13"/>
    <col width="16" customWidth="1" min="14" max="14"/>
    <col width="12" customWidth="1" min="15" max="15"/>
    <col width="40" customWidth="1" min="16" max="16"/>
  </cols>
  <sheetData>
    <row r="1" ht="35" customHeight="1">
      <c r="A1" s="11" t="inlineStr">
        <is>
          <t>ANALYSIS TOOLS &amp; PLATFORMS (V1.0)</t>
        </is>
      </c>
    </row>
    <row r="2">
      <c r="A2" s="12" t="inlineStr">
        <is>
          <t>Document all threat intelligence analysis tools. Track CVSS support capability for v1.0 integration.</t>
        </is>
      </c>
    </row>
    <row r="4">
      <c r="A4" s="13" t="inlineStr">
        <is>
          <t>Tool ID</t>
        </is>
      </c>
      <c r="B4" s="13" t="inlineStr">
        <is>
          <t>Tool Name</t>
        </is>
      </c>
      <c r="C4" s="13" t="inlineStr">
        <is>
          <t>Tool Category</t>
        </is>
      </c>
      <c r="D4" s="13" t="inlineStr">
        <is>
          <t>Vendor</t>
        </is>
      </c>
      <c r="E4" s="13" t="inlineStr">
        <is>
          <t>License Type</t>
        </is>
      </c>
      <c r="F4" s="13" t="inlineStr">
        <is>
          <t>Primary Users</t>
        </is>
      </c>
      <c r="G4" s="13" t="inlineStr">
        <is>
          <t>Use Cases</t>
        </is>
      </c>
      <c r="H4" s="13" t="inlineStr">
        <is>
          <t>Integration Status</t>
        </is>
      </c>
      <c r="I4" s="13" t="inlineStr">
        <is>
          <t>Data Sources</t>
        </is>
      </c>
      <c r="J4" s="13" t="inlineStr">
        <is>
          <t>CVSS Support</t>
        </is>
      </c>
      <c r="K4" s="13" t="inlineStr">
        <is>
          <t>Last Updated</t>
        </is>
      </c>
      <c r="L4" s="13" t="inlineStr">
        <is>
          <t>Version</t>
        </is>
      </c>
      <c r="M4" s="13" t="inlineStr">
        <is>
          <t>Training Required</t>
        </is>
      </c>
      <c r="N4" s="13" t="inlineStr">
        <is>
          <t>Training Status</t>
        </is>
      </c>
      <c r="O4" s="13" t="inlineStr">
        <is>
          <t>Cost Annual</t>
        </is>
      </c>
      <c r="P4" s="13" t="inlineStr">
        <is>
          <t>Notes</t>
        </is>
      </c>
    </row>
    <row r="5">
      <c r="A5" s="14" t="inlineStr">
        <is>
          <t>TOOL-001</t>
        </is>
      </c>
      <c r="B5" s="14" t="inlineStr">
        <is>
          <t>MISP</t>
        </is>
      </c>
      <c r="C5" s="14" t="inlineStr">
        <is>
          <t>OSINT Platform</t>
        </is>
      </c>
      <c r="D5" s="14" t="inlineStr">
        <is>
          <t>CIRCL.lu</t>
        </is>
      </c>
      <c r="E5" s="14" t="inlineStr">
        <is>
          <t>Open Source</t>
        </is>
      </c>
      <c r="F5" s="14" t="inlineStr">
        <is>
          <t>TI Team</t>
        </is>
      </c>
      <c r="G5" s="14" t="inlineStr">
        <is>
          <t>IOC Sharing / Feed Management</t>
        </is>
      </c>
      <c r="H5" s="14" t="inlineStr">
        <is>
          <t>Integrated</t>
        </is>
      </c>
      <c r="I5" s="14" t="inlineStr">
        <is>
          <t>OSINT / Commercial Feeds</t>
        </is>
      </c>
      <c r="J5" s="14" t="inlineStr">
        <is>
          <t>Yes</t>
        </is>
      </c>
      <c r="K5" s="14" t="inlineStr">
        <is>
          <t>25.02.2026</t>
        </is>
      </c>
      <c r="L5" s="14" t="inlineStr">
        <is>
          <t>2.4.180</t>
        </is>
      </c>
      <c r="M5" s="14" t="inlineStr">
        <is>
          <t>Yes</t>
        </is>
      </c>
      <c r="N5" s="14" t="inlineStr">
        <is>
          <t>Complete</t>
        </is>
      </c>
      <c r="O5" s="14" t="n"/>
      <c r="P5" s="14" t="n"/>
    </row>
    <row r="6">
      <c r="A6" s="15" t="n"/>
      <c r="B6" s="4" t="n"/>
      <c r="C6" s="4" t="n"/>
      <c r="D6" s="4" t="n"/>
      <c r="E6" s="4" t="n"/>
      <c r="F6" s="4" t="n"/>
      <c r="G6" s="4" t="n"/>
      <c r="H6" s="4" t="n"/>
      <c r="I6" s="4" t="n"/>
      <c r="J6" s="4" t="n"/>
      <c r="K6" s="16" t="n"/>
      <c r="L6" s="4" t="n"/>
      <c r="M6" s="4" t="n"/>
      <c r="N6" s="4" t="n"/>
      <c r="O6" s="19" t="n"/>
      <c r="P6" s="4" t="n"/>
    </row>
    <row r="7">
      <c r="A7" s="15" t="n"/>
      <c r="B7" s="4" t="n"/>
      <c r="C7" s="4" t="n"/>
      <c r="D7" s="4" t="n"/>
      <c r="E7" s="4" t="n"/>
      <c r="F7" s="4" t="n"/>
      <c r="G7" s="4" t="n"/>
      <c r="H7" s="4" t="n"/>
      <c r="I7" s="4" t="n"/>
      <c r="J7" s="4" t="n"/>
      <c r="K7" s="16" t="n"/>
      <c r="L7" s="4" t="n"/>
      <c r="M7" s="4" t="n"/>
      <c r="N7" s="4" t="n"/>
      <c r="O7" s="19" t="n"/>
      <c r="P7" s="4" t="n"/>
    </row>
    <row r="8">
      <c r="A8" s="15" t="n"/>
      <c r="B8" s="4" t="n"/>
      <c r="C8" s="4" t="n"/>
      <c r="D8" s="4" t="n"/>
      <c r="E8" s="4" t="n"/>
      <c r="F8" s="4" t="n"/>
      <c r="G8" s="4" t="n"/>
      <c r="H8" s="4" t="n"/>
      <c r="I8" s="4" t="n"/>
      <c r="J8" s="4" t="n"/>
      <c r="K8" s="16" t="n"/>
      <c r="L8" s="4" t="n"/>
      <c r="M8" s="4" t="n"/>
      <c r="N8" s="4" t="n"/>
      <c r="O8" s="19" t="n"/>
      <c r="P8" s="4" t="n"/>
    </row>
    <row r="9">
      <c r="A9" s="15" t="n"/>
      <c r="B9" s="4" t="n"/>
      <c r="C9" s="4" t="n"/>
      <c r="D9" s="4" t="n"/>
      <c r="E9" s="4" t="n"/>
      <c r="F9" s="4" t="n"/>
      <c r="G9" s="4" t="n"/>
      <c r="H9" s="4" t="n"/>
      <c r="I9" s="4" t="n"/>
      <c r="J9" s="4" t="n"/>
      <c r="K9" s="16" t="n"/>
      <c r="L9" s="4" t="n"/>
      <c r="M9" s="4" t="n"/>
      <c r="N9" s="4" t="n"/>
      <c r="O9" s="19" t="n"/>
      <c r="P9" s="4" t="n"/>
    </row>
    <row r="10">
      <c r="A10" s="15" t="n"/>
      <c r="B10" s="4" t="n"/>
      <c r="C10" s="4" t="n"/>
      <c r="D10" s="4" t="n"/>
      <c r="E10" s="4" t="n"/>
      <c r="F10" s="4" t="n"/>
      <c r="G10" s="4" t="n"/>
      <c r="H10" s="4" t="n"/>
      <c r="I10" s="4" t="n"/>
      <c r="J10" s="4" t="n"/>
      <c r="K10" s="16" t="n"/>
      <c r="L10" s="4" t="n"/>
      <c r="M10" s="4" t="n"/>
      <c r="N10" s="4" t="n"/>
      <c r="O10" s="19" t="n"/>
      <c r="P10" s="4" t="n"/>
    </row>
    <row r="11">
      <c r="A11" s="15" t="n"/>
      <c r="B11" s="4" t="n"/>
      <c r="C11" s="4" t="n"/>
      <c r="D11" s="4" t="n"/>
      <c r="E11" s="4" t="n"/>
      <c r="F11" s="4" t="n"/>
      <c r="G11" s="4" t="n"/>
      <c r="H11" s="4" t="n"/>
      <c r="I11" s="4" t="n"/>
      <c r="J11" s="4" t="n"/>
      <c r="K11" s="16" t="n"/>
      <c r="L11" s="4" t="n"/>
      <c r="M11" s="4" t="n"/>
      <c r="N11" s="4" t="n"/>
      <c r="O11" s="19" t="n"/>
      <c r="P11" s="4" t="n"/>
    </row>
    <row r="12">
      <c r="A12" s="15" t="n"/>
      <c r="B12" s="4" t="n"/>
      <c r="C12" s="4" t="n"/>
      <c r="D12" s="4" t="n"/>
      <c r="E12" s="4" t="n"/>
      <c r="F12" s="4" t="n"/>
      <c r="G12" s="4" t="n"/>
      <c r="H12" s="4" t="n"/>
      <c r="I12" s="4" t="n"/>
      <c r="J12" s="4" t="n"/>
      <c r="K12" s="16" t="n"/>
      <c r="L12" s="4" t="n"/>
      <c r="M12" s="4" t="n"/>
      <c r="N12" s="4" t="n"/>
      <c r="O12" s="19" t="n"/>
      <c r="P12" s="4" t="n"/>
    </row>
    <row r="13">
      <c r="A13" s="15" t="n"/>
      <c r="B13" s="4" t="n"/>
      <c r="C13" s="4" t="n"/>
      <c r="D13" s="4" t="n"/>
      <c r="E13" s="4" t="n"/>
      <c r="F13" s="4" t="n"/>
      <c r="G13" s="4" t="n"/>
      <c r="H13" s="4" t="n"/>
      <c r="I13" s="4" t="n"/>
      <c r="J13" s="4" t="n"/>
      <c r="K13" s="16" t="n"/>
      <c r="L13" s="4" t="n"/>
      <c r="M13" s="4" t="n"/>
      <c r="N13" s="4" t="n"/>
      <c r="O13" s="19" t="n"/>
      <c r="P13" s="4" t="n"/>
    </row>
    <row r="14">
      <c r="A14" s="15" t="n"/>
      <c r="B14" s="4" t="n"/>
      <c r="C14" s="4" t="n"/>
      <c r="D14" s="4" t="n"/>
      <c r="E14" s="4" t="n"/>
      <c r="F14" s="4" t="n"/>
      <c r="G14" s="4" t="n"/>
      <c r="H14" s="4" t="n"/>
      <c r="I14" s="4" t="n"/>
      <c r="J14" s="4" t="n"/>
      <c r="K14" s="16" t="n"/>
      <c r="L14" s="4" t="n"/>
      <c r="M14" s="4" t="n"/>
      <c r="N14" s="4" t="n"/>
      <c r="O14" s="19" t="n"/>
      <c r="P14" s="4" t="n"/>
    </row>
    <row r="15">
      <c r="A15" s="15" t="n"/>
      <c r="B15" s="4" t="n"/>
      <c r="C15" s="4" t="n"/>
      <c r="D15" s="4" t="n"/>
      <c r="E15" s="4" t="n"/>
      <c r="F15" s="4" t="n"/>
      <c r="G15" s="4" t="n"/>
      <c r="H15" s="4" t="n"/>
      <c r="I15" s="4" t="n"/>
      <c r="J15" s="4" t="n"/>
      <c r="K15" s="16" t="n"/>
      <c r="L15" s="4" t="n"/>
      <c r="M15" s="4" t="n"/>
      <c r="N15" s="4" t="n"/>
      <c r="O15" s="19" t="n"/>
      <c r="P15" s="4" t="n"/>
    </row>
    <row r="16">
      <c r="A16" s="15" t="n"/>
      <c r="B16" s="4" t="n"/>
      <c r="C16" s="4" t="n"/>
      <c r="D16" s="4" t="n"/>
      <c r="E16" s="4" t="n"/>
      <c r="F16" s="4" t="n"/>
      <c r="G16" s="4" t="n"/>
      <c r="H16" s="4" t="n"/>
      <c r="I16" s="4" t="n"/>
      <c r="J16" s="4" t="n"/>
      <c r="K16" s="16" t="n"/>
      <c r="L16" s="4" t="n"/>
      <c r="M16" s="4" t="n"/>
      <c r="N16" s="4" t="n"/>
      <c r="O16" s="19" t="n"/>
      <c r="P16" s="4" t="n"/>
    </row>
    <row r="17">
      <c r="A17" s="15" t="n"/>
      <c r="B17" s="4" t="n"/>
      <c r="C17" s="4" t="n"/>
      <c r="D17" s="4" t="n"/>
      <c r="E17" s="4" t="n"/>
      <c r="F17" s="4" t="n"/>
      <c r="G17" s="4" t="n"/>
      <c r="H17" s="4" t="n"/>
      <c r="I17" s="4" t="n"/>
      <c r="J17" s="4" t="n"/>
      <c r="K17" s="16" t="n"/>
      <c r="L17" s="4" t="n"/>
      <c r="M17" s="4" t="n"/>
      <c r="N17" s="4" t="n"/>
      <c r="O17" s="19" t="n"/>
      <c r="P17" s="4" t="n"/>
    </row>
    <row r="18">
      <c r="A18" s="15" t="n"/>
      <c r="B18" s="4" t="n"/>
      <c r="C18" s="4" t="n"/>
      <c r="D18" s="4" t="n"/>
      <c r="E18" s="4" t="n"/>
      <c r="F18" s="4" t="n"/>
      <c r="G18" s="4" t="n"/>
      <c r="H18" s="4" t="n"/>
      <c r="I18" s="4" t="n"/>
      <c r="J18" s="4" t="n"/>
      <c r="K18" s="16" t="n"/>
      <c r="L18" s="4" t="n"/>
      <c r="M18" s="4" t="n"/>
      <c r="N18" s="4" t="n"/>
      <c r="O18" s="19" t="n"/>
      <c r="P18" s="4" t="n"/>
    </row>
    <row r="19">
      <c r="A19" s="15" t="n"/>
      <c r="B19" s="4" t="n"/>
      <c r="C19" s="4" t="n"/>
      <c r="D19" s="4" t="n"/>
      <c r="E19" s="4" t="n"/>
      <c r="F19" s="4" t="n"/>
      <c r="G19" s="4" t="n"/>
      <c r="H19" s="4" t="n"/>
      <c r="I19" s="4" t="n"/>
      <c r="J19" s="4" t="n"/>
      <c r="K19" s="16" t="n"/>
      <c r="L19" s="4" t="n"/>
      <c r="M19" s="4" t="n"/>
      <c r="N19" s="4" t="n"/>
      <c r="O19" s="19" t="n"/>
      <c r="P19" s="4" t="n"/>
    </row>
    <row r="20">
      <c r="A20" s="15" t="n"/>
      <c r="B20" s="4" t="n"/>
      <c r="C20" s="4" t="n"/>
      <c r="D20" s="4" t="n"/>
      <c r="E20" s="4" t="n"/>
      <c r="F20" s="4" t="n"/>
      <c r="G20" s="4" t="n"/>
      <c r="H20" s="4" t="n"/>
      <c r="I20" s="4" t="n"/>
      <c r="J20" s="4" t="n"/>
      <c r="K20" s="16" t="n"/>
      <c r="L20" s="4" t="n"/>
      <c r="M20" s="4" t="n"/>
      <c r="N20" s="4" t="n"/>
      <c r="O20" s="19" t="n"/>
      <c r="P20" s="4" t="n"/>
    </row>
    <row r="21">
      <c r="A21" s="15" t="n"/>
      <c r="B21" s="4" t="n"/>
      <c r="C21" s="4" t="n"/>
      <c r="D21" s="4" t="n"/>
      <c r="E21" s="4" t="n"/>
      <c r="F21" s="4" t="n"/>
      <c r="G21" s="4" t="n"/>
      <c r="H21" s="4" t="n"/>
      <c r="I21" s="4" t="n"/>
      <c r="J21" s="4" t="n"/>
      <c r="K21" s="16" t="n"/>
      <c r="L21" s="4" t="n"/>
      <c r="M21" s="4" t="n"/>
      <c r="N21" s="4" t="n"/>
      <c r="O21" s="19" t="n"/>
      <c r="P21" s="4" t="n"/>
    </row>
    <row r="22">
      <c r="A22" s="15" t="n"/>
      <c r="B22" s="4" t="n"/>
      <c r="C22" s="4" t="n"/>
      <c r="D22" s="4" t="n"/>
      <c r="E22" s="4" t="n"/>
      <c r="F22" s="4" t="n"/>
      <c r="G22" s="4" t="n"/>
      <c r="H22" s="4" t="n"/>
      <c r="I22" s="4" t="n"/>
      <c r="J22" s="4" t="n"/>
      <c r="K22" s="16" t="n"/>
      <c r="L22" s="4" t="n"/>
      <c r="M22" s="4" t="n"/>
      <c r="N22" s="4" t="n"/>
      <c r="O22" s="19" t="n"/>
      <c r="P22" s="4" t="n"/>
    </row>
    <row r="23">
      <c r="A23" s="15" t="n"/>
      <c r="B23" s="4" t="n"/>
      <c r="C23" s="4" t="n"/>
      <c r="D23" s="4" t="n"/>
      <c r="E23" s="4" t="n"/>
      <c r="F23" s="4" t="n"/>
      <c r="G23" s="4" t="n"/>
      <c r="H23" s="4" t="n"/>
      <c r="I23" s="4" t="n"/>
      <c r="J23" s="4" t="n"/>
      <c r="K23" s="16" t="n"/>
      <c r="L23" s="4" t="n"/>
      <c r="M23" s="4" t="n"/>
      <c r="N23" s="4" t="n"/>
      <c r="O23" s="19" t="n"/>
      <c r="P23" s="4" t="n"/>
    </row>
    <row r="24">
      <c r="A24" s="15" t="n"/>
      <c r="B24" s="4" t="n"/>
      <c r="C24" s="4" t="n"/>
      <c r="D24" s="4" t="n"/>
      <c r="E24" s="4" t="n"/>
      <c r="F24" s="4" t="n"/>
      <c r="G24" s="4" t="n"/>
      <c r="H24" s="4" t="n"/>
      <c r="I24" s="4" t="n"/>
      <c r="J24" s="4" t="n"/>
      <c r="K24" s="16" t="n"/>
      <c r="L24" s="4" t="n"/>
      <c r="M24" s="4" t="n"/>
      <c r="N24" s="4" t="n"/>
      <c r="O24" s="19" t="n"/>
      <c r="P24" s="4" t="n"/>
    </row>
    <row r="25">
      <c r="A25" s="15" t="n"/>
      <c r="B25" s="4" t="n"/>
      <c r="C25" s="4" t="n"/>
      <c r="D25" s="4" t="n"/>
      <c r="E25" s="4" t="n"/>
      <c r="F25" s="4" t="n"/>
      <c r="G25" s="4" t="n"/>
      <c r="H25" s="4" t="n"/>
      <c r="I25" s="4" t="n"/>
      <c r="J25" s="4" t="n"/>
      <c r="K25" s="16" t="n"/>
      <c r="L25" s="4" t="n"/>
      <c r="M25" s="4" t="n"/>
      <c r="N25" s="4" t="n"/>
      <c r="O25" s="19" t="n"/>
      <c r="P25" s="4" t="n"/>
    </row>
    <row r="26">
      <c r="A26" s="15" t="n"/>
      <c r="B26" s="4" t="n"/>
      <c r="C26" s="4" t="n"/>
      <c r="D26" s="4" t="n"/>
      <c r="E26" s="4" t="n"/>
      <c r="F26" s="4" t="n"/>
      <c r="G26" s="4" t="n"/>
      <c r="H26" s="4" t="n"/>
      <c r="I26" s="4" t="n"/>
      <c r="J26" s="4" t="n"/>
      <c r="K26" s="16" t="n"/>
      <c r="L26" s="4" t="n"/>
      <c r="M26" s="4" t="n"/>
      <c r="N26" s="4" t="n"/>
      <c r="O26" s="19" t="n"/>
      <c r="P26" s="4" t="n"/>
    </row>
    <row r="27">
      <c r="A27" s="15" t="n"/>
      <c r="B27" s="4" t="n"/>
      <c r="C27" s="4" t="n"/>
      <c r="D27" s="4" t="n"/>
      <c r="E27" s="4" t="n"/>
      <c r="F27" s="4" t="n"/>
      <c r="G27" s="4" t="n"/>
      <c r="H27" s="4" t="n"/>
      <c r="I27" s="4" t="n"/>
      <c r="J27" s="4" t="n"/>
      <c r="K27" s="16" t="n"/>
      <c r="L27" s="4" t="n"/>
      <c r="M27" s="4" t="n"/>
      <c r="N27" s="4" t="n"/>
      <c r="O27" s="19" t="n"/>
      <c r="P27" s="4" t="n"/>
    </row>
    <row r="28">
      <c r="A28" s="15" t="n"/>
      <c r="B28" s="4" t="n"/>
      <c r="C28" s="4" t="n"/>
      <c r="D28" s="4" t="n"/>
      <c r="E28" s="4" t="n"/>
      <c r="F28" s="4" t="n"/>
      <c r="G28" s="4" t="n"/>
      <c r="H28" s="4" t="n"/>
      <c r="I28" s="4" t="n"/>
      <c r="J28" s="4" t="n"/>
      <c r="K28" s="16" t="n"/>
      <c r="L28" s="4" t="n"/>
      <c r="M28" s="4" t="n"/>
      <c r="N28" s="4" t="n"/>
      <c r="O28" s="19" t="n"/>
      <c r="P28" s="4" t="n"/>
    </row>
    <row r="29">
      <c r="A29" s="15" t="n"/>
      <c r="B29" s="4" t="n"/>
      <c r="C29" s="4" t="n"/>
      <c r="D29" s="4" t="n"/>
      <c r="E29" s="4" t="n"/>
      <c r="F29" s="4" t="n"/>
      <c r="G29" s="4" t="n"/>
      <c r="H29" s="4" t="n"/>
      <c r="I29" s="4" t="n"/>
      <c r="J29" s="4" t="n"/>
      <c r="K29" s="16" t="n"/>
      <c r="L29" s="4" t="n"/>
      <c r="M29" s="4" t="n"/>
      <c r="N29" s="4" t="n"/>
      <c r="O29" s="19" t="n"/>
      <c r="P29" s="4" t="n"/>
    </row>
    <row r="30">
      <c r="A30" s="15" t="n"/>
      <c r="B30" s="4" t="n"/>
      <c r="C30" s="4" t="n"/>
      <c r="D30" s="4" t="n"/>
      <c r="E30" s="4" t="n"/>
      <c r="F30" s="4" t="n"/>
      <c r="G30" s="4" t="n"/>
      <c r="H30" s="4" t="n"/>
      <c r="I30" s="4" t="n"/>
      <c r="J30" s="4" t="n"/>
      <c r="K30" s="16" t="n"/>
      <c r="L30" s="4" t="n"/>
      <c r="M30" s="4" t="n"/>
      <c r="N30" s="4" t="n"/>
      <c r="O30" s="19" t="n"/>
      <c r="P30" s="4" t="n"/>
    </row>
    <row r="31">
      <c r="A31" s="15" t="n"/>
      <c r="B31" s="4" t="n"/>
      <c r="C31" s="4" t="n"/>
      <c r="D31" s="4" t="n"/>
      <c r="E31" s="4" t="n"/>
      <c r="F31" s="4" t="n"/>
      <c r="G31" s="4" t="n"/>
      <c r="H31" s="4" t="n"/>
      <c r="I31" s="4" t="n"/>
      <c r="J31" s="4" t="n"/>
      <c r="K31" s="16" t="n"/>
      <c r="L31" s="4" t="n"/>
      <c r="M31" s="4" t="n"/>
      <c r="N31" s="4" t="n"/>
      <c r="O31" s="19" t="n"/>
      <c r="P31" s="4" t="n"/>
    </row>
    <row r="32">
      <c r="A32" s="15" t="n"/>
      <c r="B32" s="4" t="n"/>
      <c r="C32" s="4" t="n"/>
      <c r="D32" s="4" t="n"/>
      <c r="E32" s="4" t="n"/>
      <c r="F32" s="4" t="n"/>
      <c r="G32" s="4" t="n"/>
      <c r="H32" s="4" t="n"/>
      <c r="I32" s="4" t="n"/>
      <c r="J32" s="4" t="n"/>
      <c r="K32" s="16" t="n"/>
      <c r="L32" s="4" t="n"/>
      <c r="M32" s="4" t="n"/>
      <c r="N32" s="4" t="n"/>
      <c r="O32" s="19" t="n"/>
      <c r="P32" s="4" t="n"/>
    </row>
    <row r="33">
      <c r="A33" s="15" t="n"/>
      <c r="B33" s="4" t="n"/>
      <c r="C33" s="4" t="n"/>
      <c r="D33" s="4" t="n"/>
      <c r="E33" s="4" t="n"/>
      <c r="F33" s="4" t="n"/>
      <c r="G33" s="4" t="n"/>
      <c r="H33" s="4" t="n"/>
      <c r="I33" s="4" t="n"/>
      <c r="J33" s="4" t="n"/>
      <c r="K33" s="16" t="n"/>
      <c r="L33" s="4" t="n"/>
      <c r="M33" s="4" t="n"/>
      <c r="N33" s="4" t="n"/>
      <c r="O33" s="19" t="n"/>
      <c r="P33" s="4" t="n"/>
    </row>
    <row r="34">
      <c r="A34" s="15" t="n"/>
      <c r="B34" s="4" t="n"/>
      <c r="C34" s="4" t="n"/>
      <c r="D34" s="4" t="n"/>
      <c r="E34" s="4" t="n"/>
      <c r="F34" s="4" t="n"/>
      <c r="G34" s="4" t="n"/>
      <c r="H34" s="4" t="n"/>
      <c r="I34" s="4" t="n"/>
      <c r="J34" s="4" t="n"/>
      <c r="K34" s="16" t="n"/>
      <c r="L34" s="4" t="n"/>
      <c r="M34" s="4" t="n"/>
      <c r="N34" s="4" t="n"/>
      <c r="O34" s="19" t="n"/>
      <c r="P34" s="4" t="n"/>
    </row>
    <row r="35">
      <c r="A35" s="15" t="n"/>
      <c r="B35" s="4" t="n"/>
      <c r="C35" s="4" t="n"/>
      <c r="D35" s="4" t="n"/>
      <c r="E35" s="4" t="n"/>
      <c r="F35" s="4" t="n"/>
      <c r="G35" s="4" t="n"/>
      <c r="H35" s="4" t="n"/>
      <c r="I35" s="4" t="n"/>
      <c r="J35" s="4" t="n"/>
      <c r="K35" s="16" t="n"/>
      <c r="L35" s="4" t="n"/>
      <c r="M35" s="4" t="n"/>
      <c r="N35" s="4" t="n"/>
      <c r="O35" s="19" t="n"/>
      <c r="P35" s="4" t="n"/>
    </row>
    <row r="36">
      <c r="A36" s="15" t="n"/>
      <c r="B36" s="4" t="n"/>
      <c r="C36" s="4" t="n"/>
      <c r="D36" s="4" t="n"/>
      <c r="E36" s="4" t="n"/>
      <c r="F36" s="4" t="n"/>
      <c r="G36" s="4" t="n"/>
      <c r="H36" s="4" t="n"/>
      <c r="I36" s="4" t="n"/>
      <c r="J36" s="4" t="n"/>
      <c r="K36" s="16" t="n"/>
      <c r="L36" s="4" t="n"/>
      <c r="M36" s="4" t="n"/>
      <c r="N36" s="4" t="n"/>
      <c r="O36" s="19" t="n"/>
      <c r="P36" s="4" t="n"/>
    </row>
    <row r="37">
      <c r="A37" s="15" t="n"/>
      <c r="B37" s="4" t="n"/>
      <c r="C37" s="4" t="n"/>
      <c r="D37" s="4" t="n"/>
      <c r="E37" s="4" t="n"/>
      <c r="F37" s="4" t="n"/>
      <c r="G37" s="4" t="n"/>
      <c r="H37" s="4" t="n"/>
      <c r="I37" s="4" t="n"/>
      <c r="J37" s="4" t="n"/>
      <c r="K37" s="16" t="n"/>
      <c r="L37" s="4" t="n"/>
      <c r="M37" s="4" t="n"/>
      <c r="N37" s="4" t="n"/>
      <c r="O37" s="19" t="n"/>
      <c r="P37" s="4" t="n"/>
    </row>
    <row r="38">
      <c r="A38" s="15" t="n"/>
      <c r="B38" s="4" t="n"/>
      <c r="C38" s="4" t="n"/>
      <c r="D38" s="4" t="n"/>
      <c r="E38" s="4" t="n"/>
      <c r="F38" s="4" t="n"/>
      <c r="G38" s="4" t="n"/>
      <c r="H38" s="4" t="n"/>
      <c r="I38" s="4" t="n"/>
      <c r="J38" s="4" t="n"/>
      <c r="K38" s="16" t="n"/>
      <c r="L38" s="4" t="n"/>
      <c r="M38" s="4" t="n"/>
      <c r="N38" s="4" t="n"/>
      <c r="O38" s="19" t="n"/>
      <c r="P38" s="4" t="n"/>
    </row>
    <row r="39">
      <c r="A39" s="15" t="n"/>
      <c r="B39" s="4" t="n"/>
      <c r="C39" s="4" t="n"/>
      <c r="D39" s="4" t="n"/>
      <c r="E39" s="4" t="n"/>
      <c r="F39" s="4" t="n"/>
      <c r="G39" s="4" t="n"/>
      <c r="H39" s="4" t="n"/>
      <c r="I39" s="4" t="n"/>
      <c r="J39" s="4" t="n"/>
      <c r="K39" s="16" t="n"/>
      <c r="L39" s="4" t="n"/>
      <c r="M39" s="4" t="n"/>
      <c r="N39" s="4" t="n"/>
      <c r="O39" s="19" t="n"/>
      <c r="P39" s="4" t="n"/>
    </row>
    <row r="40">
      <c r="A40" s="15" t="n"/>
      <c r="B40" s="4" t="n"/>
      <c r="C40" s="4" t="n"/>
      <c r="D40" s="4" t="n"/>
      <c r="E40" s="4" t="n"/>
      <c r="F40" s="4" t="n"/>
      <c r="G40" s="4" t="n"/>
      <c r="H40" s="4" t="n"/>
      <c r="I40" s="4" t="n"/>
      <c r="J40" s="4" t="n"/>
      <c r="K40" s="16" t="n"/>
      <c r="L40" s="4" t="n"/>
      <c r="M40" s="4" t="n"/>
      <c r="N40" s="4" t="n"/>
      <c r="O40" s="19" t="n"/>
      <c r="P40" s="4" t="n"/>
    </row>
    <row r="41">
      <c r="A41" s="15" t="n"/>
      <c r="B41" s="4" t="n"/>
      <c r="C41" s="4" t="n"/>
      <c r="D41" s="4" t="n"/>
      <c r="E41" s="4" t="n"/>
      <c r="F41" s="4" t="n"/>
      <c r="G41" s="4" t="n"/>
      <c r="H41" s="4" t="n"/>
      <c r="I41" s="4" t="n"/>
      <c r="J41" s="4" t="n"/>
      <c r="K41" s="16" t="n"/>
      <c r="L41" s="4" t="n"/>
      <c r="M41" s="4" t="n"/>
      <c r="N41" s="4" t="n"/>
      <c r="O41" s="19" t="n"/>
      <c r="P41" s="4" t="n"/>
    </row>
    <row r="42">
      <c r="A42" s="15" t="n"/>
      <c r="B42" s="4" t="n"/>
      <c r="C42" s="4" t="n"/>
      <c r="D42" s="4" t="n"/>
      <c r="E42" s="4" t="n"/>
      <c r="F42" s="4" t="n"/>
      <c r="G42" s="4" t="n"/>
      <c r="H42" s="4" t="n"/>
      <c r="I42" s="4" t="n"/>
      <c r="J42" s="4" t="n"/>
      <c r="K42" s="16" t="n"/>
      <c r="L42" s="4" t="n"/>
      <c r="M42" s="4" t="n"/>
      <c r="N42" s="4" t="n"/>
      <c r="O42" s="19" t="n"/>
      <c r="P42" s="4" t="n"/>
    </row>
    <row r="43">
      <c r="A43" s="15" t="n"/>
      <c r="B43" s="4" t="n"/>
      <c r="C43" s="4" t="n"/>
      <c r="D43" s="4" t="n"/>
      <c r="E43" s="4" t="n"/>
      <c r="F43" s="4" t="n"/>
      <c r="G43" s="4" t="n"/>
      <c r="H43" s="4" t="n"/>
      <c r="I43" s="4" t="n"/>
      <c r="J43" s="4" t="n"/>
      <c r="K43" s="16" t="n"/>
      <c r="L43" s="4" t="n"/>
      <c r="M43" s="4" t="n"/>
      <c r="N43" s="4" t="n"/>
      <c r="O43" s="19" t="n"/>
      <c r="P43" s="4" t="n"/>
    </row>
    <row r="44">
      <c r="A44" s="15" t="n"/>
      <c r="B44" s="4" t="n"/>
      <c r="C44" s="4" t="n"/>
      <c r="D44" s="4" t="n"/>
      <c r="E44" s="4" t="n"/>
      <c r="F44" s="4" t="n"/>
      <c r="G44" s="4" t="n"/>
      <c r="H44" s="4" t="n"/>
      <c r="I44" s="4" t="n"/>
      <c r="J44" s="4" t="n"/>
      <c r="K44" s="16" t="n"/>
      <c r="L44" s="4" t="n"/>
      <c r="M44" s="4" t="n"/>
      <c r="N44" s="4" t="n"/>
      <c r="O44" s="19" t="n"/>
      <c r="P44" s="4" t="n"/>
    </row>
    <row r="45">
      <c r="A45" s="15" t="n"/>
      <c r="B45" s="4" t="n"/>
      <c r="C45" s="4" t="n"/>
      <c r="D45" s="4" t="n"/>
      <c r="E45" s="4" t="n"/>
      <c r="F45" s="4" t="n"/>
      <c r="G45" s="4" t="n"/>
      <c r="H45" s="4" t="n"/>
      <c r="I45" s="4" t="n"/>
      <c r="J45" s="4" t="n"/>
      <c r="K45" s="16" t="n"/>
      <c r="L45" s="4" t="n"/>
      <c r="M45" s="4" t="n"/>
      <c r="N45" s="4" t="n"/>
      <c r="O45" s="19" t="n"/>
      <c r="P45" s="4" t="n"/>
    </row>
    <row r="46">
      <c r="A46" s="15" t="n"/>
      <c r="B46" s="4" t="n"/>
      <c r="C46" s="4" t="n"/>
      <c r="D46" s="4" t="n"/>
      <c r="E46" s="4" t="n"/>
      <c r="F46" s="4" t="n"/>
      <c r="G46" s="4" t="n"/>
      <c r="H46" s="4" t="n"/>
      <c r="I46" s="4" t="n"/>
      <c r="J46" s="4" t="n"/>
      <c r="K46" s="16" t="n"/>
      <c r="L46" s="4" t="n"/>
      <c r="M46" s="4" t="n"/>
      <c r="N46" s="4" t="n"/>
      <c r="O46" s="19" t="n"/>
      <c r="P46" s="4" t="n"/>
    </row>
    <row r="47">
      <c r="A47" s="15" t="n"/>
      <c r="B47" s="4" t="n"/>
      <c r="C47" s="4" t="n"/>
      <c r="D47" s="4" t="n"/>
      <c r="E47" s="4" t="n"/>
      <c r="F47" s="4" t="n"/>
      <c r="G47" s="4" t="n"/>
      <c r="H47" s="4" t="n"/>
      <c r="I47" s="4" t="n"/>
      <c r="J47" s="4" t="n"/>
      <c r="K47" s="16" t="n"/>
      <c r="L47" s="4" t="n"/>
      <c r="M47" s="4" t="n"/>
      <c r="N47" s="4" t="n"/>
      <c r="O47" s="19" t="n"/>
      <c r="P47" s="4" t="n"/>
    </row>
    <row r="48">
      <c r="A48" s="15" t="n"/>
      <c r="B48" s="4" t="n"/>
      <c r="C48" s="4" t="n"/>
      <c r="D48" s="4" t="n"/>
      <c r="E48" s="4" t="n"/>
      <c r="F48" s="4" t="n"/>
      <c r="G48" s="4" t="n"/>
      <c r="H48" s="4" t="n"/>
      <c r="I48" s="4" t="n"/>
      <c r="J48" s="4" t="n"/>
      <c r="K48" s="16" t="n"/>
      <c r="L48" s="4" t="n"/>
      <c r="M48" s="4" t="n"/>
      <c r="N48" s="4" t="n"/>
      <c r="O48" s="19" t="n"/>
      <c r="P48" s="4" t="n"/>
    </row>
    <row r="49">
      <c r="A49" s="15" t="n"/>
      <c r="B49" s="4" t="n"/>
      <c r="C49" s="4" t="n"/>
      <c r="D49" s="4" t="n"/>
      <c r="E49" s="4" t="n"/>
      <c r="F49" s="4" t="n"/>
      <c r="G49" s="4" t="n"/>
      <c r="H49" s="4" t="n"/>
      <c r="I49" s="4" t="n"/>
      <c r="J49" s="4" t="n"/>
      <c r="K49" s="16" t="n"/>
      <c r="L49" s="4" t="n"/>
      <c r="M49" s="4" t="n"/>
      <c r="N49" s="4" t="n"/>
      <c r="O49" s="19" t="n"/>
      <c r="P49" s="4" t="n"/>
    </row>
    <row r="50">
      <c r="A50" s="15" t="n"/>
      <c r="B50" s="4" t="n"/>
      <c r="C50" s="4" t="n"/>
      <c r="D50" s="4" t="n"/>
      <c r="E50" s="4" t="n"/>
      <c r="F50" s="4" t="n"/>
      <c r="G50" s="4" t="n"/>
      <c r="H50" s="4" t="n"/>
      <c r="I50" s="4" t="n"/>
      <c r="J50" s="4" t="n"/>
      <c r="K50" s="16" t="n"/>
      <c r="L50" s="4" t="n"/>
      <c r="M50" s="4" t="n"/>
      <c r="N50" s="4" t="n"/>
      <c r="O50" s="19" t="n"/>
      <c r="P50" s="4" t="n"/>
    </row>
    <row r="51">
      <c r="A51" s="15" t="n"/>
      <c r="B51" s="4" t="n"/>
      <c r="C51" s="4" t="n"/>
      <c r="D51" s="4" t="n"/>
      <c r="E51" s="4" t="n"/>
      <c r="F51" s="4" t="n"/>
      <c r="G51" s="4" t="n"/>
      <c r="H51" s="4" t="n"/>
      <c r="I51" s="4" t="n"/>
      <c r="J51" s="4" t="n"/>
      <c r="K51" s="16" t="n"/>
      <c r="L51" s="4" t="n"/>
      <c r="M51" s="4" t="n"/>
      <c r="N51" s="4" t="n"/>
      <c r="O51" s="19" t="n"/>
      <c r="P51" s="4" t="n"/>
    </row>
    <row r="52">
      <c r="A52" s="15" t="n"/>
      <c r="B52" s="4" t="n"/>
      <c r="C52" s="4" t="n"/>
      <c r="D52" s="4" t="n"/>
      <c r="E52" s="4" t="n"/>
      <c r="F52" s="4" t="n"/>
      <c r="G52" s="4" t="n"/>
      <c r="H52" s="4" t="n"/>
      <c r="I52" s="4" t="n"/>
      <c r="J52" s="4" t="n"/>
      <c r="K52" s="16" t="n"/>
      <c r="L52" s="4" t="n"/>
      <c r="M52" s="4" t="n"/>
      <c r="N52" s="4" t="n"/>
      <c r="O52" s="19" t="n"/>
      <c r="P52" s="4" t="n"/>
    </row>
    <row r="53">
      <c r="A53" s="15" t="n"/>
      <c r="B53" s="4" t="n"/>
      <c r="C53" s="4" t="n"/>
      <c r="D53" s="4" t="n"/>
      <c r="E53" s="4" t="n"/>
      <c r="F53" s="4" t="n"/>
      <c r="G53" s="4" t="n"/>
      <c r="H53" s="4" t="n"/>
      <c r="I53" s="4" t="n"/>
      <c r="J53" s="4" t="n"/>
      <c r="K53" s="16" t="n"/>
      <c r="L53" s="4" t="n"/>
      <c r="M53" s="4" t="n"/>
      <c r="N53" s="4" t="n"/>
      <c r="O53" s="19" t="n"/>
      <c r="P53" s="4" t="n"/>
    </row>
    <row r="54">
      <c r="A54" s="15" t="n"/>
      <c r="B54" s="4" t="n"/>
      <c r="C54" s="4" t="n"/>
      <c r="D54" s="4" t="n"/>
      <c r="E54" s="4" t="n"/>
      <c r="F54" s="4" t="n"/>
      <c r="G54" s="4" t="n"/>
      <c r="H54" s="4" t="n"/>
      <c r="I54" s="4" t="n"/>
      <c r="J54" s="4" t="n"/>
      <c r="K54" s="16" t="n"/>
      <c r="L54" s="4" t="n"/>
      <c r="M54" s="4" t="n"/>
      <c r="N54" s="4" t="n"/>
      <c r="O54" s="19" t="n"/>
      <c r="P54" s="4" t="n"/>
    </row>
    <row r="55">
      <c r="A55" s="15" t="n"/>
      <c r="B55" s="4" t="n"/>
      <c r="C55" s="4" t="n"/>
      <c r="D55" s="4" t="n"/>
      <c r="E55" s="4" t="n"/>
      <c r="F55" s="4" t="n"/>
      <c r="G55" s="4" t="n"/>
      <c r="H55" s="4" t="n"/>
      <c r="I55" s="4" t="n"/>
      <c r="J55" s="4" t="n"/>
      <c r="K55" s="16" t="n"/>
      <c r="L55" s="4" t="n"/>
      <c r="M55" s="4" t="n"/>
      <c r="N55" s="4" t="n"/>
      <c r="O55" s="19" t="n"/>
      <c r="P55" s="4" t="n"/>
    </row>
  </sheetData>
  <mergeCells count="2">
    <mergeCell ref="A1:P1"/>
    <mergeCell ref="A2:P2"/>
  </mergeCells>
  <conditionalFormatting sqref="H6:H55">
    <cfRule type="cellIs" priority="1" operator="equal" dxfId="3">
      <formula>"Deprecated"</formula>
    </cfRule>
  </conditionalFormatting>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T55"/>
  <sheetViews>
    <sheetView showGridLines="0" workbookViewId="0">
      <pane ySplit="3" topLeftCell="A4" activePane="bottomLeft" state="frozen"/>
      <selection pane="bottomLeft" activeCell="A1" sqref="A1"/>
    </sheetView>
  </sheetViews>
  <sheetFormatPr baseColWidth="8" defaultRowHeight="15"/>
  <cols>
    <col width="12" customWidth="1" min="1" max="1"/>
    <col width="25" customWidth="1" min="2" max="2"/>
    <col width="25" customWidth="1" min="3" max="3"/>
    <col width="18" customWidth="1" min="4" max="4"/>
    <col width="18" customWidth="1" min="5" max="5"/>
    <col width="18" customWidth="1" min="6" max="6"/>
    <col width="12" customWidth="1" min="7" max="7"/>
    <col width="12" customWidth="1" min="8" max="8"/>
    <col width="18" customWidth="1" min="9" max="9"/>
    <col width="16" customWidth="1" min="10" max="10"/>
    <col width="18" customWidth="1" min="11" max="11"/>
    <col width="16" customWidth="1" min="12" max="12"/>
    <col width="30" customWidth="1" min="13" max="13"/>
    <col width="25" customWidth="1" min="14" max="14"/>
    <col width="35" customWidth="1" min="15" max="15"/>
    <col width="30" customWidth="1" min="16" max="16"/>
    <col width="14" customWidth="1" min="17" max="17"/>
    <col width="25" customWidth="1" min="18" max="18"/>
    <col width="12" customWidth="1" min="19" max="19"/>
    <col width="40" customWidth="1" min="20" max="20"/>
  </cols>
  <sheetData>
    <row r="1" ht="35" customHeight="1">
      <c r="A1" s="11" t="inlineStr">
        <is>
          <t>THREAT ACTOR PROFILES (V1.0)</t>
        </is>
      </c>
    </row>
    <row r="2">
      <c r="A2" s="12" t="inlineStr">
        <is>
          <t>Document known threat actors. CVEs_Exploited column integrates with Sheet 8 VTL for tracking.</t>
        </is>
      </c>
    </row>
    <row r="4">
      <c r="A4" s="13" t="inlineStr">
        <is>
          <t>Actor ID</t>
        </is>
      </c>
      <c r="B4" s="13" t="inlineStr">
        <is>
          <t>Actor Name</t>
        </is>
      </c>
      <c r="C4" s="13" t="inlineStr">
        <is>
          <t>Actor Aliases</t>
        </is>
      </c>
      <c r="D4" s="13" t="inlineStr">
        <is>
          <t>Actor Type</t>
        </is>
      </c>
      <c r="E4" s="13" t="inlineStr">
        <is>
          <t>Attribution Confidence</t>
        </is>
      </c>
      <c r="F4" s="13" t="inlineStr">
        <is>
          <t>Country of Origin</t>
        </is>
      </c>
      <c r="G4" s="13" t="inlineStr">
        <is>
          <t>First Observed</t>
        </is>
      </c>
      <c r="H4" s="13" t="inlineStr">
        <is>
          <t>Last Activity</t>
        </is>
      </c>
      <c r="I4" s="13" t="inlineStr">
        <is>
          <t>Targeting Our Sector</t>
        </is>
      </c>
      <c r="J4" s="13" t="inlineStr">
        <is>
          <t>Targeting Our Org</t>
        </is>
      </c>
      <c r="K4" s="13" t="inlineStr">
        <is>
          <t>Primary Motivation</t>
        </is>
      </c>
      <c r="L4" s="13" t="inlineStr">
        <is>
          <t>Sophistication Level</t>
        </is>
      </c>
      <c r="M4" s="13" t="inlineStr">
        <is>
          <t>Primary TTPs</t>
        </is>
      </c>
      <c r="N4" s="13" t="inlineStr">
        <is>
          <t>Common Malware</t>
        </is>
      </c>
      <c r="O4" s="13" t="inlineStr">
        <is>
          <t>Infrastructure Notes</t>
        </is>
      </c>
      <c r="P4" s="13" t="inlineStr">
        <is>
          <t>CVEs Exploited</t>
        </is>
      </c>
      <c r="Q4" s="13" t="inlineStr">
        <is>
          <t>VTL Records Count</t>
        </is>
      </c>
      <c r="R4" s="13" t="inlineStr">
        <is>
          <t>Related Campaigns</t>
        </is>
      </c>
      <c r="S4" s="13" t="inlineStr">
        <is>
          <t>Last Update Date</t>
        </is>
      </c>
      <c r="T4" s="13" t="inlineStr">
        <is>
          <t>Notes</t>
        </is>
      </c>
    </row>
    <row r="5">
      <c r="A5" s="14" t="inlineStr">
        <is>
          <t>ACTOR-001</t>
        </is>
      </c>
      <c r="B5" s="14" t="inlineStr">
        <is>
          <t>APT29 (Cozy Bear)</t>
        </is>
      </c>
      <c r="C5" s="14" t="inlineStr">
        <is>
          <t>Midnight Blizzard / The Dukes</t>
        </is>
      </c>
      <c r="D5" s="14" t="inlineStr">
        <is>
          <t>Nation-State</t>
        </is>
      </c>
      <c r="E5" s="14" t="inlineStr">
        <is>
          <t>High</t>
        </is>
      </c>
      <c r="F5" s="14" t="inlineStr">
        <is>
          <t>Russia</t>
        </is>
      </c>
      <c r="G5" s="14" t="inlineStr">
        <is>
          <t>2008</t>
        </is>
      </c>
      <c r="H5" s="14" t="inlineStr">
        <is>
          <t>25.02.2026</t>
        </is>
      </c>
      <c r="I5" s="14" t="inlineStr">
        <is>
          <t>Yes</t>
        </is>
      </c>
      <c r="J5" s="14" t="inlineStr">
        <is>
          <t>Confirmed</t>
        </is>
      </c>
      <c r="K5" s="14" t="inlineStr">
        <is>
          <t>Espionage</t>
        </is>
      </c>
      <c r="L5" s="14" t="inlineStr">
        <is>
          <t>Advanced</t>
        </is>
      </c>
      <c r="M5" s="14" t="inlineStr">
        <is>
          <t>Spearphishing / Living off the Land</t>
        </is>
      </c>
      <c r="N5" s="14" t="inlineStr">
        <is>
          <t>LOSTKEYS</t>
        </is>
      </c>
      <c r="O5" s="14" t="inlineStr">
        <is>
          <t>TLS beaconing via CDN</t>
        </is>
      </c>
      <c r="P5" s="14" t="inlineStr">
        <is>
          <t>CVE-2024-21413</t>
        </is>
      </c>
      <c r="Q5" s="14" t="inlineStr">
        <is>
          <t>3</t>
        </is>
      </c>
      <c r="R5" s="14" t="inlineStr">
        <is>
          <t>CAM-001</t>
        </is>
      </c>
      <c r="S5" s="14" t="inlineStr">
        <is>
          <t>25.02.2026</t>
        </is>
      </c>
      <c r="T5" s="14" t="n"/>
    </row>
    <row r="6">
      <c r="A6" s="15" t="n"/>
      <c r="B6" s="22" t="n"/>
      <c r="C6" s="22" t="n"/>
      <c r="D6" s="22" t="n"/>
      <c r="E6" s="22" t="n"/>
      <c r="F6" s="22" t="n"/>
      <c r="G6" s="20" t="n"/>
      <c r="H6" s="20" t="n"/>
      <c r="I6" s="22" t="n"/>
      <c r="J6" s="22" t="n"/>
      <c r="K6" s="22" t="n"/>
      <c r="L6" s="22" t="n"/>
      <c r="M6" s="22" t="n"/>
      <c r="N6" s="22" t="n"/>
      <c r="O6" s="22" t="n"/>
      <c r="P6" s="22" t="n"/>
      <c r="Q6" s="23" t="n"/>
      <c r="R6" s="22" t="n"/>
      <c r="S6" s="20" t="n"/>
      <c r="T6" s="22" t="n"/>
    </row>
    <row r="7">
      <c r="A7" s="15" t="n"/>
      <c r="B7" s="22" t="n"/>
      <c r="C7" s="22" t="n"/>
      <c r="D7" s="22" t="n"/>
      <c r="E7" s="22" t="n"/>
      <c r="F7" s="22" t="n"/>
      <c r="G7" s="20" t="n"/>
      <c r="H7" s="20" t="n"/>
      <c r="I7" s="22" t="n"/>
      <c r="J7" s="22" t="n"/>
      <c r="K7" s="22" t="n"/>
      <c r="L7" s="22" t="n"/>
      <c r="M7" s="22" t="n"/>
      <c r="N7" s="22" t="n"/>
      <c r="O7" s="22" t="n"/>
      <c r="P7" s="22" t="n"/>
      <c r="Q7" s="23" t="n"/>
      <c r="R7" s="22" t="n"/>
      <c r="S7" s="20" t="n"/>
      <c r="T7" s="22" t="n"/>
    </row>
    <row r="8">
      <c r="A8" s="15" t="n"/>
      <c r="B8" s="22" t="n"/>
      <c r="C8" s="22" t="n"/>
      <c r="D8" s="22" t="n"/>
      <c r="E8" s="22" t="n"/>
      <c r="F8" s="22" t="n"/>
      <c r="G8" s="20" t="n"/>
      <c r="H8" s="20" t="n"/>
      <c r="I8" s="22" t="n"/>
      <c r="J8" s="22" t="n"/>
      <c r="K8" s="22" t="n"/>
      <c r="L8" s="22" t="n"/>
      <c r="M8" s="22" t="n"/>
      <c r="N8" s="22" t="n"/>
      <c r="O8" s="22" t="n"/>
      <c r="P8" s="22" t="n"/>
      <c r="Q8" s="23" t="n"/>
      <c r="R8" s="22" t="n"/>
      <c r="S8" s="20" t="n"/>
      <c r="T8" s="22" t="n"/>
    </row>
    <row r="9">
      <c r="A9" s="15" t="n"/>
      <c r="B9" s="22" t="n"/>
      <c r="C9" s="22" t="n"/>
      <c r="D9" s="22" t="n"/>
      <c r="E9" s="22" t="n"/>
      <c r="F9" s="22" t="n"/>
      <c r="G9" s="20" t="n"/>
      <c r="H9" s="20" t="n"/>
      <c r="I9" s="22" t="n"/>
      <c r="J9" s="22" t="n"/>
      <c r="K9" s="22" t="n"/>
      <c r="L9" s="22" t="n"/>
      <c r="M9" s="22" t="n"/>
      <c r="N9" s="22" t="n"/>
      <c r="O9" s="22" t="n"/>
      <c r="P9" s="22" t="n"/>
      <c r="Q9" s="23" t="n"/>
      <c r="R9" s="22" t="n"/>
      <c r="S9" s="20" t="n"/>
      <c r="T9" s="22" t="n"/>
    </row>
    <row r="10">
      <c r="A10" s="15" t="n"/>
      <c r="B10" s="22" t="n"/>
      <c r="C10" s="22" t="n"/>
      <c r="D10" s="22" t="n"/>
      <c r="E10" s="22" t="n"/>
      <c r="F10" s="22" t="n"/>
      <c r="G10" s="20" t="n"/>
      <c r="H10" s="20" t="n"/>
      <c r="I10" s="22" t="n"/>
      <c r="J10" s="22" t="n"/>
      <c r="K10" s="22" t="n"/>
      <c r="L10" s="22" t="n"/>
      <c r="M10" s="22" t="n"/>
      <c r="N10" s="22" t="n"/>
      <c r="O10" s="22" t="n"/>
      <c r="P10" s="22" t="n"/>
      <c r="Q10" s="23" t="n"/>
      <c r="R10" s="22" t="n"/>
      <c r="S10" s="20" t="n"/>
      <c r="T10" s="22" t="n"/>
    </row>
    <row r="11">
      <c r="A11" s="15" t="n"/>
      <c r="B11" s="22" t="n"/>
      <c r="C11" s="22" t="n"/>
      <c r="D11" s="22" t="n"/>
      <c r="E11" s="22" t="n"/>
      <c r="F11" s="22" t="n"/>
      <c r="G11" s="20" t="n"/>
      <c r="H11" s="20" t="n"/>
      <c r="I11" s="22" t="n"/>
      <c r="J11" s="22" t="n"/>
      <c r="K11" s="22" t="n"/>
      <c r="L11" s="22" t="n"/>
      <c r="M11" s="22" t="n"/>
      <c r="N11" s="22" t="n"/>
      <c r="O11" s="22" t="n"/>
      <c r="P11" s="22" t="n"/>
      <c r="Q11" s="23" t="n"/>
      <c r="R11" s="22" t="n"/>
      <c r="S11" s="20" t="n"/>
      <c r="T11" s="22" t="n"/>
    </row>
    <row r="12">
      <c r="A12" s="15" t="n"/>
      <c r="B12" s="22" t="n"/>
      <c r="C12" s="22" t="n"/>
      <c r="D12" s="22" t="n"/>
      <c r="E12" s="22" t="n"/>
      <c r="F12" s="22" t="n"/>
      <c r="G12" s="20" t="n"/>
      <c r="H12" s="20" t="n"/>
      <c r="I12" s="22" t="n"/>
      <c r="J12" s="22" t="n"/>
      <c r="K12" s="22" t="n"/>
      <c r="L12" s="22" t="n"/>
      <c r="M12" s="22" t="n"/>
      <c r="N12" s="22" t="n"/>
      <c r="O12" s="22" t="n"/>
      <c r="P12" s="22" t="n"/>
      <c r="Q12" s="23" t="n"/>
      <c r="R12" s="22" t="n"/>
      <c r="S12" s="20" t="n"/>
      <c r="T12" s="22" t="n"/>
    </row>
    <row r="13">
      <c r="A13" s="15" t="n"/>
      <c r="B13" s="22" t="n"/>
      <c r="C13" s="22" t="n"/>
      <c r="D13" s="22" t="n"/>
      <c r="E13" s="22" t="n"/>
      <c r="F13" s="22" t="n"/>
      <c r="G13" s="20" t="n"/>
      <c r="H13" s="20" t="n"/>
      <c r="I13" s="22" t="n"/>
      <c r="J13" s="22" t="n"/>
      <c r="K13" s="22" t="n"/>
      <c r="L13" s="22" t="n"/>
      <c r="M13" s="22" t="n"/>
      <c r="N13" s="22" t="n"/>
      <c r="O13" s="22" t="n"/>
      <c r="P13" s="22" t="n"/>
      <c r="Q13" s="23" t="n"/>
      <c r="R13" s="22" t="n"/>
      <c r="S13" s="20" t="n"/>
      <c r="T13" s="22" t="n"/>
    </row>
    <row r="14">
      <c r="A14" s="15" t="n"/>
      <c r="B14" s="22" t="n"/>
      <c r="C14" s="22" t="n"/>
      <c r="D14" s="22" t="n"/>
      <c r="E14" s="22" t="n"/>
      <c r="F14" s="22" t="n"/>
      <c r="G14" s="20" t="n"/>
      <c r="H14" s="20" t="n"/>
      <c r="I14" s="22" t="n"/>
      <c r="J14" s="22" t="n"/>
      <c r="K14" s="22" t="n"/>
      <c r="L14" s="22" t="n"/>
      <c r="M14" s="22" t="n"/>
      <c r="N14" s="22" t="n"/>
      <c r="O14" s="22" t="n"/>
      <c r="P14" s="22" t="n"/>
      <c r="Q14" s="23" t="n"/>
      <c r="R14" s="22" t="n"/>
      <c r="S14" s="20" t="n"/>
      <c r="T14" s="22" t="n"/>
    </row>
    <row r="15">
      <c r="A15" s="15" t="n"/>
      <c r="B15" s="22" t="n"/>
      <c r="C15" s="22" t="n"/>
      <c r="D15" s="22" t="n"/>
      <c r="E15" s="22" t="n"/>
      <c r="F15" s="22" t="n"/>
      <c r="G15" s="20" t="n"/>
      <c r="H15" s="20" t="n"/>
      <c r="I15" s="22" t="n"/>
      <c r="J15" s="22" t="n"/>
      <c r="K15" s="22" t="n"/>
      <c r="L15" s="22" t="n"/>
      <c r="M15" s="22" t="n"/>
      <c r="N15" s="22" t="n"/>
      <c r="O15" s="22" t="n"/>
      <c r="P15" s="22" t="n"/>
      <c r="Q15" s="23" t="n"/>
      <c r="R15" s="22" t="n"/>
      <c r="S15" s="20" t="n"/>
      <c r="T15" s="22" t="n"/>
    </row>
    <row r="16">
      <c r="A16" s="15" t="n"/>
      <c r="B16" s="22" t="n"/>
      <c r="C16" s="22" t="n"/>
      <c r="D16" s="22" t="n"/>
      <c r="E16" s="22" t="n"/>
      <c r="F16" s="22" t="n"/>
      <c r="G16" s="20" t="n"/>
      <c r="H16" s="20" t="n"/>
      <c r="I16" s="22" t="n"/>
      <c r="J16" s="22" t="n"/>
      <c r="K16" s="22" t="n"/>
      <c r="L16" s="22" t="n"/>
      <c r="M16" s="22" t="n"/>
      <c r="N16" s="22" t="n"/>
      <c r="O16" s="22" t="n"/>
      <c r="P16" s="22" t="n"/>
      <c r="Q16" s="23" t="n"/>
      <c r="R16" s="22" t="n"/>
      <c r="S16" s="20" t="n"/>
      <c r="T16" s="22" t="n"/>
    </row>
    <row r="17">
      <c r="A17" s="15" t="n"/>
      <c r="B17" s="22" t="n"/>
      <c r="C17" s="22" t="n"/>
      <c r="D17" s="22" t="n"/>
      <c r="E17" s="22" t="n"/>
      <c r="F17" s="22" t="n"/>
      <c r="G17" s="20" t="n"/>
      <c r="H17" s="20" t="n"/>
      <c r="I17" s="22" t="n"/>
      <c r="J17" s="22" t="n"/>
      <c r="K17" s="22" t="n"/>
      <c r="L17" s="22" t="n"/>
      <c r="M17" s="22" t="n"/>
      <c r="N17" s="22" t="n"/>
      <c r="O17" s="22" t="n"/>
      <c r="P17" s="22" t="n"/>
      <c r="Q17" s="23" t="n"/>
      <c r="R17" s="22" t="n"/>
      <c r="S17" s="20" t="n"/>
      <c r="T17" s="22" t="n"/>
    </row>
    <row r="18">
      <c r="A18" s="15" t="n"/>
      <c r="B18" s="22" t="n"/>
      <c r="C18" s="22" t="n"/>
      <c r="D18" s="22" t="n"/>
      <c r="E18" s="22" t="n"/>
      <c r="F18" s="22" t="n"/>
      <c r="G18" s="20" t="n"/>
      <c r="H18" s="20" t="n"/>
      <c r="I18" s="22" t="n"/>
      <c r="J18" s="22" t="n"/>
      <c r="K18" s="22" t="n"/>
      <c r="L18" s="22" t="n"/>
      <c r="M18" s="22" t="n"/>
      <c r="N18" s="22" t="n"/>
      <c r="O18" s="22" t="n"/>
      <c r="P18" s="22" t="n"/>
      <c r="Q18" s="23" t="n"/>
      <c r="R18" s="22" t="n"/>
      <c r="S18" s="20" t="n"/>
      <c r="T18" s="22" t="n"/>
    </row>
    <row r="19">
      <c r="A19" s="15" t="n"/>
      <c r="B19" s="22" t="n"/>
      <c r="C19" s="22" t="n"/>
      <c r="D19" s="22" t="n"/>
      <c r="E19" s="22" t="n"/>
      <c r="F19" s="22" t="n"/>
      <c r="G19" s="20" t="n"/>
      <c r="H19" s="20" t="n"/>
      <c r="I19" s="22" t="n"/>
      <c r="J19" s="22" t="n"/>
      <c r="K19" s="22" t="n"/>
      <c r="L19" s="22" t="n"/>
      <c r="M19" s="22" t="n"/>
      <c r="N19" s="22" t="n"/>
      <c r="O19" s="22" t="n"/>
      <c r="P19" s="22" t="n"/>
      <c r="Q19" s="23" t="n"/>
      <c r="R19" s="22" t="n"/>
      <c r="S19" s="20" t="n"/>
      <c r="T19" s="22" t="n"/>
    </row>
    <row r="20">
      <c r="A20" s="15" t="n"/>
      <c r="B20" s="22" t="n"/>
      <c r="C20" s="22" t="n"/>
      <c r="D20" s="22" t="n"/>
      <c r="E20" s="22" t="n"/>
      <c r="F20" s="22" t="n"/>
      <c r="G20" s="20" t="n"/>
      <c r="H20" s="20" t="n"/>
      <c r="I20" s="22" t="n"/>
      <c r="J20" s="22" t="n"/>
      <c r="K20" s="22" t="n"/>
      <c r="L20" s="22" t="n"/>
      <c r="M20" s="22" t="n"/>
      <c r="N20" s="22" t="n"/>
      <c r="O20" s="22" t="n"/>
      <c r="P20" s="22" t="n"/>
      <c r="Q20" s="23" t="n"/>
      <c r="R20" s="22" t="n"/>
      <c r="S20" s="20" t="n"/>
      <c r="T20" s="22" t="n"/>
    </row>
    <row r="21">
      <c r="A21" s="15" t="n"/>
      <c r="B21" s="22" t="n"/>
      <c r="C21" s="22" t="n"/>
      <c r="D21" s="22" t="n"/>
      <c r="E21" s="22" t="n"/>
      <c r="F21" s="22" t="n"/>
      <c r="G21" s="20" t="n"/>
      <c r="H21" s="20" t="n"/>
      <c r="I21" s="22" t="n"/>
      <c r="J21" s="22" t="n"/>
      <c r="K21" s="22" t="n"/>
      <c r="L21" s="22" t="n"/>
      <c r="M21" s="22" t="n"/>
      <c r="N21" s="22" t="n"/>
      <c r="O21" s="22" t="n"/>
      <c r="P21" s="22" t="n"/>
      <c r="Q21" s="23" t="n"/>
      <c r="R21" s="22" t="n"/>
      <c r="S21" s="20" t="n"/>
      <c r="T21" s="22" t="n"/>
    </row>
    <row r="22">
      <c r="A22" s="15" t="n"/>
      <c r="B22" s="22" t="n"/>
      <c r="C22" s="22" t="n"/>
      <c r="D22" s="22" t="n"/>
      <c r="E22" s="22" t="n"/>
      <c r="F22" s="22" t="n"/>
      <c r="G22" s="20" t="n"/>
      <c r="H22" s="20" t="n"/>
      <c r="I22" s="22" t="n"/>
      <c r="J22" s="22" t="n"/>
      <c r="K22" s="22" t="n"/>
      <c r="L22" s="22" t="n"/>
      <c r="M22" s="22" t="n"/>
      <c r="N22" s="22" t="n"/>
      <c r="O22" s="22" t="n"/>
      <c r="P22" s="22" t="n"/>
      <c r="Q22" s="23" t="n"/>
      <c r="R22" s="22" t="n"/>
      <c r="S22" s="20" t="n"/>
      <c r="T22" s="22" t="n"/>
    </row>
    <row r="23">
      <c r="A23" s="15" t="n"/>
      <c r="B23" s="22" t="n"/>
      <c r="C23" s="22" t="n"/>
      <c r="D23" s="22" t="n"/>
      <c r="E23" s="22" t="n"/>
      <c r="F23" s="22" t="n"/>
      <c r="G23" s="20" t="n"/>
      <c r="H23" s="20" t="n"/>
      <c r="I23" s="22" t="n"/>
      <c r="J23" s="22" t="n"/>
      <c r="K23" s="22" t="n"/>
      <c r="L23" s="22" t="n"/>
      <c r="M23" s="22" t="n"/>
      <c r="N23" s="22" t="n"/>
      <c r="O23" s="22" t="n"/>
      <c r="P23" s="22" t="n"/>
      <c r="Q23" s="23" t="n"/>
      <c r="R23" s="22" t="n"/>
      <c r="S23" s="20" t="n"/>
      <c r="T23" s="22" t="n"/>
    </row>
    <row r="24">
      <c r="A24" s="15" t="n"/>
      <c r="B24" s="22" t="n"/>
      <c r="C24" s="22" t="n"/>
      <c r="D24" s="22" t="n"/>
      <c r="E24" s="22" t="n"/>
      <c r="F24" s="22" t="n"/>
      <c r="G24" s="20" t="n"/>
      <c r="H24" s="20" t="n"/>
      <c r="I24" s="22" t="n"/>
      <c r="J24" s="22" t="n"/>
      <c r="K24" s="22" t="n"/>
      <c r="L24" s="22" t="n"/>
      <c r="M24" s="22" t="n"/>
      <c r="N24" s="22" t="n"/>
      <c r="O24" s="22" t="n"/>
      <c r="P24" s="22" t="n"/>
      <c r="Q24" s="23" t="n"/>
      <c r="R24" s="22" t="n"/>
      <c r="S24" s="20" t="n"/>
      <c r="T24" s="22" t="n"/>
    </row>
    <row r="25">
      <c r="A25" s="15" t="n"/>
      <c r="B25" s="22" t="n"/>
      <c r="C25" s="22" t="n"/>
      <c r="D25" s="22" t="n"/>
      <c r="E25" s="22" t="n"/>
      <c r="F25" s="22" t="n"/>
      <c r="G25" s="20" t="n"/>
      <c r="H25" s="20" t="n"/>
      <c r="I25" s="22" t="n"/>
      <c r="J25" s="22" t="n"/>
      <c r="K25" s="22" t="n"/>
      <c r="L25" s="22" t="n"/>
      <c r="M25" s="22" t="n"/>
      <c r="N25" s="22" t="n"/>
      <c r="O25" s="22" t="n"/>
      <c r="P25" s="22" t="n"/>
      <c r="Q25" s="23" t="n"/>
      <c r="R25" s="22" t="n"/>
      <c r="S25" s="20" t="n"/>
      <c r="T25" s="22" t="n"/>
    </row>
    <row r="26">
      <c r="A26" s="15" t="n"/>
      <c r="B26" s="22" t="n"/>
      <c r="C26" s="22" t="n"/>
      <c r="D26" s="22" t="n"/>
      <c r="E26" s="22" t="n"/>
      <c r="F26" s="22" t="n"/>
      <c r="G26" s="20" t="n"/>
      <c r="H26" s="20" t="n"/>
      <c r="I26" s="22" t="n"/>
      <c r="J26" s="22" t="n"/>
      <c r="K26" s="22" t="n"/>
      <c r="L26" s="22" t="n"/>
      <c r="M26" s="22" t="n"/>
      <c r="N26" s="22" t="n"/>
      <c r="O26" s="22" t="n"/>
      <c r="P26" s="22" t="n"/>
      <c r="Q26" s="23" t="n"/>
      <c r="R26" s="22" t="n"/>
      <c r="S26" s="20" t="n"/>
      <c r="T26" s="22" t="n"/>
    </row>
    <row r="27">
      <c r="A27" s="15" t="n"/>
      <c r="B27" s="22" t="n"/>
      <c r="C27" s="22" t="n"/>
      <c r="D27" s="22" t="n"/>
      <c r="E27" s="22" t="n"/>
      <c r="F27" s="22" t="n"/>
      <c r="G27" s="20" t="n"/>
      <c r="H27" s="20" t="n"/>
      <c r="I27" s="22" t="n"/>
      <c r="J27" s="22" t="n"/>
      <c r="K27" s="22" t="n"/>
      <c r="L27" s="22" t="n"/>
      <c r="M27" s="22" t="n"/>
      <c r="N27" s="22" t="n"/>
      <c r="O27" s="22" t="n"/>
      <c r="P27" s="22" t="n"/>
      <c r="Q27" s="23" t="n"/>
      <c r="R27" s="22" t="n"/>
      <c r="S27" s="20" t="n"/>
      <c r="T27" s="22" t="n"/>
    </row>
    <row r="28">
      <c r="A28" s="15" t="n"/>
      <c r="B28" s="22" t="n"/>
      <c r="C28" s="22" t="n"/>
      <c r="D28" s="22" t="n"/>
      <c r="E28" s="22" t="n"/>
      <c r="F28" s="22" t="n"/>
      <c r="G28" s="20" t="n"/>
      <c r="H28" s="20" t="n"/>
      <c r="I28" s="22" t="n"/>
      <c r="J28" s="22" t="n"/>
      <c r="K28" s="22" t="n"/>
      <c r="L28" s="22" t="n"/>
      <c r="M28" s="22" t="n"/>
      <c r="N28" s="22" t="n"/>
      <c r="O28" s="22" t="n"/>
      <c r="P28" s="22" t="n"/>
      <c r="Q28" s="23" t="n"/>
      <c r="R28" s="22" t="n"/>
      <c r="S28" s="20" t="n"/>
      <c r="T28" s="22" t="n"/>
    </row>
    <row r="29">
      <c r="A29" s="15" t="n"/>
      <c r="B29" s="22" t="n"/>
      <c r="C29" s="22" t="n"/>
      <c r="D29" s="22" t="n"/>
      <c r="E29" s="22" t="n"/>
      <c r="F29" s="22" t="n"/>
      <c r="G29" s="20" t="n"/>
      <c r="H29" s="20" t="n"/>
      <c r="I29" s="22" t="n"/>
      <c r="J29" s="22" t="n"/>
      <c r="K29" s="22" t="n"/>
      <c r="L29" s="22" t="n"/>
      <c r="M29" s="22" t="n"/>
      <c r="N29" s="22" t="n"/>
      <c r="O29" s="22" t="n"/>
      <c r="P29" s="22" t="n"/>
      <c r="Q29" s="23" t="n"/>
      <c r="R29" s="22" t="n"/>
      <c r="S29" s="20" t="n"/>
      <c r="T29" s="22" t="n"/>
    </row>
    <row r="30">
      <c r="A30" s="15" t="n"/>
      <c r="B30" s="22" t="n"/>
      <c r="C30" s="22" t="n"/>
      <c r="D30" s="22" t="n"/>
      <c r="E30" s="22" t="n"/>
      <c r="F30" s="22" t="n"/>
      <c r="G30" s="20" t="n"/>
      <c r="H30" s="20" t="n"/>
      <c r="I30" s="22" t="n"/>
      <c r="J30" s="22" t="n"/>
      <c r="K30" s="22" t="n"/>
      <c r="L30" s="22" t="n"/>
      <c r="M30" s="22" t="n"/>
      <c r="N30" s="22" t="n"/>
      <c r="O30" s="22" t="n"/>
      <c r="P30" s="22" t="n"/>
      <c r="Q30" s="23" t="n"/>
      <c r="R30" s="22" t="n"/>
      <c r="S30" s="20" t="n"/>
      <c r="T30" s="22" t="n"/>
    </row>
    <row r="31">
      <c r="A31" s="15" t="n"/>
      <c r="B31" s="22" t="n"/>
      <c r="C31" s="22" t="n"/>
      <c r="D31" s="22" t="n"/>
      <c r="E31" s="22" t="n"/>
      <c r="F31" s="22" t="n"/>
      <c r="G31" s="20" t="n"/>
      <c r="H31" s="20" t="n"/>
      <c r="I31" s="22" t="n"/>
      <c r="J31" s="22" t="n"/>
      <c r="K31" s="22" t="n"/>
      <c r="L31" s="22" t="n"/>
      <c r="M31" s="22" t="n"/>
      <c r="N31" s="22" t="n"/>
      <c r="O31" s="22" t="n"/>
      <c r="P31" s="22" t="n"/>
      <c r="Q31" s="23" t="n"/>
      <c r="R31" s="22" t="n"/>
      <c r="S31" s="20" t="n"/>
      <c r="T31" s="22" t="n"/>
    </row>
    <row r="32">
      <c r="A32" s="15" t="n"/>
      <c r="B32" s="22" t="n"/>
      <c r="C32" s="22" t="n"/>
      <c r="D32" s="22" t="n"/>
      <c r="E32" s="22" t="n"/>
      <c r="F32" s="22" t="n"/>
      <c r="G32" s="20" t="n"/>
      <c r="H32" s="20" t="n"/>
      <c r="I32" s="22" t="n"/>
      <c r="J32" s="22" t="n"/>
      <c r="K32" s="22" t="n"/>
      <c r="L32" s="22" t="n"/>
      <c r="M32" s="22" t="n"/>
      <c r="N32" s="22" t="n"/>
      <c r="O32" s="22" t="n"/>
      <c r="P32" s="22" t="n"/>
      <c r="Q32" s="23" t="n"/>
      <c r="R32" s="22" t="n"/>
      <c r="S32" s="20" t="n"/>
      <c r="T32" s="22" t="n"/>
    </row>
    <row r="33">
      <c r="A33" s="15" t="n"/>
      <c r="B33" s="22" t="n"/>
      <c r="C33" s="22" t="n"/>
      <c r="D33" s="22" t="n"/>
      <c r="E33" s="22" t="n"/>
      <c r="F33" s="22" t="n"/>
      <c r="G33" s="20" t="n"/>
      <c r="H33" s="20" t="n"/>
      <c r="I33" s="22" t="n"/>
      <c r="J33" s="22" t="n"/>
      <c r="K33" s="22" t="n"/>
      <c r="L33" s="22" t="n"/>
      <c r="M33" s="22" t="n"/>
      <c r="N33" s="22" t="n"/>
      <c r="O33" s="22" t="n"/>
      <c r="P33" s="22" t="n"/>
      <c r="Q33" s="23" t="n"/>
      <c r="R33" s="22" t="n"/>
      <c r="S33" s="20" t="n"/>
      <c r="T33" s="22" t="n"/>
    </row>
    <row r="34">
      <c r="A34" s="15" t="n"/>
      <c r="B34" s="22" t="n"/>
      <c r="C34" s="22" t="n"/>
      <c r="D34" s="22" t="n"/>
      <c r="E34" s="22" t="n"/>
      <c r="F34" s="22" t="n"/>
      <c r="G34" s="20" t="n"/>
      <c r="H34" s="20" t="n"/>
      <c r="I34" s="22" t="n"/>
      <c r="J34" s="22" t="n"/>
      <c r="K34" s="22" t="n"/>
      <c r="L34" s="22" t="n"/>
      <c r="M34" s="22" t="n"/>
      <c r="N34" s="22" t="n"/>
      <c r="O34" s="22" t="n"/>
      <c r="P34" s="22" t="n"/>
      <c r="Q34" s="23" t="n"/>
      <c r="R34" s="22" t="n"/>
      <c r="S34" s="20" t="n"/>
      <c r="T34" s="22" t="n"/>
    </row>
    <row r="35">
      <c r="A35" s="15" t="n"/>
      <c r="B35" s="22" t="n"/>
      <c r="C35" s="22" t="n"/>
      <c r="D35" s="22" t="n"/>
      <c r="E35" s="22" t="n"/>
      <c r="F35" s="22" t="n"/>
      <c r="G35" s="20" t="n"/>
      <c r="H35" s="20" t="n"/>
      <c r="I35" s="22" t="n"/>
      <c r="J35" s="22" t="n"/>
      <c r="K35" s="22" t="n"/>
      <c r="L35" s="22" t="n"/>
      <c r="M35" s="22" t="n"/>
      <c r="N35" s="22" t="n"/>
      <c r="O35" s="22" t="n"/>
      <c r="P35" s="22" t="n"/>
      <c r="Q35" s="23" t="n"/>
      <c r="R35" s="22" t="n"/>
      <c r="S35" s="20" t="n"/>
      <c r="T35" s="22" t="n"/>
    </row>
    <row r="36">
      <c r="A36" s="15" t="n"/>
      <c r="B36" s="22" t="n"/>
      <c r="C36" s="22" t="n"/>
      <c r="D36" s="22" t="n"/>
      <c r="E36" s="22" t="n"/>
      <c r="F36" s="22" t="n"/>
      <c r="G36" s="20" t="n"/>
      <c r="H36" s="20" t="n"/>
      <c r="I36" s="22" t="n"/>
      <c r="J36" s="22" t="n"/>
      <c r="K36" s="22" t="n"/>
      <c r="L36" s="22" t="n"/>
      <c r="M36" s="22" t="n"/>
      <c r="N36" s="22" t="n"/>
      <c r="O36" s="22" t="n"/>
      <c r="P36" s="22" t="n"/>
      <c r="Q36" s="23" t="n"/>
      <c r="R36" s="22" t="n"/>
      <c r="S36" s="20" t="n"/>
      <c r="T36" s="22" t="n"/>
    </row>
    <row r="37">
      <c r="A37" s="15" t="n"/>
      <c r="B37" s="22" t="n"/>
      <c r="C37" s="22" t="n"/>
      <c r="D37" s="22" t="n"/>
      <c r="E37" s="22" t="n"/>
      <c r="F37" s="22" t="n"/>
      <c r="G37" s="20" t="n"/>
      <c r="H37" s="20" t="n"/>
      <c r="I37" s="22" t="n"/>
      <c r="J37" s="22" t="n"/>
      <c r="K37" s="22" t="n"/>
      <c r="L37" s="22" t="n"/>
      <c r="M37" s="22" t="n"/>
      <c r="N37" s="22" t="n"/>
      <c r="O37" s="22" t="n"/>
      <c r="P37" s="22" t="n"/>
      <c r="Q37" s="23" t="n"/>
      <c r="R37" s="22" t="n"/>
      <c r="S37" s="20" t="n"/>
      <c r="T37" s="22" t="n"/>
    </row>
    <row r="38">
      <c r="A38" s="15" t="n"/>
      <c r="B38" s="22" t="n"/>
      <c r="C38" s="22" t="n"/>
      <c r="D38" s="22" t="n"/>
      <c r="E38" s="22" t="n"/>
      <c r="F38" s="22" t="n"/>
      <c r="G38" s="20" t="n"/>
      <c r="H38" s="20" t="n"/>
      <c r="I38" s="22" t="n"/>
      <c r="J38" s="22" t="n"/>
      <c r="K38" s="22" t="n"/>
      <c r="L38" s="22" t="n"/>
      <c r="M38" s="22" t="n"/>
      <c r="N38" s="22" t="n"/>
      <c r="O38" s="22" t="n"/>
      <c r="P38" s="22" t="n"/>
      <c r="Q38" s="23" t="n"/>
      <c r="R38" s="22" t="n"/>
      <c r="S38" s="20" t="n"/>
      <c r="T38" s="22" t="n"/>
    </row>
    <row r="39">
      <c r="A39" s="15" t="n"/>
      <c r="B39" s="22" t="n"/>
      <c r="C39" s="22" t="n"/>
      <c r="D39" s="22" t="n"/>
      <c r="E39" s="22" t="n"/>
      <c r="F39" s="22" t="n"/>
      <c r="G39" s="20" t="n"/>
      <c r="H39" s="20" t="n"/>
      <c r="I39" s="22" t="n"/>
      <c r="J39" s="22" t="n"/>
      <c r="K39" s="22" t="n"/>
      <c r="L39" s="22" t="n"/>
      <c r="M39" s="22" t="n"/>
      <c r="N39" s="22" t="n"/>
      <c r="O39" s="22" t="n"/>
      <c r="P39" s="22" t="n"/>
      <c r="Q39" s="23" t="n"/>
      <c r="R39" s="22" t="n"/>
      <c r="S39" s="20" t="n"/>
      <c r="T39" s="22" t="n"/>
    </row>
    <row r="40">
      <c r="A40" s="15" t="n"/>
      <c r="B40" s="22" t="n"/>
      <c r="C40" s="22" t="n"/>
      <c r="D40" s="22" t="n"/>
      <c r="E40" s="22" t="n"/>
      <c r="F40" s="22" t="n"/>
      <c r="G40" s="20" t="n"/>
      <c r="H40" s="20" t="n"/>
      <c r="I40" s="22" t="n"/>
      <c r="J40" s="22" t="n"/>
      <c r="K40" s="22" t="n"/>
      <c r="L40" s="22" t="n"/>
      <c r="M40" s="22" t="n"/>
      <c r="N40" s="22" t="n"/>
      <c r="O40" s="22" t="n"/>
      <c r="P40" s="22" t="n"/>
      <c r="Q40" s="23" t="n"/>
      <c r="R40" s="22" t="n"/>
      <c r="S40" s="20" t="n"/>
      <c r="T40" s="22" t="n"/>
    </row>
    <row r="41">
      <c r="A41" s="15" t="n"/>
      <c r="B41" s="22" t="n"/>
      <c r="C41" s="22" t="n"/>
      <c r="D41" s="22" t="n"/>
      <c r="E41" s="22" t="n"/>
      <c r="F41" s="22" t="n"/>
      <c r="G41" s="20" t="n"/>
      <c r="H41" s="20" t="n"/>
      <c r="I41" s="22" t="n"/>
      <c r="J41" s="22" t="n"/>
      <c r="K41" s="22" t="n"/>
      <c r="L41" s="22" t="n"/>
      <c r="M41" s="22" t="n"/>
      <c r="N41" s="22" t="n"/>
      <c r="O41" s="22" t="n"/>
      <c r="P41" s="22" t="n"/>
      <c r="Q41" s="23" t="n"/>
      <c r="R41" s="22" t="n"/>
      <c r="S41" s="20" t="n"/>
      <c r="T41" s="22" t="n"/>
    </row>
    <row r="42">
      <c r="A42" s="15" t="n"/>
      <c r="B42" s="22" t="n"/>
      <c r="C42" s="22" t="n"/>
      <c r="D42" s="22" t="n"/>
      <c r="E42" s="22" t="n"/>
      <c r="F42" s="22" t="n"/>
      <c r="G42" s="20" t="n"/>
      <c r="H42" s="20" t="n"/>
      <c r="I42" s="22" t="n"/>
      <c r="J42" s="22" t="n"/>
      <c r="K42" s="22" t="n"/>
      <c r="L42" s="22" t="n"/>
      <c r="M42" s="22" t="n"/>
      <c r="N42" s="22" t="n"/>
      <c r="O42" s="22" t="n"/>
      <c r="P42" s="22" t="n"/>
      <c r="Q42" s="23" t="n"/>
      <c r="R42" s="22" t="n"/>
      <c r="S42" s="20" t="n"/>
      <c r="T42" s="22" t="n"/>
    </row>
    <row r="43">
      <c r="A43" s="15" t="n"/>
      <c r="B43" s="22" t="n"/>
      <c r="C43" s="22" t="n"/>
      <c r="D43" s="22" t="n"/>
      <c r="E43" s="22" t="n"/>
      <c r="F43" s="22" t="n"/>
      <c r="G43" s="20" t="n"/>
      <c r="H43" s="20" t="n"/>
      <c r="I43" s="22" t="n"/>
      <c r="J43" s="22" t="n"/>
      <c r="K43" s="22" t="n"/>
      <c r="L43" s="22" t="n"/>
      <c r="M43" s="22" t="n"/>
      <c r="N43" s="22" t="n"/>
      <c r="O43" s="22" t="n"/>
      <c r="P43" s="22" t="n"/>
      <c r="Q43" s="23" t="n"/>
      <c r="R43" s="22" t="n"/>
      <c r="S43" s="20" t="n"/>
      <c r="T43" s="22" t="n"/>
    </row>
    <row r="44">
      <c r="A44" s="15" t="n"/>
      <c r="B44" s="22" t="n"/>
      <c r="C44" s="22" t="n"/>
      <c r="D44" s="22" t="n"/>
      <c r="E44" s="22" t="n"/>
      <c r="F44" s="22" t="n"/>
      <c r="G44" s="20" t="n"/>
      <c r="H44" s="20" t="n"/>
      <c r="I44" s="22" t="n"/>
      <c r="J44" s="22" t="n"/>
      <c r="K44" s="22" t="n"/>
      <c r="L44" s="22" t="n"/>
      <c r="M44" s="22" t="n"/>
      <c r="N44" s="22" t="n"/>
      <c r="O44" s="22" t="n"/>
      <c r="P44" s="22" t="n"/>
      <c r="Q44" s="23" t="n"/>
      <c r="R44" s="22" t="n"/>
      <c r="S44" s="20" t="n"/>
      <c r="T44" s="22" t="n"/>
    </row>
    <row r="45">
      <c r="A45" s="15" t="n"/>
      <c r="B45" s="22" t="n"/>
      <c r="C45" s="22" t="n"/>
      <c r="D45" s="22" t="n"/>
      <c r="E45" s="22" t="n"/>
      <c r="F45" s="22" t="n"/>
      <c r="G45" s="20" t="n"/>
      <c r="H45" s="20" t="n"/>
      <c r="I45" s="22" t="n"/>
      <c r="J45" s="22" t="n"/>
      <c r="K45" s="22" t="n"/>
      <c r="L45" s="22" t="n"/>
      <c r="M45" s="22" t="n"/>
      <c r="N45" s="22" t="n"/>
      <c r="O45" s="22" t="n"/>
      <c r="P45" s="22" t="n"/>
      <c r="Q45" s="23" t="n"/>
      <c r="R45" s="22" t="n"/>
      <c r="S45" s="20" t="n"/>
      <c r="T45" s="22" t="n"/>
    </row>
    <row r="46">
      <c r="A46" s="15" t="n"/>
      <c r="B46" s="22" t="n"/>
      <c r="C46" s="22" t="n"/>
      <c r="D46" s="22" t="n"/>
      <c r="E46" s="22" t="n"/>
      <c r="F46" s="22" t="n"/>
      <c r="G46" s="20" t="n"/>
      <c r="H46" s="20" t="n"/>
      <c r="I46" s="22" t="n"/>
      <c r="J46" s="22" t="n"/>
      <c r="K46" s="22" t="n"/>
      <c r="L46" s="22" t="n"/>
      <c r="M46" s="22" t="n"/>
      <c r="N46" s="22" t="n"/>
      <c r="O46" s="22" t="n"/>
      <c r="P46" s="22" t="n"/>
      <c r="Q46" s="23" t="n"/>
      <c r="R46" s="22" t="n"/>
      <c r="S46" s="20" t="n"/>
      <c r="T46" s="22" t="n"/>
    </row>
    <row r="47">
      <c r="A47" s="15" t="n"/>
      <c r="B47" s="22" t="n"/>
      <c r="C47" s="22" t="n"/>
      <c r="D47" s="22" t="n"/>
      <c r="E47" s="22" t="n"/>
      <c r="F47" s="22" t="n"/>
      <c r="G47" s="20" t="n"/>
      <c r="H47" s="20" t="n"/>
      <c r="I47" s="22" t="n"/>
      <c r="J47" s="22" t="n"/>
      <c r="K47" s="22" t="n"/>
      <c r="L47" s="22" t="n"/>
      <c r="M47" s="22" t="n"/>
      <c r="N47" s="22" t="n"/>
      <c r="O47" s="22" t="n"/>
      <c r="P47" s="22" t="n"/>
      <c r="Q47" s="23" t="n"/>
      <c r="R47" s="22" t="n"/>
      <c r="S47" s="20" t="n"/>
      <c r="T47" s="22" t="n"/>
    </row>
    <row r="48">
      <c r="A48" s="15" t="n"/>
      <c r="B48" s="22" t="n"/>
      <c r="C48" s="22" t="n"/>
      <c r="D48" s="22" t="n"/>
      <c r="E48" s="22" t="n"/>
      <c r="F48" s="22" t="n"/>
      <c r="G48" s="20" t="n"/>
      <c r="H48" s="20" t="n"/>
      <c r="I48" s="22" t="n"/>
      <c r="J48" s="22" t="n"/>
      <c r="K48" s="22" t="n"/>
      <c r="L48" s="22" t="n"/>
      <c r="M48" s="22" t="n"/>
      <c r="N48" s="22" t="n"/>
      <c r="O48" s="22" t="n"/>
      <c r="P48" s="22" t="n"/>
      <c r="Q48" s="23" t="n"/>
      <c r="R48" s="22" t="n"/>
      <c r="S48" s="20" t="n"/>
      <c r="T48" s="22" t="n"/>
    </row>
    <row r="49">
      <c r="A49" s="15" t="n"/>
      <c r="B49" s="22" t="n"/>
      <c r="C49" s="22" t="n"/>
      <c r="D49" s="22" t="n"/>
      <c r="E49" s="22" t="n"/>
      <c r="F49" s="22" t="n"/>
      <c r="G49" s="20" t="n"/>
      <c r="H49" s="20" t="n"/>
      <c r="I49" s="22" t="n"/>
      <c r="J49" s="22" t="n"/>
      <c r="K49" s="22" t="n"/>
      <c r="L49" s="22" t="n"/>
      <c r="M49" s="22" t="n"/>
      <c r="N49" s="22" t="n"/>
      <c r="O49" s="22" t="n"/>
      <c r="P49" s="22" t="n"/>
      <c r="Q49" s="23" t="n"/>
      <c r="R49" s="22" t="n"/>
      <c r="S49" s="20" t="n"/>
      <c r="T49" s="22" t="n"/>
    </row>
    <row r="50">
      <c r="A50" s="15" t="n"/>
      <c r="B50" s="22" t="n"/>
      <c r="C50" s="22" t="n"/>
      <c r="D50" s="22" t="n"/>
      <c r="E50" s="22" t="n"/>
      <c r="F50" s="22" t="n"/>
      <c r="G50" s="20" t="n"/>
      <c r="H50" s="20" t="n"/>
      <c r="I50" s="22" t="n"/>
      <c r="J50" s="22" t="n"/>
      <c r="K50" s="22" t="n"/>
      <c r="L50" s="22" t="n"/>
      <c r="M50" s="22" t="n"/>
      <c r="N50" s="22" t="n"/>
      <c r="O50" s="22" t="n"/>
      <c r="P50" s="22" t="n"/>
      <c r="Q50" s="23" t="n"/>
      <c r="R50" s="22" t="n"/>
      <c r="S50" s="20" t="n"/>
      <c r="T50" s="22" t="n"/>
    </row>
    <row r="51">
      <c r="A51" s="15" t="n"/>
      <c r="B51" s="22" t="n"/>
      <c r="C51" s="22" t="n"/>
      <c r="D51" s="22" t="n"/>
      <c r="E51" s="22" t="n"/>
      <c r="F51" s="22" t="n"/>
      <c r="G51" s="20" t="n"/>
      <c r="H51" s="20" t="n"/>
      <c r="I51" s="22" t="n"/>
      <c r="J51" s="22" t="n"/>
      <c r="K51" s="22" t="n"/>
      <c r="L51" s="22" t="n"/>
      <c r="M51" s="22" t="n"/>
      <c r="N51" s="22" t="n"/>
      <c r="O51" s="22" t="n"/>
      <c r="P51" s="22" t="n"/>
      <c r="Q51" s="23" t="n"/>
      <c r="R51" s="22" t="n"/>
      <c r="S51" s="20" t="n"/>
      <c r="T51" s="22" t="n"/>
    </row>
    <row r="52">
      <c r="A52" s="15" t="n"/>
      <c r="B52" s="22" t="n"/>
      <c r="C52" s="22" t="n"/>
      <c r="D52" s="22" t="n"/>
      <c r="E52" s="22" t="n"/>
      <c r="F52" s="22" t="n"/>
      <c r="G52" s="20" t="n"/>
      <c r="H52" s="20" t="n"/>
      <c r="I52" s="22" t="n"/>
      <c r="J52" s="22" t="n"/>
      <c r="K52" s="22" t="n"/>
      <c r="L52" s="22" t="n"/>
      <c r="M52" s="22" t="n"/>
      <c r="N52" s="22" t="n"/>
      <c r="O52" s="22" t="n"/>
      <c r="P52" s="22" t="n"/>
      <c r="Q52" s="23" t="n"/>
      <c r="R52" s="22" t="n"/>
      <c r="S52" s="20" t="n"/>
      <c r="T52" s="22" t="n"/>
    </row>
    <row r="53">
      <c r="A53" s="15" t="n"/>
      <c r="B53" s="22" t="n"/>
      <c r="C53" s="22" t="n"/>
      <c r="D53" s="22" t="n"/>
      <c r="E53" s="22" t="n"/>
      <c r="F53" s="22" t="n"/>
      <c r="G53" s="20" t="n"/>
      <c r="H53" s="20" t="n"/>
      <c r="I53" s="22" t="n"/>
      <c r="J53" s="22" t="n"/>
      <c r="K53" s="22" t="n"/>
      <c r="L53" s="22" t="n"/>
      <c r="M53" s="22" t="n"/>
      <c r="N53" s="22" t="n"/>
      <c r="O53" s="22" t="n"/>
      <c r="P53" s="22" t="n"/>
      <c r="Q53" s="23" t="n"/>
      <c r="R53" s="22" t="n"/>
      <c r="S53" s="20" t="n"/>
      <c r="T53" s="22" t="n"/>
    </row>
    <row r="54">
      <c r="A54" s="15" t="n"/>
      <c r="B54" s="22" t="n"/>
      <c r="C54" s="22" t="n"/>
      <c r="D54" s="22" t="n"/>
      <c r="E54" s="22" t="n"/>
      <c r="F54" s="22" t="n"/>
      <c r="G54" s="20" t="n"/>
      <c r="H54" s="20" t="n"/>
      <c r="I54" s="22" t="n"/>
      <c r="J54" s="22" t="n"/>
      <c r="K54" s="22" t="n"/>
      <c r="L54" s="22" t="n"/>
      <c r="M54" s="22" t="n"/>
      <c r="N54" s="22" t="n"/>
      <c r="O54" s="22" t="n"/>
      <c r="P54" s="22" t="n"/>
      <c r="Q54" s="23" t="n"/>
      <c r="R54" s="22" t="n"/>
      <c r="S54" s="20" t="n"/>
      <c r="T54" s="22" t="n"/>
    </row>
    <row r="55">
      <c r="A55" s="15" t="n"/>
      <c r="B55" s="22" t="n"/>
      <c r="C55" s="22" t="n"/>
      <c r="D55" s="22" t="n"/>
      <c r="E55" s="22" t="n"/>
      <c r="F55" s="22" t="n"/>
      <c r="G55" s="20" t="n"/>
      <c r="H55" s="20" t="n"/>
      <c r="I55" s="22" t="n"/>
      <c r="J55" s="22" t="n"/>
      <c r="K55" s="22" t="n"/>
      <c r="L55" s="22" t="n"/>
      <c r="M55" s="22" t="n"/>
      <c r="N55" s="22" t="n"/>
      <c r="O55" s="22" t="n"/>
      <c r="P55" s="22" t="n"/>
      <c r="Q55" s="23" t="n"/>
      <c r="R55" s="22" t="n"/>
      <c r="S55" s="20" t="n"/>
      <c r="T55" s="22" t="n"/>
    </row>
  </sheetData>
  <mergeCells count="2">
    <mergeCell ref="A1:T1"/>
    <mergeCell ref="A2:T2"/>
  </mergeCells>
  <conditionalFormatting sqref="J6:J55">
    <cfRule type="cellIs" priority="1" operator="equal" dxfId="0">
      <formula>"Confirmed"</formula>
    </cfRule>
    <cfRule type="cellIs" priority="2" operator="equal" dxfId="1">
      <formula>"Suspected"</formula>
    </cfRule>
  </conditionalFormatting>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X55"/>
  <sheetViews>
    <sheetView showGridLines="0" workbookViewId="0">
      <pane ySplit="3" topLeftCell="A4" activePane="bottomLeft" state="frozen"/>
      <selection pane="bottomLeft" activeCell="A1" sqref="A1"/>
    </sheetView>
  </sheetViews>
  <sheetFormatPr baseColWidth="8" defaultRowHeight="15"/>
  <cols>
    <col width="16" customWidth="1" min="1" max="1"/>
    <col width="30" customWidth="1" min="2" max="2"/>
    <col width="12" customWidth="1" min="3" max="3"/>
    <col width="25" customWidth="1" min="4" max="4"/>
    <col width="12" customWidth="1" min="5" max="5"/>
    <col width="12" customWidth="1" min="6" max="6"/>
    <col width="14" customWidth="1" min="7" max="7"/>
    <col width="30" customWidth="1" min="8" max="8"/>
    <col width="25" customWidth="1" min="9" max="9"/>
    <col width="16" customWidth="1" min="10" max="10"/>
    <col width="16" customWidth="1" min="11" max="11"/>
    <col width="20" customWidth="1" min="12" max="12"/>
    <col width="30" customWidth="1" min="13" max="13"/>
    <col width="30" customWidth="1" min="14" max="14"/>
    <col width="30" customWidth="1" min="15" max="15"/>
    <col width="12" customWidth="1" min="16" max="16"/>
    <col width="12" customWidth="1" min="17" max="17"/>
    <col width="14" customWidth="1" min="18" max="18"/>
    <col width="14" customWidth="1" min="19" max="19"/>
    <col width="25" customWidth="1" min="20" max="20"/>
    <col width="14" customWidth="1" min="21" max="21"/>
    <col width="16" customWidth="1" min="22" max="22"/>
    <col width="12" customWidth="1" min="23" max="23"/>
    <col width="40" customWidth="1" min="24" max="24"/>
  </cols>
  <sheetData>
    <row r="1" ht="35" customHeight="1">
      <c r="A1" s="11" t="inlineStr">
        <is>
          <t>CAMPAIGN TRACKING (V1.0 - VLOOKUP + CVSS INTEGRATION)</t>
        </is>
      </c>
    </row>
    <row r="2">
      <c r="A2" s="12" t="inlineStr">
        <is>
          <t>Track threat campaigns. Actor_Name auto-populated via VLOOKUP from Sheet 12. CVEs_CVSS_Max references Sheet 8.</t>
        </is>
      </c>
    </row>
    <row r="4">
      <c r="A4" s="13" t="inlineStr">
        <is>
          <t>Campaign ID</t>
        </is>
      </c>
      <c r="B4" s="13" t="inlineStr">
        <is>
          <t>Campaign Name</t>
        </is>
      </c>
      <c r="C4" s="13" t="inlineStr">
        <is>
          <t>Actor ID</t>
        </is>
      </c>
      <c r="D4" s="13" t="inlineStr">
        <is>
          <t>Actor Name</t>
        </is>
      </c>
      <c r="E4" s="13" t="inlineStr">
        <is>
          <t>Campaign Start Date</t>
        </is>
      </c>
      <c r="F4" s="13" t="inlineStr">
        <is>
          <t>Campaign End Date</t>
        </is>
      </c>
      <c r="G4" s="13" t="inlineStr">
        <is>
          <t>Campaign Status</t>
        </is>
      </c>
      <c r="H4" s="13" t="inlineStr">
        <is>
          <t>Target Sectors</t>
        </is>
      </c>
      <c r="I4" s="13" t="inlineStr">
        <is>
          <t>Target Geographies</t>
        </is>
      </c>
      <c r="J4" s="13" t="inlineStr">
        <is>
          <t>Our Sector Targeted</t>
        </is>
      </c>
      <c r="K4" s="13" t="inlineStr">
        <is>
          <t>Our Org Targeted</t>
        </is>
      </c>
      <c r="L4" s="13" t="inlineStr">
        <is>
          <t>Primary Objective</t>
        </is>
      </c>
      <c r="M4" s="13" t="inlineStr">
        <is>
          <t>Attack Vectors</t>
        </is>
      </c>
      <c r="N4" s="13" t="inlineStr">
        <is>
          <t>TTPs Used</t>
        </is>
      </c>
      <c r="O4" s="13" t="inlineStr">
        <is>
          <t>CVEs Exploited</t>
        </is>
      </c>
      <c r="P4" s="13" t="inlineStr">
        <is>
          <t>CVEs CVSS Max</t>
        </is>
      </c>
      <c r="Q4" s="13" t="inlineStr">
        <is>
          <t>IOCs Count</t>
        </is>
      </c>
      <c r="R4" s="13" t="inlineStr">
        <is>
          <t>VTL Records Created</t>
        </is>
      </c>
      <c r="S4" s="13" t="inlineStr">
        <is>
          <t>Incidents Our Org</t>
        </is>
      </c>
      <c r="T4" s="13" t="inlineStr">
        <is>
          <t>Intelligence Sources</t>
        </is>
      </c>
      <c r="U4" s="13" t="inlineStr">
        <is>
          <t>Threat Level</t>
        </is>
      </c>
      <c r="V4" s="13" t="inlineStr">
        <is>
          <t>Monitoring Status</t>
        </is>
      </c>
      <c r="W4" s="13" t="inlineStr">
        <is>
          <t>Last Update Date</t>
        </is>
      </c>
      <c r="X4" s="13" t="inlineStr">
        <is>
          <t>Notes</t>
        </is>
      </c>
    </row>
    <row r="5">
      <c r="A5" s="33" t="inlineStr">
        <is>
          <t>CAM-2026-EXX</t>
        </is>
      </c>
      <c r="B5" s="33" t="inlineStr">
        <is>
          <t>EMEA Financial Sector Spearphishing</t>
        </is>
      </c>
      <c r="C5" s="33" t="inlineStr">
        <is>
          <t>ACTOR-001</t>
        </is>
      </c>
      <c r="D5" s="33" t="inlineStr">
        <is>
          <t>APT29 (Cozy Bear)</t>
        </is>
      </c>
      <c r="E5" s="33" t="inlineStr">
        <is>
          <t>01.01.2026</t>
        </is>
      </c>
      <c r="F5" s="33" t="inlineStr">
        <is>
          <t>31.03.2026</t>
        </is>
      </c>
      <c r="G5" s="33" t="inlineStr">
        <is>
          <t>Active</t>
        </is>
      </c>
      <c r="H5" s="33" t="inlineStr">
        <is>
          <t>Finance / Banking</t>
        </is>
      </c>
      <c r="I5" s="33" t="inlineStr">
        <is>
          <t>EMEA</t>
        </is>
      </c>
      <c r="J5" s="33" t="inlineStr">
        <is>
          <t>Yes</t>
        </is>
      </c>
      <c r="K5" s="33" t="inlineStr">
        <is>
          <t>Confirmed</t>
        </is>
      </c>
      <c r="L5" s="33" t="inlineStr">
        <is>
          <t>Espionage</t>
        </is>
      </c>
      <c r="M5" s="33" t="inlineStr">
        <is>
          <t>Spearphishing / BEC</t>
        </is>
      </c>
      <c r="N5" s="33" t="inlineStr">
        <is>
          <t>T1566 / T1078 / T1071</t>
        </is>
      </c>
      <c r="O5" s="33" t="inlineStr">
        <is>
          <t>CVE-2024-21413</t>
        </is>
      </c>
      <c r="P5" s="33" t="inlineStr">
        <is>
          <t>7.8</t>
        </is>
      </c>
      <c r="Q5" s="33" t="inlineStr">
        <is>
          <t>15</t>
        </is>
      </c>
      <c r="R5" s="33" t="inlineStr">
        <is>
          <t>8</t>
        </is>
      </c>
      <c r="S5" s="33" t="inlineStr">
        <is>
          <t>1</t>
        </is>
      </c>
      <c r="T5" s="33" t="inlineStr">
        <is>
          <t>MISP / OSINT</t>
        </is>
      </c>
      <c r="U5" s="33" t="inlineStr">
        <is>
          <t>High</t>
        </is>
      </c>
      <c r="V5" s="33" t="inlineStr">
        <is>
          <t>Active</t>
        </is>
      </c>
      <c r="W5" s="33" t="inlineStr">
        <is>
          <t>25.02.2026</t>
        </is>
      </c>
      <c r="X5" s="33" t="inlineStr"/>
    </row>
    <row r="6">
      <c r="A6" s="29" t="n"/>
      <c r="B6" s="22" t="n"/>
      <c r="C6" s="22" t="n"/>
      <c r="D6" s="29">
        <f>IFERROR(VLOOKUP(C6,'Threat Actor Profiles'!A:B,2,FALSE),"Unknown")</f>
        <v/>
      </c>
      <c r="E6" s="20" t="n"/>
      <c r="F6" s="20" t="n"/>
      <c r="G6" s="22" t="n"/>
      <c r="H6" s="22" t="n"/>
      <c r="I6" s="22" t="n"/>
      <c r="J6" s="22" t="n"/>
      <c r="K6" s="22" t="n"/>
      <c r="L6" s="22" t="n"/>
      <c r="M6" s="22" t="n"/>
      <c r="N6" s="22" t="n"/>
      <c r="O6" s="22" t="n"/>
      <c r="P6" s="34" t="inlineStr"/>
      <c r="Q6" s="23" t="n"/>
      <c r="R6" s="23" t="n"/>
      <c r="S6" s="23" t="n"/>
      <c r="T6" s="22" t="n"/>
      <c r="U6" s="22" t="n"/>
      <c r="V6" s="22" t="n"/>
      <c r="W6" s="20" t="n"/>
      <c r="X6" s="22" t="n"/>
    </row>
    <row r="7">
      <c r="A7" s="29" t="n"/>
      <c r="B7" s="22" t="n"/>
      <c r="C7" s="22" t="n"/>
      <c r="D7" s="29">
        <f>IFERROR(VLOOKUP(C7,'Threat Actor Profiles'!A:B,2,FALSE),"Unknown")</f>
        <v/>
      </c>
      <c r="E7" s="20" t="n"/>
      <c r="F7" s="20" t="n"/>
      <c r="G7" s="22" t="n"/>
      <c r="H7" s="22" t="n"/>
      <c r="I7" s="22" t="n"/>
      <c r="J7" s="22" t="n"/>
      <c r="K7" s="22" t="n"/>
      <c r="L7" s="22" t="n"/>
      <c r="M7" s="22" t="n"/>
      <c r="N7" s="22" t="n"/>
      <c r="O7" s="22" t="n"/>
      <c r="P7" s="34" t="inlineStr"/>
      <c r="Q7" s="23" t="n"/>
      <c r="R7" s="23" t="n"/>
      <c r="S7" s="23" t="n"/>
      <c r="T7" s="22" t="n"/>
      <c r="U7" s="22" t="n"/>
      <c r="V7" s="22" t="n"/>
      <c r="W7" s="20" t="n"/>
      <c r="X7" s="22" t="n"/>
    </row>
    <row r="8">
      <c r="A8" s="29" t="n"/>
      <c r="B8" s="22" t="n"/>
      <c r="C8" s="22" t="n"/>
      <c r="D8" s="29">
        <f>IFERROR(VLOOKUP(C8,'Threat Actor Profiles'!A:B,2,FALSE),"Unknown")</f>
        <v/>
      </c>
      <c r="E8" s="20" t="n"/>
      <c r="F8" s="20" t="n"/>
      <c r="G8" s="22" t="n"/>
      <c r="H8" s="22" t="n"/>
      <c r="I8" s="22" t="n"/>
      <c r="J8" s="22" t="n"/>
      <c r="K8" s="22" t="n"/>
      <c r="L8" s="22" t="n"/>
      <c r="M8" s="22" t="n"/>
      <c r="N8" s="22" t="n"/>
      <c r="O8" s="22" t="n"/>
      <c r="P8" s="34" t="inlineStr"/>
      <c r="Q8" s="23" t="n"/>
      <c r="R8" s="23" t="n"/>
      <c r="S8" s="23" t="n"/>
      <c r="T8" s="22" t="n"/>
      <c r="U8" s="22" t="n"/>
      <c r="V8" s="22" t="n"/>
      <c r="W8" s="20" t="n"/>
      <c r="X8" s="22" t="n"/>
    </row>
    <row r="9">
      <c r="A9" s="29" t="n"/>
      <c r="B9" s="22" t="n"/>
      <c r="C9" s="22" t="n"/>
      <c r="D9" s="29">
        <f>IFERROR(VLOOKUP(C9,'Threat Actor Profiles'!A:B,2,FALSE),"Unknown")</f>
        <v/>
      </c>
      <c r="E9" s="20" t="n"/>
      <c r="F9" s="20" t="n"/>
      <c r="G9" s="22" t="n"/>
      <c r="H9" s="22" t="n"/>
      <c r="I9" s="22" t="n"/>
      <c r="J9" s="22" t="n"/>
      <c r="K9" s="22" t="n"/>
      <c r="L9" s="22" t="n"/>
      <c r="M9" s="22" t="n"/>
      <c r="N9" s="22" t="n"/>
      <c r="O9" s="22" t="n"/>
      <c r="P9" s="34" t="inlineStr"/>
      <c r="Q9" s="23" t="n"/>
      <c r="R9" s="23" t="n"/>
      <c r="S9" s="23" t="n"/>
      <c r="T9" s="22" t="n"/>
      <c r="U9" s="22" t="n"/>
      <c r="V9" s="22" t="n"/>
      <c r="W9" s="20" t="n"/>
      <c r="X9" s="22" t="n"/>
    </row>
    <row r="10">
      <c r="A10" s="29" t="n"/>
      <c r="B10" s="22" t="n"/>
      <c r="C10" s="22" t="n"/>
      <c r="D10" s="29">
        <f>IFERROR(VLOOKUP(C10,'Threat Actor Profiles'!A:B,2,FALSE),"Unknown")</f>
        <v/>
      </c>
      <c r="E10" s="20" t="n"/>
      <c r="F10" s="20" t="n"/>
      <c r="G10" s="22" t="n"/>
      <c r="H10" s="22" t="n"/>
      <c r="I10" s="22" t="n"/>
      <c r="J10" s="22" t="n"/>
      <c r="K10" s="22" t="n"/>
      <c r="L10" s="22" t="n"/>
      <c r="M10" s="22" t="n"/>
      <c r="N10" s="22" t="n"/>
      <c r="O10" s="22" t="n"/>
      <c r="P10" s="34" t="inlineStr"/>
      <c r="Q10" s="23" t="n"/>
      <c r="R10" s="23" t="n"/>
      <c r="S10" s="23" t="n"/>
      <c r="T10" s="22" t="n"/>
      <c r="U10" s="22" t="n"/>
      <c r="V10" s="22" t="n"/>
      <c r="W10" s="20" t="n"/>
      <c r="X10" s="22" t="n"/>
    </row>
    <row r="11">
      <c r="A11" s="29" t="n"/>
      <c r="B11" s="22" t="n"/>
      <c r="C11" s="22" t="n"/>
      <c r="D11" s="29">
        <f>IFERROR(VLOOKUP(C11,'Threat Actor Profiles'!A:B,2,FALSE),"Unknown")</f>
        <v/>
      </c>
      <c r="E11" s="20" t="n"/>
      <c r="F11" s="20" t="n"/>
      <c r="G11" s="22" t="n"/>
      <c r="H11" s="22" t="n"/>
      <c r="I11" s="22" t="n"/>
      <c r="J11" s="22" t="n"/>
      <c r="K11" s="22" t="n"/>
      <c r="L11" s="22" t="n"/>
      <c r="M11" s="22" t="n"/>
      <c r="N11" s="22" t="n"/>
      <c r="O11" s="22" t="n"/>
      <c r="P11" s="34" t="inlineStr"/>
      <c r="Q11" s="23" t="n"/>
      <c r="R11" s="23" t="n"/>
      <c r="S11" s="23" t="n"/>
      <c r="T11" s="22" t="n"/>
      <c r="U11" s="22" t="n"/>
      <c r="V11" s="22" t="n"/>
      <c r="W11" s="20" t="n"/>
      <c r="X11" s="22" t="n"/>
    </row>
    <row r="12">
      <c r="A12" s="29" t="n"/>
      <c r="B12" s="22" t="n"/>
      <c r="C12" s="22" t="n"/>
      <c r="D12" s="29">
        <f>IFERROR(VLOOKUP(C12,'Threat Actor Profiles'!A:B,2,FALSE),"Unknown")</f>
        <v/>
      </c>
      <c r="E12" s="20" t="n"/>
      <c r="F12" s="20" t="n"/>
      <c r="G12" s="22" t="n"/>
      <c r="H12" s="22" t="n"/>
      <c r="I12" s="22" t="n"/>
      <c r="J12" s="22" t="n"/>
      <c r="K12" s="22" t="n"/>
      <c r="L12" s="22" t="n"/>
      <c r="M12" s="22" t="n"/>
      <c r="N12" s="22" t="n"/>
      <c r="O12" s="22" t="n"/>
      <c r="P12" s="34" t="inlineStr"/>
      <c r="Q12" s="23" t="n"/>
      <c r="R12" s="23" t="n"/>
      <c r="S12" s="23" t="n"/>
      <c r="T12" s="22" t="n"/>
      <c r="U12" s="22" t="n"/>
      <c r="V12" s="22" t="n"/>
      <c r="W12" s="20" t="n"/>
      <c r="X12" s="22" t="n"/>
    </row>
    <row r="13">
      <c r="A13" s="29" t="n"/>
      <c r="B13" s="22" t="n"/>
      <c r="C13" s="22" t="n"/>
      <c r="D13" s="29">
        <f>IFERROR(VLOOKUP(C13,'Threat Actor Profiles'!A:B,2,FALSE),"Unknown")</f>
        <v/>
      </c>
      <c r="E13" s="20" t="n"/>
      <c r="F13" s="20" t="n"/>
      <c r="G13" s="22" t="n"/>
      <c r="H13" s="22" t="n"/>
      <c r="I13" s="22" t="n"/>
      <c r="J13" s="22" t="n"/>
      <c r="K13" s="22" t="n"/>
      <c r="L13" s="22" t="n"/>
      <c r="M13" s="22" t="n"/>
      <c r="N13" s="22" t="n"/>
      <c r="O13" s="22" t="n"/>
      <c r="P13" s="34" t="inlineStr"/>
      <c r="Q13" s="23" t="n"/>
      <c r="R13" s="23" t="n"/>
      <c r="S13" s="23" t="n"/>
      <c r="T13" s="22" t="n"/>
      <c r="U13" s="22" t="n"/>
      <c r="V13" s="22" t="n"/>
      <c r="W13" s="20" t="n"/>
      <c r="X13" s="22" t="n"/>
    </row>
    <row r="14">
      <c r="A14" s="29" t="n"/>
      <c r="B14" s="22" t="n"/>
      <c r="C14" s="22" t="n"/>
      <c r="D14" s="29">
        <f>IFERROR(VLOOKUP(C14,'Threat Actor Profiles'!A:B,2,FALSE),"Unknown")</f>
        <v/>
      </c>
      <c r="E14" s="20" t="n"/>
      <c r="F14" s="20" t="n"/>
      <c r="G14" s="22" t="n"/>
      <c r="H14" s="22" t="n"/>
      <c r="I14" s="22" t="n"/>
      <c r="J14" s="22" t="n"/>
      <c r="K14" s="22" t="n"/>
      <c r="L14" s="22" t="n"/>
      <c r="M14" s="22" t="n"/>
      <c r="N14" s="22" t="n"/>
      <c r="O14" s="22" t="n"/>
      <c r="P14" s="34" t="inlineStr"/>
      <c r="Q14" s="23" t="n"/>
      <c r="R14" s="23" t="n"/>
      <c r="S14" s="23" t="n"/>
      <c r="T14" s="22" t="n"/>
      <c r="U14" s="22" t="n"/>
      <c r="V14" s="22" t="n"/>
      <c r="W14" s="20" t="n"/>
      <c r="X14" s="22" t="n"/>
    </row>
    <row r="15">
      <c r="A15" s="29" t="n"/>
      <c r="B15" s="22" t="n"/>
      <c r="C15" s="22" t="n"/>
      <c r="D15" s="29">
        <f>IFERROR(VLOOKUP(C15,'Threat Actor Profiles'!A:B,2,FALSE),"Unknown")</f>
        <v/>
      </c>
      <c r="E15" s="20" t="n"/>
      <c r="F15" s="20" t="n"/>
      <c r="G15" s="22" t="n"/>
      <c r="H15" s="22" t="n"/>
      <c r="I15" s="22" t="n"/>
      <c r="J15" s="22" t="n"/>
      <c r="K15" s="22" t="n"/>
      <c r="L15" s="22" t="n"/>
      <c r="M15" s="22" t="n"/>
      <c r="N15" s="22" t="n"/>
      <c r="O15" s="22" t="n"/>
      <c r="P15" s="34" t="inlineStr"/>
      <c r="Q15" s="23" t="n"/>
      <c r="R15" s="23" t="n"/>
      <c r="S15" s="23" t="n"/>
      <c r="T15" s="22" t="n"/>
      <c r="U15" s="22" t="n"/>
      <c r="V15" s="22" t="n"/>
      <c r="W15" s="20" t="n"/>
      <c r="X15" s="22" t="n"/>
    </row>
    <row r="16">
      <c r="A16" s="29" t="n"/>
      <c r="B16" s="22" t="n"/>
      <c r="C16" s="22" t="n"/>
      <c r="D16" s="29">
        <f>IFERROR(VLOOKUP(C16,'Threat Actor Profiles'!A:B,2,FALSE),"Unknown")</f>
        <v/>
      </c>
      <c r="E16" s="20" t="n"/>
      <c r="F16" s="20" t="n"/>
      <c r="G16" s="22" t="n"/>
      <c r="H16" s="22" t="n"/>
      <c r="I16" s="22" t="n"/>
      <c r="J16" s="22" t="n"/>
      <c r="K16" s="22" t="n"/>
      <c r="L16" s="22" t="n"/>
      <c r="M16" s="22" t="n"/>
      <c r="N16" s="22" t="n"/>
      <c r="O16" s="22" t="n"/>
      <c r="P16" s="34" t="inlineStr"/>
      <c r="Q16" s="23" t="n"/>
      <c r="R16" s="23" t="n"/>
      <c r="S16" s="23" t="n"/>
      <c r="T16" s="22" t="n"/>
      <c r="U16" s="22" t="n"/>
      <c r="V16" s="22" t="n"/>
      <c r="W16" s="20" t="n"/>
      <c r="X16" s="22" t="n"/>
    </row>
    <row r="17">
      <c r="A17" s="29" t="n"/>
      <c r="B17" s="22" t="n"/>
      <c r="C17" s="22" t="n"/>
      <c r="D17" s="29">
        <f>IFERROR(VLOOKUP(C17,'Threat Actor Profiles'!A:B,2,FALSE),"Unknown")</f>
        <v/>
      </c>
      <c r="E17" s="20" t="n"/>
      <c r="F17" s="20" t="n"/>
      <c r="G17" s="22" t="n"/>
      <c r="H17" s="22" t="n"/>
      <c r="I17" s="22" t="n"/>
      <c r="J17" s="22" t="n"/>
      <c r="K17" s="22" t="n"/>
      <c r="L17" s="22" t="n"/>
      <c r="M17" s="22" t="n"/>
      <c r="N17" s="22" t="n"/>
      <c r="O17" s="22" t="n"/>
      <c r="P17" s="34" t="inlineStr"/>
      <c r="Q17" s="23" t="n"/>
      <c r="R17" s="23" t="n"/>
      <c r="S17" s="23" t="n"/>
      <c r="T17" s="22" t="n"/>
      <c r="U17" s="22" t="n"/>
      <c r="V17" s="22" t="n"/>
      <c r="W17" s="20" t="n"/>
      <c r="X17" s="22" t="n"/>
    </row>
    <row r="18">
      <c r="A18" s="29" t="n"/>
      <c r="B18" s="22" t="n"/>
      <c r="C18" s="22" t="n"/>
      <c r="D18" s="29">
        <f>IFERROR(VLOOKUP(C18,'Threat Actor Profiles'!A:B,2,FALSE),"Unknown")</f>
        <v/>
      </c>
      <c r="E18" s="20" t="n"/>
      <c r="F18" s="20" t="n"/>
      <c r="G18" s="22" t="n"/>
      <c r="H18" s="22" t="n"/>
      <c r="I18" s="22" t="n"/>
      <c r="J18" s="22" t="n"/>
      <c r="K18" s="22" t="n"/>
      <c r="L18" s="22" t="n"/>
      <c r="M18" s="22" t="n"/>
      <c r="N18" s="22" t="n"/>
      <c r="O18" s="22" t="n"/>
      <c r="P18" s="34" t="inlineStr"/>
      <c r="Q18" s="23" t="n"/>
      <c r="R18" s="23" t="n"/>
      <c r="S18" s="23" t="n"/>
      <c r="T18" s="22" t="n"/>
      <c r="U18" s="22" t="n"/>
      <c r="V18" s="22" t="n"/>
      <c r="W18" s="20" t="n"/>
      <c r="X18" s="22" t="n"/>
    </row>
    <row r="19">
      <c r="A19" s="29" t="n"/>
      <c r="B19" s="22" t="n"/>
      <c r="C19" s="22" t="n"/>
      <c r="D19" s="29">
        <f>IFERROR(VLOOKUP(C19,'Threat Actor Profiles'!A:B,2,FALSE),"Unknown")</f>
        <v/>
      </c>
      <c r="E19" s="20" t="n"/>
      <c r="F19" s="20" t="n"/>
      <c r="G19" s="22" t="n"/>
      <c r="H19" s="22" t="n"/>
      <c r="I19" s="22" t="n"/>
      <c r="J19" s="22" t="n"/>
      <c r="K19" s="22" t="n"/>
      <c r="L19" s="22" t="n"/>
      <c r="M19" s="22" t="n"/>
      <c r="N19" s="22" t="n"/>
      <c r="O19" s="22" t="n"/>
      <c r="P19" s="34" t="inlineStr"/>
      <c r="Q19" s="23" t="n"/>
      <c r="R19" s="23" t="n"/>
      <c r="S19" s="23" t="n"/>
      <c r="T19" s="22" t="n"/>
      <c r="U19" s="22" t="n"/>
      <c r="V19" s="22" t="n"/>
      <c r="W19" s="20" t="n"/>
      <c r="X19" s="22" t="n"/>
    </row>
    <row r="20">
      <c r="A20" s="29" t="n"/>
      <c r="B20" s="22" t="n"/>
      <c r="C20" s="22" t="n"/>
      <c r="D20" s="29">
        <f>IFERROR(VLOOKUP(C20,'Threat Actor Profiles'!A:B,2,FALSE),"Unknown")</f>
        <v/>
      </c>
      <c r="E20" s="20" t="n"/>
      <c r="F20" s="20" t="n"/>
      <c r="G20" s="22" t="n"/>
      <c r="H20" s="22" t="n"/>
      <c r="I20" s="22" t="n"/>
      <c r="J20" s="22" t="n"/>
      <c r="K20" s="22" t="n"/>
      <c r="L20" s="22" t="n"/>
      <c r="M20" s="22" t="n"/>
      <c r="N20" s="22" t="n"/>
      <c r="O20" s="22" t="n"/>
      <c r="P20" s="34" t="inlineStr"/>
      <c r="Q20" s="23" t="n"/>
      <c r="R20" s="23" t="n"/>
      <c r="S20" s="23" t="n"/>
      <c r="T20" s="22" t="n"/>
      <c r="U20" s="22" t="n"/>
      <c r="V20" s="22" t="n"/>
      <c r="W20" s="20" t="n"/>
      <c r="X20" s="22" t="n"/>
    </row>
    <row r="21">
      <c r="A21" s="29" t="n"/>
      <c r="B21" s="22" t="n"/>
      <c r="C21" s="22" t="n"/>
      <c r="D21" s="29">
        <f>IFERROR(VLOOKUP(C21,'Threat Actor Profiles'!A:B,2,FALSE),"Unknown")</f>
        <v/>
      </c>
      <c r="E21" s="20" t="n"/>
      <c r="F21" s="20" t="n"/>
      <c r="G21" s="22" t="n"/>
      <c r="H21" s="22" t="n"/>
      <c r="I21" s="22" t="n"/>
      <c r="J21" s="22" t="n"/>
      <c r="K21" s="22" t="n"/>
      <c r="L21" s="22" t="n"/>
      <c r="M21" s="22" t="n"/>
      <c r="N21" s="22" t="n"/>
      <c r="O21" s="22" t="n"/>
      <c r="P21" s="34" t="inlineStr"/>
      <c r="Q21" s="23" t="n"/>
      <c r="R21" s="23" t="n"/>
      <c r="S21" s="23" t="n"/>
      <c r="T21" s="22" t="n"/>
      <c r="U21" s="22" t="n"/>
      <c r="V21" s="22" t="n"/>
      <c r="W21" s="20" t="n"/>
      <c r="X21" s="22" t="n"/>
    </row>
    <row r="22">
      <c r="A22" s="29" t="n"/>
      <c r="B22" s="22" t="n"/>
      <c r="C22" s="22" t="n"/>
      <c r="D22" s="29">
        <f>IFERROR(VLOOKUP(C22,'Threat Actor Profiles'!A:B,2,FALSE),"Unknown")</f>
        <v/>
      </c>
      <c r="E22" s="20" t="n"/>
      <c r="F22" s="20" t="n"/>
      <c r="G22" s="22" t="n"/>
      <c r="H22" s="22" t="n"/>
      <c r="I22" s="22" t="n"/>
      <c r="J22" s="22" t="n"/>
      <c r="K22" s="22" t="n"/>
      <c r="L22" s="22" t="n"/>
      <c r="M22" s="22" t="n"/>
      <c r="N22" s="22" t="n"/>
      <c r="O22" s="22" t="n"/>
      <c r="P22" s="34" t="inlineStr"/>
      <c r="Q22" s="23" t="n"/>
      <c r="R22" s="23" t="n"/>
      <c r="S22" s="23" t="n"/>
      <c r="T22" s="22" t="n"/>
      <c r="U22" s="22" t="n"/>
      <c r="V22" s="22" t="n"/>
      <c r="W22" s="20" t="n"/>
      <c r="X22" s="22" t="n"/>
    </row>
    <row r="23">
      <c r="A23" s="29" t="n"/>
      <c r="B23" s="22" t="n"/>
      <c r="C23" s="22" t="n"/>
      <c r="D23" s="29">
        <f>IFERROR(VLOOKUP(C23,'Threat Actor Profiles'!A:B,2,FALSE),"Unknown")</f>
        <v/>
      </c>
      <c r="E23" s="20" t="n"/>
      <c r="F23" s="20" t="n"/>
      <c r="G23" s="22" t="n"/>
      <c r="H23" s="22" t="n"/>
      <c r="I23" s="22" t="n"/>
      <c r="J23" s="22" t="n"/>
      <c r="K23" s="22" t="n"/>
      <c r="L23" s="22" t="n"/>
      <c r="M23" s="22" t="n"/>
      <c r="N23" s="22" t="n"/>
      <c r="O23" s="22" t="n"/>
      <c r="P23" s="34" t="inlineStr"/>
      <c r="Q23" s="23" t="n"/>
      <c r="R23" s="23" t="n"/>
      <c r="S23" s="23" t="n"/>
      <c r="T23" s="22" t="n"/>
      <c r="U23" s="22" t="n"/>
      <c r="V23" s="22" t="n"/>
      <c r="W23" s="20" t="n"/>
      <c r="X23" s="22" t="n"/>
    </row>
    <row r="24">
      <c r="A24" s="29" t="n"/>
      <c r="B24" s="22" t="n"/>
      <c r="C24" s="22" t="n"/>
      <c r="D24" s="29">
        <f>IFERROR(VLOOKUP(C24,'Threat Actor Profiles'!A:B,2,FALSE),"Unknown")</f>
        <v/>
      </c>
      <c r="E24" s="20" t="n"/>
      <c r="F24" s="20" t="n"/>
      <c r="G24" s="22" t="n"/>
      <c r="H24" s="22" t="n"/>
      <c r="I24" s="22" t="n"/>
      <c r="J24" s="22" t="n"/>
      <c r="K24" s="22" t="n"/>
      <c r="L24" s="22" t="n"/>
      <c r="M24" s="22" t="n"/>
      <c r="N24" s="22" t="n"/>
      <c r="O24" s="22" t="n"/>
      <c r="P24" s="34" t="inlineStr"/>
      <c r="Q24" s="23" t="n"/>
      <c r="R24" s="23" t="n"/>
      <c r="S24" s="23" t="n"/>
      <c r="T24" s="22" t="n"/>
      <c r="U24" s="22" t="n"/>
      <c r="V24" s="22" t="n"/>
      <c r="W24" s="20" t="n"/>
      <c r="X24" s="22" t="n"/>
    </row>
    <row r="25">
      <c r="A25" s="29" t="n"/>
      <c r="B25" s="22" t="n"/>
      <c r="C25" s="22" t="n"/>
      <c r="D25" s="29">
        <f>IFERROR(VLOOKUP(C25,'Threat Actor Profiles'!A:B,2,FALSE),"Unknown")</f>
        <v/>
      </c>
      <c r="E25" s="20" t="n"/>
      <c r="F25" s="20" t="n"/>
      <c r="G25" s="22" t="n"/>
      <c r="H25" s="22" t="n"/>
      <c r="I25" s="22" t="n"/>
      <c r="J25" s="22" t="n"/>
      <c r="K25" s="22" t="n"/>
      <c r="L25" s="22" t="n"/>
      <c r="M25" s="22" t="n"/>
      <c r="N25" s="22" t="n"/>
      <c r="O25" s="22" t="n"/>
      <c r="P25" s="34" t="inlineStr"/>
      <c r="Q25" s="23" t="n"/>
      <c r="R25" s="23" t="n"/>
      <c r="S25" s="23" t="n"/>
      <c r="T25" s="22" t="n"/>
      <c r="U25" s="22" t="n"/>
      <c r="V25" s="22" t="n"/>
      <c r="W25" s="20" t="n"/>
      <c r="X25" s="22" t="n"/>
    </row>
    <row r="26">
      <c r="A26" s="29" t="n"/>
      <c r="B26" s="22" t="n"/>
      <c r="C26" s="22" t="n"/>
      <c r="D26" s="29">
        <f>IFERROR(VLOOKUP(C26,'Threat Actor Profiles'!A:B,2,FALSE),"Unknown")</f>
        <v/>
      </c>
      <c r="E26" s="20" t="n"/>
      <c r="F26" s="20" t="n"/>
      <c r="G26" s="22" t="n"/>
      <c r="H26" s="22" t="n"/>
      <c r="I26" s="22" t="n"/>
      <c r="J26" s="22" t="n"/>
      <c r="K26" s="22" t="n"/>
      <c r="L26" s="22" t="n"/>
      <c r="M26" s="22" t="n"/>
      <c r="N26" s="22" t="n"/>
      <c r="O26" s="22" t="n"/>
      <c r="P26" s="34" t="inlineStr"/>
      <c r="Q26" s="23" t="n"/>
      <c r="R26" s="23" t="n"/>
      <c r="S26" s="23" t="n"/>
      <c r="T26" s="22" t="n"/>
      <c r="U26" s="22" t="n"/>
      <c r="V26" s="22" t="n"/>
      <c r="W26" s="20" t="n"/>
      <c r="X26" s="22" t="n"/>
    </row>
    <row r="27">
      <c r="A27" s="29" t="n"/>
      <c r="B27" s="22" t="n"/>
      <c r="C27" s="22" t="n"/>
      <c r="D27" s="29">
        <f>IFERROR(VLOOKUP(C27,'Threat Actor Profiles'!A:B,2,FALSE),"Unknown")</f>
        <v/>
      </c>
      <c r="E27" s="20" t="n"/>
      <c r="F27" s="20" t="n"/>
      <c r="G27" s="22" t="n"/>
      <c r="H27" s="22" t="n"/>
      <c r="I27" s="22" t="n"/>
      <c r="J27" s="22" t="n"/>
      <c r="K27" s="22" t="n"/>
      <c r="L27" s="22" t="n"/>
      <c r="M27" s="22" t="n"/>
      <c r="N27" s="22" t="n"/>
      <c r="O27" s="22" t="n"/>
      <c r="P27" s="34" t="inlineStr"/>
      <c r="Q27" s="23" t="n"/>
      <c r="R27" s="23" t="n"/>
      <c r="S27" s="23" t="n"/>
      <c r="T27" s="22" t="n"/>
      <c r="U27" s="22" t="n"/>
      <c r="V27" s="22" t="n"/>
      <c r="W27" s="20" t="n"/>
      <c r="X27" s="22" t="n"/>
    </row>
    <row r="28">
      <c r="A28" s="29" t="n"/>
      <c r="B28" s="22" t="n"/>
      <c r="C28" s="22" t="n"/>
      <c r="D28" s="29">
        <f>IFERROR(VLOOKUP(C28,'Threat Actor Profiles'!A:B,2,FALSE),"Unknown")</f>
        <v/>
      </c>
      <c r="E28" s="20" t="n"/>
      <c r="F28" s="20" t="n"/>
      <c r="G28" s="22" t="n"/>
      <c r="H28" s="22" t="n"/>
      <c r="I28" s="22" t="n"/>
      <c r="J28" s="22" t="n"/>
      <c r="K28" s="22" t="n"/>
      <c r="L28" s="22" t="n"/>
      <c r="M28" s="22" t="n"/>
      <c r="N28" s="22" t="n"/>
      <c r="O28" s="22" t="n"/>
      <c r="P28" s="34" t="inlineStr"/>
      <c r="Q28" s="23" t="n"/>
      <c r="R28" s="23" t="n"/>
      <c r="S28" s="23" t="n"/>
      <c r="T28" s="22" t="n"/>
      <c r="U28" s="22" t="n"/>
      <c r="V28" s="22" t="n"/>
      <c r="W28" s="20" t="n"/>
      <c r="X28" s="22" t="n"/>
    </row>
    <row r="29">
      <c r="A29" s="29" t="n"/>
      <c r="B29" s="22" t="n"/>
      <c r="C29" s="22" t="n"/>
      <c r="D29" s="29">
        <f>IFERROR(VLOOKUP(C29,'Threat Actor Profiles'!A:B,2,FALSE),"Unknown")</f>
        <v/>
      </c>
      <c r="E29" s="20" t="n"/>
      <c r="F29" s="20" t="n"/>
      <c r="G29" s="22" t="n"/>
      <c r="H29" s="22" t="n"/>
      <c r="I29" s="22" t="n"/>
      <c r="J29" s="22" t="n"/>
      <c r="K29" s="22" t="n"/>
      <c r="L29" s="22" t="n"/>
      <c r="M29" s="22" t="n"/>
      <c r="N29" s="22" t="n"/>
      <c r="O29" s="22" t="n"/>
      <c r="P29" s="34" t="inlineStr"/>
      <c r="Q29" s="23" t="n"/>
      <c r="R29" s="23" t="n"/>
      <c r="S29" s="23" t="n"/>
      <c r="T29" s="22" t="n"/>
      <c r="U29" s="22" t="n"/>
      <c r="V29" s="22" t="n"/>
      <c r="W29" s="20" t="n"/>
      <c r="X29" s="22" t="n"/>
    </row>
    <row r="30">
      <c r="A30" s="29" t="n"/>
      <c r="B30" s="22" t="n"/>
      <c r="C30" s="22" t="n"/>
      <c r="D30" s="29">
        <f>IFERROR(VLOOKUP(C30,'Threat Actor Profiles'!A:B,2,FALSE),"Unknown")</f>
        <v/>
      </c>
      <c r="E30" s="20" t="n"/>
      <c r="F30" s="20" t="n"/>
      <c r="G30" s="22" t="n"/>
      <c r="H30" s="22" t="n"/>
      <c r="I30" s="22" t="n"/>
      <c r="J30" s="22" t="n"/>
      <c r="K30" s="22" t="n"/>
      <c r="L30" s="22" t="n"/>
      <c r="M30" s="22" t="n"/>
      <c r="N30" s="22" t="n"/>
      <c r="O30" s="22" t="n"/>
      <c r="P30" s="34" t="inlineStr"/>
      <c r="Q30" s="23" t="n"/>
      <c r="R30" s="23" t="n"/>
      <c r="S30" s="23" t="n"/>
      <c r="T30" s="22" t="n"/>
      <c r="U30" s="22" t="n"/>
      <c r="V30" s="22" t="n"/>
      <c r="W30" s="20" t="n"/>
      <c r="X30" s="22" t="n"/>
    </row>
    <row r="31">
      <c r="A31" s="29" t="n"/>
      <c r="B31" s="22" t="n"/>
      <c r="C31" s="22" t="n"/>
      <c r="D31" s="29">
        <f>IFERROR(VLOOKUP(C31,'Threat Actor Profiles'!A:B,2,FALSE),"Unknown")</f>
        <v/>
      </c>
      <c r="E31" s="20" t="n"/>
      <c r="F31" s="20" t="n"/>
      <c r="G31" s="22" t="n"/>
      <c r="H31" s="22" t="n"/>
      <c r="I31" s="22" t="n"/>
      <c r="J31" s="22" t="n"/>
      <c r="K31" s="22" t="n"/>
      <c r="L31" s="22" t="n"/>
      <c r="M31" s="22" t="n"/>
      <c r="N31" s="22" t="n"/>
      <c r="O31" s="22" t="n"/>
      <c r="P31" s="34" t="inlineStr"/>
      <c r="Q31" s="23" t="n"/>
      <c r="R31" s="23" t="n"/>
      <c r="S31" s="23" t="n"/>
      <c r="T31" s="22" t="n"/>
      <c r="U31" s="22" t="n"/>
      <c r="V31" s="22" t="n"/>
      <c r="W31" s="20" t="n"/>
      <c r="X31" s="22" t="n"/>
    </row>
    <row r="32">
      <c r="A32" s="29" t="n"/>
      <c r="B32" s="22" t="n"/>
      <c r="C32" s="22" t="n"/>
      <c r="D32" s="29">
        <f>IFERROR(VLOOKUP(C32,'Threat Actor Profiles'!A:B,2,FALSE),"Unknown")</f>
        <v/>
      </c>
      <c r="E32" s="20" t="n"/>
      <c r="F32" s="20" t="n"/>
      <c r="G32" s="22" t="n"/>
      <c r="H32" s="22" t="n"/>
      <c r="I32" s="22" t="n"/>
      <c r="J32" s="22" t="n"/>
      <c r="K32" s="22" t="n"/>
      <c r="L32" s="22" t="n"/>
      <c r="M32" s="22" t="n"/>
      <c r="N32" s="22" t="n"/>
      <c r="O32" s="22" t="n"/>
      <c r="P32" s="34" t="inlineStr"/>
      <c r="Q32" s="23" t="n"/>
      <c r="R32" s="23" t="n"/>
      <c r="S32" s="23" t="n"/>
      <c r="T32" s="22" t="n"/>
      <c r="U32" s="22" t="n"/>
      <c r="V32" s="22" t="n"/>
      <c r="W32" s="20" t="n"/>
      <c r="X32" s="22" t="n"/>
    </row>
    <row r="33">
      <c r="A33" s="29" t="n"/>
      <c r="B33" s="22" t="n"/>
      <c r="C33" s="22" t="n"/>
      <c r="D33" s="29">
        <f>IFERROR(VLOOKUP(C33,'Threat Actor Profiles'!A:B,2,FALSE),"Unknown")</f>
        <v/>
      </c>
      <c r="E33" s="20" t="n"/>
      <c r="F33" s="20" t="n"/>
      <c r="G33" s="22" t="n"/>
      <c r="H33" s="22" t="n"/>
      <c r="I33" s="22" t="n"/>
      <c r="J33" s="22" t="n"/>
      <c r="K33" s="22" t="n"/>
      <c r="L33" s="22" t="n"/>
      <c r="M33" s="22" t="n"/>
      <c r="N33" s="22" t="n"/>
      <c r="O33" s="22" t="n"/>
      <c r="P33" s="34" t="inlineStr"/>
      <c r="Q33" s="23" t="n"/>
      <c r="R33" s="23" t="n"/>
      <c r="S33" s="23" t="n"/>
      <c r="T33" s="22" t="n"/>
      <c r="U33" s="22" t="n"/>
      <c r="V33" s="22" t="n"/>
      <c r="W33" s="20" t="n"/>
      <c r="X33" s="22" t="n"/>
    </row>
    <row r="34">
      <c r="A34" s="29" t="n"/>
      <c r="B34" s="22" t="n"/>
      <c r="C34" s="22" t="n"/>
      <c r="D34" s="29">
        <f>IFERROR(VLOOKUP(C34,'Threat Actor Profiles'!A:B,2,FALSE),"Unknown")</f>
        <v/>
      </c>
      <c r="E34" s="20" t="n"/>
      <c r="F34" s="20" t="n"/>
      <c r="G34" s="22" t="n"/>
      <c r="H34" s="22" t="n"/>
      <c r="I34" s="22" t="n"/>
      <c r="J34" s="22" t="n"/>
      <c r="K34" s="22" t="n"/>
      <c r="L34" s="22" t="n"/>
      <c r="M34" s="22" t="n"/>
      <c r="N34" s="22" t="n"/>
      <c r="O34" s="22" t="n"/>
      <c r="P34" s="34" t="inlineStr"/>
      <c r="Q34" s="23" t="n"/>
      <c r="R34" s="23" t="n"/>
      <c r="S34" s="23" t="n"/>
      <c r="T34" s="22" t="n"/>
      <c r="U34" s="22" t="n"/>
      <c r="V34" s="22" t="n"/>
      <c r="W34" s="20" t="n"/>
      <c r="X34" s="22" t="n"/>
    </row>
    <row r="35">
      <c r="A35" s="29" t="n"/>
      <c r="B35" s="22" t="n"/>
      <c r="C35" s="22" t="n"/>
      <c r="D35" s="29">
        <f>IFERROR(VLOOKUP(C35,'Threat Actor Profiles'!A:B,2,FALSE),"Unknown")</f>
        <v/>
      </c>
      <c r="E35" s="20" t="n"/>
      <c r="F35" s="20" t="n"/>
      <c r="G35" s="22" t="n"/>
      <c r="H35" s="22" t="n"/>
      <c r="I35" s="22" t="n"/>
      <c r="J35" s="22" t="n"/>
      <c r="K35" s="22" t="n"/>
      <c r="L35" s="22" t="n"/>
      <c r="M35" s="22" t="n"/>
      <c r="N35" s="22" t="n"/>
      <c r="O35" s="22" t="n"/>
      <c r="P35" s="34" t="inlineStr"/>
      <c r="Q35" s="23" t="n"/>
      <c r="R35" s="23" t="n"/>
      <c r="S35" s="23" t="n"/>
      <c r="T35" s="22" t="n"/>
      <c r="U35" s="22" t="n"/>
      <c r="V35" s="22" t="n"/>
      <c r="W35" s="20" t="n"/>
      <c r="X35" s="22" t="n"/>
    </row>
    <row r="36">
      <c r="A36" s="29" t="n"/>
      <c r="B36" s="22" t="n"/>
      <c r="C36" s="22" t="n"/>
      <c r="D36" s="29">
        <f>IFERROR(VLOOKUP(C36,'Threat Actor Profiles'!A:B,2,FALSE),"Unknown")</f>
        <v/>
      </c>
      <c r="E36" s="20" t="n"/>
      <c r="F36" s="20" t="n"/>
      <c r="G36" s="22" t="n"/>
      <c r="H36" s="22" t="n"/>
      <c r="I36" s="22" t="n"/>
      <c r="J36" s="22" t="n"/>
      <c r="K36" s="22" t="n"/>
      <c r="L36" s="22" t="n"/>
      <c r="M36" s="22" t="n"/>
      <c r="N36" s="22" t="n"/>
      <c r="O36" s="22" t="n"/>
      <c r="P36" s="34" t="inlineStr"/>
      <c r="Q36" s="23" t="n"/>
      <c r="R36" s="23" t="n"/>
      <c r="S36" s="23" t="n"/>
      <c r="T36" s="22" t="n"/>
      <c r="U36" s="22" t="n"/>
      <c r="V36" s="22" t="n"/>
      <c r="W36" s="20" t="n"/>
      <c r="X36" s="22" t="n"/>
    </row>
    <row r="37">
      <c r="A37" s="29" t="n"/>
      <c r="B37" s="22" t="n"/>
      <c r="C37" s="22" t="n"/>
      <c r="D37" s="29">
        <f>IFERROR(VLOOKUP(C37,'Threat Actor Profiles'!A:B,2,FALSE),"Unknown")</f>
        <v/>
      </c>
      <c r="E37" s="20" t="n"/>
      <c r="F37" s="20" t="n"/>
      <c r="G37" s="22" t="n"/>
      <c r="H37" s="22" t="n"/>
      <c r="I37" s="22" t="n"/>
      <c r="J37" s="22" t="n"/>
      <c r="K37" s="22" t="n"/>
      <c r="L37" s="22" t="n"/>
      <c r="M37" s="22" t="n"/>
      <c r="N37" s="22" t="n"/>
      <c r="O37" s="22" t="n"/>
      <c r="P37" s="34" t="inlineStr"/>
      <c r="Q37" s="23" t="n"/>
      <c r="R37" s="23" t="n"/>
      <c r="S37" s="23" t="n"/>
      <c r="T37" s="22" t="n"/>
      <c r="U37" s="22" t="n"/>
      <c r="V37" s="22" t="n"/>
      <c r="W37" s="20" t="n"/>
      <c r="X37" s="22" t="n"/>
    </row>
    <row r="38">
      <c r="A38" s="29" t="n"/>
      <c r="B38" s="22" t="n"/>
      <c r="C38" s="22" t="n"/>
      <c r="D38" s="29">
        <f>IFERROR(VLOOKUP(C38,'Threat Actor Profiles'!A:B,2,FALSE),"Unknown")</f>
        <v/>
      </c>
      <c r="E38" s="20" t="n"/>
      <c r="F38" s="20" t="n"/>
      <c r="G38" s="22" t="n"/>
      <c r="H38" s="22" t="n"/>
      <c r="I38" s="22" t="n"/>
      <c r="J38" s="22" t="n"/>
      <c r="K38" s="22" t="n"/>
      <c r="L38" s="22" t="n"/>
      <c r="M38" s="22" t="n"/>
      <c r="N38" s="22" t="n"/>
      <c r="O38" s="22" t="n"/>
      <c r="P38" s="34" t="inlineStr"/>
      <c r="Q38" s="23" t="n"/>
      <c r="R38" s="23" t="n"/>
      <c r="S38" s="23" t="n"/>
      <c r="T38" s="22" t="n"/>
      <c r="U38" s="22" t="n"/>
      <c r="V38" s="22" t="n"/>
      <c r="W38" s="20" t="n"/>
      <c r="X38" s="22" t="n"/>
    </row>
    <row r="39">
      <c r="A39" s="29" t="n"/>
      <c r="B39" s="22" t="n"/>
      <c r="C39" s="22" t="n"/>
      <c r="D39" s="29">
        <f>IFERROR(VLOOKUP(C39,'Threat Actor Profiles'!A:B,2,FALSE),"Unknown")</f>
        <v/>
      </c>
      <c r="E39" s="20" t="n"/>
      <c r="F39" s="20" t="n"/>
      <c r="G39" s="22" t="n"/>
      <c r="H39" s="22" t="n"/>
      <c r="I39" s="22" t="n"/>
      <c r="J39" s="22" t="n"/>
      <c r="K39" s="22" t="n"/>
      <c r="L39" s="22" t="n"/>
      <c r="M39" s="22" t="n"/>
      <c r="N39" s="22" t="n"/>
      <c r="O39" s="22" t="n"/>
      <c r="P39" s="34" t="inlineStr"/>
      <c r="Q39" s="23" t="n"/>
      <c r="R39" s="23" t="n"/>
      <c r="S39" s="23" t="n"/>
      <c r="T39" s="22" t="n"/>
      <c r="U39" s="22" t="n"/>
      <c r="V39" s="22" t="n"/>
      <c r="W39" s="20" t="n"/>
      <c r="X39" s="22" t="n"/>
    </row>
    <row r="40">
      <c r="A40" s="29" t="n"/>
      <c r="B40" s="22" t="n"/>
      <c r="C40" s="22" t="n"/>
      <c r="D40" s="29">
        <f>IFERROR(VLOOKUP(C40,'Threat Actor Profiles'!A:B,2,FALSE),"Unknown")</f>
        <v/>
      </c>
      <c r="E40" s="20" t="n"/>
      <c r="F40" s="20" t="n"/>
      <c r="G40" s="22" t="n"/>
      <c r="H40" s="22" t="n"/>
      <c r="I40" s="22" t="n"/>
      <c r="J40" s="22" t="n"/>
      <c r="K40" s="22" t="n"/>
      <c r="L40" s="22" t="n"/>
      <c r="M40" s="22" t="n"/>
      <c r="N40" s="22" t="n"/>
      <c r="O40" s="22" t="n"/>
      <c r="P40" s="34" t="inlineStr"/>
      <c r="Q40" s="23" t="n"/>
      <c r="R40" s="23" t="n"/>
      <c r="S40" s="23" t="n"/>
      <c r="T40" s="22" t="n"/>
      <c r="U40" s="22" t="n"/>
      <c r="V40" s="22" t="n"/>
      <c r="W40" s="20" t="n"/>
      <c r="X40" s="22" t="n"/>
    </row>
    <row r="41">
      <c r="A41" s="29" t="n"/>
      <c r="B41" s="22" t="n"/>
      <c r="C41" s="22" t="n"/>
      <c r="D41" s="29">
        <f>IFERROR(VLOOKUP(C41,'Threat Actor Profiles'!A:B,2,FALSE),"Unknown")</f>
        <v/>
      </c>
      <c r="E41" s="20" t="n"/>
      <c r="F41" s="20" t="n"/>
      <c r="G41" s="22" t="n"/>
      <c r="H41" s="22" t="n"/>
      <c r="I41" s="22" t="n"/>
      <c r="J41" s="22" t="n"/>
      <c r="K41" s="22" t="n"/>
      <c r="L41" s="22" t="n"/>
      <c r="M41" s="22" t="n"/>
      <c r="N41" s="22" t="n"/>
      <c r="O41" s="22" t="n"/>
      <c r="P41" s="34" t="inlineStr"/>
      <c r="Q41" s="23" t="n"/>
      <c r="R41" s="23" t="n"/>
      <c r="S41" s="23" t="n"/>
      <c r="T41" s="22" t="n"/>
      <c r="U41" s="22" t="n"/>
      <c r="V41" s="22" t="n"/>
      <c r="W41" s="20" t="n"/>
      <c r="X41" s="22" t="n"/>
    </row>
    <row r="42">
      <c r="A42" s="29" t="n"/>
      <c r="B42" s="22" t="n"/>
      <c r="C42" s="22" t="n"/>
      <c r="D42" s="29">
        <f>IFERROR(VLOOKUP(C42,'Threat Actor Profiles'!A:B,2,FALSE),"Unknown")</f>
        <v/>
      </c>
      <c r="E42" s="20" t="n"/>
      <c r="F42" s="20" t="n"/>
      <c r="G42" s="22" t="n"/>
      <c r="H42" s="22" t="n"/>
      <c r="I42" s="22" t="n"/>
      <c r="J42" s="22" t="n"/>
      <c r="K42" s="22" t="n"/>
      <c r="L42" s="22" t="n"/>
      <c r="M42" s="22" t="n"/>
      <c r="N42" s="22" t="n"/>
      <c r="O42" s="22" t="n"/>
      <c r="P42" s="34" t="inlineStr"/>
      <c r="Q42" s="23" t="n"/>
      <c r="R42" s="23" t="n"/>
      <c r="S42" s="23" t="n"/>
      <c r="T42" s="22" t="n"/>
      <c r="U42" s="22" t="n"/>
      <c r="V42" s="22" t="n"/>
      <c r="W42" s="20" t="n"/>
      <c r="X42" s="22" t="n"/>
    </row>
    <row r="43">
      <c r="A43" s="29" t="n"/>
      <c r="B43" s="22" t="n"/>
      <c r="C43" s="22" t="n"/>
      <c r="D43" s="29">
        <f>IFERROR(VLOOKUP(C43,'Threat Actor Profiles'!A:B,2,FALSE),"Unknown")</f>
        <v/>
      </c>
      <c r="E43" s="20" t="n"/>
      <c r="F43" s="20" t="n"/>
      <c r="G43" s="22" t="n"/>
      <c r="H43" s="22" t="n"/>
      <c r="I43" s="22" t="n"/>
      <c r="J43" s="22" t="n"/>
      <c r="K43" s="22" t="n"/>
      <c r="L43" s="22" t="n"/>
      <c r="M43" s="22" t="n"/>
      <c r="N43" s="22" t="n"/>
      <c r="O43" s="22" t="n"/>
      <c r="P43" s="34" t="inlineStr"/>
      <c r="Q43" s="23" t="n"/>
      <c r="R43" s="23" t="n"/>
      <c r="S43" s="23" t="n"/>
      <c r="T43" s="22" t="n"/>
      <c r="U43" s="22" t="n"/>
      <c r="V43" s="22" t="n"/>
      <c r="W43" s="20" t="n"/>
      <c r="X43" s="22" t="n"/>
    </row>
    <row r="44">
      <c r="A44" s="29" t="n"/>
      <c r="B44" s="22" t="n"/>
      <c r="C44" s="22" t="n"/>
      <c r="D44" s="29">
        <f>IFERROR(VLOOKUP(C44,'Threat Actor Profiles'!A:B,2,FALSE),"Unknown")</f>
        <v/>
      </c>
      <c r="E44" s="20" t="n"/>
      <c r="F44" s="20" t="n"/>
      <c r="G44" s="22" t="n"/>
      <c r="H44" s="22" t="n"/>
      <c r="I44" s="22" t="n"/>
      <c r="J44" s="22" t="n"/>
      <c r="K44" s="22" t="n"/>
      <c r="L44" s="22" t="n"/>
      <c r="M44" s="22" t="n"/>
      <c r="N44" s="22" t="n"/>
      <c r="O44" s="22" t="n"/>
      <c r="P44" s="34" t="inlineStr"/>
      <c r="Q44" s="23" t="n"/>
      <c r="R44" s="23" t="n"/>
      <c r="S44" s="23" t="n"/>
      <c r="T44" s="22" t="n"/>
      <c r="U44" s="22" t="n"/>
      <c r="V44" s="22" t="n"/>
      <c r="W44" s="20" t="n"/>
      <c r="X44" s="22" t="n"/>
    </row>
    <row r="45">
      <c r="A45" s="29" t="n"/>
      <c r="B45" s="22" t="n"/>
      <c r="C45" s="22" t="n"/>
      <c r="D45" s="29">
        <f>IFERROR(VLOOKUP(C45,'Threat Actor Profiles'!A:B,2,FALSE),"Unknown")</f>
        <v/>
      </c>
      <c r="E45" s="20" t="n"/>
      <c r="F45" s="20" t="n"/>
      <c r="G45" s="22" t="n"/>
      <c r="H45" s="22" t="n"/>
      <c r="I45" s="22" t="n"/>
      <c r="J45" s="22" t="n"/>
      <c r="K45" s="22" t="n"/>
      <c r="L45" s="22" t="n"/>
      <c r="M45" s="22" t="n"/>
      <c r="N45" s="22" t="n"/>
      <c r="O45" s="22" t="n"/>
      <c r="P45" s="34" t="inlineStr"/>
      <c r="Q45" s="23" t="n"/>
      <c r="R45" s="23" t="n"/>
      <c r="S45" s="23" t="n"/>
      <c r="T45" s="22" t="n"/>
      <c r="U45" s="22" t="n"/>
      <c r="V45" s="22" t="n"/>
      <c r="W45" s="20" t="n"/>
      <c r="X45" s="22" t="n"/>
    </row>
    <row r="46">
      <c r="A46" s="29" t="n"/>
      <c r="B46" s="22" t="n"/>
      <c r="C46" s="22" t="n"/>
      <c r="D46" s="29">
        <f>IFERROR(VLOOKUP(C46,'Threat Actor Profiles'!A:B,2,FALSE),"Unknown")</f>
        <v/>
      </c>
      <c r="E46" s="20" t="n"/>
      <c r="F46" s="20" t="n"/>
      <c r="G46" s="22" t="n"/>
      <c r="H46" s="22" t="n"/>
      <c r="I46" s="22" t="n"/>
      <c r="J46" s="22" t="n"/>
      <c r="K46" s="22" t="n"/>
      <c r="L46" s="22" t="n"/>
      <c r="M46" s="22" t="n"/>
      <c r="N46" s="22" t="n"/>
      <c r="O46" s="22" t="n"/>
      <c r="P46" s="34" t="inlineStr"/>
      <c r="Q46" s="23" t="n"/>
      <c r="R46" s="23" t="n"/>
      <c r="S46" s="23" t="n"/>
      <c r="T46" s="22" t="n"/>
      <c r="U46" s="22" t="n"/>
      <c r="V46" s="22" t="n"/>
      <c r="W46" s="20" t="n"/>
      <c r="X46" s="22" t="n"/>
    </row>
    <row r="47">
      <c r="A47" s="29" t="n"/>
      <c r="B47" s="22" t="n"/>
      <c r="C47" s="22" t="n"/>
      <c r="D47" s="29">
        <f>IFERROR(VLOOKUP(C47,'Threat Actor Profiles'!A:B,2,FALSE),"Unknown")</f>
        <v/>
      </c>
      <c r="E47" s="20" t="n"/>
      <c r="F47" s="20" t="n"/>
      <c r="G47" s="22" t="n"/>
      <c r="H47" s="22" t="n"/>
      <c r="I47" s="22" t="n"/>
      <c r="J47" s="22" t="n"/>
      <c r="K47" s="22" t="n"/>
      <c r="L47" s="22" t="n"/>
      <c r="M47" s="22" t="n"/>
      <c r="N47" s="22" t="n"/>
      <c r="O47" s="22" t="n"/>
      <c r="P47" s="34" t="inlineStr"/>
      <c r="Q47" s="23" t="n"/>
      <c r="R47" s="23" t="n"/>
      <c r="S47" s="23" t="n"/>
      <c r="T47" s="22" t="n"/>
      <c r="U47" s="22" t="n"/>
      <c r="V47" s="22" t="n"/>
      <c r="W47" s="20" t="n"/>
      <c r="X47" s="22" t="n"/>
    </row>
    <row r="48">
      <c r="A48" s="29" t="n"/>
      <c r="B48" s="22" t="n"/>
      <c r="C48" s="22" t="n"/>
      <c r="D48" s="29">
        <f>IFERROR(VLOOKUP(C48,'Threat Actor Profiles'!A:B,2,FALSE),"Unknown")</f>
        <v/>
      </c>
      <c r="E48" s="20" t="n"/>
      <c r="F48" s="20" t="n"/>
      <c r="G48" s="22" t="n"/>
      <c r="H48" s="22" t="n"/>
      <c r="I48" s="22" t="n"/>
      <c r="J48" s="22" t="n"/>
      <c r="K48" s="22" t="n"/>
      <c r="L48" s="22" t="n"/>
      <c r="M48" s="22" t="n"/>
      <c r="N48" s="22" t="n"/>
      <c r="O48" s="22" t="n"/>
      <c r="P48" s="34" t="inlineStr"/>
      <c r="Q48" s="23" t="n"/>
      <c r="R48" s="23" t="n"/>
      <c r="S48" s="23" t="n"/>
      <c r="T48" s="22" t="n"/>
      <c r="U48" s="22" t="n"/>
      <c r="V48" s="22" t="n"/>
      <c r="W48" s="20" t="n"/>
      <c r="X48" s="22" t="n"/>
    </row>
    <row r="49">
      <c r="A49" s="29" t="n"/>
      <c r="B49" s="22" t="n"/>
      <c r="C49" s="22" t="n"/>
      <c r="D49" s="29">
        <f>IFERROR(VLOOKUP(C49,'Threat Actor Profiles'!A:B,2,FALSE),"Unknown")</f>
        <v/>
      </c>
      <c r="E49" s="20" t="n"/>
      <c r="F49" s="20" t="n"/>
      <c r="G49" s="22" t="n"/>
      <c r="H49" s="22" t="n"/>
      <c r="I49" s="22" t="n"/>
      <c r="J49" s="22" t="n"/>
      <c r="K49" s="22" t="n"/>
      <c r="L49" s="22" t="n"/>
      <c r="M49" s="22" t="n"/>
      <c r="N49" s="22" t="n"/>
      <c r="O49" s="22" t="n"/>
      <c r="P49" s="34" t="inlineStr"/>
      <c r="Q49" s="23" t="n"/>
      <c r="R49" s="23" t="n"/>
      <c r="S49" s="23" t="n"/>
      <c r="T49" s="22" t="n"/>
      <c r="U49" s="22" t="n"/>
      <c r="V49" s="22" t="n"/>
      <c r="W49" s="20" t="n"/>
      <c r="X49" s="22" t="n"/>
    </row>
    <row r="50">
      <c r="A50" s="29" t="n"/>
      <c r="B50" s="22" t="n"/>
      <c r="C50" s="22" t="n"/>
      <c r="D50" s="29">
        <f>IFERROR(VLOOKUP(C50,'Threat Actor Profiles'!A:B,2,FALSE),"Unknown")</f>
        <v/>
      </c>
      <c r="E50" s="20" t="n"/>
      <c r="F50" s="20" t="n"/>
      <c r="G50" s="22" t="n"/>
      <c r="H50" s="22" t="n"/>
      <c r="I50" s="22" t="n"/>
      <c r="J50" s="22" t="n"/>
      <c r="K50" s="22" t="n"/>
      <c r="L50" s="22" t="n"/>
      <c r="M50" s="22" t="n"/>
      <c r="N50" s="22" t="n"/>
      <c r="O50" s="22" t="n"/>
      <c r="P50" s="34" t="inlineStr"/>
      <c r="Q50" s="23" t="n"/>
      <c r="R50" s="23" t="n"/>
      <c r="S50" s="23" t="n"/>
      <c r="T50" s="22" t="n"/>
      <c r="U50" s="22" t="n"/>
      <c r="V50" s="22" t="n"/>
      <c r="W50" s="20" t="n"/>
      <c r="X50" s="22" t="n"/>
    </row>
    <row r="51">
      <c r="A51" s="29" t="n"/>
      <c r="B51" s="22" t="n"/>
      <c r="C51" s="22" t="n"/>
      <c r="D51" s="29">
        <f>IFERROR(VLOOKUP(C51,'Threat Actor Profiles'!A:B,2,FALSE),"Unknown")</f>
        <v/>
      </c>
      <c r="E51" s="20" t="n"/>
      <c r="F51" s="20" t="n"/>
      <c r="G51" s="22" t="n"/>
      <c r="H51" s="22" t="n"/>
      <c r="I51" s="22" t="n"/>
      <c r="J51" s="22" t="n"/>
      <c r="K51" s="22" t="n"/>
      <c r="L51" s="22" t="n"/>
      <c r="M51" s="22" t="n"/>
      <c r="N51" s="22" t="n"/>
      <c r="O51" s="22" t="n"/>
      <c r="P51" s="34" t="inlineStr"/>
      <c r="Q51" s="23" t="n"/>
      <c r="R51" s="23" t="n"/>
      <c r="S51" s="23" t="n"/>
      <c r="T51" s="22" t="n"/>
      <c r="U51" s="22" t="n"/>
      <c r="V51" s="22" t="n"/>
      <c r="W51" s="20" t="n"/>
      <c r="X51" s="22" t="n"/>
    </row>
    <row r="52">
      <c r="A52" s="29" t="n"/>
      <c r="B52" s="22" t="n"/>
      <c r="C52" s="22" t="n"/>
      <c r="D52" s="29">
        <f>IFERROR(VLOOKUP(C52,'Threat Actor Profiles'!A:B,2,FALSE),"Unknown")</f>
        <v/>
      </c>
      <c r="E52" s="20" t="n"/>
      <c r="F52" s="20" t="n"/>
      <c r="G52" s="22" t="n"/>
      <c r="H52" s="22" t="n"/>
      <c r="I52" s="22" t="n"/>
      <c r="J52" s="22" t="n"/>
      <c r="K52" s="22" t="n"/>
      <c r="L52" s="22" t="n"/>
      <c r="M52" s="22" t="n"/>
      <c r="N52" s="22" t="n"/>
      <c r="O52" s="22" t="n"/>
      <c r="P52" s="34" t="inlineStr"/>
      <c r="Q52" s="23" t="n"/>
      <c r="R52" s="23" t="n"/>
      <c r="S52" s="23" t="n"/>
      <c r="T52" s="22" t="n"/>
      <c r="U52" s="22" t="n"/>
      <c r="V52" s="22" t="n"/>
      <c r="W52" s="20" t="n"/>
      <c r="X52" s="22" t="n"/>
    </row>
    <row r="53">
      <c r="A53" s="29" t="n"/>
      <c r="B53" s="22" t="n"/>
      <c r="C53" s="22" t="n"/>
      <c r="D53" s="29">
        <f>IFERROR(VLOOKUP(C53,'Threat Actor Profiles'!A:B,2,FALSE),"Unknown")</f>
        <v/>
      </c>
      <c r="E53" s="20" t="n"/>
      <c r="F53" s="20" t="n"/>
      <c r="G53" s="22" t="n"/>
      <c r="H53" s="22" t="n"/>
      <c r="I53" s="22" t="n"/>
      <c r="J53" s="22" t="n"/>
      <c r="K53" s="22" t="n"/>
      <c r="L53" s="22" t="n"/>
      <c r="M53" s="22" t="n"/>
      <c r="N53" s="22" t="n"/>
      <c r="O53" s="22" t="n"/>
      <c r="P53" s="34" t="inlineStr"/>
      <c r="Q53" s="23" t="n"/>
      <c r="R53" s="23" t="n"/>
      <c r="S53" s="23" t="n"/>
      <c r="T53" s="22" t="n"/>
      <c r="U53" s="22" t="n"/>
      <c r="V53" s="22" t="n"/>
      <c r="W53" s="20" t="n"/>
      <c r="X53" s="22" t="n"/>
    </row>
    <row r="54">
      <c r="A54" s="29" t="n"/>
      <c r="B54" s="22" t="n"/>
      <c r="C54" s="22" t="n"/>
      <c r="D54" s="29">
        <f>IFERROR(VLOOKUP(C54,'Threat Actor Profiles'!A:B,2,FALSE),"Unknown")</f>
        <v/>
      </c>
      <c r="E54" s="20" t="n"/>
      <c r="F54" s="20" t="n"/>
      <c r="G54" s="22" t="n"/>
      <c r="H54" s="22" t="n"/>
      <c r="I54" s="22" t="n"/>
      <c r="J54" s="22" t="n"/>
      <c r="K54" s="22" t="n"/>
      <c r="L54" s="22" t="n"/>
      <c r="M54" s="22" t="n"/>
      <c r="N54" s="22" t="n"/>
      <c r="O54" s="22" t="n"/>
      <c r="P54" s="34" t="inlineStr"/>
      <c r="Q54" s="23" t="n"/>
      <c r="R54" s="23" t="n"/>
      <c r="S54" s="23" t="n"/>
      <c r="T54" s="22" t="n"/>
      <c r="U54" s="22" t="n"/>
      <c r="V54" s="22" t="n"/>
      <c r="W54" s="20" t="n"/>
      <c r="X54" s="22" t="n"/>
    </row>
    <row r="55">
      <c r="A55" s="29" t="n"/>
      <c r="B55" s="22" t="n"/>
      <c r="C55" s="22" t="n"/>
      <c r="D55" s="29">
        <f>IFERROR(VLOOKUP(C55,'Threat Actor Profiles'!A:B,2,FALSE),"Unknown")</f>
        <v/>
      </c>
      <c r="E55" s="20" t="n"/>
      <c r="F55" s="20" t="n"/>
      <c r="G55" s="22" t="n"/>
      <c r="H55" s="22" t="n"/>
      <c r="I55" s="22" t="n"/>
      <c r="J55" s="22" t="n"/>
      <c r="K55" s="22" t="n"/>
      <c r="L55" s="22" t="n"/>
      <c r="M55" s="22" t="n"/>
      <c r="N55" s="22" t="n"/>
      <c r="O55" s="22" t="n"/>
      <c r="P55" s="34" t="inlineStr"/>
      <c r="Q55" s="23" t="n"/>
      <c r="R55" s="23" t="n"/>
      <c r="S55" s="23" t="n"/>
      <c r="T55" s="22" t="n"/>
      <c r="U55" s="22" t="n"/>
      <c r="V55" s="22" t="n"/>
      <c r="W55" s="20" t="n"/>
      <c r="X55" s="22" t="n"/>
    </row>
  </sheetData>
  <mergeCells count="2">
    <mergeCell ref="A2:X2"/>
    <mergeCell ref="A1:X1"/>
  </mergeCells>
  <conditionalFormatting sqref="K6:K55">
    <cfRule type="cellIs" priority="1" operator="equal" dxfId="0">
      <formula>"Confirmed"</formula>
    </cfRule>
  </conditionalFormatting>
  <conditionalFormatting sqref="U6:U55">
    <cfRule type="cellIs" priority="2" operator="equal" dxfId="4">
      <formula>"Critical"</formula>
    </cfRule>
  </conditionalFormatting>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8" customWidth="1" min="2" max="2"/>
    <col width="22" customWidth="1" min="3" max="3"/>
    <col width="45" customWidth="1" min="4" max="4"/>
    <col width="45" customWidth="1" min="5" max="5"/>
    <col width="16" customWidth="1" min="6" max="6"/>
    <col width="22" customWidth="1" min="7" max="7"/>
    <col width="20" customWidth="1" min="8" max="8"/>
  </cols>
  <sheetData>
    <row r="1" ht="35" customHeight="1">
      <c r="A1" s="35" t="inlineStr">
        <is>
          <t>EVIDENCE REGISTER</t>
        </is>
      </c>
      <c r="B1" s="6" t="n"/>
      <c r="C1" s="6" t="n"/>
      <c r="D1" s="6" t="n"/>
      <c r="E1" s="6" t="n"/>
      <c r="F1" s="6" t="n"/>
      <c r="G1" s="6" t="n"/>
      <c r="H1" s="6" t="n"/>
    </row>
    <row r="2">
      <c r="A2" s="36" t="inlineStr">
        <is>
          <t>ISMS-IMP-A.5.7.2 | ISO/IEC 27001:2022 - Control A.5.7: Threat Intelligence</t>
        </is>
      </c>
      <c r="B2" s="6" t="n"/>
      <c r="C2" s="6" t="n"/>
      <c r="D2" s="6" t="n"/>
      <c r="E2" s="6" t="n"/>
      <c r="F2" s="6" t="n"/>
      <c r="G2" s="6" t="n"/>
      <c r="H2" s="6" t="n"/>
    </row>
    <row r="4">
      <c r="A4" s="37" t="inlineStr">
        <is>
          <t>Evidence ID</t>
        </is>
      </c>
      <c r="B4" s="37" t="inlineStr">
        <is>
          <t>Assessment Area</t>
        </is>
      </c>
      <c r="C4" s="37" t="inlineStr">
        <is>
          <t>Evidence Type</t>
        </is>
      </c>
      <c r="D4" s="37" t="inlineStr">
        <is>
          <t>Description</t>
        </is>
      </c>
      <c r="E4" s="37" t="inlineStr">
        <is>
          <t>Location / Path</t>
        </is>
      </c>
      <c r="F4" s="37" t="inlineStr">
        <is>
          <t>Date Collected</t>
        </is>
      </c>
      <c r="G4" s="37" t="inlineStr">
        <is>
          <t>Collected By</t>
        </is>
      </c>
      <c r="H4" s="37" t="inlineStr">
        <is>
          <t>Verification Status</t>
        </is>
      </c>
    </row>
    <row r="5">
      <c r="A5" s="38" t="inlineStr">
        <is>
          <t>EV-001</t>
        </is>
      </c>
      <c r="B5" s="39" t="inlineStr">
        <is>
          <t>Intelligence Collection Sources</t>
        </is>
      </c>
      <c r="C5" s="39" t="inlineStr">
        <is>
          <t>Screenshot</t>
        </is>
      </c>
      <c r="D5" s="39" t="inlineStr">
        <is>
          <t>MISP Community Feed configuration showing active subscription and API integration</t>
        </is>
      </c>
      <c r="E5" s="39" t="inlineStr">
        <is>
          <t>/evidence/a57/misp-feed-config-2026-01-15.png</t>
        </is>
      </c>
      <c r="F5" s="39" t="inlineStr">
        <is>
          <t>10.03.2026</t>
        </is>
      </c>
      <c r="G5" s="39" t="inlineStr">
        <is>
          <t>Security Manager</t>
        </is>
      </c>
      <c r="H5" s="39" t="inlineStr">
        <is>
          <t>✅ Verified</t>
        </is>
      </c>
    </row>
    <row r="6">
      <c r="A6" s="40" t="n"/>
      <c r="B6" s="41" t="n"/>
      <c r="C6" s="41" t="n"/>
      <c r="D6" s="41" t="n"/>
      <c r="E6" s="41" t="n"/>
      <c r="F6" s="41" t="n"/>
      <c r="G6" s="41" t="n"/>
      <c r="H6" s="41" t="n"/>
    </row>
    <row r="7">
      <c r="A7" s="40" t="n"/>
      <c r="B7" s="41" t="n"/>
      <c r="C7" s="41" t="n"/>
      <c r="D7" s="41" t="n"/>
      <c r="E7" s="41" t="n"/>
      <c r="F7" s="41" t="n"/>
      <c r="G7" s="41" t="n"/>
      <c r="H7" s="41" t="n"/>
    </row>
    <row r="8">
      <c r="A8" s="40" t="n"/>
      <c r="B8" s="41" t="n"/>
      <c r="C8" s="41" t="n"/>
      <c r="D8" s="41" t="n"/>
      <c r="E8" s="41" t="n"/>
      <c r="F8" s="41" t="n"/>
      <c r="G8" s="41" t="n"/>
      <c r="H8" s="41" t="n"/>
    </row>
    <row r="9">
      <c r="A9" s="40" t="n"/>
      <c r="B9" s="41" t="n"/>
      <c r="C9" s="41" t="n"/>
      <c r="D9" s="41" t="n"/>
      <c r="E9" s="41" t="n"/>
      <c r="F9" s="41" t="n"/>
      <c r="G9" s="41" t="n"/>
      <c r="H9" s="41" t="n"/>
    </row>
    <row r="10">
      <c r="A10" s="40" t="n"/>
      <c r="B10" s="41" t="n"/>
      <c r="C10" s="41" t="n"/>
      <c r="D10" s="41" t="n"/>
      <c r="E10" s="41" t="n"/>
      <c r="F10" s="41" t="n"/>
      <c r="G10" s="41" t="n"/>
      <c r="H10" s="41" t="n"/>
    </row>
    <row r="11">
      <c r="A11" s="40" t="n"/>
      <c r="B11" s="41" t="n"/>
      <c r="C11" s="41" t="n"/>
      <c r="D11" s="41" t="n"/>
      <c r="E11" s="41" t="n"/>
      <c r="F11" s="41" t="n"/>
      <c r="G11" s="41" t="n"/>
      <c r="H11" s="41" t="n"/>
    </row>
    <row r="12">
      <c r="A12" s="40" t="n"/>
      <c r="B12" s="41" t="n"/>
      <c r="C12" s="41" t="n"/>
      <c r="D12" s="41" t="n"/>
      <c r="E12" s="41" t="n"/>
      <c r="F12" s="41" t="n"/>
      <c r="G12" s="41" t="n"/>
      <c r="H12" s="41" t="n"/>
    </row>
    <row r="13">
      <c r="A13" s="40" t="n"/>
      <c r="B13" s="41" t="n"/>
      <c r="C13" s="41" t="n"/>
      <c r="D13" s="41" t="n"/>
      <c r="E13" s="41" t="n"/>
      <c r="F13" s="41" t="n"/>
      <c r="G13" s="41" t="n"/>
      <c r="H13" s="41" t="n"/>
    </row>
    <row r="14">
      <c r="A14" s="40" t="n"/>
      <c r="B14" s="41" t="n"/>
      <c r="C14" s="41" t="n"/>
      <c r="D14" s="41" t="n"/>
      <c r="E14" s="41" t="n"/>
      <c r="F14" s="41" t="n"/>
      <c r="G14" s="41" t="n"/>
      <c r="H14" s="41" t="n"/>
    </row>
    <row r="15">
      <c r="A15" s="40" t="n"/>
      <c r="B15" s="41" t="n"/>
      <c r="C15" s="41" t="n"/>
      <c r="D15" s="41" t="n"/>
      <c r="E15" s="41" t="n"/>
      <c r="F15" s="41" t="n"/>
      <c r="G15" s="41" t="n"/>
      <c r="H15" s="41" t="n"/>
    </row>
    <row r="16">
      <c r="A16" s="40" t="n"/>
      <c r="B16" s="41" t="n"/>
      <c r="C16" s="41" t="n"/>
      <c r="D16" s="41" t="n"/>
      <c r="E16" s="41" t="n"/>
      <c r="F16" s="41" t="n"/>
      <c r="G16" s="41" t="n"/>
      <c r="H16" s="41" t="n"/>
    </row>
    <row r="17">
      <c r="A17" s="40" t="n"/>
      <c r="B17" s="41" t="n"/>
      <c r="C17" s="41" t="n"/>
      <c r="D17" s="41" t="n"/>
      <c r="E17" s="41" t="n"/>
      <c r="F17" s="41" t="n"/>
      <c r="G17" s="41" t="n"/>
      <c r="H17" s="41" t="n"/>
    </row>
    <row r="18">
      <c r="A18" s="40" t="n"/>
      <c r="B18" s="41" t="n"/>
      <c r="C18" s="41" t="n"/>
      <c r="D18" s="41" t="n"/>
      <c r="E18" s="41" t="n"/>
      <c r="F18" s="41" t="n"/>
      <c r="G18" s="41" t="n"/>
      <c r="H18" s="41" t="n"/>
    </row>
    <row r="19">
      <c r="A19" s="40" t="n"/>
      <c r="B19" s="41" t="n"/>
      <c r="C19" s="41" t="n"/>
      <c r="D19" s="41" t="n"/>
      <c r="E19" s="41" t="n"/>
      <c r="F19" s="41" t="n"/>
      <c r="G19" s="41" t="n"/>
      <c r="H19" s="41" t="n"/>
    </row>
    <row r="20">
      <c r="A20" s="40" t="n"/>
      <c r="B20" s="41" t="n"/>
      <c r="C20" s="41" t="n"/>
      <c r="D20" s="41" t="n"/>
      <c r="E20" s="41" t="n"/>
      <c r="F20" s="41" t="n"/>
      <c r="G20" s="41" t="n"/>
      <c r="H20" s="41" t="n"/>
    </row>
    <row r="21">
      <c r="A21" s="40" t="n"/>
      <c r="B21" s="41" t="n"/>
      <c r="C21" s="41" t="n"/>
      <c r="D21" s="41" t="n"/>
      <c r="E21" s="41" t="n"/>
      <c r="F21" s="41" t="n"/>
      <c r="G21" s="41" t="n"/>
      <c r="H21" s="41" t="n"/>
    </row>
    <row r="22">
      <c r="A22" s="40" t="n"/>
      <c r="B22" s="41" t="n"/>
      <c r="C22" s="41" t="n"/>
      <c r="D22" s="41" t="n"/>
      <c r="E22" s="41" t="n"/>
      <c r="F22" s="41" t="n"/>
      <c r="G22" s="41" t="n"/>
      <c r="H22" s="41" t="n"/>
    </row>
    <row r="23">
      <c r="A23" s="40" t="n"/>
      <c r="B23" s="41" t="n"/>
      <c r="C23" s="41" t="n"/>
      <c r="D23" s="41" t="n"/>
      <c r="E23" s="41" t="n"/>
      <c r="F23" s="41" t="n"/>
      <c r="G23" s="41" t="n"/>
      <c r="H23" s="41" t="n"/>
    </row>
    <row r="24">
      <c r="A24" s="40" t="n"/>
      <c r="B24" s="41" t="n"/>
      <c r="C24" s="41" t="n"/>
      <c r="D24" s="41" t="n"/>
      <c r="E24" s="41" t="n"/>
      <c r="F24" s="41" t="n"/>
      <c r="G24" s="41" t="n"/>
      <c r="H24" s="41" t="n"/>
    </row>
    <row r="25">
      <c r="A25" s="40" t="n"/>
      <c r="B25" s="41" t="n"/>
      <c r="C25" s="41" t="n"/>
      <c r="D25" s="41" t="n"/>
      <c r="E25" s="41" t="n"/>
      <c r="F25" s="41" t="n"/>
      <c r="G25" s="41" t="n"/>
      <c r="H25" s="41" t="n"/>
    </row>
    <row r="26">
      <c r="A26" s="40" t="n"/>
      <c r="B26" s="41" t="n"/>
      <c r="C26" s="41" t="n"/>
      <c r="D26" s="41" t="n"/>
      <c r="E26" s="41" t="n"/>
      <c r="F26" s="41" t="n"/>
      <c r="G26" s="41" t="n"/>
      <c r="H26" s="41" t="n"/>
    </row>
    <row r="27">
      <c r="A27" s="40" t="n"/>
      <c r="B27" s="41" t="n"/>
      <c r="C27" s="41" t="n"/>
      <c r="D27" s="41" t="n"/>
      <c r="E27" s="41" t="n"/>
      <c r="F27" s="41" t="n"/>
      <c r="G27" s="41" t="n"/>
      <c r="H27" s="41" t="n"/>
    </row>
    <row r="28">
      <c r="A28" s="40" t="n"/>
      <c r="B28" s="41" t="n"/>
      <c r="C28" s="41" t="n"/>
      <c r="D28" s="41" t="n"/>
      <c r="E28" s="41" t="n"/>
      <c r="F28" s="41" t="n"/>
      <c r="G28" s="41" t="n"/>
      <c r="H28" s="41" t="n"/>
    </row>
    <row r="29">
      <c r="A29" s="40" t="n"/>
      <c r="B29" s="41" t="n"/>
      <c r="C29" s="41" t="n"/>
      <c r="D29" s="41" t="n"/>
      <c r="E29" s="41" t="n"/>
      <c r="F29" s="41" t="n"/>
      <c r="G29" s="41" t="n"/>
      <c r="H29" s="41" t="n"/>
    </row>
    <row r="30">
      <c r="A30" s="40" t="n"/>
      <c r="B30" s="41" t="n"/>
      <c r="C30" s="41" t="n"/>
      <c r="D30" s="41" t="n"/>
      <c r="E30" s="41" t="n"/>
      <c r="F30" s="41" t="n"/>
      <c r="G30" s="41" t="n"/>
      <c r="H30" s="41" t="n"/>
    </row>
    <row r="31">
      <c r="A31" s="40" t="n"/>
      <c r="B31" s="41" t="n"/>
      <c r="C31" s="41" t="n"/>
      <c r="D31" s="41" t="n"/>
      <c r="E31" s="41" t="n"/>
      <c r="F31" s="41" t="n"/>
      <c r="G31" s="41" t="n"/>
      <c r="H31" s="41" t="n"/>
    </row>
    <row r="32">
      <c r="A32" s="40" t="n"/>
      <c r="B32" s="41" t="n"/>
      <c r="C32" s="41" t="n"/>
      <c r="D32" s="41" t="n"/>
      <c r="E32" s="41" t="n"/>
      <c r="F32" s="41" t="n"/>
      <c r="G32" s="41" t="n"/>
      <c r="H32" s="41" t="n"/>
    </row>
    <row r="33">
      <c r="A33" s="40" t="n"/>
      <c r="B33" s="41" t="n"/>
      <c r="C33" s="41" t="n"/>
      <c r="D33" s="41" t="n"/>
      <c r="E33" s="41" t="n"/>
      <c r="F33" s="41" t="n"/>
      <c r="G33" s="41" t="n"/>
      <c r="H33" s="41" t="n"/>
    </row>
    <row r="34">
      <c r="A34" s="40" t="n"/>
      <c r="B34" s="41" t="n"/>
      <c r="C34" s="41" t="n"/>
      <c r="D34" s="41" t="n"/>
      <c r="E34" s="41" t="n"/>
      <c r="F34" s="41" t="n"/>
      <c r="G34" s="41" t="n"/>
      <c r="H34" s="41" t="n"/>
    </row>
    <row r="35">
      <c r="A35" s="40" t="n"/>
      <c r="B35" s="41" t="n"/>
      <c r="C35" s="41" t="n"/>
      <c r="D35" s="41" t="n"/>
      <c r="E35" s="41" t="n"/>
      <c r="F35" s="41" t="n"/>
      <c r="G35" s="41" t="n"/>
      <c r="H35" s="41" t="n"/>
    </row>
    <row r="36">
      <c r="A36" s="40" t="n"/>
      <c r="B36" s="41" t="n"/>
      <c r="C36" s="41" t="n"/>
      <c r="D36" s="41" t="n"/>
      <c r="E36" s="41" t="n"/>
      <c r="F36" s="41" t="n"/>
      <c r="G36" s="41" t="n"/>
      <c r="H36" s="41" t="n"/>
    </row>
    <row r="37">
      <c r="A37" s="40" t="n"/>
      <c r="B37" s="41" t="n"/>
      <c r="C37" s="41" t="n"/>
      <c r="D37" s="41" t="n"/>
      <c r="E37" s="41" t="n"/>
      <c r="F37" s="41" t="n"/>
      <c r="G37" s="41" t="n"/>
      <c r="H37" s="41" t="n"/>
    </row>
    <row r="38">
      <c r="A38" s="40" t="n"/>
      <c r="B38" s="41" t="n"/>
      <c r="C38" s="41" t="n"/>
      <c r="D38" s="41" t="n"/>
      <c r="E38" s="41" t="n"/>
      <c r="F38" s="41" t="n"/>
      <c r="G38" s="41" t="n"/>
      <c r="H38" s="41" t="n"/>
    </row>
    <row r="39">
      <c r="A39" s="40" t="n"/>
      <c r="B39" s="41" t="n"/>
      <c r="C39" s="41" t="n"/>
      <c r="D39" s="41" t="n"/>
      <c r="E39" s="41" t="n"/>
      <c r="F39" s="41" t="n"/>
      <c r="G39" s="41" t="n"/>
      <c r="H39" s="41" t="n"/>
    </row>
    <row r="40">
      <c r="A40" s="40" t="n"/>
      <c r="B40" s="41" t="n"/>
      <c r="C40" s="41" t="n"/>
      <c r="D40" s="41" t="n"/>
      <c r="E40" s="41" t="n"/>
      <c r="F40" s="41" t="n"/>
      <c r="G40" s="41" t="n"/>
      <c r="H40" s="41" t="n"/>
    </row>
    <row r="41">
      <c r="A41" s="40" t="n"/>
      <c r="B41" s="41" t="n"/>
      <c r="C41" s="41" t="n"/>
      <c r="D41" s="41" t="n"/>
      <c r="E41" s="41" t="n"/>
      <c r="F41" s="41" t="n"/>
      <c r="G41" s="41" t="n"/>
      <c r="H41" s="41" t="n"/>
    </row>
    <row r="42">
      <c r="A42" s="40" t="n"/>
      <c r="B42" s="41" t="n"/>
      <c r="C42" s="41" t="n"/>
      <c r="D42" s="41" t="n"/>
      <c r="E42" s="41" t="n"/>
      <c r="F42" s="41" t="n"/>
      <c r="G42" s="41" t="n"/>
      <c r="H42" s="41" t="n"/>
    </row>
    <row r="43">
      <c r="A43" s="40" t="n"/>
      <c r="B43" s="41" t="n"/>
      <c r="C43" s="41" t="n"/>
      <c r="D43" s="41" t="n"/>
      <c r="E43" s="41" t="n"/>
      <c r="F43" s="41" t="n"/>
      <c r="G43" s="41" t="n"/>
      <c r="H43" s="41" t="n"/>
    </row>
    <row r="44">
      <c r="A44" s="40" t="n"/>
      <c r="B44" s="41" t="n"/>
      <c r="C44" s="41" t="n"/>
      <c r="D44" s="41" t="n"/>
      <c r="E44" s="41" t="n"/>
      <c r="F44" s="41" t="n"/>
      <c r="G44" s="41" t="n"/>
      <c r="H44" s="41" t="n"/>
    </row>
    <row r="45">
      <c r="A45" s="40" t="n"/>
      <c r="B45" s="41" t="n"/>
      <c r="C45" s="41" t="n"/>
      <c r="D45" s="41" t="n"/>
      <c r="E45" s="41" t="n"/>
      <c r="F45" s="41" t="n"/>
      <c r="G45" s="41" t="n"/>
      <c r="H45" s="41" t="n"/>
    </row>
    <row r="46">
      <c r="A46" s="40" t="n"/>
      <c r="B46" s="41" t="n"/>
      <c r="C46" s="41" t="n"/>
      <c r="D46" s="41" t="n"/>
      <c r="E46" s="41" t="n"/>
      <c r="F46" s="41" t="n"/>
      <c r="G46" s="41" t="n"/>
      <c r="H46" s="41" t="n"/>
    </row>
    <row r="47">
      <c r="A47" s="40" t="n"/>
      <c r="B47" s="41" t="n"/>
      <c r="C47" s="41" t="n"/>
      <c r="D47" s="41" t="n"/>
      <c r="E47" s="41" t="n"/>
      <c r="F47" s="41" t="n"/>
      <c r="G47" s="41" t="n"/>
      <c r="H47" s="41" t="n"/>
    </row>
    <row r="48">
      <c r="A48" s="40" t="n"/>
      <c r="B48" s="41" t="n"/>
      <c r="C48" s="41" t="n"/>
      <c r="D48" s="41" t="n"/>
      <c r="E48" s="41" t="n"/>
      <c r="F48" s="41" t="n"/>
      <c r="G48" s="41" t="n"/>
      <c r="H48" s="41" t="n"/>
    </row>
    <row r="49">
      <c r="A49" s="40" t="n"/>
      <c r="B49" s="41" t="n"/>
      <c r="C49" s="41" t="n"/>
      <c r="D49" s="41" t="n"/>
      <c r="E49" s="41" t="n"/>
      <c r="F49" s="41" t="n"/>
      <c r="G49" s="41" t="n"/>
      <c r="H49" s="41" t="n"/>
    </row>
    <row r="50">
      <c r="A50" s="40" t="n"/>
      <c r="B50" s="41" t="n"/>
      <c r="C50" s="41" t="n"/>
      <c r="D50" s="41" t="n"/>
      <c r="E50" s="41" t="n"/>
      <c r="F50" s="41" t="n"/>
      <c r="G50" s="41" t="n"/>
      <c r="H50" s="41" t="n"/>
    </row>
    <row r="51">
      <c r="A51" s="40" t="n"/>
      <c r="B51" s="41" t="n"/>
      <c r="C51" s="41" t="n"/>
      <c r="D51" s="41" t="n"/>
      <c r="E51" s="41" t="n"/>
      <c r="F51" s="41" t="n"/>
      <c r="G51" s="41" t="n"/>
      <c r="H51" s="41" t="n"/>
    </row>
    <row r="52">
      <c r="A52" s="40" t="n"/>
      <c r="B52" s="41" t="n"/>
      <c r="C52" s="41" t="n"/>
      <c r="D52" s="41" t="n"/>
      <c r="E52" s="41" t="n"/>
      <c r="F52" s="41" t="n"/>
      <c r="G52" s="41" t="n"/>
      <c r="H52" s="41" t="n"/>
    </row>
    <row r="53">
      <c r="A53" s="40" t="n"/>
      <c r="B53" s="41" t="n"/>
      <c r="C53" s="41" t="n"/>
      <c r="D53" s="41" t="n"/>
      <c r="E53" s="41" t="n"/>
      <c r="F53" s="41" t="n"/>
      <c r="G53" s="41" t="n"/>
      <c r="H53" s="41" t="n"/>
    </row>
    <row r="54">
      <c r="A54" s="40" t="n"/>
      <c r="B54" s="41" t="n"/>
      <c r="C54" s="41" t="n"/>
      <c r="D54" s="41" t="n"/>
      <c r="E54" s="41" t="n"/>
      <c r="F54" s="41" t="n"/>
      <c r="G54" s="41" t="n"/>
      <c r="H54" s="41" t="n"/>
    </row>
    <row r="55">
      <c r="A55" s="40" t="n"/>
      <c r="B55" s="41" t="n"/>
      <c r="C55" s="41" t="n"/>
      <c r="D55" s="41" t="n"/>
      <c r="E55" s="41" t="n"/>
      <c r="F55" s="41" t="n"/>
      <c r="G55" s="41" t="n"/>
      <c r="H55" s="41" t="n"/>
    </row>
    <row r="56">
      <c r="A56" s="40" t="n"/>
      <c r="B56" s="41" t="n"/>
      <c r="C56" s="41" t="n"/>
      <c r="D56" s="41" t="n"/>
      <c r="E56" s="41" t="n"/>
      <c r="F56" s="41" t="n"/>
      <c r="G56" s="41" t="n"/>
      <c r="H56" s="41" t="n"/>
    </row>
    <row r="57">
      <c r="A57" s="40" t="n"/>
      <c r="B57" s="41" t="n"/>
      <c r="C57" s="41" t="n"/>
      <c r="D57" s="41" t="n"/>
      <c r="E57" s="41" t="n"/>
      <c r="F57" s="41" t="n"/>
      <c r="G57" s="41" t="n"/>
      <c r="H57" s="41" t="n"/>
    </row>
    <row r="58">
      <c r="A58" s="40" t="n"/>
      <c r="B58" s="41" t="n"/>
      <c r="C58" s="41" t="n"/>
      <c r="D58" s="41" t="n"/>
      <c r="E58" s="41" t="n"/>
      <c r="F58" s="41" t="n"/>
      <c r="G58" s="41" t="n"/>
      <c r="H58" s="41" t="n"/>
    </row>
    <row r="59">
      <c r="A59" s="40" t="n"/>
      <c r="B59" s="41" t="n"/>
      <c r="C59" s="41" t="n"/>
      <c r="D59" s="41" t="n"/>
      <c r="E59" s="41" t="n"/>
      <c r="F59" s="41" t="n"/>
      <c r="G59" s="41" t="n"/>
      <c r="H59" s="41" t="n"/>
    </row>
    <row r="60">
      <c r="A60" s="40" t="n"/>
      <c r="B60" s="41" t="n"/>
      <c r="C60" s="41" t="n"/>
      <c r="D60" s="41" t="n"/>
      <c r="E60" s="41" t="n"/>
      <c r="F60" s="41" t="n"/>
      <c r="G60" s="41" t="n"/>
      <c r="H60" s="41" t="n"/>
    </row>
    <row r="61">
      <c r="A61" s="40" t="n"/>
      <c r="B61" s="41" t="n"/>
      <c r="C61" s="41" t="n"/>
      <c r="D61" s="41" t="n"/>
      <c r="E61" s="41" t="n"/>
      <c r="F61" s="41" t="n"/>
      <c r="G61" s="41" t="n"/>
      <c r="H61" s="41" t="n"/>
    </row>
    <row r="62">
      <c r="A62" s="40" t="n"/>
      <c r="B62" s="41" t="n"/>
      <c r="C62" s="41" t="n"/>
      <c r="D62" s="41" t="n"/>
      <c r="E62" s="41" t="n"/>
      <c r="F62" s="41" t="n"/>
      <c r="G62" s="41" t="n"/>
      <c r="H62" s="41" t="n"/>
    </row>
    <row r="63">
      <c r="A63" s="40" t="n"/>
      <c r="B63" s="41" t="n"/>
      <c r="C63" s="41" t="n"/>
      <c r="D63" s="41" t="n"/>
      <c r="E63" s="41" t="n"/>
      <c r="F63" s="41" t="n"/>
      <c r="G63" s="41" t="n"/>
      <c r="H63" s="41" t="n"/>
    </row>
    <row r="64">
      <c r="A64" s="40" t="n"/>
      <c r="B64" s="41" t="n"/>
      <c r="C64" s="41" t="n"/>
      <c r="D64" s="41" t="n"/>
      <c r="E64" s="41" t="n"/>
      <c r="F64" s="41" t="n"/>
      <c r="G64" s="41" t="n"/>
      <c r="H64" s="41" t="n"/>
    </row>
    <row r="65">
      <c r="A65" s="40" t="n"/>
      <c r="B65" s="41" t="n"/>
      <c r="C65" s="41" t="n"/>
      <c r="D65" s="41" t="n"/>
      <c r="E65" s="41" t="n"/>
      <c r="F65" s="41" t="n"/>
      <c r="G65" s="41" t="n"/>
      <c r="H65" s="41" t="n"/>
    </row>
    <row r="66">
      <c r="A66" s="40" t="n"/>
      <c r="B66" s="41" t="n"/>
      <c r="C66" s="41" t="n"/>
      <c r="D66" s="41" t="n"/>
      <c r="E66" s="41" t="n"/>
      <c r="F66" s="41" t="n"/>
      <c r="G66" s="41" t="n"/>
      <c r="H66" s="41" t="n"/>
    </row>
    <row r="67">
      <c r="A67" s="40" t="n"/>
      <c r="B67" s="41" t="n"/>
      <c r="C67" s="41" t="n"/>
      <c r="D67" s="41" t="n"/>
      <c r="E67" s="41" t="n"/>
      <c r="F67" s="41" t="n"/>
      <c r="G67" s="41" t="n"/>
      <c r="H67" s="41" t="n"/>
    </row>
    <row r="68">
      <c r="A68" s="40" t="n"/>
      <c r="B68" s="41" t="n"/>
      <c r="C68" s="41" t="n"/>
      <c r="D68" s="41" t="n"/>
      <c r="E68" s="41" t="n"/>
      <c r="F68" s="41" t="n"/>
      <c r="G68" s="41" t="n"/>
      <c r="H68" s="41" t="n"/>
    </row>
    <row r="69">
      <c r="A69" s="40" t="n"/>
      <c r="B69" s="41" t="n"/>
      <c r="C69" s="41" t="n"/>
      <c r="D69" s="41" t="n"/>
      <c r="E69" s="41" t="n"/>
      <c r="F69" s="41" t="n"/>
      <c r="G69" s="41" t="n"/>
      <c r="H69" s="41" t="n"/>
    </row>
    <row r="70">
      <c r="A70" s="40" t="n"/>
      <c r="B70" s="41" t="n"/>
      <c r="C70" s="41" t="n"/>
      <c r="D70" s="41" t="n"/>
      <c r="E70" s="41" t="n"/>
      <c r="F70" s="41" t="n"/>
      <c r="G70" s="41" t="n"/>
      <c r="H70" s="41" t="n"/>
    </row>
    <row r="71">
      <c r="A71" s="40" t="n"/>
      <c r="B71" s="41" t="n"/>
      <c r="C71" s="41" t="n"/>
      <c r="D71" s="41" t="n"/>
      <c r="E71" s="41" t="n"/>
      <c r="F71" s="41" t="n"/>
      <c r="G71" s="41" t="n"/>
      <c r="H71" s="41" t="n"/>
    </row>
    <row r="72">
      <c r="A72" s="40" t="n"/>
      <c r="B72" s="41" t="n"/>
      <c r="C72" s="41" t="n"/>
      <c r="D72" s="41" t="n"/>
      <c r="E72" s="41" t="n"/>
      <c r="F72" s="41" t="n"/>
      <c r="G72" s="41" t="n"/>
      <c r="H72" s="41" t="n"/>
    </row>
    <row r="73">
      <c r="A73" s="40" t="n"/>
      <c r="B73" s="41" t="n"/>
      <c r="C73" s="41" t="n"/>
      <c r="D73" s="41" t="n"/>
      <c r="E73" s="41" t="n"/>
      <c r="F73" s="41" t="n"/>
      <c r="G73" s="41" t="n"/>
      <c r="H73" s="41" t="n"/>
    </row>
    <row r="74">
      <c r="A74" s="40" t="n"/>
      <c r="B74" s="41" t="n"/>
      <c r="C74" s="41" t="n"/>
      <c r="D74" s="41" t="n"/>
      <c r="E74" s="41" t="n"/>
      <c r="F74" s="41" t="n"/>
      <c r="G74" s="41" t="n"/>
      <c r="H74" s="41" t="n"/>
    </row>
    <row r="75">
      <c r="A75" s="40" t="n"/>
      <c r="B75" s="41" t="n"/>
      <c r="C75" s="41" t="n"/>
      <c r="D75" s="41" t="n"/>
      <c r="E75" s="41" t="n"/>
      <c r="F75" s="41" t="n"/>
      <c r="G75" s="41" t="n"/>
      <c r="H75" s="41" t="n"/>
    </row>
    <row r="76">
      <c r="A76" s="40" t="n"/>
      <c r="B76" s="41" t="n"/>
      <c r="C76" s="41" t="n"/>
      <c r="D76" s="41" t="n"/>
      <c r="E76" s="41" t="n"/>
      <c r="F76" s="41" t="n"/>
      <c r="G76" s="41" t="n"/>
      <c r="H76" s="41" t="n"/>
    </row>
    <row r="77">
      <c r="A77" s="40" t="n"/>
      <c r="B77" s="41" t="n"/>
      <c r="C77" s="41" t="n"/>
      <c r="D77" s="41" t="n"/>
      <c r="E77" s="41" t="n"/>
      <c r="F77" s="41" t="n"/>
      <c r="G77" s="41" t="n"/>
      <c r="H77" s="41" t="n"/>
    </row>
    <row r="78">
      <c r="A78" s="40" t="n"/>
      <c r="B78" s="41" t="n"/>
      <c r="C78" s="41" t="n"/>
      <c r="D78" s="41" t="n"/>
      <c r="E78" s="41" t="n"/>
      <c r="F78" s="41" t="n"/>
      <c r="G78" s="41" t="n"/>
      <c r="H78" s="41" t="n"/>
    </row>
    <row r="79">
      <c r="A79" s="40" t="n"/>
      <c r="B79" s="41" t="n"/>
      <c r="C79" s="41" t="n"/>
      <c r="D79" s="41" t="n"/>
      <c r="E79" s="41" t="n"/>
      <c r="F79" s="41" t="n"/>
      <c r="G79" s="41" t="n"/>
      <c r="H79" s="41" t="n"/>
    </row>
    <row r="80">
      <c r="A80" s="40" t="n"/>
      <c r="B80" s="41" t="n"/>
      <c r="C80" s="41" t="n"/>
      <c r="D80" s="41" t="n"/>
      <c r="E80" s="41" t="n"/>
      <c r="F80" s="41" t="n"/>
      <c r="G80" s="41" t="n"/>
      <c r="H80" s="41" t="n"/>
    </row>
    <row r="81">
      <c r="A81" s="40" t="n"/>
      <c r="B81" s="41" t="n"/>
      <c r="C81" s="41" t="n"/>
      <c r="D81" s="41" t="n"/>
      <c r="E81" s="41" t="n"/>
      <c r="F81" s="41" t="n"/>
      <c r="G81" s="41" t="n"/>
      <c r="H81" s="41" t="n"/>
    </row>
    <row r="82">
      <c r="A82" s="40" t="n"/>
      <c r="B82" s="41" t="n"/>
      <c r="C82" s="41" t="n"/>
      <c r="D82" s="41" t="n"/>
      <c r="E82" s="41" t="n"/>
      <c r="F82" s="41" t="n"/>
      <c r="G82" s="41" t="n"/>
      <c r="H82" s="41" t="n"/>
    </row>
    <row r="83">
      <c r="A83" s="40" t="n"/>
      <c r="B83" s="41" t="n"/>
      <c r="C83" s="41" t="n"/>
      <c r="D83" s="41" t="n"/>
      <c r="E83" s="41" t="n"/>
      <c r="F83" s="41" t="n"/>
      <c r="G83" s="41" t="n"/>
      <c r="H83" s="41" t="n"/>
    </row>
    <row r="84">
      <c r="A84" s="40" t="n"/>
      <c r="B84" s="41" t="n"/>
      <c r="C84" s="41" t="n"/>
      <c r="D84" s="41" t="n"/>
      <c r="E84" s="41" t="n"/>
      <c r="F84" s="41" t="n"/>
      <c r="G84" s="41" t="n"/>
      <c r="H84" s="41" t="n"/>
    </row>
    <row r="85">
      <c r="A85" s="40" t="n"/>
      <c r="B85" s="41" t="n"/>
      <c r="C85" s="41" t="n"/>
      <c r="D85" s="41" t="n"/>
      <c r="E85" s="41" t="n"/>
      <c r="F85" s="41" t="n"/>
      <c r="G85" s="41" t="n"/>
      <c r="H85" s="41" t="n"/>
    </row>
    <row r="86">
      <c r="A86" s="40" t="n"/>
      <c r="B86" s="41" t="n"/>
      <c r="C86" s="41" t="n"/>
      <c r="D86" s="41" t="n"/>
      <c r="E86" s="41" t="n"/>
      <c r="F86" s="41" t="n"/>
      <c r="G86" s="41" t="n"/>
      <c r="H86" s="41" t="n"/>
    </row>
    <row r="87">
      <c r="A87" s="40" t="n"/>
      <c r="B87" s="41" t="n"/>
      <c r="C87" s="41" t="n"/>
      <c r="D87" s="41" t="n"/>
      <c r="E87" s="41" t="n"/>
      <c r="F87" s="41" t="n"/>
      <c r="G87" s="41" t="n"/>
      <c r="H87" s="41" t="n"/>
    </row>
    <row r="88">
      <c r="A88" s="40" t="n"/>
      <c r="B88" s="41" t="n"/>
      <c r="C88" s="41" t="n"/>
      <c r="D88" s="41" t="n"/>
      <c r="E88" s="41" t="n"/>
      <c r="F88" s="41" t="n"/>
      <c r="G88" s="41" t="n"/>
      <c r="H88" s="41" t="n"/>
    </row>
    <row r="89">
      <c r="A89" s="40" t="n"/>
      <c r="B89" s="41" t="n"/>
      <c r="C89" s="41" t="n"/>
      <c r="D89" s="41" t="n"/>
      <c r="E89" s="41" t="n"/>
      <c r="F89" s="41" t="n"/>
      <c r="G89" s="41" t="n"/>
      <c r="H89" s="41" t="n"/>
    </row>
    <row r="90">
      <c r="A90" s="40" t="n"/>
      <c r="B90" s="41" t="n"/>
      <c r="C90" s="41" t="n"/>
      <c r="D90" s="41" t="n"/>
      <c r="E90" s="41" t="n"/>
      <c r="F90" s="41" t="n"/>
      <c r="G90" s="41" t="n"/>
      <c r="H90" s="41" t="n"/>
    </row>
    <row r="91">
      <c r="A91" s="40" t="n"/>
      <c r="B91" s="41" t="n"/>
      <c r="C91" s="41" t="n"/>
      <c r="D91" s="41" t="n"/>
      <c r="E91" s="41" t="n"/>
      <c r="F91" s="41" t="n"/>
      <c r="G91" s="41" t="n"/>
      <c r="H91" s="41" t="n"/>
    </row>
    <row r="92">
      <c r="A92" s="40" t="n"/>
      <c r="B92" s="41" t="n"/>
      <c r="C92" s="41" t="n"/>
      <c r="D92" s="41" t="n"/>
      <c r="E92" s="41" t="n"/>
      <c r="F92" s="41" t="n"/>
      <c r="G92" s="41" t="n"/>
      <c r="H92" s="41" t="n"/>
    </row>
    <row r="93">
      <c r="A93" s="40" t="n"/>
      <c r="B93" s="41" t="n"/>
      <c r="C93" s="41" t="n"/>
      <c r="D93" s="41" t="n"/>
      <c r="E93" s="41" t="n"/>
      <c r="F93" s="41" t="n"/>
      <c r="G93" s="41" t="n"/>
      <c r="H93" s="41" t="n"/>
    </row>
    <row r="94">
      <c r="A94" s="40" t="n"/>
      <c r="B94" s="41" t="n"/>
      <c r="C94" s="41" t="n"/>
      <c r="D94" s="41" t="n"/>
      <c r="E94" s="41" t="n"/>
      <c r="F94" s="41" t="n"/>
      <c r="G94" s="41" t="n"/>
      <c r="H94" s="41" t="n"/>
    </row>
    <row r="95">
      <c r="A95" s="40" t="n"/>
      <c r="B95" s="41" t="n"/>
      <c r="C95" s="41" t="n"/>
      <c r="D95" s="41" t="n"/>
      <c r="E95" s="41" t="n"/>
      <c r="F95" s="41" t="n"/>
      <c r="G95" s="41" t="n"/>
      <c r="H95" s="41" t="n"/>
    </row>
    <row r="96">
      <c r="A96" s="40" t="n"/>
      <c r="B96" s="41" t="n"/>
      <c r="C96" s="41" t="n"/>
      <c r="D96" s="41" t="n"/>
      <c r="E96" s="41" t="n"/>
      <c r="F96" s="41" t="n"/>
      <c r="G96" s="41" t="n"/>
      <c r="H96" s="41" t="n"/>
    </row>
    <row r="97">
      <c r="A97" s="40" t="n"/>
      <c r="B97" s="41" t="n"/>
      <c r="C97" s="41" t="n"/>
      <c r="D97" s="41" t="n"/>
      <c r="E97" s="41" t="n"/>
      <c r="F97" s="41" t="n"/>
      <c r="G97" s="41" t="n"/>
      <c r="H97" s="41" t="n"/>
    </row>
    <row r="98">
      <c r="A98" s="40" t="n"/>
      <c r="B98" s="41" t="n"/>
      <c r="C98" s="41" t="n"/>
      <c r="D98" s="41" t="n"/>
      <c r="E98" s="41" t="n"/>
      <c r="F98" s="41" t="n"/>
      <c r="G98" s="41" t="n"/>
      <c r="H98" s="41" t="n"/>
    </row>
    <row r="99">
      <c r="A99" s="40" t="n"/>
      <c r="B99" s="41" t="n"/>
      <c r="C99" s="41" t="n"/>
      <c r="D99" s="41" t="n"/>
      <c r="E99" s="41" t="n"/>
      <c r="F99" s="41" t="n"/>
      <c r="G99" s="41" t="n"/>
      <c r="H99" s="41" t="n"/>
    </row>
    <row r="100">
      <c r="A100" s="40" t="n"/>
      <c r="B100" s="41" t="n"/>
      <c r="C100" s="41" t="n"/>
      <c r="D100" s="41" t="n"/>
      <c r="E100" s="41" t="n"/>
      <c r="F100" s="41" t="n"/>
      <c r="G100" s="41" t="n"/>
      <c r="H100" s="41" t="n"/>
    </row>
    <row r="101">
      <c r="A101" s="40" t="n"/>
      <c r="B101" s="41" t="n"/>
      <c r="C101" s="41" t="n"/>
      <c r="D101" s="41" t="n"/>
      <c r="E101" s="41" t="n"/>
      <c r="F101" s="41" t="n"/>
      <c r="G101" s="41" t="n"/>
      <c r="H101" s="41" t="n"/>
    </row>
    <row r="102">
      <c r="A102" s="40" t="n"/>
      <c r="B102" s="41" t="n"/>
      <c r="C102" s="41" t="n"/>
      <c r="D102" s="41" t="n"/>
      <c r="E102" s="41" t="n"/>
      <c r="F102" s="41" t="n"/>
      <c r="G102" s="41" t="n"/>
      <c r="H102" s="41" t="n"/>
    </row>
    <row r="103">
      <c r="A103" s="40" t="n"/>
      <c r="B103" s="41" t="n"/>
      <c r="C103" s="41" t="n"/>
      <c r="D103" s="41" t="n"/>
      <c r="E103" s="41" t="n"/>
      <c r="F103" s="41" t="n"/>
      <c r="G103" s="41" t="n"/>
      <c r="H103" s="41" t="n"/>
    </row>
    <row r="104">
      <c r="A104" s="40" t="n"/>
      <c r="B104" s="41" t="n"/>
      <c r="C104" s="41" t="n"/>
      <c r="D104" s="41" t="n"/>
      <c r="E104" s="41" t="n"/>
      <c r="F104" s="41" t="n"/>
      <c r="G104" s="41" t="n"/>
      <c r="H104" s="41" t="n"/>
    </row>
    <row r="105">
      <c r="A105" s="40" t="n"/>
      <c r="B105" s="41" t="n"/>
      <c r="C105" s="41" t="n"/>
      <c r="D105" s="41" t="n"/>
      <c r="E105" s="41" t="n"/>
      <c r="F105" s="41" t="n"/>
      <c r="G105" s="41" t="n"/>
      <c r="H105" s="41"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"Config File,Screenshot,Report,Log File,Test Result,Policy Document,Contract,Diagram,Other"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 Verified,Pending,❌ Not Verified"</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34"/>
  <sheetViews>
    <sheetView showGridLines="0" workbookViewId="0">
      <pane ySplit="2" topLeftCell="A3" activePane="bottomLeft" state="frozen"/>
      <selection pane="bottomLeft" activeCell="A1" sqref="A1"/>
    </sheetView>
  </sheetViews>
  <sheetFormatPr baseColWidth="8" defaultRowHeight="15"/>
  <cols>
    <col width="36" customWidth="1" min="1" max="1"/>
    <col width="14" customWidth="1" min="2" max="2"/>
    <col width="14" customWidth="1" min="3" max="3"/>
    <col width="36" customWidth="1" min="4" max="4"/>
    <col width="14" customWidth="1" min="5" max="5"/>
    <col width="14" customWidth="1" min="6" max="6"/>
  </cols>
  <sheetData>
    <row r="1" ht="35" customHeight="1">
      <c r="A1" s="42" t="inlineStr">
        <is>
          <t>ISMS-IMP-A.5.7.2 — INTELLIGENCE COLLECTION &amp; ANALYSIS — SUMMARY DASHBOARD</t>
        </is>
      </c>
      <c r="B1" s="6" t="n"/>
      <c r="C1" s="6" t="n"/>
      <c r="D1" s="6" t="n"/>
      <c r="E1" s="6" t="n"/>
      <c r="F1" s="6" t="n"/>
    </row>
    <row r="2">
      <c r="A2" s="43" t="inlineStr">
        <is>
          <t>ISO/IEC 27001:2022 | Control A.5.7 | Intelligence product status, action tracking, and collection KPIs</t>
        </is>
      </c>
    </row>
    <row r="4">
      <c r="A4" s="44" t="inlineStr">
        <is>
          <t>TABLE 1: STATUS DISTRIBUTION</t>
        </is>
      </c>
      <c r="B4" s="6" t="n"/>
      <c r="C4" s="6" t="n"/>
      <c r="D4" s="6" t="n"/>
      <c r="E4" s="6" t="n"/>
      <c r="F4" s="6" t="n"/>
    </row>
    <row r="5">
      <c r="A5" s="45" t="inlineStr">
        <is>
          <t>Section A: Intelligence Product Status ('Intelligence Production' — Column N, rows 6:55)</t>
        </is>
      </c>
      <c r="B5" s="6" t="n"/>
      <c r="C5" s="6" t="n"/>
      <c r="D5" s="6" t="n"/>
      <c r="E5" s="6" t="n"/>
      <c r="F5" s="6" t="n"/>
    </row>
    <row r="6">
      <c r="A6" s="46" t="inlineStr">
        <is>
          <t>Status</t>
        </is>
      </c>
      <c r="B6" s="46" t="inlineStr">
        <is>
          <t>Count</t>
        </is>
      </c>
      <c r="C6" s="46" t="inlineStr">
        <is>
          <t>% of Total</t>
        </is>
      </c>
    </row>
    <row r="7">
      <c r="A7" s="47" t="inlineStr">
        <is>
          <t>Draft</t>
        </is>
      </c>
      <c r="B7" s="48">
        <f>COUNTIF('Intelligence Production'!N6:N55,"Draft")</f>
        <v/>
      </c>
      <c r="C7" s="48">
        <f>IF($B$11=0,"—",TEXT(B7/$B$11,"0.0%"))</f>
        <v/>
      </c>
    </row>
    <row r="8">
      <c r="A8" s="47" t="inlineStr">
        <is>
          <t>Review</t>
        </is>
      </c>
      <c r="B8" s="48">
        <f>COUNTIF('Intelligence Production'!N6:N55,"Review")</f>
        <v/>
      </c>
      <c r="C8" s="48">
        <f>IF($B$11=0,"—",TEXT(B8/$B$11,"0.0%"))</f>
        <v/>
      </c>
    </row>
    <row r="9">
      <c r="A9" s="47" t="inlineStr">
        <is>
          <t>Published</t>
        </is>
      </c>
      <c r="B9" s="48">
        <f>COUNTIF('Intelligence Production'!N6:N55,"Published")</f>
        <v/>
      </c>
      <c r="C9" s="48">
        <f>IF($B$11=0,"—",TEXT(B9/$B$11,"0.0%"))</f>
        <v/>
      </c>
    </row>
    <row r="10">
      <c r="A10" s="47" t="inlineStr">
        <is>
          <t>Archived</t>
        </is>
      </c>
      <c r="B10" s="48">
        <f>COUNTIF('Intelligence Production'!N6:N55,"Archived")</f>
        <v/>
      </c>
      <c r="C10" s="48">
        <f>IF($B$11=0,"—",TEXT(B10/$B$11,"0.0%"))</f>
        <v/>
      </c>
    </row>
    <row r="11">
      <c r="A11" s="49" t="inlineStr">
        <is>
          <t>TOTAL</t>
        </is>
      </c>
      <c r="B11" s="50">
        <f>SUM(B7:B10)</f>
        <v/>
      </c>
      <c r="C11" s="50" t="inlineStr">
        <is>
          <t>—</t>
        </is>
      </c>
    </row>
    <row r="12">
      <c r="A12" s="45" t="inlineStr">
        <is>
          <t>Section B: Action Items Status ('Action Items' — Column G, rows 6:55)</t>
        </is>
      </c>
      <c r="B12" s="6" t="n"/>
      <c r="C12" s="6" t="n"/>
      <c r="D12" s="6" t="n"/>
      <c r="E12" s="6" t="n"/>
      <c r="F12" s="6" t="n"/>
    </row>
    <row r="13">
      <c r="A13" s="46" t="inlineStr">
        <is>
          <t>Status</t>
        </is>
      </c>
      <c r="B13" s="46" t="inlineStr">
        <is>
          <t>Count</t>
        </is>
      </c>
      <c r="C13" s="46" t="inlineStr">
        <is>
          <t>% of Total</t>
        </is>
      </c>
    </row>
    <row r="14">
      <c r="A14" s="47" t="inlineStr">
        <is>
          <t>Open</t>
        </is>
      </c>
      <c r="B14" s="48">
        <f>COUNTIF('Action Items'!G6:G55,"Open")</f>
        <v/>
      </c>
      <c r="C14" s="48">
        <f>IF($B$19=0,"—",TEXT(B14/$B$19,"0.0%"))</f>
        <v/>
      </c>
    </row>
    <row r="15">
      <c r="A15" s="47" t="inlineStr">
        <is>
          <t>In_Progress</t>
        </is>
      </c>
      <c r="B15" s="48">
        <f>COUNTIF('Action Items'!G6:G55,"In_Progress")</f>
        <v/>
      </c>
      <c r="C15" s="48">
        <f>IF($B$19=0,"—",TEXT(B15/$B$19,"0.0%"))</f>
        <v/>
      </c>
    </row>
    <row r="16">
      <c r="A16" s="47" t="inlineStr">
        <is>
          <t>Blocked</t>
        </is>
      </c>
      <c r="B16" s="48">
        <f>COUNTIF('Action Items'!G6:G55,"Blocked")</f>
        <v/>
      </c>
      <c r="C16" s="48">
        <f>IF($B$19=0,"—",TEXT(B16/$B$19,"0.0%"))</f>
        <v/>
      </c>
    </row>
    <row r="17">
      <c r="A17" s="47" t="inlineStr">
        <is>
          <t>Resolved</t>
        </is>
      </c>
      <c r="B17" s="48">
        <f>COUNTIF('Action Items'!G6:G55,"Resolved")</f>
        <v/>
      </c>
      <c r="C17" s="48">
        <f>IF($B$19=0,"—",TEXT(B17/$B$19,"0.0%"))</f>
        <v/>
      </c>
    </row>
    <row r="18">
      <c r="A18" s="47" t="inlineStr">
        <is>
          <t>Closed</t>
        </is>
      </c>
      <c r="B18" s="48">
        <f>COUNTIF('Action Items'!G6:G55,"Closed")</f>
        <v/>
      </c>
      <c r="C18" s="48">
        <f>IF($B$19=0,"—",TEXT(B18/$B$19,"0.0%"))</f>
        <v/>
      </c>
    </row>
    <row r="19">
      <c r="A19" s="49" t="inlineStr">
        <is>
          <t>TOTAL</t>
        </is>
      </c>
      <c r="B19" s="50">
        <f>SUM(B14:B18)</f>
        <v/>
      </c>
      <c r="C19" s="50" t="inlineStr">
        <is>
          <t>—</t>
        </is>
      </c>
    </row>
    <row r="20">
      <c r="A20" s="51" t="n"/>
      <c r="B20" s="51" t="n"/>
      <c r="C20" s="51" t="n"/>
      <c r="D20" s="51" t="n"/>
      <c r="E20" s="51" t="n"/>
      <c r="F20" s="51" t="n"/>
    </row>
    <row r="21">
      <c r="A21" s="44" t="inlineStr">
        <is>
          <t>TABLE 2: KEY PERFORMANCE INDICATORS</t>
        </is>
      </c>
      <c r="B21" s="6" t="n"/>
      <c r="C21" s="6" t="n"/>
      <c r="D21" s="6" t="n"/>
      <c r="E21" s="6" t="n"/>
      <c r="F21" s="6" t="n"/>
    </row>
    <row r="22">
      <c r="A22" s="46" t="inlineStr">
        <is>
          <t>KPI Metric</t>
        </is>
      </c>
      <c r="B22" s="46" t="inlineStr">
        <is>
          <t>Value</t>
        </is>
      </c>
      <c r="C22" s="46" t="inlineStr">
        <is>
          <t>Notes</t>
        </is>
      </c>
      <c r="D22" s="52" t="n"/>
      <c r="E22" s="52" t="n"/>
      <c r="F22" s="53" t="n"/>
    </row>
    <row r="23">
      <c r="A23" s="54" t="inlineStr">
        <is>
          <t>Total Intelligence Products</t>
        </is>
      </c>
      <c r="B23" s="55">
        <f>COUNTA('Intelligence Production'!B6:B55)</f>
        <v/>
      </c>
      <c r="C23" s="54" t="inlineStr">
        <is>
          <t>All products logged in Intelligence Production (col B = product name)</t>
        </is>
      </c>
      <c r="D23" s="52" t="n"/>
      <c r="E23" s="52" t="n"/>
      <c r="F23" s="53" t="n"/>
    </row>
    <row r="24">
      <c r="A24" s="54" t="inlineStr">
        <is>
          <t>Published Products</t>
        </is>
      </c>
      <c r="B24" s="55">
        <f>COUNTIF('Intelligence Production'!N6:N55,"Published")</f>
        <v/>
      </c>
      <c r="C24" s="54" t="inlineStr">
        <is>
          <t>Finalised products ready for consumption</t>
        </is>
      </c>
      <c r="D24" s="52" t="n"/>
      <c r="E24" s="52" t="n"/>
      <c r="F24" s="53" t="n"/>
    </row>
    <row r="25">
      <c r="A25" s="54" t="inlineStr">
        <is>
          <t>Products in Draft or Review</t>
        </is>
      </c>
      <c r="B25" s="55">
        <f>COUNTIF('Intelligence Production'!N6:N55,"Draft")+COUNTIF('Intelligence Production'!N6:N55,"Review")</f>
        <v/>
      </c>
      <c r="C25" s="54" t="inlineStr">
        <is>
          <t>Products still in progress</t>
        </is>
      </c>
      <c r="D25" s="52" t="n"/>
      <c r="E25" s="52" t="n"/>
      <c r="F25" s="53" t="n"/>
    </row>
    <row r="26">
      <c r="A26" s="54" t="inlineStr">
        <is>
          <t>Total Collection Sources</t>
        </is>
      </c>
      <c r="B26" s="55">
        <f>COUNTA('Collection Sources'!A6:A55)</f>
        <v/>
      </c>
      <c r="C26" s="54" t="inlineStr">
        <is>
          <t>All intelligence collection sources documented</t>
        </is>
      </c>
      <c r="D26" s="52" t="n"/>
      <c r="E26" s="52" t="n"/>
      <c r="F26" s="53" t="n"/>
    </row>
    <row r="27">
      <c r="A27" s="54" t="inlineStr">
        <is>
          <t>Open Action Items</t>
        </is>
      </c>
      <c r="B27" s="55">
        <f>COUNTIF('Action Items'!G6:G55,"Open")</f>
        <v/>
      </c>
      <c r="C27" s="54" t="inlineStr">
        <is>
          <t>Actions not yet started — requires attention</t>
        </is>
      </c>
      <c r="D27" s="52" t="n"/>
      <c r="E27" s="52" t="n"/>
      <c r="F27" s="53" t="n"/>
    </row>
    <row r="28">
      <c r="A28" s="54" t="inlineStr">
        <is>
          <t>Blocked Action Items</t>
        </is>
      </c>
      <c r="B28" s="55">
        <f>COUNTIF('Action Items'!G6:G55,"Blocked")</f>
        <v/>
      </c>
      <c r="C28" s="54" t="inlineStr">
        <is>
          <t>Actions blocked — requires escalation</t>
        </is>
      </c>
      <c r="D28" s="52" t="n"/>
      <c r="E28" s="52" t="n"/>
      <c r="F28" s="53" t="n"/>
    </row>
    <row r="29">
      <c r="A29" s="51" t="n"/>
      <c r="B29" s="51" t="n"/>
      <c r="C29" s="51" t="n"/>
      <c r="D29" s="51" t="n"/>
      <c r="E29" s="51" t="n"/>
      <c r="F29" s="51" t="n"/>
    </row>
    <row r="30">
      <c r="A30" s="56" t="inlineStr">
        <is>
          <t>TABLE 3: CRITICAL FINDINGS</t>
        </is>
      </c>
      <c r="B30" s="6" t="n"/>
      <c r="C30" s="6" t="n"/>
      <c r="D30" s="6" t="n"/>
      <c r="E30" s="6" t="n"/>
      <c r="F30" s="6" t="n"/>
    </row>
    <row r="31">
      <c r="A31" s="46" t="inlineStr">
        <is>
          <t>Finding</t>
        </is>
      </c>
      <c r="B31" s="46" t="inlineStr">
        <is>
          <t>Count</t>
        </is>
      </c>
      <c r="C31" s="46" t="inlineStr">
        <is>
          <t>Action Required</t>
        </is>
      </c>
      <c r="D31" s="52" t="n"/>
      <c r="E31" s="52" t="n"/>
      <c r="F31" s="53" t="n"/>
    </row>
    <row r="32">
      <c r="A32" s="57" t="inlineStr">
        <is>
          <t>Blocked Action Items</t>
        </is>
      </c>
      <c r="B32" s="58">
        <f>COUNTIF('Action Items'!G6:G55,"Blocked")</f>
        <v/>
      </c>
      <c r="C32" s="47" t="inlineStr">
        <is>
          <t>Identify blockers and escalate to resolve immediately</t>
        </is>
      </c>
      <c r="D32" s="52" t="n"/>
      <c r="E32" s="52" t="n"/>
      <c r="F32" s="53" t="n"/>
    </row>
    <row r="33">
      <c r="A33" s="57" t="inlineStr">
        <is>
          <t>Intelligence Products in Draft</t>
        </is>
      </c>
      <c r="B33" s="58">
        <f>COUNTIF('Intelligence Production'!N6:N55,"Draft")</f>
        <v/>
      </c>
      <c r="C33" s="47" t="inlineStr">
        <is>
          <t>Review stale drafts and either publish or archive</t>
        </is>
      </c>
      <c r="D33" s="52" t="n"/>
      <c r="E33" s="52" t="n"/>
      <c r="F33" s="53" t="n"/>
    </row>
    <row r="34">
      <c r="A34" s="57" t="inlineStr">
        <is>
          <t>Archived Products (no longer active)</t>
        </is>
      </c>
      <c r="B34" s="58">
        <f>COUNTIF('Intelligence Production'!N6:N55,"Archived")</f>
        <v/>
      </c>
      <c r="C34" s="47" t="inlineStr">
        <is>
          <t>Confirm archived products are intentionally retired</t>
        </is>
      </c>
      <c r="D34" s="52" t="n"/>
      <c r="E34" s="52" t="n"/>
      <c r="F34" s="53" t="n"/>
    </row>
  </sheetData>
  <mergeCells count="18">
    <mergeCell ref="C22:F22"/>
    <mergeCell ref="A2:F2"/>
    <mergeCell ref="A30:F30"/>
    <mergeCell ref="C23:F23"/>
    <mergeCell ref="C31:F31"/>
    <mergeCell ref="C32:F32"/>
    <mergeCell ref="A1:F1"/>
    <mergeCell ref="A5:F5"/>
    <mergeCell ref="C26:F26"/>
    <mergeCell ref="C27:F27"/>
    <mergeCell ref="C34:F34"/>
    <mergeCell ref="A12:F12"/>
    <mergeCell ref="A4:F4"/>
    <mergeCell ref="C25:F25"/>
    <mergeCell ref="C24:F24"/>
    <mergeCell ref="A21:F21"/>
    <mergeCell ref="C33:F33"/>
    <mergeCell ref="C28:F28"/>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59" t="inlineStr">
        <is>
          <t>ASSESSMENT APPROVAL AND SIGN-OFF</t>
        </is>
      </c>
      <c r="B1" s="6" t="n"/>
      <c r="C1" s="6" t="n"/>
      <c r="D1" s="6" t="n"/>
      <c r="E1" s="6" t="n"/>
    </row>
    <row r="2">
      <c r="A2" s="60" t="inlineStr">
        <is>
          <t>ISMS-IMP-A.5.7.2 | ISO/IEC 27001:2022 - Control A.5.7: Threat Intelligence</t>
        </is>
      </c>
      <c r="B2" s="6" t="n"/>
      <c r="C2" s="6" t="n"/>
      <c r="D2" s="6" t="n"/>
      <c r="E2" s="6" t="n"/>
    </row>
    <row r="3">
      <c r="A3" s="61" t="inlineStr">
        <is>
          <t>ASSESSMENT SUMMARY</t>
        </is>
      </c>
      <c r="B3" s="6" t="n"/>
      <c r="C3" s="6" t="n"/>
      <c r="D3" s="6" t="n"/>
      <c r="E3" s="6" t="n"/>
    </row>
    <row r="4">
      <c r="A4" s="62" t="inlineStr">
        <is>
          <t>Document:</t>
        </is>
      </c>
      <c r="B4" s="6" t="inlineStr">
        <is>
          <t>ISMS-IMP-A.5.7.2 - Intelligence Collection &amp; Analysis Assessment</t>
        </is>
      </c>
      <c r="C4" s="6" t="n"/>
      <c r="D4" s="6" t="n"/>
      <c r="E4" s="6" t="n"/>
    </row>
    <row r="5">
      <c r="A5" s="62" t="inlineStr">
        <is>
          <t>Assessment Period:</t>
        </is>
      </c>
      <c r="B5" s="22" t="inlineStr"/>
      <c r="C5" s="22" t="n"/>
      <c r="D5" s="22" t="n"/>
      <c r="E5" s="22" t="n"/>
    </row>
    <row r="6">
      <c r="A6" s="62" t="inlineStr">
        <is>
          <t>Overall Compliance Rate:</t>
        </is>
      </c>
      <c r="B6" s="63">
        <f>IFERROR('Summary Dashboard'!B9/'Summary Dashboard'!B11,"")</f>
        <v/>
      </c>
      <c r="C6" s="22" t="n"/>
      <c r="D6" s="22" t="n"/>
      <c r="E6" s="22" t="n"/>
    </row>
    <row r="7">
      <c r="A7" s="62" t="inlineStr">
        <is>
          <t>Assessment Status:</t>
        </is>
      </c>
      <c r="B7" s="22" t="inlineStr"/>
      <c r="C7" s="22" t="n"/>
      <c r="D7" s="22" t="n"/>
      <c r="E7" s="22" t="n"/>
    </row>
    <row r="8">
      <c r="A8" s="62" t="inlineStr">
        <is>
          <t>Assessed By:</t>
        </is>
      </c>
      <c r="B8" s="22" t="inlineStr"/>
      <c r="C8" s="22" t="n"/>
      <c r="D8" s="22" t="n"/>
      <c r="E8" s="22" t="n"/>
    </row>
    <row r="11">
      <c r="A11" s="61" t="inlineStr">
        <is>
          <t>COMPLETED BY (ASSESSOR)</t>
        </is>
      </c>
      <c r="B11" s="6" t="n"/>
      <c r="C11" s="6" t="n"/>
      <c r="D11" s="6" t="n"/>
      <c r="E11" s="6" t="n"/>
    </row>
    <row r="12">
      <c r="A12" s="62" t="inlineStr">
        <is>
          <t>Name:</t>
        </is>
      </c>
      <c r="B12" s="22" t="n"/>
      <c r="C12" s="22" t="n"/>
      <c r="D12" s="22" t="n"/>
      <c r="E12" s="22" t="n"/>
    </row>
    <row r="13">
      <c r="A13" s="62" t="inlineStr">
        <is>
          <t>Title:</t>
        </is>
      </c>
      <c r="B13" s="22" t="n"/>
      <c r="C13" s="22" t="n"/>
      <c r="D13" s="22" t="n"/>
      <c r="E13" s="22" t="n"/>
    </row>
    <row r="14">
      <c r="A14" s="62" t="inlineStr">
        <is>
          <t>Date:</t>
        </is>
      </c>
      <c r="B14" s="22" t="n"/>
      <c r="C14" s="22" t="n"/>
      <c r="D14" s="22" t="n"/>
      <c r="E14" s="22" t="n"/>
    </row>
    <row r="15">
      <c r="A15" s="62" t="inlineStr">
        <is>
          <t>Signature:</t>
        </is>
      </c>
      <c r="B15" s="22" t="n"/>
      <c r="C15" s="22" t="n"/>
      <c r="D15" s="22" t="n"/>
      <c r="E15" s="22" t="n"/>
    </row>
    <row r="16">
      <c r="A16" s="62" t="inlineStr">
        <is>
          <t>Comments:</t>
        </is>
      </c>
      <c r="B16" s="22" t="n"/>
      <c r="C16" s="22" t="n"/>
      <c r="D16" s="22" t="n"/>
      <c r="E16" s="22" t="n"/>
    </row>
    <row r="18">
      <c r="A18" s="61" t="inlineStr">
        <is>
          <t>REVIEWED BY (INFORMATION SECURITY OFFICER)</t>
        </is>
      </c>
      <c r="B18" s="6" t="n"/>
      <c r="C18" s="6" t="n"/>
      <c r="D18" s="6" t="n"/>
      <c r="E18" s="6" t="n"/>
    </row>
    <row r="19">
      <c r="A19" s="62" t="inlineStr">
        <is>
          <t>Name:</t>
        </is>
      </c>
      <c r="B19" s="22" t="n"/>
      <c r="C19" s="22" t="n"/>
      <c r="D19" s="22" t="n"/>
      <c r="E19" s="22" t="n"/>
    </row>
    <row r="20">
      <c r="A20" s="62" t="inlineStr">
        <is>
          <t>Title:</t>
        </is>
      </c>
      <c r="B20" s="22" t="n"/>
      <c r="C20" s="22" t="n"/>
      <c r="D20" s="22" t="n"/>
      <c r="E20" s="22" t="n"/>
    </row>
    <row r="21">
      <c r="A21" s="62" t="inlineStr">
        <is>
          <t>Date:</t>
        </is>
      </c>
      <c r="B21" s="22" t="n"/>
      <c r="C21" s="22" t="n"/>
      <c r="D21" s="22" t="n"/>
      <c r="E21" s="22" t="n"/>
    </row>
    <row r="22">
      <c r="A22" s="62" t="inlineStr">
        <is>
          <t>Signature:</t>
        </is>
      </c>
      <c r="B22" s="22" t="n"/>
      <c r="C22" s="22" t="n"/>
      <c r="D22" s="22" t="n"/>
      <c r="E22" s="22" t="n"/>
    </row>
    <row r="23">
      <c r="A23" s="62" t="inlineStr">
        <is>
          <t>Comments:</t>
        </is>
      </c>
      <c r="B23" s="22" t="n"/>
      <c r="C23" s="22" t="n"/>
      <c r="D23" s="22" t="n"/>
      <c r="E23" s="22" t="n"/>
    </row>
    <row r="25">
      <c r="A25" s="64" t="inlineStr">
        <is>
          <t>APPROVED BY (CISO)</t>
        </is>
      </c>
      <c r="B25" s="6" t="n"/>
      <c r="C25" s="6" t="n"/>
      <c r="D25" s="6" t="n"/>
      <c r="E25" s="6" t="n"/>
    </row>
    <row r="26">
      <c r="A26" s="62" t="inlineStr">
        <is>
          <t>Name:</t>
        </is>
      </c>
      <c r="B26" s="22" t="n"/>
      <c r="C26" s="22" t="n"/>
      <c r="D26" s="22" t="n"/>
      <c r="E26" s="22" t="n"/>
    </row>
    <row r="27">
      <c r="A27" s="62" t="inlineStr">
        <is>
          <t>Title:</t>
        </is>
      </c>
      <c r="B27" s="22" t="n"/>
      <c r="C27" s="22" t="n"/>
      <c r="D27" s="22" t="n"/>
      <c r="E27" s="22" t="n"/>
    </row>
    <row r="28">
      <c r="A28" s="62" t="inlineStr">
        <is>
          <t>Date:</t>
        </is>
      </c>
      <c r="B28" s="22" t="n"/>
      <c r="C28" s="22" t="n"/>
      <c r="D28" s="22" t="n"/>
      <c r="E28" s="22" t="n"/>
    </row>
    <row r="29">
      <c r="A29" s="62" t="inlineStr">
        <is>
          <t>Signature:</t>
        </is>
      </c>
      <c r="B29" s="22" t="n"/>
      <c r="C29" s="22" t="n"/>
      <c r="D29" s="22" t="n"/>
      <c r="E29" s="22" t="n"/>
    </row>
    <row r="30">
      <c r="A30" s="62" t="inlineStr">
        <is>
          <t>Comments:</t>
        </is>
      </c>
      <c r="B30" s="22" t="n"/>
      <c r="C30" s="22" t="n"/>
      <c r="D30" s="22" t="n"/>
      <c r="E30" s="22" t="n"/>
    </row>
    <row r="32">
      <c r="A32" s="65" t="inlineStr">
        <is>
          <t>FINAL DECISION:</t>
        </is>
      </c>
      <c r="B32" s="22" t="n"/>
      <c r="C32" s="22" t="n"/>
      <c r="D32" s="22" t="n"/>
      <c r="E32" s="22" t="n"/>
    </row>
    <row r="35">
      <c r="A35" s="61" t="inlineStr">
        <is>
          <t>NEXT REVIEW DETAILS</t>
        </is>
      </c>
      <c r="B35" s="6" t="n"/>
      <c r="C35" s="6" t="n"/>
      <c r="D35" s="6" t="n"/>
      <c r="E35" s="6" t="n"/>
    </row>
    <row r="36">
      <c r="A36" s="62" t="inlineStr">
        <is>
          <t>Next Review Date:</t>
        </is>
      </c>
      <c r="B36" s="22" t="n"/>
      <c r="C36" s="22" t="n"/>
      <c r="D36" s="22" t="n"/>
      <c r="E36" s="22" t="n"/>
    </row>
    <row r="37">
      <c r="A37" s="62" t="inlineStr">
        <is>
          <t>Review Responsible:</t>
        </is>
      </c>
      <c r="B37" s="22" t="n"/>
      <c r="C37" s="22" t="n"/>
      <c r="D37" s="22" t="n"/>
      <c r="E37" s="22" t="n"/>
    </row>
    <row r="38">
      <c r="A38" s="62" t="inlineStr">
        <is>
          <t>Special Considerations:</t>
        </is>
      </c>
      <c r="B38" s="22" t="n"/>
      <c r="C38" s="22" t="n"/>
      <c r="D38" s="22" t="n"/>
      <c r="E38" s="22"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ISMS-IMP-A.5.7.2 — Intelligence Collection &amp; Analysis Assessment</dc:title>
  <dc:description xmlns:dc="http://purl.org/dc/elements/1.1/">ISMS Implementation Workbook — ISMS-IMP-A.5.7.2</dc:description>
  <dc:subject xmlns:dc="http://purl.org/dc/elements/1.1/">ISO/IEC 27001:2022 — Control A.5.7: Threat Intelligence</dc:subject>
  <dcterms:created xmlns:dcterms="http://purl.org/dc/terms/" xmlns:xsi="http://www.w3.org/2001/XMLSchema-instance" xsi:type="dcterms:W3CDTF">2026-03-10T18:48:57Z</dcterms:created>
  <dcterms:modified xmlns:dcterms="http://purl.org/dc/terms/" xmlns:xsi="http://www.w3.org/2001/XMLSchema-instance" xsi:type="dcterms:W3CDTF">2026-03-10T18:48:58Z</dcterms:modified>
</cp:coreProperties>
</file>