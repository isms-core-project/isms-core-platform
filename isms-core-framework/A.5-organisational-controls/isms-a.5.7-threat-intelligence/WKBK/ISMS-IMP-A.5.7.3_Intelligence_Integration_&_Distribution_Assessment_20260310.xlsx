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ool Integration Matrix" sheetId="2" state="visible" r:id="rId2"/>
    <sheet xmlns:r="http://schemas.openxmlformats.org/officeDocument/2006/relationships" name="IOC Deployment" sheetId="3" state="visible" r:id="rId3"/>
    <sheet xmlns:r="http://schemas.openxmlformats.org/officeDocument/2006/relationships" name="Dissemination Channels" sheetId="4" state="visible" r:id="rId4"/>
    <sheet xmlns:r="http://schemas.openxmlformats.org/officeDocument/2006/relationships" name="Stakeholder Registry" sheetId="5" state="visible" r:id="rId5"/>
    <sheet xmlns:r="http://schemas.openxmlformats.org/officeDocument/2006/relationships" name="Distribution Tracking" sheetId="6" state="visible" r:id="rId6"/>
    <sheet xmlns:r="http://schemas.openxmlformats.org/officeDocument/2006/relationships" name="Feedback Collection" sheetId="7" state="visible" r:id="rId7"/>
    <sheet xmlns:r="http://schemas.openxmlformats.org/officeDocument/2006/relationships" name="Integration Metrics" sheetId="8" state="visible" r:id="rId8"/>
    <sheet xmlns:r="http://schemas.openxmlformats.org/officeDocument/2006/relationships" name="Action Item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7">
    <numFmt numFmtId="164" formatCode="DD.MM.YYYY hh:mm"/>
    <numFmt numFmtId="165" formatCode="DD.MM.YYYY"/>
    <numFmt numFmtId="166" formatCode="0&quot;%&quot;"/>
    <numFmt numFmtId="167" formatCode="0.0&quot;%&quot;"/>
    <numFmt numFmtId="168" formatCode="0.0"/>
    <numFmt numFmtId="169" formatCode="+0.0%;-0.0%;0.0%"/>
    <numFmt numFmtId="170"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sz val="9"/>
    </font>
    <font>
      <name val="Calibri"/>
      <b val="1"/>
      <color rgb="00FFFFFF"/>
      <sz val="10"/>
    </font>
    <font>
      <b val="1"/>
    </font>
    <font>
      <b val="1"/>
      <color rgb="00006100"/>
    </font>
    <font>
      <b val="1"/>
      <color rgb="00C65911"/>
    </font>
    <font>
      <b val="1"/>
      <color rgb="009C0006"/>
    </font>
    <font>
      <b val="1"/>
      <color rgb="000066CC"/>
    </font>
    <font>
      <name val="Calibri"/>
      <sz val="10"/>
    </font>
    <font>
      <name val="Calibri"/>
      <b val="1"/>
      <color rgb="00FFFFFF"/>
      <sz val="12"/>
    </font>
    <font>
      <name val="Calibri"/>
      <b val="1"/>
      <color rgb="00000000"/>
      <sz val="10"/>
    </font>
    <font>
      <name val="Calibri"/>
      <color rgb="00000000"/>
    </font>
    <font>
      <name val="Calibri"/>
      <b val="1"/>
      <color rgb="00000000"/>
    </font>
    <font>
      <name val="Calibri"/>
      <b val="1"/>
      <color rgb="00FFFFFF"/>
      <sz val="11"/>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FFFFFF"/>
      </patternFill>
    </fill>
    <fill>
      <patternFill patternType="solid">
        <fgColor rgb="00C00000"/>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wrapText="1"/>
    </xf>
    <xf numFmtId="0" fontId="4" fillId="9" borderId="1" applyAlignment="1" pivotButton="0" quotePrefix="0" xfId="0">
      <alignment horizontal="center" vertical="center" wrapText="1"/>
    </xf>
    <xf numFmtId="0" fontId="6" fillId="9" borderId="1" pivotButton="0" quotePrefix="0" xfId="0"/>
    <xf numFmtId="0" fontId="0" fillId="10" borderId="1" pivotButton="0" quotePrefix="0" xfId="0"/>
    <xf numFmtId="164" fontId="0" fillId="10" borderId="1" pivotButton="0" quotePrefix="0" xfId="0"/>
    <xf numFmtId="1" fontId="0" fillId="10" borderId="1" pivotButton="0" quotePrefix="0" xfId="0"/>
    <xf numFmtId="0" fontId="7" fillId="8"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165" fontId="0" fillId="10" borderId="1" pivotButton="0" quotePrefix="0" xfId="0"/>
    <xf numFmtId="0" fontId="0" fillId="9" borderId="1" pivotButton="0" quotePrefix="0" xfId="0"/>
    <xf numFmtId="166" fontId="0" fillId="10" borderId="1" pivotButton="0" quotePrefix="0" xfId="0"/>
    <xf numFmtId="166" fontId="8" fillId="0" borderId="0" pivotButton="0" quotePrefix="0" xfId="0"/>
    <xf numFmtId="167" fontId="0" fillId="9" borderId="1" pivotButton="0" quotePrefix="0" xfId="0"/>
    <xf numFmtId="167" fontId="8" fillId="0" borderId="0" pivotButton="0" quotePrefix="0" xfId="0"/>
    <xf numFmtId="168" fontId="8" fillId="0" borderId="0" pivotButton="0" quotePrefix="0" xfId="0"/>
    <xf numFmtId="168" fontId="0" fillId="10" borderId="1" pivotButton="0" quotePrefix="0" xfId="0"/>
    <xf numFmtId="169" fontId="0" fillId="9" borderId="1" pivotButton="0" quotePrefix="0" xfId="0"/>
    <xf numFmtId="0" fontId="12" fillId="0" borderId="0" pivotButton="0" quotePrefix="0" xfId="0"/>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7" fillId="8" borderId="1" applyAlignment="1" pivotButton="0" quotePrefix="0" xfId="0">
      <alignment horizontal="center" vertical="center" wrapText="1"/>
    </xf>
    <xf numFmtId="0" fontId="13" fillId="11" borderId="1" applyAlignment="1" pivotButton="0" quotePrefix="0" xfId="0">
      <alignment horizontal="center" vertical="center" wrapText="1"/>
    </xf>
    <xf numFmtId="0" fontId="13"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2" borderId="1" applyAlignment="1" pivotButton="0" quotePrefix="0" xfId="0">
      <alignment horizontal="center" vertical="center" wrapText="1"/>
    </xf>
    <xf numFmtId="0" fontId="5" fillId="0" borderId="0" applyAlignment="1" pivotButton="0" quotePrefix="0" xfId="0">
      <alignment horizontal="left" vertical="center"/>
    </xf>
    <xf numFmtId="0" fontId="14" fillId="2" borderId="1" applyAlignment="1" pivotButton="0" quotePrefix="0" xfId="0">
      <alignment horizontal="left" vertical="center"/>
    </xf>
    <xf numFmtId="0" fontId="7" fillId="12" borderId="1" applyAlignment="1" pivotButton="0" quotePrefix="0" xfId="0">
      <alignment horizontal="left" vertical="center"/>
    </xf>
    <xf numFmtId="0" fontId="15" fillId="4" borderId="1" applyAlignment="1" pivotButton="0" quotePrefix="0" xfId="0">
      <alignment horizontal="center" vertical="center"/>
    </xf>
    <xf numFmtId="0" fontId="16" fillId="3" borderId="1" applyAlignment="1" pivotButton="0" quotePrefix="0" xfId="0">
      <alignment horizontal="left" vertical="center" wrapText="1"/>
    </xf>
    <xf numFmtId="0" fontId="16" fillId="3" borderId="1" applyAlignment="1" pivotButton="0" quotePrefix="0" xfId="0">
      <alignment horizontal="center" vertical="center" wrapText="1"/>
    </xf>
    <xf numFmtId="0" fontId="17" fillId="4" borderId="1" applyAlignment="1" pivotButton="0" quotePrefix="0" xfId="0">
      <alignment horizontal="left" vertical="center" wrapText="1"/>
    </xf>
    <xf numFmtId="0" fontId="16" fillId="4" borderId="1" applyAlignment="1" pivotButton="0" quotePrefix="0" xfId="0">
      <alignment horizontal="center" vertical="center" wrapText="1"/>
    </xf>
    <xf numFmtId="0" fontId="0" fillId="13" borderId="0" pivotButton="0" quotePrefix="0" xfId="0"/>
    <xf numFmtId="0" fontId="0" fillId="0" borderId="4" pivotButton="0" quotePrefix="0" xfId="0"/>
    <xf numFmtId="0" fontId="0" fillId="0" borderId="5" pivotButton="0" quotePrefix="0" xfId="0"/>
    <xf numFmtId="0" fontId="16" fillId="13" borderId="1" applyAlignment="1" pivotButton="0" quotePrefix="0" xfId="0">
      <alignment horizontal="left" vertical="center" wrapText="1"/>
    </xf>
    <xf numFmtId="0" fontId="16" fillId="13" borderId="1" applyAlignment="1" pivotButton="0" quotePrefix="0" xfId="0">
      <alignment horizontal="center" vertical="center"/>
    </xf>
    <xf numFmtId="0" fontId="14" fillId="14" borderId="1" applyAlignment="1" pivotButton="0" quotePrefix="0" xfId="0">
      <alignment horizontal="left" vertical="center"/>
    </xf>
    <xf numFmtId="0" fontId="17" fillId="3" borderId="1" applyAlignment="1" pivotButton="0" quotePrefix="0" xfId="0">
      <alignment horizontal="left" vertical="center" wrapText="1"/>
    </xf>
    <xf numFmtId="0" fontId="16" fillId="3" borderId="1" applyAlignment="1" pivotButton="0" quotePrefix="0" xfId="0">
      <alignment horizontal="center" vertical="center"/>
    </xf>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8" fillId="15" borderId="1" applyAlignment="1" pivotButton="0" quotePrefix="0" xfId="0">
      <alignment horizontal="left" vertical="center"/>
    </xf>
    <xf numFmtId="0" fontId="4" fillId="0" borderId="1" pivotButton="0" quotePrefix="0" xfId="0"/>
    <xf numFmtId="170" fontId="0" fillId="10" borderId="1" pivotButton="0" quotePrefix="0" xfId="0"/>
    <xf numFmtId="0" fontId="18" fillId="8" borderId="1" applyAlignment="1" pivotButton="0" quotePrefix="0" xfId="0">
      <alignment horizontal="left" vertical="center"/>
    </xf>
    <xf numFmtId="0" fontId="19" fillId="0" borderId="1" pivotButton="0" quotePrefix="0" xfId="0"/>
  </cellXfs>
  <cellStyles count="1">
    <cellStyle name="Normal" xfId="0" builtinId="0" hidden="0"/>
  </cellStyles>
  <dxfs count="4">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ISMS-IMP-A.5.7.3  -  Intelligence Integration &amp; Distribution Assessment
ISO/IEC 27001:2022 - Control A.5.7: Threat Intelligence</t>
        </is>
      </c>
    </row>
    <row r="3">
      <c r="A3" s="2" t="inlineStr">
        <is>
          <t>Document Information</t>
        </is>
      </c>
    </row>
    <row r="4">
      <c r="A4" s="3" t="inlineStr">
        <is>
          <t>Document ID</t>
        </is>
      </c>
      <c r="B4" t="inlineStr">
        <is>
          <t>ISMS-IMP-A.5.7.3</t>
        </is>
      </c>
    </row>
    <row r="5">
      <c r="A5" s="3" t="inlineStr">
        <is>
          <t>Workbook Title</t>
        </is>
      </c>
      <c r="B5" t="inlineStr">
        <is>
          <t>Intelligence Integration &amp; Distribution Assessment</t>
        </is>
      </c>
    </row>
    <row r="6">
      <c r="A6" s="3" t="inlineStr">
        <is>
          <t>Control Reference</t>
        </is>
      </c>
      <c r="B6" t="inlineStr">
        <is>
          <t>ISO/IEC 27001:2022 - Control A.5.7: Threat Intelligence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all security tools in scope for threat intelligence integration in the Tool Integration Matrix sheet (SIEM, SOAR, IDS/IPS, firewall, EDR, vulnerability scanners).</t>
        </is>
      </c>
    </row>
    <row r="14">
      <c r="A14" t="inlineStr">
        <is>
          <t>2. Assess each tool's integration status, feed ingestion capability, and supported data formats (STIX/TAXII, CSV, JSON, XML, MISP).</t>
        </is>
      </c>
    </row>
    <row r="15">
      <c r="A15" t="inlineStr">
        <is>
          <t>3. Record integration performance metrics in the Integration Metrics sheet — track timeliness, volume ingested, false positive rate, and analyst time saved.</t>
        </is>
      </c>
    </row>
    <row r="16">
      <c r="A16" t="inlineStr">
        <is>
          <t>4. Identify tools lacking active threat intelligence integration and document gap remediation plans with target completion dates and responsible owners.</t>
        </is>
      </c>
    </row>
    <row r="17">
      <c r="A17" t="inlineStr">
        <is>
          <t>5. Use the Performance Trend column to track whether each integration metric is Improving, Stable, or Declining quarter-on-quarter.</t>
        </is>
      </c>
    </row>
    <row r="18">
      <c r="A18" t="inlineStr">
        <is>
          <t>6. Prioritise automation for high-volume manual processes — document automation opportunities and measure analyst workload reduction.</t>
        </is>
      </c>
    </row>
    <row r="19">
      <c r="A19" t="inlineStr">
        <is>
          <t>7. Maintain the Evidence Register with integration configuration exports, API documentation, and performance dashboards.</t>
        </is>
      </c>
    </row>
    <row r="20">
      <c r="A20" t="inlineStr">
        <is>
          <t>8. Obtain sign-off from the SOC Manager, Security Architecture lead, and CISO.</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SIEM / SOAR threat intelligence integration configuration exports (sanitised)</t>
        </is>
      </c>
    </row>
    <row r="31">
      <c r="A31" t="inlineStr">
        <is>
          <t>✓ STIX / TAXII and API integration documentation</t>
        </is>
      </c>
    </row>
    <row r="32">
      <c r="A32" t="inlineStr">
        <is>
          <t>✓ Integration performance reports and dashboards</t>
        </is>
      </c>
    </row>
    <row r="33">
      <c r="A33" t="inlineStr">
        <is>
          <t>✓ Automation workflow documentation and efficiency metrics</t>
        </is>
      </c>
    </row>
    <row r="34">
      <c r="A34" t="inlineStr">
        <is>
          <t>✓ Vendor integration capability documentation and data sheets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20" customWidth="1" min="4" max="4"/>
    <col width="12" customWidth="1" min="5" max="5"/>
    <col width="20" customWidth="1" min="6" max="6"/>
    <col width="18" customWidth="1" min="7" max="7"/>
    <col width="18" customWidth="1" min="8" max="8"/>
    <col width="18" customWidth="1" min="9" max="9"/>
    <col width="25" customWidth="1" min="10" max="10"/>
    <col width="18" customWidth="1" min="11" max="11"/>
    <col width="18" customWidth="1" min="12" max="12"/>
    <col width="30" customWidth="1" min="13" max="13"/>
    <col width="20" customWidth="1" min="14" max="14"/>
    <col width="22" customWidth="1" min="15" max="15"/>
    <col width="18" customWidth="1" min="16" max="16"/>
  </cols>
  <sheetData>
    <row r="1" ht="35" customHeight="1">
      <c r="A1" s="11" t="inlineStr">
        <is>
          <t>SECURITY TOOL INTEGRATION MATRIX</t>
        </is>
      </c>
    </row>
    <row r="2">
      <c r="A2" s="12" t="inlineStr">
        <is>
          <t>Document threat intelligence integration status across all security tools - SIEM, EDR, firewalls, proxies, email gateways, etc.</t>
        </is>
      </c>
    </row>
    <row r="4">
      <c r="A4" s="13" t="inlineStr">
        <is>
          <t>Tool ID</t>
        </is>
      </c>
      <c r="B4" s="13" t="inlineStr">
        <is>
          <t>Tool Category</t>
        </is>
      </c>
      <c r="C4" s="13" t="inlineStr">
        <is>
          <t>Tool Name</t>
        </is>
      </c>
      <c r="D4" s="13" t="inlineStr">
        <is>
          <t>Vendor</t>
        </is>
      </c>
      <c r="E4" s="13" t="inlineStr">
        <is>
          <t>Version</t>
        </is>
      </c>
      <c r="F4" s="13" t="inlineStr">
        <is>
          <t>Primary Owner</t>
        </is>
      </c>
      <c r="G4" s="13" t="inlineStr">
        <is>
          <t>Integration Status</t>
        </is>
      </c>
      <c r="H4" s="13" t="inlineStr">
        <is>
          <t>Integration Method</t>
        </is>
      </c>
      <c r="I4" s="13" t="inlineStr">
        <is>
          <t>Integration Direction</t>
        </is>
      </c>
      <c r="J4" s="13" t="inlineStr">
        <is>
          <t>Data Types Integrated</t>
        </is>
      </c>
      <c r="K4" s="13" t="inlineStr">
        <is>
          <t>Automation Level</t>
        </is>
      </c>
      <c r="L4" s="13" t="inlineStr">
        <is>
          <t>Update Frequency</t>
        </is>
      </c>
      <c r="M4" s="13" t="inlineStr">
        <is>
          <t>IOC Types Supported</t>
        </is>
      </c>
      <c r="N4" s="13" t="inlineStr">
        <is>
          <t>Last Successful Sync</t>
        </is>
      </c>
      <c r="O4" s="13" t="inlineStr">
        <is>
          <t>Sync Errors Last 30 Days</t>
        </is>
      </c>
      <c r="P4" s="13" t="inlineStr">
        <is>
          <t>Effectiveness Rating</t>
        </is>
      </c>
    </row>
    <row r="5">
      <c r="A5" s="14" t="inlineStr">
        <is>
          <t>TOOL-001</t>
        </is>
      </c>
      <c r="B5" s="15" t="n"/>
      <c r="C5" s="15" t="n"/>
      <c r="D5" s="15" t="n"/>
      <c r="E5" s="15" t="n"/>
      <c r="F5" s="15" t="n"/>
      <c r="G5" s="15" t="n"/>
      <c r="H5" s="15" t="n"/>
      <c r="I5" s="15" t="n"/>
      <c r="J5" s="15" t="n"/>
      <c r="K5" s="15" t="n"/>
      <c r="L5" s="15" t="n"/>
      <c r="M5" s="15" t="n"/>
      <c r="N5" s="16" t="n"/>
      <c r="O5" s="17" t="n"/>
      <c r="P5" s="15" t="n"/>
    </row>
    <row r="6">
      <c r="A6" s="14" t="n"/>
      <c r="B6" s="15" t="n"/>
      <c r="C6" s="15" t="n"/>
      <c r="D6" s="15" t="n"/>
      <c r="E6" s="15" t="n"/>
      <c r="F6" s="15" t="n"/>
      <c r="G6" s="15" t="n"/>
      <c r="H6" s="15" t="n"/>
      <c r="I6" s="15" t="n"/>
      <c r="J6" s="15" t="n"/>
      <c r="K6" s="15" t="n"/>
      <c r="L6" s="15" t="n"/>
      <c r="M6" s="15" t="n"/>
      <c r="N6" s="16" t="n"/>
      <c r="O6" s="17" t="n"/>
      <c r="P6" s="15" t="n"/>
    </row>
    <row r="7">
      <c r="A7" s="14" t="n"/>
      <c r="B7" s="15" t="n"/>
      <c r="C7" s="15" t="n"/>
      <c r="D7" s="15" t="n"/>
      <c r="E7" s="15" t="n"/>
      <c r="F7" s="15" t="n"/>
      <c r="G7" s="15" t="n"/>
      <c r="H7" s="15" t="n"/>
      <c r="I7" s="15" t="n"/>
      <c r="J7" s="15" t="n"/>
      <c r="K7" s="15" t="n"/>
      <c r="L7" s="15" t="n"/>
      <c r="M7" s="15" t="n"/>
      <c r="N7" s="16" t="n"/>
      <c r="O7" s="17" t="n"/>
      <c r="P7" s="15" t="n"/>
    </row>
    <row r="8">
      <c r="A8" s="14" t="n"/>
      <c r="B8" s="15" t="n"/>
      <c r="C8" s="15" t="n"/>
      <c r="D8" s="15" t="n"/>
      <c r="E8" s="15" t="n"/>
      <c r="F8" s="15" t="n"/>
      <c r="G8" s="15" t="n"/>
      <c r="H8" s="15" t="n"/>
      <c r="I8" s="15" t="n"/>
      <c r="J8" s="15" t="n"/>
      <c r="K8" s="15" t="n"/>
      <c r="L8" s="15" t="n"/>
      <c r="M8" s="15" t="n"/>
      <c r="N8" s="16" t="n"/>
      <c r="O8" s="17" t="n"/>
      <c r="P8" s="15" t="n"/>
    </row>
    <row r="9">
      <c r="A9" s="14" t="n"/>
      <c r="B9" s="15" t="n"/>
      <c r="C9" s="15" t="n"/>
      <c r="D9" s="15" t="n"/>
      <c r="E9" s="15" t="n"/>
      <c r="F9" s="15" t="n"/>
      <c r="G9" s="15" t="n"/>
      <c r="H9" s="15" t="n"/>
      <c r="I9" s="15" t="n"/>
      <c r="J9" s="15" t="n"/>
      <c r="K9" s="15" t="n"/>
      <c r="L9" s="15" t="n"/>
      <c r="M9" s="15" t="n"/>
      <c r="N9" s="16" t="n"/>
      <c r="O9" s="17" t="n"/>
      <c r="P9" s="15" t="n"/>
    </row>
    <row r="10">
      <c r="A10" s="14" t="n"/>
      <c r="B10" s="15" t="n"/>
      <c r="C10" s="15" t="n"/>
      <c r="D10" s="15" t="n"/>
      <c r="E10" s="15" t="n"/>
      <c r="F10" s="15" t="n"/>
      <c r="G10" s="15" t="n"/>
      <c r="H10" s="15" t="n"/>
      <c r="I10" s="15" t="n"/>
      <c r="J10" s="15" t="n"/>
      <c r="K10" s="15" t="n"/>
      <c r="L10" s="15" t="n"/>
      <c r="M10" s="15" t="n"/>
      <c r="N10" s="16" t="n"/>
      <c r="O10" s="17" t="n"/>
      <c r="P10" s="15" t="n"/>
    </row>
    <row r="11">
      <c r="A11" s="14" t="n"/>
      <c r="B11" s="15" t="n"/>
      <c r="C11" s="15" t="n"/>
      <c r="D11" s="15" t="n"/>
      <c r="E11" s="15" t="n"/>
      <c r="F11" s="15" t="n"/>
      <c r="G11" s="15" t="n"/>
      <c r="H11" s="15" t="n"/>
      <c r="I11" s="15" t="n"/>
      <c r="J11" s="15" t="n"/>
      <c r="K11" s="15" t="n"/>
      <c r="L11" s="15" t="n"/>
      <c r="M11" s="15" t="n"/>
      <c r="N11" s="16" t="n"/>
      <c r="O11" s="17" t="n"/>
      <c r="P11" s="15" t="n"/>
    </row>
    <row r="12">
      <c r="A12" s="14" t="n"/>
      <c r="B12" s="15" t="n"/>
      <c r="C12" s="15" t="n"/>
      <c r="D12" s="15" t="n"/>
      <c r="E12" s="15" t="n"/>
      <c r="F12" s="15" t="n"/>
      <c r="G12" s="15" t="n"/>
      <c r="H12" s="15" t="n"/>
      <c r="I12" s="15" t="n"/>
      <c r="J12" s="15" t="n"/>
      <c r="K12" s="15" t="n"/>
      <c r="L12" s="15" t="n"/>
      <c r="M12" s="15" t="n"/>
      <c r="N12" s="16" t="n"/>
      <c r="O12" s="17" t="n"/>
      <c r="P12" s="15" t="n"/>
    </row>
    <row r="13">
      <c r="A13" s="14" t="n"/>
      <c r="B13" s="15" t="n"/>
      <c r="C13" s="15" t="n"/>
      <c r="D13" s="15" t="n"/>
      <c r="E13" s="15" t="n"/>
      <c r="F13" s="15" t="n"/>
      <c r="G13" s="15" t="n"/>
      <c r="H13" s="15" t="n"/>
      <c r="I13" s="15" t="n"/>
      <c r="J13" s="15" t="n"/>
      <c r="K13" s="15" t="n"/>
      <c r="L13" s="15" t="n"/>
      <c r="M13" s="15" t="n"/>
      <c r="N13" s="16" t="n"/>
      <c r="O13" s="17" t="n"/>
      <c r="P13" s="15" t="n"/>
    </row>
    <row r="14">
      <c r="A14" s="14" t="n"/>
      <c r="B14" s="15" t="n"/>
      <c r="C14" s="15" t="n"/>
      <c r="D14" s="15" t="n"/>
      <c r="E14" s="15" t="n"/>
      <c r="F14" s="15" t="n"/>
      <c r="G14" s="15" t="n"/>
      <c r="H14" s="15" t="n"/>
      <c r="I14" s="15" t="n"/>
      <c r="J14" s="15" t="n"/>
      <c r="K14" s="15" t="n"/>
      <c r="L14" s="15" t="n"/>
      <c r="M14" s="15" t="n"/>
      <c r="N14" s="16" t="n"/>
      <c r="O14" s="17" t="n"/>
      <c r="P14" s="15" t="n"/>
    </row>
    <row r="15">
      <c r="A15" s="14" t="n"/>
      <c r="B15" s="15" t="n"/>
      <c r="C15" s="15" t="n"/>
      <c r="D15" s="15" t="n"/>
      <c r="E15" s="15" t="n"/>
      <c r="F15" s="15" t="n"/>
      <c r="G15" s="15" t="n"/>
      <c r="H15" s="15" t="n"/>
      <c r="I15" s="15" t="n"/>
      <c r="J15" s="15" t="n"/>
      <c r="K15" s="15" t="n"/>
      <c r="L15" s="15" t="n"/>
      <c r="M15" s="15" t="n"/>
      <c r="N15" s="16" t="n"/>
      <c r="O15" s="17" t="n"/>
      <c r="P15" s="15" t="n"/>
    </row>
    <row r="16">
      <c r="A16" s="14" t="n"/>
      <c r="B16" s="15" t="n"/>
      <c r="C16" s="15" t="n"/>
      <c r="D16" s="15" t="n"/>
      <c r="E16" s="15" t="n"/>
      <c r="F16" s="15" t="n"/>
      <c r="G16" s="15" t="n"/>
      <c r="H16" s="15" t="n"/>
      <c r="I16" s="15" t="n"/>
      <c r="J16" s="15" t="n"/>
      <c r="K16" s="15" t="n"/>
      <c r="L16" s="15" t="n"/>
      <c r="M16" s="15" t="n"/>
      <c r="N16" s="16" t="n"/>
      <c r="O16" s="17" t="n"/>
      <c r="P16" s="15" t="n"/>
    </row>
    <row r="17">
      <c r="A17" s="14" t="n"/>
      <c r="B17" s="15" t="n"/>
      <c r="C17" s="15" t="n"/>
      <c r="D17" s="15" t="n"/>
      <c r="E17" s="15" t="n"/>
      <c r="F17" s="15" t="n"/>
      <c r="G17" s="15" t="n"/>
      <c r="H17" s="15" t="n"/>
      <c r="I17" s="15" t="n"/>
      <c r="J17" s="15" t="n"/>
      <c r="K17" s="15" t="n"/>
      <c r="L17" s="15" t="n"/>
      <c r="M17" s="15" t="n"/>
      <c r="N17" s="16" t="n"/>
      <c r="O17" s="17" t="n"/>
      <c r="P17" s="15" t="n"/>
    </row>
    <row r="18">
      <c r="A18" s="14" t="n"/>
      <c r="B18" s="15" t="n"/>
      <c r="C18" s="15" t="n"/>
      <c r="D18" s="15" t="n"/>
      <c r="E18" s="15" t="n"/>
      <c r="F18" s="15" t="n"/>
      <c r="G18" s="15" t="n"/>
      <c r="H18" s="15" t="n"/>
      <c r="I18" s="15" t="n"/>
      <c r="J18" s="15" t="n"/>
      <c r="K18" s="15" t="n"/>
      <c r="L18" s="15" t="n"/>
      <c r="M18" s="15" t="n"/>
      <c r="N18" s="16" t="n"/>
      <c r="O18" s="17" t="n"/>
      <c r="P18" s="15" t="n"/>
    </row>
    <row r="19">
      <c r="A19" s="14" t="n"/>
      <c r="B19" s="15" t="n"/>
      <c r="C19" s="15" t="n"/>
      <c r="D19" s="15" t="n"/>
      <c r="E19" s="15" t="n"/>
      <c r="F19" s="15" t="n"/>
      <c r="G19" s="15" t="n"/>
      <c r="H19" s="15" t="n"/>
      <c r="I19" s="15" t="n"/>
      <c r="J19" s="15" t="n"/>
      <c r="K19" s="15" t="n"/>
      <c r="L19" s="15" t="n"/>
      <c r="M19" s="15" t="n"/>
      <c r="N19" s="16" t="n"/>
      <c r="O19" s="17" t="n"/>
      <c r="P19" s="15" t="n"/>
    </row>
    <row r="20">
      <c r="A20" s="14" t="n"/>
      <c r="B20" s="15" t="n"/>
      <c r="C20" s="15" t="n"/>
      <c r="D20" s="15" t="n"/>
      <c r="E20" s="15" t="n"/>
      <c r="F20" s="15" t="n"/>
      <c r="G20" s="15" t="n"/>
      <c r="H20" s="15" t="n"/>
      <c r="I20" s="15" t="n"/>
      <c r="J20" s="15" t="n"/>
      <c r="K20" s="15" t="n"/>
      <c r="L20" s="15" t="n"/>
      <c r="M20" s="15" t="n"/>
      <c r="N20" s="16" t="n"/>
      <c r="O20" s="17" t="n"/>
      <c r="P20" s="15" t="n"/>
    </row>
    <row r="21">
      <c r="A21" s="14" t="n"/>
      <c r="B21" s="15" t="n"/>
      <c r="C21" s="15" t="n"/>
      <c r="D21" s="15" t="n"/>
      <c r="E21" s="15" t="n"/>
      <c r="F21" s="15" t="n"/>
      <c r="G21" s="15" t="n"/>
      <c r="H21" s="15" t="n"/>
      <c r="I21" s="15" t="n"/>
      <c r="J21" s="15" t="n"/>
      <c r="K21" s="15" t="n"/>
      <c r="L21" s="15" t="n"/>
      <c r="M21" s="15" t="n"/>
      <c r="N21" s="16" t="n"/>
      <c r="O21" s="17" t="n"/>
      <c r="P21" s="15" t="n"/>
    </row>
    <row r="22">
      <c r="A22" s="14" t="n"/>
      <c r="B22" s="15" t="n"/>
      <c r="C22" s="15" t="n"/>
      <c r="D22" s="15" t="n"/>
      <c r="E22" s="15" t="n"/>
      <c r="F22" s="15" t="n"/>
      <c r="G22" s="15" t="n"/>
      <c r="H22" s="15" t="n"/>
      <c r="I22" s="15" t="n"/>
      <c r="J22" s="15" t="n"/>
      <c r="K22" s="15" t="n"/>
      <c r="L22" s="15" t="n"/>
      <c r="M22" s="15" t="n"/>
      <c r="N22" s="16" t="n"/>
      <c r="O22" s="17" t="n"/>
      <c r="P22" s="15" t="n"/>
    </row>
    <row r="23">
      <c r="A23" s="14" t="n"/>
      <c r="B23" s="15" t="n"/>
      <c r="C23" s="15" t="n"/>
      <c r="D23" s="15" t="n"/>
      <c r="E23" s="15" t="n"/>
      <c r="F23" s="15" t="n"/>
      <c r="G23" s="15" t="n"/>
      <c r="H23" s="15" t="n"/>
      <c r="I23" s="15" t="n"/>
      <c r="J23" s="15" t="n"/>
      <c r="K23" s="15" t="n"/>
      <c r="L23" s="15" t="n"/>
      <c r="M23" s="15" t="n"/>
      <c r="N23" s="16" t="n"/>
      <c r="O23" s="17" t="n"/>
      <c r="P23" s="15" t="n"/>
    </row>
    <row r="24">
      <c r="A24" s="14" t="n"/>
      <c r="B24" s="15" t="n"/>
      <c r="C24" s="15" t="n"/>
      <c r="D24" s="15" t="n"/>
      <c r="E24" s="15" t="n"/>
      <c r="F24" s="15" t="n"/>
      <c r="G24" s="15" t="n"/>
      <c r="H24" s="15" t="n"/>
      <c r="I24" s="15" t="n"/>
      <c r="J24" s="15" t="n"/>
      <c r="K24" s="15" t="n"/>
      <c r="L24" s="15" t="n"/>
      <c r="M24" s="15" t="n"/>
      <c r="N24" s="16" t="n"/>
      <c r="O24" s="17" t="n"/>
      <c r="P24" s="15" t="n"/>
    </row>
    <row r="25">
      <c r="A25" s="14" t="n"/>
      <c r="B25" s="15" t="n"/>
      <c r="C25" s="15" t="n"/>
      <c r="D25" s="15" t="n"/>
      <c r="E25" s="15" t="n"/>
      <c r="F25" s="15" t="n"/>
      <c r="G25" s="15" t="n"/>
      <c r="H25" s="15" t="n"/>
      <c r="I25" s="15" t="n"/>
      <c r="J25" s="15" t="n"/>
      <c r="K25" s="15" t="n"/>
      <c r="L25" s="15" t="n"/>
      <c r="M25" s="15" t="n"/>
      <c r="N25" s="16" t="n"/>
      <c r="O25" s="17" t="n"/>
      <c r="P25" s="15" t="n"/>
    </row>
    <row r="26">
      <c r="A26" s="14" t="n"/>
      <c r="B26" s="15" t="n"/>
      <c r="C26" s="15" t="n"/>
      <c r="D26" s="15" t="n"/>
      <c r="E26" s="15" t="n"/>
      <c r="F26" s="15" t="n"/>
      <c r="G26" s="15" t="n"/>
      <c r="H26" s="15" t="n"/>
      <c r="I26" s="15" t="n"/>
      <c r="J26" s="15" t="n"/>
      <c r="K26" s="15" t="n"/>
      <c r="L26" s="15" t="n"/>
      <c r="M26" s="15" t="n"/>
      <c r="N26" s="16" t="n"/>
      <c r="O26" s="17" t="n"/>
      <c r="P26" s="15" t="n"/>
    </row>
    <row r="27">
      <c r="A27" s="14" t="n"/>
      <c r="B27" s="15" t="n"/>
      <c r="C27" s="15" t="n"/>
      <c r="D27" s="15" t="n"/>
      <c r="E27" s="15" t="n"/>
      <c r="F27" s="15" t="n"/>
      <c r="G27" s="15" t="n"/>
      <c r="H27" s="15" t="n"/>
      <c r="I27" s="15" t="n"/>
      <c r="J27" s="15" t="n"/>
      <c r="K27" s="15" t="n"/>
      <c r="L27" s="15" t="n"/>
      <c r="M27" s="15" t="n"/>
      <c r="N27" s="16" t="n"/>
      <c r="O27" s="17" t="n"/>
      <c r="P27" s="15" t="n"/>
    </row>
    <row r="28">
      <c r="A28" s="14" t="n"/>
      <c r="B28" s="15" t="n"/>
      <c r="C28" s="15" t="n"/>
      <c r="D28" s="15" t="n"/>
      <c r="E28" s="15" t="n"/>
      <c r="F28" s="15" t="n"/>
      <c r="G28" s="15" t="n"/>
      <c r="H28" s="15" t="n"/>
      <c r="I28" s="15" t="n"/>
      <c r="J28" s="15" t="n"/>
      <c r="K28" s="15" t="n"/>
      <c r="L28" s="15" t="n"/>
      <c r="M28" s="15" t="n"/>
      <c r="N28" s="16" t="n"/>
      <c r="O28" s="17" t="n"/>
      <c r="P28" s="15" t="n"/>
    </row>
    <row r="29">
      <c r="A29" s="14" t="n"/>
      <c r="B29" s="15" t="n"/>
      <c r="C29" s="15" t="n"/>
      <c r="D29" s="15" t="n"/>
      <c r="E29" s="15" t="n"/>
      <c r="F29" s="15" t="n"/>
      <c r="G29" s="15" t="n"/>
      <c r="H29" s="15" t="n"/>
      <c r="I29" s="15" t="n"/>
      <c r="J29" s="15" t="n"/>
      <c r="K29" s="15" t="n"/>
      <c r="L29" s="15" t="n"/>
      <c r="M29" s="15" t="n"/>
      <c r="N29" s="16" t="n"/>
      <c r="O29" s="17" t="n"/>
      <c r="P29" s="15" t="n"/>
    </row>
    <row r="30">
      <c r="A30" s="14" t="n"/>
      <c r="B30" s="15" t="n"/>
      <c r="C30" s="15" t="n"/>
      <c r="D30" s="15" t="n"/>
      <c r="E30" s="15" t="n"/>
      <c r="F30" s="15" t="n"/>
      <c r="G30" s="15" t="n"/>
      <c r="H30" s="15" t="n"/>
      <c r="I30" s="15" t="n"/>
      <c r="J30" s="15" t="n"/>
      <c r="K30" s="15" t="n"/>
      <c r="L30" s="15" t="n"/>
      <c r="M30" s="15" t="n"/>
      <c r="N30" s="16" t="n"/>
      <c r="O30" s="17" t="n"/>
      <c r="P30" s="15" t="n"/>
    </row>
    <row r="31">
      <c r="A31" s="14" t="n"/>
      <c r="B31" s="15" t="n"/>
      <c r="C31" s="15" t="n"/>
      <c r="D31" s="15" t="n"/>
      <c r="E31" s="15" t="n"/>
      <c r="F31" s="15" t="n"/>
      <c r="G31" s="15" t="n"/>
      <c r="H31" s="15" t="n"/>
      <c r="I31" s="15" t="n"/>
      <c r="J31" s="15" t="n"/>
      <c r="K31" s="15" t="n"/>
      <c r="L31" s="15" t="n"/>
      <c r="M31" s="15" t="n"/>
      <c r="N31" s="16" t="n"/>
      <c r="O31" s="17" t="n"/>
      <c r="P31" s="15" t="n"/>
    </row>
    <row r="32">
      <c r="A32" s="14" t="n"/>
      <c r="B32" s="15" t="n"/>
      <c r="C32" s="15" t="n"/>
      <c r="D32" s="15" t="n"/>
      <c r="E32" s="15" t="n"/>
      <c r="F32" s="15" t="n"/>
      <c r="G32" s="15" t="n"/>
      <c r="H32" s="15" t="n"/>
      <c r="I32" s="15" t="n"/>
      <c r="J32" s="15" t="n"/>
      <c r="K32" s="15" t="n"/>
      <c r="L32" s="15" t="n"/>
      <c r="M32" s="15" t="n"/>
      <c r="N32" s="16" t="n"/>
      <c r="O32" s="17" t="n"/>
      <c r="P32" s="15" t="n"/>
    </row>
    <row r="33">
      <c r="A33" s="14" t="n"/>
      <c r="B33" s="15" t="n"/>
      <c r="C33" s="15" t="n"/>
      <c r="D33" s="15" t="n"/>
      <c r="E33" s="15" t="n"/>
      <c r="F33" s="15" t="n"/>
      <c r="G33" s="15" t="n"/>
      <c r="H33" s="15" t="n"/>
      <c r="I33" s="15" t="n"/>
      <c r="J33" s="15" t="n"/>
      <c r="K33" s="15" t="n"/>
      <c r="L33" s="15" t="n"/>
      <c r="M33" s="15" t="n"/>
      <c r="N33" s="16" t="n"/>
      <c r="O33" s="17" t="n"/>
      <c r="P33" s="15" t="n"/>
    </row>
    <row r="34">
      <c r="A34" s="14" t="n"/>
      <c r="B34" s="15" t="n"/>
      <c r="C34" s="15" t="n"/>
      <c r="D34" s="15" t="n"/>
      <c r="E34" s="15" t="n"/>
      <c r="F34" s="15" t="n"/>
      <c r="G34" s="15" t="n"/>
      <c r="H34" s="15" t="n"/>
      <c r="I34" s="15" t="n"/>
      <c r="J34" s="15" t="n"/>
      <c r="K34" s="15" t="n"/>
      <c r="L34" s="15" t="n"/>
      <c r="M34" s="15" t="n"/>
      <c r="N34" s="16" t="n"/>
      <c r="O34" s="17" t="n"/>
      <c r="P34" s="15" t="n"/>
    </row>
    <row r="36">
      <c r="A36" s="18" t="inlineStr">
        <is>
          <t>INTEGRATION SUMMARY</t>
        </is>
      </c>
    </row>
    <row r="37">
      <c r="A37" s="19" t="inlineStr">
        <is>
          <t>Total Tools:</t>
        </is>
      </c>
      <c r="B37" s="19">
        <f>COUNTA(C5:C34)</f>
        <v/>
      </c>
    </row>
    <row r="38">
      <c r="A38" s="19" t="inlineStr">
        <is>
          <t>Fully Integrated:</t>
        </is>
      </c>
      <c r="B38" s="20">
        <f>COUNTIF(G5:G34,"Fully_Integrated")</f>
        <v/>
      </c>
    </row>
    <row r="39">
      <c r="A39" s="19" t="inlineStr">
        <is>
          <t>Partially Integrated:</t>
        </is>
      </c>
      <c r="B39" s="21">
        <f>COUNTIF(G5:G34,"Partially_Integrated")</f>
        <v/>
      </c>
    </row>
    <row r="40">
      <c r="A40" s="19" t="inlineStr">
        <is>
          <t>Not Integrated:</t>
        </is>
      </c>
      <c r="B40" s="22">
        <f>COUNTIF(G5:G34,"Not_Integrated")</f>
        <v/>
      </c>
    </row>
  </sheetData>
  <mergeCells count="3">
    <mergeCell ref="A1:P1"/>
    <mergeCell ref="A36:E36"/>
    <mergeCell ref="A2:P2"/>
  </mergeCells>
  <conditionalFormatting sqref="G5">
    <cfRule type="cellIs" priority="1" operator="equal" dxfId="0">
      <formula>"Fully_Integrated"</formula>
    </cfRule>
    <cfRule type="cellIs" priority="2" operator="equal" dxfId="1">
      <formula>"Not_Integrated"</formula>
    </cfRule>
  </conditionalFormatting>
  <conditionalFormatting sqref="G6">
    <cfRule type="cellIs" priority="3" operator="equal" dxfId="0">
      <formula>"Fully_Integrated"</formula>
    </cfRule>
    <cfRule type="cellIs" priority="4" operator="equal" dxfId="1">
      <formula>"Not_Integrated"</formula>
    </cfRule>
  </conditionalFormatting>
  <conditionalFormatting sqref="G7">
    <cfRule type="cellIs" priority="5" operator="equal" dxfId="0">
      <formula>"Fully_Integrated"</formula>
    </cfRule>
    <cfRule type="cellIs" priority="6" operator="equal" dxfId="1">
      <formula>"Not_Integrated"</formula>
    </cfRule>
  </conditionalFormatting>
  <conditionalFormatting sqref="G8">
    <cfRule type="cellIs" priority="7" operator="equal" dxfId="0">
      <formula>"Fully_Integrated"</formula>
    </cfRule>
    <cfRule type="cellIs" priority="8" operator="equal" dxfId="1">
      <formula>"Not_Integrated"</formula>
    </cfRule>
  </conditionalFormatting>
  <conditionalFormatting sqref="G9">
    <cfRule type="cellIs" priority="9" operator="equal" dxfId="0">
      <formula>"Fully_Integrated"</formula>
    </cfRule>
    <cfRule type="cellIs" priority="10" operator="equal" dxfId="1">
      <formula>"Not_Integrated"</formula>
    </cfRule>
  </conditionalFormatting>
  <conditionalFormatting sqref="G10">
    <cfRule type="cellIs" priority="11" operator="equal" dxfId="0">
      <formula>"Fully_Integrated"</formula>
    </cfRule>
    <cfRule type="cellIs" priority="12" operator="equal" dxfId="1">
      <formula>"Not_Integrated"</formula>
    </cfRule>
  </conditionalFormatting>
  <conditionalFormatting sqref="G11">
    <cfRule type="cellIs" priority="13" operator="equal" dxfId="0">
      <formula>"Fully_Integrated"</formula>
    </cfRule>
    <cfRule type="cellIs" priority="14" operator="equal" dxfId="1">
      <formula>"Not_Integrated"</formula>
    </cfRule>
  </conditionalFormatting>
  <conditionalFormatting sqref="G12">
    <cfRule type="cellIs" priority="15" operator="equal" dxfId="0">
      <formula>"Fully_Integrated"</formula>
    </cfRule>
    <cfRule type="cellIs" priority="16" operator="equal" dxfId="1">
      <formula>"Not_Integrated"</formula>
    </cfRule>
  </conditionalFormatting>
  <conditionalFormatting sqref="G13">
    <cfRule type="cellIs" priority="17" operator="equal" dxfId="0">
      <formula>"Fully_Integrated"</formula>
    </cfRule>
    <cfRule type="cellIs" priority="18" operator="equal" dxfId="1">
      <formula>"Not_Integrated"</formula>
    </cfRule>
  </conditionalFormatting>
  <conditionalFormatting sqref="G14">
    <cfRule type="cellIs" priority="19" operator="equal" dxfId="0">
      <formula>"Fully_Integrated"</formula>
    </cfRule>
    <cfRule type="cellIs" priority="20" operator="equal" dxfId="1">
      <formula>"Not_Integrated"</formula>
    </cfRule>
  </conditionalFormatting>
  <conditionalFormatting sqref="G15">
    <cfRule type="cellIs" priority="21" operator="equal" dxfId="0">
      <formula>"Fully_Integrated"</formula>
    </cfRule>
    <cfRule type="cellIs" priority="22" operator="equal" dxfId="1">
      <formula>"Not_Integrated"</formula>
    </cfRule>
  </conditionalFormatting>
  <conditionalFormatting sqref="G16">
    <cfRule type="cellIs" priority="23" operator="equal" dxfId="0">
      <formula>"Fully_Integrated"</formula>
    </cfRule>
    <cfRule type="cellIs" priority="24" operator="equal" dxfId="1">
      <formula>"Not_Integrated"</formula>
    </cfRule>
  </conditionalFormatting>
  <conditionalFormatting sqref="G17">
    <cfRule type="cellIs" priority="25" operator="equal" dxfId="0">
      <formula>"Fully_Integrated"</formula>
    </cfRule>
    <cfRule type="cellIs" priority="26" operator="equal" dxfId="1">
      <formula>"Not_Integrated"</formula>
    </cfRule>
  </conditionalFormatting>
  <conditionalFormatting sqref="G18">
    <cfRule type="cellIs" priority="27" operator="equal" dxfId="0">
      <formula>"Fully_Integrated"</formula>
    </cfRule>
    <cfRule type="cellIs" priority="28" operator="equal" dxfId="1">
      <formula>"Not_Integrated"</formula>
    </cfRule>
  </conditionalFormatting>
  <conditionalFormatting sqref="G19">
    <cfRule type="cellIs" priority="29" operator="equal" dxfId="0">
      <formula>"Fully_Integrated"</formula>
    </cfRule>
    <cfRule type="cellIs" priority="30" operator="equal" dxfId="1">
      <formula>"Not_Integrated"</formula>
    </cfRule>
  </conditionalFormatting>
  <conditionalFormatting sqref="G20">
    <cfRule type="cellIs" priority="31" operator="equal" dxfId="0">
      <formula>"Fully_Integrated"</formula>
    </cfRule>
    <cfRule type="cellIs" priority="32" operator="equal" dxfId="1">
      <formula>"Not_Integrated"</formula>
    </cfRule>
  </conditionalFormatting>
  <conditionalFormatting sqref="G21">
    <cfRule type="cellIs" priority="33" operator="equal" dxfId="0">
      <formula>"Fully_Integrated"</formula>
    </cfRule>
    <cfRule type="cellIs" priority="34" operator="equal" dxfId="1">
      <formula>"Not_Integrated"</formula>
    </cfRule>
  </conditionalFormatting>
  <conditionalFormatting sqref="G22">
    <cfRule type="cellIs" priority="35" operator="equal" dxfId="0">
      <formula>"Fully_Integrated"</formula>
    </cfRule>
    <cfRule type="cellIs" priority="36" operator="equal" dxfId="1">
      <formula>"Not_Integrated"</formula>
    </cfRule>
  </conditionalFormatting>
  <conditionalFormatting sqref="G23">
    <cfRule type="cellIs" priority="37" operator="equal" dxfId="0">
      <formula>"Fully_Integrated"</formula>
    </cfRule>
    <cfRule type="cellIs" priority="38" operator="equal" dxfId="1">
      <formula>"Not_Integrated"</formula>
    </cfRule>
  </conditionalFormatting>
  <conditionalFormatting sqref="G24">
    <cfRule type="cellIs" priority="39" operator="equal" dxfId="0">
      <formula>"Fully_Integrated"</formula>
    </cfRule>
    <cfRule type="cellIs" priority="40" operator="equal" dxfId="1">
      <formula>"Not_Integrated"</formula>
    </cfRule>
  </conditionalFormatting>
  <conditionalFormatting sqref="G25">
    <cfRule type="cellIs" priority="41" operator="equal" dxfId="0">
      <formula>"Fully_Integrated"</formula>
    </cfRule>
    <cfRule type="cellIs" priority="42" operator="equal" dxfId="1">
      <formula>"Not_Integrated"</formula>
    </cfRule>
  </conditionalFormatting>
  <conditionalFormatting sqref="G26">
    <cfRule type="cellIs" priority="43" operator="equal" dxfId="0">
      <formula>"Fully_Integrated"</formula>
    </cfRule>
    <cfRule type="cellIs" priority="44" operator="equal" dxfId="1">
      <formula>"Not_Integrated"</formula>
    </cfRule>
  </conditionalFormatting>
  <conditionalFormatting sqref="G27">
    <cfRule type="cellIs" priority="45" operator="equal" dxfId="0">
      <formula>"Fully_Integrated"</formula>
    </cfRule>
    <cfRule type="cellIs" priority="46" operator="equal" dxfId="1">
      <formula>"Not_Integrated"</formula>
    </cfRule>
  </conditionalFormatting>
  <conditionalFormatting sqref="G28">
    <cfRule type="cellIs" priority="47" operator="equal" dxfId="0">
      <formula>"Fully_Integrated"</formula>
    </cfRule>
    <cfRule type="cellIs" priority="48" operator="equal" dxfId="1">
      <formula>"Not_Integrated"</formula>
    </cfRule>
  </conditionalFormatting>
  <conditionalFormatting sqref="G29">
    <cfRule type="cellIs" priority="49" operator="equal" dxfId="0">
      <formula>"Fully_Integrated"</formula>
    </cfRule>
    <cfRule type="cellIs" priority="50" operator="equal" dxfId="1">
      <formula>"Not_Integrated"</formula>
    </cfRule>
  </conditionalFormatting>
  <conditionalFormatting sqref="G30">
    <cfRule type="cellIs" priority="51" operator="equal" dxfId="0">
      <formula>"Fully_Integrated"</formula>
    </cfRule>
    <cfRule type="cellIs" priority="52" operator="equal" dxfId="1">
      <formula>"Not_Integrated"</formula>
    </cfRule>
  </conditionalFormatting>
  <conditionalFormatting sqref="G31">
    <cfRule type="cellIs" priority="53" operator="equal" dxfId="0">
      <formula>"Fully_Integrated"</formula>
    </cfRule>
    <cfRule type="cellIs" priority="54" operator="equal" dxfId="1">
      <formula>"Not_Integrated"</formula>
    </cfRule>
  </conditionalFormatting>
  <conditionalFormatting sqref="G32">
    <cfRule type="cellIs" priority="55" operator="equal" dxfId="0">
      <formula>"Fully_Integrated"</formula>
    </cfRule>
    <cfRule type="cellIs" priority="56" operator="equal" dxfId="1">
      <formula>"Not_Integrated"</formula>
    </cfRule>
  </conditionalFormatting>
  <conditionalFormatting sqref="G33">
    <cfRule type="cellIs" priority="57" operator="equal" dxfId="0">
      <formula>"Fully_Integrated"</formula>
    </cfRule>
    <cfRule type="cellIs" priority="58" operator="equal" dxfId="1">
      <formula>"Not_Integrated"</formula>
    </cfRule>
  </conditionalFormatting>
  <conditionalFormatting sqref="G34">
    <cfRule type="cellIs" priority="59" operator="equal" dxfId="0">
      <formula>"Fully_Integrated"</formula>
    </cfRule>
    <cfRule type="cellIs" priority="60" operator="equal" dxfId="1">
      <formula>"Not_Integrated"</formula>
    </cfRule>
  </conditionalFormatting>
  <conditionalFormatting sqref="O5">
    <cfRule type="cellIs" priority="61" operator="greaterThan" dxfId="2">
      <formula>5</formula>
    </cfRule>
  </conditionalFormatting>
  <conditionalFormatting sqref="O6">
    <cfRule type="cellIs" priority="62" operator="greaterThan" dxfId="2">
      <formula>5</formula>
    </cfRule>
  </conditionalFormatting>
  <conditionalFormatting sqref="O7">
    <cfRule type="cellIs" priority="63" operator="greaterThan" dxfId="2">
      <formula>5</formula>
    </cfRule>
  </conditionalFormatting>
  <conditionalFormatting sqref="O8">
    <cfRule type="cellIs" priority="64" operator="greaterThan" dxfId="2">
      <formula>5</formula>
    </cfRule>
  </conditionalFormatting>
  <conditionalFormatting sqref="O9">
    <cfRule type="cellIs" priority="65" operator="greaterThan" dxfId="2">
      <formula>5</formula>
    </cfRule>
  </conditionalFormatting>
  <conditionalFormatting sqref="O10">
    <cfRule type="cellIs" priority="66" operator="greaterThan" dxfId="2">
      <formula>5</formula>
    </cfRule>
  </conditionalFormatting>
  <conditionalFormatting sqref="O11">
    <cfRule type="cellIs" priority="67" operator="greaterThan" dxfId="2">
      <formula>5</formula>
    </cfRule>
  </conditionalFormatting>
  <conditionalFormatting sqref="O12">
    <cfRule type="cellIs" priority="68" operator="greaterThan" dxfId="2">
      <formula>5</formula>
    </cfRule>
  </conditionalFormatting>
  <conditionalFormatting sqref="O13">
    <cfRule type="cellIs" priority="69" operator="greaterThan" dxfId="2">
      <formula>5</formula>
    </cfRule>
  </conditionalFormatting>
  <conditionalFormatting sqref="O14">
    <cfRule type="cellIs" priority="70" operator="greaterThan" dxfId="2">
      <formula>5</formula>
    </cfRule>
  </conditionalFormatting>
  <conditionalFormatting sqref="O15">
    <cfRule type="cellIs" priority="71" operator="greaterThan" dxfId="2">
      <formula>5</formula>
    </cfRule>
  </conditionalFormatting>
  <conditionalFormatting sqref="O16">
    <cfRule type="cellIs" priority="72" operator="greaterThan" dxfId="2">
      <formula>5</formula>
    </cfRule>
  </conditionalFormatting>
  <conditionalFormatting sqref="O17">
    <cfRule type="cellIs" priority="73" operator="greaterThan" dxfId="2">
      <formula>5</formula>
    </cfRule>
  </conditionalFormatting>
  <conditionalFormatting sqref="O18">
    <cfRule type="cellIs" priority="74" operator="greaterThan" dxfId="2">
      <formula>5</formula>
    </cfRule>
  </conditionalFormatting>
  <conditionalFormatting sqref="O19">
    <cfRule type="cellIs" priority="75" operator="greaterThan" dxfId="2">
      <formula>5</formula>
    </cfRule>
  </conditionalFormatting>
  <conditionalFormatting sqref="O20">
    <cfRule type="cellIs" priority="76" operator="greaterThan" dxfId="2">
      <formula>5</formula>
    </cfRule>
  </conditionalFormatting>
  <conditionalFormatting sqref="O21">
    <cfRule type="cellIs" priority="77" operator="greaterThan" dxfId="2">
      <formula>5</formula>
    </cfRule>
  </conditionalFormatting>
  <conditionalFormatting sqref="O22">
    <cfRule type="cellIs" priority="78" operator="greaterThan" dxfId="2">
      <formula>5</formula>
    </cfRule>
  </conditionalFormatting>
  <conditionalFormatting sqref="O23">
    <cfRule type="cellIs" priority="79" operator="greaterThan" dxfId="2">
      <formula>5</formula>
    </cfRule>
  </conditionalFormatting>
  <conditionalFormatting sqref="O24">
    <cfRule type="cellIs" priority="80" operator="greaterThan" dxfId="2">
      <formula>5</formula>
    </cfRule>
  </conditionalFormatting>
  <conditionalFormatting sqref="O25">
    <cfRule type="cellIs" priority="81" operator="greaterThan" dxfId="2">
      <formula>5</formula>
    </cfRule>
  </conditionalFormatting>
  <conditionalFormatting sqref="O26">
    <cfRule type="cellIs" priority="82" operator="greaterThan" dxfId="2">
      <formula>5</formula>
    </cfRule>
  </conditionalFormatting>
  <conditionalFormatting sqref="O27">
    <cfRule type="cellIs" priority="83" operator="greaterThan" dxfId="2">
      <formula>5</formula>
    </cfRule>
  </conditionalFormatting>
  <conditionalFormatting sqref="O28">
    <cfRule type="cellIs" priority="84" operator="greaterThan" dxfId="2">
      <formula>5</formula>
    </cfRule>
  </conditionalFormatting>
  <conditionalFormatting sqref="O29">
    <cfRule type="cellIs" priority="85" operator="greaterThan" dxfId="2">
      <formula>5</formula>
    </cfRule>
  </conditionalFormatting>
  <conditionalFormatting sqref="O30">
    <cfRule type="cellIs" priority="86" operator="greaterThan" dxfId="2">
      <formula>5</formula>
    </cfRule>
  </conditionalFormatting>
  <conditionalFormatting sqref="O31">
    <cfRule type="cellIs" priority="87" operator="greaterThan" dxfId="2">
      <formula>5</formula>
    </cfRule>
  </conditionalFormatting>
  <conditionalFormatting sqref="O32">
    <cfRule type="cellIs" priority="88" operator="greaterThan" dxfId="2">
      <formula>5</formula>
    </cfRule>
  </conditionalFormatting>
  <conditionalFormatting sqref="O33">
    <cfRule type="cellIs" priority="89" operator="greaterThan" dxfId="2">
      <formula>5</formula>
    </cfRule>
  </conditionalFormatting>
  <conditionalFormatting sqref="O34">
    <cfRule type="cellIs" priority="90" operator="greaterThan" dxfId="2">
      <formula>5</formula>
    </cfRule>
  </conditionalFormatting>
  <dataValidations count="7">
    <dataValidation sqref="B5 B6 B7 B8 B9 B10 B11 B12 B13 B14 B15 B16 B17 B18 B19 B20 B21 B22 B23 B24 B25 B26 B27 B28 B29 B30 B31 B32 B33 B34" showDropDown="0" showInputMessage="0" showErrorMessage="0" allowBlank="0" type="list">
      <formula1>"SIEM,EDR,Firewall,Proxy,Email_Gateway,IDS_IPS,TIP,SOAR,Vuln_Scanner,Other"</formula1>
    </dataValidation>
    <dataValidation sqref="G5 G6 G7 G8 G9 G10 G11 G12 G13 G14 G15 G16 G17 G18 G19 G20 G21 G22 G23 G24 G25 G26 G27 G28 G29 G30 G31 G32 G33 G34" showDropDown="0" showInputMessage="0" showErrorMessage="0" allowBlank="0" type="list">
      <formula1>"Fully_Integrated,Partially_Integrated,Planned,Not_Integrated"</formula1>
    </dataValidation>
    <dataValidation sqref="H5 H6 H7 H8 H9 H10 H11 H12 H13 H14 H15 H16 H17 H18 H19 H20 H21 H22 H23 H24 H25 H26 H27 H28 H29 H30 H31 H32 H33 H34" showDropDown="0" showInputMessage="0" showErrorMessage="0" allowBlank="0" type="list">
      <formula1>"API,Feed,Manual_Import,STIX_TAXII,Syslog,Custom_Script"</formula1>
    </dataValidation>
    <dataValidation sqref="I5 I6 I7 I8 I9 I10 I11 I12 I13 I14 I15 I16 I17 I18 I19 I20 I21 I22 I23 I24 I25 I26 I27 I28 I29 I30 I31 I32 I33 I34" showDropDown="0" showInputMessage="0" showErrorMessage="0" allowBlank="0" type="list">
      <formula1>"Inbound,Outbound,Bidirectional"</formula1>
    </dataValidation>
    <dataValidation sqref="K5 K6 K7 K8 K9 K10 K11 K12 K13 K14 K15 K16 K17 K18 K19 K20 K21 K22 K23 K24 K25 K26 K27 K28 K29 K30 K31 K32 K33 K34" showDropDown="0" showInputMessage="0" showErrorMessage="0" allowBlank="0" type="list">
      <formula1>"Fully_Automated,Semi_Automated,Manual"</formula1>
    </dataValidation>
    <dataValidation sqref="L5 L6 L7 L8 L9 L10 L11 L12 L13 L14 L15 L16 L17 L18 L19 L20 L21 L22 L23 L24 L25 L26 L27 L28 L29 L30 L31 L32 L33 L34" showDropDown="0" showInputMessage="0" showErrorMessage="0" allowBlank="0" type="list">
      <formula1>"Real-time,Hourly,Daily,Weekly,On_Demand"</formula1>
    </dataValidation>
    <dataValidation sqref="P5 P6 P7 P8 P9 P10 P11 P12 P13 P14 P15 P16 P17 P18 P19 P20 P21 P22 P23 P24 P25 P26 P27 P28 P29 P30 P31 P32 P33 P34" showDropDown="0" showInputMessage="0" showErrorMessage="0" allowBlank="1" type="list">
      <formula1>"Excellent,Good,Fair,Poor"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30" customWidth="1" min="3" max="3"/>
    <col width="18" customWidth="1" min="4" max="4"/>
    <col width="18" customWidth="1" min="5" max="5"/>
    <col width="20" customWidth="1" min="6" max="6"/>
    <col width="18" customWidth="1" min="7" max="7"/>
    <col width="12" customWidth="1" min="8" max="8"/>
    <col width="20" customWidth="1" min="9" max="9"/>
    <col width="15" customWidth="1" min="10" max="10"/>
    <col width="25" customWidth="1" min="11" max="11"/>
    <col width="18" customWidth="1" min="12" max="12"/>
    <col width="15" customWidth="1" min="13" max="13"/>
    <col width="15" customWidth="1" min="14" max="14"/>
    <col width="18" customWidth="1" min="15" max="15"/>
    <col width="18" customWidth="1" min="16" max="16"/>
    <col width="12" customWidth="1" min="17" max="17"/>
    <col width="15" customWidth="1" min="18" max="18"/>
    <col width="15" customWidth="1" min="19" max="19"/>
    <col width="18" customWidth="1" min="20" max="20"/>
  </cols>
  <sheetData>
    <row r="1" ht="35" customHeight="1">
      <c r="A1" s="11" t="inlineStr">
        <is>
          <t>INDICATOR OF COMPROMISE (IOC) DEPLOYMENT TRACKING</t>
        </is>
      </c>
    </row>
    <row r="2">
      <c r="A2" s="12" t="inlineStr">
        <is>
          <t>Track IOC deployment lifecycle, detection effectiveness, and false positive management. Correlate IOCs to incidents and vulnerabilities.</t>
        </is>
      </c>
    </row>
    <row r="4">
      <c r="A4" s="13" t="inlineStr">
        <is>
          <t>IOC ID</t>
        </is>
      </c>
      <c r="B4" s="13" t="inlineStr">
        <is>
          <t>IOC Type</t>
        </is>
      </c>
      <c r="C4" s="13" t="inlineStr">
        <is>
          <t>IOC Value</t>
        </is>
      </c>
      <c r="D4" s="13" t="inlineStr">
        <is>
          <t>Intelligence Source</t>
        </is>
      </c>
      <c r="E4" s="13" t="inlineStr">
        <is>
          <t>Threat Actor</t>
        </is>
      </c>
      <c r="F4" s="13" t="inlineStr">
        <is>
          <t>Associated Malware</t>
        </is>
      </c>
      <c r="G4" s="13" t="inlineStr">
        <is>
          <t>Confidence Level</t>
        </is>
      </c>
      <c r="H4" s="13" t="inlineStr">
        <is>
          <t>Severity</t>
        </is>
      </c>
      <c r="I4" s="13" t="inlineStr">
        <is>
          <t>TLP Classification</t>
        </is>
      </c>
      <c r="J4" s="13" t="inlineStr">
        <is>
          <t>Deployment Date</t>
        </is>
      </c>
      <c r="K4" s="13" t="inlineStr">
        <is>
          <t>Deployed To Tools</t>
        </is>
      </c>
      <c r="L4" s="13" t="inlineStr">
        <is>
          <t>Deployment Method</t>
        </is>
      </c>
      <c r="M4" s="13" t="inlineStr">
        <is>
          <t>Expiration Date</t>
        </is>
      </c>
      <c r="N4" s="13" t="inlineStr">
        <is>
          <t>Status</t>
        </is>
      </c>
      <c r="O4" s="13" t="inlineStr">
        <is>
          <t>Hits Last 7 Days</t>
        </is>
      </c>
      <c r="P4" s="13" t="inlineStr">
        <is>
          <t>Hits Last 30 Days</t>
        </is>
      </c>
      <c r="Q4" s="13" t="inlineStr">
        <is>
          <t>Hits Total</t>
        </is>
      </c>
      <c r="R4" s="13" t="inlineStr">
        <is>
          <t>Last Hit Date</t>
        </is>
      </c>
      <c r="S4" s="13" t="inlineStr">
        <is>
          <t>False Positive</t>
        </is>
      </c>
      <c r="T4" s="13" t="inlineStr">
        <is>
          <t>Effectiveness Rating</t>
        </is>
      </c>
    </row>
    <row r="5">
      <c r="A5" s="14" t="inlineStr">
        <is>
          <t>IOC-2025-001</t>
        </is>
      </c>
      <c r="B5" s="15" t="n"/>
      <c r="C5" s="15" t="n"/>
      <c r="D5" s="15" t="n"/>
      <c r="E5" s="15" t="n"/>
      <c r="F5" s="15" t="n"/>
      <c r="G5" s="15" t="n"/>
      <c r="H5" s="15" t="n"/>
      <c r="I5" s="15" t="n"/>
      <c r="J5" s="23" t="n"/>
      <c r="K5" s="15" t="n"/>
      <c r="L5" s="15" t="n"/>
      <c r="M5" s="23" t="n"/>
      <c r="N5" s="15" t="n"/>
      <c r="O5" s="17" t="n"/>
      <c r="P5" s="17" t="n"/>
      <c r="Q5" s="17" t="n"/>
      <c r="R5" s="23" t="n"/>
      <c r="S5" s="15" t="n"/>
      <c r="T5" s="24">
        <f>IF(AND(Q5&gt;0,S5="No"),"Effective",IF(AND(Q5&gt;0,S5="Yes"),"Ineffective",IF(AND(Q5=0,J5&lt;TODAY()-30),"Ineffective","Monitoring")))</f>
        <v/>
      </c>
    </row>
    <row r="6">
      <c r="A6" s="14" t="n"/>
      <c r="B6" s="15" t="n"/>
      <c r="C6" s="15" t="n"/>
      <c r="D6" s="15" t="n"/>
      <c r="E6" s="15" t="n"/>
      <c r="F6" s="15" t="n"/>
      <c r="G6" s="15" t="n"/>
      <c r="H6" s="15" t="n"/>
      <c r="I6" s="15" t="n"/>
      <c r="J6" s="23" t="n"/>
      <c r="K6" s="15" t="n"/>
      <c r="L6" s="15" t="n"/>
      <c r="M6" s="23" t="n"/>
      <c r="N6" s="15" t="n"/>
      <c r="O6" s="17" t="n"/>
      <c r="P6" s="17" t="n"/>
      <c r="Q6" s="17" t="n"/>
      <c r="R6" s="23" t="n"/>
      <c r="S6" s="15" t="n"/>
      <c r="T6" s="24">
        <f>IF(AND(Q6&gt;0,S6="No"),"Effective",IF(AND(Q6&gt;0,S6="Yes"),"Ineffective",IF(AND(Q6=0,J6&lt;TODAY()-30),"Ineffective","Monitoring")))</f>
        <v/>
      </c>
    </row>
    <row r="7">
      <c r="A7" s="14" t="n"/>
      <c r="B7" s="15" t="n"/>
      <c r="C7" s="15" t="n"/>
      <c r="D7" s="15" t="n"/>
      <c r="E7" s="15" t="n"/>
      <c r="F7" s="15" t="n"/>
      <c r="G7" s="15" t="n"/>
      <c r="H7" s="15" t="n"/>
      <c r="I7" s="15" t="n"/>
      <c r="J7" s="23" t="n"/>
      <c r="K7" s="15" t="n"/>
      <c r="L7" s="15" t="n"/>
      <c r="M7" s="23" t="n"/>
      <c r="N7" s="15" t="n"/>
      <c r="O7" s="17" t="n"/>
      <c r="P7" s="17" t="n"/>
      <c r="Q7" s="17" t="n"/>
      <c r="R7" s="23" t="n"/>
      <c r="S7" s="15" t="n"/>
      <c r="T7" s="24">
        <f>IF(AND(Q7&gt;0,S7="No"),"Effective",IF(AND(Q7&gt;0,S7="Yes"),"Ineffective",IF(AND(Q7=0,J7&lt;TODAY()-30),"Ineffective","Monitoring")))</f>
        <v/>
      </c>
    </row>
    <row r="8">
      <c r="A8" s="14" t="n"/>
      <c r="B8" s="15" t="n"/>
      <c r="C8" s="15" t="n"/>
      <c r="D8" s="15" t="n"/>
      <c r="E8" s="15" t="n"/>
      <c r="F8" s="15" t="n"/>
      <c r="G8" s="15" t="n"/>
      <c r="H8" s="15" t="n"/>
      <c r="I8" s="15" t="n"/>
      <c r="J8" s="23" t="n"/>
      <c r="K8" s="15" t="n"/>
      <c r="L8" s="15" t="n"/>
      <c r="M8" s="23" t="n"/>
      <c r="N8" s="15" t="n"/>
      <c r="O8" s="17" t="n"/>
      <c r="P8" s="17" t="n"/>
      <c r="Q8" s="17" t="n"/>
      <c r="R8" s="23" t="n"/>
      <c r="S8" s="15" t="n"/>
      <c r="T8" s="24">
        <f>IF(AND(Q8&gt;0,S8="No"),"Effective",IF(AND(Q8&gt;0,S8="Yes"),"Ineffective",IF(AND(Q8=0,J8&lt;TODAY()-30),"Ineffective","Monitoring")))</f>
        <v/>
      </c>
    </row>
    <row r="9">
      <c r="A9" s="14" t="n"/>
      <c r="B9" s="15" t="n"/>
      <c r="C9" s="15" t="n"/>
      <c r="D9" s="15" t="n"/>
      <c r="E9" s="15" t="n"/>
      <c r="F9" s="15" t="n"/>
      <c r="G9" s="15" t="n"/>
      <c r="H9" s="15" t="n"/>
      <c r="I9" s="15" t="n"/>
      <c r="J9" s="23" t="n"/>
      <c r="K9" s="15" t="n"/>
      <c r="L9" s="15" t="n"/>
      <c r="M9" s="23" t="n"/>
      <c r="N9" s="15" t="n"/>
      <c r="O9" s="17" t="n"/>
      <c r="P9" s="17" t="n"/>
      <c r="Q9" s="17" t="n"/>
      <c r="R9" s="23" t="n"/>
      <c r="S9" s="15" t="n"/>
      <c r="T9" s="24">
        <f>IF(AND(Q9&gt;0,S9="No"),"Effective",IF(AND(Q9&gt;0,S9="Yes"),"Ineffective",IF(AND(Q9=0,J9&lt;TODAY()-30),"Ineffective","Monitoring")))</f>
        <v/>
      </c>
    </row>
    <row r="10">
      <c r="A10" s="14" t="n"/>
      <c r="B10" s="15" t="n"/>
      <c r="C10" s="15" t="n"/>
      <c r="D10" s="15" t="n"/>
      <c r="E10" s="15" t="n"/>
      <c r="F10" s="15" t="n"/>
      <c r="G10" s="15" t="n"/>
      <c r="H10" s="15" t="n"/>
      <c r="I10" s="15" t="n"/>
      <c r="J10" s="23" t="n"/>
      <c r="K10" s="15" t="n"/>
      <c r="L10" s="15" t="n"/>
      <c r="M10" s="23" t="n"/>
      <c r="N10" s="15" t="n"/>
      <c r="O10" s="17" t="n"/>
      <c r="P10" s="17" t="n"/>
      <c r="Q10" s="17" t="n"/>
      <c r="R10" s="23" t="n"/>
      <c r="S10" s="15" t="n"/>
      <c r="T10" s="24">
        <f>IF(AND(Q10&gt;0,S10="No"),"Effective",IF(AND(Q10&gt;0,S10="Yes"),"Ineffective",IF(AND(Q10=0,J10&lt;TODAY()-30),"Ineffective","Monitoring")))</f>
        <v/>
      </c>
    </row>
    <row r="11">
      <c r="A11" s="14" t="n"/>
      <c r="B11" s="15" t="n"/>
      <c r="C11" s="15" t="n"/>
      <c r="D11" s="15" t="n"/>
      <c r="E11" s="15" t="n"/>
      <c r="F11" s="15" t="n"/>
      <c r="G11" s="15" t="n"/>
      <c r="H11" s="15" t="n"/>
      <c r="I11" s="15" t="n"/>
      <c r="J11" s="23" t="n"/>
      <c r="K11" s="15" t="n"/>
      <c r="L11" s="15" t="n"/>
      <c r="M11" s="23" t="n"/>
      <c r="N11" s="15" t="n"/>
      <c r="O11" s="17" t="n"/>
      <c r="P11" s="17" t="n"/>
      <c r="Q11" s="17" t="n"/>
      <c r="R11" s="23" t="n"/>
      <c r="S11" s="15" t="n"/>
      <c r="T11" s="24">
        <f>IF(AND(Q11&gt;0,S11="No"),"Effective",IF(AND(Q11&gt;0,S11="Yes"),"Ineffective",IF(AND(Q11=0,J11&lt;TODAY()-30),"Ineffective","Monitoring")))</f>
        <v/>
      </c>
    </row>
    <row r="12">
      <c r="A12" s="14" t="n"/>
      <c r="B12" s="15" t="n"/>
      <c r="C12" s="15" t="n"/>
      <c r="D12" s="15" t="n"/>
      <c r="E12" s="15" t="n"/>
      <c r="F12" s="15" t="n"/>
      <c r="G12" s="15" t="n"/>
      <c r="H12" s="15" t="n"/>
      <c r="I12" s="15" t="n"/>
      <c r="J12" s="23" t="n"/>
      <c r="K12" s="15" t="n"/>
      <c r="L12" s="15" t="n"/>
      <c r="M12" s="23" t="n"/>
      <c r="N12" s="15" t="n"/>
      <c r="O12" s="17" t="n"/>
      <c r="P12" s="17" t="n"/>
      <c r="Q12" s="17" t="n"/>
      <c r="R12" s="23" t="n"/>
      <c r="S12" s="15" t="n"/>
      <c r="T12" s="24">
        <f>IF(AND(Q12&gt;0,S12="No"),"Effective",IF(AND(Q12&gt;0,S12="Yes"),"Ineffective",IF(AND(Q12=0,J12&lt;TODAY()-30),"Ineffective","Monitoring")))</f>
        <v/>
      </c>
    </row>
    <row r="13">
      <c r="A13" s="14" t="n"/>
      <c r="B13" s="15" t="n"/>
      <c r="C13" s="15" t="n"/>
      <c r="D13" s="15" t="n"/>
      <c r="E13" s="15" t="n"/>
      <c r="F13" s="15" t="n"/>
      <c r="G13" s="15" t="n"/>
      <c r="H13" s="15" t="n"/>
      <c r="I13" s="15" t="n"/>
      <c r="J13" s="23" t="n"/>
      <c r="K13" s="15" t="n"/>
      <c r="L13" s="15" t="n"/>
      <c r="M13" s="23" t="n"/>
      <c r="N13" s="15" t="n"/>
      <c r="O13" s="17" t="n"/>
      <c r="P13" s="17" t="n"/>
      <c r="Q13" s="17" t="n"/>
      <c r="R13" s="23" t="n"/>
      <c r="S13" s="15" t="n"/>
      <c r="T13" s="24">
        <f>IF(AND(Q13&gt;0,S13="No"),"Effective",IF(AND(Q13&gt;0,S13="Yes"),"Ineffective",IF(AND(Q13=0,J13&lt;TODAY()-30),"Ineffective","Monitoring")))</f>
        <v/>
      </c>
    </row>
    <row r="14">
      <c r="A14" s="14" t="n"/>
      <c r="B14" s="15" t="n"/>
      <c r="C14" s="15" t="n"/>
      <c r="D14" s="15" t="n"/>
      <c r="E14" s="15" t="n"/>
      <c r="F14" s="15" t="n"/>
      <c r="G14" s="15" t="n"/>
      <c r="H14" s="15" t="n"/>
      <c r="I14" s="15" t="n"/>
      <c r="J14" s="23" t="n"/>
      <c r="K14" s="15" t="n"/>
      <c r="L14" s="15" t="n"/>
      <c r="M14" s="23" t="n"/>
      <c r="N14" s="15" t="n"/>
      <c r="O14" s="17" t="n"/>
      <c r="P14" s="17" t="n"/>
      <c r="Q14" s="17" t="n"/>
      <c r="R14" s="23" t="n"/>
      <c r="S14" s="15" t="n"/>
      <c r="T14" s="24">
        <f>IF(AND(Q14&gt;0,S14="No"),"Effective",IF(AND(Q14&gt;0,S14="Yes"),"Ineffective",IF(AND(Q14=0,J14&lt;TODAY()-30),"Ineffective","Monitoring")))</f>
        <v/>
      </c>
    </row>
    <row r="15">
      <c r="A15" s="14" t="n"/>
      <c r="B15" s="15" t="n"/>
      <c r="C15" s="15" t="n"/>
      <c r="D15" s="15" t="n"/>
      <c r="E15" s="15" t="n"/>
      <c r="F15" s="15" t="n"/>
      <c r="G15" s="15" t="n"/>
      <c r="H15" s="15" t="n"/>
      <c r="I15" s="15" t="n"/>
      <c r="J15" s="23" t="n"/>
      <c r="K15" s="15" t="n"/>
      <c r="L15" s="15" t="n"/>
      <c r="M15" s="23" t="n"/>
      <c r="N15" s="15" t="n"/>
      <c r="O15" s="17" t="n"/>
      <c r="P15" s="17" t="n"/>
      <c r="Q15" s="17" t="n"/>
      <c r="R15" s="23" t="n"/>
      <c r="S15" s="15" t="n"/>
      <c r="T15" s="24">
        <f>IF(AND(Q15&gt;0,S15="No"),"Effective",IF(AND(Q15&gt;0,S15="Yes"),"Ineffective",IF(AND(Q15=0,J15&lt;TODAY()-30),"Ineffective","Monitoring")))</f>
        <v/>
      </c>
    </row>
    <row r="16">
      <c r="A16" s="14" t="n"/>
      <c r="B16" s="15" t="n"/>
      <c r="C16" s="15" t="n"/>
      <c r="D16" s="15" t="n"/>
      <c r="E16" s="15" t="n"/>
      <c r="F16" s="15" t="n"/>
      <c r="G16" s="15" t="n"/>
      <c r="H16" s="15" t="n"/>
      <c r="I16" s="15" t="n"/>
      <c r="J16" s="23" t="n"/>
      <c r="K16" s="15" t="n"/>
      <c r="L16" s="15" t="n"/>
      <c r="M16" s="23" t="n"/>
      <c r="N16" s="15" t="n"/>
      <c r="O16" s="17" t="n"/>
      <c r="P16" s="17" t="n"/>
      <c r="Q16" s="17" t="n"/>
      <c r="R16" s="23" t="n"/>
      <c r="S16" s="15" t="n"/>
      <c r="T16" s="24">
        <f>IF(AND(Q16&gt;0,S16="No"),"Effective",IF(AND(Q16&gt;0,S16="Yes"),"Ineffective",IF(AND(Q16=0,J16&lt;TODAY()-30),"Ineffective","Monitoring")))</f>
        <v/>
      </c>
    </row>
    <row r="17">
      <c r="A17" s="14" t="n"/>
      <c r="B17" s="15" t="n"/>
      <c r="C17" s="15" t="n"/>
      <c r="D17" s="15" t="n"/>
      <c r="E17" s="15" t="n"/>
      <c r="F17" s="15" t="n"/>
      <c r="G17" s="15" t="n"/>
      <c r="H17" s="15" t="n"/>
      <c r="I17" s="15" t="n"/>
      <c r="J17" s="23" t="n"/>
      <c r="K17" s="15" t="n"/>
      <c r="L17" s="15" t="n"/>
      <c r="M17" s="23" t="n"/>
      <c r="N17" s="15" t="n"/>
      <c r="O17" s="17" t="n"/>
      <c r="P17" s="17" t="n"/>
      <c r="Q17" s="17" t="n"/>
      <c r="R17" s="23" t="n"/>
      <c r="S17" s="15" t="n"/>
      <c r="T17" s="24">
        <f>IF(AND(Q17&gt;0,S17="No"),"Effective",IF(AND(Q17&gt;0,S17="Yes"),"Ineffective",IF(AND(Q17=0,J17&lt;TODAY()-30),"Ineffective","Monitoring")))</f>
        <v/>
      </c>
    </row>
    <row r="18">
      <c r="A18" s="14" t="n"/>
      <c r="B18" s="15" t="n"/>
      <c r="C18" s="15" t="n"/>
      <c r="D18" s="15" t="n"/>
      <c r="E18" s="15" t="n"/>
      <c r="F18" s="15" t="n"/>
      <c r="G18" s="15" t="n"/>
      <c r="H18" s="15" t="n"/>
      <c r="I18" s="15" t="n"/>
      <c r="J18" s="23" t="n"/>
      <c r="K18" s="15" t="n"/>
      <c r="L18" s="15" t="n"/>
      <c r="M18" s="23" t="n"/>
      <c r="N18" s="15" t="n"/>
      <c r="O18" s="17" t="n"/>
      <c r="P18" s="17" t="n"/>
      <c r="Q18" s="17" t="n"/>
      <c r="R18" s="23" t="n"/>
      <c r="S18" s="15" t="n"/>
      <c r="T18" s="24">
        <f>IF(AND(Q18&gt;0,S18="No"),"Effective",IF(AND(Q18&gt;0,S18="Yes"),"Ineffective",IF(AND(Q18=0,J18&lt;TODAY()-30),"Ineffective","Monitoring")))</f>
        <v/>
      </c>
    </row>
    <row r="19">
      <c r="A19" s="14" t="n"/>
      <c r="B19" s="15" t="n"/>
      <c r="C19" s="15" t="n"/>
      <c r="D19" s="15" t="n"/>
      <c r="E19" s="15" t="n"/>
      <c r="F19" s="15" t="n"/>
      <c r="G19" s="15" t="n"/>
      <c r="H19" s="15" t="n"/>
      <c r="I19" s="15" t="n"/>
      <c r="J19" s="23" t="n"/>
      <c r="K19" s="15" t="n"/>
      <c r="L19" s="15" t="n"/>
      <c r="M19" s="23" t="n"/>
      <c r="N19" s="15" t="n"/>
      <c r="O19" s="17" t="n"/>
      <c r="P19" s="17" t="n"/>
      <c r="Q19" s="17" t="n"/>
      <c r="R19" s="23" t="n"/>
      <c r="S19" s="15" t="n"/>
      <c r="T19" s="24">
        <f>IF(AND(Q19&gt;0,S19="No"),"Effective",IF(AND(Q19&gt;0,S19="Yes"),"Ineffective",IF(AND(Q19=0,J19&lt;TODAY()-30),"Ineffective","Monitoring")))</f>
        <v/>
      </c>
    </row>
    <row r="20">
      <c r="A20" s="14" t="n"/>
      <c r="B20" s="15" t="n"/>
      <c r="C20" s="15" t="n"/>
      <c r="D20" s="15" t="n"/>
      <c r="E20" s="15" t="n"/>
      <c r="F20" s="15" t="n"/>
      <c r="G20" s="15" t="n"/>
      <c r="H20" s="15" t="n"/>
      <c r="I20" s="15" t="n"/>
      <c r="J20" s="23" t="n"/>
      <c r="K20" s="15" t="n"/>
      <c r="L20" s="15" t="n"/>
      <c r="M20" s="23" t="n"/>
      <c r="N20" s="15" t="n"/>
      <c r="O20" s="17" t="n"/>
      <c r="P20" s="17" t="n"/>
      <c r="Q20" s="17" t="n"/>
      <c r="R20" s="23" t="n"/>
      <c r="S20" s="15" t="n"/>
      <c r="T20" s="24">
        <f>IF(AND(Q20&gt;0,S20="No"),"Effective",IF(AND(Q20&gt;0,S20="Yes"),"Ineffective",IF(AND(Q20=0,J20&lt;TODAY()-30),"Ineffective","Monitoring")))</f>
        <v/>
      </c>
    </row>
    <row r="21">
      <c r="A21" s="14" t="n"/>
      <c r="B21" s="15" t="n"/>
      <c r="C21" s="15" t="n"/>
      <c r="D21" s="15" t="n"/>
      <c r="E21" s="15" t="n"/>
      <c r="F21" s="15" t="n"/>
      <c r="G21" s="15" t="n"/>
      <c r="H21" s="15" t="n"/>
      <c r="I21" s="15" t="n"/>
      <c r="J21" s="23" t="n"/>
      <c r="K21" s="15" t="n"/>
      <c r="L21" s="15" t="n"/>
      <c r="M21" s="23" t="n"/>
      <c r="N21" s="15" t="n"/>
      <c r="O21" s="17" t="n"/>
      <c r="P21" s="17" t="n"/>
      <c r="Q21" s="17" t="n"/>
      <c r="R21" s="23" t="n"/>
      <c r="S21" s="15" t="n"/>
      <c r="T21" s="24">
        <f>IF(AND(Q21&gt;0,S21="No"),"Effective",IF(AND(Q21&gt;0,S21="Yes"),"Ineffective",IF(AND(Q21=0,J21&lt;TODAY()-30),"Ineffective","Monitoring")))</f>
        <v/>
      </c>
    </row>
    <row r="22">
      <c r="A22" s="14" t="n"/>
      <c r="B22" s="15" t="n"/>
      <c r="C22" s="15" t="n"/>
      <c r="D22" s="15" t="n"/>
      <c r="E22" s="15" t="n"/>
      <c r="F22" s="15" t="n"/>
      <c r="G22" s="15" t="n"/>
      <c r="H22" s="15" t="n"/>
      <c r="I22" s="15" t="n"/>
      <c r="J22" s="23" t="n"/>
      <c r="K22" s="15" t="n"/>
      <c r="L22" s="15" t="n"/>
      <c r="M22" s="23" t="n"/>
      <c r="N22" s="15" t="n"/>
      <c r="O22" s="17" t="n"/>
      <c r="P22" s="17" t="n"/>
      <c r="Q22" s="17" t="n"/>
      <c r="R22" s="23" t="n"/>
      <c r="S22" s="15" t="n"/>
      <c r="T22" s="24">
        <f>IF(AND(Q22&gt;0,S22="No"),"Effective",IF(AND(Q22&gt;0,S22="Yes"),"Ineffective",IF(AND(Q22=0,J22&lt;TODAY()-30),"Ineffective","Monitoring")))</f>
        <v/>
      </c>
    </row>
    <row r="23">
      <c r="A23" s="14" t="n"/>
      <c r="B23" s="15" t="n"/>
      <c r="C23" s="15" t="n"/>
      <c r="D23" s="15" t="n"/>
      <c r="E23" s="15" t="n"/>
      <c r="F23" s="15" t="n"/>
      <c r="G23" s="15" t="n"/>
      <c r="H23" s="15" t="n"/>
      <c r="I23" s="15" t="n"/>
      <c r="J23" s="23" t="n"/>
      <c r="K23" s="15" t="n"/>
      <c r="L23" s="15" t="n"/>
      <c r="M23" s="23" t="n"/>
      <c r="N23" s="15" t="n"/>
      <c r="O23" s="17" t="n"/>
      <c r="P23" s="17" t="n"/>
      <c r="Q23" s="17" t="n"/>
      <c r="R23" s="23" t="n"/>
      <c r="S23" s="15" t="n"/>
      <c r="T23" s="24">
        <f>IF(AND(Q23&gt;0,S23="No"),"Effective",IF(AND(Q23&gt;0,S23="Yes"),"Ineffective",IF(AND(Q23=0,J23&lt;TODAY()-30),"Ineffective","Monitoring")))</f>
        <v/>
      </c>
    </row>
    <row r="24">
      <c r="A24" s="14" t="n"/>
      <c r="B24" s="15" t="n"/>
      <c r="C24" s="15" t="n"/>
      <c r="D24" s="15" t="n"/>
      <c r="E24" s="15" t="n"/>
      <c r="F24" s="15" t="n"/>
      <c r="G24" s="15" t="n"/>
      <c r="H24" s="15" t="n"/>
      <c r="I24" s="15" t="n"/>
      <c r="J24" s="23" t="n"/>
      <c r="K24" s="15" t="n"/>
      <c r="L24" s="15" t="n"/>
      <c r="M24" s="23" t="n"/>
      <c r="N24" s="15" t="n"/>
      <c r="O24" s="17" t="n"/>
      <c r="P24" s="17" t="n"/>
      <c r="Q24" s="17" t="n"/>
      <c r="R24" s="23" t="n"/>
      <c r="S24" s="15" t="n"/>
      <c r="T24" s="24">
        <f>IF(AND(Q24&gt;0,S24="No"),"Effective",IF(AND(Q24&gt;0,S24="Yes"),"Ineffective",IF(AND(Q24=0,J24&lt;TODAY()-30),"Ineffective","Monitoring")))</f>
        <v/>
      </c>
    </row>
    <row r="25">
      <c r="A25" s="14" t="n"/>
      <c r="B25" s="15" t="n"/>
      <c r="C25" s="15" t="n"/>
      <c r="D25" s="15" t="n"/>
      <c r="E25" s="15" t="n"/>
      <c r="F25" s="15" t="n"/>
      <c r="G25" s="15" t="n"/>
      <c r="H25" s="15" t="n"/>
      <c r="I25" s="15" t="n"/>
      <c r="J25" s="23" t="n"/>
      <c r="K25" s="15" t="n"/>
      <c r="L25" s="15" t="n"/>
      <c r="M25" s="23" t="n"/>
      <c r="N25" s="15" t="n"/>
      <c r="O25" s="17" t="n"/>
      <c r="P25" s="17" t="n"/>
      <c r="Q25" s="17" t="n"/>
      <c r="R25" s="23" t="n"/>
      <c r="S25" s="15" t="n"/>
      <c r="T25" s="24">
        <f>IF(AND(Q25&gt;0,S25="No"),"Effective",IF(AND(Q25&gt;0,S25="Yes"),"Ineffective",IF(AND(Q25=0,J25&lt;TODAY()-30),"Ineffective","Monitoring")))</f>
        <v/>
      </c>
    </row>
    <row r="26">
      <c r="A26" s="14" t="n"/>
      <c r="B26" s="15" t="n"/>
      <c r="C26" s="15" t="n"/>
      <c r="D26" s="15" t="n"/>
      <c r="E26" s="15" t="n"/>
      <c r="F26" s="15" t="n"/>
      <c r="G26" s="15" t="n"/>
      <c r="H26" s="15" t="n"/>
      <c r="I26" s="15" t="n"/>
      <c r="J26" s="23" t="n"/>
      <c r="K26" s="15" t="n"/>
      <c r="L26" s="15" t="n"/>
      <c r="M26" s="23" t="n"/>
      <c r="N26" s="15" t="n"/>
      <c r="O26" s="17" t="n"/>
      <c r="P26" s="17" t="n"/>
      <c r="Q26" s="17" t="n"/>
      <c r="R26" s="23" t="n"/>
      <c r="S26" s="15" t="n"/>
      <c r="T26" s="24">
        <f>IF(AND(Q26&gt;0,S26="No"),"Effective",IF(AND(Q26&gt;0,S26="Yes"),"Ineffective",IF(AND(Q26=0,J26&lt;TODAY()-30),"Ineffective","Monitoring")))</f>
        <v/>
      </c>
    </row>
    <row r="27">
      <c r="A27" s="14" t="n"/>
      <c r="B27" s="15" t="n"/>
      <c r="C27" s="15" t="n"/>
      <c r="D27" s="15" t="n"/>
      <c r="E27" s="15" t="n"/>
      <c r="F27" s="15" t="n"/>
      <c r="G27" s="15" t="n"/>
      <c r="H27" s="15" t="n"/>
      <c r="I27" s="15" t="n"/>
      <c r="J27" s="23" t="n"/>
      <c r="K27" s="15" t="n"/>
      <c r="L27" s="15" t="n"/>
      <c r="M27" s="23" t="n"/>
      <c r="N27" s="15" t="n"/>
      <c r="O27" s="17" t="n"/>
      <c r="P27" s="17" t="n"/>
      <c r="Q27" s="17" t="n"/>
      <c r="R27" s="23" t="n"/>
      <c r="S27" s="15" t="n"/>
      <c r="T27" s="24">
        <f>IF(AND(Q27&gt;0,S27="No"),"Effective",IF(AND(Q27&gt;0,S27="Yes"),"Ineffective",IF(AND(Q27=0,J27&lt;TODAY()-30),"Ineffective","Monitoring")))</f>
        <v/>
      </c>
    </row>
    <row r="28">
      <c r="A28" s="14" t="n"/>
      <c r="B28" s="15" t="n"/>
      <c r="C28" s="15" t="n"/>
      <c r="D28" s="15" t="n"/>
      <c r="E28" s="15" t="n"/>
      <c r="F28" s="15" t="n"/>
      <c r="G28" s="15" t="n"/>
      <c r="H28" s="15" t="n"/>
      <c r="I28" s="15" t="n"/>
      <c r="J28" s="23" t="n"/>
      <c r="K28" s="15" t="n"/>
      <c r="L28" s="15" t="n"/>
      <c r="M28" s="23" t="n"/>
      <c r="N28" s="15" t="n"/>
      <c r="O28" s="17" t="n"/>
      <c r="P28" s="17" t="n"/>
      <c r="Q28" s="17" t="n"/>
      <c r="R28" s="23" t="n"/>
      <c r="S28" s="15" t="n"/>
      <c r="T28" s="24">
        <f>IF(AND(Q28&gt;0,S28="No"),"Effective",IF(AND(Q28&gt;0,S28="Yes"),"Ineffective",IF(AND(Q28=0,J28&lt;TODAY()-30),"Ineffective","Monitoring")))</f>
        <v/>
      </c>
    </row>
    <row r="29">
      <c r="A29" s="14" t="n"/>
      <c r="B29" s="15" t="n"/>
      <c r="C29" s="15" t="n"/>
      <c r="D29" s="15" t="n"/>
      <c r="E29" s="15" t="n"/>
      <c r="F29" s="15" t="n"/>
      <c r="G29" s="15" t="n"/>
      <c r="H29" s="15" t="n"/>
      <c r="I29" s="15" t="n"/>
      <c r="J29" s="23" t="n"/>
      <c r="K29" s="15" t="n"/>
      <c r="L29" s="15" t="n"/>
      <c r="M29" s="23" t="n"/>
      <c r="N29" s="15" t="n"/>
      <c r="O29" s="17" t="n"/>
      <c r="P29" s="17" t="n"/>
      <c r="Q29" s="17" t="n"/>
      <c r="R29" s="23" t="n"/>
      <c r="S29" s="15" t="n"/>
      <c r="T29" s="24">
        <f>IF(AND(Q29&gt;0,S29="No"),"Effective",IF(AND(Q29&gt;0,S29="Yes"),"Ineffective",IF(AND(Q29=0,J29&lt;TODAY()-30),"Ineffective","Monitoring")))</f>
        <v/>
      </c>
    </row>
    <row r="30">
      <c r="A30" s="14" t="n"/>
      <c r="B30" s="15" t="n"/>
      <c r="C30" s="15" t="n"/>
      <c r="D30" s="15" t="n"/>
      <c r="E30" s="15" t="n"/>
      <c r="F30" s="15" t="n"/>
      <c r="G30" s="15" t="n"/>
      <c r="H30" s="15" t="n"/>
      <c r="I30" s="15" t="n"/>
      <c r="J30" s="23" t="n"/>
      <c r="K30" s="15" t="n"/>
      <c r="L30" s="15" t="n"/>
      <c r="M30" s="23" t="n"/>
      <c r="N30" s="15" t="n"/>
      <c r="O30" s="17" t="n"/>
      <c r="P30" s="17" t="n"/>
      <c r="Q30" s="17" t="n"/>
      <c r="R30" s="23" t="n"/>
      <c r="S30" s="15" t="n"/>
      <c r="T30" s="24">
        <f>IF(AND(Q30&gt;0,S30="No"),"Effective",IF(AND(Q30&gt;0,S30="Yes"),"Ineffective",IF(AND(Q30=0,J30&lt;TODAY()-30),"Ineffective","Monitoring")))</f>
        <v/>
      </c>
    </row>
    <row r="31">
      <c r="A31" s="14" t="n"/>
      <c r="B31" s="15" t="n"/>
      <c r="C31" s="15" t="n"/>
      <c r="D31" s="15" t="n"/>
      <c r="E31" s="15" t="n"/>
      <c r="F31" s="15" t="n"/>
      <c r="G31" s="15" t="n"/>
      <c r="H31" s="15" t="n"/>
      <c r="I31" s="15" t="n"/>
      <c r="J31" s="23" t="n"/>
      <c r="K31" s="15" t="n"/>
      <c r="L31" s="15" t="n"/>
      <c r="M31" s="23" t="n"/>
      <c r="N31" s="15" t="n"/>
      <c r="O31" s="17" t="n"/>
      <c r="P31" s="17" t="n"/>
      <c r="Q31" s="17" t="n"/>
      <c r="R31" s="23" t="n"/>
      <c r="S31" s="15" t="n"/>
      <c r="T31" s="24">
        <f>IF(AND(Q31&gt;0,S31="No"),"Effective",IF(AND(Q31&gt;0,S31="Yes"),"Ineffective",IF(AND(Q31=0,J31&lt;TODAY()-30),"Ineffective","Monitoring")))</f>
        <v/>
      </c>
    </row>
    <row r="32">
      <c r="A32" s="14" t="n"/>
      <c r="B32" s="15" t="n"/>
      <c r="C32" s="15" t="n"/>
      <c r="D32" s="15" t="n"/>
      <c r="E32" s="15" t="n"/>
      <c r="F32" s="15" t="n"/>
      <c r="G32" s="15" t="n"/>
      <c r="H32" s="15" t="n"/>
      <c r="I32" s="15" t="n"/>
      <c r="J32" s="23" t="n"/>
      <c r="K32" s="15" t="n"/>
      <c r="L32" s="15" t="n"/>
      <c r="M32" s="23" t="n"/>
      <c r="N32" s="15" t="n"/>
      <c r="O32" s="17" t="n"/>
      <c r="P32" s="17" t="n"/>
      <c r="Q32" s="17" t="n"/>
      <c r="R32" s="23" t="n"/>
      <c r="S32" s="15" t="n"/>
      <c r="T32" s="24">
        <f>IF(AND(Q32&gt;0,S32="No"),"Effective",IF(AND(Q32&gt;0,S32="Yes"),"Ineffective",IF(AND(Q32=0,J32&lt;TODAY()-30),"Ineffective","Monitoring")))</f>
        <v/>
      </c>
    </row>
    <row r="33">
      <c r="A33" s="14" t="n"/>
      <c r="B33" s="15" t="n"/>
      <c r="C33" s="15" t="n"/>
      <c r="D33" s="15" t="n"/>
      <c r="E33" s="15" t="n"/>
      <c r="F33" s="15" t="n"/>
      <c r="G33" s="15" t="n"/>
      <c r="H33" s="15" t="n"/>
      <c r="I33" s="15" t="n"/>
      <c r="J33" s="23" t="n"/>
      <c r="K33" s="15" t="n"/>
      <c r="L33" s="15" t="n"/>
      <c r="M33" s="23" t="n"/>
      <c r="N33" s="15" t="n"/>
      <c r="O33" s="17" t="n"/>
      <c r="P33" s="17" t="n"/>
      <c r="Q33" s="17" t="n"/>
      <c r="R33" s="23" t="n"/>
      <c r="S33" s="15" t="n"/>
      <c r="T33" s="24">
        <f>IF(AND(Q33&gt;0,S33="No"),"Effective",IF(AND(Q33&gt;0,S33="Yes"),"Ineffective",IF(AND(Q33=0,J33&lt;TODAY()-30),"Ineffective","Monitoring")))</f>
        <v/>
      </c>
    </row>
    <row r="34">
      <c r="A34" s="14" t="n"/>
      <c r="B34" s="15" t="n"/>
      <c r="C34" s="15" t="n"/>
      <c r="D34" s="15" t="n"/>
      <c r="E34" s="15" t="n"/>
      <c r="F34" s="15" t="n"/>
      <c r="G34" s="15" t="n"/>
      <c r="H34" s="15" t="n"/>
      <c r="I34" s="15" t="n"/>
      <c r="J34" s="23" t="n"/>
      <c r="K34" s="15" t="n"/>
      <c r="L34" s="15" t="n"/>
      <c r="M34" s="23" t="n"/>
      <c r="N34" s="15" t="n"/>
      <c r="O34" s="17" t="n"/>
      <c r="P34" s="17" t="n"/>
      <c r="Q34" s="17" t="n"/>
      <c r="R34" s="23" t="n"/>
      <c r="S34" s="15" t="n"/>
      <c r="T34" s="24">
        <f>IF(AND(Q34&gt;0,S34="No"),"Effective",IF(AND(Q34&gt;0,S34="Yes"),"Ineffective",IF(AND(Q34=0,J34&lt;TODAY()-30),"Ineffective","Monitoring")))</f>
        <v/>
      </c>
    </row>
    <row r="35">
      <c r="A35" s="14" t="n"/>
      <c r="B35" s="15" t="n"/>
      <c r="C35" s="15" t="n"/>
      <c r="D35" s="15" t="n"/>
      <c r="E35" s="15" t="n"/>
      <c r="F35" s="15" t="n"/>
      <c r="G35" s="15" t="n"/>
      <c r="H35" s="15" t="n"/>
      <c r="I35" s="15" t="n"/>
      <c r="J35" s="23" t="n"/>
      <c r="K35" s="15" t="n"/>
      <c r="L35" s="15" t="n"/>
      <c r="M35" s="23" t="n"/>
      <c r="N35" s="15" t="n"/>
      <c r="O35" s="17" t="n"/>
      <c r="P35" s="17" t="n"/>
      <c r="Q35" s="17" t="n"/>
      <c r="R35" s="23" t="n"/>
      <c r="S35" s="15" t="n"/>
      <c r="T35" s="24">
        <f>IF(AND(Q35&gt;0,S35="No"),"Effective",IF(AND(Q35&gt;0,S35="Yes"),"Ineffective",IF(AND(Q35=0,J35&lt;TODAY()-30),"Ineffective","Monitoring")))</f>
        <v/>
      </c>
    </row>
    <row r="36">
      <c r="A36" s="14" t="n"/>
      <c r="B36" s="15" t="n"/>
      <c r="C36" s="15" t="n"/>
      <c r="D36" s="15" t="n"/>
      <c r="E36" s="15" t="n"/>
      <c r="F36" s="15" t="n"/>
      <c r="G36" s="15" t="n"/>
      <c r="H36" s="15" t="n"/>
      <c r="I36" s="15" t="n"/>
      <c r="J36" s="23" t="n"/>
      <c r="K36" s="15" t="n"/>
      <c r="L36" s="15" t="n"/>
      <c r="M36" s="23" t="n"/>
      <c r="N36" s="15" t="n"/>
      <c r="O36" s="17" t="n"/>
      <c r="P36" s="17" t="n"/>
      <c r="Q36" s="17" t="n"/>
      <c r="R36" s="23" t="n"/>
      <c r="S36" s="15" t="n"/>
      <c r="T36" s="24">
        <f>IF(AND(Q36&gt;0,S36="No"),"Effective",IF(AND(Q36&gt;0,S36="Yes"),"Ineffective",IF(AND(Q36=0,J36&lt;TODAY()-30),"Ineffective","Monitoring")))</f>
        <v/>
      </c>
    </row>
    <row r="37">
      <c r="A37" s="14" t="n"/>
      <c r="B37" s="15" t="n"/>
      <c r="C37" s="15" t="n"/>
      <c r="D37" s="15" t="n"/>
      <c r="E37" s="15" t="n"/>
      <c r="F37" s="15" t="n"/>
      <c r="G37" s="15" t="n"/>
      <c r="H37" s="15" t="n"/>
      <c r="I37" s="15" t="n"/>
      <c r="J37" s="23" t="n"/>
      <c r="K37" s="15" t="n"/>
      <c r="L37" s="15" t="n"/>
      <c r="M37" s="23" t="n"/>
      <c r="N37" s="15" t="n"/>
      <c r="O37" s="17" t="n"/>
      <c r="P37" s="17" t="n"/>
      <c r="Q37" s="17" t="n"/>
      <c r="R37" s="23" t="n"/>
      <c r="S37" s="15" t="n"/>
      <c r="T37" s="24">
        <f>IF(AND(Q37&gt;0,S37="No"),"Effective",IF(AND(Q37&gt;0,S37="Yes"),"Ineffective",IF(AND(Q37=0,J37&lt;TODAY()-30),"Ineffective","Monitoring")))</f>
        <v/>
      </c>
    </row>
    <row r="38">
      <c r="A38" s="14" t="n"/>
      <c r="B38" s="15" t="n"/>
      <c r="C38" s="15" t="n"/>
      <c r="D38" s="15" t="n"/>
      <c r="E38" s="15" t="n"/>
      <c r="F38" s="15" t="n"/>
      <c r="G38" s="15" t="n"/>
      <c r="H38" s="15" t="n"/>
      <c r="I38" s="15" t="n"/>
      <c r="J38" s="23" t="n"/>
      <c r="K38" s="15" t="n"/>
      <c r="L38" s="15" t="n"/>
      <c r="M38" s="23" t="n"/>
      <c r="N38" s="15" t="n"/>
      <c r="O38" s="17" t="n"/>
      <c r="P38" s="17" t="n"/>
      <c r="Q38" s="17" t="n"/>
      <c r="R38" s="23" t="n"/>
      <c r="S38" s="15" t="n"/>
      <c r="T38" s="24">
        <f>IF(AND(Q38&gt;0,S38="No"),"Effective",IF(AND(Q38&gt;0,S38="Yes"),"Ineffective",IF(AND(Q38=0,J38&lt;TODAY()-30),"Ineffective","Monitoring")))</f>
        <v/>
      </c>
    </row>
    <row r="39">
      <c r="A39" s="14" t="n"/>
      <c r="B39" s="15" t="n"/>
      <c r="C39" s="15" t="n"/>
      <c r="D39" s="15" t="n"/>
      <c r="E39" s="15" t="n"/>
      <c r="F39" s="15" t="n"/>
      <c r="G39" s="15" t="n"/>
      <c r="H39" s="15" t="n"/>
      <c r="I39" s="15" t="n"/>
      <c r="J39" s="23" t="n"/>
      <c r="K39" s="15" t="n"/>
      <c r="L39" s="15" t="n"/>
      <c r="M39" s="23" t="n"/>
      <c r="N39" s="15" t="n"/>
      <c r="O39" s="17" t="n"/>
      <c r="P39" s="17" t="n"/>
      <c r="Q39" s="17" t="n"/>
      <c r="R39" s="23" t="n"/>
      <c r="S39" s="15" t="n"/>
      <c r="T39" s="24">
        <f>IF(AND(Q39&gt;0,S39="No"),"Effective",IF(AND(Q39&gt;0,S39="Yes"),"Ineffective",IF(AND(Q39=0,J39&lt;TODAY()-30),"Ineffective","Monitoring")))</f>
        <v/>
      </c>
    </row>
    <row r="40">
      <c r="A40" s="14" t="n"/>
      <c r="B40" s="15" t="n"/>
      <c r="C40" s="15" t="n"/>
      <c r="D40" s="15" t="n"/>
      <c r="E40" s="15" t="n"/>
      <c r="F40" s="15" t="n"/>
      <c r="G40" s="15" t="n"/>
      <c r="H40" s="15" t="n"/>
      <c r="I40" s="15" t="n"/>
      <c r="J40" s="23" t="n"/>
      <c r="K40" s="15" t="n"/>
      <c r="L40" s="15" t="n"/>
      <c r="M40" s="23" t="n"/>
      <c r="N40" s="15" t="n"/>
      <c r="O40" s="17" t="n"/>
      <c r="P40" s="17" t="n"/>
      <c r="Q40" s="17" t="n"/>
      <c r="R40" s="23" t="n"/>
      <c r="S40" s="15" t="n"/>
      <c r="T40" s="24">
        <f>IF(AND(Q40&gt;0,S40="No"),"Effective",IF(AND(Q40&gt;0,S40="Yes"),"Ineffective",IF(AND(Q40=0,J40&lt;TODAY()-30),"Ineffective","Monitoring")))</f>
        <v/>
      </c>
    </row>
    <row r="41">
      <c r="A41" s="14" t="n"/>
      <c r="B41" s="15" t="n"/>
      <c r="C41" s="15" t="n"/>
      <c r="D41" s="15" t="n"/>
      <c r="E41" s="15" t="n"/>
      <c r="F41" s="15" t="n"/>
      <c r="G41" s="15" t="n"/>
      <c r="H41" s="15" t="n"/>
      <c r="I41" s="15" t="n"/>
      <c r="J41" s="23" t="n"/>
      <c r="K41" s="15" t="n"/>
      <c r="L41" s="15" t="n"/>
      <c r="M41" s="23" t="n"/>
      <c r="N41" s="15" t="n"/>
      <c r="O41" s="17" t="n"/>
      <c r="P41" s="17" t="n"/>
      <c r="Q41" s="17" t="n"/>
      <c r="R41" s="23" t="n"/>
      <c r="S41" s="15" t="n"/>
      <c r="T41" s="24">
        <f>IF(AND(Q41&gt;0,S41="No"),"Effective",IF(AND(Q41&gt;0,S41="Yes"),"Ineffective",IF(AND(Q41=0,J41&lt;TODAY()-30),"Ineffective","Monitoring")))</f>
        <v/>
      </c>
    </row>
    <row r="42">
      <c r="A42" s="14" t="n"/>
      <c r="B42" s="15" t="n"/>
      <c r="C42" s="15" t="n"/>
      <c r="D42" s="15" t="n"/>
      <c r="E42" s="15" t="n"/>
      <c r="F42" s="15" t="n"/>
      <c r="G42" s="15" t="n"/>
      <c r="H42" s="15" t="n"/>
      <c r="I42" s="15" t="n"/>
      <c r="J42" s="23" t="n"/>
      <c r="K42" s="15" t="n"/>
      <c r="L42" s="15" t="n"/>
      <c r="M42" s="23" t="n"/>
      <c r="N42" s="15" t="n"/>
      <c r="O42" s="17" t="n"/>
      <c r="P42" s="17" t="n"/>
      <c r="Q42" s="17" t="n"/>
      <c r="R42" s="23" t="n"/>
      <c r="S42" s="15" t="n"/>
      <c r="T42" s="24">
        <f>IF(AND(Q42&gt;0,S42="No"),"Effective",IF(AND(Q42&gt;0,S42="Yes"),"Ineffective",IF(AND(Q42=0,J42&lt;TODAY()-30),"Ineffective","Monitoring")))</f>
        <v/>
      </c>
    </row>
    <row r="43">
      <c r="A43" s="14" t="n"/>
      <c r="B43" s="15" t="n"/>
      <c r="C43" s="15" t="n"/>
      <c r="D43" s="15" t="n"/>
      <c r="E43" s="15" t="n"/>
      <c r="F43" s="15" t="n"/>
      <c r="G43" s="15" t="n"/>
      <c r="H43" s="15" t="n"/>
      <c r="I43" s="15" t="n"/>
      <c r="J43" s="23" t="n"/>
      <c r="K43" s="15" t="n"/>
      <c r="L43" s="15" t="n"/>
      <c r="M43" s="23" t="n"/>
      <c r="N43" s="15" t="n"/>
      <c r="O43" s="17" t="n"/>
      <c r="P43" s="17" t="n"/>
      <c r="Q43" s="17" t="n"/>
      <c r="R43" s="23" t="n"/>
      <c r="S43" s="15" t="n"/>
      <c r="T43" s="24">
        <f>IF(AND(Q43&gt;0,S43="No"),"Effective",IF(AND(Q43&gt;0,S43="Yes"),"Ineffective",IF(AND(Q43=0,J43&lt;TODAY()-30),"Ineffective","Monitoring")))</f>
        <v/>
      </c>
    </row>
    <row r="44">
      <c r="A44" s="14" t="n"/>
      <c r="B44" s="15" t="n"/>
      <c r="C44" s="15" t="n"/>
      <c r="D44" s="15" t="n"/>
      <c r="E44" s="15" t="n"/>
      <c r="F44" s="15" t="n"/>
      <c r="G44" s="15" t="n"/>
      <c r="H44" s="15" t="n"/>
      <c r="I44" s="15" t="n"/>
      <c r="J44" s="23" t="n"/>
      <c r="K44" s="15" t="n"/>
      <c r="L44" s="15" t="n"/>
      <c r="M44" s="23" t="n"/>
      <c r="N44" s="15" t="n"/>
      <c r="O44" s="17" t="n"/>
      <c r="P44" s="17" t="n"/>
      <c r="Q44" s="17" t="n"/>
      <c r="R44" s="23" t="n"/>
      <c r="S44" s="15" t="n"/>
      <c r="T44" s="24">
        <f>IF(AND(Q44&gt;0,S44="No"),"Effective",IF(AND(Q44&gt;0,S44="Yes"),"Ineffective",IF(AND(Q44=0,J44&lt;TODAY()-30),"Ineffective","Monitoring")))</f>
        <v/>
      </c>
    </row>
    <row r="45">
      <c r="A45" s="14" t="n"/>
      <c r="B45" s="15" t="n"/>
      <c r="C45" s="15" t="n"/>
      <c r="D45" s="15" t="n"/>
      <c r="E45" s="15" t="n"/>
      <c r="F45" s="15" t="n"/>
      <c r="G45" s="15" t="n"/>
      <c r="H45" s="15" t="n"/>
      <c r="I45" s="15" t="n"/>
      <c r="J45" s="23" t="n"/>
      <c r="K45" s="15" t="n"/>
      <c r="L45" s="15" t="n"/>
      <c r="M45" s="23" t="n"/>
      <c r="N45" s="15" t="n"/>
      <c r="O45" s="17" t="n"/>
      <c r="P45" s="17" t="n"/>
      <c r="Q45" s="17" t="n"/>
      <c r="R45" s="23" t="n"/>
      <c r="S45" s="15" t="n"/>
      <c r="T45" s="24">
        <f>IF(AND(Q45&gt;0,S45="No"),"Effective",IF(AND(Q45&gt;0,S45="Yes"),"Ineffective",IF(AND(Q45=0,J45&lt;TODAY()-30),"Ineffective","Monitoring")))</f>
        <v/>
      </c>
    </row>
    <row r="46">
      <c r="A46" s="14" t="n"/>
      <c r="B46" s="15" t="n"/>
      <c r="C46" s="15" t="n"/>
      <c r="D46" s="15" t="n"/>
      <c r="E46" s="15" t="n"/>
      <c r="F46" s="15" t="n"/>
      <c r="G46" s="15" t="n"/>
      <c r="H46" s="15" t="n"/>
      <c r="I46" s="15" t="n"/>
      <c r="J46" s="23" t="n"/>
      <c r="K46" s="15" t="n"/>
      <c r="L46" s="15" t="n"/>
      <c r="M46" s="23" t="n"/>
      <c r="N46" s="15" t="n"/>
      <c r="O46" s="17" t="n"/>
      <c r="P46" s="17" t="n"/>
      <c r="Q46" s="17" t="n"/>
      <c r="R46" s="23" t="n"/>
      <c r="S46" s="15" t="n"/>
      <c r="T46" s="24">
        <f>IF(AND(Q46&gt;0,S46="No"),"Effective",IF(AND(Q46&gt;0,S46="Yes"),"Ineffective",IF(AND(Q46=0,J46&lt;TODAY()-30),"Ineffective","Monitoring")))</f>
        <v/>
      </c>
    </row>
    <row r="47">
      <c r="A47" s="14" t="n"/>
      <c r="B47" s="15" t="n"/>
      <c r="C47" s="15" t="n"/>
      <c r="D47" s="15" t="n"/>
      <c r="E47" s="15" t="n"/>
      <c r="F47" s="15" t="n"/>
      <c r="G47" s="15" t="n"/>
      <c r="H47" s="15" t="n"/>
      <c r="I47" s="15" t="n"/>
      <c r="J47" s="23" t="n"/>
      <c r="K47" s="15" t="n"/>
      <c r="L47" s="15" t="n"/>
      <c r="M47" s="23" t="n"/>
      <c r="N47" s="15" t="n"/>
      <c r="O47" s="17" t="n"/>
      <c r="P47" s="17" t="n"/>
      <c r="Q47" s="17" t="n"/>
      <c r="R47" s="23" t="n"/>
      <c r="S47" s="15" t="n"/>
      <c r="T47" s="24">
        <f>IF(AND(Q47&gt;0,S47="No"),"Effective",IF(AND(Q47&gt;0,S47="Yes"),"Ineffective",IF(AND(Q47=0,J47&lt;TODAY()-30),"Ineffective","Monitoring")))</f>
        <v/>
      </c>
    </row>
    <row r="48">
      <c r="A48" s="14" t="n"/>
      <c r="B48" s="15" t="n"/>
      <c r="C48" s="15" t="n"/>
      <c r="D48" s="15" t="n"/>
      <c r="E48" s="15" t="n"/>
      <c r="F48" s="15" t="n"/>
      <c r="G48" s="15" t="n"/>
      <c r="H48" s="15" t="n"/>
      <c r="I48" s="15" t="n"/>
      <c r="J48" s="23" t="n"/>
      <c r="K48" s="15" t="n"/>
      <c r="L48" s="15" t="n"/>
      <c r="M48" s="23" t="n"/>
      <c r="N48" s="15" t="n"/>
      <c r="O48" s="17" t="n"/>
      <c r="P48" s="17" t="n"/>
      <c r="Q48" s="17" t="n"/>
      <c r="R48" s="23" t="n"/>
      <c r="S48" s="15" t="n"/>
      <c r="T48" s="24">
        <f>IF(AND(Q48&gt;0,S48="No"),"Effective",IF(AND(Q48&gt;0,S48="Yes"),"Ineffective",IF(AND(Q48=0,J48&lt;TODAY()-30),"Ineffective","Monitoring")))</f>
        <v/>
      </c>
    </row>
    <row r="49">
      <c r="A49" s="14" t="n"/>
      <c r="B49" s="15" t="n"/>
      <c r="C49" s="15" t="n"/>
      <c r="D49" s="15" t="n"/>
      <c r="E49" s="15" t="n"/>
      <c r="F49" s="15" t="n"/>
      <c r="G49" s="15" t="n"/>
      <c r="H49" s="15" t="n"/>
      <c r="I49" s="15" t="n"/>
      <c r="J49" s="23" t="n"/>
      <c r="K49" s="15" t="n"/>
      <c r="L49" s="15" t="n"/>
      <c r="M49" s="23" t="n"/>
      <c r="N49" s="15" t="n"/>
      <c r="O49" s="17" t="n"/>
      <c r="P49" s="17" t="n"/>
      <c r="Q49" s="17" t="n"/>
      <c r="R49" s="23" t="n"/>
      <c r="S49" s="15" t="n"/>
      <c r="T49" s="24">
        <f>IF(AND(Q49&gt;0,S49="No"),"Effective",IF(AND(Q49&gt;0,S49="Yes"),"Ineffective",IF(AND(Q49=0,J49&lt;TODAY()-30),"Ineffective","Monitoring")))</f>
        <v/>
      </c>
    </row>
    <row r="50">
      <c r="A50" s="14" t="n"/>
      <c r="B50" s="15" t="n"/>
      <c r="C50" s="15" t="n"/>
      <c r="D50" s="15" t="n"/>
      <c r="E50" s="15" t="n"/>
      <c r="F50" s="15" t="n"/>
      <c r="G50" s="15" t="n"/>
      <c r="H50" s="15" t="n"/>
      <c r="I50" s="15" t="n"/>
      <c r="J50" s="23" t="n"/>
      <c r="K50" s="15" t="n"/>
      <c r="L50" s="15" t="n"/>
      <c r="M50" s="23" t="n"/>
      <c r="N50" s="15" t="n"/>
      <c r="O50" s="17" t="n"/>
      <c r="P50" s="17" t="n"/>
      <c r="Q50" s="17" t="n"/>
      <c r="R50" s="23" t="n"/>
      <c r="S50" s="15" t="n"/>
      <c r="T50" s="24">
        <f>IF(AND(Q50&gt;0,S50="No"),"Effective",IF(AND(Q50&gt;0,S50="Yes"),"Ineffective",IF(AND(Q50=0,J50&lt;TODAY()-30),"Ineffective","Monitoring")))</f>
        <v/>
      </c>
    </row>
    <row r="51">
      <c r="A51" s="14" t="n"/>
      <c r="B51" s="15" t="n"/>
      <c r="C51" s="15" t="n"/>
      <c r="D51" s="15" t="n"/>
      <c r="E51" s="15" t="n"/>
      <c r="F51" s="15" t="n"/>
      <c r="G51" s="15" t="n"/>
      <c r="H51" s="15" t="n"/>
      <c r="I51" s="15" t="n"/>
      <c r="J51" s="23" t="n"/>
      <c r="K51" s="15" t="n"/>
      <c r="L51" s="15" t="n"/>
      <c r="M51" s="23" t="n"/>
      <c r="N51" s="15" t="n"/>
      <c r="O51" s="17" t="n"/>
      <c r="P51" s="17" t="n"/>
      <c r="Q51" s="17" t="n"/>
      <c r="R51" s="23" t="n"/>
      <c r="S51" s="15" t="n"/>
      <c r="T51" s="24">
        <f>IF(AND(Q51&gt;0,S51="No"),"Effective",IF(AND(Q51&gt;0,S51="Yes"),"Ineffective",IF(AND(Q51=0,J51&lt;TODAY()-30),"Ineffective","Monitoring")))</f>
        <v/>
      </c>
    </row>
    <row r="52">
      <c r="A52" s="14" t="n"/>
      <c r="B52" s="15" t="n"/>
      <c r="C52" s="15" t="n"/>
      <c r="D52" s="15" t="n"/>
      <c r="E52" s="15" t="n"/>
      <c r="F52" s="15" t="n"/>
      <c r="G52" s="15" t="n"/>
      <c r="H52" s="15" t="n"/>
      <c r="I52" s="15" t="n"/>
      <c r="J52" s="23" t="n"/>
      <c r="K52" s="15" t="n"/>
      <c r="L52" s="15" t="n"/>
      <c r="M52" s="23" t="n"/>
      <c r="N52" s="15" t="n"/>
      <c r="O52" s="17" t="n"/>
      <c r="P52" s="17" t="n"/>
      <c r="Q52" s="17" t="n"/>
      <c r="R52" s="23" t="n"/>
      <c r="S52" s="15" t="n"/>
      <c r="T52" s="24">
        <f>IF(AND(Q52&gt;0,S52="No"),"Effective",IF(AND(Q52&gt;0,S52="Yes"),"Ineffective",IF(AND(Q52=0,J52&lt;TODAY()-30),"Ineffective","Monitoring")))</f>
        <v/>
      </c>
    </row>
    <row r="53">
      <c r="A53" s="14" t="n"/>
      <c r="B53" s="15" t="n"/>
      <c r="C53" s="15" t="n"/>
      <c r="D53" s="15" t="n"/>
      <c r="E53" s="15" t="n"/>
      <c r="F53" s="15" t="n"/>
      <c r="G53" s="15" t="n"/>
      <c r="H53" s="15" t="n"/>
      <c r="I53" s="15" t="n"/>
      <c r="J53" s="23" t="n"/>
      <c r="K53" s="15" t="n"/>
      <c r="L53" s="15" t="n"/>
      <c r="M53" s="23" t="n"/>
      <c r="N53" s="15" t="n"/>
      <c r="O53" s="17" t="n"/>
      <c r="P53" s="17" t="n"/>
      <c r="Q53" s="17" t="n"/>
      <c r="R53" s="23" t="n"/>
      <c r="S53" s="15" t="n"/>
      <c r="T53" s="24">
        <f>IF(AND(Q53&gt;0,S53="No"),"Effective",IF(AND(Q53&gt;0,S53="Yes"),"Ineffective",IF(AND(Q53=0,J53&lt;TODAY()-30),"Ineffective","Monitoring")))</f>
        <v/>
      </c>
    </row>
    <row r="54">
      <c r="A54" s="14" t="n"/>
      <c r="B54" s="15" t="n"/>
      <c r="C54" s="15" t="n"/>
      <c r="D54" s="15" t="n"/>
      <c r="E54" s="15" t="n"/>
      <c r="F54" s="15" t="n"/>
      <c r="G54" s="15" t="n"/>
      <c r="H54" s="15" t="n"/>
      <c r="I54" s="15" t="n"/>
      <c r="J54" s="23" t="n"/>
      <c r="K54" s="15" t="n"/>
      <c r="L54" s="15" t="n"/>
      <c r="M54" s="23" t="n"/>
      <c r="N54" s="15" t="n"/>
      <c r="O54" s="17" t="n"/>
      <c r="P54" s="17" t="n"/>
      <c r="Q54" s="17" t="n"/>
      <c r="R54" s="23" t="n"/>
      <c r="S54" s="15" t="n"/>
      <c r="T54" s="24">
        <f>IF(AND(Q54&gt;0,S54="No"),"Effective",IF(AND(Q54&gt;0,S54="Yes"),"Ineffective",IF(AND(Q54=0,J54&lt;TODAY()-30),"Ineffective","Monitoring")))</f>
        <v/>
      </c>
    </row>
    <row r="55">
      <c r="A55" s="14" t="n"/>
      <c r="B55" s="15" t="n"/>
      <c r="C55" s="15" t="n"/>
      <c r="D55" s="15" t="n"/>
      <c r="E55" s="15" t="n"/>
      <c r="F55" s="15" t="n"/>
      <c r="G55" s="15" t="n"/>
      <c r="H55" s="15" t="n"/>
      <c r="I55" s="15" t="n"/>
      <c r="J55" s="23" t="n"/>
      <c r="K55" s="15" t="n"/>
      <c r="L55" s="15" t="n"/>
      <c r="M55" s="23" t="n"/>
      <c r="N55" s="15" t="n"/>
      <c r="O55" s="17" t="n"/>
      <c r="P55" s="17" t="n"/>
      <c r="Q55" s="17" t="n"/>
      <c r="R55" s="23" t="n"/>
      <c r="S55" s="15" t="n"/>
      <c r="T55" s="24">
        <f>IF(AND(Q55&gt;0,S55="No"),"Effective",IF(AND(Q55&gt;0,S55="Yes"),"Ineffective",IF(AND(Q55=0,J55&lt;TODAY()-30),"Ineffective","Monitoring")))</f>
        <v/>
      </c>
    </row>
    <row r="56">
      <c r="A56" s="14" t="n"/>
      <c r="B56" s="15" t="n"/>
      <c r="C56" s="15" t="n"/>
      <c r="D56" s="15" t="n"/>
      <c r="E56" s="15" t="n"/>
      <c r="F56" s="15" t="n"/>
      <c r="G56" s="15" t="n"/>
      <c r="H56" s="15" t="n"/>
      <c r="I56" s="15" t="n"/>
      <c r="J56" s="23" t="n"/>
      <c r="K56" s="15" t="n"/>
      <c r="L56" s="15" t="n"/>
      <c r="M56" s="23" t="n"/>
      <c r="N56" s="15" t="n"/>
      <c r="O56" s="17" t="n"/>
      <c r="P56" s="17" t="n"/>
      <c r="Q56" s="17" t="n"/>
      <c r="R56" s="23" t="n"/>
      <c r="S56" s="15" t="n"/>
      <c r="T56" s="24">
        <f>IF(AND(Q56&gt;0,S56="No"),"Effective",IF(AND(Q56&gt;0,S56="Yes"),"Ineffective",IF(AND(Q56=0,J56&lt;TODAY()-30),"Ineffective","Monitoring")))</f>
        <v/>
      </c>
    </row>
    <row r="57">
      <c r="A57" s="14" t="n"/>
      <c r="B57" s="15" t="n"/>
      <c r="C57" s="15" t="n"/>
      <c r="D57" s="15" t="n"/>
      <c r="E57" s="15" t="n"/>
      <c r="F57" s="15" t="n"/>
      <c r="G57" s="15" t="n"/>
      <c r="H57" s="15" t="n"/>
      <c r="I57" s="15" t="n"/>
      <c r="J57" s="23" t="n"/>
      <c r="K57" s="15" t="n"/>
      <c r="L57" s="15" t="n"/>
      <c r="M57" s="23" t="n"/>
      <c r="N57" s="15" t="n"/>
      <c r="O57" s="17" t="n"/>
      <c r="P57" s="17" t="n"/>
      <c r="Q57" s="17" t="n"/>
      <c r="R57" s="23" t="n"/>
      <c r="S57" s="15" t="n"/>
      <c r="T57" s="24">
        <f>IF(AND(Q57&gt;0,S57="No"),"Effective",IF(AND(Q57&gt;0,S57="Yes"),"Ineffective",IF(AND(Q57=0,J57&lt;TODAY()-30),"Ineffective","Monitoring")))</f>
        <v/>
      </c>
    </row>
    <row r="58">
      <c r="A58" s="14" t="n"/>
      <c r="B58" s="15" t="n"/>
      <c r="C58" s="15" t="n"/>
      <c r="D58" s="15" t="n"/>
      <c r="E58" s="15" t="n"/>
      <c r="F58" s="15" t="n"/>
      <c r="G58" s="15" t="n"/>
      <c r="H58" s="15" t="n"/>
      <c r="I58" s="15" t="n"/>
      <c r="J58" s="23" t="n"/>
      <c r="K58" s="15" t="n"/>
      <c r="L58" s="15" t="n"/>
      <c r="M58" s="23" t="n"/>
      <c r="N58" s="15" t="n"/>
      <c r="O58" s="17" t="n"/>
      <c r="P58" s="17" t="n"/>
      <c r="Q58" s="17" t="n"/>
      <c r="R58" s="23" t="n"/>
      <c r="S58" s="15" t="n"/>
      <c r="T58" s="24">
        <f>IF(AND(Q58&gt;0,S58="No"),"Effective",IF(AND(Q58&gt;0,S58="Yes"),"Ineffective",IF(AND(Q58=0,J58&lt;TODAY()-30),"Ineffective","Monitoring")))</f>
        <v/>
      </c>
    </row>
    <row r="59">
      <c r="A59" s="14" t="n"/>
      <c r="B59" s="15" t="n"/>
      <c r="C59" s="15" t="n"/>
      <c r="D59" s="15" t="n"/>
      <c r="E59" s="15" t="n"/>
      <c r="F59" s="15" t="n"/>
      <c r="G59" s="15" t="n"/>
      <c r="H59" s="15" t="n"/>
      <c r="I59" s="15" t="n"/>
      <c r="J59" s="23" t="n"/>
      <c r="K59" s="15" t="n"/>
      <c r="L59" s="15" t="n"/>
      <c r="M59" s="23" t="n"/>
      <c r="N59" s="15" t="n"/>
      <c r="O59" s="17" t="n"/>
      <c r="P59" s="17" t="n"/>
      <c r="Q59" s="17" t="n"/>
      <c r="R59" s="23" t="n"/>
      <c r="S59" s="15" t="n"/>
      <c r="T59" s="24">
        <f>IF(AND(Q59&gt;0,S59="No"),"Effective",IF(AND(Q59&gt;0,S59="Yes"),"Ineffective",IF(AND(Q59=0,J59&lt;TODAY()-30),"Ineffective","Monitoring")))</f>
        <v/>
      </c>
    </row>
    <row r="60">
      <c r="A60" s="14" t="n"/>
      <c r="B60" s="15" t="n"/>
      <c r="C60" s="15" t="n"/>
      <c r="D60" s="15" t="n"/>
      <c r="E60" s="15" t="n"/>
      <c r="F60" s="15" t="n"/>
      <c r="G60" s="15" t="n"/>
      <c r="H60" s="15" t="n"/>
      <c r="I60" s="15" t="n"/>
      <c r="J60" s="23" t="n"/>
      <c r="K60" s="15" t="n"/>
      <c r="L60" s="15" t="n"/>
      <c r="M60" s="23" t="n"/>
      <c r="N60" s="15" t="n"/>
      <c r="O60" s="17" t="n"/>
      <c r="P60" s="17" t="n"/>
      <c r="Q60" s="17" t="n"/>
      <c r="R60" s="23" t="n"/>
      <c r="S60" s="15" t="n"/>
      <c r="T60" s="24">
        <f>IF(AND(Q60&gt;0,S60="No"),"Effective",IF(AND(Q60&gt;0,S60="Yes"),"Ineffective",IF(AND(Q60=0,J60&lt;TODAY()-30),"Ineffective","Monitoring")))</f>
        <v/>
      </c>
    </row>
    <row r="61">
      <c r="A61" s="14" t="n"/>
      <c r="B61" s="15" t="n"/>
      <c r="C61" s="15" t="n"/>
      <c r="D61" s="15" t="n"/>
      <c r="E61" s="15" t="n"/>
      <c r="F61" s="15" t="n"/>
      <c r="G61" s="15" t="n"/>
      <c r="H61" s="15" t="n"/>
      <c r="I61" s="15" t="n"/>
      <c r="J61" s="23" t="n"/>
      <c r="K61" s="15" t="n"/>
      <c r="L61" s="15" t="n"/>
      <c r="M61" s="23" t="n"/>
      <c r="N61" s="15" t="n"/>
      <c r="O61" s="17" t="n"/>
      <c r="P61" s="17" t="n"/>
      <c r="Q61" s="17" t="n"/>
      <c r="R61" s="23" t="n"/>
      <c r="S61" s="15" t="n"/>
      <c r="T61" s="24">
        <f>IF(AND(Q61&gt;0,S61="No"),"Effective",IF(AND(Q61&gt;0,S61="Yes"),"Ineffective",IF(AND(Q61=0,J61&lt;TODAY()-30),"Ineffective","Monitoring")))</f>
        <v/>
      </c>
    </row>
    <row r="62">
      <c r="A62" s="14" t="n"/>
      <c r="B62" s="15" t="n"/>
      <c r="C62" s="15" t="n"/>
      <c r="D62" s="15" t="n"/>
      <c r="E62" s="15" t="n"/>
      <c r="F62" s="15" t="n"/>
      <c r="G62" s="15" t="n"/>
      <c r="H62" s="15" t="n"/>
      <c r="I62" s="15" t="n"/>
      <c r="J62" s="23" t="n"/>
      <c r="K62" s="15" t="n"/>
      <c r="L62" s="15" t="n"/>
      <c r="M62" s="23" t="n"/>
      <c r="N62" s="15" t="n"/>
      <c r="O62" s="17" t="n"/>
      <c r="P62" s="17" t="n"/>
      <c r="Q62" s="17" t="n"/>
      <c r="R62" s="23" t="n"/>
      <c r="S62" s="15" t="n"/>
      <c r="T62" s="24">
        <f>IF(AND(Q62&gt;0,S62="No"),"Effective",IF(AND(Q62&gt;0,S62="Yes"),"Ineffective",IF(AND(Q62=0,J62&lt;TODAY()-30),"Ineffective","Monitoring")))</f>
        <v/>
      </c>
    </row>
    <row r="63">
      <c r="A63" s="14" t="n"/>
      <c r="B63" s="15" t="n"/>
      <c r="C63" s="15" t="n"/>
      <c r="D63" s="15" t="n"/>
      <c r="E63" s="15" t="n"/>
      <c r="F63" s="15" t="n"/>
      <c r="G63" s="15" t="n"/>
      <c r="H63" s="15" t="n"/>
      <c r="I63" s="15" t="n"/>
      <c r="J63" s="23" t="n"/>
      <c r="K63" s="15" t="n"/>
      <c r="L63" s="15" t="n"/>
      <c r="M63" s="23" t="n"/>
      <c r="N63" s="15" t="n"/>
      <c r="O63" s="17" t="n"/>
      <c r="P63" s="17" t="n"/>
      <c r="Q63" s="17" t="n"/>
      <c r="R63" s="23" t="n"/>
      <c r="S63" s="15" t="n"/>
      <c r="T63" s="24">
        <f>IF(AND(Q63&gt;0,S63="No"),"Effective",IF(AND(Q63&gt;0,S63="Yes"),"Ineffective",IF(AND(Q63=0,J63&lt;TODAY()-30),"Ineffective","Monitoring")))</f>
        <v/>
      </c>
    </row>
    <row r="64">
      <c r="A64" s="14" t="n"/>
      <c r="B64" s="15" t="n"/>
      <c r="C64" s="15" t="n"/>
      <c r="D64" s="15" t="n"/>
      <c r="E64" s="15" t="n"/>
      <c r="F64" s="15" t="n"/>
      <c r="G64" s="15" t="n"/>
      <c r="H64" s="15" t="n"/>
      <c r="I64" s="15" t="n"/>
      <c r="J64" s="23" t="n"/>
      <c r="K64" s="15" t="n"/>
      <c r="L64" s="15" t="n"/>
      <c r="M64" s="23" t="n"/>
      <c r="N64" s="15" t="n"/>
      <c r="O64" s="17" t="n"/>
      <c r="P64" s="17" t="n"/>
      <c r="Q64" s="17" t="n"/>
      <c r="R64" s="23" t="n"/>
      <c r="S64" s="15" t="n"/>
      <c r="T64" s="24">
        <f>IF(AND(Q64&gt;0,S64="No"),"Effective",IF(AND(Q64&gt;0,S64="Yes"),"Ineffective",IF(AND(Q64=0,J64&lt;TODAY()-30),"Ineffective","Monitoring")))</f>
        <v/>
      </c>
    </row>
    <row r="65">
      <c r="A65" s="14" t="n"/>
      <c r="B65" s="15" t="n"/>
      <c r="C65" s="15" t="n"/>
      <c r="D65" s="15" t="n"/>
      <c r="E65" s="15" t="n"/>
      <c r="F65" s="15" t="n"/>
      <c r="G65" s="15" t="n"/>
      <c r="H65" s="15" t="n"/>
      <c r="I65" s="15" t="n"/>
      <c r="J65" s="23" t="n"/>
      <c r="K65" s="15" t="n"/>
      <c r="L65" s="15" t="n"/>
      <c r="M65" s="23" t="n"/>
      <c r="N65" s="15" t="n"/>
      <c r="O65" s="17" t="n"/>
      <c r="P65" s="17" t="n"/>
      <c r="Q65" s="17" t="n"/>
      <c r="R65" s="23" t="n"/>
      <c r="S65" s="15" t="n"/>
      <c r="T65" s="24">
        <f>IF(AND(Q65&gt;0,S65="No"),"Effective",IF(AND(Q65&gt;0,S65="Yes"),"Ineffective",IF(AND(Q65=0,J65&lt;TODAY()-30),"Ineffective","Monitoring")))</f>
        <v/>
      </c>
    </row>
    <row r="66">
      <c r="A66" s="14" t="n"/>
      <c r="B66" s="15" t="n"/>
      <c r="C66" s="15" t="n"/>
      <c r="D66" s="15" t="n"/>
      <c r="E66" s="15" t="n"/>
      <c r="F66" s="15" t="n"/>
      <c r="G66" s="15" t="n"/>
      <c r="H66" s="15" t="n"/>
      <c r="I66" s="15" t="n"/>
      <c r="J66" s="23" t="n"/>
      <c r="K66" s="15" t="n"/>
      <c r="L66" s="15" t="n"/>
      <c r="M66" s="23" t="n"/>
      <c r="N66" s="15" t="n"/>
      <c r="O66" s="17" t="n"/>
      <c r="P66" s="17" t="n"/>
      <c r="Q66" s="17" t="n"/>
      <c r="R66" s="23" t="n"/>
      <c r="S66" s="15" t="n"/>
      <c r="T66" s="24">
        <f>IF(AND(Q66&gt;0,S66="No"),"Effective",IF(AND(Q66&gt;0,S66="Yes"),"Ineffective",IF(AND(Q66=0,J66&lt;TODAY()-30),"Ineffective","Monitoring")))</f>
        <v/>
      </c>
    </row>
    <row r="67">
      <c r="A67" s="14" t="n"/>
      <c r="B67" s="15" t="n"/>
      <c r="C67" s="15" t="n"/>
      <c r="D67" s="15" t="n"/>
      <c r="E67" s="15" t="n"/>
      <c r="F67" s="15" t="n"/>
      <c r="G67" s="15" t="n"/>
      <c r="H67" s="15" t="n"/>
      <c r="I67" s="15" t="n"/>
      <c r="J67" s="23" t="n"/>
      <c r="K67" s="15" t="n"/>
      <c r="L67" s="15" t="n"/>
      <c r="M67" s="23" t="n"/>
      <c r="N67" s="15" t="n"/>
      <c r="O67" s="17" t="n"/>
      <c r="P67" s="17" t="n"/>
      <c r="Q67" s="17" t="n"/>
      <c r="R67" s="23" t="n"/>
      <c r="S67" s="15" t="n"/>
      <c r="T67" s="24">
        <f>IF(AND(Q67&gt;0,S67="No"),"Effective",IF(AND(Q67&gt;0,S67="Yes"),"Ineffective",IF(AND(Q67=0,J67&lt;TODAY()-30),"Ineffective","Monitoring")))</f>
        <v/>
      </c>
    </row>
    <row r="68">
      <c r="A68" s="14" t="n"/>
      <c r="B68" s="15" t="n"/>
      <c r="C68" s="15" t="n"/>
      <c r="D68" s="15" t="n"/>
      <c r="E68" s="15" t="n"/>
      <c r="F68" s="15" t="n"/>
      <c r="G68" s="15" t="n"/>
      <c r="H68" s="15" t="n"/>
      <c r="I68" s="15" t="n"/>
      <c r="J68" s="23" t="n"/>
      <c r="K68" s="15" t="n"/>
      <c r="L68" s="15" t="n"/>
      <c r="M68" s="23" t="n"/>
      <c r="N68" s="15" t="n"/>
      <c r="O68" s="17" t="n"/>
      <c r="P68" s="17" t="n"/>
      <c r="Q68" s="17" t="n"/>
      <c r="R68" s="23" t="n"/>
      <c r="S68" s="15" t="n"/>
      <c r="T68" s="24">
        <f>IF(AND(Q68&gt;0,S68="No"),"Effective",IF(AND(Q68&gt;0,S68="Yes"),"Ineffective",IF(AND(Q68=0,J68&lt;TODAY()-30),"Ineffective","Monitoring")))</f>
        <v/>
      </c>
    </row>
    <row r="69">
      <c r="A69" s="14" t="n"/>
      <c r="B69" s="15" t="n"/>
      <c r="C69" s="15" t="n"/>
      <c r="D69" s="15" t="n"/>
      <c r="E69" s="15" t="n"/>
      <c r="F69" s="15" t="n"/>
      <c r="G69" s="15" t="n"/>
      <c r="H69" s="15" t="n"/>
      <c r="I69" s="15" t="n"/>
      <c r="J69" s="23" t="n"/>
      <c r="K69" s="15" t="n"/>
      <c r="L69" s="15" t="n"/>
      <c r="M69" s="23" t="n"/>
      <c r="N69" s="15" t="n"/>
      <c r="O69" s="17" t="n"/>
      <c r="P69" s="17" t="n"/>
      <c r="Q69" s="17" t="n"/>
      <c r="R69" s="23" t="n"/>
      <c r="S69" s="15" t="n"/>
      <c r="T69" s="24">
        <f>IF(AND(Q69&gt;0,S69="No"),"Effective",IF(AND(Q69&gt;0,S69="Yes"),"Ineffective",IF(AND(Q69=0,J69&lt;TODAY()-30),"Ineffective","Monitoring")))</f>
        <v/>
      </c>
    </row>
    <row r="70">
      <c r="A70" s="14" t="n"/>
      <c r="B70" s="15" t="n"/>
      <c r="C70" s="15" t="n"/>
      <c r="D70" s="15" t="n"/>
      <c r="E70" s="15" t="n"/>
      <c r="F70" s="15" t="n"/>
      <c r="G70" s="15" t="n"/>
      <c r="H70" s="15" t="n"/>
      <c r="I70" s="15" t="n"/>
      <c r="J70" s="23" t="n"/>
      <c r="K70" s="15" t="n"/>
      <c r="L70" s="15" t="n"/>
      <c r="M70" s="23" t="n"/>
      <c r="N70" s="15" t="n"/>
      <c r="O70" s="17" t="n"/>
      <c r="P70" s="17" t="n"/>
      <c r="Q70" s="17" t="n"/>
      <c r="R70" s="23" t="n"/>
      <c r="S70" s="15" t="n"/>
      <c r="T70" s="24">
        <f>IF(AND(Q70&gt;0,S70="No"),"Effective",IF(AND(Q70&gt;0,S70="Yes"),"Ineffective",IF(AND(Q70=0,J70&lt;TODAY()-30),"Ineffective","Monitoring")))</f>
        <v/>
      </c>
    </row>
    <row r="71">
      <c r="A71" s="14" t="n"/>
      <c r="B71" s="15" t="n"/>
      <c r="C71" s="15" t="n"/>
      <c r="D71" s="15" t="n"/>
      <c r="E71" s="15" t="n"/>
      <c r="F71" s="15" t="n"/>
      <c r="G71" s="15" t="n"/>
      <c r="H71" s="15" t="n"/>
      <c r="I71" s="15" t="n"/>
      <c r="J71" s="23" t="n"/>
      <c r="K71" s="15" t="n"/>
      <c r="L71" s="15" t="n"/>
      <c r="M71" s="23" t="n"/>
      <c r="N71" s="15" t="n"/>
      <c r="O71" s="17" t="n"/>
      <c r="P71" s="17" t="n"/>
      <c r="Q71" s="17" t="n"/>
      <c r="R71" s="23" t="n"/>
      <c r="S71" s="15" t="n"/>
      <c r="T71" s="24">
        <f>IF(AND(Q71&gt;0,S71="No"),"Effective",IF(AND(Q71&gt;0,S71="Yes"),"Ineffective",IF(AND(Q71=0,J71&lt;TODAY()-30),"Ineffective","Monitoring")))</f>
        <v/>
      </c>
    </row>
    <row r="72">
      <c r="A72" s="14" t="n"/>
      <c r="B72" s="15" t="n"/>
      <c r="C72" s="15" t="n"/>
      <c r="D72" s="15" t="n"/>
      <c r="E72" s="15" t="n"/>
      <c r="F72" s="15" t="n"/>
      <c r="G72" s="15" t="n"/>
      <c r="H72" s="15" t="n"/>
      <c r="I72" s="15" t="n"/>
      <c r="J72" s="23" t="n"/>
      <c r="K72" s="15" t="n"/>
      <c r="L72" s="15" t="n"/>
      <c r="M72" s="23" t="n"/>
      <c r="N72" s="15" t="n"/>
      <c r="O72" s="17" t="n"/>
      <c r="P72" s="17" t="n"/>
      <c r="Q72" s="17" t="n"/>
      <c r="R72" s="23" t="n"/>
      <c r="S72" s="15" t="n"/>
      <c r="T72" s="24">
        <f>IF(AND(Q72&gt;0,S72="No"),"Effective",IF(AND(Q72&gt;0,S72="Yes"),"Ineffective",IF(AND(Q72=0,J72&lt;TODAY()-30),"Ineffective","Monitoring")))</f>
        <v/>
      </c>
    </row>
    <row r="73">
      <c r="A73" s="14" t="n"/>
      <c r="B73" s="15" t="n"/>
      <c r="C73" s="15" t="n"/>
      <c r="D73" s="15" t="n"/>
      <c r="E73" s="15" t="n"/>
      <c r="F73" s="15" t="n"/>
      <c r="G73" s="15" t="n"/>
      <c r="H73" s="15" t="n"/>
      <c r="I73" s="15" t="n"/>
      <c r="J73" s="23" t="n"/>
      <c r="K73" s="15" t="n"/>
      <c r="L73" s="15" t="n"/>
      <c r="M73" s="23" t="n"/>
      <c r="N73" s="15" t="n"/>
      <c r="O73" s="17" t="n"/>
      <c r="P73" s="17" t="n"/>
      <c r="Q73" s="17" t="n"/>
      <c r="R73" s="23" t="n"/>
      <c r="S73" s="15" t="n"/>
      <c r="T73" s="24">
        <f>IF(AND(Q73&gt;0,S73="No"),"Effective",IF(AND(Q73&gt;0,S73="Yes"),"Ineffective",IF(AND(Q73=0,J73&lt;TODAY()-30),"Ineffective","Monitoring")))</f>
        <v/>
      </c>
    </row>
    <row r="74">
      <c r="A74" s="14" t="n"/>
      <c r="B74" s="15" t="n"/>
      <c r="C74" s="15" t="n"/>
      <c r="D74" s="15" t="n"/>
      <c r="E74" s="15" t="n"/>
      <c r="F74" s="15" t="n"/>
      <c r="G74" s="15" t="n"/>
      <c r="H74" s="15" t="n"/>
      <c r="I74" s="15" t="n"/>
      <c r="J74" s="23" t="n"/>
      <c r="K74" s="15" t="n"/>
      <c r="L74" s="15" t="n"/>
      <c r="M74" s="23" t="n"/>
      <c r="N74" s="15" t="n"/>
      <c r="O74" s="17" t="n"/>
      <c r="P74" s="17" t="n"/>
      <c r="Q74" s="17" t="n"/>
      <c r="R74" s="23" t="n"/>
      <c r="S74" s="15" t="n"/>
      <c r="T74" s="24">
        <f>IF(AND(Q74&gt;0,S74="No"),"Effective",IF(AND(Q74&gt;0,S74="Yes"),"Ineffective",IF(AND(Q74=0,J74&lt;TODAY()-30),"Ineffective","Monitoring")))</f>
        <v/>
      </c>
    </row>
    <row r="75">
      <c r="A75" s="14" t="n"/>
      <c r="B75" s="15" t="n"/>
      <c r="C75" s="15" t="n"/>
      <c r="D75" s="15" t="n"/>
      <c r="E75" s="15" t="n"/>
      <c r="F75" s="15" t="n"/>
      <c r="G75" s="15" t="n"/>
      <c r="H75" s="15" t="n"/>
      <c r="I75" s="15" t="n"/>
      <c r="J75" s="23" t="n"/>
      <c r="K75" s="15" t="n"/>
      <c r="L75" s="15" t="n"/>
      <c r="M75" s="23" t="n"/>
      <c r="N75" s="15" t="n"/>
      <c r="O75" s="17" t="n"/>
      <c r="P75" s="17" t="n"/>
      <c r="Q75" s="17" t="n"/>
      <c r="R75" s="23" t="n"/>
      <c r="S75" s="15" t="n"/>
      <c r="T75" s="24">
        <f>IF(AND(Q75&gt;0,S75="No"),"Effective",IF(AND(Q75&gt;0,S75="Yes"),"Ineffective",IF(AND(Q75=0,J75&lt;TODAY()-30),"Ineffective","Monitoring")))</f>
        <v/>
      </c>
    </row>
    <row r="76">
      <c r="A76" s="14" t="n"/>
      <c r="B76" s="15" t="n"/>
      <c r="C76" s="15" t="n"/>
      <c r="D76" s="15" t="n"/>
      <c r="E76" s="15" t="n"/>
      <c r="F76" s="15" t="n"/>
      <c r="G76" s="15" t="n"/>
      <c r="H76" s="15" t="n"/>
      <c r="I76" s="15" t="n"/>
      <c r="J76" s="23" t="n"/>
      <c r="K76" s="15" t="n"/>
      <c r="L76" s="15" t="n"/>
      <c r="M76" s="23" t="n"/>
      <c r="N76" s="15" t="n"/>
      <c r="O76" s="17" t="n"/>
      <c r="P76" s="17" t="n"/>
      <c r="Q76" s="17" t="n"/>
      <c r="R76" s="23" t="n"/>
      <c r="S76" s="15" t="n"/>
      <c r="T76" s="24">
        <f>IF(AND(Q76&gt;0,S76="No"),"Effective",IF(AND(Q76&gt;0,S76="Yes"),"Ineffective",IF(AND(Q76=0,J76&lt;TODAY()-30),"Ineffective","Monitoring")))</f>
        <v/>
      </c>
    </row>
    <row r="77">
      <c r="A77" s="14" t="n"/>
      <c r="B77" s="15" t="n"/>
      <c r="C77" s="15" t="n"/>
      <c r="D77" s="15" t="n"/>
      <c r="E77" s="15" t="n"/>
      <c r="F77" s="15" t="n"/>
      <c r="G77" s="15" t="n"/>
      <c r="H77" s="15" t="n"/>
      <c r="I77" s="15" t="n"/>
      <c r="J77" s="23" t="n"/>
      <c r="K77" s="15" t="n"/>
      <c r="L77" s="15" t="n"/>
      <c r="M77" s="23" t="n"/>
      <c r="N77" s="15" t="n"/>
      <c r="O77" s="17" t="n"/>
      <c r="P77" s="17" t="n"/>
      <c r="Q77" s="17" t="n"/>
      <c r="R77" s="23" t="n"/>
      <c r="S77" s="15" t="n"/>
      <c r="T77" s="24">
        <f>IF(AND(Q77&gt;0,S77="No"),"Effective",IF(AND(Q77&gt;0,S77="Yes"),"Ineffective",IF(AND(Q77=0,J77&lt;TODAY()-30),"Ineffective","Monitoring")))</f>
        <v/>
      </c>
    </row>
    <row r="78">
      <c r="A78" s="14" t="n"/>
      <c r="B78" s="15" t="n"/>
      <c r="C78" s="15" t="n"/>
      <c r="D78" s="15" t="n"/>
      <c r="E78" s="15" t="n"/>
      <c r="F78" s="15" t="n"/>
      <c r="G78" s="15" t="n"/>
      <c r="H78" s="15" t="n"/>
      <c r="I78" s="15" t="n"/>
      <c r="J78" s="23" t="n"/>
      <c r="K78" s="15" t="n"/>
      <c r="L78" s="15" t="n"/>
      <c r="M78" s="23" t="n"/>
      <c r="N78" s="15" t="n"/>
      <c r="O78" s="17" t="n"/>
      <c r="P78" s="17" t="n"/>
      <c r="Q78" s="17" t="n"/>
      <c r="R78" s="23" t="n"/>
      <c r="S78" s="15" t="n"/>
      <c r="T78" s="24">
        <f>IF(AND(Q78&gt;0,S78="No"),"Effective",IF(AND(Q78&gt;0,S78="Yes"),"Ineffective",IF(AND(Q78=0,J78&lt;TODAY()-30),"Ineffective","Monitoring")))</f>
        <v/>
      </c>
    </row>
    <row r="79">
      <c r="A79" s="14" t="n"/>
      <c r="B79" s="15" t="n"/>
      <c r="C79" s="15" t="n"/>
      <c r="D79" s="15" t="n"/>
      <c r="E79" s="15" t="n"/>
      <c r="F79" s="15" t="n"/>
      <c r="G79" s="15" t="n"/>
      <c r="H79" s="15" t="n"/>
      <c r="I79" s="15" t="n"/>
      <c r="J79" s="23" t="n"/>
      <c r="K79" s="15" t="n"/>
      <c r="L79" s="15" t="n"/>
      <c r="M79" s="23" t="n"/>
      <c r="N79" s="15" t="n"/>
      <c r="O79" s="17" t="n"/>
      <c r="P79" s="17" t="n"/>
      <c r="Q79" s="17" t="n"/>
      <c r="R79" s="23" t="n"/>
      <c r="S79" s="15" t="n"/>
      <c r="T79" s="24">
        <f>IF(AND(Q79&gt;0,S79="No"),"Effective",IF(AND(Q79&gt;0,S79="Yes"),"Ineffective",IF(AND(Q79=0,J79&lt;TODAY()-30),"Ineffective","Monitoring")))</f>
        <v/>
      </c>
    </row>
    <row r="80">
      <c r="A80" s="14" t="n"/>
      <c r="B80" s="15" t="n"/>
      <c r="C80" s="15" t="n"/>
      <c r="D80" s="15" t="n"/>
      <c r="E80" s="15" t="n"/>
      <c r="F80" s="15" t="n"/>
      <c r="G80" s="15" t="n"/>
      <c r="H80" s="15" t="n"/>
      <c r="I80" s="15" t="n"/>
      <c r="J80" s="23" t="n"/>
      <c r="K80" s="15" t="n"/>
      <c r="L80" s="15" t="n"/>
      <c r="M80" s="23" t="n"/>
      <c r="N80" s="15" t="n"/>
      <c r="O80" s="17" t="n"/>
      <c r="P80" s="17" t="n"/>
      <c r="Q80" s="17" t="n"/>
      <c r="R80" s="23" t="n"/>
      <c r="S80" s="15" t="n"/>
      <c r="T80" s="24">
        <f>IF(AND(Q80&gt;0,S80="No"),"Effective",IF(AND(Q80&gt;0,S80="Yes"),"Ineffective",IF(AND(Q80=0,J80&lt;TODAY()-30),"Ineffective","Monitoring")))</f>
        <v/>
      </c>
    </row>
    <row r="81">
      <c r="A81" s="14" t="n"/>
      <c r="B81" s="15" t="n"/>
      <c r="C81" s="15" t="n"/>
      <c r="D81" s="15" t="n"/>
      <c r="E81" s="15" t="n"/>
      <c r="F81" s="15" t="n"/>
      <c r="G81" s="15" t="n"/>
      <c r="H81" s="15" t="n"/>
      <c r="I81" s="15" t="n"/>
      <c r="J81" s="23" t="n"/>
      <c r="K81" s="15" t="n"/>
      <c r="L81" s="15" t="n"/>
      <c r="M81" s="23" t="n"/>
      <c r="N81" s="15" t="n"/>
      <c r="O81" s="17" t="n"/>
      <c r="P81" s="17" t="n"/>
      <c r="Q81" s="17" t="n"/>
      <c r="R81" s="23" t="n"/>
      <c r="S81" s="15" t="n"/>
      <c r="T81" s="24">
        <f>IF(AND(Q81&gt;0,S81="No"),"Effective",IF(AND(Q81&gt;0,S81="Yes"),"Ineffective",IF(AND(Q81=0,J81&lt;TODAY()-30),"Ineffective","Monitoring")))</f>
        <v/>
      </c>
    </row>
    <row r="82">
      <c r="A82" s="14" t="n"/>
      <c r="B82" s="15" t="n"/>
      <c r="C82" s="15" t="n"/>
      <c r="D82" s="15" t="n"/>
      <c r="E82" s="15" t="n"/>
      <c r="F82" s="15" t="n"/>
      <c r="G82" s="15" t="n"/>
      <c r="H82" s="15" t="n"/>
      <c r="I82" s="15" t="n"/>
      <c r="J82" s="23" t="n"/>
      <c r="K82" s="15" t="n"/>
      <c r="L82" s="15" t="n"/>
      <c r="M82" s="23" t="n"/>
      <c r="N82" s="15" t="n"/>
      <c r="O82" s="17" t="n"/>
      <c r="P82" s="17" t="n"/>
      <c r="Q82" s="17" t="n"/>
      <c r="R82" s="23" t="n"/>
      <c r="S82" s="15" t="n"/>
      <c r="T82" s="24">
        <f>IF(AND(Q82&gt;0,S82="No"),"Effective",IF(AND(Q82&gt;0,S82="Yes"),"Ineffective",IF(AND(Q82=0,J82&lt;TODAY()-30),"Ineffective","Monitoring")))</f>
        <v/>
      </c>
    </row>
    <row r="83">
      <c r="A83" s="14" t="n"/>
      <c r="B83" s="15" t="n"/>
      <c r="C83" s="15" t="n"/>
      <c r="D83" s="15" t="n"/>
      <c r="E83" s="15" t="n"/>
      <c r="F83" s="15" t="n"/>
      <c r="G83" s="15" t="n"/>
      <c r="H83" s="15" t="n"/>
      <c r="I83" s="15" t="n"/>
      <c r="J83" s="23" t="n"/>
      <c r="K83" s="15" t="n"/>
      <c r="L83" s="15" t="n"/>
      <c r="M83" s="23" t="n"/>
      <c r="N83" s="15" t="n"/>
      <c r="O83" s="17" t="n"/>
      <c r="P83" s="17" t="n"/>
      <c r="Q83" s="17" t="n"/>
      <c r="R83" s="23" t="n"/>
      <c r="S83" s="15" t="n"/>
      <c r="T83" s="24">
        <f>IF(AND(Q83&gt;0,S83="No"),"Effective",IF(AND(Q83&gt;0,S83="Yes"),"Ineffective",IF(AND(Q83=0,J83&lt;TODAY()-30),"Ineffective","Monitoring")))</f>
        <v/>
      </c>
    </row>
    <row r="84">
      <c r="A84" s="14" t="n"/>
      <c r="B84" s="15" t="n"/>
      <c r="C84" s="15" t="n"/>
      <c r="D84" s="15" t="n"/>
      <c r="E84" s="15" t="n"/>
      <c r="F84" s="15" t="n"/>
      <c r="G84" s="15" t="n"/>
      <c r="H84" s="15" t="n"/>
      <c r="I84" s="15" t="n"/>
      <c r="J84" s="23" t="n"/>
      <c r="K84" s="15" t="n"/>
      <c r="L84" s="15" t="n"/>
      <c r="M84" s="23" t="n"/>
      <c r="N84" s="15" t="n"/>
      <c r="O84" s="17" t="n"/>
      <c r="P84" s="17" t="n"/>
      <c r="Q84" s="17" t="n"/>
      <c r="R84" s="23" t="n"/>
      <c r="S84" s="15" t="n"/>
      <c r="T84" s="24">
        <f>IF(AND(Q84&gt;0,S84="No"),"Effective",IF(AND(Q84&gt;0,S84="Yes"),"Ineffective",IF(AND(Q84=0,J84&lt;TODAY()-30),"Ineffective","Monitoring")))</f>
        <v/>
      </c>
    </row>
    <row r="85">
      <c r="A85" s="14" t="n"/>
      <c r="B85" s="15" t="n"/>
      <c r="C85" s="15" t="n"/>
      <c r="D85" s="15" t="n"/>
      <c r="E85" s="15" t="n"/>
      <c r="F85" s="15" t="n"/>
      <c r="G85" s="15" t="n"/>
      <c r="H85" s="15" t="n"/>
      <c r="I85" s="15" t="n"/>
      <c r="J85" s="23" t="n"/>
      <c r="K85" s="15" t="n"/>
      <c r="L85" s="15" t="n"/>
      <c r="M85" s="23" t="n"/>
      <c r="N85" s="15" t="n"/>
      <c r="O85" s="17" t="n"/>
      <c r="P85" s="17" t="n"/>
      <c r="Q85" s="17" t="n"/>
      <c r="R85" s="23" t="n"/>
      <c r="S85" s="15" t="n"/>
      <c r="T85" s="24">
        <f>IF(AND(Q85&gt;0,S85="No"),"Effective",IF(AND(Q85&gt;0,S85="Yes"),"Ineffective",IF(AND(Q85=0,J85&lt;TODAY()-30),"Ineffective","Monitoring")))</f>
        <v/>
      </c>
    </row>
    <row r="86">
      <c r="A86" s="14" t="n"/>
      <c r="B86" s="15" t="n"/>
      <c r="C86" s="15" t="n"/>
      <c r="D86" s="15" t="n"/>
      <c r="E86" s="15" t="n"/>
      <c r="F86" s="15" t="n"/>
      <c r="G86" s="15" t="n"/>
      <c r="H86" s="15" t="n"/>
      <c r="I86" s="15" t="n"/>
      <c r="J86" s="23" t="n"/>
      <c r="K86" s="15" t="n"/>
      <c r="L86" s="15" t="n"/>
      <c r="M86" s="23" t="n"/>
      <c r="N86" s="15" t="n"/>
      <c r="O86" s="17" t="n"/>
      <c r="P86" s="17" t="n"/>
      <c r="Q86" s="17" t="n"/>
      <c r="R86" s="23" t="n"/>
      <c r="S86" s="15" t="n"/>
      <c r="T86" s="24">
        <f>IF(AND(Q86&gt;0,S86="No"),"Effective",IF(AND(Q86&gt;0,S86="Yes"),"Ineffective",IF(AND(Q86=0,J86&lt;TODAY()-30),"Ineffective","Monitoring")))</f>
        <v/>
      </c>
    </row>
    <row r="87">
      <c r="A87" s="14" t="n"/>
      <c r="B87" s="15" t="n"/>
      <c r="C87" s="15" t="n"/>
      <c r="D87" s="15" t="n"/>
      <c r="E87" s="15" t="n"/>
      <c r="F87" s="15" t="n"/>
      <c r="G87" s="15" t="n"/>
      <c r="H87" s="15" t="n"/>
      <c r="I87" s="15" t="n"/>
      <c r="J87" s="23" t="n"/>
      <c r="K87" s="15" t="n"/>
      <c r="L87" s="15" t="n"/>
      <c r="M87" s="23" t="n"/>
      <c r="N87" s="15" t="n"/>
      <c r="O87" s="17" t="n"/>
      <c r="P87" s="17" t="n"/>
      <c r="Q87" s="17" t="n"/>
      <c r="R87" s="23" t="n"/>
      <c r="S87" s="15" t="n"/>
      <c r="T87" s="24">
        <f>IF(AND(Q87&gt;0,S87="No"),"Effective",IF(AND(Q87&gt;0,S87="Yes"),"Ineffective",IF(AND(Q87=0,J87&lt;TODAY()-30),"Ineffective","Monitoring")))</f>
        <v/>
      </c>
    </row>
    <row r="88">
      <c r="A88" s="14" t="n"/>
      <c r="B88" s="15" t="n"/>
      <c r="C88" s="15" t="n"/>
      <c r="D88" s="15" t="n"/>
      <c r="E88" s="15" t="n"/>
      <c r="F88" s="15" t="n"/>
      <c r="G88" s="15" t="n"/>
      <c r="H88" s="15" t="n"/>
      <c r="I88" s="15" t="n"/>
      <c r="J88" s="23" t="n"/>
      <c r="K88" s="15" t="n"/>
      <c r="L88" s="15" t="n"/>
      <c r="M88" s="23" t="n"/>
      <c r="N88" s="15" t="n"/>
      <c r="O88" s="17" t="n"/>
      <c r="P88" s="17" t="n"/>
      <c r="Q88" s="17" t="n"/>
      <c r="R88" s="23" t="n"/>
      <c r="S88" s="15" t="n"/>
      <c r="T88" s="24">
        <f>IF(AND(Q88&gt;0,S88="No"),"Effective",IF(AND(Q88&gt;0,S88="Yes"),"Ineffective",IF(AND(Q88=0,J88&lt;TODAY()-30),"Ineffective","Monitoring")))</f>
        <v/>
      </c>
    </row>
    <row r="89">
      <c r="A89" s="14" t="n"/>
      <c r="B89" s="15" t="n"/>
      <c r="C89" s="15" t="n"/>
      <c r="D89" s="15" t="n"/>
      <c r="E89" s="15" t="n"/>
      <c r="F89" s="15" t="n"/>
      <c r="G89" s="15" t="n"/>
      <c r="H89" s="15" t="n"/>
      <c r="I89" s="15" t="n"/>
      <c r="J89" s="23" t="n"/>
      <c r="K89" s="15" t="n"/>
      <c r="L89" s="15" t="n"/>
      <c r="M89" s="23" t="n"/>
      <c r="N89" s="15" t="n"/>
      <c r="O89" s="17" t="n"/>
      <c r="P89" s="17" t="n"/>
      <c r="Q89" s="17" t="n"/>
      <c r="R89" s="23" t="n"/>
      <c r="S89" s="15" t="n"/>
      <c r="T89" s="24">
        <f>IF(AND(Q89&gt;0,S89="No"),"Effective",IF(AND(Q89&gt;0,S89="Yes"),"Ineffective",IF(AND(Q89=0,J89&lt;TODAY()-30),"Ineffective","Monitoring")))</f>
        <v/>
      </c>
    </row>
    <row r="90">
      <c r="A90" s="14" t="n"/>
      <c r="B90" s="15" t="n"/>
      <c r="C90" s="15" t="n"/>
      <c r="D90" s="15" t="n"/>
      <c r="E90" s="15" t="n"/>
      <c r="F90" s="15" t="n"/>
      <c r="G90" s="15" t="n"/>
      <c r="H90" s="15" t="n"/>
      <c r="I90" s="15" t="n"/>
      <c r="J90" s="23" t="n"/>
      <c r="K90" s="15" t="n"/>
      <c r="L90" s="15" t="n"/>
      <c r="M90" s="23" t="n"/>
      <c r="N90" s="15" t="n"/>
      <c r="O90" s="17" t="n"/>
      <c r="P90" s="17" t="n"/>
      <c r="Q90" s="17" t="n"/>
      <c r="R90" s="23" t="n"/>
      <c r="S90" s="15" t="n"/>
      <c r="T90" s="24">
        <f>IF(AND(Q90&gt;0,S90="No"),"Effective",IF(AND(Q90&gt;0,S90="Yes"),"Ineffective",IF(AND(Q90=0,J90&lt;TODAY()-30),"Ineffective","Monitoring")))</f>
        <v/>
      </c>
    </row>
    <row r="91">
      <c r="A91" s="14" t="n"/>
      <c r="B91" s="15" t="n"/>
      <c r="C91" s="15" t="n"/>
      <c r="D91" s="15" t="n"/>
      <c r="E91" s="15" t="n"/>
      <c r="F91" s="15" t="n"/>
      <c r="G91" s="15" t="n"/>
      <c r="H91" s="15" t="n"/>
      <c r="I91" s="15" t="n"/>
      <c r="J91" s="23" t="n"/>
      <c r="K91" s="15" t="n"/>
      <c r="L91" s="15" t="n"/>
      <c r="M91" s="23" t="n"/>
      <c r="N91" s="15" t="n"/>
      <c r="O91" s="17" t="n"/>
      <c r="P91" s="17" t="n"/>
      <c r="Q91" s="17" t="n"/>
      <c r="R91" s="23" t="n"/>
      <c r="S91" s="15" t="n"/>
      <c r="T91" s="24">
        <f>IF(AND(Q91&gt;0,S91="No"),"Effective",IF(AND(Q91&gt;0,S91="Yes"),"Ineffective",IF(AND(Q91=0,J91&lt;TODAY()-30),"Ineffective","Monitoring")))</f>
        <v/>
      </c>
    </row>
    <row r="92">
      <c r="A92" s="14" t="n"/>
      <c r="B92" s="15" t="n"/>
      <c r="C92" s="15" t="n"/>
      <c r="D92" s="15" t="n"/>
      <c r="E92" s="15" t="n"/>
      <c r="F92" s="15" t="n"/>
      <c r="G92" s="15" t="n"/>
      <c r="H92" s="15" t="n"/>
      <c r="I92" s="15" t="n"/>
      <c r="J92" s="23" t="n"/>
      <c r="K92" s="15" t="n"/>
      <c r="L92" s="15" t="n"/>
      <c r="M92" s="23" t="n"/>
      <c r="N92" s="15" t="n"/>
      <c r="O92" s="17" t="n"/>
      <c r="P92" s="17" t="n"/>
      <c r="Q92" s="17" t="n"/>
      <c r="R92" s="23" t="n"/>
      <c r="S92" s="15" t="n"/>
      <c r="T92" s="24">
        <f>IF(AND(Q92&gt;0,S92="No"),"Effective",IF(AND(Q92&gt;0,S92="Yes"),"Ineffective",IF(AND(Q92=0,J92&lt;TODAY()-30),"Ineffective","Monitoring")))</f>
        <v/>
      </c>
    </row>
    <row r="93">
      <c r="A93" s="14" t="n"/>
      <c r="B93" s="15" t="n"/>
      <c r="C93" s="15" t="n"/>
      <c r="D93" s="15" t="n"/>
      <c r="E93" s="15" t="n"/>
      <c r="F93" s="15" t="n"/>
      <c r="G93" s="15" t="n"/>
      <c r="H93" s="15" t="n"/>
      <c r="I93" s="15" t="n"/>
      <c r="J93" s="23" t="n"/>
      <c r="K93" s="15" t="n"/>
      <c r="L93" s="15" t="n"/>
      <c r="M93" s="23" t="n"/>
      <c r="N93" s="15" t="n"/>
      <c r="O93" s="17" t="n"/>
      <c r="P93" s="17" t="n"/>
      <c r="Q93" s="17" t="n"/>
      <c r="R93" s="23" t="n"/>
      <c r="S93" s="15" t="n"/>
      <c r="T93" s="24">
        <f>IF(AND(Q93&gt;0,S93="No"),"Effective",IF(AND(Q93&gt;0,S93="Yes"),"Ineffective",IF(AND(Q93=0,J93&lt;TODAY()-30),"Ineffective","Monitoring")))</f>
        <v/>
      </c>
    </row>
    <row r="94">
      <c r="A94" s="14" t="n"/>
      <c r="B94" s="15" t="n"/>
      <c r="C94" s="15" t="n"/>
      <c r="D94" s="15" t="n"/>
      <c r="E94" s="15" t="n"/>
      <c r="F94" s="15" t="n"/>
      <c r="G94" s="15" t="n"/>
      <c r="H94" s="15" t="n"/>
      <c r="I94" s="15" t="n"/>
      <c r="J94" s="23" t="n"/>
      <c r="K94" s="15" t="n"/>
      <c r="L94" s="15" t="n"/>
      <c r="M94" s="23" t="n"/>
      <c r="N94" s="15" t="n"/>
      <c r="O94" s="17" t="n"/>
      <c r="P94" s="17" t="n"/>
      <c r="Q94" s="17" t="n"/>
      <c r="R94" s="23" t="n"/>
      <c r="S94" s="15" t="n"/>
      <c r="T94" s="24">
        <f>IF(AND(Q94&gt;0,S94="No"),"Effective",IF(AND(Q94&gt;0,S94="Yes"),"Ineffective",IF(AND(Q94=0,J94&lt;TODAY()-30),"Ineffective","Monitoring")))</f>
        <v/>
      </c>
    </row>
    <row r="95">
      <c r="A95" s="14" t="n"/>
      <c r="B95" s="15" t="n"/>
      <c r="C95" s="15" t="n"/>
      <c r="D95" s="15" t="n"/>
      <c r="E95" s="15" t="n"/>
      <c r="F95" s="15" t="n"/>
      <c r="G95" s="15" t="n"/>
      <c r="H95" s="15" t="n"/>
      <c r="I95" s="15" t="n"/>
      <c r="J95" s="23" t="n"/>
      <c r="K95" s="15" t="n"/>
      <c r="L95" s="15" t="n"/>
      <c r="M95" s="23" t="n"/>
      <c r="N95" s="15" t="n"/>
      <c r="O95" s="17" t="n"/>
      <c r="P95" s="17" t="n"/>
      <c r="Q95" s="17" t="n"/>
      <c r="R95" s="23" t="n"/>
      <c r="S95" s="15" t="n"/>
      <c r="T95" s="24">
        <f>IF(AND(Q95&gt;0,S95="No"),"Effective",IF(AND(Q95&gt;0,S95="Yes"),"Ineffective",IF(AND(Q95=0,J95&lt;TODAY()-30),"Ineffective","Monitoring")))</f>
        <v/>
      </c>
    </row>
    <row r="96">
      <c r="A96" s="14" t="n"/>
      <c r="B96" s="15" t="n"/>
      <c r="C96" s="15" t="n"/>
      <c r="D96" s="15" t="n"/>
      <c r="E96" s="15" t="n"/>
      <c r="F96" s="15" t="n"/>
      <c r="G96" s="15" t="n"/>
      <c r="H96" s="15" t="n"/>
      <c r="I96" s="15" t="n"/>
      <c r="J96" s="23" t="n"/>
      <c r="K96" s="15" t="n"/>
      <c r="L96" s="15" t="n"/>
      <c r="M96" s="23" t="n"/>
      <c r="N96" s="15" t="n"/>
      <c r="O96" s="17" t="n"/>
      <c r="P96" s="17" t="n"/>
      <c r="Q96" s="17" t="n"/>
      <c r="R96" s="23" t="n"/>
      <c r="S96" s="15" t="n"/>
      <c r="T96" s="24">
        <f>IF(AND(Q96&gt;0,S96="No"),"Effective",IF(AND(Q96&gt;0,S96="Yes"),"Ineffective",IF(AND(Q96=0,J96&lt;TODAY()-30),"Ineffective","Monitoring")))</f>
        <v/>
      </c>
    </row>
    <row r="97">
      <c r="A97" s="14" t="n"/>
      <c r="B97" s="15" t="n"/>
      <c r="C97" s="15" t="n"/>
      <c r="D97" s="15" t="n"/>
      <c r="E97" s="15" t="n"/>
      <c r="F97" s="15" t="n"/>
      <c r="G97" s="15" t="n"/>
      <c r="H97" s="15" t="n"/>
      <c r="I97" s="15" t="n"/>
      <c r="J97" s="23" t="n"/>
      <c r="K97" s="15" t="n"/>
      <c r="L97" s="15" t="n"/>
      <c r="M97" s="23" t="n"/>
      <c r="N97" s="15" t="n"/>
      <c r="O97" s="17" t="n"/>
      <c r="P97" s="17" t="n"/>
      <c r="Q97" s="17" t="n"/>
      <c r="R97" s="23" t="n"/>
      <c r="S97" s="15" t="n"/>
      <c r="T97" s="24">
        <f>IF(AND(Q97&gt;0,S97="No"),"Effective",IF(AND(Q97&gt;0,S97="Yes"),"Ineffective",IF(AND(Q97=0,J97&lt;TODAY()-30),"Ineffective","Monitoring")))</f>
        <v/>
      </c>
    </row>
    <row r="98">
      <c r="A98" s="14" t="n"/>
      <c r="B98" s="15" t="n"/>
      <c r="C98" s="15" t="n"/>
      <c r="D98" s="15" t="n"/>
      <c r="E98" s="15" t="n"/>
      <c r="F98" s="15" t="n"/>
      <c r="G98" s="15" t="n"/>
      <c r="H98" s="15" t="n"/>
      <c r="I98" s="15" t="n"/>
      <c r="J98" s="23" t="n"/>
      <c r="K98" s="15" t="n"/>
      <c r="L98" s="15" t="n"/>
      <c r="M98" s="23" t="n"/>
      <c r="N98" s="15" t="n"/>
      <c r="O98" s="17" t="n"/>
      <c r="P98" s="17" t="n"/>
      <c r="Q98" s="17" t="n"/>
      <c r="R98" s="23" t="n"/>
      <c r="S98" s="15" t="n"/>
      <c r="T98" s="24">
        <f>IF(AND(Q98&gt;0,S98="No"),"Effective",IF(AND(Q98&gt;0,S98="Yes"),"Ineffective",IF(AND(Q98=0,J98&lt;TODAY()-30),"Ineffective","Monitoring")))</f>
        <v/>
      </c>
    </row>
    <row r="99">
      <c r="A99" s="14" t="n"/>
      <c r="B99" s="15" t="n"/>
      <c r="C99" s="15" t="n"/>
      <c r="D99" s="15" t="n"/>
      <c r="E99" s="15" t="n"/>
      <c r="F99" s="15" t="n"/>
      <c r="G99" s="15" t="n"/>
      <c r="H99" s="15" t="n"/>
      <c r="I99" s="15" t="n"/>
      <c r="J99" s="23" t="n"/>
      <c r="K99" s="15" t="n"/>
      <c r="L99" s="15" t="n"/>
      <c r="M99" s="23" t="n"/>
      <c r="N99" s="15" t="n"/>
      <c r="O99" s="17" t="n"/>
      <c r="P99" s="17" t="n"/>
      <c r="Q99" s="17" t="n"/>
      <c r="R99" s="23" t="n"/>
      <c r="S99" s="15" t="n"/>
      <c r="T99" s="24">
        <f>IF(AND(Q99&gt;0,S99="No"),"Effective",IF(AND(Q99&gt;0,S99="Yes"),"Ineffective",IF(AND(Q99=0,J99&lt;TODAY()-30),"Ineffective","Monitoring")))</f>
        <v/>
      </c>
    </row>
    <row r="100">
      <c r="A100" s="14" t="n"/>
      <c r="B100" s="15" t="n"/>
      <c r="C100" s="15" t="n"/>
      <c r="D100" s="15" t="n"/>
      <c r="E100" s="15" t="n"/>
      <c r="F100" s="15" t="n"/>
      <c r="G100" s="15" t="n"/>
      <c r="H100" s="15" t="n"/>
      <c r="I100" s="15" t="n"/>
      <c r="J100" s="23" t="n"/>
      <c r="K100" s="15" t="n"/>
      <c r="L100" s="15" t="n"/>
      <c r="M100" s="23" t="n"/>
      <c r="N100" s="15" t="n"/>
      <c r="O100" s="17" t="n"/>
      <c r="P100" s="17" t="n"/>
      <c r="Q100" s="17" t="n"/>
      <c r="R100" s="23" t="n"/>
      <c r="S100" s="15" t="n"/>
      <c r="T100" s="24">
        <f>IF(AND(Q100&gt;0,S100="No"),"Effective",IF(AND(Q100&gt;0,S100="Yes"),"Ineffective",IF(AND(Q100=0,J100&lt;TODAY()-30),"Ineffective","Monitoring")))</f>
        <v/>
      </c>
    </row>
    <row r="101">
      <c r="A101" s="14" t="n"/>
      <c r="B101" s="15" t="n"/>
      <c r="C101" s="15" t="n"/>
      <c r="D101" s="15" t="n"/>
      <c r="E101" s="15" t="n"/>
      <c r="F101" s="15" t="n"/>
      <c r="G101" s="15" t="n"/>
      <c r="H101" s="15" t="n"/>
      <c r="I101" s="15" t="n"/>
      <c r="J101" s="23" t="n"/>
      <c r="K101" s="15" t="n"/>
      <c r="L101" s="15" t="n"/>
      <c r="M101" s="23" t="n"/>
      <c r="N101" s="15" t="n"/>
      <c r="O101" s="17" t="n"/>
      <c r="P101" s="17" t="n"/>
      <c r="Q101" s="17" t="n"/>
      <c r="R101" s="23" t="n"/>
      <c r="S101" s="15" t="n"/>
      <c r="T101" s="24">
        <f>IF(AND(Q101&gt;0,S101="No"),"Effective",IF(AND(Q101&gt;0,S101="Yes"),"Ineffective",IF(AND(Q101=0,J101&lt;TODAY()-30),"Ineffective","Monitoring")))</f>
        <v/>
      </c>
    </row>
    <row r="102">
      <c r="A102" s="14" t="n"/>
      <c r="B102" s="15" t="n"/>
      <c r="C102" s="15" t="n"/>
      <c r="D102" s="15" t="n"/>
      <c r="E102" s="15" t="n"/>
      <c r="F102" s="15" t="n"/>
      <c r="G102" s="15" t="n"/>
      <c r="H102" s="15" t="n"/>
      <c r="I102" s="15" t="n"/>
      <c r="J102" s="23" t="n"/>
      <c r="K102" s="15" t="n"/>
      <c r="L102" s="15" t="n"/>
      <c r="M102" s="23" t="n"/>
      <c r="N102" s="15" t="n"/>
      <c r="O102" s="17" t="n"/>
      <c r="P102" s="17" t="n"/>
      <c r="Q102" s="17" t="n"/>
      <c r="R102" s="23" t="n"/>
      <c r="S102" s="15" t="n"/>
      <c r="T102" s="24">
        <f>IF(AND(Q102&gt;0,S102="No"),"Effective",IF(AND(Q102&gt;0,S102="Yes"),"Ineffective",IF(AND(Q102=0,J102&lt;TODAY()-30),"Ineffective","Monitoring")))</f>
        <v/>
      </c>
    </row>
    <row r="103">
      <c r="A103" s="14" t="n"/>
      <c r="B103" s="15" t="n"/>
      <c r="C103" s="15" t="n"/>
      <c r="D103" s="15" t="n"/>
      <c r="E103" s="15" t="n"/>
      <c r="F103" s="15" t="n"/>
      <c r="G103" s="15" t="n"/>
      <c r="H103" s="15" t="n"/>
      <c r="I103" s="15" t="n"/>
      <c r="J103" s="23" t="n"/>
      <c r="K103" s="15" t="n"/>
      <c r="L103" s="15" t="n"/>
      <c r="M103" s="23" t="n"/>
      <c r="N103" s="15" t="n"/>
      <c r="O103" s="17" t="n"/>
      <c r="P103" s="17" t="n"/>
      <c r="Q103" s="17" t="n"/>
      <c r="R103" s="23" t="n"/>
      <c r="S103" s="15" t="n"/>
      <c r="T103" s="24">
        <f>IF(AND(Q103&gt;0,S103="No"),"Effective",IF(AND(Q103&gt;0,S103="Yes"),"Ineffective",IF(AND(Q103=0,J103&lt;TODAY()-30),"Ineffective","Monitoring")))</f>
        <v/>
      </c>
    </row>
    <row r="104">
      <c r="A104" s="14" t="n"/>
      <c r="B104" s="15" t="n"/>
      <c r="C104" s="15" t="n"/>
      <c r="D104" s="15" t="n"/>
      <c r="E104" s="15" t="n"/>
      <c r="F104" s="15" t="n"/>
      <c r="G104" s="15" t="n"/>
      <c r="H104" s="15" t="n"/>
      <c r="I104" s="15" t="n"/>
      <c r="J104" s="23" t="n"/>
      <c r="K104" s="15" t="n"/>
      <c r="L104" s="15" t="n"/>
      <c r="M104" s="23" t="n"/>
      <c r="N104" s="15" t="n"/>
      <c r="O104" s="17" t="n"/>
      <c r="P104" s="17" t="n"/>
      <c r="Q104" s="17" t="n"/>
      <c r="R104" s="23" t="n"/>
      <c r="S104" s="15" t="n"/>
      <c r="T104" s="24">
        <f>IF(AND(Q104&gt;0,S104="No"),"Effective",IF(AND(Q104&gt;0,S104="Yes"),"Ineffective",IF(AND(Q104=0,J104&lt;TODAY()-30),"Ineffective","Monitoring")))</f>
        <v/>
      </c>
    </row>
    <row r="106">
      <c r="A106" s="18" t="inlineStr">
        <is>
          <t>IOC SUMMARY</t>
        </is>
      </c>
    </row>
    <row r="107">
      <c r="A107" s="19" t="inlineStr">
        <is>
          <t>Total IOCs:</t>
        </is>
      </c>
      <c r="B107" s="19">
        <f>COUNTA(C5:C104)</f>
        <v/>
      </c>
    </row>
    <row r="108">
      <c r="A108" s="19" t="inlineStr">
        <is>
          <t>Active IOCs:</t>
        </is>
      </c>
      <c r="B108" s="20">
        <f>COUNTIF(N5:N104,"Active")</f>
        <v/>
      </c>
    </row>
    <row r="109">
      <c r="A109" s="19" t="inlineStr">
        <is>
          <t>IOCs with Hits (7 days):</t>
        </is>
      </c>
      <c r="B109" s="20">
        <f>COUNTIF(O5:O104,"&gt;0")</f>
        <v/>
      </c>
    </row>
    <row r="110">
      <c r="A110" s="19" t="inlineStr">
        <is>
          <t>False Positives:</t>
        </is>
      </c>
      <c r="B110" s="22">
        <f>COUNTIF(S5:S104,"Yes")</f>
        <v/>
      </c>
    </row>
    <row r="111">
      <c r="A111" s="19" t="inlineStr">
        <is>
          <t>Effective IOCs:</t>
        </is>
      </c>
      <c r="B111" s="20">
        <f>COUNTIF(T5:T104,"Effective")</f>
        <v/>
      </c>
    </row>
  </sheetData>
  <mergeCells count="3">
    <mergeCell ref="A1:T1"/>
    <mergeCell ref="A2:T2"/>
    <mergeCell ref="A106:E106"/>
  </mergeCells>
  <conditionalFormatting sqref="A5:T5">
    <cfRule type="cellIs" priority="1" operator="equal" dxfId="3">
      <formula>"Expired"</formula>
    </cfRule>
  </conditionalFormatting>
  <conditionalFormatting sqref="O5">
    <cfRule type="cellIs" priority="2" operator="greaterThan" dxfId="0">
      <formula>0</formula>
    </cfRule>
  </conditionalFormatting>
  <conditionalFormatting sqref="S5">
    <cfRule type="cellIs" priority="3" operator="equal" dxfId="1">
      <formula>"Yes"</formula>
    </cfRule>
  </conditionalFormatting>
  <conditionalFormatting sqref="T5">
    <cfRule type="cellIs" priority="4" operator="equal" dxfId="1">
      <formula>"Ineffective"</formula>
    </cfRule>
  </conditionalFormatting>
  <conditionalFormatting sqref="A6:T6">
    <cfRule type="cellIs" priority="5" operator="equal" dxfId="3">
      <formula>"Expired"</formula>
    </cfRule>
  </conditionalFormatting>
  <conditionalFormatting sqref="O6">
    <cfRule type="cellIs" priority="6" operator="greaterThan" dxfId="0">
      <formula>0</formula>
    </cfRule>
  </conditionalFormatting>
  <conditionalFormatting sqref="S6">
    <cfRule type="cellIs" priority="7" operator="equal" dxfId="1">
      <formula>"Yes"</formula>
    </cfRule>
  </conditionalFormatting>
  <conditionalFormatting sqref="T6">
    <cfRule type="cellIs" priority="8" operator="equal" dxfId="1">
      <formula>"Ineffective"</formula>
    </cfRule>
  </conditionalFormatting>
  <conditionalFormatting sqref="A7:T7">
    <cfRule type="cellIs" priority="9" operator="equal" dxfId="3">
      <formula>"Expired"</formula>
    </cfRule>
  </conditionalFormatting>
  <conditionalFormatting sqref="O7">
    <cfRule type="cellIs" priority="10" operator="greaterThan" dxfId="0">
      <formula>0</formula>
    </cfRule>
  </conditionalFormatting>
  <conditionalFormatting sqref="S7">
    <cfRule type="cellIs" priority="11" operator="equal" dxfId="1">
      <formula>"Yes"</formula>
    </cfRule>
  </conditionalFormatting>
  <conditionalFormatting sqref="T7">
    <cfRule type="cellIs" priority="12" operator="equal" dxfId="1">
      <formula>"Ineffective"</formula>
    </cfRule>
  </conditionalFormatting>
  <conditionalFormatting sqref="A8:T8">
    <cfRule type="cellIs" priority="13" operator="equal" dxfId="3">
      <formula>"Expired"</formula>
    </cfRule>
  </conditionalFormatting>
  <conditionalFormatting sqref="O8">
    <cfRule type="cellIs" priority="14" operator="greaterThan" dxfId="0">
      <formula>0</formula>
    </cfRule>
  </conditionalFormatting>
  <conditionalFormatting sqref="S8">
    <cfRule type="cellIs" priority="15" operator="equal" dxfId="1">
      <formula>"Yes"</formula>
    </cfRule>
  </conditionalFormatting>
  <conditionalFormatting sqref="T8">
    <cfRule type="cellIs" priority="16" operator="equal" dxfId="1">
      <formula>"Ineffective"</formula>
    </cfRule>
  </conditionalFormatting>
  <conditionalFormatting sqref="A9:T9">
    <cfRule type="cellIs" priority="17" operator="equal" dxfId="3">
      <formula>"Expired"</formula>
    </cfRule>
  </conditionalFormatting>
  <conditionalFormatting sqref="O9">
    <cfRule type="cellIs" priority="18" operator="greaterThan" dxfId="0">
      <formula>0</formula>
    </cfRule>
  </conditionalFormatting>
  <conditionalFormatting sqref="S9">
    <cfRule type="cellIs" priority="19" operator="equal" dxfId="1">
      <formula>"Yes"</formula>
    </cfRule>
  </conditionalFormatting>
  <conditionalFormatting sqref="T9">
    <cfRule type="cellIs" priority="20" operator="equal" dxfId="1">
      <formula>"Ineffective"</formula>
    </cfRule>
  </conditionalFormatting>
  <conditionalFormatting sqref="A10:T10">
    <cfRule type="cellIs" priority="21" operator="equal" dxfId="3">
      <formula>"Expired"</formula>
    </cfRule>
  </conditionalFormatting>
  <conditionalFormatting sqref="O10">
    <cfRule type="cellIs" priority="22" operator="greaterThan" dxfId="0">
      <formula>0</formula>
    </cfRule>
  </conditionalFormatting>
  <conditionalFormatting sqref="S10">
    <cfRule type="cellIs" priority="23" operator="equal" dxfId="1">
      <formula>"Yes"</formula>
    </cfRule>
  </conditionalFormatting>
  <conditionalFormatting sqref="T10">
    <cfRule type="cellIs" priority="24" operator="equal" dxfId="1">
      <formula>"Ineffective"</formula>
    </cfRule>
  </conditionalFormatting>
  <conditionalFormatting sqref="A11:T11">
    <cfRule type="cellIs" priority="25" operator="equal" dxfId="3">
      <formula>"Expired"</formula>
    </cfRule>
  </conditionalFormatting>
  <conditionalFormatting sqref="O11">
    <cfRule type="cellIs" priority="26" operator="greaterThan" dxfId="0">
      <formula>0</formula>
    </cfRule>
  </conditionalFormatting>
  <conditionalFormatting sqref="S11">
    <cfRule type="cellIs" priority="27" operator="equal" dxfId="1">
      <formula>"Yes"</formula>
    </cfRule>
  </conditionalFormatting>
  <conditionalFormatting sqref="T11">
    <cfRule type="cellIs" priority="28" operator="equal" dxfId="1">
      <formula>"Ineffective"</formula>
    </cfRule>
  </conditionalFormatting>
  <conditionalFormatting sqref="A12:T12">
    <cfRule type="cellIs" priority="29" operator="equal" dxfId="3">
      <formula>"Expired"</formula>
    </cfRule>
  </conditionalFormatting>
  <conditionalFormatting sqref="O12">
    <cfRule type="cellIs" priority="30" operator="greaterThan" dxfId="0">
      <formula>0</formula>
    </cfRule>
  </conditionalFormatting>
  <conditionalFormatting sqref="S12">
    <cfRule type="cellIs" priority="31" operator="equal" dxfId="1">
      <formula>"Yes"</formula>
    </cfRule>
  </conditionalFormatting>
  <conditionalFormatting sqref="T12">
    <cfRule type="cellIs" priority="32" operator="equal" dxfId="1">
      <formula>"Ineffective"</formula>
    </cfRule>
  </conditionalFormatting>
  <conditionalFormatting sqref="A13:T13">
    <cfRule type="cellIs" priority="33" operator="equal" dxfId="3">
      <formula>"Expired"</formula>
    </cfRule>
  </conditionalFormatting>
  <conditionalFormatting sqref="O13">
    <cfRule type="cellIs" priority="34" operator="greaterThan" dxfId="0">
      <formula>0</formula>
    </cfRule>
  </conditionalFormatting>
  <conditionalFormatting sqref="S13">
    <cfRule type="cellIs" priority="35" operator="equal" dxfId="1">
      <formula>"Yes"</formula>
    </cfRule>
  </conditionalFormatting>
  <conditionalFormatting sqref="T13">
    <cfRule type="cellIs" priority="36" operator="equal" dxfId="1">
      <formula>"Ineffective"</formula>
    </cfRule>
  </conditionalFormatting>
  <conditionalFormatting sqref="A14:T14">
    <cfRule type="cellIs" priority="37" operator="equal" dxfId="3">
      <formula>"Expired"</formula>
    </cfRule>
  </conditionalFormatting>
  <conditionalFormatting sqref="O14">
    <cfRule type="cellIs" priority="38" operator="greaterThan" dxfId="0">
      <formula>0</formula>
    </cfRule>
  </conditionalFormatting>
  <conditionalFormatting sqref="S14">
    <cfRule type="cellIs" priority="39" operator="equal" dxfId="1">
      <formula>"Yes"</formula>
    </cfRule>
  </conditionalFormatting>
  <conditionalFormatting sqref="T14">
    <cfRule type="cellIs" priority="40" operator="equal" dxfId="1">
      <formula>"Ineffective"</formula>
    </cfRule>
  </conditionalFormatting>
  <conditionalFormatting sqref="A15:T15">
    <cfRule type="cellIs" priority="41" operator="equal" dxfId="3">
      <formula>"Expired"</formula>
    </cfRule>
  </conditionalFormatting>
  <conditionalFormatting sqref="O15">
    <cfRule type="cellIs" priority="42" operator="greaterThan" dxfId="0">
      <formula>0</formula>
    </cfRule>
  </conditionalFormatting>
  <conditionalFormatting sqref="S15">
    <cfRule type="cellIs" priority="43" operator="equal" dxfId="1">
      <formula>"Yes"</formula>
    </cfRule>
  </conditionalFormatting>
  <conditionalFormatting sqref="T15">
    <cfRule type="cellIs" priority="44" operator="equal" dxfId="1">
      <formula>"Ineffective"</formula>
    </cfRule>
  </conditionalFormatting>
  <conditionalFormatting sqref="A16:T16">
    <cfRule type="cellIs" priority="45" operator="equal" dxfId="3">
      <formula>"Expired"</formula>
    </cfRule>
  </conditionalFormatting>
  <conditionalFormatting sqref="O16">
    <cfRule type="cellIs" priority="46" operator="greaterThan" dxfId="0">
      <formula>0</formula>
    </cfRule>
  </conditionalFormatting>
  <conditionalFormatting sqref="S16">
    <cfRule type="cellIs" priority="47" operator="equal" dxfId="1">
      <formula>"Yes"</formula>
    </cfRule>
  </conditionalFormatting>
  <conditionalFormatting sqref="T16">
    <cfRule type="cellIs" priority="48" operator="equal" dxfId="1">
      <formula>"Ineffective"</formula>
    </cfRule>
  </conditionalFormatting>
  <conditionalFormatting sqref="A17:T17">
    <cfRule type="cellIs" priority="49" operator="equal" dxfId="3">
      <formula>"Expired"</formula>
    </cfRule>
  </conditionalFormatting>
  <conditionalFormatting sqref="O17">
    <cfRule type="cellIs" priority="50" operator="greaterThan" dxfId="0">
      <formula>0</formula>
    </cfRule>
  </conditionalFormatting>
  <conditionalFormatting sqref="S17">
    <cfRule type="cellIs" priority="51" operator="equal" dxfId="1">
      <formula>"Yes"</formula>
    </cfRule>
  </conditionalFormatting>
  <conditionalFormatting sqref="T17">
    <cfRule type="cellIs" priority="52" operator="equal" dxfId="1">
      <formula>"Ineffective"</formula>
    </cfRule>
  </conditionalFormatting>
  <conditionalFormatting sqref="A18:T18">
    <cfRule type="cellIs" priority="53" operator="equal" dxfId="3">
      <formula>"Expired"</formula>
    </cfRule>
  </conditionalFormatting>
  <conditionalFormatting sqref="O18">
    <cfRule type="cellIs" priority="54" operator="greaterThan" dxfId="0">
      <formula>0</formula>
    </cfRule>
  </conditionalFormatting>
  <conditionalFormatting sqref="S18">
    <cfRule type="cellIs" priority="55" operator="equal" dxfId="1">
      <formula>"Yes"</formula>
    </cfRule>
  </conditionalFormatting>
  <conditionalFormatting sqref="T18">
    <cfRule type="cellIs" priority="56" operator="equal" dxfId="1">
      <formula>"Ineffective"</formula>
    </cfRule>
  </conditionalFormatting>
  <conditionalFormatting sqref="A19:T19">
    <cfRule type="cellIs" priority="57" operator="equal" dxfId="3">
      <formula>"Expired"</formula>
    </cfRule>
  </conditionalFormatting>
  <conditionalFormatting sqref="O19">
    <cfRule type="cellIs" priority="58" operator="greaterThan" dxfId="0">
      <formula>0</formula>
    </cfRule>
  </conditionalFormatting>
  <conditionalFormatting sqref="S19">
    <cfRule type="cellIs" priority="59" operator="equal" dxfId="1">
      <formula>"Yes"</formula>
    </cfRule>
  </conditionalFormatting>
  <conditionalFormatting sqref="T19">
    <cfRule type="cellIs" priority="60" operator="equal" dxfId="1">
      <formula>"Ineffective"</formula>
    </cfRule>
  </conditionalFormatting>
  <conditionalFormatting sqref="A20:T20">
    <cfRule type="cellIs" priority="61" operator="equal" dxfId="3">
      <formula>"Expired"</formula>
    </cfRule>
  </conditionalFormatting>
  <conditionalFormatting sqref="O20">
    <cfRule type="cellIs" priority="62" operator="greaterThan" dxfId="0">
      <formula>0</formula>
    </cfRule>
  </conditionalFormatting>
  <conditionalFormatting sqref="S20">
    <cfRule type="cellIs" priority="63" operator="equal" dxfId="1">
      <formula>"Yes"</formula>
    </cfRule>
  </conditionalFormatting>
  <conditionalFormatting sqref="T20">
    <cfRule type="cellIs" priority="64" operator="equal" dxfId="1">
      <formula>"Ineffective"</formula>
    </cfRule>
  </conditionalFormatting>
  <conditionalFormatting sqref="A21:T21">
    <cfRule type="cellIs" priority="65" operator="equal" dxfId="3">
      <formula>"Expired"</formula>
    </cfRule>
  </conditionalFormatting>
  <conditionalFormatting sqref="O21">
    <cfRule type="cellIs" priority="66" operator="greaterThan" dxfId="0">
      <formula>0</formula>
    </cfRule>
  </conditionalFormatting>
  <conditionalFormatting sqref="S21">
    <cfRule type="cellIs" priority="67" operator="equal" dxfId="1">
      <formula>"Yes"</formula>
    </cfRule>
  </conditionalFormatting>
  <conditionalFormatting sqref="T21">
    <cfRule type="cellIs" priority="68" operator="equal" dxfId="1">
      <formula>"Ineffective"</formula>
    </cfRule>
  </conditionalFormatting>
  <conditionalFormatting sqref="A22:T22">
    <cfRule type="cellIs" priority="69" operator="equal" dxfId="3">
      <formula>"Expired"</formula>
    </cfRule>
  </conditionalFormatting>
  <conditionalFormatting sqref="O22">
    <cfRule type="cellIs" priority="70" operator="greaterThan" dxfId="0">
      <formula>0</formula>
    </cfRule>
  </conditionalFormatting>
  <conditionalFormatting sqref="S22">
    <cfRule type="cellIs" priority="71" operator="equal" dxfId="1">
      <formula>"Yes"</formula>
    </cfRule>
  </conditionalFormatting>
  <conditionalFormatting sqref="T22">
    <cfRule type="cellIs" priority="72" operator="equal" dxfId="1">
      <formula>"Ineffective"</formula>
    </cfRule>
  </conditionalFormatting>
  <conditionalFormatting sqref="A23:T23">
    <cfRule type="cellIs" priority="73" operator="equal" dxfId="3">
      <formula>"Expired"</formula>
    </cfRule>
  </conditionalFormatting>
  <conditionalFormatting sqref="O23">
    <cfRule type="cellIs" priority="74" operator="greaterThan" dxfId="0">
      <formula>0</formula>
    </cfRule>
  </conditionalFormatting>
  <conditionalFormatting sqref="S23">
    <cfRule type="cellIs" priority="75" operator="equal" dxfId="1">
      <formula>"Yes"</formula>
    </cfRule>
  </conditionalFormatting>
  <conditionalFormatting sqref="T23">
    <cfRule type="cellIs" priority="76" operator="equal" dxfId="1">
      <formula>"Ineffective"</formula>
    </cfRule>
  </conditionalFormatting>
  <conditionalFormatting sqref="A24:T24">
    <cfRule type="cellIs" priority="77" operator="equal" dxfId="3">
      <formula>"Expired"</formula>
    </cfRule>
  </conditionalFormatting>
  <conditionalFormatting sqref="O24">
    <cfRule type="cellIs" priority="78" operator="greaterThan" dxfId="0">
      <formula>0</formula>
    </cfRule>
  </conditionalFormatting>
  <conditionalFormatting sqref="S24">
    <cfRule type="cellIs" priority="79" operator="equal" dxfId="1">
      <formula>"Yes"</formula>
    </cfRule>
  </conditionalFormatting>
  <conditionalFormatting sqref="T24">
    <cfRule type="cellIs" priority="80" operator="equal" dxfId="1">
      <formula>"Ineffective"</formula>
    </cfRule>
  </conditionalFormatting>
  <conditionalFormatting sqref="A25:T25">
    <cfRule type="cellIs" priority="81" operator="equal" dxfId="3">
      <formula>"Expired"</formula>
    </cfRule>
  </conditionalFormatting>
  <conditionalFormatting sqref="O25">
    <cfRule type="cellIs" priority="82" operator="greaterThan" dxfId="0">
      <formula>0</formula>
    </cfRule>
  </conditionalFormatting>
  <conditionalFormatting sqref="S25">
    <cfRule type="cellIs" priority="83" operator="equal" dxfId="1">
      <formula>"Yes"</formula>
    </cfRule>
  </conditionalFormatting>
  <conditionalFormatting sqref="T25">
    <cfRule type="cellIs" priority="84" operator="equal" dxfId="1">
      <formula>"Ineffective"</formula>
    </cfRule>
  </conditionalFormatting>
  <conditionalFormatting sqref="A26:T26">
    <cfRule type="cellIs" priority="85" operator="equal" dxfId="3">
      <formula>"Expired"</formula>
    </cfRule>
  </conditionalFormatting>
  <conditionalFormatting sqref="O26">
    <cfRule type="cellIs" priority="86" operator="greaterThan" dxfId="0">
      <formula>0</formula>
    </cfRule>
  </conditionalFormatting>
  <conditionalFormatting sqref="S26">
    <cfRule type="cellIs" priority="87" operator="equal" dxfId="1">
      <formula>"Yes"</formula>
    </cfRule>
  </conditionalFormatting>
  <conditionalFormatting sqref="T26">
    <cfRule type="cellIs" priority="88" operator="equal" dxfId="1">
      <formula>"Ineffective"</formula>
    </cfRule>
  </conditionalFormatting>
  <conditionalFormatting sqref="A27:T27">
    <cfRule type="cellIs" priority="89" operator="equal" dxfId="3">
      <formula>"Expired"</formula>
    </cfRule>
  </conditionalFormatting>
  <conditionalFormatting sqref="O27">
    <cfRule type="cellIs" priority="90" operator="greaterThan" dxfId="0">
      <formula>0</formula>
    </cfRule>
  </conditionalFormatting>
  <conditionalFormatting sqref="S27">
    <cfRule type="cellIs" priority="91" operator="equal" dxfId="1">
      <formula>"Yes"</formula>
    </cfRule>
  </conditionalFormatting>
  <conditionalFormatting sqref="T27">
    <cfRule type="cellIs" priority="92" operator="equal" dxfId="1">
      <formula>"Ineffective"</formula>
    </cfRule>
  </conditionalFormatting>
  <conditionalFormatting sqref="A28:T28">
    <cfRule type="cellIs" priority="93" operator="equal" dxfId="3">
      <formula>"Expired"</formula>
    </cfRule>
  </conditionalFormatting>
  <conditionalFormatting sqref="O28">
    <cfRule type="cellIs" priority="94" operator="greaterThan" dxfId="0">
      <formula>0</formula>
    </cfRule>
  </conditionalFormatting>
  <conditionalFormatting sqref="S28">
    <cfRule type="cellIs" priority="95" operator="equal" dxfId="1">
      <formula>"Yes"</formula>
    </cfRule>
  </conditionalFormatting>
  <conditionalFormatting sqref="T28">
    <cfRule type="cellIs" priority="96" operator="equal" dxfId="1">
      <formula>"Ineffective"</formula>
    </cfRule>
  </conditionalFormatting>
  <conditionalFormatting sqref="A29:T29">
    <cfRule type="cellIs" priority="97" operator="equal" dxfId="3">
      <formula>"Expired"</formula>
    </cfRule>
  </conditionalFormatting>
  <conditionalFormatting sqref="O29">
    <cfRule type="cellIs" priority="98" operator="greaterThan" dxfId="0">
      <formula>0</formula>
    </cfRule>
  </conditionalFormatting>
  <conditionalFormatting sqref="S29">
    <cfRule type="cellIs" priority="99" operator="equal" dxfId="1">
      <formula>"Yes"</formula>
    </cfRule>
  </conditionalFormatting>
  <conditionalFormatting sqref="T29">
    <cfRule type="cellIs" priority="100" operator="equal" dxfId="1">
      <formula>"Ineffective"</formula>
    </cfRule>
  </conditionalFormatting>
  <conditionalFormatting sqref="A30:T30">
    <cfRule type="cellIs" priority="101" operator="equal" dxfId="3">
      <formula>"Expired"</formula>
    </cfRule>
  </conditionalFormatting>
  <conditionalFormatting sqref="O30">
    <cfRule type="cellIs" priority="102" operator="greaterThan" dxfId="0">
      <formula>0</formula>
    </cfRule>
  </conditionalFormatting>
  <conditionalFormatting sqref="S30">
    <cfRule type="cellIs" priority="103" operator="equal" dxfId="1">
      <formula>"Yes"</formula>
    </cfRule>
  </conditionalFormatting>
  <conditionalFormatting sqref="T30">
    <cfRule type="cellIs" priority="104" operator="equal" dxfId="1">
      <formula>"Ineffective"</formula>
    </cfRule>
  </conditionalFormatting>
  <conditionalFormatting sqref="A31:T31">
    <cfRule type="cellIs" priority="105" operator="equal" dxfId="3">
      <formula>"Expired"</formula>
    </cfRule>
  </conditionalFormatting>
  <conditionalFormatting sqref="O31">
    <cfRule type="cellIs" priority="106" operator="greaterThan" dxfId="0">
      <formula>0</formula>
    </cfRule>
  </conditionalFormatting>
  <conditionalFormatting sqref="S31">
    <cfRule type="cellIs" priority="107" operator="equal" dxfId="1">
      <formula>"Yes"</formula>
    </cfRule>
  </conditionalFormatting>
  <conditionalFormatting sqref="T31">
    <cfRule type="cellIs" priority="108" operator="equal" dxfId="1">
      <formula>"Ineffective"</formula>
    </cfRule>
  </conditionalFormatting>
  <conditionalFormatting sqref="A32:T32">
    <cfRule type="cellIs" priority="109" operator="equal" dxfId="3">
      <formula>"Expired"</formula>
    </cfRule>
  </conditionalFormatting>
  <conditionalFormatting sqref="O32">
    <cfRule type="cellIs" priority="110" operator="greaterThan" dxfId="0">
      <formula>0</formula>
    </cfRule>
  </conditionalFormatting>
  <conditionalFormatting sqref="S32">
    <cfRule type="cellIs" priority="111" operator="equal" dxfId="1">
      <formula>"Yes"</formula>
    </cfRule>
  </conditionalFormatting>
  <conditionalFormatting sqref="T32">
    <cfRule type="cellIs" priority="112" operator="equal" dxfId="1">
      <formula>"Ineffective"</formula>
    </cfRule>
  </conditionalFormatting>
  <conditionalFormatting sqref="A33:T33">
    <cfRule type="cellIs" priority="113" operator="equal" dxfId="3">
      <formula>"Expired"</formula>
    </cfRule>
  </conditionalFormatting>
  <conditionalFormatting sqref="O33">
    <cfRule type="cellIs" priority="114" operator="greaterThan" dxfId="0">
      <formula>0</formula>
    </cfRule>
  </conditionalFormatting>
  <conditionalFormatting sqref="S33">
    <cfRule type="cellIs" priority="115" operator="equal" dxfId="1">
      <formula>"Yes"</formula>
    </cfRule>
  </conditionalFormatting>
  <conditionalFormatting sqref="T33">
    <cfRule type="cellIs" priority="116" operator="equal" dxfId="1">
      <formula>"Ineffective"</formula>
    </cfRule>
  </conditionalFormatting>
  <conditionalFormatting sqref="A34:T34">
    <cfRule type="cellIs" priority="117" operator="equal" dxfId="3">
      <formula>"Expired"</formula>
    </cfRule>
  </conditionalFormatting>
  <conditionalFormatting sqref="O34">
    <cfRule type="cellIs" priority="118" operator="greaterThan" dxfId="0">
      <formula>0</formula>
    </cfRule>
  </conditionalFormatting>
  <conditionalFormatting sqref="S34">
    <cfRule type="cellIs" priority="119" operator="equal" dxfId="1">
      <formula>"Yes"</formula>
    </cfRule>
  </conditionalFormatting>
  <conditionalFormatting sqref="T34">
    <cfRule type="cellIs" priority="120" operator="equal" dxfId="1">
      <formula>"Ineffective"</formula>
    </cfRule>
  </conditionalFormatting>
  <conditionalFormatting sqref="A35:T35">
    <cfRule type="cellIs" priority="121" operator="equal" dxfId="3">
      <formula>"Expired"</formula>
    </cfRule>
  </conditionalFormatting>
  <conditionalFormatting sqref="O35">
    <cfRule type="cellIs" priority="122" operator="greaterThan" dxfId="0">
      <formula>0</formula>
    </cfRule>
  </conditionalFormatting>
  <conditionalFormatting sqref="S35">
    <cfRule type="cellIs" priority="123" operator="equal" dxfId="1">
      <formula>"Yes"</formula>
    </cfRule>
  </conditionalFormatting>
  <conditionalFormatting sqref="T35">
    <cfRule type="cellIs" priority="124" operator="equal" dxfId="1">
      <formula>"Ineffective"</formula>
    </cfRule>
  </conditionalFormatting>
  <conditionalFormatting sqref="A36:T36">
    <cfRule type="cellIs" priority="125" operator="equal" dxfId="3">
      <formula>"Expired"</formula>
    </cfRule>
  </conditionalFormatting>
  <conditionalFormatting sqref="O36">
    <cfRule type="cellIs" priority="126" operator="greaterThan" dxfId="0">
      <formula>0</formula>
    </cfRule>
  </conditionalFormatting>
  <conditionalFormatting sqref="S36">
    <cfRule type="cellIs" priority="127" operator="equal" dxfId="1">
      <formula>"Yes"</formula>
    </cfRule>
  </conditionalFormatting>
  <conditionalFormatting sqref="T36">
    <cfRule type="cellIs" priority="128" operator="equal" dxfId="1">
      <formula>"Ineffective"</formula>
    </cfRule>
  </conditionalFormatting>
  <conditionalFormatting sqref="A37:T37">
    <cfRule type="cellIs" priority="129" operator="equal" dxfId="3">
      <formula>"Expired"</formula>
    </cfRule>
  </conditionalFormatting>
  <conditionalFormatting sqref="O37">
    <cfRule type="cellIs" priority="130" operator="greaterThan" dxfId="0">
      <formula>0</formula>
    </cfRule>
  </conditionalFormatting>
  <conditionalFormatting sqref="S37">
    <cfRule type="cellIs" priority="131" operator="equal" dxfId="1">
      <formula>"Yes"</formula>
    </cfRule>
  </conditionalFormatting>
  <conditionalFormatting sqref="T37">
    <cfRule type="cellIs" priority="132" operator="equal" dxfId="1">
      <formula>"Ineffective"</formula>
    </cfRule>
  </conditionalFormatting>
  <conditionalFormatting sqref="A38:T38">
    <cfRule type="cellIs" priority="133" operator="equal" dxfId="3">
      <formula>"Expired"</formula>
    </cfRule>
  </conditionalFormatting>
  <conditionalFormatting sqref="O38">
    <cfRule type="cellIs" priority="134" operator="greaterThan" dxfId="0">
      <formula>0</formula>
    </cfRule>
  </conditionalFormatting>
  <conditionalFormatting sqref="S38">
    <cfRule type="cellIs" priority="135" operator="equal" dxfId="1">
      <formula>"Yes"</formula>
    </cfRule>
  </conditionalFormatting>
  <conditionalFormatting sqref="T38">
    <cfRule type="cellIs" priority="136" operator="equal" dxfId="1">
      <formula>"Ineffective"</formula>
    </cfRule>
  </conditionalFormatting>
  <conditionalFormatting sqref="A39:T39">
    <cfRule type="cellIs" priority="137" operator="equal" dxfId="3">
      <formula>"Expired"</formula>
    </cfRule>
  </conditionalFormatting>
  <conditionalFormatting sqref="O39">
    <cfRule type="cellIs" priority="138" operator="greaterThan" dxfId="0">
      <formula>0</formula>
    </cfRule>
  </conditionalFormatting>
  <conditionalFormatting sqref="S39">
    <cfRule type="cellIs" priority="139" operator="equal" dxfId="1">
      <formula>"Yes"</formula>
    </cfRule>
  </conditionalFormatting>
  <conditionalFormatting sqref="T39">
    <cfRule type="cellIs" priority="140" operator="equal" dxfId="1">
      <formula>"Ineffective"</formula>
    </cfRule>
  </conditionalFormatting>
  <conditionalFormatting sqref="A40:T40">
    <cfRule type="cellIs" priority="141" operator="equal" dxfId="3">
      <formula>"Expired"</formula>
    </cfRule>
  </conditionalFormatting>
  <conditionalFormatting sqref="O40">
    <cfRule type="cellIs" priority="142" operator="greaterThan" dxfId="0">
      <formula>0</formula>
    </cfRule>
  </conditionalFormatting>
  <conditionalFormatting sqref="S40">
    <cfRule type="cellIs" priority="143" operator="equal" dxfId="1">
      <formula>"Yes"</formula>
    </cfRule>
  </conditionalFormatting>
  <conditionalFormatting sqref="T40">
    <cfRule type="cellIs" priority="144" operator="equal" dxfId="1">
      <formula>"Ineffective"</formula>
    </cfRule>
  </conditionalFormatting>
  <conditionalFormatting sqref="A41:T41">
    <cfRule type="cellIs" priority="145" operator="equal" dxfId="3">
      <formula>"Expired"</formula>
    </cfRule>
  </conditionalFormatting>
  <conditionalFormatting sqref="O41">
    <cfRule type="cellIs" priority="146" operator="greaterThan" dxfId="0">
      <formula>0</formula>
    </cfRule>
  </conditionalFormatting>
  <conditionalFormatting sqref="S41">
    <cfRule type="cellIs" priority="147" operator="equal" dxfId="1">
      <formula>"Yes"</formula>
    </cfRule>
  </conditionalFormatting>
  <conditionalFormatting sqref="T41">
    <cfRule type="cellIs" priority="148" operator="equal" dxfId="1">
      <formula>"Ineffective"</formula>
    </cfRule>
  </conditionalFormatting>
  <conditionalFormatting sqref="A42:T42">
    <cfRule type="cellIs" priority="149" operator="equal" dxfId="3">
      <formula>"Expired"</formula>
    </cfRule>
  </conditionalFormatting>
  <conditionalFormatting sqref="O42">
    <cfRule type="cellIs" priority="150" operator="greaterThan" dxfId="0">
      <formula>0</formula>
    </cfRule>
  </conditionalFormatting>
  <conditionalFormatting sqref="S42">
    <cfRule type="cellIs" priority="151" operator="equal" dxfId="1">
      <formula>"Yes"</formula>
    </cfRule>
  </conditionalFormatting>
  <conditionalFormatting sqref="T42">
    <cfRule type="cellIs" priority="152" operator="equal" dxfId="1">
      <formula>"Ineffective"</formula>
    </cfRule>
  </conditionalFormatting>
  <conditionalFormatting sqref="A43:T43">
    <cfRule type="cellIs" priority="153" operator="equal" dxfId="3">
      <formula>"Expired"</formula>
    </cfRule>
  </conditionalFormatting>
  <conditionalFormatting sqref="O43">
    <cfRule type="cellIs" priority="154" operator="greaterThan" dxfId="0">
      <formula>0</formula>
    </cfRule>
  </conditionalFormatting>
  <conditionalFormatting sqref="S43">
    <cfRule type="cellIs" priority="155" operator="equal" dxfId="1">
      <formula>"Yes"</formula>
    </cfRule>
  </conditionalFormatting>
  <conditionalFormatting sqref="T43">
    <cfRule type="cellIs" priority="156" operator="equal" dxfId="1">
      <formula>"Ineffective"</formula>
    </cfRule>
  </conditionalFormatting>
  <conditionalFormatting sqref="A44:T44">
    <cfRule type="cellIs" priority="157" operator="equal" dxfId="3">
      <formula>"Expired"</formula>
    </cfRule>
  </conditionalFormatting>
  <conditionalFormatting sqref="O44">
    <cfRule type="cellIs" priority="158" operator="greaterThan" dxfId="0">
      <formula>0</formula>
    </cfRule>
  </conditionalFormatting>
  <conditionalFormatting sqref="S44">
    <cfRule type="cellIs" priority="159" operator="equal" dxfId="1">
      <formula>"Yes"</formula>
    </cfRule>
  </conditionalFormatting>
  <conditionalFormatting sqref="T44">
    <cfRule type="cellIs" priority="160" operator="equal" dxfId="1">
      <formula>"Ineffective"</formula>
    </cfRule>
  </conditionalFormatting>
  <conditionalFormatting sqref="A45:T45">
    <cfRule type="cellIs" priority="161" operator="equal" dxfId="3">
      <formula>"Expired"</formula>
    </cfRule>
  </conditionalFormatting>
  <conditionalFormatting sqref="O45">
    <cfRule type="cellIs" priority="162" operator="greaterThan" dxfId="0">
      <formula>0</formula>
    </cfRule>
  </conditionalFormatting>
  <conditionalFormatting sqref="S45">
    <cfRule type="cellIs" priority="163" operator="equal" dxfId="1">
      <formula>"Yes"</formula>
    </cfRule>
  </conditionalFormatting>
  <conditionalFormatting sqref="T45">
    <cfRule type="cellIs" priority="164" operator="equal" dxfId="1">
      <formula>"Ineffective"</formula>
    </cfRule>
  </conditionalFormatting>
  <conditionalFormatting sqref="A46:T46">
    <cfRule type="cellIs" priority="165" operator="equal" dxfId="3">
      <formula>"Expired"</formula>
    </cfRule>
  </conditionalFormatting>
  <conditionalFormatting sqref="O46">
    <cfRule type="cellIs" priority="166" operator="greaterThan" dxfId="0">
      <formula>0</formula>
    </cfRule>
  </conditionalFormatting>
  <conditionalFormatting sqref="S46">
    <cfRule type="cellIs" priority="167" operator="equal" dxfId="1">
      <formula>"Yes"</formula>
    </cfRule>
  </conditionalFormatting>
  <conditionalFormatting sqref="T46">
    <cfRule type="cellIs" priority="168" operator="equal" dxfId="1">
      <formula>"Ineffective"</formula>
    </cfRule>
  </conditionalFormatting>
  <conditionalFormatting sqref="A47:T47">
    <cfRule type="cellIs" priority="169" operator="equal" dxfId="3">
      <formula>"Expired"</formula>
    </cfRule>
  </conditionalFormatting>
  <conditionalFormatting sqref="O47">
    <cfRule type="cellIs" priority="170" operator="greaterThan" dxfId="0">
      <formula>0</formula>
    </cfRule>
  </conditionalFormatting>
  <conditionalFormatting sqref="S47">
    <cfRule type="cellIs" priority="171" operator="equal" dxfId="1">
      <formula>"Yes"</formula>
    </cfRule>
  </conditionalFormatting>
  <conditionalFormatting sqref="T47">
    <cfRule type="cellIs" priority="172" operator="equal" dxfId="1">
      <formula>"Ineffective"</formula>
    </cfRule>
  </conditionalFormatting>
  <conditionalFormatting sqref="A48:T48">
    <cfRule type="cellIs" priority="173" operator="equal" dxfId="3">
      <formula>"Expired"</formula>
    </cfRule>
  </conditionalFormatting>
  <conditionalFormatting sqref="O48">
    <cfRule type="cellIs" priority="174" operator="greaterThan" dxfId="0">
      <formula>0</formula>
    </cfRule>
  </conditionalFormatting>
  <conditionalFormatting sqref="S48">
    <cfRule type="cellIs" priority="175" operator="equal" dxfId="1">
      <formula>"Yes"</formula>
    </cfRule>
  </conditionalFormatting>
  <conditionalFormatting sqref="T48">
    <cfRule type="cellIs" priority="176" operator="equal" dxfId="1">
      <formula>"Ineffective"</formula>
    </cfRule>
  </conditionalFormatting>
  <conditionalFormatting sqref="A49:T49">
    <cfRule type="cellIs" priority="177" operator="equal" dxfId="3">
      <formula>"Expired"</formula>
    </cfRule>
  </conditionalFormatting>
  <conditionalFormatting sqref="O49">
    <cfRule type="cellIs" priority="178" operator="greaterThan" dxfId="0">
      <formula>0</formula>
    </cfRule>
  </conditionalFormatting>
  <conditionalFormatting sqref="S49">
    <cfRule type="cellIs" priority="179" operator="equal" dxfId="1">
      <formula>"Yes"</formula>
    </cfRule>
  </conditionalFormatting>
  <conditionalFormatting sqref="T49">
    <cfRule type="cellIs" priority="180" operator="equal" dxfId="1">
      <formula>"Ineffective"</formula>
    </cfRule>
  </conditionalFormatting>
  <conditionalFormatting sqref="A50:T50">
    <cfRule type="cellIs" priority="181" operator="equal" dxfId="3">
      <formula>"Expired"</formula>
    </cfRule>
  </conditionalFormatting>
  <conditionalFormatting sqref="O50">
    <cfRule type="cellIs" priority="182" operator="greaterThan" dxfId="0">
      <formula>0</formula>
    </cfRule>
  </conditionalFormatting>
  <conditionalFormatting sqref="S50">
    <cfRule type="cellIs" priority="183" operator="equal" dxfId="1">
      <formula>"Yes"</formula>
    </cfRule>
  </conditionalFormatting>
  <conditionalFormatting sqref="T50">
    <cfRule type="cellIs" priority="184" operator="equal" dxfId="1">
      <formula>"Ineffective"</formula>
    </cfRule>
  </conditionalFormatting>
  <conditionalFormatting sqref="A51:T51">
    <cfRule type="cellIs" priority="185" operator="equal" dxfId="3">
      <formula>"Expired"</formula>
    </cfRule>
  </conditionalFormatting>
  <conditionalFormatting sqref="O51">
    <cfRule type="cellIs" priority="186" operator="greaterThan" dxfId="0">
      <formula>0</formula>
    </cfRule>
  </conditionalFormatting>
  <conditionalFormatting sqref="S51">
    <cfRule type="cellIs" priority="187" operator="equal" dxfId="1">
      <formula>"Yes"</formula>
    </cfRule>
  </conditionalFormatting>
  <conditionalFormatting sqref="T51">
    <cfRule type="cellIs" priority="188" operator="equal" dxfId="1">
      <formula>"Ineffective"</formula>
    </cfRule>
  </conditionalFormatting>
  <conditionalFormatting sqref="A52:T52">
    <cfRule type="cellIs" priority="189" operator="equal" dxfId="3">
      <formula>"Expired"</formula>
    </cfRule>
  </conditionalFormatting>
  <conditionalFormatting sqref="O52">
    <cfRule type="cellIs" priority="190" operator="greaterThan" dxfId="0">
      <formula>0</formula>
    </cfRule>
  </conditionalFormatting>
  <conditionalFormatting sqref="S52">
    <cfRule type="cellIs" priority="191" operator="equal" dxfId="1">
      <formula>"Yes"</formula>
    </cfRule>
  </conditionalFormatting>
  <conditionalFormatting sqref="T52">
    <cfRule type="cellIs" priority="192" operator="equal" dxfId="1">
      <formula>"Ineffective"</formula>
    </cfRule>
  </conditionalFormatting>
  <conditionalFormatting sqref="A53:T53">
    <cfRule type="cellIs" priority="193" operator="equal" dxfId="3">
      <formula>"Expired"</formula>
    </cfRule>
  </conditionalFormatting>
  <conditionalFormatting sqref="O53">
    <cfRule type="cellIs" priority="194" operator="greaterThan" dxfId="0">
      <formula>0</formula>
    </cfRule>
  </conditionalFormatting>
  <conditionalFormatting sqref="S53">
    <cfRule type="cellIs" priority="195" operator="equal" dxfId="1">
      <formula>"Yes"</formula>
    </cfRule>
  </conditionalFormatting>
  <conditionalFormatting sqref="T53">
    <cfRule type="cellIs" priority="196" operator="equal" dxfId="1">
      <formula>"Ineffective"</formula>
    </cfRule>
  </conditionalFormatting>
  <conditionalFormatting sqref="A54:T54">
    <cfRule type="cellIs" priority="197" operator="equal" dxfId="3">
      <formula>"Expired"</formula>
    </cfRule>
  </conditionalFormatting>
  <conditionalFormatting sqref="O54">
    <cfRule type="cellIs" priority="198" operator="greaterThan" dxfId="0">
      <formula>0</formula>
    </cfRule>
  </conditionalFormatting>
  <conditionalFormatting sqref="S54">
    <cfRule type="cellIs" priority="199" operator="equal" dxfId="1">
      <formula>"Yes"</formula>
    </cfRule>
  </conditionalFormatting>
  <conditionalFormatting sqref="T54">
    <cfRule type="cellIs" priority="200" operator="equal" dxfId="1">
      <formula>"Ineffective"</formula>
    </cfRule>
  </conditionalFormatting>
  <conditionalFormatting sqref="A55:T55">
    <cfRule type="cellIs" priority="201" operator="equal" dxfId="3">
      <formula>"Expired"</formula>
    </cfRule>
  </conditionalFormatting>
  <conditionalFormatting sqref="O55">
    <cfRule type="cellIs" priority="202" operator="greaterThan" dxfId="0">
      <formula>0</formula>
    </cfRule>
  </conditionalFormatting>
  <conditionalFormatting sqref="S55">
    <cfRule type="cellIs" priority="203" operator="equal" dxfId="1">
      <formula>"Yes"</formula>
    </cfRule>
  </conditionalFormatting>
  <conditionalFormatting sqref="T55">
    <cfRule type="cellIs" priority="204" operator="equal" dxfId="1">
      <formula>"Ineffective"</formula>
    </cfRule>
  </conditionalFormatting>
  <conditionalFormatting sqref="A56:T56">
    <cfRule type="cellIs" priority="205" operator="equal" dxfId="3">
      <formula>"Expired"</formula>
    </cfRule>
  </conditionalFormatting>
  <conditionalFormatting sqref="O56">
    <cfRule type="cellIs" priority="206" operator="greaterThan" dxfId="0">
      <formula>0</formula>
    </cfRule>
  </conditionalFormatting>
  <conditionalFormatting sqref="S56">
    <cfRule type="cellIs" priority="207" operator="equal" dxfId="1">
      <formula>"Yes"</formula>
    </cfRule>
  </conditionalFormatting>
  <conditionalFormatting sqref="T56">
    <cfRule type="cellIs" priority="208" operator="equal" dxfId="1">
      <formula>"Ineffective"</formula>
    </cfRule>
  </conditionalFormatting>
  <conditionalFormatting sqref="A57:T57">
    <cfRule type="cellIs" priority="209" operator="equal" dxfId="3">
      <formula>"Expired"</formula>
    </cfRule>
  </conditionalFormatting>
  <conditionalFormatting sqref="O57">
    <cfRule type="cellIs" priority="210" operator="greaterThan" dxfId="0">
      <formula>0</formula>
    </cfRule>
  </conditionalFormatting>
  <conditionalFormatting sqref="S57">
    <cfRule type="cellIs" priority="211" operator="equal" dxfId="1">
      <formula>"Yes"</formula>
    </cfRule>
  </conditionalFormatting>
  <conditionalFormatting sqref="T57">
    <cfRule type="cellIs" priority="212" operator="equal" dxfId="1">
      <formula>"Ineffective"</formula>
    </cfRule>
  </conditionalFormatting>
  <conditionalFormatting sqref="A58:T58">
    <cfRule type="cellIs" priority="213" operator="equal" dxfId="3">
      <formula>"Expired"</formula>
    </cfRule>
  </conditionalFormatting>
  <conditionalFormatting sqref="O58">
    <cfRule type="cellIs" priority="214" operator="greaterThan" dxfId="0">
      <formula>0</formula>
    </cfRule>
  </conditionalFormatting>
  <conditionalFormatting sqref="S58">
    <cfRule type="cellIs" priority="215" operator="equal" dxfId="1">
      <formula>"Yes"</formula>
    </cfRule>
  </conditionalFormatting>
  <conditionalFormatting sqref="T58">
    <cfRule type="cellIs" priority="216" operator="equal" dxfId="1">
      <formula>"Ineffective"</formula>
    </cfRule>
  </conditionalFormatting>
  <conditionalFormatting sqref="A59:T59">
    <cfRule type="cellIs" priority="217" operator="equal" dxfId="3">
      <formula>"Expired"</formula>
    </cfRule>
  </conditionalFormatting>
  <conditionalFormatting sqref="O59">
    <cfRule type="cellIs" priority="218" operator="greaterThan" dxfId="0">
      <formula>0</formula>
    </cfRule>
  </conditionalFormatting>
  <conditionalFormatting sqref="S59">
    <cfRule type="cellIs" priority="219" operator="equal" dxfId="1">
      <formula>"Yes"</formula>
    </cfRule>
  </conditionalFormatting>
  <conditionalFormatting sqref="T59">
    <cfRule type="cellIs" priority="220" operator="equal" dxfId="1">
      <formula>"Ineffective"</formula>
    </cfRule>
  </conditionalFormatting>
  <conditionalFormatting sqref="A60:T60">
    <cfRule type="cellIs" priority="221" operator="equal" dxfId="3">
      <formula>"Expired"</formula>
    </cfRule>
  </conditionalFormatting>
  <conditionalFormatting sqref="O60">
    <cfRule type="cellIs" priority="222" operator="greaterThan" dxfId="0">
      <formula>0</formula>
    </cfRule>
  </conditionalFormatting>
  <conditionalFormatting sqref="S60">
    <cfRule type="cellIs" priority="223" operator="equal" dxfId="1">
      <formula>"Yes"</formula>
    </cfRule>
  </conditionalFormatting>
  <conditionalFormatting sqref="T60">
    <cfRule type="cellIs" priority="224" operator="equal" dxfId="1">
      <formula>"Ineffective"</formula>
    </cfRule>
  </conditionalFormatting>
  <conditionalFormatting sqref="A61:T61">
    <cfRule type="cellIs" priority="225" operator="equal" dxfId="3">
      <formula>"Expired"</formula>
    </cfRule>
  </conditionalFormatting>
  <conditionalFormatting sqref="O61">
    <cfRule type="cellIs" priority="226" operator="greaterThan" dxfId="0">
      <formula>0</formula>
    </cfRule>
  </conditionalFormatting>
  <conditionalFormatting sqref="S61">
    <cfRule type="cellIs" priority="227" operator="equal" dxfId="1">
      <formula>"Yes"</formula>
    </cfRule>
  </conditionalFormatting>
  <conditionalFormatting sqref="T61">
    <cfRule type="cellIs" priority="228" operator="equal" dxfId="1">
      <formula>"Ineffective"</formula>
    </cfRule>
  </conditionalFormatting>
  <conditionalFormatting sqref="A62:T62">
    <cfRule type="cellIs" priority="229" operator="equal" dxfId="3">
      <formula>"Expired"</formula>
    </cfRule>
  </conditionalFormatting>
  <conditionalFormatting sqref="O62">
    <cfRule type="cellIs" priority="230" operator="greaterThan" dxfId="0">
      <formula>0</formula>
    </cfRule>
  </conditionalFormatting>
  <conditionalFormatting sqref="S62">
    <cfRule type="cellIs" priority="231" operator="equal" dxfId="1">
      <formula>"Yes"</formula>
    </cfRule>
  </conditionalFormatting>
  <conditionalFormatting sqref="T62">
    <cfRule type="cellIs" priority="232" operator="equal" dxfId="1">
      <formula>"Ineffective"</formula>
    </cfRule>
  </conditionalFormatting>
  <conditionalFormatting sqref="A63:T63">
    <cfRule type="cellIs" priority="233" operator="equal" dxfId="3">
      <formula>"Expired"</formula>
    </cfRule>
  </conditionalFormatting>
  <conditionalFormatting sqref="O63">
    <cfRule type="cellIs" priority="234" operator="greaterThan" dxfId="0">
      <formula>0</formula>
    </cfRule>
  </conditionalFormatting>
  <conditionalFormatting sqref="S63">
    <cfRule type="cellIs" priority="235" operator="equal" dxfId="1">
      <formula>"Yes"</formula>
    </cfRule>
  </conditionalFormatting>
  <conditionalFormatting sqref="T63">
    <cfRule type="cellIs" priority="236" operator="equal" dxfId="1">
      <formula>"Ineffective"</formula>
    </cfRule>
  </conditionalFormatting>
  <conditionalFormatting sqref="A64:T64">
    <cfRule type="cellIs" priority="237" operator="equal" dxfId="3">
      <formula>"Expired"</formula>
    </cfRule>
  </conditionalFormatting>
  <conditionalFormatting sqref="O64">
    <cfRule type="cellIs" priority="238" operator="greaterThan" dxfId="0">
      <formula>0</formula>
    </cfRule>
  </conditionalFormatting>
  <conditionalFormatting sqref="S64">
    <cfRule type="cellIs" priority="239" operator="equal" dxfId="1">
      <formula>"Yes"</formula>
    </cfRule>
  </conditionalFormatting>
  <conditionalFormatting sqref="T64">
    <cfRule type="cellIs" priority="240" operator="equal" dxfId="1">
      <formula>"Ineffective"</formula>
    </cfRule>
  </conditionalFormatting>
  <conditionalFormatting sqref="A65:T65">
    <cfRule type="cellIs" priority="241" operator="equal" dxfId="3">
      <formula>"Expired"</formula>
    </cfRule>
  </conditionalFormatting>
  <conditionalFormatting sqref="O65">
    <cfRule type="cellIs" priority="242" operator="greaterThan" dxfId="0">
      <formula>0</formula>
    </cfRule>
  </conditionalFormatting>
  <conditionalFormatting sqref="S65">
    <cfRule type="cellIs" priority="243" operator="equal" dxfId="1">
      <formula>"Yes"</formula>
    </cfRule>
  </conditionalFormatting>
  <conditionalFormatting sqref="T65">
    <cfRule type="cellIs" priority="244" operator="equal" dxfId="1">
      <formula>"Ineffective"</formula>
    </cfRule>
  </conditionalFormatting>
  <conditionalFormatting sqref="A66:T66">
    <cfRule type="cellIs" priority="245" operator="equal" dxfId="3">
      <formula>"Expired"</formula>
    </cfRule>
  </conditionalFormatting>
  <conditionalFormatting sqref="O66">
    <cfRule type="cellIs" priority="246" operator="greaterThan" dxfId="0">
      <formula>0</formula>
    </cfRule>
  </conditionalFormatting>
  <conditionalFormatting sqref="S66">
    <cfRule type="cellIs" priority="247" operator="equal" dxfId="1">
      <formula>"Yes"</formula>
    </cfRule>
  </conditionalFormatting>
  <conditionalFormatting sqref="T66">
    <cfRule type="cellIs" priority="248" operator="equal" dxfId="1">
      <formula>"Ineffective"</formula>
    </cfRule>
  </conditionalFormatting>
  <conditionalFormatting sqref="A67:T67">
    <cfRule type="cellIs" priority="249" operator="equal" dxfId="3">
      <formula>"Expired"</formula>
    </cfRule>
  </conditionalFormatting>
  <conditionalFormatting sqref="O67">
    <cfRule type="cellIs" priority="250" operator="greaterThan" dxfId="0">
      <formula>0</formula>
    </cfRule>
  </conditionalFormatting>
  <conditionalFormatting sqref="S67">
    <cfRule type="cellIs" priority="251" operator="equal" dxfId="1">
      <formula>"Yes"</formula>
    </cfRule>
  </conditionalFormatting>
  <conditionalFormatting sqref="T67">
    <cfRule type="cellIs" priority="252" operator="equal" dxfId="1">
      <formula>"Ineffective"</formula>
    </cfRule>
  </conditionalFormatting>
  <conditionalFormatting sqref="A68:T68">
    <cfRule type="cellIs" priority="253" operator="equal" dxfId="3">
      <formula>"Expired"</formula>
    </cfRule>
  </conditionalFormatting>
  <conditionalFormatting sqref="O68">
    <cfRule type="cellIs" priority="254" operator="greaterThan" dxfId="0">
      <formula>0</formula>
    </cfRule>
  </conditionalFormatting>
  <conditionalFormatting sqref="S68">
    <cfRule type="cellIs" priority="255" operator="equal" dxfId="1">
      <formula>"Yes"</formula>
    </cfRule>
  </conditionalFormatting>
  <conditionalFormatting sqref="T68">
    <cfRule type="cellIs" priority="256" operator="equal" dxfId="1">
      <formula>"Ineffective"</formula>
    </cfRule>
  </conditionalFormatting>
  <conditionalFormatting sqref="A69:T69">
    <cfRule type="cellIs" priority="257" operator="equal" dxfId="3">
      <formula>"Expired"</formula>
    </cfRule>
  </conditionalFormatting>
  <conditionalFormatting sqref="O69">
    <cfRule type="cellIs" priority="258" operator="greaterThan" dxfId="0">
      <formula>0</formula>
    </cfRule>
  </conditionalFormatting>
  <conditionalFormatting sqref="S69">
    <cfRule type="cellIs" priority="259" operator="equal" dxfId="1">
      <formula>"Yes"</formula>
    </cfRule>
  </conditionalFormatting>
  <conditionalFormatting sqref="T69">
    <cfRule type="cellIs" priority="260" operator="equal" dxfId="1">
      <formula>"Ineffective"</formula>
    </cfRule>
  </conditionalFormatting>
  <conditionalFormatting sqref="A70:T70">
    <cfRule type="cellIs" priority="261" operator="equal" dxfId="3">
      <formula>"Expired"</formula>
    </cfRule>
  </conditionalFormatting>
  <conditionalFormatting sqref="O70">
    <cfRule type="cellIs" priority="262" operator="greaterThan" dxfId="0">
      <formula>0</formula>
    </cfRule>
  </conditionalFormatting>
  <conditionalFormatting sqref="S70">
    <cfRule type="cellIs" priority="263" operator="equal" dxfId="1">
      <formula>"Yes"</formula>
    </cfRule>
  </conditionalFormatting>
  <conditionalFormatting sqref="T70">
    <cfRule type="cellIs" priority="264" operator="equal" dxfId="1">
      <formula>"Ineffective"</formula>
    </cfRule>
  </conditionalFormatting>
  <conditionalFormatting sqref="A71:T71">
    <cfRule type="cellIs" priority="265" operator="equal" dxfId="3">
      <formula>"Expired"</formula>
    </cfRule>
  </conditionalFormatting>
  <conditionalFormatting sqref="O71">
    <cfRule type="cellIs" priority="266" operator="greaterThan" dxfId="0">
      <formula>0</formula>
    </cfRule>
  </conditionalFormatting>
  <conditionalFormatting sqref="S71">
    <cfRule type="cellIs" priority="267" operator="equal" dxfId="1">
      <formula>"Yes"</formula>
    </cfRule>
  </conditionalFormatting>
  <conditionalFormatting sqref="T71">
    <cfRule type="cellIs" priority="268" operator="equal" dxfId="1">
      <formula>"Ineffective"</formula>
    </cfRule>
  </conditionalFormatting>
  <conditionalFormatting sqref="A72:T72">
    <cfRule type="cellIs" priority="269" operator="equal" dxfId="3">
      <formula>"Expired"</formula>
    </cfRule>
  </conditionalFormatting>
  <conditionalFormatting sqref="O72">
    <cfRule type="cellIs" priority="270" operator="greaterThan" dxfId="0">
      <formula>0</formula>
    </cfRule>
  </conditionalFormatting>
  <conditionalFormatting sqref="S72">
    <cfRule type="cellIs" priority="271" operator="equal" dxfId="1">
      <formula>"Yes"</formula>
    </cfRule>
  </conditionalFormatting>
  <conditionalFormatting sqref="T72">
    <cfRule type="cellIs" priority="272" operator="equal" dxfId="1">
      <formula>"Ineffective"</formula>
    </cfRule>
  </conditionalFormatting>
  <conditionalFormatting sqref="A73:T73">
    <cfRule type="cellIs" priority="273" operator="equal" dxfId="3">
      <formula>"Expired"</formula>
    </cfRule>
  </conditionalFormatting>
  <conditionalFormatting sqref="O73">
    <cfRule type="cellIs" priority="274" operator="greaterThan" dxfId="0">
      <formula>0</formula>
    </cfRule>
  </conditionalFormatting>
  <conditionalFormatting sqref="S73">
    <cfRule type="cellIs" priority="275" operator="equal" dxfId="1">
      <formula>"Yes"</formula>
    </cfRule>
  </conditionalFormatting>
  <conditionalFormatting sqref="T73">
    <cfRule type="cellIs" priority="276" operator="equal" dxfId="1">
      <formula>"Ineffective"</formula>
    </cfRule>
  </conditionalFormatting>
  <conditionalFormatting sqref="A74:T74">
    <cfRule type="cellIs" priority="277" operator="equal" dxfId="3">
      <formula>"Expired"</formula>
    </cfRule>
  </conditionalFormatting>
  <conditionalFormatting sqref="O74">
    <cfRule type="cellIs" priority="278" operator="greaterThan" dxfId="0">
      <formula>0</formula>
    </cfRule>
  </conditionalFormatting>
  <conditionalFormatting sqref="S74">
    <cfRule type="cellIs" priority="279" operator="equal" dxfId="1">
      <formula>"Yes"</formula>
    </cfRule>
  </conditionalFormatting>
  <conditionalFormatting sqref="T74">
    <cfRule type="cellIs" priority="280" operator="equal" dxfId="1">
      <formula>"Ineffective"</formula>
    </cfRule>
  </conditionalFormatting>
  <conditionalFormatting sqref="A75:T75">
    <cfRule type="cellIs" priority="281" operator="equal" dxfId="3">
      <formula>"Expired"</formula>
    </cfRule>
  </conditionalFormatting>
  <conditionalFormatting sqref="O75">
    <cfRule type="cellIs" priority="282" operator="greaterThan" dxfId="0">
      <formula>0</formula>
    </cfRule>
  </conditionalFormatting>
  <conditionalFormatting sqref="S75">
    <cfRule type="cellIs" priority="283" operator="equal" dxfId="1">
      <formula>"Yes"</formula>
    </cfRule>
  </conditionalFormatting>
  <conditionalFormatting sqref="T75">
    <cfRule type="cellIs" priority="284" operator="equal" dxfId="1">
      <formula>"Ineffective"</formula>
    </cfRule>
  </conditionalFormatting>
  <conditionalFormatting sqref="A76:T76">
    <cfRule type="cellIs" priority="285" operator="equal" dxfId="3">
      <formula>"Expired"</formula>
    </cfRule>
  </conditionalFormatting>
  <conditionalFormatting sqref="O76">
    <cfRule type="cellIs" priority="286" operator="greaterThan" dxfId="0">
      <formula>0</formula>
    </cfRule>
  </conditionalFormatting>
  <conditionalFormatting sqref="S76">
    <cfRule type="cellIs" priority="287" operator="equal" dxfId="1">
      <formula>"Yes"</formula>
    </cfRule>
  </conditionalFormatting>
  <conditionalFormatting sqref="T76">
    <cfRule type="cellIs" priority="288" operator="equal" dxfId="1">
      <formula>"Ineffective"</formula>
    </cfRule>
  </conditionalFormatting>
  <conditionalFormatting sqref="A77:T77">
    <cfRule type="cellIs" priority="289" operator="equal" dxfId="3">
      <formula>"Expired"</formula>
    </cfRule>
  </conditionalFormatting>
  <conditionalFormatting sqref="O77">
    <cfRule type="cellIs" priority="290" operator="greaterThan" dxfId="0">
      <formula>0</formula>
    </cfRule>
  </conditionalFormatting>
  <conditionalFormatting sqref="S77">
    <cfRule type="cellIs" priority="291" operator="equal" dxfId="1">
      <formula>"Yes"</formula>
    </cfRule>
  </conditionalFormatting>
  <conditionalFormatting sqref="T77">
    <cfRule type="cellIs" priority="292" operator="equal" dxfId="1">
      <formula>"Ineffective"</formula>
    </cfRule>
  </conditionalFormatting>
  <conditionalFormatting sqref="A78:T78">
    <cfRule type="cellIs" priority="293" operator="equal" dxfId="3">
      <formula>"Expired"</formula>
    </cfRule>
  </conditionalFormatting>
  <conditionalFormatting sqref="O78">
    <cfRule type="cellIs" priority="294" operator="greaterThan" dxfId="0">
      <formula>0</formula>
    </cfRule>
  </conditionalFormatting>
  <conditionalFormatting sqref="S78">
    <cfRule type="cellIs" priority="295" operator="equal" dxfId="1">
      <formula>"Yes"</formula>
    </cfRule>
  </conditionalFormatting>
  <conditionalFormatting sqref="T78">
    <cfRule type="cellIs" priority="296" operator="equal" dxfId="1">
      <formula>"Ineffective"</formula>
    </cfRule>
  </conditionalFormatting>
  <conditionalFormatting sqref="A79:T79">
    <cfRule type="cellIs" priority="297" operator="equal" dxfId="3">
      <formula>"Expired"</formula>
    </cfRule>
  </conditionalFormatting>
  <conditionalFormatting sqref="O79">
    <cfRule type="cellIs" priority="298" operator="greaterThan" dxfId="0">
      <formula>0</formula>
    </cfRule>
  </conditionalFormatting>
  <conditionalFormatting sqref="S79">
    <cfRule type="cellIs" priority="299" operator="equal" dxfId="1">
      <formula>"Yes"</formula>
    </cfRule>
  </conditionalFormatting>
  <conditionalFormatting sqref="T79">
    <cfRule type="cellIs" priority="300" operator="equal" dxfId="1">
      <formula>"Ineffective"</formula>
    </cfRule>
  </conditionalFormatting>
  <conditionalFormatting sqref="A80:T80">
    <cfRule type="cellIs" priority="301" operator="equal" dxfId="3">
      <formula>"Expired"</formula>
    </cfRule>
  </conditionalFormatting>
  <conditionalFormatting sqref="O80">
    <cfRule type="cellIs" priority="302" operator="greaterThan" dxfId="0">
      <formula>0</formula>
    </cfRule>
  </conditionalFormatting>
  <conditionalFormatting sqref="S80">
    <cfRule type="cellIs" priority="303" operator="equal" dxfId="1">
      <formula>"Yes"</formula>
    </cfRule>
  </conditionalFormatting>
  <conditionalFormatting sqref="T80">
    <cfRule type="cellIs" priority="304" operator="equal" dxfId="1">
      <formula>"Ineffective"</formula>
    </cfRule>
  </conditionalFormatting>
  <conditionalFormatting sqref="A81:T81">
    <cfRule type="cellIs" priority="305" operator="equal" dxfId="3">
      <formula>"Expired"</formula>
    </cfRule>
  </conditionalFormatting>
  <conditionalFormatting sqref="O81">
    <cfRule type="cellIs" priority="306" operator="greaterThan" dxfId="0">
      <formula>0</formula>
    </cfRule>
  </conditionalFormatting>
  <conditionalFormatting sqref="S81">
    <cfRule type="cellIs" priority="307" operator="equal" dxfId="1">
      <formula>"Yes"</formula>
    </cfRule>
  </conditionalFormatting>
  <conditionalFormatting sqref="T81">
    <cfRule type="cellIs" priority="308" operator="equal" dxfId="1">
      <formula>"Ineffective"</formula>
    </cfRule>
  </conditionalFormatting>
  <conditionalFormatting sqref="A82:T82">
    <cfRule type="cellIs" priority="309" operator="equal" dxfId="3">
      <formula>"Expired"</formula>
    </cfRule>
  </conditionalFormatting>
  <conditionalFormatting sqref="O82">
    <cfRule type="cellIs" priority="310" operator="greaterThan" dxfId="0">
      <formula>0</formula>
    </cfRule>
  </conditionalFormatting>
  <conditionalFormatting sqref="S82">
    <cfRule type="cellIs" priority="311" operator="equal" dxfId="1">
      <formula>"Yes"</formula>
    </cfRule>
  </conditionalFormatting>
  <conditionalFormatting sqref="T82">
    <cfRule type="cellIs" priority="312" operator="equal" dxfId="1">
      <formula>"Ineffective"</formula>
    </cfRule>
  </conditionalFormatting>
  <conditionalFormatting sqref="A83:T83">
    <cfRule type="cellIs" priority="313" operator="equal" dxfId="3">
      <formula>"Expired"</formula>
    </cfRule>
  </conditionalFormatting>
  <conditionalFormatting sqref="O83">
    <cfRule type="cellIs" priority="314" operator="greaterThan" dxfId="0">
      <formula>0</formula>
    </cfRule>
  </conditionalFormatting>
  <conditionalFormatting sqref="S83">
    <cfRule type="cellIs" priority="315" operator="equal" dxfId="1">
      <formula>"Yes"</formula>
    </cfRule>
  </conditionalFormatting>
  <conditionalFormatting sqref="T83">
    <cfRule type="cellIs" priority="316" operator="equal" dxfId="1">
      <formula>"Ineffective"</formula>
    </cfRule>
  </conditionalFormatting>
  <conditionalFormatting sqref="A84:T84">
    <cfRule type="cellIs" priority="317" operator="equal" dxfId="3">
      <formula>"Expired"</formula>
    </cfRule>
  </conditionalFormatting>
  <conditionalFormatting sqref="O84">
    <cfRule type="cellIs" priority="318" operator="greaterThan" dxfId="0">
      <formula>0</formula>
    </cfRule>
  </conditionalFormatting>
  <conditionalFormatting sqref="S84">
    <cfRule type="cellIs" priority="319" operator="equal" dxfId="1">
      <formula>"Yes"</formula>
    </cfRule>
  </conditionalFormatting>
  <conditionalFormatting sqref="T84">
    <cfRule type="cellIs" priority="320" operator="equal" dxfId="1">
      <formula>"Ineffective"</formula>
    </cfRule>
  </conditionalFormatting>
  <conditionalFormatting sqref="A85:T85">
    <cfRule type="cellIs" priority="321" operator="equal" dxfId="3">
      <formula>"Expired"</formula>
    </cfRule>
  </conditionalFormatting>
  <conditionalFormatting sqref="O85">
    <cfRule type="cellIs" priority="322" operator="greaterThan" dxfId="0">
      <formula>0</formula>
    </cfRule>
  </conditionalFormatting>
  <conditionalFormatting sqref="S85">
    <cfRule type="cellIs" priority="323" operator="equal" dxfId="1">
      <formula>"Yes"</formula>
    </cfRule>
  </conditionalFormatting>
  <conditionalFormatting sqref="T85">
    <cfRule type="cellIs" priority="324" operator="equal" dxfId="1">
      <formula>"Ineffective"</formula>
    </cfRule>
  </conditionalFormatting>
  <conditionalFormatting sqref="A86:T86">
    <cfRule type="cellIs" priority="325" operator="equal" dxfId="3">
      <formula>"Expired"</formula>
    </cfRule>
  </conditionalFormatting>
  <conditionalFormatting sqref="O86">
    <cfRule type="cellIs" priority="326" operator="greaterThan" dxfId="0">
      <formula>0</formula>
    </cfRule>
  </conditionalFormatting>
  <conditionalFormatting sqref="S86">
    <cfRule type="cellIs" priority="327" operator="equal" dxfId="1">
      <formula>"Yes"</formula>
    </cfRule>
  </conditionalFormatting>
  <conditionalFormatting sqref="T86">
    <cfRule type="cellIs" priority="328" operator="equal" dxfId="1">
      <formula>"Ineffective"</formula>
    </cfRule>
  </conditionalFormatting>
  <conditionalFormatting sqref="A87:T87">
    <cfRule type="cellIs" priority="329" operator="equal" dxfId="3">
      <formula>"Expired"</formula>
    </cfRule>
  </conditionalFormatting>
  <conditionalFormatting sqref="O87">
    <cfRule type="cellIs" priority="330" operator="greaterThan" dxfId="0">
      <formula>0</formula>
    </cfRule>
  </conditionalFormatting>
  <conditionalFormatting sqref="S87">
    <cfRule type="cellIs" priority="331" operator="equal" dxfId="1">
      <formula>"Yes"</formula>
    </cfRule>
  </conditionalFormatting>
  <conditionalFormatting sqref="T87">
    <cfRule type="cellIs" priority="332" operator="equal" dxfId="1">
      <formula>"Ineffective"</formula>
    </cfRule>
  </conditionalFormatting>
  <conditionalFormatting sqref="A88:T88">
    <cfRule type="cellIs" priority="333" operator="equal" dxfId="3">
      <formula>"Expired"</formula>
    </cfRule>
  </conditionalFormatting>
  <conditionalFormatting sqref="O88">
    <cfRule type="cellIs" priority="334" operator="greaterThan" dxfId="0">
      <formula>0</formula>
    </cfRule>
  </conditionalFormatting>
  <conditionalFormatting sqref="S88">
    <cfRule type="cellIs" priority="335" operator="equal" dxfId="1">
      <formula>"Yes"</formula>
    </cfRule>
  </conditionalFormatting>
  <conditionalFormatting sqref="T88">
    <cfRule type="cellIs" priority="336" operator="equal" dxfId="1">
      <formula>"Ineffective"</formula>
    </cfRule>
  </conditionalFormatting>
  <conditionalFormatting sqref="A89:T89">
    <cfRule type="cellIs" priority="337" operator="equal" dxfId="3">
      <formula>"Expired"</formula>
    </cfRule>
  </conditionalFormatting>
  <conditionalFormatting sqref="O89">
    <cfRule type="cellIs" priority="338" operator="greaterThan" dxfId="0">
      <formula>0</formula>
    </cfRule>
  </conditionalFormatting>
  <conditionalFormatting sqref="S89">
    <cfRule type="cellIs" priority="339" operator="equal" dxfId="1">
      <formula>"Yes"</formula>
    </cfRule>
  </conditionalFormatting>
  <conditionalFormatting sqref="T89">
    <cfRule type="cellIs" priority="340" operator="equal" dxfId="1">
      <formula>"Ineffective"</formula>
    </cfRule>
  </conditionalFormatting>
  <conditionalFormatting sqref="A90:T90">
    <cfRule type="cellIs" priority="341" operator="equal" dxfId="3">
      <formula>"Expired"</formula>
    </cfRule>
  </conditionalFormatting>
  <conditionalFormatting sqref="O90">
    <cfRule type="cellIs" priority="342" operator="greaterThan" dxfId="0">
      <formula>0</formula>
    </cfRule>
  </conditionalFormatting>
  <conditionalFormatting sqref="S90">
    <cfRule type="cellIs" priority="343" operator="equal" dxfId="1">
      <formula>"Yes"</formula>
    </cfRule>
  </conditionalFormatting>
  <conditionalFormatting sqref="T90">
    <cfRule type="cellIs" priority="344" operator="equal" dxfId="1">
      <formula>"Ineffective"</formula>
    </cfRule>
  </conditionalFormatting>
  <conditionalFormatting sqref="A91:T91">
    <cfRule type="cellIs" priority="345" operator="equal" dxfId="3">
      <formula>"Expired"</formula>
    </cfRule>
  </conditionalFormatting>
  <conditionalFormatting sqref="O91">
    <cfRule type="cellIs" priority="346" operator="greaterThan" dxfId="0">
      <formula>0</formula>
    </cfRule>
  </conditionalFormatting>
  <conditionalFormatting sqref="S91">
    <cfRule type="cellIs" priority="347" operator="equal" dxfId="1">
      <formula>"Yes"</formula>
    </cfRule>
  </conditionalFormatting>
  <conditionalFormatting sqref="T91">
    <cfRule type="cellIs" priority="348" operator="equal" dxfId="1">
      <formula>"Ineffective"</formula>
    </cfRule>
  </conditionalFormatting>
  <conditionalFormatting sqref="A92:T92">
    <cfRule type="cellIs" priority="349" operator="equal" dxfId="3">
      <formula>"Expired"</formula>
    </cfRule>
  </conditionalFormatting>
  <conditionalFormatting sqref="O92">
    <cfRule type="cellIs" priority="350" operator="greaterThan" dxfId="0">
      <formula>0</formula>
    </cfRule>
  </conditionalFormatting>
  <conditionalFormatting sqref="S92">
    <cfRule type="cellIs" priority="351" operator="equal" dxfId="1">
      <formula>"Yes"</formula>
    </cfRule>
  </conditionalFormatting>
  <conditionalFormatting sqref="T92">
    <cfRule type="cellIs" priority="352" operator="equal" dxfId="1">
      <formula>"Ineffective"</formula>
    </cfRule>
  </conditionalFormatting>
  <conditionalFormatting sqref="A93:T93">
    <cfRule type="cellIs" priority="353" operator="equal" dxfId="3">
      <formula>"Expired"</formula>
    </cfRule>
  </conditionalFormatting>
  <conditionalFormatting sqref="O93">
    <cfRule type="cellIs" priority="354" operator="greaterThan" dxfId="0">
      <formula>0</formula>
    </cfRule>
  </conditionalFormatting>
  <conditionalFormatting sqref="S93">
    <cfRule type="cellIs" priority="355" operator="equal" dxfId="1">
      <formula>"Yes"</formula>
    </cfRule>
  </conditionalFormatting>
  <conditionalFormatting sqref="T93">
    <cfRule type="cellIs" priority="356" operator="equal" dxfId="1">
      <formula>"Ineffective"</formula>
    </cfRule>
  </conditionalFormatting>
  <conditionalFormatting sqref="A94:T94">
    <cfRule type="cellIs" priority="357" operator="equal" dxfId="3">
      <formula>"Expired"</formula>
    </cfRule>
  </conditionalFormatting>
  <conditionalFormatting sqref="O94">
    <cfRule type="cellIs" priority="358" operator="greaterThan" dxfId="0">
      <formula>0</formula>
    </cfRule>
  </conditionalFormatting>
  <conditionalFormatting sqref="S94">
    <cfRule type="cellIs" priority="359" operator="equal" dxfId="1">
      <formula>"Yes"</formula>
    </cfRule>
  </conditionalFormatting>
  <conditionalFormatting sqref="T94">
    <cfRule type="cellIs" priority="360" operator="equal" dxfId="1">
      <formula>"Ineffective"</formula>
    </cfRule>
  </conditionalFormatting>
  <conditionalFormatting sqref="A95:T95">
    <cfRule type="cellIs" priority="361" operator="equal" dxfId="3">
      <formula>"Expired"</formula>
    </cfRule>
  </conditionalFormatting>
  <conditionalFormatting sqref="O95">
    <cfRule type="cellIs" priority="362" operator="greaterThan" dxfId="0">
      <formula>0</formula>
    </cfRule>
  </conditionalFormatting>
  <conditionalFormatting sqref="S95">
    <cfRule type="cellIs" priority="363" operator="equal" dxfId="1">
      <formula>"Yes"</formula>
    </cfRule>
  </conditionalFormatting>
  <conditionalFormatting sqref="T95">
    <cfRule type="cellIs" priority="364" operator="equal" dxfId="1">
      <formula>"Ineffective"</formula>
    </cfRule>
  </conditionalFormatting>
  <conditionalFormatting sqref="A96:T96">
    <cfRule type="cellIs" priority="365" operator="equal" dxfId="3">
      <formula>"Expired"</formula>
    </cfRule>
  </conditionalFormatting>
  <conditionalFormatting sqref="O96">
    <cfRule type="cellIs" priority="366" operator="greaterThan" dxfId="0">
      <formula>0</formula>
    </cfRule>
  </conditionalFormatting>
  <conditionalFormatting sqref="S96">
    <cfRule type="cellIs" priority="367" operator="equal" dxfId="1">
      <formula>"Yes"</formula>
    </cfRule>
  </conditionalFormatting>
  <conditionalFormatting sqref="T96">
    <cfRule type="cellIs" priority="368" operator="equal" dxfId="1">
      <formula>"Ineffective"</formula>
    </cfRule>
  </conditionalFormatting>
  <conditionalFormatting sqref="A97:T97">
    <cfRule type="cellIs" priority="369" operator="equal" dxfId="3">
      <formula>"Expired"</formula>
    </cfRule>
  </conditionalFormatting>
  <conditionalFormatting sqref="O97">
    <cfRule type="cellIs" priority="370" operator="greaterThan" dxfId="0">
      <formula>0</formula>
    </cfRule>
  </conditionalFormatting>
  <conditionalFormatting sqref="S97">
    <cfRule type="cellIs" priority="371" operator="equal" dxfId="1">
      <formula>"Yes"</formula>
    </cfRule>
  </conditionalFormatting>
  <conditionalFormatting sqref="T97">
    <cfRule type="cellIs" priority="372" operator="equal" dxfId="1">
      <formula>"Ineffective"</formula>
    </cfRule>
  </conditionalFormatting>
  <conditionalFormatting sqref="A98:T98">
    <cfRule type="cellIs" priority="373" operator="equal" dxfId="3">
      <formula>"Expired"</formula>
    </cfRule>
  </conditionalFormatting>
  <conditionalFormatting sqref="O98">
    <cfRule type="cellIs" priority="374" operator="greaterThan" dxfId="0">
      <formula>0</formula>
    </cfRule>
  </conditionalFormatting>
  <conditionalFormatting sqref="S98">
    <cfRule type="cellIs" priority="375" operator="equal" dxfId="1">
      <formula>"Yes"</formula>
    </cfRule>
  </conditionalFormatting>
  <conditionalFormatting sqref="T98">
    <cfRule type="cellIs" priority="376" operator="equal" dxfId="1">
      <formula>"Ineffective"</formula>
    </cfRule>
  </conditionalFormatting>
  <conditionalFormatting sqref="A99:T99">
    <cfRule type="cellIs" priority="377" operator="equal" dxfId="3">
      <formula>"Expired"</formula>
    </cfRule>
  </conditionalFormatting>
  <conditionalFormatting sqref="O99">
    <cfRule type="cellIs" priority="378" operator="greaterThan" dxfId="0">
      <formula>0</formula>
    </cfRule>
  </conditionalFormatting>
  <conditionalFormatting sqref="S99">
    <cfRule type="cellIs" priority="379" operator="equal" dxfId="1">
      <formula>"Yes"</formula>
    </cfRule>
  </conditionalFormatting>
  <conditionalFormatting sqref="T99">
    <cfRule type="cellIs" priority="380" operator="equal" dxfId="1">
      <formula>"Ineffective"</formula>
    </cfRule>
  </conditionalFormatting>
  <conditionalFormatting sqref="A100:T100">
    <cfRule type="cellIs" priority="381" operator="equal" dxfId="3">
      <formula>"Expired"</formula>
    </cfRule>
  </conditionalFormatting>
  <conditionalFormatting sqref="O100">
    <cfRule type="cellIs" priority="382" operator="greaterThan" dxfId="0">
      <formula>0</formula>
    </cfRule>
  </conditionalFormatting>
  <conditionalFormatting sqref="S100">
    <cfRule type="cellIs" priority="383" operator="equal" dxfId="1">
      <formula>"Yes"</formula>
    </cfRule>
  </conditionalFormatting>
  <conditionalFormatting sqref="T100">
    <cfRule type="cellIs" priority="384" operator="equal" dxfId="1">
      <formula>"Ineffective"</formula>
    </cfRule>
  </conditionalFormatting>
  <conditionalFormatting sqref="A101:T101">
    <cfRule type="cellIs" priority="385" operator="equal" dxfId="3">
      <formula>"Expired"</formula>
    </cfRule>
  </conditionalFormatting>
  <conditionalFormatting sqref="O101">
    <cfRule type="cellIs" priority="386" operator="greaterThan" dxfId="0">
      <formula>0</formula>
    </cfRule>
  </conditionalFormatting>
  <conditionalFormatting sqref="S101">
    <cfRule type="cellIs" priority="387" operator="equal" dxfId="1">
      <formula>"Yes"</formula>
    </cfRule>
  </conditionalFormatting>
  <conditionalFormatting sqref="T101">
    <cfRule type="cellIs" priority="388" operator="equal" dxfId="1">
      <formula>"Ineffective"</formula>
    </cfRule>
  </conditionalFormatting>
  <conditionalFormatting sqref="A102:T102">
    <cfRule type="cellIs" priority="389" operator="equal" dxfId="3">
      <formula>"Expired"</formula>
    </cfRule>
  </conditionalFormatting>
  <conditionalFormatting sqref="O102">
    <cfRule type="cellIs" priority="390" operator="greaterThan" dxfId="0">
      <formula>0</formula>
    </cfRule>
  </conditionalFormatting>
  <conditionalFormatting sqref="S102">
    <cfRule type="cellIs" priority="391" operator="equal" dxfId="1">
      <formula>"Yes"</formula>
    </cfRule>
  </conditionalFormatting>
  <conditionalFormatting sqref="T102">
    <cfRule type="cellIs" priority="392" operator="equal" dxfId="1">
      <formula>"Ineffective"</formula>
    </cfRule>
  </conditionalFormatting>
  <conditionalFormatting sqref="A103:T103">
    <cfRule type="cellIs" priority="393" operator="equal" dxfId="3">
      <formula>"Expired"</formula>
    </cfRule>
  </conditionalFormatting>
  <conditionalFormatting sqref="O103">
    <cfRule type="cellIs" priority="394" operator="greaterThan" dxfId="0">
      <formula>0</formula>
    </cfRule>
  </conditionalFormatting>
  <conditionalFormatting sqref="S103">
    <cfRule type="cellIs" priority="395" operator="equal" dxfId="1">
      <formula>"Yes"</formula>
    </cfRule>
  </conditionalFormatting>
  <conditionalFormatting sqref="T103">
    <cfRule type="cellIs" priority="396" operator="equal" dxfId="1">
      <formula>"Ineffective"</formula>
    </cfRule>
  </conditionalFormatting>
  <conditionalFormatting sqref="A104:T104">
    <cfRule type="cellIs" priority="397" operator="equal" dxfId="3">
      <formula>"Expired"</formula>
    </cfRule>
  </conditionalFormatting>
  <conditionalFormatting sqref="O104">
    <cfRule type="cellIs" priority="398" operator="greaterThan" dxfId="0">
      <formula>0</formula>
    </cfRule>
  </conditionalFormatting>
  <conditionalFormatting sqref="S104">
    <cfRule type="cellIs" priority="399" operator="equal" dxfId="1">
      <formula>"Yes"</formula>
    </cfRule>
  </conditionalFormatting>
  <conditionalFormatting sqref="T104">
    <cfRule type="cellIs" priority="400" operator="equal" dxfId="1">
      <formula>"Ineffective"</formula>
    </cfRule>
  </conditionalFormatting>
  <dataValidations count="106">
    <dataValidation sqref="L5" showDropDown="0" showInputMessage="0" showErrorMessage="0" allowBlank="0" type="list">
      <formula1>"Automated,Manual,Hybrid"</formula1>
    </dataValidation>
    <dataValidation sqref="L6" showDropDown="0" showInputMessage="0" showErrorMessage="0" allowBlank="0" type="list">
      <formula1>"Automated,Manual,Hybrid"</formula1>
    </dataValidation>
    <dataValidation sqref="L7" showDropDown="0" showInputMessage="0" showErrorMessage="0" allowBlank="0" type="list">
      <formula1>"Automated,Manual,Hybrid"</formula1>
    </dataValidation>
    <dataValidation sqref="L8" showDropDown="0" showInputMessage="0" showErrorMessage="0" allowBlank="0" type="list">
      <formula1>"Automated,Manual,Hybrid"</formula1>
    </dataValidation>
    <dataValidation sqref="L9" showDropDown="0" showInputMessage="0" showErrorMessage="0" allowBlank="0" type="list">
      <formula1>"Automated,Manual,Hybrid"</formula1>
    </dataValidation>
    <dataValidation sqref="L10" showDropDown="0" showInputMessage="0" showErrorMessage="0" allowBlank="0" type="list">
      <formula1>"Automated,Manual,Hybrid"</formula1>
    </dataValidation>
    <dataValidation sqref="L11" showDropDown="0" showInputMessage="0" showErrorMessage="0" allowBlank="0" type="list">
      <formula1>"Automated,Manual,Hybrid"</formula1>
    </dataValidation>
    <dataValidation sqref="L12" showDropDown="0" showInputMessage="0" showErrorMessage="0" allowBlank="0" type="list">
      <formula1>"Automated,Manual,Hybrid"</formula1>
    </dataValidation>
    <dataValidation sqref="L13" showDropDown="0" showInputMessage="0" showErrorMessage="0" allowBlank="0" type="list">
      <formula1>"Automated,Manual,Hybrid"</formula1>
    </dataValidation>
    <dataValidation sqref="L14" showDropDown="0" showInputMessage="0" showErrorMessage="0" allowBlank="0" type="list">
      <formula1>"Automated,Manual,Hybrid"</formula1>
    </dataValidation>
    <dataValidation sqref="L15" showDropDown="0" showInputMessage="0" showErrorMessage="0" allowBlank="0" type="list">
      <formula1>"Automated,Manual,Hybrid"</formula1>
    </dataValidation>
    <dataValidation sqref="L16" showDropDown="0" showInputMessage="0" showErrorMessage="0" allowBlank="0" type="list">
      <formula1>"Automated,Manual,Hybrid"</formula1>
    </dataValidation>
    <dataValidation sqref="L17" showDropDown="0" showInputMessage="0" showErrorMessage="0" allowBlank="0" type="list">
      <formula1>"Automated,Manual,Hybrid"</formula1>
    </dataValidation>
    <dataValidation sqref="L18" showDropDown="0" showInputMessage="0" showErrorMessage="0" allowBlank="0" type="list">
      <formula1>"Automated,Manual,Hybrid"</formula1>
    </dataValidation>
    <dataValidation sqref="L19" showDropDown="0" showInputMessage="0" showErrorMessage="0" allowBlank="0" type="list">
      <formula1>"Automated,Manual,Hybrid"</formula1>
    </dataValidation>
    <dataValidation sqref="L20" showDropDown="0" showInputMessage="0" showErrorMessage="0" allowBlank="0" type="list">
      <formula1>"Automated,Manual,Hybrid"</formula1>
    </dataValidation>
    <dataValidation sqref="L21" showDropDown="0" showInputMessage="0" showErrorMessage="0" allowBlank="0" type="list">
      <formula1>"Automated,Manual,Hybrid"</formula1>
    </dataValidation>
    <dataValidation sqref="L22" showDropDown="0" showInputMessage="0" showErrorMessage="0" allowBlank="0" type="list">
      <formula1>"Automated,Manual,Hybrid"</formula1>
    </dataValidation>
    <dataValidation sqref="L23" showDropDown="0" showInputMessage="0" showErrorMessage="0" allowBlank="0" type="list">
      <formula1>"Automated,Manual,Hybrid"</formula1>
    </dataValidation>
    <dataValidation sqref="L24" showDropDown="0" showInputMessage="0" showErrorMessage="0" allowBlank="0" type="list">
      <formula1>"Automated,Manual,Hybrid"</formula1>
    </dataValidation>
    <dataValidation sqref="L25" showDropDown="0" showInputMessage="0" showErrorMessage="0" allowBlank="0" type="list">
      <formula1>"Automated,Manual,Hybrid"</formula1>
    </dataValidation>
    <dataValidation sqref="L26" showDropDown="0" showInputMessage="0" showErrorMessage="0" allowBlank="0" type="list">
      <formula1>"Automated,Manual,Hybrid"</formula1>
    </dataValidation>
    <dataValidation sqref="L27" showDropDown="0" showInputMessage="0" showErrorMessage="0" allowBlank="0" type="list">
      <formula1>"Automated,Manual,Hybrid"</formula1>
    </dataValidation>
    <dataValidation sqref="L28" showDropDown="0" showInputMessage="0" showErrorMessage="0" allowBlank="0" type="list">
      <formula1>"Automated,Manual,Hybrid"</formula1>
    </dataValidation>
    <dataValidation sqref="L29" showDropDown="0" showInputMessage="0" showErrorMessage="0" allowBlank="0" type="list">
      <formula1>"Automated,Manual,Hybrid"</formula1>
    </dataValidation>
    <dataValidation sqref="L30" showDropDown="0" showInputMessage="0" showErrorMessage="0" allowBlank="0" type="list">
      <formula1>"Automated,Manual,Hybrid"</formula1>
    </dataValidation>
    <dataValidation sqref="L31" showDropDown="0" showInputMessage="0" showErrorMessage="0" allowBlank="0" type="list">
      <formula1>"Automated,Manual,Hybrid"</formula1>
    </dataValidation>
    <dataValidation sqref="L32" showDropDown="0" showInputMessage="0" showErrorMessage="0" allowBlank="0" type="list">
      <formula1>"Automated,Manual,Hybrid"</formula1>
    </dataValidation>
    <dataValidation sqref="L33" showDropDown="0" showInputMessage="0" showErrorMessage="0" allowBlank="0" type="list">
      <formula1>"Automated,Manual,Hybrid"</formula1>
    </dataValidation>
    <dataValidation sqref="L34" showDropDown="0" showInputMessage="0" showErrorMessage="0" allowBlank="0" type="list">
      <formula1>"Automated,Manual,Hybrid"</formula1>
    </dataValidation>
    <dataValidation sqref="L35" showDropDown="0" showInputMessage="0" showErrorMessage="0" allowBlank="0" type="list">
      <formula1>"Automated,Manual,Hybrid"</formula1>
    </dataValidation>
    <dataValidation sqref="L36" showDropDown="0" showInputMessage="0" showErrorMessage="0" allowBlank="0" type="list">
      <formula1>"Automated,Manual,Hybrid"</formula1>
    </dataValidation>
    <dataValidation sqref="L37" showDropDown="0" showInputMessage="0" showErrorMessage="0" allowBlank="0" type="list">
      <formula1>"Automated,Manual,Hybrid"</formula1>
    </dataValidation>
    <dataValidation sqref="L38" showDropDown="0" showInputMessage="0" showErrorMessage="0" allowBlank="0" type="list">
      <formula1>"Automated,Manual,Hybrid"</formula1>
    </dataValidation>
    <dataValidation sqref="L39" showDropDown="0" showInputMessage="0" showErrorMessage="0" allowBlank="0" type="list">
      <formula1>"Automated,Manual,Hybrid"</formula1>
    </dataValidation>
    <dataValidation sqref="L40" showDropDown="0" showInputMessage="0" showErrorMessage="0" allowBlank="0" type="list">
      <formula1>"Automated,Manual,Hybrid"</formula1>
    </dataValidation>
    <dataValidation sqref="L41" showDropDown="0" showInputMessage="0" showErrorMessage="0" allowBlank="0" type="list">
      <formula1>"Automated,Manual,Hybrid"</formula1>
    </dataValidation>
    <dataValidation sqref="L42" showDropDown="0" showInputMessage="0" showErrorMessage="0" allowBlank="0" type="list">
      <formula1>"Automated,Manual,Hybrid"</formula1>
    </dataValidation>
    <dataValidation sqref="L43" showDropDown="0" showInputMessage="0" showErrorMessage="0" allowBlank="0" type="list">
      <formula1>"Automated,Manual,Hybrid"</formula1>
    </dataValidation>
    <dataValidation sqref="L44" showDropDown="0" showInputMessage="0" showErrorMessage="0" allowBlank="0" type="list">
      <formula1>"Automated,Manual,Hybrid"</formula1>
    </dataValidation>
    <dataValidation sqref="L45" showDropDown="0" showInputMessage="0" showErrorMessage="0" allowBlank="0" type="list">
      <formula1>"Automated,Manual,Hybrid"</formula1>
    </dataValidation>
    <dataValidation sqref="L46" showDropDown="0" showInputMessage="0" showErrorMessage="0" allowBlank="0" type="list">
      <formula1>"Automated,Manual,Hybrid"</formula1>
    </dataValidation>
    <dataValidation sqref="L47" showDropDown="0" showInputMessage="0" showErrorMessage="0" allowBlank="0" type="list">
      <formula1>"Automated,Manual,Hybrid"</formula1>
    </dataValidation>
    <dataValidation sqref="L48" showDropDown="0" showInputMessage="0" showErrorMessage="0" allowBlank="0" type="list">
      <formula1>"Automated,Manual,Hybrid"</formula1>
    </dataValidation>
    <dataValidation sqref="L49" showDropDown="0" showInputMessage="0" showErrorMessage="0" allowBlank="0" type="list">
      <formula1>"Automated,Manual,Hybrid"</formula1>
    </dataValidation>
    <dataValidation sqref="L50" showDropDown="0" showInputMessage="0" showErrorMessage="0" allowBlank="0" type="list">
      <formula1>"Automated,Manual,Hybrid"</formula1>
    </dataValidation>
    <dataValidation sqref="L51" showDropDown="0" showInputMessage="0" showErrorMessage="0" allowBlank="0" type="list">
      <formula1>"Automated,Manual,Hybrid"</formula1>
    </dataValidation>
    <dataValidation sqref="L52" showDropDown="0" showInputMessage="0" showErrorMessage="0" allowBlank="0" type="list">
      <formula1>"Automated,Manual,Hybrid"</formula1>
    </dataValidation>
    <dataValidation sqref="L53" showDropDown="0" showInputMessage="0" showErrorMessage="0" allowBlank="0" type="list">
      <formula1>"Automated,Manual,Hybrid"</formula1>
    </dataValidation>
    <dataValidation sqref="L54" showDropDown="0" showInputMessage="0" showErrorMessage="0" allowBlank="0" type="list">
      <formula1>"Automated,Manual,Hybrid"</formula1>
    </dataValidation>
    <dataValidation sqref="L55" showDropDown="0" showInputMessage="0" showErrorMessage="0" allowBlank="0" type="list">
      <formula1>"Automated,Manual,Hybrid"</formula1>
    </dataValidation>
    <dataValidation sqref="L56" showDropDown="0" showInputMessage="0" showErrorMessage="0" allowBlank="0" type="list">
      <formula1>"Automated,Manual,Hybrid"</formula1>
    </dataValidation>
    <dataValidation sqref="L57" showDropDown="0" showInputMessage="0" showErrorMessage="0" allowBlank="0" type="list">
      <formula1>"Automated,Manual,Hybrid"</formula1>
    </dataValidation>
    <dataValidation sqref="L58" showDropDown="0" showInputMessage="0" showErrorMessage="0" allowBlank="0" type="list">
      <formula1>"Automated,Manual,Hybrid"</formula1>
    </dataValidation>
    <dataValidation sqref="L59" showDropDown="0" showInputMessage="0" showErrorMessage="0" allowBlank="0" type="list">
      <formula1>"Automated,Manual,Hybrid"</formula1>
    </dataValidation>
    <dataValidation sqref="L60" showDropDown="0" showInputMessage="0" showErrorMessage="0" allowBlank="0" type="list">
      <formula1>"Automated,Manual,Hybrid"</formula1>
    </dataValidation>
    <dataValidation sqref="L61" showDropDown="0" showInputMessage="0" showErrorMessage="0" allowBlank="0" type="list">
      <formula1>"Automated,Manual,Hybrid"</formula1>
    </dataValidation>
    <dataValidation sqref="L62" showDropDown="0" showInputMessage="0" showErrorMessage="0" allowBlank="0" type="list">
      <formula1>"Automated,Manual,Hybrid"</formula1>
    </dataValidation>
    <dataValidation sqref="L63" showDropDown="0" showInputMessage="0" showErrorMessage="0" allowBlank="0" type="list">
      <formula1>"Automated,Manual,Hybrid"</formula1>
    </dataValidation>
    <dataValidation sqref="L64" showDropDown="0" showInputMessage="0" showErrorMessage="0" allowBlank="0" type="list">
      <formula1>"Automated,Manual,Hybrid"</formula1>
    </dataValidation>
    <dataValidation sqref="L65" showDropDown="0" showInputMessage="0" showErrorMessage="0" allowBlank="0" type="list">
      <formula1>"Automated,Manual,Hybrid"</formula1>
    </dataValidation>
    <dataValidation sqref="L66" showDropDown="0" showInputMessage="0" showErrorMessage="0" allowBlank="0" type="list">
      <formula1>"Automated,Manual,Hybrid"</formula1>
    </dataValidation>
    <dataValidation sqref="L67" showDropDown="0" showInputMessage="0" showErrorMessage="0" allowBlank="0" type="list">
      <formula1>"Automated,Manual,Hybrid"</formula1>
    </dataValidation>
    <dataValidation sqref="L68" showDropDown="0" showInputMessage="0" showErrorMessage="0" allowBlank="0" type="list">
      <formula1>"Automated,Manual,Hybrid"</formula1>
    </dataValidation>
    <dataValidation sqref="L69" showDropDown="0" showInputMessage="0" showErrorMessage="0" allowBlank="0" type="list">
      <formula1>"Automated,Manual,Hybrid"</formula1>
    </dataValidation>
    <dataValidation sqref="L70" showDropDown="0" showInputMessage="0" showErrorMessage="0" allowBlank="0" type="list">
      <formula1>"Automated,Manual,Hybrid"</formula1>
    </dataValidation>
    <dataValidation sqref="L71" showDropDown="0" showInputMessage="0" showErrorMessage="0" allowBlank="0" type="list">
      <formula1>"Automated,Manual,Hybrid"</formula1>
    </dataValidation>
    <dataValidation sqref="L72" showDropDown="0" showInputMessage="0" showErrorMessage="0" allowBlank="0" type="list">
      <formula1>"Automated,Manual,Hybrid"</formula1>
    </dataValidation>
    <dataValidation sqref="L73" showDropDown="0" showInputMessage="0" showErrorMessage="0" allowBlank="0" type="list">
      <formula1>"Automated,Manual,Hybrid"</formula1>
    </dataValidation>
    <dataValidation sqref="L74" showDropDown="0" showInputMessage="0" showErrorMessage="0" allowBlank="0" type="list">
      <formula1>"Automated,Manual,Hybrid"</formula1>
    </dataValidation>
    <dataValidation sqref="L75" showDropDown="0" showInputMessage="0" showErrorMessage="0" allowBlank="0" type="list">
      <formula1>"Automated,Manual,Hybrid"</formula1>
    </dataValidation>
    <dataValidation sqref="L76" showDropDown="0" showInputMessage="0" showErrorMessage="0" allowBlank="0" type="list">
      <formula1>"Automated,Manual,Hybrid"</formula1>
    </dataValidation>
    <dataValidation sqref="L77" showDropDown="0" showInputMessage="0" showErrorMessage="0" allowBlank="0" type="list">
      <formula1>"Automated,Manual,Hybrid"</formula1>
    </dataValidation>
    <dataValidation sqref="L78" showDropDown="0" showInputMessage="0" showErrorMessage="0" allowBlank="0" type="list">
      <formula1>"Automated,Manual,Hybrid"</formula1>
    </dataValidation>
    <dataValidation sqref="L79" showDropDown="0" showInputMessage="0" showErrorMessage="0" allowBlank="0" type="list">
      <formula1>"Automated,Manual,Hybrid"</formula1>
    </dataValidation>
    <dataValidation sqref="L80" showDropDown="0" showInputMessage="0" showErrorMessage="0" allowBlank="0" type="list">
      <formula1>"Automated,Manual,Hybrid"</formula1>
    </dataValidation>
    <dataValidation sqref="L81" showDropDown="0" showInputMessage="0" showErrorMessage="0" allowBlank="0" type="list">
      <formula1>"Automated,Manual,Hybrid"</formula1>
    </dataValidation>
    <dataValidation sqref="L82" showDropDown="0" showInputMessage="0" showErrorMessage="0" allowBlank="0" type="list">
      <formula1>"Automated,Manual,Hybrid"</formula1>
    </dataValidation>
    <dataValidation sqref="L83" showDropDown="0" showInputMessage="0" showErrorMessage="0" allowBlank="0" type="list">
      <formula1>"Automated,Manual,Hybrid"</formula1>
    </dataValidation>
    <dataValidation sqref="L84" showDropDown="0" showInputMessage="0" showErrorMessage="0" allowBlank="0" type="list">
      <formula1>"Automated,Manual,Hybrid"</formula1>
    </dataValidation>
    <dataValidation sqref="L85" showDropDown="0" showInputMessage="0" showErrorMessage="0" allowBlank="0" type="list">
      <formula1>"Automated,Manual,Hybrid"</formula1>
    </dataValidation>
    <dataValidation sqref="L86" showDropDown="0" showInputMessage="0" showErrorMessage="0" allowBlank="0" type="list">
      <formula1>"Automated,Manual,Hybrid"</formula1>
    </dataValidation>
    <dataValidation sqref="L87" showDropDown="0" showInputMessage="0" showErrorMessage="0" allowBlank="0" type="list">
      <formula1>"Automated,Manual,Hybrid"</formula1>
    </dataValidation>
    <dataValidation sqref="L88" showDropDown="0" showInputMessage="0" showErrorMessage="0" allowBlank="0" type="list">
      <formula1>"Automated,Manual,Hybrid"</formula1>
    </dataValidation>
    <dataValidation sqref="L89" showDropDown="0" showInputMessage="0" showErrorMessage="0" allowBlank="0" type="list">
      <formula1>"Automated,Manual,Hybrid"</formula1>
    </dataValidation>
    <dataValidation sqref="L90" showDropDown="0" showInputMessage="0" showErrorMessage="0" allowBlank="0" type="list">
      <formula1>"Automated,Manual,Hybrid"</formula1>
    </dataValidation>
    <dataValidation sqref="L91" showDropDown="0" showInputMessage="0" showErrorMessage="0" allowBlank="0" type="list">
      <formula1>"Automated,Manual,Hybrid"</formula1>
    </dataValidation>
    <dataValidation sqref="L92" showDropDown="0" showInputMessage="0" showErrorMessage="0" allowBlank="0" type="list">
      <formula1>"Automated,Manual,Hybrid"</formula1>
    </dataValidation>
    <dataValidation sqref="L93" showDropDown="0" showInputMessage="0" showErrorMessage="0" allowBlank="0" type="list">
      <formula1>"Automated,Manual,Hybrid"</formula1>
    </dataValidation>
    <dataValidation sqref="L94" showDropDown="0" showInputMessage="0" showErrorMessage="0" allowBlank="0" type="list">
      <formula1>"Automated,Manual,Hybrid"</formula1>
    </dataValidation>
    <dataValidation sqref="L95" showDropDown="0" showInputMessage="0" showErrorMessage="0" allowBlank="0" type="list">
      <formula1>"Automated,Manual,Hybrid"</formula1>
    </dataValidation>
    <dataValidation sqref="L96" showDropDown="0" showInputMessage="0" showErrorMessage="0" allowBlank="0" type="list">
      <formula1>"Automated,Manual,Hybrid"</formula1>
    </dataValidation>
    <dataValidation sqref="L97" showDropDown="0" showInputMessage="0" showErrorMessage="0" allowBlank="0" type="list">
      <formula1>"Automated,Manual,Hybrid"</formula1>
    </dataValidation>
    <dataValidation sqref="L98" showDropDown="0" showInputMessage="0" showErrorMessage="0" allowBlank="0" type="list">
      <formula1>"Automated,Manual,Hybrid"</formula1>
    </dataValidation>
    <dataValidation sqref="L99" showDropDown="0" showInputMessage="0" showErrorMessage="0" allowBlank="0" type="list">
      <formula1>"Automated,Manual,Hybrid"</formula1>
    </dataValidation>
    <dataValidation sqref="L100" showDropDown="0" showInputMessage="0" showErrorMessage="0" allowBlank="0" type="list">
      <formula1>"Automated,Manual,Hybrid"</formula1>
    </dataValidation>
    <dataValidation sqref="L101" showDropDown="0" showInputMessage="0" showErrorMessage="0" allowBlank="0" type="list">
      <formula1>"Automated,Manual,Hybrid"</formula1>
    </dataValidation>
    <dataValidation sqref="L102" showDropDown="0" showInputMessage="0" showErrorMessage="0" allowBlank="0" type="list">
      <formula1>"Automated,Manual,Hybrid"</formula1>
    </dataValidation>
    <dataValidation sqref="L103" showDropDown="0" showInputMessage="0" showErrorMessage="0" allowBlank="0" type="list">
      <formula1>"Automated,Manual,Hybrid"</formula1>
    </dataValidation>
    <dataValidation sqref="L104" showDropDown="0" showInputMessage="0" showErrorMessage="0" allowBlank="0" type="list">
      <formula1>"Automated,Manual,Hybrid"</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"IP_Address,Domain,URL,File_Hash,Email_Address,Registry_Key,Mutex,Certificate"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"High,Medium,Low"</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"Critical,High,Medium,Low,Info"</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showDropDown="0" showInputMessage="0" showErrorMessage="0" allowBlank="0" type="list">
      <formula1>"Active,Expired,Withdrawn,Under_Review"</formula1>
    </dataValidation>
    <dataValidation sqref="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howDropDown="0" showInputMessage="0" showErrorMessage="0" allowBlank="1" type="list">
      <formula1>"Yes,No,Under_Investigation"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5"/>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25" customWidth="1" min="5" max="5"/>
    <col width="15" customWidth="1" min="6" max="6"/>
    <col width="20" customWidth="1" min="7" max="7"/>
    <col width="22" customWidth="1" min="8" max="8"/>
    <col width="18" customWidth="1" min="9" max="9"/>
    <col width="20" customWidth="1" min="10" max="10"/>
    <col width="12" customWidth="1" min="11" max="11"/>
    <col width="20" customWidth="1" min="12" max="12"/>
    <col width="18" customWidth="1" min="13" max="13"/>
    <col width="35" customWidth="1" min="14" max="14"/>
  </cols>
  <sheetData>
    <row r="1" ht="35" customHeight="1">
      <c r="A1" s="11" t="inlineStr">
        <is>
          <t>INTELLIGENCE DISSEMINATION CHANNELS</t>
        </is>
      </c>
    </row>
    <row r="2">
      <c r="A2" s="12" t="inlineStr">
        <is>
          <t>Document all channels used to distribute threat intelligence - email lists, portals, dashboards, APIs, briefings, chat platforms.</t>
        </is>
      </c>
    </row>
    <row r="4">
      <c r="A4" s="13" t="inlineStr">
        <is>
          <t>Channel ID</t>
        </is>
      </c>
      <c r="B4" s="13" t="inlineStr">
        <is>
          <t>Channel Name</t>
        </is>
      </c>
      <c r="C4" s="13" t="inlineStr">
        <is>
          <t>Channel Type</t>
        </is>
      </c>
      <c r="D4" s="13" t="inlineStr">
        <is>
          <t>Target Audience</t>
        </is>
      </c>
      <c r="E4" s="13" t="inlineStr">
        <is>
          <t>Intelligence Types</t>
        </is>
      </c>
      <c r="F4" s="13" t="inlineStr">
        <is>
          <t>Frequency</t>
        </is>
      </c>
      <c r="G4" s="13" t="inlineStr">
        <is>
          <t>Delivery Method</t>
        </is>
      </c>
      <c r="H4" s="13" t="inlineStr">
        <is>
          <t>TLP Max Classification</t>
        </is>
      </c>
      <c r="I4" s="13" t="inlineStr">
        <is>
          <t>Active Subscribers</t>
        </is>
      </c>
      <c r="J4" s="13" t="inlineStr">
        <is>
          <t>Avg Engagement Rate</t>
        </is>
      </c>
      <c r="K4" s="13" t="inlineStr">
        <is>
          <t>Status</t>
        </is>
      </c>
      <c r="L4" s="13" t="inlineStr">
        <is>
          <t>Owner</t>
        </is>
      </c>
      <c r="M4" s="13" t="inlineStr">
        <is>
          <t>Last Distribution</t>
        </is>
      </c>
      <c r="N4" s="13" t="inlineStr">
        <is>
          <t>Notes</t>
        </is>
      </c>
    </row>
    <row r="5">
      <c r="A5" s="14" t="inlineStr">
        <is>
          <t>CHAN-001</t>
        </is>
      </c>
      <c r="B5" s="15" t="n"/>
      <c r="C5" s="15" t="n"/>
      <c r="D5" s="15" t="n"/>
      <c r="E5" s="15" t="n"/>
      <c r="F5" s="15" t="n"/>
      <c r="G5" s="15" t="n"/>
      <c r="H5" s="15" t="n"/>
      <c r="I5" s="17" t="n"/>
      <c r="J5" s="25" t="n"/>
      <c r="K5" s="15" t="n"/>
      <c r="L5" s="15" t="n"/>
      <c r="M5" s="23" t="n"/>
      <c r="N5" s="15" t="n"/>
    </row>
    <row r="6">
      <c r="A6" s="14" t="n"/>
      <c r="B6" s="15" t="n"/>
      <c r="C6" s="15" t="n"/>
      <c r="D6" s="15" t="n"/>
      <c r="E6" s="15" t="n"/>
      <c r="F6" s="15" t="n"/>
      <c r="G6" s="15" t="n"/>
      <c r="H6" s="15" t="n"/>
      <c r="I6" s="17" t="n"/>
      <c r="J6" s="25" t="n"/>
      <c r="K6" s="15" t="n"/>
      <c r="L6" s="15" t="n"/>
      <c r="M6" s="23" t="n"/>
      <c r="N6" s="15" t="n"/>
    </row>
    <row r="7">
      <c r="A7" s="14" t="n"/>
      <c r="B7" s="15" t="n"/>
      <c r="C7" s="15" t="n"/>
      <c r="D7" s="15" t="n"/>
      <c r="E7" s="15" t="n"/>
      <c r="F7" s="15" t="n"/>
      <c r="G7" s="15" t="n"/>
      <c r="H7" s="15" t="n"/>
      <c r="I7" s="17" t="n"/>
      <c r="J7" s="25" t="n"/>
      <c r="K7" s="15" t="n"/>
      <c r="L7" s="15" t="n"/>
      <c r="M7" s="23" t="n"/>
      <c r="N7" s="15" t="n"/>
    </row>
    <row r="8">
      <c r="A8" s="14" t="n"/>
      <c r="B8" s="15" t="n"/>
      <c r="C8" s="15" t="n"/>
      <c r="D8" s="15" t="n"/>
      <c r="E8" s="15" t="n"/>
      <c r="F8" s="15" t="n"/>
      <c r="G8" s="15" t="n"/>
      <c r="H8" s="15" t="n"/>
      <c r="I8" s="17" t="n"/>
      <c r="J8" s="25" t="n"/>
      <c r="K8" s="15" t="n"/>
      <c r="L8" s="15" t="n"/>
      <c r="M8" s="23" t="n"/>
      <c r="N8" s="15" t="n"/>
    </row>
    <row r="9">
      <c r="A9" s="14" t="n"/>
      <c r="B9" s="15" t="n"/>
      <c r="C9" s="15" t="n"/>
      <c r="D9" s="15" t="n"/>
      <c r="E9" s="15" t="n"/>
      <c r="F9" s="15" t="n"/>
      <c r="G9" s="15" t="n"/>
      <c r="H9" s="15" t="n"/>
      <c r="I9" s="17" t="n"/>
      <c r="J9" s="25" t="n"/>
      <c r="K9" s="15" t="n"/>
      <c r="L9" s="15" t="n"/>
      <c r="M9" s="23" t="n"/>
      <c r="N9" s="15" t="n"/>
    </row>
    <row r="10">
      <c r="A10" s="14" t="n"/>
      <c r="B10" s="15" t="n"/>
      <c r="C10" s="15" t="n"/>
      <c r="D10" s="15" t="n"/>
      <c r="E10" s="15" t="n"/>
      <c r="F10" s="15" t="n"/>
      <c r="G10" s="15" t="n"/>
      <c r="H10" s="15" t="n"/>
      <c r="I10" s="17" t="n"/>
      <c r="J10" s="25" t="n"/>
      <c r="K10" s="15" t="n"/>
      <c r="L10" s="15" t="n"/>
      <c r="M10" s="23" t="n"/>
      <c r="N10" s="15" t="n"/>
    </row>
    <row r="11">
      <c r="A11" s="14" t="n"/>
      <c r="B11" s="15" t="n"/>
      <c r="C11" s="15" t="n"/>
      <c r="D11" s="15" t="n"/>
      <c r="E11" s="15" t="n"/>
      <c r="F11" s="15" t="n"/>
      <c r="G11" s="15" t="n"/>
      <c r="H11" s="15" t="n"/>
      <c r="I11" s="17" t="n"/>
      <c r="J11" s="25" t="n"/>
      <c r="K11" s="15" t="n"/>
      <c r="L11" s="15" t="n"/>
      <c r="M11" s="23" t="n"/>
      <c r="N11" s="15" t="n"/>
    </row>
    <row r="12">
      <c r="A12" s="14" t="n"/>
      <c r="B12" s="15" t="n"/>
      <c r="C12" s="15" t="n"/>
      <c r="D12" s="15" t="n"/>
      <c r="E12" s="15" t="n"/>
      <c r="F12" s="15" t="n"/>
      <c r="G12" s="15" t="n"/>
      <c r="H12" s="15" t="n"/>
      <c r="I12" s="17" t="n"/>
      <c r="J12" s="25" t="n"/>
      <c r="K12" s="15" t="n"/>
      <c r="L12" s="15" t="n"/>
      <c r="M12" s="23" t="n"/>
      <c r="N12" s="15" t="n"/>
    </row>
    <row r="13">
      <c r="A13" s="14" t="n"/>
      <c r="B13" s="15" t="n"/>
      <c r="C13" s="15" t="n"/>
      <c r="D13" s="15" t="n"/>
      <c r="E13" s="15" t="n"/>
      <c r="F13" s="15" t="n"/>
      <c r="G13" s="15" t="n"/>
      <c r="H13" s="15" t="n"/>
      <c r="I13" s="17" t="n"/>
      <c r="J13" s="25" t="n"/>
      <c r="K13" s="15" t="n"/>
      <c r="L13" s="15" t="n"/>
      <c r="M13" s="23" t="n"/>
      <c r="N13" s="15" t="n"/>
    </row>
    <row r="14">
      <c r="A14" s="14" t="n"/>
      <c r="B14" s="15" t="n"/>
      <c r="C14" s="15" t="n"/>
      <c r="D14" s="15" t="n"/>
      <c r="E14" s="15" t="n"/>
      <c r="F14" s="15" t="n"/>
      <c r="G14" s="15" t="n"/>
      <c r="H14" s="15" t="n"/>
      <c r="I14" s="17" t="n"/>
      <c r="J14" s="25" t="n"/>
      <c r="K14" s="15" t="n"/>
      <c r="L14" s="15" t="n"/>
      <c r="M14" s="23" t="n"/>
      <c r="N14" s="15" t="n"/>
    </row>
    <row r="15">
      <c r="A15" s="14" t="n"/>
      <c r="B15" s="15" t="n"/>
      <c r="C15" s="15" t="n"/>
      <c r="D15" s="15" t="n"/>
      <c r="E15" s="15" t="n"/>
      <c r="F15" s="15" t="n"/>
      <c r="G15" s="15" t="n"/>
      <c r="H15" s="15" t="n"/>
      <c r="I15" s="17" t="n"/>
      <c r="J15" s="25" t="n"/>
      <c r="K15" s="15" t="n"/>
      <c r="L15" s="15" t="n"/>
      <c r="M15" s="23" t="n"/>
      <c r="N15" s="15" t="n"/>
    </row>
    <row r="16">
      <c r="A16" s="14" t="n"/>
      <c r="B16" s="15" t="n"/>
      <c r="C16" s="15" t="n"/>
      <c r="D16" s="15" t="n"/>
      <c r="E16" s="15" t="n"/>
      <c r="F16" s="15" t="n"/>
      <c r="G16" s="15" t="n"/>
      <c r="H16" s="15" t="n"/>
      <c r="I16" s="17" t="n"/>
      <c r="J16" s="25" t="n"/>
      <c r="K16" s="15" t="n"/>
      <c r="L16" s="15" t="n"/>
      <c r="M16" s="23" t="n"/>
      <c r="N16" s="15" t="n"/>
    </row>
    <row r="17">
      <c r="A17" s="14" t="n"/>
      <c r="B17" s="15" t="n"/>
      <c r="C17" s="15" t="n"/>
      <c r="D17" s="15" t="n"/>
      <c r="E17" s="15" t="n"/>
      <c r="F17" s="15" t="n"/>
      <c r="G17" s="15" t="n"/>
      <c r="H17" s="15" t="n"/>
      <c r="I17" s="17" t="n"/>
      <c r="J17" s="25" t="n"/>
      <c r="K17" s="15" t="n"/>
      <c r="L17" s="15" t="n"/>
      <c r="M17" s="23" t="n"/>
      <c r="N17" s="15" t="n"/>
    </row>
    <row r="18">
      <c r="A18" s="14" t="n"/>
      <c r="B18" s="15" t="n"/>
      <c r="C18" s="15" t="n"/>
      <c r="D18" s="15" t="n"/>
      <c r="E18" s="15" t="n"/>
      <c r="F18" s="15" t="n"/>
      <c r="G18" s="15" t="n"/>
      <c r="H18" s="15" t="n"/>
      <c r="I18" s="17" t="n"/>
      <c r="J18" s="25" t="n"/>
      <c r="K18" s="15" t="n"/>
      <c r="L18" s="15" t="n"/>
      <c r="M18" s="23" t="n"/>
      <c r="N18" s="15" t="n"/>
    </row>
    <row r="19">
      <c r="A19" s="14" t="n"/>
      <c r="B19" s="15" t="n"/>
      <c r="C19" s="15" t="n"/>
      <c r="D19" s="15" t="n"/>
      <c r="E19" s="15" t="n"/>
      <c r="F19" s="15" t="n"/>
      <c r="G19" s="15" t="n"/>
      <c r="H19" s="15" t="n"/>
      <c r="I19" s="17" t="n"/>
      <c r="J19" s="25" t="n"/>
      <c r="K19" s="15" t="n"/>
      <c r="L19" s="15" t="n"/>
      <c r="M19" s="23" t="n"/>
      <c r="N19" s="15" t="n"/>
    </row>
    <row r="20">
      <c r="A20" s="14" t="n"/>
      <c r="B20" s="15" t="n"/>
      <c r="C20" s="15" t="n"/>
      <c r="D20" s="15" t="n"/>
      <c r="E20" s="15" t="n"/>
      <c r="F20" s="15" t="n"/>
      <c r="G20" s="15" t="n"/>
      <c r="H20" s="15" t="n"/>
      <c r="I20" s="17" t="n"/>
      <c r="J20" s="25" t="n"/>
      <c r="K20" s="15" t="n"/>
      <c r="L20" s="15" t="n"/>
      <c r="M20" s="23" t="n"/>
      <c r="N20" s="15" t="n"/>
    </row>
    <row r="21">
      <c r="A21" s="14" t="n"/>
      <c r="B21" s="15" t="n"/>
      <c r="C21" s="15" t="n"/>
      <c r="D21" s="15" t="n"/>
      <c r="E21" s="15" t="n"/>
      <c r="F21" s="15" t="n"/>
      <c r="G21" s="15" t="n"/>
      <c r="H21" s="15" t="n"/>
      <c r="I21" s="17" t="n"/>
      <c r="J21" s="25" t="n"/>
      <c r="K21" s="15" t="n"/>
      <c r="L21" s="15" t="n"/>
      <c r="M21" s="23" t="n"/>
      <c r="N21" s="15" t="n"/>
    </row>
    <row r="22">
      <c r="A22" s="14" t="n"/>
      <c r="B22" s="15" t="n"/>
      <c r="C22" s="15" t="n"/>
      <c r="D22" s="15" t="n"/>
      <c r="E22" s="15" t="n"/>
      <c r="F22" s="15" t="n"/>
      <c r="G22" s="15" t="n"/>
      <c r="H22" s="15" t="n"/>
      <c r="I22" s="17" t="n"/>
      <c r="J22" s="25" t="n"/>
      <c r="K22" s="15" t="n"/>
      <c r="L22" s="15" t="n"/>
      <c r="M22" s="23" t="n"/>
      <c r="N22" s="15" t="n"/>
    </row>
    <row r="23">
      <c r="A23" s="14" t="n"/>
      <c r="B23" s="15" t="n"/>
      <c r="C23" s="15" t="n"/>
      <c r="D23" s="15" t="n"/>
      <c r="E23" s="15" t="n"/>
      <c r="F23" s="15" t="n"/>
      <c r="G23" s="15" t="n"/>
      <c r="H23" s="15" t="n"/>
      <c r="I23" s="17" t="n"/>
      <c r="J23" s="25" t="n"/>
      <c r="K23" s="15" t="n"/>
      <c r="L23" s="15" t="n"/>
      <c r="M23" s="23" t="n"/>
      <c r="N23" s="15" t="n"/>
    </row>
    <row r="24">
      <c r="A24" s="14" t="n"/>
      <c r="B24" s="15" t="n"/>
      <c r="C24" s="15" t="n"/>
      <c r="D24" s="15" t="n"/>
      <c r="E24" s="15" t="n"/>
      <c r="F24" s="15" t="n"/>
      <c r="G24" s="15" t="n"/>
      <c r="H24" s="15" t="n"/>
      <c r="I24" s="17" t="n"/>
      <c r="J24" s="25" t="n"/>
      <c r="K24" s="15" t="n"/>
      <c r="L24" s="15" t="n"/>
      <c r="M24" s="23" t="n"/>
      <c r="N24" s="15" t="n"/>
    </row>
    <row r="25">
      <c r="A25" s="14" t="n"/>
      <c r="B25" s="15" t="n"/>
      <c r="C25" s="15" t="n"/>
      <c r="D25" s="15" t="n"/>
      <c r="E25" s="15" t="n"/>
      <c r="F25" s="15" t="n"/>
      <c r="G25" s="15" t="n"/>
      <c r="H25" s="15" t="n"/>
      <c r="I25" s="17" t="n"/>
      <c r="J25" s="25" t="n"/>
      <c r="K25" s="15" t="n"/>
      <c r="L25" s="15" t="n"/>
      <c r="M25" s="23" t="n"/>
      <c r="N25" s="15" t="n"/>
    </row>
    <row r="26">
      <c r="A26" s="14" t="n"/>
      <c r="B26" s="15" t="n"/>
      <c r="C26" s="15" t="n"/>
      <c r="D26" s="15" t="n"/>
      <c r="E26" s="15" t="n"/>
      <c r="F26" s="15" t="n"/>
      <c r="G26" s="15" t="n"/>
      <c r="H26" s="15" t="n"/>
      <c r="I26" s="17" t="n"/>
      <c r="J26" s="25" t="n"/>
      <c r="K26" s="15" t="n"/>
      <c r="L26" s="15" t="n"/>
      <c r="M26" s="23" t="n"/>
      <c r="N26" s="15" t="n"/>
    </row>
    <row r="27">
      <c r="A27" s="14" t="n"/>
      <c r="B27" s="15" t="n"/>
      <c r="C27" s="15" t="n"/>
      <c r="D27" s="15" t="n"/>
      <c r="E27" s="15" t="n"/>
      <c r="F27" s="15" t="n"/>
      <c r="G27" s="15" t="n"/>
      <c r="H27" s="15" t="n"/>
      <c r="I27" s="17" t="n"/>
      <c r="J27" s="25" t="n"/>
      <c r="K27" s="15" t="n"/>
      <c r="L27" s="15" t="n"/>
      <c r="M27" s="23" t="n"/>
      <c r="N27" s="15" t="n"/>
    </row>
    <row r="28">
      <c r="A28" s="14" t="n"/>
      <c r="B28" s="15" t="n"/>
      <c r="C28" s="15" t="n"/>
      <c r="D28" s="15" t="n"/>
      <c r="E28" s="15" t="n"/>
      <c r="F28" s="15" t="n"/>
      <c r="G28" s="15" t="n"/>
      <c r="H28" s="15" t="n"/>
      <c r="I28" s="17" t="n"/>
      <c r="J28" s="25" t="n"/>
      <c r="K28" s="15" t="n"/>
      <c r="L28" s="15" t="n"/>
      <c r="M28" s="23" t="n"/>
      <c r="N28" s="15" t="n"/>
    </row>
    <row r="29">
      <c r="A29" s="14" t="n"/>
      <c r="B29" s="15" t="n"/>
      <c r="C29" s="15" t="n"/>
      <c r="D29" s="15" t="n"/>
      <c r="E29" s="15" t="n"/>
      <c r="F29" s="15" t="n"/>
      <c r="G29" s="15" t="n"/>
      <c r="H29" s="15" t="n"/>
      <c r="I29" s="17" t="n"/>
      <c r="J29" s="25" t="n"/>
      <c r="K29" s="15" t="n"/>
      <c r="L29" s="15" t="n"/>
      <c r="M29" s="23" t="n"/>
      <c r="N29" s="15" t="n"/>
    </row>
    <row r="31">
      <c r="A31" s="18" t="inlineStr">
        <is>
          <t>CHANNEL SUMMARY</t>
        </is>
      </c>
    </row>
    <row r="32">
      <c r="A32" s="19" t="inlineStr">
        <is>
          <t>Total Channels:</t>
        </is>
      </c>
      <c r="B32" s="19">
        <f>COUNTA(B5:B29)</f>
        <v/>
      </c>
    </row>
    <row r="33">
      <c r="A33" s="19" t="inlineStr">
        <is>
          <t>Active Channels:</t>
        </is>
      </c>
      <c r="B33" s="20">
        <f>COUNTIF(K5:K29,"Active")</f>
        <v/>
      </c>
    </row>
    <row r="34">
      <c r="A34" s="19" t="inlineStr">
        <is>
          <t>Total Subscribers:</t>
        </is>
      </c>
      <c r="B34" s="19">
        <f>SUM(I5:I29)</f>
        <v/>
      </c>
    </row>
    <row r="35">
      <c r="A35" s="19" t="inlineStr">
        <is>
          <t>Average Engagement:</t>
        </is>
      </c>
      <c r="B35" s="26">
        <f>AVERAGE(J5:J29)</f>
        <v/>
      </c>
    </row>
  </sheetData>
  <mergeCells count="3">
    <mergeCell ref="A31:E31"/>
    <mergeCell ref="A2:N2"/>
    <mergeCell ref="A1:N1"/>
  </mergeCells>
  <conditionalFormatting sqref="K5">
    <cfRule type="cellIs" priority="1" operator="equal" dxfId="0">
      <formula>"Active"</formula>
    </cfRule>
    <cfRule type="cellIs" priority="2" operator="equal" dxfId="3">
      <formula>"Inactive"</formula>
    </cfRule>
    <cfRule type="cellIs" priority="3" operator="equal" dxfId="3">
      <formula>"Deprecated"</formula>
    </cfRule>
    <cfRule type="cellIs" priority="4" operator="equal" dxfId="2">
      <formula>"Pilot"</formula>
    </cfRule>
  </conditionalFormatting>
  <conditionalFormatting sqref="K6">
    <cfRule type="cellIs" priority="5" operator="equal" dxfId="0">
      <formula>"Active"</formula>
    </cfRule>
    <cfRule type="cellIs" priority="6" operator="equal" dxfId="3">
      <formula>"Inactive"</formula>
    </cfRule>
    <cfRule type="cellIs" priority="7" operator="equal" dxfId="3">
      <formula>"Deprecated"</formula>
    </cfRule>
    <cfRule type="cellIs" priority="8" operator="equal" dxfId="2">
      <formula>"Pilot"</formula>
    </cfRule>
  </conditionalFormatting>
  <conditionalFormatting sqref="K7">
    <cfRule type="cellIs" priority="9" operator="equal" dxfId="0">
      <formula>"Active"</formula>
    </cfRule>
    <cfRule type="cellIs" priority="10" operator="equal" dxfId="3">
      <formula>"Inactive"</formula>
    </cfRule>
    <cfRule type="cellIs" priority="11" operator="equal" dxfId="3">
      <formula>"Deprecated"</formula>
    </cfRule>
    <cfRule type="cellIs" priority="12" operator="equal" dxfId="2">
      <formula>"Pilot"</formula>
    </cfRule>
  </conditionalFormatting>
  <conditionalFormatting sqref="K8">
    <cfRule type="cellIs" priority="13" operator="equal" dxfId="0">
      <formula>"Active"</formula>
    </cfRule>
    <cfRule type="cellIs" priority="14" operator="equal" dxfId="3">
      <formula>"Inactive"</formula>
    </cfRule>
    <cfRule type="cellIs" priority="15" operator="equal" dxfId="3">
      <formula>"Deprecated"</formula>
    </cfRule>
    <cfRule type="cellIs" priority="16" operator="equal" dxfId="2">
      <formula>"Pilot"</formula>
    </cfRule>
  </conditionalFormatting>
  <conditionalFormatting sqref="K9">
    <cfRule type="cellIs" priority="17" operator="equal" dxfId="0">
      <formula>"Active"</formula>
    </cfRule>
    <cfRule type="cellIs" priority="18" operator="equal" dxfId="3">
      <formula>"Inactive"</formula>
    </cfRule>
    <cfRule type="cellIs" priority="19" operator="equal" dxfId="3">
      <formula>"Deprecated"</formula>
    </cfRule>
    <cfRule type="cellIs" priority="20" operator="equal" dxfId="2">
      <formula>"Pilot"</formula>
    </cfRule>
  </conditionalFormatting>
  <conditionalFormatting sqref="K10">
    <cfRule type="cellIs" priority="21" operator="equal" dxfId="0">
      <formula>"Active"</formula>
    </cfRule>
    <cfRule type="cellIs" priority="22" operator="equal" dxfId="3">
      <formula>"Inactive"</formula>
    </cfRule>
    <cfRule type="cellIs" priority="23" operator="equal" dxfId="3">
      <formula>"Deprecated"</formula>
    </cfRule>
    <cfRule type="cellIs" priority="24" operator="equal" dxfId="2">
      <formula>"Pilot"</formula>
    </cfRule>
  </conditionalFormatting>
  <conditionalFormatting sqref="K11">
    <cfRule type="cellIs" priority="25" operator="equal" dxfId="0">
      <formula>"Active"</formula>
    </cfRule>
    <cfRule type="cellIs" priority="26" operator="equal" dxfId="3">
      <formula>"Inactive"</formula>
    </cfRule>
    <cfRule type="cellIs" priority="27" operator="equal" dxfId="3">
      <formula>"Deprecated"</formula>
    </cfRule>
    <cfRule type="cellIs" priority="28" operator="equal" dxfId="2">
      <formula>"Pilot"</formula>
    </cfRule>
  </conditionalFormatting>
  <conditionalFormatting sqref="K12">
    <cfRule type="cellIs" priority="29" operator="equal" dxfId="0">
      <formula>"Active"</formula>
    </cfRule>
    <cfRule type="cellIs" priority="30" operator="equal" dxfId="3">
      <formula>"Inactive"</formula>
    </cfRule>
    <cfRule type="cellIs" priority="31" operator="equal" dxfId="3">
      <formula>"Deprecated"</formula>
    </cfRule>
    <cfRule type="cellIs" priority="32" operator="equal" dxfId="2">
      <formula>"Pilot"</formula>
    </cfRule>
  </conditionalFormatting>
  <conditionalFormatting sqref="K13">
    <cfRule type="cellIs" priority="33" operator="equal" dxfId="0">
      <formula>"Active"</formula>
    </cfRule>
    <cfRule type="cellIs" priority="34" operator="equal" dxfId="3">
      <formula>"Inactive"</formula>
    </cfRule>
    <cfRule type="cellIs" priority="35" operator="equal" dxfId="3">
      <formula>"Deprecated"</formula>
    </cfRule>
    <cfRule type="cellIs" priority="36" operator="equal" dxfId="2">
      <formula>"Pilot"</formula>
    </cfRule>
  </conditionalFormatting>
  <conditionalFormatting sqref="K14">
    <cfRule type="cellIs" priority="37" operator="equal" dxfId="0">
      <formula>"Active"</formula>
    </cfRule>
    <cfRule type="cellIs" priority="38" operator="equal" dxfId="3">
      <formula>"Inactive"</formula>
    </cfRule>
    <cfRule type="cellIs" priority="39" operator="equal" dxfId="3">
      <formula>"Deprecated"</formula>
    </cfRule>
    <cfRule type="cellIs" priority="40" operator="equal" dxfId="2">
      <formula>"Pilot"</formula>
    </cfRule>
  </conditionalFormatting>
  <conditionalFormatting sqref="K15">
    <cfRule type="cellIs" priority="41" operator="equal" dxfId="0">
      <formula>"Active"</formula>
    </cfRule>
    <cfRule type="cellIs" priority="42" operator="equal" dxfId="3">
      <formula>"Inactive"</formula>
    </cfRule>
    <cfRule type="cellIs" priority="43" operator="equal" dxfId="3">
      <formula>"Deprecated"</formula>
    </cfRule>
    <cfRule type="cellIs" priority="44" operator="equal" dxfId="2">
      <formula>"Pilot"</formula>
    </cfRule>
  </conditionalFormatting>
  <conditionalFormatting sqref="K16">
    <cfRule type="cellIs" priority="45" operator="equal" dxfId="0">
      <formula>"Active"</formula>
    </cfRule>
    <cfRule type="cellIs" priority="46" operator="equal" dxfId="3">
      <formula>"Inactive"</formula>
    </cfRule>
    <cfRule type="cellIs" priority="47" operator="equal" dxfId="3">
      <formula>"Deprecated"</formula>
    </cfRule>
    <cfRule type="cellIs" priority="48" operator="equal" dxfId="2">
      <formula>"Pilot"</formula>
    </cfRule>
  </conditionalFormatting>
  <conditionalFormatting sqref="K17">
    <cfRule type="cellIs" priority="49" operator="equal" dxfId="0">
      <formula>"Active"</formula>
    </cfRule>
    <cfRule type="cellIs" priority="50" operator="equal" dxfId="3">
      <formula>"Inactive"</formula>
    </cfRule>
    <cfRule type="cellIs" priority="51" operator="equal" dxfId="3">
      <formula>"Deprecated"</formula>
    </cfRule>
    <cfRule type="cellIs" priority="52" operator="equal" dxfId="2">
      <formula>"Pilot"</formula>
    </cfRule>
  </conditionalFormatting>
  <conditionalFormatting sqref="K18">
    <cfRule type="cellIs" priority="53" operator="equal" dxfId="0">
      <formula>"Active"</formula>
    </cfRule>
    <cfRule type="cellIs" priority="54" operator="equal" dxfId="3">
      <formula>"Inactive"</formula>
    </cfRule>
    <cfRule type="cellIs" priority="55" operator="equal" dxfId="3">
      <formula>"Deprecated"</formula>
    </cfRule>
    <cfRule type="cellIs" priority="56" operator="equal" dxfId="2">
      <formula>"Pilot"</formula>
    </cfRule>
  </conditionalFormatting>
  <conditionalFormatting sqref="K19">
    <cfRule type="cellIs" priority="57" operator="equal" dxfId="0">
      <formula>"Active"</formula>
    </cfRule>
    <cfRule type="cellIs" priority="58" operator="equal" dxfId="3">
      <formula>"Inactive"</formula>
    </cfRule>
    <cfRule type="cellIs" priority="59" operator="equal" dxfId="3">
      <formula>"Deprecated"</formula>
    </cfRule>
    <cfRule type="cellIs" priority="60" operator="equal" dxfId="2">
      <formula>"Pilot"</formula>
    </cfRule>
  </conditionalFormatting>
  <conditionalFormatting sqref="K20">
    <cfRule type="cellIs" priority="61" operator="equal" dxfId="0">
      <formula>"Active"</formula>
    </cfRule>
    <cfRule type="cellIs" priority="62" operator="equal" dxfId="3">
      <formula>"Inactive"</formula>
    </cfRule>
    <cfRule type="cellIs" priority="63" operator="equal" dxfId="3">
      <formula>"Deprecated"</formula>
    </cfRule>
    <cfRule type="cellIs" priority="64" operator="equal" dxfId="2">
      <formula>"Pilot"</formula>
    </cfRule>
  </conditionalFormatting>
  <conditionalFormatting sqref="K21">
    <cfRule type="cellIs" priority="65" operator="equal" dxfId="0">
      <formula>"Active"</formula>
    </cfRule>
    <cfRule type="cellIs" priority="66" operator="equal" dxfId="3">
      <formula>"Inactive"</formula>
    </cfRule>
    <cfRule type="cellIs" priority="67" operator="equal" dxfId="3">
      <formula>"Deprecated"</formula>
    </cfRule>
    <cfRule type="cellIs" priority="68" operator="equal" dxfId="2">
      <formula>"Pilot"</formula>
    </cfRule>
  </conditionalFormatting>
  <conditionalFormatting sqref="K22">
    <cfRule type="cellIs" priority="69" operator="equal" dxfId="0">
      <formula>"Active"</formula>
    </cfRule>
    <cfRule type="cellIs" priority="70" operator="equal" dxfId="3">
      <formula>"Inactive"</formula>
    </cfRule>
    <cfRule type="cellIs" priority="71" operator="equal" dxfId="3">
      <formula>"Deprecated"</formula>
    </cfRule>
    <cfRule type="cellIs" priority="72" operator="equal" dxfId="2">
      <formula>"Pilot"</formula>
    </cfRule>
  </conditionalFormatting>
  <conditionalFormatting sqref="K23">
    <cfRule type="cellIs" priority="73" operator="equal" dxfId="0">
      <formula>"Active"</formula>
    </cfRule>
    <cfRule type="cellIs" priority="74" operator="equal" dxfId="3">
      <formula>"Inactive"</formula>
    </cfRule>
    <cfRule type="cellIs" priority="75" operator="equal" dxfId="3">
      <formula>"Deprecated"</formula>
    </cfRule>
    <cfRule type="cellIs" priority="76" operator="equal" dxfId="2">
      <formula>"Pilot"</formula>
    </cfRule>
  </conditionalFormatting>
  <conditionalFormatting sqref="K24">
    <cfRule type="cellIs" priority="77" operator="equal" dxfId="0">
      <formula>"Active"</formula>
    </cfRule>
    <cfRule type="cellIs" priority="78" operator="equal" dxfId="3">
      <formula>"Inactive"</formula>
    </cfRule>
    <cfRule type="cellIs" priority="79" operator="equal" dxfId="3">
      <formula>"Deprecated"</formula>
    </cfRule>
    <cfRule type="cellIs" priority="80" operator="equal" dxfId="2">
      <formula>"Pilot"</formula>
    </cfRule>
  </conditionalFormatting>
  <conditionalFormatting sqref="K25">
    <cfRule type="cellIs" priority="81" operator="equal" dxfId="0">
      <formula>"Active"</formula>
    </cfRule>
    <cfRule type="cellIs" priority="82" operator="equal" dxfId="3">
      <formula>"Inactive"</formula>
    </cfRule>
    <cfRule type="cellIs" priority="83" operator="equal" dxfId="3">
      <formula>"Deprecated"</formula>
    </cfRule>
    <cfRule type="cellIs" priority="84" operator="equal" dxfId="2">
      <formula>"Pilot"</formula>
    </cfRule>
  </conditionalFormatting>
  <conditionalFormatting sqref="K26">
    <cfRule type="cellIs" priority="85" operator="equal" dxfId="0">
      <formula>"Active"</formula>
    </cfRule>
    <cfRule type="cellIs" priority="86" operator="equal" dxfId="3">
      <formula>"Inactive"</formula>
    </cfRule>
    <cfRule type="cellIs" priority="87" operator="equal" dxfId="3">
      <formula>"Deprecated"</formula>
    </cfRule>
    <cfRule type="cellIs" priority="88" operator="equal" dxfId="2">
      <formula>"Pilot"</formula>
    </cfRule>
  </conditionalFormatting>
  <conditionalFormatting sqref="K27">
    <cfRule type="cellIs" priority="89" operator="equal" dxfId="0">
      <formula>"Active"</formula>
    </cfRule>
    <cfRule type="cellIs" priority="90" operator="equal" dxfId="3">
      <formula>"Inactive"</formula>
    </cfRule>
    <cfRule type="cellIs" priority="91" operator="equal" dxfId="3">
      <formula>"Deprecated"</formula>
    </cfRule>
    <cfRule type="cellIs" priority="92" operator="equal" dxfId="2">
      <formula>"Pilot"</formula>
    </cfRule>
  </conditionalFormatting>
  <conditionalFormatting sqref="K28">
    <cfRule type="cellIs" priority="93" operator="equal" dxfId="0">
      <formula>"Active"</formula>
    </cfRule>
    <cfRule type="cellIs" priority="94" operator="equal" dxfId="3">
      <formula>"Inactive"</formula>
    </cfRule>
    <cfRule type="cellIs" priority="95" operator="equal" dxfId="3">
      <formula>"Deprecated"</formula>
    </cfRule>
    <cfRule type="cellIs" priority="96" operator="equal" dxfId="2">
      <formula>"Pilot"</formula>
    </cfRule>
  </conditionalFormatting>
  <conditionalFormatting sqref="K29">
    <cfRule type="cellIs" priority="97" operator="equal" dxfId="0">
      <formula>"Active"</formula>
    </cfRule>
    <cfRule type="cellIs" priority="98" operator="equal" dxfId="3">
      <formula>"Inactive"</formula>
    </cfRule>
    <cfRule type="cellIs" priority="99" operator="equal" dxfId="3">
      <formula>"Deprecated"</formula>
    </cfRule>
    <cfRule type="cellIs" priority="100" operator="equal" dxfId="2">
      <formula>"Pilot"</formula>
    </cfRule>
  </conditionalFormatting>
  <dataValidations count="126">
    <dataValidation sqref="C5" showDropDown="0" showInputMessage="0" showErrorMessage="0" allowBlank="0" type="list">
      <formula1>"Email_List,Portal,Dashboard,API,Briefing,Chat,Ticketing_System"</formula1>
    </dataValidation>
    <dataValidation sqref="D5" showDropDown="0" showInputMessage="0" showErrorMessage="0" allowBlank="0" type="list">
      <formula1>"Executive,CISO,SOC,IR_Team,IT_Ops,Developers,All_Staff"</formula1>
    </dataValidation>
    <dataValidation sqref="F5" showDropDown="0" showInputMessage="0" showErrorMessage="0" allowBlank="0" type="list">
      <formula1>"Real-time,Daily,Weekly,Monthly,On_Demand,Quarterly"</formula1>
    </dataValidation>
    <dataValidation sqref="G5" showDropDown="0" showInputMessage="0" showErrorMessage="0" allowBlank="0" type="list">
      <formula1>"Email,Web_Portal,Mobile_App,API,PDF_Report,Presentation,Slack,Teams"</formula1>
    </dataValidation>
    <dataValidation sqref="K5" showDropDown="0" showInputMessage="0" showErrorMessage="0" allowBlank="0" type="list">
      <formula1>"Active,Inactive,Pilot,Deprecated"</formula1>
    </dataValidation>
    <dataValidation sqref="C6" showDropDown="0" showInputMessage="0" showErrorMessage="0" allowBlank="0" type="list">
      <formula1>"Email_List,Portal,Dashboard,API,Briefing,Chat,Ticketing_System"</formula1>
    </dataValidation>
    <dataValidation sqref="D6" showDropDown="0" showInputMessage="0" showErrorMessage="0" allowBlank="0" type="list">
      <formula1>"Executive,CISO,SOC,IR_Team,IT_Ops,Developers,All_Staff"</formula1>
    </dataValidation>
    <dataValidation sqref="F6" showDropDown="0" showInputMessage="0" showErrorMessage="0" allowBlank="0" type="list">
      <formula1>"Real-time,Daily,Weekly,Monthly,On_Demand,Quarterly"</formula1>
    </dataValidation>
    <dataValidation sqref="G6" showDropDown="0" showInputMessage="0" showErrorMessage="0" allowBlank="0" type="list">
      <formula1>"Email,Web_Portal,Mobile_App,API,PDF_Report,Presentation,Slack,Teams"</formula1>
    </dataValidation>
    <dataValidation sqref="K6" showDropDown="0" showInputMessage="0" showErrorMessage="0" allowBlank="0" type="list">
      <formula1>"Active,Inactive,Pilot,Deprecated"</formula1>
    </dataValidation>
    <dataValidation sqref="C7" showDropDown="0" showInputMessage="0" showErrorMessage="0" allowBlank="0" type="list">
      <formula1>"Email_List,Portal,Dashboard,API,Briefing,Chat,Ticketing_System"</formula1>
    </dataValidation>
    <dataValidation sqref="D7" showDropDown="0" showInputMessage="0" showErrorMessage="0" allowBlank="0" type="list">
      <formula1>"Executive,CISO,SOC,IR_Team,IT_Ops,Developers,All_Staff"</formula1>
    </dataValidation>
    <dataValidation sqref="F7" showDropDown="0" showInputMessage="0" showErrorMessage="0" allowBlank="0" type="list">
      <formula1>"Real-time,Daily,Weekly,Monthly,On_Demand,Quarterly"</formula1>
    </dataValidation>
    <dataValidation sqref="G7" showDropDown="0" showInputMessage="0" showErrorMessage="0" allowBlank="0" type="list">
      <formula1>"Email,Web_Portal,Mobile_App,API,PDF_Report,Presentation,Slack,Teams"</formula1>
    </dataValidation>
    <dataValidation sqref="K7" showDropDown="0" showInputMessage="0" showErrorMessage="0" allowBlank="0" type="list">
      <formula1>"Active,Inactive,Pilot,Deprecated"</formula1>
    </dataValidation>
    <dataValidation sqref="C8" showDropDown="0" showInputMessage="0" showErrorMessage="0" allowBlank="0" type="list">
      <formula1>"Email_List,Portal,Dashboard,API,Briefing,Chat,Ticketing_System"</formula1>
    </dataValidation>
    <dataValidation sqref="D8" showDropDown="0" showInputMessage="0" showErrorMessage="0" allowBlank="0" type="list">
      <formula1>"Executive,CISO,SOC,IR_Team,IT_Ops,Developers,All_Staff"</formula1>
    </dataValidation>
    <dataValidation sqref="F8" showDropDown="0" showInputMessage="0" showErrorMessage="0" allowBlank="0" type="list">
      <formula1>"Real-time,Daily,Weekly,Monthly,On_Demand,Quarterly"</formula1>
    </dataValidation>
    <dataValidation sqref="G8" showDropDown="0" showInputMessage="0" showErrorMessage="0" allowBlank="0" type="list">
      <formula1>"Email,Web_Portal,Mobile_App,API,PDF_Report,Presentation,Slack,Teams"</formula1>
    </dataValidation>
    <dataValidation sqref="K8" showDropDown="0" showInputMessage="0" showErrorMessage="0" allowBlank="0" type="list">
      <formula1>"Active,Inactive,Pilot,Deprecated"</formula1>
    </dataValidation>
    <dataValidation sqref="C9" showDropDown="0" showInputMessage="0" showErrorMessage="0" allowBlank="0" type="list">
      <formula1>"Email_List,Portal,Dashboard,API,Briefing,Chat,Ticketing_System"</formula1>
    </dataValidation>
    <dataValidation sqref="D9" showDropDown="0" showInputMessage="0" showErrorMessage="0" allowBlank="0" type="list">
      <formula1>"Executive,CISO,SOC,IR_Team,IT_Ops,Developers,All_Staff"</formula1>
    </dataValidation>
    <dataValidation sqref="F9" showDropDown="0" showInputMessage="0" showErrorMessage="0" allowBlank="0" type="list">
      <formula1>"Real-time,Daily,Weekly,Monthly,On_Demand,Quarterly"</formula1>
    </dataValidation>
    <dataValidation sqref="G9" showDropDown="0" showInputMessage="0" showErrorMessage="0" allowBlank="0" type="list">
      <formula1>"Email,Web_Portal,Mobile_App,API,PDF_Report,Presentation,Slack,Teams"</formula1>
    </dataValidation>
    <dataValidation sqref="K9" showDropDown="0" showInputMessage="0" showErrorMessage="0" allowBlank="0" type="list">
      <formula1>"Active,Inactive,Pilot,Deprecated"</formula1>
    </dataValidation>
    <dataValidation sqref="C10" showDropDown="0" showInputMessage="0" showErrorMessage="0" allowBlank="0" type="list">
      <formula1>"Email_List,Portal,Dashboard,API,Briefing,Chat,Ticketing_System"</formula1>
    </dataValidation>
    <dataValidation sqref="D10" showDropDown="0" showInputMessage="0" showErrorMessage="0" allowBlank="0" type="list">
      <formula1>"Executive,CISO,SOC,IR_Team,IT_Ops,Developers,All_Staff"</formula1>
    </dataValidation>
    <dataValidation sqref="F10" showDropDown="0" showInputMessage="0" showErrorMessage="0" allowBlank="0" type="list">
      <formula1>"Real-time,Daily,Weekly,Monthly,On_Demand,Quarterly"</formula1>
    </dataValidation>
    <dataValidation sqref="G10" showDropDown="0" showInputMessage="0" showErrorMessage="0" allowBlank="0" type="list">
      <formula1>"Email,Web_Portal,Mobile_App,API,PDF_Report,Presentation,Slack,Teams"</formula1>
    </dataValidation>
    <dataValidation sqref="K10" showDropDown="0" showInputMessage="0" showErrorMessage="0" allowBlank="0" type="list">
      <formula1>"Active,Inactive,Pilot,Deprecated"</formula1>
    </dataValidation>
    <dataValidation sqref="C11" showDropDown="0" showInputMessage="0" showErrorMessage="0" allowBlank="0" type="list">
      <formula1>"Email_List,Portal,Dashboard,API,Briefing,Chat,Ticketing_System"</formula1>
    </dataValidation>
    <dataValidation sqref="D11" showDropDown="0" showInputMessage="0" showErrorMessage="0" allowBlank="0" type="list">
      <formula1>"Executive,CISO,SOC,IR_Team,IT_Ops,Developers,All_Staff"</formula1>
    </dataValidation>
    <dataValidation sqref="F11" showDropDown="0" showInputMessage="0" showErrorMessage="0" allowBlank="0" type="list">
      <formula1>"Real-time,Daily,Weekly,Monthly,On_Demand,Quarterly"</formula1>
    </dataValidation>
    <dataValidation sqref="G11" showDropDown="0" showInputMessage="0" showErrorMessage="0" allowBlank="0" type="list">
      <formula1>"Email,Web_Portal,Mobile_App,API,PDF_Report,Presentation,Slack,Teams"</formula1>
    </dataValidation>
    <dataValidation sqref="K11" showDropDown="0" showInputMessage="0" showErrorMessage="0" allowBlank="0" type="list">
      <formula1>"Active,Inactive,Pilot,Deprecated"</formula1>
    </dataValidation>
    <dataValidation sqref="C12" showDropDown="0" showInputMessage="0" showErrorMessage="0" allowBlank="0" type="list">
      <formula1>"Email_List,Portal,Dashboard,API,Briefing,Chat,Ticketing_System"</formula1>
    </dataValidation>
    <dataValidation sqref="D12" showDropDown="0" showInputMessage="0" showErrorMessage="0" allowBlank="0" type="list">
      <formula1>"Executive,CISO,SOC,IR_Team,IT_Ops,Developers,All_Staff"</formula1>
    </dataValidation>
    <dataValidation sqref="F12" showDropDown="0" showInputMessage="0" showErrorMessage="0" allowBlank="0" type="list">
      <formula1>"Real-time,Daily,Weekly,Monthly,On_Demand,Quarterly"</formula1>
    </dataValidation>
    <dataValidation sqref="G12" showDropDown="0" showInputMessage="0" showErrorMessage="0" allowBlank="0" type="list">
      <formula1>"Email,Web_Portal,Mobile_App,API,PDF_Report,Presentation,Slack,Teams"</formula1>
    </dataValidation>
    <dataValidation sqref="K12" showDropDown="0" showInputMessage="0" showErrorMessage="0" allowBlank="0" type="list">
      <formula1>"Active,Inactive,Pilot,Deprecated"</formula1>
    </dataValidation>
    <dataValidation sqref="C13" showDropDown="0" showInputMessage="0" showErrorMessage="0" allowBlank="0" type="list">
      <formula1>"Email_List,Portal,Dashboard,API,Briefing,Chat,Ticketing_System"</formula1>
    </dataValidation>
    <dataValidation sqref="D13" showDropDown="0" showInputMessage="0" showErrorMessage="0" allowBlank="0" type="list">
      <formula1>"Executive,CISO,SOC,IR_Team,IT_Ops,Developers,All_Staff"</formula1>
    </dataValidation>
    <dataValidation sqref="F13" showDropDown="0" showInputMessage="0" showErrorMessage="0" allowBlank="0" type="list">
      <formula1>"Real-time,Daily,Weekly,Monthly,On_Demand,Quarterly"</formula1>
    </dataValidation>
    <dataValidation sqref="G13" showDropDown="0" showInputMessage="0" showErrorMessage="0" allowBlank="0" type="list">
      <formula1>"Email,Web_Portal,Mobile_App,API,PDF_Report,Presentation,Slack,Teams"</formula1>
    </dataValidation>
    <dataValidation sqref="K13" showDropDown="0" showInputMessage="0" showErrorMessage="0" allowBlank="0" type="list">
      <formula1>"Active,Inactive,Pilot,Deprecated"</formula1>
    </dataValidation>
    <dataValidation sqref="C14" showDropDown="0" showInputMessage="0" showErrorMessage="0" allowBlank="0" type="list">
      <formula1>"Email_List,Portal,Dashboard,API,Briefing,Chat,Ticketing_System"</formula1>
    </dataValidation>
    <dataValidation sqref="D14" showDropDown="0" showInputMessage="0" showErrorMessage="0" allowBlank="0" type="list">
      <formula1>"Executive,CISO,SOC,IR_Team,IT_Ops,Developers,All_Staff"</formula1>
    </dataValidation>
    <dataValidation sqref="F14" showDropDown="0" showInputMessage="0" showErrorMessage="0" allowBlank="0" type="list">
      <formula1>"Real-time,Daily,Weekly,Monthly,On_Demand,Quarterly"</formula1>
    </dataValidation>
    <dataValidation sqref="G14" showDropDown="0" showInputMessage="0" showErrorMessage="0" allowBlank="0" type="list">
      <formula1>"Email,Web_Portal,Mobile_App,API,PDF_Report,Presentation,Slack,Teams"</formula1>
    </dataValidation>
    <dataValidation sqref="K14" showDropDown="0" showInputMessage="0" showErrorMessage="0" allowBlank="0" type="list">
      <formula1>"Active,Inactive,Pilot,Deprecated"</formula1>
    </dataValidation>
    <dataValidation sqref="C15" showDropDown="0" showInputMessage="0" showErrorMessage="0" allowBlank="0" type="list">
      <formula1>"Email_List,Portal,Dashboard,API,Briefing,Chat,Ticketing_System"</formula1>
    </dataValidation>
    <dataValidation sqref="D15" showDropDown="0" showInputMessage="0" showErrorMessage="0" allowBlank="0" type="list">
      <formula1>"Executive,CISO,SOC,IR_Team,IT_Ops,Developers,All_Staff"</formula1>
    </dataValidation>
    <dataValidation sqref="F15" showDropDown="0" showInputMessage="0" showErrorMessage="0" allowBlank="0" type="list">
      <formula1>"Real-time,Daily,Weekly,Monthly,On_Demand,Quarterly"</formula1>
    </dataValidation>
    <dataValidation sqref="G15" showDropDown="0" showInputMessage="0" showErrorMessage="0" allowBlank="0" type="list">
      <formula1>"Email,Web_Portal,Mobile_App,API,PDF_Report,Presentation,Slack,Teams"</formula1>
    </dataValidation>
    <dataValidation sqref="K15" showDropDown="0" showInputMessage="0" showErrorMessage="0" allowBlank="0" type="list">
      <formula1>"Active,Inactive,Pilot,Deprecated"</formula1>
    </dataValidation>
    <dataValidation sqref="C16" showDropDown="0" showInputMessage="0" showErrorMessage="0" allowBlank="0" type="list">
      <formula1>"Email_List,Portal,Dashboard,API,Briefing,Chat,Ticketing_System"</formula1>
    </dataValidation>
    <dataValidation sqref="D16" showDropDown="0" showInputMessage="0" showErrorMessage="0" allowBlank="0" type="list">
      <formula1>"Executive,CISO,SOC,IR_Team,IT_Ops,Developers,All_Staff"</formula1>
    </dataValidation>
    <dataValidation sqref="F16" showDropDown="0" showInputMessage="0" showErrorMessage="0" allowBlank="0" type="list">
      <formula1>"Real-time,Daily,Weekly,Monthly,On_Demand,Quarterly"</formula1>
    </dataValidation>
    <dataValidation sqref="G16" showDropDown="0" showInputMessage="0" showErrorMessage="0" allowBlank="0" type="list">
      <formula1>"Email,Web_Portal,Mobile_App,API,PDF_Report,Presentation,Slack,Teams"</formula1>
    </dataValidation>
    <dataValidation sqref="K16" showDropDown="0" showInputMessage="0" showErrorMessage="0" allowBlank="0" type="list">
      <formula1>"Active,Inactive,Pilot,Deprecated"</formula1>
    </dataValidation>
    <dataValidation sqref="C17" showDropDown="0" showInputMessage="0" showErrorMessage="0" allowBlank="0" type="list">
      <formula1>"Email_List,Portal,Dashboard,API,Briefing,Chat,Ticketing_System"</formula1>
    </dataValidation>
    <dataValidation sqref="D17" showDropDown="0" showInputMessage="0" showErrorMessage="0" allowBlank="0" type="list">
      <formula1>"Executive,CISO,SOC,IR_Team,IT_Ops,Developers,All_Staff"</formula1>
    </dataValidation>
    <dataValidation sqref="F17" showDropDown="0" showInputMessage="0" showErrorMessage="0" allowBlank="0" type="list">
      <formula1>"Real-time,Daily,Weekly,Monthly,On_Demand,Quarterly"</formula1>
    </dataValidation>
    <dataValidation sqref="G17" showDropDown="0" showInputMessage="0" showErrorMessage="0" allowBlank="0" type="list">
      <formula1>"Email,Web_Portal,Mobile_App,API,PDF_Report,Presentation,Slack,Teams"</formula1>
    </dataValidation>
    <dataValidation sqref="K17" showDropDown="0" showInputMessage="0" showErrorMessage="0" allowBlank="0" type="list">
      <formula1>"Active,Inactive,Pilot,Deprecated"</formula1>
    </dataValidation>
    <dataValidation sqref="C18" showDropDown="0" showInputMessage="0" showErrorMessage="0" allowBlank="0" type="list">
      <formula1>"Email_List,Portal,Dashboard,API,Briefing,Chat,Ticketing_System"</formula1>
    </dataValidation>
    <dataValidation sqref="D18" showDropDown="0" showInputMessage="0" showErrorMessage="0" allowBlank="0" type="list">
      <formula1>"Executive,CISO,SOC,IR_Team,IT_Ops,Developers,All_Staff"</formula1>
    </dataValidation>
    <dataValidation sqref="F18" showDropDown="0" showInputMessage="0" showErrorMessage="0" allowBlank="0" type="list">
      <formula1>"Real-time,Daily,Weekly,Monthly,On_Demand,Quarterly"</formula1>
    </dataValidation>
    <dataValidation sqref="G18" showDropDown="0" showInputMessage="0" showErrorMessage="0" allowBlank="0" type="list">
      <formula1>"Email,Web_Portal,Mobile_App,API,PDF_Report,Presentation,Slack,Teams"</formula1>
    </dataValidation>
    <dataValidation sqref="K18" showDropDown="0" showInputMessage="0" showErrorMessage="0" allowBlank="0" type="list">
      <formula1>"Active,Inactive,Pilot,Deprecated"</formula1>
    </dataValidation>
    <dataValidation sqref="C19" showDropDown="0" showInputMessage="0" showErrorMessage="0" allowBlank="0" type="list">
      <formula1>"Email_List,Portal,Dashboard,API,Briefing,Chat,Ticketing_System"</formula1>
    </dataValidation>
    <dataValidation sqref="D19" showDropDown="0" showInputMessage="0" showErrorMessage="0" allowBlank="0" type="list">
      <formula1>"Executive,CISO,SOC,IR_Team,IT_Ops,Developers,All_Staff"</formula1>
    </dataValidation>
    <dataValidation sqref="F19" showDropDown="0" showInputMessage="0" showErrorMessage="0" allowBlank="0" type="list">
      <formula1>"Real-time,Daily,Weekly,Monthly,On_Demand,Quarterly"</formula1>
    </dataValidation>
    <dataValidation sqref="G19" showDropDown="0" showInputMessage="0" showErrorMessage="0" allowBlank="0" type="list">
      <formula1>"Email,Web_Portal,Mobile_App,API,PDF_Report,Presentation,Slack,Teams"</formula1>
    </dataValidation>
    <dataValidation sqref="K19" showDropDown="0" showInputMessage="0" showErrorMessage="0" allowBlank="0" type="list">
      <formula1>"Active,Inactive,Pilot,Deprecated"</formula1>
    </dataValidation>
    <dataValidation sqref="C20" showDropDown="0" showInputMessage="0" showErrorMessage="0" allowBlank="0" type="list">
      <formula1>"Email_List,Portal,Dashboard,API,Briefing,Chat,Ticketing_System"</formula1>
    </dataValidation>
    <dataValidation sqref="D20" showDropDown="0" showInputMessage="0" showErrorMessage="0" allowBlank="0" type="list">
      <formula1>"Executive,CISO,SOC,IR_Team,IT_Ops,Developers,All_Staff"</formula1>
    </dataValidation>
    <dataValidation sqref="F20" showDropDown="0" showInputMessage="0" showErrorMessage="0" allowBlank="0" type="list">
      <formula1>"Real-time,Daily,Weekly,Monthly,On_Demand,Quarterly"</formula1>
    </dataValidation>
    <dataValidation sqref="G20" showDropDown="0" showInputMessage="0" showErrorMessage="0" allowBlank="0" type="list">
      <formula1>"Email,Web_Portal,Mobile_App,API,PDF_Report,Presentation,Slack,Teams"</formula1>
    </dataValidation>
    <dataValidation sqref="K20" showDropDown="0" showInputMessage="0" showErrorMessage="0" allowBlank="0" type="list">
      <formula1>"Active,Inactive,Pilot,Deprecated"</formula1>
    </dataValidation>
    <dataValidation sqref="C21" showDropDown="0" showInputMessage="0" showErrorMessage="0" allowBlank="0" type="list">
      <formula1>"Email_List,Portal,Dashboard,API,Briefing,Chat,Ticketing_System"</formula1>
    </dataValidation>
    <dataValidation sqref="D21" showDropDown="0" showInputMessage="0" showErrorMessage="0" allowBlank="0" type="list">
      <formula1>"Executive,CISO,SOC,IR_Team,IT_Ops,Developers,All_Staff"</formula1>
    </dataValidation>
    <dataValidation sqref="F21" showDropDown="0" showInputMessage="0" showErrorMessage="0" allowBlank="0" type="list">
      <formula1>"Real-time,Daily,Weekly,Monthly,On_Demand,Quarterly"</formula1>
    </dataValidation>
    <dataValidation sqref="G21" showDropDown="0" showInputMessage="0" showErrorMessage="0" allowBlank="0" type="list">
      <formula1>"Email,Web_Portal,Mobile_App,API,PDF_Report,Presentation,Slack,Teams"</formula1>
    </dataValidation>
    <dataValidation sqref="K21" showDropDown="0" showInputMessage="0" showErrorMessage="0" allowBlank="0" type="list">
      <formula1>"Active,Inactive,Pilot,Deprecated"</formula1>
    </dataValidation>
    <dataValidation sqref="C22" showDropDown="0" showInputMessage="0" showErrorMessage="0" allowBlank="0" type="list">
      <formula1>"Email_List,Portal,Dashboard,API,Briefing,Chat,Ticketing_System"</formula1>
    </dataValidation>
    <dataValidation sqref="D22" showDropDown="0" showInputMessage="0" showErrorMessage="0" allowBlank="0" type="list">
      <formula1>"Executive,CISO,SOC,IR_Team,IT_Ops,Developers,All_Staff"</formula1>
    </dataValidation>
    <dataValidation sqref="F22" showDropDown="0" showInputMessage="0" showErrorMessage="0" allowBlank="0" type="list">
      <formula1>"Real-time,Daily,Weekly,Monthly,On_Demand,Quarterly"</formula1>
    </dataValidation>
    <dataValidation sqref="G22" showDropDown="0" showInputMessage="0" showErrorMessage="0" allowBlank="0" type="list">
      <formula1>"Email,Web_Portal,Mobile_App,API,PDF_Report,Presentation,Slack,Teams"</formula1>
    </dataValidation>
    <dataValidation sqref="K22" showDropDown="0" showInputMessage="0" showErrorMessage="0" allowBlank="0" type="list">
      <formula1>"Active,Inactive,Pilot,Deprecated"</formula1>
    </dataValidation>
    <dataValidation sqref="C23" showDropDown="0" showInputMessage="0" showErrorMessage="0" allowBlank="0" type="list">
      <formula1>"Email_List,Portal,Dashboard,API,Briefing,Chat,Ticketing_System"</formula1>
    </dataValidation>
    <dataValidation sqref="D23" showDropDown="0" showInputMessage="0" showErrorMessage="0" allowBlank="0" type="list">
      <formula1>"Executive,CISO,SOC,IR_Team,IT_Ops,Developers,All_Staff"</formula1>
    </dataValidation>
    <dataValidation sqref="F23" showDropDown="0" showInputMessage="0" showErrorMessage="0" allowBlank="0" type="list">
      <formula1>"Real-time,Daily,Weekly,Monthly,On_Demand,Quarterly"</formula1>
    </dataValidation>
    <dataValidation sqref="G23" showDropDown="0" showInputMessage="0" showErrorMessage="0" allowBlank="0" type="list">
      <formula1>"Email,Web_Portal,Mobile_App,API,PDF_Report,Presentation,Slack,Teams"</formula1>
    </dataValidation>
    <dataValidation sqref="K23" showDropDown="0" showInputMessage="0" showErrorMessage="0" allowBlank="0" type="list">
      <formula1>"Active,Inactive,Pilot,Deprecated"</formula1>
    </dataValidation>
    <dataValidation sqref="C24" showDropDown="0" showInputMessage="0" showErrorMessage="0" allowBlank="0" type="list">
      <formula1>"Email_List,Portal,Dashboard,API,Briefing,Chat,Ticketing_System"</formula1>
    </dataValidation>
    <dataValidation sqref="D24" showDropDown="0" showInputMessage="0" showErrorMessage="0" allowBlank="0" type="list">
      <formula1>"Executive,CISO,SOC,IR_Team,IT_Ops,Developers,All_Staff"</formula1>
    </dataValidation>
    <dataValidation sqref="F24" showDropDown="0" showInputMessage="0" showErrorMessage="0" allowBlank="0" type="list">
      <formula1>"Real-time,Daily,Weekly,Monthly,On_Demand,Quarterly"</formula1>
    </dataValidation>
    <dataValidation sqref="G24" showDropDown="0" showInputMessage="0" showErrorMessage="0" allowBlank="0" type="list">
      <formula1>"Email,Web_Portal,Mobile_App,API,PDF_Report,Presentation,Slack,Teams"</formula1>
    </dataValidation>
    <dataValidation sqref="K24" showDropDown="0" showInputMessage="0" showErrorMessage="0" allowBlank="0" type="list">
      <formula1>"Active,Inactive,Pilot,Deprecated"</formula1>
    </dataValidation>
    <dataValidation sqref="C25" showDropDown="0" showInputMessage="0" showErrorMessage="0" allowBlank="0" type="list">
      <formula1>"Email_List,Portal,Dashboard,API,Briefing,Chat,Ticketing_System"</formula1>
    </dataValidation>
    <dataValidation sqref="D25" showDropDown="0" showInputMessage="0" showErrorMessage="0" allowBlank="0" type="list">
      <formula1>"Executive,CISO,SOC,IR_Team,IT_Ops,Developers,All_Staff"</formula1>
    </dataValidation>
    <dataValidation sqref="F25" showDropDown="0" showInputMessage="0" showErrorMessage="0" allowBlank="0" type="list">
      <formula1>"Real-time,Daily,Weekly,Monthly,On_Demand,Quarterly"</formula1>
    </dataValidation>
    <dataValidation sqref="G25" showDropDown="0" showInputMessage="0" showErrorMessage="0" allowBlank="0" type="list">
      <formula1>"Email,Web_Portal,Mobile_App,API,PDF_Report,Presentation,Slack,Teams"</formula1>
    </dataValidation>
    <dataValidation sqref="K25" showDropDown="0" showInputMessage="0" showErrorMessage="0" allowBlank="0" type="list">
      <formula1>"Active,Inactive,Pilot,Deprecated"</formula1>
    </dataValidation>
    <dataValidation sqref="C26" showDropDown="0" showInputMessage="0" showErrorMessage="0" allowBlank="0" type="list">
      <formula1>"Email_List,Portal,Dashboard,API,Briefing,Chat,Ticketing_System"</formula1>
    </dataValidation>
    <dataValidation sqref="D26" showDropDown="0" showInputMessage="0" showErrorMessage="0" allowBlank="0" type="list">
      <formula1>"Executive,CISO,SOC,IR_Team,IT_Ops,Developers,All_Staff"</formula1>
    </dataValidation>
    <dataValidation sqref="F26" showDropDown="0" showInputMessage="0" showErrorMessage="0" allowBlank="0" type="list">
      <formula1>"Real-time,Daily,Weekly,Monthly,On_Demand,Quarterly"</formula1>
    </dataValidation>
    <dataValidation sqref="G26" showDropDown="0" showInputMessage="0" showErrorMessage="0" allowBlank="0" type="list">
      <formula1>"Email,Web_Portal,Mobile_App,API,PDF_Report,Presentation,Slack,Teams"</formula1>
    </dataValidation>
    <dataValidation sqref="K26" showDropDown="0" showInputMessage="0" showErrorMessage="0" allowBlank="0" type="list">
      <formula1>"Active,Inactive,Pilot,Deprecated"</formula1>
    </dataValidation>
    <dataValidation sqref="C27" showDropDown="0" showInputMessage="0" showErrorMessage="0" allowBlank="0" type="list">
      <formula1>"Email_List,Portal,Dashboard,API,Briefing,Chat,Ticketing_System"</formula1>
    </dataValidation>
    <dataValidation sqref="D27" showDropDown="0" showInputMessage="0" showErrorMessage="0" allowBlank="0" type="list">
      <formula1>"Executive,CISO,SOC,IR_Team,IT_Ops,Developers,All_Staff"</formula1>
    </dataValidation>
    <dataValidation sqref="F27" showDropDown="0" showInputMessage="0" showErrorMessage="0" allowBlank="0" type="list">
      <formula1>"Real-time,Daily,Weekly,Monthly,On_Demand,Quarterly"</formula1>
    </dataValidation>
    <dataValidation sqref="G27" showDropDown="0" showInputMessage="0" showErrorMessage="0" allowBlank="0" type="list">
      <formula1>"Email,Web_Portal,Mobile_App,API,PDF_Report,Presentation,Slack,Teams"</formula1>
    </dataValidation>
    <dataValidation sqref="K27" showDropDown="0" showInputMessage="0" showErrorMessage="0" allowBlank="0" type="list">
      <formula1>"Active,Inactive,Pilot,Deprecated"</formula1>
    </dataValidation>
    <dataValidation sqref="C28" showDropDown="0" showInputMessage="0" showErrorMessage="0" allowBlank="0" type="list">
      <formula1>"Email_List,Portal,Dashboard,API,Briefing,Chat,Ticketing_System"</formula1>
    </dataValidation>
    <dataValidation sqref="D28" showDropDown="0" showInputMessage="0" showErrorMessage="0" allowBlank="0" type="list">
      <formula1>"Executive,CISO,SOC,IR_Team,IT_Ops,Developers,All_Staff"</formula1>
    </dataValidation>
    <dataValidation sqref="F28" showDropDown="0" showInputMessage="0" showErrorMessage="0" allowBlank="0" type="list">
      <formula1>"Real-time,Daily,Weekly,Monthly,On_Demand,Quarterly"</formula1>
    </dataValidation>
    <dataValidation sqref="G28" showDropDown="0" showInputMessage="0" showErrorMessage="0" allowBlank="0" type="list">
      <formula1>"Email,Web_Portal,Mobile_App,API,PDF_Report,Presentation,Slack,Teams"</formula1>
    </dataValidation>
    <dataValidation sqref="K28" showDropDown="0" showInputMessage="0" showErrorMessage="0" allowBlank="0" type="list">
      <formula1>"Active,Inactive,Pilot,Deprecated"</formula1>
    </dataValidation>
    <dataValidation sqref="C29" showDropDown="0" showInputMessage="0" showErrorMessage="0" allowBlank="0" type="list">
      <formula1>"Email_List,Portal,Dashboard,API,Briefing,Chat,Ticketing_System"</formula1>
    </dataValidation>
    <dataValidation sqref="D29" showDropDown="0" showInputMessage="0" showErrorMessage="0" allowBlank="0" type="list">
      <formula1>"Executive,CISO,SOC,IR_Team,IT_Ops,Developers,All_Staff"</formula1>
    </dataValidation>
    <dataValidation sqref="F29" showDropDown="0" showInputMessage="0" showErrorMessage="0" allowBlank="0" type="list">
      <formula1>"Real-time,Daily,Weekly,Monthly,On_Demand,Quarterly"</formula1>
    </dataValidation>
    <dataValidation sqref="G29" showDropDown="0" showInputMessage="0" showErrorMessage="0" allowBlank="0" type="list">
      <formula1>"Email,Web_Portal,Mobile_App,API,PDF_Report,Presentation,Slack,Teams"</formula1>
    </dataValidation>
    <dataValidation sqref="K29" showDropDown="0" showInputMessage="0" showErrorMessage="0" allowBlank="0" type="list">
      <formula1>"Active,Inactive,Pilot,Deprecated"</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workbookViewId="0">
      <pane ySplit="3" topLeftCell="A4" activePane="bottomLeft" state="frozen"/>
      <selection pane="bottomLeft" activeCell="A1" sqref="A1"/>
    </sheetView>
  </sheetViews>
  <sheetFormatPr baseColWidth="8" defaultRowHeight="15"/>
  <cols>
    <col width="15" customWidth="1" min="1" max="1"/>
    <col width="25" customWidth="1" min="2" max="2"/>
    <col width="30" customWidth="1" min="3" max="3"/>
    <col width="25" customWidth="1" min="4" max="4"/>
    <col width="20" customWidth="1" min="5" max="5"/>
    <col width="20" customWidth="1" min="6" max="6"/>
    <col width="20" customWidth="1" min="7" max="7"/>
    <col width="30" customWidth="1" min="8" max="8"/>
    <col width="18" customWidth="1" min="9" max="9"/>
    <col width="20" customWidth="1" min="10" max="10"/>
    <col width="12" customWidth="1" min="11" max="11"/>
    <col width="35" customWidth="1" min="12" max="12"/>
  </cols>
  <sheetData>
    <row r="1" ht="35" customHeight="1">
      <c r="A1" s="11" t="inlineStr">
        <is>
          <t>THREAT INTELLIGENCE STAKEHOLDER REGISTRY</t>
        </is>
      </c>
    </row>
    <row r="2">
      <c r="A2" s="12" t="inlineStr">
        <is>
          <t>Maintain registry of all threat intelligence stakeholders - track roles, clearances, engagement levels, and communication preferences.</t>
        </is>
      </c>
    </row>
    <row r="4">
      <c r="A4" s="13" t="inlineStr">
        <is>
          <t>Stakeholder ID</t>
        </is>
      </c>
      <c r="B4" s="13" t="inlineStr">
        <is>
          <t>Full Name</t>
        </is>
      </c>
      <c r="C4" s="13" t="inlineStr">
        <is>
          <t>Email</t>
        </is>
      </c>
      <c r="D4" s="13" t="inlineStr">
        <is>
          <t>Role Title</t>
        </is>
      </c>
      <c r="E4" s="13" t="inlineStr">
        <is>
          <t>Department</t>
        </is>
      </c>
      <c r="F4" s="13" t="inlineStr">
        <is>
          <t>Stakeholder Type</t>
        </is>
      </c>
      <c r="G4" s="13" t="inlineStr">
        <is>
          <t>TLP Clearance</t>
        </is>
      </c>
      <c r="H4" s="13" t="inlineStr">
        <is>
          <t>Subscribed Channels</t>
        </is>
      </c>
      <c r="I4" s="13" t="inlineStr">
        <is>
          <t>Engagement Level</t>
        </is>
      </c>
      <c r="J4" s="13" t="inlineStr">
        <is>
          <t>Last Feedback Date</t>
        </is>
      </c>
      <c r="K4" s="13" t="inlineStr">
        <is>
          <t>Status</t>
        </is>
      </c>
      <c r="L4" s="13" t="inlineStr">
        <is>
          <t>Notes</t>
        </is>
      </c>
    </row>
    <row r="5">
      <c r="A5" s="14" t="inlineStr">
        <is>
          <t>STK-001</t>
        </is>
      </c>
      <c r="B5" s="15" t="n"/>
      <c r="C5" s="15" t="n"/>
      <c r="D5" s="15" t="n"/>
      <c r="E5" s="15" t="n"/>
      <c r="F5" s="15" t="n"/>
      <c r="G5" s="15" t="n"/>
      <c r="H5" s="15" t="n"/>
      <c r="I5" s="15" t="n"/>
      <c r="J5" s="23" t="n"/>
      <c r="K5" s="15" t="n"/>
      <c r="L5" s="15" t="n"/>
    </row>
    <row r="6">
      <c r="A6" s="14" t="n"/>
      <c r="B6" s="15" t="n"/>
      <c r="C6" s="15" t="n"/>
      <c r="D6" s="15" t="n"/>
      <c r="E6" s="15" t="n"/>
      <c r="F6" s="15" t="n"/>
      <c r="G6" s="15" t="n"/>
      <c r="H6" s="15" t="n"/>
      <c r="I6" s="15" t="n"/>
      <c r="J6" s="23" t="n"/>
      <c r="K6" s="15" t="n"/>
      <c r="L6" s="15" t="n"/>
    </row>
    <row r="7">
      <c r="A7" s="14" t="n"/>
      <c r="B7" s="15" t="n"/>
      <c r="C7" s="15" t="n"/>
      <c r="D7" s="15" t="n"/>
      <c r="E7" s="15" t="n"/>
      <c r="F7" s="15" t="n"/>
      <c r="G7" s="15" t="n"/>
      <c r="H7" s="15" t="n"/>
      <c r="I7" s="15" t="n"/>
      <c r="J7" s="23" t="n"/>
      <c r="K7" s="15" t="n"/>
      <c r="L7" s="15" t="n"/>
    </row>
    <row r="8">
      <c r="A8" s="14" t="n"/>
      <c r="B8" s="15" t="n"/>
      <c r="C8" s="15" t="n"/>
      <c r="D8" s="15" t="n"/>
      <c r="E8" s="15" t="n"/>
      <c r="F8" s="15" t="n"/>
      <c r="G8" s="15" t="n"/>
      <c r="H8" s="15" t="n"/>
      <c r="I8" s="15" t="n"/>
      <c r="J8" s="23" t="n"/>
      <c r="K8" s="15" t="n"/>
      <c r="L8" s="15" t="n"/>
    </row>
    <row r="9">
      <c r="A9" s="14" t="n"/>
      <c r="B9" s="15" t="n"/>
      <c r="C9" s="15" t="n"/>
      <c r="D9" s="15" t="n"/>
      <c r="E9" s="15" t="n"/>
      <c r="F9" s="15" t="n"/>
      <c r="G9" s="15" t="n"/>
      <c r="H9" s="15" t="n"/>
      <c r="I9" s="15" t="n"/>
      <c r="J9" s="23" t="n"/>
      <c r="K9" s="15" t="n"/>
      <c r="L9" s="15" t="n"/>
    </row>
    <row r="10">
      <c r="A10" s="14" t="n"/>
      <c r="B10" s="15" t="n"/>
      <c r="C10" s="15" t="n"/>
      <c r="D10" s="15" t="n"/>
      <c r="E10" s="15" t="n"/>
      <c r="F10" s="15" t="n"/>
      <c r="G10" s="15" t="n"/>
      <c r="H10" s="15" t="n"/>
      <c r="I10" s="15" t="n"/>
      <c r="J10" s="23" t="n"/>
      <c r="K10" s="15" t="n"/>
      <c r="L10" s="15" t="n"/>
    </row>
    <row r="11">
      <c r="A11" s="14" t="n"/>
      <c r="B11" s="15" t="n"/>
      <c r="C11" s="15" t="n"/>
      <c r="D11" s="15" t="n"/>
      <c r="E11" s="15" t="n"/>
      <c r="F11" s="15" t="n"/>
      <c r="G11" s="15" t="n"/>
      <c r="H11" s="15" t="n"/>
      <c r="I11" s="15" t="n"/>
      <c r="J11" s="23" t="n"/>
      <c r="K11" s="15" t="n"/>
      <c r="L11" s="15" t="n"/>
    </row>
    <row r="12">
      <c r="A12" s="14" t="n"/>
      <c r="B12" s="15" t="n"/>
      <c r="C12" s="15" t="n"/>
      <c r="D12" s="15" t="n"/>
      <c r="E12" s="15" t="n"/>
      <c r="F12" s="15" t="n"/>
      <c r="G12" s="15" t="n"/>
      <c r="H12" s="15" t="n"/>
      <c r="I12" s="15" t="n"/>
      <c r="J12" s="23" t="n"/>
      <c r="K12" s="15" t="n"/>
      <c r="L12" s="15" t="n"/>
    </row>
    <row r="13">
      <c r="A13" s="14" t="n"/>
      <c r="B13" s="15" t="n"/>
      <c r="C13" s="15" t="n"/>
      <c r="D13" s="15" t="n"/>
      <c r="E13" s="15" t="n"/>
      <c r="F13" s="15" t="n"/>
      <c r="G13" s="15" t="n"/>
      <c r="H13" s="15" t="n"/>
      <c r="I13" s="15" t="n"/>
      <c r="J13" s="23" t="n"/>
      <c r="K13" s="15" t="n"/>
      <c r="L13" s="15" t="n"/>
    </row>
    <row r="14">
      <c r="A14" s="14" t="n"/>
      <c r="B14" s="15" t="n"/>
      <c r="C14" s="15" t="n"/>
      <c r="D14" s="15" t="n"/>
      <c r="E14" s="15" t="n"/>
      <c r="F14" s="15" t="n"/>
      <c r="G14" s="15" t="n"/>
      <c r="H14" s="15" t="n"/>
      <c r="I14" s="15" t="n"/>
      <c r="J14" s="23" t="n"/>
      <c r="K14" s="15" t="n"/>
      <c r="L14" s="15" t="n"/>
    </row>
    <row r="15">
      <c r="A15" s="14" t="n"/>
      <c r="B15" s="15" t="n"/>
      <c r="C15" s="15" t="n"/>
      <c r="D15" s="15" t="n"/>
      <c r="E15" s="15" t="n"/>
      <c r="F15" s="15" t="n"/>
      <c r="G15" s="15" t="n"/>
      <c r="H15" s="15" t="n"/>
      <c r="I15" s="15" t="n"/>
      <c r="J15" s="23" t="n"/>
      <c r="K15" s="15" t="n"/>
      <c r="L15" s="15" t="n"/>
    </row>
    <row r="16">
      <c r="A16" s="14" t="n"/>
      <c r="B16" s="15" t="n"/>
      <c r="C16" s="15" t="n"/>
      <c r="D16" s="15" t="n"/>
      <c r="E16" s="15" t="n"/>
      <c r="F16" s="15" t="n"/>
      <c r="G16" s="15" t="n"/>
      <c r="H16" s="15" t="n"/>
      <c r="I16" s="15" t="n"/>
      <c r="J16" s="23" t="n"/>
      <c r="K16" s="15" t="n"/>
      <c r="L16" s="15" t="n"/>
    </row>
    <row r="17">
      <c r="A17" s="14" t="n"/>
      <c r="B17" s="15" t="n"/>
      <c r="C17" s="15" t="n"/>
      <c r="D17" s="15" t="n"/>
      <c r="E17" s="15" t="n"/>
      <c r="F17" s="15" t="n"/>
      <c r="G17" s="15" t="n"/>
      <c r="H17" s="15" t="n"/>
      <c r="I17" s="15" t="n"/>
      <c r="J17" s="23" t="n"/>
      <c r="K17" s="15" t="n"/>
      <c r="L17" s="15" t="n"/>
    </row>
    <row r="18">
      <c r="A18" s="14" t="n"/>
      <c r="B18" s="15" t="n"/>
      <c r="C18" s="15" t="n"/>
      <c r="D18" s="15" t="n"/>
      <c r="E18" s="15" t="n"/>
      <c r="F18" s="15" t="n"/>
      <c r="G18" s="15" t="n"/>
      <c r="H18" s="15" t="n"/>
      <c r="I18" s="15" t="n"/>
      <c r="J18" s="23" t="n"/>
      <c r="K18" s="15" t="n"/>
      <c r="L18" s="15" t="n"/>
    </row>
    <row r="19">
      <c r="A19" s="14" t="n"/>
      <c r="B19" s="15" t="n"/>
      <c r="C19" s="15" t="n"/>
      <c r="D19" s="15" t="n"/>
      <c r="E19" s="15" t="n"/>
      <c r="F19" s="15" t="n"/>
      <c r="G19" s="15" t="n"/>
      <c r="H19" s="15" t="n"/>
      <c r="I19" s="15" t="n"/>
      <c r="J19" s="23" t="n"/>
      <c r="K19" s="15" t="n"/>
      <c r="L19" s="15" t="n"/>
    </row>
    <row r="20">
      <c r="A20" s="14" t="n"/>
      <c r="B20" s="15" t="n"/>
      <c r="C20" s="15" t="n"/>
      <c r="D20" s="15" t="n"/>
      <c r="E20" s="15" t="n"/>
      <c r="F20" s="15" t="n"/>
      <c r="G20" s="15" t="n"/>
      <c r="H20" s="15" t="n"/>
      <c r="I20" s="15" t="n"/>
      <c r="J20" s="23" t="n"/>
      <c r="K20" s="15" t="n"/>
      <c r="L20" s="15" t="n"/>
    </row>
    <row r="21">
      <c r="A21" s="14" t="n"/>
      <c r="B21" s="15" t="n"/>
      <c r="C21" s="15" t="n"/>
      <c r="D21" s="15" t="n"/>
      <c r="E21" s="15" t="n"/>
      <c r="F21" s="15" t="n"/>
      <c r="G21" s="15" t="n"/>
      <c r="H21" s="15" t="n"/>
      <c r="I21" s="15" t="n"/>
      <c r="J21" s="23" t="n"/>
      <c r="K21" s="15" t="n"/>
      <c r="L21" s="15" t="n"/>
    </row>
    <row r="22">
      <c r="A22" s="14" t="n"/>
      <c r="B22" s="15" t="n"/>
      <c r="C22" s="15" t="n"/>
      <c r="D22" s="15" t="n"/>
      <c r="E22" s="15" t="n"/>
      <c r="F22" s="15" t="n"/>
      <c r="G22" s="15" t="n"/>
      <c r="H22" s="15" t="n"/>
      <c r="I22" s="15" t="n"/>
      <c r="J22" s="23" t="n"/>
      <c r="K22" s="15" t="n"/>
      <c r="L22" s="15" t="n"/>
    </row>
    <row r="23">
      <c r="A23" s="14" t="n"/>
      <c r="B23" s="15" t="n"/>
      <c r="C23" s="15" t="n"/>
      <c r="D23" s="15" t="n"/>
      <c r="E23" s="15" t="n"/>
      <c r="F23" s="15" t="n"/>
      <c r="G23" s="15" t="n"/>
      <c r="H23" s="15" t="n"/>
      <c r="I23" s="15" t="n"/>
      <c r="J23" s="23" t="n"/>
      <c r="K23" s="15" t="n"/>
      <c r="L23" s="15" t="n"/>
    </row>
    <row r="24">
      <c r="A24" s="14" t="n"/>
      <c r="B24" s="15" t="n"/>
      <c r="C24" s="15" t="n"/>
      <c r="D24" s="15" t="n"/>
      <c r="E24" s="15" t="n"/>
      <c r="F24" s="15" t="n"/>
      <c r="G24" s="15" t="n"/>
      <c r="H24" s="15" t="n"/>
      <c r="I24" s="15" t="n"/>
      <c r="J24" s="23" t="n"/>
      <c r="K24" s="15" t="n"/>
      <c r="L24" s="15" t="n"/>
    </row>
    <row r="25">
      <c r="A25" s="14" t="n"/>
      <c r="B25" s="15" t="n"/>
      <c r="C25" s="15" t="n"/>
      <c r="D25" s="15" t="n"/>
      <c r="E25" s="15" t="n"/>
      <c r="F25" s="15" t="n"/>
      <c r="G25" s="15" t="n"/>
      <c r="H25" s="15" t="n"/>
      <c r="I25" s="15" t="n"/>
      <c r="J25" s="23" t="n"/>
      <c r="K25" s="15" t="n"/>
      <c r="L25" s="15" t="n"/>
    </row>
    <row r="26">
      <c r="A26" s="14" t="n"/>
      <c r="B26" s="15" t="n"/>
      <c r="C26" s="15" t="n"/>
      <c r="D26" s="15" t="n"/>
      <c r="E26" s="15" t="n"/>
      <c r="F26" s="15" t="n"/>
      <c r="G26" s="15" t="n"/>
      <c r="H26" s="15" t="n"/>
      <c r="I26" s="15" t="n"/>
      <c r="J26" s="23" t="n"/>
      <c r="K26" s="15" t="n"/>
      <c r="L26" s="15" t="n"/>
    </row>
    <row r="27">
      <c r="A27" s="14" t="n"/>
      <c r="B27" s="15" t="n"/>
      <c r="C27" s="15" t="n"/>
      <c r="D27" s="15" t="n"/>
      <c r="E27" s="15" t="n"/>
      <c r="F27" s="15" t="n"/>
      <c r="G27" s="15" t="n"/>
      <c r="H27" s="15" t="n"/>
      <c r="I27" s="15" t="n"/>
      <c r="J27" s="23" t="n"/>
      <c r="K27" s="15" t="n"/>
      <c r="L27" s="15" t="n"/>
    </row>
    <row r="28">
      <c r="A28" s="14" t="n"/>
      <c r="B28" s="15" t="n"/>
      <c r="C28" s="15" t="n"/>
      <c r="D28" s="15" t="n"/>
      <c r="E28" s="15" t="n"/>
      <c r="F28" s="15" t="n"/>
      <c r="G28" s="15" t="n"/>
      <c r="H28" s="15" t="n"/>
      <c r="I28" s="15" t="n"/>
      <c r="J28" s="23" t="n"/>
      <c r="K28" s="15" t="n"/>
      <c r="L28" s="15" t="n"/>
    </row>
    <row r="29">
      <c r="A29" s="14" t="n"/>
      <c r="B29" s="15" t="n"/>
      <c r="C29" s="15" t="n"/>
      <c r="D29" s="15" t="n"/>
      <c r="E29" s="15" t="n"/>
      <c r="F29" s="15" t="n"/>
      <c r="G29" s="15" t="n"/>
      <c r="H29" s="15" t="n"/>
      <c r="I29" s="15" t="n"/>
      <c r="J29" s="23" t="n"/>
      <c r="K29" s="15" t="n"/>
      <c r="L29" s="15" t="n"/>
    </row>
    <row r="30">
      <c r="A30" s="14" t="n"/>
      <c r="B30" s="15" t="n"/>
      <c r="C30" s="15" t="n"/>
      <c r="D30" s="15" t="n"/>
      <c r="E30" s="15" t="n"/>
      <c r="F30" s="15" t="n"/>
      <c r="G30" s="15" t="n"/>
      <c r="H30" s="15" t="n"/>
      <c r="I30" s="15" t="n"/>
      <c r="J30" s="23" t="n"/>
      <c r="K30" s="15" t="n"/>
      <c r="L30" s="15" t="n"/>
    </row>
    <row r="31">
      <c r="A31" s="14" t="n"/>
      <c r="B31" s="15" t="n"/>
      <c r="C31" s="15" t="n"/>
      <c r="D31" s="15" t="n"/>
      <c r="E31" s="15" t="n"/>
      <c r="F31" s="15" t="n"/>
      <c r="G31" s="15" t="n"/>
      <c r="H31" s="15" t="n"/>
      <c r="I31" s="15" t="n"/>
      <c r="J31" s="23" t="n"/>
      <c r="K31" s="15" t="n"/>
      <c r="L31" s="15" t="n"/>
    </row>
    <row r="32">
      <c r="A32" s="14" t="n"/>
      <c r="B32" s="15" t="n"/>
      <c r="C32" s="15" t="n"/>
      <c r="D32" s="15" t="n"/>
      <c r="E32" s="15" t="n"/>
      <c r="F32" s="15" t="n"/>
      <c r="G32" s="15" t="n"/>
      <c r="H32" s="15" t="n"/>
      <c r="I32" s="15" t="n"/>
      <c r="J32" s="23" t="n"/>
      <c r="K32" s="15" t="n"/>
      <c r="L32" s="15" t="n"/>
    </row>
    <row r="33">
      <c r="A33" s="14" t="n"/>
      <c r="B33" s="15" t="n"/>
      <c r="C33" s="15" t="n"/>
      <c r="D33" s="15" t="n"/>
      <c r="E33" s="15" t="n"/>
      <c r="F33" s="15" t="n"/>
      <c r="G33" s="15" t="n"/>
      <c r="H33" s="15" t="n"/>
      <c r="I33" s="15" t="n"/>
      <c r="J33" s="23" t="n"/>
      <c r="K33" s="15" t="n"/>
      <c r="L33" s="15" t="n"/>
    </row>
    <row r="34">
      <c r="A34" s="14" t="n"/>
      <c r="B34" s="15" t="n"/>
      <c r="C34" s="15" t="n"/>
      <c r="D34" s="15" t="n"/>
      <c r="E34" s="15" t="n"/>
      <c r="F34" s="15" t="n"/>
      <c r="G34" s="15" t="n"/>
      <c r="H34" s="15" t="n"/>
      <c r="I34" s="15" t="n"/>
      <c r="J34" s="23" t="n"/>
      <c r="K34" s="15" t="n"/>
      <c r="L34" s="15" t="n"/>
    </row>
    <row r="35">
      <c r="A35" s="14" t="n"/>
      <c r="B35" s="15" t="n"/>
      <c r="C35" s="15" t="n"/>
      <c r="D35" s="15" t="n"/>
      <c r="E35" s="15" t="n"/>
      <c r="F35" s="15" t="n"/>
      <c r="G35" s="15" t="n"/>
      <c r="H35" s="15" t="n"/>
      <c r="I35" s="15" t="n"/>
      <c r="J35" s="23" t="n"/>
      <c r="K35" s="15" t="n"/>
      <c r="L35" s="15" t="n"/>
    </row>
    <row r="36">
      <c r="A36" s="14" t="n"/>
      <c r="B36" s="15" t="n"/>
      <c r="C36" s="15" t="n"/>
      <c r="D36" s="15" t="n"/>
      <c r="E36" s="15" t="n"/>
      <c r="F36" s="15" t="n"/>
      <c r="G36" s="15" t="n"/>
      <c r="H36" s="15" t="n"/>
      <c r="I36" s="15" t="n"/>
      <c r="J36" s="23" t="n"/>
      <c r="K36" s="15" t="n"/>
      <c r="L36" s="15" t="n"/>
    </row>
    <row r="37">
      <c r="A37" s="14" t="n"/>
      <c r="B37" s="15" t="n"/>
      <c r="C37" s="15" t="n"/>
      <c r="D37" s="15" t="n"/>
      <c r="E37" s="15" t="n"/>
      <c r="F37" s="15" t="n"/>
      <c r="G37" s="15" t="n"/>
      <c r="H37" s="15" t="n"/>
      <c r="I37" s="15" t="n"/>
      <c r="J37" s="23" t="n"/>
      <c r="K37" s="15" t="n"/>
      <c r="L37" s="15" t="n"/>
    </row>
    <row r="38">
      <c r="A38" s="14" t="n"/>
      <c r="B38" s="15" t="n"/>
      <c r="C38" s="15" t="n"/>
      <c r="D38" s="15" t="n"/>
      <c r="E38" s="15" t="n"/>
      <c r="F38" s="15" t="n"/>
      <c r="G38" s="15" t="n"/>
      <c r="H38" s="15" t="n"/>
      <c r="I38" s="15" t="n"/>
      <c r="J38" s="23" t="n"/>
      <c r="K38" s="15" t="n"/>
      <c r="L38" s="15" t="n"/>
    </row>
    <row r="39">
      <c r="A39" s="14" t="n"/>
      <c r="B39" s="15" t="n"/>
      <c r="C39" s="15" t="n"/>
      <c r="D39" s="15" t="n"/>
      <c r="E39" s="15" t="n"/>
      <c r="F39" s="15" t="n"/>
      <c r="G39" s="15" t="n"/>
      <c r="H39" s="15" t="n"/>
      <c r="I39" s="15" t="n"/>
      <c r="J39" s="23" t="n"/>
      <c r="K39" s="15" t="n"/>
      <c r="L39" s="15" t="n"/>
    </row>
    <row r="40">
      <c r="A40" s="14" t="n"/>
      <c r="B40" s="15" t="n"/>
      <c r="C40" s="15" t="n"/>
      <c r="D40" s="15" t="n"/>
      <c r="E40" s="15" t="n"/>
      <c r="F40" s="15" t="n"/>
      <c r="G40" s="15" t="n"/>
      <c r="H40" s="15" t="n"/>
      <c r="I40" s="15" t="n"/>
      <c r="J40" s="23" t="n"/>
      <c r="K40" s="15" t="n"/>
      <c r="L40" s="15" t="n"/>
    </row>
    <row r="41">
      <c r="A41" s="14" t="n"/>
      <c r="B41" s="15" t="n"/>
      <c r="C41" s="15" t="n"/>
      <c r="D41" s="15" t="n"/>
      <c r="E41" s="15" t="n"/>
      <c r="F41" s="15" t="n"/>
      <c r="G41" s="15" t="n"/>
      <c r="H41" s="15" t="n"/>
      <c r="I41" s="15" t="n"/>
      <c r="J41" s="23" t="n"/>
      <c r="K41" s="15" t="n"/>
      <c r="L41" s="15" t="n"/>
    </row>
    <row r="42">
      <c r="A42" s="14" t="n"/>
      <c r="B42" s="15" t="n"/>
      <c r="C42" s="15" t="n"/>
      <c r="D42" s="15" t="n"/>
      <c r="E42" s="15" t="n"/>
      <c r="F42" s="15" t="n"/>
      <c r="G42" s="15" t="n"/>
      <c r="H42" s="15" t="n"/>
      <c r="I42" s="15" t="n"/>
      <c r="J42" s="23" t="n"/>
      <c r="K42" s="15" t="n"/>
      <c r="L42" s="15" t="n"/>
    </row>
    <row r="43">
      <c r="A43" s="14" t="n"/>
      <c r="B43" s="15" t="n"/>
      <c r="C43" s="15" t="n"/>
      <c r="D43" s="15" t="n"/>
      <c r="E43" s="15" t="n"/>
      <c r="F43" s="15" t="n"/>
      <c r="G43" s="15" t="n"/>
      <c r="H43" s="15" t="n"/>
      <c r="I43" s="15" t="n"/>
      <c r="J43" s="23" t="n"/>
      <c r="K43" s="15" t="n"/>
      <c r="L43" s="15" t="n"/>
    </row>
    <row r="44">
      <c r="A44" s="14" t="n"/>
      <c r="B44" s="15" t="n"/>
      <c r="C44" s="15" t="n"/>
      <c r="D44" s="15" t="n"/>
      <c r="E44" s="15" t="n"/>
      <c r="F44" s="15" t="n"/>
      <c r="G44" s="15" t="n"/>
      <c r="H44" s="15" t="n"/>
      <c r="I44" s="15" t="n"/>
      <c r="J44" s="23" t="n"/>
      <c r="K44" s="15" t="n"/>
      <c r="L44" s="15" t="n"/>
    </row>
    <row r="45">
      <c r="A45" s="14" t="n"/>
      <c r="B45" s="15" t="n"/>
      <c r="C45" s="15" t="n"/>
      <c r="D45" s="15" t="n"/>
      <c r="E45" s="15" t="n"/>
      <c r="F45" s="15" t="n"/>
      <c r="G45" s="15" t="n"/>
      <c r="H45" s="15" t="n"/>
      <c r="I45" s="15" t="n"/>
      <c r="J45" s="23" t="n"/>
      <c r="K45" s="15" t="n"/>
      <c r="L45" s="15" t="n"/>
    </row>
    <row r="46">
      <c r="A46" s="14" t="n"/>
      <c r="B46" s="15" t="n"/>
      <c r="C46" s="15" t="n"/>
      <c r="D46" s="15" t="n"/>
      <c r="E46" s="15" t="n"/>
      <c r="F46" s="15" t="n"/>
      <c r="G46" s="15" t="n"/>
      <c r="H46" s="15" t="n"/>
      <c r="I46" s="15" t="n"/>
      <c r="J46" s="23" t="n"/>
      <c r="K46" s="15" t="n"/>
      <c r="L46" s="15" t="n"/>
    </row>
    <row r="47">
      <c r="A47" s="14" t="n"/>
      <c r="B47" s="15" t="n"/>
      <c r="C47" s="15" t="n"/>
      <c r="D47" s="15" t="n"/>
      <c r="E47" s="15" t="n"/>
      <c r="F47" s="15" t="n"/>
      <c r="G47" s="15" t="n"/>
      <c r="H47" s="15" t="n"/>
      <c r="I47" s="15" t="n"/>
      <c r="J47" s="23" t="n"/>
      <c r="K47" s="15" t="n"/>
      <c r="L47" s="15" t="n"/>
    </row>
    <row r="48">
      <c r="A48" s="14" t="n"/>
      <c r="B48" s="15" t="n"/>
      <c r="C48" s="15" t="n"/>
      <c r="D48" s="15" t="n"/>
      <c r="E48" s="15" t="n"/>
      <c r="F48" s="15" t="n"/>
      <c r="G48" s="15" t="n"/>
      <c r="H48" s="15" t="n"/>
      <c r="I48" s="15" t="n"/>
      <c r="J48" s="23" t="n"/>
      <c r="K48" s="15" t="n"/>
      <c r="L48" s="15" t="n"/>
    </row>
    <row r="49">
      <c r="A49" s="14" t="n"/>
      <c r="B49" s="15" t="n"/>
      <c r="C49" s="15" t="n"/>
      <c r="D49" s="15" t="n"/>
      <c r="E49" s="15" t="n"/>
      <c r="F49" s="15" t="n"/>
      <c r="G49" s="15" t="n"/>
      <c r="H49" s="15" t="n"/>
      <c r="I49" s="15" t="n"/>
      <c r="J49" s="23" t="n"/>
      <c r="K49" s="15" t="n"/>
      <c r="L49" s="15" t="n"/>
    </row>
    <row r="50">
      <c r="A50" s="14" t="n"/>
      <c r="B50" s="15" t="n"/>
      <c r="C50" s="15" t="n"/>
      <c r="D50" s="15" t="n"/>
      <c r="E50" s="15" t="n"/>
      <c r="F50" s="15" t="n"/>
      <c r="G50" s="15" t="n"/>
      <c r="H50" s="15" t="n"/>
      <c r="I50" s="15" t="n"/>
      <c r="J50" s="23" t="n"/>
      <c r="K50" s="15" t="n"/>
      <c r="L50" s="15" t="n"/>
    </row>
    <row r="51">
      <c r="A51" s="14" t="n"/>
      <c r="B51" s="15" t="n"/>
      <c r="C51" s="15" t="n"/>
      <c r="D51" s="15" t="n"/>
      <c r="E51" s="15" t="n"/>
      <c r="F51" s="15" t="n"/>
      <c r="G51" s="15" t="n"/>
      <c r="H51" s="15" t="n"/>
      <c r="I51" s="15" t="n"/>
      <c r="J51" s="23" t="n"/>
      <c r="K51" s="15" t="n"/>
      <c r="L51" s="15" t="n"/>
    </row>
    <row r="52">
      <c r="A52" s="14" t="n"/>
      <c r="B52" s="15" t="n"/>
      <c r="C52" s="15" t="n"/>
      <c r="D52" s="15" t="n"/>
      <c r="E52" s="15" t="n"/>
      <c r="F52" s="15" t="n"/>
      <c r="G52" s="15" t="n"/>
      <c r="H52" s="15" t="n"/>
      <c r="I52" s="15" t="n"/>
      <c r="J52" s="23" t="n"/>
      <c r="K52" s="15" t="n"/>
      <c r="L52" s="15" t="n"/>
    </row>
    <row r="53">
      <c r="A53" s="14" t="n"/>
      <c r="B53" s="15" t="n"/>
      <c r="C53" s="15" t="n"/>
      <c r="D53" s="15" t="n"/>
      <c r="E53" s="15" t="n"/>
      <c r="F53" s="15" t="n"/>
      <c r="G53" s="15" t="n"/>
      <c r="H53" s="15" t="n"/>
      <c r="I53" s="15" t="n"/>
      <c r="J53" s="23" t="n"/>
      <c r="K53" s="15" t="n"/>
      <c r="L53" s="15" t="n"/>
    </row>
    <row r="54">
      <c r="A54" s="14" t="n"/>
      <c r="B54" s="15" t="n"/>
      <c r="C54" s="15" t="n"/>
      <c r="D54" s="15" t="n"/>
      <c r="E54" s="15" t="n"/>
      <c r="F54" s="15" t="n"/>
      <c r="G54" s="15" t="n"/>
      <c r="H54" s="15" t="n"/>
      <c r="I54" s="15" t="n"/>
      <c r="J54" s="23" t="n"/>
      <c r="K54" s="15" t="n"/>
      <c r="L54" s="15" t="n"/>
    </row>
    <row r="56">
      <c r="A56" s="18" t="inlineStr">
        <is>
          <t>STAKEHOLDER SUMMARY</t>
        </is>
      </c>
    </row>
    <row r="57">
      <c r="A57" s="19" t="inlineStr">
        <is>
          <t>Total Stakeholders:</t>
        </is>
      </c>
      <c r="B57" s="19">
        <f>COUNTA(B5:B54)</f>
        <v/>
      </c>
    </row>
    <row r="58">
      <c r="A58" s="19" t="inlineStr">
        <is>
          <t>Active Stakeholders:</t>
        </is>
      </c>
      <c r="B58" s="20">
        <f>COUNTIF(K5:K54,"Active")</f>
        <v/>
      </c>
    </row>
    <row r="59">
      <c r="A59" s="19" t="inlineStr">
        <is>
          <t>High Engagement:</t>
        </is>
      </c>
      <c r="B59" s="20">
        <f>COUNTIF(I5:I54,"High")</f>
        <v/>
      </c>
    </row>
    <row r="60">
      <c r="A60" s="19" t="inlineStr">
        <is>
          <t>Low/No Engagement:</t>
        </is>
      </c>
      <c r="B60" s="22">
        <f>COUNTIF(I5:I54,"Low")+COUNTIF(I5:I54,"None")</f>
        <v/>
      </c>
    </row>
    <row r="62">
      <c r="A62" s="18" t="inlineStr">
        <is>
          <t>CLEARANCE BREAKDOWN</t>
        </is>
      </c>
    </row>
    <row r="63">
      <c r="A63" t="inlineStr">
        <is>
          <t>TLP:RED:</t>
        </is>
      </c>
      <c r="B63">
        <f>COUNTIF(G5:G54,"TLP:RED")</f>
        <v/>
      </c>
    </row>
    <row r="64">
      <c r="A64" t="inlineStr">
        <is>
          <t>TLP:AMBER+STRICT:</t>
        </is>
      </c>
      <c r="B64">
        <f>COUNTIF(G5:G54,"TLP:AMBER+STRICT")</f>
        <v/>
      </c>
    </row>
    <row r="65">
      <c r="A65" t="inlineStr">
        <is>
          <t>TLP:AMBER:</t>
        </is>
      </c>
      <c r="B65">
        <f>COUNTIF(G5:G54,"TLP:AMBER")</f>
        <v/>
      </c>
    </row>
    <row r="66">
      <c r="A66" t="inlineStr">
        <is>
          <t>TLP:GREEN:</t>
        </is>
      </c>
      <c r="B66">
        <f>COUNTIF(G5:G54,"TLP:GREEN")</f>
        <v/>
      </c>
    </row>
    <row r="67">
      <c r="A67" t="inlineStr">
        <is>
          <t>TLP:CLEAR:</t>
        </is>
      </c>
      <c r="B67">
        <f>COUNTIF(G5:G54,"TLP:CLEAR")</f>
        <v/>
      </c>
    </row>
  </sheetData>
  <mergeCells count="4">
    <mergeCell ref="A62:E62"/>
    <mergeCell ref="A2:L2"/>
    <mergeCell ref="A56:E56"/>
    <mergeCell ref="A1:L1"/>
  </mergeCells>
  <conditionalFormatting sqref="I5">
    <cfRule type="cellIs" priority="1" operator="equal" dxfId="0">
      <formula>"High"</formula>
    </cfRule>
    <cfRule type="cellIs" priority="2" operator="equal" dxfId="2">
      <formula>"Medium"</formula>
    </cfRule>
    <cfRule type="cellIs" priority="3" operator="equal" dxfId="1">
      <formula>"Low"</formula>
    </cfRule>
    <cfRule type="cellIs" priority="4" operator="equal" dxfId="3">
      <formula>"None"</formula>
    </cfRule>
  </conditionalFormatting>
  <conditionalFormatting sqref="I6">
    <cfRule type="cellIs" priority="5" operator="equal" dxfId="0">
      <formula>"High"</formula>
    </cfRule>
    <cfRule type="cellIs" priority="6" operator="equal" dxfId="2">
      <formula>"Medium"</formula>
    </cfRule>
    <cfRule type="cellIs" priority="7" operator="equal" dxfId="1">
      <formula>"Low"</formula>
    </cfRule>
    <cfRule type="cellIs" priority="8" operator="equal" dxfId="3">
      <formula>"None"</formula>
    </cfRule>
  </conditionalFormatting>
  <conditionalFormatting sqref="I7">
    <cfRule type="cellIs" priority="9" operator="equal" dxfId="0">
      <formula>"High"</formula>
    </cfRule>
    <cfRule type="cellIs" priority="10" operator="equal" dxfId="2">
      <formula>"Medium"</formula>
    </cfRule>
    <cfRule type="cellIs" priority="11" operator="equal" dxfId="1">
      <formula>"Low"</formula>
    </cfRule>
    <cfRule type="cellIs" priority="12" operator="equal" dxfId="3">
      <formula>"None"</formula>
    </cfRule>
  </conditionalFormatting>
  <conditionalFormatting sqref="I8">
    <cfRule type="cellIs" priority="13" operator="equal" dxfId="0">
      <formula>"High"</formula>
    </cfRule>
    <cfRule type="cellIs" priority="14" operator="equal" dxfId="2">
      <formula>"Medium"</formula>
    </cfRule>
    <cfRule type="cellIs" priority="15" operator="equal" dxfId="1">
      <formula>"Low"</formula>
    </cfRule>
    <cfRule type="cellIs" priority="16" operator="equal" dxfId="3">
      <formula>"None"</formula>
    </cfRule>
  </conditionalFormatting>
  <conditionalFormatting sqref="I9">
    <cfRule type="cellIs" priority="17" operator="equal" dxfId="0">
      <formula>"High"</formula>
    </cfRule>
    <cfRule type="cellIs" priority="18" operator="equal" dxfId="2">
      <formula>"Medium"</formula>
    </cfRule>
    <cfRule type="cellIs" priority="19" operator="equal" dxfId="1">
      <formula>"Low"</formula>
    </cfRule>
    <cfRule type="cellIs" priority="20" operator="equal" dxfId="3">
      <formula>"None"</formula>
    </cfRule>
  </conditionalFormatting>
  <conditionalFormatting sqref="I10">
    <cfRule type="cellIs" priority="21" operator="equal" dxfId="0">
      <formula>"High"</formula>
    </cfRule>
    <cfRule type="cellIs" priority="22" operator="equal" dxfId="2">
      <formula>"Medium"</formula>
    </cfRule>
    <cfRule type="cellIs" priority="23" operator="equal" dxfId="1">
      <formula>"Low"</formula>
    </cfRule>
    <cfRule type="cellIs" priority="24" operator="equal" dxfId="3">
      <formula>"None"</formula>
    </cfRule>
  </conditionalFormatting>
  <conditionalFormatting sqref="I11">
    <cfRule type="cellIs" priority="25" operator="equal" dxfId="0">
      <formula>"High"</formula>
    </cfRule>
    <cfRule type="cellIs" priority="26" operator="equal" dxfId="2">
      <formula>"Medium"</formula>
    </cfRule>
    <cfRule type="cellIs" priority="27" operator="equal" dxfId="1">
      <formula>"Low"</formula>
    </cfRule>
    <cfRule type="cellIs" priority="28" operator="equal" dxfId="3">
      <formula>"None"</formula>
    </cfRule>
  </conditionalFormatting>
  <conditionalFormatting sqref="I12">
    <cfRule type="cellIs" priority="29" operator="equal" dxfId="0">
      <formula>"High"</formula>
    </cfRule>
    <cfRule type="cellIs" priority="30" operator="equal" dxfId="2">
      <formula>"Medium"</formula>
    </cfRule>
    <cfRule type="cellIs" priority="31" operator="equal" dxfId="1">
      <formula>"Low"</formula>
    </cfRule>
    <cfRule type="cellIs" priority="32" operator="equal" dxfId="3">
      <formula>"None"</formula>
    </cfRule>
  </conditionalFormatting>
  <conditionalFormatting sqref="I13">
    <cfRule type="cellIs" priority="33" operator="equal" dxfId="0">
      <formula>"High"</formula>
    </cfRule>
    <cfRule type="cellIs" priority="34" operator="equal" dxfId="2">
      <formula>"Medium"</formula>
    </cfRule>
    <cfRule type="cellIs" priority="35" operator="equal" dxfId="1">
      <formula>"Low"</formula>
    </cfRule>
    <cfRule type="cellIs" priority="36" operator="equal" dxfId="3">
      <formula>"None"</formula>
    </cfRule>
  </conditionalFormatting>
  <conditionalFormatting sqref="I14">
    <cfRule type="cellIs" priority="37" operator="equal" dxfId="0">
      <formula>"High"</formula>
    </cfRule>
    <cfRule type="cellIs" priority="38" operator="equal" dxfId="2">
      <formula>"Medium"</formula>
    </cfRule>
    <cfRule type="cellIs" priority="39" operator="equal" dxfId="1">
      <formula>"Low"</formula>
    </cfRule>
    <cfRule type="cellIs" priority="40" operator="equal" dxfId="3">
      <formula>"None"</formula>
    </cfRule>
  </conditionalFormatting>
  <conditionalFormatting sqref="I15">
    <cfRule type="cellIs" priority="41" operator="equal" dxfId="0">
      <formula>"High"</formula>
    </cfRule>
    <cfRule type="cellIs" priority="42" operator="equal" dxfId="2">
      <formula>"Medium"</formula>
    </cfRule>
    <cfRule type="cellIs" priority="43" operator="equal" dxfId="1">
      <formula>"Low"</formula>
    </cfRule>
    <cfRule type="cellIs" priority="44" operator="equal" dxfId="3">
      <formula>"None"</formula>
    </cfRule>
  </conditionalFormatting>
  <conditionalFormatting sqref="I16">
    <cfRule type="cellIs" priority="45" operator="equal" dxfId="0">
      <formula>"High"</formula>
    </cfRule>
    <cfRule type="cellIs" priority="46" operator="equal" dxfId="2">
      <formula>"Medium"</formula>
    </cfRule>
    <cfRule type="cellIs" priority="47" operator="equal" dxfId="1">
      <formula>"Low"</formula>
    </cfRule>
    <cfRule type="cellIs" priority="48" operator="equal" dxfId="3">
      <formula>"None"</formula>
    </cfRule>
  </conditionalFormatting>
  <conditionalFormatting sqref="I17">
    <cfRule type="cellIs" priority="49" operator="equal" dxfId="0">
      <formula>"High"</formula>
    </cfRule>
    <cfRule type="cellIs" priority="50" operator="equal" dxfId="2">
      <formula>"Medium"</formula>
    </cfRule>
    <cfRule type="cellIs" priority="51" operator="equal" dxfId="1">
      <formula>"Low"</formula>
    </cfRule>
    <cfRule type="cellIs" priority="52" operator="equal" dxfId="3">
      <formula>"None"</formula>
    </cfRule>
  </conditionalFormatting>
  <conditionalFormatting sqref="I18">
    <cfRule type="cellIs" priority="53" operator="equal" dxfId="0">
      <formula>"High"</formula>
    </cfRule>
    <cfRule type="cellIs" priority="54" operator="equal" dxfId="2">
      <formula>"Medium"</formula>
    </cfRule>
    <cfRule type="cellIs" priority="55" operator="equal" dxfId="1">
      <formula>"Low"</formula>
    </cfRule>
    <cfRule type="cellIs" priority="56" operator="equal" dxfId="3">
      <formula>"None"</formula>
    </cfRule>
  </conditionalFormatting>
  <conditionalFormatting sqref="I19">
    <cfRule type="cellIs" priority="57" operator="equal" dxfId="0">
      <formula>"High"</formula>
    </cfRule>
    <cfRule type="cellIs" priority="58" operator="equal" dxfId="2">
      <formula>"Medium"</formula>
    </cfRule>
    <cfRule type="cellIs" priority="59" operator="equal" dxfId="1">
      <formula>"Low"</formula>
    </cfRule>
    <cfRule type="cellIs" priority="60" operator="equal" dxfId="3">
      <formula>"None"</formula>
    </cfRule>
  </conditionalFormatting>
  <conditionalFormatting sqref="I20">
    <cfRule type="cellIs" priority="61" operator="equal" dxfId="0">
      <formula>"High"</formula>
    </cfRule>
    <cfRule type="cellIs" priority="62" operator="equal" dxfId="2">
      <formula>"Medium"</formula>
    </cfRule>
    <cfRule type="cellIs" priority="63" operator="equal" dxfId="1">
      <formula>"Low"</formula>
    </cfRule>
    <cfRule type="cellIs" priority="64" operator="equal" dxfId="3">
      <formula>"None"</formula>
    </cfRule>
  </conditionalFormatting>
  <conditionalFormatting sqref="I21">
    <cfRule type="cellIs" priority="65" operator="equal" dxfId="0">
      <formula>"High"</formula>
    </cfRule>
    <cfRule type="cellIs" priority="66" operator="equal" dxfId="2">
      <formula>"Medium"</formula>
    </cfRule>
    <cfRule type="cellIs" priority="67" operator="equal" dxfId="1">
      <formula>"Low"</formula>
    </cfRule>
    <cfRule type="cellIs" priority="68" operator="equal" dxfId="3">
      <formula>"None"</formula>
    </cfRule>
  </conditionalFormatting>
  <conditionalFormatting sqref="I22">
    <cfRule type="cellIs" priority="69" operator="equal" dxfId="0">
      <formula>"High"</formula>
    </cfRule>
    <cfRule type="cellIs" priority="70" operator="equal" dxfId="2">
      <formula>"Medium"</formula>
    </cfRule>
    <cfRule type="cellIs" priority="71" operator="equal" dxfId="1">
      <formula>"Low"</formula>
    </cfRule>
    <cfRule type="cellIs" priority="72" operator="equal" dxfId="3">
      <formula>"None"</formula>
    </cfRule>
  </conditionalFormatting>
  <conditionalFormatting sqref="I23">
    <cfRule type="cellIs" priority="73" operator="equal" dxfId="0">
      <formula>"High"</formula>
    </cfRule>
    <cfRule type="cellIs" priority="74" operator="equal" dxfId="2">
      <formula>"Medium"</formula>
    </cfRule>
    <cfRule type="cellIs" priority="75" operator="equal" dxfId="1">
      <formula>"Low"</formula>
    </cfRule>
    <cfRule type="cellIs" priority="76" operator="equal" dxfId="3">
      <formula>"None"</formula>
    </cfRule>
  </conditionalFormatting>
  <conditionalFormatting sqref="I24">
    <cfRule type="cellIs" priority="77" operator="equal" dxfId="0">
      <formula>"High"</formula>
    </cfRule>
    <cfRule type="cellIs" priority="78" operator="equal" dxfId="2">
      <formula>"Medium"</formula>
    </cfRule>
    <cfRule type="cellIs" priority="79" operator="equal" dxfId="1">
      <formula>"Low"</formula>
    </cfRule>
    <cfRule type="cellIs" priority="80" operator="equal" dxfId="3">
      <formula>"None"</formula>
    </cfRule>
  </conditionalFormatting>
  <conditionalFormatting sqref="I25">
    <cfRule type="cellIs" priority="81" operator="equal" dxfId="0">
      <formula>"High"</formula>
    </cfRule>
    <cfRule type="cellIs" priority="82" operator="equal" dxfId="2">
      <formula>"Medium"</formula>
    </cfRule>
    <cfRule type="cellIs" priority="83" operator="equal" dxfId="1">
      <formula>"Low"</formula>
    </cfRule>
    <cfRule type="cellIs" priority="84" operator="equal" dxfId="3">
      <formula>"None"</formula>
    </cfRule>
  </conditionalFormatting>
  <conditionalFormatting sqref="I26">
    <cfRule type="cellIs" priority="85" operator="equal" dxfId="0">
      <formula>"High"</formula>
    </cfRule>
    <cfRule type="cellIs" priority="86" operator="equal" dxfId="2">
      <formula>"Medium"</formula>
    </cfRule>
    <cfRule type="cellIs" priority="87" operator="equal" dxfId="1">
      <formula>"Low"</formula>
    </cfRule>
    <cfRule type="cellIs" priority="88" operator="equal" dxfId="3">
      <formula>"None"</formula>
    </cfRule>
  </conditionalFormatting>
  <conditionalFormatting sqref="I27">
    <cfRule type="cellIs" priority="89" operator="equal" dxfId="0">
      <formula>"High"</formula>
    </cfRule>
    <cfRule type="cellIs" priority="90" operator="equal" dxfId="2">
      <formula>"Medium"</formula>
    </cfRule>
    <cfRule type="cellIs" priority="91" operator="equal" dxfId="1">
      <formula>"Low"</formula>
    </cfRule>
    <cfRule type="cellIs" priority="92" operator="equal" dxfId="3">
      <formula>"None"</formula>
    </cfRule>
  </conditionalFormatting>
  <conditionalFormatting sqref="I28">
    <cfRule type="cellIs" priority="93" operator="equal" dxfId="0">
      <formula>"High"</formula>
    </cfRule>
    <cfRule type="cellIs" priority="94" operator="equal" dxfId="2">
      <formula>"Medium"</formula>
    </cfRule>
    <cfRule type="cellIs" priority="95" operator="equal" dxfId="1">
      <formula>"Low"</formula>
    </cfRule>
    <cfRule type="cellIs" priority="96" operator="equal" dxfId="3">
      <formula>"None"</formula>
    </cfRule>
  </conditionalFormatting>
  <conditionalFormatting sqref="I29">
    <cfRule type="cellIs" priority="97" operator="equal" dxfId="0">
      <formula>"High"</formula>
    </cfRule>
    <cfRule type="cellIs" priority="98" operator="equal" dxfId="2">
      <formula>"Medium"</formula>
    </cfRule>
    <cfRule type="cellIs" priority="99" operator="equal" dxfId="1">
      <formula>"Low"</formula>
    </cfRule>
    <cfRule type="cellIs" priority="100" operator="equal" dxfId="3">
      <formula>"None"</formula>
    </cfRule>
  </conditionalFormatting>
  <conditionalFormatting sqref="I30">
    <cfRule type="cellIs" priority="101" operator="equal" dxfId="0">
      <formula>"High"</formula>
    </cfRule>
    <cfRule type="cellIs" priority="102" operator="equal" dxfId="2">
      <formula>"Medium"</formula>
    </cfRule>
    <cfRule type="cellIs" priority="103" operator="equal" dxfId="1">
      <formula>"Low"</formula>
    </cfRule>
    <cfRule type="cellIs" priority="104" operator="equal" dxfId="3">
      <formula>"None"</formula>
    </cfRule>
  </conditionalFormatting>
  <conditionalFormatting sqref="I31">
    <cfRule type="cellIs" priority="105" operator="equal" dxfId="0">
      <formula>"High"</formula>
    </cfRule>
    <cfRule type="cellIs" priority="106" operator="equal" dxfId="2">
      <formula>"Medium"</formula>
    </cfRule>
    <cfRule type="cellIs" priority="107" operator="equal" dxfId="1">
      <formula>"Low"</formula>
    </cfRule>
    <cfRule type="cellIs" priority="108" operator="equal" dxfId="3">
      <formula>"None"</formula>
    </cfRule>
  </conditionalFormatting>
  <conditionalFormatting sqref="I32">
    <cfRule type="cellIs" priority="109" operator="equal" dxfId="0">
      <formula>"High"</formula>
    </cfRule>
    <cfRule type="cellIs" priority="110" operator="equal" dxfId="2">
      <formula>"Medium"</formula>
    </cfRule>
    <cfRule type="cellIs" priority="111" operator="equal" dxfId="1">
      <formula>"Low"</formula>
    </cfRule>
    <cfRule type="cellIs" priority="112" operator="equal" dxfId="3">
      <formula>"None"</formula>
    </cfRule>
  </conditionalFormatting>
  <conditionalFormatting sqref="I33">
    <cfRule type="cellIs" priority="113" operator="equal" dxfId="0">
      <formula>"High"</formula>
    </cfRule>
    <cfRule type="cellIs" priority="114" operator="equal" dxfId="2">
      <formula>"Medium"</formula>
    </cfRule>
    <cfRule type="cellIs" priority="115" operator="equal" dxfId="1">
      <formula>"Low"</formula>
    </cfRule>
    <cfRule type="cellIs" priority="116" operator="equal" dxfId="3">
      <formula>"None"</formula>
    </cfRule>
  </conditionalFormatting>
  <conditionalFormatting sqref="I34">
    <cfRule type="cellIs" priority="117" operator="equal" dxfId="0">
      <formula>"High"</formula>
    </cfRule>
    <cfRule type="cellIs" priority="118" operator="equal" dxfId="2">
      <formula>"Medium"</formula>
    </cfRule>
    <cfRule type="cellIs" priority="119" operator="equal" dxfId="1">
      <formula>"Low"</formula>
    </cfRule>
    <cfRule type="cellIs" priority="120" operator="equal" dxfId="3">
      <formula>"None"</formula>
    </cfRule>
  </conditionalFormatting>
  <conditionalFormatting sqref="I35">
    <cfRule type="cellIs" priority="121" operator="equal" dxfId="0">
      <formula>"High"</formula>
    </cfRule>
    <cfRule type="cellIs" priority="122" operator="equal" dxfId="2">
      <formula>"Medium"</formula>
    </cfRule>
    <cfRule type="cellIs" priority="123" operator="equal" dxfId="1">
      <formula>"Low"</formula>
    </cfRule>
    <cfRule type="cellIs" priority="124" operator="equal" dxfId="3">
      <formula>"None"</formula>
    </cfRule>
  </conditionalFormatting>
  <conditionalFormatting sqref="I36">
    <cfRule type="cellIs" priority="125" operator="equal" dxfId="0">
      <formula>"High"</formula>
    </cfRule>
    <cfRule type="cellIs" priority="126" operator="equal" dxfId="2">
      <formula>"Medium"</formula>
    </cfRule>
    <cfRule type="cellIs" priority="127" operator="equal" dxfId="1">
      <formula>"Low"</formula>
    </cfRule>
    <cfRule type="cellIs" priority="128" operator="equal" dxfId="3">
      <formula>"None"</formula>
    </cfRule>
  </conditionalFormatting>
  <conditionalFormatting sqref="I37">
    <cfRule type="cellIs" priority="129" operator="equal" dxfId="0">
      <formula>"High"</formula>
    </cfRule>
    <cfRule type="cellIs" priority="130" operator="equal" dxfId="2">
      <formula>"Medium"</formula>
    </cfRule>
    <cfRule type="cellIs" priority="131" operator="equal" dxfId="1">
      <formula>"Low"</formula>
    </cfRule>
    <cfRule type="cellIs" priority="132" operator="equal" dxfId="3">
      <formula>"None"</formula>
    </cfRule>
  </conditionalFormatting>
  <conditionalFormatting sqref="I38">
    <cfRule type="cellIs" priority="133" operator="equal" dxfId="0">
      <formula>"High"</formula>
    </cfRule>
    <cfRule type="cellIs" priority="134" operator="equal" dxfId="2">
      <formula>"Medium"</formula>
    </cfRule>
    <cfRule type="cellIs" priority="135" operator="equal" dxfId="1">
      <formula>"Low"</formula>
    </cfRule>
    <cfRule type="cellIs" priority="136" operator="equal" dxfId="3">
      <formula>"None"</formula>
    </cfRule>
  </conditionalFormatting>
  <conditionalFormatting sqref="I39">
    <cfRule type="cellIs" priority="137" operator="equal" dxfId="0">
      <formula>"High"</formula>
    </cfRule>
    <cfRule type="cellIs" priority="138" operator="equal" dxfId="2">
      <formula>"Medium"</formula>
    </cfRule>
    <cfRule type="cellIs" priority="139" operator="equal" dxfId="1">
      <formula>"Low"</formula>
    </cfRule>
    <cfRule type="cellIs" priority="140" operator="equal" dxfId="3">
      <formula>"None"</formula>
    </cfRule>
  </conditionalFormatting>
  <conditionalFormatting sqref="I40">
    <cfRule type="cellIs" priority="141" operator="equal" dxfId="0">
      <formula>"High"</formula>
    </cfRule>
    <cfRule type="cellIs" priority="142" operator="equal" dxfId="2">
      <formula>"Medium"</formula>
    </cfRule>
    <cfRule type="cellIs" priority="143" operator="equal" dxfId="1">
      <formula>"Low"</formula>
    </cfRule>
    <cfRule type="cellIs" priority="144" operator="equal" dxfId="3">
      <formula>"None"</formula>
    </cfRule>
  </conditionalFormatting>
  <conditionalFormatting sqref="I41">
    <cfRule type="cellIs" priority="145" operator="equal" dxfId="0">
      <formula>"High"</formula>
    </cfRule>
    <cfRule type="cellIs" priority="146" operator="equal" dxfId="2">
      <formula>"Medium"</formula>
    </cfRule>
    <cfRule type="cellIs" priority="147" operator="equal" dxfId="1">
      <formula>"Low"</formula>
    </cfRule>
    <cfRule type="cellIs" priority="148" operator="equal" dxfId="3">
      <formula>"None"</formula>
    </cfRule>
  </conditionalFormatting>
  <conditionalFormatting sqref="I42">
    <cfRule type="cellIs" priority="149" operator="equal" dxfId="0">
      <formula>"High"</formula>
    </cfRule>
    <cfRule type="cellIs" priority="150" operator="equal" dxfId="2">
      <formula>"Medium"</formula>
    </cfRule>
    <cfRule type="cellIs" priority="151" operator="equal" dxfId="1">
      <formula>"Low"</formula>
    </cfRule>
    <cfRule type="cellIs" priority="152" operator="equal" dxfId="3">
      <formula>"None"</formula>
    </cfRule>
  </conditionalFormatting>
  <conditionalFormatting sqref="I43">
    <cfRule type="cellIs" priority="153" operator="equal" dxfId="0">
      <formula>"High"</formula>
    </cfRule>
    <cfRule type="cellIs" priority="154" operator="equal" dxfId="2">
      <formula>"Medium"</formula>
    </cfRule>
    <cfRule type="cellIs" priority="155" operator="equal" dxfId="1">
      <formula>"Low"</formula>
    </cfRule>
    <cfRule type="cellIs" priority="156" operator="equal" dxfId="3">
      <formula>"None"</formula>
    </cfRule>
  </conditionalFormatting>
  <conditionalFormatting sqref="I44">
    <cfRule type="cellIs" priority="157" operator="equal" dxfId="0">
      <formula>"High"</formula>
    </cfRule>
    <cfRule type="cellIs" priority="158" operator="equal" dxfId="2">
      <formula>"Medium"</formula>
    </cfRule>
    <cfRule type="cellIs" priority="159" operator="equal" dxfId="1">
      <formula>"Low"</formula>
    </cfRule>
    <cfRule type="cellIs" priority="160" operator="equal" dxfId="3">
      <formula>"None"</formula>
    </cfRule>
  </conditionalFormatting>
  <conditionalFormatting sqref="I45">
    <cfRule type="cellIs" priority="161" operator="equal" dxfId="0">
      <formula>"High"</formula>
    </cfRule>
    <cfRule type="cellIs" priority="162" operator="equal" dxfId="2">
      <formula>"Medium"</formula>
    </cfRule>
    <cfRule type="cellIs" priority="163" operator="equal" dxfId="1">
      <formula>"Low"</formula>
    </cfRule>
    <cfRule type="cellIs" priority="164" operator="equal" dxfId="3">
      <formula>"None"</formula>
    </cfRule>
  </conditionalFormatting>
  <conditionalFormatting sqref="I46">
    <cfRule type="cellIs" priority="165" operator="equal" dxfId="0">
      <formula>"High"</formula>
    </cfRule>
    <cfRule type="cellIs" priority="166" operator="equal" dxfId="2">
      <formula>"Medium"</formula>
    </cfRule>
    <cfRule type="cellIs" priority="167" operator="equal" dxfId="1">
      <formula>"Low"</formula>
    </cfRule>
    <cfRule type="cellIs" priority="168" operator="equal" dxfId="3">
      <formula>"None"</formula>
    </cfRule>
  </conditionalFormatting>
  <conditionalFormatting sqref="I47">
    <cfRule type="cellIs" priority="169" operator="equal" dxfId="0">
      <formula>"High"</formula>
    </cfRule>
    <cfRule type="cellIs" priority="170" operator="equal" dxfId="2">
      <formula>"Medium"</formula>
    </cfRule>
    <cfRule type="cellIs" priority="171" operator="equal" dxfId="1">
      <formula>"Low"</formula>
    </cfRule>
    <cfRule type="cellIs" priority="172" operator="equal" dxfId="3">
      <formula>"None"</formula>
    </cfRule>
  </conditionalFormatting>
  <conditionalFormatting sqref="I48">
    <cfRule type="cellIs" priority="173" operator="equal" dxfId="0">
      <formula>"High"</formula>
    </cfRule>
    <cfRule type="cellIs" priority="174" operator="equal" dxfId="2">
      <formula>"Medium"</formula>
    </cfRule>
    <cfRule type="cellIs" priority="175" operator="equal" dxfId="1">
      <formula>"Low"</formula>
    </cfRule>
    <cfRule type="cellIs" priority="176" operator="equal" dxfId="3">
      <formula>"None"</formula>
    </cfRule>
  </conditionalFormatting>
  <conditionalFormatting sqref="I49">
    <cfRule type="cellIs" priority="177" operator="equal" dxfId="0">
      <formula>"High"</formula>
    </cfRule>
    <cfRule type="cellIs" priority="178" operator="equal" dxfId="2">
      <formula>"Medium"</formula>
    </cfRule>
    <cfRule type="cellIs" priority="179" operator="equal" dxfId="1">
      <formula>"Low"</formula>
    </cfRule>
    <cfRule type="cellIs" priority="180" operator="equal" dxfId="3">
      <formula>"None"</formula>
    </cfRule>
  </conditionalFormatting>
  <conditionalFormatting sqref="I50">
    <cfRule type="cellIs" priority="181" operator="equal" dxfId="0">
      <formula>"High"</formula>
    </cfRule>
    <cfRule type="cellIs" priority="182" operator="equal" dxfId="2">
      <formula>"Medium"</formula>
    </cfRule>
    <cfRule type="cellIs" priority="183" operator="equal" dxfId="1">
      <formula>"Low"</formula>
    </cfRule>
    <cfRule type="cellIs" priority="184" operator="equal" dxfId="3">
      <formula>"None"</formula>
    </cfRule>
  </conditionalFormatting>
  <conditionalFormatting sqref="I51">
    <cfRule type="cellIs" priority="185" operator="equal" dxfId="0">
      <formula>"High"</formula>
    </cfRule>
    <cfRule type="cellIs" priority="186" operator="equal" dxfId="2">
      <formula>"Medium"</formula>
    </cfRule>
    <cfRule type="cellIs" priority="187" operator="equal" dxfId="1">
      <formula>"Low"</formula>
    </cfRule>
    <cfRule type="cellIs" priority="188" operator="equal" dxfId="3">
      <formula>"None"</formula>
    </cfRule>
  </conditionalFormatting>
  <conditionalFormatting sqref="I52">
    <cfRule type="cellIs" priority="189" operator="equal" dxfId="0">
      <formula>"High"</formula>
    </cfRule>
    <cfRule type="cellIs" priority="190" operator="equal" dxfId="2">
      <formula>"Medium"</formula>
    </cfRule>
    <cfRule type="cellIs" priority="191" operator="equal" dxfId="1">
      <formula>"Low"</formula>
    </cfRule>
    <cfRule type="cellIs" priority="192" operator="equal" dxfId="3">
      <formula>"None"</formula>
    </cfRule>
  </conditionalFormatting>
  <conditionalFormatting sqref="I53">
    <cfRule type="cellIs" priority="193" operator="equal" dxfId="0">
      <formula>"High"</formula>
    </cfRule>
    <cfRule type="cellIs" priority="194" operator="equal" dxfId="2">
      <formula>"Medium"</formula>
    </cfRule>
    <cfRule type="cellIs" priority="195" operator="equal" dxfId="1">
      <formula>"Low"</formula>
    </cfRule>
    <cfRule type="cellIs" priority="196" operator="equal" dxfId="3">
      <formula>"None"</formula>
    </cfRule>
  </conditionalFormatting>
  <conditionalFormatting sqref="I54">
    <cfRule type="cellIs" priority="197" operator="equal" dxfId="0">
      <formula>"High"</formula>
    </cfRule>
    <cfRule type="cellIs" priority="198" operator="equal" dxfId="2">
      <formula>"Medium"</formula>
    </cfRule>
    <cfRule type="cellIs" priority="199" operator="equal" dxfId="1">
      <formula>"Low"</formula>
    </cfRule>
    <cfRule type="cellIs" priority="200" operator="equal" dxfId="3">
      <formula>"None"</formula>
    </cfRule>
  </conditionalFormatting>
  <conditionalFormatting sqref="K5">
    <cfRule type="cellIs" priority="201" operator="equal" dxfId="0">
      <formula>"Active"</formula>
    </cfRule>
    <cfRule type="cellIs" priority="202" operator="equal" dxfId="3">
      <formula>"Inactive"</formula>
    </cfRule>
    <cfRule type="cellIs" priority="203" operator="equal" dxfId="3">
      <formula>"Departed"</formula>
    </cfRule>
  </conditionalFormatting>
  <conditionalFormatting sqref="K6">
    <cfRule type="cellIs" priority="204" operator="equal" dxfId="0">
      <formula>"Active"</formula>
    </cfRule>
    <cfRule type="cellIs" priority="205" operator="equal" dxfId="3">
      <formula>"Inactive"</formula>
    </cfRule>
    <cfRule type="cellIs" priority="206" operator="equal" dxfId="3">
      <formula>"Departed"</formula>
    </cfRule>
  </conditionalFormatting>
  <conditionalFormatting sqref="K7">
    <cfRule type="cellIs" priority="207" operator="equal" dxfId="0">
      <formula>"Active"</formula>
    </cfRule>
    <cfRule type="cellIs" priority="208" operator="equal" dxfId="3">
      <formula>"Inactive"</formula>
    </cfRule>
    <cfRule type="cellIs" priority="209" operator="equal" dxfId="3">
      <formula>"Departed"</formula>
    </cfRule>
  </conditionalFormatting>
  <conditionalFormatting sqref="K8">
    <cfRule type="cellIs" priority="210" operator="equal" dxfId="0">
      <formula>"Active"</formula>
    </cfRule>
    <cfRule type="cellIs" priority="211" operator="equal" dxfId="3">
      <formula>"Inactive"</formula>
    </cfRule>
    <cfRule type="cellIs" priority="212" operator="equal" dxfId="3">
      <formula>"Departed"</formula>
    </cfRule>
  </conditionalFormatting>
  <conditionalFormatting sqref="K9">
    <cfRule type="cellIs" priority="213" operator="equal" dxfId="0">
      <formula>"Active"</formula>
    </cfRule>
    <cfRule type="cellIs" priority="214" operator="equal" dxfId="3">
      <formula>"Inactive"</formula>
    </cfRule>
    <cfRule type="cellIs" priority="215" operator="equal" dxfId="3">
      <formula>"Departed"</formula>
    </cfRule>
  </conditionalFormatting>
  <conditionalFormatting sqref="K10">
    <cfRule type="cellIs" priority="216" operator="equal" dxfId="0">
      <formula>"Active"</formula>
    </cfRule>
    <cfRule type="cellIs" priority="217" operator="equal" dxfId="3">
      <formula>"Inactive"</formula>
    </cfRule>
    <cfRule type="cellIs" priority="218" operator="equal" dxfId="3">
      <formula>"Departed"</formula>
    </cfRule>
  </conditionalFormatting>
  <conditionalFormatting sqref="K11">
    <cfRule type="cellIs" priority="219" operator="equal" dxfId="0">
      <formula>"Active"</formula>
    </cfRule>
    <cfRule type="cellIs" priority="220" operator="equal" dxfId="3">
      <formula>"Inactive"</formula>
    </cfRule>
    <cfRule type="cellIs" priority="221" operator="equal" dxfId="3">
      <formula>"Departed"</formula>
    </cfRule>
  </conditionalFormatting>
  <conditionalFormatting sqref="K12">
    <cfRule type="cellIs" priority="222" operator="equal" dxfId="0">
      <formula>"Active"</formula>
    </cfRule>
    <cfRule type="cellIs" priority="223" operator="equal" dxfId="3">
      <formula>"Inactive"</formula>
    </cfRule>
    <cfRule type="cellIs" priority="224" operator="equal" dxfId="3">
      <formula>"Departed"</formula>
    </cfRule>
  </conditionalFormatting>
  <conditionalFormatting sqref="K13">
    <cfRule type="cellIs" priority="225" operator="equal" dxfId="0">
      <formula>"Active"</formula>
    </cfRule>
    <cfRule type="cellIs" priority="226" operator="equal" dxfId="3">
      <formula>"Inactive"</formula>
    </cfRule>
    <cfRule type="cellIs" priority="227" operator="equal" dxfId="3">
      <formula>"Departed"</formula>
    </cfRule>
  </conditionalFormatting>
  <conditionalFormatting sqref="K14">
    <cfRule type="cellIs" priority="228" operator="equal" dxfId="0">
      <formula>"Active"</formula>
    </cfRule>
    <cfRule type="cellIs" priority="229" operator="equal" dxfId="3">
      <formula>"Inactive"</formula>
    </cfRule>
    <cfRule type="cellIs" priority="230" operator="equal" dxfId="3">
      <formula>"Departed"</formula>
    </cfRule>
  </conditionalFormatting>
  <conditionalFormatting sqref="K15">
    <cfRule type="cellIs" priority="231" operator="equal" dxfId="0">
      <formula>"Active"</formula>
    </cfRule>
    <cfRule type="cellIs" priority="232" operator="equal" dxfId="3">
      <formula>"Inactive"</formula>
    </cfRule>
    <cfRule type="cellIs" priority="233" operator="equal" dxfId="3">
      <formula>"Departed"</formula>
    </cfRule>
  </conditionalFormatting>
  <conditionalFormatting sqref="K16">
    <cfRule type="cellIs" priority="234" operator="equal" dxfId="0">
      <formula>"Active"</formula>
    </cfRule>
    <cfRule type="cellIs" priority="235" operator="equal" dxfId="3">
      <formula>"Inactive"</formula>
    </cfRule>
    <cfRule type="cellIs" priority="236" operator="equal" dxfId="3">
      <formula>"Departed"</formula>
    </cfRule>
  </conditionalFormatting>
  <conditionalFormatting sqref="K17">
    <cfRule type="cellIs" priority="237" operator="equal" dxfId="0">
      <formula>"Active"</formula>
    </cfRule>
    <cfRule type="cellIs" priority="238" operator="equal" dxfId="3">
      <formula>"Inactive"</formula>
    </cfRule>
    <cfRule type="cellIs" priority="239" operator="equal" dxfId="3">
      <formula>"Departed"</formula>
    </cfRule>
  </conditionalFormatting>
  <conditionalFormatting sqref="K18">
    <cfRule type="cellIs" priority="240" operator="equal" dxfId="0">
      <formula>"Active"</formula>
    </cfRule>
    <cfRule type="cellIs" priority="241" operator="equal" dxfId="3">
      <formula>"Inactive"</formula>
    </cfRule>
    <cfRule type="cellIs" priority="242" operator="equal" dxfId="3">
      <formula>"Departed"</formula>
    </cfRule>
  </conditionalFormatting>
  <conditionalFormatting sqref="K19">
    <cfRule type="cellIs" priority="243" operator="equal" dxfId="0">
      <formula>"Active"</formula>
    </cfRule>
    <cfRule type="cellIs" priority="244" operator="equal" dxfId="3">
      <formula>"Inactive"</formula>
    </cfRule>
    <cfRule type="cellIs" priority="245" operator="equal" dxfId="3">
      <formula>"Departed"</formula>
    </cfRule>
  </conditionalFormatting>
  <conditionalFormatting sqref="K20">
    <cfRule type="cellIs" priority="246" operator="equal" dxfId="0">
      <formula>"Active"</formula>
    </cfRule>
    <cfRule type="cellIs" priority="247" operator="equal" dxfId="3">
      <formula>"Inactive"</formula>
    </cfRule>
    <cfRule type="cellIs" priority="248" operator="equal" dxfId="3">
      <formula>"Departed"</formula>
    </cfRule>
  </conditionalFormatting>
  <conditionalFormatting sqref="K21">
    <cfRule type="cellIs" priority="249" operator="equal" dxfId="0">
      <formula>"Active"</formula>
    </cfRule>
    <cfRule type="cellIs" priority="250" operator="equal" dxfId="3">
      <formula>"Inactive"</formula>
    </cfRule>
    <cfRule type="cellIs" priority="251" operator="equal" dxfId="3">
      <formula>"Departed"</formula>
    </cfRule>
  </conditionalFormatting>
  <conditionalFormatting sqref="K22">
    <cfRule type="cellIs" priority="252" operator="equal" dxfId="0">
      <formula>"Active"</formula>
    </cfRule>
    <cfRule type="cellIs" priority="253" operator="equal" dxfId="3">
      <formula>"Inactive"</formula>
    </cfRule>
    <cfRule type="cellIs" priority="254" operator="equal" dxfId="3">
      <formula>"Departed"</formula>
    </cfRule>
  </conditionalFormatting>
  <conditionalFormatting sqref="K23">
    <cfRule type="cellIs" priority="255" operator="equal" dxfId="0">
      <formula>"Active"</formula>
    </cfRule>
    <cfRule type="cellIs" priority="256" operator="equal" dxfId="3">
      <formula>"Inactive"</formula>
    </cfRule>
    <cfRule type="cellIs" priority="257" operator="equal" dxfId="3">
      <formula>"Departed"</formula>
    </cfRule>
  </conditionalFormatting>
  <conditionalFormatting sqref="K24">
    <cfRule type="cellIs" priority="258" operator="equal" dxfId="0">
      <formula>"Active"</formula>
    </cfRule>
    <cfRule type="cellIs" priority="259" operator="equal" dxfId="3">
      <formula>"Inactive"</formula>
    </cfRule>
    <cfRule type="cellIs" priority="260" operator="equal" dxfId="3">
      <formula>"Departed"</formula>
    </cfRule>
  </conditionalFormatting>
  <conditionalFormatting sqref="K25">
    <cfRule type="cellIs" priority="261" operator="equal" dxfId="0">
      <formula>"Active"</formula>
    </cfRule>
    <cfRule type="cellIs" priority="262" operator="equal" dxfId="3">
      <formula>"Inactive"</formula>
    </cfRule>
    <cfRule type="cellIs" priority="263" operator="equal" dxfId="3">
      <formula>"Departed"</formula>
    </cfRule>
  </conditionalFormatting>
  <conditionalFormatting sqref="K26">
    <cfRule type="cellIs" priority="264" operator="equal" dxfId="0">
      <formula>"Active"</formula>
    </cfRule>
    <cfRule type="cellIs" priority="265" operator="equal" dxfId="3">
      <formula>"Inactive"</formula>
    </cfRule>
    <cfRule type="cellIs" priority="266" operator="equal" dxfId="3">
      <formula>"Departed"</formula>
    </cfRule>
  </conditionalFormatting>
  <conditionalFormatting sqref="K27">
    <cfRule type="cellIs" priority="267" operator="equal" dxfId="0">
      <formula>"Active"</formula>
    </cfRule>
    <cfRule type="cellIs" priority="268" operator="equal" dxfId="3">
      <formula>"Inactive"</formula>
    </cfRule>
    <cfRule type="cellIs" priority="269" operator="equal" dxfId="3">
      <formula>"Departed"</formula>
    </cfRule>
  </conditionalFormatting>
  <conditionalFormatting sqref="K28">
    <cfRule type="cellIs" priority="270" operator="equal" dxfId="0">
      <formula>"Active"</formula>
    </cfRule>
    <cfRule type="cellIs" priority="271" operator="equal" dxfId="3">
      <formula>"Inactive"</formula>
    </cfRule>
    <cfRule type="cellIs" priority="272" operator="equal" dxfId="3">
      <formula>"Departed"</formula>
    </cfRule>
  </conditionalFormatting>
  <conditionalFormatting sqref="K29">
    <cfRule type="cellIs" priority="273" operator="equal" dxfId="0">
      <formula>"Active"</formula>
    </cfRule>
    <cfRule type="cellIs" priority="274" operator="equal" dxfId="3">
      <formula>"Inactive"</formula>
    </cfRule>
    <cfRule type="cellIs" priority="275" operator="equal" dxfId="3">
      <formula>"Departed"</formula>
    </cfRule>
  </conditionalFormatting>
  <conditionalFormatting sqref="K30">
    <cfRule type="cellIs" priority="276" operator="equal" dxfId="0">
      <formula>"Active"</formula>
    </cfRule>
    <cfRule type="cellIs" priority="277" operator="equal" dxfId="3">
      <formula>"Inactive"</formula>
    </cfRule>
    <cfRule type="cellIs" priority="278" operator="equal" dxfId="3">
      <formula>"Departed"</formula>
    </cfRule>
  </conditionalFormatting>
  <conditionalFormatting sqref="K31">
    <cfRule type="cellIs" priority="279" operator="equal" dxfId="0">
      <formula>"Active"</formula>
    </cfRule>
    <cfRule type="cellIs" priority="280" operator="equal" dxfId="3">
      <formula>"Inactive"</formula>
    </cfRule>
    <cfRule type="cellIs" priority="281" operator="equal" dxfId="3">
      <formula>"Departed"</formula>
    </cfRule>
  </conditionalFormatting>
  <conditionalFormatting sqref="K32">
    <cfRule type="cellIs" priority="282" operator="equal" dxfId="0">
      <formula>"Active"</formula>
    </cfRule>
    <cfRule type="cellIs" priority="283" operator="equal" dxfId="3">
      <formula>"Inactive"</formula>
    </cfRule>
    <cfRule type="cellIs" priority="284" operator="equal" dxfId="3">
      <formula>"Departed"</formula>
    </cfRule>
  </conditionalFormatting>
  <conditionalFormatting sqref="K33">
    <cfRule type="cellIs" priority="285" operator="equal" dxfId="0">
      <formula>"Active"</formula>
    </cfRule>
    <cfRule type="cellIs" priority="286" operator="equal" dxfId="3">
      <formula>"Inactive"</formula>
    </cfRule>
    <cfRule type="cellIs" priority="287" operator="equal" dxfId="3">
      <formula>"Departed"</formula>
    </cfRule>
  </conditionalFormatting>
  <conditionalFormatting sqref="K34">
    <cfRule type="cellIs" priority="288" operator="equal" dxfId="0">
      <formula>"Active"</formula>
    </cfRule>
    <cfRule type="cellIs" priority="289" operator="equal" dxfId="3">
      <formula>"Inactive"</formula>
    </cfRule>
    <cfRule type="cellIs" priority="290" operator="equal" dxfId="3">
      <formula>"Departed"</formula>
    </cfRule>
  </conditionalFormatting>
  <conditionalFormatting sqref="K35">
    <cfRule type="cellIs" priority="291" operator="equal" dxfId="0">
      <formula>"Active"</formula>
    </cfRule>
    <cfRule type="cellIs" priority="292" operator="equal" dxfId="3">
      <formula>"Inactive"</formula>
    </cfRule>
    <cfRule type="cellIs" priority="293" operator="equal" dxfId="3">
      <formula>"Departed"</formula>
    </cfRule>
  </conditionalFormatting>
  <conditionalFormatting sqref="K36">
    <cfRule type="cellIs" priority="294" operator="equal" dxfId="0">
      <formula>"Active"</formula>
    </cfRule>
    <cfRule type="cellIs" priority="295" operator="equal" dxfId="3">
      <formula>"Inactive"</formula>
    </cfRule>
    <cfRule type="cellIs" priority="296" operator="equal" dxfId="3">
      <formula>"Departed"</formula>
    </cfRule>
  </conditionalFormatting>
  <conditionalFormatting sqref="K37">
    <cfRule type="cellIs" priority="297" operator="equal" dxfId="0">
      <formula>"Active"</formula>
    </cfRule>
    <cfRule type="cellIs" priority="298" operator="equal" dxfId="3">
      <formula>"Inactive"</formula>
    </cfRule>
    <cfRule type="cellIs" priority="299" operator="equal" dxfId="3">
      <formula>"Departed"</formula>
    </cfRule>
  </conditionalFormatting>
  <conditionalFormatting sqref="K38">
    <cfRule type="cellIs" priority="300" operator="equal" dxfId="0">
      <formula>"Active"</formula>
    </cfRule>
    <cfRule type="cellIs" priority="301" operator="equal" dxfId="3">
      <formula>"Inactive"</formula>
    </cfRule>
    <cfRule type="cellIs" priority="302" operator="equal" dxfId="3">
      <formula>"Departed"</formula>
    </cfRule>
  </conditionalFormatting>
  <conditionalFormatting sqref="K39">
    <cfRule type="cellIs" priority="303" operator="equal" dxfId="0">
      <formula>"Active"</formula>
    </cfRule>
    <cfRule type="cellIs" priority="304" operator="equal" dxfId="3">
      <formula>"Inactive"</formula>
    </cfRule>
    <cfRule type="cellIs" priority="305" operator="equal" dxfId="3">
      <formula>"Departed"</formula>
    </cfRule>
  </conditionalFormatting>
  <conditionalFormatting sqref="K40">
    <cfRule type="cellIs" priority="306" operator="equal" dxfId="0">
      <formula>"Active"</formula>
    </cfRule>
    <cfRule type="cellIs" priority="307" operator="equal" dxfId="3">
      <formula>"Inactive"</formula>
    </cfRule>
    <cfRule type="cellIs" priority="308" operator="equal" dxfId="3">
      <formula>"Departed"</formula>
    </cfRule>
  </conditionalFormatting>
  <conditionalFormatting sqref="K41">
    <cfRule type="cellIs" priority="309" operator="equal" dxfId="0">
      <formula>"Active"</formula>
    </cfRule>
    <cfRule type="cellIs" priority="310" operator="equal" dxfId="3">
      <formula>"Inactive"</formula>
    </cfRule>
    <cfRule type="cellIs" priority="311" operator="equal" dxfId="3">
      <formula>"Departed"</formula>
    </cfRule>
  </conditionalFormatting>
  <conditionalFormatting sqref="K42">
    <cfRule type="cellIs" priority="312" operator="equal" dxfId="0">
      <formula>"Active"</formula>
    </cfRule>
    <cfRule type="cellIs" priority="313" operator="equal" dxfId="3">
      <formula>"Inactive"</formula>
    </cfRule>
    <cfRule type="cellIs" priority="314" operator="equal" dxfId="3">
      <formula>"Departed"</formula>
    </cfRule>
  </conditionalFormatting>
  <conditionalFormatting sqref="K43">
    <cfRule type="cellIs" priority="315" operator="equal" dxfId="0">
      <formula>"Active"</formula>
    </cfRule>
    <cfRule type="cellIs" priority="316" operator="equal" dxfId="3">
      <formula>"Inactive"</formula>
    </cfRule>
    <cfRule type="cellIs" priority="317" operator="equal" dxfId="3">
      <formula>"Departed"</formula>
    </cfRule>
  </conditionalFormatting>
  <conditionalFormatting sqref="K44">
    <cfRule type="cellIs" priority="318" operator="equal" dxfId="0">
      <formula>"Active"</formula>
    </cfRule>
    <cfRule type="cellIs" priority="319" operator="equal" dxfId="3">
      <formula>"Inactive"</formula>
    </cfRule>
    <cfRule type="cellIs" priority="320" operator="equal" dxfId="3">
      <formula>"Departed"</formula>
    </cfRule>
  </conditionalFormatting>
  <conditionalFormatting sqref="K45">
    <cfRule type="cellIs" priority="321" operator="equal" dxfId="0">
      <formula>"Active"</formula>
    </cfRule>
    <cfRule type="cellIs" priority="322" operator="equal" dxfId="3">
      <formula>"Inactive"</formula>
    </cfRule>
    <cfRule type="cellIs" priority="323" operator="equal" dxfId="3">
      <formula>"Departed"</formula>
    </cfRule>
  </conditionalFormatting>
  <conditionalFormatting sqref="K46">
    <cfRule type="cellIs" priority="324" operator="equal" dxfId="0">
      <formula>"Active"</formula>
    </cfRule>
    <cfRule type="cellIs" priority="325" operator="equal" dxfId="3">
      <formula>"Inactive"</formula>
    </cfRule>
    <cfRule type="cellIs" priority="326" operator="equal" dxfId="3">
      <formula>"Departed"</formula>
    </cfRule>
  </conditionalFormatting>
  <conditionalFormatting sqref="K47">
    <cfRule type="cellIs" priority="327" operator="equal" dxfId="0">
      <formula>"Active"</formula>
    </cfRule>
    <cfRule type="cellIs" priority="328" operator="equal" dxfId="3">
      <formula>"Inactive"</formula>
    </cfRule>
    <cfRule type="cellIs" priority="329" operator="equal" dxfId="3">
      <formula>"Departed"</formula>
    </cfRule>
  </conditionalFormatting>
  <conditionalFormatting sqref="K48">
    <cfRule type="cellIs" priority="330" operator="equal" dxfId="0">
      <formula>"Active"</formula>
    </cfRule>
    <cfRule type="cellIs" priority="331" operator="equal" dxfId="3">
      <formula>"Inactive"</formula>
    </cfRule>
    <cfRule type="cellIs" priority="332" operator="equal" dxfId="3">
      <formula>"Departed"</formula>
    </cfRule>
  </conditionalFormatting>
  <conditionalFormatting sqref="K49">
    <cfRule type="cellIs" priority="333" operator="equal" dxfId="0">
      <formula>"Active"</formula>
    </cfRule>
    <cfRule type="cellIs" priority="334" operator="equal" dxfId="3">
      <formula>"Inactive"</formula>
    </cfRule>
    <cfRule type="cellIs" priority="335" operator="equal" dxfId="3">
      <formula>"Departed"</formula>
    </cfRule>
  </conditionalFormatting>
  <conditionalFormatting sqref="K50">
    <cfRule type="cellIs" priority="336" operator="equal" dxfId="0">
      <formula>"Active"</formula>
    </cfRule>
    <cfRule type="cellIs" priority="337" operator="equal" dxfId="3">
      <formula>"Inactive"</formula>
    </cfRule>
    <cfRule type="cellIs" priority="338" operator="equal" dxfId="3">
      <formula>"Departed"</formula>
    </cfRule>
  </conditionalFormatting>
  <conditionalFormatting sqref="K51">
    <cfRule type="cellIs" priority="339" operator="equal" dxfId="0">
      <formula>"Active"</formula>
    </cfRule>
    <cfRule type="cellIs" priority="340" operator="equal" dxfId="3">
      <formula>"Inactive"</formula>
    </cfRule>
    <cfRule type="cellIs" priority="341" operator="equal" dxfId="3">
      <formula>"Departed"</formula>
    </cfRule>
  </conditionalFormatting>
  <conditionalFormatting sqref="K52">
    <cfRule type="cellIs" priority="342" operator="equal" dxfId="0">
      <formula>"Active"</formula>
    </cfRule>
    <cfRule type="cellIs" priority="343" operator="equal" dxfId="3">
      <formula>"Inactive"</formula>
    </cfRule>
    <cfRule type="cellIs" priority="344" operator="equal" dxfId="3">
      <formula>"Departed"</formula>
    </cfRule>
  </conditionalFormatting>
  <conditionalFormatting sqref="K53">
    <cfRule type="cellIs" priority="345" operator="equal" dxfId="0">
      <formula>"Active"</formula>
    </cfRule>
    <cfRule type="cellIs" priority="346" operator="equal" dxfId="3">
      <formula>"Inactive"</formula>
    </cfRule>
    <cfRule type="cellIs" priority="347" operator="equal" dxfId="3">
      <formula>"Departed"</formula>
    </cfRule>
  </conditionalFormatting>
  <conditionalFormatting sqref="K54">
    <cfRule type="cellIs" priority="348" operator="equal" dxfId="0">
      <formula>"Active"</formula>
    </cfRule>
    <cfRule type="cellIs" priority="349" operator="equal" dxfId="3">
      <formula>"Inactive"</formula>
    </cfRule>
    <cfRule type="cellIs" priority="350" operator="equal" dxfId="3">
      <formula>"Departed"</formula>
    </cfRule>
  </conditionalFormatting>
  <dataValidations count="151">
    <dataValidation sqref="F5" showDropDown="0" showInputMessage="0" showErrorMessage="0" allowBlank="0" type="list">
      <formula1>"Executive,Manager,Analyst,Operator,Developer,External_Partner,Vendor"</formula1>
    </dataValidation>
    <dataValidation sqref="I5" showDropDown="0" showInputMessage="0" showErrorMessage="0" allowBlank="0" type="list">
      <formula1>"High,Medium,Low,None"</formula1>
    </dataValidation>
    <dataValidation sqref="K5" showDropDown="0" showInputMessage="0" showErrorMessage="0" allowBlank="0" type="list">
      <formula1>"Active,Inactive,On_Leave,Departed"</formula1>
    </dataValidation>
    <dataValidation sqref="F6" showDropDown="0" showInputMessage="0" showErrorMessage="0" allowBlank="0" type="list">
      <formula1>"Executive,Manager,Analyst,Operator,Developer,External_Partner,Vendor"</formula1>
    </dataValidation>
    <dataValidation sqref="I6" showDropDown="0" showInputMessage="0" showErrorMessage="0" allowBlank="0" type="list">
      <formula1>"High,Medium,Low,None"</formula1>
    </dataValidation>
    <dataValidation sqref="K6" showDropDown="0" showInputMessage="0" showErrorMessage="0" allowBlank="0" type="list">
      <formula1>"Active,Inactive,On_Leave,Departed"</formula1>
    </dataValidation>
    <dataValidation sqref="F7" showDropDown="0" showInputMessage="0" showErrorMessage="0" allowBlank="0" type="list">
      <formula1>"Executive,Manager,Analyst,Operator,Developer,External_Partner,Vendor"</formula1>
    </dataValidation>
    <dataValidation sqref="I7" showDropDown="0" showInputMessage="0" showErrorMessage="0" allowBlank="0" type="list">
      <formula1>"High,Medium,Low,None"</formula1>
    </dataValidation>
    <dataValidation sqref="K7" showDropDown="0" showInputMessage="0" showErrorMessage="0" allowBlank="0" type="list">
      <formula1>"Active,Inactive,On_Leave,Departed"</formula1>
    </dataValidation>
    <dataValidation sqref="F8" showDropDown="0" showInputMessage="0" showErrorMessage="0" allowBlank="0" type="list">
      <formula1>"Executive,Manager,Analyst,Operator,Developer,External_Partner,Vendor"</formula1>
    </dataValidation>
    <dataValidation sqref="I8" showDropDown="0" showInputMessage="0" showErrorMessage="0" allowBlank="0" type="list">
      <formula1>"High,Medium,Low,None"</formula1>
    </dataValidation>
    <dataValidation sqref="K8" showDropDown="0" showInputMessage="0" showErrorMessage="0" allowBlank="0" type="list">
      <formula1>"Active,Inactive,On_Leave,Departed"</formula1>
    </dataValidation>
    <dataValidation sqref="F9" showDropDown="0" showInputMessage="0" showErrorMessage="0" allowBlank="0" type="list">
      <formula1>"Executive,Manager,Analyst,Operator,Developer,External_Partner,Vendor"</formula1>
    </dataValidation>
    <dataValidation sqref="I9" showDropDown="0" showInputMessage="0" showErrorMessage="0" allowBlank="0" type="list">
      <formula1>"High,Medium,Low,None"</formula1>
    </dataValidation>
    <dataValidation sqref="K9" showDropDown="0" showInputMessage="0" showErrorMessage="0" allowBlank="0" type="list">
      <formula1>"Active,Inactive,On_Leave,Departed"</formula1>
    </dataValidation>
    <dataValidation sqref="F10" showDropDown="0" showInputMessage="0" showErrorMessage="0" allowBlank="0" type="list">
      <formula1>"Executive,Manager,Analyst,Operator,Developer,External_Partner,Vendor"</formula1>
    </dataValidation>
    <dataValidation sqref="I10" showDropDown="0" showInputMessage="0" showErrorMessage="0" allowBlank="0" type="list">
      <formula1>"High,Medium,Low,None"</formula1>
    </dataValidation>
    <dataValidation sqref="K10" showDropDown="0" showInputMessage="0" showErrorMessage="0" allowBlank="0" type="list">
      <formula1>"Active,Inactive,On_Leave,Departed"</formula1>
    </dataValidation>
    <dataValidation sqref="F11" showDropDown="0" showInputMessage="0" showErrorMessage="0" allowBlank="0" type="list">
      <formula1>"Executive,Manager,Analyst,Operator,Developer,External_Partner,Vendor"</formula1>
    </dataValidation>
    <dataValidation sqref="I11" showDropDown="0" showInputMessage="0" showErrorMessage="0" allowBlank="0" type="list">
      <formula1>"High,Medium,Low,None"</formula1>
    </dataValidation>
    <dataValidation sqref="K11" showDropDown="0" showInputMessage="0" showErrorMessage="0" allowBlank="0" type="list">
      <formula1>"Active,Inactive,On_Leave,Departed"</formula1>
    </dataValidation>
    <dataValidation sqref="F12" showDropDown="0" showInputMessage="0" showErrorMessage="0" allowBlank="0" type="list">
      <formula1>"Executive,Manager,Analyst,Operator,Developer,External_Partner,Vendor"</formula1>
    </dataValidation>
    <dataValidation sqref="I12" showDropDown="0" showInputMessage="0" showErrorMessage="0" allowBlank="0" type="list">
      <formula1>"High,Medium,Low,None"</formula1>
    </dataValidation>
    <dataValidation sqref="K12" showDropDown="0" showInputMessage="0" showErrorMessage="0" allowBlank="0" type="list">
      <formula1>"Active,Inactive,On_Leave,Departed"</formula1>
    </dataValidation>
    <dataValidation sqref="F13" showDropDown="0" showInputMessage="0" showErrorMessage="0" allowBlank="0" type="list">
      <formula1>"Executive,Manager,Analyst,Operator,Developer,External_Partner,Vendor"</formula1>
    </dataValidation>
    <dataValidation sqref="I13" showDropDown="0" showInputMessage="0" showErrorMessage="0" allowBlank="0" type="list">
      <formula1>"High,Medium,Low,None"</formula1>
    </dataValidation>
    <dataValidation sqref="K13" showDropDown="0" showInputMessage="0" showErrorMessage="0" allowBlank="0" type="list">
      <formula1>"Active,Inactive,On_Leave,Departed"</formula1>
    </dataValidation>
    <dataValidation sqref="F14" showDropDown="0" showInputMessage="0" showErrorMessage="0" allowBlank="0" type="list">
      <formula1>"Executive,Manager,Analyst,Operator,Developer,External_Partner,Vendor"</formula1>
    </dataValidation>
    <dataValidation sqref="I14" showDropDown="0" showInputMessage="0" showErrorMessage="0" allowBlank="0" type="list">
      <formula1>"High,Medium,Low,None"</formula1>
    </dataValidation>
    <dataValidation sqref="K14" showDropDown="0" showInputMessage="0" showErrorMessage="0" allowBlank="0" type="list">
      <formula1>"Active,Inactive,On_Leave,Departed"</formula1>
    </dataValidation>
    <dataValidation sqref="F15" showDropDown="0" showInputMessage="0" showErrorMessage="0" allowBlank="0" type="list">
      <formula1>"Executive,Manager,Analyst,Operator,Developer,External_Partner,Vendor"</formula1>
    </dataValidation>
    <dataValidation sqref="I15" showDropDown="0" showInputMessage="0" showErrorMessage="0" allowBlank="0" type="list">
      <formula1>"High,Medium,Low,None"</formula1>
    </dataValidation>
    <dataValidation sqref="K15" showDropDown="0" showInputMessage="0" showErrorMessage="0" allowBlank="0" type="list">
      <formula1>"Active,Inactive,On_Leave,Departed"</formula1>
    </dataValidation>
    <dataValidation sqref="F16" showDropDown="0" showInputMessage="0" showErrorMessage="0" allowBlank="0" type="list">
      <formula1>"Executive,Manager,Analyst,Operator,Developer,External_Partner,Vendor"</formula1>
    </dataValidation>
    <dataValidation sqref="I16" showDropDown="0" showInputMessage="0" showErrorMessage="0" allowBlank="0" type="list">
      <formula1>"High,Medium,Low,None"</formula1>
    </dataValidation>
    <dataValidation sqref="K16" showDropDown="0" showInputMessage="0" showErrorMessage="0" allowBlank="0" type="list">
      <formula1>"Active,Inactive,On_Leave,Departed"</formula1>
    </dataValidation>
    <dataValidation sqref="F17" showDropDown="0" showInputMessage="0" showErrorMessage="0" allowBlank="0" type="list">
      <formula1>"Executive,Manager,Analyst,Operator,Developer,External_Partner,Vendor"</formula1>
    </dataValidation>
    <dataValidation sqref="I17" showDropDown="0" showInputMessage="0" showErrorMessage="0" allowBlank="0" type="list">
      <formula1>"High,Medium,Low,None"</formula1>
    </dataValidation>
    <dataValidation sqref="K17" showDropDown="0" showInputMessage="0" showErrorMessage="0" allowBlank="0" type="list">
      <formula1>"Active,Inactive,On_Leave,Departed"</formula1>
    </dataValidation>
    <dataValidation sqref="F18" showDropDown="0" showInputMessage="0" showErrorMessage="0" allowBlank="0" type="list">
      <formula1>"Executive,Manager,Analyst,Operator,Developer,External_Partner,Vendor"</formula1>
    </dataValidation>
    <dataValidation sqref="I18" showDropDown="0" showInputMessage="0" showErrorMessage="0" allowBlank="0" type="list">
      <formula1>"High,Medium,Low,None"</formula1>
    </dataValidation>
    <dataValidation sqref="K18" showDropDown="0" showInputMessage="0" showErrorMessage="0" allowBlank="0" type="list">
      <formula1>"Active,Inactive,On_Leave,Departed"</formula1>
    </dataValidation>
    <dataValidation sqref="F19" showDropDown="0" showInputMessage="0" showErrorMessage="0" allowBlank="0" type="list">
      <formula1>"Executive,Manager,Analyst,Operator,Developer,External_Partner,Vendor"</formula1>
    </dataValidation>
    <dataValidation sqref="I19" showDropDown="0" showInputMessage="0" showErrorMessage="0" allowBlank="0" type="list">
      <formula1>"High,Medium,Low,None"</formula1>
    </dataValidation>
    <dataValidation sqref="K19" showDropDown="0" showInputMessage="0" showErrorMessage="0" allowBlank="0" type="list">
      <formula1>"Active,Inactive,On_Leave,Departed"</formula1>
    </dataValidation>
    <dataValidation sqref="F20" showDropDown="0" showInputMessage="0" showErrorMessage="0" allowBlank="0" type="list">
      <formula1>"Executive,Manager,Analyst,Operator,Developer,External_Partner,Vendor"</formula1>
    </dataValidation>
    <dataValidation sqref="I20" showDropDown="0" showInputMessage="0" showErrorMessage="0" allowBlank="0" type="list">
      <formula1>"High,Medium,Low,None"</formula1>
    </dataValidation>
    <dataValidation sqref="K20" showDropDown="0" showInputMessage="0" showErrorMessage="0" allowBlank="0" type="list">
      <formula1>"Active,Inactive,On_Leave,Departed"</formula1>
    </dataValidation>
    <dataValidation sqref="F21" showDropDown="0" showInputMessage="0" showErrorMessage="0" allowBlank="0" type="list">
      <formula1>"Executive,Manager,Analyst,Operator,Developer,External_Partner,Vendor"</formula1>
    </dataValidation>
    <dataValidation sqref="I21" showDropDown="0" showInputMessage="0" showErrorMessage="0" allowBlank="0" type="list">
      <formula1>"High,Medium,Low,None"</formula1>
    </dataValidation>
    <dataValidation sqref="K21" showDropDown="0" showInputMessage="0" showErrorMessage="0" allowBlank="0" type="list">
      <formula1>"Active,Inactive,On_Leave,Departed"</formula1>
    </dataValidation>
    <dataValidation sqref="F22" showDropDown="0" showInputMessage="0" showErrorMessage="0" allowBlank="0" type="list">
      <formula1>"Executive,Manager,Analyst,Operator,Developer,External_Partner,Vendor"</formula1>
    </dataValidation>
    <dataValidation sqref="I22" showDropDown="0" showInputMessage="0" showErrorMessage="0" allowBlank="0" type="list">
      <formula1>"High,Medium,Low,None"</formula1>
    </dataValidation>
    <dataValidation sqref="K22" showDropDown="0" showInputMessage="0" showErrorMessage="0" allowBlank="0" type="list">
      <formula1>"Active,Inactive,On_Leave,Departed"</formula1>
    </dataValidation>
    <dataValidation sqref="F23" showDropDown="0" showInputMessage="0" showErrorMessage="0" allowBlank="0" type="list">
      <formula1>"Executive,Manager,Analyst,Operator,Developer,External_Partner,Vendor"</formula1>
    </dataValidation>
    <dataValidation sqref="I23" showDropDown="0" showInputMessage="0" showErrorMessage="0" allowBlank="0" type="list">
      <formula1>"High,Medium,Low,None"</formula1>
    </dataValidation>
    <dataValidation sqref="K23" showDropDown="0" showInputMessage="0" showErrorMessage="0" allowBlank="0" type="list">
      <formula1>"Active,Inactive,On_Leave,Departed"</formula1>
    </dataValidation>
    <dataValidation sqref="F24" showDropDown="0" showInputMessage="0" showErrorMessage="0" allowBlank="0" type="list">
      <formula1>"Executive,Manager,Analyst,Operator,Developer,External_Partner,Vendor"</formula1>
    </dataValidation>
    <dataValidation sqref="I24" showDropDown="0" showInputMessage="0" showErrorMessage="0" allowBlank="0" type="list">
      <formula1>"High,Medium,Low,None"</formula1>
    </dataValidation>
    <dataValidation sqref="K24" showDropDown="0" showInputMessage="0" showErrorMessage="0" allowBlank="0" type="list">
      <formula1>"Active,Inactive,On_Leave,Departed"</formula1>
    </dataValidation>
    <dataValidation sqref="F25" showDropDown="0" showInputMessage="0" showErrorMessage="0" allowBlank="0" type="list">
      <formula1>"Executive,Manager,Analyst,Operator,Developer,External_Partner,Vendor"</formula1>
    </dataValidation>
    <dataValidation sqref="I25" showDropDown="0" showInputMessage="0" showErrorMessage="0" allowBlank="0" type="list">
      <formula1>"High,Medium,Low,None"</formula1>
    </dataValidation>
    <dataValidation sqref="K25" showDropDown="0" showInputMessage="0" showErrorMessage="0" allowBlank="0" type="list">
      <formula1>"Active,Inactive,On_Leave,Departed"</formula1>
    </dataValidation>
    <dataValidation sqref="F26" showDropDown="0" showInputMessage="0" showErrorMessage="0" allowBlank="0" type="list">
      <formula1>"Executive,Manager,Analyst,Operator,Developer,External_Partner,Vendor"</formula1>
    </dataValidation>
    <dataValidation sqref="I26" showDropDown="0" showInputMessage="0" showErrorMessage="0" allowBlank="0" type="list">
      <formula1>"High,Medium,Low,None"</formula1>
    </dataValidation>
    <dataValidation sqref="K26" showDropDown="0" showInputMessage="0" showErrorMessage="0" allowBlank="0" type="list">
      <formula1>"Active,Inactive,On_Leave,Departed"</formula1>
    </dataValidation>
    <dataValidation sqref="F27" showDropDown="0" showInputMessage="0" showErrorMessage="0" allowBlank="0" type="list">
      <formula1>"Executive,Manager,Analyst,Operator,Developer,External_Partner,Vendor"</formula1>
    </dataValidation>
    <dataValidation sqref="I27" showDropDown="0" showInputMessage="0" showErrorMessage="0" allowBlank="0" type="list">
      <formula1>"High,Medium,Low,None"</formula1>
    </dataValidation>
    <dataValidation sqref="K27" showDropDown="0" showInputMessage="0" showErrorMessage="0" allowBlank="0" type="list">
      <formula1>"Active,Inactive,On_Leave,Departed"</formula1>
    </dataValidation>
    <dataValidation sqref="F28" showDropDown="0" showInputMessage="0" showErrorMessage="0" allowBlank="0" type="list">
      <formula1>"Executive,Manager,Analyst,Operator,Developer,External_Partner,Vendor"</formula1>
    </dataValidation>
    <dataValidation sqref="I28" showDropDown="0" showInputMessage="0" showErrorMessage="0" allowBlank="0" type="list">
      <formula1>"High,Medium,Low,None"</formula1>
    </dataValidation>
    <dataValidation sqref="K28" showDropDown="0" showInputMessage="0" showErrorMessage="0" allowBlank="0" type="list">
      <formula1>"Active,Inactive,On_Leave,Departed"</formula1>
    </dataValidation>
    <dataValidation sqref="F29" showDropDown="0" showInputMessage="0" showErrorMessage="0" allowBlank="0" type="list">
      <formula1>"Executive,Manager,Analyst,Operator,Developer,External_Partner,Vendor"</formula1>
    </dataValidation>
    <dataValidation sqref="I29" showDropDown="0" showInputMessage="0" showErrorMessage="0" allowBlank="0" type="list">
      <formula1>"High,Medium,Low,None"</formula1>
    </dataValidation>
    <dataValidation sqref="K29" showDropDown="0" showInputMessage="0" showErrorMessage="0" allowBlank="0" type="list">
      <formula1>"Active,Inactive,On_Leave,Departed"</formula1>
    </dataValidation>
    <dataValidation sqref="F30" showDropDown="0" showInputMessage="0" showErrorMessage="0" allowBlank="0" type="list">
      <formula1>"Executive,Manager,Analyst,Operator,Developer,External_Partner,Vendor"</formula1>
    </dataValidation>
    <dataValidation sqref="I30" showDropDown="0" showInputMessage="0" showErrorMessage="0" allowBlank="0" type="list">
      <formula1>"High,Medium,Low,None"</formula1>
    </dataValidation>
    <dataValidation sqref="K30" showDropDown="0" showInputMessage="0" showErrorMessage="0" allowBlank="0" type="list">
      <formula1>"Active,Inactive,On_Leave,Departed"</formula1>
    </dataValidation>
    <dataValidation sqref="F31" showDropDown="0" showInputMessage="0" showErrorMessage="0" allowBlank="0" type="list">
      <formula1>"Executive,Manager,Analyst,Operator,Developer,External_Partner,Vendor"</formula1>
    </dataValidation>
    <dataValidation sqref="I31" showDropDown="0" showInputMessage="0" showErrorMessage="0" allowBlank="0" type="list">
      <formula1>"High,Medium,Low,None"</formula1>
    </dataValidation>
    <dataValidation sqref="K31" showDropDown="0" showInputMessage="0" showErrorMessage="0" allowBlank="0" type="list">
      <formula1>"Active,Inactive,On_Leave,Departed"</formula1>
    </dataValidation>
    <dataValidation sqref="F32" showDropDown="0" showInputMessage="0" showErrorMessage="0" allowBlank="0" type="list">
      <formula1>"Executive,Manager,Analyst,Operator,Developer,External_Partner,Vendor"</formula1>
    </dataValidation>
    <dataValidation sqref="I32" showDropDown="0" showInputMessage="0" showErrorMessage="0" allowBlank="0" type="list">
      <formula1>"High,Medium,Low,None"</formula1>
    </dataValidation>
    <dataValidation sqref="K32" showDropDown="0" showInputMessage="0" showErrorMessage="0" allowBlank="0" type="list">
      <formula1>"Active,Inactive,On_Leave,Departed"</formula1>
    </dataValidation>
    <dataValidation sqref="F33" showDropDown="0" showInputMessage="0" showErrorMessage="0" allowBlank="0" type="list">
      <formula1>"Executive,Manager,Analyst,Operator,Developer,External_Partner,Vendor"</formula1>
    </dataValidation>
    <dataValidation sqref="I33" showDropDown="0" showInputMessage="0" showErrorMessage="0" allowBlank="0" type="list">
      <formula1>"High,Medium,Low,None"</formula1>
    </dataValidation>
    <dataValidation sqref="K33" showDropDown="0" showInputMessage="0" showErrorMessage="0" allowBlank="0" type="list">
      <formula1>"Active,Inactive,On_Leave,Departed"</formula1>
    </dataValidation>
    <dataValidation sqref="F34" showDropDown="0" showInputMessage="0" showErrorMessage="0" allowBlank="0" type="list">
      <formula1>"Executive,Manager,Analyst,Operator,Developer,External_Partner,Vendor"</formula1>
    </dataValidation>
    <dataValidation sqref="I34" showDropDown="0" showInputMessage="0" showErrorMessage="0" allowBlank="0" type="list">
      <formula1>"High,Medium,Low,None"</formula1>
    </dataValidation>
    <dataValidation sqref="K34" showDropDown="0" showInputMessage="0" showErrorMessage="0" allowBlank="0" type="list">
      <formula1>"Active,Inactive,On_Leave,Departed"</formula1>
    </dataValidation>
    <dataValidation sqref="F35" showDropDown="0" showInputMessage="0" showErrorMessage="0" allowBlank="0" type="list">
      <formula1>"Executive,Manager,Analyst,Operator,Developer,External_Partner,Vendor"</formula1>
    </dataValidation>
    <dataValidation sqref="I35" showDropDown="0" showInputMessage="0" showErrorMessage="0" allowBlank="0" type="list">
      <formula1>"High,Medium,Low,None"</formula1>
    </dataValidation>
    <dataValidation sqref="K35" showDropDown="0" showInputMessage="0" showErrorMessage="0" allowBlank="0" type="list">
      <formula1>"Active,Inactive,On_Leave,Departed"</formula1>
    </dataValidation>
    <dataValidation sqref="F36" showDropDown="0" showInputMessage="0" showErrorMessage="0" allowBlank="0" type="list">
      <formula1>"Executive,Manager,Analyst,Operator,Developer,External_Partner,Vendor"</formula1>
    </dataValidation>
    <dataValidation sqref="I36" showDropDown="0" showInputMessage="0" showErrorMessage="0" allowBlank="0" type="list">
      <formula1>"High,Medium,Low,None"</formula1>
    </dataValidation>
    <dataValidation sqref="K36" showDropDown="0" showInputMessage="0" showErrorMessage="0" allowBlank="0" type="list">
      <formula1>"Active,Inactive,On_Leave,Departed"</formula1>
    </dataValidation>
    <dataValidation sqref="F37" showDropDown="0" showInputMessage="0" showErrorMessage="0" allowBlank="0" type="list">
      <formula1>"Executive,Manager,Analyst,Operator,Developer,External_Partner,Vendor"</formula1>
    </dataValidation>
    <dataValidation sqref="I37" showDropDown="0" showInputMessage="0" showErrorMessage="0" allowBlank="0" type="list">
      <formula1>"High,Medium,Low,None"</formula1>
    </dataValidation>
    <dataValidation sqref="K37" showDropDown="0" showInputMessage="0" showErrorMessage="0" allowBlank="0" type="list">
      <formula1>"Active,Inactive,On_Leave,Departed"</formula1>
    </dataValidation>
    <dataValidation sqref="F38" showDropDown="0" showInputMessage="0" showErrorMessage="0" allowBlank="0" type="list">
      <formula1>"Executive,Manager,Analyst,Operator,Developer,External_Partner,Vendor"</formula1>
    </dataValidation>
    <dataValidation sqref="I38" showDropDown="0" showInputMessage="0" showErrorMessage="0" allowBlank="0" type="list">
      <formula1>"High,Medium,Low,None"</formula1>
    </dataValidation>
    <dataValidation sqref="K38" showDropDown="0" showInputMessage="0" showErrorMessage="0" allowBlank="0" type="list">
      <formula1>"Active,Inactive,On_Leave,Departed"</formula1>
    </dataValidation>
    <dataValidation sqref="F39" showDropDown="0" showInputMessage="0" showErrorMessage="0" allowBlank="0" type="list">
      <formula1>"Executive,Manager,Analyst,Operator,Developer,External_Partner,Vendor"</formula1>
    </dataValidation>
    <dataValidation sqref="I39" showDropDown="0" showInputMessage="0" showErrorMessage="0" allowBlank="0" type="list">
      <formula1>"High,Medium,Low,None"</formula1>
    </dataValidation>
    <dataValidation sqref="K39" showDropDown="0" showInputMessage="0" showErrorMessage="0" allowBlank="0" type="list">
      <formula1>"Active,Inactive,On_Leave,Departed"</formula1>
    </dataValidation>
    <dataValidation sqref="F40" showDropDown="0" showInputMessage="0" showErrorMessage="0" allowBlank="0" type="list">
      <formula1>"Executive,Manager,Analyst,Operator,Developer,External_Partner,Vendor"</formula1>
    </dataValidation>
    <dataValidation sqref="I40" showDropDown="0" showInputMessage="0" showErrorMessage="0" allowBlank="0" type="list">
      <formula1>"High,Medium,Low,None"</formula1>
    </dataValidation>
    <dataValidation sqref="K40" showDropDown="0" showInputMessage="0" showErrorMessage="0" allowBlank="0" type="list">
      <formula1>"Active,Inactive,On_Leave,Departed"</formula1>
    </dataValidation>
    <dataValidation sqref="F41" showDropDown="0" showInputMessage="0" showErrorMessage="0" allowBlank="0" type="list">
      <formula1>"Executive,Manager,Analyst,Operator,Developer,External_Partner,Vendor"</formula1>
    </dataValidation>
    <dataValidation sqref="I41" showDropDown="0" showInputMessage="0" showErrorMessage="0" allowBlank="0" type="list">
      <formula1>"High,Medium,Low,None"</formula1>
    </dataValidation>
    <dataValidation sqref="K41" showDropDown="0" showInputMessage="0" showErrorMessage="0" allowBlank="0" type="list">
      <formula1>"Active,Inactive,On_Leave,Departed"</formula1>
    </dataValidation>
    <dataValidation sqref="F42" showDropDown="0" showInputMessage="0" showErrorMessage="0" allowBlank="0" type="list">
      <formula1>"Executive,Manager,Analyst,Operator,Developer,External_Partner,Vendor"</formula1>
    </dataValidation>
    <dataValidation sqref="I42" showDropDown="0" showInputMessage="0" showErrorMessage="0" allowBlank="0" type="list">
      <formula1>"High,Medium,Low,None"</formula1>
    </dataValidation>
    <dataValidation sqref="K42" showDropDown="0" showInputMessage="0" showErrorMessage="0" allowBlank="0" type="list">
      <formula1>"Active,Inactive,On_Leave,Departed"</formula1>
    </dataValidation>
    <dataValidation sqref="F43" showDropDown="0" showInputMessage="0" showErrorMessage="0" allowBlank="0" type="list">
      <formula1>"Executive,Manager,Analyst,Operator,Developer,External_Partner,Vendor"</formula1>
    </dataValidation>
    <dataValidation sqref="I43" showDropDown="0" showInputMessage="0" showErrorMessage="0" allowBlank="0" type="list">
      <formula1>"High,Medium,Low,None"</formula1>
    </dataValidation>
    <dataValidation sqref="K43" showDropDown="0" showInputMessage="0" showErrorMessage="0" allowBlank="0" type="list">
      <formula1>"Active,Inactive,On_Leave,Departed"</formula1>
    </dataValidation>
    <dataValidation sqref="F44" showDropDown="0" showInputMessage="0" showErrorMessage="0" allowBlank="0" type="list">
      <formula1>"Executive,Manager,Analyst,Operator,Developer,External_Partner,Vendor"</formula1>
    </dataValidation>
    <dataValidation sqref="I44" showDropDown="0" showInputMessage="0" showErrorMessage="0" allowBlank="0" type="list">
      <formula1>"High,Medium,Low,None"</formula1>
    </dataValidation>
    <dataValidation sqref="K44" showDropDown="0" showInputMessage="0" showErrorMessage="0" allowBlank="0" type="list">
      <formula1>"Active,Inactive,On_Leave,Departed"</formula1>
    </dataValidation>
    <dataValidation sqref="F45" showDropDown="0" showInputMessage="0" showErrorMessage="0" allowBlank="0" type="list">
      <formula1>"Executive,Manager,Analyst,Operator,Developer,External_Partner,Vendor"</formula1>
    </dataValidation>
    <dataValidation sqref="I45" showDropDown="0" showInputMessage="0" showErrorMessage="0" allowBlank="0" type="list">
      <formula1>"High,Medium,Low,None"</formula1>
    </dataValidation>
    <dataValidation sqref="K45" showDropDown="0" showInputMessage="0" showErrorMessage="0" allowBlank="0" type="list">
      <formula1>"Active,Inactive,On_Leave,Departed"</formula1>
    </dataValidation>
    <dataValidation sqref="F46" showDropDown="0" showInputMessage="0" showErrorMessage="0" allowBlank="0" type="list">
      <formula1>"Executive,Manager,Analyst,Operator,Developer,External_Partner,Vendor"</formula1>
    </dataValidation>
    <dataValidation sqref="I46" showDropDown="0" showInputMessage="0" showErrorMessage="0" allowBlank="0" type="list">
      <formula1>"High,Medium,Low,None"</formula1>
    </dataValidation>
    <dataValidation sqref="K46" showDropDown="0" showInputMessage="0" showErrorMessage="0" allowBlank="0" type="list">
      <formula1>"Active,Inactive,On_Leave,Departed"</formula1>
    </dataValidation>
    <dataValidation sqref="F47" showDropDown="0" showInputMessage="0" showErrorMessage="0" allowBlank="0" type="list">
      <formula1>"Executive,Manager,Analyst,Operator,Developer,External_Partner,Vendor"</formula1>
    </dataValidation>
    <dataValidation sqref="I47" showDropDown="0" showInputMessage="0" showErrorMessage="0" allowBlank="0" type="list">
      <formula1>"High,Medium,Low,None"</formula1>
    </dataValidation>
    <dataValidation sqref="K47" showDropDown="0" showInputMessage="0" showErrorMessage="0" allowBlank="0" type="list">
      <formula1>"Active,Inactive,On_Leave,Departed"</formula1>
    </dataValidation>
    <dataValidation sqref="F48" showDropDown="0" showInputMessage="0" showErrorMessage="0" allowBlank="0" type="list">
      <formula1>"Executive,Manager,Analyst,Operator,Developer,External_Partner,Vendor"</formula1>
    </dataValidation>
    <dataValidation sqref="I48" showDropDown="0" showInputMessage="0" showErrorMessage="0" allowBlank="0" type="list">
      <formula1>"High,Medium,Low,None"</formula1>
    </dataValidation>
    <dataValidation sqref="K48" showDropDown="0" showInputMessage="0" showErrorMessage="0" allowBlank="0" type="list">
      <formula1>"Active,Inactive,On_Leave,Departed"</formula1>
    </dataValidation>
    <dataValidation sqref="F49" showDropDown="0" showInputMessage="0" showErrorMessage="0" allowBlank="0" type="list">
      <formula1>"Executive,Manager,Analyst,Operator,Developer,External_Partner,Vendor"</formula1>
    </dataValidation>
    <dataValidation sqref="I49" showDropDown="0" showInputMessage="0" showErrorMessage="0" allowBlank="0" type="list">
      <formula1>"High,Medium,Low,None"</formula1>
    </dataValidation>
    <dataValidation sqref="K49" showDropDown="0" showInputMessage="0" showErrorMessage="0" allowBlank="0" type="list">
      <formula1>"Active,Inactive,On_Leave,Departed"</formula1>
    </dataValidation>
    <dataValidation sqref="F50" showDropDown="0" showInputMessage="0" showErrorMessage="0" allowBlank="0" type="list">
      <formula1>"Executive,Manager,Analyst,Operator,Developer,External_Partner,Vendor"</formula1>
    </dataValidation>
    <dataValidation sqref="I50" showDropDown="0" showInputMessage="0" showErrorMessage="0" allowBlank="0" type="list">
      <formula1>"High,Medium,Low,None"</formula1>
    </dataValidation>
    <dataValidation sqref="K50" showDropDown="0" showInputMessage="0" showErrorMessage="0" allowBlank="0" type="list">
      <formula1>"Active,Inactive,On_Leave,Departed"</formula1>
    </dataValidation>
    <dataValidation sqref="F51" showDropDown="0" showInputMessage="0" showErrorMessage="0" allowBlank="0" type="list">
      <formula1>"Executive,Manager,Analyst,Operator,Developer,External_Partner,Vendor"</formula1>
    </dataValidation>
    <dataValidation sqref="I51" showDropDown="0" showInputMessage="0" showErrorMessage="0" allowBlank="0" type="list">
      <formula1>"High,Medium,Low,None"</formula1>
    </dataValidation>
    <dataValidation sqref="K51" showDropDown="0" showInputMessage="0" showErrorMessage="0" allowBlank="0" type="list">
      <formula1>"Active,Inactive,On_Leave,Departed"</formula1>
    </dataValidation>
    <dataValidation sqref="F52" showDropDown="0" showInputMessage="0" showErrorMessage="0" allowBlank="0" type="list">
      <formula1>"Executive,Manager,Analyst,Operator,Developer,External_Partner,Vendor"</formula1>
    </dataValidation>
    <dataValidation sqref="I52" showDropDown="0" showInputMessage="0" showErrorMessage="0" allowBlank="0" type="list">
      <formula1>"High,Medium,Low,None"</formula1>
    </dataValidation>
    <dataValidation sqref="K52" showDropDown="0" showInputMessage="0" showErrorMessage="0" allowBlank="0" type="list">
      <formula1>"Active,Inactive,On_Leave,Departed"</formula1>
    </dataValidation>
    <dataValidation sqref="F53" showDropDown="0" showInputMessage="0" showErrorMessage="0" allowBlank="0" type="list">
      <formula1>"Executive,Manager,Analyst,Operator,Developer,External_Partner,Vendor"</formula1>
    </dataValidation>
    <dataValidation sqref="I53" showDropDown="0" showInputMessage="0" showErrorMessage="0" allowBlank="0" type="list">
      <formula1>"High,Medium,Low,None"</formula1>
    </dataValidation>
    <dataValidation sqref="K53" showDropDown="0" showInputMessage="0" showErrorMessage="0" allowBlank="0" type="list">
      <formula1>"Active,Inactive,On_Leave,Departed"</formula1>
    </dataValidation>
    <dataValidation sqref="F54" showDropDown="0" showInputMessage="0" showErrorMessage="0" allowBlank="0" type="list">
      <formula1>"Executive,Manager,Analyst,Operator,Developer,External_Partner,Vendor"</formula1>
    </dataValidation>
    <dataValidation sqref="I54" showDropDown="0" showInputMessage="0" showErrorMessage="0" allowBlank="0" type="list">
      <formula1>"High,Medium,Low,None"</formula1>
    </dataValidation>
    <dataValidation sqref="K54" showDropDown="0" showInputMessage="0" showErrorMessage="0" allowBlank="0" type="list">
      <formula1>"Active,Inactive,On_Leave,Departed"</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1"/>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30" customWidth="1" min="3" max="3"/>
    <col width="12" customWidth="1" min="4" max="4"/>
    <col width="25" customWidth="1" min="5" max="5"/>
    <col width="18" customWidth="1" min="6" max="6"/>
    <col width="18" customWidth="1" min="7" max="7"/>
    <col width="20" customWidth="1" min="8" max="8"/>
    <col width="15" customWidth="1" min="9" max="9"/>
    <col width="18" customWidth="1" min="10" max="10"/>
    <col width="18" customWidth="1" min="11" max="11"/>
    <col width="18" customWidth="1" min="12" max="12"/>
    <col width="18" customWidth="1" min="13" max="13"/>
    <col width="15" customWidth="1" min="14" max="14"/>
    <col width="30" customWidth="1" min="15" max="15"/>
  </cols>
  <sheetData>
    <row r="1" ht="35" customHeight="1">
      <c r="A1" s="11" t="inlineStr">
        <is>
          <t>INTELLIGENCE DISTRIBUTION TRACKING</t>
        </is>
      </c>
    </row>
    <row r="2">
      <c r="A2" s="12" t="inlineStr">
        <is>
          <t>Track who received what intelligence, when, and through which channel. Monitor engagement and action rates.</t>
        </is>
      </c>
    </row>
    <row r="4">
      <c r="A4" s="13" t="inlineStr">
        <is>
          <t>Distribution ID</t>
        </is>
      </c>
      <c r="B4" s="13" t="inlineStr">
        <is>
          <t>Product ID</t>
        </is>
      </c>
      <c r="C4" s="13" t="inlineStr">
        <is>
          <t>Product Title</t>
        </is>
      </c>
      <c r="D4" s="13" t="inlineStr">
        <is>
          <t>Channel ID</t>
        </is>
      </c>
      <c r="E4" s="13" t="inlineStr">
        <is>
          <t>Channel Name</t>
        </is>
      </c>
      <c r="F4" s="13" t="inlineStr">
        <is>
          <t>Distribution Date</t>
        </is>
      </c>
      <c r="G4" s="13" t="inlineStr">
        <is>
          <t>Recipients Count</t>
        </is>
      </c>
      <c r="H4" s="13" t="inlineStr">
        <is>
          <t>TLP Classification</t>
        </is>
      </c>
      <c r="I4" s="13" t="inlineStr">
        <is>
          <t>Views Count</t>
        </is>
      </c>
      <c r="J4" s="13" t="inlineStr">
        <is>
          <t>Downloads Count</t>
        </is>
      </c>
      <c r="K4" s="13" t="inlineStr">
        <is>
          <t>Feedback Received</t>
        </is>
      </c>
      <c r="L4" s="13" t="inlineStr">
        <is>
          <t>Action Taken Count</t>
        </is>
      </c>
      <c r="M4" s="13" t="inlineStr">
        <is>
          <t>Engagement Rate</t>
        </is>
      </c>
      <c r="N4" s="13" t="inlineStr">
        <is>
          <t>Effectiveness</t>
        </is>
      </c>
      <c r="O4" s="13" t="inlineStr">
        <is>
          <t>Notes</t>
        </is>
      </c>
    </row>
    <row r="5">
      <c r="A5" s="14" t="inlineStr">
        <is>
          <t>DIST-2025-001</t>
        </is>
      </c>
      <c r="B5" s="15" t="n"/>
      <c r="C5" s="15" t="n"/>
      <c r="D5" s="15" t="n"/>
      <c r="E5" s="24">
        <f>IFERROR(VLOOKUP(D5,'Dissemination Channels'!A:B,2,FALSE),"")</f>
        <v/>
      </c>
      <c r="F5" s="23" t="n"/>
      <c r="G5" s="17" t="n"/>
      <c r="H5" s="15" t="n"/>
      <c r="I5" s="17" t="n"/>
      <c r="J5" s="17" t="n"/>
      <c r="K5" s="17" t="n"/>
      <c r="L5" s="17" t="n"/>
      <c r="M5" s="27">
        <f>IF(G5=0,"",((I5+J5+K5)/G5)*100)</f>
        <v/>
      </c>
      <c r="N5" s="24">
        <f>IF(AND(L5/G5&gt;0.25,M5&gt;40),"High",IF(OR(L5/G5&gt;0.15,M5&gt;25),"Medium","Low"))</f>
        <v/>
      </c>
      <c r="O5" s="15" t="n"/>
    </row>
    <row r="6">
      <c r="A6" s="14" t="n"/>
      <c r="B6" s="15" t="n"/>
      <c r="C6" s="15" t="n"/>
      <c r="D6" s="15" t="n"/>
      <c r="E6" s="24">
        <f>IFERROR(VLOOKUP(D6,'Dissemination Channels'!A:B,2,FALSE),"")</f>
        <v/>
      </c>
      <c r="F6" s="23" t="n"/>
      <c r="G6" s="17" t="n"/>
      <c r="H6" s="15" t="n"/>
      <c r="I6" s="17" t="n"/>
      <c r="J6" s="17" t="n"/>
      <c r="K6" s="17" t="n"/>
      <c r="L6" s="17" t="n"/>
      <c r="M6" s="27">
        <f>IF(G6=0,"",((I6+J6+K6)/G6)*100)</f>
        <v/>
      </c>
      <c r="N6" s="24">
        <f>IF(AND(L6/G6&gt;0.25,M6&gt;40),"High",IF(OR(L6/G6&gt;0.15,M6&gt;25),"Medium","Low"))</f>
        <v/>
      </c>
      <c r="O6" s="15" t="n"/>
    </row>
    <row r="7">
      <c r="A7" s="14" t="n"/>
      <c r="B7" s="15" t="n"/>
      <c r="C7" s="15" t="n"/>
      <c r="D7" s="15" t="n"/>
      <c r="E7" s="24">
        <f>IFERROR(VLOOKUP(D7,'Dissemination Channels'!A:B,2,FALSE),"")</f>
        <v/>
      </c>
      <c r="F7" s="23" t="n"/>
      <c r="G7" s="17" t="n"/>
      <c r="H7" s="15" t="n"/>
      <c r="I7" s="17" t="n"/>
      <c r="J7" s="17" t="n"/>
      <c r="K7" s="17" t="n"/>
      <c r="L7" s="17" t="n"/>
      <c r="M7" s="27">
        <f>IF(G7=0,"",((I7+J7+K7)/G7)*100)</f>
        <v/>
      </c>
      <c r="N7" s="24">
        <f>IF(AND(L7/G7&gt;0.25,M7&gt;40),"High",IF(OR(L7/G7&gt;0.15,M7&gt;25),"Medium","Low"))</f>
        <v/>
      </c>
      <c r="O7" s="15" t="n"/>
    </row>
    <row r="8">
      <c r="A8" s="14" t="n"/>
      <c r="B8" s="15" t="n"/>
      <c r="C8" s="15" t="n"/>
      <c r="D8" s="15" t="n"/>
      <c r="E8" s="24">
        <f>IFERROR(VLOOKUP(D8,'Dissemination Channels'!A:B,2,FALSE),"")</f>
        <v/>
      </c>
      <c r="F8" s="23" t="n"/>
      <c r="G8" s="17" t="n"/>
      <c r="H8" s="15" t="n"/>
      <c r="I8" s="17" t="n"/>
      <c r="J8" s="17" t="n"/>
      <c r="K8" s="17" t="n"/>
      <c r="L8" s="17" t="n"/>
      <c r="M8" s="27">
        <f>IF(G8=0,"",((I8+J8+K8)/G8)*100)</f>
        <v/>
      </c>
      <c r="N8" s="24">
        <f>IF(AND(L8/G8&gt;0.25,M8&gt;40),"High",IF(OR(L8/G8&gt;0.15,M8&gt;25),"Medium","Low"))</f>
        <v/>
      </c>
      <c r="O8" s="15" t="n"/>
    </row>
    <row r="9">
      <c r="A9" s="14" t="n"/>
      <c r="B9" s="15" t="n"/>
      <c r="C9" s="15" t="n"/>
      <c r="D9" s="15" t="n"/>
      <c r="E9" s="24">
        <f>IFERROR(VLOOKUP(D9,'Dissemination Channels'!A:B,2,FALSE),"")</f>
        <v/>
      </c>
      <c r="F9" s="23" t="n"/>
      <c r="G9" s="17" t="n"/>
      <c r="H9" s="15" t="n"/>
      <c r="I9" s="17" t="n"/>
      <c r="J9" s="17" t="n"/>
      <c r="K9" s="17" t="n"/>
      <c r="L9" s="17" t="n"/>
      <c r="M9" s="27">
        <f>IF(G9=0,"",((I9+J9+K9)/G9)*100)</f>
        <v/>
      </c>
      <c r="N9" s="24">
        <f>IF(AND(L9/G9&gt;0.25,M9&gt;40),"High",IF(OR(L9/G9&gt;0.15,M9&gt;25),"Medium","Low"))</f>
        <v/>
      </c>
      <c r="O9" s="15" t="n"/>
    </row>
    <row r="10">
      <c r="A10" s="14" t="n"/>
      <c r="B10" s="15" t="n"/>
      <c r="C10" s="15" t="n"/>
      <c r="D10" s="15" t="n"/>
      <c r="E10" s="24">
        <f>IFERROR(VLOOKUP(D10,'Dissemination Channels'!A:B,2,FALSE),"")</f>
        <v/>
      </c>
      <c r="F10" s="23" t="n"/>
      <c r="G10" s="17" t="n"/>
      <c r="H10" s="15" t="n"/>
      <c r="I10" s="17" t="n"/>
      <c r="J10" s="17" t="n"/>
      <c r="K10" s="17" t="n"/>
      <c r="L10" s="17" t="n"/>
      <c r="M10" s="27">
        <f>IF(G10=0,"",((I10+J10+K10)/G10)*100)</f>
        <v/>
      </c>
      <c r="N10" s="24">
        <f>IF(AND(L10/G10&gt;0.25,M10&gt;40),"High",IF(OR(L10/G10&gt;0.15,M10&gt;25),"Medium","Low"))</f>
        <v/>
      </c>
      <c r="O10" s="15" t="n"/>
    </row>
    <row r="11">
      <c r="A11" s="14" t="n"/>
      <c r="B11" s="15" t="n"/>
      <c r="C11" s="15" t="n"/>
      <c r="D11" s="15" t="n"/>
      <c r="E11" s="24">
        <f>IFERROR(VLOOKUP(D11,'Dissemination Channels'!A:B,2,FALSE),"")</f>
        <v/>
      </c>
      <c r="F11" s="23" t="n"/>
      <c r="G11" s="17" t="n"/>
      <c r="H11" s="15" t="n"/>
      <c r="I11" s="17" t="n"/>
      <c r="J11" s="17" t="n"/>
      <c r="K11" s="17" t="n"/>
      <c r="L11" s="17" t="n"/>
      <c r="M11" s="27">
        <f>IF(G11=0,"",((I11+J11+K11)/G11)*100)</f>
        <v/>
      </c>
      <c r="N11" s="24">
        <f>IF(AND(L11/G11&gt;0.25,M11&gt;40),"High",IF(OR(L11/G11&gt;0.15,M11&gt;25),"Medium","Low"))</f>
        <v/>
      </c>
      <c r="O11" s="15" t="n"/>
    </row>
    <row r="12">
      <c r="A12" s="14" t="n"/>
      <c r="B12" s="15" t="n"/>
      <c r="C12" s="15" t="n"/>
      <c r="D12" s="15" t="n"/>
      <c r="E12" s="24">
        <f>IFERROR(VLOOKUP(D12,'Dissemination Channels'!A:B,2,FALSE),"")</f>
        <v/>
      </c>
      <c r="F12" s="23" t="n"/>
      <c r="G12" s="17" t="n"/>
      <c r="H12" s="15" t="n"/>
      <c r="I12" s="17" t="n"/>
      <c r="J12" s="17" t="n"/>
      <c r="K12" s="17" t="n"/>
      <c r="L12" s="17" t="n"/>
      <c r="M12" s="27">
        <f>IF(G12=0,"",((I12+J12+K12)/G12)*100)</f>
        <v/>
      </c>
      <c r="N12" s="24">
        <f>IF(AND(L12/G12&gt;0.25,M12&gt;40),"High",IF(OR(L12/G12&gt;0.15,M12&gt;25),"Medium","Low"))</f>
        <v/>
      </c>
      <c r="O12" s="15" t="n"/>
    </row>
    <row r="13">
      <c r="A13" s="14" t="n"/>
      <c r="B13" s="15" t="n"/>
      <c r="C13" s="15" t="n"/>
      <c r="D13" s="15" t="n"/>
      <c r="E13" s="24">
        <f>IFERROR(VLOOKUP(D13,'Dissemination Channels'!A:B,2,FALSE),"")</f>
        <v/>
      </c>
      <c r="F13" s="23" t="n"/>
      <c r="G13" s="17" t="n"/>
      <c r="H13" s="15" t="n"/>
      <c r="I13" s="17" t="n"/>
      <c r="J13" s="17" t="n"/>
      <c r="K13" s="17" t="n"/>
      <c r="L13" s="17" t="n"/>
      <c r="M13" s="27">
        <f>IF(G13=0,"",((I13+J13+K13)/G13)*100)</f>
        <v/>
      </c>
      <c r="N13" s="24">
        <f>IF(AND(L13/G13&gt;0.25,M13&gt;40),"High",IF(OR(L13/G13&gt;0.15,M13&gt;25),"Medium","Low"))</f>
        <v/>
      </c>
      <c r="O13" s="15" t="n"/>
    </row>
    <row r="14">
      <c r="A14" s="14" t="n"/>
      <c r="B14" s="15" t="n"/>
      <c r="C14" s="15" t="n"/>
      <c r="D14" s="15" t="n"/>
      <c r="E14" s="24">
        <f>IFERROR(VLOOKUP(D14,'Dissemination Channels'!A:B,2,FALSE),"")</f>
        <v/>
      </c>
      <c r="F14" s="23" t="n"/>
      <c r="G14" s="17" t="n"/>
      <c r="H14" s="15" t="n"/>
      <c r="I14" s="17" t="n"/>
      <c r="J14" s="17" t="n"/>
      <c r="K14" s="17" t="n"/>
      <c r="L14" s="17" t="n"/>
      <c r="M14" s="27">
        <f>IF(G14=0,"",((I14+J14+K14)/G14)*100)</f>
        <v/>
      </c>
      <c r="N14" s="24">
        <f>IF(AND(L14/G14&gt;0.25,M14&gt;40),"High",IF(OR(L14/G14&gt;0.15,M14&gt;25),"Medium","Low"))</f>
        <v/>
      </c>
      <c r="O14" s="15" t="n"/>
    </row>
    <row r="15">
      <c r="A15" s="14" t="n"/>
      <c r="B15" s="15" t="n"/>
      <c r="C15" s="15" t="n"/>
      <c r="D15" s="15" t="n"/>
      <c r="E15" s="24">
        <f>IFERROR(VLOOKUP(D15,'Dissemination Channels'!A:B,2,FALSE),"")</f>
        <v/>
      </c>
      <c r="F15" s="23" t="n"/>
      <c r="G15" s="17" t="n"/>
      <c r="H15" s="15" t="n"/>
      <c r="I15" s="17" t="n"/>
      <c r="J15" s="17" t="n"/>
      <c r="K15" s="17" t="n"/>
      <c r="L15" s="17" t="n"/>
      <c r="M15" s="27">
        <f>IF(G15=0,"",((I15+J15+K15)/G15)*100)</f>
        <v/>
      </c>
      <c r="N15" s="24">
        <f>IF(AND(L15/G15&gt;0.25,M15&gt;40),"High",IF(OR(L15/G15&gt;0.15,M15&gt;25),"Medium","Low"))</f>
        <v/>
      </c>
      <c r="O15" s="15" t="n"/>
    </row>
    <row r="16">
      <c r="A16" s="14" t="n"/>
      <c r="B16" s="15" t="n"/>
      <c r="C16" s="15" t="n"/>
      <c r="D16" s="15" t="n"/>
      <c r="E16" s="24">
        <f>IFERROR(VLOOKUP(D16,'Dissemination Channels'!A:B,2,FALSE),"")</f>
        <v/>
      </c>
      <c r="F16" s="23" t="n"/>
      <c r="G16" s="17" t="n"/>
      <c r="H16" s="15" t="n"/>
      <c r="I16" s="17" t="n"/>
      <c r="J16" s="17" t="n"/>
      <c r="K16" s="17" t="n"/>
      <c r="L16" s="17" t="n"/>
      <c r="M16" s="27">
        <f>IF(G16=0,"",((I16+J16+K16)/G16)*100)</f>
        <v/>
      </c>
      <c r="N16" s="24">
        <f>IF(AND(L16/G16&gt;0.25,M16&gt;40),"High",IF(OR(L16/G16&gt;0.15,M16&gt;25),"Medium","Low"))</f>
        <v/>
      </c>
      <c r="O16" s="15" t="n"/>
    </row>
    <row r="17">
      <c r="A17" s="14" t="n"/>
      <c r="B17" s="15" t="n"/>
      <c r="C17" s="15" t="n"/>
      <c r="D17" s="15" t="n"/>
      <c r="E17" s="24">
        <f>IFERROR(VLOOKUP(D17,'Dissemination Channels'!A:B,2,FALSE),"")</f>
        <v/>
      </c>
      <c r="F17" s="23" t="n"/>
      <c r="G17" s="17" t="n"/>
      <c r="H17" s="15" t="n"/>
      <c r="I17" s="17" t="n"/>
      <c r="J17" s="17" t="n"/>
      <c r="K17" s="17" t="n"/>
      <c r="L17" s="17" t="n"/>
      <c r="M17" s="27">
        <f>IF(G17=0,"",((I17+J17+K17)/G17)*100)</f>
        <v/>
      </c>
      <c r="N17" s="24">
        <f>IF(AND(L17/G17&gt;0.25,M17&gt;40),"High",IF(OR(L17/G17&gt;0.15,M17&gt;25),"Medium","Low"))</f>
        <v/>
      </c>
      <c r="O17" s="15" t="n"/>
    </row>
    <row r="18">
      <c r="A18" s="14" t="n"/>
      <c r="B18" s="15" t="n"/>
      <c r="C18" s="15" t="n"/>
      <c r="D18" s="15" t="n"/>
      <c r="E18" s="24">
        <f>IFERROR(VLOOKUP(D18,'Dissemination Channels'!A:B,2,FALSE),"")</f>
        <v/>
      </c>
      <c r="F18" s="23" t="n"/>
      <c r="G18" s="17" t="n"/>
      <c r="H18" s="15" t="n"/>
      <c r="I18" s="17" t="n"/>
      <c r="J18" s="17" t="n"/>
      <c r="K18" s="17" t="n"/>
      <c r="L18" s="17" t="n"/>
      <c r="M18" s="27">
        <f>IF(G18=0,"",((I18+J18+K18)/G18)*100)</f>
        <v/>
      </c>
      <c r="N18" s="24">
        <f>IF(AND(L18/G18&gt;0.25,M18&gt;40),"High",IF(OR(L18/G18&gt;0.15,M18&gt;25),"Medium","Low"))</f>
        <v/>
      </c>
      <c r="O18" s="15" t="n"/>
    </row>
    <row r="19">
      <c r="A19" s="14" t="n"/>
      <c r="B19" s="15" t="n"/>
      <c r="C19" s="15" t="n"/>
      <c r="D19" s="15" t="n"/>
      <c r="E19" s="24">
        <f>IFERROR(VLOOKUP(D19,'Dissemination Channels'!A:B,2,FALSE),"")</f>
        <v/>
      </c>
      <c r="F19" s="23" t="n"/>
      <c r="G19" s="17" t="n"/>
      <c r="H19" s="15" t="n"/>
      <c r="I19" s="17" t="n"/>
      <c r="J19" s="17" t="n"/>
      <c r="K19" s="17" t="n"/>
      <c r="L19" s="17" t="n"/>
      <c r="M19" s="27">
        <f>IF(G19=0,"",((I19+J19+K19)/G19)*100)</f>
        <v/>
      </c>
      <c r="N19" s="24">
        <f>IF(AND(L19/G19&gt;0.25,M19&gt;40),"High",IF(OR(L19/G19&gt;0.15,M19&gt;25),"Medium","Low"))</f>
        <v/>
      </c>
      <c r="O19" s="15" t="n"/>
    </row>
    <row r="20">
      <c r="A20" s="14" t="n"/>
      <c r="B20" s="15" t="n"/>
      <c r="C20" s="15" t="n"/>
      <c r="D20" s="15" t="n"/>
      <c r="E20" s="24">
        <f>IFERROR(VLOOKUP(D20,'Dissemination Channels'!A:B,2,FALSE),"")</f>
        <v/>
      </c>
      <c r="F20" s="23" t="n"/>
      <c r="G20" s="17" t="n"/>
      <c r="H20" s="15" t="n"/>
      <c r="I20" s="17" t="n"/>
      <c r="J20" s="17" t="n"/>
      <c r="K20" s="17" t="n"/>
      <c r="L20" s="17" t="n"/>
      <c r="M20" s="27">
        <f>IF(G20=0,"",((I20+J20+K20)/G20)*100)</f>
        <v/>
      </c>
      <c r="N20" s="24">
        <f>IF(AND(L20/G20&gt;0.25,M20&gt;40),"High",IF(OR(L20/G20&gt;0.15,M20&gt;25),"Medium","Low"))</f>
        <v/>
      </c>
      <c r="O20" s="15" t="n"/>
    </row>
    <row r="21">
      <c r="A21" s="14" t="n"/>
      <c r="B21" s="15" t="n"/>
      <c r="C21" s="15" t="n"/>
      <c r="D21" s="15" t="n"/>
      <c r="E21" s="24">
        <f>IFERROR(VLOOKUP(D21,'Dissemination Channels'!A:B,2,FALSE),"")</f>
        <v/>
      </c>
      <c r="F21" s="23" t="n"/>
      <c r="G21" s="17" t="n"/>
      <c r="H21" s="15" t="n"/>
      <c r="I21" s="17" t="n"/>
      <c r="J21" s="17" t="n"/>
      <c r="K21" s="17" t="n"/>
      <c r="L21" s="17" t="n"/>
      <c r="M21" s="27">
        <f>IF(G21=0,"",((I21+J21+K21)/G21)*100)</f>
        <v/>
      </c>
      <c r="N21" s="24">
        <f>IF(AND(L21/G21&gt;0.25,M21&gt;40),"High",IF(OR(L21/G21&gt;0.15,M21&gt;25),"Medium","Low"))</f>
        <v/>
      </c>
      <c r="O21" s="15" t="n"/>
    </row>
    <row r="22">
      <c r="A22" s="14" t="n"/>
      <c r="B22" s="15" t="n"/>
      <c r="C22" s="15" t="n"/>
      <c r="D22" s="15" t="n"/>
      <c r="E22" s="24">
        <f>IFERROR(VLOOKUP(D22,'Dissemination Channels'!A:B,2,FALSE),"")</f>
        <v/>
      </c>
      <c r="F22" s="23" t="n"/>
      <c r="G22" s="17" t="n"/>
      <c r="H22" s="15" t="n"/>
      <c r="I22" s="17" t="n"/>
      <c r="J22" s="17" t="n"/>
      <c r="K22" s="17" t="n"/>
      <c r="L22" s="17" t="n"/>
      <c r="M22" s="27">
        <f>IF(G22=0,"",((I22+J22+K22)/G22)*100)</f>
        <v/>
      </c>
      <c r="N22" s="24">
        <f>IF(AND(L22/G22&gt;0.25,M22&gt;40),"High",IF(OR(L22/G22&gt;0.15,M22&gt;25),"Medium","Low"))</f>
        <v/>
      </c>
      <c r="O22" s="15" t="n"/>
    </row>
    <row r="23">
      <c r="A23" s="14" t="n"/>
      <c r="B23" s="15" t="n"/>
      <c r="C23" s="15" t="n"/>
      <c r="D23" s="15" t="n"/>
      <c r="E23" s="24">
        <f>IFERROR(VLOOKUP(D23,'Dissemination Channels'!A:B,2,FALSE),"")</f>
        <v/>
      </c>
      <c r="F23" s="23" t="n"/>
      <c r="G23" s="17" t="n"/>
      <c r="H23" s="15" t="n"/>
      <c r="I23" s="17" t="n"/>
      <c r="J23" s="17" t="n"/>
      <c r="K23" s="17" t="n"/>
      <c r="L23" s="17" t="n"/>
      <c r="M23" s="27">
        <f>IF(G23=0,"",((I23+J23+K23)/G23)*100)</f>
        <v/>
      </c>
      <c r="N23" s="24">
        <f>IF(AND(L23/G23&gt;0.25,M23&gt;40),"High",IF(OR(L23/G23&gt;0.15,M23&gt;25),"Medium","Low"))</f>
        <v/>
      </c>
      <c r="O23" s="15" t="n"/>
    </row>
    <row r="24">
      <c r="A24" s="14" t="n"/>
      <c r="B24" s="15" t="n"/>
      <c r="C24" s="15" t="n"/>
      <c r="D24" s="15" t="n"/>
      <c r="E24" s="24">
        <f>IFERROR(VLOOKUP(D24,'Dissemination Channels'!A:B,2,FALSE),"")</f>
        <v/>
      </c>
      <c r="F24" s="23" t="n"/>
      <c r="G24" s="17" t="n"/>
      <c r="H24" s="15" t="n"/>
      <c r="I24" s="17" t="n"/>
      <c r="J24" s="17" t="n"/>
      <c r="K24" s="17" t="n"/>
      <c r="L24" s="17" t="n"/>
      <c r="M24" s="27">
        <f>IF(G24=0,"",((I24+J24+K24)/G24)*100)</f>
        <v/>
      </c>
      <c r="N24" s="24">
        <f>IF(AND(L24/G24&gt;0.25,M24&gt;40),"High",IF(OR(L24/G24&gt;0.15,M24&gt;25),"Medium","Low"))</f>
        <v/>
      </c>
      <c r="O24" s="15" t="n"/>
    </row>
    <row r="25">
      <c r="A25" s="14" t="n"/>
      <c r="B25" s="15" t="n"/>
      <c r="C25" s="15" t="n"/>
      <c r="D25" s="15" t="n"/>
      <c r="E25" s="24">
        <f>IFERROR(VLOOKUP(D25,'Dissemination Channels'!A:B,2,FALSE),"")</f>
        <v/>
      </c>
      <c r="F25" s="23" t="n"/>
      <c r="G25" s="17" t="n"/>
      <c r="H25" s="15" t="n"/>
      <c r="I25" s="17" t="n"/>
      <c r="J25" s="17" t="n"/>
      <c r="K25" s="17" t="n"/>
      <c r="L25" s="17" t="n"/>
      <c r="M25" s="27">
        <f>IF(G25=0,"",((I25+J25+K25)/G25)*100)</f>
        <v/>
      </c>
      <c r="N25" s="24">
        <f>IF(AND(L25/G25&gt;0.25,M25&gt;40),"High",IF(OR(L25/G25&gt;0.15,M25&gt;25),"Medium","Low"))</f>
        <v/>
      </c>
      <c r="O25" s="15" t="n"/>
    </row>
    <row r="26">
      <c r="A26" s="14" t="n"/>
      <c r="B26" s="15" t="n"/>
      <c r="C26" s="15" t="n"/>
      <c r="D26" s="15" t="n"/>
      <c r="E26" s="24">
        <f>IFERROR(VLOOKUP(D26,'Dissemination Channels'!A:B,2,FALSE),"")</f>
        <v/>
      </c>
      <c r="F26" s="23" t="n"/>
      <c r="G26" s="17" t="n"/>
      <c r="H26" s="15" t="n"/>
      <c r="I26" s="17" t="n"/>
      <c r="J26" s="17" t="n"/>
      <c r="K26" s="17" t="n"/>
      <c r="L26" s="17" t="n"/>
      <c r="M26" s="27">
        <f>IF(G26=0,"",((I26+J26+K26)/G26)*100)</f>
        <v/>
      </c>
      <c r="N26" s="24">
        <f>IF(AND(L26/G26&gt;0.25,M26&gt;40),"High",IF(OR(L26/G26&gt;0.15,M26&gt;25),"Medium","Low"))</f>
        <v/>
      </c>
      <c r="O26" s="15" t="n"/>
    </row>
    <row r="27">
      <c r="A27" s="14" t="n"/>
      <c r="B27" s="15" t="n"/>
      <c r="C27" s="15" t="n"/>
      <c r="D27" s="15" t="n"/>
      <c r="E27" s="24">
        <f>IFERROR(VLOOKUP(D27,'Dissemination Channels'!A:B,2,FALSE),"")</f>
        <v/>
      </c>
      <c r="F27" s="23" t="n"/>
      <c r="G27" s="17" t="n"/>
      <c r="H27" s="15" t="n"/>
      <c r="I27" s="17" t="n"/>
      <c r="J27" s="17" t="n"/>
      <c r="K27" s="17" t="n"/>
      <c r="L27" s="17" t="n"/>
      <c r="M27" s="27">
        <f>IF(G27=0,"",((I27+J27+K27)/G27)*100)</f>
        <v/>
      </c>
      <c r="N27" s="24">
        <f>IF(AND(L27/G27&gt;0.25,M27&gt;40),"High",IF(OR(L27/G27&gt;0.15,M27&gt;25),"Medium","Low"))</f>
        <v/>
      </c>
      <c r="O27" s="15" t="n"/>
    </row>
    <row r="28">
      <c r="A28" s="14" t="n"/>
      <c r="B28" s="15" t="n"/>
      <c r="C28" s="15" t="n"/>
      <c r="D28" s="15" t="n"/>
      <c r="E28" s="24">
        <f>IFERROR(VLOOKUP(D28,'Dissemination Channels'!A:B,2,FALSE),"")</f>
        <v/>
      </c>
      <c r="F28" s="23" t="n"/>
      <c r="G28" s="17" t="n"/>
      <c r="H28" s="15" t="n"/>
      <c r="I28" s="17" t="n"/>
      <c r="J28" s="17" t="n"/>
      <c r="K28" s="17" t="n"/>
      <c r="L28" s="17" t="n"/>
      <c r="M28" s="27">
        <f>IF(G28=0,"",((I28+J28+K28)/G28)*100)</f>
        <v/>
      </c>
      <c r="N28" s="24">
        <f>IF(AND(L28/G28&gt;0.25,M28&gt;40),"High",IF(OR(L28/G28&gt;0.15,M28&gt;25),"Medium","Low"))</f>
        <v/>
      </c>
      <c r="O28" s="15" t="n"/>
    </row>
    <row r="29">
      <c r="A29" s="14" t="n"/>
      <c r="B29" s="15" t="n"/>
      <c r="C29" s="15" t="n"/>
      <c r="D29" s="15" t="n"/>
      <c r="E29" s="24">
        <f>IFERROR(VLOOKUP(D29,'Dissemination Channels'!A:B,2,FALSE),"")</f>
        <v/>
      </c>
      <c r="F29" s="23" t="n"/>
      <c r="G29" s="17" t="n"/>
      <c r="H29" s="15" t="n"/>
      <c r="I29" s="17" t="n"/>
      <c r="J29" s="17" t="n"/>
      <c r="K29" s="17" t="n"/>
      <c r="L29" s="17" t="n"/>
      <c r="M29" s="27">
        <f>IF(G29=0,"",((I29+J29+K29)/G29)*100)</f>
        <v/>
      </c>
      <c r="N29" s="24">
        <f>IF(AND(L29/G29&gt;0.25,M29&gt;40),"High",IF(OR(L29/G29&gt;0.15,M29&gt;25),"Medium","Low"))</f>
        <v/>
      </c>
      <c r="O29" s="15" t="n"/>
    </row>
    <row r="30">
      <c r="A30" s="14" t="n"/>
      <c r="B30" s="15" t="n"/>
      <c r="C30" s="15" t="n"/>
      <c r="D30" s="15" t="n"/>
      <c r="E30" s="24">
        <f>IFERROR(VLOOKUP(D30,'Dissemination Channels'!A:B,2,FALSE),"")</f>
        <v/>
      </c>
      <c r="F30" s="23" t="n"/>
      <c r="G30" s="17" t="n"/>
      <c r="H30" s="15" t="n"/>
      <c r="I30" s="17" t="n"/>
      <c r="J30" s="17" t="n"/>
      <c r="K30" s="17" t="n"/>
      <c r="L30" s="17" t="n"/>
      <c r="M30" s="27">
        <f>IF(G30=0,"",((I30+J30+K30)/G30)*100)</f>
        <v/>
      </c>
      <c r="N30" s="24">
        <f>IF(AND(L30/G30&gt;0.25,M30&gt;40),"High",IF(OR(L30/G30&gt;0.15,M30&gt;25),"Medium","Low"))</f>
        <v/>
      </c>
      <c r="O30" s="15" t="n"/>
    </row>
    <row r="31">
      <c r="A31" s="14" t="n"/>
      <c r="B31" s="15" t="n"/>
      <c r="C31" s="15" t="n"/>
      <c r="D31" s="15" t="n"/>
      <c r="E31" s="24">
        <f>IFERROR(VLOOKUP(D31,'Dissemination Channels'!A:B,2,FALSE),"")</f>
        <v/>
      </c>
      <c r="F31" s="23" t="n"/>
      <c r="G31" s="17" t="n"/>
      <c r="H31" s="15" t="n"/>
      <c r="I31" s="17" t="n"/>
      <c r="J31" s="17" t="n"/>
      <c r="K31" s="17" t="n"/>
      <c r="L31" s="17" t="n"/>
      <c r="M31" s="27">
        <f>IF(G31=0,"",((I31+J31+K31)/G31)*100)</f>
        <v/>
      </c>
      <c r="N31" s="24">
        <f>IF(AND(L31/G31&gt;0.25,M31&gt;40),"High",IF(OR(L31/G31&gt;0.15,M31&gt;25),"Medium","Low"))</f>
        <v/>
      </c>
      <c r="O31" s="15" t="n"/>
    </row>
    <row r="32">
      <c r="A32" s="14" t="n"/>
      <c r="B32" s="15" t="n"/>
      <c r="C32" s="15" t="n"/>
      <c r="D32" s="15" t="n"/>
      <c r="E32" s="24">
        <f>IFERROR(VLOOKUP(D32,'Dissemination Channels'!A:B,2,FALSE),"")</f>
        <v/>
      </c>
      <c r="F32" s="23" t="n"/>
      <c r="G32" s="17" t="n"/>
      <c r="H32" s="15" t="n"/>
      <c r="I32" s="17" t="n"/>
      <c r="J32" s="17" t="n"/>
      <c r="K32" s="17" t="n"/>
      <c r="L32" s="17" t="n"/>
      <c r="M32" s="27">
        <f>IF(G32=0,"",((I32+J32+K32)/G32)*100)</f>
        <v/>
      </c>
      <c r="N32" s="24">
        <f>IF(AND(L32/G32&gt;0.25,M32&gt;40),"High",IF(OR(L32/G32&gt;0.15,M32&gt;25),"Medium","Low"))</f>
        <v/>
      </c>
      <c r="O32" s="15" t="n"/>
    </row>
    <row r="33">
      <c r="A33" s="14" t="n"/>
      <c r="B33" s="15" t="n"/>
      <c r="C33" s="15" t="n"/>
      <c r="D33" s="15" t="n"/>
      <c r="E33" s="24">
        <f>IFERROR(VLOOKUP(D33,'Dissemination Channels'!A:B,2,FALSE),"")</f>
        <v/>
      </c>
      <c r="F33" s="23" t="n"/>
      <c r="G33" s="17" t="n"/>
      <c r="H33" s="15" t="n"/>
      <c r="I33" s="17" t="n"/>
      <c r="J33" s="17" t="n"/>
      <c r="K33" s="17" t="n"/>
      <c r="L33" s="17" t="n"/>
      <c r="M33" s="27">
        <f>IF(G33=0,"",((I33+J33+K33)/G33)*100)</f>
        <v/>
      </c>
      <c r="N33" s="24">
        <f>IF(AND(L33/G33&gt;0.25,M33&gt;40),"High",IF(OR(L33/G33&gt;0.15,M33&gt;25),"Medium","Low"))</f>
        <v/>
      </c>
      <c r="O33" s="15" t="n"/>
    </row>
    <row r="34">
      <c r="A34" s="14" t="n"/>
      <c r="B34" s="15" t="n"/>
      <c r="C34" s="15" t="n"/>
      <c r="D34" s="15" t="n"/>
      <c r="E34" s="24">
        <f>IFERROR(VLOOKUP(D34,'Dissemination Channels'!A:B,2,FALSE),"")</f>
        <v/>
      </c>
      <c r="F34" s="23" t="n"/>
      <c r="G34" s="17" t="n"/>
      <c r="H34" s="15" t="n"/>
      <c r="I34" s="17" t="n"/>
      <c r="J34" s="17" t="n"/>
      <c r="K34" s="17" t="n"/>
      <c r="L34" s="17" t="n"/>
      <c r="M34" s="27">
        <f>IF(G34=0,"",((I34+J34+K34)/G34)*100)</f>
        <v/>
      </c>
      <c r="N34" s="24">
        <f>IF(AND(L34/G34&gt;0.25,M34&gt;40),"High",IF(OR(L34/G34&gt;0.15,M34&gt;25),"Medium","Low"))</f>
        <v/>
      </c>
      <c r="O34" s="15" t="n"/>
    </row>
    <row r="35">
      <c r="A35" s="14" t="n"/>
      <c r="B35" s="15" t="n"/>
      <c r="C35" s="15" t="n"/>
      <c r="D35" s="15" t="n"/>
      <c r="E35" s="24">
        <f>IFERROR(VLOOKUP(D35,'Dissemination Channels'!A:B,2,FALSE),"")</f>
        <v/>
      </c>
      <c r="F35" s="23" t="n"/>
      <c r="G35" s="17" t="n"/>
      <c r="H35" s="15" t="n"/>
      <c r="I35" s="17" t="n"/>
      <c r="J35" s="17" t="n"/>
      <c r="K35" s="17" t="n"/>
      <c r="L35" s="17" t="n"/>
      <c r="M35" s="27">
        <f>IF(G35=0,"",((I35+J35+K35)/G35)*100)</f>
        <v/>
      </c>
      <c r="N35" s="24">
        <f>IF(AND(L35/G35&gt;0.25,M35&gt;40),"High",IF(OR(L35/G35&gt;0.15,M35&gt;25),"Medium","Low"))</f>
        <v/>
      </c>
      <c r="O35" s="15" t="n"/>
    </row>
    <row r="36">
      <c r="A36" s="14" t="n"/>
      <c r="B36" s="15" t="n"/>
      <c r="C36" s="15" t="n"/>
      <c r="D36" s="15" t="n"/>
      <c r="E36" s="24">
        <f>IFERROR(VLOOKUP(D36,'Dissemination Channels'!A:B,2,FALSE),"")</f>
        <v/>
      </c>
      <c r="F36" s="23" t="n"/>
      <c r="G36" s="17" t="n"/>
      <c r="H36" s="15" t="n"/>
      <c r="I36" s="17" t="n"/>
      <c r="J36" s="17" t="n"/>
      <c r="K36" s="17" t="n"/>
      <c r="L36" s="17" t="n"/>
      <c r="M36" s="27">
        <f>IF(G36=0,"",((I36+J36+K36)/G36)*100)</f>
        <v/>
      </c>
      <c r="N36" s="24">
        <f>IF(AND(L36/G36&gt;0.25,M36&gt;40),"High",IF(OR(L36/G36&gt;0.15,M36&gt;25),"Medium","Low"))</f>
        <v/>
      </c>
      <c r="O36" s="15" t="n"/>
    </row>
    <row r="37">
      <c r="A37" s="14" t="n"/>
      <c r="B37" s="15" t="n"/>
      <c r="C37" s="15" t="n"/>
      <c r="D37" s="15" t="n"/>
      <c r="E37" s="24">
        <f>IFERROR(VLOOKUP(D37,'Dissemination Channels'!A:B,2,FALSE),"")</f>
        <v/>
      </c>
      <c r="F37" s="23" t="n"/>
      <c r="G37" s="17" t="n"/>
      <c r="H37" s="15" t="n"/>
      <c r="I37" s="17" t="n"/>
      <c r="J37" s="17" t="n"/>
      <c r="K37" s="17" t="n"/>
      <c r="L37" s="17" t="n"/>
      <c r="M37" s="27">
        <f>IF(G37=0,"",((I37+J37+K37)/G37)*100)</f>
        <v/>
      </c>
      <c r="N37" s="24">
        <f>IF(AND(L37/G37&gt;0.25,M37&gt;40),"High",IF(OR(L37/G37&gt;0.15,M37&gt;25),"Medium","Low"))</f>
        <v/>
      </c>
      <c r="O37" s="15" t="n"/>
    </row>
    <row r="38">
      <c r="A38" s="14" t="n"/>
      <c r="B38" s="15" t="n"/>
      <c r="C38" s="15" t="n"/>
      <c r="D38" s="15" t="n"/>
      <c r="E38" s="24">
        <f>IFERROR(VLOOKUP(D38,'Dissemination Channels'!A:B,2,FALSE),"")</f>
        <v/>
      </c>
      <c r="F38" s="23" t="n"/>
      <c r="G38" s="17" t="n"/>
      <c r="H38" s="15" t="n"/>
      <c r="I38" s="17" t="n"/>
      <c r="J38" s="17" t="n"/>
      <c r="K38" s="17" t="n"/>
      <c r="L38" s="17" t="n"/>
      <c r="M38" s="27">
        <f>IF(G38=0,"",((I38+J38+K38)/G38)*100)</f>
        <v/>
      </c>
      <c r="N38" s="24">
        <f>IF(AND(L38/G38&gt;0.25,M38&gt;40),"High",IF(OR(L38/G38&gt;0.15,M38&gt;25),"Medium","Low"))</f>
        <v/>
      </c>
      <c r="O38" s="15" t="n"/>
    </row>
    <row r="39">
      <c r="A39" s="14" t="n"/>
      <c r="B39" s="15" t="n"/>
      <c r="C39" s="15" t="n"/>
      <c r="D39" s="15" t="n"/>
      <c r="E39" s="24">
        <f>IFERROR(VLOOKUP(D39,'Dissemination Channels'!A:B,2,FALSE),"")</f>
        <v/>
      </c>
      <c r="F39" s="23" t="n"/>
      <c r="G39" s="17" t="n"/>
      <c r="H39" s="15" t="n"/>
      <c r="I39" s="17" t="n"/>
      <c r="J39" s="17" t="n"/>
      <c r="K39" s="17" t="n"/>
      <c r="L39" s="17" t="n"/>
      <c r="M39" s="27">
        <f>IF(G39=0,"",((I39+J39+K39)/G39)*100)</f>
        <v/>
      </c>
      <c r="N39" s="24">
        <f>IF(AND(L39/G39&gt;0.25,M39&gt;40),"High",IF(OR(L39/G39&gt;0.15,M39&gt;25),"Medium","Low"))</f>
        <v/>
      </c>
      <c r="O39" s="15" t="n"/>
    </row>
    <row r="40">
      <c r="A40" s="14" t="n"/>
      <c r="B40" s="15" t="n"/>
      <c r="C40" s="15" t="n"/>
      <c r="D40" s="15" t="n"/>
      <c r="E40" s="24">
        <f>IFERROR(VLOOKUP(D40,'Dissemination Channels'!A:B,2,FALSE),"")</f>
        <v/>
      </c>
      <c r="F40" s="23" t="n"/>
      <c r="G40" s="17" t="n"/>
      <c r="H40" s="15" t="n"/>
      <c r="I40" s="17" t="n"/>
      <c r="J40" s="17" t="n"/>
      <c r="K40" s="17" t="n"/>
      <c r="L40" s="17" t="n"/>
      <c r="M40" s="27">
        <f>IF(G40=0,"",((I40+J40+K40)/G40)*100)</f>
        <v/>
      </c>
      <c r="N40" s="24">
        <f>IF(AND(L40/G40&gt;0.25,M40&gt;40),"High",IF(OR(L40/G40&gt;0.15,M40&gt;25),"Medium","Low"))</f>
        <v/>
      </c>
      <c r="O40" s="15" t="n"/>
    </row>
    <row r="41">
      <c r="A41" s="14" t="n"/>
      <c r="B41" s="15" t="n"/>
      <c r="C41" s="15" t="n"/>
      <c r="D41" s="15" t="n"/>
      <c r="E41" s="24">
        <f>IFERROR(VLOOKUP(D41,'Dissemination Channels'!A:B,2,FALSE),"")</f>
        <v/>
      </c>
      <c r="F41" s="23" t="n"/>
      <c r="G41" s="17" t="n"/>
      <c r="H41" s="15" t="n"/>
      <c r="I41" s="17" t="n"/>
      <c r="J41" s="17" t="n"/>
      <c r="K41" s="17" t="n"/>
      <c r="L41" s="17" t="n"/>
      <c r="M41" s="27">
        <f>IF(G41=0,"",((I41+J41+K41)/G41)*100)</f>
        <v/>
      </c>
      <c r="N41" s="24">
        <f>IF(AND(L41/G41&gt;0.25,M41&gt;40),"High",IF(OR(L41/G41&gt;0.15,M41&gt;25),"Medium","Low"))</f>
        <v/>
      </c>
      <c r="O41" s="15" t="n"/>
    </row>
    <row r="42">
      <c r="A42" s="14" t="n"/>
      <c r="B42" s="15" t="n"/>
      <c r="C42" s="15" t="n"/>
      <c r="D42" s="15" t="n"/>
      <c r="E42" s="24">
        <f>IFERROR(VLOOKUP(D42,'Dissemination Channels'!A:B,2,FALSE),"")</f>
        <v/>
      </c>
      <c r="F42" s="23" t="n"/>
      <c r="G42" s="17" t="n"/>
      <c r="H42" s="15" t="n"/>
      <c r="I42" s="17" t="n"/>
      <c r="J42" s="17" t="n"/>
      <c r="K42" s="17" t="n"/>
      <c r="L42" s="17" t="n"/>
      <c r="M42" s="27">
        <f>IF(G42=0,"",((I42+J42+K42)/G42)*100)</f>
        <v/>
      </c>
      <c r="N42" s="24">
        <f>IF(AND(L42/G42&gt;0.25,M42&gt;40),"High",IF(OR(L42/G42&gt;0.15,M42&gt;25),"Medium","Low"))</f>
        <v/>
      </c>
      <c r="O42" s="15" t="n"/>
    </row>
    <row r="43">
      <c r="A43" s="14" t="n"/>
      <c r="B43" s="15" t="n"/>
      <c r="C43" s="15" t="n"/>
      <c r="D43" s="15" t="n"/>
      <c r="E43" s="24">
        <f>IFERROR(VLOOKUP(D43,'Dissemination Channels'!A:B,2,FALSE),"")</f>
        <v/>
      </c>
      <c r="F43" s="23" t="n"/>
      <c r="G43" s="17" t="n"/>
      <c r="H43" s="15" t="n"/>
      <c r="I43" s="17" t="n"/>
      <c r="J43" s="17" t="n"/>
      <c r="K43" s="17" t="n"/>
      <c r="L43" s="17" t="n"/>
      <c r="M43" s="27">
        <f>IF(G43=0,"",((I43+J43+K43)/G43)*100)</f>
        <v/>
      </c>
      <c r="N43" s="24">
        <f>IF(AND(L43/G43&gt;0.25,M43&gt;40),"High",IF(OR(L43/G43&gt;0.15,M43&gt;25),"Medium","Low"))</f>
        <v/>
      </c>
      <c r="O43" s="15" t="n"/>
    </row>
    <row r="44">
      <c r="A44" s="14" t="n"/>
      <c r="B44" s="15" t="n"/>
      <c r="C44" s="15" t="n"/>
      <c r="D44" s="15" t="n"/>
      <c r="E44" s="24">
        <f>IFERROR(VLOOKUP(D44,'Dissemination Channels'!A:B,2,FALSE),"")</f>
        <v/>
      </c>
      <c r="F44" s="23" t="n"/>
      <c r="G44" s="17" t="n"/>
      <c r="H44" s="15" t="n"/>
      <c r="I44" s="17" t="n"/>
      <c r="J44" s="17" t="n"/>
      <c r="K44" s="17" t="n"/>
      <c r="L44" s="17" t="n"/>
      <c r="M44" s="27">
        <f>IF(G44=0,"",((I44+J44+K44)/G44)*100)</f>
        <v/>
      </c>
      <c r="N44" s="24">
        <f>IF(AND(L44/G44&gt;0.25,M44&gt;40),"High",IF(OR(L44/G44&gt;0.15,M44&gt;25),"Medium","Low"))</f>
        <v/>
      </c>
      <c r="O44" s="15" t="n"/>
    </row>
    <row r="45">
      <c r="A45" s="14" t="n"/>
      <c r="B45" s="15" t="n"/>
      <c r="C45" s="15" t="n"/>
      <c r="D45" s="15" t="n"/>
      <c r="E45" s="24">
        <f>IFERROR(VLOOKUP(D45,'Dissemination Channels'!A:B,2,FALSE),"")</f>
        <v/>
      </c>
      <c r="F45" s="23" t="n"/>
      <c r="G45" s="17" t="n"/>
      <c r="H45" s="15" t="n"/>
      <c r="I45" s="17" t="n"/>
      <c r="J45" s="17" t="n"/>
      <c r="K45" s="17" t="n"/>
      <c r="L45" s="17" t="n"/>
      <c r="M45" s="27">
        <f>IF(G45=0,"",((I45+J45+K45)/G45)*100)</f>
        <v/>
      </c>
      <c r="N45" s="24">
        <f>IF(AND(L45/G45&gt;0.25,M45&gt;40),"High",IF(OR(L45/G45&gt;0.15,M45&gt;25),"Medium","Low"))</f>
        <v/>
      </c>
      <c r="O45" s="15" t="n"/>
    </row>
    <row r="46">
      <c r="A46" s="14" t="n"/>
      <c r="B46" s="15" t="n"/>
      <c r="C46" s="15" t="n"/>
      <c r="D46" s="15" t="n"/>
      <c r="E46" s="24">
        <f>IFERROR(VLOOKUP(D46,'Dissemination Channels'!A:B,2,FALSE),"")</f>
        <v/>
      </c>
      <c r="F46" s="23" t="n"/>
      <c r="G46" s="17" t="n"/>
      <c r="H46" s="15" t="n"/>
      <c r="I46" s="17" t="n"/>
      <c r="J46" s="17" t="n"/>
      <c r="K46" s="17" t="n"/>
      <c r="L46" s="17" t="n"/>
      <c r="M46" s="27">
        <f>IF(G46=0,"",((I46+J46+K46)/G46)*100)</f>
        <v/>
      </c>
      <c r="N46" s="24">
        <f>IF(AND(L46/G46&gt;0.25,M46&gt;40),"High",IF(OR(L46/G46&gt;0.15,M46&gt;25),"Medium","Low"))</f>
        <v/>
      </c>
      <c r="O46" s="15" t="n"/>
    </row>
    <row r="47">
      <c r="A47" s="14" t="n"/>
      <c r="B47" s="15" t="n"/>
      <c r="C47" s="15" t="n"/>
      <c r="D47" s="15" t="n"/>
      <c r="E47" s="24">
        <f>IFERROR(VLOOKUP(D47,'Dissemination Channels'!A:B,2,FALSE),"")</f>
        <v/>
      </c>
      <c r="F47" s="23" t="n"/>
      <c r="G47" s="17" t="n"/>
      <c r="H47" s="15" t="n"/>
      <c r="I47" s="17" t="n"/>
      <c r="J47" s="17" t="n"/>
      <c r="K47" s="17" t="n"/>
      <c r="L47" s="17" t="n"/>
      <c r="M47" s="27">
        <f>IF(G47=0,"",((I47+J47+K47)/G47)*100)</f>
        <v/>
      </c>
      <c r="N47" s="24">
        <f>IF(AND(L47/G47&gt;0.25,M47&gt;40),"High",IF(OR(L47/G47&gt;0.15,M47&gt;25),"Medium","Low"))</f>
        <v/>
      </c>
      <c r="O47" s="15" t="n"/>
    </row>
    <row r="48">
      <c r="A48" s="14" t="n"/>
      <c r="B48" s="15" t="n"/>
      <c r="C48" s="15" t="n"/>
      <c r="D48" s="15" t="n"/>
      <c r="E48" s="24">
        <f>IFERROR(VLOOKUP(D48,'Dissemination Channels'!A:B,2,FALSE),"")</f>
        <v/>
      </c>
      <c r="F48" s="23" t="n"/>
      <c r="G48" s="17" t="n"/>
      <c r="H48" s="15" t="n"/>
      <c r="I48" s="17" t="n"/>
      <c r="J48" s="17" t="n"/>
      <c r="K48" s="17" t="n"/>
      <c r="L48" s="17" t="n"/>
      <c r="M48" s="27">
        <f>IF(G48=0,"",((I48+J48+K48)/G48)*100)</f>
        <v/>
      </c>
      <c r="N48" s="24">
        <f>IF(AND(L48/G48&gt;0.25,M48&gt;40),"High",IF(OR(L48/G48&gt;0.15,M48&gt;25),"Medium","Low"))</f>
        <v/>
      </c>
      <c r="O48" s="15" t="n"/>
    </row>
    <row r="49">
      <c r="A49" s="14" t="n"/>
      <c r="B49" s="15" t="n"/>
      <c r="C49" s="15" t="n"/>
      <c r="D49" s="15" t="n"/>
      <c r="E49" s="24">
        <f>IFERROR(VLOOKUP(D49,'Dissemination Channels'!A:B,2,FALSE),"")</f>
        <v/>
      </c>
      <c r="F49" s="23" t="n"/>
      <c r="G49" s="17" t="n"/>
      <c r="H49" s="15" t="n"/>
      <c r="I49" s="17" t="n"/>
      <c r="J49" s="17" t="n"/>
      <c r="K49" s="17" t="n"/>
      <c r="L49" s="17" t="n"/>
      <c r="M49" s="27">
        <f>IF(G49=0,"",((I49+J49+K49)/G49)*100)</f>
        <v/>
      </c>
      <c r="N49" s="24">
        <f>IF(AND(L49/G49&gt;0.25,M49&gt;40),"High",IF(OR(L49/G49&gt;0.15,M49&gt;25),"Medium","Low"))</f>
        <v/>
      </c>
      <c r="O49" s="15" t="n"/>
    </row>
    <row r="50">
      <c r="A50" s="14" t="n"/>
      <c r="B50" s="15" t="n"/>
      <c r="C50" s="15" t="n"/>
      <c r="D50" s="15" t="n"/>
      <c r="E50" s="24">
        <f>IFERROR(VLOOKUP(D50,'Dissemination Channels'!A:B,2,FALSE),"")</f>
        <v/>
      </c>
      <c r="F50" s="23" t="n"/>
      <c r="G50" s="17" t="n"/>
      <c r="H50" s="15" t="n"/>
      <c r="I50" s="17" t="n"/>
      <c r="J50" s="17" t="n"/>
      <c r="K50" s="17" t="n"/>
      <c r="L50" s="17" t="n"/>
      <c r="M50" s="27">
        <f>IF(G50=0,"",((I50+J50+K50)/G50)*100)</f>
        <v/>
      </c>
      <c r="N50" s="24">
        <f>IF(AND(L50/G50&gt;0.25,M50&gt;40),"High",IF(OR(L50/G50&gt;0.15,M50&gt;25),"Medium","Low"))</f>
        <v/>
      </c>
      <c r="O50" s="15" t="n"/>
    </row>
    <row r="51">
      <c r="A51" s="14" t="n"/>
      <c r="B51" s="15" t="n"/>
      <c r="C51" s="15" t="n"/>
      <c r="D51" s="15" t="n"/>
      <c r="E51" s="24">
        <f>IFERROR(VLOOKUP(D51,'Dissemination Channels'!A:B,2,FALSE),"")</f>
        <v/>
      </c>
      <c r="F51" s="23" t="n"/>
      <c r="G51" s="17" t="n"/>
      <c r="H51" s="15" t="n"/>
      <c r="I51" s="17" t="n"/>
      <c r="J51" s="17" t="n"/>
      <c r="K51" s="17" t="n"/>
      <c r="L51" s="17" t="n"/>
      <c r="M51" s="27">
        <f>IF(G51=0,"",((I51+J51+K51)/G51)*100)</f>
        <v/>
      </c>
      <c r="N51" s="24">
        <f>IF(AND(L51/G51&gt;0.25,M51&gt;40),"High",IF(OR(L51/G51&gt;0.15,M51&gt;25),"Medium","Low"))</f>
        <v/>
      </c>
      <c r="O51" s="15" t="n"/>
    </row>
    <row r="52">
      <c r="A52" s="14" t="n"/>
      <c r="B52" s="15" t="n"/>
      <c r="C52" s="15" t="n"/>
      <c r="D52" s="15" t="n"/>
      <c r="E52" s="24">
        <f>IFERROR(VLOOKUP(D52,'Dissemination Channels'!A:B,2,FALSE),"")</f>
        <v/>
      </c>
      <c r="F52" s="23" t="n"/>
      <c r="G52" s="17" t="n"/>
      <c r="H52" s="15" t="n"/>
      <c r="I52" s="17" t="n"/>
      <c r="J52" s="17" t="n"/>
      <c r="K52" s="17" t="n"/>
      <c r="L52" s="17" t="n"/>
      <c r="M52" s="27">
        <f>IF(G52=0,"",((I52+J52+K52)/G52)*100)</f>
        <v/>
      </c>
      <c r="N52" s="24">
        <f>IF(AND(L52/G52&gt;0.25,M52&gt;40),"High",IF(OR(L52/G52&gt;0.15,M52&gt;25),"Medium","Low"))</f>
        <v/>
      </c>
      <c r="O52" s="15" t="n"/>
    </row>
    <row r="53">
      <c r="A53" s="14" t="n"/>
      <c r="B53" s="15" t="n"/>
      <c r="C53" s="15" t="n"/>
      <c r="D53" s="15" t="n"/>
      <c r="E53" s="24">
        <f>IFERROR(VLOOKUP(D53,'Dissemination Channels'!A:B,2,FALSE),"")</f>
        <v/>
      </c>
      <c r="F53" s="23" t="n"/>
      <c r="G53" s="17" t="n"/>
      <c r="H53" s="15" t="n"/>
      <c r="I53" s="17" t="n"/>
      <c r="J53" s="17" t="n"/>
      <c r="K53" s="17" t="n"/>
      <c r="L53" s="17" t="n"/>
      <c r="M53" s="27">
        <f>IF(G53=0,"",((I53+J53+K53)/G53)*100)</f>
        <v/>
      </c>
      <c r="N53" s="24">
        <f>IF(AND(L53/G53&gt;0.25,M53&gt;40),"High",IF(OR(L53/G53&gt;0.15,M53&gt;25),"Medium","Low"))</f>
        <v/>
      </c>
      <c r="O53" s="15" t="n"/>
    </row>
    <row r="54">
      <c r="A54" s="14" t="n"/>
      <c r="B54" s="15" t="n"/>
      <c r="C54" s="15" t="n"/>
      <c r="D54" s="15" t="n"/>
      <c r="E54" s="24">
        <f>IFERROR(VLOOKUP(D54,'Dissemination Channels'!A:B,2,FALSE),"")</f>
        <v/>
      </c>
      <c r="F54" s="23" t="n"/>
      <c r="G54" s="17" t="n"/>
      <c r="H54" s="15" t="n"/>
      <c r="I54" s="17" t="n"/>
      <c r="J54" s="17" t="n"/>
      <c r="K54" s="17" t="n"/>
      <c r="L54" s="17" t="n"/>
      <c r="M54" s="27">
        <f>IF(G54=0,"",((I54+J54+K54)/G54)*100)</f>
        <v/>
      </c>
      <c r="N54" s="24">
        <f>IF(AND(L54/G54&gt;0.25,M54&gt;40),"High",IF(OR(L54/G54&gt;0.15,M54&gt;25),"Medium","Low"))</f>
        <v/>
      </c>
      <c r="O54" s="15" t="n"/>
    </row>
    <row r="55">
      <c r="A55" s="14" t="n"/>
      <c r="B55" s="15" t="n"/>
      <c r="C55" s="15" t="n"/>
      <c r="D55" s="15" t="n"/>
      <c r="E55" s="24">
        <f>IFERROR(VLOOKUP(D55,'Dissemination Channels'!A:B,2,FALSE),"")</f>
        <v/>
      </c>
      <c r="F55" s="23" t="n"/>
      <c r="G55" s="17" t="n"/>
      <c r="H55" s="15" t="n"/>
      <c r="I55" s="17" t="n"/>
      <c r="J55" s="17" t="n"/>
      <c r="K55" s="17" t="n"/>
      <c r="L55" s="17" t="n"/>
      <c r="M55" s="27">
        <f>IF(G55=0,"",((I55+J55+K55)/G55)*100)</f>
        <v/>
      </c>
      <c r="N55" s="24">
        <f>IF(AND(L55/G55&gt;0.25,M55&gt;40),"High",IF(OR(L55/G55&gt;0.15,M55&gt;25),"Medium","Low"))</f>
        <v/>
      </c>
      <c r="O55" s="15" t="n"/>
    </row>
    <row r="56">
      <c r="A56" s="14" t="n"/>
      <c r="B56" s="15" t="n"/>
      <c r="C56" s="15" t="n"/>
      <c r="D56" s="15" t="n"/>
      <c r="E56" s="24">
        <f>IFERROR(VLOOKUP(D56,'Dissemination Channels'!A:B,2,FALSE),"")</f>
        <v/>
      </c>
      <c r="F56" s="23" t="n"/>
      <c r="G56" s="17" t="n"/>
      <c r="H56" s="15" t="n"/>
      <c r="I56" s="17" t="n"/>
      <c r="J56" s="17" t="n"/>
      <c r="K56" s="17" t="n"/>
      <c r="L56" s="17" t="n"/>
      <c r="M56" s="27">
        <f>IF(G56=0,"",((I56+J56+K56)/G56)*100)</f>
        <v/>
      </c>
      <c r="N56" s="24">
        <f>IF(AND(L56/G56&gt;0.25,M56&gt;40),"High",IF(OR(L56/G56&gt;0.15,M56&gt;25),"Medium","Low"))</f>
        <v/>
      </c>
      <c r="O56" s="15" t="n"/>
    </row>
    <row r="57">
      <c r="A57" s="14" t="n"/>
      <c r="B57" s="15" t="n"/>
      <c r="C57" s="15" t="n"/>
      <c r="D57" s="15" t="n"/>
      <c r="E57" s="24">
        <f>IFERROR(VLOOKUP(D57,'Dissemination Channels'!A:B,2,FALSE),"")</f>
        <v/>
      </c>
      <c r="F57" s="23" t="n"/>
      <c r="G57" s="17" t="n"/>
      <c r="H57" s="15" t="n"/>
      <c r="I57" s="17" t="n"/>
      <c r="J57" s="17" t="n"/>
      <c r="K57" s="17" t="n"/>
      <c r="L57" s="17" t="n"/>
      <c r="M57" s="27">
        <f>IF(G57=0,"",((I57+J57+K57)/G57)*100)</f>
        <v/>
      </c>
      <c r="N57" s="24">
        <f>IF(AND(L57/G57&gt;0.25,M57&gt;40),"High",IF(OR(L57/G57&gt;0.15,M57&gt;25),"Medium","Low"))</f>
        <v/>
      </c>
      <c r="O57" s="15" t="n"/>
    </row>
    <row r="58">
      <c r="A58" s="14" t="n"/>
      <c r="B58" s="15" t="n"/>
      <c r="C58" s="15" t="n"/>
      <c r="D58" s="15" t="n"/>
      <c r="E58" s="24">
        <f>IFERROR(VLOOKUP(D58,'Dissemination Channels'!A:B,2,FALSE),"")</f>
        <v/>
      </c>
      <c r="F58" s="23" t="n"/>
      <c r="G58" s="17" t="n"/>
      <c r="H58" s="15" t="n"/>
      <c r="I58" s="17" t="n"/>
      <c r="J58" s="17" t="n"/>
      <c r="K58" s="17" t="n"/>
      <c r="L58" s="17" t="n"/>
      <c r="M58" s="27">
        <f>IF(G58=0,"",((I58+J58+K58)/G58)*100)</f>
        <v/>
      </c>
      <c r="N58" s="24">
        <f>IF(AND(L58/G58&gt;0.25,M58&gt;40),"High",IF(OR(L58/G58&gt;0.15,M58&gt;25),"Medium","Low"))</f>
        <v/>
      </c>
      <c r="O58" s="15" t="n"/>
    </row>
    <row r="59">
      <c r="A59" s="14" t="n"/>
      <c r="B59" s="15" t="n"/>
      <c r="C59" s="15" t="n"/>
      <c r="D59" s="15" t="n"/>
      <c r="E59" s="24">
        <f>IFERROR(VLOOKUP(D59,'Dissemination Channels'!A:B,2,FALSE),"")</f>
        <v/>
      </c>
      <c r="F59" s="23" t="n"/>
      <c r="G59" s="17" t="n"/>
      <c r="H59" s="15" t="n"/>
      <c r="I59" s="17" t="n"/>
      <c r="J59" s="17" t="n"/>
      <c r="K59" s="17" t="n"/>
      <c r="L59" s="17" t="n"/>
      <c r="M59" s="27">
        <f>IF(G59=0,"",((I59+J59+K59)/G59)*100)</f>
        <v/>
      </c>
      <c r="N59" s="24">
        <f>IF(AND(L59/G59&gt;0.25,M59&gt;40),"High",IF(OR(L59/G59&gt;0.15,M59&gt;25),"Medium","Low"))</f>
        <v/>
      </c>
      <c r="O59" s="15" t="n"/>
    </row>
    <row r="60">
      <c r="A60" s="14" t="n"/>
      <c r="B60" s="15" t="n"/>
      <c r="C60" s="15" t="n"/>
      <c r="D60" s="15" t="n"/>
      <c r="E60" s="24">
        <f>IFERROR(VLOOKUP(D60,'Dissemination Channels'!A:B,2,FALSE),"")</f>
        <v/>
      </c>
      <c r="F60" s="23" t="n"/>
      <c r="G60" s="17" t="n"/>
      <c r="H60" s="15" t="n"/>
      <c r="I60" s="17" t="n"/>
      <c r="J60" s="17" t="n"/>
      <c r="K60" s="17" t="n"/>
      <c r="L60" s="17" t="n"/>
      <c r="M60" s="27">
        <f>IF(G60=0,"",((I60+J60+K60)/G60)*100)</f>
        <v/>
      </c>
      <c r="N60" s="24">
        <f>IF(AND(L60/G60&gt;0.25,M60&gt;40),"High",IF(OR(L60/G60&gt;0.15,M60&gt;25),"Medium","Low"))</f>
        <v/>
      </c>
      <c r="O60" s="15" t="n"/>
    </row>
    <row r="61">
      <c r="A61" s="14" t="n"/>
      <c r="B61" s="15" t="n"/>
      <c r="C61" s="15" t="n"/>
      <c r="D61" s="15" t="n"/>
      <c r="E61" s="24">
        <f>IFERROR(VLOOKUP(D61,'Dissemination Channels'!A:B,2,FALSE),"")</f>
        <v/>
      </c>
      <c r="F61" s="23" t="n"/>
      <c r="G61" s="17" t="n"/>
      <c r="H61" s="15" t="n"/>
      <c r="I61" s="17" t="n"/>
      <c r="J61" s="17" t="n"/>
      <c r="K61" s="17" t="n"/>
      <c r="L61" s="17" t="n"/>
      <c r="M61" s="27">
        <f>IF(G61=0,"",((I61+J61+K61)/G61)*100)</f>
        <v/>
      </c>
      <c r="N61" s="24">
        <f>IF(AND(L61/G61&gt;0.25,M61&gt;40),"High",IF(OR(L61/G61&gt;0.15,M61&gt;25),"Medium","Low"))</f>
        <v/>
      </c>
      <c r="O61" s="15" t="n"/>
    </row>
    <row r="62">
      <c r="A62" s="14" t="n"/>
      <c r="B62" s="15" t="n"/>
      <c r="C62" s="15" t="n"/>
      <c r="D62" s="15" t="n"/>
      <c r="E62" s="24">
        <f>IFERROR(VLOOKUP(D62,'Dissemination Channels'!A:B,2,FALSE),"")</f>
        <v/>
      </c>
      <c r="F62" s="23" t="n"/>
      <c r="G62" s="17" t="n"/>
      <c r="H62" s="15" t="n"/>
      <c r="I62" s="17" t="n"/>
      <c r="J62" s="17" t="n"/>
      <c r="K62" s="17" t="n"/>
      <c r="L62" s="17" t="n"/>
      <c r="M62" s="27">
        <f>IF(G62=0,"",((I62+J62+K62)/G62)*100)</f>
        <v/>
      </c>
      <c r="N62" s="24">
        <f>IF(AND(L62/G62&gt;0.25,M62&gt;40),"High",IF(OR(L62/G62&gt;0.15,M62&gt;25),"Medium","Low"))</f>
        <v/>
      </c>
      <c r="O62" s="15" t="n"/>
    </row>
    <row r="63">
      <c r="A63" s="14" t="n"/>
      <c r="B63" s="15" t="n"/>
      <c r="C63" s="15" t="n"/>
      <c r="D63" s="15" t="n"/>
      <c r="E63" s="24">
        <f>IFERROR(VLOOKUP(D63,'Dissemination Channels'!A:B,2,FALSE),"")</f>
        <v/>
      </c>
      <c r="F63" s="23" t="n"/>
      <c r="G63" s="17" t="n"/>
      <c r="H63" s="15" t="n"/>
      <c r="I63" s="17" t="n"/>
      <c r="J63" s="17" t="n"/>
      <c r="K63" s="17" t="n"/>
      <c r="L63" s="17" t="n"/>
      <c r="M63" s="27">
        <f>IF(G63=0,"",((I63+J63+K63)/G63)*100)</f>
        <v/>
      </c>
      <c r="N63" s="24">
        <f>IF(AND(L63/G63&gt;0.25,M63&gt;40),"High",IF(OR(L63/G63&gt;0.15,M63&gt;25),"Medium","Low"))</f>
        <v/>
      </c>
      <c r="O63" s="15" t="n"/>
    </row>
    <row r="64">
      <c r="A64" s="14" t="n"/>
      <c r="B64" s="15" t="n"/>
      <c r="C64" s="15" t="n"/>
      <c r="D64" s="15" t="n"/>
      <c r="E64" s="24">
        <f>IFERROR(VLOOKUP(D64,'Dissemination Channels'!A:B,2,FALSE),"")</f>
        <v/>
      </c>
      <c r="F64" s="23" t="n"/>
      <c r="G64" s="17" t="n"/>
      <c r="H64" s="15" t="n"/>
      <c r="I64" s="17" t="n"/>
      <c r="J64" s="17" t="n"/>
      <c r="K64" s="17" t="n"/>
      <c r="L64" s="17" t="n"/>
      <c r="M64" s="27">
        <f>IF(G64=0,"",((I64+J64+K64)/G64)*100)</f>
        <v/>
      </c>
      <c r="N64" s="24">
        <f>IF(AND(L64/G64&gt;0.25,M64&gt;40),"High",IF(OR(L64/G64&gt;0.15,M64&gt;25),"Medium","Low"))</f>
        <v/>
      </c>
      <c r="O64" s="15" t="n"/>
    </row>
    <row r="65">
      <c r="A65" s="14" t="n"/>
      <c r="B65" s="15" t="n"/>
      <c r="C65" s="15" t="n"/>
      <c r="D65" s="15" t="n"/>
      <c r="E65" s="24">
        <f>IFERROR(VLOOKUP(D65,'Dissemination Channels'!A:B,2,FALSE),"")</f>
        <v/>
      </c>
      <c r="F65" s="23" t="n"/>
      <c r="G65" s="17" t="n"/>
      <c r="H65" s="15" t="n"/>
      <c r="I65" s="17" t="n"/>
      <c r="J65" s="17" t="n"/>
      <c r="K65" s="17" t="n"/>
      <c r="L65" s="17" t="n"/>
      <c r="M65" s="27">
        <f>IF(G65=0,"",((I65+J65+K65)/G65)*100)</f>
        <v/>
      </c>
      <c r="N65" s="24">
        <f>IF(AND(L65/G65&gt;0.25,M65&gt;40),"High",IF(OR(L65/G65&gt;0.15,M65&gt;25),"Medium","Low"))</f>
        <v/>
      </c>
      <c r="O65" s="15" t="n"/>
    </row>
    <row r="66">
      <c r="A66" s="14" t="n"/>
      <c r="B66" s="15" t="n"/>
      <c r="C66" s="15" t="n"/>
      <c r="D66" s="15" t="n"/>
      <c r="E66" s="24">
        <f>IFERROR(VLOOKUP(D66,'Dissemination Channels'!A:B,2,FALSE),"")</f>
        <v/>
      </c>
      <c r="F66" s="23" t="n"/>
      <c r="G66" s="17" t="n"/>
      <c r="H66" s="15" t="n"/>
      <c r="I66" s="17" t="n"/>
      <c r="J66" s="17" t="n"/>
      <c r="K66" s="17" t="n"/>
      <c r="L66" s="17" t="n"/>
      <c r="M66" s="27">
        <f>IF(G66=0,"",((I66+J66+K66)/G66)*100)</f>
        <v/>
      </c>
      <c r="N66" s="24">
        <f>IF(AND(L66/G66&gt;0.25,M66&gt;40),"High",IF(OR(L66/G66&gt;0.15,M66&gt;25),"Medium","Low"))</f>
        <v/>
      </c>
      <c r="O66" s="15" t="n"/>
    </row>
    <row r="67">
      <c r="A67" s="14" t="n"/>
      <c r="B67" s="15" t="n"/>
      <c r="C67" s="15" t="n"/>
      <c r="D67" s="15" t="n"/>
      <c r="E67" s="24">
        <f>IFERROR(VLOOKUP(D67,'Dissemination Channels'!A:B,2,FALSE),"")</f>
        <v/>
      </c>
      <c r="F67" s="23" t="n"/>
      <c r="G67" s="17" t="n"/>
      <c r="H67" s="15" t="n"/>
      <c r="I67" s="17" t="n"/>
      <c r="J67" s="17" t="n"/>
      <c r="K67" s="17" t="n"/>
      <c r="L67" s="17" t="n"/>
      <c r="M67" s="27">
        <f>IF(G67=0,"",((I67+J67+K67)/G67)*100)</f>
        <v/>
      </c>
      <c r="N67" s="24">
        <f>IF(AND(L67/G67&gt;0.25,M67&gt;40),"High",IF(OR(L67/G67&gt;0.15,M67&gt;25),"Medium","Low"))</f>
        <v/>
      </c>
      <c r="O67" s="15" t="n"/>
    </row>
    <row r="68">
      <c r="A68" s="14" t="n"/>
      <c r="B68" s="15" t="n"/>
      <c r="C68" s="15" t="n"/>
      <c r="D68" s="15" t="n"/>
      <c r="E68" s="24">
        <f>IFERROR(VLOOKUP(D68,'Dissemination Channels'!A:B,2,FALSE),"")</f>
        <v/>
      </c>
      <c r="F68" s="23" t="n"/>
      <c r="G68" s="17" t="n"/>
      <c r="H68" s="15" t="n"/>
      <c r="I68" s="17" t="n"/>
      <c r="J68" s="17" t="n"/>
      <c r="K68" s="17" t="n"/>
      <c r="L68" s="17" t="n"/>
      <c r="M68" s="27">
        <f>IF(G68=0,"",((I68+J68+K68)/G68)*100)</f>
        <v/>
      </c>
      <c r="N68" s="24">
        <f>IF(AND(L68/G68&gt;0.25,M68&gt;40),"High",IF(OR(L68/G68&gt;0.15,M68&gt;25),"Medium","Low"))</f>
        <v/>
      </c>
      <c r="O68" s="15" t="n"/>
    </row>
    <row r="69">
      <c r="A69" s="14" t="n"/>
      <c r="B69" s="15" t="n"/>
      <c r="C69" s="15" t="n"/>
      <c r="D69" s="15" t="n"/>
      <c r="E69" s="24">
        <f>IFERROR(VLOOKUP(D69,'Dissemination Channels'!A:B,2,FALSE),"")</f>
        <v/>
      </c>
      <c r="F69" s="23" t="n"/>
      <c r="G69" s="17" t="n"/>
      <c r="H69" s="15" t="n"/>
      <c r="I69" s="17" t="n"/>
      <c r="J69" s="17" t="n"/>
      <c r="K69" s="17" t="n"/>
      <c r="L69" s="17" t="n"/>
      <c r="M69" s="27">
        <f>IF(G69=0,"",((I69+J69+K69)/G69)*100)</f>
        <v/>
      </c>
      <c r="N69" s="24">
        <f>IF(AND(L69/G69&gt;0.25,M69&gt;40),"High",IF(OR(L69/G69&gt;0.15,M69&gt;25),"Medium","Low"))</f>
        <v/>
      </c>
      <c r="O69" s="15" t="n"/>
    </row>
    <row r="70">
      <c r="A70" s="14" t="n"/>
      <c r="B70" s="15" t="n"/>
      <c r="C70" s="15" t="n"/>
      <c r="D70" s="15" t="n"/>
      <c r="E70" s="24">
        <f>IFERROR(VLOOKUP(D70,'Dissemination Channels'!A:B,2,FALSE),"")</f>
        <v/>
      </c>
      <c r="F70" s="23" t="n"/>
      <c r="G70" s="17" t="n"/>
      <c r="H70" s="15" t="n"/>
      <c r="I70" s="17" t="n"/>
      <c r="J70" s="17" t="n"/>
      <c r="K70" s="17" t="n"/>
      <c r="L70" s="17" t="n"/>
      <c r="M70" s="27">
        <f>IF(G70=0,"",((I70+J70+K70)/G70)*100)</f>
        <v/>
      </c>
      <c r="N70" s="24">
        <f>IF(AND(L70/G70&gt;0.25,M70&gt;40),"High",IF(OR(L70/G70&gt;0.15,M70&gt;25),"Medium","Low"))</f>
        <v/>
      </c>
      <c r="O70" s="15" t="n"/>
    </row>
    <row r="71">
      <c r="A71" s="14" t="n"/>
      <c r="B71" s="15" t="n"/>
      <c r="C71" s="15" t="n"/>
      <c r="D71" s="15" t="n"/>
      <c r="E71" s="24">
        <f>IFERROR(VLOOKUP(D71,'Dissemination Channels'!A:B,2,FALSE),"")</f>
        <v/>
      </c>
      <c r="F71" s="23" t="n"/>
      <c r="G71" s="17" t="n"/>
      <c r="H71" s="15" t="n"/>
      <c r="I71" s="17" t="n"/>
      <c r="J71" s="17" t="n"/>
      <c r="K71" s="17" t="n"/>
      <c r="L71" s="17" t="n"/>
      <c r="M71" s="27">
        <f>IF(G71=0,"",((I71+J71+K71)/G71)*100)</f>
        <v/>
      </c>
      <c r="N71" s="24">
        <f>IF(AND(L71/G71&gt;0.25,M71&gt;40),"High",IF(OR(L71/G71&gt;0.15,M71&gt;25),"Medium","Low"))</f>
        <v/>
      </c>
      <c r="O71" s="15" t="n"/>
    </row>
    <row r="72">
      <c r="A72" s="14" t="n"/>
      <c r="B72" s="15" t="n"/>
      <c r="C72" s="15" t="n"/>
      <c r="D72" s="15" t="n"/>
      <c r="E72" s="24">
        <f>IFERROR(VLOOKUP(D72,'Dissemination Channels'!A:B,2,FALSE),"")</f>
        <v/>
      </c>
      <c r="F72" s="23" t="n"/>
      <c r="G72" s="17" t="n"/>
      <c r="H72" s="15" t="n"/>
      <c r="I72" s="17" t="n"/>
      <c r="J72" s="17" t="n"/>
      <c r="K72" s="17" t="n"/>
      <c r="L72" s="17" t="n"/>
      <c r="M72" s="27">
        <f>IF(G72=0,"",((I72+J72+K72)/G72)*100)</f>
        <v/>
      </c>
      <c r="N72" s="24">
        <f>IF(AND(L72/G72&gt;0.25,M72&gt;40),"High",IF(OR(L72/G72&gt;0.15,M72&gt;25),"Medium","Low"))</f>
        <v/>
      </c>
      <c r="O72" s="15" t="n"/>
    </row>
    <row r="73">
      <c r="A73" s="14" t="n"/>
      <c r="B73" s="15" t="n"/>
      <c r="C73" s="15" t="n"/>
      <c r="D73" s="15" t="n"/>
      <c r="E73" s="24">
        <f>IFERROR(VLOOKUP(D73,'Dissemination Channels'!A:B,2,FALSE),"")</f>
        <v/>
      </c>
      <c r="F73" s="23" t="n"/>
      <c r="G73" s="17" t="n"/>
      <c r="H73" s="15" t="n"/>
      <c r="I73" s="17" t="n"/>
      <c r="J73" s="17" t="n"/>
      <c r="K73" s="17" t="n"/>
      <c r="L73" s="17" t="n"/>
      <c r="M73" s="27">
        <f>IF(G73=0,"",((I73+J73+K73)/G73)*100)</f>
        <v/>
      </c>
      <c r="N73" s="24">
        <f>IF(AND(L73/G73&gt;0.25,M73&gt;40),"High",IF(OR(L73/G73&gt;0.15,M73&gt;25),"Medium","Low"))</f>
        <v/>
      </c>
      <c r="O73" s="15" t="n"/>
    </row>
    <row r="74">
      <c r="A74" s="14" t="n"/>
      <c r="B74" s="15" t="n"/>
      <c r="C74" s="15" t="n"/>
      <c r="D74" s="15" t="n"/>
      <c r="E74" s="24">
        <f>IFERROR(VLOOKUP(D74,'Dissemination Channels'!A:B,2,FALSE),"")</f>
        <v/>
      </c>
      <c r="F74" s="23" t="n"/>
      <c r="G74" s="17" t="n"/>
      <c r="H74" s="15" t="n"/>
      <c r="I74" s="17" t="n"/>
      <c r="J74" s="17" t="n"/>
      <c r="K74" s="17" t="n"/>
      <c r="L74" s="17" t="n"/>
      <c r="M74" s="27">
        <f>IF(G74=0,"",((I74+J74+K74)/G74)*100)</f>
        <v/>
      </c>
      <c r="N74" s="24">
        <f>IF(AND(L74/G74&gt;0.25,M74&gt;40),"High",IF(OR(L74/G74&gt;0.15,M74&gt;25),"Medium","Low"))</f>
        <v/>
      </c>
      <c r="O74" s="15" t="n"/>
    </row>
    <row r="75">
      <c r="A75" s="14" t="n"/>
      <c r="B75" s="15" t="n"/>
      <c r="C75" s="15" t="n"/>
      <c r="D75" s="15" t="n"/>
      <c r="E75" s="24">
        <f>IFERROR(VLOOKUP(D75,'Dissemination Channels'!A:B,2,FALSE),"")</f>
        <v/>
      </c>
      <c r="F75" s="23" t="n"/>
      <c r="G75" s="17" t="n"/>
      <c r="H75" s="15" t="n"/>
      <c r="I75" s="17" t="n"/>
      <c r="J75" s="17" t="n"/>
      <c r="K75" s="17" t="n"/>
      <c r="L75" s="17" t="n"/>
      <c r="M75" s="27">
        <f>IF(G75=0,"",((I75+J75+K75)/G75)*100)</f>
        <v/>
      </c>
      <c r="N75" s="24">
        <f>IF(AND(L75/G75&gt;0.25,M75&gt;40),"High",IF(OR(L75/G75&gt;0.15,M75&gt;25),"Medium","Low"))</f>
        <v/>
      </c>
      <c r="O75" s="15" t="n"/>
    </row>
    <row r="76">
      <c r="A76" s="14" t="n"/>
      <c r="B76" s="15" t="n"/>
      <c r="C76" s="15" t="n"/>
      <c r="D76" s="15" t="n"/>
      <c r="E76" s="24">
        <f>IFERROR(VLOOKUP(D76,'Dissemination Channels'!A:B,2,FALSE),"")</f>
        <v/>
      </c>
      <c r="F76" s="23" t="n"/>
      <c r="G76" s="17" t="n"/>
      <c r="H76" s="15" t="n"/>
      <c r="I76" s="17" t="n"/>
      <c r="J76" s="17" t="n"/>
      <c r="K76" s="17" t="n"/>
      <c r="L76" s="17" t="n"/>
      <c r="M76" s="27">
        <f>IF(G76=0,"",((I76+J76+K76)/G76)*100)</f>
        <v/>
      </c>
      <c r="N76" s="24">
        <f>IF(AND(L76/G76&gt;0.25,M76&gt;40),"High",IF(OR(L76/G76&gt;0.15,M76&gt;25),"Medium","Low"))</f>
        <v/>
      </c>
      <c r="O76" s="15" t="n"/>
    </row>
    <row r="77">
      <c r="A77" s="14" t="n"/>
      <c r="B77" s="15" t="n"/>
      <c r="C77" s="15" t="n"/>
      <c r="D77" s="15" t="n"/>
      <c r="E77" s="24">
        <f>IFERROR(VLOOKUP(D77,'Dissemination Channels'!A:B,2,FALSE),"")</f>
        <v/>
      </c>
      <c r="F77" s="23" t="n"/>
      <c r="G77" s="17" t="n"/>
      <c r="H77" s="15" t="n"/>
      <c r="I77" s="17" t="n"/>
      <c r="J77" s="17" t="n"/>
      <c r="K77" s="17" t="n"/>
      <c r="L77" s="17" t="n"/>
      <c r="M77" s="27">
        <f>IF(G77=0,"",((I77+J77+K77)/G77)*100)</f>
        <v/>
      </c>
      <c r="N77" s="24">
        <f>IF(AND(L77/G77&gt;0.25,M77&gt;40),"High",IF(OR(L77/G77&gt;0.15,M77&gt;25),"Medium","Low"))</f>
        <v/>
      </c>
      <c r="O77" s="15" t="n"/>
    </row>
    <row r="78">
      <c r="A78" s="14" t="n"/>
      <c r="B78" s="15" t="n"/>
      <c r="C78" s="15" t="n"/>
      <c r="D78" s="15" t="n"/>
      <c r="E78" s="24">
        <f>IFERROR(VLOOKUP(D78,'Dissemination Channels'!A:B,2,FALSE),"")</f>
        <v/>
      </c>
      <c r="F78" s="23" t="n"/>
      <c r="G78" s="17" t="n"/>
      <c r="H78" s="15" t="n"/>
      <c r="I78" s="17" t="n"/>
      <c r="J78" s="17" t="n"/>
      <c r="K78" s="17" t="n"/>
      <c r="L78" s="17" t="n"/>
      <c r="M78" s="27">
        <f>IF(G78=0,"",((I78+J78+K78)/G78)*100)</f>
        <v/>
      </c>
      <c r="N78" s="24">
        <f>IF(AND(L78/G78&gt;0.25,M78&gt;40),"High",IF(OR(L78/G78&gt;0.15,M78&gt;25),"Medium","Low"))</f>
        <v/>
      </c>
      <c r="O78" s="15" t="n"/>
    </row>
    <row r="79">
      <c r="A79" s="14" t="n"/>
      <c r="B79" s="15" t="n"/>
      <c r="C79" s="15" t="n"/>
      <c r="D79" s="15" t="n"/>
      <c r="E79" s="24">
        <f>IFERROR(VLOOKUP(D79,'Dissemination Channels'!A:B,2,FALSE),"")</f>
        <v/>
      </c>
      <c r="F79" s="23" t="n"/>
      <c r="G79" s="17" t="n"/>
      <c r="H79" s="15" t="n"/>
      <c r="I79" s="17" t="n"/>
      <c r="J79" s="17" t="n"/>
      <c r="K79" s="17" t="n"/>
      <c r="L79" s="17" t="n"/>
      <c r="M79" s="27">
        <f>IF(G79=0,"",((I79+J79+K79)/G79)*100)</f>
        <v/>
      </c>
      <c r="N79" s="24">
        <f>IF(AND(L79/G79&gt;0.25,M79&gt;40),"High",IF(OR(L79/G79&gt;0.15,M79&gt;25),"Medium","Low"))</f>
        <v/>
      </c>
      <c r="O79" s="15" t="n"/>
    </row>
    <row r="80">
      <c r="A80" s="14" t="n"/>
      <c r="B80" s="15" t="n"/>
      <c r="C80" s="15" t="n"/>
      <c r="D80" s="15" t="n"/>
      <c r="E80" s="24">
        <f>IFERROR(VLOOKUP(D80,'Dissemination Channels'!A:B,2,FALSE),"")</f>
        <v/>
      </c>
      <c r="F80" s="23" t="n"/>
      <c r="G80" s="17" t="n"/>
      <c r="H80" s="15" t="n"/>
      <c r="I80" s="17" t="n"/>
      <c r="J80" s="17" t="n"/>
      <c r="K80" s="17" t="n"/>
      <c r="L80" s="17" t="n"/>
      <c r="M80" s="27">
        <f>IF(G80=0,"",((I80+J80+K80)/G80)*100)</f>
        <v/>
      </c>
      <c r="N80" s="24">
        <f>IF(AND(L80/G80&gt;0.25,M80&gt;40),"High",IF(OR(L80/G80&gt;0.15,M80&gt;25),"Medium","Low"))</f>
        <v/>
      </c>
      <c r="O80" s="15" t="n"/>
    </row>
    <row r="81">
      <c r="A81" s="14" t="n"/>
      <c r="B81" s="15" t="n"/>
      <c r="C81" s="15" t="n"/>
      <c r="D81" s="15" t="n"/>
      <c r="E81" s="24">
        <f>IFERROR(VLOOKUP(D81,'Dissemination Channels'!A:B,2,FALSE),"")</f>
        <v/>
      </c>
      <c r="F81" s="23" t="n"/>
      <c r="G81" s="17" t="n"/>
      <c r="H81" s="15" t="n"/>
      <c r="I81" s="17" t="n"/>
      <c r="J81" s="17" t="n"/>
      <c r="K81" s="17" t="n"/>
      <c r="L81" s="17" t="n"/>
      <c r="M81" s="27">
        <f>IF(G81=0,"",((I81+J81+K81)/G81)*100)</f>
        <v/>
      </c>
      <c r="N81" s="24">
        <f>IF(AND(L81/G81&gt;0.25,M81&gt;40),"High",IF(OR(L81/G81&gt;0.15,M81&gt;25),"Medium","Low"))</f>
        <v/>
      </c>
      <c r="O81" s="15" t="n"/>
    </row>
    <row r="82">
      <c r="A82" s="14" t="n"/>
      <c r="B82" s="15" t="n"/>
      <c r="C82" s="15" t="n"/>
      <c r="D82" s="15" t="n"/>
      <c r="E82" s="24">
        <f>IFERROR(VLOOKUP(D82,'Dissemination Channels'!A:B,2,FALSE),"")</f>
        <v/>
      </c>
      <c r="F82" s="23" t="n"/>
      <c r="G82" s="17" t="n"/>
      <c r="H82" s="15" t="n"/>
      <c r="I82" s="17" t="n"/>
      <c r="J82" s="17" t="n"/>
      <c r="K82" s="17" t="n"/>
      <c r="L82" s="17" t="n"/>
      <c r="M82" s="27">
        <f>IF(G82=0,"",((I82+J82+K82)/G82)*100)</f>
        <v/>
      </c>
      <c r="N82" s="24">
        <f>IF(AND(L82/G82&gt;0.25,M82&gt;40),"High",IF(OR(L82/G82&gt;0.15,M82&gt;25),"Medium","Low"))</f>
        <v/>
      </c>
      <c r="O82" s="15" t="n"/>
    </row>
    <row r="83">
      <c r="A83" s="14" t="n"/>
      <c r="B83" s="15" t="n"/>
      <c r="C83" s="15" t="n"/>
      <c r="D83" s="15" t="n"/>
      <c r="E83" s="24">
        <f>IFERROR(VLOOKUP(D83,'Dissemination Channels'!A:B,2,FALSE),"")</f>
        <v/>
      </c>
      <c r="F83" s="23" t="n"/>
      <c r="G83" s="17" t="n"/>
      <c r="H83" s="15" t="n"/>
      <c r="I83" s="17" t="n"/>
      <c r="J83" s="17" t="n"/>
      <c r="K83" s="17" t="n"/>
      <c r="L83" s="17" t="n"/>
      <c r="M83" s="27">
        <f>IF(G83=0,"",((I83+J83+K83)/G83)*100)</f>
        <v/>
      </c>
      <c r="N83" s="24">
        <f>IF(AND(L83/G83&gt;0.25,M83&gt;40),"High",IF(OR(L83/G83&gt;0.15,M83&gt;25),"Medium","Low"))</f>
        <v/>
      </c>
      <c r="O83" s="15" t="n"/>
    </row>
    <row r="84">
      <c r="A84" s="14" t="n"/>
      <c r="B84" s="15" t="n"/>
      <c r="C84" s="15" t="n"/>
      <c r="D84" s="15" t="n"/>
      <c r="E84" s="24">
        <f>IFERROR(VLOOKUP(D84,'Dissemination Channels'!A:B,2,FALSE),"")</f>
        <v/>
      </c>
      <c r="F84" s="23" t="n"/>
      <c r="G84" s="17" t="n"/>
      <c r="H84" s="15" t="n"/>
      <c r="I84" s="17" t="n"/>
      <c r="J84" s="17" t="n"/>
      <c r="K84" s="17" t="n"/>
      <c r="L84" s="17" t="n"/>
      <c r="M84" s="27">
        <f>IF(G84=0,"",((I84+J84+K84)/G84)*100)</f>
        <v/>
      </c>
      <c r="N84" s="24">
        <f>IF(AND(L84/G84&gt;0.25,M84&gt;40),"High",IF(OR(L84/G84&gt;0.15,M84&gt;25),"Medium","Low"))</f>
        <v/>
      </c>
      <c r="O84" s="15" t="n"/>
    </row>
    <row r="85">
      <c r="A85" s="14" t="n"/>
      <c r="B85" s="15" t="n"/>
      <c r="C85" s="15" t="n"/>
      <c r="D85" s="15" t="n"/>
      <c r="E85" s="24">
        <f>IFERROR(VLOOKUP(D85,'Dissemination Channels'!A:B,2,FALSE),"")</f>
        <v/>
      </c>
      <c r="F85" s="23" t="n"/>
      <c r="G85" s="17" t="n"/>
      <c r="H85" s="15" t="n"/>
      <c r="I85" s="17" t="n"/>
      <c r="J85" s="17" t="n"/>
      <c r="K85" s="17" t="n"/>
      <c r="L85" s="17" t="n"/>
      <c r="M85" s="27">
        <f>IF(G85=0,"",((I85+J85+K85)/G85)*100)</f>
        <v/>
      </c>
      <c r="N85" s="24">
        <f>IF(AND(L85/G85&gt;0.25,M85&gt;40),"High",IF(OR(L85/G85&gt;0.15,M85&gt;25),"Medium","Low"))</f>
        <v/>
      </c>
      <c r="O85" s="15" t="n"/>
    </row>
    <row r="86">
      <c r="A86" s="14" t="n"/>
      <c r="B86" s="15" t="n"/>
      <c r="C86" s="15" t="n"/>
      <c r="D86" s="15" t="n"/>
      <c r="E86" s="24">
        <f>IFERROR(VLOOKUP(D86,'Dissemination Channels'!A:B,2,FALSE),"")</f>
        <v/>
      </c>
      <c r="F86" s="23" t="n"/>
      <c r="G86" s="17" t="n"/>
      <c r="H86" s="15" t="n"/>
      <c r="I86" s="17" t="n"/>
      <c r="J86" s="17" t="n"/>
      <c r="K86" s="17" t="n"/>
      <c r="L86" s="17" t="n"/>
      <c r="M86" s="27">
        <f>IF(G86=0,"",((I86+J86+K86)/G86)*100)</f>
        <v/>
      </c>
      <c r="N86" s="24">
        <f>IF(AND(L86/G86&gt;0.25,M86&gt;40),"High",IF(OR(L86/G86&gt;0.15,M86&gt;25),"Medium","Low"))</f>
        <v/>
      </c>
      <c r="O86" s="15" t="n"/>
    </row>
    <row r="87">
      <c r="A87" s="14" t="n"/>
      <c r="B87" s="15" t="n"/>
      <c r="C87" s="15" t="n"/>
      <c r="D87" s="15" t="n"/>
      <c r="E87" s="24">
        <f>IFERROR(VLOOKUP(D87,'Dissemination Channels'!A:B,2,FALSE),"")</f>
        <v/>
      </c>
      <c r="F87" s="23" t="n"/>
      <c r="G87" s="17" t="n"/>
      <c r="H87" s="15" t="n"/>
      <c r="I87" s="17" t="n"/>
      <c r="J87" s="17" t="n"/>
      <c r="K87" s="17" t="n"/>
      <c r="L87" s="17" t="n"/>
      <c r="M87" s="27">
        <f>IF(G87=0,"",((I87+J87+K87)/G87)*100)</f>
        <v/>
      </c>
      <c r="N87" s="24">
        <f>IF(AND(L87/G87&gt;0.25,M87&gt;40),"High",IF(OR(L87/G87&gt;0.15,M87&gt;25),"Medium","Low"))</f>
        <v/>
      </c>
      <c r="O87" s="15" t="n"/>
    </row>
    <row r="88">
      <c r="A88" s="14" t="n"/>
      <c r="B88" s="15" t="n"/>
      <c r="C88" s="15" t="n"/>
      <c r="D88" s="15" t="n"/>
      <c r="E88" s="24">
        <f>IFERROR(VLOOKUP(D88,'Dissemination Channels'!A:B,2,FALSE),"")</f>
        <v/>
      </c>
      <c r="F88" s="23" t="n"/>
      <c r="G88" s="17" t="n"/>
      <c r="H88" s="15" t="n"/>
      <c r="I88" s="17" t="n"/>
      <c r="J88" s="17" t="n"/>
      <c r="K88" s="17" t="n"/>
      <c r="L88" s="17" t="n"/>
      <c r="M88" s="27">
        <f>IF(G88=0,"",((I88+J88+K88)/G88)*100)</f>
        <v/>
      </c>
      <c r="N88" s="24">
        <f>IF(AND(L88/G88&gt;0.25,M88&gt;40),"High",IF(OR(L88/G88&gt;0.15,M88&gt;25),"Medium","Low"))</f>
        <v/>
      </c>
      <c r="O88" s="15" t="n"/>
    </row>
    <row r="89">
      <c r="A89" s="14" t="n"/>
      <c r="B89" s="15" t="n"/>
      <c r="C89" s="15" t="n"/>
      <c r="D89" s="15" t="n"/>
      <c r="E89" s="24">
        <f>IFERROR(VLOOKUP(D89,'Dissemination Channels'!A:B,2,FALSE),"")</f>
        <v/>
      </c>
      <c r="F89" s="23" t="n"/>
      <c r="G89" s="17" t="n"/>
      <c r="H89" s="15" t="n"/>
      <c r="I89" s="17" t="n"/>
      <c r="J89" s="17" t="n"/>
      <c r="K89" s="17" t="n"/>
      <c r="L89" s="17" t="n"/>
      <c r="M89" s="27">
        <f>IF(G89=0,"",((I89+J89+K89)/G89)*100)</f>
        <v/>
      </c>
      <c r="N89" s="24">
        <f>IF(AND(L89/G89&gt;0.25,M89&gt;40),"High",IF(OR(L89/G89&gt;0.15,M89&gt;25),"Medium","Low"))</f>
        <v/>
      </c>
      <c r="O89" s="15" t="n"/>
    </row>
    <row r="90">
      <c r="A90" s="14" t="n"/>
      <c r="B90" s="15" t="n"/>
      <c r="C90" s="15" t="n"/>
      <c r="D90" s="15" t="n"/>
      <c r="E90" s="24">
        <f>IFERROR(VLOOKUP(D90,'Dissemination Channels'!A:B,2,FALSE),"")</f>
        <v/>
      </c>
      <c r="F90" s="23" t="n"/>
      <c r="G90" s="17" t="n"/>
      <c r="H90" s="15" t="n"/>
      <c r="I90" s="17" t="n"/>
      <c r="J90" s="17" t="n"/>
      <c r="K90" s="17" t="n"/>
      <c r="L90" s="17" t="n"/>
      <c r="M90" s="27">
        <f>IF(G90=0,"",((I90+J90+K90)/G90)*100)</f>
        <v/>
      </c>
      <c r="N90" s="24">
        <f>IF(AND(L90/G90&gt;0.25,M90&gt;40),"High",IF(OR(L90/G90&gt;0.15,M90&gt;25),"Medium","Low"))</f>
        <v/>
      </c>
      <c r="O90" s="15" t="n"/>
    </row>
    <row r="91">
      <c r="A91" s="14" t="n"/>
      <c r="B91" s="15" t="n"/>
      <c r="C91" s="15" t="n"/>
      <c r="D91" s="15" t="n"/>
      <c r="E91" s="24">
        <f>IFERROR(VLOOKUP(D91,'Dissemination Channels'!A:B,2,FALSE),"")</f>
        <v/>
      </c>
      <c r="F91" s="23" t="n"/>
      <c r="G91" s="17" t="n"/>
      <c r="H91" s="15" t="n"/>
      <c r="I91" s="17" t="n"/>
      <c r="J91" s="17" t="n"/>
      <c r="K91" s="17" t="n"/>
      <c r="L91" s="17" t="n"/>
      <c r="M91" s="27">
        <f>IF(G91=0,"",((I91+J91+K91)/G91)*100)</f>
        <v/>
      </c>
      <c r="N91" s="24">
        <f>IF(AND(L91/G91&gt;0.25,M91&gt;40),"High",IF(OR(L91/G91&gt;0.15,M91&gt;25),"Medium","Low"))</f>
        <v/>
      </c>
      <c r="O91" s="15" t="n"/>
    </row>
    <row r="92">
      <c r="A92" s="14" t="n"/>
      <c r="B92" s="15" t="n"/>
      <c r="C92" s="15" t="n"/>
      <c r="D92" s="15" t="n"/>
      <c r="E92" s="24">
        <f>IFERROR(VLOOKUP(D92,'Dissemination Channels'!A:B,2,FALSE),"")</f>
        <v/>
      </c>
      <c r="F92" s="23" t="n"/>
      <c r="G92" s="17" t="n"/>
      <c r="H92" s="15" t="n"/>
      <c r="I92" s="17" t="n"/>
      <c r="J92" s="17" t="n"/>
      <c r="K92" s="17" t="n"/>
      <c r="L92" s="17" t="n"/>
      <c r="M92" s="27">
        <f>IF(G92=0,"",((I92+J92+K92)/G92)*100)</f>
        <v/>
      </c>
      <c r="N92" s="24">
        <f>IF(AND(L92/G92&gt;0.25,M92&gt;40),"High",IF(OR(L92/G92&gt;0.15,M92&gt;25),"Medium","Low"))</f>
        <v/>
      </c>
      <c r="O92" s="15" t="n"/>
    </row>
    <row r="93">
      <c r="A93" s="14" t="n"/>
      <c r="B93" s="15" t="n"/>
      <c r="C93" s="15" t="n"/>
      <c r="D93" s="15" t="n"/>
      <c r="E93" s="24">
        <f>IFERROR(VLOOKUP(D93,'Dissemination Channels'!A:B,2,FALSE),"")</f>
        <v/>
      </c>
      <c r="F93" s="23" t="n"/>
      <c r="G93" s="17" t="n"/>
      <c r="H93" s="15" t="n"/>
      <c r="I93" s="17" t="n"/>
      <c r="J93" s="17" t="n"/>
      <c r="K93" s="17" t="n"/>
      <c r="L93" s="17" t="n"/>
      <c r="M93" s="27">
        <f>IF(G93=0,"",((I93+J93+K93)/G93)*100)</f>
        <v/>
      </c>
      <c r="N93" s="24">
        <f>IF(AND(L93/G93&gt;0.25,M93&gt;40),"High",IF(OR(L93/G93&gt;0.15,M93&gt;25),"Medium","Low"))</f>
        <v/>
      </c>
      <c r="O93" s="15" t="n"/>
    </row>
    <row r="94">
      <c r="A94" s="14" t="n"/>
      <c r="B94" s="15" t="n"/>
      <c r="C94" s="15" t="n"/>
      <c r="D94" s="15" t="n"/>
      <c r="E94" s="24">
        <f>IFERROR(VLOOKUP(D94,'Dissemination Channels'!A:B,2,FALSE),"")</f>
        <v/>
      </c>
      <c r="F94" s="23" t="n"/>
      <c r="G94" s="17" t="n"/>
      <c r="H94" s="15" t="n"/>
      <c r="I94" s="17" t="n"/>
      <c r="J94" s="17" t="n"/>
      <c r="K94" s="17" t="n"/>
      <c r="L94" s="17" t="n"/>
      <c r="M94" s="27">
        <f>IF(G94=0,"",((I94+J94+K94)/G94)*100)</f>
        <v/>
      </c>
      <c r="N94" s="24">
        <f>IF(AND(L94/G94&gt;0.25,M94&gt;40),"High",IF(OR(L94/G94&gt;0.15,M94&gt;25),"Medium","Low"))</f>
        <v/>
      </c>
      <c r="O94" s="15" t="n"/>
    </row>
    <row r="95">
      <c r="A95" s="14" t="n"/>
      <c r="B95" s="15" t="n"/>
      <c r="C95" s="15" t="n"/>
      <c r="D95" s="15" t="n"/>
      <c r="E95" s="24">
        <f>IFERROR(VLOOKUP(D95,'Dissemination Channels'!A:B,2,FALSE),"")</f>
        <v/>
      </c>
      <c r="F95" s="23" t="n"/>
      <c r="G95" s="17" t="n"/>
      <c r="H95" s="15" t="n"/>
      <c r="I95" s="17" t="n"/>
      <c r="J95" s="17" t="n"/>
      <c r="K95" s="17" t="n"/>
      <c r="L95" s="17" t="n"/>
      <c r="M95" s="27">
        <f>IF(G95=0,"",((I95+J95+K95)/G95)*100)</f>
        <v/>
      </c>
      <c r="N95" s="24">
        <f>IF(AND(L95/G95&gt;0.25,M95&gt;40),"High",IF(OR(L95/G95&gt;0.15,M95&gt;25),"Medium","Low"))</f>
        <v/>
      </c>
      <c r="O95" s="15" t="n"/>
    </row>
    <row r="96">
      <c r="A96" s="14" t="n"/>
      <c r="B96" s="15" t="n"/>
      <c r="C96" s="15" t="n"/>
      <c r="D96" s="15" t="n"/>
      <c r="E96" s="24">
        <f>IFERROR(VLOOKUP(D96,'Dissemination Channels'!A:B,2,FALSE),"")</f>
        <v/>
      </c>
      <c r="F96" s="23" t="n"/>
      <c r="G96" s="17" t="n"/>
      <c r="H96" s="15" t="n"/>
      <c r="I96" s="17" t="n"/>
      <c r="J96" s="17" t="n"/>
      <c r="K96" s="17" t="n"/>
      <c r="L96" s="17" t="n"/>
      <c r="M96" s="27">
        <f>IF(G96=0,"",((I96+J96+K96)/G96)*100)</f>
        <v/>
      </c>
      <c r="N96" s="24">
        <f>IF(AND(L96/G96&gt;0.25,M96&gt;40),"High",IF(OR(L96/G96&gt;0.15,M96&gt;25),"Medium","Low"))</f>
        <v/>
      </c>
      <c r="O96" s="15" t="n"/>
    </row>
    <row r="97">
      <c r="A97" s="14" t="n"/>
      <c r="B97" s="15" t="n"/>
      <c r="C97" s="15" t="n"/>
      <c r="D97" s="15" t="n"/>
      <c r="E97" s="24">
        <f>IFERROR(VLOOKUP(D97,'Dissemination Channels'!A:B,2,FALSE),"")</f>
        <v/>
      </c>
      <c r="F97" s="23" t="n"/>
      <c r="G97" s="17" t="n"/>
      <c r="H97" s="15" t="n"/>
      <c r="I97" s="17" t="n"/>
      <c r="J97" s="17" t="n"/>
      <c r="K97" s="17" t="n"/>
      <c r="L97" s="17" t="n"/>
      <c r="M97" s="27">
        <f>IF(G97=0,"",((I97+J97+K97)/G97)*100)</f>
        <v/>
      </c>
      <c r="N97" s="24">
        <f>IF(AND(L97/G97&gt;0.25,M97&gt;40),"High",IF(OR(L97/G97&gt;0.15,M97&gt;25),"Medium","Low"))</f>
        <v/>
      </c>
      <c r="O97" s="15" t="n"/>
    </row>
    <row r="98">
      <c r="A98" s="14" t="n"/>
      <c r="B98" s="15" t="n"/>
      <c r="C98" s="15" t="n"/>
      <c r="D98" s="15" t="n"/>
      <c r="E98" s="24">
        <f>IFERROR(VLOOKUP(D98,'Dissemination Channels'!A:B,2,FALSE),"")</f>
        <v/>
      </c>
      <c r="F98" s="23" t="n"/>
      <c r="G98" s="17" t="n"/>
      <c r="H98" s="15" t="n"/>
      <c r="I98" s="17" t="n"/>
      <c r="J98" s="17" t="n"/>
      <c r="K98" s="17" t="n"/>
      <c r="L98" s="17" t="n"/>
      <c r="M98" s="27">
        <f>IF(G98=0,"",((I98+J98+K98)/G98)*100)</f>
        <v/>
      </c>
      <c r="N98" s="24">
        <f>IF(AND(L98/G98&gt;0.25,M98&gt;40),"High",IF(OR(L98/G98&gt;0.15,M98&gt;25),"Medium","Low"))</f>
        <v/>
      </c>
      <c r="O98" s="15" t="n"/>
    </row>
    <row r="99">
      <c r="A99" s="14" t="n"/>
      <c r="B99" s="15" t="n"/>
      <c r="C99" s="15" t="n"/>
      <c r="D99" s="15" t="n"/>
      <c r="E99" s="24">
        <f>IFERROR(VLOOKUP(D99,'Dissemination Channels'!A:B,2,FALSE),"")</f>
        <v/>
      </c>
      <c r="F99" s="23" t="n"/>
      <c r="G99" s="17" t="n"/>
      <c r="H99" s="15" t="n"/>
      <c r="I99" s="17" t="n"/>
      <c r="J99" s="17" t="n"/>
      <c r="K99" s="17" t="n"/>
      <c r="L99" s="17" t="n"/>
      <c r="M99" s="27">
        <f>IF(G99=0,"",((I99+J99+K99)/G99)*100)</f>
        <v/>
      </c>
      <c r="N99" s="24">
        <f>IF(AND(L99/G99&gt;0.25,M99&gt;40),"High",IF(OR(L99/G99&gt;0.15,M99&gt;25),"Medium","Low"))</f>
        <v/>
      </c>
      <c r="O99" s="15" t="n"/>
    </row>
    <row r="100">
      <c r="A100" s="14" t="n"/>
      <c r="B100" s="15" t="n"/>
      <c r="C100" s="15" t="n"/>
      <c r="D100" s="15" t="n"/>
      <c r="E100" s="24">
        <f>IFERROR(VLOOKUP(D100,'Dissemination Channels'!A:B,2,FALSE),"")</f>
        <v/>
      </c>
      <c r="F100" s="23" t="n"/>
      <c r="G100" s="17" t="n"/>
      <c r="H100" s="15" t="n"/>
      <c r="I100" s="17" t="n"/>
      <c r="J100" s="17" t="n"/>
      <c r="K100" s="17" t="n"/>
      <c r="L100" s="17" t="n"/>
      <c r="M100" s="27">
        <f>IF(G100=0,"",((I100+J100+K100)/G100)*100)</f>
        <v/>
      </c>
      <c r="N100" s="24">
        <f>IF(AND(L100/G100&gt;0.25,M100&gt;40),"High",IF(OR(L100/G100&gt;0.15,M100&gt;25),"Medium","Low"))</f>
        <v/>
      </c>
      <c r="O100" s="15" t="n"/>
    </row>
    <row r="101">
      <c r="A101" s="14" t="n"/>
      <c r="B101" s="15" t="n"/>
      <c r="C101" s="15" t="n"/>
      <c r="D101" s="15" t="n"/>
      <c r="E101" s="24">
        <f>IFERROR(VLOOKUP(D101,'Dissemination Channels'!A:B,2,FALSE),"")</f>
        <v/>
      </c>
      <c r="F101" s="23" t="n"/>
      <c r="G101" s="17" t="n"/>
      <c r="H101" s="15" t="n"/>
      <c r="I101" s="17" t="n"/>
      <c r="J101" s="17" t="n"/>
      <c r="K101" s="17" t="n"/>
      <c r="L101" s="17" t="n"/>
      <c r="M101" s="27">
        <f>IF(G101=0,"",((I101+J101+K101)/G101)*100)</f>
        <v/>
      </c>
      <c r="N101" s="24">
        <f>IF(AND(L101/G101&gt;0.25,M101&gt;40),"High",IF(OR(L101/G101&gt;0.15,M101&gt;25),"Medium","Low"))</f>
        <v/>
      </c>
      <c r="O101" s="15" t="n"/>
    </row>
    <row r="102">
      <c r="A102" s="14" t="n"/>
      <c r="B102" s="15" t="n"/>
      <c r="C102" s="15" t="n"/>
      <c r="D102" s="15" t="n"/>
      <c r="E102" s="24">
        <f>IFERROR(VLOOKUP(D102,'Dissemination Channels'!A:B,2,FALSE),"")</f>
        <v/>
      </c>
      <c r="F102" s="23" t="n"/>
      <c r="G102" s="17" t="n"/>
      <c r="H102" s="15" t="n"/>
      <c r="I102" s="17" t="n"/>
      <c r="J102" s="17" t="n"/>
      <c r="K102" s="17" t="n"/>
      <c r="L102" s="17" t="n"/>
      <c r="M102" s="27">
        <f>IF(G102=0,"",((I102+J102+K102)/G102)*100)</f>
        <v/>
      </c>
      <c r="N102" s="24">
        <f>IF(AND(L102/G102&gt;0.25,M102&gt;40),"High",IF(OR(L102/G102&gt;0.15,M102&gt;25),"Medium","Low"))</f>
        <v/>
      </c>
      <c r="O102" s="15" t="n"/>
    </row>
    <row r="103">
      <c r="A103" s="14" t="n"/>
      <c r="B103" s="15" t="n"/>
      <c r="C103" s="15" t="n"/>
      <c r="D103" s="15" t="n"/>
      <c r="E103" s="24">
        <f>IFERROR(VLOOKUP(D103,'Dissemination Channels'!A:B,2,FALSE),"")</f>
        <v/>
      </c>
      <c r="F103" s="23" t="n"/>
      <c r="G103" s="17" t="n"/>
      <c r="H103" s="15" t="n"/>
      <c r="I103" s="17" t="n"/>
      <c r="J103" s="17" t="n"/>
      <c r="K103" s="17" t="n"/>
      <c r="L103" s="17" t="n"/>
      <c r="M103" s="27">
        <f>IF(G103=0,"",((I103+J103+K103)/G103)*100)</f>
        <v/>
      </c>
      <c r="N103" s="24">
        <f>IF(AND(L103/G103&gt;0.25,M103&gt;40),"High",IF(OR(L103/G103&gt;0.15,M103&gt;25),"Medium","Low"))</f>
        <v/>
      </c>
      <c r="O103" s="15" t="n"/>
    </row>
    <row r="104">
      <c r="A104" s="14" t="n"/>
      <c r="B104" s="15" t="n"/>
      <c r="C104" s="15" t="n"/>
      <c r="D104" s="15" t="n"/>
      <c r="E104" s="24">
        <f>IFERROR(VLOOKUP(D104,'Dissemination Channels'!A:B,2,FALSE),"")</f>
        <v/>
      </c>
      <c r="F104" s="23" t="n"/>
      <c r="G104" s="17" t="n"/>
      <c r="H104" s="15" t="n"/>
      <c r="I104" s="17" t="n"/>
      <c r="J104" s="17" t="n"/>
      <c r="K104" s="17" t="n"/>
      <c r="L104" s="17" t="n"/>
      <c r="M104" s="27">
        <f>IF(G104=0,"",((I104+J104+K104)/G104)*100)</f>
        <v/>
      </c>
      <c r="N104" s="24">
        <f>IF(AND(L104/G104&gt;0.25,M104&gt;40),"High",IF(OR(L104/G104&gt;0.15,M104&gt;25),"Medium","Low"))</f>
        <v/>
      </c>
      <c r="O104" s="15" t="n"/>
    </row>
    <row r="106">
      <c r="A106" s="18" t="inlineStr">
        <is>
          <t>DISTRIBUTION SUMMARY</t>
        </is>
      </c>
    </row>
    <row r="107">
      <c r="A107" s="19" t="inlineStr">
        <is>
          <t>Total Distributions:</t>
        </is>
      </c>
      <c r="B107" s="19">
        <f>COUNTA(B5:B104)</f>
        <v/>
      </c>
    </row>
    <row r="108">
      <c r="A108" s="19" t="inlineStr">
        <is>
          <t>Total Recipients:</t>
        </is>
      </c>
      <c r="B108" s="19">
        <f>SUM(G5:G104)</f>
        <v/>
      </c>
    </row>
    <row r="109">
      <c r="A109" s="19" t="inlineStr">
        <is>
          <t>Avg Engagement Rate:</t>
        </is>
      </c>
      <c r="B109" s="28">
        <f>AVERAGE(M5:M104)</f>
        <v/>
      </c>
    </row>
    <row r="110">
      <c r="A110" s="19" t="inlineStr">
        <is>
          <t>High Effectiveness:</t>
        </is>
      </c>
      <c r="B110" s="20">
        <f>COUNTIF(N5:N104,"High")</f>
        <v/>
      </c>
    </row>
    <row r="111">
      <c r="A111" s="19" t="inlineStr">
        <is>
          <t>Low Effectiveness:</t>
        </is>
      </c>
      <c r="B111" s="22">
        <f>COUNTIF(N5:N104,"Low")</f>
        <v/>
      </c>
    </row>
  </sheetData>
  <mergeCells count="3">
    <mergeCell ref="A1:O1"/>
    <mergeCell ref="A106:E106"/>
    <mergeCell ref="A2:O2"/>
  </mergeCells>
  <conditionalFormatting sqref="N5">
    <cfRule type="cellIs" priority="1" operator="equal" dxfId="0">
      <formula>"High"</formula>
    </cfRule>
    <cfRule type="cellIs" priority="2" operator="equal" dxfId="2">
      <formula>"Medium"</formula>
    </cfRule>
    <cfRule type="cellIs" priority="3" operator="equal" dxfId="1">
      <formula>"Low"</formula>
    </cfRule>
  </conditionalFormatting>
  <conditionalFormatting sqref="N6">
    <cfRule type="cellIs" priority="4" operator="equal" dxfId="0">
      <formula>"High"</formula>
    </cfRule>
    <cfRule type="cellIs" priority="5" operator="equal" dxfId="2">
      <formula>"Medium"</formula>
    </cfRule>
    <cfRule type="cellIs" priority="6" operator="equal" dxfId="1">
      <formula>"Low"</formula>
    </cfRule>
  </conditionalFormatting>
  <conditionalFormatting sqref="N7">
    <cfRule type="cellIs" priority="7" operator="equal" dxfId="0">
      <formula>"High"</formula>
    </cfRule>
    <cfRule type="cellIs" priority="8" operator="equal" dxfId="2">
      <formula>"Medium"</formula>
    </cfRule>
    <cfRule type="cellIs" priority="9" operator="equal" dxfId="1">
      <formula>"Low"</formula>
    </cfRule>
  </conditionalFormatting>
  <conditionalFormatting sqref="N8">
    <cfRule type="cellIs" priority="10" operator="equal" dxfId="0">
      <formula>"High"</formula>
    </cfRule>
    <cfRule type="cellIs" priority="11" operator="equal" dxfId="2">
      <formula>"Medium"</formula>
    </cfRule>
    <cfRule type="cellIs" priority="12" operator="equal" dxfId="1">
      <formula>"Low"</formula>
    </cfRule>
  </conditionalFormatting>
  <conditionalFormatting sqref="N9">
    <cfRule type="cellIs" priority="13" operator="equal" dxfId="0">
      <formula>"High"</formula>
    </cfRule>
    <cfRule type="cellIs" priority="14" operator="equal" dxfId="2">
      <formula>"Medium"</formula>
    </cfRule>
    <cfRule type="cellIs" priority="15" operator="equal" dxfId="1">
      <formula>"Low"</formula>
    </cfRule>
  </conditionalFormatting>
  <conditionalFormatting sqref="N10">
    <cfRule type="cellIs" priority="16" operator="equal" dxfId="0">
      <formula>"High"</formula>
    </cfRule>
    <cfRule type="cellIs" priority="17" operator="equal" dxfId="2">
      <formula>"Medium"</formula>
    </cfRule>
    <cfRule type="cellIs" priority="18" operator="equal" dxfId="1">
      <formula>"Low"</formula>
    </cfRule>
  </conditionalFormatting>
  <conditionalFormatting sqref="N11">
    <cfRule type="cellIs" priority="19" operator="equal" dxfId="0">
      <formula>"High"</formula>
    </cfRule>
    <cfRule type="cellIs" priority="20" operator="equal" dxfId="2">
      <formula>"Medium"</formula>
    </cfRule>
    <cfRule type="cellIs" priority="21" operator="equal" dxfId="1">
      <formula>"Low"</formula>
    </cfRule>
  </conditionalFormatting>
  <conditionalFormatting sqref="N12">
    <cfRule type="cellIs" priority="22" operator="equal" dxfId="0">
      <formula>"High"</formula>
    </cfRule>
    <cfRule type="cellIs" priority="23" operator="equal" dxfId="2">
      <formula>"Medium"</formula>
    </cfRule>
    <cfRule type="cellIs" priority="24" operator="equal" dxfId="1">
      <formula>"Low"</formula>
    </cfRule>
  </conditionalFormatting>
  <conditionalFormatting sqref="N13">
    <cfRule type="cellIs" priority="25" operator="equal" dxfId="0">
      <formula>"High"</formula>
    </cfRule>
    <cfRule type="cellIs" priority="26" operator="equal" dxfId="2">
      <formula>"Medium"</formula>
    </cfRule>
    <cfRule type="cellIs" priority="27" operator="equal" dxfId="1">
      <formula>"Low"</formula>
    </cfRule>
  </conditionalFormatting>
  <conditionalFormatting sqref="N14">
    <cfRule type="cellIs" priority="28" operator="equal" dxfId="0">
      <formula>"High"</formula>
    </cfRule>
    <cfRule type="cellIs" priority="29" operator="equal" dxfId="2">
      <formula>"Medium"</formula>
    </cfRule>
    <cfRule type="cellIs" priority="30" operator="equal" dxfId="1">
      <formula>"Low"</formula>
    </cfRule>
  </conditionalFormatting>
  <conditionalFormatting sqref="N15">
    <cfRule type="cellIs" priority="31" operator="equal" dxfId="0">
      <formula>"High"</formula>
    </cfRule>
    <cfRule type="cellIs" priority="32" operator="equal" dxfId="2">
      <formula>"Medium"</formula>
    </cfRule>
    <cfRule type="cellIs" priority="33" operator="equal" dxfId="1">
      <formula>"Low"</formula>
    </cfRule>
  </conditionalFormatting>
  <conditionalFormatting sqref="N16">
    <cfRule type="cellIs" priority="34" operator="equal" dxfId="0">
      <formula>"High"</formula>
    </cfRule>
    <cfRule type="cellIs" priority="35" operator="equal" dxfId="2">
      <formula>"Medium"</formula>
    </cfRule>
    <cfRule type="cellIs" priority="36" operator="equal" dxfId="1">
      <formula>"Low"</formula>
    </cfRule>
  </conditionalFormatting>
  <conditionalFormatting sqref="N17">
    <cfRule type="cellIs" priority="37" operator="equal" dxfId="0">
      <formula>"High"</formula>
    </cfRule>
    <cfRule type="cellIs" priority="38" operator="equal" dxfId="2">
      <formula>"Medium"</formula>
    </cfRule>
    <cfRule type="cellIs" priority="39" operator="equal" dxfId="1">
      <formula>"Low"</formula>
    </cfRule>
  </conditionalFormatting>
  <conditionalFormatting sqref="N18">
    <cfRule type="cellIs" priority="40" operator="equal" dxfId="0">
      <formula>"High"</formula>
    </cfRule>
    <cfRule type="cellIs" priority="41" operator="equal" dxfId="2">
      <formula>"Medium"</formula>
    </cfRule>
    <cfRule type="cellIs" priority="42" operator="equal" dxfId="1">
      <formula>"Low"</formula>
    </cfRule>
  </conditionalFormatting>
  <conditionalFormatting sqref="N19">
    <cfRule type="cellIs" priority="43" operator="equal" dxfId="0">
      <formula>"High"</formula>
    </cfRule>
    <cfRule type="cellIs" priority="44" operator="equal" dxfId="2">
      <formula>"Medium"</formula>
    </cfRule>
    <cfRule type="cellIs" priority="45" operator="equal" dxfId="1">
      <formula>"Low"</formula>
    </cfRule>
  </conditionalFormatting>
  <conditionalFormatting sqref="N20">
    <cfRule type="cellIs" priority="46" operator="equal" dxfId="0">
      <formula>"High"</formula>
    </cfRule>
    <cfRule type="cellIs" priority="47" operator="equal" dxfId="2">
      <formula>"Medium"</formula>
    </cfRule>
    <cfRule type="cellIs" priority="48" operator="equal" dxfId="1">
      <formula>"Low"</formula>
    </cfRule>
  </conditionalFormatting>
  <conditionalFormatting sqref="N21">
    <cfRule type="cellIs" priority="49" operator="equal" dxfId="0">
      <formula>"High"</formula>
    </cfRule>
    <cfRule type="cellIs" priority="50" operator="equal" dxfId="2">
      <formula>"Medium"</formula>
    </cfRule>
    <cfRule type="cellIs" priority="51" operator="equal" dxfId="1">
      <formula>"Low"</formula>
    </cfRule>
  </conditionalFormatting>
  <conditionalFormatting sqref="N22">
    <cfRule type="cellIs" priority="52" operator="equal" dxfId="0">
      <formula>"High"</formula>
    </cfRule>
    <cfRule type="cellIs" priority="53" operator="equal" dxfId="2">
      <formula>"Medium"</formula>
    </cfRule>
    <cfRule type="cellIs" priority="54" operator="equal" dxfId="1">
      <formula>"Low"</formula>
    </cfRule>
  </conditionalFormatting>
  <conditionalFormatting sqref="N23">
    <cfRule type="cellIs" priority="55" operator="equal" dxfId="0">
      <formula>"High"</formula>
    </cfRule>
    <cfRule type="cellIs" priority="56" operator="equal" dxfId="2">
      <formula>"Medium"</formula>
    </cfRule>
    <cfRule type="cellIs" priority="57" operator="equal" dxfId="1">
      <formula>"Low"</formula>
    </cfRule>
  </conditionalFormatting>
  <conditionalFormatting sqref="N24">
    <cfRule type="cellIs" priority="58" operator="equal" dxfId="0">
      <formula>"High"</formula>
    </cfRule>
    <cfRule type="cellIs" priority="59" operator="equal" dxfId="2">
      <formula>"Medium"</formula>
    </cfRule>
    <cfRule type="cellIs" priority="60" operator="equal" dxfId="1">
      <formula>"Low"</formula>
    </cfRule>
  </conditionalFormatting>
  <conditionalFormatting sqref="N25">
    <cfRule type="cellIs" priority="61" operator="equal" dxfId="0">
      <formula>"High"</formula>
    </cfRule>
    <cfRule type="cellIs" priority="62" operator="equal" dxfId="2">
      <formula>"Medium"</formula>
    </cfRule>
    <cfRule type="cellIs" priority="63" operator="equal" dxfId="1">
      <formula>"Low"</formula>
    </cfRule>
  </conditionalFormatting>
  <conditionalFormatting sqref="N26">
    <cfRule type="cellIs" priority="64" operator="equal" dxfId="0">
      <formula>"High"</formula>
    </cfRule>
    <cfRule type="cellIs" priority="65" operator="equal" dxfId="2">
      <formula>"Medium"</formula>
    </cfRule>
    <cfRule type="cellIs" priority="66" operator="equal" dxfId="1">
      <formula>"Low"</formula>
    </cfRule>
  </conditionalFormatting>
  <conditionalFormatting sqref="N27">
    <cfRule type="cellIs" priority="67" operator="equal" dxfId="0">
      <formula>"High"</formula>
    </cfRule>
    <cfRule type="cellIs" priority="68" operator="equal" dxfId="2">
      <formula>"Medium"</formula>
    </cfRule>
    <cfRule type="cellIs" priority="69" operator="equal" dxfId="1">
      <formula>"Low"</formula>
    </cfRule>
  </conditionalFormatting>
  <conditionalFormatting sqref="N28">
    <cfRule type="cellIs" priority="70" operator="equal" dxfId="0">
      <formula>"High"</formula>
    </cfRule>
    <cfRule type="cellIs" priority="71" operator="equal" dxfId="2">
      <formula>"Medium"</formula>
    </cfRule>
    <cfRule type="cellIs" priority="72" operator="equal" dxfId="1">
      <formula>"Low"</formula>
    </cfRule>
  </conditionalFormatting>
  <conditionalFormatting sqref="N29">
    <cfRule type="cellIs" priority="73" operator="equal" dxfId="0">
      <formula>"High"</formula>
    </cfRule>
    <cfRule type="cellIs" priority="74" operator="equal" dxfId="2">
      <formula>"Medium"</formula>
    </cfRule>
    <cfRule type="cellIs" priority="75" operator="equal" dxfId="1">
      <formula>"Low"</formula>
    </cfRule>
  </conditionalFormatting>
  <conditionalFormatting sqref="N30">
    <cfRule type="cellIs" priority="76" operator="equal" dxfId="0">
      <formula>"High"</formula>
    </cfRule>
    <cfRule type="cellIs" priority="77" operator="equal" dxfId="2">
      <formula>"Medium"</formula>
    </cfRule>
    <cfRule type="cellIs" priority="78" operator="equal" dxfId="1">
      <formula>"Low"</formula>
    </cfRule>
  </conditionalFormatting>
  <conditionalFormatting sqref="N31">
    <cfRule type="cellIs" priority="79" operator="equal" dxfId="0">
      <formula>"High"</formula>
    </cfRule>
    <cfRule type="cellIs" priority="80" operator="equal" dxfId="2">
      <formula>"Medium"</formula>
    </cfRule>
    <cfRule type="cellIs" priority="81" operator="equal" dxfId="1">
      <formula>"Low"</formula>
    </cfRule>
  </conditionalFormatting>
  <conditionalFormatting sqref="N32">
    <cfRule type="cellIs" priority="82" operator="equal" dxfId="0">
      <formula>"High"</formula>
    </cfRule>
    <cfRule type="cellIs" priority="83" operator="equal" dxfId="2">
      <formula>"Medium"</formula>
    </cfRule>
    <cfRule type="cellIs" priority="84" operator="equal" dxfId="1">
      <formula>"Low"</formula>
    </cfRule>
  </conditionalFormatting>
  <conditionalFormatting sqref="N33">
    <cfRule type="cellIs" priority="85" operator="equal" dxfId="0">
      <formula>"High"</formula>
    </cfRule>
    <cfRule type="cellIs" priority="86" operator="equal" dxfId="2">
      <formula>"Medium"</formula>
    </cfRule>
    <cfRule type="cellIs" priority="87" operator="equal" dxfId="1">
      <formula>"Low"</formula>
    </cfRule>
  </conditionalFormatting>
  <conditionalFormatting sqref="N34">
    <cfRule type="cellIs" priority="88" operator="equal" dxfId="0">
      <formula>"High"</formula>
    </cfRule>
    <cfRule type="cellIs" priority="89" operator="equal" dxfId="2">
      <formula>"Medium"</formula>
    </cfRule>
    <cfRule type="cellIs" priority="90" operator="equal" dxfId="1">
      <formula>"Low"</formula>
    </cfRule>
  </conditionalFormatting>
  <conditionalFormatting sqref="N35">
    <cfRule type="cellIs" priority="91" operator="equal" dxfId="0">
      <formula>"High"</formula>
    </cfRule>
    <cfRule type="cellIs" priority="92" operator="equal" dxfId="2">
      <formula>"Medium"</formula>
    </cfRule>
    <cfRule type="cellIs" priority="93" operator="equal" dxfId="1">
      <formula>"Low"</formula>
    </cfRule>
  </conditionalFormatting>
  <conditionalFormatting sqref="N36">
    <cfRule type="cellIs" priority="94" operator="equal" dxfId="0">
      <formula>"High"</formula>
    </cfRule>
    <cfRule type="cellIs" priority="95" operator="equal" dxfId="2">
      <formula>"Medium"</formula>
    </cfRule>
    <cfRule type="cellIs" priority="96" operator="equal" dxfId="1">
      <formula>"Low"</formula>
    </cfRule>
  </conditionalFormatting>
  <conditionalFormatting sqref="N37">
    <cfRule type="cellIs" priority="97" operator="equal" dxfId="0">
      <formula>"High"</formula>
    </cfRule>
    <cfRule type="cellIs" priority="98" operator="equal" dxfId="2">
      <formula>"Medium"</formula>
    </cfRule>
    <cfRule type="cellIs" priority="99" operator="equal" dxfId="1">
      <formula>"Low"</formula>
    </cfRule>
  </conditionalFormatting>
  <conditionalFormatting sqref="N38">
    <cfRule type="cellIs" priority="100" operator="equal" dxfId="0">
      <formula>"High"</formula>
    </cfRule>
    <cfRule type="cellIs" priority="101" operator="equal" dxfId="2">
      <formula>"Medium"</formula>
    </cfRule>
    <cfRule type="cellIs" priority="102" operator="equal" dxfId="1">
      <formula>"Low"</formula>
    </cfRule>
  </conditionalFormatting>
  <conditionalFormatting sqref="N39">
    <cfRule type="cellIs" priority="103" operator="equal" dxfId="0">
      <formula>"High"</formula>
    </cfRule>
    <cfRule type="cellIs" priority="104" operator="equal" dxfId="2">
      <formula>"Medium"</formula>
    </cfRule>
    <cfRule type="cellIs" priority="105" operator="equal" dxfId="1">
      <formula>"Low"</formula>
    </cfRule>
  </conditionalFormatting>
  <conditionalFormatting sqref="N40">
    <cfRule type="cellIs" priority="106" operator="equal" dxfId="0">
      <formula>"High"</formula>
    </cfRule>
    <cfRule type="cellIs" priority="107" operator="equal" dxfId="2">
      <formula>"Medium"</formula>
    </cfRule>
    <cfRule type="cellIs" priority="108" operator="equal" dxfId="1">
      <formula>"Low"</formula>
    </cfRule>
  </conditionalFormatting>
  <conditionalFormatting sqref="N41">
    <cfRule type="cellIs" priority="109" operator="equal" dxfId="0">
      <formula>"High"</formula>
    </cfRule>
    <cfRule type="cellIs" priority="110" operator="equal" dxfId="2">
      <formula>"Medium"</formula>
    </cfRule>
    <cfRule type="cellIs" priority="111" operator="equal" dxfId="1">
      <formula>"Low"</formula>
    </cfRule>
  </conditionalFormatting>
  <conditionalFormatting sqref="N42">
    <cfRule type="cellIs" priority="112" operator="equal" dxfId="0">
      <formula>"High"</formula>
    </cfRule>
    <cfRule type="cellIs" priority="113" operator="equal" dxfId="2">
      <formula>"Medium"</formula>
    </cfRule>
    <cfRule type="cellIs" priority="114" operator="equal" dxfId="1">
      <formula>"Low"</formula>
    </cfRule>
  </conditionalFormatting>
  <conditionalFormatting sqref="N43">
    <cfRule type="cellIs" priority="115" operator="equal" dxfId="0">
      <formula>"High"</formula>
    </cfRule>
    <cfRule type="cellIs" priority="116" operator="equal" dxfId="2">
      <formula>"Medium"</formula>
    </cfRule>
    <cfRule type="cellIs" priority="117" operator="equal" dxfId="1">
      <formula>"Low"</formula>
    </cfRule>
  </conditionalFormatting>
  <conditionalFormatting sqref="N44">
    <cfRule type="cellIs" priority="118" operator="equal" dxfId="0">
      <formula>"High"</formula>
    </cfRule>
    <cfRule type="cellIs" priority="119" operator="equal" dxfId="2">
      <formula>"Medium"</formula>
    </cfRule>
    <cfRule type="cellIs" priority="120" operator="equal" dxfId="1">
      <formula>"Low"</formula>
    </cfRule>
  </conditionalFormatting>
  <conditionalFormatting sqref="N45">
    <cfRule type="cellIs" priority="121" operator="equal" dxfId="0">
      <formula>"High"</formula>
    </cfRule>
    <cfRule type="cellIs" priority="122" operator="equal" dxfId="2">
      <formula>"Medium"</formula>
    </cfRule>
    <cfRule type="cellIs" priority="123" operator="equal" dxfId="1">
      <formula>"Low"</formula>
    </cfRule>
  </conditionalFormatting>
  <conditionalFormatting sqref="N46">
    <cfRule type="cellIs" priority="124" operator="equal" dxfId="0">
      <formula>"High"</formula>
    </cfRule>
    <cfRule type="cellIs" priority="125" operator="equal" dxfId="2">
      <formula>"Medium"</formula>
    </cfRule>
    <cfRule type="cellIs" priority="126" operator="equal" dxfId="1">
      <formula>"Low"</formula>
    </cfRule>
  </conditionalFormatting>
  <conditionalFormatting sqref="N47">
    <cfRule type="cellIs" priority="127" operator="equal" dxfId="0">
      <formula>"High"</formula>
    </cfRule>
    <cfRule type="cellIs" priority="128" operator="equal" dxfId="2">
      <formula>"Medium"</formula>
    </cfRule>
    <cfRule type="cellIs" priority="129" operator="equal" dxfId="1">
      <formula>"Low"</formula>
    </cfRule>
  </conditionalFormatting>
  <conditionalFormatting sqref="N48">
    <cfRule type="cellIs" priority="130" operator="equal" dxfId="0">
      <formula>"High"</formula>
    </cfRule>
    <cfRule type="cellIs" priority="131" operator="equal" dxfId="2">
      <formula>"Medium"</formula>
    </cfRule>
    <cfRule type="cellIs" priority="132" operator="equal" dxfId="1">
      <formula>"Low"</formula>
    </cfRule>
  </conditionalFormatting>
  <conditionalFormatting sqref="N49">
    <cfRule type="cellIs" priority="133" operator="equal" dxfId="0">
      <formula>"High"</formula>
    </cfRule>
    <cfRule type="cellIs" priority="134" operator="equal" dxfId="2">
      <formula>"Medium"</formula>
    </cfRule>
    <cfRule type="cellIs" priority="135" operator="equal" dxfId="1">
      <formula>"Low"</formula>
    </cfRule>
  </conditionalFormatting>
  <conditionalFormatting sqref="N50">
    <cfRule type="cellIs" priority="136" operator="equal" dxfId="0">
      <formula>"High"</formula>
    </cfRule>
    <cfRule type="cellIs" priority="137" operator="equal" dxfId="2">
      <formula>"Medium"</formula>
    </cfRule>
    <cfRule type="cellIs" priority="138" operator="equal" dxfId="1">
      <formula>"Low"</formula>
    </cfRule>
  </conditionalFormatting>
  <conditionalFormatting sqref="N51">
    <cfRule type="cellIs" priority="139" operator="equal" dxfId="0">
      <formula>"High"</formula>
    </cfRule>
    <cfRule type="cellIs" priority="140" operator="equal" dxfId="2">
      <formula>"Medium"</formula>
    </cfRule>
    <cfRule type="cellIs" priority="141" operator="equal" dxfId="1">
      <formula>"Low"</formula>
    </cfRule>
  </conditionalFormatting>
  <conditionalFormatting sqref="N52">
    <cfRule type="cellIs" priority="142" operator="equal" dxfId="0">
      <formula>"High"</formula>
    </cfRule>
    <cfRule type="cellIs" priority="143" operator="equal" dxfId="2">
      <formula>"Medium"</formula>
    </cfRule>
    <cfRule type="cellIs" priority="144" operator="equal" dxfId="1">
      <formula>"Low"</formula>
    </cfRule>
  </conditionalFormatting>
  <conditionalFormatting sqref="N53">
    <cfRule type="cellIs" priority="145" operator="equal" dxfId="0">
      <formula>"High"</formula>
    </cfRule>
    <cfRule type="cellIs" priority="146" operator="equal" dxfId="2">
      <formula>"Medium"</formula>
    </cfRule>
    <cfRule type="cellIs" priority="147" operator="equal" dxfId="1">
      <formula>"Low"</formula>
    </cfRule>
  </conditionalFormatting>
  <conditionalFormatting sqref="N54">
    <cfRule type="cellIs" priority="148" operator="equal" dxfId="0">
      <formula>"High"</formula>
    </cfRule>
    <cfRule type="cellIs" priority="149" operator="equal" dxfId="2">
      <formula>"Medium"</formula>
    </cfRule>
    <cfRule type="cellIs" priority="150" operator="equal" dxfId="1">
      <formula>"Low"</formula>
    </cfRule>
  </conditionalFormatting>
  <conditionalFormatting sqref="N55">
    <cfRule type="cellIs" priority="151" operator="equal" dxfId="0">
      <formula>"High"</formula>
    </cfRule>
    <cfRule type="cellIs" priority="152" operator="equal" dxfId="2">
      <formula>"Medium"</formula>
    </cfRule>
    <cfRule type="cellIs" priority="153" operator="equal" dxfId="1">
      <formula>"Low"</formula>
    </cfRule>
  </conditionalFormatting>
  <conditionalFormatting sqref="N56">
    <cfRule type="cellIs" priority="154" operator="equal" dxfId="0">
      <formula>"High"</formula>
    </cfRule>
    <cfRule type="cellIs" priority="155" operator="equal" dxfId="2">
      <formula>"Medium"</formula>
    </cfRule>
    <cfRule type="cellIs" priority="156" operator="equal" dxfId="1">
      <formula>"Low"</formula>
    </cfRule>
  </conditionalFormatting>
  <conditionalFormatting sqref="N57">
    <cfRule type="cellIs" priority="157" operator="equal" dxfId="0">
      <formula>"High"</formula>
    </cfRule>
    <cfRule type="cellIs" priority="158" operator="equal" dxfId="2">
      <formula>"Medium"</formula>
    </cfRule>
    <cfRule type="cellIs" priority="159" operator="equal" dxfId="1">
      <formula>"Low"</formula>
    </cfRule>
  </conditionalFormatting>
  <conditionalFormatting sqref="N58">
    <cfRule type="cellIs" priority="160" operator="equal" dxfId="0">
      <formula>"High"</formula>
    </cfRule>
    <cfRule type="cellIs" priority="161" operator="equal" dxfId="2">
      <formula>"Medium"</formula>
    </cfRule>
    <cfRule type="cellIs" priority="162" operator="equal" dxfId="1">
      <formula>"Low"</formula>
    </cfRule>
  </conditionalFormatting>
  <conditionalFormatting sqref="N59">
    <cfRule type="cellIs" priority="163" operator="equal" dxfId="0">
      <formula>"High"</formula>
    </cfRule>
    <cfRule type="cellIs" priority="164" operator="equal" dxfId="2">
      <formula>"Medium"</formula>
    </cfRule>
    <cfRule type="cellIs" priority="165" operator="equal" dxfId="1">
      <formula>"Low"</formula>
    </cfRule>
  </conditionalFormatting>
  <conditionalFormatting sqref="N60">
    <cfRule type="cellIs" priority="166" operator="equal" dxfId="0">
      <formula>"High"</formula>
    </cfRule>
    <cfRule type="cellIs" priority="167" operator="equal" dxfId="2">
      <formula>"Medium"</formula>
    </cfRule>
    <cfRule type="cellIs" priority="168" operator="equal" dxfId="1">
      <formula>"Low"</formula>
    </cfRule>
  </conditionalFormatting>
  <conditionalFormatting sqref="N61">
    <cfRule type="cellIs" priority="169" operator="equal" dxfId="0">
      <formula>"High"</formula>
    </cfRule>
    <cfRule type="cellIs" priority="170" operator="equal" dxfId="2">
      <formula>"Medium"</formula>
    </cfRule>
    <cfRule type="cellIs" priority="171" operator="equal" dxfId="1">
      <formula>"Low"</formula>
    </cfRule>
  </conditionalFormatting>
  <conditionalFormatting sqref="N62">
    <cfRule type="cellIs" priority="172" operator="equal" dxfId="0">
      <formula>"High"</formula>
    </cfRule>
    <cfRule type="cellIs" priority="173" operator="equal" dxfId="2">
      <formula>"Medium"</formula>
    </cfRule>
    <cfRule type="cellIs" priority="174" operator="equal" dxfId="1">
      <formula>"Low"</formula>
    </cfRule>
  </conditionalFormatting>
  <conditionalFormatting sqref="N63">
    <cfRule type="cellIs" priority="175" operator="equal" dxfId="0">
      <formula>"High"</formula>
    </cfRule>
    <cfRule type="cellIs" priority="176" operator="equal" dxfId="2">
      <formula>"Medium"</formula>
    </cfRule>
    <cfRule type="cellIs" priority="177" operator="equal" dxfId="1">
      <formula>"Low"</formula>
    </cfRule>
  </conditionalFormatting>
  <conditionalFormatting sqref="N64">
    <cfRule type="cellIs" priority="178" operator="equal" dxfId="0">
      <formula>"High"</formula>
    </cfRule>
    <cfRule type="cellIs" priority="179" operator="equal" dxfId="2">
      <formula>"Medium"</formula>
    </cfRule>
    <cfRule type="cellIs" priority="180" operator="equal" dxfId="1">
      <formula>"Low"</formula>
    </cfRule>
  </conditionalFormatting>
  <conditionalFormatting sqref="N65">
    <cfRule type="cellIs" priority="181" operator="equal" dxfId="0">
      <formula>"High"</formula>
    </cfRule>
    <cfRule type="cellIs" priority="182" operator="equal" dxfId="2">
      <formula>"Medium"</formula>
    </cfRule>
    <cfRule type="cellIs" priority="183" operator="equal" dxfId="1">
      <formula>"Low"</formula>
    </cfRule>
  </conditionalFormatting>
  <conditionalFormatting sqref="N66">
    <cfRule type="cellIs" priority="184" operator="equal" dxfId="0">
      <formula>"High"</formula>
    </cfRule>
    <cfRule type="cellIs" priority="185" operator="equal" dxfId="2">
      <formula>"Medium"</formula>
    </cfRule>
    <cfRule type="cellIs" priority="186" operator="equal" dxfId="1">
      <formula>"Low"</formula>
    </cfRule>
  </conditionalFormatting>
  <conditionalFormatting sqref="N67">
    <cfRule type="cellIs" priority="187" operator="equal" dxfId="0">
      <formula>"High"</formula>
    </cfRule>
    <cfRule type="cellIs" priority="188" operator="equal" dxfId="2">
      <formula>"Medium"</formula>
    </cfRule>
    <cfRule type="cellIs" priority="189" operator="equal" dxfId="1">
      <formula>"Low"</formula>
    </cfRule>
  </conditionalFormatting>
  <conditionalFormatting sqref="N68">
    <cfRule type="cellIs" priority="190" operator="equal" dxfId="0">
      <formula>"High"</formula>
    </cfRule>
    <cfRule type="cellIs" priority="191" operator="equal" dxfId="2">
      <formula>"Medium"</formula>
    </cfRule>
    <cfRule type="cellIs" priority="192" operator="equal" dxfId="1">
      <formula>"Low"</formula>
    </cfRule>
  </conditionalFormatting>
  <conditionalFormatting sqref="N69">
    <cfRule type="cellIs" priority="193" operator="equal" dxfId="0">
      <formula>"High"</formula>
    </cfRule>
    <cfRule type="cellIs" priority="194" operator="equal" dxfId="2">
      <formula>"Medium"</formula>
    </cfRule>
    <cfRule type="cellIs" priority="195" operator="equal" dxfId="1">
      <formula>"Low"</formula>
    </cfRule>
  </conditionalFormatting>
  <conditionalFormatting sqref="N70">
    <cfRule type="cellIs" priority="196" operator="equal" dxfId="0">
      <formula>"High"</formula>
    </cfRule>
    <cfRule type="cellIs" priority="197" operator="equal" dxfId="2">
      <formula>"Medium"</formula>
    </cfRule>
    <cfRule type="cellIs" priority="198" operator="equal" dxfId="1">
      <formula>"Low"</formula>
    </cfRule>
  </conditionalFormatting>
  <conditionalFormatting sqref="N71">
    <cfRule type="cellIs" priority="199" operator="equal" dxfId="0">
      <formula>"High"</formula>
    </cfRule>
    <cfRule type="cellIs" priority="200" operator="equal" dxfId="2">
      <formula>"Medium"</formula>
    </cfRule>
    <cfRule type="cellIs" priority="201" operator="equal" dxfId="1">
      <formula>"Low"</formula>
    </cfRule>
  </conditionalFormatting>
  <conditionalFormatting sqref="N72">
    <cfRule type="cellIs" priority="202" operator="equal" dxfId="0">
      <formula>"High"</formula>
    </cfRule>
    <cfRule type="cellIs" priority="203" operator="equal" dxfId="2">
      <formula>"Medium"</formula>
    </cfRule>
    <cfRule type="cellIs" priority="204" operator="equal" dxfId="1">
      <formula>"Low"</formula>
    </cfRule>
  </conditionalFormatting>
  <conditionalFormatting sqref="N73">
    <cfRule type="cellIs" priority="205" operator="equal" dxfId="0">
      <formula>"High"</formula>
    </cfRule>
    <cfRule type="cellIs" priority="206" operator="equal" dxfId="2">
      <formula>"Medium"</formula>
    </cfRule>
    <cfRule type="cellIs" priority="207" operator="equal" dxfId="1">
      <formula>"Low"</formula>
    </cfRule>
  </conditionalFormatting>
  <conditionalFormatting sqref="N74">
    <cfRule type="cellIs" priority="208" operator="equal" dxfId="0">
      <formula>"High"</formula>
    </cfRule>
    <cfRule type="cellIs" priority="209" operator="equal" dxfId="2">
      <formula>"Medium"</formula>
    </cfRule>
    <cfRule type="cellIs" priority="210" operator="equal" dxfId="1">
      <formula>"Low"</formula>
    </cfRule>
  </conditionalFormatting>
  <conditionalFormatting sqref="N75">
    <cfRule type="cellIs" priority="211" operator="equal" dxfId="0">
      <formula>"High"</formula>
    </cfRule>
    <cfRule type="cellIs" priority="212" operator="equal" dxfId="2">
      <formula>"Medium"</formula>
    </cfRule>
    <cfRule type="cellIs" priority="213" operator="equal" dxfId="1">
      <formula>"Low"</formula>
    </cfRule>
  </conditionalFormatting>
  <conditionalFormatting sqref="N76">
    <cfRule type="cellIs" priority="214" operator="equal" dxfId="0">
      <formula>"High"</formula>
    </cfRule>
    <cfRule type="cellIs" priority="215" operator="equal" dxfId="2">
      <formula>"Medium"</formula>
    </cfRule>
    <cfRule type="cellIs" priority="216" operator="equal" dxfId="1">
      <formula>"Low"</formula>
    </cfRule>
  </conditionalFormatting>
  <conditionalFormatting sqref="N77">
    <cfRule type="cellIs" priority="217" operator="equal" dxfId="0">
      <formula>"High"</formula>
    </cfRule>
    <cfRule type="cellIs" priority="218" operator="equal" dxfId="2">
      <formula>"Medium"</formula>
    </cfRule>
    <cfRule type="cellIs" priority="219" operator="equal" dxfId="1">
      <formula>"Low"</formula>
    </cfRule>
  </conditionalFormatting>
  <conditionalFormatting sqref="N78">
    <cfRule type="cellIs" priority="220" operator="equal" dxfId="0">
      <formula>"High"</formula>
    </cfRule>
    <cfRule type="cellIs" priority="221" operator="equal" dxfId="2">
      <formula>"Medium"</formula>
    </cfRule>
    <cfRule type="cellIs" priority="222" operator="equal" dxfId="1">
      <formula>"Low"</formula>
    </cfRule>
  </conditionalFormatting>
  <conditionalFormatting sqref="N79">
    <cfRule type="cellIs" priority="223" operator="equal" dxfId="0">
      <formula>"High"</formula>
    </cfRule>
    <cfRule type="cellIs" priority="224" operator="equal" dxfId="2">
      <formula>"Medium"</formula>
    </cfRule>
    <cfRule type="cellIs" priority="225" operator="equal" dxfId="1">
      <formula>"Low"</formula>
    </cfRule>
  </conditionalFormatting>
  <conditionalFormatting sqref="N80">
    <cfRule type="cellIs" priority="226" operator="equal" dxfId="0">
      <formula>"High"</formula>
    </cfRule>
    <cfRule type="cellIs" priority="227" operator="equal" dxfId="2">
      <formula>"Medium"</formula>
    </cfRule>
    <cfRule type="cellIs" priority="228" operator="equal" dxfId="1">
      <formula>"Low"</formula>
    </cfRule>
  </conditionalFormatting>
  <conditionalFormatting sqref="N81">
    <cfRule type="cellIs" priority="229" operator="equal" dxfId="0">
      <formula>"High"</formula>
    </cfRule>
    <cfRule type="cellIs" priority="230" operator="equal" dxfId="2">
      <formula>"Medium"</formula>
    </cfRule>
    <cfRule type="cellIs" priority="231" operator="equal" dxfId="1">
      <formula>"Low"</formula>
    </cfRule>
  </conditionalFormatting>
  <conditionalFormatting sqref="N82">
    <cfRule type="cellIs" priority="232" operator="equal" dxfId="0">
      <formula>"High"</formula>
    </cfRule>
    <cfRule type="cellIs" priority="233" operator="equal" dxfId="2">
      <formula>"Medium"</formula>
    </cfRule>
    <cfRule type="cellIs" priority="234" operator="equal" dxfId="1">
      <formula>"Low"</formula>
    </cfRule>
  </conditionalFormatting>
  <conditionalFormatting sqref="N83">
    <cfRule type="cellIs" priority="235" operator="equal" dxfId="0">
      <formula>"High"</formula>
    </cfRule>
    <cfRule type="cellIs" priority="236" operator="equal" dxfId="2">
      <formula>"Medium"</formula>
    </cfRule>
    <cfRule type="cellIs" priority="237" operator="equal" dxfId="1">
      <formula>"Low"</formula>
    </cfRule>
  </conditionalFormatting>
  <conditionalFormatting sqref="N84">
    <cfRule type="cellIs" priority="238" operator="equal" dxfId="0">
      <formula>"High"</formula>
    </cfRule>
    <cfRule type="cellIs" priority="239" operator="equal" dxfId="2">
      <formula>"Medium"</formula>
    </cfRule>
    <cfRule type="cellIs" priority="240" operator="equal" dxfId="1">
      <formula>"Low"</formula>
    </cfRule>
  </conditionalFormatting>
  <conditionalFormatting sqref="N85">
    <cfRule type="cellIs" priority="241" operator="equal" dxfId="0">
      <formula>"High"</formula>
    </cfRule>
    <cfRule type="cellIs" priority="242" operator="equal" dxfId="2">
      <formula>"Medium"</formula>
    </cfRule>
    <cfRule type="cellIs" priority="243" operator="equal" dxfId="1">
      <formula>"Low"</formula>
    </cfRule>
  </conditionalFormatting>
  <conditionalFormatting sqref="N86">
    <cfRule type="cellIs" priority="244" operator="equal" dxfId="0">
      <formula>"High"</formula>
    </cfRule>
    <cfRule type="cellIs" priority="245" operator="equal" dxfId="2">
      <formula>"Medium"</formula>
    </cfRule>
    <cfRule type="cellIs" priority="246" operator="equal" dxfId="1">
      <formula>"Low"</formula>
    </cfRule>
  </conditionalFormatting>
  <conditionalFormatting sqref="N87">
    <cfRule type="cellIs" priority="247" operator="equal" dxfId="0">
      <formula>"High"</formula>
    </cfRule>
    <cfRule type="cellIs" priority="248" operator="equal" dxfId="2">
      <formula>"Medium"</formula>
    </cfRule>
    <cfRule type="cellIs" priority="249" operator="equal" dxfId="1">
      <formula>"Low"</formula>
    </cfRule>
  </conditionalFormatting>
  <conditionalFormatting sqref="N88">
    <cfRule type="cellIs" priority="250" operator="equal" dxfId="0">
      <formula>"High"</formula>
    </cfRule>
    <cfRule type="cellIs" priority="251" operator="equal" dxfId="2">
      <formula>"Medium"</formula>
    </cfRule>
    <cfRule type="cellIs" priority="252" operator="equal" dxfId="1">
      <formula>"Low"</formula>
    </cfRule>
  </conditionalFormatting>
  <conditionalFormatting sqref="N89">
    <cfRule type="cellIs" priority="253" operator="equal" dxfId="0">
      <formula>"High"</formula>
    </cfRule>
    <cfRule type="cellIs" priority="254" operator="equal" dxfId="2">
      <formula>"Medium"</formula>
    </cfRule>
    <cfRule type="cellIs" priority="255" operator="equal" dxfId="1">
      <formula>"Low"</formula>
    </cfRule>
  </conditionalFormatting>
  <conditionalFormatting sqref="N90">
    <cfRule type="cellIs" priority="256" operator="equal" dxfId="0">
      <formula>"High"</formula>
    </cfRule>
    <cfRule type="cellIs" priority="257" operator="equal" dxfId="2">
      <formula>"Medium"</formula>
    </cfRule>
    <cfRule type="cellIs" priority="258" operator="equal" dxfId="1">
      <formula>"Low"</formula>
    </cfRule>
  </conditionalFormatting>
  <conditionalFormatting sqref="N91">
    <cfRule type="cellIs" priority="259" operator="equal" dxfId="0">
      <formula>"High"</formula>
    </cfRule>
    <cfRule type="cellIs" priority="260" operator="equal" dxfId="2">
      <formula>"Medium"</formula>
    </cfRule>
    <cfRule type="cellIs" priority="261" operator="equal" dxfId="1">
      <formula>"Low"</formula>
    </cfRule>
  </conditionalFormatting>
  <conditionalFormatting sqref="N92">
    <cfRule type="cellIs" priority="262" operator="equal" dxfId="0">
      <formula>"High"</formula>
    </cfRule>
    <cfRule type="cellIs" priority="263" operator="equal" dxfId="2">
      <formula>"Medium"</formula>
    </cfRule>
    <cfRule type="cellIs" priority="264" operator="equal" dxfId="1">
      <formula>"Low"</formula>
    </cfRule>
  </conditionalFormatting>
  <conditionalFormatting sqref="N93">
    <cfRule type="cellIs" priority="265" operator="equal" dxfId="0">
      <formula>"High"</formula>
    </cfRule>
    <cfRule type="cellIs" priority="266" operator="equal" dxfId="2">
      <formula>"Medium"</formula>
    </cfRule>
    <cfRule type="cellIs" priority="267" operator="equal" dxfId="1">
      <formula>"Low"</formula>
    </cfRule>
  </conditionalFormatting>
  <conditionalFormatting sqref="N94">
    <cfRule type="cellIs" priority="268" operator="equal" dxfId="0">
      <formula>"High"</formula>
    </cfRule>
    <cfRule type="cellIs" priority="269" operator="equal" dxfId="2">
      <formula>"Medium"</formula>
    </cfRule>
    <cfRule type="cellIs" priority="270" operator="equal" dxfId="1">
      <formula>"Low"</formula>
    </cfRule>
  </conditionalFormatting>
  <conditionalFormatting sqref="N95">
    <cfRule type="cellIs" priority="271" operator="equal" dxfId="0">
      <formula>"High"</formula>
    </cfRule>
    <cfRule type="cellIs" priority="272" operator="equal" dxfId="2">
      <formula>"Medium"</formula>
    </cfRule>
    <cfRule type="cellIs" priority="273" operator="equal" dxfId="1">
      <formula>"Low"</formula>
    </cfRule>
  </conditionalFormatting>
  <conditionalFormatting sqref="N96">
    <cfRule type="cellIs" priority="274" operator="equal" dxfId="0">
      <formula>"High"</formula>
    </cfRule>
    <cfRule type="cellIs" priority="275" operator="equal" dxfId="2">
      <formula>"Medium"</formula>
    </cfRule>
    <cfRule type="cellIs" priority="276" operator="equal" dxfId="1">
      <formula>"Low"</formula>
    </cfRule>
  </conditionalFormatting>
  <conditionalFormatting sqref="N97">
    <cfRule type="cellIs" priority="277" operator="equal" dxfId="0">
      <formula>"High"</formula>
    </cfRule>
    <cfRule type="cellIs" priority="278" operator="equal" dxfId="2">
      <formula>"Medium"</formula>
    </cfRule>
    <cfRule type="cellIs" priority="279" operator="equal" dxfId="1">
      <formula>"Low"</formula>
    </cfRule>
  </conditionalFormatting>
  <conditionalFormatting sqref="N98">
    <cfRule type="cellIs" priority="280" operator="equal" dxfId="0">
      <formula>"High"</formula>
    </cfRule>
    <cfRule type="cellIs" priority="281" operator="equal" dxfId="2">
      <formula>"Medium"</formula>
    </cfRule>
    <cfRule type="cellIs" priority="282" operator="equal" dxfId="1">
      <formula>"Low"</formula>
    </cfRule>
  </conditionalFormatting>
  <conditionalFormatting sqref="N99">
    <cfRule type="cellIs" priority="283" operator="equal" dxfId="0">
      <formula>"High"</formula>
    </cfRule>
    <cfRule type="cellIs" priority="284" operator="equal" dxfId="2">
      <formula>"Medium"</formula>
    </cfRule>
    <cfRule type="cellIs" priority="285" operator="equal" dxfId="1">
      <formula>"Low"</formula>
    </cfRule>
  </conditionalFormatting>
  <conditionalFormatting sqref="N100">
    <cfRule type="cellIs" priority="286" operator="equal" dxfId="0">
      <formula>"High"</formula>
    </cfRule>
    <cfRule type="cellIs" priority="287" operator="equal" dxfId="2">
      <formula>"Medium"</formula>
    </cfRule>
    <cfRule type="cellIs" priority="288" operator="equal" dxfId="1">
      <formula>"Low"</formula>
    </cfRule>
  </conditionalFormatting>
  <conditionalFormatting sqref="N101">
    <cfRule type="cellIs" priority="289" operator="equal" dxfId="0">
      <formula>"High"</formula>
    </cfRule>
    <cfRule type="cellIs" priority="290" operator="equal" dxfId="2">
      <formula>"Medium"</formula>
    </cfRule>
    <cfRule type="cellIs" priority="291" operator="equal" dxfId="1">
      <formula>"Low"</formula>
    </cfRule>
  </conditionalFormatting>
  <conditionalFormatting sqref="N102">
    <cfRule type="cellIs" priority="292" operator="equal" dxfId="0">
      <formula>"High"</formula>
    </cfRule>
    <cfRule type="cellIs" priority="293" operator="equal" dxfId="2">
      <formula>"Medium"</formula>
    </cfRule>
    <cfRule type="cellIs" priority="294" operator="equal" dxfId="1">
      <formula>"Low"</formula>
    </cfRule>
  </conditionalFormatting>
  <conditionalFormatting sqref="N103">
    <cfRule type="cellIs" priority="295" operator="equal" dxfId="0">
      <formula>"High"</formula>
    </cfRule>
    <cfRule type="cellIs" priority="296" operator="equal" dxfId="2">
      <formula>"Medium"</formula>
    </cfRule>
    <cfRule type="cellIs" priority="297" operator="equal" dxfId="1">
      <formula>"Low"</formula>
    </cfRule>
  </conditionalFormatting>
  <conditionalFormatting sqref="N104">
    <cfRule type="cellIs" priority="298" operator="equal" dxfId="0">
      <formula>"High"</formula>
    </cfRule>
    <cfRule type="cellIs" priority="299" operator="equal" dxfId="2">
      <formula>"Medium"</formula>
    </cfRule>
    <cfRule type="cellIs" priority="300" operator="equal" dxfId="1">
      <formula>"Low"</formula>
    </cfRule>
  </conditionalFormatting>
  <dataValidations count="1">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12"/>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25" customWidth="1" min="5" max="5"/>
    <col width="18" customWidth="1" min="6" max="6"/>
    <col width="18" customWidth="1" min="7" max="7"/>
    <col width="15" customWidth="1" min="8" max="8"/>
    <col width="18" customWidth="1" min="9" max="9"/>
    <col width="18" customWidth="1" min="10" max="10"/>
    <col width="20" customWidth="1" min="11" max="11"/>
    <col width="15" customWidth="1" min="12" max="12"/>
    <col width="18" customWidth="1" min="13" max="13"/>
    <col width="30" customWidth="1" min="14" max="14"/>
    <col width="30" customWidth="1" min="15" max="15"/>
    <col width="18" customWidth="1" min="16" max="16"/>
    <col width="30" customWidth="1" min="17" max="17"/>
    <col width="30" customWidth="1" min="18" max="18"/>
    <col width="18" customWidth="1" min="19" max="19"/>
    <col width="30" customWidth="1" min="20" max="20"/>
  </cols>
  <sheetData>
    <row r="1" ht="35" customHeight="1">
      <c r="A1" s="11" t="inlineStr">
        <is>
          <t>STAKEHOLDER FEEDBACK COLLECTION</t>
        </is>
      </c>
    </row>
    <row r="2">
      <c r="A2" s="12" t="inlineStr">
        <is>
          <t>Capture stakeholder feedback on intelligence products - ratings, actions taken, improvement suggestions. Use 1-5 scale for all ratings.</t>
        </is>
      </c>
    </row>
    <row r="4">
      <c r="A4" s="13" t="inlineStr">
        <is>
          <t>Feedback ID</t>
        </is>
      </c>
      <c r="B4" s="13" t="inlineStr">
        <is>
          <t>Distribution ID</t>
        </is>
      </c>
      <c r="C4" s="13" t="inlineStr">
        <is>
          <t>Product ID</t>
        </is>
      </c>
      <c r="D4" s="13" t="inlineStr">
        <is>
          <t>Stakeholder ID</t>
        </is>
      </c>
      <c r="E4" s="13" t="inlineStr">
        <is>
          <t>Stakeholder Name</t>
        </is>
      </c>
      <c r="F4" s="13" t="inlineStr">
        <is>
          <t>Feedback Date</t>
        </is>
      </c>
      <c r="G4" s="13" t="inlineStr">
        <is>
          <t>Feedback Method</t>
        </is>
      </c>
      <c r="H4" s="13" t="inlineStr">
        <is>
          <t>Overall Rating</t>
        </is>
      </c>
      <c r="I4" s="13" t="inlineStr">
        <is>
          <t>Relevance Rating</t>
        </is>
      </c>
      <c r="J4" s="13" t="inlineStr">
        <is>
          <t>Timeliness Rating</t>
        </is>
      </c>
      <c r="K4" s="13" t="inlineStr">
        <is>
          <t>Actionability Rating</t>
        </is>
      </c>
      <c r="L4" s="13" t="inlineStr">
        <is>
          <t>Clarity Rating</t>
        </is>
      </c>
      <c r="M4" s="13" t="inlineStr">
        <is>
          <t>Intelligence Used</t>
        </is>
      </c>
      <c r="N4" s="13" t="inlineStr">
        <is>
          <t>Action Taken</t>
        </is>
      </c>
      <c r="O4" s="13" t="inlineStr">
        <is>
          <t>Improvement Suggestions</t>
        </is>
      </c>
      <c r="P4" s="13" t="inlineStr">
        <is>
          <t>Would Recommend</t>
        </is>
      </c>
      <c r="Q4" s="13" t="inlineStr">
        <is>
          <t>Positive Comments</t>
        </is>
      </c>
      <c r="R4" s="13" t="inlineStr">
        <is>
          <t>Negative Comments</t>
        </is>
      </c>
      <c r="S4" s="13" t="inlineStr">
        <is>
          <t>Follow Up Required</t>
        </is>
      </c>
      <c r="T4" s="13" t="inlineStr">
        <is>
          <t>Notes</t>
        </is>
      </c>
    </row>
    <row r="5">
      <c r="A5" s="14" t="inlineStr">
        <is>
          <t>FB-2025-001</t>
        </is>
      </c>
      <c r="B5" s="15" t="n"/>
      <c r="C5" s="24">
        <f>IFERROR(VLOOKUP(B5,'Distribution Tracking'!A:B,2,FALSE),"")</f>
        <v/>
      </c>
      <c r="D5" s="15" t="n"/>
      <c r="E5" s="24">
        <f>IFERROR(VLOOKUP(D5,'Stakeholder Registry'!A:B,2,FALSE),"")</f>
        <v/>
      </c>
      <c r="F5" s="23" t="n"/>
      <c r="G5" s="15" t="n"/>
      <c r="H5" s="17" t="n"/>
      <c r="I5" s="17" t="n"/>
      <c r="J5" s="17" t="n"/>
      <c r="K5" s="17" t="n"/>
      <c r="L5" s="17" t="n"/>
      <c r="M5" s="15" t="n"/>
      <c r="N5" s="15" t="n"/>
      <c r="O5" s="15" t="n"/>
      <c r="P5" s="15" t="n"/>
      <c r="Q5" s="15" t="n"/>
      <c r="R5" s="15" t="n"/>
      <c r="S5" s="15" t="n"/>
      <c r="T5" s="15" t="n"/>
    </row>
    <row r="6">
      <c r="A6" s="14" t="inlineStr">
        <is>
          <t>FB-2025-002</t>
        </is>
      </c>
      <c r="B6" s="15" t="n"/>
      <c r="C6" s="24">
        <f>IFERROR(VLOOKUP(B6,'Distribution Tracking'!A:B,2,FALSE),"")</f>
        <v/>
      </c>
      <c r="D6" s="15" t="n"/>
      <c r="E6" s="24">
        <f>IFERROR(VLOOKUP(D6,'Stakeholder Registry'!A:B,2,FALSE),"")</f>
        <v/>
      </c>
      <c r="F6" s="23" t="n"/>
      <c r="G6" s="15" t="n"/>
      <c r="H6" s="17" t="n"/>
      <c r="I6" s="17" t="n"/>
      <c r="J6" s="17" t="n"/>
      <c r="K6" s="17" t="n"/>
      <c r="L6" s="17" t="n"/>
      <c r="M6" s="15" t="n"/>
      <c r="N6" s="15" t="n"/>
      <c r="O6" s="15" t="n"/>
      <c r="P6" s="15" t="n"/>
      <c r="Q6" s="15" t="n"/>
      <c r="R6" s="15" t="n"/>
      <c r="S6" s="15" t="n"/>
      <c r="T6" s="15" t="n"/>
    </row>
    <row r="7">
      <c r="A7" s="14" t="inlineStr">
        <is>
          <t>FB-2025-003</t>
        </is>
      </c>
      <c r="B7" s="15" t="n"/>
      <c r="C7" s="24">
        <f>IFERROR(VLOOKUP(B7,'Distribution Tracking'!A:B,2,FALSE),"")</f>
        <v/>
      </c>
      <c r="D7" s="15" t="n"/>
      <c r="E7" s="24">
        <f>IFERROR(VLOOKUP(D7,'Stakeholder Registry'!A:B,2,FALSE),"")</f>
        <v/>
      </c>
      <c r="F7" s="23" t="n"/>
      <c r="G7" s="15" t="n"/>
      <c r="H7" s="17" t="n"/>
      <c r="I7" s="17" t="n"/>
      <c r="J7" s="17" t="n"/>
      <c r="K7" s="17" t="n"/>
      <c r="L7" s="17" t="n"/>
      <c r="M7" s="15" t="n"/>
      <c r="N7" s="15" t="n"/>
      <c r="O7" s="15" t="n"/>
      <c r="P7" s="15" t="n"/>
      <c r="Q7" s="15" t="n"/>
      <c r="R7" s="15" t="n"/>
      <c r="S7" s="15" t="n"/>
      <c r="T7" s="15" t="n"/>
    </row>
    <row r="8">
      <c r="A8" s="14" t="inlineStr">
        <is>
          <t>FB-2025-004</t>
        </is>
      </c>
      <c r="B8" s="15" t="n"/>
      <c r="C8" s="24">
        <f>IFERROR(VLOOKUP(B8,'Distribution Tracking'!A:B,2,FALSE),"")</f>
        <v/>
      </c>
      <c r="D8" s="15" t="n"/>
      <c r="E8" s="24">
        <f>IFERROR(VLOOKUP(D8,'Stakeholder Registry'!A:B,2,FALSE),"")</f>
        <v/>
      </c>
      <c r="F8" s="23" t="n"/>
      <c r="G8" s="15" t="n"/>
      <c r="H8" s="17" t="n"/>
      <c r="I8" s="17" t="n"/>
      <c r="J8" s="17" t="n"/>
      <c r="K8" s="17" t="n"/>
      <c r="L8" s="17" t="n"/>
      <c r="M8" s="15" t="n"/>
      <c r="N8" s="15" t="n"/>
      <c r="O8" s="15" t="n"/>
      <c r="P8" s="15" t="n"/>
      <c r="Q8" s="15" t="n"/>
      <c r="R8" s="15" t="n"/>
      <c r="S8" s="15" t="n"/>
      <c r="T8" s="15" t="n"/>
    </row>
    <row r="9">
      <c r="A9" s="14" t="inlineStr">
        <is>
          <t>FB-2025-005</t>
        </is>
      </c>
      <c r="B9" s="15" t="n"/>
      <c r="C9" s="24">
        <f>IFERROR(VLOOKUP(B9,'Distribution Tracking'!A:B,2,FALSE),"")</f>
        <v/>
      </c>
      <c r="D9" s="15" t="n"/>
      <c r="E9" s="24">
        <f>IFERROR(VLOOKUP(D9,'Stakeholder Registry'!A:B,2,FALSE),"")</f>
        <v/>
      </c>
      <c r="F9" s="23" t="n"/>
      <c r="G9" s="15" t="n"/>
      <c r="H9" s="17" t="n"/>
      <c r="I9" s="17" t="n"/>
      <c r="J9" s="17" t="n"/>
      <c r="K9" s="17" t="n"/>
      <c r="L9" s="17" t="n"/>
      <c r="M9" s="15" t="n"/>
      <c r="N9" s="15" t="n"/>
      <c r="O9" s="15" t="n"/>
      <c r="P9" s="15" t="n"/>
      <c r="Q9" s="15" t="n"/>
      <c r="R9" s="15" t="n"/>
      <c r="S9" s="15" t="n"/>
      <c r="T9" s="15" t="n"/>
    </row>
    <row r="10">
      <c r="A10" s="14" t="inlineStr">
        <is>
          <t>FB-2025-006</t>
        </is>
      </c>
      <c r="B10" s="15" t="n"/>
      <c r="C10" s="24">
        <f>IFERROR(VLOOKUP(B10,'Distribution Tracking'!A:B,2,FALSE),"")</f>
        <v/>
      </c>
      <c r="D10" s="15" t="n"/>
      <c r="E10" s="24">
        <f>IFERROR(VLOOKUP(D10,'Stakeholder Registry'!A:B,2,FALSE),"")</f>
        <v/>
      </c>
      <c r="F10" s="23" t="n"/>
      <c r="G10" s="15" t="n"/>
      <c r="H10" s="17" t="n"/>
      <c r="I10" s="17" t="n"/>
      <c r="J10" s="17" t="n"/>
      <c r="K10" s="17" t="n"/>
      <c r="L10" s="17" t="n"/>
      <c r="M10" s="15" t="n"/>
      <c r="N10" s="15" t="n"/>
      <c r="O10" s="15" t="n"/>
      <c r="P10" s="15" t="n"/>
      <c r="Q10" s="15" t="n"/>
      <c r="R10" s="15" t="n"/>
      <c r="S10" s="15" t="n"/>
      <c r="T10" s="15" t="n"/>
    </row>
    <row r="11">
      <c r="A11" s="14" t="inlineStr">
        <is>
          <t>FB-2025-007</t>
        </is>
      </c>
      <c r="B11" s="15" t="n"/>
      <c r="C11" s="24">
        <f>IFERROR(VLOOKUP(B11,'Distribution Tracking'!A:B,2,FALSE),"")</f>
        <v/>
      </c>
      <c r="D11" s="15" t="n"/>
      <c r="E11" s="24">
        <f>IFERROR(VLOOKUP(D11,'Stakeholder Registry'!A:B,2,FALSE),"")</f>
        <v/>
      </c>
      <c r="F11" s="23" t="n"/>
      <c r="G11" s="15" t="n"/>
      <c r="H11" s="17" t="n"/>
      <c r="I11" s="17" t="n"/>
      <c r="J11" s="17" t="n"/>
      <c r="K11" s="17" t="n"/>
      <c r="L11" s="17" t="n"/>
      <c r="M11" s="15" t="n"/>
      <c r="N11" s="15" t="n"/>
      <c r="O11" s="15" t="n"/>
      <c r="P11" s="15" t="n"/>
      <c r="Q11" s="15" t="n"/>
      <c r="R11" s="15" t="n"/>
      <c r="S11" s="15" t="n"/>
      <c r="T11" s="15" t="n"/>
    </row>
    <row r="12">
      <c r="A12" s="14" t="inlineStr">
        <is>
          <t>FB-2025-008</t>
        </is>
      </c>
      <c r="B12" s="15" t="n"/>
      <c r="C12" s="24">
        <f>IFERROR(VLOOKUP(B12,'Distribution Tracking'!A:B,2,FALSE),"")</f>
        <v/>
      </c>
      <c r="D12" s="15" t="n"/>
      <c r="E12" s="24">
        <f>IFERROR(VLOOKUP(D12,'Stakeholder Registry'!A:B,2,FALSE),"")</f>
        <v/>
      </c>
      <c r="F12" s="23" t="n"/>
      <c r="G12" s="15" t="n"/>
      <c r="H12" s="17" t="n"/>
      <c r="I12" s="17" t="n"/>
      <c r="J12" s="17" t="n"/>
      <c r="K12" s="17" t="n"/>
      <c r="L12" s="17" t="n"/>
      <c r="M12" s="15" t="n"/>
      <c r="N12" s="15" t="n"/>
      <c r="O12" s="15" t="n"/>
      <c r="P12" s="15" t="n"/>
      <c r="Q12" s="15" t="n"/>
      <c r="R12" s="15" t="n"/>
      <c r="S12" s="15" t="n"/>
      <c r="T12" s="15" t="n"/>
    </row>
    <row r="13">
      <c r="A13" s="14" t="inlineStr">
        <is>
          <t>FB-2025-009</t>
        </is>
      </c>
      <c r="B13" s="15" t="n"/>
      <c r="C13" s="24">
        <f>IFERROR(VLOOKUP(B13,'Distribution Tracking'!A:B,2,FALSE),"")</f>
        <v/>
      </c>
      <c r="D13" s="15" t="n"/>
      <c r="E13" s="24">
        <f>IFERROR(VLOOKUP(D13,'Stakeholder Registry'!A:B,2,FALSE),"")</f>
        <v/>
      </c>
      <c r="F13" s="23" t="n"/>
      <c r="G13" s="15" t="n"/>
      <c r="H13" s="17" t="n"/>
      <c r="I13" s="17" t="n"/>
      <c r="J13" s="17" t="n"/>
      <c r="K13" s="17" t="n"/>
      <c r="L13" s="17" t="n"/>
      <c r="M13" s="15" t="n"/>
      <c r="N13" s="15" t="n"/>
      <c r="O13" s="15" t="n"/>
      <c r="P13" s="15" t="n"/>
      <c r="Q13" s="15" t="n"/>
      <c r="R13" s="15" t="n"/>
      <c r="S13" s="15" t="n"/>
      <c r="T13" s="15" t="n"/>
    </row>
    <row r="14">
      <c r="A14" s="14" t="inlineStr">
        <is>
          <t>FB-2025-010</t>
        </is>
      </c>
      <c r="B14" s="15" t="n"/>
      <c r="C14" s="24">
        <f>IFERROR(VLOOKUP(B14,'Distribution Tracking'!A:B,2,FALSE),"")</f>
        <v/>
      </c>
      <c r="D14" s="15" t="n"/>
      <c r="E14" s="24">
        <f>IFERROR(VLOOKUP(D14,'Stakeholder Registry'!A:B,2,FALSE),"")</f>
        <v/>
      </c>
      <c r="F14" s="23" t="n"/>
      <c r="G14" s="15" t="n"/>
      <c r="H14" s="17" t="n"/>
      <c r="I14" s="17" t="n"/>
      <c r="J14" s="17" t="n"/>
      <c r="K14" s="17" t="n"/>
      <c r="L14" s="17" t="n"/>
      <c r="M14" s="15" t="n"/>
      <c r="N14" s="15" t="n"/>
      <c r="O14" s="15" t="n"/>
      <c r="P14" s="15" t="n"/>
      <c r="Q14" s="15" t="n"/>
      <c r="R14" s="15" t="n"/>
      <c r="S14" s="15" t="n"/>
      <c r="T14" s="15" t="n"/>
    </row>
    <row r="15">
      <c r="A15" s="14" t="inlineStr">
        <is>
          <t>FB-2025-011</t>
        </is>
      </c>
      <c r="B15" s="15" t="n"/>
      <c r="C15" s="24">
        <f>IFERROR(VLOOKUP(B15,'Distribution Tracking'!A:B,2,FALSE),"")</f>
        <v/>
      </c>
      <c r="D15" s="15" t="n"/>
      <c r="E15" s="24">
        <f>IFERROR(VLOOKUP(D15,'Stakeholder Registry'!A:B,2,FALSE),"")</f>
        <v/>
      </c>
      <c r="F15" s="23" t="n"/>
      <c r="G15" s="15" t="n"/>
      <c r="H15" s="17" t="n"/>
      <c r="I15" s="17" t="n"/>
      <c r="J15" s="17" t="n"/>
      <c r="K15" s="17" t="n"/>
      <c r="L15" s="17" t="n"/>
      <c r="M15" s="15" t="n"/>
      <c r="N15" s="15" t="n"/>
      <c r="O15" s="15" t="n"/>
      <c r="P15" s="15" t="n"/>
      <c r="Q15" s="15" t="n"/>
      <c r="R15" s="15" t="n"/>
      <c r="S15" s="15" t="n"/>
      <c r="T15" s="15" t="n"/>
    </row>
    <row r="16">
      <c r="A16" s="14" t="inlineStr">
        <is>
          <t>FB-2025-012</t>
        </is>
      </c>
      <c r="B16" s="15" t="n"/>
      <c r="C16" s="24">
        <f>IFERROR(VLOOKUP(B16,'Distribution Tracking'!A:B,2,FALSE),"")</f>
        <v/>
      </c>
      <c r="D16" s="15" t="n"/>
      <c r="E16" s="24">
        <f>IFERROR(VLOOKUP(D16,'Stakeholder Registry'!A:B,2,FALSE),"")</f>
        <v/>
      </c>
      <c r="F16" s="23" t="n"/>
      <c r="G16" s="15" t="n"/>
      <c r="H16" s="17" t="n"/>
      <c r="I16" s="17" t="n"/>
      <c r="J16" s="17" t="n"/>
      <c r="K16" s="17" t="n"/>
      <c r="L16" s="17" t="n"/>
      <c r="M16" s="15" t="n"/>
      <c r="N16" s="15" t="n"/>
      <c r="O16" s="15" t="n"/>
      <c r="P16" s="15" t="n"/>
      <c r="Q16" s="15" t="n"/>
      <c r="R16" s="15" t="n"/>
      <c r="S16" s="15" t="n"/>
      <c r="T16" s="15" t="n"/>
    </row>
    <row r="17">
      <c r="A17" s="14" t="inlineStr">
        <is>
          <t>FB-2025-013</t>
        </is>
      </c>
      <c r="B17" s="15" t="n"/>
      <c r="C17" s="24">
        <f>IFERROR(VLOOKUP(B17,'Distribution Tracking'!A:B,2,FALSE),"")</f>
        <v/>
      </c>
      <c r="D17" s="15" t="n"/>
      <c r="E17" s="24">
        <f>IFERROR(VLOOKUP(D17,'Stakeholder Registry'!A:B,2,FALSE),"")</f>
        <v/>
      </c>
      <c r="F17" s="23" t="n"/>
      <c r="G17" s="15" t="n"/>
      <c r="H17" s="17" t="n"/>
      <c r="I17" s="17" t="n"/>
      <c r="J17" s="17" t="n"/>
      <c r="K17" s="17" t="n"/>
      <c r="L17" s="17" t="n"/>
      <c r="M17" s="15" t="n"/>
      <c r="N17" s="15" t="n"/>
      <c r="O17" s="15" t="n"/>
      <c r="P17" s="15" t="n"/>
      <c r="Q17" s="15" t="n"/>
      <c r="R17" s="15" t="n"/>
      <c r="S17" s="15" t="n"/>
      <c r="T17" s="15" t="n"/>
    </row>
    <row r="18">
      <c r="A18" s="14" t="inlineStr">
        <is>
          <t>FB-2025-014</t>
        </is>
      </c>
      <c r="B18" s="15" t="n"/>
      <c r="C18" s="24">
        <f>IFERROR(VLOOKUP(B18,'Distribution Tracking'!A:B,2,FALSE),"")</f>
        <v/>
      </c>
      <c r="D18" s="15" t="n"/>
      <c r="E18" s="24">
        <f>IFERROR(VLOOKUP(D18,'Stakeholder Registry'!A:B,2,FALSE),"")</f>
        <v/>
      </c>
      <c r="F18" s="23" t="n"/>
      <c r="G18" s="15" t="n"/>
      <c r="H18" s="17" t="n"/>
      <c r="I18" s="17" t="n"/>
      <c r="J18" s="17" t="n"/>
      <c r="K18" s="17" t="n"/>
      <c r="L18" s="17" t="n"/>
      <c r="M18" s="15" t="n"/>
      <c r="N18" s="15" t="n"/>
      <c r="O18" s="15" t="n"/>
      <c r="P18" s="15" t="n"/>
      <c r="Q18" s="15" t="n"/>
      <c r="R18" s="15" t="n"/>
      <c r="S18" s="15" t="n"/>
      <c r="T18" s="15" t="n"/>
    </row>
    <row r="19">
      <c r="A19" s="14" t="inlineStr">
        <is>
          <t>FB-2025-015</t>
        </is>
      </c>
      <c r="B19" s="15" t="n"/>
      <c r="C19" s="24">
        <f>IFERROR(VLOOKUP(B19,'Distribution Tracking'!A:B,2,FALSE),"")</f>
        <v/>
      </c>
      <c r="D19" s="15" t="n"/>
      <c r="E19" s="24">
        <f>IFERROR(VLOOKUP(D19,'Stakeholder Registry'!A:B,2,FALSE),"")</f>
        <v/>
      </c>
      <c r="F19" s="23" t="n"/>
      <c r="G19" s="15" t="n"/>
      <c r="H19" s="17" t="n"/>
      <c r="I19" s="17" t="n"/>
      <c r="J19" s="17" t="n"/>
      <c r="K19" s="17" t="n"/>
      <c r="L19" s="17" t="n"/>
      <c r="M19" s="15" t="n"/>
      <c r="N19" s="15" t="n"/>
      <c r="O19" s="15" t="n"/>
      <c r="P19" s="15" t="n"/>
      <c r="Q19" s="15" t="n"/>
      <c r="R19" s="15" t="n"/>
      <c r="S19" s="15" t="n"/>
      <c r="T19" s="15" t="n"/>
    </row>
    <row r="20">
      <c r="A20" s="14" t="inlineStr">
        <is>
          <t>FB-2025-016</t>
        </is>
      </c>
      <c r="B20" s="15" t="n"/>
      <c r="C20" s="24">
        <f>IFERROR(VLOOKUP(B20,'Distribution Tracking'!A:B,2,FALSE),"")</f>
        <v/>
      </c>
      <c r="D20" s="15" t="n"/>
      <c r="E20" s="24">
        <f>IFERROR(VLOOKUP(D20,'Stakeholder Registry'!A:B,2,FALSE),"")</f>
        <v/>
      </c>
      <c r="F20" s="23" t="n"/>
      <c r="G20" s="15" t="n"/>
      <c r="H20" s="17" t="n"/>
      <c r="I20" s="17" t="n"/>
      <c r="J20" s="17" t="n"/>
      <c r="K20" s="17" t="n"/>
      <c r="L20" s="17" t="n"/>
      <c r="M20" s="15" t="n"/>
      <c r="N20" s="15" t="n"/>
      <c r="O20" s="15" t="n"/>
      <c r="P20" s="15" t="n"/>
      <c r="Q20" s="15" t="n"/>
      <c r="R20" s="15" t="n"/>
      <c r="S20" s="15" t="n"/>
      <c r="T20" s="15" t="n"/>
    </row>
    <row r="21">
      <c r="A21" s="14" t="inlineStr">
        <is>
          <t>FB-2025-017</t>
        </is>
      </c>
      <c r="B21" s="15" t="n"/>
      <c r="C21" s="24">
        <f>IFERROR(VLOOKUP(B21,'Distribution Tracking'!A:B,2,FALSE),"")</f>
        <v/>
      </c>
      <c r="D21" s="15" t="n"/>
      <c r="E21" s="24">
        <f>IFERROR(VLOOKUP(D21,'Stakeholder Registry'!A:B,2,FALSE),"")</f>
        <v/>
      </c>
      <c r="F21" s="23" t="n"/>
      <c r="G21" s="15" t="n"/>
      <c r="H21" s="17" t="n"/>
      <c r="I21" s="17" t="n"/>
      <c r="J21" s="17" t="n"/>
      <c r="K21" s="17" t="n"/>
      <c r="L21" s="17" t="n"/>
      <c r="M21" s="15" t="n"/>
      <c r="N21" s="15" t="n"/>
      <c r="O21" s="15" t="n"/>
      <c r="P21" s="15" t="n"/>
      <c r="Q21" s="15" t="n"/>
      <c r="R21" s="15" t="n"/>
      <c r="S21" s="15" t="n"/>
      <c r="T21" s="15" t="n"/>
    </row>
    <row r="22">
      <c r="A22" s="14" t="inlineStr">
        <is>
          <t>FB-2025-018</t>
        </is>
      </c>
      <c r="B22" s="15" t="n"/>
      <c r="C22" s="24">
        <f>IFERROR(VLOOKUP(B22,'Distribution Tracking'!A:B,2,FALSE),"")</f>
        <v/>
      </c>
      <c r="D22" s="15" t="n"/>
      <c r="E22" s="24">
        <f>IFERROR(VLOOKUP(D22,'Stakeholder Registry'!A:B,2,FALSE),"")</f>
        <v/>
      </c>
      <c r="F22" s="23" t="n"/>
      <c r="G22" s="15" t="n"/>
      <c r="H22" s="17" t="n"/>
      <c r="I22" s="17" t="n"/>
      <c r="J22" s="17" t="n"/>
      <c r="K22" s="17" t="n"/>
      <c r="L22" s="17" t="n"/>
      <c r="M22" s="15" t="n"/>
      <c r="N22" s="15" t="n"/>
      <c r="O22" s="15" t="n"/>
      <c r="P22" s="15" t="n"/>
      <c r="Q22" s="15" t="n"/>
      <c r="R22" s="15" t="n"/>
      <c r="S22" s="15" t="n"/>
      <c r="T22" s="15" t="n"/>
    </row>
    <row r="23">
      <c r="A23" s="14" t="inlineStr">
        <is>
          <t>FB-2025-019</t>
        </is>
      </c>
      <c r="B23" s="15" t="n"/>
      <c r="C23" s="24">
        <f>IFERROR(VLOOKUP(B23,'Distribution Tracking'!A:B,2,FALSE),"")</f>
        <v/>
      </c>
      <c r="D23" s="15" t="n"/>
      <c r="E23" s="24">
        <f>IFERROR(VLOOKUP(D23,'Stakeholder Registry'!A:B,2,FALSE),"")</f>
        <v/>
      </c>
      <c r="F23" s="23" t="n"/>
      <c r="G23" s="15" t="n"/>
      <c r="H23" s="17" t="n"/>
      <c r="I23" s="17" t="n"/>
      <c r="J23" s="17" t="n"/>
      <c r="K23" s="17" t="n"/>
      <c r="L23" s="17" t="n"/>
      <c r="M23" s="15" t="n"/>
      <c r="N23" s="15" t="n"/>
      <c r="O23" s="15" t="n"/>
      <c r="P23" s="15" t="n"/>
      <c r="Q23" s="15" t="n"/>
      <c r="R23" s="15" t="n"/>
      <c r="S23" s="15" t="n"/>
      <c r="T23" s="15" t="n"/>
    </row>
    <row r="24">
      <c r="A24" s="14" t="inlineStr">
        <is>
          <t>FB-2025-020</t>
        </is>
      </c>
      <c r="B24" s="15" t="n"/>
      <c r="C24" s="24">
        <f>IFERROR(VLOOKUP(B24,'Distribution Tracking'!A:B,2,FALSE),"")</f>
        <v/>
      </c>
      <c r="D24" s="15" t="n"/>
      <c r="E24" s="24">
        <f>IFERROR(VLOOKUP(D24,'Stakeholder Registry'!A:B,2,FALSE),"")</f>
        <v/>
      </c>
      <c r="F24" s="23" t="n"/>
      <c r="G24" s="15" t="n"/>
      <c r="H24" s="17" t="n"/>
      <c r="I24" s="17" t="n"/>
      <c r="J24" s="17" t="n"/>
      <c r="K24" s="17" t="n"/>
      <c r="L24" s="17" t="n"/>
      <c r="M24" s="15" t="n"/>
      <c r="N24" s="15" t="n"/>
      <c r="O24" s="15" t="n"/>
      <c r="P24" s="15" t="n"/>
      <c r="Q24" s="15" t="n"/>
      <c r="R24" s="15" t="n"/>
      <c r="S24" s="15" t="n"/>
      <c r="T24" s="15" t="n"/>
    </row>
    <row r="25">
      <c r="A25" s="14" t="inlineStr">
        <is>
          <t>FB-2025-021</t>
        </is>
      </c>
      <c r="B25" s="15" t="n"/>
      <c r="C25" s="24">
        <f>IFERROR(VLOOKUP(B25,'Distribution Tracking'!A:B,2,FALSE),"")</f>
        <v/>
      </c>
      <c r="D25" s="15" t="n"/>
      <c r="E25" s="24">
        <f>IFERROR(VLOOKUP(D25,'Stakeholder Registry'!A:B,2,FALSE),"")</f>
        <v/>
      </c>
      <c r="F25" s="23" t="n"/>
      <c r="G25" s="15" t="n"/>
      <c r="H25" s="17" t="n"/>
      <c r="I25" s="17" t="n"/>
      <c r="J25" s="17" t="n"/>
      <c r="K25" s="17" t="n"/>
      <c r="L25" s="17" t="n"/>
      <c r="M25" s="15" t="n"/>
      <c r="N25" s="15" t="n"/>
      <c r="O25" s="15" t="n"/>
      <c r="P25" s="15" t="n"/>
      <c r="Q25" s="15" t="n"/>
      <c r="R25" s="15" t="n"/>
      <c r="S25" s="15" t="n"/>
      <c r="T25" s="15" t="n"/>
    </row>
    <row r="26">
      <c r="A26" s="14" t="inlineStr">
        <is>
          <t>FB-2025-022</t>
        </is>
      </c>
      <c r="B26" s="15" t="n"/>
      <c r="C26" s="24">
        <f>IFERROR(VLOOKUP(B26,'Distribution Tracking'!A:B,2,FALSE),"")</f>
        <v/>
      </c>
      <c r="D26" s="15" t="n"/>
      <c r="E26" s="24">
        <f>IFERROR(VLOOKUP(D26,'Stakeholder Registry'!A:B,2,FALSE),"")</f>
        <v/>
      </c>
      <c r="F26" s="23" t="n"/>
      <c r="G26" s="15" t="n"/>
      <c r="H26" s="17" t="n"/>
      <c r="I26" s="17" t="n"/>
      <c r="J26" s="17" t="n"/>
      <c r="K26" s="17" t="n"/>
      <c r="L26" s="17" t="n"/>
      <c r="M26" s="15" t="n"/>
      <c r="N26" s="15" t="n"/>
      <c r="O26" s="15" t="n"/>
      <c r="P26" s="15" t="n"/>
      <c r="Q26" s="15" t="n"/>
      <c r="R26" s="15" t="n"/>
      <c r="S26" s="15" t="n"/>
      <c r="T26" s="15" t="n"/>
    </row>
    <row r="27">
      <c r="A27" s="14" t="inlineStr">
        <is>
          <t>FB-2025-023</t>
        </is>
      </c>
      <c r="B27" s="15" t="n"/>
      <c r="C27" s="24">
        <f>IFERROR(VLOOKUP(B27,'Distribution Tracking'!A:B,2,FALSE),"")</f>
        <v/>
      </c>
      <c r="D27" s="15" t="n"/>
      <c r="E27" s="24">
        <f>IFERROR(VLOOKUP(D27,'Stakeholder Registry'!A:B,2,FALSE),"")</f>
        <v/>
      </c>
      <c r="F27" s="23" t="n"/>
      <c r="G27" s="15" t="n"/>
      <c r="H27" s="17" t="n"/>
      <c r="I27" s="17" t="n"/>
      <c r="J27" s="17" t="n"/>
      <c r="K27" s="17" t="n"/>
      <c r="L27" s="17" t="n"/>
      <c r="M27" s="15" t="n"/>
      <c r="N27" s="15" t="n"/>
      <c r="O27" s="15" t="n"/>
      <c r="P27" s="15" t="n"/>
      <c r="Q27" s="15" t="n"/>
      <c r="R27" s="15" t="n"/>
      <c r="S27" s="15" t="n"/>
      <c r="T27" s="15" t="n"/>
    </row>
    <row r="28">
      <c r="A28" s="14" t="inlineStr">
        <is>
          <t>FB-2025-024</t>
        </is>
      </c>
      <c r="B28" s="15" t="n"/>
      <c r="C28" s="24">
        <f>IFERROR(VLOOKUP(B28,'Distribution Tracking'!A:B,2,FALSE),"")</f>
        <v/>
      </c>
      <c r="D28" s="15" t="n"/>
      <c r="E28" s="24">
        <f>IFERROR(VLOOKUP(D28,'Stakeholder Registry'!A:B,2,FALSE),"")</f>
        <v/>
      </c>
      <c r="F28" s="23" t="n"/>
      <c r="G28" s="15" t="n"/>
      <c r="H28" s="17" t="n"/>
      <c r="I28" s="17" t="n"/>
      <c r="J28" s="17" t="n"/>
      <c r="K28" s="17" t="n"/>
      <c r="L28" s="17" t="n"/>
      <c r="M28" s="15" t="n"/>
      <c r="N28" s="15" t="n"/>
      <c r="O28" s="15" t="n"/>
      <c r="P28" s="15" t="n"/>
      <c r="Q28" s="15" t="n"/>
      <c r="R28" s="15" t="n"/>
      <c r="S28" s="15" t="n"/>
      <c r="T28" s="15" t="n"/>
    </row>
    <row r="29">
      <c r="A29" s="14" t="inlineStr">
        <is>
          <t>FB-2025-025</t>
        </is>
      </c>
      <c r="B29" s="15" t="n"/>
      <c r="C29" s="24">
        <f>IFERROR(VLOOKUP(B29,'Distribution Tracking'!A:B,2,FALSE),"")</f>
        <v/>
      </c>
      <c r="D29" s="15" t="n"/>
      <c r="E29" s="24">
        <f>IFERROR(VLOOKUP(D29,'Stakeholder Registry'!A:B,2,FALSE),"")</f>
        <v/>
      </c>
      <c r="F29" s="23" t="n"/>
      <c r="G29" s="15" t="n"/>
      <c r="H29" s="17" t="n"/>
      <c r="I29" s="17" t="n"/>
      <c r="J29" s="17" t="n"/>
      <c r="K29" s="17" t="n"/>
      <c r="L29" s="17" t="n"/>
      <c r="M29" s="15" t="n"/>
      <c r="N29" s="15" t="n"/>
      <c r="O29" s="15" t="n"/>
      <c r="P29" s="15" t="n"/>
      <c r="Q29" s="15" t="n"/>
      <c r="R29" s="15" t="n"/>
      <c r="S29" s="15" t="n"/>
      <c r="T29" s="15" t="n"/>
    </row>
    <row r="30">
      <c r="A30" s="14" t="inlineStr">
        <is>
          <t>FB-2025-026</t>
        </is>
      </c>
      <c r="B30" s="15" t="n"/>
      <c r="C30" s="24">
        <f>IFERROR(VLOOKUP(B30,'Distribution Tracking'!A:B,2,FALSE),"")</f>
        <v/>
      </c>
      <c r="D30" s="15" t="n"/>
      <c r="E30" s="24">
        <f>IFERROR(VLOOKUP(D30,'Stakeholder Registry'!A:B,2,FALSE),"")</f>
        <v/>
      </c>
      <c r="F30" s="23" t="n"/>
      <c r="G30" s="15" t="n"/>
      <c r="H30" s="17" t="n"/>
      <c r="I30" s="17" t="n"/>
      <c r="J30" s="17" t="n"/>
      <c r="K30" s="17" t="n"/>
      <c r="L30" s="17" t="n"/>
      <c r="M30" s="15" t="n"/>
      <c r="N30" s="15" t="n"/>
      <c r="O30" s="15" t="n"/>
      <c r="P30" s="15" t="n"/>
      <c r="Q30" s="15" t="n"/>
      <c r="R30" s="15" t="n"/>
      <c r="S30" s="15" t="n"/>
      <c r="T30" s="15" t="n"/>
    </row>
    <row r="31">
      <c r="A31" s="14" t="inlineStr">
        <is>
          <t>FB-2025-027</t>
        </is>
      </c>
      <c r="B31" s="15" t="n"/>
      <c r="C31" s="24">
        <f>IFERROR(VLOOKUP(B31,'Distribution Tracking'!A:B,2,FALSE),"")</f>
        <v/>
      </c>
      <c r="D31" s="15" t="n"/>
      <c r="E31" s="24">
        <f>IFERROR(VLOOKUP(D31,'Stakeholder Registry'!A:B,2,FALSE),"")</f>
        <v/>
      </c>
      <c r="F31" s="23" t="n"/>
      <c r="G31" s="15" t="n"/>
      <c r="H31" s="17" t="n"/>
      <c r="I31" s="17" t="n"/>
      <c r="J31" s="17" t="n"/>
      <c r="K31" s="17" t="n"/>
      <c r="L31" s="17" t="n"/>
      <c r="M31" s="15" t="n"/>
      <c r="N31" s="15" t="n"/>
      <c r="O31" s="15" t="n"/>
      <c r="P31" s="15" t="n"/>
      <c r="Q31" s="15" t="n"/>
      <c r="R31" s="15" t="n"/>
      <c r="S31" s="15" t="n"/>
      <c r="T31" s="15" t="n"/>
    </row>
    <row r="32">
      <c r="A32" s="14" t="inlineStr">
        <is>
          <t>FB-2025-028</t>
        </is>
      </c>
      <c r="B32" s="15" t="n"/>
      <c r="C32" s="24">
        <f>IFERROR(VLOOKUP(B32,'Distribution Tracking'!A:B,2,FALSE),"")</f>
        <v/>
      </c>
      <c r="D32" s="15" t="n"/>
      <c r="E32" s="24">
        <f>IFERROR(VLOOKUP(D32,'Stakeholder Registry'!A:B,2,FALSE),"")</f>
        <v/>
      </c>
      <c r="F32" s="23" t="n"/>
      <c r="G32" s="15" t="n"/>
      <c r="H32" s="17" t="n"/>
      <c r="I32" s="17" t="n"/>
      <c r="J32" s="17" t="n"/>
      <c r="K32" s="17" t="n"/>
      <c r="L32" s="17" t="n"/>
      <c r="M32" s="15" t="n"/>
      <c r="N32" s="15" t="n"/>
      <c r="O32" s="15" t="n"/>
      <c r="P32" s="15" t="n"/>
      <c r="Q32" s="15" t="n"/>
      <c r="R32" s="15" t="n"/>
      <c r="S32" s="15" t="n"/>
      <c r="T32" s="15" t="n"/>
    </row>
    <row r="33">
      <c r="A33" s="14" t="inlineStr">
        <is>
          <t>FB-2025-029</t>
        </is>
      </c>
      <c r="B33" s="15" t="n"/>
      <c r="C33" s="24">
        <f>IFERROR(VLOOKUP(B33,'Distribution Tracking'!A:B,2,FALSE),"")</f>
        <v/>
      </c>
      <c r="D33" s="15" t="n"/>
      <c r="E33" s="24">
        <f>IFERROR(VLOOKUP(D33,'Stakeholder Registry'!A:B,2,FALSE),"")</f>
        <v/>
      </c>
      <c r="F33" s="23" t="n"/>
      <c r="G33" s="15" t="n"/>
      <c r="H33" s="17" t="n"/>
      <c r="I33" s="17" t="n"/>
      <c r="J33" s="17" t="n"/>
      <c r="K33" s="17" t="n"/>
      <c r="L33" s="17" t="n"/>
      <c r="M33" s="15" t="n"/>
      <c r="N33" s="15" t="n"/>
      <c r="O33" s="15" t="n"/>
      <c r="P33" s="15" t="n"/>
      <c r="Q33" s="15" t="n"/>
      <c r="R33" s="15" t="n"/>
      <c r="S33" s="15" t="n"/>
      <c r="T33" s="15" t="n"/>
    </row>
    <row r="34">
      <c r="A34" s="14" t="inlineStr">
        <is>
          <t>FB-2025-030</t>
        </is>
      </c>
      <c r="B34" s="15" t="n"/>
      <c r="C34" s="24">
        <f>IFERROR(VLOOKUP(B34,'Distribution Tracking'!A:B,2,FALSE),"")</f>
        <v/>
      </c>
      <c r="D34" s="15" t="n"/>
      <c r="E34" s="24">
        <f>IFERROR(VLOOKUP(D34,'Stakeholder Registry'!A:B,2,FALSE),"")</f>
        <v/>
      </c>
      <c r="F34" s="23" t="n"/>
      <c r="G34" s="15" t="n"/>
      <c r="H34" s="17" t="n"/>
      <c r="I34" s="17" t="n"/>
      <c r="J34" s="17" t="n"/>
      <c r="K34" s="17" t="n"/>
      <c r="L34" s="17" t="n"/>
      <c r="M34" s="15" t="n"/>
      <c r="N34" s="15" t="n"/>
      <c r="O34" s="15" t="n"/>
      <c r="P34" s="15" t="n"/>
      <c r="Q34" s="15" t="n"/>
      <c r="R34" s="15" t="n"/>
      <c r="S34" s="15" t="n"/>
      <c r="T34" s="15" t="n"/>
    </row>
    <row r="35">
      <c r="A35" s="14" t="inlineStr">
        <is>
          <t>FB-2025-031</t>
        </is>
      </c>
      <c r="B35" s="15" t="n"/>
      <c r="C35" s="24">
        <f>IFERROR(VLOOKUP(B35,'Distribution Tracking'!A:B,2,FALSE),"")</f>
        <v/>
      </c>
      <c r="D35" s="15" t="n"/>
      <c r="E35" s="24">
        <f>IFERROR(VLOOKUP(D35,'Stakeholder Registry'!A:B,2,FALSE),"")</f>
        <v/>
      </c>
      <c r="F35" s="23" t="n"/>
      <c r="G35" s="15" t="n"/>
      <c r="H35" s="17" t="n"/>
      <c r="I35" s="17" t="n"/>
      <c r="J35" s="17" t="n"/>
      <c r="K35" s="17" t="n"/>
      <c r="L35" s="17" t="n"/>
      <c r="M35" s="15" t="n"/>
      <c r="N35" s="15" t="n"/>
      <c r="O35" s="15" t="n"/>
      <c r="P35" s="15" t="n"/>
      <c r="Q35" s="15" t="n"/>
      <c r="R35" s="15" t="n"/>
      <c r="S35" s="15" t="n"/>
      <c r="T35" s="15" t="n"/>
    </row>
    <row r="36">
      <c r="A36" s="14" t="inlineStr">
        <is>
          <t>FB-2025-032</t>
        </is>
      </c>
      <c r="B36" s="15" t="n"/>
      <c r="C36" s="24">
        <f>IFERROR(VLOOKUP(B36,'Distribution Tracking'!A:B,2,FALSE),"")</f>
        <v/>
      </c>
      <c r="D36" s="15" t="n"/>
      <c r="E36" s="24">
        <f>IFERROR(VLOOKUP(D36,'Stakeholder Registry'!A:B,2,FALSE),"")</f>
        <v/>
      </c>
      <c r="F36" s="23" t="n"/>
      <c r="G36" s="15" t="n"/>
      <c r="H36" s="17" t="n"/>
      <c r="I36" s="17" t="n"/>
      <c r="J36" s="17" t="n"/>
      <c r="K36" s="17" t="n"/>
      <c r="L36" s="17" t="n"/>
      <c r="M36" s="15" t="n"/>
      <c r="N36" s="15" t="n"/>
      <c r="O36" s="15" t="n"/>
      <c r="P36" s="15" t="n"/>
      <c r="Q36" s="15" t="n"/>
      <c r="R36" s="15" t="n"/>
      <c r="S36" s="15" t="n"/>
      <c r="T36" s="15" t="n"/>
    </row>
    <row r="37">
      <c r="A37" s="14" t="inlineStr">
        <is>
          <t>FB-2025-033</t>
        </is>
      </c>
      <c r="B37" s="15" t="n"/>
      <c r="C37" s="24">
        <f>IFERROR(VLOOKUP(B37,'Distribution Tracking'!A:B,2,FALSE),"")</f>
        <v/>
      </c>
      <c r="D37" s="15" t="n"/>
      <c r="E37" s="24">
        <f>IFERROR(VLOOKUP(D37,'Stakeholder Registry'!A:B,2,FALSE),"")</f>
        <v/>
      </c>
      <c r="F37" s="23" t="n"/>
      <c r="G37" s="15" t="n"/>
      <c r="H37" s="17" t="n"/>
      <c r="I37" s="17" t="n"/>
      <c r="J37" s="17" t="n"/>
      <c r="K37" s="17" t="n"/>
      <c r="L37" s="17" t="n"/>
      <c r="M37" s="15" t="n"/>
      <c r="N37" s="15" t="n"/>
      <c r="O37" s="15" t="n"/>
      <c r="P37" s="15" t="n"/>
      <c r="Q37" s="15" t="n"/>
      <c r="R37" s="15" t="n"/>
      <c r="S37" s="15" t="n"/>
      <c r="T37" s="15" t="n"/>
    </row>
    <row r="38">
      <c r="A38" s="14" t="inlineStr">
        <is>
          <t>FB-2025-034</t>
        </is>
      </c>
      <c r="B38" s="15" t="n"/>
      <c r="C38" s="24">
        <f>IFERROR(VLOOKUP(B38,'Distribution Tracking'!A:B,2,FALSE),"")</f>
        <v/>
      </c>
      <c r="D38" s="15" t="n"/>
      <c r="E38" s="24">
        <f>IFERROR(VLOOKUP(D38,'Stakeholder Registry'!A:B,2,FALSE),"")</f>
        <v/>
      </c>
      <c r="F38" s="23" t="n"/>
      <c r="G38" s="15" t="n"/>
      <c r="H38" s="17" t="n"/>
      <c r="I38" s="17" t="n"/>
      <c r="J38" s="17" t="n"/>
      <c r="K38" s="17" t="n"/>
      <c r="L38" s="17" t="n"/>
      <c r="M38" s="15" t="n"/>
      <c r="N38" s="15" t="n"/>
      <c r="O38" s="15" t="n"/>
      <c r="P38" s="15" t="n"/>
      <c r="Q38" s="15" t="n"/>
      <c r="R38" s="15" t="n"/>
      <c r="S38" s="15" t="n"/>
      <c r="T38" s="15" t="n"/>
    </row>
    <row r="39">
      <c r="A39" s="14" t="inlineStr">
        <is>
          <t>FB-2025-035</t>
        </is>
      </c>
      <c r="B39" s="15" t="n"/>
      <c r="C39" s="24">
        <f>IFERROR(VLOOKUP(B39,'Distribution Tracking'!A:B,2,FALSE),"")</f>
        <v/>
      </c>
      <c r="D39" s="15" t="n"/>
      <c r="E39" s="24">
        <f>IFERROR(VLOOKUP(D39,'Stakeholder Registry'!A:B,2,FALSE),"")</f>
        <v/>
      </c>
      <c r="F39" s="23" t="n"/>
      <c r="G39" s="15" t="n"/>
      <c r="H39" s="17" t="n"/>
      <c r="I39" s="17" t="n"/>
      <c r="J39" s="17" t="n"/>
      <c r="K39" s="17" t="n"/>
      <c r="L39" s="17" t="n"/>
      <c r="M39" s="15" t="n"/>
      <c r="N39" s="15" t="n"/>
      <c r="O39" s="15" t="n"/>
      <c r="P39" s="15" t="n"/>
      <c r="Q39" s="15" t="n"/>
      <c r="R39" s="15" t="n"/>
      <c r="S39" s="15" t="n"/>
      <c r="T39" s="15" t="n"/>
    </row>
    <row r="40">
      <c r="A40" s="14" t="inlineStr">
        <is>
          <t>FB-2025-036</t>
        </is>
      </c>
      <c r="B40" s="15" t="n"/>
      <c r="C40" s="24">
        <f>IFERROR(VLOOKUP(B40,'Distribution Tracking'!A:B,2,FALSE),"")</f>
        <v/>
      </c>
      <c r="D40" s="15" t="n"/>
      <c r="E40" s="24">
        <f>IFERROR(VLOOKUP(D40,'Stakeholder Registry'!A:B,2,FALSE),"")</f>
        <v/>
      </c>
      <c r="F40" s="23" t="n"/>
      <c r="G40" s="15" t="n"/>
      <c r="H40" s="17" t="n"/>
      <c r="I40" s="17" t="n"/>
      <c r="J40" s="17" t="n"/>
      <c r="K40" s="17" t="n"/>
      <c r="L40" s="17" t="n"/>
      <c r="M40" s="15" t="n"/>
      <c r="N40" s="15" t="n"/>
      <c r="O40" s="15" t="n"/>
      <c r="P40" s="15" t="n"/>
      <c r="Q40" s="15" t="n"/>
      <c r="R40" s="15" t="n"/>
      <c r="S40" s="15" t="n"/>
      <c r="T40" s="15" t="n"/>
    </row>
    <row r="41">
      <c r="A41" s="14" t="inlineStr">
        <is>
          <t>FB-2025-037</t>
        </is>
      </c>
      <c r="B41" s="15" t="n"/>
      <c r="C41" s="24">
        <f>IFERROR(VLOOKUP(B41,'Distribution Tracking'!A:B,2,FALSE),"")</f>
        <v/>
      </c>
      <c r="D41" s="15" t="n"/>
      <c r="E41" s="24">
        <f>IFERROR(VLOOKUP(D41,'Stakeholder Registry'!A:B,2,FALSE),"")</f>
        <v/>
      </c>
      <c r="F41" s="23" t="n"/>
      <c r="G41" s="15" t="n"/>
      <c r="H41" s="17" t="n"/>
      <c r="I41" s="17" t="n"/>
      <c r="J41" s="17" t="n"/>
      <c r="K41" s="17" t="n"/>
      <c r="L41" s="17" t="n"/>
      <c r="M41" s="15" t="n"/>
      <c r="N41" s="15" t="n"/>
      <c r="O41" s="15" t="n"/>
      <c r="P41" s="15" t="n"/>
      <c r="Q41" s="15" t="n"/>
      <c r="R41" s="15" t="n"/>
      <c r="S41" s="15" t="n"/>
      <c r="T41" s="15" t="n"/>
    </row>
    <row r="42">
      <c r="A42" s="14" t="inlineStr">
        <is>
          <t>FB-2025-038</t>
        </is>
      </c>
      <c r="B42" s="15" t="n"/>
      <c r="C42" s="24">
        <f>IFERROR(VLOOKUP(B42,'Distribution Tracking'!A:B,2,FALSE),"")</f>
        <v/>
      </c>
      <c r="D42" s="15" t="n"/>
      <c r="E42" s="24">
        <f>IFERROR(VLOOKUP(D42,'Stakeholder Registry'!A:B,2,FALSE),"")</f>
        <v/>
      </c>
      <c r="F42" s="23" t="n"/>
      <c r="G42" s="15" t="n"/>
      <c r="H42" s="17" t="n"/>
      <c r="I42" s="17" t="n"/>
      <c r="J42" s="17" t="n"/>
      <c r="K42" s="17" t="n"/>
      <c r="L42" s="17" t="n"/>
      <c r="M42" s="15" t="n"/>
      <c r="N42" s="15" t="n"/>
      <c r="O42" s="15" t="n"/>
      <c r="P42" s="15" t="n"/>
      <c r="Q42" s="15" t="n"/>
      <c r="R42" s="15" t="n"/>
      <c r="S42" s="15" t="n"/>
      <c r="T42" s="15" t="n"/>
    </row>
    <row r="43">
      <c r="A43" s="14" t="inlineStr">
        <is>
          <t>FB-2025-039</t>
        </is>
      </c>
      <c r="B43" s="15" t="n"/>
      <c r="C43" s="24">
        <f>IFERROR(VLOOKUP(B43,'Distribution Tracking'!A:B,2,FALSE),"")</f>
        <v/>
      </c>
      <c r="D43" s="15" t="n"/>
      <c r="E43" s="24">
        <f>IFERROR(VLOOKUP(D43,'Stakeholder Registry'!A:B,2,FALSE),"")</f>
        <v/>
      </c>
      <c r="F43" s="23" t="n"/>
      <c r="G43" s="15" t="n"/>
      <c r="H43" s="17" t="n"/>
      <c r="I43" s="17" t="n"/>
      <c r="J43" s="17" t="n"/>
      <c r="K43" s="17" t="n"/>
      <c r="L43" s="17" t="n"/>
      <c r="M43" s="15" t="n"/>
      <c r="N43" s="15" t="n"/>
      <c r="O43" s="15" t="n"/>
      <c r="P43" s="15" t="n"/>
      <c r="Q43" s="15" t="n"/>
      <c r="R43" s="15" t="n"/>
      <c r="S43" s="15" t="n"/>
      <c r="T43" s="15" t="n"/>
    </row>
    <row r="44">
      <c r="A44" s="14" t="inlineStr">
        <is>
          <t>FB-2025-040</t>
        </is>
      </c>
      <c r="B44" s="15" t="n"/>
      <c r="C44" s="24">
        <f>IFERROR(VLOOKUP(B44,'Distribution Tracking'!A:B,2,FALSE),"")</f>
        <v/>
      </c>
      <c r="D44" s="15" t="n"/>
      <c r="E44" s="24">
        <f>IFERROR(VLOOKUP(D44,'Stakeholder Registry'!A:B,2,FALSE),"")</f>
        <v/>
      </c>
      <c r="F44" s="23" t="n"/>
      <c r="G44" s="15" t="n"/>
      <c r="H44" s="17" t="n"/>
      <c r="I44" s="17" t="n"/>
      <c r="J44" s="17" t="n"/>
      <c r="K44" s="17" t="n"/>
      <c r="L44" s="17" t="n"/>
      <c r="M44" s="15" t="n"/>
      <c r="N44" s="15" t="n"/>
      <c r="O44" s="15" t="n"/>
      <c r="P44" s="15" t="n"/>
      <c r="Q44" s="15" t="n"/>
      <c r="R44" s="15" t="n"/>
      <c r="S44" s="15" t="n"/>
      <c r="T44" s="15" t="n"/>
    </row>
    <row r="45">
      <c r="A45" s="14" t="inlineStr">
        <is>
          <t>FB-2025-041</t>
        </is>
      </c>
      <c r="B45" s="15" t="n"/>
      <c r="C45" s="24">
        <f>IFERROR(VLOOKUP(B45,'Distribution Tracking'!A:B,2,FALSE),"")</f>
        <v/>
      </c>
      <c r="D45" s="15" t="n"/>
      <c r="E45" s="24">
        <f>IFERROR(VLOOKUP(D45,'Stakeholder Registry'!A:B,2,FALSE),"")</f>
        <v/>
      </c>
      <c r="F45" s="23" t="n"/>
      <c r="G45" s="15" t="n"/>
      <c r="H45" s="17" t="n"/>
      <c r="I45" s="17" t="n"/>
      <c r="J45" s="17" t="n"/>
      <c r="K45" s="17" t="n"/>
      <c r="L45" s="17" t="n"/>
      <c r="M45" s="15" t="n"/>
      <c r="N45" s="15" t="n"/>
      <c r="O45" s="15" t="n"/>
      <c r="P45" s="15" t="n"/>
      <c r="Q45" s="15" t="n"/>
      <c r="R45" s="15" t="n"/>
      <c r="S45" s="15" t="n"/>
      <c r="T45" s="15" t="n"/>
    </row>
    <row r="46">
      <c r="A46" s="14" t="inlineStr">
        <is>
          <t>FB-2025-042</t>
        </is>
      </c>
      <c r="B46" s="15" t="n"/>
      <c r="C46" s="24">
        <f>IFERROR(VLOOKUP(B46,'Distribution Tracking'!A:B,2,FALSE),"")</f>
        <v/>
      </c>
      <c r="D46" s="15" t="n"/>
      <c r="E46" s="24">
        <f>IFERROR(VLOOKUP(D46,'Stakeholder Registry'!A:B,2,FALSE),"")</f>
        <v/>
      </c>
      <c r="F46" s="23" t="n"/>
      <c r="G46" s="15" t="n"/>
      <c r="H46" s="17" t="n"/>
      <c r="I46" s="17" t="n"/>
      <c r="J46" s="17" t="n"/>
      <c r="K46" s="17" t="n"/>
      <c r="L46" s="17" t="n"/>
      <c r="M46" s="15" t="n"/>
      <c r="N46" s="15" t="n"/>
      <c r="O46" s="15" t="n"/>
      <c r="P46" s="15" t="n"/>
      <c r="Q46" s="15" t="n"/>
      <c r="R46" s="15" t="n"/>
      <c r="S46" s="15" t="n"/>
      <c r="T46" s="15" t="n"/>
    </row>
    <row r="47">
      <c r="A47" s="14" t="inlineStr">
        <is>
          <t>FB-2025-043</t>
        </is>
      </c>
      <c r="B47" s="15" t="n"/>
      <c r="C47" s="24">
        <f>IFERROR(VLOOKUP(B47,'Distribution Tracking'!A:B,2,FALSE),"")</f>
        <v/>
      </c>
      <c r="D47" s="15" t="n"/>
      <c r="E47" s="24">
        <f>IFERROR(VLOOKUP(D47,'Stakeholder Registry'!A:B,2,FALSE),"")</f>
        <v/>
      </c>
      <c r="F47" s="23" t="n"/>
      <c r="G47" s="15" t="n"/>
      <c r="H47" s="17" t="n"/>
      <c r="I47" s="17" t="n"/>
      <c r="J47" s="17" t="n"/>
      <c r="K47" s="17" t="n"/>
      <c r="L47" s="17" t="n"/>
      <c r="M47" s="15" t="n"/>
      <c r="N47" s="15" t="n"/>
      <c r="O47" s="15" t="n"/>
      <c r="P47" s="15" t="n"/>
      <c r="Q47" s="15" t="n"/>
      <c r="R47" s="15" t="n"/>
      <c r="S47" s="15" t="n"/>
      <c r="T47" s="15" t="n"/>
    </row>
    <row r="48">
      <c r="A48" s="14" t="inlineStr">
        <is>
          <t>FB-2025-044</t>
        </is>
      </c>
      <c r="B48" s="15" t="n"/>
      <c r="C48" s="24">
        <f>IFERROR(VLOOKUP(B48,'Distribution Tracking'!A:B,2,FALSE),"")</f>
        <v/>
      </c>
      <c r="D48" s="15" t="n"/>
      <c r="E48" s="24">
        <f>IFERROR(VLOOKUP(D48,'Stakeholder Registry'!A:B,2,FALSE),"")</f>
        <v/>
      </c>
      <c r="F48" s="23" t="n"/>
      <c r="G48" s="15" t="n"/>
      <c r="H48" s="17" t="n"/>
      <c r="I48" s="17" t="n"/>
      <c r="J48" s="17" t="n"/>
      <c r="K48" s="17" t="n"/>
      <c r="L48" s="17" t="n"/>
      <c r="M48" s="15" t="n"/>
      <c r="N48" s="15" t="n"/>
      <c r="O48" s="15" t="n"/>
      <c r="P48" s="15" t="n"/>
      <c r="Q48" s="15" t="n"/>
      <c r="R48" s="15" t="n"/>
      <c r="S48" s="15" t="n"/>
      <c r="T48" s="15" t="n"/>
    </row>
    <row r="49">
      <c r="A49" s="14" t="inlineStr">
        <is>
          <t>FB-2025-045</t>
        </is>
      </c>
      <c r="B49" s="15" t="n"/>
      <c r="C49" s="24">
        <f>IFERROR(VLOOKUP(B49,'Distribution Tracking'!A:B,2,FALSE),"")</f>
        <v/>
      </c>
      <c r="D49" s="15" t="n"/>
      <c r="E49" s="24">
        <f>IFERROR(VLOOKUP(D49,'Stakeholder Registry'!A:B,2,FALSE),"")</f>
        <v/>
      </c>
      <c r="F49" s="23" t="n"/>
      <c r="G49" s="15" t="n"/>
      <c r="H49" s="17" t="n"/>
      <c r="I49" s="17" t="n"/>
      <c r="J49" s="17" t="n"/>
      <c r="K49" s="17" t="n"/>
      <c r="L49" s="17" t="n"/>
      <c r="M49" s="15" t="n"/>
      <c r="N49" s="15" t="n"/>
      <c r="O49" s="15" t="n"/>
      <c r="P49" s="15" t="n"/>
      <c r="Q49" s="15" t="n"/>
      <c r="R49" s="15" t="n"/>
      <c r="S49" s="15" t="n"/>
      <c r="T49" s="15" t="n"/>
    </row>
    <row r="50">
      <c r="A50" s="14" t="inlineStr">
        <is>
          <t>FB-2025-046</t>
        </is>
      </c>
      <c r="B50" s="15" t="n"/>
      <c r="C50" s="24">
        <f>IFERROR(VLOOKUP(B50,'Distribution Tracking'!A:B,2,FALSE),"")</f>
        <v/>
      </c>
      <c r="D50" s="15" t="n"/>
      <c r="E50" s="24">
        <f>IFERROR(VLOOKUP(D50,'Stakeholder Registry'!A:B,2,FALSE),"")</f>
        <v/>
      </c>
      <c r="F50" s="23" t="n"/>
      <c r="G50" s="15" t="n"/>
      <c r="H50" s="17" t="n"/>
      <c r="I50" s="17" t="n"/>
      <c r="J50" s="17" t="n"/>
      <c r="K50" s="17" t="n"/>
      <c r="L50" s="17" t="n"/>
      <c r="M50" s="15" t="n"/>
      <c r="N50" s="15" t="n"/>
      <c r="O50" s="15" t="n"/>
      <c r="P50" s="15" t="n"/>
      <c r="Q50" s="15" t="n"/>
      <c r="R50" s="15" t="n"/>
      <c r="S50" s="15" t="n"/>
      <c r="T50" s="15" t="n"/>
    </row>
    <row r="51">
      <c r="A51" s="14" t="inlineStr">
        <is>
          <t>FB-2025-047</t>
        </is>
      </c>
      <c r="B51" s="15" t="n"/>
      <c r="C51" s="24">
        <f>IFERROR(VLOOKUP(B51,'Distribution Tracking'!A:B,2,FALSE),"")</f>
        <v/>
      </c>
      <c r="D51" s="15" t="n"/>
      <c r="E51" s="24">
        <f>IFERROR(VLOOKUP(D51,'Stakeholder Registry'!A:B,2,FALSE),"")</f>
        <v/>
      </c>
      <c r="F51" s="23" t="n"/>
      <c r="G51" s="15" t="n"/>
      <c r="H51" s="17" t="n"/>
      <c r="I51" s="17" t="n"/>
      <c r="J51" s="17" t="n"/>
      <c r="K51" s="17" t="n"/>
      <c r="L51" s="17" t="n"/>
      <c r="M51" s="15" t="n"/>
      <c r="N51" s="15" t="n"/>
      <c r="O51" s="15" t="n"/>
      <c r="P51" s="15" t="n"/>
      <c r="Q51" s="15" t="n"/>
      <c r="R51" s="15" t="n"/>
      <c r="S51" s="15" t="n"/>
      <c r="T51" s="15" t="n"/>
    </row>
    <row r="52">
      <c r="A52" s="14" t="inlineStr">
        <is>
          <t>FB-2025-048</t>
        </is>
      </c>
      <c r="B52" s="15" t="n"/>
      <c r="C52" s="24">
        <f>IFERROR(VLOOKUP(B52,'Distribution Tracking'!A:B,2,FALSE),"")</f>
        <v/>
      </c>
      <c r="D52" s="15" t="n"/>
      <c r="E52" s="24">
        <f>IFERROR(VLOOKUP(D52,'Stakeholder Registry'!A:B,2,FALSE),"")</f>
        <v/>
      </c>
      <c r="F52" s="23" t="n"/>
      <c r="G52" s="15" t="n"/>
      <c r="H52" s="17" t="n"/>
      <c r="I52" s="17" t="n"/>
      <c r="J52" s="17" t="n"/>
      <c r="K52" s="17" t="n"/>
      <c r="L52" s="17" t="n"/>
      <c r="M52" s="15" t="n"/>
      <c r="N52" s="15" t="n"/>
      <c r="O52" s="15" t="n"/>
      <c r="P52" s="15" t="n"/>
      <c r="Q52" s="15" t="n"/>
      <c r="R52" s="15" t="n"/>
      <c r="S52" s="15" t="n"/>
      <c r="T52" s="15" t="n"/>
    </row>
    <row r="53">
      <c r="A53" s="14" t="inlineStr">
        <is>
          <t>FB-2025-049</t>
        </is>
      </c>
      <c r="B53" s="15" t="n"/>
      <c r="C53" s="24">
        <f>IFERROR(VLOOKUP(B53,'Distribution Tracking'!A:B,2,FALSE),"")</f>
        <v/>
      </c>
      <c r="D53" s="15" t="n"/>
      <c r="E53" s="24">
        <f>IFERROR(VLOOKUP(D53,'Stakeholder Registry'!A:B,2,FALSE),"")</f>
        <v/>
      </c>
      <c r="F53" s="23" t="n"/>
      <c r="G53" s="15" t="n"/>
      <c r="H53" s="17" t="n"/>
      <c r="I53" s="17" t="n"/>
      <c r="J53" s="17" t="n"/>
      <c r="K53" s="17" t="n"/>
      <c r="L53" s="17" t="n"/>
      <c r="M53" s="15" t="n"/>
      <c r="N53" s="15" t="n"/>
      <c r="O53" s="15" t="n"/>
      <c r="P53" s="15" t="n"/>
      <c r="Q53" s="15" t="n"/>
      <c r="R53" s="15" t="n"/>
      <c r="S53" s="15" t="n"/>
      <c r="T53" s="15" t="n"/>
    </row>
    <row r="54">
      <c r="A54" s="14" t="inlineStr">
        <is>
          <t>FB-2025-050</t>
        </is>
      </c>
      <c r="B54" s="15" t="n"/>
      <c r="C54" s="24">
        <f>IFERROR(VLOOKUP(B54,'Distribution Tracking'!A:B,2,FALSE),"")</f>
        <v/>
      </c>
      <c r="D54" s="15" t="n"/>
      <c r="E54" s="24">
        <f>IFERROR(VLOOKUP(D54,'Stakeholder Registry'!A:B,2,FALSE),"")</f>
        <v/>
      </c>
      <c r="F54" s="23" t="n"/>
      <c r="G54" s="15" t="n"/>
      <c r="H54" s="17" t="n"/>
      <c r="I54" s="17" t="n"/>
      <c r="J54" s="17" t="n"/>
      <c r="K54" s="17" t="n"/>
      <c r="L54" s="17" t="n"/>
      <c r="M54" s="15" t="n"/>
      <c r="N54" s="15" t="n"/>
      <c r="O54" s="15" t="n"/>
      <c r="P54" s="15" t="n"/>
      <c r="Q54" s="15" t="n"/>
      <c r="R54" s="15" t="n"/>
      <c r="S54" s="15" t="n"/>
      <c r="T54" s="15" t="n"/>
    </row>
    <row r="55">
      <c r="A55" s="14" t="inlineStr">
        <is>
          <t>FB-2025-051</t>
        </is>
      </c>
      <c r="B55" s="15" t="n"/>
      <c r="C55" s="24">
        <f>IFERROR(VLOOKUP(B55,'Distribution Tracking'!A:B,2,FALSE),"")</f>
        <v/>
      </c>
      <c r="D55" s="15" t="n"/>
      <c r="E55" s="24">
        <f>IFERROR(VLOOKUP(D55,'Stakeholder Registry'!A:B,2,FALSE),"")</f>
        <v/>
      </c>
      <c r="F55" s="23" t="n"/>
      <c r="G55" s="15" t="n"/>
      <c r="H55" s="17" t="n"/>
      <c r="I55" s="17" t="n"/>
      <c r="J55" s="17" t="n"/>
      <c r="K55" s="17" t="n"/>
      <c r="L55" s="17" t="n"/>
      <c r="M55" s="15" t="n"/>
      <c r="N55" s="15" t="n"/>
      <c r="O55" s="15" t="n"/>
      <c r="P55" s="15" t="n"/>
      <c r="Q55" s="15" t="n"/>
      <c r="R55" s="15" t="n"/>
      <c r="S55" s="15" t="n"/>
      <c r="T55" s="15" t="n"/>
    </row>
    <row r="56">
      <c r="A56" s="14" t="inlineStr">
        <is>
          <t>FB-2025-052</t>
        </is>
      </c>
      <c r="B56" s="15" t="n"/>
      <c r="C56" s="24">
        <f>IFERROR(VLOOKUP(B56,'Distribution Tracking'!A:B,2,FALSE),"")</f>
        <v/>
      </c>
      <c r="D56" s="15" t="n"/>
      <c r="E56" s="24">
        <f>IFERROR(VLOOKUP(D56,'Stakeholder Registry'!A:B,2,FALSE),"")</f>
        <v/>
      </c>
      <c r="F56" s="23" t="n"/>
      <c r="G56" s="15" t="n"/>
      <c r="H56" s="17" t="n"/>
      <c r="I56" s="17" t="n"/>
      <c r="J56" s="17" t="n"/>
      <c r="K56" s="17" t="n"/>
      <c r="L56" s="17" t="n"/>
      <c r="M56" s="15" t="n"/>
      <c r="N56" s="15" t="n"/>
      <c r="O56" s="15" t="n"/>
      <c r="P56" s="15" t="n"/>
      <c r="Q56" s="15" t="n"/>
      <c r="R56" s="15" t="n"/>
      <c r="S56" s="15" t="n"/>
      <c r="T56" s="15" t="n"/>
    </row>
    <row r="57">
      <c r="A57" s="14" t="inlineStr">
        <is>
          <t>FB-2025-053</t>
        </is>
      </c>
      <c r="B57" s="15" t="n"/>
      <c r="C57" s="24">
        <f>IFERROR(VLOOKUP(B57,'Distribution Tracking'!A:B,2,FALSE),"")</f>
        <v/>
      </c>
      <c r="D57" s="15" t="n"/>
      <c r="E57" s="24">
        <f>IFERROR(VLOOKUP(D57,'Stakeholder Registry'!A:B,2,FALSE),"")</f>
        <v/>
      </c>
      <c r="F57" s="23" t="n"/>
      <c r="G57" s="15" t="n"/>
      <c r="H57" s="17" t="n"/>
      <c r="I57" s="17" t="n"/>
      <c r="J57" s="17" t="n"/>
      <c r="K57" s="17" t="n"/>
      <c r="L57" s="17" t="n"/>
      <c r="M57" s="15" t="n"/>
      <c r="N57" s="15" t="n"/>
      <c r="O57" s="15" t="n"/>
      <c r="P57" s="15" t="n"/>
      <c r="Q57" s="15" t="n"/>
      <c r="R57" s="15" t="n"/>
      <c r="S57" s="15" t="n"/>
      <c r="T57" s="15" t="n"/>
    </row>
    <row r="58">
      <c r="A58" s="14" t="inlineStr">
        <is>
          <t>FB-2025-054</t>
        </is>
      </c>
      <c r="B58" s="15" t="n"/>
      <c r="C58" s="24">
        <f>IFERROR(VLOOKUP(B58,'Distribution Tracking'!A:B,2,FALSE),"")</f>
        <v/>
      </c>
      <c r="D58" s="15" t="n"/>
      <c r="E58" s="24">
        <f>IFERROR(VLOOKUP(D58,'Stakeholder Registry'!A:B,2,FALSE),"")</f>
        <v/>
      </c>
      <c r="F58" s="23" t="n"/>
      <c r="G58" s="15" t="n"/>
      <c r="H58" s="17" t="n"/>
      <c r="I58" s="17" t="n"/>
      <c r="J58" s="17" t="n"/>
      <c r="K58" s="17" t="n"/>
      <c r="L58" s="17" t="n"/>
      <c r="M58" s="15" t="n"/>
      <c r="N58" s="15" t="n"/>
      <c r="O58" s="15" t="n"/>
      <c r="P58" s="15" t="n"/>
      <c r="Q58" s="15" t="n"/>
      <c r="R58" s="15" t="n"/>
      <c r="S58" s="15" t="n"/>
      <c r="T58" s="15" t="n"/>
    </row>
    <row r="59">
      <c r="A59" s="14" t="inlineStr">
        <is>
          <t>FB-2025-055</t>
        </is>
      </c>
      <c r="B59" s="15" t="n"/>
      <c r="C59" s="24">
        <f>IFERROR(VLOOKUP(B59,'Distribution Tracking'!A:B,2,FALSE),"")</f>
        <v/>
      </c>
      <c r="D59" s="15" t="n"/>
      <c r="E59" s="24">
        <f>IFERROR(VLOOKUP(D59,'Stakeholder Registry'!A:B,2,FALSE),"")</f>
        <v/>
      </c>
      <c r="F59" s="23" t="n"/>
      <c r="G59" s="15" t="n"/>
      <c r="H59" s="17" t="n"/>
      <c r="I59" s="17" t="n"/>
      <c r="J59" s="17" t="n"/>
      <c r="K59" s="17" t="n"/>
      <c r="L59" s="17" t="n"/>
      <c r="M59" s="15" t="n"/>
      <c r="N59" s="15" t="n"/>
      <c r="O59" s="15" t="n"/>
      <c r="P59" s="15" t="n"/>
      <c r="Q59" s="15" t="n"/>
      <c r="R59" s="15" t="n"/>
      <c r="S59" s="15" t="n"/>
      <c r="T59" s="15" t="n"/>
    </row>
    <row r="60">
      <c r="A60" s="14" t="inlineStr">
        <is>
          <t>FB-2025-056</t>
        </is>
      </c>
      <c r="B60" s="15" t="n"/>
      <c r="C60" s="24">
        <f>IFERROR(VLOOKUP(B60,'Distribution Tracking'!A:B,2,FALSE),"")</f>
        <v/>
      </c>
      <c r="D60" s="15" t="n"/>
      <c r="E60" s="24">
        <f>IFERROR(VLOOKUP(D60,'Stakeholder Registry'!A:B,2,FALSE),"")</f>
        <v/>
      </c>
      <c r="F60" s="23" t="n"/>
      <c r="G60" s="15" t="n"/>
      <c r="H60" s="17" t="n"/>
      <c r="I60" s="17" t="n"/>
      <c r="J60" s="17" t="n"/>
      <c r="K60" s="17" t="n"/>
      <c r="L60" s="17" t="n"/>
      <c r="M60" s="15" t="n"/>
      <c r="N60" s="15" t="n"/>
      <c r="O60" s="15" t="n"/>
      <c r="P60" s="15" t="n"/>
      <c r="Q60" s="15" t="n"/>
      <c r="R60" s="15" t="n"/>
      <c r="S60" s="15" t="n"/>
      <c r="T60" s="15" t="n"/>
    </row>
    <row r="61">
      <c r="A61" s="14" t="inlineStr">
        <is>
          <t>FB-2025-057</t>
        </is>
      </c>
      <c r="B61" s="15" t="n"/>
      <c r="C61" s="24">
        <f>IFERROR(VLOOKUP(B61,'Distribution Tracking'!A:B,2,FALSE),"")</f>
        <v/>
      </c>
      <c r="D61" s="15" t="n"/>
      <c r="E61" s="24">
        <f>IFERROR(VLOOKUP(D61,'Stakeholder Registry'!A:B,2,FALSE),"")</f>
        <v/>
      </c>
      <c r="F61" s="23" t="n"/>
      <c r="G61" s="15" t="n"/>
      <c r="H61" s="17" t="n"/>
      <c r="I61" s="17" t="n"/>
      <c r="J61" s="17" t="n"/>
      <c r="K61" s="17" t="n"/>
      <c r="L61" s="17" t="n"/>
      <c r="M61" s="15" t="n"/>
      <c r="N61" s="15" t="n"/>
      <c r="O61" s="15" t="n"/>
      <c r="P61" s="15" t="n"/>
      <c r="Q61" s="15" t="n"/>
      <c r="R61" s="15" t="n"/>
      <c r="S61" s="15" t="n"/>
      <c r="T61" s="15" t="n"/>
    </row>
    <row r="62">
      <c r="A62" s="14" t="inlineStr">
        <is>
          <t>FB-2025-058</t>
        </is>
      </c>
      <c r="B62" s="15" t="n"/>
      <c r="C62" s="24">
        <f>IFERROR(VLOOKUP(B62,'Distribution Tracking'!A:B,2,FALSE),"")</f>
        <v/>
      </c>
      <c r="D62" s="15" t="n"/>
      <c r="E62" s="24">
        <f>IFERROR(VLOOKUP(D62,'Stakeholder Registry'!A:B,2,FALSE),"")</f>
        <v/>
      </c>
      <c r="F62" s="23" t="n"/>
      <c r="G62" s="15" t="n"/>
      <c r="H62" s="17" t="n"/>
      <c r="I62" s="17" t="n"/>
      <c r="J62" s="17" t="n"/>
      <c r="K62" s="17" t="n"/>
      <c r="L62" s="17" t="n"/>
      <c r="M62" s="15" t="n"/>
      <c r="N62" s="15" t="n"/>
      <c r="O62" s="15" t="n"/>
      <c r="P62" s="15" t="n"/>
      <c r="Q62" s="15" t="n"/>
      <c r="R62" s="15" t="n"/>
      <c r="S62" s="15" t="n"/>
      <c r="T62" s="15" t="n"/>
    </row>
    <row r="63">
      <c r="A63" s="14" t="inlineStr">
        <is>
          <t>FB-2025-059</t>
        </is>
      </c>
      <c r="B63" s="15" t="n"/>
      <c r="C63" s="24">
        <f>IFERROR(VLOOKUP(B63,'Distribution Tracking'!A:B,2,FALSE),"")</f>
        <v/>
      </c>
      <c r="D63" s="15" t="n"/>
      <c r="E63" s="24">
        <f>IFERROR(VLOOKUP(D63,'Stakeholder Registry'!A:B,2,FALSE),"")</f>
        <v/>
      </c>
      <c r="F63" s="23" t="n"/>
      <c r="G63" s="15" t="n"/>
      <c r="H63" s="17" t="n"/>
      <c r="I63" s="17" t="n"/>
      <c r="J63" s="17" t="n"/>
      <c r="K63" s="17" t="n"/>
      <c r="L63" s="17" t="n"/>
      <c r="M63" s="15" t="n"/>
      <c r="N63" s="15" t="n"/>
      <c r="O63" s="15" t="n"/>
      <c r="P63" s="15" t="n"/>
      <c r="Q63" s="15" t="n"/>
      <c r="R63" s="15" t="n"/>
      <c r="S63" s="15" t="n"/>
      <c r="T63" s="15" t="n"/>
    </row>
    <row r="64">
      <c r="A64" s="14" t="inlineStr">
        <is>
          <t>FB-2025-060</t>
        </is>
      </c>
      <c r="B64" s="15" t="n"/>
      <c r="C64" s="24">
        <f>IFERROR(VLOOKUP(B64,'Distribution Tracking'!A:B,2,FALSE),"")</f>
        <v/>
      </c>
      <c r="D64" s="15" t="n"/>
      <c r="E64" s="24">
        <f>IFERROR(VLOOKUP(D64,'Stakeholder Registry'!A:B,2,FALSE),"")</f>
        <v/>
      </c>
      <c r="F64" s="23" t="n"/>
      <c r="G64" s="15" t="n"/>
      <c r="H64" s="17" t="n"/>
      <c r="I64" s="17" t="n"/>
      <c r="J64" s="17" t="n"/>
      <c r="K64" s="17" t="n"/>
      <c r="L64" s="17" t="n"/>
      <c r="M64" s="15" t="n"/>
      <c r="N64" s="15" t="n"/>
      <c r="O64" s="15" t="n"/>
      <c r="P64" s="15" t="n"/>
      <c r="Q64" s="15" t="n"/>
      <c r="R64" s="15" t="n"/>
      <c r="S64" s="15" t="n"/>
      <c r="T64" s="15" t="n"/>
    </row>
    <row r="65">
      <c r="A65" s="14" t="inlineStr">
        <is>
          <t>FB-2025-061</t>
        </is>
      </c>
      <c r="B65" s="15" t="n"/>
      <c r="C65" s="24">
        <f>IFERROR(VLOOKUP(B65,'Distribution Tracking'!A:B,2,FALSE),"")</f>
        <v/>
      </c>
      <c r="D65" s="15" t="n"/>
      <c r="E65" s="24">
        <f>IFERROR(VLOOKUP(D65,'Stakeholder Registry'!A:B,2,FALSE),"")</f>
        <v/>
      </c>
      <c r="F65" s="23" t="n"/>
      <c r="G65" s="15" t="n"/>
      <c r="H65" s="17" t="n"/>
      <c r="I65" s="17" t="n"/>
      <c r="J65" s="17" t="n"/>
      <c r="K65" s="17" t="n"/>
      <c r="L65" s="17" t="n"/>
      <c r="M65" s="15" t="n"/>
      <c r="N65" s="15" t="n"/>
      <c r="O65" s="15" t="n"/>
      <c r="P65" s="15" t="n"/>
      <c r="Q65" s="15" t="n"/>
      <c r="R65" s="15" t="n"/>
      <c r="S65" s="15" t="n"/>
      <c r="T65" s="15" t="n"/>
    </row>
    <row r="66">
      <c r="A66" s="14" t="inlineStr">
        <is>
          <t>FB-2025-062</t>
        </is>
      </c>
      <c r="B66" s="15" t="n"/>
      <c r="C66" s="24">
        <f>IFERROR(VLOOKUP(B66,'Distribution Tracking'!A:B,2,FALSE),"")</f>
        <v/>
      </c>
      <c r="D66" s="15" t="n"/>
      <c r="E66" s="24">
        <f>IFERROR(VLOOKUP(D66,'Stakeholder Registry'!A:B,2,FALSE),"")</f>
        <v/>
      </c>
      <c r="F66" s="23" t="n"/>
      <c r="G66" s="15" t="n"/>
      <c r="H66" s="17" t="n"/>
      <c r="I66" s="17" t="n"/>
      <c r="J66" s="17" t="n"/>
      <c r="K66" s="17" t="n"/>
      <c r="L66" s="17" t="n"/>
      <c r="M66" s="15" t="n"/>
      <c r="N66" s="15" t="n"/>
      <c r="O66" s="15" t="n"/>
      <c r="P66" s="15" t="n"/>
      <c r="Q66" s="15" t="n"/>
      <c r="R66" s="15" t="n"/>
      <c r="S66" s="15" t="n"/>
      <c r="T66" s="15" t="n"/>
    </row>
    <row r="67">
      <c r="A67" s="14" t="inlineStr">
        <is>
          <t>FB-2025-063</t>
        </is>
      </c>
      <c r="B67" s="15" t="n"/>
      <c r="C67" s="24">
        <f>IFERROR(VLOOKUP(B67,'Distribution Tracking'!A:B,2,FALSE),"")</f>
        <v/>
      </c>
      <c r="D67" s="15" t="n"/>
      <c r="E67" s="24">
        <f>IFERROR(VLOOKUP(D67,'Stakeholder Registry'!A:B,2,FALSE),"")</f>
        <v/>
      </c>
      <c r="F67" s="23" t="n"/>
      <c r="G67" s="15" t="n"/>
      <c r="H67" s="17" t="n"/>
      <c r="I67" s="17" t="n"/>
      <c r="J67" s="17" t="n"/>
      <c r="K67" s="17" t="n"/>
      <c r="L67" s="17" t="n"/>
      <c r="M67" s="15" t="n"/>
      <c r="N67" s="15" t="n"/>
      <c r="O67" s="15" t="n"/>
      <c r="P67" s="15" t="n"/>
      <c r="Q67" s="15" t="n"/>
      <c r="R67" s="15" t="n"/>
      <c r="S67" s="15" t="n"/>
      <c r="T67" s="15" t="n"/>
    </row>
    <row r="68">
      <c r="A68" s="14" t="inlineStr">
        <is>
          <t>FB-2025-064</t>
        </is>
      </c>
      <c r="B68" s="15" t="n"/>
      <c r="C68" s="24">
        <f>IFERROR(VLOOKUP(B68,'Distribution Tracking'!A:B,2,FALSE),"")</f>
        <v/>
      </c>
      <c r="D68" s="15" t="n"/>
      <c r="E68" s="24">
        <f>IFERROR(VLOOKUP(D68,'Stakeholder Registry'!A:B,2,FALSE),"")</f>
        <v/>
      </c>
      <c r="F68" s="23" t="n"/>
      <c r="G68" s="15" t="n"/>
      <c r="H68" s="17" t="n"/>
      <c r="I68" s="17" t="n"/>
      <c r="J68" s="17" t="n"/>
      <c r="K68" s="17" t="n"/>
      <c r="L68" s="17" t="n"/>
      <c r="M68" s="15" t="n"/>
      <c r="N68" s="15" t="n"/>
      <c r="O68" s="15" t="n"/>
      <c r="P68" s="15" t="n"/>
      <c r="Q68" s="15" t="n"/>
      <c r="R68" s="15" t="n"/>
      <c r="S68" s="15" t="n"/>
      <c r="T68" s="15" t="n"/>
    </row>
    <row r="69">
      <c r="A69" s="14" t="inlineStr">
        <is>
          <t>FB-2025-065</t>
        </is>
      </c>
      <c r="B69" s="15" t="n"/>
      <c r="C69" s="24">
        <f>IFERROR(VLOOKUP(B69,'Distribution Tracking'!A:B,2,FALSE),"")</f>
        <v/>
      </c>
      <c r="D69" s="15" t="n"/>
      <c r="E69" s="24">
        <f>IFERROR(VLOOKUP(D69,'Stakeholder Registry'!A:B,2,FALSE),"")</f>
        <v/>
      </c>
      <c r="F69" s="23" t="n"/>
      <c r="G69" s="15" t="n"/>
      <c r="H69" s="17" t="n"/>
      <c r="I69" s="17" t="n"/>
      <c r="J69" s="17" t="n"/>
      <c r="K69" s="17" t="n"/>
      <c r="L69" s="17" t="n"/>
      <c r="M69" s="15" t="n"/>
      <c r="N69" s="15" t="n"/>
      <c r="O69" s="15" t="n"/>
      <c r="P69" s="15" t="n"/>
      <c r="Q69" s="15" t="n"/>
      <c r="R69" s="15" t="n"/>
      <c r="S69" s="15" t="n"/>
      <c r="T69" s="15" t="n"/>
    </row>
    <row r="70">
      <c r="A70" s="14" t="inlineStr">
        <is>
          <t>FB-2025-066</t>
        </is>
      </c>
      <c r="B70" s="15" t="n"/>
      <c r="C70" s="24">
        <f>IFERROR(VLOOKUP(B70,'Distribution Tracking'!A:B,2,FALSE),"")</f>
        <v/>
      </c>
      <c r="D70" s="15" t="n"/>
      <c r="E70" s="24">
        <f>IFERROR(VLOOKUP(D70,'Stakeholder Registry'!A:B,2,FALSE),"")</f>
        <v/>
      </c>
      <c r="F70" s="23" t="n"/>
      <c r="G70" s="15" t="n"/>
      <c r="H70" s="17" t="n"/>
      <c r="I70" s="17" t="n"/>
      <c r="J70" s="17" t="n"/>
      <c r="K70" s="17" t="n"/>
      <c r="L70" s="17" t="n"/>
      <c r="M70" s="15" t="n"/>
      <c r="N70" s="15" t="n"/>
      <c r="O70" s="15" t="n"/>
      <c r="P70" s="15" t="n"/>
      <c r="Q70" s="15" t="n"/>
      <c r="R70" s="15" t="n"/>
      <c r="S70" s="15" t="n"/>
      <c r="T70" s="15" t="n"/>
    </row>
    <row r="71">
      <c r="A71" s="14" t="inlineStr">
        <is>
          <t>FB-2025-067</t>
        </is>
      </c>
      <c r="B71" s="15" t="n"/>
      <c r="C71" s="24">
        <f>IFERROR(VLOOKUP(B71,'Distribution Tracking'!A:B,2,FALSE),"")</f>
        <v/>
      </c>
      <c r="D71" s="15" t="n"/>
      <c r="E71" s="24">
        <f>IFERROR(VLOOKUP(D71,'Stakeholder Registry'!A:B,2,FALSE),"")</f>
        <v/>
      </c>
      <c r="F71" s="23" t="n"/>
      <c r="G71" s="15" t="n"/>
      <c r="H71" s="17" t="n"/>
      <c r="I71" s="17" t="n"/>
      <c r="J71" s="17" t="n"/>
      <c r="K71" s="17" t="n"/>
      <c r="L71" s="17" t="n"/>
      <c r="M71" s="15" t="n"/>
      <c r="N71" s="15" t="n"/>
      <c r="O71" s="15" t="n"/>
      <c r="P71" s="15" t="n"/>
      <c r="Q71" s="15" t="n"/>
      <c r="R71" s="15" t="n"/>
      <c r="S71" s="15" t="n"/>
      <c r="T71" s="15" t="n"/>
    </row>
    <row r="72">
      <c r="A72" s="14" t="inlineStr">
        <is>
          <t>FB-2025-068</t>
        </is>
      </c>
      <c r="B72" s="15" t="n"/>
      <c r="C72" s="24">
        <f>IFERROR(VLOOKUP(B72,'Distribution Tracking'!A:B,2,FALSE),"")</f>
        <v/>
      </c>
      <c r="D72" s="15" t="n"/>
      <c r="E72" s="24">
        <f>IFERROR(VLOOKUP(D72,'Stakeholder Registry'!A:B,2,FALSE),"")</f>
        <v/>
      </c>
      <c r="F72" s="23" t="n"/>
      <c r="G72" s="15" t="n"/>
      <c r="H72" s="17" t="n"/>
      <c r="I72" s="17" t="n"/>
      <c r="J72" s="17" t="n"/>
      <c r="K72" s="17" t="n"/>
      <c r="L72" s="17" t="n"/>
      <c r="M72" s="15" t="n"/>
      <c r="N72" s="15" t="n"/>
      <c r="O72" s="15" t="n"/>
      <c r="P72" s="15" t="n"/>
      <c r="Q72" s="15" t="n"/>
      <c r="R72" s="15" t="n"/>
      <c r="S72" s="15" t="n"/>
      <c r="T72" s="15" t="n"/>
    </row>
    <row r="73">
      <c r="A73" s="14" t="inlineStr">
        <is>
          <t>FB-2025-069</t>
        </is>
      </c>
      <c r="B73" s="15" t="n"/>
      <c r="C73" s="24">
        <f>IFERROR(VLOOKUP(B73,'Distribution Tracking'!A:B,2,FALSE),"")</f>
        <v/>
      </c>
      <c r="D73" s="15" t="n"/>
      <c r="E73" s="24">
        <f>IFERROR(VLOOKUP(D73,'Stakeholder Registry'!A:B,2,FALSE),"")</f>
        <v/>
      </c>
      <c r="F73" s="23" t="n"/>
      <c r="G73" s="15" t="n"/>
      <c r="H73" s="17" t="n"/>
      <c r="I73" s="17" t="n"/>
      <c r="J73" s="17" t="n"/>
      <c r="K73" s="17" t="n"/>
      <c r="L73" s="17" t="n"/>
      <c r="M73" s="15" t="n"/>
      <c r="N73" s="15" t="n"/>
      <c r="O73" s="15" t="n"/>
      <c r="P73" s="15" t="n"/>
      <c r="Q73" s="15" t="n"/>
      <c r="R73" s="15" t="n"/>
      <c r="S73" s="15" t="n"/>
      <c r="T73" s="15" t="n"/>
    </row>
    <row r="74">
      <c r="A74" s="14" t="inlineStr">
        <is>
          <t>FB-2025-070</t>
        </is>
      </c>
      <c r="B74" s="15" t="n"/>
      <c r="C74" s="24">
        <f>IFERROR(VLOOKUP(B74,'Distribution Tracking'!A:B,2,FALSE),"")</f>
        <v/>
      </c>
      <c r="D74" s="15" t="n"/>
      <c r="E74" s="24">
        <f>IFERROR(VLOOKUP(D74,'Stakeholder Registry'!A:B,2,FALSE),"")</f>
        <v/>
      </c>
      <c r="F74" s="23" t="n"/>
      <c r="G74" s="15" t="n"/>
      <c r="H74" s="17" t="n"/>
      <c r="I74" s="17" t="n"/>
      <c r="J74" s="17" t="n"/>
      <c r="K74" s="17" t="n"/>
      <c r="L74" s="17" t="n"/>
      <c r="M74" s="15" t="n"/>
      <c r="N74" s="15" t="n"/>
      <c r="O74" s="15" t="n"/>
      <c r="P74" s="15" t="n"/>
      <c r="Q74" s="15" t="n"/>
      <c r="R74" s="15" t="n"/>
      <c r="S74" s="15" t="n"/>
      <c r="T74" s="15" t="n"/>
    </row>
    <row r="75">
      <c r="A75" s="14" t="inlineStr">
        <is>
          <t>FB-2025-071</t>
        </is>
      </c>
      <c r="B75" s="15" t="n"/>
      <c r="C75" s="24">
        <f>IFERROR(VLOOKUP(B75,'Distribution Tracking'!A:B,2,FALSE),"")</f>
        <v/>
      </c>
      <c r="D75" s="15" t="n"/>
      <c r="E75" s="24">
        <f>IFERROR(VLOOKUP(D75,'Stakeholder Registry'!A:B,2,FALSE),"")</f>
        <v/>
      </c>
      <c r="F75" s="23" t="n"/>
      <c r="G75" s="15" t="n"/>
      <c r="H75" s="17" t="n"/>
      <c r="I75" s="17" t="n"/>
      <c r="J75" s="17" t="n"/>
      <c r="K75" s="17" t="n"/>
      <c r="L75" s="17" t="n"/>
      <c r="M75" s="15" t="n"/>
      <c r="N75" s="15" t="n"/>
      <c r="O75" s="15" t="n"/>
      <c r="P75" s="15" t="n"/>
      <c r="Q75" s="15" t="n"/>
      <c r="R75" s="15" t="n"/>
      <c r="S75" s="15" t="n"/>
      <c r="T75" s="15" t="n"/>
    </row>
    <row r="76">
      <c r="A76" s="14" t="inlineStr">
        <is>
          <t>FB-2025-072</t>
        </is>
      </c>
      <c r="B76" s="15" t="n"/>
      <c r="C76" s="24">
        <f>IFERROR(VLOOKUP(B76,'Distribution Tracking'!A:B,2,FALSE),"")</f>
        <v/>
      </c>
      <c r="D76" s="15" t="n"/>
      <c r="E76" s="24">
        <f>IFERROR(VLOOKUP(D76,'Stakeholder Registry'!A:B,2,FALSE),"")</f>
        <v/>
      </c>
      <c r="F76" s="23" t="n"/>
      <c r="G76" s="15" t="n"/>
      <c r="H76" s="17" t="n"/>
      <c r="I76" s="17" t="n"/>
      <c r="J76" s="17" t="n"/>
      <c r="K76" s="17" t="n"/>
      <c r="L76" s="17" t="n"/>
      <c r="M76" s="15" t="n"/>
      <c r="N76" s="15" t="n"/>
      <c r="O76" s="15" t="n"/>
      <c r="P76" s="15" t="n"/>
      <c r="Q76" s="15" t="n"/>
      <c r="R76" s="15" t="n"/>
      <c r="S76" s="15" t="n"/>
      <c r="T76" s="15" t="n"/>
    </row>
    <row r="77">
      <c r="A77" s="14" t="inlineStr">
        <is>
          <t>FB-2025-073</t>
        </is>
      </c>
      <c r="B77" s="15" t="n"/>
      <c r="C77" s="24">
        <f>IFERROR(VLOOKUP(B77,'Distribution Tracking'!A:B,2,FALSE),"")</f>
        <v/>
      </c>
      <c r="D77" s="15" t="n"/>
      <c r="E77" s="24">
        <f>IFERROR(VLOOKUP(D77,'Stakeholder Registry'!A:B,2,FALSE),"")</f>
        <v/>
      </c>
      <c r="F77" s="23" t="n"/>
      <c r="G77" s="15" t="n"/>
      <c r="H77" s="17" t="n"/>
      <c r="I77" s="17" t="n"/>
      <c r="J77" s="17" t="n"/>
      <c r="K77" s="17" t="n"/>
      <c r="L77" s="17" t="n"/>
      <c r="M77" s="15" t="n"/>
      <c r="N77" s="15" t="n"/>
      <c r="O77" s="15" t="n"/>
      <c r="P77" s="15" t="n"/>
      <c r="Q77" s="15" t="n"/>
      <c r="R77" s="15" t="n"/>
      <c r="S77" s="15" t="n"/>
      <c r="T77" s="15" t="n"/>
    </row>
    <row r="78">
      <c r="A78" s="14" t="inlineStr">
        <is>
          <t>FB-2025-074</t>
        </is>
      </c>
      <c r="B78" s="15" t="n"/>
      <c r="C78" s="24">
        <f>IFERROR(VLOOKUP(B78,'Distribution Tracking'!A:B,2,FALSE),"")</f>
        <v/>
      </c>
      <c r="D78" s="15" t="n"/>
      <c r="E78" s="24">
        <f>IFERROR(VLOOKUP(D78,'Stakeholder Registry'!A:B,2,FALSE),"")</f>
        <v/>
      </c>
      <c r="F78" s="23" t="n"/>
      <c r="G78" s="15" t="n"/>
      <c r="H78" s="17" t="n"/>
      <c r="I78" s="17" t="n"/>
      <c r="J78" s="17" t="n"/>
      <c r="K78" s="17" t="n"/>
      <c r="L78" s="17" t="n"/>
      <c r="M78" s="15" t="n"/>
      <c r="N78" s="15" t="n"/>
      <c r="O78" s="15" t="n"/>
      <c r="P78" s="15" t="n"/>
      <c r="Q78" s="15" t="n"/>
      <c r="R78" s="15" t="n"/>
      <c r="S78" s="15" t="n"/>
      <c r="T78" s="15" t="n"/>
    </row>
    <row r="79">
      <c r="A79" s="14" t="inlineStr">
        <is>
          <t>FB-2025-075</t>
        </is>
      </c>
      <c r="B79" s="15" t="n"/>
      <c r="C79" s="24">
        <f>IFERROR(VLOOKUP(B79,'Distribution Tracking'!A:B,2,FALSE),"")</f>
        <v/>
      </c>
      <c r="D79" s="15" t="n"/>
      <c r="E79" s="24">
        <f>IFERROR(VLOOKUP(D79,'Stakeholder Registry'!A:B,2,FALSE),"")</f>
        <v/>
      </c>
      <c r="F79" s="23" t="n"/>
      <c r="G79" s="15" t="n"/>
      <c r="H79" s="17" t="n"/>
      <c r="I79" s="17" t="n"/>
      <c r="J79" s="17" t="n"/>
      <c r="K79" s="17" t="n"/>
      <c r="L79" s="17" t="n"/>
      <c r="M79" s="15" t="n"/>
      <c r="N79" s="15" t="n"/>
      <c r="O79" s="15" t="n"/>
      <c r="P79" s="15" t="n"/>
      <c r="Q79" s="15" t="n"/>
      <c r="R79" s="15" t="n"/>
      <c r="S79" s="15" t="n"/>
      <c r="T79" s="15" t="n"/>
    </row>
    <row r="80">
      <c r="A80" s="14" t="inlineStr">
        <is>
          <t>FB-2025-076</t>
        </is>
      </c>
      <c r="B80" s="15" t="n"/>
      <c r="C80" s="24">
        <f>IFERROR(VLOOKUP(B80,'Distribution Tracking'!A:B,2,FALSE),"")</f>
        <v/>
      </c>
      <c r="D80" s="15" t="n"/>
      <c r="E80" s="24">
        <f>IFERROR(VLOOKUP(D80,'Stakeholder Registry'!A:B,2,FALSE),"")</f>
        <v/>
      </c>
      <c r="F80" s="23" t="n"/>
      <c r="G80" s="15" t="n"/>
      <c r="H80" s="17" t="n"/>
      <c r="I80" s="17" t="n"/>
      <c r="J80" s="17" t="n"/>
      <c r="K80" s="17" t="n"/>
      <c r="L80" s="17" t="n"/>
      <c r="M80" s="15" t="n"/>
      <c r="N80" s="15" t="n"/>
      <c r="O80" s="15" t="n"/>
      <c r="P80" s="15" t="n"/>
      <c r="Q80" s="15" t="n"/>
      <c r="R80" s="15" t="n"/>
      <c r="S80" s="15" t="n"/>
      <c r="T80" s="15" t="n"/>
    </row>
    <row r="81">
      <c r="A81" s="14" t="inlineStr">
        <is>
          <t>FB-2025-077</t>
        </is>
      </c>
      <c r="B81" s="15" t="n"/>
      <c r="C81" s="24">
        <f>IFERROR(VLOOKUP(B81,'Distribution Tracking'!A:B,2,FALSE),"")</f>
        <v/>
      </c>
      <c r="D81" s="15" t="n"/>
      <c r="E81" s="24">
        <f>IFERROR(VLOOKUP(D81,'Stakeholder Registry'!A:B,2,FALSE),"")</f>
        <v/>
      </c>
      <c r="F81" s="23" t="n"/>
      <c r="G81" s="15" t="n"/>
      <c r="H81" s="17" t="n"/>
      <c r="I81" s="17" t="n"/>
      <c r="J81" s="17" t="n"/>
      <c r="K81" s="17" t="n"/>
      <c r="L81" s="17" t="n"/>
      <c r="M81" s="15" t="n"/>
      <c r="N81" s="15" t="n"/>
      <c r="O81" s="15" t="n"/>
      <c r="P81" s="15" t="n"/>
      <c r="Q81" s="15" t="n"/>
      <c r="R81" s="15" t="n"/>
      <c r="S81" s="15" t="n"/>
      <c r="T81" s="15" t="n"/>
    </row>
    <row r="82">
      <c r="A82" s="14" t="inlineStr">
        <is>
          <t>FB-2025-078</t>
        </is>
      </c>
      <c r="B82" s="15" t="n"/>
      <c r="C82" s="24">
        <f>IFERROR(VLOOKUP(B82,'Distribution Tracking'!A:B,2,FALSE),"")</f>
        <v/>
      </c>
      <c r="D82" s="15" t="n"/>
      <c r="E82" s="24">
        <f>IFERROR(VLOOKUP(D82,'Stakeholder Registry'!A:B,2,FALSE),"")</f>
        <v/>
      </c>
      <c r="F82" s="23" t="n"/>
      <c r="G82" s="15" t="n"/>
      <c r="H82" s="17" t="n"/>
      <c r="I82" s="17" t="n"/>
      <c r="J82" s="17" t="n"/>
      <c r="K82" s="17" t="n"/>
      <c r="L82" s="17" t="n"/>
      <c r="M82" s="15" t="n"/>
      <c r="N82" s="15" t="n"/>
      <c r="O82" s="15" t="n"/>
      <c r="P82" s="15" t="n"/>
      <c r="Q82" s="15" t="n"/>
      <c r="R82" s="15" t="n"/>
      <c r="S82" s="15" t="n"/>
      <c r="T82" s="15" t="n"/>
    </row>
    <row r="83">
      <c r="A83" s="14" t="inlineStr">
        <is>
          <t>FB-2025-079</t>
        </is>
      </c>
      <c r="B83" s="15" t="n"/>
      <c r="C83" s="24">
        <f>IFERROR(VLOOKUP(B83,'Distribution Tracking'!A:B,2,FALSE),"")</f>
        <v/>
      </c>
      <c r="D83" s="15" t="n"/>
      <c r="E83" s="24">
        <f>IFERROR(VLOOKUP(D83,'Stakeholder Registry'!A:B,2,FALSE),"")</f>
        <v/>
      </c>
      <c r="F83" s="23" t="n"/>
      <c r="G83" s="15" t="n"/>
      <c r="H83" s="17" t="n"/>
      <c r="I83" s="17" t="n"/>
      <c r="J83" s="17" t="n"/>
      <c r="K83" s="17" t="n"/>
      <c r="L83" s="17" t="n"/>
      <c r="M83" s="15" t="n"/>
      <c r="N83" s="15" t="n"/>
      <c r="O83" s="15" t="n"/>
      <c r="P83" s="15" t="n"/>
      <c r="Q83" s="15" t="n"/>
      <c r="R83" s="15" t="n"/>
      <c r="S83" s="15" t="n"/>
      <c r="T83" s="15" t="n"/>
    </row>
    <row r="84">
      <c r="A84" s="14" t="inlineStr">
        <is>
          <t>FB-2025-080</t>
        </is>
      </c>
      <c r="B84" s="15" t="n"/>
      <c r="C84" s="24">
        <f>IFERROR(VLOOKUP(B84,'Distribution Tracking'!A:B,2,FALSE),"")</f>
        <v/>
      </c>
      <c r="D84" s="15" t="n"/>
      <c r="E84" s="24">
        <f>IFERROR(VLOOKUP(D84,'Stakeholder Registry'!A:B,2,FALSE),"")</f>
        <v/>
      </c>
      <c r="F84" s="23" t="n"/>
      <c r="G84" s="15" t="n"/>
      <c r="H84" s="17" t="n"/>
      <c r="I84" s="17" t="n"/>
      <c r="J84" s="17" t="n"/>
      <c r="K84" s="17" t="n"/>
      <c r="L84" s="17" t="n"/>
      <c r="M84" s="15" t="n"/>
      <c r="N84" s="15" t="n"/>
      <c r="O84" s="15" t="n"/>
      <c r="P84" s="15" t="n"/>
      <c r="Q84" s="15" t="n"/>
      <c r="R84" s="15" t="n"/>
      <c r="S84" s="15" t="n"/>
      <c r="T84" s="15" t="n"/>
    </row>
    <row r="85">
      <c r="A85" s="14" t="inlineStr">
        <is>
          <t>FB-2025-081</t>
        </is>
      </c>
      <c r="B85" s="15" t="n"/>
      <c r="C85" s="24">
        <f>IFERROR(VLOOKUP(B85,'Distribution Tracking'!A:B,2,FALSE),"")</f>
        <v/>
      </c>
      <c r="D85" s="15" t="n"/>
      <c r="E85" s="24">
        <f>IFERROR(VLOOKUP(D85,'Stakeholder Registry'!A:B,2,FALSE),"")</f>
        <v/>
      </c>
      <c r="F85" s="23" t="n"/>
      <c r="G85" s="15" t="n"/>
      <c r="H85" s="17" t="n"/>
      <c r="I85" s="17" t="n"/>
      <c r="J85" s="17" t="n"/>
      <c r="K85" s="17" t="n"/>
      <c r="L85" s="17" t="n"/>
      <c r="M85" s="15" t="n"/>
      <c r="N85" s="15" t="n"/>
      <c r="O85" s="15" t="n"/>
      <c r="P85" s="15" t="n"/>
      <c r="Q85" s="15" t="n"/>
      <c r="R85" s="15" t="n"/>
      <c r="S85" s="15" t="n"/>
      <c r="T85" s="15" t="n"/>
    </row>
    <row r="86">
      <c r="A86" s="14" t="inlineStr">
        <is>
          <t>FB-2025-082</t>
        </is>
      </c>
      <c r="B86" s="15" t="n"/>
      <c r="C86" s="24">
        <f>IFERROR(VLOOKUP(B86,'Distribution Tracking'!A:B,2,FALSE),"")</f>
        <v/>
      </c>
      <c r="D86" s="15" t="n"/>
      <c r="E86" s="24">
        <f>IFERROR(VLOOKUP(D86,'Stakeholder Registry'!A:B,2,FALSE),"")</f>
        <v/>
      </c>
      <c r="F86" s="23" t="n"/>
      <c r="G86" s="15" t="n"/>
      <c r="H86" s="17" t="n"/>
      <c r="I86" s="17" t="n"/>
      <c r="J86" s="17" t="n"/>
      <c r="K86" s="17" t="n"/>
      <c r="L86" s="17" t="n"/>
      <c r="M86" s="15" t="n"/>
      <c r="N86" s="15" t="n"/>
      <c r="O86" s="15" t="n"/>
      <c r="P86" s="15" t="n"/>
      <c r="Q86" s="15" t="n"/>
      <c r="R86" s="15" t="n"/>
      <c r="S86" s="15" t="n"/>
      <c r="T86" s="15" t="n"/>
    </row>
    <row r="87">
      <c r="A87" s="14" t="inlineStr">
        <is>
          <t>FB-2025-083</t>
        </is>
      </c>
      <c r="B87" s="15" t="n"/>
      <c r="C87" s="24">
        <f>IFERROR(VLOOKUP(B87,'Distribution Tracking'!A:B,2,FALSE),"")</f>
        <v/>
      </c>
      <c r="D87" s="15" t="n"/>
      <c r="E87" s="24">
        <f>IFERROR(VLOOKUP(D87,'Stakeholder Registry'!A:B,2,FALSE),"")</f>
        <v/>
      </c>
      <c r="F87" s="23" t="n"/>
      <c r="G87" s="15" t="n"/>
      <c r="H87" s="17" t="n"/>
      <c r="I87" s="17" t="n"/>
      <c r="J87" s="17" t="n"/>
      <c r="K87" s="17" t="n"/>
      <c r="L87" s="17" t="n"/>
      <c r="M87" s="15" t="n"/>
      <c r="N87" s="15" t="n"/>
      <c r="O87" s="15" t="n"/>
      <c r="P87" s="15" t="n"/>
      <c r="Q87" s="15" t="n"/>
      <c r="R87" s="15" t="n"/>
      <c r="S87" s="15" t="n"/>
      <c r="T87" s="15" t="n"/>
    </row>
    <row r="88">
      <c r="A88" s="14" t="inlineStr">
        <is>
          <t>FB-2025-084</t>
        </is>
      </c>
      <c r="B88" s="15" t="n"/>
      <c r="C88" s="24">
        <f>IFERROR(VLOOKUP(B88,'Distribution Tracking'!A:B,2,FALSE),"")</f>
        <v/>
      </c>
      <c r="D88" s="15" t="n"/>
      <c r="E88" s="24">
        <f>IFERROR(VLOOKUP(D88,'Stakeholder Registry'!A:B,2,FALSE),"")</f>
        <v/>
      </c>
      <c r="F88" s="23" t="n"/>
      <c r="G88" s="15" t="n"/>
      <c r="H88" s="17" t="n"/>
      <c r="I88" s="17" t="n"/>
      <c r="J88" s="17" t="n"/>
      <c r="K88" s="17" t="n"/>
      <c r="L88" s="17" t="n"/>
      <c r="M88" s="15" t="n"/>
      <c r="N88" s="15" t="n"/>
      <c r="O88" s="15" t="n"/>
      <c r="P88" s="15" t="n"/>
      <c r="Q88" s="15" t="n"/>
      <c r="R88" s="15" t="n"/>
      <c r="S88" s="15" t="n"/>
      <c r="T88" s="15" t="n"/>
    </row>
    <row r="89">
      <c r="A89" s="14" t="inlineStr">
        <is>
          <t>FB-2025-085</t>
        </is>
      </c>
      <c r="B89" s="15" t="n"/>
      <c r="C89" s="24">
        <f>IFERROR(VLOOKUP(B89,'Distribution Tracking'!A:B,2,FALSE),"")</f>
        <v/>
      </c>
      <c r="D89" s="15" t="n"/>
      <c r="E89" s="24">
        <f>IFERROR(VLOOKUP(D89,'Stakeholder Registry'!A:B,2,FALSE),"")</f>
        <v/>
      </c>
      <c r="F89" s="23" t="n"/>
      <c r="G89" s="15" t="n"/>
      <c r="H89" s="17" t="n"/>
      <c r="I89" s="17" t="n"/>
      <c r="J89" s="17" t="n"/>
      <c r="K89" s="17" t="n"/>
      <c r="L89" s="17" t="n"/>
      <c r="M89" s="15" t="n"/>
      <c r="N89" s="15" t="n"/>
      <c r="O89" s="15" t="n"/>
      <c r="P89" s="15" t="n"/>
      <c r="Q89" s="15" t="n"/>
      <c r="R89" s="15" t="n"/>
      <c r="S89" s="15" t="n"/>
      <c r="T89" s="15" t="n"/>
    </row>
    <row r="90">
      <c r="A90" s="14" t="inlineStr">
        <is>
          <t>FB-2025-086</t>
        </is>
      </c>
      <c r="B90" s="15" t="n"/>
      <c r="C90" s="24">
        <f>IFERROR(VLOOKUP(B90,'Distribution Tracking'!A:B,2,FALSE),"")</f>
        <v/>
      </c>
      <c r="D90" s="15" t="n"/>
      <c r="E90" s="24">
        <f>IFERROR(VLOOKUP(D90,'Stakeholder Registry'!A:B,2,FALSE),"")</f>
        <v/>
      </c>
      <c r="F90" s="23" t="n"/>
      <c r="G90" s="15" t="n"/>
      <c r="H90" s="17" t="n"/>
      <c r="I90" s="17" t="n"/>
      <c r="J90" s="17" t="n"/>
      <c r="K90" s="17" t="n"/>
      <c r="L90" s="17" t="n"/>
      <c r="M90" s="15" t="n"/>
      <c r="N90" s="15" t="n"/>
      <c r="O90" s="15" t="n"/>
      <c r="P90" s="15" t="n"/>
      <c r="Q90" s="15" t="n"/>
      <c r="R90" s="15" t="n"/>
      <c r="S90" s="15" t="n"/>
      <c r="T90" s="15" t="n"/>
    </row>
    <row r="91">
      <c r="A91" s="14" t="inlineStr">
        <is>
          <t>FB-2025-087</t>
        </is>
      </c>
      <c r="B91" s="15" t="n"/>
      <c r="C91" s="24">
        <f>IFERROR(VLOOKUP(B91,'Distribution Tracking'!A:B,2,FALSE),"")</f>
        <v/>
      </c>
      <c r="D91" s="15" t="n"/>
      <c r="E91" s="24">
        <f>IFERROR(VLOOKUP(D91,'Stakeholder Registry'!A:B,2,FALSE),"")</f>
        <v/>
      </c>
      <c r="F91" s="23" t="n"/>
      <c r="G91" s="15" t="n"/>
      <c r="H91" s="17" t="n"/>
      <c r="I91" s="17" t="n"/>
      <c r="J91" s="17" t="n"/>
      <c r="K91" s="17" t="n"/>
      <c r="L91" s="17" t="n"/>
      <c r="M91" s="15" t="n"/>
      <c r="N91" s="15" t="n"/>
      <c r="O91" s="15" t="n"/>
      <c r="P91" s="15" t="n"/>
      <c r="Q91" s="15" t="n"/>
      <c r="R91" s="15" t="n"/>
      <c r="S91" s="15" t="n"/>
      <c r="T91" s="15" t="n"/>
    </row>
    <row r="92">
      <c r="A92" s="14" t="inlineStr">
        <is>
          <t>FB-2025-088</t>
        </is>
      </c>
      <c r="B92" s="15" t="n"/>
      <c r="C92" s="24">
        <f>IFERROR(VLOOKUP(B92,'Distribution Tracking'!A:B,2,FALSE),"")</f>
        <v/>
      </c>
      <c r="D92" s="15" t="n"/>
      <c r="E92" s="24">
        <f>IFERROR(VLOOKUP(D92,'Stakeholder Registry'!A:B,2,FALSE),"")</f>
        <v/>
      </c>
      <c r="F92" s="23" t="n"/>
      <c r="G92" s="15" t="n"/>
      <c r="H92" s="17" t="n"/>
      <c r="I92" s="17" t="n"/>
      <c r="J92" s="17" t="n"/>
      <c r="K92" s="17" t="n"/>
      <c r="L92" s="17" t="n"/>
      <c r="M92" s="15" t="n"/>
      <c r="N92" s="15" t="n"/>
      <c r="O92" s="15" t="n"/>
      <c r="P92" s="15" t="n"/>
      <c r="Q92" s="15" t="n"/>
      <c r="R92" s="15" t="n"/>
      <c r="S92" s="15" t="n"/>
      <c r="T92" s="15" t="n"/>
    </row>
    <row r="93">
      <c r="A93" s="14" t="inlineStr">
        <is>
          <t>FB-2025-089</t>
        </is>
      </c>
      <c r="B93" s="15" t="n"/>
      <c r="C93" s="24">
        <f>IFERROR(VLOOKUP(B93,'Distribution Tracking'!A:B,2,FALSE),"")</f>
        <v/>
      </c>
      <c r="D93" s="15" t="n"/>
      <c r="E93" s="24">
        <f>IFERROR(VLOOKUP(D93,'Stakeholder Registry'!A:B,2,FALSE),"")</f>
        <v/>
      </c>
      <c r="F93" s="23" t="n"/>
      <c r="G93" s="15" t="n"/>
      <c r="H93" s="17" t="n"/>
      <c r="I93" s="17" t="n"/>
      <c r="J93" s="17" t="n"/>
      <c r="K93" s="17" t="n"/>
      <c r="L93" s="17" t="n"/>
      <c r="M93" s="15" t="n"/>
      <c r="N93" s="15" t="n"/>
      <c r="O93" s="15" t="n"/>
      <c r="P93" s="15" t="n"/>
      <c r="Q93" s="15" t="n"/>
      <c r="R93" s="15" t="n"/>
      <c r="S93" s="15" t="n"/>
      <c r="T93" s="15" t="n"/>
    </row>
    <row r="94">
      <c r="A94" s="14" t="inlineStr">
        <is>
          <t>FB-2025-090</t>
        </is>
      </c>
      <c r="B94" s="15" t="n"/>
      <c r="C94" s="24">
        <f>IFERROR(VLOOKUP(B94,'Distribution Tracking'!A:B,2,FALSE),"")</f>
        <v/>
      </c>
      <c r="D94" s="15" t="n"/>
      <c r="E94" s="24">
        <f>IFERROR(VLOOKUP(D94,'Stakeholder Registry'!A:B,2,FALSE),"")</f>
        <v/>
      </c>
      <c r="F94" s="23" t="n"/>
      <c r="G94" s="15" t="n"/>
      <c r="H94" s="17" t="n"/>
      <c r="I94" s="17" t="n"/>
      <c r="J94" s="17" t="n"/>
      <c r="K94" s="17" t="n"/>
      <c r="L94" s="17" t="n"/>
      <c r="M94" s="15" t="n"/>
      <c r="N94" s="15" t="n"/>
      <c r="O94" s="15" t="n"/>
      <c r="P94" s="15" t="n"/>
      <c r="Q94" s="15" t="n"/>
      <c r="R94" s="15" t="n"/>
      <c r="S94" s="15" t="n"/>
      <c r="T94" s="15" t="n"/>
    </row>
    <row r="95">
      <c r="A95" s="14" t="inlineStr">
        <is>
          <t>FB-2025-091</t>
        </is>
      </c>
      <c r="B95" s="15" t="n"/>
      <c r="C95" s="24">
        <f>IFERROR(VLOOKUP(B95,'Distribution Tracking'!A:B,2,FALSE),"")</f>
        <v/>
      </c>
      <c r="D95" s="15" t="n"/>
      <c r="E95" s="24">
        <f>IFERROR(VLOOKUP(D95,'Stakeholder Registry'!A:B,2,FALSE),"")</f>
        <v/>
      </c>
      <c r="F95" s="23" t="n"/>
      <c r="G95" s="15" t="n"/>
      <c r="H95" s="17" t="n"/>
      <c r="I95" s="17" t="n"/>
      <c r="J95" s="17" t="n"/>
      <c r="K95" s="17" t="n"/>
      <c r="L95" s="17" t="n"/>
      <c r="M95" s="15" t="n"/>
      <c r="N95" s="15" t="n"/>
      <c r="O95" s="15" t="n"/>
      <c r="P95" s="15" t="n"/>
      <c r="Q95" s="15" t="n"/>
      <c r="R95" s="15" t="n"/>
      <c r="S95" s="15" t="n"/>
      <c r="T95" s="15" t="n"/>
    </row>
    <row r="96">
      <c r="A96" s="14" t="inlineStr">
        <is>
          <t>FB-2025-092</t>
        </is>
      </c>
      <c r="B96" s="15" t="n"/>
      <c r="C96" s="24">
        <f>IFERROR(VLOOKUP(B96,'Distribution Tracking'!A:B,2,FALSE),"")</f>
        <v/>
      </c>
      <c r="D96" s="15" t="n"/>
      <c r="E96" s="24">
        <f>IFERROR(VLOOKUP(D96,'Stakeholder Registry'!A:B,2,FALSE),"")</f>
        <v/>
      </c>
      <c r="F96" s="23" t="n"/>
      <c r="G96" s="15" t="n"/>
      <c r="H96" s="17" t="n"/>
      <c r="I96" s="17" t="n"/>
      <c r="J96" s="17" t="n"/>
      <c r="K96" s="17" t="n"/>
      <c r="L96" s="17" t="n"/>
      <c r="M96" s="15" t="n"/>
      <c r="N96" s="15" t="n"/>
      <c r="O96" s="15" t="n"/>
      <c r="P96" s="15" t="n"/>
      <c r="Q96" s="15" t="n"/>
      <c r="R96" s="15" t="n"/>
      <c r="S96" s="15" t="n"/>
      <c r="T96" s="15" t="n"/>
    </row>
    <row r="97">
      <c r="A97" s="14" t="inlineStr">
        <is>
          <t>FB-2025-093</t>
        </is>
      </c>
      <c r="B97" s="15" t="n"/>
      <c r="C97" s="24">
        <f>IFERROR(VLOOKUP(B97,'Distribution Tracking'!A:B,2,FALSE),"")</f>
        <v/>
      </c>
      <c r="D97" s="15" t="n"/>
      <c r="E97" s="24">
        <f>IFERROR(VLOOKUP(D97,'Stakeholder Registry'!A:B,2,FALSE),"")</f>
        <v/>
      </c>
      <c r="F97" s="23" t="n"/>
      <c r="G97" s="15" t="n"/>
      <c r="H97" s="17" t="n"/>
      <c r="I97" s="17" t="n"/>
      <c r="J97" s="17" t="n"/>
      <c r="K97" s="17" t="n"/>
      <c r="L97" s="17" t="n"/>
      <c r="M97" s="15" t="n"/>
      <c r="N97" s="15" t="n"/>
      <c r="O97" s="15" t="n"/>
      <c r="P97" s="15" t="n"/>
      <c r="Q97" s="15" t="n"/>
      <c r="R97" s="15" t="n"/>
      <c r="S97" s="15" t="n"/>
      <c r="T97" s="15" t="n"/>
    </row>
    <row r="98">
      <c r="A98" s="14" t="inlineStr">
        <is>
          <t>FB-2025-094</t>
        </is>
      </c>
      <c r="B98" s="15" t="n"/>
      <c r="C98" s="24">
        <f>IFERROR(VLOOKUP(B98,'Distribution Tracking'!A:B,2,FALSE),"")</f>
        <v/>
      </c>
      <c r="D98" s="15" t="n"/>
      <c r="E98" s="24">
        <f>IFERROR(VLOOKUP(D98,'Stakeholder Registry'!A:B,2,FALSE),"")</f>
        <v/>
      </c>
      <c r="F98" s="23" t="n"/>
      <c r="G98" s="15" t="n"/>
      <c r="H98" s="17" t="n"/>
      <c r="I98" s="17" t="n"/>
      <c r="J98" s="17" t="n"/>
      <c r="K98" s="17" t="n"/>
      <c r="L98" s="17" t="n"/>
      <c r="M98" s="15" t="n"/>
      <c r="N98" s="15" t="n"/>
      <c r="O98" s="15" t="n"/>
      <c r="P98" s="15" t="n"/>
      <c r="Q98" s="15" t="n"/>
      <c r="R98" s="15" t="n"/>
      <c r="S98" s="15" t="n"/>
      <c r="T98" s="15" t="n"/>
    </row>
    <row r="99">
      <c r="A99" s="14" t="inlineStr">
        <is>
          <t>FB-2025-095</t>
        </is>
      </c>
      <c r="B99" s="15" t="n"/>
      <c r="C99" s="24">
        <f>IFERROR(VLOOKUP(B99,'Distribution Tracking'!A:B,2,FALSE),"")</f>
        <v/>
      </c>
      <c r="D99" s="15" t="n"/>
      <c r="E99" s="24">
        <f>IFERROR(VLOOKUP(D99,'Stakeholder Registry'!A:B,2,FALSE),"")</f>
        <v/>
      </c>
      <c r="F99" s="23" t="n"/>
      <c r="G99" s="15" t="n"/>
      <c r="H99" s="17" t="n"/>
      <c r="I99" s="17" t="n"/>
      <c r="J99" s="17" t="n"/>
      <c r="K99" s="17" t="n"/>
      <c r="L99" s="17" t="n"/>
      <c r="M99" s="15" t="n"/>
      <c r="N99" s="15" t="n"/>
      <c r="O99" s="15" t="n"/>
      <c r="P99" s="15" t="n"/>
      <c r="Q99" s="15" t="n"/>
      <c r="R99" s="15" t="n"/>
      <c r="S99" s="15" t="n"/>
      <c r="T99" s="15" t="n"/>
    </row>
    <row r="100">
      <c r="A100" s="14" t="inlineStr">
        <is>
          <t>FB-2025-096</t>
        </is>
      </c>
      <c r="B100" s="15" t="n"/>
      <c r="C100" s="24">
        <f>IFERROR(VLOOKUP(B100,'Distribution Tracking'!A:B,2,FALSE),"")</f>
        <v/>
      </c>
      <c r="D100" s="15" t="n"/>
      <c r="E100" s="24">
        <f>IFERROR(VLOOKUP(D100,'Stakeholder Registry'!A:B,2,FALSE),"")</f>
        <v/>
      </c>
      <c r="F100" s="23" t="n"/>
      <c r="G100" s="15" t="n"/>
      <c r="H100" s="17" t="n"/>
      <c r="I100" s="17" t="n"/>
      <c r="J100" s="17" t="n"/>
      <c r="K100" s="17" t="n"/>
      <c r="L100" s="17" t="n"/>
      <c r="M100" s="15" t="n"/>
      <c r="N100" s="15" t="n"/>
      <c r="O100" s="15" t="n"/>
      <c r="P100" s="15" t="n"/>
      <c r="Q100" s="15" t="n"/>
      <c r="R100" s="15" t="n"/>
      <c r="S100" s="15" t="n"/>
      <c r="T100" s="15" t="n"/>
    </row>
    <row r="101">
      <c r="A101" s="14" t="inlineStr">
        <is>
          <t>FB-2025-097</t>
        </is>
      </c>
      <c r="B101" s="15" t="n"/>
      <c r="C101" s="24">
        <f>IFERROR(VLOOKUP(B101,'Distribution Tracking'!A:B,2,FALSE),"")</f>
        <v/>
      </c>
      <c r="D101" s="15" t="n"/>
      <c r="E101" s="24">
        <f>IFERROR(VLOOKUP(D101,'Stakeholder Registry'!A:B,2,FALSE),"")</f>
        <v/>
      </c>
      <c r="F101" s="23" t="n"/>
      <c r="G101" s="15" t="n"/>
      <c r="H101" s="17" t="n"/>
      <c r="I101" s="17" t="n"/>
      <c r="J101" s="17" t="n"/>
      <c r="K101" s="17" t="n"/>
      <c r="L101" s="17" t="n"/>
      <c r="M101" s="15" t="n"/>
      <c r="N101" s="15" t="n"/>
      <c r="O101" s="15" t="n"/>
      <c r="P101" s="15" t="n"/>
      <c r="Q101" s="15" t="n"/>
      <c r="R101" s="15" t="n"/>
      <c r="S101" s="15" t="n"/>
      <c r="T101" s="15" t="n"/>
    </row>
    <row r="102">
      <c r="A102" s="14" t="inlineStr">
        <is>
          <t>FB-2025-098</t>
        </is>
      </c>
      <c r="B102" s="15" t="n"/>
      <c r="C102" s="24">
        <f>IFERROR(VLOOKUP(B102,'Distribution Tracking'!A:B,2,FALSE),"")</f>
        <v/>
      </c>
      <c r="D102" s="15" t="n"/>
      <c r="E102" s="24">
        <f>IFERROR(VLOOKUP(D102,'Stakeholder Registry'!A:B,2,FALSE),"")</f>
        <v/>
      </c>
      <c r="F102" s="23" t="n"/>
      <c r="G102" s="15" t="n"/>
      <c r="H102" s="17" t="n"/>
      <c r="I102" s="17" t="n"/>
      <c r="J102" s="17" t="n"/>
      <c r="K102" s="17" t="n"/>
      <c r="L102" s="17" t="n"/>
      <c r="M102" s="15" t="n"/>
      <c r="N102" s="15" t="n"/>
      <c r="O102" s="15" t="n"/>
      <c r="P102" s="15" t="n"/>
      <c r="Q102" s="15" t="n"/>
      <c r="R102" s="15" t="n"/>
      <c r="S102" s="15" t="n"/>
      <c r="T102" s="15" t="n"/>
    </row>
    <row r="103">
      <c r="A103" s="14" t="inlineStr">
        <is>
          <t>FB-2025-099</t>
        </is>
      </c>
      <c r="B103" s="15" t="n"/>
      <c r="C103" s="24">
        <f>IFERROR(VLOOKUP(B103,'Distribution Tracking'!A:B,2,FALSE),"")</f>
        <v/>
      </c>
      <c r="D103" s="15" t="n"/>
      <c r="E103" s="24">
        <f>IFERROR(VLOOKUP(D103,'Stakeholder Registry'!A:B,2,FALSE),"")</f>
        <v/>
      </c>
      <c r="F103" s="23" t="n"/>
      <c r="G103" s="15" t="n"/>
      <c r="H103" s="17" t="n"/>
      <c r="I103" s="17" t="n"/>
      <c r="J103" s="17" t="n"/>
      <c r="K103" s="17" t="n"/>
      <c r="L103" s="17" t="n"/>
      <c r="M103" s="15" t="n"/>
      <c r="N103" s="15" t="n"/>
      <c r="O103" s="15" t="n"/>
      <c r="P103" s="15" t="n"/>
      <c r="Q103" s="15" t="n"/>
      <c r="R103" s="15" t="n"/>
      <c r="S103" s="15" t="n"/>
      <c r="T103" s="15" t="n"/>
    </row>
    <row r="104">
      <c r="A104" s="14" t="inlineStr">
        <is>
          <t>FB-2025-100</t>
        </is>
      </c>
      <c r="B104" s="15" t="n"/>
      <c r="C104" s="24">
        <f>IFERROR(VLOOKUP(B104,'Distribution Tracking'!A:B,2,FALSE),"")</f>
        <v/>
      </c>
      <c r="D104" s="15" t="n"/>
      <c r="E104" s="24">
        <f>IFERROR(VLOOKUP(D104,'Stakeholder Registry'!A:B,2,FALSE),"")</f>
        <v/>
      </c>
      <c r="F104" s="23" t="n"/>
      <c r="G104" s="15" t="n"/>
      <c r="H104" s="17" t="n"/>
      <c r="I104" s="17" t="n"/>
      <c r="J104" s="17" t="n"/>
      <c r="K104" s="17" t="n"/>
      <c r="L104" s="17" t="n"/>
      <c r="M104" s="15" t="n"/>
      <c r="N104" s="15" t="n"/>
      <c r="O104" s="15" t="n"/>
      <c r="P104" s="15" t="n"/>
      <c r="Q104" s="15" t="n"/>
      <c r="R104" s="15" t="n"/>
      <c r="S104" s="15" t="n"/>
      <c r="T104" s="15" t="n"/>
    </row>
    <row r="106">
      <c r="A106" s="18" t="inlineStr">
        <is>
          <t>FEEDBACK SUMMARY</t>
        </is>
      </c>
    </row>
    <row r="107">
      <c r="A107" s="19" t="inlineStr">
        <is>
          <t>Total Feedback:</t>
        </is>
      </c>
      <c r="B107" s="19">
        <f>COUNTA(D5:D104)</f>
        <v/>
      </c>
    </row>
    <row r="108">
      <c r="A108" s="19" t="inlineStr">
        <is>
          <t>Avg Overall Rating:</t>
        </is>
      </c>
      <c r="B108" s="29">
        <f>AVERAGE(H5:H104)</f>
        <v/>
      </c>
    </row>
    <row r="109">
      <c r="A109" s="19" t="inlineStr">
        <is>
          <t>Avg Relevance Rating:</t>
        </is>
      </c>
      <c r="B109" s="29">
        <f>AVERAGE(I5:I104)</f>
        <v/>
      </c>
    </row>
    <row r="110">
      <c r="A110" s="19" t="inlineStr">
        <is>
          <t>Avg Timeliness Rating:</t>
        </is>
      </c>
      <c r="B110" s="29">
        <f>AVERAGE(J5:J104)</f>
        <v/>
      </c>
    </row>
    <row r="111">
      <c r="A111" s="19" t="inlineStr">
        <is>
          <t>Intelligence Used (Yes):</t>
        </is>
      </c>
      <c r="B111" s="20">
        <f>COUNTIF(M5:M104,"Yes")</f>
        <v/>
      </c>
    </row>
    <row r="112">
      <c r="A112" s="19" t="inlineStr">
        <is>
          <t>Would Recommend (Yes):</t>
        </is>
      </c>
      <c r="B112" s="20">
        <f>COUNTIF(P5:P104,"Yes")</f>
        <v/>
      </c>
    </row>
  </sheetData>
  <mergeCells count="3">
    <mergeCell ref="A1:T1"/>
    <mergeCell ref="A2:T2"/>
    <mergeCell ref="A106:E106"/>
  </mergeCells>
  <conditionalFormatting sqref="H5">
    <cfRule type="cellIs" priority="1" operator="equal" dxfId="0">
      <formula>5</formula>
    </cfRule>
    <cfRule type="cellIs" priority="2" operator="equal" dxfId="0">
      <formula>4</formula>
    </cfRule>
    <cfRule type="cellIs" priority="3" operator="equal" dxfId="2">
      <formula>3</formula>
    </cfRule>
    <cfRule type="cellIs" priority="4" operator="lessThan" dxfId="1">
      <formula>3</formula>
    </cfRule>
  </conditionalFormatting>
  <conditionalFormatting sqref="I5">
    <cfRule type="cellIs" priority="5" operator="equal" dxfId="0">
      <formula>5</formula>
    </cfRule>
    <cfRule type="cellIs" priority="6" operator="equal" dxfId="0">
      <formula>4</formula>
    </cfRule>
    <cfRule type="cellIs" priority="7" operator="equal" dxfId="2">
      <formula>3</formula>
    </cfRule>
    <cfRule type="cellIs" priority="8" operator="lessThan" dxfId="1">
      <formula>3</formula>
    </cfRule>
  </conditionalFormatting>
  <conditionalFormatting sqref="J5">
    <cfRule type="cellIs" priority="9" operator="equal" dxfId="0">
      <formula>5</formula>
    </cfRule>
    <cfRule type="cellIs" priority="10" operator="equal" dxfId="0">
      <formula>4</formula>
    </cfRule>
    <cfRule type="cellIs" priority="11" operator="equal" dxfId="2">
      <formula>3</formula>
    </cfRule>
    <cfRule type="cellIs" priority="12" operator="lessThan" dxfId="1">
      <formula>3</formula>
    </cfRule>
  </conditionalFormatting>
  <conditionalFormatting sqref="K5">
    <cfRule type="cellIs" priority="13" operator="equal" dxfId="0">
      <formula>5</formula>
    </cfRule>
    <cfRule type="cellIs" priority="14" operator="equal" dxfId="0">
      <formula>4</formula>
    </cfRule>
    <cfRule type="cellIs" priority="15" operator="equal" dxfId="2">
      <formula>3</formula>
    </cfRule>
    <cfRule type="cellIs" priority="16" operator="lessThan" dxfId="1">
      <formula>3</formula>
    </cfRule>
  </conditionalFormatting>
  <conditionalFormatting sqref="L5">
    <cfRule type="cellIs" priority="17" operator="equal" dxfId="0">
      <formula>5</formula>
    </cfRule>
    <cfRule type="cellIs" priority="18" operator="equal" dxfId="0">
      <formula>4</formula>
    </cfRule>
    <cfRule type="cellIs" priority="19" operator="equal" dxfId="2">
      <formula>3</formula>
    </cfRule>
    <cfRule type="cellIs" priority="20" operator="lessThan" dxfId="1">
      <formula>3</formula>
    </cfRule>
  </conditionalFormatting>
  <conditionalFormatting sqref="H6">
    <cfRule type="cellIs" priority="21" operator="equal" dxfId="0">
      <formula>5</formula>
    </cfRule>
    <cfRule type="cellIs" priority="22" operator="equal" dxfId="0">
      <formula>4</formula>
    </cfRule>
    <cfRule type="cellIs" priority="23" operator="equal" dxfId="2">
      <formula>3</formula>
    </cfRule>
    <cfRule type="cellIs" priority="24" operator="lessThan" dxfId="1">
      <formula>3</formula>
    </cfRule>
  </conditionalFormatting>
  <conditionalFormatting sqref="I6">
    <cfRule type="cellIs" priority="25" operator="equal" dxfId="0">
      <formula>5</formula>
    </cfRule>
    <cfRule type="cellIs" priority="26" operator="equal" dxfId="0">
      <formula>4</formula>
    </cfRule>
    <cfRule type="cellIs" priority="27" operator="equal" dxfId="2">
      <formula>3</formula>
    </cfRule>
    <cfRule type="cellIs" priority="28" operator="lessThan" dxfId="1">
      <formula>3</formula>
    </cfRule>
  </conditionalFormatting>
  <conditionalFormatting sqref="J6">
    <cfRule type="cellIs" priority="29" operator="equal" dxfId="0">
      <formula>5</formula>
    </cfRule>
    <cfRule type="cellIs" priority="30" operator="equal" dxfId="0">
      <formula>4</formula>
    </cfRule>
    <cfRule type="cellIs" priority="31" operator="equal" dxfId="2">
      <formula>3</formula>
    </cfRule>
    <cfRule type="cellIs" priority="32" operator="lessThan" dxfId="1">
      <formula>3</formula>
    </cfRule>
  </conditionalFormatting>
  <conditionalFormatting sqref="K6">
    <cfRule type="cellIs" priority="33" operator="equal" dxfId="0">
      <formula>5</formula>
    </cfRule>
    <cfRule type="cellIs" priority="34" operator="equal" dxfId="0">
      <formula>4</formula>
    </cfRule>
    <cfRule type="cellIs" priority="35" operator="equal" dxfId="2">
      <formula>3</formula>
    </cfRule>
    <cfRule type="cellIs" priority="36" operator="lessThan" dxfId="1">
      <formula>3</formula>
    </cfRule>
  </conditionalFormatting>
  <conditionalFormatting sqref="L6">
    <cfRule type="cellIs" priority="37" operator="equal" dxfId="0">
      <formula>5</formula>
    </cfRule>
    <cfRule type="cellIs" priority="38" operator="equal" dxfId="0">
      <formula>4</formula>
    </cfRule>
    <cfRule type="cellIs" priority="39" operator="equal" dxfId="2">
      <formula>3</formula>
    </cfRule>
    <cfRule type="cellIs" priority="40" operator="lessThan" dxfId="1">
      <formula>3</formula>
    </cfRule>
  </conditionalFormatting>
  <conditionalFormatting sqref="H7">
    <cfRule type="cellIs" priority="41" operator="equal" dxfId="0">
      <formula>5</formula>
    </cfRule>
    <cfRule type="cellIs" priority="42" operator="equal" dxfId="0">
      <formula>4</formula>
    </cfRule>
    <cfRule type="cellIs" priority="43" operator="equal" dxfId="2">
      <formula>3</formula>
    </cfRule>
    <cfRule type="cellIs" priority="44" operator="lessThan" dxfId="1">
      <formula>3</formula>
    </cfRule>
  </conditionalFormatting>
  <conditionalFormatting sqref="I7">
    <cfRule type="cellIs" priority="45" operator="equal" dxfId="0">
      <formula>5</formula>
    </cfRule>
    <cfRule type="cellIs" priority="46" operator="equal" dxfId="0">
      <formula>4</formula>
    </cfRule>
    <cfRule type="cellIs" priority="47" operator="equal" dxfId="2">
      <formula>3</formula>
    </cfRule>
    <cfRule type="cellIs" priority="48" operator="lessThan" dxfId="1">
      <formula>3</formula>
    </cfRule>
  </conditionalFormatting>
  <conditionalFormatting sqref="J7">
    <cfRule type="cellIs" priority="49" operator="equal" dxfId="0">
      <formula>5</formula>
    </cfRule>
    <cfRule type="cellIs" priority="50" operator="equal" dxfId="0">
      <formula>4</formula>
    </cfRule>
    <cfRule type="cellIs" priority="51" operator="equal" dxfId="2">
      <formula>3</formula>
    </cfRule>
    <cfRule type="cellIs" priority="52" operator="lessThan" dxfId="1">
      <formula>3</formula>
    </cfRule>
  </conditionalFormatting>
  <conditionalFormatting sqref="K7">
    <cfRule type="cellIs" priority="53" operator="equal" dxfId="0">
      <formula>5</formula>
    </cfRule>
    <cfRule type="cellIs" priority="54" operator="equal" dxfId="0">
      <formula>4</formula>
    </cfRule>
    <cfRule type="cellIs" priority="55" operator="equal" dxfId="2">
      <formula>3</formula>
    </cfRule>
    <cfRule type="cellIs" priority="56" operator="lessThan" dxfId="1">
      <formula>3</formula>
    </cfRule>
  </conditionalFormatting>
  <conditionalFormatting sqref="L7">
    <cfRule type="cellIs" priority="57" operator="equal" dxfId="0">
      <formula>5</formula>
    </cfRule>
    <cfRule type="cellIs" priority="58" operator="equal" dxfId="0">
      <formula>4</formula>
    </cfRule>
    <cfRule type="cellIs" priority="59" operator="equal" dxfId="2">
      <formula>3</formula>
    </cfRule>
    <cfRule type="cellIs" priority="60" operator="lessThan" dxfId="1">
      <formula>3</formula>
    </cfRule>
  </conditionalFormatting>
  <conditionalFormatting sqref="H8">
    <cfRule type="cellIs" priority="61" operator="equal" dxfId="0">
      <formula>5</formula>
    </cfRule>
    <cfRule type="cellIs" priority="62" operator="equal" dxfId="0">
      <formula>4</formula>
    </cfRule>
    <cfRule type="cellIs" priority="63" operator="equal" dxfId="2">
      <formula>3</formula>
    </cfRule>
    <cfRule type="cellIs" priority="64" operator="lessThan" dxfId="1">
      <formula>3</formula>
    </cfRule>
  </conditionalFormatting>
  <conditionalFormatting sqref="I8">
    <cfRule type="cellIs" priority="65" operator="equal" dxfId="0">
      <formula>5</formula>
    </cfRule>
    <cfRule type="cellIs" priority="66" operator="equal" dxfId="0">
      <formula>4</formula>
    </cfRule>
    <cfRule type="cellIs" priority="67" operator="equal" dxfId="2">
      <formula>3</formula>
    </cfRule>
    <cfRule type="cellIs" priority="68" operator="lessThan" dxfId="1">
      <formula>3</formula>
    </cfRule>
  </conditionalFormatting>
  <conditionalFormatting sqref="J8">
    <cfRule type="cellIs" priority="69" operator="equal" dxfId="0">
      <formula>5</formula>
    </cfRule>
    <cfRule type="cellIs" priority="70" operator="equal" dxfId="0">
      <formula>4</formula>
    </cfRule>
    <cfRule type="cellIs" priority="71" operator="equal" dxfId="2">
      <formula>3</formula>
    </cfRule>
    <cfRule type="cellIs" priority="72" operator="lessThan" dxfId="1">
      <formula>3</formula>
    </cfRule>
  </conditionalFormatting>
  <conditionalFormatting sqref="K8">
    <cfRule type="cellIs" priority="73" operator="equal" dxfId="0">
      <formula>5</formula>
    </cfRule>
    <cfRule type="cellIs" priority="74" operator="equal" dxfId="0">
      <formula>4</formula>
    </cfRule>
    <cfRule type="cellIs" priority="75" operator="equal" dxfId="2">
      <formula>3</formula>
    </cfRule>
    <cfRule type="cellIs" priority="76" operator="lessThan" dxfId="1">
      <formula>3</formula>
    </cfRule>
  </conditionalFormatting>
  <conditionalFormatting sqref="L8">
    <cfRule type="cellIs" priority="77" operator="equal" dxfId="0">
      <formula>5</formula>
    </cfRule>
    <cfRule type="cellIs" priority="78" operator="equal" dxfId="0">
      <formula>4</formula>
    </cfRule>
    <cfRule type="cellIs" priority="79" operator="equal" dxfId="2">
      <formula>3</formula>
    </cfRule>
    <cfRule type="cellIs" priority="80" operator="lessThan" dxfId="1">
      <formula>3</formula>
    </cfRule>
  </conditionalFormatting>
  <conditionalFormatting sqref="H9">
    <cfRule type="cellIs" priority="81" operator="equal" dxfId="0">
      <formula>5</formula>
    </cfRule>
    <cfRule type="cellIs" priority="82" operator="equal" dxfId="0">
      <formula>4</formula>
    </cfRule>
    <cfRule type="cellIs" priority="83" operator="equal" dxfId="2">
      <formula>3</formula>
    </cfRule>
    <cfRule type="cellIs" priority="84" operator="lessThan" dxfId="1">
      <formula>3</formula>
    </cfRule>
  </conditionalFormatting>
  <conditionalFormatting sqref="I9">
    <cfRule type="cellIs" priority="85" operator="equal" dxfId="0">
      <formula>5</formula>
    </cfRule>
    <cfRule type="cellIs" priority="86" operator="equal" dxfId="0">
      <formula>4</formula>
    </cfRule>
    <cfRule type="cellIs" priority="87" operator="equal" dxfId="2">
      <formula>3</formula>
    </cfRule>
    <cfRule type="cellIs" priority="88" operator="lessThan" dxfId="1">
      <formula>3</formula>
    </cfRule>
  </conditionalFormatting>
  <conditionalFormatting sqref="J9">
    <cfRule type="cellIs" priority="89" operator="equal" dxfId="0">
      <formula>5</formula>
    </cfRule>
    <cfRule type="cellIs" priority="90" operator="equal" dxfId="0">
      <formula>4</formula>
    </cfRule>
    <cfRule type="cellIs" priority="91" operator="equal" dxfId="2">
      <formula>3</formula>
    </cfRule>
    <cfRule type="cellIs" priority="92" operator="lessThan" dxfId="1">
      <formula>3</formula>
    </cfRule>
  </conditionalFormatting>
  <conditionalFormatting sqref="K9">
    <cfRule type="cellIs" priority="93" operator="equal" dxfId="0">
      <formula>5</formula>
    </cfRule>
    <cfRule type="cellIs" priority="94" operator="equal" dxfId="0">
      <formula>4</formula>
    </cfRule>
    <cfRule type="cellIs" priority="95" operator="equal" dxfId="2">
      <formula>3</formula>
    </cfRule>
    <cfRule type="cellIs" priority="96" operator="lessThan" dxfId="1">
      <formula>3</formula>
    </cfRule>
  </conditionalFormatting>
  <conditionalFormatting sqref="L9">
    <cfRule type="cellIs" priority="97" operator="equal" dxfId="0">
      <formula>5</formula>
    </cfRule>
    <cfRule type="cellIs" priority="98" operator="equal" dxfId="0">
      <formula>4</formula>
    </cfRule>
    <cfRule type="cellIs" priority="99" operator="equal" dxfId="2">
      <formula>3</formula>
    </cfRule>
    <cfRule type="cellIs" priority="100" operator="lessThan" dxfId="1">
      <formula>3</formula>
    </cfRule>
  </conditionalFormatting>
  <conditionalFormatting sqref="H10">
    <cfRule type="cellIs" priority="101" operator="equal" dxfId="0">
      <formula>5</formula>
    </cfRule>
    <cfRule type="cellIs" priority="102" operator="equal" dxfId="0">
      <formula>4</formula>
    </cfRule>
    <cfRule type="cellIs" priority="103" operator="equal" dxfId="2">
      <formula>3</formula>
    </cfRule>
    <cfRule type="cellIs" priority="104" operator="lessThan" dxfId="1">
      <formula>3</formula>
    </cfRule>
  </conditionalFormatting>
  <conditionalFormatting sqref="I10">
    <cfRule type="cellIs" priority="105" operator="equal" dxfId="0">
      <formula>5</formula>
    </cfRule>
    <cfRule type="cellIs" priority="106" operator="equal" dxfId="0">
      <formula>4</formula>
    </cfRule>
    <cfRule type="cellIs" priority="107" operator="equal" dxfId="2">
      <formula>3</formula>
    </cfRule>
    <cfRule type="cellIs" priority="108" operator="lessThan" dxfId="1">
      <formula>3</formula>
    </cfRule>
  </conditionalFormatting>
  <conditionalFormatting sqref="J10">
    <cfRule type="cellIs" priority="109" operator="equal" dxfId="0">
      <formula>5</formula>
    </cfRule>
    <cfRule type="cellIs" priority="110" operator="equal" dxfId="0">
      <formula>4</formula>
    </cfRule>
    <cfRule type="cellIs" priority="111" operator="equal" dxfId="2">
      <formula>3</formula>
    </cfRule>
    <cfRule type="cellIs" priority="112" operator="lessThan" dxfId="1">
      <formula>3</formula>
    </cfRule>
  </conditionalFormatting>
  <conditionalFormatting sqref="K10">
    <cfRule type="cellIs" priority="113" operator="equal" dxfId="0">
      <formula>5</formula>
    </cfRule>
    <cfRule type="cellIs" priority="114" operator="equal" dxfId="0">
      <formula>4</formula>
    </cfRule>
    <cfRule type="cellIs" priority="115" operator="equal" dxfId="2">
      <formula>3</formula>
    </cfRule>
    <cfRule type="cellIs" priority="116" operator="lessThan" dxfId="1">
      <formula>3</formula>
    </cfRule>
  </conditionalFormatting>
  <conditionalFormatting sqref="L10">
    <cfRule type="cellIs" priority="117" operator="equal" dxfId="0">
      <formula>5</formula>
    </cfRule>
    <cfRule type="cellIs" priority="118" operator="equal" dxfId="0">
      <formula>4</formula>
    </cfRule>
    <cfRule type="cellIs" priority="119" operator="equal" dxfId="2">
      <formula>3</formula>
    </cfRule>
    <cfRule type="cellIs" priority="120" operator="lessThan" dxfId="1">
      <formula>3</formula>
    </cfRule>
  </conditionalFormatting>
  <conditionalFormatting sqref="H11">
    <cfRule type="cellIs" priority="121" operator="equal" dxfId="0">
      <formula>5</formula>
    </cfRule>
    <cfRule type="cellIs" priority="122" operator="equal" dxfId="0">
      <formula>4</formula>
    </cfRule>
    <cfRule type="cellIs" priority="123" operator="equal" dxfId="2">
      <formula>3</formula>
    </cfRule>
    <cfRule type="cellIs" priority="124" operator="lessThan" dxfId="1">
      <formula>3</formula>
    </cfRule>
  </conditionalFormatting>
  <conditionalFormatting sqref="I11">
    <cfRule type="cellIs" priority="125" operator="equal" dxfId="0">
      <formula>5</formula>
    </cfRule>
    <cfRule type="cellIs" priority="126" operator="equal" dxfId="0">
      <formula>4</formula>
    </cfRule>
    <cfRule type="cellIs" priority="127" operator="equal" dxfId="2">
      <formula>3</formula>
    </cfRule>
    <cfRule type="cellIs" priority="128" operator="lessThan" dxfId="1">
      <formula>3</formula>
    </cfRule>
  </conditionalFormatting>
  <conditionalFormatting sqref="J11">
    <cfRule type="cellIs" priority="129" operator="equal" dxfId="0">
      <formula>5</formula>
    </cfRule>
    <cfRule type="cellIs" priority="130" operator="equal" dxfId="0">
      <formula>4</formula>
    </cfRule>
    <cfRule type="cellIs" priority="131" operator="equal" dxfId="2">
      <formula>3</formula>
    </cfRule>
    <cfRule type="cellIs" priority="132" operator="lessThan" dxfId="1">
      <formula>3</formula>
    </cfRule>
  </conditionalFormatting>
  <conditionalFormatting sqref="K11">
    <cfRule type="cellIs" priority="133" operator="equal" dxfId="0">
      <formula>5</formula>
    </cfRule>
    <cfRule type="cellIs" priority="134" operator="equal" dxfId="0">
      <formula>4</formula>
    </cfRule>
    <cfRule type="cellIs" priority="135" operator="equal" dxfId="2">
      <formula>3</formula>
    </cfRule>
    <cfRule type="cellIs" priority="136" operator="lessThan" dxfId="1">
      <formula>3</formula>
    </cfRule>
  </conditionalFormatting>
  <conditionalFormatting sqref="L11">
    <cfRule type="cellIs" priority="137" operator="equal" dxfId="0">
      <formula>5</formula>
    </cfRule>
    <cfRule type="cellIs" priority="138" operator="equal" dxfId="0">
      <formula>4</formula>
    </cfRule>
    <cfRule type="cellIs" priority="139" operator="equal" dxfId="2">
      <formula>3</formula>
    </cfRule>
    <cfRule type="cellIs" priority="140" operator="lessThan" dxfId="1">
      <formula>3</formula>
    </cfRule>
  </conditionalFormatting>
  <conditionalFormatting sqref="H12">
    <cfRule type="cellIs" priority="141" operator="equal" dxfId="0">
      <formula>5</formula>
    </cfRule>
    <cfRule type="cellIs" priority="142" operator="equal" dxfId="0">
      <formula>4</formula>
    </cfRule>
    <cfRule type="cellIs" priority="143" operator="equal" dxfId="2">
      <formula>3</formula>
    </cfRule>
    <cfRule type="cellIs" priority="144" operator="lessThan" dxfId="1">
      <formula>3</formula>
    </cfRule>
  </conditionalFormatting>
  <conditionalFormatting sqref="I12">
    <cfRule type="cellIs" priority="145" operator="equal" dxfId="0">
      <formula>5</formula>
    </cfRule>
    <cfRule type="cellIs" priority="146" operator="equal" dxfId="0">
      <formula>4</formula>
    </cfRule>
    <cfRule type="cellIs" priority="147" operator="equal" dxfId="2">
      <formula>3</formula>
    </cfRule>
    <cfRule type="cellIs" priority="148" operator="lessThan" dxfId="1">
      <formula>3</formula>
    </cfRule>
  </conditionalFormatting>
  <conditionalFormatting sqref="J12">
    <cfRule type="cellIs" priority="149" operator="equal" dxfId="0">
      <formula>5</formula>
    </cfRule>
    <cfRule type="cellIs" priority="150" operator="equal" dxfId="0">
      <formula>4</formula>
    </cfRule>
    <cfRule type="cellIs" priority="151" operator="equal" dxfId="2">
      <formula>3</formula>
    </cfRule>
    <cfRule type="cellIs" priority="152" operator="lessThan" dxfId="1">
      <formula>3</formula>
    </cfRule>
  </conditionalFormatting>
  <conditionalFormatting sqref="K12">
    <cfRule type="cellIs" priority="153" operator="equal" dxfId="0">
      <formula>5</formula>
    </cfRule>
    <cfRule type="cellIs" priority="154" operator="equal" dxfId="0">
      <formula>4</formula>
    </cfRule>
    <cfRule type="cellIs" priority="155" operator="equal" dxfId="2">
      <formula>3</formula>
    </cfRule>
    <cfRule type="cellIs" priority="156" operator="lessThan" dxfId="1">
      <formula>3</formula>
    </cfRule>
  </conditionalFormatting>
  <conditionalFormatting sqref="L12">
    <cfRule type="cellIs" priority="157" operator="equal" dxfId="0">
      <formula>5</formula>
    </cfRule>
    <cfRule type="cellIs" priority="158" operator="equal" dxfId="0">
      <formula>4</formula>
    </cfRule>
    <cfRule type="cellIs" priority="159" operator="equal" dxfId="2">
      <formula>3</formula>
    </cfRule>
    <cfRule type="cellIs" priority="160" operator="lessThan" dxfId="1">
      <formula>3</formula>
    </cfRule>
  </conditionalFormatting>
  <conditionalFormatting sqref="H13">
    <cfRule type="cellIs" priority="161" operator="equal" dxfId="0">
      <formula>5</formula>
    </cfRule>
    <cfRule type="cellIs" priority="162" operator="equal" dxfId="0">
      <formula>4</formula>
    </cfRule>
    <cfRule type="cellIs" priority="163" operator="equal" dxfId="2">
      <formula>3</formula>
    </cfRule>
    <cfRule type="cellIs" priority="164" operator="lessThan" dxfId="1">
      <formula>3</formula>
    </cfRule>
  </conditionalFormatting>
  <conditionalFormatting sqref="I13">
    <cfRule type="cellIs" priority="165" operator="equal" dxfId="0">
      <formula>5</formula>
    </cfRule>
    <cfRule type="cellIs" priority="166" operator="equal" dxfId="0">
      <formula>4</formula>
    </cfRule>
    <cfRule type="cellIs" priority="167" operator="equal" dxfId="2">
      <formula>3</formula>
    </cfRule>
    <cfRule type="cellIs" priority="168" operator="lessThan" dxfId="1">
      <formula>3</formula>
    </cfRule>
  </conditionalFormatting>
  <conditionalFormatting sqref="J13">
    <cfRule type="cellIs" priority="169" operator="equal" dxfId="0">
      <formula>5</formula>
    </cfRule>
    <cfRule type="cellIs" priority="170" operator="equal" dxfId="0">
      <formula>4</formula>
    </cfRule>
    <cfRule type="cellIs" priority="171" operator="equal" dxfId="2">
      <formula>3</formula>
    </cfRule>
    <cfRule type="cellIs" priority="172" operator="lessThan" dxfId="1">
      <formula>3</formula>
    </cfRule>
  </conditionalFormatting>
  <conditionalFormatting sqref="K13">
    <cfRule type="cellIs" priority="173" operator="equal" dxfId="0">
      <formula>5</formula>
    </cfRule>
    <cfRule type="cellIs" priority="174" operator="equal" dxfId="0">
      <formula>4</formula>
    </cfRule>
    <cfRule type="cellIs" priority="175" operator="equal" dxfId="2">
      <formula>3</formula>
    </cfRule>
    <cfRule type="cellIs" priority="176" operator="lessThan" dxfId="1">
      <formula>3</formula>
    </cfRule>
  </conditionalFormatting>
  <conditionalFormatting sqref="L13">
    <cfRule type="cellIs" priority="177" operator="equal" dxfId="0">
      <formula>5</formula>
    </cfRule>
    <cfRule type="cellIs" priority="178" operator="equal" dxfId="0">
      <formula>4</formula>
    </cfRule>
    <cfRule type="cellIs" priority="179" operator="equal" dxfId="2">
      <formula>3</formula>
    </cfRule>
    <cfRule type="cellIs" priority="180" operator="lessThan" dxfId="1">
      <formula>3</formula>
    </cfRule>
  </conditionalFormatting>
  <conditionalFormatting sqref="H14">
    <cfRule type="cellIs" priority="181" operator="equal" dxfId="0">
      <formula>5</formula>
    </cfRule>
    <cfRule type="cellIs" priority="182" operator="equal" dxfId="0">
      <formula>4</formula>
    </cfRule>
    <cfRule type="cellIs" priority="183" operator="equal" dxfId="2">
      <formula>3</formula>
    </cfRule>
    <cfRule type="cellIs" priority="184" operator="lessThan" dxfId="1">
      <formula>3</formula>
    </cfRule>
  </conditionalFormatting>
  <conditionalFormatting sqref="I14">
    <cfRule type="cellIs" priority="185" operator="equal" dxfId="0">
      <formula>5</formula>
    </cfRule>
    <cfRule type="cellIs" priority="186" operator="equal" dxfId="0">
      <formula>4</formula>
    </cfRule>
    <cfRule type="cellIs" priority="187" operator="equal" dxfId="2">
      <formula>3</formula>
    </cfRule>
    <cfRule type="cellIs" priority="188" operator="lessThan" dxfId="1">
      <formula>3</formula>
    </cfRule>
  </conditionalFormatting>
  <conditionalFormatting sqref="J14">
    <cfRule type="cellIs" priority="189" operator="equal" dxfId="0">
      <formula>5</formula>
    </cfRule>
    <cfRule type="cellIs" priority="190" operator="equal" dxfId="0">
      <formula>4</formula>
    </cfRule>
    <cfRule type="cellIs" priority="191" operator="equal" dxfId="2">
      <formula>3</formula>
    </cfRule>
    <cfRule type="cellIs" priority="192" operator="lessThan" dxfId="1">
      <formula>3</formula>
    </cfRule>
  </conditionalFormatting>
  <conditionalFormatting sqref="K14">
    <cfRule type="cellIs" priority="193" operator="equal" dxfId="0">
      <formula>5</formula>
    </cfRule>
    <cfRule type="cellIs" priority="194" operator="equal" dxfId="0">
      <formula>4</formula>
    </cfRule>
    <cfRule type="cellIs" priority="195" operator="equal" dxfId="2">
      <formula>3</formula>
    </cfRule>
    <cfRule type="cellIs" priority="196" operator="lessThan" dxfId="1">
      <formula>3</formula>
    </cfRule>
  </conditionalFormatting>
  <conditionalFormatting sqref="L14">
    <cfRule type="cellIs" priority="197" operator="equal" dxfId="0">
      <formula>5</formula>
    </cfRule>
    <cfRule type="cellIs" priority="198" operator="equal" dxfId="0">
      <formula>4</formula>
    </cfRule>
    <cfRule type="cellIs" priority="199" operator="equal" dxfId="2">
      <formula>3</formula>
    </cfRule>
    <cfRule type="cellIs" priority="200" operator="lessThan" dxfId="1">
      <formula>3</formula>
    </cfRule>
  </conditionalFormatting>
  <conditionalFormatting sqref="H15">
    <cfRule type="cellIs" priority="201" operator="equal" dxfId="0">
      <formula>5</formula>
    </cfRule>
    <cfRule type="cellIs" priority="202" operator="equal" dxfId="0">
      <formula>4</formula>
    </cfRule>
    <cfRule type="cellIs" priority="203" operator="equal" dxfId="2">
      <formula>3</formula>
    </cfRule>
    <cfRule type="cellIs" priority="204" operator="lessThan" dxfId="1">
      <formula>3</formula>
    </cfRule>
  </conditionalFormatting>
  <conditionalFormatting sqref="I15">
    <cfRule type="cellIs" priority="205" operator="equal" dxfId="0">
      <formula>5</formula>
    </cfRule>
    <cfRule type="cellIs" priority="206" operator="equal" dxfId="0">
      <formula>4</formula>
    </cfRule>
    <cfRule type="cellIs" priority="207" operator="equal" dxfId="2">
      <formula>3</formula>
    </cfRule>
    <cfRule type="cellIs" priority="208" operator="lessThan" dxfId="1">
      <formula>3</formula>
    </cfRule>
  </conditionalFormatting>
  <conditionalFormatting sqref="J15">
    <cfRule type="cellIs" priority="209" operator="equal" dxfId="0">
      <formula>5</formula>
    </cfRule>
    <cfRule type="cellIs" priority="210" operator="equal" dxfId="0">
      <formula>4</formula>
    </cfRule>
    <cfRule type="cellIs" priority="211" operator="equal" dxfId="2">
      <formula>3</formula>
    </cfRule>
    <cfRule type="cellIs" priority="212" operator="lessThan" dxfId="1">
      <formula>3</formula>
    </cfRule>
  </conditionalFormatting>
  <conditionalFormatting sqref="K15">
    <cfRule type="cellIs" priority="213" operator="equal" dxfId="0">
      <formula>5</formula>
    </cfRule>
    <cfRule type="cellIs" priority="214" operator="equal" dxfId="0">
      <formula>4</formula>
    </cfRule>
    <cfRule type="cellIs" priority="215" operator="equal" dxfId="2">
      <formula>3</formula>
    </cfRule>
    <cfRule type="cellIs" priority="216" operator="lessThan" dxfId="1">
      <formula>3</formula>
    </cfRule>
  </conditionalFormatting>
  <conditionalFormatting sqref="L15">
    <cfRule type="cellIs" priority="217" operator="equal" dxfId="0">
      <formula>5</formula>
    </cfRule>
    <cfRule type="cellIs" priority="218" operator="equal" dxfId="0">
      <formula>4</formula>
    </cfRule>
    <cfRule type="cellIs" priority="219" operator="equal" dxfId="2">
      <formula>3</formula>
    </cfRule>
    <cfRule type="cellIs" priority="220" operator="lessThan" dxfId="1">
      <formula>3</formula>
    </cfRule>
  </conditionalFormatting>
  <conditionalFormatting sqref="H16">
    <cfRule type="cellIs" priority="221" operator="equal" dxfId="0">
      <formula>5</formula>
    </cfRule>
    <cfRule type="cellIs" priority="222" operator="equal" dxfId="0">
      <formula>4</formula>
    </cfRule>
    <cfRule type="cellIs" priority="223" operator="equal" dxfId="2">
      <formula>3</formula>
    </cfRule>
    <cfRule type="cellIs" priority="224" operator="lessThan" dxfId="1">
      <formula>3</formula>
    </cfRule>
  </conditionalFormatting>
  <conditionalFormatting sqref="I16">
    <cfRule type="cellIs" priority="225" operator="equal" dxfId="0">
      <formula>5</formula>
    </cfRule>
    <cfRule type="cellIs" priority="226" operator="equal" dxfId="0">
      <formula>4</formula>
    </cfRule>
    <cfRule type="cellIs" priority="227" operator="equal" dxfId="2">
      <formula>3</formula>
    </cfRule>
    <cfRule type="cellIs" priority="228" operator="lessThan" dxfId="1">
      <formula>3</formula>
    </cfRule>
  </conditionalFormatting>
  <conditionalFormatting sqref="J16">
    <cfRule type="cellIs" priority="229" operator="equal" dxfId="0">
      <formula>5</formula>
    </cfRule>
    <cfRule type="cellIs" priority="230" operator="equal" dxfId="0">
      <formula>4</formula>
    </cfRule>
    <cfRule type="cellIs" priority="231" operator="equal" dxfId="2">
      <formula>3</formula>
    </cfRule>
    <cfRule type="cellIs" priority="232" operator="lessThan" dxfId="1">
      <formula>3</formula>
    </cfRule>
  </conditionalFormatting>
  <conditionalFormatting sqref="K16">
    <cfRule type="cellIs" priority="233" operator="equal" dxfId="0">
      <formula>5</formula>
    </cfRule>
    <cfRule type="cellIs" priority="234" operator="equal" dxfId="0">
      <formula>4</formula>
    </cfRule>
    <cfRule type="cellIs" priority="235" operator="equal" dxfId="2">
      <formula>3</formula>
    </cfRule>
    <cfRule type="cellIs" priority="236" operator="lessThan" dxfId="1">
      <formula>3</formula>
    </cfRule>
  </conditionalFormatting>
  <conditionalFormatting sqref="L16">
    <cfRule type="cellIs" priority="237" operator="equal" dxfId="0">
      <formula>5</formula>
    </cfRule>
    <cfRule type="cellIs" priority="238" operator="equal" dxfId="0">
      <formula>4</formula>
    </cfRule>
    <cfRule type="cellIs" priority="239" operator="equal" dxfId="2">
      <formula>3</formula>
    </cfRule>
    <cfRule type="cellIs" priority="240" operator="lessThan" dxfId="1">
      <formula>3</formula>
    </cfRule>
  </conditionalFormatting>
  <conditionalFormatting sqref="H17">
    <cfRule type="cellIs" priority="241" operator="equal" dxfId="0">
      <formula>5</formula>
    </cfRule>
    <cfRule type="cellIs" priority="242" operator="equal" dxfId="0">
      <formula>4</formula>
    </cfRule>
    <cfRule type="cellIs" priority="243" operator="equal" dxfId="2">
      <formula>3</formula>
    </cfRule>
    <cfRule type="cellIs" priority="244" operator="lessThan" dxfId="1">
      <formula>3</formula>
    </cfRule>
  </conditionalFormatting>
  <conditionalFormatting sqref="I17">
    <cfRule type="cellIs" priority="245" operator="equal" dxfId="0">
      <formula>5</formula>
    </cfRule>
    <cfRule type="cellIs" priority="246" operator="equal" dxfId="0">
      <formula>4</formula>
    </cfRule>
    <cfRule type="cellIs" priority="247" operator="equal" dxfId="2">
      <formula>3</formula>
    </cfRule>
    <cfRule type="cellIs" priority="248" operator="lessThan" dxfId="1">
      <formula>3</formula>
    </cfRule>
  </conditionalFormatting>
  <conditionalFormatting sqref="J17">
    <cfRule type="cellIs" priority="249" operator="equal" dxfId="0">
      <formula>5</formula>
    </cfRule>
    <cfRule type="cellIs" priority="250" operator="equal" dxfId="0">
      <formula>4</formula>
    </cfRule>
    <cfRule type="cellIs" priority="251" operator="equal" dxfId="2">
      <formula>3</formula>
    </cfRule>
    <cfRule type="cellIs" priority="252" operator="lessThan" dxfId="1">
      <formula>3</formula>
    </cfRule>
  </conditionalFormatting>
  <conditionalFormatting sqref="K17">
    <cfRule type="cellIs" priority="253" operator="equal" dxfId="0">
      <formula>5</formula>
    </cfRule>
    <cfRule type="cellIs" priority="254" operator="equal" dxfId="0">
      <formula>4</formula>
    </cfRule>
    <cfRule type="cellIs" priority="255" operator="equal" dxfId="2">
      <formula>3</formula>
    </cfRule>
    <cfRule type="cellIs" priority="256" operator="lessThan" dxfId="1">
      <formula>3</formula>
    </cfRule>
  </conditionalFormatting>
  <conditionalFormatting sqref="L17">
    <cfRule type="cellIs" priority="257" operator="equal" dxfId="0">
      <formula>5</formula>
    </cfRule>
    <cfRule type="cellIs" priority="258" operator="equal" dxfId="0">
      <formula>4</formula>
    </cfRule>
    <cfRule type="cellIs" priority="259" operator="equal" dxfId="2">
      <formula>3</formula>
    </cfRule>
    <cfRule type="cellIs" priority="260" operator="lessThan" dxfId="1">
      <formula>3</formula>
    </cfRule>
  </conditionalFormatting>
  <conditionalFormatting sqref="H18">
    <cfRule type="cellIs" priority="261" operator="equal" dxfId="0">
      <formula>5</formula>
    </cfRule>
    <cfRule type="cellIs" priority="262" operator="equal" dxfId="0">
      <formula>4</formula>
    </cfRule>
    <cfRule type="cellIs" priority="263" operator="equal" dxfId="2">
      <formula>3</formula>
    </cfRule>
    <cfRule type="cellIs" priority="264" operator="lessThan" dxfId="1">
      <formula>3</formula>
    </cfRule>
  </conditionalFormatting>
  <conditionalFormatting sqref="I18">
    <cfRule type="cellIs" priority="265" operator="equal" dxfId="0">
      <formula>5</formula>
    </cfRule>
    <cfRule type="cellIs" priority="266" operator="equal" dxfId="0">
      <formula>4</formula>
    </cfRule>
    <cfRule type="cellIs" priority="267" operator="equal" dxfId="2">
      <formula>3</formula>
    </cfRule>
    <cfRule type="cellIs" priority="268" operator="lessThan" dxfId="1">
      <formula>3</formula>
    </cfRule>
  </conditionalFormatting>
  <conditionalFormatting sqref="J18">
    <cfRule type="cellIs" priority="269" operator="equal" dxfId="0">
      <formula>5</formula>
    </cfRule>
    <cfRule type="cellIs" priority="270" operator="equal" dxfId="0">
      <formula>4</formula>
    </cfRule>
    <cfRule type="cellIs" priority="271" operator="equal" dxfId="2">
      <formula>3</formula>
    </cfRule>
    <cfRule type="cellIs" priority="272" operator="lessThan" dxfId="1">
      <formula>3</formula>
    </cfRule>
  </conditionalFormatting>
  <conditionalFormatting sqref="K18">
    <cfRule type="cellIs" priority="273" operator="equal" dxfId="0">
      <formula>5</formula>
    </cfRule>
    <cfRule type="cellIs" priority="274" operator="equal" dxfId="0">
      <formula>4</formula>
    </cfRule>
    <cfRule type="cellIs" priority="275" operator="equal" dxfId="2">
      <formula>3</formula>
    </cfRule>
    <cfRule type="cellIs" priority="276" operator="lessThan" dxfId="1">
      <formula>3</formula>
    </cfRule>
  </conditionalFormatting>
  <conditionalFormatting sqref="L18">
    <cfRule type="cellIs" priority="277" operator="equal" dxfId="0">
      <formula>5</formula>
    </cfRule>
    <cfRule type="cellIs" priority="278" operator="equal" dxfId="0">
      <formula>4</formula>
    </cfRule>
    <cfRule type="cellIs" priority="279" operator="equal" dxfId="2">
      <formula>3</formula>
    </cfRule>
    <cfRule type="cellIs" priority="280" operator="lessThan" dxfId="1">
      <formula>3</formula>
    </cfRule>
  </conditionalFormatting>
  <conditionalFormatting sqref="H19">
    <cfRule type="cellIs" priority="281" operator="equal" dxfId="0">
      <formula>5</formula>
    </cfRule>
    <cfRule type="cellIs" priority="282" operator="equal" dxfId="0">
      <formula>4</formula>
    </cfRule>
    <cfRule type="cellIs" priority="283" operator="equal" dxfId="2">
      <formula>3</formula>
    </cfRule>
    <cfRule type="cellIs" priority="284" operator="lessThan" dxfId="1">
      <formula>3</formula>
    </cfRule>
  </conditionalFormatting>
  <conditionalFormatting sqref="I19">
    <cfRule type="cellIs" priority="285" operator="equal" dxfId="0">
      <formula>5</formula>
    </cfRule>
    <cfRule type="cellIs" priority="286" operator="equal" dxfId="0">
      <formula>4</formula>
    </cfRule>
    <cfRule type="cellIs" priority="287" operator="equal" dxfId="2">
      <formula>3</formula>
    </cfRule>
    <cfRule type="cellIs" priority="288" operator="lessThan" dxfId="1">
      <formula>3</formula>
    </cfRule>
  </conditionalFormatting>
  <conditionalFormatting sqref="J19">
    <cfRule type="cellIs" priority="289" operator="equal" dxfId="0">
      <formula>5</formula>
    </cfRule>
    <cfRule type="cellIs" priority="290" operator="equal" dxfId="0">
      <formula>4</formula>
    </cfRule>
    <cfRule type="cellIs" priority="291" operator="equal" dxfId="2">
      <formula>3</formula>
    </cfRule>
    <cfRule type="cellIs" priority="292" operator="lessThan" dxfId="1">
      <formula>3</formula>
    </cfRule>
  </conditionalFormatting>
  <conditionalFormatting sqref="K19">
    <cfRule type="cellIs" priority="293" operator="equal" dxfId="0">
      <formula>5</formula>
    </cfRule>
    <cfRule type="cellIs" priority="294" operator="equal" dxfId="0">
      <formula>4</formula>
    </cfRule>
    <cfRule type="cellIs" priority="295" operator="equal" dxfId="2">
      <formula>3</formula>
    </cfRule>
    <cfRule type="cellIs" priority="296" operator="lessThan" dxfId="1">
      <formula>3</formula>
    </cfRule>
  </conditionalFormatting>
  <conditionalFormatting sqref="L19">
    <cfRule type="cellIs" priority="297" operator="equal" dxfId="0">
      <formula>5</formula>
    </cfRule>
    <cfRule type="cellIs" priority="298" operator="equal" dxfId="0">
      <formula>4</formula>
    </cfRule>
    <cfRule type="cellIs" priority="299" operator="equal" dxfId="2">
      <formula>3</formula>
    </cfRule>
    <cfRule type="cellIs" priority="300" operator="lessThan" dxfId="1">
      <formula>3</formula>
    </cfRule>
  </conditionalFormatting>
  <conditionalFormatting sqref="H20">
    <cfRule type="cellIs" priority="301" operator="equal" dxfId="0">
      <formula>5</formula>
    </cfRule>
    <cfRule type="cellIs" priority="302" operator="equal" dxfId="0">
      <formula>4</formula>
    </cfRule>
    <cfRule type="cellIs" priority="303" operator="equal" dxfId="2">
      <formula>3</formula>
    </cfRule>
    <cfRule type="cellIs" priority="304" operator="lessThan" dxfId="1">
      <formula>3</formula>
    </cfRule>
  </conditionalFormatting>
  <conditionalFormatting sqref="I20">
    <cfRule type="cellIs" priority="305" operator="equal" dxfId="0">
      <formula>5</formula>
    </cfRule>
    <cfRule type="cellIs" priority="306" operator="equal" dxfId="0">
      <formula>4</formula>
    </cfRule>
    <cfRule type="cellIs" priority="307" operator="equal" dxfId="2">
      <formula>3</formula>
    </cfRule>
    <cfRule type="cellIs" priority="308" operator="lessThan" dxfId="1">
      <formula>3</formula>
    </cfRule>
  </conditionalFormatting>
  <conditionalFormatting sqref="J20">
    <cfRule type="cellIs" priority="309" operator="equal" dxfId="0">
      <formula>5</formula>
    </cfRule>
    <cfRule type="cellIs" priority="310" operator="equal" dxfId="0">
      <formula>4</formula>
    </cfRule>
    <cfRule type="cellIs" priority="311" operator="equal" dxfId="2">
      <formula>3</formula>
    </cfRule>
    <cfRule type="cellIs" priority="312" operator="lessThan" dxfId="1">
      <formula>3</formula>
    </cfRule>
  </conditionalFormatting>
  <conditionalFormatting sqref="K20">
    <cfRule type="cellIs" priority="313" operator="equal" dxfId="0">
      <formula>5</formula>
    </cfRule>
    <cfRule type="cellIs" priority="314" operator="equal" dxfId="0">
      <formula>4</formula>
    </cfRule>
    <cfRule type="cellIs" priority="315" operator="equal" dxfId="2">
      <formula>3</formula>
    </cfRule>
    <cfRule type="cellIs" priority="316" operator="lessThan" dxfId="1">
      <formula>3</formula>
    </cfRule>
  </conditionalFormatting>
  <conditionalFormatting sqref="L20">
    <cfRule type="cellIs" priority="317" operator="equal" dxfId="0">
      <formula>5</formula>
    </cfRule>
    <cfRule type="cellIs" priority="318" operator="equal" dxfId="0">
      <formula>4</formula>
    </cfRule>
    <cfRule type="cellIs" priority="319" operator="equal" dxfId="2">
      <formula>3</formula>
    </cfRule>
    <cfRule type="cellIs" priority="320" operator="lessThan" dxfId="1">
      <formula>3</formula>
    </cfRule>
  </conditionalFormatting>
  <conditionalFormatting sqref="H21">
    <cfRule type="cellIs" priority="321" operator="equal" dxfId="0">
      <formula>5</formula>
    </cfRule>
    <cfRule type="cellIs" priority="322" operator="equal" dxfId="0">
      <formula>4</formula>
    </cfRule>
    <cfRule type="cellIs" priority="323" operator="equal" dxfId="2">
      <formula>3</formula>
    </cfRule>
    <cfRule type="cellIs" priority="324" operator="lessThan" dxfId="1">
      <formula>3</formula>
    </cfRule>
  </conditionalFormatting>
  <conditionalFormatting sqref="I21">
    <cfRule type="cellIs" priority="325" operator="equal" dxfId="0">
      <formula>5</formula>
    </cfRule>
    <cfRule type="cellIs" priority="326" operator="equal" dxfId="0">
      <formula>4</formula>
    </cfRule>
    <cfRule type="cellIs" priority="327" operator="equal" dxfId="2">
      <formula>3</formula>
    </cfRule>
    <cfRule type="cellIs" priority="328" operator="lessThan" dxfId="1">
      <formula>3</formula>
    </cfRule>
  </conditionalFormatting>
  <conditionalFormatting sqref="J21">
    <cfRule type="cellIs" priority="329" operator="equal" dxfId="0">
      <formula>5</formula>
    </cfRule>
    <cfRule type="cellIs" priority="330" operator="equal" dxfId="0">
      <formula>4</formula>
    </cfRule>
    <cfRule type="cellIs" priority="331" operator="equal" dxfId="2">
      <formula>3</formula>
    </cfRule>
    <cfRule type="cellIs" priority="332" operator="lessThan" dxfId="1">
      <formula>3</formula>
    </cfRule>
  </conditionalFormatting>
  <conditionalFormatting sqref="K21">
    <cfRule type="cellIs" priority="333" operator="equal" dxfId="0">
      <formula>5</formula>
    </cfRule>
    <cfRule type="cellIs" priority="334" operator="equal" dxfId="0">
      <formula>4</formula>
    </cfRule>
    <cfRule type="cellIs" priority="335" operator="equal" dxfId="2">
      <formula>3</formula>
    </cfRule>
    <cfRule type="cellIs" priority="336" operator="lessThan" dxfId="1">
      <formula>3</formula>
    </cfRule>
  </conditionalFormatting>
  <conditionalFormatting sqref="L21">
    <cfRule type="cellIs" priority="337" operator="equal" dxfId="0">
      <formula>5</formula>
    </cfRule>
    <cfRule type="cellIs" priority="338" operator="equal" dxfId="0">
      <formula>4</formula>
    </cfRule>
    <cfRule type="cellIs" priority="339" operator="equal" dxfId="2">
      <formula>3</formula>
    </cfRule>
    <cfRule type="cellIs" priority="340" operator="lessThan" dxfId="1">
      <formula>3</formula>
    </cfRule>
  </conditionalFormatting>
  <conditionalFormatting sqref="H22">
    <cfRule type="cellIs" priority="341" operator="equal" dxfId="0">
      <formula>5</formula>
    </cfRule>
    <cfRule type="cellIs" priority="342" operator="equal" dxfId="0">
      <formula>4</formula>
    </cfRule>
    <cfRule type="cellIs" priority="343" operator="equal" dxfId="2">
      <formula>3</formula>
    </cfRule>
    <cfRule type="cellIs" priority="344" operator="lessThan" dxfId="1">
      <formula>3</formula>
    </cfRule>
  </conditionalFormatting>
  <conditionalFormatting sqref="I22">
    <cfRule type="cellIs" priority="345" operator="equal" dxfId="0">
      <formula>5</formula>
    </cfRule>
    <cfRule type="cellIs" priority="346" operator="equal" dxfId="0">
      <formula>4</formula>
    </cfRule>
    <cfRule type="cellIs" priority="347" operator="equal" dxfId="2">
      <formula>3</formula>
    </cfRule>
    <cfRule type="cellIs" priority="348" operator="lessThan" dxfId="1">
      <formula>3</formula>
    </cfRule>
  </conditionalFormatting>
  <conditionalFormatting sqref="J22">
    <cfRule type="cellIs" priority="349" operator="equal" dxfId="0">
      <formula>5</formula>
    </cfRule>
    <cfRule type="cellIs" priority="350" operator="equal" dxfId="0">
      <formula>4</formula>
    </cfRule>
    <cfRule type="cellIs" priority="351" operator="equal" dxfId="2">
      <formula>3</formula>
    </cfRule>
    <cfRule type="cellIs" priority="352" operator="lessThan" dxfId="1">
      <formula>3</formula>
    </cfRule>
  </conditionalFormatting>
  <conditionalFormatting sqref="K22">
    <cfRule type="cellIs" priority="353" operator="equal" dxfId="0">
      <formula>5</formula>
    </cfRule>
    <cfRule type="cellIs" priority="354" operator="equal" dxfId="0">
      <formula>4</formula>
    </cfRule>
    <cfRule type="cellIs" priority="355" operator="equal" dxfId="2">
      <formula>3</formula>
    </cfRule>
    <cfRule type="cellIs" priority="356" operator="lessThan" dxfId="1">
      <formula>3</formula>
    </cfRule>
  </conditionalFormatting>
  <conditionalFormatting sqref="L22">
    <cfRule type="cellIs" priority="357" operator="equal" dxfId="0">
      <formula>5</formula>
    </cfRule>
    <cfRule type="cellIs" priority="358" operator="equal" dxfId="0">
      <formula>4</formula>
    </cfRule>
    <cfRule type="cellIs" priority="359" operator="equal" dxfId="2">
      <formula>3</formula>
    </cfRule>
    <cfRule type="cellIs" priority="360" operator="lessThan" dxfId="1">
      <formula>3</formula>
    </cfRule>
  </conditionalFormatting>
  <conditionalFormatting sqref="H23">
    <cfRule type="cellIs" priority="361" operator="equal" dxfId="0">
      <formula>5</formula>
    </cfRule>
    <cfRule type="cellIs" priority="362" operator="equal" dxfId="0">
      <formula>4</formula>
    </cfRule>
    <cfRule type="cellIs" priority="363" operator="equal" dxfId="2">
      <formula>3</formula>
    </cfRule>
    <cfRule type="cellIs" priority="364" operator="lessThan" dxfId="1">
      <formula>3</formula>
    </cfRule>
  </conditionalFormatting>
  <conditionalFormatting sqref="I23">
    <cfRule type="cellIs" priority="365" operator="equal" dxfId="0">
      <formula>5</formula>
    </cfRule>
    <cfRule type="cellIs" priority="366" operator="equal" dxfId="0">
      <formula>4</formula>
    </cfRule>
    <cfRule type="cellIs" priority="367" operator="equal" dxfId="2">
      <formula>3</formula>
    </cfRule>
    <cfRule type="cellIs" priority="368" operator="lessThan" dxfId="1">
      <formula>3</formula>
    </cfRule>
  </conditionalFormatting>
  <conditionalFormatting sqref="J23">
    <cfRule type="cellIs" priority="369" operator="equal" dxfId="0">
      <formula>5</formula>
    </cfRule>
    <cfRule type="cellIs" priority="370" operator="equal" dxfId="0">
      <formula>4</formula>
    </cfRule>
    <cfRule type="cellIs" priority="371" operator="equal" dxfId="2">
      <formula>3</formula>
    </cfRule>
    <cfRule type="cellIs" priority="372" operator="lessThan" dxfId="1">
      <formula>3</formula>
    </cfRule>
  </conditionalFormatting>
  <conditionalFormatting sqref="K23">
    <cfRule type="cellIs" priority="373" operator="equal" dxfId="0">
      <formula>5</formula>
    </cfRule>
    <cfRule type="cellIs" priority="374" operator="equal" dxfId="0">
      <formula>4</formula>
    </cfRule>
    <cfRule type="cellIs" priority="375" operator="equal" dxfId="2">
      <formula>3</formula>
    </cfRule>
    <cfRule type="cellIs" priority="376" operator="lessThan" dxfId="1">
      <formula>3</formula>
    </cfRule>
  </conditionalFormatting>
  <conditionalFormatting sqref="L23">
    <cfRule type="cellIs" priority="377" operator="equal" dxfId="0">
      <formula>5</formula>
    </cfRule>
    <cfRule type="cellIs" priority="378" operator="equal" dxfId="0">
      <formula>4</formula>
    </cfRule>
    <cfRule type="cellIs" priority="379" operator="equal" dxfId="2">
      <formula>3</formula>
    </cfRule>
    <cfRule type="cellIs" priority="380" operator="lessThan" dxfId="1">
      <formula>3</formula>
    </cfRule>
  </conditionalFormatting>
  <conditionalFormatting sqref="H24">
    <cfRule type="cellIs" priority="381" operator="equal" dxfId="0">
      <formula>5</formula>
    </cfRule>
    <cfRule type="cellIs" priority="382" operator="equal" dxfId="0">
      <formula>4</formula>
    </cfRule>
    <cfRule type="cellIs" priority="383" operator="equal" dxfId="2">
      <formula>3</formula>
    </cfRule>
    <cfRule type="cellIs" priority="384" operator="lessThan" dxfId="1">
      <formula>3</formula>
    </cfRule>
  </conditionalFormatting>
  <conditionalFormatting sqref="I24">
    <cfRule type="cellIs" priority="385" operator="equal" dxfId="0">
      <formula>5</formula>
    </cfRule>
    <cfRule type="cellIs" priority="386" operator="equal" dxfId="0">
      <formula>4</formula>
    </cfRule>
    <cfRule type="cellIs" priority="387" operator="equal" dxfId="2">
      <formula>3</formula>
    </cfRule>
    <cfRule type="cellIs" priority="388" operator="lessThan" dxfId="1">
      <formula>3</formula>
    </cfRule>
  </conditionalFormatting>
  <conditionalFormatting sqref="J24">
    <cfRule type="cellIs" priority="389" operator="equal" dxfId="0">
      <formula>5</formula>
    </cfRule>
    <cfRule type="cellIs" priority="390" operator="equal" dxfId="0">
      <formula>4</formula>
    </cfRule>
    <cfRule type="cellIs" priority="391" operator="equal" dxfId="2">
      <formula>3</formula>
    </cfRule>
    <cfRule type="cellIs" priority="392" operator="lessThan" dxfId="1">
      <formula>3</formula>
    </cfRule>
  </conditionalFormatting>
  <conditionalFormatting sqref="K24">
    <cfRule type="cellIs" priority="393" operator="equal" dxfId="0">
      <formula>5</formula>
    </cfRule>
    <cfRule type="cellIs" priority="394" operator="equal" dxfId="0">
      <formula>4</formula>
    </cfRule>
    <cfRule type="cellIs" priority="395" operator="equal" dxfId="2">
      <formula>3</formula>
    </cfRule>
    <cfRule type="cellIs" priority="396" operator="lessThan" dxfId="1">
      <formula>3</formula>
    </cfRule>
  </conditionalFormatting>
  <conditionalFormatting sqref="L24">
    <cfRule type="cellIs" priority="397" operator="equal" dxfId="0">
      <formula>5</formula>
    </cfRule>
    <cfRule type="cellIs" priority="398" operator="equal" dxfId="0">
      <formula>4</formula>
    </cfRule>
    <cfRule type="cellIs" priority="399" operator="equal" dxfId="2">
      <formula>3</formula>
    </cfRule>
    <cfRule type="cellIs" priority="400" operator="lessThan" dxfId="1">
      <formula>3</formula>
    </cfRule>
  </conditionalFormatting>
  <conditionalFormatting sqref="H25">
    <cfRule type="cellIs" priority="401" operator="equal" dxfId="0">
      <formula>5</formula>
    </cfRule>
    <cfRule type="cellIs" priority="402" operator="equal" dxfId="0">
      <formula>4</formula>
    </cfRule>
    <cfRule type="cellIs" priority="403" operator="equal" dxfId="2">
      <formula>3</formula>
    </cfRule>
    <cfRule type="cellIs" priority="404" operator="lessThan" dxfId="1">
      <formula>3</formula>
    </cfRule>
  </conditionalFormatting>
  <conditionalFormatting sqref="I25">
    <cfRule type="cellIs" priority="405" operator="equal" dxfId="0">
      <formula>5</formula>
    </cfRule>
    <cfRule type="cellIs" priority="406" operator="equal" dxfId="0">
      <formula>4</formula>
    </cfRule>
    <cfRule type="cellIs" priority="407" operator="equal" dxfId="2">
      <formula>3</formula>
    </cfRule>
    <cfRule type="cellIs" priority="408" operator="lessThan" dxfId="1">
      <formula>3</formula>
    </cfRule>
  </conditionalFormatting>
  <conditionalFormatting sqref="J25">
    <cfRule type="cellIs" priority="409" operator="equal" dxfId="0">
      <formula>5</formula>
    </cfRule>
    <cfRule type="cellIs" priority="410" operator="equal" dxfId="0">
      <formula>4</formula>
    </cfRule>
    <cfRule type="cellIs" priority="411" operator="equal" dxfId="2">
      <formula>3</formula>
    </cfRule>
    <cfRule type="cellIs" priority="412" operator="lessThan" dxfId="1">
      <formula>3</formula>
    </cfRule>
  </conditionalFormatting>
  <conditionalFormatting sqref="K25">
    <cfRule type="cellIs" priority="413" operator="equal" dxfId="0">
      <formula>5</formula>
    </cfRule>
    <cfRule type="cellIs" priority="414" operator="equal" dxfId="0">
      <formula>4</formula>
    </cfRule>
    <cfRule type="cellIs" priority="415" operator="equal" dxfId="2">
      <formula>3</formula>
    </cfRule>
    <cfRule type="cellIs" priority="416" operator="lessThan" dxfId="1">
      <formula>3</formula>
    </cfRule>
  </conditionalFormatting>
  <conditionalFormatting sqref="L25">
    <cfRule type="cellIs" priority="417" operator="equal" dxfId="0">
      <formula>5</formula>
    </cfRule>
    <cfRule type="cellIs" priority="418" operator="equal" dxfId="0">
      <formula>4</formula>
    </cfRule>
    <cfRule type="cellIs" priority="419" operator="equal" dxfId="2">
      <formula>3</formula>
    </cfRule>
    <cfRule type="cellIs" priority="420" operator="lessThan" dxfId="1">
      <formula>3</formula>
    </cfRule>
  </conditionalFormatting>
  <conditionalFormatting sqref="H26">
    <cfRule type="cellIs" priority="421" operator="equal" dxfId="0">
      <formula>5</formula>
    </cfRule>
    <cfRule type="cellIs" priority="422" operator="equal" dxfId="0">
      <formula>4</formula>
    </cfRule>
    <cfRule type="cellIs" priority="423" operator="equal" dxfId="2">
      <formula>3</formula>
    </cfRule>
    <cfRule type="cellIs" priority="424" operator="lessThan" dxfId="1">
      <formula>3</formula>
    </cfRule>
  </conditionalFormatting>
  <conditionalFormatting sqref="I26">
    <cfRule type="cellIs" priority="425" operator="equal" dxfId="0">
      <formula>5</formula>
    </cfRule>
    <cfRule type="cellIs" priority="426" operator="equal" dxfId="0">
      <formula>4</formula>
    </cfRule>
    <cfRule type="cellIs" priority="427" operator="equal" dxfId="2">
      <formula>3</formula>
    </cfRule>
    <cfRule type="cellIs" priority="428" operator="lessThan" dxfId="1">
      <formula>3</formula>
    </cfRule>
  </conditionalFormatting>
  <conditionalFormatting sqref="J26">
    <cfRule type="cellIs" priority="429" operator="equal" dxfId="0">
      <formula>5</formula>
    </cfRule>
    <cfRule type="cellIs" priority="430" operator="equal" dxfId="0">
      <formula>4</formula>
    </cfRule>
    <cfRule type="cellIs" priority="431" operator="equal" dxfId="2">
      <formula>3</formula>
    </cfRule>
    <cfRule type="cellIs" priority="432" operator="lessThan" dxfId="1">
      <formula>3</formula>
    </cfRule>
  </conditionalFormatting>
  <conditionalFormatting sqref="K26">
    <cfRule type="cellIs" priority="433" operator="equal" dxfId="0">
      <formula>5</formula>
    </cfRule>
    <cfRule type="cellIs" priority="434" operator="equal" dxfId="0">
      <formula>4</formula>
    </cfRule>
    <cfRule type="cellIs" priority="435" operator="equal" dxfId="2">
      <formula>3</formula>
    </cfRule>
    <cfRule type="cellIs" priority="436" operator="lessThan" dxfId="1">
      <formula>3</formula>
    </cfRule>
  </conditionalFormatting>
  <conditionalFormatting sqref="L26">
    <cfRule type="cellIs" priority="437" operator="equal" dxfId="0">
      <formula>5</formula>
    </cfRule>
    <cfRule type="cellIs" priority="438" operator="equal" dxfId="0">
      <formula>4</formula>
    </cfRule>
    <cfRule type="cellIs" priority="439" operator="equal" dxfId="2">
      <formula>3</formula>
    </cfRule>
    <cfRule type="cellIs" priority="440" operator="lessThan" dxfId="1">
      <formula>3</formula>
    </cfRule>
  </conditionalFormatting>
  <conditionalFormatting sqref="H27">
    <cfRule type="cellIs" priority="441" operator="equal" dxfId="0">
      <formula>5</formula>
    </cfRule>
    <cfRule type="cellIs" priority="442" operator="equal" dxfId="0">
      <formula>4</formula>
    </cfRule>
    <cfRule type="cellIs" priority="443" operator="equal" dxfId="2">
      <formula>3</formula>
    </cfRule>
    <cfRule type="cellIs" priority="444" operator="lessThan" dxfId="1">
      <formula>3</formula>
    </cfRule>
  </conditionalFormatting>
  <conditionalFormatting sqref="I27">
    <cfRule type="cellIs" priority="445" operator="equal" dxfId="0">
      <formula>5</formula>
    </cfRule>
    <cfRule type="cellIs" priority="446" operator="equal" dxfId="0">
      <formula>4</formula>
    </cfRule>
    <cfRule type="cellIs" priority="447" operator="equal" dxfId="2">
      <formula>3</formula>
    </cfRule>
    <cfRule type="cellIs" priority="448" operator="lessThan" dxfId="1">
      <formula>3</formula>
    </cfRule>
  </conditionalFormatting>
  <conditionalFormatting sqref="J27">
    <cfRule type="cellIs" priority="449" operator="equal" dxfId="0">
      <formula>5</formula>
    </cfRule>
    <cfRule type="cellIs" priority="450" operator="equal" dxfId="0">
      <formula>4</formula>
    </cfRule>
    <cfRule type="cellIs" priority="451" operator="equal" dxfId="2">
      <formula>3</formula>
    </cfRule>
    <cfRule type="cellIs" priority="452" operator="lessThan" dxfId="1">
      <formula>3</formula>
    </cfRule>
  </conditionalFormatting>
  <conditionalFormatting sqref="K27">
    <cfRule type="cellIs" priority="453" operator="equal" dxfId="0">
      <formula>5</formula>
    </cfRule>
    <cfRule type="cellIs" priority="454" operator="equal" dxfId="0">
      <formula>4</formula>
    </cfRule>
    <cfRule type="cellIs" priority="455" operator="equal" dxfId="2">
      <formula>3</formula>
    </cfRule>
    <cfRule type="cellIs" priority="456" operator="lessThan" dxfId="1">
      <formula>3</formula>
    </cfRule>
  </conditionalFormatting>
  <conditionalFormatting sqref="L27">
    <cfRule type="cellIs" priority="457" operator="equal" dxfId="0">
      <formula>5</formula>
    </cfRule>
    <cfRule type="cellIs" priority="458" operator="equal" dxfId="0">
      <formula>4</formula>
    </cfRule>
    <cfRule type="cellIs" priority="459" operator="equal" dxfId="2">
      <formula>3</formula>
    </cfRule>
    <cfRule type="cellIs" priority="460" operator="lessThan" dxfId="1">
      <formula>3</formula>
    </cfRule>
  </conditionalFormatting>
  <conditionalFormatting sqref="H28">
    <cfRule type="cellIs" priority="461" operator="equal" dxfId="0">
      <formula>5</formula>
    </cfRule>
    <cfRule type="cellIs" priority="462" operator="equal" dxfId="0">
      <formula>4</formula>
    </cfRule>
    <cfRule type="cellIs" priority="463" operator="equal" dxfId="2">
      <formula>3</formula>
    </cfRule>
    <cfRule type="cellIs" priority="464" operator="lessThan" dxfId="1">
      <formula>3</formula>
    </cfRule>
  </conditionalFormatting>
  <conditionalFormatting sqref="I28">
    <cfRule type="cellIs" priority="465" operator="equal" dxfId="0">
      <formula>5</formula>
    </cfRule>
    <cfRule type="cellIs" priority="466" operator="equal" dxfId="0">
      <formula>4</formula>
    </cfRule>
    <cfRule type="cellIs" priority="467" operator="equal" dxfId="2">
      <formula>3</formula>
    </cfRule>
    <cfRule type="cellIs" priority="468" operator="lessThan" dxfId="1">
      <formula>3</formula>
    </cfRule>
  </conditionalFormatting>
  <conditionalFormatting sqref="J28">
    <cfRule type="cellIs" priority="469" operator="equal" dxfId="0">
      <formula>5</formula>
    </cfRule>
    <cfRule type="cellIs" priority="470" operator="equal" dxfId="0">
      <formula>4</formula>
    </cfRule>
    <cfRule type="cellIs" priority="471" operator="equal" dxfId="2">
      <formula>3</formula>
    </cfRule>
    <cfRule type="cellIs" priority="472" operator="lessThan" dxfId="1">
      <formula>3</formula>
    </cfRule>
  </conditionalFormatting>
  <conditionalFormatting sqref="K28">
    <cfRule type="cellIs" priority="473" operator="equal" dxfId="0">
      <formula>5</formula>
    </cfRule>
    <cfRule type="cellIs" priority="474" operator="equal" dxfId="0">
      <formula>4</formula>
    </cfRule>
    <cfRule type="cellIs" priority="475" operator="equal" dxfId="2">
      <formula>3</formula>
    </cfRule>
    <cfRule type="cellIs" priority="476" operator="lessThan" dxfId="1">
      <formula>3</formula>
    </cfRule>
  </conditionalFormatting>
  <conditionalFormatting sqref="L28">
    <cfRule type="cellIs" priority="477" operator="equal" dxfId="0">
      <formula>5</formula>
    </cfRule>
    <cfRule type="cellIs" priority="478" operator="equal" dxfId="0">
      <formula>4</formula>
    </cfRule>
    <cfRule type="cellIs" priority="479" operator="equal" dxfId="2">
      <formula>3</formula>
    </cfRule>
    <cfRule type="cellIs" priority="480" operator="lessThan" dxfId="1">
      <formula>3</formula>
    </cfRule>
  </conditionalFormatting>
  <conditionalFormatting sqref="H29">
    <cfRule type="cellIs" priority="481" operator="equal" dxfId="0">
      <formula>5</formula>
    </cfRule>
    <cfRule type="cellIs" priority="482" operator="equal" dxfId="0">
      <formula>4</formula>
    </cfRule>
    <cfRule type="cellIs" priority="483" operator="equal" dxfId="2">
      <formula>3</formula>
    </cfRule>
    <cfRule type="cellIs" priority="484" operator="lessThan" dxfId="1">
      <formula>3</formula>
    </cfRule>
  </conditionalFormatting>
  <conditionalFormatting sqref="I29">
    <cfRule type="cellIs" priority="485" operator="equal" dxfId="0">
      <formula>5</formula>
    </cfRule>
    <cfRule type="cellIs" priority="486" operator="equal" dxfId="0">
      <formula>4</formula>
    </cfRule>
    <cfRule type="cellIs" priority="487" operator="equal" dxfId="2">
      <formula>3</formula>
    </cfRule>
    <cfRule type="cellIs" priority="488" operator="lessThan" dxfId="1">
      <formula>3</formula>
    </cfRule>
  </conditionalFormatting>
  <conditionalFormatting sqref="J29">
    <cfRule type="cellIs" priority="489" operator="equal" dxfId="0">
      <formula>5</formula>
    </cfRule>
    <cfRule type="cellIs" priority="490" operator="equal" dxfId="0">
      <formula>4</formula>
    </cfRule>
    <cfRule type="cellIs" priority="491" operator="equal" dxfId="2">
      <formula>3</formula>
    </cfRule>
    <cfRule type="cellIs" priority="492" operator="lessThan" dxfId="1">
      <formula>3</formula>
    </cfRule>
  </conditionalFormatting>
  <conditionalFormatting sqref="K29">
    <cfRule type="cellIs" priority="493" operator="equal" dxfId="0">
      <formula>5</formula>
    </cfRule>
    <cfRule type="cellIs" priority="494" operator="equal" dxfId="0">
      <formula>4</formula>
    </cfRule>
    <cfRule type="cellIs" priority="495" operator="equal" dxfId="2">
      <formula>3</formula>
    </cfRule>
    <cfRule type="cellIs" priority="496" operator="lessThan" dxfId="1">
      <formula>3</formula>
    </cfRule>
  </conditionalFormatting>
  <conditionalFormatting sqref="L29">
    <cfRule type="cellIs" priority="497" operator="equal" dxfId="0">
      <formula>5</formula>
    </cfRule>
    <cfRule type="cellIs" priority="498" operator="equal" dxfId="0">
      <formula>4</formula>
    </cfRule>
    <cfRule type="cellIs" priority="499" operator="equal" dxfId="2">
      <formula>3</formula>
    </cfRule>
    <cfRule type="cellIs" priority="500" operator="lessThan" dxfId="1">
      <formula>3</formula>
    </cfRule>
  </conditionalFormatting>
  <conditionalFormatting sqref="H30">
    <cfRule type="cellIs" priority="501" operator="equal" dxfId="0">
      <formula>5</formula>
    </cfRule>
    <cfRule type="cellIs" priority="502" operator="equal" dxfId="0">
      <formula>4</formula>
    </cfRule>
    <cfRule type="cellIs" priority="503" operator="equal" dxfId="2">
      <formula>3</formula>
    </cfRule>
    <cfRule type="cellIs" priority="504" operator="lessThan" dxfId="1">
      <formula>3</formula>
    </cfRule>
  </conditionalFormatting>
  <conditionalFormatting sqref="I30">
    <cfRule type="cellIs" priority="505" operator="equal" dxfId="0">
      <formula>5</formula>
    </cfRule>
    <cfRule type="cellIs" priority="506" operator="equal" dxfId="0">
      <formula>4</formula>
    </cfRule>
    <cfRule type="cellIs" priority="507" operator="equal" dxfId="2">
      <formula>3</formula>
    </cfRule>
    <cfRule type="cellIs" priority="508" operator="lessThan" dxfId="1">
      <formula>3</formula>
    </cfRule>
  </conditionalFormatting>
  <conditionalFormatting sqref="J30">
    <cfRule type="cellIs" priority="509" operator="equal" dxfId="0">
      <formula>5</formula>
    </cfRule>
    <cfRule type="cellIs" priority="510" operator="equal" dxfId="0">
      <formula>4</formula>
    </cfRule>
    <cfRule type="cellIs" priority="511" operator="equal" dxfId="2">
      <formula>3</formula>
    </cfRule>
    <cfRule type="cellIs" priority="512" operator="lessThan" dxfId="1">
      <formula>3</formula>
    </cfRule>
  </conditionalFormatting>
  <conditionalFormatting sqref="K30">
    <cfRule type="cellIs" priority="513" operator="equal" dxfId="0">
      <formula>5</formula>
    </cfRule>
    <cfRule type="cellIs" priority="514" operator="equal" dxfId="0">
      <formula>4</formula>
    </cfRule>
    <cfRule type="cellIs" priority="515" operator="equal" dxfId="2">
      <formula>3</formula>
    </cfRule>
    <cfRule type="cellIs" priority="516" operator="lessThan" dxfId="1">
      <formula>3</formula>
    </cfRule>
  </conditionalFormatting>
  <conditionalFormatting sqref="L30">
    <cfRule type="cellIs" priority="517" operator="equal" dxfId="0">
      <formula>5</formula>
    </cfRule>
    <cfRule type="cellIs" priority="518" operator="equal" dxfId="0">
      <formula>4</formula>
    </cfRule>
    <cfRule type="cellIs" priority="519" operator="equal" dxfId="2">
      <formula>3</formula>
    </cfRule>
    <cfRule type="cellIs" priority="520" operator="lessThan" dxfId="1">
      <formula>3</formula>
    </cfRule>
  </conditionalFormatting>
  <conditionalFormatting sqref="H31">
    <cfRule type="cellIs" priority="521" operator="equal" dxfId="0">
      <formula>5</formula>
    </cfRule>
    <cfRule type="cellIs" priority="522" operator="equal" dxfId="0">
      <formula>4</formula>
    </cfRule>
    <cfRule type="cellIs" priority="523" operator="equal" dxfId="2">
      <formula>3</formula>
    </cfRule>
    <cfRule type="cellIs" priority="524" operator="lessThan" dxfId="1">
      <formula>3</formula>
    </cfRule>
  </conditionalFormatting>
  <conditionalFormatting sqref="I31">
    <cfRule type="cellIs" priority="525" operator="equal" dxfId="0">
      <formula>5</formula>
    </cfRule>
    <cfRule type="cellIs" priority="526" operator="equal" dxfId="0">
      <formula>4</formula>
    </cfRule>
    <cfRule type="cellIs" priority="527" operator="equal" dxfId="2">
      <formula>3</formula>
    </cfRule>
    <cfRule type="cellIs" priority="528" operator="lessThan" dxfId="1">
      <formula>3</formula>
    </cfRule>
  </conditionalFormatting>
  <conditionalFormatting sqref="J31">
    <cfRule type="cellIs" priority="529" operator="equal" dxfId="0">
      <formula>5</formula>
    </cfRule>
    <cfRule type="cellIs" priority="530" operator="equal" dxfId="0">
      <formula>4</formula>
    </cfRule>
    <cfRule type="cellIs" priority="531" operator="equal" dxfId="2">
      <formula>3</formula>
    </cfRule>
    <cfRule type="cellIs" priority="532" operator="lessThan" dxfId="1">
      <formula>3</formula>
    </cfRule>
  </conditionalFormatting>
  <conditionalFormatting sqref="K31">
    <cfRule type="cellIs" priority="533" operator="equal" dxfId="0">
      <formula>5</formula>
    </cfRule>
    <cfRule type="cellIs" priority="534" operator="equal" dxfId="0">
      <formula>4</formula>
    </cfRule>
    <cfRule type="cellIs" priority="535" operator="equal" dxfId="2">
      <formula>3</formula>
    </cfRule>
    <cfRule type="cellIs" priority="536" operator="lessThan" dxfId="1">
      <formula>3</formula>
    </cfRule>
  </conditionalFormatting>
  <conditionalFormatting sqref="L31">
    <cfRule type="cellIs" priority="537" operator="equal" dxfId="0">
      <formula>5</formula>
    </cfRule>
    <cfRule type="cellIs" priority="538" operator="equal" dxfId="0">
      <formula>4</formula>
    </cfRule>
    <cfRule type="cellIs" priority="539" operator="equal" dxfId="2">
      <formula>3</formula>
    </cfRule>
    <cfRule type="cellIs" priority="540" operator="lessThan" dxfId="1">
      <formula>3</formula>
    </cfRule>
  </conditionalFormatting>
  <conditionalFormatting sqref="H32">
    <cfRule type="cellIs" priority="541" operator="equal" dxfId="0">
      <formula>5</formula>
    </cfRule>
    <cfRule type="cellIs" priority="542" operator="equal" dxfId="0">
      <formula>4</formula>
    </cfRule>
    <cfRule type="cellIs" priority="543" operator="equal" dxfId="2">
      <formula>3</formula>
    </cfRule>
    <cfRule type="cellIs" priority="544" operator="lessThan" dxfId="1">
      <formula>3</formula>
    </cfRule>
  </conditionalFormatting>
  <conditionalFormatting sqref="I32">
    <cfRule type="cellIs" priority="545" operator="equal" dxfId="0">
      <formula>5</formula>
    </cfRule>
    <cfRule type="cellIs" priority="546" operator="equal" dxfId="0">
      <formula>4</formula>
    </cfRule>
    <cfRule type="cellIs" priority="547" operator="equal" dxfId="2">
      <formula>3</formula>
    </cfRule>
    <cfRule type="cellIs" priority="548" operator="lessThan" dxfId="1">
      <formula>3</formula>
    </cfRule>
  </conditionalFormatting>
  <conditionalFormatting sqref="J32">
    <cfRule type="cellIs" priority="549" operator="equal" dxfId="0">
      <formula>5</formula>
    </cfRule>
    <cfRule type="cellIs" priority="550" operator="equal" dxfId="0">
      <formula>4</formula>
    </cfRule>
    <cfRule type="cellIs" priority="551" operator="equal" dxfId="2">
      <formula>3</formula>
    </cfRule>
    <cfRule type="cellIs" priority="552" operator="lessThan" dxfId="1">
      <formula>3</formula>
    </cfRule>
  </conditionalFormatting>
  <conditionalFormatting sqref="K32">
    <cfRule type="cellIs" priority="553" operator="equal" dxfId="0">
      <formula>5</formula>
    </cfRule>
    <cfRule type="cellIs" priority="554" operator="equal" dxfId="0">
      <formula>4</formula>
    </cfRule>
    <cfRule type="cellIs" priority="555" operator="equal" dxfId="2">
      <formula>3</formula>
    </cfRule>
    <cfRule type="cellIs" priority="556" operator="lessThan" dxfId="1">
      <formula>3</formula>
    </cfRule>
  </conditionalFormatting>
  <conditionalFormatting sqref="L32">
    <cfRule type="cellIs" priority="557" operator="equal" dxfId="0">
      <formula>5</formula>
    </cfRule>
    <cfRule type="cellIs" priority="558" operator="equal" dxfId="0">
      <formula>4</formula>
    </cfRule>
    <cfRule type="cellIs" priority="559" operator="equal" dxfId="2">
      <formula>3</formula>
    </cfRule>
    <cfRule type="cellIs" priority="560" operator="lessThan" dxfId="1">
      <formula>3</formula>
    </cfRule>
  </conditionalFormatting>
  <conditionalFormatting sqref="H33">
    <cfRule type="cellIs" priority="561" operator="equal" dxfId="0">
      <formula>5</formula>
    </cfRule>
    <cfRule type="cellIs" priority="562" operator="equal" dxfId="0">
      <formula>4</formula>
    </cfRule>
    <cfRule type="cellIs" priority="563" operator="equal" dxfId="2">
      <formula>3</formula>
    </cfRule>
    <cfRule type="cellIs" priority="564" operator="lessThan" dxfId="1">
      <formula>3</formula>
    </cfRule>
  </conditionalFormatting>
  <conditionalFormatting sqref="I33">
    <cfRule type="cellIs" priority="565" operator="equal" dxfId="0">
      <formula>5</formula>
    </cfRule>
    <cfRule type="cellIs" priority="566" operator="equal" dxfId="0">
      <formula>4</formula>
    </cfRule>
    <cfRule type="cellIs" priority="567" operator="equal" dxfId="2">
      <formula>3</formula>
    </cfRule>
    <cfRule type="cellIs" priority="568" operator="lessThan" dxfId="1">
      <formula>3</formula>
    </cfRule>
  </conditionalFormatting>
  <conditionalFormatting sqref="J33">
    <cfRule type="cellIs" priority="569" operator="equal" dxfId="0">
      <formula>5</formula>
    </cfRule>
    <cfRule type="cellIs" priority="570" operator="equal" dxfId="0">
      <formula>4</formula>
    </cfRule>
    <cfRule type="cellIs" priority="571" operator="equal" dxfId="2">
      <formula>3</formula>
    </cfRule>
    <cfRule type="cellIs" priority="572" operator="lessThan" dxfId="1">
      <formula>3</formula>
    </cfRule>
  </conditionalFormatting>
  <conditionalFormatting sqref="K33">
    <cfRule type="cellIs" priority="573" operator="equal" dxfId="0">
      <formula>5</formula>
    </cfRule>
    <cfRule type="cellIs" priority="574" operator="equal" dxfId="0">
      <formula>4</formula>
    </cfRule>
    <cfRule type="cellIs" priority="575" operator="equal" dxfId="2">
      <formula>3</formula>
    </cfRule>
    <cfRule type="cellIs" priority="576" operator="lessThan" dxfId="1">
      <formula>3</formula>
    </cfRule>
  </conditionalFormatting>
  <conditionalFormatting sqref="L33">
    <cfRule type="cellIs" priority="577" operator="equal" dxfId="0">
      <formula>5</formula>
    </cfRule>
    <cfRule type="cellIs" priority="578" operator="equal" dxfId="0">
      <formula>4</formula>
    </cfRule>
    <cfRule type="cellIs" priority="579" operator="equal" dxfId="2">
      <formula>3</formula>
    </cfRule>
    <cfRule type="cellIs" priority="580" operator="lessThan" dxfId="1">
      <formula>3</formula>
    </cfRule>
  </conditionalFormatting>
  <conditionalFormatting sqref="H34">
    <cfRule type="cellIs" priority="581" operator="equal" dxfId="0">
      <formula>5</formula>
    </cfRule>
    <cfRule type="cellIs" priority="582" operator="equal" dxfId="0">
      <formula>4</formula>
    </cfRule>
    <cfRule type="cellIs" priority="583" operator="equal" dxfId="2">
      <formula>3</formula>
    </cfRule>
    <cfRule type="cellIs" priority="584" operator="lessThan" dxfId="1">
      <formula>3</formula>
    </cfRule>
  </conditionalFormatting>
  <conditionalFormatting sqref="I34">
    <cfRule type="cellIs" priority="585" operator="equal" dxfId="0">
      <formula>5</formula>
    </cfRule>
    <cfRule type="cellIs" priority="586" operator="equal" dxfId="0">
      <formula>4</formula>
    </cfRule>
    <cfRule type="cellIs" priority="587" operator="equal" dxfId="2">
      <formula>3</formula>
    </cfRule>
    <cfRule type="cellIs" priority="588" operator="lessThan" dxfId="1">
      <formula>3</formula>
    </cfRule>
  </conditionalFormatting>
  <conditionalFormatting sqref="J34">
    <cfRule type="cellIs" priority="589" operator="equal" dxfId="0">
      <formula>5</formula>
    </cfRule>
    <cfRule type="cellIs" priority="590" operator="equal" dxfId="0">
      <formula>4</formula>
    </cfRule>
    <cfRule type="cellIs" priority="591" operator="equal" dxfId="2">
      <formula>3</formula>
    </cfRule>
    <cfRule type="cellIs" priority="592" operator="lessThan" dxfId="1">
      <formula>3</formula>
    </cfRule>
  </conditionalFormatting>
  <conditionalFormatting sqref="K34">
    <cfRule type="cellIs" priority="593" operator="equal" dxfId="0">
      <formula>5</formula>
    </cfRule>
    <cfRule type="cellIs" priority="594" operator="equal" dxfId="0">
      <formula>4</formula>
    </cfRule>
    <cfRule type="cellIs" priority="595" operator="equal" dxfId="2">
      <formula>3</formula>
    </cfRule>
    <cfRule type="cellIs" priority="596" operator="lessThan" dxfId="1">
      <formula>3</formula>
    </cfRule>
  </conditionalFormatting>
  <conditionalFormatting sqref="L34">
    <cfRule type="cellIs" priority="597" operator="equal" dxfId="0">
      <formula>5</formula>
    </cfRule>
    <cfRule type="cellIs" priority="598" operator="equal" dxfId="0">
      <formula>4</formula>
    </cfRule>
    <cfRule type="cellIs" priority="599" operator="equal" dxfId="2">
      <formula>3</formula>
    </cfRule>
    <cfRule type="cellIs" priority="600" operator="lessThan" dxfId="1">
      <formula>3</formula>
    </cfRule>
  </conditionalFormatting>
  <conditionalFormatting sqref="H35">
    <cfRule type="cellIs" priority="601" operator="equal" dxfId="0">
      <formula>5</formula>
    </cfRule>
    <cfRule type="cellIs" priority="602" operator="equal" dxfId="0">
      <formula>4</formula>
    </cfRule>
    <cfRule type="cellIs" priority="603" operator="equal" dxfId="2">
      <formula>3</formula>
    </cfRule>
    <cfRule type="cellIs" priority="604" operator="lessThan" dxfId="1">
      <formula>3</formula>
    </cfRule>
  </conditionalFormatting>
  <conditionalFormatting sqref="I35">
    <cfRule type="cellIs" priority="605" operator="equal" dxfId="0">
      <formula>5</formula>
    </cfRule>
    <cfRule type="cellIs" priority="606" operator="equal" dxfId="0">
      <formula>4</formula>
    </cfRule>
    <cfRule type="cellIs" priority="607" operator="equal" dxfId="2">
      <formula>3</formula>
    </cfRule>
    <cfRule type="cellIs" priority="608" operator="lessThan" dxfId="1">
      <formula>3</formula>
    </cfRule>
  </conditionalFormatting>
  <conditionalFormatting sqref="J35">
    <cfRule type="cellIs" priority="609" operator="equal" dxfId="0">
      <formula>5</formula>
    </cfRule>
    <cfRule type="cellIs" priority="610" operator="equal" dxfId="0">
      <formula>4</formula>
    </cfRule>
    <cfRule type="cellIs" priority="611" operator="equal" dxfId="2">
      <formula>3</formula>
    </cfRule>
    <cfRule type="cellIs" priority="612" operator="lessThan" dxfId="1">
      <formula>3</formula>
    </cfRule>
  </conditionalFormatting>
  <conditionalFormatting sqref="K35">
    <cfRule type="cellIs" priority="613" operator="equal" dxfId="0">
      <formula>5</formula>
    </cfRule>
    <cfRule type="cellIs" priority="614" operator="equal" dxfId="0">
      <formula>4</formula>
    </cfRule>
    <cfRule type="cellIs" priority="615" operator="equal" dxfId="2">
      <formula>3</formula>
    </cfRule>
    <cfRule type="cellIs" priority="616" operator="lessThan" dxfId="1">
      <formula>3</formula>
    </cfRule>
  </conditionalFormatting>
  <conditionalFormatting sqref="L35">
    <cfRule type="cellIs" priority="617" operator="equal" dxfId="0">
      <formula>5</formula>
    </cfRule>
    <cfRule type="cellIs" priority="618" operator="equal" dxfId="0">
      <formula>4</formula>
    </cfRule>
    <cfRule type="cellIs" priority="619" operator="equal" dxfId="2">
      <formula>3</formula>
    </cfRule>
    <cfRule type="cellIs" priority="620" operator="lessThan" dxfId="1">
      <formula>3</formula>
    </cfRule>
  </conditionalFormatting>
  <conditionalFormatting sqref="H36">
    <cfRule type="cellIs" priority="621" operator="equal" dxfId="0">
      <formula>5</formula>
    </cfRule>
    <cfRule type="cellIs" priority="622" operator="equal" dxfId="0">
      <formula>4</formula>
    </cfRule>
    <cfRule type="cellIs" priority="623" operator="equal" dxfId="2">
      <formula>3</formula>
    </cfRule>
    <cfRule type="cellIs" priority="624" operator="lessThan" dxfId="1">
      <formula>3</formula>
    </cfRule>
  </conditionalFormatting>
  <conditionalFormatting sqref="I36">
    <cfRule type="cellIs" priority="625" operator="equal" dxfId="0">
      <formula>5</formula>
    </cfRule>
    <cfRule type="cellIs" priority="626" operator="equal" dxfId="0">
      <formula>4</formula>
    </cfRule>
    <cfRule type="cellIs" priority="627" operator="equal" dxfId="2">
      <formula>3</formula>
    </cfRule>
    <cfRule type="cellIs" priority="628" operator="lessThan" dxfId="1">
      <formula>3</formula>
    </cfRule>
  </conditionalFormatting>
  <conditionalFormatting sqref="J36">
    <cfRule type="cellIs" priority="629" operator="equal" dxfId="0">
      <formula>5</formula>
    </cfRule>
    <cfRule type="cellIs" priority="630" operator="equal" dxfId="0">
      <formula>4</formula>
    </cfRule>
    <cfRule type="cellIs" priority="631" operator="equal" dxfId="2">
      <formula>3</formula>
    </cfRule>
    <cfRule type="cellIs" priority="632" operator="lessThan" dxfId="1">
      <formula>3</formula>
    </cfRule>
  </conditionalFormatting>
  <conditionalFormatting sqref="K36">
    <cfRule type="cellIs" priority="633" operator="equal" dxfId="0">
      <formula>5</formula>
    </cfRule>
    <cfRule type="cellIs" priority="634" operator="equal" dxfId="0">
      <formula>4</formula>
    </cfRule>
    <cfRule type="cellIs" priority="635" operator="equal" dxfId="2">
      <formula>3</formula>
    </cfRule>
    <cfRule type="cellIs" priority="636" operator="lessThan" dxfId="1">
      <formula>3</formula>
    </cfRule>
  </conditionalFormatting>
  <conditionalFormatting sqref="L36">
    <cfRule type="cellIs" priority="637" operator="equal" dxfId="0">
      <formula>5</formula>
    </cfRule>
    <cfRule type="cellIs" priority="638" operator="equal" dxfId="0">
      <formula>4</formula>
    </cfRule>
    <cfRule type="cellIs" priority="639" operator="equal" dxfId="2">
      <formula>3</formula>
    </cfRule>
    <cfRule type="cellIs" priority="640" operator="lessThan" dxfId="1">
      <formula>3</formula>
    </cfRule>
  </conditionalFormatting>
  <conditionalFormatting sqref="H37">
    <cfRule type="cellIs" priority="641" operator="equal" dxfId="0">
      <formula>5</formula>
    </cfRule>
    <cfRule type="cellIs" priority="642" operator="equal" dxfId="0">
      <formula>4</formula>
    </cfRule>
    <cfRule type="cellIs" priority="643" operator="equal" dxfId="2">
      <formula>3</formula>
    </cfRule>
    <cfRule type="cellIs" priority="644" operator="lessThan" dxfId="1">
      <formula>3</formula>
    </cfRule>
  </conditionalFormatting>
  <conditionalFormatting sqref="I37">
    <cfRule type="cellIs" priority="645" operator="equal" dxfId="0">
      <formula>5</formula>
    </cfRule>
    <cfRule type="cellIs" priority="646" operator="equal" dxfId="0">
      <formula>4</formula>
    </cfRule>
    <cfRule type="cellIs" priority="647" operator="equal" dxfId="2">
      <formula>3</formula>
    </cfRule>
    <cfRule type="cellIs" priority="648" operator="lessThan" dxfId="1">
      <formula>3</formula>
    </cfRule>
  </conditionalFormatting>
  <conditionalFormatting sqref="J37">
    <cfRule type="cellIs" priority="649" operator="equal" dxfId="0">
      <formula>5</formula>
    </cfRule>
    <cfRule type="cellIs" priority="650" operator="equal" dxfId="0">
      <formula>4</formula>
    </cfRule>
    <cfRule type="cellIs" priority="651" operator="equal" dxfId="2">
      <formula>3</formula>
    </cfRule>
    <cfRule type="cellIs" priority="652" operator="lessThan" dxfId="1">
      <formula>3</formula>
    </cfRule>
  </conditionalFormatting>
  <conditionalFormatting sqref="K37">
    <cfRule type="cellIs" priority="653" operator="equal" dxfId="0">
      <formula>5</formula>
    </cfRule>
    <cfRule type="cellIs" priority="654" operator="equal" dxfId="0">
      <formula>4</formula>
    </cfRule>
    <cfRule type="cellIs" priority="655" operator="equal" dxfId="2">
      <formula>3</formula>
    </cfRule>
    <cfRule type="cellIs" priority="656" operator="lessThan" dxfId="1">
      <formula>3</formula>
    </cfRule>
  </conditionalFormatting>
  <conditionalFormatting sqref="L37">
    <cfRule type="cellIs" priority="657" operator="equal" dxfId="0">
      <formula>5</formula>
    </cfRule>
    <cfRule type="cellIs" priority="658" operator="equal" dxfId="0">
      <formula>4</formula>
    </cfRule>
    <cfRule type="cellIs" priority="659" operator="equal" dxfId="2">
      <formula>3</formula>
    </cfRule>
    <cfRule type="cellIs" priority="660" operator="lessThan" dxfId="1">
      <formula>3</formula>
    </cfRule>
  </conditionalFormatting>
  <conditionalFormatting sqref="H38">
    <cfRule type="cellIs" priority="661" operator="equal" dxfId="0">
      <formula>5</formula>
    </cfRule>
    <cfRule type="cellIs" priority="662" operator="equal" dxfId="0">
      <formula>4</formula>
    </cfRule>
    <cfRule type="cellIs" priority="663" operator="equal" dxfId="2">
      <formula>3</formula>
    </cfRule>
    <cfRule type="cellIs" priority="664" operator="lessThan" dxfId="1">
      <formula>3</formula>
    </cfRule>
  </conditionalFormatting>
  <conditionalFormatting sqref="I38">
    <cfRule type="cellIs" priority="665" operator="equal" dxfId="0">
      <formula>5</formula>
    </cfRule>
    <cfRule type="cellIs" priority="666" operator="equal" dxfId="0">
      <formula>4</formula>
    </cfRule>
    <cfRule type="cellIs" priority="667" operator="equal" dxfId="2">
      <formula>3</formula>
    </cfRule>
    <cfRule type="cellIs" priority="668" operator="lessThan" dxfId="1">
      <formula>3</formula>
    </cfRule>
  </conditionalFormatting>
  <conditionalFormatting sqref="J38">
    <cfRule type="cellIs" priority="669" operator="equal" dxfId="0">
      <formula>5</formula>
    </cfRule>
    <cfRule type="cellIs" priority="670" operator="equal" dxfId="0">
      <formula>4</formula>
    </cfRule>
    <cfRule type="cellIs" priority="671" operator="equal" dxfId="2">
      <formula>3</formula>
    </cfRule>
    <cfRule type="cellIs" priority="672" operator="lessThan" dxfId="1">
      <formula>3</formula>
    </cfRule>
  </conditionalFormatting>
  <conditionalFormatting sqref="K38">
    <cfRule type="cellIs" priority="673" operator="equal" dxfId="0">
      <formula>5</formula>
    </cfRule>
    <cfRule type="cellIs" priority="674" operator="equal" dxfId="0">
      <formula>4</formula>
    </cfRule>
    <cfRule type="cellIs" priority="675" operator="equal" dxfId="2">
      <formula>3</formula>
    </cfRule>
    <cfRule type="cellIs" priority="676" operator="lessThan" dxfId="1">
      <formula>3</formula>
    </cfRule>
  </conditionalFormatting>
  <conditionalFormatting sqref="L38">
    <cfRule type="cellIs" priority="677" operator="equal" dxfId="0">
      <formula>5</formula>
    </cfRule>
    <cfRule type="cellIs" priority="678" operator="equal" dxfId="0">
      <formula>4</formula>
    </cfRule>
    <cfRule type="cellIs" priority="679" operator="equal" dxfId="2">
      <formula>3</formula>
    </cfRule>
    <cfRule type="cellIs" priority="680" operator="lessThan" dxfId="1">
      <formula>3</formula>
    </cfRule>
  </conditionalFormatting>
  <conditionalFormatting sqref="H39">
    <cfRule type="cellIs" priority="681" operator="equal" dxfId="0">
      <formula>5</formula>
    </cfRule>
    <cfRule type="cellIs" priority="682" operator="equal" dxfId="0">
      <formula>4</formula>
    </cfRule>
    <cfRule type="cellIs" priority="683" operator="equal" dxfId="2">
      <formula>3</formula>
    </cfRule>
    <cfRule type="cellIs" priority="684" operator="lessThan" dxfId="1">
      <formula>3</formula>
    </cfRule>
  </conditionalFormatting>
  <conditionalFormatting sqref="I39">
    <cfRule type="cellIs" priority="685" operator="equal" dxfId="0">
      <formula>5</formula>
    </cfRule>
    <cfRule type="cellIs" priority="686" operator="equal" dxfId="0">
      <formula>4</formula>
    </cfRule>
    <cfRule type="cellIs" priority="687" operator="equal" dxfId="2">
      <formula>3</formula>
    </cfRule>
    <cfRule type="cellIs" priority="688" operator="lessThan" dxfId="1">
      <formula>3</formula>
    </cfRule>
  </conditionalFormatting>
  <conditionalFormatting sqref="J39">
    <cfRule type="cellIs" priority="689" operator="equal" dxfId="0">
      <formula>5</formula>
    </cfRule>
    <cfRule type="cellIs" priority="690" operator="equal" dxfId="0">
      <formula>4</formula>
    </cfRule>
    <cfRule type="cellIs" priority="691" operator="equal" dxfId="2">
      <formula>3</formula>
    </cfRule>
    <cfRule type="cellIs" priority="692" operator="lessThan" dxfId="1">
      <formula>3</formula>
    </cfRule>
  </conditionalFormatting>
  <conditionalFormatting sqref="K39">
    <cfRule type="cellIs" priority="693" operator="equal" dxfId="0">
      <formula>5</formula>
    </cfRule>
    <cfRule type="cellIs" priority="694" operator="equal" dxfId="0">
      <formula>4</formula>
    </cfRule>
    <cfRule type="cellIs" priority="695" operator="equal" dxfId="2">
      <formula>3</formula>
    </cfRule>
    <cfRule type="cellIs" priority="696" operator="lessThan" dxfId="1">
      <formula>3</formula>
    </cfRule>
  </conditionalFormatting>
  <conditionalFormatting sqref="L39">
    <cfRule type="cellIs" priority="697" operator="equal" dxfId="0">
      <formula>5</formula>
    </cfRule>
    <cfRule type="cellIs" priority="698" operator="equal" dxfId="0">
      <formula>4</formula>
    </cfRule>
    <cfRule type="cellIs" priority="699" operator="equal" dxfId="2">
      <formula>3</formula>
    </cfRule>
    <cfRule type="cellIs" priority="700" operator="lessThan" dxfId="1">
      <formula>3</formula>
    </cfRule>
  </conditionalFormatting>
  <conditionalFormatting sqref="H40">
    <cfRule type="cellIs" priority="701" operator="equal" dxfId="0">
      <formula>5</formula>
    </cfRule>
    <cfRule type="cellIs" priority="702" operator="equal" dxfId="0">
      <formula>4</formula>
    </cfRule>
    <cfRule type="cellIs" priority="703" operator="equal" dxfId="2">
      <formula>3</formula>
    </cfRule>
    <cfRule type="cellIs" priority="704" operator="lessThan" dxfId="1">
      <formula>3</formula>
    </cfRule>
  </conditionalFormatting>
  <conditionalFormatting sqref="I40">
    <cfRule type="cellIs" priority="705" operator="equal" dxfId="0">
      <formula>5</formula>
    </cfRule>
    <cfRule type="cellIs" priority="706" operator="equal" dxfId="0">
      <formula>4</formula>
    </cfRule>
    <cfRule type="cellIs" priority="707" operator="equal" dxfId="2">
      <formula>3</formula>
    </cfRule>
    <cfRule type="cellIs" priority="708" operator="lessThan" dxfId="1">
      <formula>3</formula>
    </cfRule>
  </conditionalFormatting>
  <conditionalFormatting sqref="J40">
    <cfRule type="cellIs" priority="709" operator="equal" dxfId="0">
      <formula>5</formula>
    </cfRule>
    <cfRule type="cellIs" priority="710" operator="equal" dxfId="0">
      <formula>4</formula>
    </cfRule>
    <cfRule type="cellIs" priority="711" operator="equal" dxfId="2">
      <formula>3</formula>
    </cfRule>
    <cfRule type="cellIs" priority="712" operator="lessThan" dxfId="1">
      <formula>3</formula>
    </cfRule>
  </conditionalFormatting>
  <conditionalFormatting sqref="K40">
    <cfRule type="cellIs" priority="713" operator="equal" dxfId="0">
      <formula>5</formula>
    </cfRule>
    <cfRule type="cellIs" priority="714" operator="equal" dxfId="0">
      <formula>4</formula>
    </cfRule>
    <cfRule type="cellIs" priority="715" operator="equal" dxfId="2">
      <formula>3</formula>
    </cfRule>
    <cfRule type="cellIs" priority="716" operator="lessThan" dxfId="1">
      <formula>3</formula>
    </cfRule>
  </conditionalFormatting>
  <conditionalFormatting sqref="L40">
    <cfRule type="cellIs" priority="717" operator="equal" dxfId="0">
      <formula>5</formula>
    </cfRule>
    <cfRule type="cellIs" priority="718" operator="equal" dxfId="0">
      <formula>4</formula>
    </cfRule>
    <cfRule type="cellIs" priority="719" operator="equal" dxfId="2">
      <formula>3</formula>
    </cfRule>
    <cfRule type="cellIs" priority="720" operator="lessThan" dxfId="1">
      <formula>3</formula>
    </cfRule>
  </conditionalFormatting>
  <conditionalFormatting sqref="H41">
    <cfRule type="cellIs" priority="721" operator="equal" dxfId="0">
      <formula>5</formula>
    </cfRule>
    <cfRule type="cellIs" priority="722" operator="equal" dxfId="0">
      <formula>4</formula>
    </cfRule>
    <cfRule type="cellIs" priority="723" operator="equal" dxfId="2">
      <formula>3</formula>
    </cfRule>
    <cfRule type="cellIs" priority="724" operator="lessThan" dxfId="1">
      <formula>3</formula>
    </cfRule>
  </conditionalFormatting>
  <conditionalFormatting sqref="I41">
    <cfRule type="cellIs" priority="725" operator="equal" dxfId="0">
      <formula>5</formula>
    </cfRule>
    <cfRule type="cellIs" priority="726" operator="equal" dxfId="0">
      <formula>4</formula>
    </cfRule>
    <cfRule type="cellIs" priority="727" operator="equal" dxfId="2">
      <formula>3</formula>
    </cfRule>
    <cfRule type="cellIs" priority="728" operator="lessThan" dxfId="1">
      <formula>3</formula>
    </cfRule>
  </conditionalFormatting>
  <conditionalFormatting sqref="J41">
    <cfRule type="cellIs" priority="729" operator="equal" dxfId="0">
      <formula>5</formula>
    </cfRule>
    <cfRule type="cellIs" priority="730" operator="equal" dxfId="0">
      <formula>4</formula>
    </cfRule>
    <cfRule type="cellIs" priority="731" operator="equal" dxfId="2">
      <formula>3</formula>
    </cfRule>
    <cfRule type="cellIs" priority="732" operator="lessThan" dxfId="1">
      <formula>3</formula>
    </cfRule>
  </conditionalFormatting>
  <conditionalFormatting sqref="K41">
    <cfRule type="cellIs" priority="733" operator="equal" dxfId="0">
      <formula>5</formula>
    </cfRule>
    <cfRule type="cellIs" priority="734" operator="equal" dxfId="0">
      <formula>4</formula>
    </cfRule>
    <cfRule type="cellIs" priority="735" operator="equal" dxfId="2">
      <formula>3</formula>
    </cfRule>
    <cfRule type="cellIs" priority="736" operator="lessThan" dxfId="1">
      <formula>3</formula>
    </cfRule>
  </conditionalFormatting>
  <conditionalFormatting sqref="L41">
    <cfRule type="cellIs" priority="737" operator="equal" dxfId="0">
      <formula>5</formula>
    </cfRule>
    <cfRule type="cellIs" priority="738" operator="equal" dxfId="0">
      <formula>4</formula>
    </cfRule>
    <cfRule type="cellIs" priority="739" operator="equal" dxfId="2">
      <formula>3</formula>
    </cfRule>
    <cfRule type="cellIs" priority="740" operator="lessThan" dxfId="1">
      <formula>3</formula>
    </cfRule>
  </conditionalFormatting>
  <conditionalFormatting sqref="H42">
    <cfRule type="cellIs" priority="741" operator="equal" dxfId="0">
      <formula>5</formula>
    </cfRule>
    <cfRule type="cellIs" priority="742" operator="equal" dxfId="0">
      <formula>4</formula>
    </cfRule>
    <cfRule type="cellIs" priority="743" operator="equal" dxfId="2">
      <formula>3</formula>
    </cfRule>
    <cfRule type="cellIs" priority="744" operator="lessThan" dxfId="1">
      <formula>3</formula>
    </cfRule>
  </conditionalFormatting>
  <conditionalFormatting sqref="I42">
    <cfRule type="cellIs" priority="745" operator="equal" dxfId="0">
      <formula>5</formula>
    </cfRule>
    <cfRule type="cellIs" priority="746" operator="equal" dxfId="0">
      <formula>4</formula>
    </cfRule>
    <cfRule type="cellIs" priority="747" operator="equal" dxfId="2">
      <formula>3</formula>
    </cfRule>
    <cfRule type="cellIs" priority="748" operator="lessThan" dxfId="1">
      <formula>3</formula>
    </cfRule>
  </conditionalFormatting>
  <conditionalFormatting sqref="J42">
    <cfRule type="cellIs" priority="749" operator="equal" dxfId="0">
      <formula>5</formula>
    </cfRule>
    <cfRule type="cellIs" priority="750" operator="equal" dxfId="0">
      <formula>4</formula>
    </cfRule>
    <cfRule type="cellIs" priority="751" operator="equal" dxfId="2">
      <formula>3</formula>
    </cfRule>
    <cfRule type="cellIs" priority="752" operator="lessThan" dxfId="1">
      <formula>3</formula>
    </cfRule>
  </conditionalFormatting>
  <conditionalFormatting sqref="K42">
    <cfRule type="cellIs" priority="753" operator="equal" dxfId="0">
      <formula>5</formula>
    </cfRule>
    <cfRule type="cellIs" priority="754" operator="equal" dxfId="0">
      <formula>4</formula>
    </cfRule>
    <cfRule type="cellIs" priority="755" operator="equal" dxfId="2">
      <formula>3</formula>
    </cfRule>
    <cfRule type="cellIs" priority="756" operator="lessThan" dxfId="1">
      <formula>3</formula>
    </cfRule>
  </conditionalFormatting>
  <conditionalFormatting sqref="L42">
    <cfRule type="cellIs" priority="757" operator="equal" dxfId="0">
      <formula>5</formula>
    </cfRule>
    <cfRule type="cellIs" priority="758" operator="equal" dxfId="0">
      <formula>4</formula>
    </cfRule>
    <cfRule type="cellIs" priority="759" operator="equal" dxfId="2">
      <formula>3</formula>
    </cfRule>
    <cfRule type="cellIs" priority="760" operator="lessThan" dxfId="1">
      <formula>3</formula>
    </cfRule>
  </conditionalFormatting>
  <conditionalFormatting sqref="H43">
    <cfRule type="cellIs" priority="761" operator="equal" dxfId="0">
      <formula>5</formula>
    </cfRule>
    <cfRule type="cellIs" priority="762" operator="equal" dxfId="0">
      <formula>4</formula>
    </cfRule>
    <cfRule type="cellIs" priority="763" operator="equal" dxfId="2">
      <formula>3</formula>
    </cfRule>
    <cfRule type="cellIs" priority="764" operator="lessThan" dxfId="1">
      <formula>3</formula>
    </cfRule>
  </conditionalFormatting>
  <conditionalFormatting sqref="I43">
    <cfRule type="cellIs" priority="765" operator="equal" dxfId="0">
      <formula>5</formula>
    </cfRule>
    <cfRule type="cellIs" priority="766" operator="equal" dxfId="0">
      <formula>4</formula>
    </cfRule>
    <cfRule type="cellIs" priority="767" operator="equal" dxfId="2">
      <formula>3</formula>
    </cfRule>
    <cfRule type="cellIs" priority="768" operator="lessThan" dxfId="1">
      <formula>3</formula>
    </cfRule>
  </conditionalFormatting>
  <conditionalFormatting sqref="J43">
    <cfRule type="cellIs" priority="769" operator="equal" dxfId="0">
      <formula>5</formula>
    </cfRule>
    <cfRule type="cellIs" priority="770" operator="equal" dxfId="0">
      <formula>4</formula>
    </cfRule>
    <cfRule type="cellIs" priority="771" operator="equal" dxfId="2">
      <formula>3</formula>
    </cfRule>
    <cfRule type="cellIs" priority="772" operator="lessThan" dxfId="1">
      <formula>3</formula>
    </cfRule>
  </conditionalFormatting>
  <conditionalFormatting sqref="K43">
    <cfRule type="cellIs" priority="773" operator="equal" dxfId="0">
      <formula>5</formula>
    </cfRule>
    <cfRule type="cellIs" priority="774" operator="equal" dxfId="0">
      <formula>4</formula>
    </cfRule>
    <cfRule type="cellIs" priority="775" operator="equal" dxfId="2">
      <formula>3</formula>
    </cfRule>
    <cfRule type="cellIs" priority="776" operator="lessThan" dxfId="1">
      <formula>3</formula>
    </cfRule>
  </conditionalFormatting>
  <conditionalFormatting sqref="L43">
    <cfRule type="cellIs" priority="777" operator="equal" dxfId="0">
      <formula>5</formula>
    </cfRule>
    <cfRule type="cellIs" priority="778" operator="equal" dxfId="0">
      <formula>4</formula>
    </cfRule>
    <cfRule type="cellIs" priority="779" operator="equal" dxfId="2">
      <formula>3</formula>
    </cfRule>
    <cfRule type="cellIs" priority="780" operator="lessThan" dxfId="1">
      <formula>3</formula>
    </cfRule>
  </conditionalFormatting>
  <conditionalFormatting sqref="H44">
    <cfRule type="cellIs" priority="781" operator="equal" dxfId="0">
      <formula>5</formula>
    </cfRule>
    <cfRule type="cellIs" priority="782" operator="equal" dxfId="0">
      <formula>4</formula>
    </cfRule>
    <cfRule type="cellIs" priority="783" operator="equal" dxfId="2">
      <formula>3</formula>
    </cfRule>
    <cfRule type="cellIs" priority="784" operator="lessThan" dxfId="1">
      <formula>3</formula>
    </cfRule>
  </conditionalFormatting>
  <conditionalFormatting sqref="I44">
    <cfRule type="cellIs" priority="785" operator="equal" dxfId="0">
      <formula>5</formula>
    </cfRule>
    <cfRule type="cellIs" priority="786" operator="equal" dxfId="0">
      <formula>4</formula>
    </cfRule>
    <cfRule type="cellIs" priority="787" operator="equal" dxfId="2">
      <formula>3</formula>
    </cfRule>
    <cfRule type="cellIs" priority="788" operator="lessThan" dxfId="1">
      <formula>3</formula>
    </cfRule>
  </conditionalFormatting>
  <conditionalFormatting sqref="J44">
    <cfRule type="cellIs" priority="789" operator="equal" dxfId="0">
      <formula>5</formula>
    </cfRule>
    <cfRule type="cellIs" priority="790" operator="equal" dxfId="0">
      <formula>4</formula>
    </cfRule>
    <cfRule type="cellIs" priority="791" operator="equal" dxfId="2">
      <formula>3</formula>
    </cfRule>
    <cfRule type="cellIs" priority="792" operator="lessThan" dxfId="1">
      <formula>3</formula>
    </cfRule>
  </conditionalFormatting>
  <conditionalFormatting sqref="K44">
    <cfRule type="cellIs" priority="793" operator="equal" dxfId="0">
      <formula>5</formula>
    </cfRule>
    <cfRule type="cellIs" priority="794" operator="equal" dxfId="0">
      <formula>4</formula>
    </cfRule>
    <cfRule type="cellIs" priority="795" operator="equal" dxfId="2">
      <formula>3</formula>
    </cfRule>
    <cfRule type="cellIs" priority="796" operator="lessThan" dxfId="1">
      <formula>3</formula>
    </cfRule>
  </conditionalFormatting>
  <conditionalFormatting sqref="L44">
    <cfRule type="cellIs" priority="797" operator="equal" dxfId="0">
      <formula>5</formula>
    </cfRule>
    <cfRule type="cellIs" priority="798" operator="equal" dxfId="0">
      <formula>4</formula>
    </cfRule>
    <cfRule type="cellIs" priority="799" operator="equal" dxfId="2">
      <formula>3</formula>
    </cfRule>
    <cfRule type="cellIs" priority="800" operator="lessThan" dxfId="1">
      <formula>3</formula>
    </cfRule>
  </conditionalFormatting>
  <conditionalFormatting sqref="H45">
    <cfRule type="cellIs" priority="801" operator="equal" dxfId="0">
      <formula>5</formula>
    </cfRule>
    <cfRule type="cellIs" priority="802" operator="equal" dxfId="0">
      <formula>4</formula>
    </cfRule>
    <cfRule type="cellIs" priority="803" operator="equal" dxfId="2">
      <formula>3</formula>
    </cfRule>
    <cfRule type="cellIs" priority="804" operator="lessThan" dxfId="1">
      <formula>3</formula>
    </cfRule>
  </conditionalFormatting>
  <conditionalFormatting sqref="I45">
    <cfRule type="cellIs" priority="805" operator="equal" dxfId="0">
      <formula>5</formula>
    </cfRule>
    <cfRule type="cellIs" priority="806" operator="equal" dxfId="0">
      <formula>4</formula>
    </cfRule>
    <cfRule type="cellIs" priority="807" operator="equal" dxfId="2">
      <formula>3</formula>
    </cfRule>
    <cfRule type="cellIs" priority="808" operator="lessThan" dxfId="1">
      <formula>3</formula>
    </cfRule>
  </conditionalFormatting>
  <conditionalFormatting sqref="J45">
    <cfRule type="cellIs" priority="809" operator="equal" dxfId="0">
      <formula>5</formula>
    </cfRule>
    <cfRule type="cellIs" priority="810" operator="equal" dxfId="0">
      <formula>4</formula>
    </cfRule>
    <cfRule type="cellIs" priority="811" operator="equal" dxfId="2">
      <formula>3</formula>
    </cfRule>
    <cfRule type="cellIs" priority="812" operator="lessThan" dxfId="1">
      <formula>3</formula>
    </cfRule>
  </conditionalFormatting>
  <conditionalFormatting sqref="K45">
    <cfRule type="cellIs" priority="813" operator="equal" dxfId="0">
      <formula>5</formula>
    </cfRule>
    <cfRule type="cellIs" priority="814" operator="equal" dxfId="0">
      <formula>4</formula>
    </cfRule>
    <cfRule type="cellIs" priority="815" operator="equal" dxfId="2">
      <formula>3</formula>
    </cfRule>
    <cfRule type="cellIs" priority="816" operator="lessThan" dxfId="1">
      <formula>3</formula>
    </cfRule>
  </conditionalFormatting>
  <conditionalFormatting sqref="L45">
    <cfRule type="cellIs" priority="817" operator="equal" dxfId="0">
      <formula>5</formula>
    </cfRule>
    <cfRule type="cellIs" priority="818" operator="equal" dxfId="0">
      <formula>4</formula>
    </cfRule>
    <cfRule type="cellIs" priority="819" operator="equal" dxfId="2">
      <formula>3</formula>
    </cfRule>
    <cfRule type="cellIs" priority="820" operator="lessThan" dxfId="1">
      <formula>3</formula>
    </cfRule>
  </conditionalFormatting>
  <conditionalFormatting sqref="H46">
    <cfRule type="cellIs" priority="821" operator="equal" dxfId="0">
      <formula>5</formula>
    </cfRule>
    <cfRule type="cellIs" priority="822" operator="equal" dxfId="0">
      <formula>4</formula>
    </cfRule>
    <cfRule type="cellIs" priority="823" operator="equal" dxfId="2">
      <formula>3</formula>
    </cfRule>
    <cfRule type="cellIs" priority="824" operator="lessThan" dxfId="1">
      <formula>3</formula>
    </cfRule>
  </conditionalFormatting>
  <conditionalFormatting sqref="I46">
    <cfRule type="cellIs" priority="825" operator="equal" dxfId="0">
      <formula>5</formula>
    </cfRule>
    <cfRule type="cellIs" priority="826" operator="equal" dxfId="0">
      <formula>4</formula>
    </cfRule>
    <cfRule type="cellIs" priority="827" operator="equal" dxfId="2">
      <formula>3</formula>
    </cfRule>
    <cfRule type="cellIs" priority="828" operator="lessThan" dxfId="1">
      <formula>3</formula>
    </cfRule>
  </conditionalFormatting>
  <conditionalFormatting sqref="J46">
    <cfRule type="cellIs" priority="829" operator="equal" dxfId="0">
      <formula>5</formula>
    </cfRule>
    <cfRule type="cellIs" priority="830" operator="equal" dxfId="0">
      <formula>4</formula>
    </cfRule>
    <cfRule type="cellIs" priority="831" operator="equal" dxfId="2">
      <formula>3</formula>
    </cfRule>
    <cfRule type="cellIs" priority="832" operator="lessThan" dxfId="1">
      <formula>3</formula>
    </cfRule>
  </conditionalFormatting>
  <conditionalFormatting sqref="K46">
    <cfRule type="cellIs" priority="833" operator="equal" dxfId="0">
      <formula>5</formula>
    </cfRule>
    <cfRule type="cellIs" priority="834" operator="equal" dxfId="0">
      <formula>4</formula>
    </cfRule>
    <cfRule type="cellIs" priority="835" operator="equal" dxfId="2">
      <formula>3</formula>
    </cfRule>
    <cfRule type="cellIs" priority="836" operator="lessThan" dxfId="1">
      <formula>3</formula>
    </cfRule>
  </conditionalFormatting>
  <conditionalFormatting sqref="L46">
    <cfRule type="cellIs" priority="837" operator="equal" dxfId="0">
      <formula>5</formula>
    </cfRule>
    <cfRule type="cellIs" priority="838" operator="equal" dxfId="0">
      <formula>4</formula>
    </cfRule>
    <cfRule type="cellIs" priority="839" operator="equal" dxfId="2">
      <formula>3</formula>
    </cfRule>
    <cfRule type="cellIs" priority="840" operator="lessThan" dxfId="1">
      <formula>3</formula>
    </cfRule>
  </conditionalFormatting>
  <conditionalFormatting sqref="H47">
    <cfRule type="cellIs" priority="841" operator="equal" dxfId="0">
      <formula>5</formula>
    </cfRule>
    <cfRule type="cellIs" priority="842" operator="equal" dxfId="0">
      <formula>4</formula>
    </cfRule>
    <cfRule type="cellIs" priority="843" operator="equal" dxfId="2">
      <formula>3</formula>
    </cfRule>
    <cfRule type="cellIs" priority="844" operator="lessThan" dxfId="1">
      <formula>3</formula>
    </cfRule>
  </conditionalFormatting>
  <conditionalFormatting sqref="I47">
    <cfRule type="cellIs" priority="845" operator="equal" dxfId="0">
      <formula>5</formula>
    </cfRule>
    <cfRule type="cellIs" priority="846" operator="equal" dxfId="0">
      <formula>4</formula>
    </cfRule>
    <cfRule type="cellIs" priority="847" operator="equal" dxfId="2">
      <formula>3</formula>
    </cfRule>
    <cfRule type="cellIs" priority="848" operator="lessThan" dxfId="1">
      <formula>3</formula>
    </cfRule>
  </conditionalFormatting>
  <conditionalFormatting sqref="J47">
    <cfRule type="cellIs" priority="849" operator="equal" dxfId="0">
      <formula>5</formula>
    </cfRule>
    <cfRule type="cellIs" priority="850" operator="equal" dxfId="0">
      <formula>4</formula>
    </cfRule>
    <cfRule type="cellIs" priority="851" operator="equal" dxfId="2">
      <formula>3</formula>
    </cfRule>
    <cfRule type="cellIs" priority="852" operator="lessThan" dxfId="1">
      <formula>3</formula>
    </cfRule>
  </conditionalFormatting>
  <conditionalFormatting sqref="K47">
    <cfRule type="cellIs" priority="853" operator="equal" dxfId="0">
      <formula>5</formula>
    </cfRule>
    <cfRule type="cellIs" priority="854" operator="equal" dxfId="0">
      <formula>4</formula>
    </cfRule>
    <cfRule type="cellIs" priority="855" operator="equal" dxfId="2">
      <formula>3</formula>
    </cfRule>
    <cfRule type="cellIs" priority="856" operator="lessThan" dxfId="1">
      <formula>3</formula>
    </cfRule>
  </conditionalFormatting>
  <conditionalFormatting sqref="L47">
    <cfRule type="cellIs" priority="857" operator="equal" dxfId="0">
      <formula>5</formula>
    </cfRule>
    <cfRule type="cellIs" priority="858" operator="equal" dxfId="0">
      <formula>4</formula>
    </cfRule>
    <cfRule type="cellIs" priority="859" operator="equal" dxfId="2">
      <formula>3</formula>
    </cfRule>
    <cfRule type="cellIs" priority="860" operator="lessThan" dxfId="1">
      <formula>3</formula>
    </cfRule>
  </conditionalFormatting>
  <conditionalFormatting sqref="H48">
    <cfRule type="cellIs" priority="861" operator="equal" dxfId="0">
      <formula>5</formula>
    </cfRule>
    <cfRule type="cellIs" priority="862" operator="equal" dxfId="0">
      <formula>4</formula>
    </cfRule>
    <cfRule type="cellIs" priority="863" operator="equal" dxfId="2">
      <formula>3</formula>
    </cfRule>
    <cfRule type="cellIs" priority="864" operator="lessThan" dxfId="1">
      <formula>3</formula>
    </cfRule>
  </conditionalFormatting>
  <conditionalFormatting sqref="I48">
    <cfRule type="cellIs" priority="865" operator="equal" dxfId="0">
      <formula>5</formula>
    </cfRule>
    <cfRule type="cellIs" priority="866" operator="equal" dxfId="0">
      <formula>4</formula>
    </cfRule>
    <cfRule type="cellIs" priority="867" operator="equal" dxfId="2">
      <formula>3</formula>
    </cfRule>
    <cfRule type="cellIs" priority="868" operator="lessThan" dxfId="1">
      <formula>3</formula>
    </cfRule>
  </conditionalFormatting>
  <conditionalFormatting sqref="J48">
    <cfRule type="cellIs" priority="869" operator="equal" dxfId="0">
      <formula>5</formula>
    </cfRule>
    <cfRule type="cellIs" priority="870" operator="equal" dxfId="0">
      <formula>4</formula>
    </cfRule>
    <cfRule type="cellIs" priority="871" operator="equal" dxfId="2">
      <formula>3</formula>
    </cfRule>
    <cfRule type="cellIs" priority="872" operator="lessThan" dxfId="1">
      <formula>3</formula>
    </cfRule>
  </conditionalFormatting>
  <conditionalFormatting sqref="K48">
    <cfRule type="cellIs" priority="873" operator="equal" dxfId="0">
      <formula>5</formula>
    </cfRule>
    <cfRule type="cellIs" priority="874" operator="equal" dxfId="0">
      <formula>4</formula>
    </cfRule>
    <cfRule type="cellIs" priority="875" operator="equal" dxfId="2">
      <formula>3</formula>
    </cfRule>
    <cfRule type="cellIs" priority="876" operator="lessThan" dxfId="1">
      <formula>3</formula>
    </cfRule>
  </conditionalFormatting>
  <conditionalFormatting sqref="L48">
    <cfRule type="cellIs" priority="877" operator="equal" dxfId="0">
      <formula>5</formula>
    </cfRule>
    <cfRule type="cellIs" priority="878" operator="equal" dxfId="0">
      <formula>4</formula>
    </cfRule>
    <cfRule type="cellIs" priority="879" operator="equal" dxfId="2">
      <formula>3</formula>
    </cfRule>
    <cfRule type="cellIs" priority="880" operator="lessThan" dxfId="1">
      <formula>3</formula>
    </cfRule>
  </conditionalFormatting>
  <conditionalFormatting sqref="H49">
    <cfRule type="cellIs" priority="881" operator="equal" dxfId="0">
      <formula>5</formula>
    </cfRule>
    <cfRule type="cellIs" priority="882" operator="equal" dxfId="0">
      <formula>4</formula>
    </cfRule>
    <cfRule type="cellIs" priority="883" operator="equal" dxfId="2">
      <formula>3</formula>
    </cfRule>
    <cfRule type="cellIs" priority="884" operator="lessThan" dxfId="1">
      <formula>3</formula>
    </cfRule>
  </conditionalFormatting>
  <conditionalFormatting sqref="I49">
    <cfRule type="cellIs" priority="885" operator="equal" dxfId="0">
      <formula>5</formula>
    </cfRule>
    <cfRule type="cellIs" priority="886" operator="equal" dxfId="0">
      <formula>4</formula>
    </cfRule>
    <cfRule type="cellIs" priority="887" operator="equal" dxfId="2">
      <formula>3</formula>
    </cfRule>
    <cfRule type="cellIs" priority="888" operator="lessThan" dxfId="1">
      <formula>3</formula>
    </cfRule>
  </conditionalFormatting>
  <conditionalFormatting sqref="J49">
    <cfRule type="cellIs" priority="889" operator="equal" dxfId="0">
      <formula>5</formula>
    </cfRule>
    <cfRule type="cellIs" priority="890" operator="equal" dxfId="0">
      <formula>4</formula>
    </cfRule>
    <cfRule type="cellIs" priority="891" operator="equal" dxfId="2">
      <formula>3</formula>
    </cfRule>
    <cfRule type="cellIs" priority="892" operator="lessThan" dxfId="1">
      <formula>3</formula>
    </cfRule>
  </conditionalFormatting>
  <conditionalFormatting sqref="K49">
    <cfRule type="cellIs" priority="893" operator="equal" dxfId="0">
      <formula>5</formula>
    </cfRule>
    <cfRule type="cellIs" priority="894" operator="equal" dxfId="0">
      <formula>4</formula>
    </cfRule>
    <cfRule type="cellIs" priority="895" operator="equal" dxfId="2">
      <formula>3</formula>
    </cfRule>
    <cfRule type="cellIs" priority="896" operator="lessThan" dxfId="1">
      <formula>3</formula>
    </cfRule>
  </conditionalFormatting>
  <conditionalFormatting sqref="L49">
    <cfRule type="cellIs" priority="897" operator="equal" dxfId="0">
      <formula>5</formula>
    </cfRule>
    <cfRule type="cellIs" priority="898" operator="equal" dxfId="0">
      <formula>4</formula>
    </cfRule>
    <cfRule type="cellIs" priority="899" operator="equal" dxfId="2">
      <formula>3</formula>
    </cfRule>
    <cfRule type="cellIs" priority="900" operator="lessThan" dxfId="1">
      <formula>3</formula>
    </cfRule>
  </conditionalFormatting>
  <conditionalFormatting sqref="H50">
    <cfRule type="cellIs" priority="901" operator="equal" dxfId="0">
      <formula>5</formula>
    </cfRule>
    <cfRule type="cellIs" priority="902" operator="equal" dxfId="0">
      <formula>4</formula>
    </cfRule>
    <cfRule type="cellIs" priority="903" operator="equal" dxfId="2">
      <formula>3</formula>
    </cfRule>
    <cfRule type="cellIs" priority="904" operator="lessThan" dxfId="1">
      <formula>3</formula>
    </cfRule>
  </conditionalFormatting>
  <conditionalFormatting sqref="I50">
    <cfRule type="cellIs" priority="905" operator="equal" dxfId="0">
      <formula>5</formula>
    </cfRule>
    <cfRule type="cellIs" priority="906" operator="equal" dxfId="0">
      <formula>4</formula>
    </cfRule>
    <cfRule type="cellIs" priority="907" operator="equal" dxfId="2">
      <formula>3</formula>
    </cfRule>
    <cfRule type="cellIs" priority="908" operator="lessThan" dxfId="1">
      <formula>3</formula>
    </cfRule>
  </conditionalFormatting>
  <conditionalFormatting sqref="J50">
    <cfRule type="cellIs" priority="909" operator="equal" dxfId="0">
      <formula>5</formula>
    </cfRule>
    <cfRule type="cellIs" priority="910" operator="equal" dxfId="0">
      <formula>4</formula>
    </cfRule>
    <cfRule type="cellIs" priority="911" operator="equal" dxfId="2">
      <formula>3</formula>
    </cfRule>
    <cfRule type="cellIs" priority="912" operator="lessThan" dxfId="1">
      <formula>3</formula>
    </cfRule>
  </conditionalFormatting>
  <conditionalFormatting sqref="K50">
    <cfRule type="cellIs" priority="913" operator="equal" dxfId="0">
      <formula>5</formula>
    </cfRule>
    <cfRule type="cellIs" priority="914" operator="equal" dxfId="0">
      <formula>4</formula>
    </cfRule>
    <cfRule type="cellIs" priority="915" operator="equal" dxfId="2">
      <formula>3</formula>
    </cfRule>
    <cfRule type="cellIs" priority="916" operator="lessThan" dxfId="1">
      <formula>3</formula>
    </cfRule>
  </conditionalFormatting>
  <conditionalFormatting sqref="L50">
    <cfRule type="cellIs" priority="917" operator="equal" dxfId="0">
      <formula>5</formula>
    </cfRule>
    <cfRule type="cellIs" priority="918" operator="equal" dxfId="0">
      <formula>4</formula>
    </cfRule>
    <cfRule type="cellIs" priority="919" operator="equal" dxfId="2">
      <formula>3</formula>
    </cfRule>
    <cfRule type="cellIs" priority="920" operator="lessThan" dxfId="1">
      <formula>3</formula>
    </cfRule>
  </conditionalFormatting>
  <conditionalFormatting sqref="H51">
    <cfRule type="cellIs" priority="921" operator="equal" dxfId="0">
      <formula>5</formula>
    </cfRule>
    <cfRule type="cellIs" priority="922" operator="equal" dxfId="0">
      <formula>4</formula>
    </cfRule>
    <cfRule type="cellIs" priority="923" operator="equal" dxfId="2">
      <formula>3</formula>
    </cfRule>
    <cfRule type="cellIs" priority="924" operator="lessThan" dxfId="1">
      <formula>3</formula>
    </cfRule>
  </conditionalFormatting>
  <conditionalFormatting sqref="I51">
    <cfRule type="cellIs" priority="925" operator="equal" dxfId="0">
      <formula>5</formula>
    </cfRule>
    <cfRule type="cellIs" priority="926" operator="equal" dxfId="0">
      <formula>4</formula>
    </cfRule>
    <cfRule type="cellIs" priority="927" operator="equal" dxfId="2">
      <formula>3</formula>
    </cfRule>
    <cfRule type="cellIs" priority="928" operator="lessThan" dxfId="1">
      <formula>3</formula>
    </cfRule>
  </conditionalFormatting>
  <conditionalFormatting sqref="J51">
    <cfRule type="cellIs" priority="929" operator="equal" dxfId="0">
      <formula>5</formula>
    </cfRule>
    <cfRule type="cellIs" priority="930" operator="equal" dxfId="0">
      <formula>4</formula>
    </cfRule>
    <cfRule type="cellIs" priority="931" operator="equal" dxfId="2">
      <formula>3</formula>
    </cfRule>
    <cfRule type="cellIs" priority="932" operator="lessThan" dxfId="1">
      <formula>3</formula>
    </cfRule>
  </conditionalFormatting>
  <conditionalFormatting sqref="K51">
    <cfRule type="cellIs" priority="933" operator="equal" dxfId="0">
      <formula>5</formula>
    </cfRule>
    <cfRule type="cellIs" priority="934" operator="equal" dxfId="0">
      <formula>4</formula>
    </cfRule>
    <cfRule type="cellIs" priority="935" operator="equal" dxfId="2">
      <formula>3</formula>
    </cfRule>
    <cfRule type="cellIs" priority="936" operator="lessThan" dxfId="1">
      <formula>3</formula>
    </cfRule>
  </conditionalFormatting>
  <conditionalFormatting sqref="L51">
    <cfRule type="cellIs" priority="937" operator="equal" dxfId="0">
      <formula>5</formula>
    </cfRule>
    <cfRule type="cellIs" priority="938" operator="equal" dxfId="0">
      <formula>4</formula>
    </cfRule>
    <cfRule type="cellIs" priority="939" operator="equal" dxfId="2">
      <formula>3</formula>
    </cfRule>
    <cfRule type="cellIs" priority="940" operator="lessThan" dxfId="1">
      <formula>3</formula>
    </cfRule>
  </conditionalFormatting>
  <conditionalFormatting sqref="H52">
    <cfRule type="cellIs" priority="941" operator="equal" dxfId="0">
      <formula>5</formula>
    </cfRule>
    <cfRule type="cellIs" priority="942" operator="equal" dxfId="0">
      <formula>4</formula>
    </cfRule>
    <cfRule type="cellIs" priority="943" operator="equal" dxfId="2">
      <formula>3</formula>
    </cfRule>
    <cfRule type="cellIs" priority="944" operator="lessThan" dxfId="1">
      <formula>3</formula>
    </cfRule>
  </conditionalFormatting>
  <conditionalFormatting sqref="I52">
    <cfRule type="cellIs" priority="945" operator="equal" dxfId="0">
      <formula>5</formula>
    </cfRule>
    <cfRule type="cellIs" priority="946" operator="equal" dxfId="0">
      <formula>4</formula>
    </cfRule>
    <cfRule type="cellIs" priority="947" operator="equal" dxfId="2">
      <formula>3</formula>
    </cfRule>
    <cfRule type="cellIs" priority="948" operator="lessThan" dxfId="1">
      <formula>3</formula>
    </cfRule>
  </conditionalFormatting>
  <conditionalFormatting sqref="J52">
    <cfRule type="cellIs" priority="949" operator="equal" dxfId="0">
      <formula>5</formula>
    </cfRule>
    <cfRule type="cellIs" priority="950" operator="equal" dxfId="0">
      <formula>4</formula>
    </cfRule>
    <cfRule type="cellIs" priority="951" operator="equal" dxfId="2">
      <formula>3</formula>
    </cfRule>
    <cfRule type="cellIs" priority="952" operator="lessThan" dxfId="1">
      <formula>3</formula>
    </cfRule>
  </conditionalFormatting>
  <conditionalFormatting sqref="K52">
    <cfRule type="cellIs" priority="953" operator="equal" dxfId="0">
      <formula>5</formula>
    </cfRule>
    <cfRule type="cellIs" priority="954" operator="equal" dxfId="0">
      <formula>4</formula>
    </cfRule>
    <cfRule type="cellIs" priority="955" operator="equal" dxfId="2">
      <formula>3</formula>
    </cfRule>
    <cfRule type="cellIs" priority="956" operator="lessThan" dxfId="1">
      <formula>3</formula>
    </cfRule>
  </conditionalFormatting>
  <conditionalFormatting sqref="L52">
    <cfRule type="cellIs" priority="957" operator="equal" dxfId="0">
      <formula>5</formula>
    </cfRule>
    <cfRule type="cellIs" priority="958" operator="equal" dxfId="0">
      <formula>4</formula>
    </cfRule>
    <cfRule type="cellIs" priority="959" operator="equal" dxfId="2">
      <formula>3</formula>
    </cfRule>
    <cfRule type="cellIs" priority="960" operator="lessThan" dxfId="1">
      <formula>3</formula>
    </cfRule>
  </conditionalFormatting>
  <conditionalFormatting sqref="H53">
    <cfRule type="cellIs" priority="961" operator="equal" dxfId="0">
      <formula>5</formula>
    </cfRule>
    <cfRule type="cellIs" priority="962" operator="equal" dxfId="0">
      <formula>4</formula>
    </cfRule>
    <cfRule type="cellIs" priority="963" operator="equal" dxfId="2">
      <formula>3</formula>
    </cfRule>
    <cfRule type="cellIs" priority="964" operator="lessThan" dxfId="1">
      <formula>3</formula>
    </cfRule>
  </conditionalFormatting>
  <conditionalFormatting sqref="I53">
    <cfRule type="cellIs" priority="965" operator="equal" dxfId="0">
      <formula>5</formula>
    </cfRule>
    <cfRule type="cellIs" priority="966" operator="equal" dxfId="0">
      <formula>4</formula>
    </cfRule>
    <cfRule type="cellIs" priority="967" operator="equal" dxfId="2">
      <formula>3</formula>
    </cfRule>
    <cfRule type="cellIs" priority="968" operator="lessThan" dxfId="1">
      <formula>3</formula>
    </cfRule>
  </conditionalFormatting>
  <conditionalFormatting sqref="J53">
    <cfRule type="cellIs" priority="969" operator="equal" dxfId="0">
      <formula>5</formula>
    </cfRule>
    <cfRule type="cellIs" priority="970" operator="equal" dxfId="0">
      <formula>4</formula>
    </cfRule>
    <cfRule type="cellIs" priority="971" operator="equal" dxfId="2">
      <formula>3</formula>
    </cfRule>
    <cfRule type="cellIs" priority="972" operator="lessThan" dxfId="1">
      <formula>3</formula>
    </cfRule>
  </conditionalFormatting>
  <conditionalFormatting sqref="K53">
    <cfRule type="cellIs" priority="973" operator="equal" dxfId="0">
      <formula>5</formula>
    </cfRule>
    <cfRule type="cellIs" priority="974" operator="equal" dxfId="0">
      <formula>4</formula>
    </cfRule>
    <cfRule type="cellIs" priority="975" operator="equal" dxfId="2">
      <formula>3</formula>
    </cfRule>
    <cfRule type="cellIs" priority="976" operator="lessThan" dxfId="1">
      <formula>3</formula>
    </cfRule>
  </conditionalFormatting>
  <conditionalFormatting sqref="L53">
    <cfRule type="cellIs" priority="977" operator="equal" dxfId="0">
      <formula>5</formula>
    </cfRule>
    <cfRule type="cellIs" priority="978" operator="equal" dxfId="0">
      <formula>4</formula>
    </cfRule>
    <cfRule type="cellIs" priority="979" operator="equal" dxfId="2">
      <formula>3</formula>
    </cfRule>
    <cfRule type="cellIs" priority="980" operator="lessThan" dxfId="1">
      <formula>3</formula>
    </cfRule>
  </conditionalFormatting>
  <conditionalFormatting sqref="H54">
    <cfRule type="cellIs" priority="981" operator="equal" dxfId="0">
      <formula>5</formula>
    </cfRule>
    <cfRule type="cellIs" priority="982" operator="equal" dxfId="0">
      <formula>4</formula>
    </cfRule>
    <cfRule type="cellIs" priority="983" operator="equal" dxfId="2">
      <formula>3</formula>
    </cfRule>
    <cfRule type="cellIs" priority="984" operator="lessThan" dxfId="1">
      <formula>3</formula>
    </cfRule>
  </conditionalFormatting>
  <conditionalFormatting sqref="I54">
    <cfRule type="cellIs" priority="985" operator="equal" dxfId="0">
      <formula>5</formula>
    </cfRule>
    <cfRule type="cellIs" priority="986" operator="equal" dxfId="0">
      <formula>4</formula>
    </cfRule>
    <cfRule type="cellIs" priority="987" operator="equal" dxfId="2">
      <formula>3</formula>
    </cfRule>
    <cfRule type="cellIs" priority="988" operator="lessThan" dxfId="1">
      <formula>3</formula>
    </cfRule>
  </conditionalFormatting>
  <conditionalFormatting sqref="J54">
    <cfRule type="cellIs" priority="989" operator="equal" dxfId="0">
      <formula>5</formula>
    </cfRule>
    <cfRule type="cellIs" priority="990" operator="equal" dxfId="0">
      <formula>4</formula>
    </cfRule>
    <cfRule type="cellIs" priority="991" operator="equal" dxfId="2">
      <formula>3</formula>
    </cfRule>
    <cfRule type="cellIs" priority="992" operator="lessThan" dxfId="1">
      <formula>3</formula>
    </cfRule>
  </conditionalFormatting>
  <conditionalFormatting sqref="K54">
    <cfRule type="cellIs" priority="993" operator="equal" dxfId="0">
      <formula>5</formula>
    </cfRule>
    <cfRule type="cellIs" priority="994" operator="equal" dxfId="0">
      <formula>4</formula>
    </cfRule>
    <cfRule type="cellIs" priority="995" operator="equal" dxfId="2">
      <formula>3</formula>
    </cfRule>
    <cfRule type="cellIs" priority="996" operator="lessThan" dxfId="1">
      <formula>3</formula>
    </cfRule>
  </conditionalFormatting>
  <conditionalFormatting sqref="L54">
    <cfRule type="cellIs" priority="997" operator="equal" dxfId="0">
      <formula>5</formula>
    </cfRule>
    <cfRule type="cellIs" priority="998" operator="equal" dxfId="0">
      <formula>4</formula>
    </cfRule>
    <cfRule type="cellIs" priority="999" operator="equal" dxfId="2">
      <formula>3</formula>
    </cfRule>
    <cfRule type="cellIs" priority="1000" operator="lessThan" dxfId="1">
      <formula>3</formula>
    </cfRule>
  </conditionalFormatting>
  <conditionalFormatting sqref="H55">
    <cfRule type="cellIs" priority="1001" operator="equal" dxfId="0">
      <formula>5</formula>
    </cfRule>
    <cfRule type="cellIs" priority="1002" operator="equal" dxfId="0">
      <formula>4</formula>
    </cfRule>
    <cfRule type="cellIs" priority="1003" operator="equal" dxfId="2">
      <formula>3</formula>
    </cfRule>
    <cfRule type="cellIs" priority="1004" operator="lessThan" dxfId="1">
      <formula>3</formula>
    </cfRule>
  </conditionalFormatting>
  <conditionalFormatting sqref="I55">
    <cfRule type="cellIs" priority="1005" operator="equal" dxfId="0">
      <formula>5</formula>
    </cfRule>
    <cfRule type="cellIs" priority="1006" operator="equal" dxfId="0">
      <formula>4</formula>
    </cfRule>
    <cfRule type="cellIs" priority="1007" operator="equal" dxfId="2">
      <formula>3</formula>
    </cfRule>
    <cfRule type="cellIs" priority="1008" operator="lessThan" dxfId="1">
      <formula>3</formula>
    </cfRule>
  </conditionalFormatting>
  <conditionalFormatting sqref="J55">
    <cfRule type="cellIs" priority="1009" operator="equal" dxfId="0">
      <formula>5</formula>
    </cfRule>
    <cfRule type="cellIs" priority="1010" operator="equal" dxfId="0">
      <formula>4</formula>
    </cfRule>
    <cfRule type="cellIs" priority="1011" operator="equal" dxfId="2">
      <formula>3</formula>
    </cfRule>
    <cfRule type="cellIs" priority="1012" operator="lessThan" dxfId="1">
      <formula>3</formula>
    </cfRule>
  </conditionalFormatting>
  <conditionalFormatting sqref="K55">
    <cfRule type="cellIs" priority="1013" operator="equal" dxfId="0">
      <formula>5</formula>
    </cfRule>
    <cfRule type="cellIs" priority="1014" operator="equal" dxfId="0">
      <formula>4</formula>
    </cfRule>
    <cfRule type="cellIs" priority="1015" operator="equal" dxfId="2">
      <formula>3</formula>
    </cfRule>
    <cfRule type="cellIs" priority="1016" operator="lessThan" dxfId="1">
      <formula>3</formula>
    </cfRule>
  </conditionalFormatting>
  <conditionalFormatting sqref="L55">
    <cfRule type="cellIs" priority="1017" operator="equal" dxfId="0">
      <formula>5</formula>
    </cfRule>
    <cfRule type="cellIs" priority="1018" operator="equal" dxfId="0">
      <formula>4</formula>
    </cfRule>
    <cfRule type="cellIs" priority="1019" operator="equal" dxfId="2">
      <formula>3</formula>
    </cfRule>
    <cfRule type="cellIs" priority="1020" operator="lessThan" dxfId="1">
      <formula>3</formula>
    </cfRule>
  </conditionalFormatting>
  <conditionalFormatting sqref="H56">
    <cfRule type="cellIs" priority="1021" operator="equal" dxfId="0">
      <formula>5</formula>
    </cfRule>
    <cfRule type="cellIs" priority="1022" operator="equal" dxfId="0">
      <formula>4</formula>
    </cfRule>
    <cfRule type="cellIs" priority="1023" operator="equal" dxfId="2">
      <formula>3</formula>
    </cfRule>
    <cfRule type="cellIs" priority="1024" operator="lessThan" dxfId="1">
      <formula>3</formula>
    </cfRule>
  </conditionalFormatting>
  <conditionalFormatting sqref="I56">
    <cfRule type="cellIs" priority="1025" operator="equal" dxfId="0">
      <formula>5</formula>
    </cfRule>
    <cfRule type="cellIs" priority="1026" operator="equal" dxfId="0">
      <formula>4</formula>
    </cfRule>
    <cfRule type="cellIs" priority="1027" operator="equal" dxfId="2">
      <formula>3</formula>
    </cfRule>
    <cfRule type="cellIs" priority="1028" operator="lessThan" dxfId="1">
      <formula>3</formula>
    </cfRule>
  </conditionalFormatting>
  <conditionalFormatting sqref="J56">
    <cfRule type="cellIs" priority="1029" operator="equal" dxfId="0">
      <formula>5</formula>
    </cfRule>
    <cfRule type="cellIs" priority="1030" operator="equal" dxfId="0">
      <formula>4</formula>
    </cfRule>
    <cfRule type="cellIs" priority="1031" operator="equal" dxfId="2">
      <formula>3</formula>
    </cfRule>
    <cfRule type="cellIs" priority="1032" operator="lessThan" dxfId="1">
      <formula>3</formula>
    </cfRule>
  </conditionalFormatting>
  <conditionalFormatting sqref="K56">
    <cfRule type="cellIs" priority="1033" operator="equal" dxfId="0">
      <formula>5</formula>
    </cfRule>
    <cfRule type="cellIs" priority="1034" operator="equal" dxfId="0">
      <formula>4</formula>
    </cfRule>
    <cfRule type="cellIs" priority="1035" operator="equal" dxfId="2">
      <formula>3</formula>
    </cfRule>
    <cfRule type="cellIs" priority="1036" operator="lessThan" dxfId="1">
      <formula>3</formula>
    </cfRule>
  </conditionalFormatting>
  <conditionalFormatting sqref="L56">
    <cfRule type="cellIs" priority="1037" operator="equal" dxfId="0">
      <formula>5</formula>
    </cfRule>
    <cfRule type="cellIs" priority="1038" operator="equal" dxfId="0">
      <formula>4</formula>
    </cfRule>
    <cfRule type="cellIs" priority="1039" operator="equal" dxfId="2">
      <formula>3</formula>
    </cfRule>
    <cfRule type="cellIs" priority="1040" operator="lessThan" dxfId="1">
      <formula>3</formula>
    </cfRule>
  </conditionalFormatting>
  <conditionalFormatting sqref="H57">
    <cfRule type="cellIs" priority="1041" operator="equal" dxfId="0">
      <formula>5</formula>
    </cfRule>
    <cfRule type="cellIs" priority="1042" operator="equal" dxfId="0">
      <formula>4</formula>
    </cfRule>
    <cfRule type="cellIs" priority="1043" operator="equal" dxfId="2">
      <formula>3</formula>
    </cfRule>
    <cfRule type="cellIs" priority="1044" operator="lessThan" dxfId="1">
      <formula>3</formula>
    </cfRule>
  </conditionalFormatting>
  <conditionalFormatting sqref="I57">
    <cfRule type="cellIs" priority="1045" operator="equal" dxfId="0">
      <formula>5</formula>
    </cfRule>
    <cfRule type="cellIs" priority="1046" operator="equal" dxfId="0">
      <formula>4</formula>
    </cfRule>
    <cfRule type="cellIs" priority="1047" operator="equal" dxfId="2">
      <formula>3</formula>
    </cfRule>
    <cfRule type="cellIs" priority="1048" operator="lessThan" dxfId="1">
      <formula>3</formula>
    </cfRule>
  </conditionalFormatting>
  <conditionalFormatting sqref="J57">
    <cfRule type="cellIs" priority="1049" operator="equal" dxfId="0">
      <formula>5</formula>
    </cfRule>
    <cfRule type="cellIs" priority="1050" operator="equal" dxfId="0">
      <formula>4</formula>
    </cfRule>
    <cfRule type="cellIs" priority="1051" operator="equal" dxfId="2">
      <formula>3</formula>
    </cfRule>
    <cfRule type="cellIs" priority="1052" operator="lessThan" dxfId="1">
      <formula>3</formula>
    </cfRule>
  </conditionalFormatting>
  <conditionalFormatting sqref="K57">
    <cfRule type="cellIs" priority="1053" operator="equal" dxfId="0">
      <formula>5</formula>
    </cfRule>
    <cfRule type="cellIs" priority="1054" operator="equal" dxfId="0">
      <formula>4</formula>
    </cfRule>
    <cfRule type="cellIs" priority="1055" operator="equal" dxfId="2">
      <formula>3</formula>
    </cfRule>
    <cfRule type="cellIs" priority="1056" operator="lessThan" dxfId="1">
      <formula>3</formula>
    </cfRule>
  </conditionalFormatting>
  <conditionalFormatting sqref="L57">
    <cfRule type="cellIs" priority="1057" operator="equal" dxfId="0">
      <formula>5</formula>
    </cfRule>
    <cfRule type="cellIs" priority="1058" operator="equal" dxfId="0">
      <formula>4</formula>
    </cfRule>
    <cfRule type="cellIs" priority="1059" operator="equal" dxfId="2">
      <formula>3</formula>
    </cfRule>
    <cfRule type="cellIs" priority="1060" operator="lessThan" dxfId="1">
      <formula>3</formula>
    </cfRule>
  </conditionalFormatting>
  <conditionalFormatting sqref="H58">
    <cfRule type="cellIs" priority="1061" operator="equal" dxfId="0">
      <formula>5</formula>
    </cfRule>
    <cfRule type="cellIs" priority="1062" operator="equal" dxfId="0">
      <formula>4</formula>
    </cfRule>
    <cfRule type="cellIs" priority="1063" operator="equal" dxfId="2">
      <formula>3</formula>
    </cfRule>
    <cfRule type="cellIs" priority="1064" operator="lessThan" dxfId="1">
      <formula>3</formula>
    </cfRule>
  </conditionalFormatting>
  <conditionalFormatting sqref="I58">
    <cfRule type="cellIs" priority="1065" operator="equal" dxfId="0">
      <formula>5</formula>
    </cfRule>
    <cfRule type="cellIs" priority="1066" operator="equal" dxfId="0">
      <formula>4</formula>
    </cfRule>
    <cfRule type="cellIs" priority="1067" operator="equal" dxfId="2">
      <formula>3</formula>
    </cfRule>
    <cfRule type="cellIs" priority="1068" operator="lessThan" dxfId="1">
      <formula>3</formula>
    </cfRule>
  </conditionalFormatting>
  <conditionalFormatting sqref="J58">
    <cfRule type="cellIs" priority="1069" operator="equal" dxfId="0">
      <formula>5</formula>
    </cfRule>
    <cfRule type="cellIs" priority="1070" operator="equal" dxfId="0">
      <formula>4</formula>
    </cfRule>
    <cfRule type="cellIs" priority="1071" operator="equal" dxfId="2">
      <formula>3</formula>
    </cfRule>
    <cfRule type="cellIs" priority="1072" operator="lessThan" dxfId="1">
      <formula>3</formula>
    </cfRule>
  </conditionalFormatting>
  <conditionalFormatting sqref="K58">
    <cfRule type="cellIs" priority="1073" operator="equal" dxfId="0">
      <formula>5</formula>
    </cfRule>
    <cfRule type="cellIs" priority="1074" operator="equal" dxfId="0">
      <formula>4</formula>
    </cfRule>
    <cfRule type="cellIs" priority="1075" operator="equal" dxfId="2">
      <formula>3</formula>
    </cfRule>
    <cfRule type="cellIs" priority="1076" operator="lessThan" dxfId="1">
      <formula>3</formula>
    </cfRule>
  </conditionalFormatting>
  <conditionalFormatting sqref="L58">
    <cfRule type="cellIs" priority="1077" operator="equal" dxfId="0">
      <formula>5</formula>
    </cfRule>
    <cfRule type="cellIs" priority="1078" operator="equal" dxfId="0">
      <formula>4</formula>
    </cfRule>
    <cfRule type="cellIs" priority="1079" operator="equal" dxfId="2">
      <formula>3</formula>
    </cfRule>
    <cfRule type="cellIs" priority="1080" operator="lessThan" dxfId="1">
      <formula>3</formula>
    </cfRule>
  </conditionalFormatting>
  <conditionalFormatting sqref="H59">
    <cfRule type="cellIs" priority="1081" operator="equal" dxfId="0">
      <formula>5</formula>
    </cfRule>
    <cfRule type="cellIs" priority="1082" operator="equal" dxfId="0">
      <formula>4</formula>
    </cfRule>
    <cfRule type="cellIs" priority="1083" operator="equal" dxfId="2">
      <formula>3</formula>
    </cfRule>
    <cfRule type="cellIs" priority="1084" operator="lessThan" dxfId="1">
      <formula>3</formula>
    </cfRule>
  </conditionalFormatting>
  <conditionalFormatting sqref="I59">
    <cfRule type="cellIs" priority="1085" operator="equal" dxfId="0">
      <formula>5</formula>
    </cfRule>
    <cfRule type="cellIs" priority="1086" operator="equal" dxfId="0">
      <formula>4</formula>
    </cfRule>
    <cfRule type="cellIs" priority="1087" operator="equal" dxfId="2">
      <formula>3</formula>
    </cfRule>
    <cfRule type="cellIs" priority="1088" operator="lessThan" dxfId="1">
      <formula>3</formula>
    </cfRule>
  </conditionalFormatting>
  <conditionalFormatting sqref="J59">
    <cfRule type="cellIs" priority="1089" operator="equal" dxfId="0">
      <formula>5</formula>
    </cfRule>
    <cfRule type="cellIs" priority="1090" operator="equal" dxfId="0">
      <formula>4</formula>
    </cfRule>
    <cfRule type="cellIs" priority="1091" operator="equal" dxfId="2">
      <formula>3</formula>
    </cfRule>
    <cfRule type="cellIs" priority="1092" operator="lessThan" dxfId="1">
      <formula>3</formula>
    </cfRule>
  </conditionalFormatting>
  <conditionalFormatting sqref="K59">
    <cfRule type="cellIs" priority="1093" operator="equal" dxfId="0">
      <formula>5</formula>
    </cfRule>
    <cfRule type="cellIs" priority="1094" operator="equal" dxfId="0">
      <formula>4</formula>
    </cfRule>
    <cfRule type="cellIs" priority="1095" operator="equal" dxfId="2">
      <formula>3</formula>
    </cfRule>
    <cfRule type="cellIs" priority="1096" operator="lessThan" dxfId="1">
      <formula>3</formula>
    </cfRule>
  </conditionalFormatting>
  <conditionalFormatting sqref="L59">
    <cfRule type="cellIs" priority="1097" operator="equal" dxfId="0">
      <formula>5</formula>
    </cfRule>
    <cfRule type="cellIs" priority="1098" operator="equal" dxfId="0">
      <formula>4</formula>
    </cfRule>
    <cfRule type="cellIs" priority="1099" operator="equal" dxfId="2">
      <formula>3</formula>
    </cfRule>
    <cfRule type="cellIs" priority="1100" operator="lessThan" dxfId="1">
      <formula>3</formula>
    </cfRule>
  </conditionalFormatting>
  <conditionalFormatting sqref="H60">
    <cfRule type="cellIs" priority="1101" operator="equal" dxfId="0">
      <formula>5</formula>
    </cfRule>
    <cfRule type="cellIs" priority="1102" operator="equal" dxfId="0">
      <formula>4</formula>
    </cfRule>
    <cfRule type="cellIs" priority="1103" operator="equal" dxfId="2">
      <formula>3</formula>
    </cfRule>
    <cfRule type="cellIs" priority="1104" operator="lessThan" dxfId="1">
      <formula>3</formula>
    </cfRule>
  </conditionalFormatting>
  <conditionalFormatting sqref="I60">
    <cfRule type="cellIs" priority="1105" operator="equal" dxfId="0">
      <formula>5</formula>
    </cfRule>
    <cfRule type="cellIs" priority="1106" operator="equal" dxfId="0">
      <formula>4</formula>
    </cfRule>
    <cfRule type="cellIs" priority="1107" operator="equal" dxfId="2">
      <formula>3</formula>
    </cfRule>
    <cfRule type="cellIs" priority="1108" operator="lessThan" dxfId="1">
      <formula>3</formula>
    </cfRule>
  </conditionalFormatting>
  <conditionalFormatting sqref="J60">
    <cfRule type="cellIs" priority="1109" operator="equal" dxfId="0">
      <formula>5</formula>
    </cfRule>
    <cfRule type="cellIs" priority="1110" operator="equal" dxfId="0">
      <formula>4</formula>
    </cfRule>
    <cfRule type="cellIs" priority="1111" operator="equal" dxfId="2">
      <formula>3</formula>
    </cfRule>
    <cfRule type="cellIs" priority="1112" operator="lessThan" dxfId="1">
      <formula>3</formula>
    </cfRule>
  </conditionalFormatting>
  <conditionalFormatting sqref="K60">
    <cfRule type="cellIs" priority="1113" operator="equal" dxfId="0">
      <formula>5</formula>
    </cfRule>
    <cfRule type="cellIs" priority="1114" operator="equal" dxfId="0">
      <formula>4</formula>
    </cfRule>
    <cfRule type="cellIs" priority="1115" operator="equal" dxfId="2">
      <formula>3</formula>
    </cfRule>
    <cfRule type="cellIs" priority="1116" operator="lessThan" dxfId="1">
      <formula>3</formula>
    </cfRule>
  </conditionalFormatting>
  <conditionalFormatting sqref="L60">
    <cfRule type="cellIs" priority="1117" operator="equal" dxfId="0">
      <formula>5</formula>
    </cfRule>
    <cfRule type="cellIs" priority="1118" operator="equal" dxfId="0">
      <formula>4</formula>
    </cfRule>
    <cfRule type="cellIs" priority="1119" operator="equal" dxfId="2">
      <formula>3</formula>
    </cfRule>
    <cfRule type="cellIs" priority="1120" operator="lessThan" dxfId="1">
      <formula>3</formula>
    </cfRule>
  </conditionalFormatting>
  <conditionalFormatting sqref="H61">
    <cfRule type="cellIs" priority="1121" operator="equal" dxfId="0">
      <formula>5</formula>
    </cfRule>
    <cfRule type="cellIs" priority="1122" operator="equal" dxfId="0">
      <formula>4</formula>
    </cfRule>
    <cfRule type="cellIs" priority="1123" operator="equal" dxfId="2">
      <formula>3</formula>
    </cfRule>
    <cfRule type="cellIs" priority="1124" operator="lessThan" dxfId="1">
      <formula>3</formula>
    </cfRule>
  </conditionalFormatting>
  <conditionalFormatting sqref="I61">
    <cfRule type="cellIs" priority="1125" operator="equal" dxfId="0">
      <formula>5</formula>
    </cfRule>
    <cfRule type="cellIs" priority="1126" operator="equal" dxfId="0">
      <formula>4</formula>
    </cfRule>
    <cfRule type="cellIs" priority="1127" operator="equal" dxfId="2">
      <formula>3</formula>
    </cfRule>
    <cfRule type="cellIs" priority="1128" operator="lessThan" dxfId="1">
      <formula>3</formula>
    </cfRule>
  </conditionalFormatting>
  <conditionalFormatting sqref="J61">
    <cfRule type="cellIs" priority="1129" operator="equal" dxfId="0">
      <formula>5</formula>
    </cfRule>
    <cfRule type="cellIs" priority="1130" operator="equal" dxfId="0">
      <formula>4</formula>
    </cfRule>
    <cfRule type="cellIs" priority="1131" operator="equal" dxfId="2">
      <formula>3</formula>
    </cfRule>
    <cfRule type="cellIs" priority="1132" operator="lessThan" dxfId="1">
      <formula>3</formula>
    </cfRule>
  </conditionalFormatting>
  <conditionalFormatting sqref="K61">
    <cfRule type="cellIs" priority="1133" operator="equal" dxfId="0">
      <formula>5</formula>
    </cfRule>
    <cfRule type="cellIs" priority="1134" operator="equal" dxfId="0">
      <formula>4</formula>
    </cfRule>
    <cfRule type="cellIs" priority="1135" operator="equal" dxfId="2">
      <formula>3</formula>
    </cfRule>
    <cfRule type="cellIs" priority="1136" operator="lessThan" dxfId="1">
      <formula>3</formula>
    </cfRule>
  </conditionalFormatting>
  <conditionalFormatting sqref="L61">
    <cfRule type="cellIs" priority="1137" operator="equal" dxfId="0">
      <formula>5</formula>
    </cfRule>
    <cfRule type="cellIs" priority="1138" operator="equal" dxfId="0">
      <formula>4</formula>
    </cfRule>
    <cfRule type="cellIs" priority="1139" operator="equal" dxfId="2">
      <formula>3</formula>
    </cfRule>
    <cfRule type="cellIs" priority="1140" operator="lessThan" dxfId="1">
      <formula>3</formula>
    </cfRule>
  </conditionalFormatting>
  <conditionalFormatting sqref="H62">
    <cfRule type="cellIs" priority="1141" operator="equal" dxfId="0">
      <formula>5</formula>
    </cfRule>
    <cfRule type="cellIs" priority="1142" operator="equal" dxfId="0">
      <formula>4</formula>
    </cfRule>
    <cfRule type="cellIs" priority="1143" operator="equal" dxfId="2">
      <formula>3</formula>
    </cfRule>
    <cfRule type="cellIs" priority="1144" operator="lessThan" dxfId="1">
      <formula>3</formula>
    </cfRule>
  </conditionalFormatting>
  <conditionalFormatting sqref="I62">
    <cfRule type="cellIs" priority="1145" operator="equal" dxfId="0">
      <formula>5</formula>
    </cfRule>
    <cfRule type="cellIs" priority="1146" operator="equal" dxfId="0">
      <formula>4</formula>
    </cfRule>
    <cfRule type="cellIs" priority="1147" operator="equal" dxfId="2">
      <formula>3</formula>
    </cfRule>
    <cfRule type="cellIs" priority="1148" operator="lessThan" dxfId="1">
      <formula>3</formula>
    </cfRule>
  </conditionalFormatting>
  <conditionalFormatting sqref="J62">
    <cfRule type="cellIs" priority="1149" operator="equal" dxfId="0">
      <formula>5</formula>
    </cfRule>
    <cfRule type="cellIs" priority="1150" operator="equal" dxfId="0">
      <formula>4</formula>
    </cfRule>
    <cfRule type="cellIs" priority="1151" operator="equal" dxfId="2">
      <formula>3</formula>
    </cfRule>
    <cfRule type="cellIs" priority="1152" operator="lessThan" dxfId="1">
      <formula>3</formula>
    </cfRule>
  </conditionalFormatting>
  <conditionalFormatting sqref="K62">
    <cfRule type="cellIs" priority="1153" operator="equal" dxfId="0">
      <formula>5</formula>
    </cfRule>
    <cfRule type="cellIs" priority="1154" operator="equal" dxfId="0">
      <formula>4</formula>
    </cfRule>
    <cfRule type="cellIs" priority="1155" operator="equal" dxfId="2">
      <formula>3</formula>
    </cfRule>
    <cfRule type="cellIs" priority="1156" operator="lessThan" dxfId="1">
      <formula>3</formula>
    </cfRule>
  </conditionalFormatting>
  <conditionalFormatting sqref="L62">
    <cfRule type="cellIs" priority="1157" operator="equal" dxfId="0">
      <formula>5</formula>
    </cfRule>
    <cfRule type="cellIs" priority="1158" operator="equal" dxfId="0">
      <formula>4</formula>
    </cfRule>
    <cfRule type="cellIs" priority="1159" operator="equal" dxfId="2">
      <formula>3</formula>
    </cfRule>
    <cfRule type="cellIs" priority="1160" operator="lessThan" dxfId="1">
      <formula>3</formula>
    </cfRule>
  </conditionalFormatting>
  <conditionalFormatting sqref="H63">
    <cfRule type="cellIs" priority="1161" operator="equal" dxfId="0">
      <formula>5</formula>
    </cfRule>
    <cfRule type="cellIs" priority="1162" operator="equal" dxfId="0">
      <formula>4</formula>
    </cfRule>
    <cfRule type="cellIs" priority="1163" operator="equal" dxfId="2">
      <formula>3</formula>
    </cfRule>
    <cfRule type="cellIs" priority="1164" operator="lessThan" dxfId="1">
      <formula>3</formula>
    </cfRule>
  </conditionalFormatting>
  <conditionalFormatting sqref="I63">
    <cfRule type="cellIs" priority="1165" operator="equal" dxfId="0">
      <formula>5</formula>
    </cfRule>
    <cfRule type="cellIs" priority="1166" operator="equal" dxfId="0">
      <formula>4</formula>
    </cfRule>
    <cfRule type="cellIs" priority="1167" operator="equal" dxfId="2">
      <formula>3</formula>
    </cfRule>
    <cfRule type="cellIs" priority="1168" operator="lessThan" dxfId="1">
      <formula>3</formula>
    </cfRule>
  </conditionalFormatting>
  <conditionalFormatting sqref="J63">
    <cfRule type="cellIs" priority="1169" operator="equal" dxfId="0">
      <formula>5</formula>
    </cfRule>
    <cfRule type="cellIs" priority="1170" operator="equal" dxfId="0">
      <formula>4</formula>
    </cfRule>
    <cfRule type="cellIs" priority="1171" operator="equal" dxfId="2">
      <formula>3</formula>
    </cfRule>
    <cfRule type="cellIs" priority="1172" operator="lessThan" dxfId="1">
      <formula>3</formula>
    </cfRule>
  </conditionalFormatting>
  <conditionalFormatting sqref="K63">
    <cfRule type="cellIs" priority="1173" operator="equal" dxfId="0">
      <formula>5</formula>
    </cfRule>
    <cfRule type="cellIs" priority="1174" operator="equal" dxfId="0">
      <formula>4</formula>
    </cfRule>
    <cfRule type="cellIs" priority="1175" operator="equal" dxfId="2">
      <formula>3</formula>
    </cfRule>
    <cfRule type="cellIs" priority="1176" operator="lessThan" dxfId="1">
      <formula>3</formula>
    </cfRule>
  </conditionalFormatting>
  <conditionalFormatting sqref="L63">
    <cfRule type="cellIs" priority="1177" operator="equal" dxfId="0">
      <formula>5</formula>
    </cfRule>
    <cfRule type="cellIs" priority="1178" operator="equal" dxfId="0">
      <formula>4</formula>
    </cfRule>
    <cfRule type="cellIs" priority="1179" operator="equal" dxfId="2">
      <formula>3</formula>
    </cfRule>
    <cfRule type="cellIs" priority="1180" operator="lessThan" dxfId="1">
      <formula>3</formula>
    </cfRule>
  </conditionalFormatting>
  <conditionalFormatting sqref="H64">
    <cfRule type="cellIs" priority="1181" operator="equal" dxfId="0">
      <formula>5</formula>
    </cfRule>
    <cfRule type="cellIs" priority="1182" operator="equal" dxfId="0">
      <formula>4</formula>
    </cfRule>
    <cfRule type="cellIs" priority="1183" operator="equal" dxfId="2">
      <formula>3</formula>
    </cfRule>
    <cfRule type="cellIs" priority="1184" operator="lessThan" dxfId="1">
      <formula>3</formula>
    </cfRule>
  </conditionalFormatting>
  <conditionalFormatting sqref="I64">
    <cfRule type="cellIs" priority="1185" operator="equal" dxfId="0">
      <formula>5</formula>
    </cfRule>
    <cfRule type="cellIs" priority="1186" operator="equal" dxfId="0">
      <formula>4</formula>
    </cfRule>
    <cfRule type="cellIs" priority="1187" operator="equal" dxfId="2">
      <formula>3</formula>
    </cfRule>
    <cfRule type="cellIs" priority="1188" operator="lessThan" dxfId="1">
      <formula>3</formula>
    </cfRule>
  </conditionalFormatting>
  <conditionalFormatting sqref="J64">
    <cfRule type="cellIs" priority="1189" operator="equal" dxfId="0">
      <formula>5</formula>
    </cfRule>
    <cfRule type="cellIs" priority="1190" operator="equal" dxfId="0">
      <formula>4</formula>
    </cfRule>
    <cfRule type="cellIs" priority="1191" operator="equal" dxfId="2">
      <formula>3</formula>
    </cfRule>
    <cfRule type="cellIs" priority="1192" operator="lessThan" dxfId="1">
      <formula>3</formula>
    </cfRule>
  </conditionalFormatting>
  <conditionalFormatting sqref="K64">
    <cfRule type="cellIs" priority="1193" operator="equal" dxfId="0">
      <formula>5</formula>
    </cfRule>
    <cfRule type="cellIs" priority="1194" operator="equal" dxfId="0">
      <formula>4</formula>
    </cfRule>
    <cfRule type="cellIs" priority="1195" operator="equal" dxfId="2">
      <formula>3</formula>
    </cfRule>
    <cfRule type="cellIs" priority="1196" operator="lessThan" dxfId="1">
      <formula>3</formula>
    </cfRule>
  </conditionalFormatting>
  <conditionalFormatting sqref="L64">
    <cfRule type="cellIs" priority="1197" operator="equal" dxfId="0">
      <formula>5</formula>
    </cfRule>
    <cfRule type="cellIs" priority="1198" operator="equal" dxfId="0">
      <formula>4</formula>
    </cfRule>
    <cfRule type="cellIs" priority="1199" operator="equal" dxfId="2">
      <formula>3</formula>
    </cfRule>
    <cfRule type="cellIs" priority="1200" operator="lessThan" dxfId="1">
      <formula>3</formula>
    </cfRule>
  </conditionalFormatting>
  <conditionalFormatting sqref="H65">
    <cfRule type="cellIs" priority="1201" operator="equal" dxfId="0">
      <formula>5</formula>
    </cfRule>
    <cfRule type="cellIs" priority="1202" operator="equal" dxfId="0">
      <formula>4</formula>
    </cfRule>
    <cfRule type="cellIs" priority="1203" operator="equal" dxfId="2">
      <formula>3</formula>
    </cfRule>
    <cfRule type="cellIs" priority="1204" operator="lessThan" dxfId="1">
      <formula>3</formula>
    </cfRule>
  </conditionalFormatting>
  <conditionalFormatting sqref="I65">
    <cfRule type="cellIs" priority="1205" operator="equal" dxfId="0">
      <formula>5</formula>
    </cfRule>
    <cfRule type="cellIs" priority="1206" operator="equal" dxfId="0">
      <formula>4</formula>
    </cfRule>
    <cfRule type="cellIs" priority="1207" operator="equal" dxfId="2">
      <formula>3</formula>
    </cfRule>
    <cfRule type="cellIs" priority="1208" operator="lessThan" dxfId="1">
      <formula>3</formula>
    </cfRule>
  </conditionalFormatting>
  <conditionalFormatting sqref="J65">
    <cfRule type="cellIs" priority="1209" operator="equal" dxfId="0">
      <formula>5</formula>
    </cfRule>
    <cfRule type="cellIs" priority="1210" operator="equal" dxfId="0">
      <formula>4</formula>
    </cfRule>
    <cfRule type="cellIs" priority="1211" operator="equal" dxfId="2">
      <formula>3</formula>
    </cfRule>
    <cfRule type="cellIs" priority="1212" operator="lessThan" dxfId="1">
      <formula>3</formula>
    </cfRule>
  </conditionalFormatting>
  <conditionalFormatting sqref="K65">
    <cfRule type="cellIs" priority="1213" operator="equal" dxfId="0">
      <formula>5</formula>
    </cfRule>
    <cfRule type="cellIs" priority="1214" operator="equal" dxfId="0">
      <formula>4</formula>
    </cfRule>
    <cfRule type="cellIs" priority="1215" operator="equal" dxfId="2">
      <formula>3</formula>
    </cfRule>
    <cfRule type="cellIs" priority="1216" operator="lessThan" dxfId="1">
      <formula>3</formula>
    </cfRule>
  </conditionalFormatting>
  <conditionalFormatting sqref="L65">
    <cfRule type="cellIs" priority="1217" operator="equal" dxfId="0">
      <formula>5</formula>
    </cfRule>
    <cfRule type="cellIs" priority="1218" operator="equal" dxfId="0">
      <formula>4</formula>
    </cfRule>
    <cfRule type="cellIs" priority="1219" operator="equal" dxfId="2">
      <formula>3</formula>
    </cfRule>
    <cfRule type="cellIs" priority="1220" operator="lessThan" dxfId="1">
      <formula>3</formula>
    </cfRule>
  </conditionalFormatting>
  <conditionalFormatting sqref="H66">
    <cfRule type="cellIs" priority="1221" operator="equal" dxfId="0">
      <formula>5</formula>
    </cfRule>
    <cfRule type="cellIs" priority="1222" operator="equal" dxfId="0">
      <formula>4</formula>
    </cfRule>
    <cfRule type="cellIs" priority="1223" operator="equal" dxfId="2">
      <formula>3</formula>
    </cfRule>
    <cfRule type="cellIs" priority="1224" operator="lessThan" dxfId="1">
      <formula>3</formula>
    </cfRule>
  </conditionalFormatting>
  <conditionalFormatting sqref="I66">
    <cfRule type="cellIs" priority="1225" operator="equal" dxfId="0">
      <formula>5</formula>
    </cfRule>
    <cfRule type="cellIs" priority="1226" operator="equal" dxfId="0">
      <formula>4</formula>
    </cfRule>
    <cfRule type="cellIs" priority="1227" operator="equal" dxfId="2">
      <formula>3</formula>
    </cfRule>
    <cfRule type="cellIs" priority="1228" operator="lessThan" dxfId="1">
      <formula>3</formula>
    </cfRule>
  </conditionalFormatting>
  <conditionalFormatting sqref="J66">
    <cfRule type="cellIs" priority="1229" operator="equal" dxfId="0">
      <formula>5</formula>
    </cfRule>
    <cfRule type="cellIs" priority="1230" operator="equal" dxfId="0">
      <formula>4</formula>
    </cfRule>
    <cfRule type="cellIs" priority="1231" operator="equal" dxfId="2">
      <formula>3</formula>
    </cfRule>
    <cfRule type="cellIs" priority="1232" operator="lessThan" dxfId="1">
      <formula>3</formula>
    </cfRule>
  </conditionalFormatting>
  <conditionalFormatting sqref="K66">
    <cfRule type="cellIs" priority="1233" operator="equal" dxfId="0">
      <formula>5</formula>
    </cfRule>
    <cfRule type="cellIs" priority="1234" operator="equal" dxfId="0">
      <formula>4</formula>
    </cfRule>
    <cfRule type="cellIs" priority="1235" operator="equal" dxfId="2">
      <formula>3</formula>
    </cfRule>
    <cfRule type="cellIs" priority="1236" operator="lessThan" dxfId="1">
      <formula>3</formula>
    </cfRule>
  </conditionalFormatting>
  <conditionalFormatting sqref="L66">
    <cfRule type="cellIs" priority="1237" operator="equal" dxfId="0">
      <formula>5</formula>
    </cfRule>
    <cfRule type="cellIs" priority="1238" operator="equal" dxfId="0">
      <formula>4</formula>
    </cfRule>
    <cfRule type="cellIs" priority="1239" operator="equal" dxfId="2">
      <formula>3</formula>
    </cfRule>
    <cfRule type="cellIs" priority="1240" operator="lessThan" dxfId="1">
      <formula>3</formula>
    </cfRule>
  </conditionalFormatting>
  <conditionalFormatting sqref="H67">
    <cfRule type="cellIs" priority="1241" operator="equal" dxfId="0">
      <formula>5</formula>
    </cfRule>
    <cfRule type="cellIs" priority="1242" operator="equal" dxfId="0">
      <formula>4</formula>
    </cfRule>
    <cfRule type="cellIs" priority="1243" operator="equal" dxfId="2">
      <formula>3</formula>
    </cfRule>
    <cfRule type="cellIs" priority="1244" operator="lessThan" dxfId="1">
      <formula>3</formula>
    </cfRule>
  </conditionalFormatting>
  <conditionalFormatting sqref="I67">
    <cfRule type="cellIs" priority="1245" operator="equal" dxfId="0">
      <formula>5</formula>
    </cfRule>
    <cfRule type="cellIs" priority="1246" operator="equal" dxfId="0">
      <formula>4</formula>
    </cfRule>
    <cfRule type="cellIs" priority="1247" operator="equal" dxfId="2">
      <formula>3</formula>
    </cfRule>
    <cfRule type="cellIs" priority="1248" operator="lessThan" dxfId="1">
      <formula>3</formula>
    </cfRule>
  </conditionalFormatting>
  <conditionalFormatting sqref="J67">
    <cfRule type="cellIs" priority="1249" operator="equal" dxfId="0">
      <formula>5</formula>
    </cfRule>
    <cfRule type="cellIs" priority="1250" operator="equal" dxfId="0">
      <formula>4</formula>
    </cfRule>
    <cfRule type="cellIs" priority="1251" operator="equal" dxfId="2">
      <formula>3</formula>
    </cfRule>
    <cfRule type="cellIs" priority="1252" operator="lessThan" dxfId="1">
      <formula>3</formula>
    </cfRule>
  </conditionalFormatting>
  <conditionalFormatting sqref="K67">
    <cfRule type="cellIs" priority="1253" operator="equal" dxfId="0">
      <formula>5</formula>
    </cfRule>
    <cfRule type="cellIs" priority="1254" operator="equal" dxfId="0">
      <formula>4</formula>
    </cfRule>
    <cfRule type="cellIs" priority="1255" operator="equal" dxfId="2">
      <formula>3</formula>
    </cfRule>
    <cfRule type="cellIs" priority="1256" operator="lessThan" dxfId="1">
      <formula>3</formula>
    </cfRule>
  </conditionalFormatting>
  <conditionalFormatting sqref="L67">
    <cfRule type="cellIs" priority="1257" operator="equal" dxfId="0">
      <formula>5</formula>
    </cfRule>
    <cfRule type="cellIs" priority="1258" operator="equal" dxfId="0">
      <formula>4</formula>
    </cfRule>
    <cfRule type="cellIs" priority="1259" operator="equal" dxfId="2">
      <formula>3</formula>
    </cfRule>
    <cfRule type="cellIs" priority="1260" operator="lessThan" dxfId="1">
      <formula>3</formula>
    </cfRule>
  </conditionalFormatting>
  <conditionalFormatting sqref="H68">
    <cfRule type="cellIs" priority="1261" operator="equal" dxfId="0">
      <formula>5</formula>
    </cfRule>
    <cfRule type="cellIs" priority="1262" operator="equal" dxfId="0">
      <formula>4</formula>
    </cfRule>
    <cfRule type="cellIs" priority="1263" operator="equal" dxfId="2">
      <formula>3</formula>
    </cfRule>
    <cfRule type="cellIs" priority="1264" operator="lessThan" dxfId="1">
      <formula>3</formula>
    </cfRule>
  </conditionalFormatting>
  <conditionalFormatting sqref="I68">
    <cfRule type="cellIs" priority="1265" operator="equal" dxfId="0">
      <formula>5</formula>
    </cfRule>
    <cfRule type="cellIs" priority="1266" operator="equal" dxfId="0">
      <formula>4</formula>
    </cfRule>
    <cfRule type="cellIs" priority="1267" operator="equal" dxfId="2">
      <formula>3</formula>
    </cfRule>
    <cfRule type="cellIs" priority="1268" operator="lessThan" dxfId="1">
      <formula>3</formula>
    </cfRule>
  </conditionalFormatting>
  <conditionalFormatting sqref="J68">
    <cfRule type="cellIs" priority="1269" operator="equal" dxfId="0">
      <formula>5</formula>
    </cfRule>
    <cfRule type="cellIs" priority="1270" operator="equal" dxfId="0">
      <formula>4</formula>
    </cfRule>
    <cfRule type="cellIs" priority="1271" operator="equal" dxfId="2">
      <formula>3</formula>
    </cfRule>
    <cfRule type="cellIs" priority="1272" operator="lessThan" dxfId="1">
      <formula>3</formula>
    </cfRule>
  </conditionalFormatting>
  <conditionalFormatting sqref="K68">
    <cfRule type="cellIs" priority="1273" operator="equal" dxfId="0">
      <formula>5</formula>
    </cfRule>
    <cfRule type="cellIs" priority="1274" operator="equal" dxfId="0">
      <formula>4</formula>
    </cfRule>
    <cfRule type="cellIs" priority="1275" operator="equal" dxfId="2">
      <formula>3</formula>
    </cfRule>
    <cfRule type="cellIs" priority="1276" operator="lessThan" dxfId="1">
      <formula>3</formula>
    </cfRule>
  </conditionalFormatting>
  <conditionalFormatting sqref="L68">
    <cfRule type="cellIs" priority="1277" operator="equal" dxfId="0">
      <formula>5</formula>
    </cfRule>
    <cfRule type="cellIs" priority="1278" operator="equal" dxfId="0">
      <formula>4</formula>
    </cfRule>
    <cfRule type="cellIs" priority="1279" operator="equal" dxfId="2">
      <formula>3</formula>
    </cfRule>
    <cfRule type="cellIs" priority="1280" operator="lessThan" dxfId="1">
      <formula>3</formula>
    </cfRule>
  </conditionalFormatting>
  <conditionalFormatting sqref="H69">
    <cfRule type="cellIs" priority="1281" operator="equal" dxfId="0">
      <formula>5</formula>
    </cfRule>
    <cfRule type="cellIs" priority="1282" operator="equal" dxfId="0">
      <formula>4</formula>
    </cfRule>
    <cfRule type="cellIs" priority="1283" operator="equal" dxfId="2">
      <formula>3</formula>
    </cfRule>
    <cfRule type="cellIs" priority="1284" operator="lessThan" dxfId="1">
      <formula>3</formula>
    </cfRule>
  </conditionalFormatting>
  <conditionalFormatting sqref="I69">
    <cfRule type="cellIs" priority="1285" operator="equal" dxfId="0">
      <formula>5</formula>
    </cfRule>
    <cfRule type="cellIs" priority="1286" operator="equal" dxfId="0">
      <formula>4</formula>
    </cfRule>
    <cfRule type="cellIs" priority="1287" operator="equal" dxfId="2">
      <formula>3</formula>
    </cfRule>
    <cfRule type="cellIs" priority="1288" operator="lessThan" dxfId="1">
      <formula>3</formula>
    </cfRule>
  </conditionalFormatting>
  <conditionalFormatting sqref="J69">
    <cfRule type="cellIs" priority="1289" operator="equal" dxfId="0">
      <formula>5</formula>
    </cfRule>
    <cfRule type="cellIs" priority="1290" operator="equal" dxfId="0">
      <formula>4</formula>
    </cfRule>
    <cfRule type="cellIs" priority="1291" operator="equal" dxfId="2">
      <formula>3</formula>
    </cfRule>
    <cfRule type="cellIs" priority="1292" operator="lessThan" dxfId="1">
      <formula>3</formula>
    </cfRule>
  </conditionalFormatting>
  <conditionalFormatting sqref="K69">
    <cfRule type="cellIs" priority="1293" operator="equal" dxfId="0">
      <formula>5</formula>
    </cfRule>
    <cfRule type="cellIs" priority="1294" operator="equal" dxfId="0">
      <formula>4</formula>
    </cfRule>
    <cfRule type="cellIs" priority="1295" operator="equal" dxfId="2">
      <formula>3</formula>
    </cfRule>
    <cfRule type="cellIs" priority="1296" operator="lessThan" dxfId="1">
      <formula>3</formula>
    </cfRule>
  </conditionalFormatting>
  <conditionalFormatting sqref="L69">
    <cfRule type="cellIs" priority="1297" operator="equal" dxfId="0">
      <formula>5</formula>
    </cfRule>
    <cfRule type="cellIs" priority="1298" operator="equal" dxfId="0">
      <formula>4</formula>
    </cfRule>
    <cfRule type="cellIs" priority="1299" operator="equal" dxfId="2">
      <formula>3</formula>
    </cfRule>
    <cfRule type="cellIs" priority="1300" operator="lessThan" dxfId="1">
      <formula>3</formula>
    </cfRule>
  </conditionalFormatting>
  <conditionalFormatting sqref="H70">
    <cfRule type="cellIs" priority="1301" operator="equal" dxfId="0">
      <formula>5</formula>
    </cfRule>
    <cfRule type="cellIs" priority="1302" operator="equal" dxfId="0">
      <formula>4</formula>
    </cfRule>
    <cfRule type="cellIs" priority="1303" operator="equal" dxfId="2">
      <formula>3</formula>
    </cfRule>
    <cfRule type="cellIs" priority="1304" operator="lessThan" dxfId="1">
      <formula>3</formula>
    </cfRule>
  </conditionalFormatting>
  <conditionalFormatting sqref="I70">
    <cfRule type="cellIs" priority="1305" operator="equal" dxfId="0">
      <formula>5</formula>
    </cfRule>
    <cfRule type="cellIs" priority="1306" operator="equal" dxfId="0">
      <formula>4</formula>
    </cfRule>
    <cfRule type="cellIs" priority="1307" operator="equal" dxfId="2">
      <formula>3</formula>
    </cfRule>
    <cfRule type="cellIs" priority="1308" operator="lessThan" dxfId="1">
      <formula>3</formula>
    </cfRule>
  </conditionalFormatting>
  <conditionalFormatting sqref="J70">
    <cfRule type="cellIs" priority="1309" operator="equal" dxfId="0">
      <formula>5</formula>
    </cfRule>
    <cfRule type="cellIs" priority="1310" operator="equal" dxfId="0">
      <formula>4</formula>
    </cfRule>
    <cfRule type="cellIs" priority="1311" operator="equal" dxfId="2">
      <formula>3</formula>
    </cfRule>
    <cfRule type="cellIs" priority="1312" operator="lessThan" dxfId="1">
      <formula>3</formula>
    </cfRule>
  </conditionalFormatting>
  <conditionalFormatting sqref="K70">
    <cfRule type="cellIs" priority="1313" operator="equal" dxfId="0">
      <formula>5</formula>
    </cfRule>
    <cfRule type="cellIs" priority="1314" operator="equal" dxfId="0">
      <formula>4</formula>
    </cfRule>
    <cfRule type="cellIs" priority="1315" operator="equal" dxfId="2">
      <formula>3</formula>
    </cfRule>
    <cfRule type="cellIs" priority="1316" operator="lessThan" dxfId="1">
      <formula>3</formula>
    </cfRule>
  </conditionalFormatting>
  <conditionalFormatting sqref="L70">
    <cfRule type="cellIs" priority="1317" operator="equal" dxfId="0">
      <formula>5</formula>
    </cfRule>
    <cfRule type="cellIs" priority="1318" operator="equal" dxfId="0">
      <formula>4</formula>
    </cfRule>
    <cfRule type="cellIs" priority="1319" operator="equal" dxfId="2">
      <formula>3</formula>
    </cfRule>
    <cfRule type="cellIs" priority="1320" operator="lessThan" dxfId="1">
      <formula>3</formula>
    </cfRule>
  </conditionalFormatting>
  <conditionalFormatting sqref="H71">
    <cfRule type="cellIs" priority="1321" operator="equal" dxfId="0">
      <formula>5</formula>
    </cfRule>
    <cfRule type="cellIs" priority="1322" operator="equal" dxfId="0">
      <formula>4</formula>
    </cfRule>
    <cfRule type="cellIs" priority="1323" operator="equal" dxfId="2">
      <formula>3</formula>
    </cfRule>
    <cfRule type="cellIs" priority="1324" operator="lessThan" dxfId="1">
      <formula>3</formula>
    </cfRule>
  </conditionalFormatting>
  <conditionalFormatting sqref="I71">
    <cfRule type="cellIs" priority="1325" operator="equal" dxfId="0">
      <formula>5</formula>
    </cfRule>
    <cfRule type="cellIs" priority="1326" operator="equal" dxfId="0">
      <formula>4</formula>
    </cfRule>
    <cfRule type="cellIs" priority="1327" operator="equal" dxfId="2">
      <formula>3</formula>
    </cfRule>
    <cfRule type="cellIs" priority="1328" operator="lessThan" dxfId="1">
      <formula>3</formula>
    </cfRule>
  </conditionalFormatting>
  <conditionalFormatting sqref="J71">
    <cfRule type="cellIs" priority="1329" operator="equal" dxfId="0">
      <formula>5</formula>
    </cfRule>
    <cfRule type="cellIs" priority="1330" operator="equal" dxfId="0">
      <formula>4</formula>
    </cfRule>
    <cfRule type="cellIs" priority="1331" operator="equal" dxfId="2">
      <formula>3</formula>
    </cfRule>
    <cfRule type="cellIs" priority="1332" operator="lessThan" dxfId="1">
      <formula>3</formula>
    </cfRule>
  </conditionalFormatting>
  <conditionalFormatting sqref="K71">
    <cfRule type="cellIs" priority="1333" operator="equal" dxfId="0">
      <formula>5</formula>
    </cfRule>
    <cfRule type="cellIs" priority="1334" operator="equal" dxfId="0">
      <formula>4</formula>
    </cfRule>
    <cfRule type="cellIs" priority="1335" operator="equal" dxfId="2">
      <formula>3</formula>
    </cfRule>
    <cfRule type="cellIs" priority="1336" operator="lessThan" dxfId="1">
      <formula>3</formula>
    </cfRule>
  </conditionalFormatting>
  <conditionalFormatting sqref="L71">
    <cfRule type="cellIs" priority="1337" operator="equal" dxfId="0">
      <formula>5</formula>
    </cfRule>
    <cfRule type="cellIs" priority="1338" operator="equal" dxfId="0">
      <formula>4</formula>
    </cfRule>
    <cfRule type="cellIs" priority="1339" operator="equal" dxfId="2">
      <formula>3</formula>
    </cfRule>
    <cfRule type="cellIs" priority="1340" operator="lessThan" dxfId="1">
      <formula>3</formula>
    </cfRule>
  </conditionalFormatting>
  <conditionalFormatting sqref="H72">
    <cfRule type="cellIs" priority="1341" operator="equal" dxfId="0">
      <formula>5</formula>
    </cfRule>
    <cfRule type="cellIs" priority="1342" operator="equal" dxfId="0">
      <formula>4</formula>
    </cfRule>
    <cfRule type="cellIs" priority="1343" operator="equal" dxfId="2">
      <formula>3</formula>
    </cfRule>
    <cfRule type="cellIs" priority="1344" operator="lessThan" dxfId="1">
      <formula>3</formula>
    </cfRule>
  </conditionalFormatting>
  <conditionalFormatting sqref="I72">
    <cfRule type="cellIs" priority="1345" operator="equal" dxfId="0">
      <formula>5</formula>
    </cfRule>
    <cfRule type="cellIs" priority="1346" operator="equal" dxfId="0">
      <formula>4</formula>
    </cfRule>
    <cfRule type="cellIs" priority="1347" operator="equal" dxfId="2">
      <formula>3</formula>
    </cfRule>
    <cfRule type="cellIs" priority="1348" operator="lessThan" dxfId="1">
      <formula>3</formula>
    </cfRule>
  </conditionalFormatting>
  <conditionalFormatting sqref="J72">
    <cfRule type="cellIs" priority="1349" operator="equal" dxfId="0">
      <formula>5</formula>
    </cfRule>
    <cfRule type="cellIs" priority="1350" operator="equal" dxfId="0">
      <formula>4</formula>
    </cfRule>
    <cfRule type="cellIs" priority="1351" operator="equal" dxfId="2">
      <formula>3</formula>
    </cfRule>
    <cfRule type="cellIs" priority="1352" operator="lessThan" dxfId="1">
      <formula>3</formula>
    </cfRule>
  </conditionalFormatting>
  <conditionalFormatting sqref="K72">
    <cfRule type="cellIs" priority="1353" operator="equal" dxfId="0">
      <formula>5</formula>
    </cfRule>
    <cfRule type="cellIs" priority="1354" operator="equal" dxfId="0">
      <formula>4</formula>
    </cfRule>
    <cfRule type="cellIs" priority="1355" operator="equal" dxfId="2">
      <formula>3</formula>
    </cfRule>
    <cfRule type="cellIs" priority="1356" operator="lessThan" dxfId="1">
      <formula>3</formula>
    </cfRule>
  </conditionalFormatting>
  <conditionalFormatting sqref="L72">
    <cfRule type="cellIs" priority="1357" operator="equal" dxfId="0">
      <formula>5</formula>
    </cfRule>
    <cfRule type="cellIs" priority="1358" operator="equal" dxfId="0">
      <formula>4</formula>
    </cfRule>
    <cfRule type="cellIs" priority="1359" operator="equal" dxfId="2">
      <formula>3</formula>
    </cfRule>
    <cfRule type="cellIs" priority="1360" operator="lessThan" dxfId="1">
      <formula>3</formula>
    </cfRule>
  </conditionalFormatting>
  <conditionalFormatting sqref="H73">
    <cfRule type="cellIs" priority="1361" operator="equal" dxfId="0">
      <formula>5</formula>
    </cfRule>
    <cfRule type="cellIs" priority="1362" operator="equal" dxfId="0">
      <formula>4</formula>
    </cfRule>
    <cfRule type="cellIs" priority="1363" operator="equal" dxfId="2">
      <formula>3</formula>
    </cfRule>
    <cfRule type="cellIs" priority="1364" operator="lessThan" dxfId="1">
      <formula>3</formula>
    </cfRule>
  </conditionalFormatting>
  <conditionalFormatting sqref="I73">
    <cfRule type="cellIs" priority="1365" operator="equal" dxfId="0">
      <formula>5</formula>
    </cfRule>
    <cfRule type="cellIs" priority="1366" operator="equal" dxfId="0">
      <formula>4</formula>
    </cfRule>
    <cfRule type="cellIs" priority="1367" operator="equal" dxfId="2">
      <formula>3</formula>
    </cfRule>
    <cfRule type="cellIs" priority="1368" operator="lessThan" dxfId="1">
      <formula>3</formula>
    </cfRule>
  </conditionalFormatting>
  <conditionalFormatting sqref="J73">
    <cfRule type="cellIs" priority="1369" operator="equal" dxfId="0">
      <formula>5</formula>
    </cfRule>
    <cfRule type="cellIs" priority="1370" operator="equal" dxfId="0">
      <formula>4</formula>
    </cfRule>
    <cfRule type="cellIs" priority="1371" operator="equal" dxfId="2">
      <formula>3</formula>
    </cfRule>
    <cfRule type="cellIs" priority="1372" operator="lessThan" dxfId="1">
      <formula>3</formula>
    </cfRule>
  </conditionalFormatting>
  <conditionalFormatting sqref="K73">
    <cfRule type="cellIs" priority="1373" operator="equal" dxfId="0">
      <formula>5</formula>
    </cfRule>
    <cfRule type="cellIs" priority="1374" operator="equal" dxfId="0">
      <formula>4</formula>
    </cfRule>
    <cfRule type="cellIs" priority="1375" operator="equal" dxfId="2">
      <formula>3</formula>
    </cfRule>
    <cfRule type="cellIs" priority="1376" operator="lessThan" dxfId="1">
      <formula>3</formula>
    </cfRule>
  </conditionalFormatting>
  <conditionalFormatting sqref="L73">
    <cfRule type="cellIs" priority="1377" operator="equal" dxfId="0">
      <formula>5</formula>
    </cfRule>
    <cfRule type="cellIs" priority="1378" operator="equal" dxfId="0">
      <formula>4</formula>
    </cfRule>
    <cfRule type="cellIs" priority="1379" operator="equal" dxfId="2">
      <formula>3</formula>
    </cfRule>
    <cfRule type="cellIs" priority="1380" operator="lessThan" dxfId="1">
      <formula>3</formula>
    </cfRule>
  </conditionalFormatting>
  <conditionalFormatting sqref="H74">
    <cfRule type="cellIs" priority="1381" operator="equal" dxfId="0">
      <formula>5</formula>
    </cfRule>
    <cfRule type="cellIs" priority="1382" operator="equal" dxfId="0">
      <formula>4</formula>
    </cfRule>
    <cfRule type="cellIs" priority="1383" operator="equal" dxfId="2">
      <formula>3</formula>
    </cfRule>
    <cfRule type="cellIs" priority="1384" operator="lessThan" dxfId="1">
      <formula>3</formula>
    </cfRule>
  </conditionalFormatting>
  <conditionalFormatting sqref="I74">
    <cfRule type="cellIs" priority="1385" operator="equal" dxfId="0">
      <formula>5</formula>
    </cfRule>
    <cfRule type="cellIs" priority="1386" operator="equal" dxfId="0">
      <formula>4</formula>
    </cfRule>
    <cfRule type="cellIs" priority="1387" operator="equal" dxfId="2">
      <formula>3</formula>
    </cfRule>
    <cfRule type="cellIs" priority="1388" operator="lessThan" dxfId="1">
      <formula>3</formula>
    </cfRule>
  </conditionalFormatting>
  <conditionalFormatting sqref="J74">
    <cfRule type="cellIs" priority="1389" operator="equal" dxfId="0">
      <formula>5</formula>
    </cfRule>
    <cfRule type="cellIs" priority="1390" operator="equal" dxfId="0">
      <formula>4</formula>
    </cfRule>
    <cfRule type="cellIs" priority="1391" operator="equal" dxfId="2">
      <formula>3</formula>
    </cfRule>
    <cfRule type="cellIs" priority="1392" operator="lessThan" dxfId="1">
      <formula>3</formula>
    </cfRule>
  </conditionalFormatting>
  <conditionalFormatting sqref="K74">
    <cfRule type="cellIs" priority="1393" operator="equal" dxfId="0">
      <formula>5</formula>
    </cfRule>
    <cfRule type="cellIs" priority="1394" operator="equal" dxfId="0">
      <formula>4</formula>
    </cfRule>
    <cfRule type="cellIs" priority="1395" operator="equal" dxfId="2">
      <formula>3</formula>
    </cfRule>
    <cfRule type="cellIs" priority="1396" operator="lessThan" dxfId="1">
      <formula>3</formula>
    </cfRule>
  </conditionalFormatting>
  <conditionalFormatting sqref="L74">
    <cfRule type="cellIs" priority="1397" operator="equal" dxfId="0">
      <formula>5</formula>
    </cfRule>
    <cfRule type="cellIs" priority="1398" operator="equal" dxfId="0">
      <formula>4</formula>
    </cfRule>
    <cfRule type="cellIs" priority="1399" operator="equal" dxfId="2">
      <formula>3</formula>
    </cfRule>
    <cfRule type="cellIs" priority="1400" operator="lessThan" dxfId="1">
      <formula>3</formula>
    </cfRule>
  </conditionalFormatting>
  <conditionalFormatting sqref="H75">
    <cfRule type="cellIs" priority="1401" operator="equal" dxfId="0">
      <formula>5</formula>
    </cfRule>
    <cfRule type="cellIs" priority="1402" operator="equal" dxfId="0">
      <formula>4</formula>
    </cfRule>
    <cfRule type="cellIs" priority="1403" operator="equal" dxfId="2">
      <formula>3</formula>
    </cfRule>
    <cfRule type="cellIs" priority="1404" operator="lessThan" dxfId="1">
      <formula>3</formula>
    </cfRule>
  </conditionalFormatting>
  <conditionalFormatting sqref="I75">
    <cfRule type="cellIs" priority="1405" operator="equal" dxfId="0">
      <formula>5</formula>
    </cfRule>
    <cfRule type="cellIs" priority="1406" operator="equal" dxfId="0">
      <formula>4</formula>
    </cfRule>
    <cfRule type="cellIs" priority="1407" operator="equal" dxfId="2">
      <formula>3</formula>
    </cfRule>
    <cfRule type="cellIs" priority="1408" operator="lessThan" dxfId="1">
      <formula>3</formula>
    </cfRule>
  </conditionalFormatting>
  <conditionalFormatting sqref="J75">
    <cfRule type="cellIs" priority="1409" operator="equal" dxfId="0">
      <formula>5</formula>
    </cfRule>
    <cfRule type="cellIs" priority="1410" operator="equal" dxfId="0">
      <formula>4</formula>
    </cfRule>
    <cfRule type="cellIs" priority="1411" operator="equal" dxfId="2">
      <formula>3</formula>
    </cfRule>
    <cfRule type="cellIs" priority="1412" operator="lessThan" dxfId="1">
      <formula>3</formula>
    </cfRule>
  </conditionalFormatting>
  <conditionalFormatting sqref="K75">
    <cfRule type="cellIs" priority="1413" operator="equal" dxfId="0">
      <formula>5</formula>
    </cfRule>
    <cfRule type="cellIs" priority="1414" operator="equal" dxfId="0">
      <formula>4</formula>
    </cfRule>
    <cfRule type="cellIs" priority="1415" operator="equal" dxfId="2">
      <formula>3</formula>
    </cfRule>
    <cfRule type="cellIs" priority="1416" operator="lessThan" dxfId="1">
      <formula>3</formula>
    </cfRule>
  </conditionalFormatting>
  <conditionalFormatting sqref="L75">
    <cfRule type="cellIs" priority="1417" operator="equal" dxfId="0">
      <formula>5</formula>
    </cfRule>
    <cfRule type="cellIs" priority="1418" operator="equal" dxfId="0">
      <formula>4</formula>
    </cfRule>
    <cfRule type="cellIs" priority="1419" operator="equal" dxfId="2">
      <formula>3</formula>
    </cfRule>
    <cfRule type="cellIs" priority="1420" operator="lessThan" dxfId="1">
      <formula>3</formula>
    </cfRule>
  </conditionalFormatting>
  <conditionalFormatting sqref="H76">
    <cfRule type="cellIs" priority="1421" operator="equal" dxfId="0">
      <formula>5</formula>
    </cfRule>
    <cfRule type="cellIs" priority="1422" operator="equal" dxfId="0">
      <formula>4</formula>
    </cfRule>
    <cfRule type="cellIs" priority="1423" operator="equal" dxfId="2">
      <formula>3</formula>
    </cfRule>
    <cfRule type="cellIs" priority="1424" operator="lessThan" dxfId="1">
      <formula>3</formula>
    </cfRule>
  </conditionalFormatting>
  <conditionalFormatting sqref="I76">
    <cfRule type="cellIs" priority="1425" operator="equal" dxfId="0">
      <formula>5</formula>
    </cfRule>
    <cfRule type="cellIs" priority="1426" operator="equal" dxfId="0">
      <formula>4</formula>
    </cfRule>
    <cfRule type="cellIs" priority="1427" operator="equal" dxfId="2">
      <formula>3</formula>
    </cfRule>
    <cfRule type="cellIs" priority="1428" operator="lessThan" dxfId="1">
      <formula>3</formula>
    </cfRule>
  </conditionalFormatting>
  <conditionalFormatting sqref="J76">
    <cfRule type="cellIs" priority="1429" operator="equal" dxfId="0">
      <formula>5</formula>
    </cfRule>
    <cfRule type="cellIs" priority="1430" operator="equal" dxfId="0">
      <formula>4</formula>
    </cfRule>
    <cfRule type="cellIs" priority="1431" operator="equal" dxfId="2">
      <formula>3</formula>
    </cfRule>
    <cfRule type="cellIs" priority="1432" operator="lessThan" dxfId="1">
      <formula>3</formula>
    </cfRule>
  </conditionalFormatting>
  <conditionalFormatting sqref="K76">
    <cfRule type="cellIs" priority="1433" operator="equal" dxfId="0">
      <formula>5</formula>
    </cfRule>
    <cfRule type="cellIs" priority="1434" operator="equal" dxfId="0">
      <formula>4</formula>
    </cfRule>
    <cfRule type="cellIs" priority="1435" operator="equal" dxfId="2">
      <formula>3</formula>
    </cfRule>
    <cfRule type="cellIs" priority="1436" operator="lessThan" dxfId="1">
      <formula>3</formula>
    </cfRule>
  </conditionalFormatting>
  <conditionalFormatting sqref="L76">
    <cfRule type="cellIs" priority="1437" operator="equal" dxfId="0">
      <formula>5</formula>
    </cfRule>
    <cfRule type="cellIs" priority="1438" operator="equal" dxfId="0">
      <formula>4</formula>
    </cfRule>
    <cfRule type="cellIs" priority="1439" operator="equal" dxfId="2">
      <formula>3</formula>
    </cfRule>
    <cfRule type="cellIs" priority="1440" operator="lessThan" dxfId="1">
      <formula>3</formula>
    </cfRule>
  </conditionalFormatting>
  <conditionalFormatting sqref="H77">
    <cfRule type="cellIs" priority="1441" operator="equal" dxfId="0">
      <formula>5</formula>
    </cfRule>
    <cfRule type="cellIs" priority="1442" operator="equal" dxfId="0">
      <formula>4</formula>
    </cfRule>
    <cfRule type="cellIs" priority="1443" operator="equal" dxfId="2">
      <formula>3</formula>
    </cfRule>
    <cfRule type="cellIs" priority="1444" operator="lessThan" dxfId="1">
      <formula>3</formula>
    </cfRule>
  </conditionalFormatting>
  <conditionalFormatting sqref="I77">
    <cfRule type="cellIs" priority="1445" operator="equal" dxfId="0">
      <formula>5</formula>
    </cfRule>
    <cfRule type="cellIs" priority="1446" operator="equal" dxfId="0">
      <formula>4</formula>
    </cfRule>
    <cfRule type="cellIs" priority="1447" operator="equal" dxfId="2">
      <formula>3</formula>
    </cfRule>
    <cfRule type="cellIs" priority="1448" operator="lessThan" dxfId="1">
      <formula>3</formula>
    </cfRule>
  </conditionalFormatting>
  <conditionalFormatting sqref="J77">
    <cfRule type="cellIs" priority="1449" operator="equal" dxfId="0">
      <formula>5</formula>
    </cfRule>
    <cfRule type="cellIs" priority="1450" operator="equal" dxfId="0">
      <formula>4</formula>
    </cfRule>
    <cfRule type="cellIs" priority="1451" operator="equal" dxfId="2">
      <formula>3</formula>
    </cfRule>
    <cfRule type="cellIs" priority="1452" operator="lessThan" dxfId="1">
      <formula>3</formula>
    </cfRule>
  </conditionalFormatting>
  <conditionalFormatting sqref="K77">
    <cfRule type="cellIs" priority="1453" operator="equal" dxfId="0">
      <formula>5</formula>
    </cfRule>
    <cfRule type="cellIs" priority="1454" operator="equal" dxfId="0">
      <formula>4</formula>
    </cfRule>
    <cfRule type="cellIs" priority="1455" operator="equal" dxfId="2">
      <formula>3</formula>
    </cfRule>
    <cfRule type="cellIs" priority="1456" operator="lessThan" dxfId="1">
      <formula>3</formula>
    </cfRule>
  </conditionalFormatting>
  <conditionalFormatting sqref="L77">
    <cfRule type="cellIs" priority="1457" operator="equal" dxfId="0">
      <formula>5</formula>
    </cfRule>
    <cfRule type="cellIs" priority="1458" operator="equal" dxfId="0">
      <formula>4</formula>
    </cfRule>
    <cfRule type="cellIs" priority="1459" operator="equal" dxfId="2">
      <formula>3</formula>
    </cfRule>
    <cfRule type="cellIs" priority="1460" operator="lessThan" dxfId="1">
      <formula>3</formula>
    </cfRule>
  </conditionalFormatting>
  <conditionalFormatting sqref="H78">
    <cfRule type="cellIs" priority="1461" operator="equal" dxfId="0">
      <formula>5</formula>
    </cfRule>
    <cfRule type="cellIs" priority="1462" operator="equal" dxfId="0">
      <formula>4</formula>
    </cfRule>
    <cfRule type="cellIs" priority="1463" operator="equal" dxfId="2">
      <formula>3</formula>
    </cfRule>
    <cfRule type="cellIs" priority="1464" operator="lessThan" dxfId="1">
      <formula>3</formula>
    </cfRule>
  </conditionalFormatting>
  <conditionalFormatting sqref="I78">
    <cfRule type="cellIs" priority="1465" operator="equal" dxfId="0">
      <formula>5</formula>
    </cfRule>
    <cfRule type="cellIs" priority="1466" operator="equal" dxfId="0">
      <formula>4</formula>
    </cfRule>
    <cfRule type="cellIs" priority="1467" operator="equal" dxfId="2">
      <formula>3</formula>
    </cfRule>
    <cfRule type="cellIs" priority="1468" operator="lessThan" dxfId="1">
      <formula>3</formula>
    </cfRule>
  </conditionalFormatting>
  <conditionalFormatting sqref="J78">
    <cfRule type="cellIs" priority="1469" operator="equal" dxfId="0">
      <formula>5</formula>
    </cfRule>
    <cfRule type="cellIs" priority="1470" operator="equal" dxfId="0">
      <formula>4</formula>
    </cfRule>
    <cfRule type="cellIs" priority="1471" operator="equal" dxfId="2">
      <formula>3</formula>
    </cfRule>
    <cfRule type="cellIs" priority="1472" operator="lessThan" dxfId="1">
      <formula>3</formula>
    </cfRule>
  </conditionalFormatting>
  <conditionalFormatting sqref="K78">
    <cfRule type="cellIs" priority="1473" operator="equal" dxfId="0">
      <formula>5</formula>
    </cfRule>
    <cfRule type="cellIs" priority="1474" operator="equal" dxfId="0">
      <formula>4</formula>
    </cfRule>
    <cfRule type="cellIs" priority="1475" operator="equal" dxfId="2">
      <formula>3</formula>
    </cfRule>
    <cfRule type="cellIs" priority="1476" operator="lessThan" dxfId="1">
      <formula>3</formula>
    </cfRule>
  </conditionalFormatting>
  <conditionalFormatting sqref="L78">
    <cfRule type="cellIs" priority="1477" operator="equal" dxfId="0">
      <formula>5</formula>
    </cfRule>
    <cfRule type="cellIs" priority="1478" operator="equal" dxfId="0">
      <formula>4</formula>
    </cfRule>
    <cfRule type="cellIs" priority="1479" operator="equal" dxfId="2">
      <formula>3</formula>
    </cfRule>
    <cfRule type="cellIs" priority="1480" operator="lessThan" dxfId="1">
      <formula>3</formula>
    </cfRule>
  </conditionalFormatting>
  <conditionalFormatting sqref="H79">
    <cfRule type="cellIs" priority="1481" operator="equal" dxfId="0">
      <formula>5</formula>
    </cfRule>
    <cfRule type="cellIs" priority="1482" operator="equal" dxfId="0">
      <formula>4</formula>
    </cfRule>
    <cfRule type="cellIs" priority="1483" operator="equal" dxfId="2">
      <formula>3</formula>
    </cfRule>
    <cfRule type="cellIs" priority="1484" operator="lessThan" dxfId="1">
      <formula>3</formula>
    </cfRule>
  </conditionalFormatting>
  <conditionalFormatting sqref="I79">
    <cfRule type="cellIs" priority="1485" operator="equal" dxfId="0">
      <formula>5</formula>
    </cfRule>
    <cfRule type="cellIs" priority="1486" operator="equal" dxfId="0">
      <formula>4</formula>
    </cfRule>
    <cfRule type="cellIs" priority="1487" operator="equal" dxfId="2">
      <formula>3</formula>
    </cfRule>
    <cfRule type="cellIs" priority="1488" operator="lessThan" dxfId="1">
      <formula>3</formula>
    </cfRule>
  </conditionalFormatting>
  <conditionalFormatting sqref="J79">
    <cfRule type="cellIs" priority="1489" operator="equal" dxfId="0">
      <formula>5</formula>
    </cfRule>
    <cfRule type="cellIs" priority="1490" operator="equal" dxfId="0">
      <formula>4</formula>
    </cfRule>
    <cfRule type="cellIs" priority="1491" operator="equal" dxfId="2">
      <formula>3</formula>
    </cfRule>
    <cfRule type="cellIs" priority="1492" operator="lessThan" dxfId="1">
      <formula>3</formula>
    </cfRule>
  </conditionalFormatting>
  <conditionalFormatting sqref="K79">
    <cfRule type="cellIs" priority="1493" operator="equal" dxfId="0">
      <formula>5</formula>
    </cfRule>
    <cfRule type="cellIs" priority="1494" operator="equal" dxfId="0">
      <formula>4</formula>
    </cfRule>
    <cfRule type="cellIs" priority="1495" operator="equal" dxfId="2">
      <formula>3</formula>
    </cfRule>
    <cfRule type="cellIs" priority="1496" operator="lessThan" dxfId="1">
      <formula>3</formula>
    </cfRule>
  </conditionalFormatting>
  <conditionalFormatting sqref="L79">
    <cfRule type="cellIs" priority="1497" operator="equal" dxfId="0">
      <formula>5</formula>
    </cfRule>
    <cfRule type="cellIs" priority="1498" operator="equal" dxfId="0">
      <formula>4</formula>
    </cfRule>
    <cfRule type="cellIs" priority="1499" operator="equal" dxfId="2">
      <formula>3</formula>
    </cfRule>
    <cfRule type="cellIs" priority="1500" operator="lessThan" dxfId="1">
      <formula>3</formula>
    </cfRule>
  </conditionalFormatting>
  <conditionalFormatting sqref="H80">
    <cfRule type="cellIs" priority="1501" operator="equal" dxfId="0">
      <formula>5</formula>
    </cfRule>
    <cfRule type="cellIs" priority="1502" operator="equal" dxfId="0">
      <formula>4</formula>
    </cfRule>
    <cfRule type="cellIs" priority="1503" operator="equal" dxfId="2">
      <formula>3</formula>
    </cfRule>
    <cfRule type="cellIs" priority="1504" operator="lessThan" dxfId="1">
      <formula>3</formula>
    </cfRule>
  </conditionalFormatting>
  <conditionalFormatting sqref="I80">
    <cfRule type="cellIs" priority="1505" operator="equal" dxfId="0">
      <formula>5</formula>
    </cfRule>
    <cfRule type="cellIs" priority="1506" operator="equal" dxfId="0">
      <formula>4</formula>
    </cfRule>
    <cfRule type="cellIs" priority="1507" operator="equal" dxfId="2">
      <formula>3</formula>
    </cfRule>
    <cfRule type="cellIs" priority="1508" operator="lessThan" dxfId="1">
      <formula>3</formula>
    </cfRule>
  </conditionalFormatting>
  <conditionalFormatting sqref="J80">
    <cfRule type="cellIs" priority="1509" operator="equal" dxfId="0">
      <formula>5</formula>
    </cfRule>
    <cfRule type="cellIs" priority="1510" operator="equal" dxfId="0">
      <formula>4</formula>
    </cfRule>
    <cfRule type="cellIs" priority="1511" operator="equal" dxfId="2">
      <formula>3</formula>
    </cfRule>
    <cfRule type="cellIs" priority="1512" operator="lessThan" dxfId="1">
      <formula>3</formula>
    </cfRule>
  </conditionalFormatting>
  <conditionalFormatting sqref="K80">
    <cfRule type="cellIs" priority="1513" operator="equal" dxfId="0">
      <formula>5</formula>
    </cfRule>
    <cfRule type="cellIs" priority="1514" operator="equal" dxfId="0">
      <formula>4</formula>
    </cfRule>
    <cfRule type="cellIs" priority="1515" operator="equal" dxfId="2">
      <formula>3</formula>
    </cfRule>
    <cfRule type="cellIs" priority="1516" operator="lessThan" dxfId="1">
      <formula>3</formula>
    </cfRule>
  </conditionalFormatting>
  <conditionalFormatting sqref="L80">
    <cfRule type="cellIs" priority="1517" operator="equal" dxfId="0">
      <formula>5</formula>
    </cfRule>
    <cfRule type="cellIs" priority="1518" operator="equal" dxfId="0">
      <formula>4</formula>
    </cfRule>
    <cfRule type="cellIs" priority="1519" operator="equal" dxfId="2">
      <formula>3</formula>
    </cfRule>
    <cfRule type="cellIs" priority="1520" operator="lessThan" dxfId="1">
      <formula>3</formula>
    </cfRule>
  </conditionalFormatting>
  <conditionalFormatting sqref="H81">
    <cfRule type="cellIs" priority="1521" operator="equal" dxfId="0">
      <formula>5</formula>
    </cfRule>
    <cfRule type="cellIs" priority="1522" operator="equal" dxfId="0">
      <formula>4</formula>
    </cfRule>
    <cfRule type="cellIs" priority="1523" operator="equal" dxfId="2">
      <formula>3</formula>
    </cfRule>
    <cfRule type="cellIs" priority="1524" operator="lessThan" dxfId="1">
      <formula>3</formula>
    </cfRule>
  </conditionalFormatting>
  <conditionalFormatting sqref="I81">
    <cfRule type="cellIs" priority="1525" operator="equal" dxfId="0">
      <formula>5</formula>
    </cfRule>
    <cfRule type="cellIs" priority="1526" operator="equal" dxfId="0">
      <formula>4</formula>
    </cfRule>
    <cfRule type="cellIs" priority="1527" operator="equal" dxfId="2">
      <formula>3</formula>
    </cfRule>
    <cfRule type="cellIs" priority="1528" operator="lessThan" dxfId="1">
      <formula>3</formula>
    </cfRule>
  </conditionalFormatting>
  <conditionalFormatting sqref="J81">
    <cfRule type="cellIs" priority="1529" operator="equal" dxfId="0">
      <formula>5</formula>
    </cfRule>
    <cfRule type="cellIs" priority="1530" operator="equal" dxfId="0">
      <formula>4</formula>
    </cfRule>
    <cfRule type="cellIs" priority="1531" operator="equal" dxfId="2">
      <formula>3</formula>
    </cfRule>
    <cfRule type="cellIs" priority="1532" operator="lessThan" dxfId="1">
      <formula>3</formula>
    </cfRule>
  </conditionalFormatting>
  <conditionalFormatting sqref="K81">
    <cfRule type="cellIs" priority="1533" operator="equal" dxfId="0">
      <formula>5</formula>
    </cfRule>
    <cfRule type="cellIs" priority="1534" operator="equal" dxfId="0">
      <formula>4</formula>
    </cfRule>
    <cfRule type="cellIs" priority="1535" operator="equal" dxfId="2">
      <formula>3</formula>
    </cfRule>
    <cfRule type="cellIs" priority="1536" operator="lessThan" dxfId="1">
      <formula>3</formula>
    </cfRule>
  </conditionalFormatting>
  <conditionalFormatting sqref="L81">
    <cfRule type="cellIs" priority="1537" operator="equal" dxfId="0">
      <formula>5</formula>
    </cfRule>
    <cfRule type="cellIs" priority="1538" operator="equal" dxfId="0">
      <formula>4</formula>
    </cfRule>
    <cfRule type="cellIs" priority="1539" operator="equal" dxfId="2">
      <formula>3</formula>
    </cfRule>
    <cfRule type="cellIs" priority="1540" operator="lessThan" dxfId="1">
      <formula>3</formula>
    </cfRule>
  </conditionalFormatting>
  <conditionalFormatting sqref="H82">
    <cfRule type="cellIs" priority="1541" operator="equal" dxfId="0">
      <formula>5</formula>
    </cfRule>
    <cfRule type="cellIs" priority="1542" operator="equal" dxfId="0">
      <formula>4</formula>
    </cfRule>
    <cfRule type="cellIs" priority="1543" operator="equal" dxfId="2">
      <formula>3</formula>
    </cfRule>
    <cfRule type="cellIs" priority="1544" operator="lessThan" dxfId="1">
      <formula>3</formula>
    </cfRule>
  </conditionalFormatting>
  <conditionalFormatting sqref="I82">
    <cfRule type="cellIs" priority="1545" operator="equal" dxfId="0">
      <formula>5</formula>
    </cfRule>
    <cfRule type="cellIs" priority="1546" operator="equal" dxfId="0">
      <formula>4</formula>
    </cfRule>
    <cfRule type="cellIs" priority="1547" operator="equal" dxfId="2">
      <formula>3</formula>
    </cfRule>
    <cfRule type="cellIs" priority="1548" operator="lessThan" dxfId="1">
      <formula>3</formula>
    </cfRule>
  </conditionalFormatting>
  <conditionalFormatting sqref="J82">
    <cfRule type="cellIs" priority="1549" operator="equal" dxfId="0">
      <formula>5</formula>
    </cfRule>
    <cfRule type="cellIs" priority="1550" operator="equal" dxfId="0">
      <formula>4</formula>
    </cfRule>
    <cfRule type="cellIs" priority="1551" operator="equal" dxfId="2">
      <formula>3</formula>
    </cfRule>
    <cfRule type="cellIs" priority="1552" operator="lessThan" dxfId="1">
      <formula>3</formula>
    </cfRule>
  </conditionalFormatting>
  <conditionalFormatting sqref="K82">
    <cfRule type="cellIs" priority="1553" operator="equal" dxfId="0">
      <formula>5</formula>
    </cfRule>
    <cfRule type="cellIs" priority="1554" operator="equal" dxfId="0">
      <formula>4</formula>
    </cfRule>
    <cfRule type="cellIs" priority="1555" operator="equal" dxfId="2">
      <formula>3</formula>
    </cfRule>
    <cfRule type="cellIs" priority="1556" operator="lessThan" dxfId="1">
      <formula>3</formula>
    </cfRule>
  </conditionalFormatting>
  <conditionalFormatting sqref="L82">
    <cfRule type="cellIs" priority="1557" operator="equal" dxfId="0">
      <formula>5</formula>
    </cfRule>
    <cfRule type="cellIs" priority="1558" operator="equal" dxfId="0">
      <formula>4</formula>
    </cfRule>
    <cfRule type="cellIs" priority="1559" operator="equal" dxfId="2">
      <formula>3</formula>
    </cfRule>
    <cfRule type="cellIs" priority="1560" operator="lessThan" dxfId="1">
      <formula>3</formula>
    </cfRule>
  </conditionalFormatting>
  <conditionalFormatting sqref="H83">
    <cfRule type="cellIs" priority="1561" operator="equal" dxfId="0">
      <formula>5</formula>
    </cfRule>
    <cfRule type="cellIs" priority="1562" operator="equal" dxfId="0">
      <formula>4</formula>
    </cfRule>
    <cfRule type="cellIs" priority="1563" operator="equal" dxfId="2">
      <formula>3</formula>
    </cfRule>
    <cfRule type="cellIs" priority="1564" operator="lessThan" dxfId="1">
      <formula>3</formula>
    </cfRule>
  </conditionalFormatting>
  <conditionalFormatting sqref="I83">
    <cfRule type="cellIs" priority="1565" operator="equal" dxfId="0">
      <formula>5</formula>
    </cfRule>
    <cfRule type="cellIs" priority="1566" operator="equal" dxfId="0">
      <formula>4</formula>
    </cfRule>
    <cfRule type="cellIs" priority="1567" operator="equal" dxfId="2">
      <formula>3</formula>
    </cfRule>
    <cfRule type="cellIs" priority="1568" operator="lessThan" dxfId="1">
      <formula>3</formula>
    </cfRule>
  </conditionalFormatting>
  <conditionalFormatting sqref="J83">
    <cfRule type="cellIs" priority="1569" operator="equal" dxfId="0">
      <formula>5</formula>
    </cfRule>
    <cfRule type="cellIs" priority="1570" operator="equal" dxfId="0">
      <formula>4</formula>
    </cfRule>
    <cfRule type="cellIs" priority="1571" operator="equal" dxfId="2">
      <formula>3</formula>
    </cfRule>
    <cfRule type="cellIs" priority="1572" operator="lessThan" dxfId="1">
      <formula>3</formula>
    </cfRule>
  </conditionalFormatting>
  <conditionalFormatting sqref="K83">
    <cfRule type="cellIs" priority="1573" operator="equal" dxfId="0">
      <formula>5</formula>
    </cfRule>
    <cfRule type="cellIs" priority="1574" operator="equal" dxfId="0">
      <formula>4</formula>
    </cfRule>
    <cfRule type="cellIs" priority="1575" operator="equal" dxfId="2">
      <formula>3</formula>
    </cfRule>
    <cfRule type="cellIs" priority="1576" operator="lessThan" dxfId="1">
      <formula>3</formula>
    </cfRule>
  </conditionalFormatting>
  <conditionalFormatting sqref="L83">
    <cfRule type="cellIs" priority="1577" operator="equal" dxfId="0">
      <formula>5</formula>
    </cfRule>
    <cfRule type="cellIs" priority="1578" operator="equal" dxfId="0">
      <formula>4</formula>
    </cfRule>
    <cfRule type="cellIs" priority="1579" operator="equal" dxfId="2">
      <formula>3</formula>
    </cfRule>
    <cfRule type="cellIs" priority="1580" operator="lessThan" dxfId="1">
      <formula>3</formula>
    </cfRule>
  </conditionalFormatting>
  <conditionalFormatting sqref="H84">
    <cfRule type="cellIs" priority="1581" operator="equal" dxfId="0">
      <formula>5</formula>
    </cfRule>
    <cfRule type="cellIs" priority="1582" operator="equal" dxfId="0">
      <formula>4</formula>
    </cfRule>
    <cfRule type="cellIs" priority="1583" operator="equal" dxfId="2">
      <formula>3</formula>
    </cfRule>
    <cfRule type="cellIs" priority="1584" operator="lessThan" dxfId="1">
      <formula>3</formula>
    </cfRule>
  </conditionalFormatting>
  <conditionalFormatting sqref="I84">
    <cfRule type="cellIs" priority="1585" operator="equal" dxfId="0">
      <formula>5</formula>
    </cfRule>
    <cfRule type="cellIs" priority="1586" operator="equal" dxfId="0">
      <formula>4</formula>
    </cfRule>
    <cfRule type="cellIs" priority="1587" operator="equal" dxfId="2">
      <formula>3</formula>
    </cfRule>
    <cfRule type="cellIs" priority="1588" operator="lessThan" dxfId="1">
      <formula>3</formula>
    </cfRule>
  </conditionalFormatting>
  <conditionalFormatting sqref="J84">
    <cfRule type="cellIs" priority="1589" operator="equal" dxfId="0">
      <formula>5</formula>
    </cfRule>
    <cfRule type="cellIs" priority="1590" operator="equal" dxfId="0">
      <formula>4</formula>
    </cfRule>
    <cfRule type="cellIs" priority="1591" operator="equal" dxfId="2">
      <formula>3</formula>
    </cfRule>
    <cfRule type="cellIs" priority="1592" operator="lessThan" dxfId="1">
      <formula>3</formula>
    </cfRule>
  </conditionalFormatting>
  <conditionalFormatting sqref="K84">
    <cfRule type="cellIs" priority="1593" operator="equal" dxfId="0">
      <formula>5</formula>
    </cfRule>
    <cfRule type="cellIs" priority="1594" operator="equal" dxfId="0">
      <formula>4</formula>
    </cfRule>
    <cfRule type="cellIs" priority="1595" operator="equal" dxfId="2">
      <formula>3</formula>
    </cfRule>
    <cfRule type="cellIs" priority="1596" operator="lessThan" dxfId="1">
      <formula>3</formula>
    </cfRule>
  </conditionalFormatting>
  <conditionalFormatting sqref="L84">
    <cfRule type="cellIs" priority="1597" operator="equal" dxfId="0">
      <formula>5</formula>
    </cfRule>
    <cfRule type="cellIs" priority="1598" operator="equal" dxfId="0">
      <formula>4</formula>
    </cfRule>
    <cfRule type="cellIs" priority="1599" operator="equal" dxfId="2">
      <formula>3</formula>
    </cfRule>
    <cfRule type="cellIs" priority="1600" operator="lessThan" dxfId="1">
      <formula>3</formula>
    </cfRule>
  </conditionalFormatting>
  <conditionalFormatting sqref="H85">
    <cfRule type="cellIs" priority="1601" operator="equal" dxfId="0">
      <formula>5</formula>
    </cfRule>
    <cfRule type="cellIs" priority="1602" operator="equal" dxfId="0">
      <formula>4</formula>
    </cfRule>
    <cfRule type="cellIs" priority="1603" operator="equal" dxfId="2">
      <formula>3</formula>
    </cfRule>
    <cfRule type="cellIs" priority="1604" operator="lessThan" dxfId="1">
      <formula>3</formula>
    </cfRule>
  </conditionalFormatting>
  <conditionalFormatting sqref="I85">
    <cfRule type="cellIs" priority="1605" operator="equal" dxfId="0">
      <formula>5</formula>
    </cfRule>
    <cfRule type="cellIs" priority="1606" operator="equal" dxfId="0">
      <formula>4</formula>
    </cfRule>
    <cfRule type="cellIs" priority="1607" operator="equal" dxfId="2">
      <formula>3</formula>
    </cfRule>
    <cfRule type="cellIs" priority="1608" operator="lessThan" dxfId="1">
      <formula>3</formula>
    </cfRule>
  </conditionalFormatting>
  <conditionalFormatting sqref="J85">
    <cfRule type="cellIs" priority="1609" operator="equal" dxfId="0">
      <formula>5</formula>
    </cfRule>
    <cfRule type="cellIs" priority="1610" operator="equal" dxfId="0">
      <formula>4</formula>
    </cfRule>
    <cfRule type="cellIs" priority="1611" operator="equal" dxfId="2">
      <formula>3</formula>
    </cfRule>
    <cfRule type="cellIs" priority="1612" operator="lessThan" dxfId="1">
      <formula>3</formula>
    </cfRule>
  </conditionalFormatting>
  <conditionalFormatting sqref="K85">
    <cfRule type="cellIs" priority="1613" operator="equal" dxfId="0">
      <formula>5</formula>
    </cfRule>
    <cfRule type="cellIs" priority="1614" operator="equal" dxfId="0">
      <formula>4</formula>
    </cfRule>
    <cfRule type="cellIs" priority="1615" operator="equal" dxfId="2">
      <formula>3</formula>
    </cfRule>
    <cfRule type="cellIs" priority="1616" operator="lessThan" dxfId="1">
      <formula>3</formula>
    </cfRule>
  </conditionalFormatting>
  <conditionalFormatting sqref="L85">
    <cfRule type="cellIs" priority="1617" operator="equal" dxfId="0">
      <formula>5</formula>
    </cfRule>
    <cfRule type="cellIs" priority="1618" operator="equal" dxfId="0">
      <formula>4</formula>
    </cfRule>
    <cfRule type="cellIs" priority="1619" operator="equal" dxfId="2">
      <formula>3</formula>
    </cfRule>
    <cfRule type="cellIs" priority="1620" operator="lessThan" dxfId="1">
      <formula>3</formula>
    </cfRule>
  </conditionalFormatting>
  <conditionalFormatting sqref="H86">
    <cfRule type="cellIs" priority="1621" operator="equal" dxfId="0">
      <formula>5</formula>
    </cfRule>
    <cfRule type="cellIs" priority="1622" operator="equal" dxfId="0">
      <formula>4</formula>
    </cfRule>
    <cfRule type="cellIs" priority="1623" operator="equal" dxfId="2">
      <formula>3</formula>
    </cfRule>
    <cfRule type="cellIs" priority="1624" operator="lessThan" dxfId="1">
      <formula>3</formula>
    </cfRule>
  </conditionalFormatting>
  <conditionalFormatting sqref="I86">
    <cfRule type="cellIs" priority="1625" operator="equal" dxfId="0">
      <formula>5</formula>
    </cfRule>
    <cfRule type="cellIs" priority="1626" operator="equal" dxfId="0">
      <formula>4</formula>
    </cfRule>
    <cfRule type="cellIs" priority="1627" operator="equal" dxfId="2">
      <formula>3</formula>
    </cfRule>
    <cfRule type="cellIs" priority="1628" operator="lessThan" dxfId="1">
      <formula>3</formula>
    </cfRule>
  </conditionalFormatting>
  <conditionalFormatting sqref="J86">
    <cfRule type="cellIs" priority="1629" operator="equal" dxfId="0">
      <formula>5</formula>
    </cfRule>
    <cfRule type="cellIs" priority="1630" operator="equal" dxfId="0">
      <formula>4</formula>
    </cfRule>
    <cfRule type="cellIs" priority="1631" operator="equal" dxfId="2">
      <formula>3</formula>
    </cfRule>
    <cfRule type="cellIs" priority="1632" operator="lessThan" dxfId="1">
      <formula>3</formula>
    </cfRule>
  </conditionalFormatting>
  <conditionalFormatting sqref="K86">
    <cfRule type="cellIs" priority="1633" operator="equal" dxfId="0">
      <formula>5</formula>
    </cfRule>
    <cfRule type="cellIs" priority="1634" operator="equal" dxfId="0">
      <formula>4</formula>
    </cfRule>
    <cfRule type="cellIs" priority="1635" operator="equal" dxfId="2">
      <formula>3</formula>
    </cfRule>
    <cfRule type="cellIs" priority="1636" operator="lessThan" dxfId="1">
      <formula>3</formula>
    </cfRule>
  </conditionalFormatting>
  <conditionalFormatting sqref="L86">
    <cfRule type="cellIs" priority="1637" operator="equal" dxfId="0">
      <formula>5</formula>
    </cfRule>
    <cfRule type="cellIs" priority="1638" operator="equal" dxfId="0">
      <formula>4</formula>
    </cfRule>
    <cfRule type="cellIs" priority="1639" operator="equal" dxfId="2">
      <formula>3</formula>
    </cfRule>
    <cfRule type="cellIs" priority="1640" operator="lessThan" dxfId="1">
      <formula>3</formula>
    </cfRule>
  </conditionalFormatting>
  <conditionalFormatting sqref="H87">
    <cfRule type="cellIs" priority="1641" operator="equal" dxfId="0">
      <formula>5</formula>
    </cfRule>
    <cfRule type="cellIs" priority="1642" operator="equal" dxfId="0">
      <formula>4</formula>
    </cfRule>
    <cfRule type="cellIs" priority="1643" operator="equal" dxfId="2">
      <formula>3</formula>
    </cfRule>
    <cfRule type="cellIs" priority="1644" operator="lessThan" dxfId="1">
      <formula>3</formula>
    </cfRule>
  </conditionalFormatting>
  <conditionalFormatting sqref="I87">
    <cfRule type="cellIs" priority="1645" operator="equal" dxfId="0">
      <formula>5</formula>
    </cfRule>
    <cfRule type="cellIs" priority="1646" operator="equal" dxfId="0">
      <formula>4</formula>
    </cfRule>
    <cfRule type="cellIs" priority="1647" operator="equal" dxfId="2">
      <formula>3</formula>
    </cfRule>
    <cfRule type="cellIs" priority="1648" operator="lessThan" dxfId="1">
      <formula>3</formula>
    </cfRule>
  </conditionalFormatting>
  <conditionalFormatting sqref="J87">
    <cfRule type="cellIs" priority="1649" operator="equal" dxfId="0">
      <formula>5</formula>
    </cfRule>
    <cfRule type="cellIs" priority="1650" operator="equal" dxfId="0">
      <formula>4</formula>
    </cfRule>
    <cfRule type="cellIs" priority="1651" operator="equal" dxfId="2">
      <formula>3</formula>
    </cfRule>
    <cfRule type="cellIs" priority="1652" operator="lessThan" dxfId="1">
      <formula>3</formula>
    </cfRule>
  </conditionalFormatting>
  <conditionalFormatting sqref="K87">
    <cfRule type="cellIs" priority="1653" operator="equal" dxfId="0">
      <formula>5</formula>
    </cfRule>
    <cfRule type="cellIs" priority="1654" operator="equal" dxfId="0">
      <formula>4</formula>
    </cfRule>
    <cfRule type="cellIs" priority="1655" operator="equal" dxfId="2">
      <formula>3</formula>
    </cfRule>
    <cfRule type="cellIs" priority="1656" operator="lessThan" dxfId="1">
      <formula>3</formula>
    </cfRule>
  </conditionalFormatting>
  <conditionalFormatting sqref="L87">
    <cfRule type="cellIs" priority="1657" operator="equal" dxfId="0">
      <formula>5</formula>
    </cfRule>
    <cfRule type="cellIs" priority="1658" operator="equal" dxfId="0">
      <formula>4</formula>
    </cfRule>
    <cfRule type="cellIs" priority="1659" operator="equal" dxfId="2">
      <formula>3</formula>
    </cfRule>
    <cfRule type="cellIs" priority="1660" operator="lessThan" dxfId="1">
      <formula>3</formula>
    </cfRule>
  </conditionalFormatting>
  <conditionalFormatting sqref="H88">
    <cfRule type="cellIs" priority="1661" operator="equal" dxfId="0">
      <formula>5</formula>
    </cfRule>
    <cfRule type="cellIs" priority="1662" operator="equal" dxfId="0">
      <formula>4</formula>
    </cfRule>
    <cfRule type="cellIs" priority="1663" operator="equal" dxfId="2">
      <formula>3</formula>
    </cfRule>
    <cfRule type="cellIs" priority="1664" operator="lessThan" dxfId="1">
      <formula>3</formula>
    </cfRule>
  </conditionalFormatting>
  <conditionalFormatting sqref="I88">
    <cfRule type="cellIs" priority="1665" operator="equal" dxfId="0">
      <formula>5</formula>
    </cfRule>
    <cfRule type="cellIs" priority="1666" operator="equal" dxfId="0">
      <formula>4</formula>
    </cfRule>
    <cfRule type="cellIs" priority="1667" operator="equal" dxfId="2">
      <formula>3</formula>
    </cfRule>
    <cfRule type="cellIs" priority="1668" operator="lessThan" dxfId="1">
      <formula>3</formula>
    </cfRule>
  </conditionalFormatting>
  <conditionalFormatting sqref="J88">
    <cfRule type="cellIs" priority="1669" operator="equal" dxfId="0">
      <formula>5</formula>
    </cfRule>
    <cfRule type="cellIs" priority="1670" operator="equal" dxfId="0">
      <formula>4</formula>
    </cfRule>
    <cfRule type="cellIs" priority="1671" operator="equal" dxfId="2">
      <formula>3</formula>
    </cfRule>
    <cfRule type="cellIs" priority="1672" operator="lessThan" dxfId="1">
      <formula>3</formula>
    </cfRule>
  </conditionalFormatting>
  <conditionalFormatting sqref="K88">
    <cfRule type="cellIs" priority="1673" operator="equal" dxfId="0">
      <formula>5</formula>
    </cfRule>
    <cfRule type="cellIs" priority="1674" operator="equal" dxfId="0">
      <formula>4</formula>
    </cfRule>
    <cfRule type="cellIs" priority="1675" operator="equal" dxfId="2">
      <formula>3</formula>
    </cfRule>
    <cfRule type="cellIs" priority="1676" operator="lessThan" dxfId="1">
      <formula>3</formula>
    </cfRule>
  </conditionalFormatting>
  <conditionalFormatting sqref="L88">
    <cfRule type="cellIs" priority="1677" operator="equal" dxfId="0">
      <formula>5</formula>
    </cfRule>
    <cfRule type="cellIs" priority="1678" operator="equal" dxfId="0">
      <formula>4</formula>
    </cfRule>
    <cfRule type="cellIs" priority="1679" operator="equal" dxfId="2">
      <formula>3</formula>
    </cfRule>
    <cfRule type="cellIs" priority="1680" operator="lessThan" dxfId="1">
      <formula>3</formula>
    </cfRule>
  </conditionalFormatting>
  <conditionalFormatting sqref="H89">
    <cfRule type="cellIs" priority="1681" operator="equal" dxfId="0">
      <formula>5</formula>
    </cfRule>
    <cfRule type="cellIs" priority="1682" operator="equal" dxfId="0">
      <formula>4</formula>
    </cfRule>
    <cfRule type="cellIs" priority="1683" operator="equal" dxfId="2">
      <formula>3</formula>
    </cfRule>
    <cfRule type="cellIs" priority="1684" operator="lessThan" dxfId="1">
      <formula>3</formula>
    </cfRule>
  </conditionalFormatting>
  <conditionalFormatting sqref="I89">
    <cfRule type="cellIs" priority="1685" operator="equal" dxfId="0">
      <formula>5</formula>
    </cfRule>
    <cfRule type="cellIs" priority="1686" operator="equal" dxfId="0">
      <formula>4</formula>
    </cfRule>
    <cfRule type="cellIs" priority="1687" operator="equal" dxfId="2">
      <formula>3</formula>
    </cfRule>
    <cfRule type="cellIs" priority="1688" operator="lessThan" dxfId="1">
      <formula>3</formula>
    </cfRule>
  </conditionalFormatting>
  <conditionalFormatting sqref="J89">
    <cfRule type="cellIs" priority="1689" operator="equal" dxfId="0">
      <formula>5</formula>
    </cfRule>
    <cfRule type="cellIs" priority="1690" operator="equal" dxfId="0">
      <formula>4</formula>
    </cfRule>
    <cfRule type="cellIs" priority="1691" operator="equal" dxfId="2">
      <formula>3</formula>
    </cfRule>
    <cfRule type="cellIs" priority="1692" operator="lessThan" dxfId="1">
      <formula>3</formula>
    </cfRule>
  </conditionalFormatting>
  <conditionalFormatting sqref="K89">
    <cfRule type="cellIs" priority="1693" operator="equal" dxfId="0">
      <formula>5</formula>
    </cfRule>
    <cfRule type="cellIs" priority="1694" operator="equal" dxfId="0">
      <formula>4</formula>
    </cfRule>
    <cfRule type="cellIs" priority="1695" operator="equal" dxfId="2">
      <formula>3</formula>
    </cfRule>
    <cfRule type="cellIs" priority="1696" operator="lessThan" dxfId="1">
      <formula>3</formula>
    </cfRule>
  </conditionalFormatting>
  <conditionalFormatting sqref="L89">
    <cfRule type="cellIs" priority="1697" operator="equal" dxfId="0">
      <formula>5</formula>
    </cfRule>
    <cfRule type="cellIs" priority="1698" operator="equal" dxfId="0">
      <formula>4</formula>
    </cfRule>
    <cfRule type="cellIs" priority="1699" operator="equal" dxfId="2">
      <formula>3</formula>
    </cfRule>
    <cfRule type="cellIs" priority="1700" operator="lessThan" dxfId="1">
      <formula>3</formula>
    </cfRule>
  </conditionalFormatting>
  <conditionalFormatting sqref="H90">
    <cfRule type="cellIs" priority="1701" operator="equal" dxfId="0">
      <formula>5</formula>
    </cfRule>
    <cfRule type="cellIs" priority="1702" operator="equal" dxfId="0">
      <formula>4</formula>
    </cfRule>
    <cfRule type="cellIs" priority="1703" operator="equal" dxfId="2">
      <formula>3</formula>
    </cfRule>
    <cfRule type="cellIs" priority="1704" operator="lessThan" dxfId="1">
      <formula>3</formula>
    </cfRule>
  </conditionalFormatting>
  <conditionalFormatting sqref="I90">
    <cfRule type="cellIs" priority="1705" operator="equal" dxfId="0">
      <formula>5</formula>
    </cfRule>
    <cfRule type="cellIs" priority="1706" operator="equal" dxfId="0">
      <formula>4</formula>
    </cfRule>
    <cfRule type="cellIs" priority="1707" operator="equal" dxfId="2">
      <formula>3</formula>
    </cfRule>
    <cfRule type="cellIs" priority="1708" operator="lessThan" dxfId="1">
      <formula>3</formula>
    </cfRule>
  </conditionalFormatting>
  <conditionalFormatting sqref="J90">
    <cfRule type="cellIs" priority="1709" operator="equal" dxfId="0">
      <formula>5</formula>
    </cfRule>
    <cfRule type="cellIs" priority="1710" operator="equal" dxfId="0">
      <formula>4</formula>
    </cfRule>
    <cfRule type="cellIs" priority="1711" operator="equal" dxfId="2">
      <formula>3</formula>
    </cfRule>
    <cfRule type="cellIs" priority="1712" operator="lessThan" dxfId="1">
      <formula>3</formula>
    </cfRule>
  </conditionalFormatting>
  <conditionalFormatting sqref="K90">
    <cfRule type="cellIs" priority="1713" operator="equal" dxfId="0">
      <formula>5</formula>
    </cfRule>
    <cfRule type="cellIs" priority="1714" operator="equal" dxfId="0">
      <formula>4</formula>
    </cfRule>
    <cfRule type="cellIs" priority="1715" operator="equal" dxfId="2">
      <formula>3</formula>
    </cfRule>
    <cfRule type="cellIs" priority="1716" operator="lessThan" dxfId="1">
      <formula>3</formula>
    </cfRule>
  </conditionalFormatting>
  <conditionalFormatting sqref="L90">
    <cfRule type="cellIs" priority="1717" operator="equal" dxfId="0">
      <formula>5</formula>
    </cfRule>
    <cfRule type="cellIs" priority="1718" operator="equal" dxfId="0">
      <formula>4</formula>
    </cfRule>
    <cfRule type="cellIs" priority="1719" operator="equal" dxfId="2">
      <formula>3</formula>
    </cfRule>
    <cfRule type="cellIs" priority="1720" operator="lessThan" dxfId="1">
      <formula>3</formula>
    </cfRule>
  </conditionalFormatting>
  <conditionalFormatting sqref="H91">
    <cfRule type="cellIs" priority="1721" operator="equal" dxfId="0">
      <formula>5</formula>
    </cfRule>
    <cfRule type="cellIs" priority="1722" operator="equal" dxfId="0">
      <formula>4</formula>
    </cfRule>
    <cfRule type="cellIs" priority="1723" operator="equal" dxfId="2">
      <formula>3</formula>
    </cfRule>
    <cfRule type="cellIs" priority="1724" operator="lessThan" dxfId="1">
      <formula>3</formula>
    </cfRule>
  </conditionalFormatting>
  <conditionalFormatting sqref="I91">
    <cfRule type="cellIs" priority="1725" operator="equal" dxfId="0">
      <formula>5</formula>
    </cfRule>
    <cfRule type="cellIs" priority="1726" operator="equal" dxfId="0">
      <formula>4</formula>
    </cfRule>
    <cfRule type="cellIs" priority="1727" operator="equal" dxfId="2">
      <formula>3</formula>
    </cfRule>
    <cfRule type="cellIs" priority="1728" operator="lessThan" dxfId="1">
      <formula>3</formula>
    </cfRule>
  </conditionalFormatting>
  <conditionalFormatting sqref="J91">
    <cfRule type="cellIs" priority="1729" operator="equal" dxfId="0">
      <formula>5</formula>
    </cfRule>
    <cfRule type="cellIs" priority="1730" operator="equal" dxfId="0">
      <formula>4</formula>
    </cfRule>
    <cfRule type="cellIs" priority="1731" operator="equal" dxfId="2">
      <formula>3</formula>
    </cfRule>
    <cfRule type="cellIs" priority="1732" operator="lessThan" dxfId="1">
      <formula>3</formula>
    </cfRule>
  </conditionalFormatting>
  <conditionalFormatting sqref="K91">
    <cfRule type="cellIs" priority="1733" operator="equal" dxfId="0">
      <formula>5</formula>
    </cfRule>
    <cfRule type="cellIs" priority="1734" operator="equal" dxfId="0">
      <formula>4</formula>
    </cfRule>
    <cfRule type="cellIs" priority="1735" operator="equal" dxfId="2">
      <formula>3</formula>
    </cfRule>
    <cfRule type="cellIs" priority="1736" operator="lessThan" dxfId="1">
      <formula>3</formula>
    </cfRule>
  </conditionalFormatting>
  <conditionalFormatting sqref="L91">
    <cfRule type="cellIs" priority="1737" operator="equal" dxfId="0">
      <formula>5</formula>
    </cfRule>
    <cfRule type="cellIs" priority="1738" operator="equal" dxfId="0">
      <formula>4</formula>
    </cfRule>
    <cfRule type="cellIs" priority="1739" operator="equal" dxfId="2">
      <formula>3</formula>
    </cfRule>
    <cfRule type="cellIs" priority="1740" operator="lessThan" dxfId="1">
      <formula>3</formula>
    </cfRule>
  </conditionalFormatting>
  <conditionalFormatting sqref="H92">
    <cfRule type="cellIs" priority="1741" operator="equal" dxfId="0">
      <formula>5</formula>
    </cfRule>
    <cfRule type="cellIs" priority="1742" operator="equal" dxfId="0">
      <formula>4</formula>
    </cfRule>
    <cfRule type="cellIs" priority="1743" operator="equal" dxfId="2">
      <formula>3</formula>
    </cfRule>
    <cfRule type="cellIs" priority="1744" operator="lessThan" dxfId="1">
      <formula>3</formula>
    </cfRule>
  </conditionalFormatting>
  <conditionalFormatting sqref="I92">
    <cfRule type="cellIs" priority="1745" operator="equal" dxfId="0">
      <formula>5</formula>
    </cfRule>
    <cfRule type="cellIs" priority="1746" operator="equal" dxfId="0">
      <formula>4</formula>
    </cfRule>
    <cfRule type="cellIs" priority="1747" operator="equal" dxfId="2">
      <formula>3</formula>
    </cfRule>
    <cfRule type="cellIs" priority="1748" operator="lessThan" dxfId="1">
      <formula>3</formula>
    </cfRule>
  </conditionalFormatting>
  <conditionalFormatting sqref="J92">
    <cfRule type="cellIs" priority="1749" operator="equal" dxfId="0">
      <formula>5</formula>
    </cfRule>
    <cfRule type="cellIs" priority="1750" operator="equal" dxfId="0">
      <formula>4</formula>
    </cfRule>
    <cfRule type="cellIs" priority="1751" operator="equal" dxfId="2">
      <formula>3</formula>
    </cfRule>
    <cfRule type="cellIs" priority="1752" operator="lessThan" dxfId="1">
      <formula>3</formula>
    </cfRule>
  </conditionalFormatting>
  <conditionalFormatting sqref="K92">
    <cfRule type="cellIs" priority="1753" operator="equal" dxfId="0">
      <formula>5</formula>
    </cfRule>
    <cfRule type="cellIs" priority="1754" operator="equal" dxfId="0">
      <formula>4</formula>
    </cfRule>
    <cfRule type="cellIs" priority="1755" operator="equal" dxfId="2">
      <formula>3</formula>
    </cfRule>
    <cfRule type="cellIs" priority="1756" operator="lessThan" dxfId="1">
      <formula>3</formula>
    </cfRule>
  </conditionalFormatting>
  <conditionalFormatting sqref="L92">
    <cfRule type="cellIs" priority="1757" operator="equal" dxfId="0">
      <formula>5</formula>
    </cfRule>
    <cfRule type="cellIs" priority="1758" operator="equal" dxfId="0">
      <formula>4</formula>
    </cfRule>
    <cfRule type="cellIs" priority="1759" operator="equal" dxfId="2">
      <formula>3</formula>
    </cfRule>
    <cfRule type="cellIs" priority="1760" operator="lessThan" dxfId="1">
      <formula>3</formula>
    </cfRule>
  </conditionalFormatting>
  <conditionalFormatting sqref="H93">
    <cfRule type="cellIs" priority="1761" operator="equal" dxfId="0">
      <formula>5</formula>
    </cfRule>
    <cfRule type="cellIs" priority="1762" operator="equal" dxfId="0">
      <formula>4</formula>
    </cfRule>
    <cfRule type="cellIs" priority="1763" operator="equal" dxfId="2">
      <formula>3</formula>
    </cfRule>
    <cfRule type="cellIs" priority="1764" operator="lessThan" dxfId="1">
      <formula>3</formula>
    </cfRule>
  </conditionalFormatting>
  <conditionalFormatting sqref="I93">
    <cfRule type="cellIs" priority="1765" operator="equal" dxfId="0">
      <formula>5</formula>
    </cfRule>
    <cfRule type="cellIs" priority="1766" operator="equal" dxfId="0">
      <formula>4</formula>
    </cfRule>
    <cfRule type="cellIs" priority="1767" operator="equal" dxfId="2">
      <formula>3</formula>
    </cfRule>
    <cfRule type="cellIs" priority="1768" operator="lessThan" dxfId="1">
      <formula>3</formula>
    </cfRule>
  </conditionalFormatting>
  <conditionalFormatting sqref="J93">
    <cfRule type="cellIs" priority="1769" operator="equal" dxfId="0">
      <formula>5</formula>
    </cfRule>
    <cfRule type="cellIs" priority="1770" operator="equal" dxfId="0">
      <formula>4</formula>
    </cfRule>
    <cfRule type="cellIs" priority="1771" operator="equal" dxfId="2">
      <formula>3</formula>
    </cfRule>
    <cfRule type="cellIs" priority="1772" operator="lessThan" dxfId="1">
      <formula>3</formula>
    </cfRule>
  </conditionalFormatting>
  <conditionalFormatting sqref="K93">
    <cfRule type="cellIs" priority="1773" operator="equal" dxfId="0">
      <formula>5</formula>
    </cfRule>
    <cfRule type="cellIs" priority="1774" operator="equal" dxfId="0">
      <formula>4</formula>
    </cfRule>
    <cfRule type="cellIs" priority="1775" operator="equal" dxfId="2">
      <formula>3</formula>
    </cfRule>
    <cfRule type="cellIs" priority="1776" operator="lessThan" dxfId="1">
      <formula>3</formula>
    </cfRule>
  </conditionalFormatting>
  <conditionalFormatting sqref="L93">
    <cfRule type="cellIs" priority="1777" operator="equal" dxfId="0">
      <formula>5</formula>
    </cfRule>
    <cfRule type="cellIs" priority="1778" operator="equal" dxfId="0">
      <formula>4</formula>
    </cfRule>
    <cfRule type="cellIs" priority="1779" operator="equal" dxfId="2">
      <formula>3</formula>
    </cfRule>
    <cfRule type="cellIs" priority="1780" operator="lessThan" dxfId="1">
      <formula>3</formula>
    </cfRule>
  </conditionalFormatting>
  <conditionalFormatting sqref="H94">
    <cfRule type="cellIs" priority="1781" operator="equal" dxfId="0">
      <formula>5</formula>
    </cfRule>
    <cfRule type="cellIs" priority="1782" operator="equal" dxfId="0">
      <formula>4</formula>
    </cfRule>
    <cfRule type="cellIs" priority="1783" operator="equal" dxfId="2">
      <formula>3</formula>
    </cfRule>
    <cfRule type="cellIs" priority="1784" operator="lessThan" dxfId="1">
      <formula>3</formula>
    </cfRule>
  </conditionalFormatting>
  <conditionalFormatting sqref="I94">
    <cfRule type="cellIs" priority="1785" operator="equal" dxfId="0">
      <formula>5</formula>
    </cfRule>
    <cfRule type="cellIs" priority="1786" operator="equal" dxfId="0">
      <formula>4</formula>
    </cfRule>
    <cfRule type="cellIs" priority="1787" operator="equal" dxfId="2">
      <formula>3</formula>
    </cfRule>
    <cfRule type="cellIs" priority="1788" operator="lessThan" dxfId="1">
      <formula>3</formula>
    </cfRule>
  </conditionalFormatting>
  <conditionalFormatting sqref="J94">
    <cfRule type="cellIs" priority="1789" operator="equal" dxfId="0">
      <formula>5</formula>
    </cfRule>
    <cfRule type="cellIs" priority="1790" operator="equal" dxfId="0">
      <formula>4</formula>
    </cfRule>
    <cfRule type="cellIs" priority="1791" operator="equal" dxfId="2">
      <formula>3</formula>
    </cfRule>
    <cfRule type="cellIs" priority="1792" operator="lessThan" dxfId="1">
      <formula>3</formula>
    </cfRule>
  </conditionalFormatting>
  <conditionalFormatting sqref="K94">
    <cfRule type="cellIs" priority="1793" operator="equal" dxfId="0">
      <formula>5</formula>
    </cfRule>
    <cfRule type="cellIs" priority="1794" operator="equal" dxfId="0">
      <formula>4</formula>
    </cfRule>
    <cfRule type="cellIs" priority="1795" operator="equal" dxfId="2">
      <formula>3</formula>
    </cfRule>
    <cfRule type="cellIs" priority="1796" operator="lessThan" dxfId="1">
      <formula>3</formula>
    </cfRule>
  </conditionalFormatting>
  <conditionalFormatting sqref="L94">
    <cfRule type="cellIs" priority="1797" operator="equal" dxfId="0">
      <formula>5</formula>
    </cfRule>
    <cfRule type="cellIs" priority="1798" operator="equal" dxfId="0">
      <formula>4</formula>
    </cfRule>
    <cfRule type="cellIs" priority="1799" operator="equal" dxfId="2">
      <formula>3</formula>
    </cfRule>
    <cfRule type="cellIs" priority="1800" operator="lessThan" dxfId="1">
      <formula>3</formula>
    </cfRule>
  </conditionalFormatting>
  <conditionalFormatting sqref="H95">
    <cfRule type="cellIs" priority="1801" operator="equal" dxfId="0">
      <formula>5</formula>
    </cfRule>
    <cfRule type="cellIs" priority="1802" operator="equal" dxfId="0">
      <formula>4</formula>
    </cfRule>
    <cfRule type="cellIs" priority="1803" operator="equal" dxfId="2">
      <formula>3</formula>
    </cfRule>
    <cfRule type="cellIs" priority="1804" operator="lessThan" dxfId="1">
      <formula>3</formula>
    </cfRule>
  </conditionalFormatting>
  <conditionalFormatting sqref="I95">
    <cfRule type="cellIs" priority="1805" operator="equal" dxfId="0">
      <formula>5</formula>
    </cfRule>
    <cfRule type="cellIs" priority="1806" operator="equal" dxfId="0">
      <formula>4</formula>
    </cfRule>
    <cfRule type="cellIs" priority="1807" operator="equal" dxfId="2">
      <formula>3</formula>
    </cfRule>
    <cfRule type="cellIs" priority="1808" operator="lessThan" dxfId="1">
      <formula>3</formula>
    </cfRule>
  </conditionalFormatting>
  <conditionalFormatting sqref="J95">
    <cfRule type="cellIs" priority="1809" operator="equal" dxfId="0">
      <formula>5</formula>
    </cfRule>
    <cfRule type="cellIs" priority="1810" operator="equal" dxfId="0">
      <formula>4</formula>
    </cfRule>
    <cfRule type="cellIs" priority="1811" operator="equal" dxfId="2">
      <formula>3</formula>
    </cfRule>
    <cfRule type="cellIs" priority="1812" operator="lessThan" dxfId="1">
      <formula>3</formula>
    </cfRule>
  </conditionalFormatting>
  <conditionalFormatting sqref="K95">
    <cfRule type="cellIs" priority="1813" operator="equal" dxfId="0">
      <formula>5</formula>
    </cfRule>
    <cfRule type="cellIs" priority="1814" operator="equal" dxfId="0">
      <formula>4</formula>
    </cfRule>
    <cfRule type="cellIs" priority="1815" operator="equal" dxfId="2">
      <formula>3</formula>
    </cfRule>
    <cfRule type="cellIs" priority="1816" operator="lessThan" dxfId="1">
      <formula>3</formula>
    </cfRule>
  </conditionalFormatting>
  <conditionalFormatting sqref="L95">
    <cfRule type="cellIs" priority="1817" operator="equal" dxfId="0">
      <formula>5</formula>
    </cfRule>
    <cfRule type="cellIs" priority="1818" operator="equal" dxfId="0">
      <formula>4</formula>
    </cfRule>
    <cfRule type="cellIs" priority="1819" operator="equal" dxfId="2">
      <formula>3</formula>
    </cfRule>
    <cfRule type="cellIs" priority="1820" operator="lessThan" dxfId="1">
      <formula>3</formula>
    </cfRule>
  </conditionalFormatting>
  <conditionalFormatting sqref="H96">
    <cfRule type="cellIs" priority="1821" operator="equal" dxfId="0">
      <formula>5</formula>
    </cfRule>
    <cfRule type="cellIs" priority="1822" operator="equal" dxfId="0">
      <formula>4</formula>
    </cfRule>
    <cfRule type="cellIs" priority="1823" operator="equal" dxfId="2">
      <formula>3</formula>
    </cfRule>
    <cfRule type="cellIs" priority="1824" operator="lessThan" dxfId="1">
      <formula>3</formula>
    </cfRule>
  </conditionalFormatting>
  <conditionalFormatting sqref="I96">
    <cfRule type="cellIs" priority="1825" operator="equal" dxfId="0">
      <formula>5</formula>
    </cfRule>
    <cfRule type="cellIs" priority="1826" operator="equal" dxfId="0">
      <formula>4</formula>
    </cfRule>
    <cfRule type="cellIs" priority="1827" operator="equal" dxfId="2">
      <formula>3</formula>
    </cfRule>
    <cfRule type="cellIs" priority="1828" operator="lessThan" dxfId="1">
      <formula>3</formula>
    </cfRule>
  </conditionalFormatting>
  <conditionalFormatting sqref="J96">
    <cfRule type="cellIs" priority="1829" operator="equal" dxfId="0">
      <formula>5</formula>
    </cfRule>
    <cfRule type="cellIs" priority="1830" operator="equal" dxfId="0">
      <formula>4</formula>
    </cfRule>
    <cfRule type="cellIs" priority="1831" operator="equal" dxfId="2">
      <formula>3</formula>
    </cfRule>
    <cfRule type="cellIs" priority="1832" operator="lessThan" dxfId="1">
      <formula>3</formula>
    </cfRule>
  </conditionalFormatting>
  <conditionalFormatting sqref="K96">
    <cfRule type="cellIs" priority="1833" operator="equal" dxfId="0">
      <formula>5</formula>
    </cfRule>
    <cfRule type="cellIs" priority="1834" operator="equal" dxfId="0">
      <formula>4</formula>
    </cfRule>
    <cfRule type="cellIs" priority="1835" operator="equal" dxfId="2">
      <formula>3</formula>
    </cfRule>
    <cfRule type="cellIs" priority="1836" operator="lessThan" dxfId="1">
      <formula>3</formula>
    </cfRule>
  </conditionalFormatting>
  <conditionalFormatting sqref="L96">
    <cfRule type="cellIs" priority="1837" operator="equal" dxfId="0">
      <formula>5</formula>
    </cfRule>
    <cfRule type="cellIs" priority="1838" operator="equal" dxfId="0">
      <formula>4</formula>
    </cfRule>
    <cfRule type="cellIs" priority="1839" operator="equal" dxfId="2">
      <formula>3</formula>
    </cfRule>
    <cfRule type="cellIs" priority="1840" operator="lessThan" dxfId="1">
      <formula>3</formula>
    </cfRule>
  </conditionalFormatting>
  <conditionalFormatting sqref="H97">
    <cfRule type="cellIs" priority="1841" operator="equal" dxfId="0">
      <formula>5</formula>
    </cfRule>
    <cfRule type="cellIs" priority="1842" operator="equal" dxfId="0">
      <formula>4</formula>
    </cfRule>
    <cfRule type="cellIs" priority="1843" operator="equal" dxfId="2">
      <formula>3</formula>
    </cfRule>
    <cfRule type="cellIs" priority="1844" operator="lessThan" dxfId="1">
      <formula>3</formula>
    </cfRule>
  </conditionalFormatting>
  <conditionalFormatting sqref="I97">
    <cfRule type="cellIs" priority="1845" operator="equal" dxfId="0">
      <formula>5</formula>
    </cfRule>
    <cfRule type="cellIs" priority="1846" operator="equal" dxfId="0">
      <formula>4</formula>
    </cfRule>
    <cfRule type="cellIs" priority="1847" operator="equal" dxfId="2">
      <formula>3</formula>
    </cfRule>
    <cfRule type="cellIs" priority="1848" operator="lessThan" dxfId="1">
      <formula>3</formula>
    </cfRule>
  </conditionalFormatting>
  <conditionalFormatting sqref="J97">
    <cfRule type="cellIs" priority="1849" operator="equal" dxfId="0">
      <formula>5</formula>
    </cfRule>
    <cfRule type="cellIs" priority="1850" operator="equal" dxfId="0">
      <formula>4</formula>
    </cfRule>
    <cfRule type="cellIs" priority="1851" operator="equal" dxfId="2">
      <formula>3</formula>
    </cfRule>
    <cfRule type="cellIs" priority="1852" operator="lessThan" dxfId="1">
      <formula>3</formula>
    </cfRule>
  </conditionalFormatting>
  <conditionalFormatting sqref="K97">
    <cfRule type="cellIs" priority="1853" operator="equal" dxfId="0">
      <formula>5</formula>
    </cfRule>
    <cfRule type="cellIs" priority="1854" operator="equal" dxfId="0">
      <formula>4</formula>
    </cfRule>
    <cfRule type="cellIs" priority="1855" operator="equal" dxfId="2">
      <formula>3</formula>
    </cfRule>
    <cfRule type="cellIs" priority="1856" operator="lessThan" dxfId="1">
      <formula>3</formula>
    </cfRule>
  </conditionalFormatting>
  <conditionalFormatting sqref="L97">
    <cfRule type="cellIs" priority="1857" operator="equal" dxfId="0">
      <formula>5</formula>
    </cfRule>
    <cfRule type="cellIs" priority="1858" operator="equal" dxfId="0">
      <formula>4</formula>
    </cfRule>
    <cfRule type="cellIs" priority="1859" operator="equal" dxfId="2">
      <formula>3</formula>
    </cfRule>
    <cfRule type="cellIs" priority="1860" operator="lessThan" dxfId="1">
      <formula>3</formula>
    </cfRule>
  </conditionalFormatting>
  <conditionalFormatting sqref="H98">
    <cfRule type="cellIs" priority="1861" operator="equal" dxfId="0">
      <formula>5</formula>
    </cfRule>
    <cfRule type="cellIs" priority="1862" operator="equal" dxfId="0">
      <formula>4</formula>
    </cfRule>
    <cfRule type="cellIs" priority="1863" operator="equal" dxfId="2">
      <formula>3</formula>
    </cfRule>
    <cfRule type="cellIs" priority="1864" operator="lessThan" dxfId="1">
      <formula>3</formula>
    </cfRule>
  </conditionalFormatting>
  <conditionalFormatting sqref="I98">
    <cfRule type="cellIs" priority="1865" operator="equal" dxfId="0">
      <formula>5</formula>
    </cfRule>
    <cfRule type="cellIs" priority="1866" operator="equal" dxfId="0">
      <formula>4</formula>
    </cfRule>
    <cfRule type="cellIs" priority="1867" operator="equal" dxfId="2">
      <formula>3</formula>
    </cfRule>
    <cfRule type="cellIs" priority="1868" operator="lessThan" dxfId="1">
      <formula>3</formula>
    </cfRule>
  </conditionalFormatting>
  <conditionalFormatting sqref="J98">
    <cfRule type="cellIs" priority="1869" operator="equal" dxfId="0">
      <formula>5</formula>
    </cfRule>
    <cfRule type="cellIs" priority="1870" operator="equal" dxfId="0">
      <formula>4</formula>
    </cfRule>
    <cfRule type="cellIs" priority="1871" operator="equal" dxfId="2">
      <formula>3</formula>
    </cfRule>
    <cfRule type="cellIs" priority="1872" operator="lessThan" dxfId="1">
      <formula>3</formula>
    </cfRule>
  </conditionalFormatting>
  <conditionalFormatting sqref="K98">
    <cfRule type="cellIs" priority="1873" operator="equal" dxfId="0">
      <formula>5</formula>
    </cfRule>
    <cfRule type="cellIs" priority="1874" operator="equal" dxfId="0">
      <formula>4</formula>
    </cfRule>
    <cfRule type="cellIs" priority="1875" operator="equal" dxfId="2">
      <formula>3</formula>
    </cfRule>
    <cfRule type="cellIs" priority="1876" operator="lessThan" dxfId="1">
      <formula>3</formula>
    </cfRule>
  </conditionalFormatting>
  <conditionalFormatting sqref="L98">
    <cfRule type="cellIs" priority="1877" operator="equal" dxfId="0">
      <formula>5</formula>
    </cfRule>
    <cfRule type="cellIs" priority="1878" operator="equal" dxfId="0">
      <formula>4</formula>
    </cfRule>
    <cfRule type="cellIs" priority="1879" operator="equal" dxfId="2">
      <formula>3</formula>
    </cfRule>
    <cfRule type="cellIs" priority="1880" operator="lessThan" dxfId="1">
      <formula>3</formula>
    </cfRule>
  </conditionalFormatting>
  <conditionalFormatting sqref="H99">
    <cfRule type="cellIs" priority="1881" operator="equal" dxfId="0">
      <formula>5</formula>
    </cfRule>
    <cfRule type="cellIs" priority="1882" operator="equal" dxfId="0">
      <formula>4</formula>
    </cfRule>
    <cfRule type="cellIs" priority="1883" operator="equal" dxfId="2">
      <formula>3</formula>
    </cfRule>
    <cfRule type="cellIs" priority="1884" operator="lessThan" dxfId="1">
      <formula>3</formula>
    </cfRule>
  </conditionalFormatting>
  <conditionalFormatting sqref="I99">
    <cfRule type="cellIs" priority="1885" operator="equal" dxfId="0">
      <formula>5</formula>
    </cfRule>
    <cfRule type="cellIs" priority="1886" operator="equal" dxfId="0">
      <formula>4</formula>
    </cfRule>
    <cfRule type="cellIs" priority="1887" operator="equal" dxfId="2">
      <formula>3</formula>
    </cfRule>
    <cfRule type="cellIs" priority="1888" operator="lessThan" dxfId="1">
      <formula>3</formula>
    </cfRule>
  </conditionalFormatting>
  <conditionalFormatting sqref="J99">
    <cfRule type="cellIs" priority="1889" operator="equal" dxfId="0">
      <formula>5</formula>
    </cfRule>
    <cfRule type="cellIs" priority="1890" operator="equal" dxfId="0">
      <formula>4</formula>
    </cfRule>
    <cfRule type="cellIs" priority="1891" operator="equal" dxfId="2">
      <formula>3</formula>
    </cfRule>
    <cfRule type="cellIs" priority="1892" operator="lessThan" dxfId="1">
      <formula>3</formula>
    </cfRule>
  </conditionalFormatting>
  <conditionalFormatting sqref="K99">
    <cfRule type="cellIs" priority="1893" operator="equal" dxfId="0">
      <formula>5</formula>
    </cfRule>
    <cfRule type="cellIs" priority="1894" operator="equal" dxfId="0">
      <formula>4</formula>
    </cfRule>
    <cfRule type="cellIs" priority="1895" operator="equal" dxfId="2">
      <formula>3</formula>
    </cfRule>
    <cfRule type="cellIs" priority="1896" operator="lessThan" dxfId="1">
      <formula>3</formula>
    </cfRule>
  </conditionalFormatting>
  <conditionalFormatting sqref="L99">
    <cfRule type="cellIs" priority="1897" operator="equal" dxfId="0">
      <formula>5</formula>
    </cfRule>
    <cfRule type="cellIs" priority="1898" operator="equal" dxfId="0">
      <formula>4</formula>
    </cfRule>
    <cfRule type="cellIs" priority="1899" operator="equal" dxfId="2">
      <formula>3</formula>
    </cfRule>
    <cfRule type="cellIs" priority="1900" operator="lessThan" dxfId="1">
      <formula>3</formula>
    </cfRule>
  </conditionalFormatting>
  <conditionalFormatting sqref="H100">
    <cfRule type="cellIs" priority="1901" operator="equal" dxfId="0">
      <formula>5</formula>
    </cfRule>
    <cfRule type="cellIs" priority="1902" operator="equal" dxfId="0">
      <formula>4</formula>
    </cfRule>
    <cfRule type="cellIs" priority="1903" operator="equal" dxfId="2">
      <formula>3</formula>
    </cfRule>
    <cfRule type="cellIs" priority="1904" operator="lessThan" dxfId="1">
      <formula>3</formula>
    </cfRule>
  </conditionalFormatting>
  <conditionalFormatting sqref="I100">
    <cfRule type="cellIs" priority="1905" operator="equal" dxfId="0">
      <formula>5</formula>
    </cfRule>
    <cfRule type="cellIs" priority="1906" operator="equal" dxfId="0">
      <formula>4</formula>
    </cfRule>
    <cfRule type="cellIs" priority="1907" operator="equal" dxfId="2">
      <formula>3</formula>
    </cfRule>
    <cfRule type="cellIs" priority="1908" operator="lessThan" dxfId="1">
      <formula>3</formula>
    </cfRule>
  </conditionalFormatting>
  <conditionalFormatting sqref="J100">
    <cfRule type="cellIs" priority="1909" operator="equal" dxfId="0">
      <formula>5</formula>
    </cfRule>
    <cfRule type="cellIs" priority="1910" operator="equal" dxfId="0">
      <formula>4</formula>
    </cfRule>
    <cfRule type="cellIs" priority="1911" operator="equal" dxfId="2">
      <formula>3</formula>
    </cfRule>
    <cfRule type="cellIs" priority="1912" operator="lessThan" dxfId="1">
      <formula>3</formula>
    </cfRule>
  </conditionalFormatting>
  <conditionalFormatting sqref="K100">
    <cfRule type="cellIs" priority="1913" operator="equal" dxfId="0">
      <formula>5</formula>
    </cfRule>
    <cfRule type="cellIs" priority="1914" operator="equal" dxfId="0">
      <formula>4</formula>
    </cfRule>
    <cfRule type="cellIs" priority="1915" operator="equal" dxfId="2">
      <formula>3</formula>
    </cfRule>
    <cfRule type="cellIs" priority="1916" operator="lessThan" dxfId="1">
      <formula>3</formula>
    </cfRule>
  </conditionalFormatting>
  <conditionalFormatting sqref="L100">
    <cfRule type="cellIs" priority="1917" operator="equal" dxfId="0">
      <formula>5</formula>
    </cfRule>
    <cfRule type="cellIs" priority="1918" operator="equal" dxfId="0">
      <formula>4</formula>
    </cfRule>
    <cfRule type="cellIs" priority="1919" operator="equal" dxfId="2">
      <formula>3</formula>
    </cfRule>
    <cfRule type="cellIs" priority="1920" operator="lessThan" dxfId="1">
      <formula>3</formula>
    </cfRule>
  </conditionalFormatting>
  <conditionalFormatting sqref="H101">
    <cfRule type="cellIs" priority="1921" operator="equal" dxfId="0">
      <formula>5</formula>
    </cfRule>
    <cfRule type="cellIs" priority="1922" operator="equal" dxfId="0">
      <formula>4</formula>
    </cfRule>
    <cfRule type="cellIs" priority="1923" operator="equal" dxfId="2">
      <formula>3</formula>
    </cfRule>
    <cfRule type="cellIs" priority="1924" operator="lessThan" dxfId="1">
      <formula>3</formula>
    </cfRule>
  </conditionalFormatting>
  <conditionalFormatting sqref="I101">
    <cfRule type="cellIs" priority="1925" operator="equal" dxfId="0">
      <formula>5</formula>
    </cfRule>
    <cfRule type="cellIs" priority="1926" operator="equal" dxfId="0">
      <formula>4</formula>
    </cfRule>
    <cfRule type="cellIs" priority="1927" operator="equal" dxfId="2">
      <formula>3</formula>
    </cfRule>
    <cfRule type="cellIs" priority="1928" operator="lessThan" dxfId="1">
      <formula>3</formula>
    </cfRule>
  </conditionalFormatting>
  <conditionalFormatting sqref="J101">
    <cfRule type="cellIs" priority="1929" operator="equal" dxfId="0">
      <formula>5</formula>
    </cfRule>
    <cfRule type="cellIs" priority="1930" operator="equal" dxfId="0">
      <formula>4</formula>
    </cfRule>
    <cfRule type="cellIs" priority="1931" operator="equal" dxfId="2">
      <formula>3</formula>
    </cfRule>
    <cfRule type="cellIs" priority="1932" operator="lessThan" dxfId="1">
      <formula>3</formula>
    </cfRule>
  </conditionalFormatting>
  <conditionalFormatting sqref="K101">
    <cfRule type="cellIs" priority="1933" operator="equal" dxfId="0">
      <formula>5</formula>
    </cfRule>
    <cfRule type="cellIs" priority="1934" operator="equal" dxfId="0">
      <formula>4</formula>
    </cfRule>
    <cfRule type="cellIs" priority="1935" operator="equal" dxfId="2">
      <formula>3</formula>
    </cfRule>
    <cfRule type="cellIs" priority="1936" operator="lessThan" dxfId="1">
      <formula>3</formula>
    </cfRule>
  </conditionalFormatting>
  <conditionalFormatting sqref="L101">
    <cfRule type="cellIs" priority="1937" operator="equal" dxfId="0">
      <formula>5</formula>
    </cfRule>
    <cfRule type="cellIs" priority="1938" operator="equal" dxfId="0">
      <formula>4</formula>
    </cfRule>
    <cfRule type="cellIs" priority="1939" operator="equal" dxfId="2">
      <formula>3</formula>
    </cfRule>
    <cfRule type="cellIs" priority="1940" operator="lessThan" dxfId="1">
      <formula>3</formula>
    </cfRule>
  </conditionalFormatting>
  <conditionalFormatting sqref="H102">
    <cfRule type="cellIs" priority="1941" operator="equal" dxfId="0">
      <formula>5</formula>
    </cfRule>
    <cfRule type="cellIs" priority="1942" operator="equal" dxfId="0">
      <formula>4</formula>
    </cfRule>
    <cfRule type="cellIs" priority="1943" operator="equal" dxfId="2">
      <formula>3</formula>
    </cfRule>
    <cfRule type="cellIs" priority="1944" operator="lessThan" dxfId="1">
      <formula>3</formula>
    </cfRule>
  </conditionalFormatting>
  <conditionalFormatting sqref="I102">
    <cfRule type="cellIs" priority="1945" operator="equal" dxfId="0">
      <formula>5</formula>
    </cfRule>
    <cfRule type="cellIs" priority="1946" operator="equal" dxfId="0">
      <formula>4</formula>
    </cfRule>
    <cfRule type="cellIs" priority="1947" operator="equal" dxfId="2">
      <formula>3</formula>
    </cfRule>
    <cfRule type="cellIs" priority="1948" operator="lessThan" dxfId="1">
      <formula>3</formula>
    </cfRule>
  </conditionalFormatting>
  <conditionalFormatting sqref="J102">
    <cfRule type="cellIs" priority="1949" operator="equal" dxfId="0">
      <formula>5</formula>
    </cfRule>
    <cfRule type="cellIs" priority="1950" operator="equal" dxfId="0">
      <formula>4</formula>
    </cfRule>
    <cfRule type="cellIs" priority="1951" operator="equal" dxfId="2">
      <formula>3</formula>
    </cfRule>
    <cfRule type="cellIs" priority="1952" operator="lessThan" dxfId="1">
      <formula>3</formula>
    </cfRule>
  </conditionalFormatting>
  <conditionalFormatting sqref="K102">
    <cfRule type="cellIs" priority="1953" operator="equal" dxfId="0">
      <formula>5</formula>
    </cfRule>
    <cfRule type="cellIs" priority="1954" operator="equal" dxfId="0">
      <formula>4</formula>
    </cfRule>
    <cfRule type="cellIs" priority="1955" operator="equal" dxfId="2">
      <formula>3</formula>
    </cfRule>
    <cfRule type="cellIs" priority="1956" operator="lessThan" dxfId="1">
      <formula>3</formula>
    </cfRule>
  </conditionalFormatting>
  <conditionalFormatting sqref="L102">
    <cfRule type="cellIs" priority="1957" operator="equal" dxfId="0">
      <formula>5</formula>
    </cfRule>
    <cfRule type="cellIs" priority="1958" operator="equal" dxfId="0">
      <formula>4</formula>
    </cfRule>
    <cfRule type="cellIs" priority="1959" operator="equal" dxfId="2">
      <formula>3</formula>
    </cfRule>
    <cfRule type="cellIs" priority="1960" operator="lessThan" dxfId="1">
      <formula>3</formula>
    </cfRule>
  </conditionalFormatting>
  <conditionalFormatting sqref="H103">
    <cfRule type="cellIs" priority="1961" operator="equal" dxfId="0">
      <formula>5</formula>
    </cfRule>
    <cfRule type="cellIs" priority="1962" operator="equal" dxfId="0">
      <formula>4</formula>
    </cfRule>
    <cfRule type="cellIs" priority="1963" operator="equal" dxfId="2">
      <formula>3</formula>
    </cfRule>
    <cfRule type="cellIs" priority="1964" operator="lessThan" dxfId="1">
      <formula>3</formula>
    </cfRule>
  </conditionalFormatting>
  <conditionalFormatting sqref="I103">
    <cfRule type="cellIs" priority="1965" operator="equal" dxfId="0">
      <formula>5</formula>
    </cfRule>
    <cfRule type="cellIs" priority="1966" operator="equal" dxfId="0">
      <formula>4</formula>
    </cfRule>
    <cfRule type="cellIs" priority="1967" operator="equal" dxfId="2">
      <formula>3</formula>
    </cfRule>
    <cfRule type="cellIs" priority="1968" operator="lessThan" dxfId="1">
      <formula>3</formula>
    </cfRule>
  </conditionalFormatting>
  <conditionalFormatting sqref="J103">
    <cfRule type="cellIs" priority="1969" operator="equal" dxfId="0">
      <formula>5</formula>
    </cfRule>
    <cfRule type="cellIs" priority="1970" operator="equal" dxfId="0">
      <formula>4</formula>
    </cfRule>
    <cfRule type="cellIs" priority="1971" operator="equal" dxfId="2">
      <formula>3</formula>
    </cfRule>
    <cfRule type="cellIs" priority="1972" operator="lessThan" dxfId="1">
      <formula>3</formula>
    </cfRule>
  </conditionalFormatting>
  <conditionalFormatting sqref="K103">
    <cfRule type="cellIs" priority="1973" operator="equal" dxfId="0">
      <formula>5</formula>
    </cfRule>
    <cfRule type="cellIs" priority="1974" operator="equal" dxfId="0">
      <formula>4</formula>
    </cfRule>
    <cfRule type="cellIs" priority="1975" operator="equal" dxfId="2">
      <formula>3</formula>
    </cfRule>
    <cfRule type="cellIs" priority="1976" operator="lessThan" dxfId="1">
      <formula>3</formula>
    </cfRule>
  </conditionalFormatting>
  <conditionalFormatting sqref="L103">
    <cfRule type="cellIs" priority="1977" operator="equal" dxfId="0">
      <formula>5</formula>
    </cfRule>
    <cfRule type="cellIs" priority="1978" operator="equal" dxfId="0">
      <formula>4</formula>
    </cfRule>
    <cfRule type="cellIs" priority="1979" operator="equal" dxfId="2">
      <formula>3</formula>
    </cfRule>
    <cfRule type="cellIs" priority="1980" operator="lessThan" dxfId="1">
      <formula>3</formula>
    </cfRule>
  </conditionalFormatting>
  <conditionalFormatting sqref="H104">
    <cfRule type="cellIs" priority="1981" operator="equal" dxfId="0">
      <formula>5</formula>
    </cfRule>
    <cfRule type="cellIs" priority="1982" operator="equal" dxfId="0">
      <formula>4</formula>
    </cfRule>
    <cfRule type="cellIs" priority="1983" operator="equal" dxfId="2">
      <formula>3</formula>
    </cfRule>
    <cfRule type="cellIs" priority="1984" operator="lessThan" dxfId="1">
      <formula>3</formula>
    </cfRule>
  </conditionalFormatting>
  <conditionalFormatting sqref="I104">
    <cfRule type="cellIs" priority="1985" operator="equal" dxfId="0">
      <formula>5</formula>
    </cfRule>
    <cfRule type="cellIs" priority="1986" operator="equal" dxfId="0">
      <formula>4</formula>
    </cfRule>
    <cfRule type="cellIs" priority="1987" operator="equal" dxfId="2">
      <formula>3</formula>
    </cfRule>
    <cfRule type="cellIs" priority="1988" operator="lessThan" dxfId="1">
      <formula>3</formula>
    </cfRule>
  </conditionalFormatting>
  <conditionalFormatting sqref="J104">
    <cfRule type="cellIs" priority="1989" operator="equal" dxfId="0">
      <formula>5</formula>
    </cfRule>
    <cfRule type="cellIs" priority="1990" operator="equal" dxfId="0">
      <formula>4</formula>
    </cfRule>
    <cfRule type="cellIs" priority="1991" operator="equal" dxfId="2">
      <formula>3</formula>
    </cfRule>
    <cfRule type="cellIs" priority="1992" operator="lessThan" dxfId="1">
      <formula>3</formula>
    </cfRule>
  </conditionalFormatting>
  <conditionalFormatting sqref="K104">
    <cfRule type="cellIs" priority="1993" operator="equal" dxfId="0">
      <formula>5</formula>
    </cfRule>
    <cfRule type="cellIs" priority="1994" operator="equal" dxfId="0">
      <formula>4</formula>
    </cfRule>
    <cfRule type="cellIs" priority="1995" operator="equal" dxfId="2">
      <formula>3</formula>
    </cfRule>
    <cfRule type="cellIs" priority="1996" operator="lessThan" dxfId="1">
      <formula>3</formula>
    </cfRule>
  </conditionalFormatting>
  <conditionalFormatting sqref="L104">
    <cfRule type="cellIs" priority="1997" operator="equal" dxfId="0">
      <formula>5</formula>
    </cfRule>
    <cfRule type="cellIs" priority="1998" operator="equal" dxfId="0">
      <formula>4</formula>
    </cfRule>
    <cfRule type="cellIs" priority="1999" operator="equal" dxfId="2">
      <formula>3</formula>
    </cfRule>
    <cfRule type="cellIs" priority="2000" operator="lessThan" dxfId="1">
      <formula>3</formula>
    </cfRule>
  </conditionalFormatting>
  <dataValidations count="900">
    <dataValidation sqref="G5" showDropDown="0" showInputMessage="0" showErrorMessage="0" allowBlank="0" type="list">
      <formula1>"Survey,Email_Reply,Meeting,Ticket,Call"</formula1>
    </dataValidation>
    <dataValidation sqref="M5" showDropDown="0" showInputMessage="0" showErrorMessage="0" allowBlank="0" type="list">
      <formula1>"Yes,Partial,No,Will_Use_Later"</formula1>
    </dataValidation>
    <dataValidation sqref="P5" showDropDown="0" showInputMessage="0" showErrorMessage="0" allowBlank="1" type="list">
      <formula1>"Yes,Maybe,No"</formula1>
    </dataValidation>
    <dataValidation sqref="S5" showDropDown="0" showInputMessage="0" showErrorMessage="0" allowBlank="0" type="list">
      <formula1>"Yes,No"</formula1>
    </dataValidation>
    <dataValidation sqref="H5" showDropDown="0" showInputMessage="0" showErrorMessage="0" allowBlank="1" type="whole" operator="between">
      <formula1>1</formula1>
      <formula2>5</formula2>
    </dataValidation>
    <dataValidation sqref="I5" showDropDown="0" showInputMessage="0" showErrorMessage="0" allowBlank="1" type="whole" operator="between">
      <formula1>1</formula1>
      <formula2>5</formula2>
    </dataValidation>
    <dataValidation sqref="J5" showDropDown="0" showInputMessage="0" showErrorMessage="0" allowBlank="1" type="whole" operator="between">
      <formula1>1</formula1>
      <formula2>5</formula2>
    </dataValidation>
    <dataValidation sqref="K5" showDropDown="0" showInputMessage="0" showErrorMessage="0" allowBlank="1" type="whole" operator="between">
      <formula1>1</formula1>
      <formula2>5</formula2>
    </dataValidation>
    <dataValidation sqref="L5" showDropDown="0" showInputMessage="0" showErrorMessage="0" allowBlank="1" type="whole" operator="between">
      <formula1>1</formula1>
      <formula2>5</formula2>
    </dataValidation>
    <dataValidation sqref="G6" showDropDown="0" showInputMessage="0" showErrorMessage="0" allowBlank="0" type="list">
      <formula1>"Survey,Email_Reply,Meeting,Ticket,Call"</formula1>
    </dataValidation>
    <dataValidation sqref="M6" showDropDown="0" showInputMessage="0" showErrorMessage="0" allowBlank="0" type="list">
      <formula1>"Yes,Partial,No,Will_Use_Later"</formula1>
    </dataValidation>
    <dataValidation sqref="P6" showDropDown="0" showInputMessage="0" showErrorMessage="0" allowBlank="1" type="list">
      <formula1>"Yes,Maybe,No"</formula1>
    </dataValidation>
    <dataValidation sqref="S6" showDropDown="0" showInputMessage="0" showErrorMessage="0" allowBlank="0" type="list">
      <formula1>"Yes,No"</formula1>
    </dataValidation>
    <dataValidation sqref="H6" showDropDown="0" showInputMessage="0" showErrorMessage="0" allowBlank="1" type="whole" operator="between">
      <formula1>1</formula1>
      <formula2>5</formula2>
    </dataValidation>
    <dataValidation sqref="I6" showDropDown="0" showInputMessage="0" showErrorMessage="0" allowBlank="1" type="whole" operator="between">
      <formula1>1</formula1>
      <formula2>5</formula2>
    </dataValidation>
    <dataValidation sqref="J6" showDropDown="0" showInputMessage="0" showErrorMessage="0" allowBlank="1" type="whole" operator="between">
      <formula1>1</formula1>
      <formula2>5</formula2>
    </dataValidation>
    <dataValidation sqref="K6" showDropDown="0" showInputMessage="0" showErrorMessage="0" allowBlank="1" type="whole" operator="between">
      <formula1>1</formula1>
      <formula2>5</formula2>
    </dataValidation>
    <dataValidation sqref="L6" showDropDown="0" showInputMessage="0" showErrorMessage="0" allowBlank="1" type="whole" operator="between">
      <formula1>1</formula1>
      <formula2>5</formula2>
    </dataValidation>
    <dataValidation sqref="G7" showDropDown="0" showInputMessage="0" showErrorMessage="0" allowBlank="0" type="list">
      <formula1>"Survey,Email_Reply,Meeting,Ticket,Call"</formula1>
    </dataValidation>
    <dataValidation sqref="M7" showDropDown="0" showInputMessage="0" showErrorMessage="0" allowBlank="0" type="list">
      <formula1>"Yes,Partial,No,Will_Use_Later"</formula1>
    </dataValidation>
    <dataValidation sqref="P7" showDropDown="0" showInputMessage="0" showErrorMessage="0" allowBlank="1" type="list">
      <formula1>"Yes,Maybe,No"</formula1>
    </dataValidation>
    <dataValidation sqref="S7" showDropDown="0" showInputMessage="0" showErrorMessage="0" allowBlank="0" type="list">
      <formula1>"Yes,No"</formula1>
    </dataValidation>
    <dataValidation sqref="H7" showDropDown="0" showInputMessage="0" showErrorMessage="0" allowBlank="1" type="whole" operator="between">
      <formula1>1</formula1>
      <formula2>5</formula2>
    </dataValidation>
    <dataValidation sqref="I7" showDropDown="0" showInputMessage="0" showErrorMessage="0" allowBlank="1" type="whole" operator="between">
      <formula1>1</formula1>
      <formula2>5</formula2>
    </dataValidation>
    <dataValidation sqref="J7" showDropDown="0" showInputMessage="0" showErrorMessage="0" allowBlank="1" type="whole" operator="between">
      <formula1>1</formula1>
      <formula2>5</formula2>
    </dataValidation>
    <dataValidation sqref="K7" showDropDown="0" showInputMessage="0" showErrorMessage="0" allowBlank="1" type="whole" operator="between">
      <formula1>1</formula1>
      <formula2>5</formula2>
    </dataValidation>
    <dataValidation sqref="L7" showDropDown="0" showInputMessage="0" showErrorMessage="0" allowBlank="1" type="whole" operator="between">
      <formula1>1</formula1>
      <formula2>5</formula2>
    </dataValidation>
    <dataValidation sqref="G8" showDropDown="0" showInputMessage="0" showErrorMessage="0" allowBlank="0" type="list">
      <formula1>"Survey,Email_Reply,Meeting,Ticket,Call"</formula1>
    </dataValidation>
    <dataValidation sqref="M8" showDropDown="0" showInputMessage="0" showErrorMessage="0" allowBlank="0" type="list">
      <formula1>"Yes,Partial,No,Will_Use_Later"</formula1>
    </dataValidation>
    <dataValidation sqref="P8" showDropDown="0" showInputMessage="0" showErrorMessage="0" allowBlank="1" type="list">
      <formula1>"Yes,Maybe,No"</formula1>
    </dataValidation>
    <dataValidation sqref="S8" showDropDown="0" showInputMessage="0" showErrorMessage="0" allowBlank="0" type="list">
      <formula1>"Yes,No"</formula1>
    </dataValidation>
    <dataValidation sqref="H8" showDropDown="0" showInputMessage="0" showErrorMessage="0" allowBlank="1" type="whole" operator="between">
      <formula1>1</formula1>
      <formula2>5</formula2>
    </dataValidation>
    <dataValidation sqref="I8" showDropDown="0" showInputMessage="0" showErrorMessage="0" allowBlank="1" type="whole" operator="between">
      <formula1>1</formula1>
      <formula2>5</formula2>
    </dataValidation>
    <dataValidation sqref="J8" showDropDown="0" showInputMessage="0" showErrorMessage="0" allowBlank="1" type="whole" operator="between">
      <formula1>1</formula1>
      <formula2>5</formula2>
    </dataValidation>
    <dataValidation sqref="K8" showDropDown="0" showInputMessage="0" showErrorMessage="0" allowBlank="1" type="whole" operator="between">
      <formula1>1</formula1>
      <formula2>5</formula2>
    </dataValidation>
    <dataValidation sqref="L8" showDropDown="0" showInputMessage="0" showErrorMessage="0" allowBlank="1" type="whole" operator="between">
      <formula1>1</formula1>
      <formula2>5</formula2>
    </dataValidation>
    <dataValidation sqref="G9" showDropDown="0" showInputMessage="0" showErrorMessage="0" allowBlank="0" type="list">
      <formula1>"Survey,Email_Reply,Meeting,Ticket,Call"</formula1>
    </dataValidation>
    <dataValidation sqref="M9" showDropDown="0" showInputMessage="0" showErrorMessage="0" allowBlank="0" type="list">
      <formula1>"Yes,Partial,No,Will_Use_Later"</formula1>
    </dataValidation>
    <dataValidation sqref="P9" showDropDown="0" showInputMessage="0" showErrorMessage="0" allowBlank="1" type="list">
      <formula1>"Yes,Maybe,No"</formula1>
    </dataValidation>
    <dataValidation sqref="S9" showDropDown="0" showInputMessage="0" showErrorMessage="0" allowBlank="0" type="list">
      <formula1>"Yes,No"</formula1>
    </dataValidation>
    <dataValidation sqref="H9" showDropDown="0" showInputMessage="0" showErrorMessage="0" allowBlank="1" type="whole" operator="between">
      <formula1>1</formula1>
      <formula2>5</formula2>
    </dataValidation>
    <dataValidation sqref="I9" showDropDown="0" showInputMessage="0" showErrorMessage="0" allowBlank="1" type="whole" operator="between">
      <formula1>1</formula1>
      <formula2>5</formula2>
    </dataValidation>
    <dataValidation sqref="J9" showDropDown="0" showInputMessage="0" showErrorMessage="0" allowBlank="1" type="whole" operator="between">
      <formula1>1</formula1>
      <formula2>5</formula2>
    </dataValidation>
    <dataValidation sqref="K9" showDropDown="0" showInputMessage="0" showErrorMessage="0" allowBlank="1" type="whole" operator="between">
      <formula1>1</formula1>
      <formula2>5</formula2>
    </dataValidation>
    <dataValidation sqref="L9" showDropDown="0" showInputMessage="0" showErrorMessage="0" allowBlank="1" type="whole" operator="between">
      <formula1>1</formula1>
      <formula2>5</formula2>
    </dataValidation>
    <dataValidation sqref="G10" showDropDown="0" showInputMessage="0" showErrorMessage="0" allowBlank="0" type="list">
      <formula1>"Survey,Email_Reply,Meeting,Ticket,Call"</formula1>
    </dataValidation>
    <dataValidation sqref="M10" showDropDown="0" showInputMessage="0" showErrorMessage="0" allowBlank="0" type="list">
      <formula1>"Yes,Partial,No,Will_Use_Later"</formula1>
    </dataValidation>
    <dataValidation sqref="P10" showDropDown="0" showInputMessage="0" showErrorMessage="0" allowBlank="1" type="list">
      <formula1>"Yes,Maybe,No"</formula1>
    </dataValidation>
    <dataValidation sqref="S10" showDropDown="0" showInputMessage="0" showErrorMessage="0" allowBlank="0" type="list">
      <formula1>"Yes,No"</formula1>
    </dataValidation>
    <dataValidation sqref="H10" showDropDown="0" showInputMessage="0" showErrorMessage="0" allowBlank="1" type="whole" operator="between">
      <formula1>1</formula1>
      <formula2>5</formula2>
    </dataValidation>
    <dataValidation sqref="I10" showDropDown="0" showInputMessage="0" showErrorMessage="0" allowBlank="1" type="whole" operator="between">
      <formula1>1</formula1>
      <formula2>5</formula2>
    </dataValidation>
    <dataValidation sqref="J10" showDropDown="0" showInputMessage="0" showErrorMessage="0" allowBlank="1" type="whole" operator="between">
      <formula1>1</formula1>
      <formula2>5</formula2>
    </dataValidation>
    <dataValidation sqref="K10" showDropDown="0" showInputMessage="0" showErrorMessage="0" allowBlank="1" type="whole" operator="between">
      <formula1>1</formula1>
      <formula2>5</formula2>
    </dataValidation>
    <dataValidation sqref="L10" showDropDown="0" showInputMessage="0" showErrorMessage="0" allowBlank="1" type="whole" operator="between">
      <formula1>1</formula1>
      <formula2>5</formula2>
    </dataValidation>
    <dataValidation sqref="G11" showDropDown="0" showInputMessage="0" showErrorMessage="0" allowBlank="0" type="list">
      <formula1>"Survey,Email_Reply,Meeting,Ticket,Call"</formula1>
    </dataValidation>
    <dataValidation sqref="M11" showDropDown="0" showInputMessage="0" showErrorMessage="0" allowBlank="0" type="list">
      <formula1>"Yes,Partial,No,Will_Use_Later"</formula1>
    </dataValidation>
    <dataValidation sqref="P11" showDropDown="0" showInputMessage="0" showErrorMessage="0" allowBlank="1" type="list">
      <formula1>"Yes,Maybe,No"</formula1>
    </dataValidation>
    <dataValidation sqref="S11" showDropDown="0" showInputMessage="0" showErrorMessage="0" allowBlank="0" type="list">
      <formula1>"Yes,No"</formula1>
    </dataValidation>
    <dataValidation sqref="H11" showDropDown="0" showInputMessage="0" showErrorMessage="0" allowBlank="1" type="whole" operator="between">
      <formula1>1</formula1>
      <formula2>5</formula2>
    </dataValidation>
    <dataValidation sqref="I11" showDropDown="0" showInputMessage="0" showErrorMessage="0" allowBlank="1" type="whole" operator="between">
      <formula1>1</formula1>
      <formula2>5</formula2>
    </dataValidation>
    <dataValidation sqref="J11" showDropDown="0" showInputMessage="0" showErrorMessage="0" allowBlank="1" type="whole" operator="between">
      <formula1>1</formula1>
      <formula2>5</formula2>
    </dataValidation>
    <dataValidation sqref="K11" showDropDown="0" showInputMessage="0" showErrorMessage="0" allowBlank="1" type="whole" operator="between">
      <formula1>1</formula1>
      <formula2>5</formula2>
    </dataValidation>
    <dataValidation sqref="L11" showDropDown="0" showInputMessage="0" showErrorMessage="0" allowBlank="1" type="whole" operator="between">
      <formula1>1</formula1>
      <formula2>5</formula2>
    </dataValidation>
    <dataValidation sqref="G12" showDropDown="0" showInputMessage="0" showErrorMessage="0" allowBlank="0" type="list">
      <formula1>"Survey,Email_Reply,Meeting,Ticket,Call"</formula1>
    </dataValidation>
    <dataValidation sqref="M12" showDropDown="0" showInputMessage="0" showErrorMessage="0" allowBlank="0" type="list">
      <formula1>"Yes,Partial,No,Will_Use_Later"</formula1>
    </dataValidation>
    <dataValidation sqref="P12" showDropDown="0" showInputMessage="0" showErrorMessage="0" allowBlank="1" type="list">
      <formula1>"Yes,Maybe,No"</formula1>
    </dataValidation>
    <dataValidation sqref="S12" showDropDown="0" showInputMessage="0" showErrorMessage="0" allowBlank="0" type="list">
      <formula1>"Yes,No"</formula1>
    </dataValidation>
    <dataValidation sqref="H12" showDropDown="0" showInputMessage="0" showErrorMessage="0" allowBlank="1" type="whole" operator="between">
      <formula1>1</formula1>
      <formula2>5</formula2>
    </dataValidation>
    <dataValidation sqref="I12" showDropDown="0" showInputMessage="0" showErrorMessage="0" allowBlank="1" type="whole" operator="between">
      <formula1>1</formula1>
      <formula2>5</formula2>
    </dataValidation>
    <dataValidation sqref="J12" showDropDown="0" showInputMessage="0" showErrorMessage="0" allowBlank="1" type="whole" operator="between">
      <formula1>1</formula1>
      <formula2>5</formula2>
    </dataValidation>
    <dataValidation sqref="K12" showDropDown="0" showInputMessage="0" showErrorMessage="0" allowBlank="1" type="whole" operator="between">
      <formula1>1</formula1>
      <formula2>5</formula2>
    </dataValidation>
    <dataValidation sqref="L12" showDropDown="0" showInputMessage="0" showErrorMessage="0" allowBlank="1" type="whole" operator="between">
      <formula1>1</formula1>
      <formula2>5</formula2>
    </dataValidation>
    <dataValidation sqref="G13" showDropDown="0" showInputMessage="0" showErrorMessage="0" allowBlank="0" type="list">
      <formula1>"Survey,Email_Reply,Meeting,Ticket,Call"</formula1>
    </dataValidation>
    <dataValidation sqref="M13" showDropDown="0" showInputMessage="0" showErrorMessage="0" allowBlank="0" type="list">
      <formula1>"Yes,Partial,No,Will_Use_Later"</formula1>
    </dataValidation>
    <dataValidation sqref="P13" showDropDown="0" showInputMessage="0" showErrorMessage="0" allowBlank="1" type="list">
      <formula1>"Yes,Maybe,No"</formula1>
    </dataValidation>
    <dataValidation sqref="S13" showDropDown="0" showInputMessage="0" showErrorMessage="0" allowBlank="0" type="list">
      <formula1>"Yes,No"</formula1>
    </dataValidation>
    <dataValidation sqref="H13" showDropDown="0" showInputMessage="0" showErrorMessage="0" allowBlank="1" type="whole" operator="between">
      <formula1>1</formula1>
      <formula2>5</formula2>
    </dataValidation>
    <dataValidation sqref="I13" showDropDown="0" showInputMessage="0" showErrorMessage="0" allowBlank="1" type="whole" operator="between">
      <formula1>1</formula1>
      <formula2>5</formula2>
    </dataValidation>
    <dataValidation sqref="J13" showDropDown="0" showInputMessage="0" showErrorMessage="0" allowBlank="1" type="whole" operator="between">
      <formula1>1</formula1>
      <formula2>5</formula2>
    </dataValidation>
    <dataValidation sqref="K13" showDropDown="0" showInputMessage="0" showErrorMessage="0" allowBlank="1" type="whole" operator="between">
      <formula1>1</formula1>
      <formula2>5</formula2>
    </dataValidation>
    <dataValidation sqref="L13" showDropDown="0" showInputMessage="0" showErrorMessage="0" allowBlank="1" type="whole" operator="between">
      <formula1>1</formula1>
      <formula2>5</formula2>
    </dataValidation>
    <dataValidation sqref="G14" showDropDown="0" showInputMessage="0" showErrorMessage="0" allowBlank="0" type="list">
      <formula1>"Survey,Email_Reply,Meeting,Ticket,Call"</formula1>
    </dataValidation>
    <dataValidation sqref="M14" showDropDown="0" showInputMessage="0" showErrorMessage="0" allowBlank="0" type="list">
      <formula1>"Yes,Partial,No,Will_Use_Later"</formula1>
    </dataValidation>
    <dataValidation sqref="P14" showDropDown="0" showInputMessage="0" showErrorMessage="0" allowBlank="1" type="list">
      <formula1>"Yes,Maybe,No"</formula1>
    </dataValidation>
    <dataValidation sqref="S14" showDropDown="0" showInputMessage="0" showErrorMessage="0" allowBlank="0" type="list">
      <formula1>"Yes,No"</formula1>
    </dataValidation>
    <dataValidation sqref="H14" showDropDown="0" showInputMessage="0" showErrorMessage="0" allowBlank="1" type="whole" operator="between">
      <formula1>1</formula1>
      <formula2>5</formula2>
    </dataValidation>
    <dataValidation sqref="I14" showDropDown="0" showInputMessage="0" showErrorMessage="0" allowBlank="1" type="whole" operator="between">
      <formula1>1</formula1>
      <formula2>5</formula2>
    </dataValidation>
    <dataValidation sqref="J14" showDropDown="0" showInputMessage="0" showErrorMessage="0" allowBlank="1" type="whole" operator="between">
      <formula1>1</formula1>
      <formula2>5</formula2>
    </dataValidation>
    <dataValidation sqref="K14" showDropDown="0" showInputMessage="0" showErrorMessage="0" allowBlank="1" type="whole" operator="between">
      <formula1>1</formula1>
      <formula2>5</formula2>
    </dataValidation>
    <dataValidation sqref="L14" showDropDown="0" showInputMessage="0" showErrorMessage="0" allowBlank="1" type="whole" operator="between">
      <formula1>1</formula1>
      <formula2>5</formula2>
    </dataValidation>
    <dataValidation sqref="G15" showDropDown="0" showInputMessage="0" showErrorMessage="0" allowBlank="0" type="list">
      <formula1>"Survey,Email_Reply,Meeting,Ticket,Call"</formula1>
    </dataValidation>
    <dataValidation sqref="M15" showDropDown="0" showInputMessage="0" showErrorMessage="0" allowBlank="0" type="list">
      <formula1>"Yes,Partial,No,Will_Use_Later"</formula1>
    </dataValidation>
    <dataValidation sqref="P15" showDropDown="0" showInputMessage="0" showErrorMessage="0" allowBlank="1" type="list">
      <formula1>"Yes,Maybe,No"</formula1>
    </dataValidation>
    <dataValidation sqref="S15" showDropDown="0" showInputMessage="0" showErrorMessage="0" allowBlank="0" type="list">
      <formula1>"Yes,No"</formula1>
    </dataValidation>
    <dataValidation sqref="H15" showDropDown="0" showInputMessage="0" showErrorMessage="0" allowBlank="1" type="whole" operator="between">
      <formula1>1</formula1>
      <formula2>5</formula2>
    </dataValidation>
    <dataValidation sqref="I15" showDropDown="0" showInputMessage="0" showErrorMessage="0" allowBlank="1" type="whole" operator="between">
      <formula1>1</formula1>
      <formula2>5</formula2>
    </dataValidation>
    <dataValidation sqref="J15" showDropDown="0" showInputMessage="0" showErrorMessage="0" allowBlank="1" type="whole" operator="between">
      <formula1>1</formula1>
      <formula2>5</formula2>
    </dataValidation>
    <dataValidation sqref="K15" showDropDown="0" showInputMessage="0" showErrorMessage="0" allowBlank="1" type="whole" operator="between">
      <formula1>1</formula1>
      <formula2>5</formula2>
    </dataValidation>
    <dataValidation sqref="L15" showDropDown="0" showInputMessage="0" showErrorMessage="0" allowBlank="1" type="whole" operator="between">
      <formula1>1</formula1>
      <formula2>5</formula2>
    </dataValidation>
    <dataValidation sqref="G16" showDropDown="0" showInputMessage="0" showErrorMessage="0" allowBlank="0" type="list">
      <formula1>"Survey,Email_Reply,Meeting,Ticket,Call"</formula1>
    </dataValidation>
    <dataValidation sqref="M16" showDropDown="0" showInputMessage="0" showErrorMessage="0" allowBlank="0" type="list">
      <formula1>"Yes,Partial,No,Will_Use_Later"</formula1>
    </dataValidation>
    <dataValidation sqref="P16" showDropDown="0" showInputMessage="0" showErrorMessage="0" allowBlank="1" type="list">
      <formula1>"Yes,Maybe,No"</formula1>
    </dataValidation>
    <dataValidation sqref="S16" showDropDown="0" showInputMessage="0" showErrorMessage="0" allowBlank="0" type="list">
      <formula1>"Yes,No"</formula1>
    </dataValidation>
    <dataValidation sqref="H16" showDropDown="0" showInputMessage="0" showErrorMessage="0" allowBlank="1" type="whole" operator="between">
      <formula1>1</formula1>
      <formula2>5</formula2>
    </dataValidation>
    <dataValidation sqref="I16" showDropDown="0" showInputMessage="0" showErrorMessage="0" allowBlank="1" type="whole" operator="between">
      <formula1>1</formula1>
      <formula2>5</formula2>
    </dataValidation>
    <dataValidation sqref="J16" showDropDown="0" showInputMessage="0" showErrorMessage="0" allowBlank="1" type="whole" operator="between">
      <formula1>1</formula1>
      <formula2>5</formula2>
    </dataValidation>
    <dataValidation sqref="K16" showDropDown="0" showInputMessage="0" showErrorMessage="0" allowBlank="1" type="whole" operator="between">
      <formula1>1</formula1>
      <formula2>5</formula2>
    </dataValidation>
    <dataValidation sqref="L16" showDropDown="0" showInputMessage="0" showErrorMessage="0" allowBlank="1" type="whole" operator="between">
      <formula1>1</formula1>
      <formula2>5</formula2>
    </dataValidation>
    <dataValidation sqref="G17" showDropDown="0" showInputMessage="0" showErrorMessage="0" allowBlank="0" type="list">
      <formula1>"Survey,Email_Reply,Meeting,Ticket,Call"</formula1>
    </dataValidation>
    <dataValidation sqref="M17" showDropDown="0" showInputMessage="0" showErrorMessage="0" allowBlank="0" type="list">
      <formula1>"Yes,Partial,No,Will_Use_Later"</formula1>
    </dataValidation>
    <dataValidation sqref="P17" showDropDown="0" showInputMessage="0" showErrorMessage="0" allowBlank="1" type="list">
      <formula1>"Yes,Maybe,No"</formula1>
    </dataValidation>
    <dataValidation sqref="S17" showDropDown="0" showInputMessage="0" showErrorMessage="0" allowBlank="0" type="list">
      <formula1>"Yes,No"</formula1>
    </dataValidation>
    <dataValidation sqref="H17" showDropDown="0" showInputMessage="0" showErrorMessage="0" allowBlank="1" type="whole" operator="between">
      <formula1>1</formula1>
      <formula2>5</formula2>
    </dataValidation>
    <dataValidation sqref="I17" showDropDown="0" showInputMessage="0" showErrorMessage="0" allowBlank="1" type="whole" operator="between">
      <formula1>1</formula1>
      <formula2>5</formula2>
    </dataValidation>
    <dataValidation sqref="J17" showDropDown="0" showInputMessage="0" showErrorMessage="0" allowBlank="1" type="whole" operator="between">
      <formula1>1</formula1>
      <formula2>5</formula2>
    </dataValidation>
    <dataValidation sqref="K17" showDropDown="0" showInputMessage="0" showErrorMessage="0" allowBlank="1" type="whole" operator="between">
      <formula1>1</formula1>
      <formula2>5</formula2>
    </dataValidation>
    <dataValidation sqref="L17" showDropDown="0" showInputMessage="0" showErrorMessage="0" allowBlank="1" type="whole" operator="between">
      <formula1>1</formula1>
      <formula2>5</formula2>
    </dataValidation>
    <dataValidation sqref="G18" showDropDown="0" showInputMessage="0" showErrorMessage="0" allowBlank="0" type="list">
      <formula1>"Survey,Email_Reply,Meeting,Ticket,Call"</formula1>
    </dataValidation>
    <dataValidation sqref="M18" showDropDown="0" showInputMessage="0" showErrorMessage="0" allowBlank="0" type="list">
      <formula1>"Yes,Partial,No,Will_Use_Later"</formula1>
    </dataValidation>
    <dataValidation sqref="P18" showDropDown="0" showInputMessage="0" showErrorMessage="0" allowBlank="1" type="list">
      <formula1>"Yes,Maybe,No"</formula1>
    </dataValidation>
    <dataValidation sqref="S18" showDropDown="0" showInputMessage="0" showErrorMessage="0" allowBlank="0" type="list">
      <formula1>"Yes,No"</formula1>
    </dataValidation>
    <dataValidation sqref="H18" showDropDown="0" showInputMessage="0" showErrorMessage="0" allowBlank="1" type="whole" operator="between">
      <formula1>1</formula1>
      <formula2>5</formula2>
    </dataValidation>
    <dataValidation sqref="I18" showDropDown="0" showInputMessage="0" showErrorMessage="0" allowBlank="1" type="whole" operator="between">
      <formula1>1</formula1>
      <formula2>5</formula2>
    </dataValidation>
    <dataValidation sqref="J18" showDropDown="0" showInputMessage="0" showErrorMessage="0" allowBlank="1" type="whole" operator="between">
      <formula1>1</formula1>
      <formula2>5</formula2>
    </dataValidation>
    <dataValidation sqref="K18" showDropDown="0" showInputMessage="0" showErrorMessage="0" allowBlank="1" type="whole" operator="between">
      <formula1>1</formula1>
      <formula2>5</formula2>
    </dataValidation>
    <dataValidation sqref="L18" showDropDown="0" showInputMessage="0" showErrorMessage="0" allowBlank="1" type="whole" operator="between">
      <formula1>1</formula1>
      <formula2>5</formula2>
    </dataValidation>
    <dataValidation sqref="G19" showDropDown="0" showInputMessage="0" showErrorMessage="0" allowBlank="0" type="list">
      <formula1>"Survey,Email_Reply,Meeting,Ticket,Call"</formula1>
    </dataValidation>
    <dataValidation sqref="M19" showDropDown="0" showInputMessage="0" showErrorMessage="0" allowBlank="0" type="list">
      <formula1>"Yes,Partial,No,Will_Use_Later"</formula1>
    </dataValidation>
    <dataValidation sqref="P19" showDropDown="0" showInputMessage="0" showErrorMessage="0" allowBlank="1" type="list">
      <formula1>"Yes,Maybe,No"</formula1>
    </dataValidation>
    <dataValidation sqref="S19" showDropDown="0" showInputMessage="0" showErrorMessage="0" allowBlank="0" type="list">
      <formula1>"Yes,No"</formula1>
    </dataValidation>
    <dataValidation sqref="H19" showDropDown="0" showInputMessage="0" showErrorMessage="0" allowBlank="1" type="whole" operator="between">
      <formula1>1</formula1>
      <formula2>5</formula2>
    </dataValidation>
    <dataValidation sqref="I19" showDropDown="0" showInputMessage="0" showErrorMessage="0" allowBlank="1" type="whole" operator="between">
      <formula1>1</formula1>
      <formula2>5</formula2>
    </dataValidation>
    <dataValidation sqref="J19" showDropDown="0" showInputMessage="0" showErrorMessage="0" allowBlank="1" type="whole" operator="between">
      <formula1>1</formula1>
      <formula2>5</formula2>
    </dataValidation>
    <dataValidation sqref="K19" showDropDown="0" showInputMessage="0" showErrorMessage="0" allowBlank="1" type="whole" operator="between">
      <formula1>1</formula1>
      <formula2>5</formula2>
    </dataValidation>
    <dataValidation sqref="L19" showDropDown="0" showInputMessage="0" showErrorMessage="0" allowBlank="1" type="whole" operator="between">
      <formula1>1</formula1>
      <formula2>5</formula2>
    </dataValidation>
    <dataValidation sqref="G20" showDropDown="0" showInputMessage="0" showErrorMessage="0" allowBlank="0" type="list">
      <formula1>"Survey,Email_Reply,Meeting,Ticket,Call"</formula1>
    </dataValidation>
    <dataValidation sqref="M20" showDropDown="0" showInputMessage="0" showErrorMessage="0" allowBlank="0" type="list">
      <formula1>"Yes,Partial,No,Will_Use_Later"</formula1>
    </dataValidation>
    <dataValidation sqref="P20" showDropDown="0" showInputMessage="0" showErrorMessage="0" allowBlank="1" type="list">
      <formula1>"Yes,Maybe,No"</formula1>
    </dataValidation>
    <dataValidation sqref="S20" showDropDown="0" showInputMessage="0" showErrorMessage="0" allowBlank="0" type="list">
      <formula1>"Yes,No"</formula1>
    </dataValidation>
    <dataValidation sqref="H20" showDropDown="0" showInputMessage="0" showErrorMessage="0" allowBlank="1" type="whole" operator="between">
      <formula1>1</formula1>
      <formula2>5</formula2>
    </dataValidation>
    <dataValidation sqref="I20" showDropDown="0" showInputMessage="0" showErrorMessage="0" allowBlank="1" type="whole" operator="between">
      <formula1>1</formula1>
      <formula2>5</formula2>
    </dataValidation>
    <dataValidation sqref="J20" showDropDown="0" showInputMessage="0" showErrorMessage="0" allowBlank="1" type="whole" operator="between">
      <formula1>1</formula1>
      <formula2>5</formula2>
    </dataValidation>
    <dataValidation sqref="K20" showDropDown="0" showInputMessage="0" showErrorMessage="0" allowBlank="1" type="whole" operator="between">
      <formula1>1</formula1>
      <formula2>5</formula2>
    </dataValidation>
    <dataValidation sqref="L20" showDropDown="0" showInputMessage="0" showErrorMessage="0" allowBlank="1" type="whole" operator="between">
      <formula1>1</formula1>
      <formula2>5</formula2>
    </dataValidation>
    <dataValidation sqref="G21" showDropDown="0" showInputMessage="0" showErrorMessage="0" allowBlank="0" type="list">
      <formula1>"Survey,Email_Reply,Meeting,Ticket,Call"</formula1>
    </dataValidation>
    <dataValidation sqref="M21" showDropDown="0" showInputMessage="0" showErrorMessage="0" allowBlank="0" type="list">
      <formula1>"Yes,Partial,No,Will_Use_Later"</formula1>
    </dataValidation>
    <dataValidation sqref="P21" showDropDown="0" showInputMessage="0" showErrorMessage="0" allowBlank="1" type="list">
      <formula1>"Yes,Maybe,No"</formula1>
    </dataValidation>
    <dataValidation sqref="S21" showDropDown="0" showInputMessage="0" showErrorMessage="0" allowBlank="0" type="list">
      <formula1>"Yes,No"</formula1>
    </dataValidation>
    <dataValidation sqref="H21" showDropDown="0" showInputMessage="0" showErrorMessage="0" allowBlank="1" type="whole" operator="between">
      <formula1>1</formula1>
      <formula2>5</formula2>
    </dataValidation>
    <dataValidation sqref="I21" showDropDown="0" showInputMessage="0" showErrorMessage="0" allowBlank="1" type="whole" operator="between">
      <formula1>1</formula1>
      <formula2>5</formula2>
    </dataValidation>
    <dataValidation sqref="J21" showDropDown="0" showInputMessage="0" showErrorMessage="0" allowBlank="1" type="whole" operator="between">
      <formula1>1</formula1>
      <formula2>5</formula2>
    </dataValidation>
    <dataValidation sqref="K21" showDropDown="0" showInputMessage="0" showErrorMessage="0" allowBlank="1" type="whole" operator="between">
      <formula1>1</formula1>
      <formula2>5</formula2>
    </dataValidation>
    <dataValidation sqref="L21" showDropDown="0" showInputMessage="0" showErrorMessage="0" allowBlank="1" type="whole" operator="between">
      <formula1>1</formula1>
      <formula2>5</formula2>
    </dataValidation>
    <dataValidation sqref="G22" showDropDown="0" showInputMessage="0" showErrorMessage="0" allowBlank="0" type="list">
      <formula1>"Survey,Email_Reply,Meeting,Ticket,Call"</formula1>
    </dataValidation>
    <dataValidation sqref="M22" showDropDown="0" showInputMessage="0" showErrorMessage="0" allowBlank="0" type="list">
      <formula1>"Yes,Partial,No,Will_Use_Later"</formula1>
    </dataValidation>
    <dataValidation sqref="P22" showDropDown="0" showInputMessage="0" showErrorMessage="0" allowBlank="1" type="list">
      <formula1>"Yes,Maybe,No"</formula1>
    </dataValidation>
    <dataValidation sqref="S22" showDropDown="0" showInputMessage="0" showErrorMessage="0" allowBlank="0" type="list">
      <formula1>"Yes,No"</formula1>
    </dataValidation>
    <dataValidation sqref="H22" showDropDown="0" showInputMessage="0" showErrorMessage="0" allowBlank="1" type="whole" operator="between">
      <formula1>1</formula1>
      <formula2>5</formula2>
    </dataValidation>
    <dataValidation sqref="I22" showDropDown="0" showInputMessage="0" showErrorMessage="0" allowBlank="1" type="whole" operator="between">
      <formula1>1</formula1>
      <formula2>5</formula2>
    </dataValidation>
    <dataValidation sqref="J22" showDropDown="0" showInputMessage="0" showErrorMessage="0" allowBlank="1" type="whole" operator="between">
      <formula1>1</formula1>
      <formula2>5</formula2>
    </dataValidation>
    <dataValidation sqref="K22" showDropDown="0" showInputMessage="0" showErrorMessage="0" allowBlank="1" type="whole" operator="between">
      <formula1>1</formula1>
      <formula2>5</formula2>
    </dataValidation>
    <dataValidation sqref="L22" showDropDown="0" showInputMessage="0" showErrorMessage="0" allowBlank="1" type="whole" operator="between">
      <formula1>1</formula1>
      <formula2>5</formula2>
    </dataValidation>
    <dataValidation sqref="G23" showDropDown="0" showInputMessage="0" showErrorMessage="0" allowBlank="0" type="list">
      <formula1>"Survey,Email_Reply,Meeting,Ticket,Call"</formula1>
    </dataValidation>
    <dataValidation sqref="M23" showDropDown="0" showInputMessage="0" showErrorMessage="0" allowBlank="0" type="list">
      <formula1>"Yes,Partial,No,Will_Use_Later"</formula1>
    </dataValidation>
    <dataValidation sqref="P23" showDropDown="0" showInputMessage="0" showErrorMessage="0" allowBlank="1" type="list">
      <formula1>"Yes,Maybe,No"</formula1>
    </dataValidation>
    <dataValidation sqref="S23" showDropDown="0" showInputMessage="0" showErrorMessage="0" allowBlank="0" type="list">
      <formula1>"Yes,No"</formula1>
    </dataValidation>
    <dataValidation sqref="H23" showDropDown="0" showInputMessage="0" showErrorMessage="0" allowBlank="1" type="whole" operator="between">
      <formula1>1</formula1>
      <formula2>5</formula2>
    </dataValidation>
    <dataValidation sqref="I23" showDropDown="0" showInputMessage="0" showErrorMessage="0" allowBlank="1" type="whole" operator="between">
      <formula1>1</formula1>
      <formula2>5</formula2>
    </dataValidation>
    <dataValidation sqref="J23" showDropDown="0" showInputMessage="0" showErrorMessage="0" allowBlank="1" type="whole" operator="between">
      <formula1>1</formula1>
      <formula2>5</formula2>
    </dataValidation>
    <dataValidation sqref="K23" showDropDown="0" showInputMessage="0" showErrorMessage="0" allowBlank="1" type="whole" operator="between">
      <formula1>1</formula1>
      <formula2>5</formula2>
    </dataValidation>
    <dataValidation sqref="L23" showDropDown="0" showInputMessage="0" showErrorMessage="0" allowBlank="1" type="whole" operator="between">
      <formula1>1</formula1>
      <formula2>5</formula2>
    </dataValidation>
    <dataValidation sqref="G24" showDropDown="0" showInputMessage="0" showErrorMessage="0" allowBlank="0" type="list">
      <formula1>"Survey,Email_Reply,Meeting,Ticket,Call"</formula1>
    </dataValidation>
    <dataValidation sqref="M24" showDropDown="0" showInputMessage="0" showErrorMessage="0" allowBlank="0" type="list">
      <formula1>"Yes,Partial,No,Will_Use_Later"</formula1>
    </dataValidation>
    <dataValidation sqref="P24" showDropDown="0" showInputMessage="0" showErrorMessage="0" allowBlank="1" type="list">
      <formula1>"Yes,Maybe,No"</formula1>
    </dataValidation>
    <dataValidation sqref="S24" showDropDown="0" showInputMessage="0" showErrorMessage="0" allowBlank="0" type="list">
      <formula1>"Yes,No"</formula1>
    </dataValidation>
    <dataValidation sqref="H24" showDropDown="0" showInputMessage="0" showErrorMessage="0" allowBlank="1" type="whole" operator="between">
      <formula1>1</formula1>
      <formula2>5</formula2>
    </dataValidation>
    <dataValidation sqref="I24" showDropDown="0" showInputMessage="0" showErrorMessage="0" allowBlank="1" type="whole" operator="between">
      <formula1>1</formula1>
      <formula2>5</formula2>
    </dataValidation>
    <dataValidation sqref="J24" showDropDown="0" showInputMessage="0" showErrorMessage="0" allowBlank="1" type="whole" operator="between">
      <formula1>1</formula1>
      <formula2>5</formula2>
    </dataValidation>
    <dataValidation sqref="K24" showDropDown="0" showInputMessage="0" showErrorMessage="0" allowBlank="1" type="whole" operator="between">
      <formula1>1</formula1>
      <formula2>5</formula2>
    </dataValidation>
    <dataValidation sqref="L24" showDropDown="0" showInputMessage="0" showErrorMessage="0" allowBlank="1" type="whole" operator="between">
      <formula1>1</formula1>
      <formula2>5</formula2>
    </dataValidation>
    <dataValidation sqref="G25" showDropDown="0" showInputMessage="0" showErrorMessage="0" allowBlank="0" type="list">
      <formula1>"Survey,Email_Reply,Meeting,Ticket,Call"</formula1>
    </dataValidation>
    <dataValidation sqref="M25" showDropDown="0" showInputMessage="0" showErrorMessage="0" allowBlank="0" type="list">
      <formula1>"Yes,Partial,No,Will_Use_Later"</formula1>
    </dataValidation>
    <dataValidation sqref="P25" showDropDown="0" showInputMessage="0" showErrorMessage="0" allowBlank="1" type="list">
      <formula1>"Yes,Maybe,No"</formula1>
    </dataValidation>
    <dataValidation sqref="S25" showDropDown="0" showInputMessage="0" showErrorMessage="0" allowBlank="0" type="list">
      <formula1>"Yes,No"</formula1>
    </dataValidation>
    <dataValidation sqref="H25" showDropDown="0" showInputMessage="0" showErrorMessage="0" allowBlank="1" type="whole" operator="between">
      <formula1>1</formula1>
      <formula2>5</formula2>
    </dataValidation>
    <dataValidation sqref="I25" showDropDown="0" showInputMessage="0" showErrorMessage="0" allowBlank="1" type="whole" operator="between">
      <formula1>1</formula1>
      <formula2>5</formula2>
    </dataValidation>
    <dataValidation sqref="J25" showDropDown="0" showInputMessage="0" showErrorMessage="0" allowBlank="1" type="whole" operator="between">
      <formula1>1</formula1>
      <formula2>5</formula2>
    </dataValidation>
    <dataValidation sqref="K25" showDropDown="0" showInputMessage="0" showErrorMessage="0" allowBlank="1" type="whole" operator="between">
      <formula1>1</formula1>
      <formula2>5</formula2>
    </dataValidation>
    <dataValidation sqref="L25" showDropDown="0" showInputMessage="0" showErrorMessage="0" allowBlank="1" type="whole" operator="between">
      <formula1>1</formula1>
      <formula2>5</formula2>
    </dataValidation>
    <dataValidation sqref="G26" showDropDown="0" showInputMessage="0" showErrorMessage="0" allowBlank="0" type="list">
      <formula1>"Survey,Email_Reply,Meeting,Ticket,Call"</formula1>
    </dataValidation>
    <dataValidation sqref="M26" showDropDown="0" showInputMessage="0" showErrorMessage="0" allowBlank="0" type="list">
      <formula1>"Yes,Partial,No,Will_Use_Later"</formula1>
    </dataValidation>
    <dataValidation sqref="P26" showDropDown="0" showInputMessage="0" showErrorMessage="0" allowBlank="1" type="list">
      <formula1>"Yes,Maybe,No"</formula1>
    </dataValidation>
    <dataValidation sqref="S26" showDropDown="0" showInputMessage="0" showErrorMessage="0" allowBlank="0" type="list">
      <formula1>"Yes,No"</formula1>
    </dataValidation>
    <dataValidation sqref="H26" showDropDown="0" showInputMessage="0" showErrorMessage="0" allowBlank="1" type="whole" operator="between">
      <formula1>1</formula1>
      <formula2>5</formula2>
    </dataValidation>
    <dataValidation sqref="I26" showDropDown="0" showInputMessage="0" showErrorMessage="0" allowBlank="1" type="whole" operator="between">
      <formula1>1</formula1>
      <formula2>5</formula2>
    </dataValidation>
    <dataValidation sqref="J26" showDropDown="0" showInputMessage="0" showErrorMessage="0" allowBlank="1" type="whole" operator="between">
      <formula1>1</formula1>
      <formula2>5</formula2>
    </dataValidation>
    <dataValidation sqref="K26" showDropDown="0" showInputMessage="0" showErrorMessage="0" allowBlank="1" type="whole" operator="between">
      <formula1>1</formula1>
      <formula2>5</formula2>
    </dataValidation>
    <dataValidation sqref="L26" showDropDown="0" showInputMessage="0" showErrorMessage="0" allowBlank="1" type="whole" operator="between">
      <formula1>1</formula1>
      <formula2>5</formula2>
    </dataValidation>
    <dataValidation sqref="G27" showDropDown="0" showInputMessage="0" showErrorMessage="0" allowBlank="0" type="list">
      <formula1>"Survey,Email_Reply,Meeting,Ticket,Call"</formula1>
    </dataValidation>
    <dataValidation sqref="M27" showDropDown="0" showInputMessage="0" showErrorMessage="0" allowBlank="0" type="list">
      <formula1>"Yes,Partial,No,Will_Use_Later"</formula1>
    </dataValidation>
    <dataValidation sqref="P27" showDropDown="0" showInputMessage="0" showErrorMessage="0" allowBlank="1" type="list">
      <formula1>"Yes,Maybe,No"</formula1>
    </dataValidation>
    <dataValidation sqref="S27" showDropDown="0" showInputMessage="0" showErrorMessage="0" allowBlank="0" type="list">
      <formula1>"Yes,No"</formula1>
    </dataValidation>
    <dataValidation sqref="H27" showDropDown="0" showInputMessage="0" showErrorMessage="0" allowBlank="1" type="whole" operator="between">
      <formula1>1</formula1>
      <formula2>5</formula2>
    </dataValidation>
    <dataValidation sqref="I27" showDropDown="0" showInputMessage="0" showErrorMessage="0" allowBlank="1" type="whole" operator="between">
      <formula1>1</formula1>
      <formula2>5</formula2>
    </dataValidation>
    <dataValidation sqref="J27" showDropDown="0" showInputMessage="0" showErrorMessage="0" allowBlank="1" type="whole" operator="between">
      <formula1>1</formula1>
      <formula2>5</formula2>
    </dataValidation>
    <dataValidation sqref="K27" showDropDown="0" showInputMessage="0" showErrorMessage="0" allowBlank="1" type="whole" operator="between">
      <formula1>1</formula1>
      <formula2>5</formula2>
    </dataValidation>
    <dataValidation sqref="L27" showDropDown="0" showInputMessage="0" showErrorMessage="0" allowBlank="1" type="whole" operator="between">
      <formula1>1</formula1>
      <formula2>5</formula2>
    </dataValidation>
    <dataValidation sqref="G28" showDropDown="0" showInputMessage="0" showErrorMessage="0" allowBlank="0" type="list">
      <formula1>"Survey,Email_Reply,Meeting,Ticket,Call"</formula1>
    </dataValidation>
    <dataValidation sqref="M28" showDropDown="0" showInputMessage="0" showErrorMessage="0" allowBlank="0" type="list">
      <formula1>"Yes,Partial,No,Will_Use_Later"</formula1>
    </dataValidation>
    <dataValidation sqref="P28" showDropDown="0" showInputMessage="0" showErrorMessage="0" allowBlank="1" type="list">
      <formula1>"Yes,Maybe,No"</formula1>
    </dataValidation>
    <dataValidation sqref="S28" showDropDown="0" showInputMessage="0" showErrorMessage="0" allowBlank="0" type="list">
      <formula1>"Yes,No"</formula1>
    </dataValidation>
    <dataValidation sqref="H28" showDropDown="0" showInputMessage="0" showErrorMessage="0" allowBlank="1" type="whole" operator="between">
      <formula1>1</formula1>
      <formula2>5</formula2>
    </dataValidation>
    <dataValidation sqref="I28" showDropDown="0" showInputMessage="0" showErrorMessage="0" allowBlank="1" type="whole" operator="between">
      <formula1>1</formula1>
      <formula2>5</formula2>
    </dataValidation>
    <dataValidation sqref="J28" showDropDown="0" showInputMessage="0" showErrorMessage="0" allowBlank="1" type="whole" operator="between">
      <formula1>1</formula1>
      <formula2>5</formula2>
    </dataValidation>
    <dataValidation sqref="K28" showDropDown="0" showInputMessage="0" showErrorMessage="0" allowBlank="1" type="whole" operator="between">
      <formula1>1</formula1>
      <formula2>5</formula2>
    </dataValidation>
    <dataValidation sqref="L28" showDropDown="0" showInputMessage="0" showErrorMessage="0" allowBlank="1" type="whole" operator="between">
      <formula1>1</formula1>
      <formula2>5</formula2>
    </dataValidation>
    <dataValidation sqref="G29" showDropDown="0" showInputMessage="0" showErrorMessage="0" allowBlank="0" type="list">
      <formula1>"Survey,Email_Reply,Meeting,Ticket,Call"</formula1>
    </dataValidation>
    <dataValidation sqref="M29" showDropDown="0" showInputMessage="0" showErrorMessage="0" allowBlank="0" type="list">
      <formula1>"Yes,Partial,No,Will_Use_Later"</formula1>
    </dataValidation>
    <dataValidation sqref="P29" showDropDown="0" showInputMessage="0" showErrorMessage="0" allowBlank="1" type="list">
      <formula1>"Yes,Maybe,No"</formula1>
    </dataValidation>
    <dataValidation sqref="S29" showDropDown="0" showInputMessage="0" showErrorMessage="0" allowBlank="0" type="list">
      <formula1>"Yes,No"</formula1>
    </dataValidation>
    <dataValidation sqref="H29" showDropDown="0" showInputMessage="0" showErrorMessage="0" allowBlank="1" type="whole" operator="between">
      <formula1>1</formula1>
      <formula2>5</formula2>
    </dataValidation>
    <dataValidation sqref="I29" showDropDown="0" showInputMessage="0" showErrorMessage="0" allowBlank="1" type="whole" operator="between">
      <formula1>1</formula1>
      <formula2>5</formula2>
    </dataValidation>
    <dataValidation sqref="J29" showDropDown="0" showInputMessage="0" showErrorMessage="0" allowBlank="1" type="whole" operator="between">
      <formula1>1</formula1>
      <formula2>5</formula2>
    </dataValidation>
    <dataValidation sqref="K29" showDropDown="0" showInputMessage="0" showErrorMessage="0" allowBlank="1" type="whole" operator="between">
      <formula1>1</formula1>
      <formula2>5</formula2>
    </dataValidation>
    <dataValidation sqref="L29" showDropDown="0" showInputMessage="0" showErrorMessage="0" allowBlank="1" type="whole" operator="between">
      <formula1>1</formula1>
      <formula2>5</formula2>
    </dataValidation>
    <dataValidation sqref="G30" showDropDown="0" showInputMessage="0" showErrorMessage="0" allowBlank="0" type="list">
      <formula1>"Survey,Email_Reply,Meeting,Ticket,Call"</formula1>
    </dataValidation>
    <dataValidation sqref="M30" showDropDown="0" showInputMessage="0" showErrorMessage="0" allowBlank="0" type="list">
      <formula1>"Yes,Partial,No,Will_Use_Later"</formula1>
    </dataValidation>
    <dataValidation sqref="P30" showDropDown="0" showInputMessage="0" showErrorMessage="0" allowBlank="1" type="list">
      <formula1>"Yes,Maybe,No"</formula1>
    </dataValidation>
    <dataValidation sqref="S30" showDropDown="0" showInputMessage="0" showErrorMessage="0" allowBlank="0" type="list">
      <formula1>"Yes,No"</formula1>
    </dataValidation>
    <dataValidation sqref="H30" showDropDown="0" showInputMessage="0" showErrorMessage="0" allowBlank="1" type="whole" operator="between">
      <formula1>1</formula1>
      <formula2>5</formula2>
    </dataValidation>
    <dataValidation sqref="I30" showDropDown="0" showInputMessage="0" showErrorMessage="0" allowBlank="1" type="whole" operator="between">
      <formula1>1</formula1>
      <formula2>5</formula2>
    </dataValidation>
    <dataValidation sqref="J30" showDropDown="0" showInputMessage="0" showErrorMessage="0" allowBlank="1" type="whole" operator="between">
      <formula1>1</formula1>
      <formula2>5</formula2>
    </dataValidation>
    <dataValidation sqref="K30" showDropDown="0" showInputMessage="0" showErrorMessage="0" allowBlank="1" type="whole" operator="between">
      <formula1>1</formula1>
      <formula2>5</formula2>
    </dataValidation>
    <dataValidation sqref="L30" showDropDown="0" showInputMessage="0" showErrorMessage="0" allowBlank="1" type="whole" operator="between">
      <formula1>1</formula1>
      <formula2>5</formula2>
    </dataValidation>
    <dataValidation sqref="G31" showDropDown="0" showInputMessage="0" showErrorMessage="0" allowBlank="0" type="list">
      <formula1>"Survey,Email_Reply,Meeting,Ticket,Call"</formula1>
    </dataValidation>
    <dataValidation sqref="M31" showDropDown="0" showInputMessage="0" showErrorMessage="0" allowBlank="0" type="list">
      <formula1>"Yes,Partial,No,Will_Use_Later"</formula1>
    </dataValidation>
    <dataValidation sqref="P31" showDropDown="0" showInputMessage="0" showErrorMessage="0" allowBlank="1" type="list">
      <formula1>"Yes,Maybe,No"</formula1>
    </dataValidation>
    <dataValidation sqref="S31" showDropDown="0" showInputMessage="0" showErrorMessage="0" allowBlank="0" type="list">
      <formula1>"Yes,No"</formula1>
    </dataValidation>
    <dataValidation sqref="H31" showDropDown="0" showInputMessage="0" showErrorMessage="0" allowBlank="1" type="whole" operator="between">
      <formula1>1</formula1>
      <formula2>5</formula2>
    </dataValidation>
    <dataValidation sqref="I31" showDropDown="0" showInputMessage="0" showErrorMessage="0" allowBlank="1" type="whole" operator="between">
      <formula1>1</formula1>
      <formula2>5</formula2>
    </dataValidation>
    <dataValidation sqref="J31" showDropDown="0" showInputMessage="0" showErrorMessage="0" allowBlank="1" type="whole" operator="between">
      <formula1>1</formula1>
      <formula2>5</formula2>
    </dataValidation>
    <dataValidation sqref="K31" showDropDown="0" showInputMessage="0" showErrorMessage="0" allowBlank="1" type="whole" operator="between">
      <formula1>1</formula1>
      <formula2>5</formula2>
    </dataValidation>
    <dataValidation sqref="L31" showDropDown="0" showInputMessage="0" showErrorMessage="0" allowBlank="1" type="whole" operator="between">
      <formula1>1</formula1>
      <formula2>5</formula2>
    </dataValidation>
    <dataValidation sqref="G32" showDropDown="0" showInputMessage="0" showErrorMessage="0" allowBlank="0" type="list">
      <formula1>"Survey,Email_Reply,Meeting,Ticket,Call"</formula1>
    </dataValidation>
    <dataValidation sqref="M32" showDropDown="0" showInputMessage="0" showErrorMessage="0" allowBlank="0" type="list">
      <formula1>"Yes,Partial,No,Will_Use_Later"</formula1>
    </dataValidation>
    <dataValidation sqref="P32" showDropDown="0" showInputMessage="0" showErrorMessage="0" allowBlank="1" type="list">
      <formula1>"Yes,Maybe,No"</formula1>
    </dataValidation>
    <dataValidation sqref="S32" showDropDown="0" showInputMessage="0" showErrorMessage="0" allowBlank="0" type="list">
      <formula1>"Yes,No"</formula1>
    </dataValidation>
    <dataValidation sqref="H32" showDropDown="0" showInputMessage="0" showErrorMessage="0" allowBlank="1" type="whole" operator="between">
      <formula1>1</formula1>
      <formula2>5</formula2>
    </dataValidation>
    <dataValidation sqref="I32" showDropDown="0" showInputMessage="0" showErrorMessage="0" allowBlank="1" type="whole" operator="between">
      <formula1>1</formula1>
      <formula2>5</formula2>
    </dataValidation>
    <dataValidation sqref="J32" showDropDown="0" showInputMessage="0" showErrorMessage="0" allowBlank="1" type="whole" operator="between">
      <formula1>1</formula1>
      <formula2>5</formula2>
    </dataValidation>
    <dataValidation sqref="K32" showDropDown="0" showInputMessage="0" showErrorMessage="0" allowBlank="1" type="whole" operator="between">
      <formula1>1</formula1>
      <formula2>5</formula2>
    </dataValidation>
    <dataValidation sqref="L32" showDropDown="0" showInputMessage="0" showErrorMessage="0" allowBlank="1" type="whole" operator="between">
      <formula1>1</formula1>
      <formula2>5</formula2>
    </dataValidation>
    <dataValidation sqref="G33" showDropDown="0" showInputMessage="0" showErrorMessage="0" allowBlank="0" type="list">
      <formula1>"Survey,Email_Reply,Meeting,Ticket,Call"</formula1>
    </dataValidation>
    <dataValidation sqref="M33" showDropDown="0" showInputMessage="0" showErrorMessage="0" allowBlank="0" type="list">
      <formula1>"Yes,Partial,No,Will_Use_Later"</formula1>
    </dataValidation>
    <dataValidation sqref="P33" showDropDown="0" showInputMessage="0" showErrorMessage="0" allowBlank="1" type="list">
      <formula1>"Yes,Maybe,No"</formula1>
    </dataValidation>
    <dataValidation sqref="S33" showDropDown="0" showInputMessage="0" showErrorMessage="0" allowBlank="0" type="list">
      <formula1>"Yes,No"</formula1>
    </dataValidation>
    <dataValidation sqref="H33" showDropDown="0" showInputMessage="0" showErrorMessage="0" allowBlank="1" type="whole" operator="between">
      <formula1>1</formula1>
      <formula2>5</formula2>
    </dataValidation>
    <dataValidation sqref="I33" showDropDown="0" showInputMessage="0" showErrorMessage="0" allowBlank="1" type="whole" operator="between">
      <formula1>1</formula1>
      <formula2>5</formula2>
    </dataValidation>
    <dataValidation sqref="J33" showDropDown="0" showInputMessage="0" showErrorMessage="0" allowBlank="1" type="whole" operator="between">
      <formula1>1</formula1>
      <formula2>5</formula2>
    </dataValidation>
    <dataValidation sqref="K33" showDropDown="0" showInputMessage="0" showErrorMessage="0" allowBlank="1" type="whole" operator="between">
      <formula1>1</formula1>
      <formula2>5</formula2>
    </dataValidation>
    <dataValidation sqref="L33" showDropDown="0" showInputMessage="0" showErrorMessage="0" allowBlank="1" type="whole" operator="between">
      <formula1>1</formula1>
      <formula2>5</formula2>
    </dataValidation>
    <dataValidation sqref="G34" showDropDown="0" showInputMessage="0" showErrorMessage="0" allowBlank="0" type="list">
      <formula1>"Survey,Email_Reply,Meeting,Ticket,Call"</formula1>
    </dataValidation>
    <dataValidation sqref="M34" showDropDown="0" showInputMessage="0" showErrorMessage="0" allowBlank="0" type="list">
      <formula1>"Yes,Partial,No,Will_Use_Later"</formula1>
    </dataValidation>
    <dataValidation sqref="P34" showDropDown="0" showInputMessage="0" showErrorMessage="0" allowBlank="1" type="list">
      <formula1>"Yes,Maybe,No"</formula1>
    </dataValidation>
    <dataValidation sqref="S34" showDropDown="0" showInputMessage="0" showErrorMessage="0" allowBlank="0" type="list">
      <formula1>"Yes,No"</formula1>
    </dataValidation>
    <dataValidation sqref="H34" showDropDown="0" showInputMessage="0" showErrorMessage="0" allowBlank="1" type="whole" operator="between">
      <formula1>1</formula1>
      <formula2>5</formula2>
    </dataValidation>
    <dataValidation sqref="I34" showDropDown="0" showInputMessage="0" showErrorMessage="0" allowBlank="1" type="whole" operator="between">
      <formula1>1</formula1>
      <formula2>5</formula2>
    </dataValidation>
    <dataValidation sqref="J34" showDropDown="0" showInputMessage="0" showErrorMessage="0" allowBlank="1" type="whole" operator="between">
      <formula1>1</formula1>
      <formula2>5</formula2>
    </dataValidation>
    <dataValidation sqref="K34" showDropDown="0" showInputMessage="0" showErrorMessage="0" allowBlank="1" type="whole" operator="between">
      <formula1>1</formula1>
      <formula2>5</formula2>
    </dataValidation>
    <dataValidation sqref="L34" showDropDown="0" showInputMessage="0" showErrorMessage="0" allowBlank="1" type="whole" operator="between">
      <formula1>1</formula1>
      <formula2>5</formula2>
    </dataValidation>
    <dataValidation sqref="G35" showDropDown="0" showInputMessage="0" showErrorMessage="0" allowBlank="0" type="list">
      <formula1>"Survey,Email_Reply,Meeting,Ticket,Call"</formula1>
    </dataValidation>
    <dataValidation sqref="M35" showDropDown="0" showInputMessage="0" showErrorMessage="0" allowBlank="0" type="list">
      <formula1>"Yes,Partial,No,Will_Use_Later"</formula1>
    </dataValidation>
    <dataValidation sqref="P35" showDropDown="0" showInputMessage="0" showErrorMessage="0" allowBlank="1" type="list">
      <formula1>"Yes,Maybe,No"</formula1>
    </dataValidation>
    <dataValidation sqref="S35" showDropDown="0" showInputMessage="0" showErrorMessage="0" allowBlank="0" type="list">
      <formula1>"Yes,No"</formula1>
    </dataValidation>
    <dataValidation sqref="H35" showDropDown="0" showInputMessage="0" showErrorMessage="0" allowBlank="1" type="whole" operator="between">
      <formula1>1</formula1>
      <formula2>5</formula2>
    </dataValidation>
    <dataValidation sqref="I35" showDropDown="0" showInputMessage="0" showErrorMessage="0" allowBlank="1" type="whole" operator="between">
      <formula1>1</formula1>
      <formula2>5</formula2>
    </dataValidation>
    <dataValidation sqref="J35" showDropDown="0" showInputMessage="0" showErrorMessage="0" allowBlank="1" type="whole" operator="between">
      <formula1>1</formula1>
      <formula2>5</formula2>
    </dataValidation>
    <dataValidation sqref="K35" showDropDown="0" showInputMessage="0" showErrorMessage="0" allowBlank="1" type="whole" operator="between">
      <formula1>1</formula1>
      <formula2>5</formula2>
    </dataValidation>
    <dataValidation sqref="L35" showDropDown="0" showInputMessage="0" showErrorMessage="0" allowBlank="1" type="whole" operator="between">
      <formula1>1</formula1>
      <formula2>5</formula2>
    </dataValidation>
    <dataValidation sqref="G36" showDropDown="0" showInputMessage="0" showErrorMessage="0" allowBlank="0" type="list">
      <formula1>"Survey,Email_Reply,Meeting,Ticket,Call"</formula1>
    </dataValidation>
    <dataValidation sqref="M36" showDropDown="0" showInputMessage="0" showErrorMessage="0" allowBlank="0" type="list">
      <formula1>"Yes,Partial,No,Will_Use_Later"</formula1>
    </dataValidation>
    <dataValidation sqref="P36" showDropDown="0" showInputMessage="0" showErrorMessage="0" allowBlank="1" type="list">
      <formula1>"Yes,Maybe,No"</formula1>
    </dataValidation>
    <dataValidation sqref="S36" showDropDown="0" showInputMessage="0" showErrorMessage="0" allowBlank="0" type="list">
      <formula1>"Yes,No"</formula1>
    </dataValidation>
    <dataValidation sqref="H36" showDropDown="0" showInputMessage="0" showErrorMessage="0" allowBlank="1" type="whole" operator="between">
      <formula1>1</formula1>
      <formula2>5</formula2>
    </dataValidation>
    <dataValidation sqref="I36" showDropDown="0" showInputMessage="0" showErrorMessage="0" allowBlank="1" type="whole" operator="between">
      <formula1>1</formula1>
      <formula2>5</formula2>
    </dataValidation>
    <dataValidation sqref="J36" showDropDown="0" showInputMessage="0" showErrorMessage="0" allowBlank="1" type="whole" operator="between">
      <formula1>1</formula1>
      <formula2>5</formula2>
    </dataValidation>
    <dataValidation sqref="K36" showDropDown="0" showInputMessage="0" showErrorMessage="0" allowBlank="1" type="whole" operator="between">
      <formula1>1</formula1>
      <formula2>5</formula2>
    </dataValidation>
    <dataValidation sqref="L36" showDropDown="0" showInputMessage="0" showErrorMessage="0" allowBlank="1" type="whole" operator="between">
      <formula1>1</formula1>
      <formula2>5</formula2>
    </dataValidation>
    <dataValidation sqref="G37" showDropDown="0" showInputMessage="0" showErrorMessage="0" allowBlank="0" type="list">
      <formula1>"Survey,Email_Reply,Meeting,Ticket,Call"</formula1>
    </dataValidation>
    <dataValidation sqref="M37" showDropDown="0" showInputMessage="0" showErrorMessage="0" allowBlank="0" type="list">
      <formula1>"Yes,Partial,No,Will_Use_Later"</formula1>
    </dataValidation>
    <dataValidation sqref="P37" showDropDown="0" showInputMessage="0" showErrorMessage="0" allowBlank="1" type="list">
      <formula1>"Yes,Maybe,No"</formula1>
    </dataValidation>
    <dataValidation sqref="S37" showDropDown="0" showInputMessage="0" showErrorMessage="0" allowBlank="0" type="list">
      <formula1>"Yes,No"</formula1>
    </dataValidation>
    <dataValidation sqref="H37" showDropDown="0" showInputMessage="0" showErrorMessage="0" allowBlank="1" type="whole" operator="between">
      <formula1>1</formula1>
      <formula2>5</formula2>
    </dataValidation>
    <dataValidation sqref="I37" showDropDown="0" showInputMessage="0" showErrorMessage="0" allowBlank="1" type="whole" operator="between">
      <formula1>1</formula1>
      <formula2>5</formula2>
    </dataValidation>
    <dataValidation sqref="J37" showDropDown="0" showInputMessage="0" showErrorMessage="0" allowBlank="1" type="whole" operator="between">
      <formula1>1</formula1>
      <formula2>5</formula2>
    </dataValidation>
    <dataValidation sqref="K37" showDropDown="0" showInputMessage="0" showErrorMessage="0" allowBlank="1" type="whole" operator="between">
      <formula1>1</formula1>
      <formula2>5</formula2>
    </dataValidation>
    <dataValidation sqref="L37" showDropDown="0" showInputMessage="0" showErrorMessage="0" allowBlank="1" type="whole" operator="between">
      <formula1>1</formula1>
      <formula2>5</formula2>
    </dataValidation>
    <dataValidation sqref="G38" showDropDown="0" showInputMessage="0" showErrorMessage="0" allowBlank="0" type="list">
      <formula1>"Survey,Email_Reply,Meeting,Ticket,Call"</formula1>
    </dataValidation>
    <dataValidation sqref="M38" showDropDown="0" showInputMessage="0" showErrorMessage="0" allowBlank="0" type="list">
      <formula1>"Yes,Partial,No,Will_Use_Later"</formula1>
    </dataValidation>
    <dataValidation sqref="P38" showDropDown="0" showInputMessage="0" showErrorMessage="0" allowBlank="1" type="list">
      <formula1>"Yes,Maybe,No"</formula1>
    </dataValidation>
    <dataValidation sqref="S38" showDropDown="0" showInputMessage="0" showErrorMessage="0" allowBlank="0" type="list">
      <formula1>"Yes,No"</formula1>
    </dataValidation>
    <dataValidation sqref="H38" showDropDown="0" showInputMessage="0" showErrorMessage="0" allowBlank="1" type="whole" operator="between">
      <formula1>1</formula1>
      <formula2>5</formula2>
    </dataValidation>
    <dataValidation sqref="I38" showDropDown="0" showInputMessage="0" showErrorMessage="0" allowBlank="1" type="whole" operator="between">
      <formula1>1</formula1>
      <formula2>5</formula2>
    </dataValidation>
    <dataValidation sqref="J38" showDropDown="0" showInputMessage="0" showErrorMessage="0" allowBlank="1" type="whole" operator="between">
      <formula1>1</formula1>
      <formula2>5</formula2>
    </dataValidation>
    <dataValidation sqref="K38" showDropDown="0" showInputMessage="0" showErrorMessage="0" allowBlank="1" type="whole" operator="between">
      <formula1>1</formula1>
      <formula2>5</formula2>
    </dataValidation>
    <dataValidation sqref="L38" showDropDown="0" showInputMessage="0" showErrorMessage="0" allowBlank="1" type="whole" operator="between">
      <formula1>1</formula1>
      <formula2>5</formula2>
    </dataValidation>
    <dataValidation sqref="G39" showDropDown="0" showInputMessage="0" showErrorMessage="0" allowBlank="0" type="list">
      <formula1>"Survey,Email_Reply,Meeting,Ticket,Call"</formula1>
    </dataValidation>
    <dataValidation sqref="M39" showDropDown="0" showInputMessage="0" showErrorMessage="0" allowBlank="0" type="list">
      <formula1>"Yes,Partial,No,Will_Use_Later"</formula1>
    </dataValidation>
    <dataValidation sqref="P39" showDropDown="0" showInputMessage="0" showErrorMessage="0" allowBlank="1" type="list">
      <formula1>"Yes,Maybe,No"</formula1>
    </dataValidation>
    <dataValidation sqref="S39" showDropDown="0" showInputMessage="0" showErrorMessage="0" allowBlank="0" type="list">
      <formula1>"Yes,No"</formula1>
    </dataValidation>
    <dataValidation sqref="H39" showDropDown="0" showInputMessage="0" showErrorMessage="0" allowBlank="1" type="whole" operator="between">
      <formula1>1</formula1>
      <formula2>5</formula2>
    </dataValidation>
    <dataValidation sqref="I39" showDropDown="0" showInputMessage="0" showErrorMessage="0" allowBlank="1" type="whole" operator="between">
      <formula1>1</formula1>
      <formula2>5</formula2>
    </dataValidation>
    <dataValidation sqref="J39" showDropDown="0" showInputMessage="0" showErrorMessage="0" allowBlank="1" type="whole" operator="between">
      <formula1>1</formula1>
      <formula2>5</formula2>
    </dataValidation>
    <dataValidation sqref="K39" showDropDown="0" showInputMessage="0" showErrorMessage="0" allowBlank="1" type="whole" operator="between">
      <formula1>1</formula1>
      <formula2>5</formula2>
    </dataValidation>
    <dataValidation sqref="L39" showDropDown="0" showInputMessage="0" showErrorMessage="0" allowBlank="1" type="whole" operator="between">
      <formula1>1</formula1>
      <formula2>5</formula2>
    </dataValidation>
    <dataValidation sqref="G40" showDropDown="0" showInputMessage="0" showErrorMessage="0" allowBlank="0" type="list">
      <formula1>"Survey,Email_Reply,Meeting,Ticket,Call"</formula1>
    </dataValidation>
    <dataValidation sqref="M40" showDropDown="0" showInputMessage="0" showErrorMessage="0" allowBlank="0" type="list">
      <formula1>"Yes,Partial,No,Will_Use_Later"</formula1>
    </dataValidation>
    <dataValidation sqref="P40" showDropDown="0" showInputMessage="0" showErrorMessage="0" allowBlank="1" type="list">
      <formula1>"Yes,Maybe,No"</formula1>
    </dataValidation>
    <dataValidation sqref="S40" showDropDown="0" showInputMessage="0" showErrorMessage="0" allowBlank="0" type="list">
      <formula1>"Yes,No"</formula1>
    </dataValidation>
    <dataValidation sqref="H40" showDropDown="0" showInputMessage="0" showErrorMessage="0" allowBlank="1" type="whole" operator="between">
      <formula1>1</formula1>
      <formula2>5</formula2>
    </dataValidation>
    <dataValidation sqref="I40" showDropDown="0" showInputMessage="0" showErrorMessage="0" allowBlank="1" type="whole" operator="between">
      <formula1>1</formula1>
      <formula2>5</formula2>
    </dataValidation>
    <dataValidation sqref="J40" showDropDown="0" showInputMessage="0" showErrorMessage="0" allowBlank="1" type="whole" operator="between">
      <formula1>1</formula1>
      <formula2>5</formula2>
    </dataValidation>
    <dataValidation sqref="K40" showDropDown="0" showInputMessage="0" showErrorMessage="0" allowBlank="1" type="whole" operator="between">
      <formula1>1</formula1>
      <formula2>5</formula2>
    </dataValidation>
    <dataValidation sqref="L40" showDropDown="0" showInputMessage="0" showErrorMessage="0" allowBlank="1" type="whole" operator="between">
      <formula1>1</formula1>
      <formula2>5</formula2>
    </dataValidation>
    <dataValidation sqref="G41" showDropDown="0" showInputMessage="0" showErrorMessage="0" allowBlank="0" type="list">
      <formula1>"Survey,Email_Reply,Meeting,Ticket,Call"</formula1>
    </dataValidation>
    <dataValidation sqref="M41" showDropDown="0" showInputMessage="0" showErrorMessage="0" allowBlank="0" type="list">
      <formula1>"Yes,Partial,No,Will_Use_Later"</formula1>
    </dataValidation>
    <dataValidation sqref="P41" showDropDown="0" showInputMessage="0" showErrorMessage="0" allowBlank="1" type="list">
      <formula1>"Yes,Maybe,No"</formula1>
    </dataValidation>
    <dataValidation sqref="S41" showDropDown="0" showInputMessage="0" showErrorMessage="0" allowBlank="0" type="list">
      <formula1>"Yes,No"</formula1>
    </dataValidation>
    <dataValidation sqref="H41" showDropDown="0" showInputMessage="0" showErrorMessage="0" allowBlank="1" type="whole" operator="between">
      <formula1>1</formula1>
      <formula2>5</formula2>
    </dataValidation>
    <dataValidation sqref="I41" showDropDown="0" showInputMessage="0" showErrorMessage="0" allowBlank="1" type="whole" operator="between">
      <formula1>1</formula1>
      <formula2>5</formula2>
    </dataValidation>
    <dataValidation sqref="J41" showDropDown="0" showInputMessage="0" showErrorMessage="0" allowBlank="1" type="whole" operator="between">
      <formula1>1</formula1>
      <formula2>5</formula2>
    </dataValidation>
    <dataValidation sqref="K41" showDropDown="0" showInputMessage="0" showErrorMessage="0" allowBlank="1" type="whole" operator="between">
      <formula1>1</formula1>
      <formula2>5</formula2>
    </dataValidation>
    <dataValidation sqref="L41" showDropDown="0" showInputMessage="0" showErrorMessage="0" allowBlank="1" type="whole" operator="between">
      <formula1>1</formula1>
      <formula2>5</formula2>
    </dataValidation>
    <dataValidation sqref="G42" showDropDown="0" showInputMessage="0" showErrorMessage="0" allowBlank="0" type="list">
      <formula1>"Survey,Email_Reply,Meeting,Ticket,Call"</formula1>
    </dataValidation>
    <dataValidation sqref="M42" showDropDown="0" showInputMessage="0" showErrorMessage="0" allowBlank="0" type="list">
      <formula1>"Yes,Partial,No,Will_Use_Later"</formula1>
    </dataValidation>
    <dataValidation sqref="P42" showDropDown="0" showInputMessage="0" showErrorMessage="0" allowBlank="1" type="list">
      <formula1>"Yes,Maybe,No"</formula1>
    </dataValidation>
    <dataValidation sqref="S42" showDropDown="0" showInputMessage="0" showErrorMessage="0" allowBlank="0" type="list">
      <formula1>"Yes,No"</formula1>
    </dataValidation>
    <dataValidation sqref="H42" showDropDown="0" showInputMessage="0" showErrorMessage="0" allowBlank="1" type="whole" operator="between">
      <formula1>1</formula1>
      <formula2>5</formula2>
    </dataValidation>
    <dataValidation sqref="I42" showDropDown="0" showInputMessage="0" showErrorMessage="0" allowBlank="1" type="whole" operator="between">
      <formula1>1</formula1>
      <formula2>5</formula2>
    </dataValidation>
    <dataValidation sqref="J42" showDropDown="0" showInputMessage="0" showErrorMessage="0" allowBlank="1" type="whole" operator="between">
      <formula1>1</formula1>
      <formula2>5</formula2>
    </dataValidation>
    <dataValidation sqref="K42" showDropDown="0" showInputMessage="0" showErrorMessage="0" allowBlank="1" type="whole" operator="between">
      <formula1>1</formula1>
      <formula2>5</formula2>
    </dataValidation>
    <dataValidation sqref="L42" showDropDown="0" showInputMessage="0" showErrorMessage="0" allowBlank="1" type="whole" operator="between">
      <formula1>1</formula1>
      <formula2>5</formula2>
    </dataValidation>
    <dataValidation sqref="G43" showDropDown="0" showInputMessage="0" showErrorMessage="0" allowBlank="0" type="list">
      <formula1>"Survey,Email_Reply,Meeting,Ticket,Call"</formula1>
    </dataValidation>
    <dataValidation sqref="M43" showDropDown="0" showInputMessage="0" showErrorMessage="0" allowBlank="0" type="list">
      <formula1>"Yes,Partial,No,Will_Use_Later"</formula1>
    </dataValidation>
    <dataValidation sqref="P43" showDropDown="0" showInputMessage="0" showErrorMessage="0" allowBlank="1" type="list">
      <formula1>"Yes,Maybe,No"</formula1>
    </dataValidation>
    <dataValidation sqref="S43" showDropDown="0" showInputMessage="0" showErrorMessage="0" allowBlank="0" type="list">
      <formula1>"Yes,No"</formula1>
    </dataValidation>
    <dataValidation sqref="H43" showDropDown="0" showInputMessage="0" showErrorMessage="0" allowBlank="1" type="whole" operator="between">
      <formula1>1</formula1>
      <formula2>5</formula2>
    </dataValidation>
    <dataValidation sqref="I43" showDropDown="0" showInputMessage="0" showErrorMessage="0" allowBlank="1" type="whole" operator="between">
      <formula1>1</formula1>
      <formula2>5</formula2>
    </dataValidation>
    <dataValidation sqref="J43" showDropDown="0" showInputMessage="0" showErrorMessage="0" allowBlank="1" type="whole" operator="between">
      <formula1>1</formula1>
      <formula2>5</formula2>
    </dataValidation>
    <dataValidation sqref="K43" showDropDown="0" showInputMessage="0" showErrorMessage="0" allowBlank="1" type="whole" operator="between">
      <formula1>1</formula1>
      <formula2>5</formula2>
    </dataValidation>
    <dataValidation sqref="L43" showDropDown="0" showInputMessage="0" showErrorMessage="0" allowBlank="1" type="whole" operator="between">
      <formula1>1</formula1>
      <formula2>5</formula2>
    </dataValidation>
    <dataValidation sqref="G44" showDropDown="0" showInputMessage="0" showErrorMessage="0" allowBlank="0" type="list">
      <formula1>"Survey,Email_Reply,Meeting,Ticket,Call"</formula1>
    </dataValidation>
    <dataValidation sqref="M44" showDropDown="0" showInputMessage="0" showErrorMessage="0" allowBlank="0" type="list">
      <formula1>"Yes,Partial,No,Will_Use_Later"</formula1>
    </dataValidation>
    <dataValidation sqref="P44" showDropDown="0" showInputMessage="0" showErrorMessage="0" allowBlank="1" type="list">
      <formula1>"Yes,Maybe,No"</formula1>
    </dataValidation>
    <dataValidation sqref="S44" showDropDown="0" showInputMessage="0" showErrorMessage="0" allowBlank="0" type="list">
      <formula1>"Yes,No"</formula1>
    </dataValidation>
    <dataValidation sqref="H44" showDropDown="0" showInputMessage="0" showErrorMessage="0" allowBlank="1" type="whole" operator="between">
      <formula1>1</formula1>
      <formula2>5</formula2>
    </dataValidation>
    <dataValidation sqref="I44" showDropDown="0" showInputMessage="0" showErrorMessage="0" allowBlank="1" type="whole" operator="between">
      <formula1>1</formula1>
      <formula2>5</formula2>
    </dataValidation>
    <dataValidation sqref="J44" showDropDown="0" showInputMessage="0" showErrorMessage="0" allowBlank="1" type="whole" operator="between">
      <formula1>1</formula1>
      <formula2>5</formula2>
    </dataValidation>
    <dataValidation sqref="K44" showDropDown="0" showInputMessage="0" showErrorMessage="0" allowBlank="1" type="whole" operator="between">
      <formula1>1</formula1>
      <formula2>5</formula2>
    </dataValidation>
    <dataValidation sqref="L44" showDropDown="0" showInputMessage="0" showErrorMessage="0" allowBlank="1" type="whole" operator="between">
      <formula1>1</formula1>
      <formula2>5</formula2>
    </dataValidation>
    <dataValidation sqref="G45" showDropDown="0" showInputMessage="0" showErrorMessage="0" allowBlank="0" type="list">
      <formula1>"Survey,Email_Reply,Meeting,Ticket,Call"</formula1>
    </dataValidation>
    <dataValidation sqref="M45" showDropDown="0" showInputMessage="0" showErrorMessage="0" allowBlank="0" type="list">
      <formula1>"Yes,Partial,No,Will_Use_Later"</formula1>
    </dataValidation>
    <dataValidation sqref="P45" showDropDown="0" showInputMessage="0" showErrorMessage="0" allowBlank="1" type="list">
      <formula1>"Yes,Maybe,No"</formula1>
    </dataValidation>
    <dataValidation sqref="S45" showDropDown="0" showInputMessage="0" showErrorMessage="0" allowBlank="0" type="list">
      <formula1>"Yes,No"</formula1>
    </dataValidation>
    <dataValidation sqref="H45" showDropDown="0" showInputMessage="0" showErrorMessage="0" allowBlank="1" type="whole" operator="between">
      <formula1>1</formula1>
      <formula2>5</formula2>
    </dataValidation>
    <dataValidation sqref="I45" showDropDown="0" showInputMessage="0" showErrorMessage="0" allowBlank="1" type="whole" operator="between">
      <formula1>1</formula1>
      <formula2>5</formula2>
    </dataValidation>
    <dataValidation sqref="J45" showDropDown="0" showInputMessage="0" showErrorMessage="0" allowBlank="1" type="whole" operator="between">
      <formula1>1</formula1>
      <formula2>5</formula2>
    </dataValidation>
    <dataValidation sqref="K45" showDropDown="0" showInputMessage="0" showErrorMessage="0" allowBlank="1" type="whole" operator="between">
      <formula1>1</formula1>
      <formula2>5</formula2>
    </dataValidation>
    <dataValidation sqref="L45" showDropDown="0" showInputMessage="0" showErrorMessage="0" allowBlank="1" type="whole" operator="between">
      <formula1>1</formula1>
      <formula2>5</formula2>
    </dataValidation>
    <dataValidation sqref="G46" showDropDown="0" showInputMessage="0" showErrorMessage="0" allowBlank="0" type="list">
      <formula1>"Survey,Email_Reply,Meeting,Ticket,Call"</formula1>
    </dataValidation>
    <dataValidation sqref="M46" showDropDown="0" showInputMessage="0" showErrorMessage="0" allowBlank="0" type="list">
      <formula1>"Yes,Partial,No,Will_Use_Later"</formula1>
    </dataValidation>
    <dataValidation sqref="P46" showDropDown="0" showInputMessage="0" showErrorMessage="0" allowBlank="1" type="list">
      <formula1>"Yes,Maybe,No"</formula1>
    </dataValidation>
    <dataValidation sqref="S46" showDropDown="0" showInputMessage="0" showErrorMessage="0" allowBlank="0" type="list">
      <formula1>"Yes,No"</formula1>
    </dataValidation>
    <dataValidation sqref="H46" showDropDown="0" showInputMessage="0" showErrorMessage="0" allowBlank="1" type="whole" operator="between">
      <formula1>1</formula1>
      <formula2>5</formula2>
    </dataValidation>
    <dataValidation sqref="I46" showDropDown="0" showInputMessage="0" showErrorMessage="0" allowBlank="1" type="whole" operator="between">
      <formula1>1</formula1>
      <formula2>5</formula2>
    </dataValidation>
    <dataValidation sqref="J46" showDropDown="0" showInputMessage="0" showErrorMessage="0" allowBlank="1" type="whole" operator="between">
      <formula1>1</formula1>
      <formula2>5</formula2>
    </dataValidation>
    <dataValidation sqref="K46" showDropDown="0" showInputMessage="0" showErrorMessage="0" allowBlank="1" type="whole" operator="between">
      <formula1>1</formula1>
      <formula2>5</formula2>
    </dataValidation>
    <dataValidation sqref="L46" showDropDown="0" showInputMessage="0" showErrorMessage="0" allowBlank="1" type="whole" operator="between">
      <formula1>1</formula1>
      <formula2>5</formula2>
    </dataValidation>
    <dataValidation sqref="G47" showDropDown="0" showInputMessage="0" showErrorMessage="0" allowBlank="0" type="list">
      <formula1>"Survey,Email_Reply,Meeting,Ticket,Call"</formula1>
    </dataValidation>
    <dataValidation sqref="M47" showDropDown="0" showInputMessage="0" showErrorMessage="0" allowBlank="0" type="list">
      <formula1>"Yes,Partial,No,Will_Use_Later"</formula1>
    </dataValidation>
    <dataValidation sqref="P47" showDropDown="0" showInputMessage="0" showErrorMessage="0" allowBlank="1" type="list">
      <formula1>"Yes,Maybe,No"</formula1>
    </dataValidation>
    <dataValidation sqref="S47" showDropDown="0" showInputMessage="0" showErrorMessage="0" allowBlank="0" type="list">
      <formula1>"Yes,No"</formula1>
    </dataValidation>
    <dataValidation sqref="H47" showDropDown="0" showInputMessage="0" showErrorMessage="0" allowBlank="1" type="whole" operator="between">
      <formula1>1</formula1>
      <formula2>5</formula2>
    </dataValidation>
    <dataValidation sqref="I47" showDropDown="0" showInputMessage="0" showErrorMessage="0" allowBlank="1" type="whole" operator="between">
      <formula1>1</formula1>
      <formula2>5</formula2>
    </dataValidation>
    <dataValidation sqref="J47" showDropDown="0" showInputMessage="0" showErrorMessage="0" allowBlank="1" type="whole" operator="between">
      <formula1>1</formula1>
      <formula2>5</formula2>
    </dataValidation>
    <dataValidation sqref="K47" showDropDown="0" showInputMessage="0" showErrorMessage="0" allowBlank="1" type="whole" operator="between">
      <formula1>1</formula1>
      <formula2>5</formula2>
    </dataValidation>
    <dataValidation sqref="L47" showDropDown="0" showInputMessage="0" showErrorMessage="0" allowBlank="1" type="whole" operator="between">
      <formula1>1</formula1>
      <formula2>5</formula2>
    </dataValidation>
    <dataValidation sqref="G48" showDropDown="0" showInputMessage="0" showErrorMessage="0" allowBlank="0" type="list">
      <formula1>"Survey,Email_Reply,Meeting,Ticket,Call"</formula1>
    </dataValidation>
    <dataValidation sqref="M48" showDropDown="0" showInputMessage="0" showErrorMessage="0" allowBlank="0" type="list">
      <formula1>"Yes,Partial,No,Will_Use_Later"</formula1>
    </dataValidation>
    <dataValidation sqref="P48" showDropDown="0" showInputMessage="0" showErrorMessage="0" allowBlank="1" type="list">
      <formula1>"Yes,Maybe,No"</formula1>
    </dataValidation>
    <dataValidation sqref="S48" showDropDown="0" showInputMessage="0" showErrorMessage="0" allowBlank="0" type="list">
      <formula1>"Yes,No"</formula1>
    </dataValidation>
    <dataValidation sqref="H48" showDropDown="0" showInputMessage="0" showErrorMessage="0" allowBlank="1" type="whole" operator="between">
      <formula1>1</formula1>
      <formula2>5</formula2>
    </dataValidation>
    <dataValidation sqref="I48" showDropDown="0" showInputMessage="0" showErrorMessage="0" allowBlank="1" type="whole" operator="between">
      <formula1>1</formula1>
      <formula2>5</formula2>
    </dataValidation>
    <dataValidation sqref="J48" showDropDown="0" showInputMessage="0" showErrorMessage="0" allowBlank="1" type="whole" operator="between">
      <formula1>1</formula1>
      <formula2>5</formula2>
    </dataValidation>
    <dataValidation sqref="K48" showDropDown="0" showInputMessage="0" showErrorMessage="0" allowBlank="1" type="whole" operator="between">
      <formula1>1</formula1>
      <formula2>5</formula2>
    </dataValidation>
    <dataValidation sqref="L48" showDropDown="0" showInputMessage="0" showErrorMessage="0" allowBlank="1" type="whole" operator="between">
      <formula1>1</formula1>
      <formula2>5</formula2>
    </dataValidation>
    <dataValidation sqref="G49" showDropDown="0" showInputMessage="0" showErrorMessage="0" allowBlank="0" type="list">
      <formula1>"Survey,Email_Reply,Meeting,Ticket,Call"</formula1>
    </dataValidation>
    <dataValidation sqref="M49" showDropDown="0" showInputMessage="0" showErrorMessage="0" allowBlank="0" type="list">
      <formula1>"Yes,Partial,No,Will_Use_Later"</formula1>
    </dataValidation>
    <dataValidation sqref="P49" showDropDown="0" showInputMessage="0" showErrorMessage="0" allowBlank="1" type="list">
      <formula1>"Yes,Maybe,No"</formula1>
    </dataValidation>
    <dataValidation sqref="S49" showDropDown="0" showInputMessage="0" showErrorMessage="0" allowBlank="0" type="list">
      <formula1>"Yes,No"</formula1>
    </dataValidation>
    <dataValidation sqref="H49" showDropDown="0" showInputMessage="0" showErrorMessage="0" allowBlank="1" type="whole" operator="between">
      <formula1>1</formula1>
      <formula2>5</formula2>
    </dataValidation>
    <dataValidation sqref="I49" showDropDown="0" showInputMessage="0" showErrorMessage="0" allowBlank="1" type="whole" operator="between">
      <formula1>1</formula1>
      <formula2>5</formula2>
    </dataValidation>
    <dataValidation sqref="J49" showDropDown="0" showInputMessage="0" showErrorMessage="0" allowBlank="1" type="whole" operator="between">
      <formula1>1</formula1>
      <formula2>5</formula2>
    </dataValidation>
    <dataValidation sqref="K49" showDropDown="0" showInputMessage="0" showErrorMessage="0" allowBlank="1" type="whole" operator="between">
      <formula1>1</formula1>
      <formula2>5</formula2>
    </dataValidation>
    <dataValidation sqref="L49" showDropDown="0" showInputMessage="0" showErrorMessage="0" allowBlank="1" type="whole" operator="between">
      <formula1>1</formula1>
      <formula2>5</formula2>
    </dataValidation>
    <dataValidation sqref="G50" showDropDown="0" showInputMessage="0" showErrorMessage="0" allowBlank="0" type="list">
      <formula1>"Survey,Email_Reply,Meeting,Ticket,Call"</formula1>
    </dataValidation>
    <dataValidation sqref="M50" showDropDown="0" showInputMessage="0" showErrorMessage="0" allowBlank="0" type="list">
      <formula1>"Yes,Partial,No,Will_Use_Later"</formula1>
    </dataValidation>
    <dataValidation sqref="P50" showDropDown="0" showInputMessage="0" showErrorMessage="0" allowBlank="1" type="list">
      <formula1>"Yes,Maybe,No"</formula1>
    </dataValidation>
    <dataValidation sqref="S50" showDropDown="0" showInputMessage="0" showErrorMessage="0" allowBlank="0" type="list">
      <formula1>"Yes,No"</formula1>
    </dataValidation>
    <dataValidation sqref="H50" showDropDown="0" showInputMessage="0" showErrorMessage="0" allowBlank="1" type="whole" operator="between">
      <formula1>1</formula1>
      <formula2>5</formula2>
    </dataValidation>
    <dataValidation sqref="I50" showDropDown="0" showInputMessage="0" showErrorMessage="0" allowBlank="1" type="whole" operator="between">
      <formula1>1</formula1>
      <formula2>5</formula2>
    </dataValidation>
    <dataValidation sqref="J50" showDropDown="0" showInputMessage="0" showErrorMessage="0" allowBlank="1" type="whole" operator="between">
      <formula1>1</formula1>
      <formula2>5</formula2>
    </dataValidation>
    <dataValidation sqref="K50" showDropDown="0" showInputMessage="0" showErrorMessage="0" allowBlank="1" type="whole" operator="between">
      <formula1>1</formula1>
      <formula2>5</formula2>
    </dataValidation>
    <dataValidation sqref="L50" showDropDown="0" showInputMessage="0" showErrorMessage="0" allowBlank="1" type="whole" operator="between">
      <formula1>1</formula1>
      <formula2>5</formula2>
    </dataValidation>
    <dataValidation sqref="G51" showDropDown="0" showInputMessage="0" showErrorMessage="0" allowBlank="0" type="list">
      <formula1>"Survey,Email_Reply,Meeting,Ticket,Call"</formula1>
    </dataValidation>
    <dataValidation sqref="M51" showDropDown="0" showInputMessage="0" showErrorMessage="0" allowBlank="0" type="list">
      <formula1>"Yes,Partial,No,Will_Use_Later"</formula1>
    </dataValidation>
    <dataValidation sqref="P51" showDropDown="0" showInputMessage="0" showErrorMessage="0" allowBlank="1" type="list">
      <formula1>"Yes,Maybe,No"</formula1>
    </dataValidation>
    <dataValidation sqref="S51" showDropDown="0" showInputMessage="0" showErrorMessage="0" allowBlank="0" type="list">
      <formula1>"Yes,No"</formula1>
    </dataValidation>
    <dataValidation sqref="H51" showDropDown="0" showInputMessage="0" showErrorMessage="0" allowBlank="1" type="whole" operator="between">
      <formula1>1</formula1>
      <formula2>5</formula2>
    </dataValidation>
    <dataValidation sqref="I51" showDropDown="0" showInputMessage="0" showErrorMessage="0" allowBlank="1" type="whole" operator="between">
      <formula1>1</formula1>
      <formula2>5</formula2>
    </dataValidation>
    <dataValidation sqref="J51" showDropDown="0" showInputMessage="0" showErrorMessage="0" allowBlank="1" type="whole" operator="between">
      <formula1>1</formula1>
      <formula2>5</formula2>
    </dataValidation>
    <dataValidation sqref="K51" showDropDown="0" showInputMessage="0" showErrorMessage="0" allowBlank="1" type="whole" operator="between">
      <formula1>1</formula1>
      <formula2>5</formula2>
    </dataValidation>
    <dataValidation sqref="L51" showDropDown="0" showInputMessage="0" showErrorMessage="0" allowBlank="1" type="whole" operator="between">
      <formula1>1</formula1>
      <formula2>5</formula2>
    </dataValidation>
    <dataValidation sqref="G52" showDropDown="0" showInputMessage="0" showErrorMessage="0" allowBlank="0" type="list">
      <formula1>"Survey,Email_Reply,Meeting,Ticket,Call"</formula1>
    </dataValidation>
    <dataValidation sqref="M52" showDropDown="0" showInputMessage="0" showErrorMessage="0" allowBlank="0" type="list">
      <formula1>"Yes,Partial,No,Will_Use_Later"</formula1>
    </dataValidation>
    <dataValidation sqref="P52" showDropDown="0" showInputMessage="0" showErrorMessage="0" allowBlank="1" type="list">
      <formula1>"Yes,Maybe,No"</formula1>
    </dataValidation>
    <dataValidation sqref="S52" showDropDown="0" showInputMessage="0" showErrorMessage="0" allowBlank="0" type="list">
      <formula1>"Yes,No"</formula1>
    </dataValidation>
    <dataValidation sqref="H52" showDropDown="0" showInputMessage="0" showErrorMessage="0" allowBlank="1" type="whole" operator="between">
      <formula1>1</formula1>
      <formula2>5</formula2>
    </dataValidation>
    <dataValidation sqref="I52" showDropDown="0" showInputMessage="0" showErrorMessage="0" allowBlank="1" type="whole" operator="between">
      <formula1>1</formula1>
      <formula2>5</formula2>
    </dataValidation>
    <dataValidation sqref="J52" showDropDown="0" showInputMessage="0" showErrorMessage="0" allowBlank="1" type="whole" operator="between">
      <formula1>1</formula1>
      <formula2>5</formula2>
    </dataValidation>
    <dataValidation sqref="K52" showDropDown="0" showInputMessage="0" showErrorMessage="0" allowBlank="1" type="whole" operator="between">
      <formula1>1</formula1>
      <formula2>5</formula2>
    </dataValidation>
    <dataValidation sqref="L52" showDropDown="0" showInputMessage="0" showErrorMessage="0" allowBlank="1" type="whole" operator="between">
      <formula1>1</formula1>
      <formula2>5</formula2>
    </dataValidation>
    <dataValidation sqref="G53" showDropDown="0" showInputMessage="0" showErrorMessage="0" allowBlank="0" type="list">
      <formula1>"Survey,Email_Reply,Meeting,Ticket,Call"</formula1>
    </dataValidation>
    <dataValidation sqref="M53" showDropDown="0" showInputMessage="0" showErrorMessage="0" allowBlank="0" type="list">
      <formula1>"Yes,Partial,No,Will_Use_Later"</formula1>
    </dataValidation>
    <dataValidation sqref="P53" showDropDown="0" showInputMessage="0" showErrorMessage="0" allowBlank="1" type="list">
      <formula1>"Yes,Maybe,No"</formula1>
    </dataValidation>
    <dataValidation sqref="S53" showDropDown="0" showInputMessage="0" showErrorMessage="0" allowBlank="0" type="list">
      <formula1>"Yes,No"</formula1>
    </dataValidation>
    <dataValidation sqref="H53" showDropDown="0" showInputMessage="0" showErrorMessage="0" allowBlank="1" type="whole" operator="between">
      <formula1>1</formula1>
      <formula2>5</formula2>
    </dataValidation>
    <dataValidation sqref="I53" showDropDown="0" showInputMessage="0" showErrorMessage="0" allowBlank="1" type="whole" operator="between">
      <formula1>1</formula1>
      <formula2>5</formula2>
    </dataValidation>
    <dataValidation sqref="J53" showDropDown="0" showInputMessage="0" showErrorMessage="0" allowBlank="1" type="whole" operator="between">
      <formula1>1</formula1>
      <formula2>5</formula2>
    </dataValidation>
    <dataValidation sqref="K53" showDropDown="0" showInputMessage="0" showErrorMessage="0" allowBlank="1" type="whole" operator="between">
      <formula1>1</formula1>
      <formula2>5</formula2>
    </dataValidation>
    <dataValidation sqref="L53" showDropDown="0" showInputMessage="0" showErrorMessage="0" allowBlank="1" type="whole" operator="between">
      <formula1>1</formula1>
      <formula2>5</formula2>
    </dataValidation>
    <dataValidation sqref="G54" showDropDown="0" showInputMessage="0" showErrorMessage="0" allowBlank="0" type="list">
      <formula1>"Survey,Email_Reply,Meeting,Ticket,Call"</formula1>
    </dataValidation>
    <dataValidation sqref="M54" showDropDown="0" showInputMessage="0" showErrorMessage="0" allowBlank="0" type="list">
      <formula1>"Yes,Partial,No,Will_Use_Later"</formula1>
    </dataValidation>
    <dataValidation sqref="P54" showDropDown="0" showInputMessage="0" showErrorMessage="0" allowBlank="1" type="list">
      <formula1>"Yes,Maybe,No"</formula1>
    </dataValidation>
    <dataValidation sqref="S54" showDropDown="0" showInputMessage="0" showErrorMessage="0" allowBlank="0" type="list">
      <formula1>"Yes,No"</formula1>
    </dataValidation>
    <dataValidation sqref="H54" showDropDown="0" showInputMessage="0" showErrorMessage="0" allowBlank="1" type="whole" operator="between">
      <formula1>1</formula1>
      <formula2>5</formula2>
    </dataValidation>
    <dataValidation sqref="I54" showDropDown="0" showInputMessage="0" showErrorMessage="0" allowBlank="1" type="whole" operator="between">
      <formula1>1</formula1>
      <formula2>5</formula2>
    </dataValidation>
    <dataValidation sqref="J54" showDropDown="0" showInputMessage="0" showErrorMessage="0" allowBlank="1" type="whole" operator="between">
      <formula1>1</formula1>
      <formula2>5</formula2>
    </dataValidation>
    <dataValidation sqref="K54" showDropDown="0" showInputMessage="0" showErrorMessage="0" allowBlank="1" type="whole" operator="between">
      <formula1>1</formula1>
      <formula2>5</formula2>
    </dataValidation>
    <dataValidation sqref="L54" showDropDown="0" showInputMessage="0" showErrorMessage="0" allowBlank="1" type="whole" operator="between">
      <formula1>1</formula1>
      <formula2>5</formula2>
    </dataValidation>
    <dataValidation sqref="G55" showDropDown="0" showInputMessage="0" showErrorMessage="0" allowBlank="0" type="list">
      <formula1>"Survey,Email_Reply,Meeting,Ticket,Call"</formula1>
    </dataValidation>
    <dataValidation sqref="M55" showDropDown="0" showInputMessage="0" showErrorMessage="0" allowBlank="0" type="list">
      <formula1>"Yes,Partial,No,Will_Use_Later"</formula1>
    </dataValidation>
    <dataValidation sqref="P55" showDropDown="0" showInputMessage="0" showErrorMessage="0" allowBlank="1" type="list">
      <formula1>"Yes,Maybe,No"</formula1>
    </dataValidation>
    <dataValidation sqref="S55" showDropDown="0" showInputMessage="0" showErrorMessage="0" allowBlank="0" type="list">
      <formula1>"Yes,No"</formula1>
    </dataValidation>
    <dataValidation sqref="H55" showDropDown="0" showInputMessage="0" showErrorMessage="0" allowBlank="1" type="whole" operator="between">
      <formula1>1</formula1>
      <formula2>5</formula2>
    </dataValidation>
    <dataValidation sqref="I55" showDropDown="0" showInputMessage="0" showErrorMessage="0" allowBlank="1" type="whole" operator="between">
      <formula1>1</formula1>
      <formula2>5</formula2>
    </dataValidation>
    <dataValidation sqref="J55" showDropDown="0" showInputMessage="0" showErrorMessage="0" allowBlank="1" type="whole" operator="between">
      <formula1>1</formula1>
      <formula2>5</formula2>
    </dataValidation>
    <dataValidation sqref="K55" showDropDown="0" showInputMessage="0" showErrorMessage="0" allowBlank="1" type="whole" operator="between">
      <formula1>1</formula1>
      <formula2>5</formula2>
    </dataValidation>
    <dataValidation sqref="L55" showDropDown="0" showInputMessage="0" showErrorMessage="0" allowBlank="1" type="whole" operator="between">
      <formula1>1</formula1>
      <formula2>5</formula2>
    </dataValidation>
    <dataValidation sqref="G56" showDropDown="0" showInputMessage="0" showErrorMessage="0" allowBlank="0" type="list">
      <formula1>"Survey,Email_Reply,Meeting,Ticket,Call"</formula1>
    </dataValidation>
    <dataValidation sqref="M56" showDropDown="0" showInputMessage="0" showErrorMessage="0" allowBlank="0" type="list">
      <formula1>"Yes,Partial,No,Will_Use_Later"</formula1>
    </dataValidation>
    <dataValidation sqref="P56" showDropDown="0" showInputMessage="0" showErrorMessage="0" allowBlank="1" type="list">
      <formula1>"Yes,Maybe,No"</formula1>
    </dataValidation>
    <dataValidation sqref="S56" showDropDown="0" showInputMessage="0" showErrorMessage="0" allowBlank="0" type="list">
      <formula1>"Yes,No"</formula1>
    </dataValidation>
    <dataValidation sqref="H56" showDropDown="0" showInputMessage="0" showErrorMessage="0" allowBlank="1" type="whole" operator="between">
      <formula1>1</formula1>
      <formula2>5</formula2>
    </dataValidation>
    <dataValidation sqref="I56" showDropDown="0" showInputMessage="0" showErrorMessage="0" allowBlank="1" type="whole" operator="between">
      <formula1>1</formula1>
      <formula2>5</formula2>
    </dataValidation>
    <dataValidation sqref="J56" showDropDown="0" showInputMessage="0" showErrorMessage="0" allowBlank="1" type="whole" operator="between">
      <formula1>1</formula1>
      <formula2>5</formula2>
    </dataValidation>
    <dataValidation sqref="K56" showDropDown="0" showInputMessage="0" showErrorMessage="0" allowBlank="1" type="whole" operator="between">
      <formula1>1</formula1>
      <formula2>5</formula2>
    </dataValidation>
    <dataValidation sqref="L56" showDropDown="0" showInputMessage="0" showErrorMessage="0" allowBlank="1" type="whole" operator="between">
      <formula1>1</formula1>
      <formula2>5</formula2>
    </dataValidation>
    <dataValidation sqref="G57" showDropDown="0" showInputMessage="0" showErrorMessage="0" allowBlank="0" type="list">
      <formula1>"Survey,Email_Reply,Meeting,Ticket,Call"</formula1>
    </dataValidation>
    <dataValidation sqref="M57" showDropDown="0" showInputMessage="0" showErrorMessage="0" allowBlank="0" type="list">
      <formula1>"Yes,Partial,No,Will_Use_Later"</formula1>
    </dataValidation>
    <dataValidation sqref="P57" showDropDown="0" showInputMessage="0" showErrorMessage="0" allowBlank="1" type="list">
      <formula1>"Yes,Maybe,No"</formula1>
    </dataValidation>
    <dataValidation sqref="S57" showDropDown="0" showInputMessage="0" showErrorMessage="0" allowBlank="0" type="list">
      <formula1>"Yes,No"</formula1>
    </dataValidation>
    <dataValidation sqref="H57" showDropDown="0" showInputMessage="0" showErrorMessage="0" allowBlank="1" type="whole" operator="between">
      <formula1>1</formula1>
      <formula2>5</formula2>
    </dataValidation>
    <dataValidation sqref="I57" showDropDown="0" showInputMessage="0" showErrorMessage="0" allowBlank="1" type="whole" operator="between">
      <formula1>1</formula1>
      <formula2>5</formula2>
    </dataValidation>
    <dataValidation sqref="J57" showDropDown="0" showInputMessage="0" showErrorMessage="0" allowBlank="1" type="whole" operator="between">
      <formula1>1</formula1>
      <formula2>5</formula2>
    </dataValidation>
    <dataValidation sqref="K57" showDropDown="0" showInputMessage="0" showErrorMessage="0" allowBlank="1" type="whole" operator="between">
      <formula1>1</formula1>
      <formula2>5</formula2>
    </dataValidation>
    <dataValidation sqref="L57" showDropDown="0" showInputMessage="0" showErrorMessage="0" allowBlank="1" type="whole" operator="between">
      <formula1>1</formula1>
      <formula2>5</formula2>
    </dataValidation>
    <dataValidation sqref="G58" showDropDown="0" showInputMessage="0" showErrorMessage="0" allowBlank="0" type="list">
      <formula1>"Survey,Email_Reply,Meeting,Ticket,Call"</formula1>
    </dataValidation>
    <dataValidation sqref="M58" showDropDown="0" showInputMessage="0" showErrorMessage="0" allowBlank="0" type="list">
      <formula1>"Yes,Partial,No,Will_Use_Later"</formula1>
    </dataValidation>
    <dataValidation sqref="P58" showDropDown="0" showInputMessage="0" showErrorMessage="0" allowBlank="1" type="list">
      <formula1>"Yes,Maybe,No"</formula1>
    </dataValidation>
    <dataValidation sqref="S58" showDropDown="0" showInputMessage="0" showErrorMessage="0" allowBlank="0" type="list">
      <formula1>"Yes,No"</formula1>
    </dataValidation>
    <dataValidation sqref="H58" showDropDown="0" showInputMessage="0" showErrorMessage="0" allowBlank="1" type="whole" operator="between">
      <formula1>1</formula1>
      <formula2>5</formula2>
    </dataValidation>
    <dataValidation sqref="I58" showDropDown="0" showInputMessage="0" showErrorMessage="0" allowBlank="1" type="whole" operator="between">
      <formula1>1</formula1>
      <formula2>5</formula2>
    </dataValidation>
    <dataValidation sqref="J58" showDropDown="0" showInputMessage="0" showErrorMessage="0" allowBlank="1" type="whole" operator="between">
      <formula1>1</formula1>
      <formula2>5</formula2>
    </dataValidation>
    <dataValidation sqref="K58" showDropDown="0" showInputMessage="0" showErrorMessage="0" allowBlank="1" type="whole" operator="between">
      <formula1>1</formula1>
      <formula2>5</formula2>
    </dataValidation>
    <dataValidation sqref="L58" showDropDown="0" showInputMessage="0" showErrorMessage="0" allowBlank="1" type="whole" operator="between">
      <formula1>1</formula1>
      <formula2>5</formula2>
    </dataValidation>
    <dataValidation sqref="G59" showDropDown="0" showInputMessage="0" showErrorMessage="0" allowBlank="0" type="list">
      <formula1>"Survey,Email_Reply,Meeting,Ticket,Call"</formula1>
    </dataValidation>
    <dataValidation sqref="M59" showDropDown="0" showInputMessage="0" showErrorMessage="0" allowBlank="0" type="list">
      <formula1>"Yes,Partial,No,Will_Use_Later"</formula1>
    </dataValidation>
    <dataValidation sqref="P59" showDropDown="0" showInputMessage="0" showErrorMessage="0" allowBlank="1" type="list">
      <formula1>"Yes,Maybe,No"</formula1>
    </dataValidation>
    <dataValidation sqref="S59" showDropDown="0" showInputMessage="0" showErrorMessage="0" allowBlank="0" type="list">
      <formula1>"Yes,No"</formula1>
    </dataValidation>
    <dataValidation sqref="H59" showDropDown="0" showInputMessage="0" showErrorMessage="0" allowBlank="1" type="whole" operator="between">
      <formula1>1</formula1>
      <formula2>5</formula2>
    </dataValidation>
    <dataValidation sqref="I59" showDropDown="0" showInputMessage="0" showErrorMessage="0" allowBlank="1" type="whole" operator="between">
      <formula1>1</formula1>
      <formula2>5</formula2>
    </dataValidation>
    <dataValidation sqref="J59" showDropDown="0" showInputMessage="0" showErrorMessage="0" allowBlank="1" type="whole" operator="between">
      <formula1>1</formula1>
      <formula2>5</formula2>
    </dataValidation>
    <dataValidation sqref="K59" showDropDown="0" showInputMessage="0" showErrorMessage="0" allowBlank="1" type="whole" operator="between">
      <formula1>1</formula1>
      <formula2>5</formula2>
    </dataValidation>
    <dataValidation sqref="L59" showDropDown="0" showInputMessage="0" showErrorMessage="0" allowBlank="1" type="whole" operator="between">
      <formula1>1</formula1>
      <formula2>5</formula2>
    </dataValidation>
    <dataValidation sqref="G60" showDropDown="0" showInputMessage="0" showErrorMessage="0" allowBlank="0" type="list">
      <formula1>"Survey,Email_Reply,Meeting,Ticket,Call"</formula1>
    </dataValidation>
    <dataValidation sqref="M60" showDropDown="0" showInputMessage="0" showErrorMessage="0" allowBlank="0" type="list">
      <formula1>"Yes,Partial,No,Will_Use_Later"</formula1>
    </dataValidation>
    <dataValidation sqref="P60" showDropDown="0" showInputMessage="0" showErrorMessage="0" allowBlank="1" type="list">
      <formula1>"Yes,Maybe,No"</formula1>
    </dataValidation>
    <dataValidation sqref="S60" showDropDown="0" showInputMessage="0" showErrorMessage="0" allowBlank="0" type="list">
      <formula1>"Yes,No"</formula1>
    </dataValidation>
    <dataValidation sqref="H60" showDropDown="0" showInputMessage="0" showErrorMessage="0" allowBlank="1" type="whole" operator="between">
      <formula1>1</formula1>
      <formula2>5</formula2>
    </dataValidation>
    <dataValidation sqref="I60" showDropDown="0" showInputMessage="0" showErrorMessage="0" allowBlank="1" type="whole" operator="between">
      <formula1>1</formula1>
      <formula2>5</formula2>
    </dataValidation>
    <dataValidation sqref="J60" showDropDown="0" showInputMessage="0" showErrorMessage="0" allowBlank="1" type="whole" operator="between">
      <formula1>1</formula1>
      <formula2>5</formula2>
    </dataValidation>
    <dataValidation sqref="K60" showDropDown="0" showInputMessage="0" showErrorMessage="0" allowBlank="1" type="whole" operator="between">
      <formula1>1</formula1>
      <formula2>5</formula2>
    </dataValidation>
    <dataValidation sqref="L60" showDropDown="0" showInputMessage="0" showErrorMessage="0" allowBlank="1" type="whole" operator="between">
      <formula1>1</formula1>
      <formula2>5</formula2>
    </dataValidation>
    <dataValidation sqref="G61" showDropDown="0" showInputMessage="0" showErrorMessage="0" allowBlank="0" type="list">
      <formula1>"Survey,Email_Reply,Meeting,Ticket,Call"</formula1>
    </dataValidation>
    <dataValidation sqref="M61" showDropDown="0" showInputMessage="0" showErrorMessage="0" allowBlank="0" type="list">
      <formula1>"Yes,Partial,No,Will_Use_Later"</formula1>
    </dataValidation>
    <dataValidation sqref="P61" showDropDown="0" showInputMessage="0" showErrorMessage="0" allowBlank="1" type="list">
      <formula1>"Yes,Maybe,No"</formula1>
    </dataValidation>
    <dataValidation sqref="S61" showDropDown="0" showInputMessage="0" showErrorMessage="0" allowBlank="0" type="list">
      <formula1>"Yes,No"</formula1>
    </dataValidation>
    <dataValidation sqref="H61" showDropDown="0" showInputMessage="0" showErrorMessage="0" allowBlank="1" type="whole" operator="between">
      <formula1>1</formula1>
      <formula2>5</formula2>
    </dataValidation>
    <dataValidation sqref="I61" showDropDown="0" showInputMessage="0" showErrorMessage="0" allowBlank="1" type="whole" operator="between">
      <formula1>1</formula1>
      <formula2>5</formula2>
    </dataValidation>
    <dataValidation sqref="J61" showDropDown="0" showInputMessage="0" showErrorMessage="0" allowBlank="1" type="whole" operator="between">
      <formula1>1</formula1>
      <formula2>5</formula2>
    </dataValidation>
    <dataValidation sqref="K61" showDropDown="0" showInputMessage="0" showErrorMessage="0" allowBlank="1" type="whole" operator="between">
      <formula1>1</formula1>
      <formula2>5</formula2>
    </dataValidation>
    <dataValidation sqref="L61" showDropDown="0" showInputMessage="0" showErrorMessage="0" allowBlank="1" type="whole" operator="between">
      <formula1>1</formula1>
      <formula2>5</formula2>
    </dataValidation>
    <dataValidation sqref="G62" showDropDown="0" showInputMessage="0" showErrorMessage="0" allowBlank="0" type="list">
      <formula1>"Survey,Email_Reply,Meeting,Ticket,Call"</formula1>
    </dataValidation>
    <dataValidation sqref="M62" showDropDown="0" showInputMessage="0" showErrorMessage="0" allowBlank="0" type="list">
      <formula1>"Yes,Partial,No,Will_Use_Later"</formula1>
    </dataValidation>
    <dataValidation sqref="P62" showDropDown="0" showInputMessage="0" showErrorMessage="0" allowBlank="1" type="list">
      <formula1>"Yes,Maybe,No"</formula1>
    </dataValidation>
    <dataValidation sqref="S62" showDropDown="0" showInputMessage="0" showErrorMessage="0" allowBlank="0" type="list">
      <formula1>"Yes,No"</formula1>
    </dataValidation>
    <dataValidation sqref="H62" showDropDown="0" showInputMessage="0" showErrorMessage="0" allowBlank="1" type="whole" operator="between">
      <formula1>1</formula1>
      <formula2>5</formula2>
    </dataValidation>
    <dataValidation sqref="I62" showDropDown="0" showInputMessage="0" showErrorMessage="0" allowBlank="1" type="whole" operator="between">
      <formula1>1</formula1>
      <formula2>5</formula2>
    </dataValidation>
    <dataValidation sqref="J62" showDropDown="0" showInputMessage="0" showErrorMessage="0" allowBlank="1" type="whole" operator="between">
      <formula1>1</formula1>
      <formula2>5</formula2>
    </dataValidation>
    <dataValidation sqref="K62" showDropDown="0" showInputMessage="0" showErrorMessage="0" allowBlank="1" type="whole" operator="between">
      <formula1>1</formula1>
      <formula2>5</formula2>
    </dataValidation>
    <dataValidation sqref="L62" showDropDown="0" showInputMessage="0" showErrorMessage="0" allowBlank="1" type="whole" operator="between">
      <formula1>1</formula1>
      <formula2>5</formula2>
    </dataValidation>
    <dataValidation sqref="G63" showDropDown="0" showInputMessage="0" showErrorMessage="0" allowBlank="0" type="list">
      <formula1>"Survey,Email_Reply,Meeting,Ticket,Call"</formula1>
    </dataValidation>
    <dataValidation sqref="M63" showDropDown="0" showInputMessage="0" showErrorMessage="0" allowBlank="0" type="list">
      <formula1>"Yes,Partial,No,Will_Use_Later"</formula1>
    </dataValidation>
    <dataValidation sqref="P63" showDropDown="0" showInputMessage="0" showErrorMessage="0" allowBlank="1" type="list">
      <formula1>"Yes,Maybe,No"</formula1>
    </dataValidation>
    <dataValidation sqref="S63" showDropDown="0" showInputMessage="0" showErrorMessage="0" allowBlank="0" type="list">
      <formula1>"Yes,No"</formula1>
    </dataValidation>
    <dataValidation sqref="H63" showDropDown="0" showInputMessage="0" showErrorMessage="0" allowBlank="1" type="whole" operator="between">
      <formula1>1</formula1>
      <formula2>5</formula2>
    </dataValidation>
    <dataValidation sqref="I63" showDropDown="0" showInputMessage="0" showErrorMessage="0" allowBlank="1" type="whole" operator="between">
      <formula1>1</formula1>
      <formula2>5</formula2>
    </dataValidation>
    <dataValidation sqref="J63" showDropDown="0" showInputMessage="0" showErrorMessage="0" allowBlank="1" type="whole" operator="between">
      <formula1>1</formula1>
      <formula2>5</formula2>
    </dataValidation>
    <dataValidation sqref="K63" showDropDown="0" showInputMessage="0" showErrorMessage="0" allowBlank="1" type="whole" operator="between">
      <formula1>1</formula1>
      <formula2>5</formula2>
    </dataValidation>
    <dataValidation sqref="L63" showDropDown="0" showInputMessage="0" showErrorMessage="0" allowBlank="1" type="whole" operator="between">
      <formula1>1</formula1>
      <formula2>5</formula2>
    </dataValidation>
    <dataValidation sqref="G64" showDropDown="0" showInputMessage="0" showErrorMessage="0" allowBlank="0" type="list">
      <formula1>"Survey,Email_Reply,Meeting,Ticket,Call"</formula1>
    </dataValidation>
    <dataValidation sqref="M64" showDropDown="0" showInputMessage="0" showErrorMessage="0" allowBlank="0" type="list">
      <formula1>"Yes,Partial,No,Will_Use_Later"</formula1>
    </dataValidation>
    <dataValidation sqref="P64" showDropDown="0" showInputMessage="0" showErrorMessage="0" allowBlank="1" type="list">
      <formula1>"Yes,Maybe,No"</formula1>
    </dataValidation>
    <dataValidation sqref="S64" showDropDown="0" showInputMessage="0" showErrorMessage="0" allowBlank="0" type="list">
      <formula1>"Yes,No"</formula1>
    </dataValidation>
    <dataValidation sqref="H64" showDropDown="0" showInputMessage="0" showErrorMessage="0" allowBlank="1" type="whole" operator="between">
      <formula1>1</formula1>
      <formula2>5</formula2>
    </dataValidation>
    <dataValidation sqref="I64" showDropDown="0" showInputMessage="0" showErrorMessage="0" allowBlank="1" type="whole" operator="between">
      <formula1>1</formula1>
      <formula2>5</formula2>
    </dataValidation>
    <dataValidation sqref="J64" showDropDown="0" showInputMessage="0" showErrorMessage="0" allowBlank="1" type="whole" operator="between">
      <formula1>1</formula1>
      <formula2>5</formula2>
    </dataValidation>
    <dataValidation sqref="K64" showDropDown="0" showInputMessage="0" showErrorMessage="0" allowBlank="1" type="whole" operator="between">
      <formula1>1</formula1>
      <formula2>5</formula2>
    </dataValidation>
    <dataValidation sqref="L64" showDropDown="0" showInputMessage="0" showErrorMessage="0" allowBlank="1" type="whole" operator="between">
      <formula1>1</formula1>
      <formula2>5</formula2>
    </dataValidation>
    <dataValidation sqref="G65" showDropDown="0" showInputMessage="0" showErrorMessage="0" allowBlank="0" type="list">
      <formula1>"Survey,Email_Reply,Meeting,Ticket,Call"</formula1>
    </dataValidation>
    <dataValidation sqref="M65" showDropDown="0" showInputMessage="0" showErrorMessage="0" allowBlank="0" type="list">
      <formula1>"Yes,Partial,No,Will_Use_Later"</formula1>
    </dataValidation>
    <dataValidation sqref="P65" showDropDown="0" showInputMessage="0" showErrorMessage="0" allowBlank="1" type="list">
      <formula1>"Yes,Maybe,No"</formula1>
    </dataValidation>
    <dataValidation sqref="S65" showDropDown="0" showInputMessage="0" showErrorMessage="0" allowBlank="0" type="list">
      <formula1>"Yes,No"</formula1>
    </dataValidation>
    <dataValidation sqref="H65" showDropDown="0" showInputMessage="0" showErrorMessage="0" allowBlank="1" type="whole" operator="between">
      <formula1>1</formula1>
      <formula2>5</formula2>
    </dataValidation>
    <dataValidation sqref="I65" showDropDown="0" showInputMessage="0" showErrorMessage="0" allowBlank="1" type="whole" operator="between">
      <formula1>1</formula1>
      <formula2>5</formula2>
    </dataValidation>
    <dataValidation sqref="J65" showDropDown="0" showInputMessage="0" showErrorMessage="0" allowBlank="1" type="whole" operator="between">
      <formula1>1</formula1>
      <formula2>5</formula2>
    </dataValidation>
    <dataValidation sqref="K65" showDropDown="0" showInputMessage="0" showErrorMessage="0" allowBlank="1" type="whole" operator="between">
      <formula1>1</formula1>
      <formula2>5</formula2>
    </dataValidation>
    <dataValidation sqref="L65" showDropDown="0" showInputMessage="0" showErrorMessage="0" allowBlank="1" type="whole" operator="between">
      <formula1>1</formula1>
      <formula2>5</formula2>
    </dataValidation>
    <dataValidation sqref="G66" showDropDown="0" showInputMessage="0" showErrorMessage="0" allowBlank="0" type="list">
      <formula1>"Survey,Email_Reply,Meeting,Ticket,Call"</formula1>
    </dataValidation>
    <dataValidation sqref="M66" showDropDown="0" showInputMessage="0" showErrorMessage="0" allowBlank="0" type="list">
      <formula1>"Yes,Partial,No,Will_Use_Later"</formula1>
    </dataValidation>
    <dataValidation sqref="P66" showDropDown="0" showInputMessage="0" showErrorMessage="0" allowBlank="1" type="list">
      <formula1>"Yes,Maybe,No"</formula1>
    </dataValidation>
    <dataValidation sqref="S66" showDropDown="0" showInputMessage="0" showErrorMessage="0" allowBlank="0" type="list">
      <formula1>"Yes,No"</formula1>
    </dataValidation>
    <dataValidation sqref="H66" showDropDown="0" showInputMessage="0" showErrorMessage="0" allowBlank="1" type="whole" operator="between">
      <formula1>1</formula1>
      <formula2>5</formula2>
    </dataValidation>
    <dataValidation sqref="I66" showDropDown="0" showInputMessage="0" showErrorMessage="0" allowBlank="1" type="whole" operator="between">
      <formula1>1</formula1>
      <formula2>5</formula2>
    </dataValidation>
    <dataValidation sqref="J66" showDropDown="0" showInputMessage="0" showErrorMessage="0" allowBlank="1" type="whole" operator="between">
      <formula1>1</formula1>
      <formula2>5</formula2>
    </dataValidation>
    <dataValidation sqref="K66" showDropDown="0" showInputMessage="0" showErrorMessage="0" allowBlank="1" type="whole" operator="between">
      <formula1>1</formula1>
      <formula2>5</formula2>
    </dataValidation>
    <dataValidation sqref="L66" showDropDown="0" showInputMessage="0" showErrorMessage="0" allowBlank="1" type="whole" operator="between">
      <formula1>1</formula1>
      <formula2>5</formula2>
    </dataValidation>
    <dataValidation sqref="G67" showDropDown="0" showInputMessage="0" showErrorMessage="0" allowBlank="0" type="list">
      <formula1>"Survey,Email_Reply,Meeting,Ticket,Call"</formula1>
    </dataValidation>
    <dataValidation sqref="M67" showDropDown="0" showInputMessage="0" showErrorMessage="0" allowBlank="0" type="list">
      <formula1>"Yes,Partial,No,Will_Use_Later"</formula1>
    </dataValidation>
    <dataValidation sqref="P67" showDropDown="0" showInputMessage="0" showErrorMessage="0" allowBlank="1" type="list">
      <formula1>"Yes,Maybe,No"</formula1>
    </dataValidation>
    <dataValidation sqref="S67" showDropDown="0" showInputMessage="0" showErrorMessage="0" allowBlank="0" type="list">
      <formula1>"Yes,No"</formula1>
    </dataValidation>
    <dataValidation sqref="H67" showDropDown="0" showInputMessage="0" showErrorMessage="0" allowBlank="1" type="whole" operator="between">
      <formula1>1</formula1>
      <formula2>5</formula2>
    </dataValidation>
    <dataValidation sqref="I67" showDropDown="0" showInputMessage="0" showErrorMessage="0" allowBlank="1" type="whole" operator="between">
      <formula1>1</formula1>
      <formula2>5</formula2>
    </dataValidation>
    <dataValidation sqref="J67" showDropDown="0" showInputMessage="0" showErrorMessage="0" allowBlank="1" type="whole" operator="between">
      <formula1>1</formula1>
      <formula2>5</formula2>
    </dataValidation>
    <dataValidation sqref="K67" showDropDown="0" showInputMessage="0" showErrorMessage="0" allowBlank="1" type="whole" operator="between">
      <formula1>1</formula1>
      <formula2>5</formula2>
    </dataValidation>
    <dataValidation sqref="L67" showDropDown="0" showInputMessage="0" showErrorMessage="0" allowBlank="1" type="whole" operator="between">
      <formula1>1</formula1>
      <formula2>5</formula2>
    </dataValidation>
    <dataValidation sqref="G68" showDropDown="0" showInputMessage="0" showErrorMessage="0" allowBlank="0" type="list">
      <formula1>"Survey,Email_Reply,Meeting,Ticket,Call"</formula1>
    </dataValidation>
    <dataValidation sqref="M68" showDropDown="0" showInputMessage="0" showErrorMessage="0" allowBlank="0" type="list">
      <formula1>"Yes,Partial,No,Will_Use_Later"</formula1>
    </dataValidation>
    <dataValidation sqref="P68" showDropDown="0" showInputMessage="0" showErrorMessage="0" allowBlank="1" type="list">
      <formula1>"Yes,Maybe,No"</formula1>
    </dataValidation>
    <dataValidation sqref="S68" showDropDown="0" showInputMessage="0" showErrorMessage="0" allowBlank="0" type="list">
      <formula1>"Yes,No"</formula1>
    </dataValidation>
    <dataValidation sqref="H68" showDropDown="0" showInputMessage="0" showErrorMessage="0" allowBlank="1" type="whole" operator="between">
      <formula1>1</formula1>
      <formula2>5</formula2>
    </dataValidation>
    <dataValidation sqref="I68" showDropDown="0" showInputMessage="0" showErrorMessage="0" allowBlank="1" type="whole" operator="between">
      <formula1>1</formula1>
      <formula2>5</formula2>
    </dataValidation>
    <dataValidation sqref="J68" showDropDown="0" showInputMessage="0" showErrorMessage="0" allowBlank="1" type="whole" operator="between">
      <formula1>1</formula1>
      <formula2>5</formula2>
    </dataValidation>
    <dataValidation sqref="K68" showDropDown="0" showInputMessage="0" showErrorMessage="0" allowBlank="1" type="whole" operator="between">
      <formula1>1</formula1>
      <formula2>5</formula2>
    </dataValidation>
    <dataValidation sqref="L68" showDropDown="0" showInputMessage="0" showErrorMessage="0" allowBlank="1" type="whole" operator="between">
      <formula1>1</formula1>
      <formula2>5</formula2>
    </dataValidation>
    <dataValidation sqref="G69" showDropDown="0" showInputMessage="0" showErrorMessage="0" allowBlank="0" type="list">
      <formula1>"Survey,Email_Reply,Meeting,Ticket,Call"</formula1>
    </dataValidation>
    <dataValidation sqref="M69" showDropDown="0" showInputMessage="0" showErrorMessage="0" allowBlank="0" type="list">
      <formula1>"Yes,Partial,No,Will_Use_Later"</formula1>
    </dataValidation>
    <dataValidation sqref="P69" showDropDown="0" showInputMessage="0" showErrorMessage="0" allowBlank="1" type="list">
      <formula1>"Yes,Maybe,No"</formula1>
    </dataValidation>
    <dataValidation sqref="S69" showDropDown="0" showInputMessage="0" showErrorMessage="0" allowBlank="0" type="list">
      <formula1>"Yes,No"</formula1>
    </dataValidation>
    <dataValidation sqref="H69" showDropDown="0" showInputMessage="0" showErrorMessage="0" allowBlank="1" type="whole" operator="between">
      <formula1>1</formula1>
      <formula2>5</formula2>
    </dataValidation>
    <dataValidation sqref="I69" showDropDown="0" showInputMessage="0" showErrorMessage="0" allowBlank="1" type="whole" operator="between">
      <formula1>1</formula1>
      <formula2>5</formula2>
    </dataValidation>
    <dataValidation sqref="J69" showDropDown="0" showInputMessage="0" showErrorMessage="0" allowBlank="1" type="whole" operator="between">
      <formula1>1</formula1>
      <formula2>5</formula2>
    </dataValidation>
    <dataValidation sqref="K69" showDropDown="0" showInputMessage="0" showErrorMessage="0" allowBlank="1" type="whole" operator="between">
      <formula1>1</formula1>
      <formula2>5</formula2>
    </dataValidation>
    <dataValidation sqref="L69" showDropDown="0" showInputMessage="0" showErrorMessage="0" allowBlank="1" type="whole" operator="between">
      <formula1>1</formula1>
      <formula2>5</formula2>
    </dataValidation>
    <dataValidation sqref="G70" showDropDown="0" showInputMessage="0" showErrorMessage="0" allowBlank="0" type="list">
      <formula1>"Survey,Email_Reply,Meeting,Ticket,Call"</formula1>
    </dataValidation>
    <dataValidation sqref="M70" showDropDown="0" showInputMessage="0" showErrorMessage="0" allowBlank="0" type="list">
      <formula1>"Yes,Partial,No,Will_Use_Later"</formula1>
    </dataValidation>
    <dataValidation sqref="P70" showDropDown="0" showInputMessage="0" showErrorMessage="0" allowBlank="1" type="list">
      <formula1>"Yes,Maybe,No"</formula1>
    </dataValidation>
    <dataValidation sqref="S70" showDropDown="0" showInputMessage="0" showErrorMessage="0" allowBlank="0" type="list">
      <formula1>"Yes,No"</formula1>
    </dataValidation>
    <dataValidation sqref="H70" showDropDown="0" showInputMessage="0" showErrorMessage="0" allowBlank="1" type="whole" operator="between">
      <formula1>1</formula1>
      <formula2>5</formula2>
    </dataValidation>
    <dataValidation sqref="I70" showDropDown="0" showInputMessage="0" showErrorMessage="0" allowBlank="1" type="whole" operator="between">
      <formula1>1</formula1>
      <formula2>5</formula2>
    </dataValidation>
    <dataValidation sqref="J70" showDropDown="0" showInputMessage="0" showErrorMessage="0" allowBlank="1" type="whole" operator="between">
      <formula1>1</formula1>
      <formula2>5</formula2>
    </dataValidation>
    <dataValidation sqref="K70" showDropDown="0" showInputMessage="0" showErrorMessage="0" allowBlank="1" type="whole" operator="between">
      <formula1>1</formula1>
      <formula2>5</formula2>
    </dataValidation>
    <dataValidation sqref="L70" showDropDown="0" showInputMessage="0" showErrorMessage="0" allowBlank="1" type="whole" operator="between">
      <formula1>1</formula1>
      <formula2>5</formula2>
    </dataValidation>
    <dataValidation sqref="G71" showDropDown="0" showInputMessage="0" showErrorMessage="0" allowBlank="0" type="list">
      <formula1>"Survey,Email_Reply,Meeting,Ticket,Call"</formula1>
    </dataValidation>
    <dataValidation sqref="M71" showDropDown="0" showInputMessage="0" showErrorMessage="0" allowBlank="0" type="list">
      <formula1>"Yes,Partial,No,Will_Use_Later"</formula1>
    </dataValidation>
    <dataValidation sqref="P71" showDropDown="0" showInputMessage="0" showErrorMessage="0" allowBlank="1" type="list">
      <formula1>"Yes,Maybe,No"</formula1>
    </dataValidation>
    <dataValidation sqref="S71" showDropDown="0" showInputMessage="0" showErrorMessage="0" allowBlank="0" type="list">
      <formula1>"Yes,No"</formula1>
    </dataValidation>
    <dataValidation sqref="H71" showDropDown="0" showInputMessage="0" showErrorMessage="0" allowBlank="1" type="whole" operator="between">
      <formula1>1</formula1>
      <formula2>5</formula2>
    </dataValidation>
    <dataValidation sqref="I71" showDropDown="0" showInputMessage="0" showErrorMessage="0" allowBlank="1" type="whole" operator="between">
      <formula1>1</formula1>
      <formula2>5</formula2>
    </dataValidation>
    <dataValidation sqref="J71" showDropDown="0" showInputMessage="0" showErrorMessage="0" allowBlank="1" type="whole" operator="between">
      <formula1>1</formula1>
      <formula2>5</formula2>
    </dataValidation>
    <dataValidation sqref="K71" showDropDown="0" showInputMessage="0" showErrorMessage="0" allowBlank="1" type="whole" operator="between">
      <formula1>1</formula1>
      <formula2>5</formula2>
    </dataValidation>
    <dataValidation sqref="L71" showDropDown="0" showInputMessage="0" showErrorMessage="0" allowBlank="1" type="whole" operator="between">
      <formula1>1</formula1>
      <formula2>5</formula2>
    </dataValidation>
    <dataValidation sqref="G72" showDropDown="0" showInputMessage="0" showErrorMessage="0" allowBlank="0" type="list">
      <formula1>"Survey,Email_Reply,Meeting,Ticket,Call"</formula1>
    </dataValidation>
    <dataValidation sqref="M72" showDropDown="0" showInputMessage="0" showErrorMessage="0" allowBlank="0" type="list">
      <formula1>"Yes,Partial,No,Will_Use_Later"</formula1>
    </dataValidation>
    <dataValidation sqref="P72" showDropDown="0" showInputMessage="0" showErrorMessage="0" allowBlank="1" type="list">
      <formula1>"Yes,Maybe,No"</formula1>
    </dataValidation>
    <dataValidation sqref="S72" showDropDown="0" showInputMessage="0" showErrorMessage="0" allowBlank="0" type="list">
      <formula1>"Yes,No"</formula1>
    </dataValidation>
    <dataValidation sqref="H72" showDropDown="0" showInputMessage="0" showErrorMessage="0" allowBlank="1" type="whole" operator="between">
      <formula1>1</formula1>
      <formula2>5</formula2>
    </dataValidation>
    <dataValidation sqref="I72" showDropDown="0" showInputMessage="0" showErrorMessage="0" allowBlank="1" type="whole" operator="between">
      <formula1>1</formula1>
      <formula2>5</formula2>
    </dataValidation>
    <dataValidation sqref="J72" showDropDown="0" showInputMessage="0" showErrorMessage="0" allowBlank="1" type="whole" operator="between">
      <formula1>1</formula1>
      <formula2>5</formula2>
    </dataValidation>
    <dataValidation sqref="K72" showDropDown="0" showInputMessage="0" showErrorMessage="0" allowBlank="1" type="whole" operator="between">
      <formula1>1</formula1>
      <formula2>5</formula2>
    </dataValidation>
    <dataValidation sqref="L72" showDropDown="0" showInputMessage="0" showErrorMessage="0" allowBlank="1" type="whole" operator="between">
      <formula1>1</formula1>
      <formula2>5</formula2>
    </dataValidation>
    <dataValidation sqref="G73" showDropDown="0" showInputMessage="0" showErrorMessage="0" allowBlank="0" type="list">
      <formula1>"Survey,Email_Reply,Meeting,Ticket,Call"</formula1>
    </dataValidation>
    <dataValidation sqref="M73" showDropDown="0" showInputMessage="0" showErrorMessage="0" allowBlank="0" type="list">
      <formula1>"Yes,Partial,No,Will_Use_Later"</formula1>
    </dataValidation>
    <dataValidation sqref="P73" showDropDown="0" showInputMessage="0" showErrorMessage="0" allowBlank="1" type="list">
      <formula1>"Yes,Maybe,No"</formula1>
    </dataValidation>
    <dataValidation sqref="S73" showDropDown="0" showInputMessage="0" showErrorMessage="0" allowBlank="0" type="list">
      <formula1>"Yes,No"</formula1>
    </dataValidation>
    <dataValidation sqref="H73" showDropDown="0" showInputMessage="0" showErrorMessage="0" allowBlank="1" type="whole" operator="between">
      <formula1>1</formula1>
      <formula2>5</formula2>
    </dataValidation>
    <dataValidation sqref="I73" showDropDown="0" showInputMessage="0" showErrorMessage="0" allowBlank="1" type="whole" operator="between">
      <formula1>1</formula1>
      <formula2>5</formula2>
    </dataValidation>
    <dataValidation sqref="J73" showDropDown="0" showInputMessage="0" showErrorMessage="0" allowBlank="1" type="whole" operator="between">
      <formula1>1</formula1>
      <formula2>5</formula2>
    </dataValidation>
    <dataValidation sqref="K73" showDropDown="0" showInputMessage="0" showErrorMessage="0" allowBlank="1" type="whole" operator="between">
      <formula1>1</formula1>
      <formula2>5</formula2>
    </dataValidation>
    <dataValidation sqref="L73" showDropDown="0" showInputMessage="0" showErrorMessage="0" allowBlank="1" type="whole" operator="between">
      <formula1>1</formula1>
      <formula2>5</formula2>
    </dataValidation>
    <dataValidation sqref="G74" showDropDown="0" showInputMessage="0" showErrorMessage="0" allowBlank="0" type="list">
      <formula1>"Survey,Email_Reply,Meeting,Ticket,Call"</formula1>
    </dataValidation>
    <dataValidation sqref="M74" showDropDown="0" showInputMessage="0" showErrorMessage="0" allowBlank="0" type="list">
      <formula1>"Yes,Partial,No,Will_Use_Later"</formula1>
    </dataValidation>
    <dataValidation sqref="P74" showDropDown="0" showInputMessage="0" showErrorMessage="0" allowBlank="1" type="list">
      <formula1>"Yes,Maybe,No"</formula1>
    </dataValidation>
    <dataValidation sqref="S74" showDropDown="0" showInputMessage="0" showErrorMessage="0" allowBlank="0" type="list">
      <formula1>"Yes,No"</formula1>
    </dataValidation>
    <dataValidation sqref="H74" showDropDown="0" showInputMessage="0" showErrorMessage="0" allowBlank="1" type="whole" operator="between">
      <formula1>1</formula1>
      <formula2>5</formula2>
    </dataValidation>
    <dataValidation sqref="I74" showDropDown="0" showInputMessage="0" showErrorMessage="0" allowBlank="1" type="whole" operator="between">
      <formula1>1</formula1>
      <formula2>5</formula2>
    </dataValidation>
    <dataValidation sqref="J74" showDropDown="0" showInputMessage="0" showErrorMessage="0" allowBlank="1" type="whole" operator="between">
      <formula1>1</formula1>
      <formula2>5</formula2>
    </dataValidation>
    <dataValidation sqref="K74" showDropDown="0" showInputMessage="0" showErrorMessage="0" allowBlank="1" type="whole" operator="between">
      <formula1>1</formula1>
      <formula2>5</formula2>
    </dataValidation>
    <dataValidation sqref="L74" showDropDown="0" showInputMessage="0" showErrorMessage="0" allowBlank="1" type="whole" operator="between">
      <formula1>1</formula1>
      <formula2>5</formula2>
    </dataValidation>
    <dataValidation sqref="G75" showDropDown="0" showInputMessage="0" showErrorMessage="0" allowBlank="0" type="list">
      <formula1>"Survey,Email_Reply,Meeting,Ticket,Call"</formula1>
    </dataValidation>
    <dataValidation sqref="M75" showDropDown="0" showInputMessage="0" showErrorMessage="0" allowBlank="0" type="list">
      <formula1>"Yes,Partial,No,Will_Use_Later"</formula1>
    </dataValidation>
    <dataValidation sqref="P75" showDropDown="0" showInputMessage="0" showErrorMessage="0" allowBlank="1" type="list">
      <formula1>"Yes,Maybe,No"</formula1>
    </dataValidation>
    <dataValidation sqref="S75" showDropDown="0" showInputMessage="0" showErrorMessage="0" allowBlank="0" type="list">
      <formula1>"Yes,No"</formula1>
    </dataValidation>
    <dataValidation sqref="H75" showDropDown="0" showInputMessage="0" showErrorMessage="0" allowBlank="1" type="whole" operator="between">
      <formula1>1</formula1>
      <formula2>5</formula2>
    </dataValidation>
    <dataValidation sqref="I75" showDropDown="0" showInputMessage="0" showErrorMessage="0" allowBlank="1" type="whole" operator="between">
      <formula1>1</formula1>
      <formula2>5</formula2>
    </dataValidation>
    <dataValidation sqref="J75" showDropDown="0" showInputMessage="0" showErrorMessage="0" allowBlank="1" type="whole" operator="between">
      <formula1>1</formula1>
      <formula2>5</formula2>
    </dataValidation>
    <dataValidation sqref="K75" showDropDown="0" showInputMessage="0" showErrorMessage="0" allowBlank="1" type="whole" operator="between">
      <formula1>1</formula1>
      <formula2>5</formula2>
    </dataValidation>
    <dataValidation sqref="L75" showDropDown="0" showInputMessage="0" showErrorMessage="0" allowBlank="1" type="whole" operator="between">
      <formula1>1</formula1>
      <formula2>5</formula2>
    </dataValidation>
    <dataValidation sqref="G76" showDropDown="0" showInputMessage="0" showErrorMessage="0" allowBlank="0" type="list">
      <formula1>"Survey,Email_Reply,Meeting,Ticket,Call"</formula1>
    </dataValidation>
    <dataValidation sqref="M76" showDropDown="0" showInputMessage="0" showErrorMessage="0" allowBlank="0" type="list">
      <formula1>"Yes,Partial,No,Will_Use_Later"</formula1>
    </dataValidation>
    <dataValidation sqref="P76" showDropDown="0" showInputMessage="0" showErrorMessage="0" allowBlank="1" type="list">
      <formula1>"Yes,Maybe,No"</formula1>
    </dataValidation>
    <dataValidation sqref="S76" showDropDown="0" showInputMessage="0" showErrorMessage="0" allowBlank="0" type="list">
      <formula1>"Yes,No"</formula1>
    </dataValidation>
    <dataValidation sqref="H76" showDropDown="0" showInputMessage="0" showErrorMessage="0" allowBlank="1" type="whole" operator="between">
      <formula1>1</formula1>
      <formula2>5</formula2>
    </dataValidation>
    <dataValidation sqref="I76" showDropDown="0" showInputMessage="0" showErrorMessage="0" allowBlank="1" type="whole" operator="between">
      <formula1>1</formula1>
      <formula2>5</formula2>
    </dataValidation>
    <dataValidation sqref="J76" showDropDown="0" showInputMessage="0" showErrorMessage="0" allowBlank="1" type="whole" operator="between">
      <formula1>1</formula1>
      <formula2>5</formula2>
    </dataValidation>
    <dataValidation sqref="K76" showDropDown="0" showInputMessage="0" showErrorMessage="0" allowBlank="1" type="whole" operator="between">
      <formula1>1</formula1>
      <formula2>5</formula2>
    </dataValidation>
    <dataValidation sqref="L76" showDropDown="0" showInputMessage="0" showErrorMessage="0" allowBlank="1" type="whole" operator="between">
      <formula1>1</formula1>
      <formula2>5</formula2>
    </dataValidation>
    <dataValidation sqref="G77" showDropDown="0" showInputMessage="0" showErrorMessage="0" allowBlank="0" type="list">
      <formula1>"Survey,Email_Reply,Meeting,Ticket,Call"</formula1>
    </dataValidation>
    <dataValidation sqref="M77" showDropDown="0" showInputMessage="0" showErrorMessage="0" allowBlank="0" type="list">
      <formula1>"Yes,Partial,No,Will_Use_Later"</formula1>
    </dataValidation>
    <dataValidation sqref="P77" showDropDown="0" showInputMessage="0" showErrorMessage="0" allowBlank="1" type="list">
      <formula1>"Yes,Maybe,No"</formula1>
    </dataValidation>
    <dataValidation sqref="S77" showDropDown="0" showInputMessage="0" showErrorMessage="0" allowBlank="0" type="list">
      <formula1>"Yes,No"</formula1>
    </dataValidation>
    <dataValidation sqref="H77" showDropDown="0" showInputMessage="0" showErrorMessage="0" allowBlank="1" type="whole" operator="between">
      <formula1>1</formula1>
      <formula2>5</formula2>
    </dataValidation>
    <dataValidation sqref="I77" showDropDown="0" showInputMessage="0" showErrorMessage="0" allowBlank="1" type="whole" operator="between">
      <formula1>1</formula1>
      <formula2>5</formula2>
    </dataValidation>
    <dataValidation sqref="J77" showDropDown="0" showInputMessage="0" showErrorMessage="0" allowBlank="1" type="whole" operator="between">
      <formula1>1</formula1>
      <formula2>5</formula2>
    </dataValidation>
    <dataValidation sqref="K77" showDropDown="0" showInputMessage="0" showErrorMessage="0" allowBlank="1" type="whole" operator="between">
      <formula1>1</formula1>
      <formula2>5</formula2>
    </dataValidation>
    <dataValidation sqref="L77" showDropDown="0" showInputMessage="0" showErrorMessage="0" allowBlank="1" type="whole" operator="between">
      <formula1>1</formula1>
      <formula2>5</formula2>
    </dataValidation>
    <dataValidation sqref="G78" showDropDown="0" showInputMessage="0" showErrorMessage="0" allowBlank="0" type="list">
      <formula1>"Survey,Email_Reply,Meeting,Ticket,Call"</formula1>
    </dataValidation>
    <dataValidation sqref="M78" showDropDown="0" showInputMessage="0" showErrorMessage="0" allowBlank="0" type="list">
      <formula1>"Yes,Partial,No,Will_Use_Later"</formula1>
    </dataValidation>
    <dataValidation sqref="P78" showDropDown="0" showInputMessage="0" showErrorMessage="0" allowBlank="1" type="list">
      <formula1>"Yes,Maybe,No"</formula1>
    </dataValidation>
    <dataValidation sqref="S78" showDropDown="0" showInputMessage="0" showErrorMessage="0" allowBlank="0" type="list">
      <formula1>"Yes,No"</formula1>
    </dataValidation>
    <dataValidation sqref="H78" showDropDown="0" showInputMessage="0" showErrorMessage="0" allowBlank="1" type="whole" operator="between">
      <formula1>1</formula1>
      <formula2>5</formula2>
    </dataValidation>
    <dataValidation sqref="I78" showDropDown="0" showInputMessage="0" showErrorMessage="0" allowBlank="1" type="whole" operator="between">
      <formula1>1</formula1>
      <formula2>5</formula2>
    </dataValidation>
    <dataValidation sqref="J78" showDropDown="0" showInputMessage="0" showErrorMessage="0" allowBlank="1" type="whole" operator="between">
      <formula1>1</formula1>
      <formula2>5</formula2>
    </dataValidation>
    <dataValidation sqref="K78" showDropDown="0" showInputMessage="0" showErrorMessage="0" allowBlank="1" type="whole" operator="between">
      <formula1>1</formula1>
      <formula2>5</formula2>
    </dataValidation>
    <dataValidation sqref="L78" showDropDown="0" showInputMessage="0" showErrorMessage="0" allowBlank="1" type="whole" operator="between">
      <formula1>1</formula1>
      <formula2>5</formula2>
    </dataValidation>
    <dataValidation sqref="G79" showDropDown="0" showInputMessage="0" showErrorMessage="0" allowBlank="0" type="list">
      <formula1>"Survey,Email_Reply,Meeting,Ticket,Call"</formula1>
    </dataValidation>
    <dataValidation sqref="M79" showDropDown="0" showInputMessage="0" showErrorMessage="0" allowBlank="0" type="list">
      <formula1>"Yes,Partial,No,Will_Use_Later"</formula1>
    </dataValidation>
    <dataValidation sqref="P79" showDropDown="0" showInputMessage="0" showErrorMessage="0" allowBlank="1" type="list">
      <formula1>"Yes,Maybe,No"</formula1>
    </dataValidation>
    <dataValidation sqref="S79" showDropDown="0" showInputMessage="0" showErrorMessage="0" allowBlank="0" type="list">
      <formula1>"Yes,No"</formula1>
    </dataValidation>
    <dataValidation sqref="H79" showDropDown="0" showInputMessage="0" showErrorMessage="0" allowBlank="1" type="whole" operator="between">
      <formula1>1</formula1>
      <formula2>5</formula2>
    </dataValidation>
    <dataValidation sqref="I79" showDropDown="0" showInputMessage="0" showErrorMessage="0" allowBlank="1" type="whole" operator="between">
      <formula1>1</formula1>
      <formula2>5</formula2>
    </dataValidation>
    <dataValidation sqref="J79" showDropDown="0" showInputMessage="0" showErrorMessage="0" allowBlank="1" type="whole" operator="between">
      <formula1>1</formula1>
      <formula2>5</formula2>
    </dataValidation>
    <dataValidation sqref="K79" showDropDown="0" showInputMessage="0" showErrorMessage="0" allowBlank="1" type="whole" operator="between">
      <formula1>1</formula1>
      <formula2>5</formula2>
    </dataValidation>
    <dataValidation sqref="L79" showDropDown="0" showInputMessage="0" showErrorMessage="0" allowBlank="1" type="whole" operator="between">
      <formula1>1</formula1>
      <formula2>5</formula2>
    </dataValidation>
    <dataValidation sqref="G80" showDropDown="0" showInputMessage="0" showErrorMessage="0" allowBlank="0" type="list">
      <formula1>"Survey,Email_Reply,Meeting,Ticket,Call"</formula1>
    </dataValidation>
    <dataValidation sqref="M80" showDropDown="0" showInputMessage="0" showErrorMessage="0" allowBlank="0" type="list">
      <formula1>"Yes,Partial,No,Will_Use_Later"</formula1>
    </dataValidation>
    <dataValidation sqref="P80" showDropDown="0" showInputMessage="0" showErrorMessage="0" allowBlank="1" type="list">
      <formula1>"Yes,Maybe,No"</formula1>
    </dataValidation>
    <dataValidation sqref="S80" showDropDown="0" showInputMessage="0" showErrorMessage="0" allowBlank="0" type="list">
      <formula1>"Yes,No"</formula1>
    </dataValidation>
    <dataValidation sqref="H80" showDropDown="0" showInputMessage="0" showErrorMessage="0" allowBlank="1" type="whole" operator="between">
      <formula1>1</formula1>
      <formula2>5</formula2>
    </dataValidation>
    <dataValidation sqref="I80" showDropDown="0" showInputMessage="0" showErrorMessage="0" allowBlank="1" type="whole" operator="between">
      <formula1>1</formula1>
      <formula2>5</formula2>
    </dataValidation>
    <dataValidation sqref="J80" showDropDown="0" showInputMessage="0" showErrorMessage="0" allowBlank="1" type="whole" operator="between">
      <formula1>1</formula1>
      <formula2>5</formula2>
    </dataValidation>
    <dataValidation sqref="K80" showDropDown="0" showInputMessage="0" showErrorMessage="0" allowBlank="1" type="whole" operator="between">
      <formula1>1</formula1>
      <formula2>5</formula2>
    </dataValidation>
    <dataValidation sqref="L80" showDropDown="0" showInputMessage="0" showErrorMessage="0" allowBlank="1" type="whole" operator="between">
      <formula1>1</formula1>
      <formula2>5</formula2>
    </dataValidation>
    <dataValidation sqref="G81" showDropDown="0" showInputMessage="0" showErrorMessage="0" allowBlank="0" type="list">
      <formula1>"Survey,Email_Reply,Meeting,Ticket,Call"</formula1>
    </dataValidation>
    <dataValidation sqref="M81" showDropDown="0" showInputMessage="0" showErrorMessage="0" allowBlank="0" type="list">
      <formula1>"Yes,Partial,No,Will_Use_Later"</formula1>
    </dataValidation>
    <dataValidation sqref="P81" showDropDown="0" showInputMessage="0" showErrorMessage="0" allowBlank="1" type="list">
      <formula1>"Yes,Maybe,No"</formula1>
    </dataValidation>
    <dataValidation sqref="S81" showDropDown="0" showInputMessage="0" showErrorMessage="0" allowBlank="0" type="list">
      <formula1>"Yes,No"</formula1>
    </dataValidation>
    <dataValidation sqref="H81" showDropDown="0" showInputMessage="0" showErrorMessage="0" allowBlank="1" type="whole" operator="between">
      <formula1>1</formula1>
      <formula2>5</formula2>
    </dataValidation>
    <dataValidation sqref="I81" showDropDown="0" showInputMessage="0" showErrorMessage="0" allowBlank="1" type="whole" operator="between">
      <formula1>1</formula1>
      <formula2>5</formula2>
    </dataValidation>
    <dataValidation sqref="J81" showDropDown="0" showInputMessage="0" showErrorMessage="0" allowBlank="1" type="whole" operator="between">
      <formula1>1</formula1>
      <formula2>5</formula2>
    </dataValidation>
    <dataValidation sqref="K81" showDropDown="0" showInputMessage="0" showErrorMessage="0" allowBlank="1" type="whole" operator="between">
      <formula1>1</formula1>
      <formula2>5</formula2>
    </dataValidation>
    <dataValidation sqref="L81" showDropDown="0" showInputMessage="0" showErrorMessage="0" allowBlank="1" type="whole" operator="between">
      <formula1>1</formula1>
      <formula2>5</formula2>
    </dataValidation>
    <dataValidation sqref="G82" showDropDown="0" showInputMessage="0" showErrorMessage="0" allowBlank="0" type="list">
      <formula1>"Survey,Email_Reply,Meeting,Ticket,Call"</formula1>
    </dataValidation>
    <dataValidation sqref="M82" showDropDown="0" showInputMessage="0" showErrorMessage="0" allowBlank="0" type="list">
      <formula1>"Yes,Partial,No,Will_Use_Later"</formula1>
    </dataValidation>
    <dataValidation sqref="P82" showDropDown="0" showInputMessage="0" showErrorMessage="0" allowBlank="1" type="list">
      <formula1>"Yes,Maybe,No"</formula1>
    </dataValidation>
    <dataValidation sqref="S82" showDropDown="0" showInputMessage="0" showErrorMessage="0" allowBlank="0" type="list">
      <formula1>"Yes,No"</formula1>
    </dataValidation>
    <dataValidation sqref="H82" showDropDown="0" showInputMessage="0" showErrorMessage="0" allowBlank="1" type="whole" operator="between">
      <formula1>1</formula1>
      <formula2>5</formula2>
    </dataValidation>
    <dataValidation sqref="I82" showDropDown="0" showInputMessage="0" showErrorMessage="0" allowBlank="1" type="whole" operator="between">
      <formula1>1</formula1>
      <formula2>5</formula2>
    </dataValidation>
    <dataValidation sqref="J82" showDropDown="0" showInputMessage="0" showErrorMessage="0" allowBlank="1" type="whole" operator="between">
      <formula1>1</formula1>
      <formula2>5</formula2>
    </dataValidation>
    <dataValidation sqref="K82" showDropDown="0" showInputMessage="0" showErrorMessage="0" allowBlank="1" type="whole" operator="between">
      <formula1>1</formula1>
      <formula2>5</formula2>
    </dataValidation>
    <dataValidation sqref="L82" showDropDown="0" showInputMessage="0" showErrorMessage="0" allowBlank="1" type="whole" operator="between">
      <formula1>1</formula1>
      <formula2>5</formula2>
    </dataValidation>
    <dataValidation sqref="G83" showDropDown="0" showInputMessage="0" showErrorMessage="0" allowBlank="0" type="list">
      <formula1>"Survey,Email_Reply,Meeting,Ticket,Call"</formula1>
    </dataValidation>
    <dataValidation sqref="M83" showDropDown="0" showInputMessage="0" showErrorMessage="0" allowBlank="0" type="list">
      <formula1>"Yes,Partial,No,Will_Use_Later"</formula1>
    </dataValidation>
    <dataValidation sqref="P83" showDropDown="0" showInputMessage="0" showErrorMessage="0" allowBlank="1" type="list">
      <formula1>"Yes,Maybe,No"</formula1>
    </dataValidation>
    <dataValidation sqref="S83" showDropDown="0" showInputMessage="0" showErrorMessage="0" allowBlank="0" type="list">
      <formula1>"Yes,No"</formula1>
    </dataValidation>
    <dataValidation sqref="H83" showDropDown="0" showInputMessage="0" showErrorMessage="0" allowBlank="1" type="whole" operator="between">
      <formula1>1</formula1>
      <formula2>5</formula2>
    </dataValidation>
    <dataValidation sqref="I83" showDropDown="0" showInputMessage="0" showErrorMessage="0" allowBlank="1" type="whole" operator="between">
      <formula1>1</formula1>
      <formula2>5</formula2>
    </dataValidation>
    <dataValidation sqref="J83" showDropDown="0" showInputMessage="0" showErrorMessage="0" allowBlank="1" type="whole" operator="between">
      <formula1>1</formula1>
      <formula2>5</formula2>
    </dataValidation>
    <dataValidation sqref="K83" showDropDown="0" showInputMessage="0" showErrorMessage="0" allowBlank="1" type="whole" operator="between">
      <formula1>1</formula1>
      <formula2>5</formula2>
    </dataValidation>
    <dataValidation sqref="L83" showDropDown="0" showInputMessage="0" showErrorMessage="0" allowBlank="1" type="whole" operator="between">
      <formula1>1</formula1>
      <formula2>5</formula2>
    </dataValidation>
    <dataValidation sqref="G84" showDropDown="0" showInputMessage="0" showErrorMessage="0" allowBlank="0" type="list">
      <formula1>"Survey,Email_Reply,Meeting,Ticket,Call"</formula1>
    </dataValidation>
    <dataValidation sqref="M84" showDropDown="0" showInputMessage="0" showErrorMessage="0" allowBlank="0" type="list">
      <formula1>"Yes,Partial,No,Will_Use_Later"</formula1>
    </dataValidation>
    <dataValidation sqref="P84" showDropDown="0" showInputMessage="0" showErrorMessage="0" allowBlank="1" type="list">
      <formula1>"Yes,Maybe,No"</formula1>
    </dataValidation>
    <dataValidation sqref="S84" showDropDown="0" showInputMessage="0" showErrorMessage="0" allowBlank="0" type="list">
      <formula1>"Yes,No"</formula1>
    </dataValidation>
    <dataValidation sqref="H84" showDropDown="0" showInputMessage="0" showErrorMessage="0" allowBlank="1" type="whole" operator="between">
      <formula1>1</formula1>
      <formula2>5</formula2>
    </dataValidation>
    <dataValidation sqref="I84" showDropDown="0" showInputMessage="0" showErrorMessage="0" allowBlank="1" type="whole" operator="between">
      <formula1>1</formula1>
      <formula2>5</formula2>
    </dataValidation>
    <dataValidation sqref="J84" showDropDown="0" showInputMessage="0" showErrorMessage="0" allowBlank="1" type="whole" operator="between">
      <formula1>1</formula1>
      <formula2>5</formula2>
    </dataValidation>
    <dataValidation sqref="K84" showDropDown="0" showInputMessage="0" showErrorMessage="0" allowBlank="1" type="whole" operator="between">
      <formula1>1</formula1>
      <formula2>5</formula2>
    </dataValidation>
    <dataValidation sqref="L84" showDropDown="0" showInputMessage="0" showErrorMessage="0" allowBlank="1" type="whole" operator="between">
      <formula1>1</formula1>
      <formula2>5</formula2>
    </dataValidation>
    <dataValidation sqref="G85" showDropDown="0" showInputMessage="0" showErrorMessage="0" allowBlank="0" type="list">
      <formula1>"Survey,Email_Reply,Meeting,Ticket,Call"</formula1>
    </dataValidation>
    <dataValidation sqref="M85" showDropDown="0" showInputMessage="0" showErrorMessage="0" allowBlank="0" type="list">
      <formula1>"Yes,Partial,No,Will_Use_Later"</formula1>
    </dataValidation>
    <dataValidation sqref="P85" showDropDown="0" showInputMessage="0" showErrorMessage="0" allowBlank="1" type="list">
      <formula1>"Yes,Maybe,No"</formula1>
    </dataValidation>
    <dataValidation sqref="S85" showDropDown="0" showInputMessage="0" showErrorMessage="0" allowBlank="0" type="list">
      <formula1>"Yes,No"</formula1>
    </dataValidation>
    <dataValidation sqref="H85" showDropDown="0" showInputMessage="0" showErrorMessage="0" allowBlank="1" type="whole" operator="between">
      <formula1>1</formula1>
      <formula2>5</formula2>
    </dataValidation>
    <dataValidation sqref="I85" showDropDown="0" showInputMessage="0" showErrorMessage="0" allowBlank="1" type="whole" operator="between">
      <formula1>1</formula1>
      <formula2>5</formula2>
    </dataValidation>
    <dataValidation sqref="J85" showDropDown="0" showInputMessage="0" showErrorMessage="0" allowBlank="1" type="whole" operator="between">
      <formula1>1</formula1>
      <formula2>5</formula2>
    </dataValidation>
    <dataValidation sqref="K85" showDropDown="0" showInputMessage="0" showErrorMessage="0" allowBlank="1" type="whole" operator="between">
      <formula1>1</formula1>
      <formula2>5</formula2>
    </dataValidation>
    <dataValidation sqref="L85" showDropDown="0" showInputMessage="0" showErrorMessage="0" allowBlank="1" type="whole" operator="between">
      <formula1>1</formula1>
      <formula2>5</formula2>
    </dataValidation>
    <dataValidation sqref="G86" showDropDown="0" showInputMessage="0" showErrorMessage="0" allowBlank="0" type="list">
      <formula1>"Survey,Email_Reply,Meeting,Ticket,Call"</formula1>
    </dataValidation>
    <dataValidation sqref="M86" showDropDown="0" showInputMessage="0" showErrorMessage="0" allowBlank="0" type="list">
      <formula1>"Yes,Partial,No,Will_Use_Later"</formula1>
    </dataValidation>
    <dataValidation sqref="P86" showDropDown="0" showInputMessage="0" showErrorMessage="0" allowBlank="1" type="list">
      <formula1>"Yes,Maybe,No"</formula1>
    </dataValidation>
    <dataValidation sqref="S86" showDropDown="0" showInputMessage="0" showErrorMessage="0" allowBlank="0" type="list">
      <formula1>"Yes,No"</formula1>
    </dataValidation>
    <dataValidation sqref="H86" showDropDown="0" showInputMessage="0" showErrorMessage="0" allowBlank="1" type="whole" operator="between">
      <formula1>1</formula1>
      <formula2>5</formula2>
    </dataValidation>
    <dataValidation sqref="I86" showDropDown="0" showInputMessage="0" showErrorMessage="0" allowBlank="1" type="whole" operator="between">
      <formula1>1</formula1>
      <formula2>5</formula2>
    </dataValidation>
    <dataValidation sqref="J86" showDropDown="0" showInputMessage="0" showErrorMessage="0" allowBlank="1" type="whole" operator="between">
      <formula1>1</formula1>
      <formula2>5</formula2>
    </dataValidation>
    <dataValidation sqref="K86" showDropDown="0" showInputMessage="0" showErrorMessage="0" allowBlank="1" type="whole" operator="between">
      <formula1>1</formula1>
      <formula2>5</formula2>
    </dataValidation>
    <dataValidation sqref="L86" showDropDown="0" showInputMessage="0" showErrorMessage="0" allowBlank="1" type="whole" operator="between">
      <formula1>1</formula1>
      <formula2>5</formula2>
    </dataValidation>
    <dataValidation sqref="G87" showDropDown="0" showInputMessage="0" showErrorMessage="0" allowBlank="0" type="list">
      <formula1>"Survey,Email_Reply,Meeting,Ticket,Call"</formula1>
    </dataValidation>
    <dataValidation sqref="M87" showDropDown="0" showInputMessage="0" showErrorMessage="0" allowBlank="0" type="list">
      <formula1>"Yes,Partial,No,Will_Use_Later"</formula1>
    </dataValidation>
    <dataValidation sqref="P87" showDropDown="0" showInputMessage="0" showErrorMessage="0" allowBlank="1" type="list">
      <formula1>"Yes,Maybe,No"</formula1>
    </dataValidation>
    <dataValidation sqref="S87" showDropDown="0" showInputMessage="0" showErrorMessage="0" allowBlank="0" type="list">
      <formula1>"Yes,No"</formula1>
    </dataValidation>
    <dataValidation sqref="H87" showDropDown="0" showInputMessage="0" showErrorMessage="0" allowBlank="1" type="whole" operator="between">
      <formula1>1</formula1>
      <formula2>5</formula2>
    </dataValidation>
    <dataValidation sqref="I87" showDropDown="0" showInputMessage="0" showErrorMessage="0" allowBlank="1" type="whole" operator="between">
      <formula1>1</formula1>
      <formula2>5</formula2>
    </dataValidation>
    <dataValidation sqref="J87" showDropDown="0" showInputMessage="0" showErrorMessage="0" allowBlank="1" type="whole" operator="between">
      <formula1>1</formula1>
      <formula2>5</formula2>
    </dataValidation>
    <dataValidation sqref="K87" showDropDown="0" showInputMessage="0" showErrorMessage="0" allowBlank="1" type="whole" operator="between">
      <formula1>1</formula1>
      <formula2>5</formula2>
    </dataValidation>
    <dataValidation sqref="L87" showDropDown="0" showInputMessage="0" showErrorMessage="0" allowBlank="1" type="whole" operator="between">
      <formula1>1</formula1>
      <formula2>5</formula2>
    </dataValidation>
    <dataValidation sqref="G88" showDropDown="0" showInputMessage="0" showErrorMessage="0" allowBlank="0" type="list">
      <formula1>"Survey,Email_Reply,Meeting,Ticket,Call"</formula1>
    </dataValidation>
    <dataValidation sqref="M88" showDropDown="0" showInputMessage="0" showErrorMessage="0" allowBlank="0" type="list">
      <formula1>"Yes,Partial,No,Will_Use_Later"</formula1>
    </dataValidation>
    <dataValidation sqref="P88" showDropDown="0" showInputMessage="0" showErrorMessage="0" allowBlank="1" type="list">
      <formula1>"Yes,Maybe,No"</formula1>
    </dataValidation>
    <dataValidation sqref="S88" showDropDown="0" showInputMessage="0" showErrorMessage="0" allowBlank="0" type="list">
      <formula1>"Yes,No"</formula1>
    </dataValidation>
    <dataValidation sqref="H88" showDropDown="0" showInputMessage="0" showErrorMessage="0" allowBlank="1" type="whole" operator="between">
      <formula1>1</formula1>
      <formula2>5</formula2>
    </dataValidation>
    <dataValidation sqref="I88" showDropDown="0" showInputMessage="0" showErrorMessage="0" allowBlank="1" type="whole" operator="between">
      <formula1>1</formula1>
      <formula2>5</formula2>
    </dataValidation>
    <dataValidation sqref="J88" showDropDown="0" showInputMessage="0" showErrorMessage="0" allowBlank="1" type="whole" operator="between">
      <formula1>1</formula1>
      <formula2>5</formula2>
    </dataValidation>
    <dataValidation sqref="K88" showDropDown="0" showInputMessage="0" showErrorMessage="0" allowBlank="1" type="whole" operator="between">
      <formula1>1</formula1>
      <formula2>5</formula2>
    </dataValidation>
    <dataValidation sqref="L88" showDropDown="0" showInputMessage="0" showErrorMessage="0" allowBlank="1" type="whole" operator="between">
      <formula1>1</formula1>
      <formula2>5</formula2>
    </dataValidation>
    <dataValidation sqref="G89" showDropDown="0" showInputMessage="0" showErrorMessage="0" allowBlank="0" type="list">
      <formula1>"Survey,Email_Reply,Meeting,Ticket,Call"</formula1>
    </dataValidation>
    <dataValidation sqref="M89" showDropDown="0" showInputMessage="0" showErrorMessage="0" allowBlank="0" type="list">
      <formula1>"Yes,Partial,No,Will_Use_Later"</formula1>
    </dataValidation>
    <dataValidation sqref="P89" showDropDown="0" showInputMessage="0" showErrorMessage="0" allowBlank="1" type="list">
      <formula1>"Yes,Maybe,No"</formula1>
    </dataValidation>
    <dataValidation sqref="S89" showDropDown="0" showInputMessage="0" showErrorMessage="0" allowBlank="0" type="list">
      <formula1>"Yes,No"</formula1>
    </dataValidation>
    <dataValidation sqref="H89" showDropDown="0" showInputMessage="0" showErrorMessage="0" allowBlank="1" type="whole" operator="between">
      <formula1>1</formula1>
      <formula2>5</formula2>
    </dataValidation>
    <dataValidation sqref="I89" showDropDown="0" showInputMessage="0" showErrorMessage="0" allowBlank="1" type="whole" operator="between">
      <formula1>1</formula1>
      <formula2>5</formula2>
    </dataValidation>
    <dataValidation sqref="J89" showDropDown="0" showInputMessage="0" showErrorMessage="0" allowBlank="1" type="whole" operator="between">
      <formula1>1</formula1>
      <formula2>5</formula2>
    </dataValidation>
    <dataValidation sqref="K89" showDropDown="0" showInputMessage="0" showErrorMessage="0" allowBlank="1" type="whole" operator="between">
      <formula1>1</formula1>
      <formula2>5</formula2>
    </dataValidation>
    <dataValidation sqref="L89" showDropDown="0" showInputMessage="0" showErrorMessage="0" allowBlank="1" type="whole" operator="between">
      <formula1>1</formula1>
      <formula2>5</formula2>
    </dataValidation>
    <dataValidation sqref="G90" showDropDown="0" showInputMessage="0" showErrorMessage="0" allowBlank="0" type="list">
      <formula1>"Survey,Email_Reply,Meeting,Ticket,Call"</formula1>
    </dataValidation>
    <dataValidation sqref="M90" showDropDown="0" showInputMessage="0" showErrorMessage="0" allowBlank="0" type="list">
      <formula1>"Yes,Partial,No,Will_Use_Later"</formula1>
    </dataValidation>
    <dataValidation sqref="P90" showDropDown="0" showInputMessage="0" showErrorMessage="0" allowBlank="1" type="list">
      <formula1>"Yes,Maybe,No"</formula1>
    </dataValidation>
    <dataValidation sqref="S90" showDropDown="0" showInputMessage="0" showErrorMessage="0" allowBlank="0" type="list">
      <formula1>"Yes,No"</formula1>
    </dataValidation>
    <dataValidation sqref="H90" showDropDown="0" showInputMessage="0" showErrorMessage="0" allowBlank="1" type="whole" operator="between">
      <formula1>1</formula1>
      <formula2>5</formula2>
    </dataValidation>
    <dataValidation sqref="I90" showDropDown="0" showInputMessage="0" showErrorMessage="0" allowBlank="1" type="whole" operator="between">
      <formula1>1</formula1>
      <formula2>5</formula2>
    </dataValidation>
    <dataValidation sqref="J90" showDropDown="0" showInputMessage="0" showErrorMessage="0" allowBlank="1" type="whole" operator="between">
      <formula1>1</formula1>
      <formula2>5</formula2>
    </dataValidation>
    <dataValidation sqref="K90" showDropDown="0" showInputMessage="0" showErrorMessage="0" allowBlank="1" type="whole" operator="between">
      <formula1>1</formula1>
      <formula2>5</formula2>
    </dataValidation>
    <dataValidation sqref="L90" showDropDown="0" showInputMessage="0" showErrorMessage="0" allowBlank="1" type="whole" operator="between">
      <formula1>1</formula1>
      <formula2>5</formula2>
    </dataValidation>
    <dataValidation sqref="G91" showDropDown="0" showInputMessage="0" showErrorMessage="0" allowBlank="0" type="list">
      <formula1>"Survey,Email_Reply,Meeting,Ticket,Call"</formula1>
    </dataValidation>
    <dataValidation sqref="M91" showDropDown="0" showInputMessage="0" showErrorMessage="0" allowBlank="0" type="list">
      <formula1>"Yes,Partial,No,Will_Use_Later"</formula1>
    </dataValidation>
    <dataValidation sqref="P91" showDropDown="0" showInputMessage="0" showErrorMessage="0" allowBlank="1" type="list">
      <formula1>"Yes,Maybe,No"</formula1>
    </dataValidation>
    <dataValidation sqref="S91" showDropDown="0" showInputMessage="0" showErrorMessage="0" allowBlank="0" type="list">
      <formula1>"Yes,No"</formula1>
    </dataValidation>
    <dataValidation sqref="H91" showDropDown="0" showInputMessage="0" showErrorMessage="0" allowBlank="1" type="whole" operator="between">
      <formula1>1</formula1>
      <formula2>5</formula2>
    </dataValidation>
    <dataValidation sqref="I91" showDropDown="0" showInputMessage="0" showErrorMessage="0" allowBlank="1" type="whole" operator="between">
      <formula1>1</formula1>
      <formula2>5</formula2>
    </dataValidation>
    <dataValidation sqref="J91" showDropDown="0" showInputMessage="0" showErrorMessage="0" allowBlank="1" type="whole" operator="between">
      <formula1>1</formula1>
      <formula2>5</formula2>
    </dataValidation>
    <dataValidation sqref="K91" showDropDown="0" showInputMessage="0" showErrorMessage="0" allowBlank="1" type="whole" operator="between">
      <formula1>1</formula1>
      <formula2>5</formula2>
    </dataValidation>
    <dataValidation sqref="L91" showDropDown="0" showInputMessage="0" showErrorMessage="0" allowBlank="1" type="whole" operator="between">
      <formula1>1</formula1>
      <formula2>5</formula2>
    </dataValidation>
    <dataValidation sqref="G92" showDropDown="0" showInputMessage="0" showErrorMessage="0" allowBlank="0" type="list">
      <formula1>"Survey,Email_Reply,Meeting,Ticket,Call"</formula1>
    </dataValidation>
    <dataValidation sqref="M92" showDropDown="0" showInputMessage="0" showErrorMessage="0" allowBlank="0" type="list">
      <formula1>"Yes,Partial,No,Will_Use_Later"</formula1>
    </dataValidation>
    <dataValidation sqref="P92" showDropDown="0" showInputMessage="0" showErrorMessage="0" allowBlank="1" type="list">
      <formula1>"Yes,Maybe,No"</formula1>
    </dataValidation>
    <dataValidation sqref="S92" showDropDown="0" showInputMessage="0" showErrorMessage="0" allowBlank="0" type="list">
      <formula1>"Yes,No"</formula1>
    </dataValidation>
    <dataValidation sqref="H92" showDropDown="0" showInputMessage="0" showErrorMessage="0" allowBlank="1" type="whole" operator="between">
      <formula1>1</formula1>
      <formula2>5</formula2>
    </dataValidation>
    <dataValidation sqref="I92" showDropDown="0" showInputMessage="0" showErrorMessage="0" allowBlank="1" type="whole" operator="between">
      <formula1>1</formula1>
      <formula2>5</formula2>
    </dataValidation>
    <dataValidation sqref="J92" showDropDown="0" showInputMessage="0" showErrorMessage="0" allowBlank="1" type="whole" operator="between">
      <formula1>1</formula1>
      <formula2>5</formula2>
    </dataValidation>
    <dataValidation sqref="K92" showDropDown="0" showInputMessage="0" showErrorMessage="0" allowBlank="1" type="whole" operator="between">
      <formula1>1</formula1>
      <formula2>5</formula2>
    </dataValidation>
    <dataValidation sqref="L92" showDropDown="0" showInputMessage="0" showErrorMessage="0" allowBlank="1" type="whole" operator="between">
      <formula1>1</formula1>
      <formula2>5</formula2>
    </dataValidation>
    <dataValidation sqref="G93" showDropDown="0" showInputMessage="0" showErrorMessage="0" allowBlank="0" type="list">
      <formula1>"Survey,Email_Reply,Meeting,Ticket,Call"</formula1>
    </dataValidation>
    <dataValidation sqref="M93" showDropDown="0" showInputMessage="0" showErrorMessage="0" allowBlank="0" type="list">
      <formula1>"Yes,Partial,No,Will_Use_Later"</formula1>
    </dataValidation>
    <dataValidation sqref="P93" showDropDown="0" showInputMessage="0" showErrorMessage="0" allowBlank="1" type="list">
      <formula1>"Yes,Maybe,No"</formula1>
    </dataValidation>
    <dataValidation sqref="S93" showDropDown="0" showInputMessage="0" showErrorMessage="0" allowBlank="0" type="list">
      <formula1>"Yes,No"</formula1>
    </dataValidation>
    <dataValidation sqref="H93" showDropDown="0" showInputMessage="0" showErrorMessage="0" allowBlank="1" type="whole" operator="between">
      <formula1>1</formula1>
      <formula2>5</formula2>
    </dataValidation>
    <dataValidation sqref="I93" showDropDown="0" showInputMessage="0" showErrorMessage="0" allowBlank="1" type="whole" operator="between">
      <formula1>1</formula1>
      <formula2>5</formula2>
    </dataValidation>
    <dataValidation sqref="J93" showDropDown="0" showInputMessage="0" showErrorMessage="0" allowBlank="1" type="whole" operator="between">
      <formula1>1</formula1>
      <formula2>5</formula2>
    </dataValidation>
    <dataValidation sqref="K93" showDropDown="0" showInputMessage="0" showErrorMessage="0" allowBlank="1" type="whole" operator="between">
      <formula1>1</formula1>
      <formula2>5</formula2>
    </dataValidation>
    <dataValidation sqref="L93" showDropDown="0" showInputMessage="0" showErrorMessage="0" allowBlank="1" type="whole" operator="between">
      <formula1>1</formula1>
      <formula2>5</formula2>
    </dataValidation>
    <dataValidation sqref="G94" showDropDown="0" showInputMessage="0" showErrorMessage="0" allowBlank="0" type="list">
      <formula1>"Survey,Email_Reply,Meeting,Ticket,Call"</formula1>
    </dataValidation>
    <dataValidation sqref="M94" showDropDown="0" showInputMessage="0" showErrorMessage="0" allowBlank="0" type="list">
      <formula1>"Yes,Partial,No,Will_Use_Later"</formula1>
    </dataValidation>
    <dataValidation sqref="P94" showDropDown="0" showInputMessage="0" showErrorMessage="0" allowBlank="1" type="list">
      <formula1>"Yes,Maybe,No"</formula1>
    </dataValidation>
    <dataValidation sqref="S94" showDropDown="0" showInputMessage="0" showErrorMessage="0" allowBlank="0" type="list">
      <formula1>"Yes,No"</formula1>
    </dataValidation>
    <dataValidation sqref="H94" showDropDown="0" showInputMessage="0" showErrorMessage="0" allowBlank="1" type="whole" operator="between">
      <formula1>1</formula1>
      <formula2>5</formula2>
    </dataValidation>
    <dataValidation sqref="I94" showDropDown="0" showInputMessage="0" showErrorMessage="0" allowBlank="1" type="whole" operator="between">
      <formula1>1</formula1>
      <formula2>5</formula2>
    </dataValidation>
    <dataValidation sqref="J94" showDropDown="0" showInputMessage="0" showErrorMessage="0" allowBlank="1" type="whole" operator="between">
      <formula1>1</formula1>
      <formula2>5</formula2>
    </dataValidation>
    <dataValidation sqref="K94" showDropDown="0" showInputMessage="0" showErrorMessage="0" allowBlank="1" type="whole" operator="between">
      <formula1>1</formula1>
      <formula2>5</formula2>
    </dataValidation>
    <dataValidation sqref="L94" showDropDown="0" showInputMessage="0" showErrorMessage="0" allowBlank="1" type="whole" operator="between">
      <formula1>1</formula1>
      <formula2>5</formula2>
    </dataValidation>
    <dataValidation sqref="G95" showDropDown="0" showInputMessage="0" showErrorMessage="0" allowBlank="0" type="list">
      <formula1>"Survey,Email_Reply,Meeting,Ticket,Call"</formula1>
    </dataValidation>
    <dataValidation sqref="M95" showDropDown="0" showInputMessage="0" showErrorMessage="0" allowBlank="0" type="list">
      <formula1>"Yes,Partial,No,Will_Use_Later"</formula1>
    </dataValidation>
    <dataValidation sqref="P95" showDropDown="0" showInputMessage="0" showErrorMessage="0" allowBlank="1" type="list">
      <formula1>"Yes,Maybe,No"</formula1>
    </dataValidation>
    <dataValidation sqref="S95" showDropDown="0" showInputMessage="0" showErrorMessage="0" allowBlank="0" type="list">
      <formula1>"Yes,No"</formula1>
    </dataValidation>
    <dataValidation sqref="H95" showDropDown="0" showInputMessage="0" showErrorMessage="0" allowBlank="1" type="whole" operator="between">
      <formula1>1</formula1>
      <formula2>5</formula2>
    </dataValidation>
    <dataValidation sqref="I95" showDropDown="0" showInputMessage="0" showErrorMessage="0" allowBlank="1" type="whole" operator="between">
      <formula1>1</formula1>
      <formula2>5</formula2>
    </dataValidation>
    <dataValidation sqref="J95" showDropDown="0" showInputMessage="0" showErrorMessage="0" allowBlank="1" type="whole" operator="between">
      <formula1>1</formula1>
      <formula2>5</formula2>
    </dataValidation>
    <dataValidation sqref="K95" showDropDown="0" showInputMessage="0" showErrorMessage="0" allowBlank="1" type="whole" operator="between">
      <formula1>1</formula1>
      <formula2>5</formula2>
    </dataValidation>
    <dataValidation sqref="L95" showDropDown="0" showInputMessage="0" showErrorMessage="0" allowBlank="1" type="whole" operator="between">
      <formula1>1</formula1>
      <formula2>5</formula2>
    </dataValidation>
    <dataValidation sqref="G96" showDropDown="0" showInputMessage="0" showErrorMessage="0" allowBlank="0" type="list">
      <formula1>"Survey,Email_Reply,Meeting,Ticket,Call"</formula1>
    </dataValidation>
    <dataValidation sqref="M96" showDropDown="0" showInputMessage="0" showErrorMessage="0" allowBlank="0" type="list">
      <formula1>"Yes,Partial,No,Will_Use_Later"</formula1>
    </dataValidation>
    <dataValidation sqref="P96" showDropDown="0" showInputMessage="0" showErrorMessage="0" allowBlank="1" type="list">
      <formula1>"Yes,Maybe,No"</formula1>
    </dataValidation>
    <dataValidation sqref="S96" showDropDown="0" showInputMessage="0" showErrorMessage="0" allowBlank="0" type="list">
      <formula1>"Yes,No"</formula1>
    </dataValidation>
    <dataValidation sqref="H96" showDropDown="0" showInputMessage="0" showErrorMessage="0" allowBlank="1" type="whole" operator="between">
      <formula1>1</formula1>
      <formula2>5</formula2>
    </dataValidation>
    <dataValidation sqref="I96" showDropDown="0" showInputMessage="0" showErrorMessage="0" allowBlank="1" type="whole" operator="between">
      <formula1>1</formula1>
      <formula2>5</formula2>
    </dataValidation>
    <dataValidation sqref="J96" showDropDown="0" showInputMessage="0" showErrorMessage="0" allowBlank="1" type="whole" operator="between">
      <formula1>1</formula1>
      <formula2>5</formula2>
    </dataValidation>
    <dataValidation sqref="K96" showDropDown="0" showInputMessage="0" showErrorMessage="0" allowBlank="1" type="whole" operator="between">
      <formula1>1</formula1>
      <formula2>5</formula2>
    </dataValidation>
    <dataValidation sqref="L96" showDropDown="0" showInputMessage="0" showErrorMessage="0" allowBlank="1" type="whole" operator="between">
      <formula1>1</formula1>
      <formula2>5</formula2>
    </dataValidation>
    <dataValidation sqref="G97" showDropDown="0" showInputMessage="0" showErrorMessage="0" allowBlank="0" type="list">
      <formula1>"Survey,Email_Reply,Meeting,Ticket,Call"</formula1>
    </dataValidation>
    <dataValidation sqref="M97" showDropDown="0" showInputMessage="0" showErrorMessage="0" allowBlank="0" type="list">
      <formula1>"Yes,Partial,No,Will_Use_Later"</formula1>
    </dataValidation>
    <dataValidation sqref="P97" showDropDown="0" showInputMessage="0" showErrorMessage="0" allowBlank="1" type="list">
      <formula1>"Yes,Maybe,No"</formula1>
    </dataValidation>
    <dataValidation sqref="S97" showDropDown="0" showInputMessage="0" showErrorMessage="0" allowBlank="0" type="list">
      <formula1>"Yes,No"</formula1>
    </dataValidation>
    <dataValidation sqref="H97" showDropDown="0" showInputMessage="0" showErrorMessage="0" allowBlank="1" type="whole" operator="between">
      <formula1>1</formula1>
      <formula2>5</formula2>
    </dataValidation>
    <dataValidation sqref="I97" showDropDown="0" showInputMessage="0" showErrorMessage="0" allowBlank="1" type="whole" operator="between">
      <formula1>1</formula1>
      <formula2>5</formula2>
    </dataValidation>
    <dataValidation sqref="J97" showDropDown="0" showInputMessage="0" showErrorMessage="0" allowBlank="1" type="whole" operator="between">
      <formula1>1</formula1>
      <formula2>5</formula2>
    </dataValidation>
    <dataValidation sqref="K97" showDropDown="0" showInputMessage="0" showErrorMessage="0" allowBlank="1" type="whole" operator="between">
      <formula1>1</formula1>
      <formula2>5</formula2>
    </dataValidation>
    <dataValidation sqref="L97" showDropDown="0" showInputMessage="0" showErrorMessage="0" allowBlank="1" type="whole" operator="between">
      <formula1>1</formula1>
      <formula2>5</formula2>
    </dataValidation>
    <dataValidation sqref="G98" showDropDown="0" showInputMessage="0" showErrorMessage="0" allowBlank="0" type="list">
      <formula1>"Survey,Email_Reply,Meeting,Ticket,Call"</formula1>
    </dataValidation>
    <dataValidation sqref="M98" showDropDown="0" showInputMessage="0" showErrorMessage="0" allowBlank="0" type="list">
      <formula1>"Yes,Partial,No,Will_Use_Later"</formula1>
    </dataValidation>
    <dataValidation sqref="P98" showDropDown="0" showInputMessage="0" showErrorMessage="0" allowBlank="1" type="list">
      <formula1>"Yes,Maybe,No"</formula1>
    </dataValidation>
    <dataValidation sqref="S98" showDropDown="0" showInputMessage="0" showErrorMessage="0" allowBlank="0" type="list">
      <formula1>"Yes,No"</formula1>
    </dataValidation>
    <dataValidation sqref="H98" showDropDown="0" showInputMessage="0" showErrorMessage="0" allowBlank="1" type="whole" operator="between">
      <formula1>1</formula1>
      <formula2>5</formula2>
    </dataValidation>
    <dataValidation sqref="I98" showDropDown="0" showInputMessage="0" showErrorMessage="0" allowBlank="1" type="whole" operator="between">
      <formula1>1</formula1>
      <formula2>5</formula2>
    </dataValidation>
    <dataValidation sqref="J98" showDropDown="0" showInputMessage="0" showErrorMessage="0" allowBlank="1" type="whole" operator="between">
      <formula1>1</formula1>
      <formula2>5</formula2>
    </dataValidation>
    <dataValidation sqref="K98" showDropDown="0" showInputMessage="0" showErrorMessage="0" allowBlank="1" type="whole" operator="between">
      <formula1>1</formula1>
      <formula2>5</formula2>
    </dataValidation>
    <dataValidation sqref="L98" showDropDown="0" showInputMessage="0" showErrorMessage="0" allowBlank="1" type="whole" operator="between">
      <formula1>1</formula1>
      <formula2>5</formula2>
    </dataValidation>
    <dataValidation sqref="G99" showDropDown="0" showInputMessage="0" showErrorMessage="0" allowBlank="0" type="list">
      <formula1>"Survey,Email_Reply,Meeting,Ticket,Call"</formula1>
    </dataValidation>
    <dataValidation sqref="M99" showDropDown="0" showInputMessage="0" showErrorMessage="0" allowBlank="0" type="list">
      <formula1>"Yes,Partial,No,Will_Use_Later"</formula1>
    </dataValidation>
    <dataValidation sqref="P99" showDropDown="0" showInputMessage="0" showErrorMessage="0" allowBlank="1" type="list">
      <formula1>"Yes,Maybe,No"</formula1>
    </dataValidation>
    <dataValidation sqref="S99" showDropDown="0" showInputMessage="0" showErrorMessage="0" allowBlank="0" type="list">
      <formula1>"Yes,No"</formula1>
    </dataValidation>
    <dataValidation sqref="H99" showDropDown="0" showInputMessage="0" showErrorMessage="0" allowBlank="1" type="whole" operator="between">
      <formula1>1</formula1>
      <formula2>5</formula2>
    </dataValidation>
    <dataValidation sqref="I99" showDropDown="0" showInputMessage="0" showErrorMessage="0" allowBlank="1" type="whole" operator="between">
      <formula1>1</formula1>
      <formula2>5</formula2>
    </dataValidation>
    <dataValidation sqref="J99" showDropDown="0" showInputMessage="0" showErrorMessage="0" allowBlank="1" type="whole" operator="between">
      <formula1>1</formula1>
      <formula2>5</formula2>
    </dataValidation>
    <dataValidation sqref="K99" showDropDown="0" showInputMessage="0" showErrorMessage="0" allowBlank="1" type="whole" operator="between">
      <formula1>1</formula1>
      <formula2>5</formula2>
    </dataValidation>
    <dataValidation sqref="L99" showDropDown="0" showInputMessage="0" showErrorMessage="0" allowBlank="1" type="whole" operator="between">
      <formula1>1</formula1>
      <formula2>5</formula2>
    </dataValidation>
    <dataValidation sqref="G100" showDropDown="0" showInputMessage="0" showErrorMessage="0" allowBlank="0" type="list">
      <formula1>"Survey,Email_Reply,Meeting,Ticket,Call"</formula1>
    </dataValidation>
    <dataValidation sqref="M100" showDropDown="0" showInputMessage="0" showErrorMessage="0" allowBlank="0" type="list">
      <formula1>"Yes,Partial,No,Will_Use_Later"</formula1>
    </dataValidation>
    <dataValidation sqref="P100" showDropDown="0" showInputMessage="0" showErrorMessage="0" allowBlank="1" type="list">
      <formula1>"Yes,Maybe,No"</formula1>
    </dataValidation>
    <dataValidation sqref="S100" showDropDown="0" showInputMessage="0" showErrorMessage="0" allowBlank="0" type="list">
      <formula1>"Yes,No"</formula1>
    </dataValidation>
    <dataValidation sqref="H100" showDropDown="0" showInputMessage="0" showErrorMessage="0" allowBlank="1" type="whole" operator="between">
      <formula1>1</formula1>
      <formula2>5</formula2>
    </dataValidation>
    <dataValidation sqref="I100" showDropDown="0" showInputMessage="0" showErrorMessage="0" allowBlank="1" type="whole" operator="between">
      <formula1>1</formula1>
      <formula2>5</formula2>
    </dataValidation>
    <dataValidation sqref="J100" showDropDown="0" showInputMessage="0" showErrorMessage="0" allowBlank="1" type="whole" operator="between">
      <formula1>1</formula1>
      <formula2>5</formula2>
    </dataValidation>
    <dataValidation sqref="K100" showDropDown="0" showInputMessage="0" showErrorMessage="0" allowBlank="1" type="whole" operator="between">
      <formula1>1</formula1>
      <formula2>5</formula2>
    </dataValidation>
    <dataValidation sqref="L100" showDropDown="0" showInputMessage="0" showErrorMessage="0" allowBlank="1" type="whole" operator="between">
      <formula1>1</formula1>
      <formula2>5</formula2>
    </dataValidation>
    <dataValidation sqref="G101" showDropDown="0" showInputMessage="0" showErrorMessage="0" allowBlank="0" type="list">
      <formula1>"Survey,Email_Reply,Meeting,Ticket,Call"</formula1>
    </dataValidation>
    <dataValidation sqref="M101" showDropDown="0" showInputMessage="0" showErrorMessage="0" allowBlank="0" type="list">
      <formula1>"Yes,Partial,No,Will_Use_Later"</formula1>
    </dataValidation>
    <dataValidation sqref="P101" showDropDown="0" showInputMessage="0" showErrorMessage="0" allowBlank="1" type="list">
      <formula1>"Yes,Maybe,No"</formula1>
    </dataValidation>
    <dataValidation sqref="S101" showDropDown="0" showInputMessage="0" showErrorMessage="0" allowBlank="0" type="list">
      <formula1>"Yes,No"</formula1>
    </dataValidation>
    <dataValidation sqref="H101" showDropDown="0" showInputMessage="0" showErrorMessage="0" allowBlank="1" type="whole" operator="between">
      <formula1>1</formula1>
      <formula2>5</formula2>
    </dataValidation>
    <dataValidation sqref="I101" showDropDown="0" showInputMessage="0" showErrorMessage="0" allowBlank="1" type="whole" operator="between">
      <formula1>1</formula1>
      <formula2>5</formula2>
    </dataValidation>
    <dataValidation sqref="J101" showDropDown="0" showInputMessage="0" showErrorMessage="0" allowBlank="1" type="whole" operator="between">
      <formula1>1</formula1>
      <formula2>5</formula2>
    </dataValidation>
    <dataValidation sqref="K101" showDropDown="0" showInputMessage="0" showErrorMessage="0" allowBlank="1" type="whole" operator="between">
      <formula1>1</formula1>
      <formula2>5</formula2>
    </dataValidation>
    <dataValidation sqref="L101" showDropDown="0" showInputMessage="0" showErrorMessage="0" allowBlank="1" type="whole" operator="between">
      <formula1>1</formula1>
      <formula2>5</formula2>
    </dataValidation>
    <dataValidation sqref="G102" showDropDown="0" showInputMessage="0" showErrorMessage="0" allowBlank="0" type="list">
      <formula1>"Survey,Email_Reply,Meeting,Ticket,Call"</formula1>
    </dataValidation>
    <dataValidation sqref="M102" showDropDown="0" showInputMessage="0" showErrorMessage="0" allowBlank="0" type="list">
      <formula1>"Yes,Partial,No,Will_Use_Later"</formula1>
    </dataValidation>
    <dataValidation sqref="P102" showDropDown="0" showInputMessage="0" showErrorMessage="0" allowBlank="1" type="list">
      <formula1>"Yes,Maybe,No"</formula1>
    </dataValidation>
    <dataValidation sqref="S102" showDropDown="0" showInputMessage="0" showErrorMessage="0" allowBlank="0" type="list">
      <formula1>"Yes,No"</formula1>
    </dataValidation>
    <dataValidation sqref="H102" showDropDown="0" showInputMessage="0" showErrorMessage="0" allowBlank="1" type="whole" operator="between">
      <formula1>1</formula1>
      <formula2>5</formula2>
    </dataValidation>
    <dataValidation sqref="I102" showDropDown="0" showInputMessage="0" showErrorMessage="0" allowBlank="1" type="whole" operator="between">
      <formula1>1</formula1>
      <formula2>5</formula2>
    </dataValidation>
    <dataValidation sqref="J102" showDropDown="0" showInputMessage="0" showErrorMessage="0" allowBlank="1" type="whole" operator="between">
      <formula1>1</formula1>
      <formula2>5</formula2>
    </dataValidation>
    <dataValidation sqref="K102" showDropDown="0" showInputMessage="0" showErrorMessage="0" allowBlank="1" type="whole" operator="between">
      <formula1>1</formula1>
      <formula2>5</formula2>
    </dataValidation>
    <dataValidation sqref="L102" showDropDown="0" showInputMessage="0" showErrorMessage="0" allowBlank="1" type="whole" operator="between">
      <formula1>1</formula1>
      <formula2>5</formula2>
    </dataValidation>
    <dataValidation sqref="G103" showDropDown="0" showInputMessage="0" showErrorMessage="0" allowBlank="0" type="list">
      <formula1>"Survey,Email_Reply,Meeting,Ticket,Call"</formula1>
    </dataValidation>
    <dataValidation sqref="M103" showDropDown="0" showInputMessage="0" showErrorMessage="0" allowBlank="0" type="list">
      <formula1>"Yes,Partial,No,Will_Use_Later"</formula1>
    </dataValidation>
    <dataValidation sqref="P103" showDropDown="0" showInputMessage="0" showErrorMessage="0" allowBlank="1" type="list">
      <formula1>"Yes,Maybe,No"</formula1>
    </dataValidation>
    <dataValidation sqref="S103" showDropDown="0" showInputMessage="0" showErrorMessage="0" allowBlank="0" type="list">
      <formula1>"Yes,No"</formula1>
    </dataValidation>
    <dataValidation sqref="H103" showDropDown="0" showInputMessage="0" showErrorMessage="0" allowBlank="1" type="whole" operator="between">
      <formula1>1</formula1>
      <formula2>5</formula2>
    </dataValidation>
    <dataValidation sqref="I103" showDropDown="0" showInputMessage="0" showErrorMessage="0" allowBlank="1" type="whole" operator="between">
      <formula1>1</formula1>
      <formula2>5</formula2>
    </dataValidation>
    <dataValidation sqref="J103" showDropDown="0" showInputMessage="0" showErrorMessage="0" allowBlank="1" type="whole" operator="between">
      <formula1>1</formula1>
      <formula2>5</formula2>
    </dataValidation>
    <dataValidation sqref="K103" showDropDown="0" showInputMessage="0" showErrorMessage="0" allowBlank="1" type="whole" operator="between">
      <formula1>1</formula1>
      <formula2>5</formula2>
    </dataValidation>
    <dataValidation sqref="L103" showDropDown="0" showInputMessage="0" showErrorMessage="0" allowBlank="1" type="whole" operator="between">
      <formula1>1</formula1>
      <formula2>5</formula2>
    </dataValidation>
    <dataValidation sqref="G104" showDropDown="0" showInputMessage="0" showErrorMessage="0" allowBlank="0" type="list">
      <formula1>"Survey,Email_Reply,Meeting,Ticket,Call"</formula1>
    </dataValidation>
    <dataValidation sqref="M104" showDropDown="0" showInputMessage="0" showErrorMessage="0" allowBlank="0" type="list">
      <formula1>"Yes,Partial,No,Will_Use_Later"</formula1>
    </dataValidation>
    <dataValidation sqref="P104" showDropDown="0" showInputMessage="0" showErrorMessage="0" allowBlank="1" type="list">
      <formula1>"Yes,Maybe,No"</formula1>
    </dataValidation>
    <dataValidation sqref="S104" showDropDown="0" showInputMessage="0" showErrorMessage="0" allowBlank="0" type="list">
      <formula1>"Yes,No"</formula1>
    </dataValidation>
    <dataValidation sqref="H104" showDropDown="0" showInputMessage="0" showErrorMessage="0" allowBlank="1" type="whole" operator="between">
      <formula1>1</formula1>
      <formula2>5</formula2>
    </dataValidation>
    <dataValidation sqref="I104" showDropDown="0" showInputMessage="0" showErrorMessage="0" allowBlank="1" type="whole" operator="between">
      <formula1>1</formula1>
      <formula2>5</formula2>
    </dataValidation>
    <dataValidation sqref="J104" showDropDown="0" showInputMessage="0" showErrorMessage="0" allowBlank="1" type="whole" operator="between">
      <formula1>1</formula1>
      <formula2>5</formula2>
    </dataValidation>
    <dataValidation sqref="K104" showDropDown="0" showInputMessage="0" showErrorMessage="0" allowBlank="1" type="whole" operator="between">
      <formula1>1</formula1>
      <formula2>5</formula2>
    </dataValidation>
    <dataValidation sqref="L104" showDropDown="0" showInputMessage="0" showErrorMessage="0" allowBlank="1" type="whole" operator="between">
      <formula1>1</formula1>
      <formula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0"/>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0" customWidth="1" min="4" max="4"/>
    <col width="15" customWidth="1" min="5" max="5"/>
    <col width="15" customWidth="1" min="6" max="6"/>
    <col width="10" customWidth="1" min="7" max="7"/>
    <col width="22" customWidth="1" min="8" max="8"/>
    <col width="18" customWidth="1" min="9" max="9"/>
    <col width="15" customWidth="1" min="10" max="10"/>
    <col width="30" customWidth="1" min="11" max="11"/>
    <col width="25" customWidth="1" min="12" max="12"/>
    <col width="15" customWidth="1" min="13" max="13"/>
    <col width="35" customWidth="1" min="14" max="14"/>
  </cols>
  <sheetData>
    <row r="1" ht="35" customHeight="1">
      <c r="A1" s="11" t="inlineStr">
        <is>
          <t>INTEGRATION &amp; DISSEMINATION KPIS</t>
        </is>
      </c>
    </row>
    <row r="2">
      <c r="A2" s="12" t="inlineStr">
        <is>
          <t>Track key performance indicators for tool integration, IOC effectiveness, dissemination reach, and stakeholder engagement.</t>
        </is>
      </c>
    </row>
    <row r="4">
      <c r="A4" s="13" t="inlineStr">
        <is>
          <t>Metric ID</t>
        </is>
      </c>
      <c r="B4" s="13" t="inlineStr">
        <is>
          <t>Metric Name</t>
        </is>
      </c>
      <c r="C4" s="13" t="inlineStr">
        <is>
          <t>Metric Category</t>
        </is>
      </c>
      <c r="D4" s="13" t="inlineStr">
        <is>
          <t>Measurement Period</t>
        </is>
      </c>
      <c r="E4" s="13" t="inlineStr">
        <is>
          <t>Target Value</t>
        </is>
      </c>
      <c r="F4" s="13" t="inlineStr">
        <is>
          <t>Actual Value</t>
        </is>
      </c>
      <c r="G4" s="13" t="inlineStr">
        <is>
          <t>Unit</t>
        </is>
      </c>
      <c r="H4" s="13" t="inlineStr">
        <is>
          <t>Performance vs Target</t>
        </is>
      </c>
      <c r="I4" s="13" t="inlineStr">
        <is>
          <t>Status</t>
        </is>
      </c>
      <c r="J4" s="13" t="inlineStr">
        <is>
          <t>Trend</t>
        </is>
      </c>
      <c r="K4" s="13" t="inlineStr">
        <is>
          <t>Data Source</t>
        </is>
      </c>
      <c r="L4" s="13" t="inlineStr">
        <is>
          <t>Owner</t>
        </is>
      </c>
      <c r="M4" s="13" t="inlineStr">
        <is>
          <t>Last Updated</t>
        </is>
      </c>
      <c r="N4" s="13" t="inlineStr">
        <is>
          <t>Notes</t>
        </is>
      </c>
    </row>
    <row r="5">
      <c r="A5" s="14" t="inlineStr">
        <is>
          <t>IM-001</t>
        </is>
      </c>
      <c r="B5" s="15" t="inlineStr">
        <is>
          <t>% of Security Tools with TI Integration</t>
        </is>
      </c>
      <c r="C5" s="15" t="inlineStr">
        <is>
          <t>Tool_Integration</t>
        </is>
      </c>
      <c r="D5" s="15" t="inlineStr">
        <is>
          <t>Monthly</t>
        </is>
      </c>
      <c r="E5" s="30" t="n">
        <v>80</v>
      </c>
      <c r="F5" s="30" t="n">
        <v>85</v>
      </c>
      <c r="G5" s="15" t="inlineStr">
        <is>
          <t>%</t>
        </is>
      </c>
      <c r="H5" s="31">
        <f>IF(AND(E5&lt;&gt;"",F5&lt;&gt;""),((F5/E5)-1)*100,"")</f>
        <v/>
      </c>
      <c r="I5" s="24">
        <f>IF(H5="","",IF(H5&gt;=10,"Exceeds Target",IF(H5&gt;=0,"Meets Target",IF(H5&gt;=-10,"Below Target","Critical"))))</f>
        <v/>
      </c>
      <c r="J5" s="15" t="n"/>
      <c r="K5" s="15" t="n"/>
      <c r="L5" s="15" t="n"/>
      <c r="M5" s="23" t="n"/>
      <c r="N5" s="15" t="n"/>
    </row>
    <row r="6">
      <c r="A6" s="14" t="inlineStr">
        <is>
          <t>IM-002</t>
        </is>
      </c>
      <c r="B6" s="15" t="inlineStr">
        <is>
          <t>IOC Deployment Success Rate</t>
        </is>
      </c>
      <c r="C6" s="15" t="inlineStr">
        <is>
          <t>IOC_Effectiveness</t>
        </is>
      </c>
      <c r="D6" s="15" t="inlineStr">
        <is>
          <t>Monthly</t>
        </is>
      </c>
      <c r="E6" s="30" t="n">
        <v>95</v>
      </c>
      <c r="F6" s="30" t="n">
        <v>98</v>
      </c>
      <c r="G6" s="15" t="inlineStr">
        <is>
          <t>%</t>
        </is>
      </c>
      <c r="H6" s="31">
        <f>IF(AND(E6&lt;&gt;"",F6&lt;&gt;""),((F6/E6)-1)*100,"")</f>
        <v/>
      </c>
      <c r="I6" s="24">
        <f>IF(H6="","",IF(H6&gt;=10,"Exceeds Target",IF(H6&gt;=0,"Meets Target",IF(H6&gt;=-10,"Below Target","Critical"))))</f>
        <v/>
      </c>
      <c r="J6" s="15" t="n"/>
      <c r="K6" s="15" t="n"/>
      <c r="L6" s="15" t="n"/>
      <c r="M6" s="23" t="n"/>
      <c r="N6" s="15" t="n"/>
    </row>
    <row r="7">
      <c r="A7" s="14" t="inlineStr">
        <is>
          <t>IM-003</t>
        </is>
      </c>
      <c r="B7" s="15" t="inlineStr">
        <is>
          <t>Avg Time from IOC Publication to Deployment</t>
        </is>
      </c>
      <c r="C7" s="15" t="inlineStr">
        <is>
          <t>IOC_Effectiveness</t>
        </is>
      </c>
      <c r="D7" s="15" t="inlineStr">
        <is>
          <t>Monthly</t>
        </is>
      </c>
      <c r="E7" s="30" t="n">
        <v>4</v>
      </c>
      <c r="F7" s="30" t="n">
        <v>2.5</v>
      </c>
      <c r="G7" s="15" t="inlineStr">
        <is>
          <t>hours</t>
        </is>
      </c>
      <c r="H7" s="31">
        <f>IF(AND(E7&lt;&gt;"",F7&lt;&gt;""),((F7/E7)-1)*100,"")</f>
        <v/>
      </c>
      <c r="I7" s="24">
        <f>IF(H7="","",IF(H7&gt;=10,"Exceeds Target",IF(H7&gt;=0,"Meets Target",IF(H7&gt;=-10,"Below Target","Critical"))))</f>
        <v/>
      </c>
      <c r="J7" s="15" t="n"/>
      <c r="K7" s="15" t="n"/>
      <c r="L7" s="15" t="n"/>
      <c r="M7" s="23" t="n"/>
      <c r="N7" s="15" t="n"/>
    </row>
    <row r="8">
      <c r="A8" s="14" t="inlineStr">
        <is>
          <t>IM-004</t>
        </is>
      </c>
      <c r="B8" s="15" t="inlineStr">
        <is>
          <t>IOC Hit Rate (per 100 IOCs)</t>
        </is>
      </c>
      <c r="C8" s="15" t="inlineStr">
        <is>
          <t>IOC_Effectiveness</t>
        </is>
      </c>
      <c r="D8" s="15" t="inlineStr">
        <is>
          <t>Monthly</t>
        </is>
      </c>
      <c r="E8" s="30" t="n">
        <v>15</v>
      </c>
      <c r="F8" s="30" t="n">
        <v>18</v>
      </c>
      <c r="G8" s="15" t="inlineStr">
        <is>
          <t>hits</t>
        </is>
      </c>
      <c r="H8" s="31">
        <f>IF(AND(E8&lt;&gt;"",F8&lt;&gt;""),((F8/E8)-1)*100,"")</f>
        <v/>
      </c>
      <c r="I8" s="24">
        <f>IF(H8="","",IF(H8&gt;=10,"Exceeds Target",IF(H8&gt;=0,"Meets Target",IF(H8&gt;=-10,"Below Target","Critical"))))</f>
        <v/>
      </c>
      <c r="J8" s="15" t="n"/>
      <c r="K8" s="15" t="n"/>
      <c r="L8" s="15" t="n"/>
      <c r="M8" s="23" t="n"/>
      <c r="N8" s="15" t="n"/>
    </row>
    <row r="9">
      <c r="A9" s="14" t="inlineStr">
        <is>
          <t>IM-005</t>
        </is>
      </c>
      <c r="B9" s="15" t="inlineStr">
        <is>
          <t>False Positive Rate for IOCs</t>
        </is>
      </c>
      <c r="C9" s="15" t="inlineStr">
        <is>
          <t>IOC_Effectiveness</t>
        </is>
      </c>
      <c r="D9" s="15" t="inlineStr">
        <is>
          <t>Monthly</t>
        </is>
      </c>
      <c r="E9" s="30" t="n">
        <v>5</v>
      </c>
      <c r="F9" s="30" t="n">
        <v>3</v>
      </c>
      <c r="G9" s="15" t="inlineStr">
        <is>
          <t>%</t>
        </is>
      </c>
      <c r="H9" s="31">
        <f>IF(AND(E9&lt;&gt;"",F9&lt;&gt;""),((F9/E9)-1)*100,"")</f>
        <v/>
      </c>
      <c r="I9" s="24">
        <f>IF(H9="","",IF(H9&gt;=10,"Exceeds Target",IF(H9&gt;=0,"Meets Target",IF(H9&gt;=-10,"Below Target","Critical"))))</f>
        <v/>
      </c>
      <c r="J9" s="15" t="n"/>
      <c r="K9" s="15" t="n"/>
      <c r="L9" s="15" t="n"/>
      <c r="M9" s="23" t="n"/>
      <c r="N9" s="15" t="n"/>
    </row>
    <row r="10">
      <c r="A10" s="14" t="inlineStr">
        <is>
          <t>IM-006</t>
        </is>
      </c>
      <c r="B10" s="15" t="inlineStr">
        <is>
          <t>Intelligence Distribution Reach</t>
        </is>
      </c>
      <c r="C10" s="15" t="inlineStr">
        <is>
          <t>Dissemination</t>
        </is>
      </c>
      <c r="D10" s="15" t="inlineStr">
        <is>
          <t>Monthly</t>
        </is>
      </c>
      <c r="E10" s="30" t="n">
        <v>90</v>
      </c>
      <c r="F10" s="30" t="n">
        <v>92</v>
      </c>
      <c r="G10" s="15" t="inlineStr">
        <is>
          <t>%</t>
        </is>
      </c>
      <c r="H10" s="31">
        <f>IF(AND(E10&lt;&gt;"",F10&lt;&gt;""),((F10/E10)-1)*100,"")</f>
        <v/>
      </c>
      <c r="I10" s="24">
        <f>IF(H10="","",IF(H10&gt;=10,"Exceeds Target",IF(H10&gt;=0,"Meets Target",IF(H10&gt;=-10,"Below Target","Critical"))))</f>
        <v/>
      </c>
      <c r="J10" s="15" t="n"/>
      <c r="K10" s="15" t="n"/>
      <c r="L10" s="15" t="n"/>
      <c r="M10" s="23" t="n"/>
      <c r="N10" s="15" t="n"/>
    </row>
    <row r="11">
      <c r="A11" s="14" t="inlineStr">
        <is>
          <t>IM-007</t>
        </is>
      </c>
      <c r="B11" s="15" t="inlineStr">
        <is>
          <t>Average Stakeholder Engagement Score</t>
        </is>
      </c>
      <c r="C11" s="15" t="inlineStr">
        <is>
          <t>Stakeholder_Engagement</t>
        </is>
      </c>
      <c r="D11" s="15" t="inlineStr">
        <is>
          <t>Monthly</t>
        </is>
      </c>
      <c r="E11" s="30" t="n">
        <v>4</v>
      </c>
      <c r="F11" s="30" t="n">
        <v>4.3</v>
      </c>
      <c r="G11" s="15" t="inlineStr">
        <is>
          <t>score</t>
        </is>
      </c>
      <c r="H11" s="31">
        <f>IF(AND(E11&lt;&gt;"",F11&lt;&gt;""),((F11/E11)-1)*100,"")</f>
        <v/>
      </c>
      <c r="I11" s="24">
        <f>IF(H11="","",IF(H11&gt;=10,"Exceeds Target",IF(H11&gt;=0,"Meets Target",IF(H11&gt;=-10,"Below Target","Critical"))))</f>
        <v/>
      </c>
      <c r="J11" s="15" t="n"/>
      <c r="K11" s="15" t="n"/>
      <c r="L11" s="15" t="n"/>
      <c r="M11" s="23" t="n"/>
      <c r="N11" s="15" t="n"/>
    </row>
    <row r="12">
      <c r="A12" s="14" t="inlineStr">
        <is>
          <t>IM-008</t>
        </is>
      </c>
      <c r="B12" s="15" t="inlineStr">
        <is>
          <t>Feedback Response Rate</t>
        </is>
      </c>
      <c r="C12" s="15" t="inlineStr">
        <is>
          <t>Stakeholder_Engagement</t>
        </is>
      </c>
      <c r="D12" s="15" t="inlineStr">
        <is>
          <t>Monthly</t>
        </is>
      </c>
      <c r="E12" s="30" t="n">
        <v>30</v>
      </c>
      <c r="F12" s="30" t="n">
        <v>35</v>
      </c>
      <c r="G12" s="15" t="inlineStr">
        <is>
          <t>%</t>
        </is>
      </c>
      <c r="H12" s="31">
        <f>IF(AND(E12&lt;&gt;"",F12&lt;&gt;""),((F12/E12)-1)*100,"")</f>
        <v/>
      </c>
      <c r="I12" s="24">
        <f>IF(H12="","",IF(H12&gt;=10,"Exceeds Target",IF(H12&gt;=0,"Meets Target",IF(H12&gt;=-10,"Below Target","Critical"))))</f>
        <v/>
      </c>
      <c r="J12" s="15" t="n"/>
      <c r="K12" s="15" t="n"/>
      <c r="L12" s="15" t="n"/>
      <c r="M12" s="23" t="n"/>
      <c r="N12" s="15" t="n"/>
    </row>
    <row r="13">
      <c r="A13" s="14" t="inlineStr">
        <is>
          <t>IM-009</t>
        </is>
      </c>
      <c r="B13" s="15" t="inlineStr">
        <is>
          <t>Intelligence Consumption Rate (% acted upon)</t>
        </is>
      </c>
      <c r="C13" s="15" t="inlineStr">
        <is>
          <t>Stakeholder_Engagement</t>
        </is>
      </c>
      <c r="D13" s="15" t="inlineStr">
        <is>
          <t>Monthly</t>
        </is>
      </c>
      <c r="E13" s="30" t="n">
        <v>40</v>
      </c>
      <c r="F13" s="30" t="n">
        <v>45</v>
      </c>
      <c r="G13" s="15" t="inlineStr">
        <is>
          <t>%</t>
        </is>
      </c>
      <c r="H13" s="31">
        <f>IF(AND(E13&lt;&gt;"",F13&lt;&gt;""),((F13/E13)-1)*100,"")</f>
        <v/>
      </c>
      <c r="I13" s="24">
        <f>IF(H13="","",IF(H13&gt;=10,"Exceeds Target",IF(H13&gt;=0,"Meets Target",IF(H13&gt;=-10,"Below Target","Critical"))))</f>
        <v/>
      </c>
      <c r="J13" s="15" t="n"/>
      <c r="K13" s="15" t="n"/>
      <c r="L13" s="15" t="n"/>
      <c r="M13" s="23" t="n"/>
      <c r="N13" s="15" t="n"/>
    </row>
    <row r="14">
      <c r="A14" s="14" t="inlineStr">
        <is>
          <t>IM-010</t>
        </is>
      </c>
      <c r="B14" s="15" t="inlineStr">
        <is>
          <t>Mean Time from Intelligence to Action</t>
        </is>
      </c>
      <c r="C14" s="15" t="inlineStr">
        <is>
          <t>Automation</t>
        </is>
      </c>
      <c r="D14" s="15" t="inlineStr">
        <is>
          <t>Monthly</t>
        </is>
      </c>
      <c r="E14" s="30" t="n">
        <v>24</v>
      </c>
      <c r="F14" s="30" t="n">
        <v>18</v>
      </c>
      <c r="G14" s="15" t="inlineStr">
        <is>
          <t>hours</t>
        </is>
      </c>
      <c r="H14" s="31">
        <f>IF(AND(E14&lt;&gt;"",F14&lt;&gt;""),((F14/E14)-1)*100,"")</f>
        <v/>
      </c>
      <c r="I14" s="24">
        <f>IF(H14="","",IF(H14&gt;=10,"Exceeds Target",IF(H14&gt;=0,"Meets Target",IF(H14&gt;=-10,"Below Target","Critical"))))</f>
        <v/>
      </c>
      <c r="J14" s="15" t="n"/>
      <c r="K14" s="15" t="n"/>
      <c r="L14" s="15" t="n"/>
      <c r="M14" s="23" t="n"/>
      <c r="N14" s="15" t="n"/>
    </row>
    <row r="15">
      <c r="A15" s="14" t="n"/>
      <c r="B15" s="15" t="n"/>
      <c r="E15" s="15" t="n"/>
      <c r="F15" s="15" t="n"/>
      <c r="G15" s="15" t="n"/>
      <c r="H15" s="31">
        <f>IF(AND(E15&lt;&gt;"",F15&lt;&gt;""),((F15/E15)-1)*100,"")</f>
        <v/>
      </c>
      <c r="I15" s="24">
        <f>IF(H15="","",IF(H15&gt;=10,"Exceeds Target",IF(H15&gt;=0,"Meets Target",IF(H15&gt;=-10,"Below Target","Critical"))))</f>
        <v/>
      </c>
      <c r="K15" s="15" t="n"/>
      <c r="L15" s="15" t="n"/>
      <c r="M15" s="23" t="n"/>
      <c r="N15" s="15" t="n"/>
    </row>
    <row r="16">
      <c r="A16" s="14" t="n"/>
      <c r="B16" s="15" t="n"/>
      <c r="E16" s="15" t="n"/>
      <c r="F16" s="15" t="n"/>
      <c r="G16" s="15" t="n"/>
      <c r="H16" s="31">
        <f>IF(AND(E16&lt;&gt;"",F16&lt;&gt;""),((F16/E16)-1)*100,"")</f>
        <v/>
      </c>
      <c r="I16" s="24">
        <f>IF(H16="","",IF(H16&gt;=10,"Exceeds Target",IF(H16&gt;=0,"Meets Target",IF(H16&gt;=-10,"Below Target","Critical"))))</f>
        <v/>
      </c>
      <c r="K16" s="15" t="n"/>
      <c r="L16" s="15" t="n"/>
      <c r="M16" s="23" t="n"/>
      <c r="N16" s="15" t="n"/>
    </row>
    <row r="17">
      <c r="A17" s="14" t="n"/>
      <c r="B17" s="15" t="n"/>
      <c r="E17" s="15" t="n"/>
      <c r="F17" s="15" t="n"/>
      <c r="G17" s="15" t="n"/>
      <c r="H17" s="31">
        <f>IF(AND(E17&lt;&gt;"",F17&lt;&gt;""),((F17/E17)-1)*100,"")</f>
        <v/>
      </c>
      <c r="I17" s="24">
        <f>IF(H17="","",IF(H17&gt;=10,"Exceeds Target",IF(H17&gt;=0,"Meets Target",IF(H17&gt;=-10,"Below Target","Critical"))))</f>
        <v/>
      </c>
      <c r="K17" s="15" t="n"/>
      <c r="L17" s="15" t="n"/>
      <c r="M17" s="23" t="n"/>
      <c r="N17" s="15" t="n"/>
    </row>
    <row r="18">
      <c r="A18" s="14" t="n"/>
      <c r="B18" s="15" t="n"/>
      <c r="E18" s="15" t="n"/>
      <c r="F18" s="15" t="n"/>
      <c r="G18" s="15" t="n"/>
      <c r="H18" s="31">
        <f>IF(AND(E18&lt;&gt;"",F18&lt;&gt;""),((F18/E18)-1)*100,"")</f>
        <v/>
      </c>
      <c r="I18" s="24">
        <f>IF(H18="","",IF(H18&gt;=10,"Exceeds Target",IF(H18&gt;=0,"Meets Target",IF(H18&gt;=-10,"Below Target","Critical"))))</f>
        <v/>
      </c>
      <c r="K18" s="15" t="n"/>
      <c r="L18" s="15" t="n"/>
      <c r="M18" s="23" t="n"/>
      <c r="N18" s="15" t="n"/>
    </row>
    <row r="19">
      <c r="A19" s="14" t="n"/>
      <c r="B19" s="15" t="n"/>
      <c r="E19" s="15" t="n"/>
      <c r="F19" s="15" t="n"/>
      <c r="G19" s="15" t="n"/>
      <c r="H19" s="31">
        <f>IF(AND(E19&lt;&gt;"",F19&lt;&gt;""),((F19/E19)-1)*100,"")</f>
        <v/>
      </c>
      <c r="I19" s="24">
        <f>IF(H19="","",IF(H19&gt;=10,"Exceeds Target",IF(H19&gt;=0,"Meets Target",IF(H19&gt;=-10,"Below Target","Critical"))))</f>
        <v/>
      </c>
      <c r="K19" s="15" t="n"/>
      <c r="L19" s="15" t="n"/>
      <c r="M19" s="23" t="n"/>
      <c r="N19" s="15" t="n"/>
    </row>
    <row r="20">
      <c r="A20" s="14" t="n"/>
      <c r="B20" s="15" t="n"/>
      <c r="E20" s="15" t="n"/>
      <c r="F20" s="15" t="n"/>
      <c r="G20" s="15" t="n"/>
      <c r="H20" s="31">
        <f>IF(AND(E20&lt;&gt;"",F20&lt;&gt;""),((F20/E20)-1)*100,"")</f>
        <v/>
      </c>
      <c r="I20" s="24">
        <f>IF(H20="","",IF(H20&gt;=10,"Exceeds Target",IF(H20&gt;=0,"Meets Target",IF(H20&gt;=-10,"Below Target","Critical"))))</f>
        <v/>
      </c>
      <c r="K20" s="15" t="n"/>
      <c r="L20" s="15" t="n"/>
      <c r="M20" s="23" t="n"/>
      <c r="N20" s="15" t="n"/>
    </row>
    <row r="21">
      <c r="A21" s="14" t="n"/>
      <c r="B21" s="15" t="n"/>
      <c r="E21" s="15" t="n"/>
      <c r="F21" s="15" t="n"/>
      <c r="G21" s="15" t="n"/>
      <c r="H21" s="31">
        <f>IF(AND(E21&lt;&gt;"",F21&lt;&gt;""),((F21/E21)-1)*100,"")</f>
        <v/>
      </c>
      <c r="I21" s="24">
        <f>IF(H21="","",IF(H21&gt;=10,"Exceeds Target",IF(H21&gt;=0,"Meets Target",IF(H21&gt;=-10,"Below Target","Critical"))))</f>
        <v/>
      </c>
      <c r="K21" s="15" t="n"/>
      <c r="L21" s="15" t="n"/>
      <c r="M21" s="23" t="n"/>
      <c r="N21" s="15" t="n"/>
    </row>
    <row r="22">
      <c r="A22" s="14" t="n"/>
      <c r="B22" s="15" t="n"/>
      <c r="E22" s="15" t="n"/>
      <c r="F22" s="15" t="n"/>
      <c r="G22" s="15" t="n"/>
      <c r="H22" s="31">
        <f>IF(AND(E22&lt;&gt;"",F22&lt;&gt;""),((F22/E22)-1)*100,"")</f>
        <v/>
      </c>
      <c r="I22" s="24">
        <f>IF(H22="","",IF(H22&gt;=10,"Exceeds Target",IF(H22&gt;=0,"Meets Target",IF(H22&gt;=-10,"Below Target","Critical"))))</f>
        <v/>
      </c>
      <c r="K22" s="15" t="n"/>
      <c r="L22" s="15" t="n"/>
      <c r="M22" s="23" t="n"/>
      <c r="N22" s="15" t="n"/>
    </row>
    <row r="23">
      <c r="A23" s="14" t="n"/>
      <c r="B23" s="15" t="n"/>
      <c r="E23" s="15" t="n"/>
      <c r="F23" s="15" t="n"/>
      <c r="G23" s="15" t="n"/>
      <c r="H23" s="31">
        <f>IF(AND(E23&lt;&gt;"",F23&lt;&gt;""),((F23/E23)-1)*100,"")</f>
        <v/>
      </c>
      <c r="I23" s="24">
        <f>IF(H23="","",IF(H23&gt;=10,"Exceeds Target",IF(H23&gt;=0,"Meets Target",IF(H23&gt;=-10,"Below Target","Critical"))))</f>
        <v/>
      </c>
      <c r="K23" s="15" t="n"/>
      <c r="L23" s="15" t="n"/>
      <c r="M23" s="23" t="n"/>
      <c r="N23" s="15" t="n"/>
    </row>
    <row r="24">
      <c r="A24" s="14" t="n"/>
      <c r="B24" s="15" t="n"/>
      <c r="E24" s="15" t="n"/>
      <c r="F24" s="15" t="n"/>
      <c r="G24" s="15" t="n"/>
      <c r="H24" s="31">
        <f>IF(AND(E24&lt;&gt;"",F24&lt;&gt;""),((F24/E24)-1)*100,"")</f>
        <v/>
      </c>
      <c r="I24" s="24">
        <f>IF(H24="","",IF(H24&gt;=10,"Exceeds Target",IF(H24&gt;=0,"Meets Target",IF(H24&gt;=-10,"Below Target","Critical"))))</f>
        <v/>
      </c>
      <c r="K24" s="15" t="n"/>
      <c r="L24" s="15" t="n"/>
      <c r="M24" s="23" t="n"/>
      <c r="N24" s="15" t="n"/>
    </row>
    <row r="25">
      <c r="A25" s="14" t="n"/>
      <c r="B25" s="15" t="n"/>
      <c r="E25" s="15" t="n"/>
      <c r="F25" s="15" t="n"/>
      <c r="G25" s="15" t="n"/>
      <c r="H25" s="31">
        <f>IF(AND(E25&lt;&gt;"",F25&lt;&gt;""),((F25/E25)-1)*100,"")</f>
        <v/>
      </c>
      <c r="I25" s="24">
        <f>IF(H25="","",IF(H25&gt;=10,"Exceeds Target",IF(H25&gt;=0,"Meets Target",IF(H25&gt;=-10,"Below Target","Critical"))))</f>
        <v/>
      </c>
      <c r="K25" s="15" t="n"/>
      <c r="L25" s="15" t="n"/>
      <c r="M25" s="23" t="n"/>
      <c r="N25" s="15" t="n"/>
    </row>
    <row r="26">
      <c r="A26" s="14" t="n"/>
      <c r="B26" s="15" t="n"/>
      <c r="E26" s="15" t="n"/>
      <c r="F26" s="15" t="n"/>
      <c r="G26" s="15" t="n"/>
      <c r="H26" s="31">
        <f>IF(AND(E26&lt;&gt;"",F26&lt;&gt;""),((F26/E26)-1)*100,"")</f>
        <v/>
      </c>
      <c r="I26" s="24">
        <f>IF(H26="","",IF(H26&gt;=10,"Exceeds Target",IF(H26&gt;=0,"Meets Target",IF(H26&gt;=-10,"Below Target","Critical"))))</f>
        <v/>
      </c>
      <c r="K26" s="15" t="n"/>
      <c r="L26" s="15" t="n"/>
      <c r="M26" s="23" t="n"/>
      <c r="N26" s="15" t="n"/>
    </row>
    <row r="27">
      <c r="A27" s="14" t="n"/>
      <c r="B27" s="15" t="n"/>
      <c r="E27" s="15" t="n"/>
      <c r="F27" s="15" t="n"/>
      <c r="G27" s="15" t="n"/>
      <c r="H27" s="31">
        <f>IF(AND(E27&lt;&gt;"",F27&lt;&gt;""),((F27/E27)-1)*100,"")</f>
        <v/>
      </c>
      <c r="I27" s="24">
        <f>IF(H27="","",IF(H27&gt;=10,"Exceeds Target",IF(H27&gt;=0,"Meets Target",IF(H27&gt;=-10,"Below Target","Critical"))))</f>
        <v/>
      </c>
      <c r="K27" s="15" t="n"/>
      <c r="L27" s="15" t="n"/>
      <c r="M27" s="23" t="n"/>
      <c r="N27" s="15" t="n"/>
    </row>
    <row r="28">
      <c r="A28" s="14" t="n"/>
      <c r="B28" s="15" t="n"/>
      <c r="E28" s="15" t="n"/>
      <c r="F28" s="15" t="n"/>
      <c r="G28" s="15" t="n"/>
      <c r="H28" s="31">
        <f>IF(AND(E28&lt;&gt;"",F28&lt;&gt;""),((F28/E28)-1)*100,"")</f>
        <v/>
      </c>
      <c r="I28" s="24">
        <f>IF(H28="","",IF(H28&gt;=10,"Exceeds Target",IF(H28&gt;=0,"Meets Target",IF(H28&gt;=-10,"Below Target","Critical"))))</f>
        <v/>
      </c>
      <c r="K28" s="15" t="n"/>
      <c r="L28" s="15" t="n"/>
      <c r="M28" s="23" t="n"/>
      <c r="N28" s="15" t="n"/>
    </row>
    <row r="29">
      <c r="A29" s="14" t="n"/>
      <c r="B29" s="15" t="n"/>
      <c r="E29" s="15" t="n"/>
      <c r="F29" s="15" t="n"/>
      <c r="G29" s="15" t="n"/>
      <c r="H29" s="31">
        <f>IF(AND(E29&lt;&gt;"",F29&lt;&gt;""),((F29/E29)-1)*100,"")</f>
        <v/>
      </c>
      <c r="I29" s="24">
        <f>IF(H29="","",IF(H29&gt;=10,"Exceeds Target",IF(H29&gt;=0,"Meets Target",IF(H29&gt;=-10,"Below Target","Critical"))))</f>
        <v/>
      </c>
      <c r="K29" s="15" t="n"/>
      <c r="L29" s="15" t="n"/>
      <c r="M29" s="23" t="n"/>
      <c r="N29" s="15" t="n"/>
    </row>
    <row r="30">
      <c r="A30" s="14" t="n"/>
      <c r="B30" s="15" t="n"/>
      <c r="E30" s="15" t="n"/>
      <c r="F30" s="15" t="n"/>
      <c r="G30" s="15" t="n"/>
      <c r="H30" s="31">
        <f>IF(AND(E30&lt;&gt;"",F30&lt;&gt;""),((F30/E30)-1)*100,"")</f>
        <v/>
      </c>
      <c r="I30" s="24">
        <f>IF(H30="","",IF(H30&gt;=10,"Exceeds Target",IF(H30&gt;=0,"Meets Target",IF(H30&gt;=-10,"Below Target","Critical"))))</f>
        <v/>
      </c>
      <c r="K30" s="15" t="n"/>
      <c r="L30" s="15" t="n"/>
      <c r="M30" s="23" t="n"/>
      <c r="N30" s="15" t="n"/>
    </row>
    <row r="31">
      <c r="A31" s="14" t="n"/>
      <c r="B31" s="15" t="n"/>
      <c r="E31" s="15" t="n"/>
      <c r="F31" s="15" t="n"/>
      <c r="G31" s="15" t="n"/>
      <c r="H31" s="31">
        <f>IF(AND(E31&lt;&gt;"",F31&lt;&gt;""),((F31/E31)-1)*100,"")</f>
        <v/>
      </c>
      <c r="I31" s="24">
        <f>IF(H31="","",IF(H31&gt;=10,"Exceeds Target",IF(H31&gt;=0,"Meets Target",IF(H31&gt;=-10,"Below Target","Critical"))))</f>
        <v/>
      </c>
      <c r="K31" s="15" t="n"/>
      <c r="L31" s="15" t="n"/>
      <c r="M31" s="23" t="n"/>
      <c r="N31" s="15" t="n"/>
    </row>
    <row r="32">
      <c r="A32" s="14" t="n"/>
      <c r="B32" s="15" t="n"/>
      <c r="E32" s="15" t="n"/>
      <c r="F32" s="15" t="n"/>
      <c r="G32" s="15" t="n"/>
      <c r="H32" s="31">
        <f>IF(AND(E32&lt;&gt;"",F32&lt;&gt;""),((F32/E32)-1)*100,"")</f>
        <v/>
      </c>
      <c r="I32" s="24">
        <f>IF(H32="","",IF(H32&gt;=10,"Exceeds Target",IF(H32&gt;=0,"Meets Target",IF(H32&gt;=-10,"Below Target","Critical"))))</f>
        <v/>
      </c>
      <c r="K32" s="15" t="n"/>
      <c r="L32" s="15" t="n"/>
      <c r="M32" s="23" t="n"/>
      <c r="N32" s="15" t="n"/>
    </row>
    <row r="33">
      <c r="A33" s="14" t="n"/>
      <c r="B33" s="15" t="n"/>
      <c r="E33" s="15" t="n"/>
      <c r="F33" s="15" t="n"/>
      <c r="G33" s="15" t="n"/>
      <c r="H33" s="31">
        <f>IF(AND(E33&lt;&gt;"",F33&lt;&gt;""),((F33/E33)-1)*100,"")</f>
        <v/>
      </c>
      <c r="I33" s="24">
        <f>IF(H33="","",IF(H33&gt;=10,"Exceeds Target",IF(H33&gt;=0,"Meets Target",IF(H33&gt;=-10,"Below Target","Critical"))))</f>
        <v/>
      </c>
      <c r="K33" s="15" t="n"/>
      <c r="L33" s="15" t="n"/>
      <c r="M33" s="23" t="n"/>
      <c r="N33" s="15" t="n"/>
    </row>
    <row r="34">
      <c r="A34" s="14" t="n"/>
      <c r="B34" s="15" t="n"/>
      <c r="E34" s="15" t="n"/>
      <c r="F34" s="15" t="n"/>
      <c r="G34" s="15" t="n"/>
      <c r="H34" s="31">
        <f>IF(AND(E34&lt;&gt;"",F34&lt;&gt;""),((F34/E34)-1)*100,"")</f>
        <v/>
      </c>
      <c r="I34" s="24">
        <f>IF(H34="","",IF(H34&gt;=10,"Exceeds Target",IF(H34&gt;=0,"Meets Target",IF(H34&gt;=-10,"Below Target","Critical"))))</f>
        <v/>
      </c>
      <c r="K34" s="15" t="n"/>
      <c r="L34" s="15" t="n"/>
      <c r="M34" s="23" t="n"/>
      <c r="N34" s="15" t="n"/>
    </row>
    <row r="36">
      <c r="A36" s="18" t="inlineStr">
        <is>
          <t>METRICS SUMMARY</t>
        </is>
      </c>
    </row>
    <row r="37">
      <c r="A37" s="19" t="inlineStr">
        <is>
          <t>Exceeds Target:</t>
        </is>
      </c>
      <c r="B37" s="20">
        <f>COUNTIF(I5:I34,"Exceeds Target")</f>
        <v/>
      </c>
    </row>
    <row r="38">
      <c r="A38" s="19" t="inlineStr">
        <is>
          <t>Meets Target:</t>
        </is>
      </c>
      <c r="B38" s="20">
        <f>COUNTIF(I5:I34,"Meets Target")</f>
        <v/>
      </c>
    </row>
    <row r="39">
      <c r="A39" s="19" t="inlineStr">
        <is>
          <t>Below Target:</t>
        </is>
      </c>
      <c r="B39" s="21">
        <f>COUNTIF(I5:I34,"Below Target")</f>
        <v/>
      </c>
    </row>
    <row r="40">
      <c r="A40" s="19" t="inlineStr">
        <is>
          <t>Critical:</t>
        </is>
      </c>
      <c r="B40" s="22">
        <f>COUNTIF(I5:I34,"Critical")</f>
        <v/>
      </c>
    </row>
  </sheetData>
  <mergeCells count="3">
    <mergeCell ref="A2:N2"/>
    <mergeCell ref="A36:E36"/>
    <mergeCell ref="A1:N1"/>
  </mergeCells>
  <conditionalFormatting sqref="I5">
    <cfRule type="cellIs" priority="1" operator="equal" dxfId="0">
      <formula>"Exceeds Target"</formula>
    </cfRule>
    <cfRule type="cellIs" priority="2" operator="equal" dxfId="0">
      <formula>"Meets Target"</formula>
    </cfRule>
    <cfRule type="cellIs" priority="3" operator="equal" dxfId="2">
      <formula>"Below Target"</formula>
    </cfRule>
    <cfRule type="cellIs" priority="4" operator="equal" dxfId="1">
      <formula>"Critical"</formula>
    </cfRule>
  </conditionalFormatting>
  <conditionalFormatting sqref="I6">
    <cfRule type="cellIs" priority="5" operator="equal" dxfId="0">
      <formula>"Exceeds Target"</formula>
    </cfRule>
    <cfRule type="cellIs" priority="6" operator="equal" dxfId="0">
      <formula>"Meets Target"</formula>
    </cfRule>
    <cfRule type="cellIs" priority="7" operator="equal" dxfId="2">
      <formula>"Below Target"</formula>
    </cfRule>
    <cfRule type="cellIs" priority="8" operator="equal" dxfId="1">
      <formula>"Critical"</formula>
    </cfRule>
  </conditionalFormatting>
  <conditionalFormatting sqref="I7">
    <cfRule type="cellIs" priority="9" operator="equal" dxfId="0">
      <formula>"Exceeds Target"</formula>
    </cfRule>
    <cfRule type="cellIs" priority="10" operator="equal" dxfId="0">
      <formula>"Meets Target"</formula>
    </cfRule>
    <cfRule type="cellIs" priority="11" operator="equal" dxfId="2">
      <formula>"Below Target"</formula>
    </cfRule>
    <cfRule type="cellIs" priority="12" operator="equal" dxfId="1">
      <formula>"Critical"</formula>
    </cfRule>
  </conditionalFormatting>
  <conditionalFormatting sqref="I8">
    <cfRule type="cellIs" priority="13" operator="equal" dxfId="0">
      <formula>"Exceeds Target"</formula>
    </cfRule>
    <cfRule type="cellIs" priority="14" operator="equal" dxfId="0">
      <formula>"Meets Target"</formula>
    </cfRule>
    <cfRule type="cellIs" priority="15" operator="equal" dxfId="2">
      <formula>"Below Target"</formula>
    </cfRule>
    <cfRule type="cellIs" priority="16" operator="equal" dxfId="1">
      <formula>"Critical"</formula>
    </cfRule>
  </conditionalFormatting>
  <conditionalFormatting sqref="I9">
    <cfRule type="cellIs" priority="17" operator="equal" dxfId="0">
      <formula>"Exceeds Target"</formula>
    </cfRule>
    <cfRule type="cellIs" priority="18" operator="equal" dxfId="0">
      <formula>"Meets Target"</formula>
    </cfRule>
    <cfRule type="cellIs" priority="19" operator="equal" dxfId="2">
      <formula>"Below Target"</formula>
    </cfRule>
    <cfRule type="cellIs" priority="20" operator="equal" dxfId="1">
      <formula>"Critical"</formula>
    </cfRule>
  </conditionalFormatting>
  <conditionalFormatting sqref="I10">
    <cfRule type="cellIs" priority="21" operator="equal" dxfId="0">
      <formula>"Exceeds Target"</formula>
    </cfRule>
    <cfRule type="cellIs" priority="22" operator="equal" dxfId="0">
      <formula>"Meets Target"</formula>
    </cfRule>
    <cfRule type="cellIs" priority="23" operator="equal" dxfId="2">
      <formula>"Below Target"</formula>
    </cfRule>
    <cfRule type="cellIs" priority="24" operator="equal" dxfId="1">
      <formula>"Critical"</formula>
    </cfRule>
  </conditionalFormatting>
  <conditionalFormatting sqref="I11">
    <cfRule type="cellIs" priority="25" operator="equal" dxfId="0">
      <formula>"Exceeds Target"</formula>
    </cfRule>
    <cfRule type="cellIs" priority="26" operator="equal" dxfId="0">
      <formula>"Meets Target"</formula>
    </cfRule>
    <cfRule type="cellIs" priority="27" operator="equal" dxfId="2">
      <formula>"Below Target"</formula>
    </cfRule>
    <cfRule type="cellIs" priority="28" operator="equal" dxfId="1">
      <formula>"Critical"</formula>
    </cfRule>
  </conditionalFormatting>
  <conditionalFormatting sqref="I12">
    <cfRule type="cellIs" priority="29" operator="equal" dxfId="0">
      <formula>"Exceeds Target"</formula>
    </cfRule>
    <cfRule type="cellIs" priority="30" operator="equal" dxfId="0">
      <formula>"Meets Target"</formula>
    </cfRule>
    <cfRule type="cellIs" priority="31" operator="equal" dxfId="2">
      <formula>"Below Target"</formula>
    </cfRule>
    <cfRule type="cellIs" priority="32" operator="equal" dxfId="1">
      <formula>"Critical"</formula>
    </cfRule>
  </conditionalFormatting>
  <conditionalFormatting sqref="I13">
    <cfRule type="cellIs" priority="33" operator="equal" dxfId="0">
      <formula>"Exceeds Target"</formula>
    </cfRule>
    <cfRule type="cellIs" priority="34" operator="equal" dxfId="0">
      <formula>"Meets Target"</formula>
    </cfRule>
    <cfRule type="cellIs" priority="35" operator="equal" dxfId="2">
      <formula>"Below Target"</formula>
    </cfRule>
    <cfRule type="cellIs" priority="36" operator="equal" dxfId="1">
      <formula>"Critical"</formula>
    </cfRule>
  </conditionalFormatting>
  <conditionalFormatting sqref="I14">
    <cfRule type="cellIs" priority="37" operator="equal" dxfId="0">
      <formula>"Exceeds Target"</formula>
    </cfRule>
    <cfRule type="cellIs" priority="38" operator="equal" dxfId="0">
      <formula>"Meets Target"</formula>
    </cfRule>
    <cfRule type="cellIs" priority="39" operator="equal" dxfId="2">
      <formula>"Below Target"</formula>
    </cfRule>
    <cfRule type="cellIs" priority="40" operator="equal" dxfId="1">
      <formula>"Critical"</formula>
    </cfRule>
  </conditionalFormatting>
  <conditionalFormatting sqref="I15">
    <cfRule type="cellIs" priority="41" operator="equal" dxfId="0">
      <formula>"Exceeds Target"</formula>
    </cfRule>
    <cfRule type="cellIs" priority="42" operator="equal" dxfId="0">
      <formula>"Meets Target"</formula>
    </cfRule>
    <cfRule type="cellIs" priority="43" operator="equal" dxfId="2">
      <formula>"Below Target"</formula>
    </cfRule>
    <cfRule type="cellIs" priority="44" operator="equal" dxfId="1">
      <formula>"Critical"</formula>
    </cfRule>
  </conditionalFormatting>
  <conditionalFormatting sqref="I16">
    <cfRule type="cellIs" priority="45" operator="equal" dxfId="0">
      <formula>"Exceeds Target"</formula>
    </cfRule>
    <cfRule type="cellIs" priority="46" operator="equal" dxfId="0">
      <formula>"Meets Target"</formula>
    </cfRule>
    <cfRule type="cellIs" priority="47" operator="equal" dxfId="2">
      <formula>"Below Target"</formula>
    </cfRule>
    <cfRule type="cellIs" priority="48" operator="equal" dxfId="1">
      <formula>"Critical"</formula>
    </cfRule>
  </conditionalFormatting>
  <conditionalFormatting sqref="I17">
    <cfRule type="cellIs" priority="49" operator="equal" dxfId="0">
      <formula>"Exceeds Target"</formula>
    </cfRule>
    <cfRule type="cellIs" priority="50" operator="equal" dxfId="0">
      <formula>"Meets Target"</formula>
    </cfRule>
    <cfRule type="cellIs" priority="51" operator="equal" dxfId="2">
      <formula>"Below Target"</formula>
    </cfRule>
    <cfRule type="cellIs" priority="52" operator="equal" dxfId="1">
      <formula>"Critical"</formula>
    </cfRule>
  </conditionalFormatting>
  <conditionalFormatting sqref="I18">
    <cfRule type="cellIs" priority="53" operator="equal" dxfId="0">
      <formula>"Exceeds Target"</formula>
    </cfRule>
    <cfRule type="cellIs" priority="54" operator="equal" dxfId="0">
      <formula>"Meets Target"</formula>
    </cfRule>
    <cfRule type="cellIs" priority="55" operator="equal" dxfId="2">
      <formula>"Below Target"</formula>
    </cfRule>
    <cfRule type="cellIs" priority="56" operator="equal" dxfId="1">
      <formula>"Critical"</formula>
    </cfRule>
  </conditionalFormatting>
  <conditionalFormatting sqref="I19">
    <cfRule type="cellIs" priority="57" operator="equal" dxfId="0">
      <formula>"Exceeds Target"</formula>
    </cfRule>
    <cfRule type="cellIs" priority="58" operator="equal" dxfId="0">
      <formula>"Meets Target"</formula>
    </cfRule>
    <cfRule type="cellIs" priority="59" operator="equal" dxfId="2">
      <formula>"Below Target"</formula>
    </cfRule>
    <cfRule type="cellIs" priority="60" operator="equal" dxfId="1">
      <formula>"Critical"</formula>
    </cfRule>
  </conditionalFormatting>
  <conditionalFormatting sqref="I20">
    <cfRule type="cellIs" priority="61" operator="equal" dxfId="0">
      <formula>"Exceeds Target"</formula>
    </cfRule>
    <cfRule type="cellIs" priority="62" operator="equal" dxfId="0">
      <formula>"Meets Target"</formula>
    </cfRule>
    <cfRule type="cellIs" priority="63" operator="equal" dxfId="2">
      <formula>"Below Target"</formula>
    </cfRule>
    <cfRule type="cellIs" priority="64" operator="equal" dxfId="1">
      <formula>"Critical"</formula>
    </cfRule>
  </conditionalFormatting>
  <conditionalFormatting sqref="I21">
    <cfRule type="cellIs" priority="65" operator="equal" dxfId="0">
      <formula>"Exceeds Target"</formula>
    </cfRule>
    <cfRule type="cellIs" priority="66" operator="equal" dxfId="0">
      <formula>"Meets Target"</formula>
    </cfRule>
    <cfRule type="cellIs" priority="67" operator="equal" dxfId="2">
      <formula>"Below Target"</formula>
    </cfRule>
    <cfRule type="cellIs" priority="68" operator="equal" dxfId="1">
      <formula>"Critical"</formula>
    </cfRule>
  </conditionalFormatting>
  <conditionalFormatting sqref="I22">
    <cfRule type="cellIs" priority="69" operator="equal" dxfId="0">
      <formula>"Exceeds Target"</formula>
    </cfRule>
    <cfRule type="cellIs" priority="70" operator="equal" dxfId="0">
      <formula>"Meets Target"</formula>
    </cfRule>
    <cfRule type="cellIs" priority="71" operator="equal" dxfId="2">
      <formula>"Below Target"</formula>
    </cfRule>
    <cfRule type="cellIs" priority="72" operator="equal" dxfId="1">
      <formula>"Critical"</formula>
    </cfRule>
  </conditionalFormatting>
  <conditionalFormatting sqref="I23">
    <cfRule type="cellIs" priority="73" operator="equal" dxfId="0">
      <formula>"Exceeds Target"</formula>
    </cfRule>
    <cfRule type="cellIs" priority="74" operator="equal" dxfId="0">
      <formula>"Meets Target"</formula>
    </cfRule>
    <cfRule type="cellIs" priority="75" operator="equal" dxfId="2">
      <formula>"Below Target"</formula>
    </cfRule>
    <cfRule type="cellIs" priority="76" operator="equal" dxfId="1">
      <formula>"Critical"</formula>
    </cfRule>
  </conditionalFormatting>
  <conditionalFormatting sqref="I24">
    <cfRule type="cellIs" priority="77" operator="equal" dxfId="0">
      <formula>"Exceeds Target"</formula>
    </cfRule>
    <cfRule type="cellIs" priority="78" operator="equal" dxfId="0">
      <formula>"Meets Target"</formula>
    </cfRule>
    <cfRule type="cellIs" priority="79" operator="equal" dxfId="2">
      <formula>"Below Target"</formula>
    </cfRule>
    <cfRule type="cellIs" priority="80" operator="equal" dxfId="1">
      <formula>"Critical"</formula>
    </cfRule>
  </conditionalFormatting>
  <conditionalFormatting sqref="I25">
    <cfRule type="cellIs" priority="81" operator="equal" dxfId="0">
      <formula>"Exceeds Target"</formula>
    </cfRule>
    <cfRule type="cellIs" priority="82" operator="equal" dxfId="0">
      <formula>"Meets Target"</formula>
    </cfRule>
    <cfRule type="cellIs" priority="83" operator="equal" dxfId="2">
      <formula>"Below Target"</formula>
    </cfRule>
    <cfRule type="cellIs" priority="84" operator="equal" dxfId="1">
      <formula>"Critical"</formula>
    </cfRule>
  </conditionalFormatting>
  <conditionalFormatting sqref="I26">
    <cfRule type="cellIs" priority="85" operator="equal" dxfId="0">
      <formula>"Exceeds Target"</formula>
    </cfRule>
    <cfRule type="cellIs" priority="86" operator="equal" dxfId="0">
      <formula>"Meets Target"</formula>
    </cfRule>
    <cfRule type="cellIs" priority="87" operator="equal" dxfId="2">
      <formula>"Below Target"</formula>
    </cfRule>
    <cfRule type="cellIs" priority="88" operator="equal" dxfId="1">
      <formula>"Critical"</formula>
    </cfRule>
  </conditionalFormatting>
  <conditionalFormatting sqref="I27">
    <cfRule type="cellIs" priority="89" operator="equal" dxfId="0">
      <formula>"Exceeds Target"</formula>
    </cfRule>
    <cfRule type="cellIs" priority="90" operator="equal" dxfId="0">
      <formula>"Meets Target"</formula>
    </cfRule>
    <cfRule type="cellIs" priority="91" operator="equal" dxfId="2">
      <formula>"Below Target"</formula>
    </cfRule>
    <cfRule type="cellIs" priority="92" operator="equal" dxfId="1">
      <formula>"Critical"</formula>
    </cfRule>
  </conditionalFormatting>
  <conditionalFormatting sqref="I28">
    <cfRule type="cellIs" priority="93" operator="equal" dxfId="0">
      <formula>"Exceeds Target"</formula>
    </cfRule>
    <cfRule type="cellIs" priority="94" operator="equal" dxfId="0">
      <formula>"Meets Target"</formula>
    </cfRule>
    <cfRule type="cellIs" priority="95" operator="equal" dxfId="2">
      <formula>"Below Target"</formula>
    </cfRule>
    <cfRule type="cellIs" priority="96" operator="equal" dxfId="1">
      <formula>"Critical"</formula>
    </cfRule>
  </conditionalFormatting>
  <conditionalFormatting sqref="I29">
    <cfRule type="cellIs" priority="97" operator="equal" dxfId="0">
      <formula>"Exceeds Target"</formula>
    </cfRule>
    <cfRule type="cellIs" priority="98" operator="equal" dxfId="0">
      <formula>"Meets Target"</formula>
    </cfRule>
    <cfRule type="cellIs" priority="99" operator="equal" dxfId="2">
      <formula>"Below Target"</formula>
    </cfRule>
    <cfRule type="cellIs" priority="100" operator="equal" dxfId="1">
      <formula>"Critical"</formula>
    </cfRule>
  </conditionalFormatting>
  <conditionalFormatting sqref="I30">
    <cfRule type="cellIs" priority="101" operator="equal" dxfId="0">
      <formula>"Exceeds Target"</formula>
    </cfRule>
    <cfRule type="cellIs" priority="102" operator="equal" dxfId="0">
      <formula>"Meets Target"</formula>
    </cfRule>
    <cfRule type="cellIs" priority="103" operator="equal" dxfId="2">
      <formula>"Below Target"</formula>
    </cfRule>
    <cfRule type="cellIs" priority="104" operator="equal" dxfId="1">
      <formula>"Critical"</formula>
    </cfRule>
  </conditionalFormatting>
  <conditionalFormatting sqref="I31">
    <cfRule type="cellIs" priority="105" operator="equal" dxfId="0">
      <formula>"Exceeds Target"</formula>
    </cfRule>
    <cfRule type="cellIs" priority="106" operator="equal" dxfId="0">
      <formula>"Meets Target"</formula>
    </cfRule>
    <cfRule type="cellIs" priority="107" operator="equal" dxfId="2">
      <formula>"Below Target"</formula>
    </cfRule>
    <cfRule type="cellIs" priority="108" operator="equal" dxfId="1">
      <formula>"Critical"</formula>
    </cfRule>
  </conditionalFormatting>
  <conditionalFormatting sqref="I32">
    <cfRule type="cellIs" priority="109" operator="equal" dxfId="0">
      <formula>"Exceeds Target"</formula>
    </cfRule>
    <cfRule type="cellIs" priority="110" operator="equal" dxfId="0">
      <formula>"Meets Target"</formula>
    </cfRule>
    <cfRule type="cellIs" priority="111" operator="equal" dxfId="2">
      <formula>"Below Target"</formula>
    </cfRule>
    <cfRule type="cellIs" priority="112" operator="equal" dxfId="1">
      <formula>"Critical"</formula>
    </cfRule>
  </conditionalFormatting>
  <conditionalFormatting sqref="I33">
    <cfRule type="cellIs" priority="113" operator="equal" dxfId="0">
      <formula>"Exceeds Target"</formula>
    </cfRule>
    <cfRule type="cellIs" priority="114" operator="equal" dxfId="0">
      <formula>"Meets Target"</formula>
    </cfRule>
    <cfRule type="cellIs" priority="115" operator="equal" dxfId="2">
      <formula>"Below Target"</formula>
    </cfRule>
    <cfRule type="cellIs" priority="116" operator="equal" dxfId="1">
      <formula>"Critical"</formula>
    </cfRule>
  </conditionalFormatting>
  <conditionalFormatting sqref="I34">
    <cfRule type="cellIs" priority="117" operator="equal" dxfId="0">
      <formula>"Exceeds Target"</formula>
    </cfRule>
    <cfRule type="cellIs" priority="118" operator="equal" dxfId="0">
      <formula>"Meets Target"</formula>
    </cfRule>
    <cfRule type="cellIs" priority="119" operator="equal" dxfId="2">
      <formula>"Below Target"</formula>
    </cfRule>
    <cfRule type="cellIs" priority="120" operator="equal" dxfId="1">
      <formula>"Critical"</formula>
    </cfRule>
  </conditionalFormatting>
  <dataValidations count="90">
    <dataValidation sqref="C5" showDropDown="0" showInputMessage="0" showErrorMessage="0" allowBlank="0" type="list">
      <formula1>"Tool_Integration,IOC_Effectiveness,Dissemination,Stakeholder_Engagement,Automation"</formula1>
    </dataValidation>
    <dataValidation sqref="D5" showDropDown="0" showInputMessage="0" showErrorMessage="0" allowBlank="0" type="list">
      <formula1>"Daily,Weekly,Monthly,Quarterly"</formula1>
    </dataValidation>
    <dataValidation sqref="J5" showDropDown="0" showInputMessage="0" showErrorMessage="0" allowBlank="1" type="list">
      <formula1>"Improving,Stable,Declining"</formula1>
    </dataValidation>
    <dataValidation sqref="C6" showDropDown="0" showInputMessage="0" showErrorMessage="0" allowBlank="0" type="list">
      <formula1>"Tool_Integration,IOC_Effectiveness,Dissemination,Stakeholder_Engagement,Automation"</formula1>
    </dataValidation>
    <dataValidation sqref="D6" showDropDown="0" showInputMessage="0" showErrorMessage="0" allowBlank="0" type="list">
      <formula1>"Daily,Weekly,Monthly,Quarterly"</formula1>
    </dataValidation>
    <dataValidation sqref="J6" showDropDown="0" showInputMessage="0" showErrorMessage="0" allowBlank="1" type="list">
      <formula1>"Improving,Stable,Declining"</formula1>
    </dataValidation>
    <dataValidation sqref="C7" showDropDown="0" showInputMessage="0" showErrorMessage="0" allowBlank="0" type="list">
      <formula1>"Tool_Integration,IOC_Effectiveness,Dissemination,Stakeholder_Engagement,Automation"</formula1>
    </dataValidation>
    <dataValidation sqref="D7" showDropDown="0" showInputMessage="0" showErrorMessage="0" allowBlank="0" type="list">
      <formula1>"Daily,Weekly,Monthly,Quarterly"</formula1>
    </dataValidation>
    <dataValidation sqref="J7" showDropDown="0" showInputMessage="0" showErrorMessage="0" allowBlank="1" type="list">
      <formula1>"Improving,Stable,Declining"</formula1>
    </dataValidation>
    <dataValidation sqref="C8" showDropDown="0" showInputMessage="0" showErrorMessage="0" allowBlank="0" type="list">
      <formula1>"Tool_Integration,IOC_Effectiveness,Dissemination,Stakeholder_Engagement,Automation"</formula1>
    </dataValidation>
    <dataValidation sqref="D8" showDropDown="0" showInputMessage="0" showErrorMessage="0" allowBlank="0" type="list">
      <formula1>"Daily,Weekly,Monthly,Quarterly"</formula1>
    </dataValidation>
    <dataValidation sqref="J8" showDropDown="0" showInputMessage="0" showErrorMessage="0" allowBlank="1" type="list">
      <formula1>"Improving,Stable,Declining"</formula1>
    </dataValidation>
    <dataValidation sqref="C9" showDropDown="0" showInputMessage="0" showErrorMessage="0" allowBlank="0" type="list">
      <formula1>"Tool_Integration,IOC_Effectiveness,Dissemination,Stakeholder_Engagement,Automation"</formula1>
    </dataValidation>
    <dataValidation sqref="D9" showDropDown="0" showInputMessage="0" showErrorMessage="0" allowBlank="0" type="list">
      <formula1>"Daily,Weekly,Monthly,Quarterly"</formula1>
    </dataValidation>
    <dataValidation sqref="J9" showDropDown="0" showInputMessage="0" showErrorMessage="0" allowBlank="1" type="list">
      <formula1>"Improving,Stable,Declining"</formula1>
    </dataValidation>
    <dataValidation sqref="C10" showDropDown="0" showInputMessage="0" showErrorMessage="0" allowBlank="0" type="list">
      <formula1>"Tool_Integration,IOC_Effectiveness,Dissemination,Stakeholder_Engagement,Automation"</formula1>
    </dataValidation>
    <dataValidation sqref="D10" showDropDown="0" showInputMessage="0" showErrorMessage="0" allowBlank="0" type="list">
      <formula1>"Daily,Weekly,Monthly,Quarterly"</formula1>
    </dataValidation>
    <dataValidation sqref="J10" showDropDown="0" showInputMessage="0" showErrorMessage="0" allowBlank="1" type="list">
      <formula1>"Improving,Stable,Declining"</formula1>
    </dataValidation>
    <dataValidation sqref="C11" showDropDown="0" showInputMessage="0" showErrorMessage="0" allowBlank="0" type="list">
      <formula1>"Tool_Integration,IOC_Effectiveness,Dissemination,Stakeholder_Engagement,Automation"</formula1>
    </dataValidation>
    <dataValidation sqref="D11" showDropDown="0" showInputMessage="0" showErrorMessage="0" allowBlank="0" type="list">
      <formula1>"Daily,Weekly,Monthly,Quarterly"</formula1>
    </dataValidation>
    <dataValidation sqref="J11" showDropDown="0" showInputMessage="0" showErrorMessage="0" allowBlank="1" type="list">
      <formula1>"Improving,Stable,Declining"</formula1>
    </dataValidation>
    <dataValidation sqref="C12" showDropDown="0" showInputMessage="0" showErrorMessage="0" allowBlank="0" type="list">
      <formula1>"Tool_Integration,IOC_Effectiveness,Dissemination,Stakeholder_Engagement,Automation"</formula1>
    </dataValidation>
    <dataValidation sqref="D12" showDropDown="0" showInputMessage="0" showErrorMessage="0" allowBlank="0" type="list">
      <formula1>"Daily,Weekly,Monthly,Quarterly"</formula1>
    </dataValidation>
    <dataValidation sqref="J12" showDropDown="0" showInputMessage="0" showErrorMessage="0" allowBlank="1" type="list">
      <formula1>"Improving,Stable,Declining"</formula1>
    </dataValidation>
    <dataValidation sqref="C13" showDropDown="0" showInputMessage="0" showErrorMessage="0" allowBlank="0" type="list">
      <formula1>"Tool_Integration,IOC_Effectiveness,Dissemination,Stakeholder_Engagement,Automation"</formula1>
    </dataValidation>
    <dataValidation sqref="D13" showDropDown="0" showInputMessage="0" showErrorMessage="0" allowBlank="0" type="list">
      <formula1>"Daily,Weekly,Monthly,Quarterly"</formula1>
    </dataValidation>
    <dataValidation sqref="J13" showDropDown="0" showInputMessage="0" showErrorMessage="0" allowBlank="1" type="list">
      <formula1>"Improving,Stable,Declining"</formula1>
    </dataValidation>
    <dataValidation sqref="C14" showDropDown="0" showInputMessage="0" showErrorMessage="0" allowBlank="0" type="list">
      <formula1>"Tool_Integration,IOC_Effectiveness,Dissemination,Stakeholder_Engagement,Automation"</formula1>
    </dataValidation>
    <dataValidation sqref="D14" showDropDown="0" showInputMessage="0" showErrorMessage="0" allowBlank="0" type="list">
      <formula1>"Daily,Weekly,Monthly,Quarterly"</formula1>
    </dataValidation>
    <dataValidation sqref="J14" showDropDown="0" showInputMessage="0" showErrorMessage="0" allowBlank="1" type="list">
      <formula1>"Improving,Stable,Declining"</formula1>
    </dataValidation>
    <dataValidation sqref="C15" showDropDown="0" showInputMessage="0" showErrorMessage="0" allowBlank="0" type="list">
      <formula1>"Tool_Integration,IOC_Effectiveness,Dissemination,Stakeholder_Engagement,Automation"</formula1>
    </dataValidation>
    <dataValidation sqref="D15" showDropDown="0" showInputMessage="0" showErrorMessage="0" allowBlank="0" type="list">
      <formula1>"Daily,Weekly,Monthly,Quarterly"</formula1>
    </dataValidation>
    <dataValidation sqref="J15" showDropDown="0" showInputMessage="0" showErrorMessage="0" allowBlank="1" type="list">
      <formula1>"Improving,Stable,Declining"</formula1>
    </dataValidation>
    <dataValidation sqref="C16" showDropDown="0" showInputMessage="0" showErrorMessage="0" allowBlank="0" type="list">
      <formula1>"Tool_Integration,IOC_Effectiveness,Dissemination,Stakeholder_Engagement,Automation"</formula1>
    </dataValidation>
    <dataValidation sqref="D16" showDropDown="0" showInputMessage="0" showErrorMessage="0" allowBlank="0" type="list">
      <formula1>"Daily,Weekly,Monthly,Quarterly"</formula1>
    </dataValidation>
    <dataValidation sqref="J16" showDropDown="0" showInputMessage="0" showErrorMessage="0" allowBlank="1" type="list">
      <formula1>"Improving,Stable,Declining"</formula1>
    </dataValidation>
    <dataValidation sqref="C17" showDropDown="0" showInputMessage="0" showErrorMessage="0" allowBlank="0" type="list">
      <formula1>"Tool_Integration,IOC_Effectiveness,Dissemination,Stakeholder_Engagement,Automation"</formula1>
    </dataValidation>
    <dataValidation sqref="D17" showDropDown="0" showInputMessage="0" showErrorMessage="0" allowBlank="0" type="list">
      <formula1>"Daily,Weekly,Monthly,Quarterly"</formula1>
    </dataValidation>
    <dataValidation sqref="J17" showDropDown="0" showInputMessage="0" showErrorMessage="0" allowBlank="1" type="list">
      <formula1>"Improving,Stable,Declining"</formula1>
    </dataValidation>
    <dataValidation sqref="C18" showDropDown="0" showInputMessage="0" showErrorMessage="0" allowBlank="0" type="list">
      <formula1>"Tool_Integration,IOC_Effectiveness,Dissemination,Stakeholder_Engagement,Automation"</formula1>
    </dataValidation>
    <dataValidation sqref="D18" showDropDown="0" showInputMessage="0" showErrorMessage="0" allowBlank="0" type="list">
      <formula1>"Daily,Weekly,Monthly,Quarterly"</formula1>
    </dataValidation>
    <dataValidation sqref="J18" showDropDown="0" showInputMessage="0" showErrorMessage="0" allowBlank="1" type="list">
      <formula1>"Improving,Stable,Declining"</formula1>
    </dataValidation>
    <dataValidation sqref="C19" showDropDown="0" showInputMessage="0" showErrorMessage="0" allowBlank="0" type="list">
      <formula1>"Tool_Integration,IOC_Effectiveness,Dissemination,Stakeholder_Engagement,Automation"</formula1>
    </dataValidation>
    <dataValidation sqref="D19" showDropDown="0" showInputMessage="0" showErrorMessage="0" allowBlank="0" type="list">
      <formula1>"Daily,Weekly,Monthly,Quarterly"</formula1>
    </dataValidation>
    <dataValidation sqref="J19" showDropDown="0" showInputMessage="0" showErrorMessage="0" allowBlank="1" type="list">
      <formula1>"Improving,Stable,Declining"</formula1>
    </dataValidation>
    <dataValidation sqref="C20" showDropDown="0" showInputMessage="0" showErrorMessage="0" allowBlank="0" type="list">
      <formula1>"Tool_Integration,IOC_Effectiveness,Dissemination,Stakeholder_Engagement,Automation"</formula1>
    </dataValidation>
    <dataValidation sqref="D20" showDropDown="0" showInputMessage="0" showErrorMessage="0" allowBlank="0" type="list">
      <formula1>"Daily,Weekly,Monthly,Quarterly"</formula1>
    </dataValidation>
    <dataValidation sqref="J20" showDropDown="0" showInputMessage="0" showErrorMessage="0" allowBlank="1" type="list">
      <formula1>"Improving,Stable,Declining"</formula1>
    </dataValidation>
    <dataValidation sqref="C21" showDropDown="0" showInputMessage="0" showErrorMessage="0" allowBlank="0" type="list">
      <formula1>"Tool_Integration,IOC_Effectiveness,Dissemination,Stakeholder_Engagement,Automation"</formula1>
    </dataValidation>
    <dataValidation sqref="D21" showDropDown="0" showInputMessage="0" showErrorMessage="0" allowBlank="0" type="list">
      <formula1>"Daily,Weekly,Monthly,Quarterly"</formula1>
    </dataValidation>
    <dataValidation sqref="J21" showDropDown="0" showInputMessage="0" showErrorMessage="0" allowBlank="1" type="list">
      <formula1>"Improving,Stable,Declining"</formula1>
    </dataValidation>
    <dataValidation sqref="C22" showDropDown="0" showInputMessage="0" showErrorMessage="0" allowBlank="0" type="list">
      <formula1>"Tool_Integration,IOC_Effectiveness,Dissemination,Stakeholder_Engagement,Automation"</formula1>
    </dataValidation>
    <dataValidation sqref="D22" showDropDown="0" showInputMessage="0" showErrorMessage="0" allowBlank="0" type="list">
      <formula1>"Daily,Weekly,Monthly,Quarterly"</formula1>
    </dataValidation>
    <dataValidation sqref="J22" showDropDown="0" showInputMessage="0" showErrorMessage="0" allowBlank="1" type="list">
      <formula1>"Improving,Stable,Declining"</formula1>
    </dataValidation>
    <dataValidation sqref="C23" showDropDown="0" showInputMessage="0" showErrorMessage="0" allowBlank="0" type="list">
      <formula1>"Tool_Integration,IOC_Effectiveness,Dissemination,Stakeholder_Engagement,Automation"</formula1>
    </dataValidation>
    <dataValidation sqref="D23" showDropDown="0" showInputMessage="0" showErrorMessage="0" allowBlank="0" type="list">
      <formula1>"Daily,Weekly,Monthly,Quarterly"</formula1>
    </dataValidation>
    <dataValidation sqref="J23" showDropDown="0" showInputMessage="0" showErrorMessage="0" allowBlank="1" type="list">
      <formula1>"Improving,Stable,Declining"</formula1>
    </dataValidation>
    <dataValidation sqref="C24" showDropDown="0" showInputMessage="0" showErrorMessage="0" allowBlank="0" type="list">
      <formula1>"Tool_Integration,IOC_Effectiveness,Dissemination,Stakeholder_Engagement,Automation"</formula1>
    </dataValidation>
    <dataValidation sqref="D24" showDropDown="0" showInputMessage="0" showErrorMessage="0" allowBlank="0" type="list">
      <formula1>"Daily,Weekly,Monthly,Quarterly"</formula1>
    </dataValidation>
    <dataValidation sqref="J24" showDropDown="0" showInputMessage="0" showErrorMessage="0" allowBlank="1" type="list">
      <formula1>"Improving,Stable,Declining"</formula1>
    </dataValidation>
    <dataValidation sqref="C25" showDropDown="0" showInputMessage="0" showErrorMessage="0" allowBlank="0" type="list">
      <formula1>"Tool_Integration,IOC_Effectiveness,Dissemination,Stakeholder_Engagement,Automation"</formula1>
    </dataValidation>
    <dataValidation sqref="D25" showDropDown="0" showInputMessage="0" showErrorMessage="0" allowBlank="0" type="list">
      <formula1>"Daily,Weekly,Monthly,Quarterly"</formula1>
    </dataValidation>
    <dataValidation sqref="J25" showDropDown="0" showInputMessage="0" showErrorMessage="0" allowBlank="1" type="list">
      <formula1>"Improving,Stable,Declining"</formula1>
    </dataValidation>
    <dataValidation sqref="C26" showDropDown="0" showInputMessage="0" showErrorMessage="0" allowBlank="0" type="list">
      <formula1>"Tool_Integration,IOC_Effectiveness,Dissemination,Stakeholder_Engagement,Automation"</formula1>
    </dataValidation>
    <dataValidation sqref="D26" showDropDown="0" showInputMessage="0" showErrorMessage="0" allowBlank="0" type="list">
      <formula1>"Daily,Weekly,Monthly,Quarterly"</formula1>
    </dataValidation>
    <dataValidation sqref="J26" showDropDown="0" showInputMessage="0" showErrorMessage="0" allowBlank="1" type="list">
      <formula1>"Improving,Stable,Declining"</formula1>
    </dataValidation>
    <dataValidation sqref="C27" showDropDown="0" showInputMessage="0" showErrorMessage="0" allowBlank="0" type="list">
      <formula1>"Tool_Integration,IOC_Effectiveness,Dissemination,Stakeholder_Engagement,Automation"</formula1>
    </dataValidation>
    <dataValidation sqref="D27" showDropDown="0" showInputMessage="0" showErrorMessage="0" allowBlank="0" type="list">
      <formula1>"Daily,Weekly,Monthly,Quarterly"</formula1>
    </dataValidation>
    <dataValidation sqref="J27" showDropDown="0" showInputMessage="0" showErrorMessage="0" allowBlank="1" type="list">
      <formula1>"Improving,Stable,Declining"</formula1>
    </dataValidation>
    <dataValidation sqref="C28" showDropDown="0" showInputMessage="0" showErrorMessage="0" allowBlank="0" type="list">
      <formula1>"Tool_Integration,IOC_Effectiveness,Dissemination,Stakeholder_Engagement,Automation"</formula1>
    </dataValidation>
    <dataValidation sqref="D28" showDropDown="0" showInputMessage="0" showErrorMessage="0" allowBlank="0" type="list">
      <formula1>"Daily,Weekly,Monthly,Quarterly"</formula1>
    </dataValidation>
    <dataValidation sqref="J28" showDropDown="0" showInputMessage="0" showErrorMessage="0" allowBlank="1" type="list">
      <formula1>"Improving,Stable,Declining"</formula1>
    </dataValidation>
    <dataValidation sqref="C29" showDropDown="0" showInputMessage="0" showErrorMessage="0" allowBlank="0" type="list">
      <formula1>"Tool_Integration,IOC_Effectiveness,Dissemination,Stakeholder_Engagement,Automation"</formula1>
    </dataValidation>
    <dataValidation sqref="D29" showDropDown="0" showInputMessage="0" showErrorMessage="0" allowBlank="0" type="list">
      <formula1>"Daily,Weekly,Monthly,Quarterly"</formula1>
    </dataValidation>
    <dataValidation sqref="J29" showDropDown="0" showInputMessage="0" showErrorMessage="0" allowBlank="1" type="list">
      <formula1>"Improving,Stable,Declining"</formula1>
    </dataValidation>
    <dataValidation sqref="C30" showDropDown="0" showInputMessage="0" showErrorMessage="0" allowBlank="0" type="list">
      <formula1>"Tool_Integration,IOC_Effectiveness,Dissemination,Stakeholder_Engagement,Automation"</formula1>
    </dataValidation>
    <dataValidation sqref="D30" showDropDown="0" showInputMessage="0" showErrorMessage="0" allowBlank="0" type="list">
      <formula1>"Daily,Weekly,Monthly,Quarterly"</formula1>
    </dataValidation>
    <dataValidation sqref="J30" showDropDown="0" showInputMessage="0" showErrorMessage="0" allowBlank="1" type="list">
      <formula1>"Improving,Stable,Declining"</formula1>
    </dataValidation>
    <dataValidation sqref="C31" showDropDown="0" showInputMessage="0" showErrorMessage="0" allowBlank="0" type="list">
      <formula1>"Tool_Integration,IOC_Effectiveness,Dissemination,Stakeholder_Engagement,Automation"</formula1>
    </dataValidation>
    <dataValidation sqref="D31" showDropDown="0" showInputMessage="0" showErrorMessage="0" allowBlank="0" type="list">
      <formula1>"Daily,Weekly,Monthly,Quarterly"</formula1>
    </dataValidation>
    <dataValidation sqref="J31" showDropDown="0" showInputMessage="0" showErrorMessage="0" allowBlank="1" type="list">
      <formula1>"Improving,Stable,Declining"</formula1>
    </dataValidation>
    <dataValidation sqref="C32" showDropDown="0" showInputMessage="0" showErrorMessage="0" allowBlank="0" type="list">
      <formula1>"Tool_Integration,IOC_Effectiveness,Dissemination,Stakeholder_Engagement,Automation"</formula1>
    </dataValidation>
    <dataValidation sqref="D32" showDropDown="0" showInputMessage="0" showErrorMessage="0" allowBlank="0" type="list">
      <formula1>"Daily,Weekly,Monthly,Quarterly"</formula1>
    </dataValidation>
    <dataValidation sqref="J32" showDropDown="0" showInputMessage="0" showErrorMessage="0" allowBlank="1" type="list">
      <formula1>"Improving,Stable,Declining"</formula1>
    </dataValidation>
    <dataValidation sqref="C33" showDropDown="0" showInputMessage="0" showErrorMessage="0" allowBlank="0" type="list">
      <formula1>"Tool_Integration,IOC_Effectiveness,Dissemination,Stakeholder_Engagement,Automation"</formula1>
    </dataValidation>
    <dataValidation sqref="D33" showDropDown="0" showInputMessage="0" showErrorMessage="0" allowBlank="0" type="list">
      <formula1>"Daily,Weekly,Monthly,Quarterly"</formula1>
    </dataValidation>
    <dataValidation sqref="J33" showDropDown="0" showInputMessage="0" showErrorMessage="0" allowBlank="1" type="list">
      <formula1>"Improving,Stable,Declining"</formula1>
    </dataValidation>
    <dataValidation sqref="C34" showDropDown="0" showInputMessage="0" showErrorMessage="0" allowBlank="0" type="list">
      <formula1>"Tool_Integration,IOC_Effectiveness,Dissemination,Stakeholder_Engagement,Automation"</formula1>
    </dataValidation>
    <dataValidation sqref="D34" showDropDown="0" showInputMessage="0" showErrorMessage="0" allowBlank="0" type="list">
      <formula1>"Daily,Weekly,Monthly,Quarterly"</formula1>
    </dataValidation>
    <dataValidation sqref="J34" showDropDown="0" showInputMessage="0" showErrorMessage="0" allowBlank="1" type="list">
      <formula1>"Improving,Stable,Declining"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4"/>
  <sheetViews>
    <sheetView workbookViewId="0">
      <pane ySplit="3" topLeftCell="A4" activePane="bottomLeft" state="frozen"/>
      <selection pane="bottomLeft" activeCell="A1" sqref="A1"/>
    </sheetView>
  </sheetViews>
  <sheetFormatPr baseColWidth="8" defaultRowHeight="15"/>
  <cols>
    <col width="15" customWidth="1" min="1" max="1"/>
    <col width="20" customWidth="1" min="2" max="2"/>
    <col width="35" customWidth="1" min="3" max="3"/>
    <col width="12" customWidth="1" min="4" max="4"/>
    <col width="25" customWidth="1" min="5" max="5"/>
    <col width="15" customWidth="1" min="6" max="6"/>
    <col width="15" customWidth="1" min="7" max="7"/>
    <col width="30" customWidth="1" min="8" max="8"/>
    <col width="15" customWidth="1" min="9" max="9"/>
    <col width="30" customWidth="1" min="10" max="10"/>
    <col width="15" customWidth="1" min="11" max="11"/>
    <col width="25" customWidth="1" min="12" max="12"/>
    <col width="15" customWidth="1" min="13" max="13"/>
    <col width="30" customWidth="1" min="14" max="14"/>
  </cols>
  <sheetData>
    <row r="1" ht="35" customHeight="1">
      <c r="A1" s="11" t="inlineStr">
        <is>
          <t>INTEGRATION &amp; DISTRIBUTION ACTION ITEMS</t>
        </is>
      </c>
    </row>
    <row r="2">
      <c r="A2" s="12" t="inlineStr">
        <is>
          <t>Track remediation tasks, improvements, and follow-up actions for tool integration, IOC effectiveness, and stakeholder engagement.</t>
        </is>
      </c>
    </row>
    <row r="4">
      <c r="A4" s="13" t="inlineStr">
        <is>
          <t>Action ID</t>
        </is>
      </c>
      <c r="B4" s="13" t="inlineStr">
        <is>
          <t>Issue Type</t>
        </is>
      </c>
      <c r="C4" s="13" t="inlineStr">
        <is>
          <t>Issue Description</t>
        </is>
      </c>
      <c r="D4" s="13" t="inlineStr">
        <is>
          <t>Priority</t>
        </is>
      </c>
      <c r="E4" s="13" t="inlineStr">
        <is>
          <t>Assigned To</t>
        </is>
      </c>
      <c r="F4" s="13" t="inlineStr">
        <is>
          <t>Due Date</t>
        </is>
      </c>
      <c r="G4" s="13" t="inlineStr">
        <is>
          <t>Status</t>
        </is>
      </c>
      <c r="H4" s="13" t="inlineStr">
        <is>
          <t>Status Notes</t>
        </is>
      </c>
      <c r="I4" s="13" t="inlineStr">
        <is>
          <t>Resolution Date</t>
        </is>
      </c>
      <c r="J4" s="13" t="inlineStr">
        <is>
          <t>Evidence Link</t>
        </is>
      </c>
      <c r="K4" s="13" t="inlineStr">
        <is>
          <t>Created Date</t>
        </is>
      </c>
      <c r="L4" s="13" t="inlineStr">
        <is>
          <t>Created By</t>
        </is>
      </c>
      <c r="M4" s="13" t="inlineStr">
        <is>
          <t>Last Updated</t>
        </is>
      </c>
      <c r="N4" s="13" t="inlineStr">
        <is>
          <t>Notes</t>
        </is>
      </c>
    </row>
    <row r="5">
      <c r="A5" s="14" t="inlineStr">
        <is>
          <t>ACT-2025-001</t>
        </is>
      </c>
      <c r="B5" s="15" t="n"/>
      <c r="C5" s="15" t="n"/>
      <c r="D5" s="15" t="n"/>
      <c r="E5" s="15" t="n"/>
      <c r="F5" s="23" t="n"/>
      <c r="G5" s="15" t="n"/>
      <c r="H5" s="15" t="n"/>
      <c r="I5" s="23" t="n"/>
      <c r="J5" s="15" t="n"/>
      <c r="K5" s="23" t="n"/>
      <c r="L5" s="15" t="n"/>
      <c r="M5" s="23" t="n"/>
      <c r="N5" s="15" t="n"/>
    </row>
    <row r="6">
      <c r="A6" s="14" t="inlineStr">
        <is>
          <t>ACT-2025-002</t>
        </is>
      </c>
      <c r="B6" s="15" t="n"/>
      <c r="C6" s="15" t="n"/>
      <c r="D6" s="15" t="n"/>
      <c r="E6" s="15" t="n"/>
      <c r="F6" s="23" t="n"/>
      <c r="G6" s="15" t="n"/>
      <c r="H6" s="15" t="n"/>
      <c r="I6" s="23" t="n"/>
      <c r="J6" s="15" t="n"/>
      <c r="K6" s="23" t="n"/>
      <c r="L6" s="15" t="n"/>
      <c r="M6" s="23" t="n"/>
      <c r="N6" s="15" t="n"/>
    </row>
    <row r="7">
      <c r="A7" s="14" t="inlineStr">
        <is>
          <t>ACT-2025-003</t>
        </is>
      </c>
      <c r="B7" s="15" t="n"/>
      <c r="C7" s="15" t="n"/>
      <c r="D7" s="15" t="n"/>
      <c r="E7" s="15" t="n"/>
      <c r="F7" s="23" t="n"/>
      <c r="G7" s="15" t="n"/>
      <c r="H7" s="15" t="n"/>
      <c r="I7" s="23" t="n"/>
      <c r="J7" s="15" t="n"/>
      <c r="K7" s="23" t="n"/>
      <c r="L7" s="15" t="n"/>
      <c r="M7" s="23" t="n"/>
      <c r="N7" s="15" t="n"/>
    </row>
    <row r="8">
      <c r="A8" s="14" t="inlineStr">
        <is>
          <t>ACT-2025-004</t>
        </is>
      </c>
      <c r="B8" s="15" t="n"/>
      <c r="C8" s="15" t="n"/>
      <c r="D8" s="15" t="n"/>
      <c r="E8" s="15" t="n"/>
      <c r="F8" s="23" t="n"/>
      <c r="G8" s="15" t="n"/>
      <c r="H8" s="15" t="n"/>
      <c r="I8" s="23" t="n"/>
      <c r="J8" s="15" t="n"/>
      <c r="K8" s="23" t="n"/>
      <c r="L8" s="15" t="n"/>
      <c r="M8" s="23" t="n"/>
      <c r="N8" s="15" t="n"/>
    </row>
    <row r="9">
      <c r="A9" s="14" t="inlineStr">
        <is>
          <t>ACT-2025-005</t>
        </is>
      </c>
      <c r="B9" s="15" t="n"/>
      <c r="C9" s="15" t="n"/>
      <c r="D9" s="15" t="n"/>
      <c r="E9" s="15" t="n"/>
      <c r="F9" s="23" t="n"/>
      <c r="G9" s="15" t="n"/>
      <c r="H9" s="15" t="n"/>
      <c r="I9" s="23" t="n"/>
      <c r="J9" s="15" t="n"/>
      <c r="K9" s="23" t="n"/>
      <c r="L9" s="15" t="n"/>
      <c r="M9" s="23" t="n"/>
      <c r="N9" s="15" t="n"/>
    </row>
    <row r="10">
      <c r="A10" s="14" t="inlineStr">
        <is>
          <t>ACT-2025-006</t>
        </is>
      </c>
      <c r="B10" s="15" t="n"/>
      <c r="C10" s="15" t="n"/>
      <c r="D10" s="15" t="n"/>
      <c r="E10" s="15" t="n"/>
      <c r="F10" s="23" t="n"/>
      <c r="G10" s="15" t="n"/>
      <c r="H10" s="15" t="n"/>
      <c r="I10" s="23" t="n"/>
      <c r="J10" s="15" t="n"/>
      <c r="K10" s="23" t="n"/>
      <c r="L10" s="15" t="n"/>
      <c r="M10" s="23" t="n"/>
      <c r="N10" s="15" t="n"/>
    </row>
    <row r="11">
      <c r="A11" s="14" t="inlineStr">
        <is>
          <t>ACT-2025-007</t>
        </is>
      </c>
      <c r="B11" s="15" t="n"/>
      <c r="C11" s="15" t="n"/>
      <c r="D11" s="15" t="n"/>
      <c r="E11" s="15" t="n"/>
      <c r="F11" s="23" t="n"/>
      <c r="G11" s="15" t="n"/>
      <c r="H11" s="15" t="n"/>
      <c r="I11" s="23" t="n"/>
      <c r="J11" s="15" t="n"/>
      <c r="K11" s="23" t="n"/>
      <c r="L11" s="15" t="n"/>
      <c r="M11" s="23" t="n"/>
      <c r="N11" s="15" t="n"/>
    </row>
    <row r="12">
      <c r="A12" s="14" t="inlineStr">
        <is>
          <t>ACT-2025-008</t>
        </is>
      </c>
      <c r="B12" s="15" t="n"/>
      <c r="C12" s="15" t="n"/>
      <c r="D12" s="15" t="n"/>
      <c r="E12" s="15" t="n"/>
      <c r="F12" s="23" t="n"/>
      <c r="G12" s="15" t="n"/>
      <c r="H12" s="15" t="n"/>
      <c r="I12" s="23" t="n"/>
      <c r="J12" s="15" t="n"/>
      <c r="K12" s="23" t="n"/>
      <c r="L12" s="15" t="n"/>
      <c r="M12" s="23" t="n"/>
      <c r="N12" s="15" t="n"/>
    </row>
    <row r="13">
      <c r="A13" s="14" t="inlineStr">
        <is>
          <t>ACT-2025-009</t>
        </is>
      </c>
      <c r="B13" s="15" t="n"/>
      <c r="C13" s="15" t="n"/>
      <c r="D13" s="15" t="n"/>
      <c r="E13" s="15" t="n"/>
      <c r="F13" s="23" t="n"/>
      <c r="G13" s="15" t="n"/>
      <c r="H13" s="15" t="n"/>
      <c r="I13" s="23" t="n"/>
      <c r="J13" s="15" t="n"/>
      <c r="K13" s="23" t="n"/>
      <c r="L13" s="15" t="n"/>
      <c r="M13" s="23" t="n"/>
      <c r="N13" s="15" t="n"/>
    </row>
    <row r="14">
      <c r="A14" s="14" t="inlineStr">
        <is>
          <t>ACT-2025-010</t>
        </is>
      </c>
      <c r="B14" s="15" t="n"/>
      <c r="C14" s="15" t="n"/>
      <c r="D14" s="15" t="n"/>
      <c r="E14" s="15" t="n"/>
      <c r="F14" s="23" t="n"/>
      <c r="G14" s="15" t="n"/>
      <c r="H14" s="15" t="n"/>
      <c r="I14" s="23" t="n"/>
      <c r="J14" s="15" t="n"/>
      <c r="K14" s="23" t="n"/>
      <c r="L14" s="15" t="n"/>
      <c r="M14" s="23" t="n"/>
      <c r="N14" s="15" t="n"/>
    </row>
    <row r="15">
      <c r="A15" s="14" t="inlineStr">
        <is>
          <t>ACT-2025-011</t>
        </is>
      </c>
      <c r="B15" s="15" t="n"/>
      <c r="C15" s="15" t="n"/>
      <c r="D15" s="15" t="n"/>
      <c r="E15" s="15" t="n"/>
      <c r="F15" s="23" t="n"/>
      <c r="G15" s="15" t="n"/>
      <c r="H15" s="15" t="n"/>
      <c r="I15" s="23" t="n"/>
      <c r="J15" s="15" t="n"/>
      <c r="K15" s="23" t="n"/>
      <c r="L15" s="15" t="n"/>
      <c r="M15" s="23" t="n"/>
      <c r="N15" s="15" t="n"/>
    </row>
    <row r="16">
      <c r="A16" s="14" t="inlineStr">
        <is>
          <t>ACT-2025-012</t>
        </is>
      </c>
      <c r="B16" s="15" t="n"/>
      <c r="C16" s="15" t="n"/>
      <c r="D16" s="15" t="n"/>
      <c r="E16" s="15" t="n"/>
      <c r="F16" s="23" t="n"/>
      <c r="G16" s="15" t="n"/>
      <c r="H16" s="15" t="n"/>
      <c r="I16" s="23" t="n"/>
      <c r="J16" s="15" t="n"/>
      <c r="K16" s="23" t="n"/>
      <c r="L16" s="15" t="n"/>
      <c r="M16" s="23" t="n"/>
      <c r="N16" s="15" t="n"/>
    </row>
    <row r="17">
      <c r="A17" s="14" t="inlineStr">
        <is>
          <t>ACT-2025-013</t>
        </is>
      </c>
      <c r="B17" s="15" t="n"/>
      <c r="C17" s="15" t="n"/>
      <c r="D17" s="15" t="n"/>
      <c r="E17" s="15" t="n"/>
      <c r="F17" s="23" t="n"/>
      <c r="G17" s="15" t="n"/>
      <c r="H17" s="15" t="n"/>
      <c r="I17" s="23" t="n"/>
      <c r="J17" s="15" t="n"/>
      <c r="K17" s="23" t="n"/>
      <c r="L17" s="15" t="n"/>
      <c r="M17" s="23" t="n"/>
      <c r="N17" s="15" t="n"/>
    </row>
    <row r="18">
      <c r="A18" s="14" t="inlineStr">
        <is>
          <t>ACT-2025-014</t>
        </is>
      </c>
      <c r="B18" s="15" t="n"/>
      <c r="C18" s="15" t="n"/>
      <c r="D18" s="15" t="n"/>
      <c r="E18" s="15" t="n"/>
      <c r="F18" s="23" t="n"/>
      <c r="G18" s="15" t="n"/>
      <c r="H18" s="15" t="n"/>
      <c r="I18" s="23" t="n"/>
      <c r="J18" s="15" t="n"/>
      <c r="K18" s="23" t="n"/>
      <c r="L18" s="15" t="n"/>
      <c r="M18" s="23" t="n"/>
      <c r="N18" s="15" t="n"/>
    </row>
    <row r="19">
      <c r="A19" s="14" t="inlineStr">
        <is>
          <t>ACT-2025-015</t>
        </is>
      </c>
      <c r="B19" s="15" t="n"/>
      <c r="C19" s="15" t="n"/>
      <c r="D19" s="15" t="n"/>
      <c r="E19" s="15" t="n"/>
      <c r="F19" s="23" t="n"/>
      <c r="G19" s="15" t="n"/>
      <c r="H19" s="15" t="n"/>
      <c r="I19" s="23" t="n"/>
      <c r="J19" s="15" t="n"/>
      <c r="K19" s="23" t="n"/>
      <c r="L19" s="15" t="n"/>
      <c r="M19" s="23" t="n"/>
      <c r="N19" s="15" t="n"/>
    </row>
    <row r="20">
      <c r="A20" s="14" t="inlineStr">
        <is>
          <t>ACT-2025-016</t>
        </is>
      </c>
      <c r="B20" s="15" t="n"/>
      <c r="C20" s="15" t="n"/>
      <c r="D20" s="15" t="n"/>
      <c r="E20" s="15" t="n"/>
      <c r="F20" s="23" t="n"/>
      <c r="G20" s="15" t="n"/>
      <c r="H20" s="15" t="n"/>
      <c r="I20" s="23" t="n"/>
      <c r="J20" s="15" t="n"/>
      <c r="K20" s="23" t="n"/>
      <c r="L20" s="15" t="n"/>
      <c r="M20" s="23" t="n"/>
      <c r="N20" s="15" t="n"/>
    </row>
    <row r="21">
      <c r="A21" s="14" t="inlineStr">
        <is>
          <t>ACT-2025-017</t>
        </is>
      </c>
      <c r="B21" s="15" t="n"/>
      <c r="C21" s="15" t="n"/>
      <c r="D21" s="15" t="n"/>
      <c r="E21" s="15" t="n"/>
      <c r="F21" s="23" t="n"/>
      <c r="G21" s="15" t="n"/>
      <c r="H21" s="15" t="n"/>
      <c r="I21" s="23" t="n"/>
      <c r="J21" s="15" t="n"/>
      <c r="K21" s="23" t="n"/>
      <c r="L21" s="15" t="n"/>
      <c r="M21" s="23" t="n"/>
      <c r="N21" s="15" t="n"/>
    </row>
    <row r="22">
      <c r="A22" s="14" t="inlineStr">
        <is>
          <t>ACT-2025-018</t>
        </is>
      </c>
      <c r="B22" s="15" t="n"/>
      <c r="C22" s="15" t="n"/>
      <c r="D22" s="15" t="n"/>
      <c r="E22" s="15" t="n"/>
      <c r="F22" s="23" t="n"/>
      <c r="G22" s="15" t="n"/>
      <c r="H22" s="15" t="n"/>
      <c r="I22" s="23" t="n"/>
      <c r="J22" s="15" t="n"/>
      <c r="K22" s="23" t="n"/>
      <c r="L22" s="15" t="n"/>
      <c r="M22" s="23" t="n"/>
      <c r="N22" s="15" t="n"/>
    </row>
    <row r="23">
      <c r="A23" s="14" t="inlineStr">
        <is>
          <t>ACT-2025-019</t>
        </is>
      </c>
      <c r="B23" s="15" t="n"/>
      <c r="C23" s="15" t="n"/>
      <c r="D23" s="15" t="n"/>
      <c r="E23" s="15" t="n"/>
      <c r="F23" s="23" t="n"/>
      <c r="G23" s="15" t="n"/>
      <c r="H23" s="15" t="n"/>
      <c r="I23" s="23" t="n"/>
      <c r="J23" s="15" t="n"/>
      <c r="K23" s="23" t="n"/>
      <c r="L23" s="15" t="n"/>
      <c r="M23" s="23" t="n"/>
      <c r="N23" s="15" t="n"/>
    </row>
    <row r="24">
      <c r="A24" s="14" t="inlineStr">
        <is>
          <t>ACT-2025-020</t>
        </is>
      </c>
      <c r="B24" s="15" t="n"/>
      <c r="C24" s="15" t="n"/>
      <c r="D24" s="15" t="n"/>
      <c r="E24" s="15" t="n"/>
      <c r="F24" s="23" t="n"/>
      <c r="G24" s="15" t="n"/>
      <c r="H24" s="15" t="n"/>
      <c r="I24" s="23" t="n"/>
      <c r="J24" s="15" t="n"/>
      <c r="K24" s="23" t="n"/>
      <c r="L24" s="15" t="n"/>
      <c r="M24" s="23" t="n"/>
      <c r="N24" s="15" t="n"/>
    </row>
    <row r="25">
      <c r="A25" s="14" t="inlineStr">
        <is>
          <t>ACT-2025-021</t>
        </is>
      </c>
      <c r="B25" s="15" t="n"/>
      <c r="C25" s="15" t="n"/>
      <c r="D25" s="15" t="n"/>
      <c r="E25" s="15" t="n"/>
      <c r="F25" s="23" t="n"/>
      <c r="G25" s="15" t="n"/>
      <c r="H25" s="15" t="n"/>
      <c r="I25" s="23" t="n"/>
      <c r="J25" s="15" t="n"/>
      <c r="K25" s="23" t="n"/>
      <c r="L25" s="15" t="n"/>
      <c r="M25" s="23" t="n"/>
      <c r="N25" s="15" t="n"/>
    </row>
    <row r="26">
      <c r="A26" s="14" t="inlineStr">
        <is>
          <t>ACT-2025-022</t>
        </is>
      </c>
      <c r="B26" s="15" t="n"/>
      <c r="C26" s="15" t="n"/>
      <c r="D26" s="15" t="n"/>
      <c r="E26" s="15" t="n"/>
      <c r="F26" s="23" t="n"/>
      <c r="G26" s="15" t="n"/>
      <c r="H26" s="15" t="n"/>
      <c r="I26" s="23" t="n"/>
      <c r="J26" s="15" t="n"/>
      <c r="K26" s="23" t="n"/>
      <c r="L26" s="15" t="n"/>
      <c r="M26" s="23" t="n"/>
      <c r="N26" s="15" t="n"/>
    </row>
    <row r="27">
      <c r="A27" s="14" t="inlineStr">
        <is>
          <t>ACT-2025-023</t>
        </is>
      </c>
      <c r="B27" s="15" t="n"/>
      <c r="C27" s="15" t="n"/>
      <c r="D27" s="15" t="n"/>
      <c r="E27" s="15" t="n"/>
      <c r="F27" s="23" t="n"/>
      <c r="G27" s="15" t="n"/>
      <c r="H27" s="15" t="n"/>
      <c r="I27" s="23" t="n"/>
      <c r="J27" s="15" t="n"/>
      <c r="K27" s="23" t="n"/>
      <c r="L27" s="15" t="n"/>
      <c r="M27" s="23" t="n"/>
      <c r="N27" s="15" t="n"/>
    </row>
    <row r="28">
      <c r="A28" s="14" t="inlineStr">
        <is>
          <t>ACT-2025-024</t>
        </is>
      </c>
      <c r="B28" s="15" t="n"/>
      <c r="C28" s="15" t="n"/>
      <c r="D28" s="15" t="n"/>
      <c r="E28" s="15" t="n"/>
      <c r="F28" s="23" t="n"/>
      <c r="G28" s="15" t="n"/>
      <c r="H28" s="15" t="n"/>
      <c r="I28" s="23" t="n"/>
      <c r="J28" s="15" t="n"/>
      <c r="K28" s="23" t="n"/>
      <c r="L28" s="15" t="n"/>
      <c r="M28" s="23" t="n"/>
      <c r="N28" s="15" t="n"/>
    </row>
    <row r="29">
      <c r="A29" s="14" t="inlineStr">
        <is>
          <t>ACT-2025-025</t>
        </is>
      </c>
      <c r="B29" s="15" t="n"/>
      <c r="C29" s="15" t="n"/>
      <c r="D29" s="15" t="n"/>
      <c r="E29" s="15" t="n"/>
      <c r="F29" s="23" t="n"/>
      <c r="G29" s="15" t="n"/>
      <c r="H29" s="15" t="n"/>
      <c r="I29" s="23" t="n"/>
      <c r="J29" s="15" t="n"/>
      <c r="K29" s="23" t="n"/>
      <c r="L29" s="15" t="n"/>
      <c r="M29" s="23" t="n"/>
      <c r="N29" s="15" t="n"/>
    </row>
    <row r="30">
      <c r="A30" s="14" t="inlineStr">
        <is>
          <t>ACT-2025-026</t>
        </is>
      </c>
      <c r="B30" s="15" t="n"/>
      <c r="C30" s="15" t="n"/>
      <c r="D30" s="15" t="n"/>
      <c r="E30" s="15" t="n"/>
      <c r="F30" s="23" t="n"/>
      <c r="G30" s="15" t="n"/>
      <c r="H30" s="15" t="n"/>
      <c r="I30" s="23" t="n"/>
      <c r="J30" s="15" t="n"/>
      <c r="K30" s="23" t="n"/>
      <c r="L30" s="15" t="n"/>
      <c r="M30" s="23" t="n"/>
      <c r="N30" s="15" t="n"/>
    </row>
    <row r="31">
      <c r="A31" s="14" t="inlineStr">
        <is>
          <t>ACT-2025-027</t>
        </is>
      </c>
      <c r="B31" s="15" t="n"/>
      <c r="C31" s="15" t="n"/>
      <c r="D31" s="15" t="n"/>
      <c r="E31" s="15" t="n"/>
      <c r="F31" s="23" t="n"/>
      <c r="G31" s="15" t="n"/>
      <c r="H31" s="15" t="n"/>
      <c r="I31" s="23" t="n"/>
      <c r="J31" s="15" t="n"/>
      <c r="K31" s="23" t="n"/>
      <c r="L31" s="15" t="n"/>
      <c r="M31" s="23" t="n"/>
      <c r="N31" s="15" t="n"/>
    </row>
    <row r="32">
      <c r="A32" s="14" t="inlineStr">
        <is>
          <t>ACT-2025-028</t>
        </is>
      </c>
      <c r="B32" s="15" t="n"/>
      <c r="C32" s="15" t="n"/>
      <c r="D32" s="15" t="n"/>
      <c r="E32" s="15" t="n"/>
      <c r="F32" s="23" t="n"/>
      <c r="G32" s="15" t="n"/>
      <c r="H32" s="15" t="n"/>
      <c r="I32" s="23" t="n"/>
      <c r="J32" s="15" t="n"/>
      <c r="K32" s="23" t="n"/>
      <c r="L32" s="15" t="n"/>
      <c r="M32" s="23" t="n"/>
      <c r="N32" s="15" t="n"/>
    </row>
    <row r="33">
      <c r="A33" s="14" t="inlineStr">
        <is>
          <t>ACT-2025-029</t>
        </is>
      </c>
      <c r="B33" s="15" t="n"/>
      <c r="C33" s="15" t="n"/>
      <c r="D33" s="15" t="n"/>
      <c r="E33" s="15" t="n"/>
      <c r="F33" s="23" t="n"/>
      <c r="G33" s="15" t="n"/>
      <c r="H33" s="15" t="n"/>
      <c r="I33" s="23" t="n"/>
      <c r="J33" s="15" t="n"/>
      <c r="K33" s="23" t="n"/>
      <c r="L33" s="15" t="n"/>
      <c r="M33" s="23" t="n"/>
      <c r="N33" s="15" t="n"/>
    </row>
    <row r="34">
      <c r="A34" s="14" t="inlineStr">
        <is>
          <t>ACT-2025-030</t>
        </is>
      </c>
      <c r="B34" s="15" t="n"/>
      <c r="C34" s="15" t="n"/>
      <c r="D34" s="15" t="n"/>
      <c r="E34" s="15" t="n"/>
      <c r="F34" s="23" t="n"/>
      <c r="G34" s="15" t="n"/>
      <c r="H34" s="15" t="n"/>
      <c r="I34" s="23" t="n"/>
      <c r="J34" s="15" t="n"/>
      <c r="K34" s="23" t="n"/>
      <c r="L34" s="15" t="n"/>
      <c r="M34" s="23" t="n"/>
      <c r="N34" s="15" t="n"/>
    </row>
    <row r="35">
      <c r="A35" s="14" t="inlineStr">
        <is>
          <t>ACT-2025-031</t>
        </is>
      </c>
      <c r="B35" s="15" t="n"/>
      <c r="C35" s="15" t="n"/>
      <c r="D35" s="15" t="n"/>
      <c r="E35" s="15" t="n"/>
      <c r="F35" s="23" t="n"/>
      <c r="G35" s="15" t="n"/>
      <c r="H35" s="15" t="n"/>
      <c r="I35" s="23" t="n"/>
      <c r="J35" s="15" t="n"/>
      <c r="K35" s="23" t="n"/>
      <c r="L35" s="15" t="n"/>
      <c r="M35" s="23" t="n"/>
      <c r="N35" s="15" t="n"/>
    </row>
    <row r="36">
      <c r="A36" s="14" t="inlineStr">
        <is>
          <t>ACT-2025-032</t>
        </is>
      </c>
      <c r="B36" s="15" t="n"/>
      <c r="C36" s="15" t="n"/>
      <c r="D36" s="15" t="n"/>
      <c r="E36" s="15" t="n"/>
      <c r="F36" s="23" t="n"/>
      <c r="G36" s="15" t="n"/>
      <c r="H36" s="15" t="n"/>
      <c r="I36" s="23" t="n"/>
      <c r="J36" s="15" t="n"/>
      <c r="K36" s="23" t="n"/>
      <c r="L36" s="15" t="n"/>
      <c r="M36" s="23" t="n"/>
      <c r="N36" s="15" t="n"/>
    </row>
    <row r="37">
      <c r="A37" s="14" t="inlineStr">
        <is>
          <t>ACT-2025-033</t>
        </is>
      </c>
      <c r="B37" s="15" t="n"/>
      <c r="C37" s="15" t="n"/>
      <c r="D37" s="15" t="n"/>
      <c r="E37" s="15" t="n"/>
      <c r="F37" s="23" t="n"/>
      <c r="G37" s="15" t="n"/>
      <c r="H37" s="15" t="n"/>
      <c r="I37" s="23" t="n"/>
      <c r="J37" s="15" t="n"/>
      <c r="K37" s="23" t="n"/>
      <c r="L37" s="15" t="n"/>
      <c r="M37" s="23" t="n"/>
      <c r="N37" s="15" t="n"/>
    </row>
    <row r="38">
      <c r="A38" s="14" t="inlineStr">
        <is>
          <t>ACT-2025-034</t>
        </is>
      </c>
      <c r="B38" s="15" t="n"/>
      <c r="C38" s="15" t="n"/>
      <c r="D38" s="15" t="n"/>
      <c r="E38" s="15" t="n"/>
      <c r="F38" s="23" t="n"/>
      <c r="G38" s="15" t="n"/>
      <c r="H38" s="15" t="n"/>
      <c r="I38" s="23" t="n"/>
      <c r="J38" s="15" t="n"/>
      <c r="K38" s="23" t="n"/>
      <c r="L38" s="15" t="n"/>
      <c r="M38" s="23" t="n"/>
      <c r="N38" s="15" t="n"/>
    </row>
    <row r="39">
      <c r="A39" s="14" t="inlineStr">
        <is>
          <t>ACT-2025-035</t>
        </is>
      </c>
      <c r="B39" s="15" t="n"/>
      <c r="C39" s="15" t="n"/>
      <c r="D39" s="15" t="n"/>
      <c r="E39" s="15" t="n"/>
      <c r="F39" s="23" t="n"/>
      <c r="G39" s="15" t="n"/>
      <c r="H39" s="15" t="n"/>
      <c r="I39" s="23" t="n"/>
      <c r="J39" s="15" t="n"/>
      <c r="K39" s="23" t="n"/>
      <c r="L39" s="15" t="n"/>
      <c r="M39" s="23" t="n"/>
      <c r="N39" s="15" t="n"/>
    </row>
    <row r="40">
      <c r="A40" s="14" t="inlineStr">
        <is>
          <t>ACT-2025-036</t>
        </is>
      </c>
      <c r="B40" s="15" t="n"/>
      <c r="C40" s="15" t="n"/>
      <c r="D40" s="15" t="n"/>
      <c r="E40" s="15" t="n"/>
      <c r="F40" s="23" t="n"/>
      <c r="G40" s="15" t="n"/>
      <c r="H40" s="15" t="n"/>
      <c r="I40" s="23" t="n"/>
      <c r="J40" s="15" t="n"/>
      <c r="K40" s="23" t="n"/>
      <c r="L40" s="15" t="n"/>
      <c r="M40" s="23" t="n"/>
      <c r="N40" s="15" t="n"/>
    </row>
    <row r="41">
      <c r="A41" s="14" t="inlineStr">
        <is>
          <t>ACT-2025-037</t>
        </is>
      </c>
      <c r="B41" s="15" t="n"/>
      <c r="C41" s="15" t="n"/>
      <c r="D41" s="15" t="n"/>
      <c r="E41" s="15" t="n"/>
      <c r="F41" s="23" t="n"/>
      <c r="G41" s="15" t="n"/>
      <c r="H41" s="15" t="n"/>
      <c r="I41" s="23" t="n"/>
      <c r="J41" s="15" t="n"/>
      <c r="K41" s="23" t="n"/>
      <c r="L41" s="15" t="n"/>
      <c r="M41" s="23" t="n"/>
      <c r="N41" s="15" t="n"/>
    </row>
    <row r="42">
      <c r="A42" s="14" t="inlineStr">
        <is>
          <t>ACT-2025-038</t>
        </is>
      </c>
      <c r="B42" s="15" t="n"/>
      <c r="C42" s="15" t="n"/>
      <c r="D42" s="15" t="n"/>
      <c r="E42" s="15" t="n"/>
      <c r="F42" s="23" t="n"/>
      <c r="G42" s="15" t="n"/>
      <c r="H42" s="15" t="n"/>
      <c r="I42" s="23" t="n"/>
      <c r="J42" s="15" t="n"/>
      <c r="K42" s="23" t="n"/>
      <c r="L42" s="15" t="n"/>
      <c r="M42" s="23" t="n"/>
      <c r="N42" s="15" t="n"/>
    </row>
    <row r="43">
      <c r="A43" s="14" t="inlineStr">
        <is>
          <t>ACT-2025-039</t>
        </is>
      </c>
      <c r="B43" s="15" t="n"/>
      <c r="C43" s="15" t="n"/>
      <c r="D43" s="15" t="n"/>
      <c r="E43" s="15" t="n"/>
      <c r="F43" s="23" t="n"/>
      <c r="G43" s="15" t="n"/>
      <c r="H43" s="15" t="n"/>
      <c r="I43" s="23" t="n"/>
      <c r="J43" s="15" t="n"/>
      <c r="K43" s="23" t="n"/>
      <c r="L43" s="15" t="n"/>
      <c r="M43" s="23" t="n"/>
      <c r="N43" s="15" t="n"/>
    </row>
    <row r="44">
      <c r="A44" s="14" t="inlineStr">
        <is>
          <t>ACT-2025-040</t>
        </is>
      </c>
      <c r="B44" s="15" t="n"/>
      <c r="C44" s="15" t="n"/>
      <c r="D44" s="15" t="n"/>
      <c r="E44" s="15" t="n"/>
      <c r="F44" s="23" t="n"/>
      <c r="G44" s="15" t="n"/>
      <c r="H44" s="15" t="n"/>
      <c r="I44" s="23" t="n"/>
      <c r="J44" s="15" t="n"/>
      <c r="K44" s="23" t="n"/>
      <c r="L44" s="15" t="n"/>
      <c r="M44" s="23" t="n"/>
      <c r="N44" s="15" t="n"/>
    </row>
    <row r="45">
      <c r="A45" s="14" t="inlineStr">
        <is>
          <t>ACT-2025-041</t>
        </is>
      </c>
      <c r="B45" s="15" t="n"/>
      <c r="C45" s="15" t="n"/>
      <c r="D45" s="15" t="n"/>
      <c r="E45" s="15" t="n"/>
      <c r="F45" s="23" t="n"/>
      <c r="G45" s="15" t="n"/>
      <c r="H45" s="15" t="n"/>
      <c r="I45" s="23" t="n"/>
      <c r="J45" s="15" t="n"/>
      <c r="K45" s="23" t="n"/>
      <c r="L45" s="15" t="n"/>
      <c r="M45" s="23" t="n"/>
      <c r="N45" s="15" t="n"/>
    </row>
    <row r="46">
      <c r="A46" s="14" t="inlineStr">
        <is>
          <t>ACT-2025-042</t>
        </is>
      </c>
      <c r="B46" s="15" t="n"/>
      <c r="C46" s="15" t="n"/>
      <c r="D46" s="15" t="n"/>
      <c r="E46" s="15" t="n"/>
      <c r="F46" s="23" t="n"/>
      <c r="G46" s="15" t="n"/>
      <c r="H46" s="15" t="n"/>
      <c r="I46" s="23" t="n"/>
      <c r="J46" s="15" t="n"/>
      <c r="K46" s="23" t="n"/>
      <c r="L46" s="15" t="n"/>
      <c r="M46" s="23" t="n"/>
      <c r="N46" s="15" t="n"/>
    </row>
    <row r="47">
      <c r="A47" s="14" t="inlineStr">
        <is>
          <t>ACT-2025-043</t>
        </is>
      </c>
      <c r="B47" s="15" t="n"/>
      <c r="C47" s="15" t="n"/>
      <c r="D47" s="15" t="n"/>
      <c r="E47" s="15" t="n"/>
      <c r="F47" s="23" t="n"/>
      <c r="G47" s="15" t="n"/>
      <c r="H47" s="15" t="n"/>
      <c r="I47" s="23" t="n"/>
      <c r="J47" s="15" t="n"/>
      <c r="K47" s="23" t="n"/>
      <c r="L47" s="15" t="n"/>
      <c r="M47" s="23" t="n"/>
      <c r="N47" s="15" t="n"/>
    </row>
    <row r="48">
      <c r="A48" s="14" t="inlineStr">
        <is>
          <t>ACT-2025-044</t>
        </is>
      </c>
      <c r="B48" s="15" t="n"/>
      <c r="C48" s="15" t="n"/>
      <c r="D48" s="15" t="n"/>
      <c r="E48" s="15" t="n"/>
      <c r="F48" s="23" t="n"/>
      <c r="G48" s="15" t="n"/>
      <c r="H48" s="15" t="n"/>
      <c r="I48" s="23" t="n"/>
      <c r="J48" s="15" t="n"/>
      <c r="K48" s="23" t="n"/>
      <c r="L48" s="15" t="n"/>
      <c r="M48" s="23" t="n"/>
      <c r="N48" s="15" t="n"/>
    </row>
    <row r="49">
      <c r="A49" s="14" t="inlineStr">
        <is>
          <t>ACT-2025-045</t>
        </is>
      </c>
      <c r="B49" s="15" t="n"/>
      <c r="C49" s="15" t="n"/>
      <c r="D49" s="15" t="n"/>
      <c r="E49" s="15" t="n"/>
      <c r="F49" s="23" t="n"/>
      <c r="G49" s="15" t="n"/>
      <c r="H49" s="15" t="n"/>
      <c r="I49" s="23" t="n"/>
      <c r="J49" s="15" t="n"/>
      <c r="K49" s="23" t="n"/>
      <c r="L49" s="15" t="n"/>
      <c r="M49" s="23" t="n"/>
      <c r="N49" s="15" t="n"/>
    </row>
    <row r="50">
      <c r="A50" s="14" t="inlineStr">
        <is>
          <t>ACT-2025-046</t>
        </is>
      </c>
      <c r="B50" s="15" t="n"/>
      <c r="C50" s="15" t="n"/>
      <c r="D50" s="15" t="n"/>
      <c r="E50" s="15" t="n"/>
      <c r="F50" s="23" t="n"/>
      <c r="G50" s="15" t="n"/>
      <c r="H50" s="15" t="n"/>
      <c r="I50" s="23" t="n"/>
      <c r="J50" s="15" t="n"/>
      <c r="K50" s="23" t="n"/>
      <c r="L50" s="15" t="n"/>
      <c r="M50" s="23" t="n"/>
      <c r="N50" s="15" t="n"/>
    </row>
    <row r="51">
      <c r="A51" s="14" t="inlineStr">
        <is>
          <t>ACT-2025-047</t>
        </is>
      </c>
      <c r="B51" s="15" t="n"/>
      <c r="C51" s="15" t="n"/>
      <c r="D51" s="15" t="n"/>
      <c r="E51" s="15" t="n"/>
      <c r="F51" s="23" t="n"/>
      <c r="G51" s="15" t="n"/>
      <c r="H51" s="15" t="n"/>
      <c r="I51" s="23" t="n"/>
      <c r="J51" s="15" t="n"/>
      <c r="K51" s="23" t="n"/>
      <c r="L51" s="15" t="n"/>
      <c r="M51" s="23" t="n"/>
      <c r="N51" s="15" t="n"/>
    </row>
    <row r="52">
      <c r="A52" s="14" t="inlineStr">
        <is>
          <t>ACT-2025-048</t>
        </is>
      </c>
      <c r="B52" s="15" t="n"/>
      <c r="C52" s="15" t="n"/>
      <c r="D52" s="15" t="n"/>
      <c r="E52" s="15" t="n"/>
      <c r="F52" s="23" t="n"/>
      <c r="G52" s="15" t="n"/>
      <c r="H52" s="15" t="n"/>
      <c r="I52" s="23" t="n"/>
      <c r="J52" s="15" t="n"/>
      <c r="K52" s="23" t="n"/>
      <c r="L52" s="15" t="n"/>
      <c r="M52" s="23" t="n"/>
      <c r="N52" s="15" t="n"/>
    </row>
    <row r="53">
      <c r="A53" s="14" t="inlineStr">
        <is>
          <t>ACT-2025-049</t>
        </is>
      </c>
      <c r="B53" s="15" t="n"/>
      <c r="C53" s="15" t="n"/>
      <c r="D53" s="15" t="n"/>
      <c r="E53" s="15" t="n"/>
      <c r="F53" s="23" t="n"/>
      <c r="G53" s="15" t="n"/>
      <c r="H53" s="15" t="n"/>
      <c r="I53" s="23" t="n"/>
      <c r="J53" s="15" t="n"/>
      <c r="K53" s="23" t="n"/>
      <c r="L53" s="15" t="n"/>
      <c r="M53" s="23" t="n"/>
      <c r="N53" s="15" t="n"/>
    </row>
    <row r="54">
      <c r="A54" s="14" t="inlineStr">
        <is>
          <t>ACT-2025-050</t>
        </is>
      </c>
      <c r="B54" s="15" t="n"/>
      <c r="C54" s="15" t="n"/>
      <c r="D54" s="15" t="n"/>
      <c r="E54" s="15" t="n"/>
      <c r="F54" s="23" t="n"/>
      <c r="G54" s="15" t="n"/>
      <c r="H54" s="15" t="n"/>
      <c r="I54" s="23" t="n"/>
      <c r="J54" s="15" t="n"/>
      <c r="K54" s="23" t="n"/>
      <c r="L54" s="15" t="n"/>
      <c r="M54" s="23" t="n"/>
      <c r="N54" s="15" t="n"/>
    </row>
    <row r="56">
      <c r="A56" s="18" t="inlineStr">
        <is>
          <t>ACTION ITEMS SUMMARY</t>
        </is>
      </c>
    </row>
    <row r="57">
      <c r="A57" s="19" t="inlineStr">
        <is>
          <t>Total Actions:</t>
        </is>
      </c>
      <c r="B57" s="19">
        <f>COUNTA(C5:C54)</f>
        <v/>
      </c>
    </row>
    <row r="58">
      <c r="A58" s="19" t="inlineStr">
        <is>
          <t>Critical Priority:</t>
        </is>
      </c>
      <c r="B58" s="22">
        <f>COUNTIF(D5:D54,"Critical")</f>
        <v/>
      </c>
    </row>
    <row r="59">
      <c r="A59" s="19" t="inlineStr">
        <is>
          <t>High Priority:</t>
        </is>
      </c>
      <c r="B59" s="21">
        <f>COUNTIF(D5:D54,"High")</f>
        <v/>
      </c>
    </row>
    <row r="60">
      <c r="A60" s="19" t="inlineStr">
        <is>
          <t>Open Actions:</t>
        </is>
      </c>
      <c r="B60" s="19">
        <f>COUNTIF(G5:G54,"Open")</f>
        <v/>
      </c>
    </row>
    <row r="61">
      <c r="A61" s="19" t="inlineStr">
        <is>
          <t>In Progress:</t>
        </is>
      </c>
      <c r="B61" s="32">
        <f>COUNTIF(G5:G54,"In_Progress")</f>
        <v/>
      </c>
    </row>
    <row r="62">
      <c r="A62" s="19" t="inlineStr">
        <is>
          <t>Blocked:</t>
        </is>
      </c>
      <c r="B62" s="21">
        <f>COUNTIF(G5:G54,"Blocked")</f>
        <v/>
      </c>
    </row>
    <row r="63">
      <c r="A63" s="19" t="inlineStr">
        <is>
          <t>Resolved/Closed:</t>
        </is>
      </c>
      <c r="B63" s="20">
        <f>COUNTIF(G5:G54,"Resolved")+COUNTIF(G5:G54,"Closed")</f>
        <v/>
      </c>
    </row>
    <row r="64">
      <c r="A64" s="19" t="inlineStr">
        <is>
          <t>Overdue Actions:</t>
        </is>
      </c>
      <c r="B64" s="22">
        <f>COUNTIFS(F5:F54,"&lt;"&amp;TODAY(),G5:G54,"&lt;&gt;Resolved",G5:G54,"&lt;&gt;Closed")</f>
        <v/>
      </c>
    </row>
  </sheetData>
  <mergeCells count="3">
    <mergeCell ref="A56:E56"/>
    <mergeCell ref="A2:N2"/>
    <mergeCell ref="A1:N1"/>
  </mergeCells>
  <conditionalFormatting sqref="D5">
    <cfRule type="cellIs" priority="1" operator="equal" dxfId="1">
      <formula>"Critical"</formula>
    </cfRule>
    <cfRule type="cellIs" priority="2" operator="equal" dxfId="2">
      <formula>"High"</formula>
    </cfRule>
    <cfRule type="cellIs" priority="3" operator="equal" dxfId="2">
      <formula>"Medium"</formula>
    </cfRule>
    <cfRule type="cellIs" priority="4" operator="equal" dxfId="0">
      <formula>"Low"</formula>
    </cfRule>
  </conditionalFormatting>
  <conditionalFormatting sqref="D6">
    <cfRule type="cellIs" priority="5" operator="equal" dxfId="1">
      <formula>"Critical"</formula>
    </cfRule>
    <cfRule type="cellIs" priority="6" operator="equal" dxfId="2">
      <formula>"High"</formula>
    </cfRule>
    <cfRule type="cellIs" priority="7" operator="equal" dxfId="2">
      <formula>"Medium"</formula>
    </cfRule>
    <cfRule type="cellIs" priority="8" operator="equal" dxfId="0">
      <formula>"Low"</formula>
    </cfRule>
  </conditionalFormatting>
  <conditionalFormatting sqref="D7">
    <cfRule type="cellIs" priority="9" operator="equal" dxfId="1">
      <formula>"Critical"</formula>
    </cfRule>
    <cfRule type="cellIs" priority="10" operator="equal" dxfId="2">
      <formula>"High"</formula>
    </cfRule>
    <cfRule type="cellIs" priority="11" operator="equal" dxfId="2">
      <formula>"Medium"</formula>
    </cfRule>
    <cfRule type="cellIs" priority="12" operator="equal" dxfId="0">
      <formula>"Low"</formula>
    </cfRule>
  </conditionalFormatting>
  <conditionalFormatting sqref="D8">
    <cfRule type="cellIs" priority="13" operator="equal" dxfId="1">
      <formula>"Critical"</formula>
    </cfRule>
    <cfRule type="cellIs" priority="14" operator="equal" dxfId="2">
      <formula>"High"</formula>
    </cfRule>
    <cfRule type="cellIs" priority="15" operator="equal" dxfId="2">
      <formula>"Medium"</formula>
    </cfRule>
    <cfRule type="cellIs" priority="16" operator="equal" dxfId="0">
      <formula>"Low"</formula>
    </cfRule>
  </conditionalFormatting>
  <conditionalFormatting sqref="D9">
    <cfRule type="cellIs" priority="17" operator="equal" dxfId="1">
      <formula>"Critical"</formula>
    </cfRule>
    <cfRule type="cellIs" priority="18" operator="equal" dxfId="2">
      <formula>"High"</formula>
    </cfRule>
    <cfRule type="cellIs" priority="19" operator="equal" dxfId="2">
      <formula>"Medium"</formula>
    </cfRule>
    <cfRule type="cellIs" priority="20" operator="equal" dxfId="0">
      <formula>"Low"</formula>
    </cfRule>
  </conditionalFormatting>
  <conditionalFormatting sqref="D10">
    <cfRule type="cellIs" priority="21" operator="equal" dxfId="1">
      <formula>"Critical"</formula>
    </cfRule>
    <cfRule type="cellIs" priority="22" operator="equal" dxfId="2">
      <formula>"High"</formula>
    </cfRule>
    <cfRule type="cellIs" priority="23" operator="equal" dxfId="2">
      <formula>"Medium"</formula>
    </cfRule>
    <cfRule type="cellIs" priority="24" operator="equal" dxfId="0">
      <formula>"Low"</formula>
    </cfRule>
  </conditionalFormatting>
  <conditionalFormatting sqref="D11">
    <cfRule type="cellIs" priority="25" operator="equal" dxfId="1">
      <formula>"Critical"</formula>
    </cfRule>
    <cfRule type="cellIs" priority="26" operator="equal" dxfId="2">
      <formula>"High"</formula>
    </cfRule>
    <cfRule type="cellIs" priority="27" operator="equal" dxfId="2">
      <formula>"Medium"</formula>
    </cfRule>
    <cfRule type="cellIs" priority="28" operator="equal" dxfId="0">
      <formula>"Low"</formula>
    </cfRule>
  </conditionalFormatting>
  <conditionalFormatting sqref="D12">
    <cfRule type="cellIs" priority="29" operator="equal" dxfId="1">
      <formula>"Critical"</formula>
    </cfRule>
    <cfRule type="cellIs" priority="30" operator="equal" dxfId="2">
      <formula>"High"</formula>
    </cfRule>
    <cfRule type="cellIs" priority="31" operator="equal" dxfId="2">
      <formula>"Medium"</formula>
    </cfRule>
    <cfRule type="cellIs" priority="32" operator="equal" dxfId="0">
      <formula>"Low"</formula>
    </cfRule>
  </conditionalFormatting>
  <conditionalFormatting sqref="D13">
    <cfRule type="cellIs" priority="33" operator="equal" dxfId="1">
      <formula>"Critical"</formula>
    </cfRule>
    <cfRule type="cellIs" priority="34" operator="equal" dxfId="2">
      <formula>"High"</formula>
    </cfRule>
    <cfRule type="cellIs" priority="35" operator="equal" dxfId="2">
      <formula>"Medium"</formula>
    </cfRule>
    <cfRule type="cellIs" priority="36" operator="equal" dxfId="0">
      <formula>"Low"</formula>
    </cfRule>
  </conditionalFormatting>
  <conditionalFormatting sqref="D14">
    <cfRule type="cellIs" priority="37" operator="equal" dxfId="1">
      <formula>"Critical"</formula>
    </cfRule>
    <cfRule type="cellIs" priority="38" operator="equal" dxfId="2">
      <formula>"High"</formula>
    </cfRule>
    <cfRule type="cellIs" priority="39" operator="equal" dxfId="2">
      <formula>"Medium"</formula>
    </cfRule>
    <cfRule type="cellIs" priority="40" operator="equal" dxfId="0">
      <formula>"Low"</formula>
    </cfRule>
  </conditionalFormatting>
  <conditionalFormatting sqref="D15">
    <cfRule type="cellIs" priority="41" operator="equal" dxfId="1">
      <formula>"Critical"</formula>
    </cfRule>
    <cfRule type="cellIs" priority="42" operator="equal" dxfId="2">
      <formula>"High"</formula>
    </cfRule>
    <cfRule type="cellIs" priority="43" operator="equal" dxfId="2">
      <formula>"Medium"</formula>
    </cfRule>
    <cfRule type="cellIs" priority="44" operator="equal" dxfId="0">
      <formula>"Low"</formula>
    </cfRule>
  </conditionalFormatting>
  <conditionalFormatting sqref="D16">
    <cfRule type="cellIs" priority="45" operator="equal" dxfId="1">
      <formula>"Critical"</formula>
    </cfRule>
    <cfRule type="cellIs" priority="46" operator="equal" dxfId="2">
      <formula>"High"</formula>
    </cfRule>
    <cfRule type="cellIs" priority="47" operator="equal" dxfId="2">
      <formula>"Medium"</formula>
    </cfRule>
    <cfRule type="cellIs" priority="48" operator="equal" dxfId="0">
      <formula>"Low"</formula>
    </cfRule>
  </conditionalFormatting>
  <conditionalFormatting sqref="D17">
    <cfRule type="cellIs" priority="49" operator="equal" dxfId="1">
      <formula>"Critical"</formula>
    </cfRule>
    <cfRule type="cellIs" priority="50" operator="equal" dxfId="2">
      <formula>"High"</formula>
    </cfRule>
    <cfRule type="cellIs" priority="51" operator="equal" dxfId="2">
      <formula>"Medium"</formula>
    </cfRule>
    <cfRule type="cellIs" priority="52" operator="equal" dxfId="0">
      <formula>"Low"</formula>
    </cfRule>
  </conditionalFormatting>
  <conditionalFormatting sqref="D18">
    <cfRule type="cellIs" priority="53" operator="equal" dxfId="1">
      <formula>"Critical"</formula>
    </cfRule>
    <cfRule type="cellIs" priority="54" operator="equal" dxfId="2">
      <formula>"High"</formula>
    </cfRule>
    <cfRule type="cellIs" priority="55" operator="equal" dxfId="2">
      <formula>"Medium"</formula>
    </cfRule>
    <cfRule type="cellIs" priority="56" operator="equal" dxfId="0">
      <formula>"Low"</formula>
    </cfRule>
  </conditionalFormatting>
  <conditionalFormatting sqref="D19">
    <cfRule type="cellIs" priority="57" operator="equal" dxfId="1">
      <formula>"Critical"</formula>
    </cfRule>
    <cfRule type="cellIs" priority="58" operator="equal" dxfId="2">
      <formula>"High"</formula>
    </cfRule>
    <cfRule type="cellIs" priority="59" operator="equal" dxfId="2">
      <formula>"Medium"</formula>
    </cfRule>
    <cfRule type="cellIs" priority="60" operator="equal" dxfId="0">
      <formula>"Low"</formula>
    </cfRule>
  </conditionalFormatting>
  <conditionalFormatting sqref="D20">
    <cfRule type="cellIs" priority="61" operator="equal" dxfId="1">
      <formula>"Critical"</formula>
    </cfRule>
    <cfRule type="cellIs" priority="62" operator="equal" dxfId="2">
      <formula>"High"</formula>
    </cfRule>
    <cfRule type="cellIs" priority="63" operator="equal" dxfId="2">
      <formula>"Medium"</formula>
    </cfRule>
    <cfRule type="cellIs" priority="64" operator="equal" dxfId="0">
      <formula>"Low"</formula>
    </cfRule>
  </conditionalFormatting>
  <conditionalFormatting sqref="D21">
    <cfRule type="cellIs" priority="65" operator="equal" dxfId="1">
      <formula>"Critical"</formula>
    </cfRule>
    <cfRule type="cellIs" priority="66" operator="equal" dxfId="2">
      <formula>"High"</formula>
    </cfRule>
    <cfRule type="cellIs" priority="67" operator="equal" dxfId="2">
      <formula>"Medium"</formula>
    </cfRule>
    <cfRule type="cellIs" priority="68" operator="equal" dxfId="0">
      <formula>"Low"</formula>
    </cfRule>
  </conditionalFormatting>
  <conditionalFormatting sqref="D22">
    <cfRule type="cellIs" priority="69" operator="equal" dxfId="1">
      <formula>"Critical"</formula>
    </cfRule>
    <cfRule type="cellIs" priority="70" operator="equal" dxfId="2">
      <formula>"High"</formula>
    </cfRule>
    <cfRule type="cellIs" priority="71" operator="equal" dxfId="2">
      <formula>"Medium"</formula>
    </cfRule>
    <cfRule type="cellIs" priority="72" operator="equal" dxfId="0">
      <formula>"Low"</formula>
    </cfRule>
  </conditionalFormatting>
  <conditionalFormatting sqref="D23">
    <cfRule type="cellIs" priority="73" operator="equal" dxfId="1">
      <formula>"Critical"</formula>
    </cfRule>
    <cfRule type="cellIs" priority="74" operator="equal" dxfId="2">
      <formula>"High"</formula>
    </cfRule>
    <cfRule type="cellIs" priority="75" operator="equal" dxfId="2">
      <formula>"Medium"</formula>
    </cfRule>
    <cfRule type="cellIs" priority="76" operator="equal" dxfId="0">
      <formula>"Low"</formula>
    </cfRule>
  </conditionalFormatting>
  <conditionalFormatting sqref="D24">
    <cfRule type="cellIs" priority="77" operator="equal" dxfId="1">
      <formula>"Critical"</formula>
    </cfRule>
    <cfRule type="cellIs" priority="78" operator="equal" dxfId="2">
      <formula>"High"</formula>
    </cfRule>
    <cfRule type="cellIs" priority="79" operator="equal" dxfId="2">
      <formula>"Medium"</formula>
    </cfRule>
    <cfRule type="cellIs" priority="80" operator="equal" dxfId="0">
      <formula>"Low"</formula>
    </cfRule>
  </conditionalFormatting>
  <conditionalFormatting sqref="D25">
    <cfRule type="cellIs" priority="81" operator="equal" dxfId="1">
      <formula>"Critical"</formula>
    </cfRule>
    <cfRule type="cellIs" priority="82" operator="equal" dxfId="2">
      <formula>"High"</formula>
    </cfRule>
    <cfRule type="cellIs" priority="83" operator="equal" dxfId="2">
      <formula>"Medium"</formula>
    </cfRule>
    <cfRule type="cellIs" priority="84" operator="equal" dxfId="0">
      <formula>"Low"</formula>
    </cfRule>
  </conditionalFormatting>
  <conditionalFormatting sqref="D26">
    <cfRule type="cellIs" priority="85" operator="equal" dxfId="1">
      <formula>"Critical"</formula>
    </cfRule>
    <cfRule type="cellIs" priority="86" operator="equal" dxfId="2">
      <formula>"High"</formula>
    </cfRule>
    <cfRule type="cellIs" priority="87" operator="equal" dxfId="2">
      <formula>"Medium"</formula>
    </cfRule>
    <cfRule type="cellIs" priority="88" operator="equal" dxfId="0">
      <formula>"Low"</formula>
    </cfRule>
  </conditionalFormatting>
  <conditionalFormatting sqref="D27">
    <cfRule type="cellIs" priority="89" operator="equal" dxfId="1">
      <formula>"Critical"</formula>
    </cfRule>
    <cfRule type="cellIs" priority="90" operator="equal" dxfId="2">
      <formula>"High"</formula>
    </cfRule>
    <cfRule type="cellIs" priority="91" operator="equal" dxfId="2">
      <formula>"Medium"</formula>
    </cfRule>
    <cfRule type="cellIs" priority="92" operator="equal" dxfId="0">
      <formula>"Low"</formula>
    </cfRule>
  </conditionalFormatting>
  <conditionalFormatting sqref="D28">
    <cfRule type="cellIs" priority="93" operator="equal" dxfId="1">
      <formula>"Critical"</formula>
    </cfRule>
    <cfRule type="cellIs" priority="94" operator="equal" dxfId="2">
      <formula>"High"</formula>
    </cfRule>
    <cfRule type="cellIs" priority="95" operator="equal" dxfId="2">
      <formula>"Medium"</formula>
    </cfRule>
    <cfRule type="cellIs" priority="96" operator="equal" dxfId="0">
      <formula>"Low"</formula>
    </cfRule>
  </conditionalFormatting>
  <conditionalFormatting sqref="D29">
    <cfRule type="cellIs" priority="97" operator="equal" dxfId="1">
      <formula>"Critical"</formula>
    </cfRule>
    <cfRule type="cellIs" priority="98" operator="equal" dxfId="2">
      <formula>"High"</formula>
    </cfRule>
    <cfRule type="cellIs" priority="99" operator="equal" dxfId="2">
      <formula>"Medium"</formula>
    </cfRule>
    <cfRule type="cellIs" priority="100" operator="equal" dxfId="0">
      <formula>"Low"</formula>
    </cfRule>
  </conditionalFormatting>
  <conditionalFormatting sqref="D30">
    <cfRule type="cellIs" priority="101" operator="equal" dxfId="1">
      <formula>"Critical"</formula>
    </cfRule>
    <cfRule type="cellIs" priority="102" operator="equal" dxfId="2">
      <formula>"High"</formula>
    </cfRule>
    <cfRule type="cellIs" priority="103" operator="equal" dxfId="2">
      <formula>"Medium"</formula>
    </cfRule>
    <cfRule type="cellIs" priority="104" operator="equal" dxfId="0">
      <formula>"Low"</formula>
    </cfRule>
  </conditionalFormatting>
  <conditionalFormatting sqref="D31">
    <cfRule type="cellIs" priority="105" operator="equal" dxfId="1">
      <formula>"Critical"</formula>
    </cfRule>
    <cfRule type="cellIs" priority="106" operator="equal" dxfId="2">
      <formula>"High"</formula>
    </cfRule>
    <cfRule type="cellIs" priority="107" operator="equal" dxfId="2">
      <formula>"Medium"</formula>
    </cfRule>
    <cfRule type="cellIs" priority="108" operator="equal" dxfId="0">
      <formula>"Low"</formula>
    </cfRule>
  </conditionalFormatting>
  <conditionalFormatting sqref="D32">
    <cfRule type="cellIs" priority="109" operator="equal" dxfId="1">
      <formula>"Critical"</formula>
    </cfRule>
    <cfRule type="cellIs" priority="110" operator="equal" dxfId="2">
      <formula>"High"</formula>
    </cfRule>
    <cfRule type="cellIs" priority="111" operator="equal" dxfId="2">
      <formula>"Medium"</formula>
    </cfRule>
    <cfRule type="cellIs" priority="112" operator="equal" dxfId="0">
      <formula>"Low"</formula>
    </cfRule>
  </conditionalFormatting>
  <conditionalFormatting sqref="D33">
    <cfRule type="cellIs" priority="113" operator="equal" dxfId="1">
      <formula>"Critical"</formula>
    </cfRule>
    <cfRule type="cellIs" priority="114" operator="equal" dxfId="2">
      <formula>"High"</formula>
    </cfRule>
    <cfRule type="cellIs" priority="115" operator="equal" dxfId="2">
      <formula>"Medium"</formula>
    </cfRule>
    <cfRule type="cellIs" priority="116" operator="equal" dxfId="0">
      <formula>"Low"</formula>
    </cfRule>
  </conditionalFormatting>
  <conditionalFormatting sqref="D34">
    <cfRule type="cellIs" priority="117" operator="equal" dxfId="1">
      <formula>"Critical"</formula>
    </cfRule>
    <cfRule type="cellIs" priority="118" operator="equal" dxfId="2">
      <formula>"High"</formula>
    </cfRule>
    <cfRule type="cellIs" priority="119" operator="equal" dxfId="2">
      <formula>"Medium"</formula>
    </cfRule>
    <cfRule type="cellIs" priority="120" operator="equal" dxfId="0">
      <formula>"Low"</formula>
    </cfRule>
  </conditionalFormatting>
  <conditionalFormatting sqref="D35">
    <cfRule type="cellIs" priority="121" operator="equal" dxfId="1">
      <formula>"Critical"</formula>
    </cfRule>
    <cfRule type="cellIs" priority="122" operator="equal" dxfId="2">
      <formula>"High"</formula>
    </cfRule>
    <cfRule type="cellIs" priority="123" operator="equal" dxfId="2">
      <formula>"Medium"</formula>
    </cfRule>
    <cfRule type="cellIs" priority="124" operator="equal" dxfId="0">
      <formula>"Low"</formula>
    </cfRule>
  </conditionalFormatting>
  <conditionalFormatting sqref="D36">
    <cfRule type="cellIs" priority="125" operator="equal" dxfId="1">
      <formula>"Critical"</formula>
    </cfRule>
    <cfRule type="cellIs" priority="126" operator="equal" dxfId="2">
      <formula>"High"</formula>
    </cfRule>
    <cfRule type="cellIs" priority="127" operator="equal" dxfId="2">
      <formula>"Medium"</formula>
    </cfRule>
    <cfRule type="cellIs" priority="128" operator="equal" dxfId="0">
      <formula>"Low"</formula>
    </cfRule>
  </conditionalFormatting>
  <conditionalFormatting sqref="D37">
    <cfRule type="cellIs" priority="129" operator="equal" dxfId="1">
      <formula>"Critical"</formula>
    </cfRule>
    <cfRule type="cellIs" priority="130" operator="equal" dxfId="2">
      <formula>"High"</formula>
    </cfRule>
    <cfRule type="cellIs" priority="131" operator="equal" dxfId="2">
      <formula>"Medium"</formula>
    </cfRule>
    <cfRule type="cellIs" priority="132" operator="equal" dxfId="0">
      <formula>"Low"</formula>
    </cfRule>
  </conditionalFormatting>
  <conditionalFormatting sqref="D38">
    <cfRule type="cellIs" priority="133" operator="equal" dxfId="1">
      <formula>"Critical"</formula>
    </cfRule>
    <cfRule type="cellIs" priority="134" operator="equal" dxfId="2">
      <formula>"High"</formula>
    </cfRule>
    <cfRule type="cellIs" priority="135" operator="equal" dxfId="2">
      <formula>"Medium"</formula>
    </cfRule>
    <cfRule type="cellIs" priority="136" operator="equal" dxfId="0">
      <formula>"Low"</formula>
    </cfRule>
  </conditionalFormatting>
  <conditionalFormatting sqref="D39">
    <cfRule type="cellIs" priority="137" operator="equal" dxfId="1">
      <formula>"Critical"</formula>
    </cfRule>
    <cfRule type="cellIs" priority="138" operator="equal" dxfId="2">
      <formula>"High"</formula>
    </cfRule>
    <cfRule type="cellIs" priority="139" operator="equal" dxfId="2">
      <formula>"Medium"</formula>
    </cfRule>
    <cfRule type="cellIs" priority="140" operator="equal" dxfId="0">
      <formula>"Low"</formula>
    </cfRule>
  </conditionalFormatting>
  <conditionalFormatting sqref="D40">
    <cfRule type="cellIs" priority="141" operator="equal" dxfId="1">
      <formula>"Critical"</formula>
    </cfRule>
    <cfRule type="cellIs" priority="142" operator="equal" dxfId="2">
      <formula>"High"</formula>
    </cfRule>
    <cfRule type="cellIs" priority="143" operator="equal" dxfId="2">
      <formula>"Medium"</formula>
    </cfRule>
    <cfRule type="cellIs" priority="144" operator="equal" dxfId="0">
      <formula>"Low"</formula>
    </cfRule>
  </conditionalFormatting>
  <conditionalFormatting sqref="D41">
    <cfRule type="cellIs" priority="145" operator="equal" dxfId="1">
      <formula>"Critical"</formula>
    </cfRule>
    <cfRule type="cellIs" priority="146" operator="equal" dxfId="2">
      <formula>"High"</formula>
    </cfRule>
    <cfRule type="cellIs" priority="147" operator="equal" dxfId="2">
      <formula>"Medium"</formula>
    </cfRule>
    <cfRule type="cellIs" priority="148" operator="equal" dxfId="0">
      <formula>"Low"</formula>
    </cfRule>
  </conditionalFormatting>
  <conditionalFormatting sqref="D42">
    <cfRule type="cellIs" priority="149" operator="equal" dxfId="1">
      <formula>"Critical"</formula>
    </cfRule>
    <cfRule type="cellIs" priority="150" operator="equal" dxfId="2">
      <formula>"High"</formula>
    </cfRule>
    <cfRule type="cellIs" priority="151" operator="equal" dxfId="2">
      <formula>"Medium"</formula>
    </cfRule>
    <cfRule type="cellIs" priority="152" operator="equal" dxfId="0">
      <formula>"Low"</formula>
    </cfRule>
  </conditionalFormatting>
  <conditionalFormatting sqref="D43">
    <cfRule type="cellIs" priority="153" operator="equal" dxfId="1">
      <formula>"Critical"</formula>
    </cfRule>
    <cfRule type="cellIs" priority="154" operator="equal" dxfId="2">
      <formula>"High"</formula>
    </cfRule>
    <cfRule type="cellIs" priority="155" operator="equal" dxfId="2">
      <formula>"Medium"</formula>
    </cfRule>
    <cfRule type="cellIs" priority="156" operator="equal" dxfId="0">
      <formula>"Low"</formula>
    </cfRule>
  </conditionalFormatting>
  <conditionalFormatting sqref="D44">
    <cfRule type="cellIs" priority="157" operator="equal" dxfId="1">
      <formula>"Critical"</formula>
    </cfRule>
    <cfRule type="cellIs" priority="158" operator="equal" dxfId="2">
      <formula>"High"</formula>
    </cfRule>
    <cfRule type="cellIs" priority="159" operator="equal" dxfId="2">
      <formula>"Medium"</formula>
    </cfRule>
    <cfRule type="cellIs" priority="160" operator="equal" dxfId="0">
      <formula>"Low"</formula>
    </cfRule>
  </conditionalFormatting>
  <conditionalFormatting sqref="D45">
    <cfRule type="cellIs" priority="161" operator="equal" dxfId="1">
      <formula>"Critical"</formula>
    </cfRule>
    <cfRule type="cellIs" priority="162" operator="equal" dxfId="2">
      <formula>"High"</formula>
    </cfRule>
    <cfRule type="cellIs" priority="163" operator="equal" dxfId="2">
      <formula>"Medium"</formula>
    </cfRule>
    <cfRule type="cellIs" priority="164" operator="equal" dxfId="0">
      <formula>"Low"</formula>
    </cfRule>
  </conditionalFormatting>
  <conditionalFormatting sqref="D46">
    <cfRule type="cellIs" priority="165" operator="equal" dxfId="1">
      <formula>"Critical"</formula>
    </cfRule>
    <cfRule type="cellIs" priority="166" operator="equal" dxfId="2">
      <formula>"High"</formula>
    </cfRule>
    <cfRule type="cellIs" priority="167" operator="equal" dxfId="2">
      <formula>"Medium"</formula>
    </cfRule>
    <cfRule type="cellIs" priority="168" operator="equal" dxfId="0">
      <formula>"Low"</formula>
    </cfRule>
  </conditionalFormatting>
  <conditionalFormatting sqref="D47">
    <cfRule type="cellIs" priority="169" operator="equal" dxfId="1">
      <formula>"Critical"</formula>
    </cfRule>
    <cfRule type="cellIs" priority="170" operator="equal" dxfId="2">
      <formula>"High"</formula>
    </cfRule>
    <cfRule type="cellIs" priority="171" operator="equal" dxfId="2">
      <formula>"Medium"</formula>
    </cfRule>
    <cfRule type="cellIs" priority="172" operator="equal" dxfId="0">
      <formula>"Low"</formula>
    </cfRule>
  </conditionalFormatting>
  <conditionalFormatting sqref="D48">
    <cfRule type="cellIs" priority="173" operator="equal" dxfId="1">
      <formula>"Critical"</formula>
    </cfRule>
    <cfRule type="cellIs" priority="174" operator="equal" dxfId="2">
      <formula>"High"</formula>
    </cfRule>
    <cfRule type="cellIs" priority="175" operator="equal" dxfId="2">
      <formula>"Medium"</formula>
    </cfRule>
    <cfRule type="cellIs" priority="176" operator="equal" dxfId="0">
      <formula>"Low"</formula>
    </cfRule>
  </conditionalFormatting>
  <conditionalFormatting sqref="D49">
    <cfRule type="cellIs" priority="177" operator="equal" dxfId="1">
      <formula>"Critical"</formula>
    </cfRule>
    <cfRule type="cellIs" priority="178" operator="equal" dxfId="2">
      <formula>"High"</formula>
    </cfRule>
    <cfRule type="cellIs" priority="179" operator="equal" dxfId="2">
      <formula>"Medium"</formula>
    </cfRule>
    <cfRule type="cellIs" priority="180" operator="equal" dxfId="0">
      <formula>"Low"</formula>
    </cfRule>
  </conditionalFormatting>
  <conditionalFormatting sqref="D50">
    <cfRule type="cellIs" priority="181" operator="equal" dxfId="1">
      <formula>"Critical"</formula>
    </cfRule>
    <cfRule type="cellIs" priority="182" operator="equal" dxfId="2">
      <formula>"High"</formula>
    </cfRule>
    <cfRule type="cellIs" priority="183" operator="equal" dxfId="2">
      <formula>"Medium"</formula>
    </cfRule>
    <cfRule type="cellIs" priority="184" operator="equal" dxfId="0">
      <formula>"Low"</formula>
    </cfRule>
  </conditionalFormatting>
  <conditionalFormatting sqref="D51">
    <cfRule type="cellIs" priority="185" operator="equal" dxfId="1">
      <formula>"Critical"</formula>
    </cfRule>
    <cfRule type="cellIs" priority="186" operator="equal" dxfId="2">
      <formula>"High"</formula>
    </cfRule>
    <cfRule type="cellIs" priority="187" operator="equal" dxfId="2">
      <formula>"Medium"</formula>
    </cfRule>
    <cfRule type="cellIs" priority="188" operator="equal" dxfId="0">
      <formula>"Low"</formula>
    </cfRule>
  </conditionalFormatting>
  <conditionalFormatting sqref="D52">
    <cfRule type="cellIs" priority="189" operator="equal" dxfId="1">
      <formula>"Critical"</formula>
    </cfRule>
    <cfRule type="cellIs" priority="190" operator="equal" dxfId="2">
      <formula>"High"</formula>
    </cfRule>
    <cfRule type="cellIs" priority="191" operator="equal" dxfId="2">
      <formula>"Medium"</formula>
    </cfRule>
    <cfRule type="cellIs" priority="192" operator="equal" dxfId="0">
      <formula>"Low"</formula>
    </cfRule>
  </conditionalFormatting>
  <conditionalFormatting sqref="D53">
    <cfRule type="cellIs" priority="193" operator="equal" dxfId="1">
      <formula>"Critical"</formula>
    </cfRule>
    <cfRule type="cellIs" priority="194" operator="equal" dxfId="2">
      <formula>"High"</formula>
    </cfRule>
    <cfRule type="cellIs" priority="195" operator="equal" dxfId="2">
      <formula>"Medium"</formula>
    </cfRule>
    <cfRule type="cellIs" priority="196" operator="equal" dxfId="0">
      <formula>"Low"</formula>
    </cfRule>
  </conditionalFormatting>
  <conditionalFormatting sqref="D54">
    <cfRule type="cellIs" priority="197" operator="equal" dxfId="1">
      <formula>"Critical"</formula>
    </cfRule>
    <cfRule type="cellIs" priority="198" operator="equal" dxfId="2">
      <formula>"High"</formula>
    </cfRule>
    <cfRule type="cellIs" priority="199" operator="equal" dxfId="2">
      <formula>"Medium"</formula>
    </cfRule>
    <cfRule type="cellIs" priority="200" operator="equal" dxfId="0">
      <formula>"Low"</formula>
    </cfRule>
  </conditionalFormatting>
  <conditionalFormatting sqref="G5">
    <cfRule type="cellIs" priority="201" operator="equal" dxfId="0">
      <formula>"Resolved"</formula>
    </cfRule>
    <cfRule type="cellIs" priority="202" operator="equal" dxfId="0">
      <formula>"Closed"</formula>
    </cfRule>
    <cfRule type="cellIs" priority="203" operator="equal" dxfId="2">
      <formula>"Blocked"</formula>
    </cfRule>
  </conditionalFormatting>
  <conditionalFormatting sqref="G6">
    <cfRule type="cellIs" priority="204" operator="equal" dxfId="0">
      <formula>"Resolved"</formula>
    </cfRule>
    <cfRule type="cellIs" priority="205" operator="equal" dxfId="0">
      <formula>"Closed"</formula>
    </cfRule>
    <cfRule type="cellIs" priority="206" operator="equal" dxfId="2">
      <formula>"Blocked"</formula>
    </cfRule>
  </conditionalFormatting>
  <conditionalFormatting sqref="G7">
    <cfRule type="cellIs" priority="207" operator="equal" dxfId="0">
      <formula>"Resolved"</formula>
    </cfRule>
    <cfRule type="cellIs" priority="208" operator="equal" dxfId="0">
      <formula>"Closed"</formula>
    </cfRule>
    <cfRule type="cellIs" priority="209" operator="equal" dxfId="2">
      <formula>"Blocked"</formula>
    </cfRule>
  </conditionalFormatting>
  <conditionalFormatting sqref="G8">
    <cfRule type="cellIs" priority="210" operator="equal" dxfId="0">
      <formula>"Resolved"</formula>
    </cfRule>
    <cfRule type="cellIs" priority="211" operator="equal" dxfId="0">
      <formula>"Closed"</formula>
    </cfRule>
    <cfRule type="cellIs" priority="212" operator="equal" dxfId="2">
      <formula>"Blocked"</formula>
    </cfRule>
  </conditionalFormatting>
  <conditionalFormatting sqref="G9">
    <cfRule type="cellIs" priority="213" operator="equal" dxfId="0">
      <formula>"Resolved"</formula>
    </cfRule>
    <cfRule type="cellIs" priority="214" operator="equal" dxfId="0">
      <formula>"Closed"</formula>
    </cfRule>
    <cfRule type="cellIs" priority="215" operator="equal" dxfId="2">
      <formula>"Blocked"</formula>
    </cfRule>
  </conditionalFormatting>
  <conditionalFormatting sqref="G10">
    <cfRule type="cellIs" priority="216" operator="equal" dxfId="0">
      <formula>"Resolved"</formula>
    </cfRule>
    <cfRule type="cellIs" priority="217" operator="equal" dxfId="0">
      <formula>"Closed"</formula>
    </cfRule>
    <cfRule type="cellIs" priority="218" operator="equal" dxfId="2">
      <formula>"Blocked"</formula>
    </cfRule>
  </conditionalFormatting>
  <conditionalFormatting sqref="G11">
    <cfRule type="cellIs" priority="219" operator="equal" dxfId="0">
      <formula>"Resolved"</formula>
    </cfRule>
    <cfRule type="cellIs" priority="220" operator="equal" dxfId="0">
      <formula>"Closed"</formula>
    </cfRule>
    <cfRule type="cellIs" priority="221" operator="equal" dxfId="2">
      <formula>"Blocked"</formula>
    </cfRule>
  </conditionalFormatting>
  <conditionalFormatting sqref="G12">
    <cfRule type="cellIs" priority="222" operator="equal" dxfId="0">
      <formula>"Resolved"</formula>
    </cfRule>
    <cfRule type="cellIs" priority="223" operator="equal" dxfId="0">
      <formula>"Closed"</formula>
    </cfRule>
    <cfRule type="cellIs" priority="224" operator="equal" dxfId="2">
      <formula>"Blocked"</formula>
    </cfRule>
  </conditionalFormatting>
  <conditionalFormatting sqref="G13">
    <cfRule type="cellIs" priority="225" operator="equal" dxfId="0">
      <formula>"Resolved"</formula>
    </cfRule>
    <cfRule type="cellIs" priority="226" operator="equal" dxfId="0">
      <formula>"Closed"</formula>
    </cfRule>
    <cfRule type="cellIs" priority="227" operator="equal" dxfId="2">
      <formula>"Blocked"</formula>
    </cfRule>
  </conditionalFormatting>
  <conditionalFormatting sqref="G14">
    <cfRule type="cellIs" priority="228" operator="equal" dxfId="0">
      <formula>"Resolved"</formula>
    </cfRule>
    <cfRule type="cellIs" priority="229" operator="equal" dxfId="0">
      <formula>"Closed"</formula>
    </cfRule>
    <cfRule type="cellIs" priority="230" operator="equal" dxfId="2">
      <formula>"Blocked"</formula>
    </cfRule>
  </conditionalFormatting>
  <conditionalFormatting sqref="G15">
    <cfRule type="cellIs" priority="231" operator="equal" dxfId="0">
      <formula>"Resolved"</formula>
    </cfRule>
    <cfRule type="cellIs" priority="232" operator="equal" dxfId="0">
      <formula>"Closed"</formula>
    </cfRule>
    <cfRule type="cellIs" priority="233" operator="equal" dxfId="2">
      <formula>"Blocked"</formula>
    </cfRule>
  </conditionalFormatting>
  <conditionalFormatting sqref="G16">
    <cfRule type="cellIs" priority="234" operator="equal" dxfId="0">
      <formula>"Resolved"</formula>
    </cfRule>
    <cfRule type="cellIs" priority="235" operator="equal" dxfId="0">
      <formula>"Closed"</formula>
    </cfRule>
    <cfRule type="cellIs" priority="236" operator="equal" dxfId="2">
      <formula>"Blocked"</formula>
    </cfRule>
  </conditionalFormatting>
  <conditionalFormatting sqref="G17">
    <cfRule type="cellIs" priority="237" operator="equal" dxfId="0">
      <formula>"Resolved"</formula>
    </cfRule>
    <cfRule type="cellIs" priority="238" operator="equal" dxfId="0">
      <formula>"Closed"</formula>
    </cfRule>
    <cfRule type="cellIs" priority="239" operator="equal" dxfId="2">
      <formula>"Blocked"</formula>
    </cfRule>
  </conditionalFormatting>
  <conditionalFormatting sqref="G18">
    <cfRule type="cellIs" priority="240" operator="equal" dxfId="0">
      <formula>"Resolved"</formula>
    </cfRule>
    <cfRule type="cellIs" priority="241" operator="equal" dxfId="0">
      <formula>"Closed"</formula>
    </cfRule>
    <cfRule type="cellIs" priority="242" operator="equal" dxfId="2">
      <formula>"Blocked"</formula>
    </cfRule>
  </conditionalFormatting>
  <conditionalFormatting sqref="G19">
    <cfRule type="cellIs" priority="243" operator="equal" dxfId="0">
      <formula>"Resolved"</formula>
    </cfRule>
    <cfRule type="cellIs" priority="244" operator="equal" dxfId="0">
      <formula>"Closed"</formula>
    </cfRule>
    <cfRule type="cellIs" priority="245" operator="equal" dxfId="2">
      <formula>"Blocked"</formula>
    </cfRule>
  </conditionalFormatting>
  <conditionalFormatting sqref="G20">
    <cfRule type="cellIs" priority="246" operator="equal" dxfId="0">
      <formula>"Resolved"</formula>
    </cfRule>
    <cfRule type="cellIs" priority="247" operator="equal" dxfId="0">
      <formula>"Closed"</formula>
    </cfRule>
    <cfRule type="cellIs" priority="248" operator="equal" dxfId="2">
      <formula>"Blocked"</formula>
    </cfRule>
  </conditionalFormatting>
  <conditionalFormatting sqref="G21">
    <cfRule type="cellIs" priority="249" operator="equal" dxfId="0">
      <formula>"Resolved"</formula>
    </cfRule>
    <cfRule type="cellIs" priority="250" operator="equal" dxfId="0">
      <formula>"Closed"</formula>
    </cfRule>
    <cfRule type="cellIs" priority="251" operator="equal" dxfId="2">
      <formula>"Blocked"</formula>
    </cfRule>
  </conditionalFormatting>
  <conditionalFormatting sqref="G22">
    <cfRule type="cellIs" priority="252" operator="equal" dxfId="0">
      <formula>"Resolved"</formula>
    </cfRule>
    <cfRule type="cellIs" priority="253" operator="equal" dxfId="0">
      <formula>"Closed"</formula>
    </cfRule>
    <cfRule type="cellIs" priority="254" operator="equal" dxfId="2">
      <formula>"Blocked"</formula>
    </cfRule>
  </conditionalFormatting>
  <conditionalFormatting sqref="G23">
    <cfRule type="cellIs" priority="255" operator="equal" dxfId="0">
      <formula>"Resolved"</formula>
    </cfRule>
    <cfRule type="cellIs" priority="256" operator="equal" dxfId="0">
      <formula>"Closed"</formula>
    </cfRule>
    <cfRule type="cellIs" priority="257" operator="equal" dxfId="2">
      <formula>"Blocked"</formula>
    </cfRule>
  </conditionalFormatting>
  <conditionalFormatting sqref="G24">
    <cfRule type="cellIs" priority="258" operator="equal" dxfId="0">
      <formula>"Resolved"</formula>
    </cfRule>
    <cfRule type="cellIs" priority="259" operator="equal" dxfId="0">
      <formula>"Closed"</formula>
    </cfRule>
    <cfRule type="cellIs" priority="260" operator="equal" dxfId="2">
      <formula>"Blocked"</formula>
    </cfRule>
  </conditionalFormatting>
  <conditionalFormatting sqref="G25">
    <cfRule type="cellIs" priority="261" operator="equal" dxfId="0">
      <formula>"Resolved"</formula>
    </cfRule>
    <cfRule type="cellIs" priority="262" operator="equal" dxfId="0">
      <formula>"Closed"</formula>
    </cfRule>
    <cfRule type="cellIs" priority="263" operator="equal" dxfId="2">
      <formula>"Blocked"</formula>
    </cfRule>
  </conditionalFormatting>
  <conditionalFormatting sqref="G26">
    <cfRule type="cellIs" priority="264" operator="equal" dxfId="0">
      <formula>"Resolved"</formula>
    </cfRule>
    <cfRule type="cellIs" priority="265" operator="equal" dxfId="0">
      <formula>"Closed"</formula>
    </cfRule>
    <cfRule type="cellIs" priority="266" operator="equal" dxfId="2">
      <formula>"Blocked"</formula>
    </cfRule>
  </conditionalFormatting>
  <conditionalFormatting sqref="G27">
    <cfRule type="cellIs" priority="267" operator="equal" dxfId="0">
      <formula>"Resolved"</formula>
    </cfRule>
    <cfRule type="cellIs" priority="268" operator="equal" dxfId="0">
      <formula>"Closed"</formula>
    </cfRule>
    <cfRule type="cellIs" priority="269" operator="equal" dxfId="2">
      <formula>"Blocked"</formula>
    </cfRule>
  </conditionalFormatting>
  <conditionalFormatting sqref="G28">
    <cfRule type="cellIs" priority="270" operator="equal" dxfId="0">
      <formula>"Resolved"</formula>
    </cfRule>
    <cfRule type="cellIs" priority="271" operator="equal" dxfId="0">
      <formula>"Closed"</formula>
    </cfRule>
    <cfRule type="cellIs" priority="272" operator="equal" dxfId="2">
      <formula>"Blocked"</formula>
    </cfRule>
  </conditionalFormatting>
  <conditionalFormatting sqref="G29">
    <cfRule type="cellIs" priority="273" operator="equal" dxfId="0">
      <formula>"Resolved"</formula>
    </cfRule>
    <cfRule type="cellIs" priority="274" operator="equal" dxfId="0">
      <formula>"Closed"</formula>
    </cfRule>
    <cfRule type="cellIs" priority="275" operator="equal" dxfId="2">
      <formula>"Blocked"</formula>
    </cfRule>
  </conditionalFormatting>
  <conditionalFormatting sqref="G30">
    <cfRule type="cellIs" priority="276" operator="equal" dxfId="0">
      <formula>"Resolved"</formula>
    </cfRule>
    <cfRule type="cellIs" priority="277" operator="equal" dxfId="0">
      <formula>"Closed"</formula>
    </cfRule>
    <cfRule type="cellIs" priority="278" operator="equal" dxfId="2">
      <formula>"Blocked"</formula>
    </cfRule>
  </conditionalFormatting>
  <conditionalFormatting sqref="G31">
    <cfRule type="cellIs" priority="279" operator="equal" dxfId="0">
      <formula>"Resolved"</formula>
    </cfRule>
    <cfRule type="cellIs" priority="280" operator="equal" dxfId="0">
      <formula>"Closed"</formula>
    </cfRule>
    <cfRule type="cellIs" priority="281" operator="equal" dxfId="2">
      <formula>"Blocked"</formula>
    </cfRule>
  </conditionalFormatting>
  <conditionalFormatting sqref="G32">
    <cfRule type="cellIs" priority="282" operator="equal" dxfId="0">
      <formula>"Resolved"</formula>
    </cfRule>
    <cfRule type="cellIs" priority="283" operator="equal" dxfId="0">
      <formula>"Closed"</formula>
    </cfRule>
    <cfRule type="cellIs" priority="284" operator="equal" dxfId="2">
      <formula>"Blocked"</formula>
    </cfRule>
  </conditionalFormatting>
  <conditionalFormatting sqref="G33">
    <cfRule type="cellIs" priority="285" operator="equal" dxfId="0">
      <formula>"Resolved"</formula>
    </cfRule>
    <cfRule type="cellIs" priority="286" operator="equal" dxfId="0">
      <formula>"Closed"</formula>
    </cfRule>
    <cfRule type="cellIs" priority="287" operator="equal" dxfId="2">
      <formula>"Blocked"</formula>
    </cfRule>
  </conditionalFormatting>
  <conditionalFormatting sqref="G34">
    <cfRule type="cellIs" priority="288" operator="equal" dxfId="0">
      <formula>"Resolved"</formula>
    </cfRule>
    <cfRule type="cellIs" priority="289" operator="equal" dxfId="0">
      <formula>"Closed"</formula>
    </cfRule>
    <cfRule type="cellIs" priority="290" operator="equal" dxfId="2">
      <formula>"Blocked"</formula>
    </cfRule>
  </conditionalFormatting>
  <conditionalFormatting sqref="G35">
    <cfRule type="cellIs" priority="291" operator="equal" dxfId="0">
      <formula>"Resolved"</formula>
    </cfRule>
    <cfRule type="cellIs" priority="292" operator="equal" dxfId="0">
      <formula>"Closed"</formula>
    </cfRule>
    <cfRule type="cellIs" priority="293" operator="equal" dxfId="2">
      <formula>"Blocked"</formula>
    </cfRule>
  </conditionalFormatting>
  <conditionalFormatting sqref="G36">
    <cfRule type="cellIs" priority="294" operator="equal" dxfId="0">
      <formula>"Resolved"</formula>
    </cfRule>
    <cfRule type="cellIs" priority="295" operator="equal" dxfId="0">
      <formula>"Closed"</formula>
    </cfRule>
    <cfRule type="cellIs" priority="296" operator="equal" dxfId="2">
      <formula>"Blocked"</formula>
    </cfRule>
  </conditionalFormatting>
  <conditionalFormatting sqref="G37">
    <cfRule type="cellIs" priority="297" operator="equal" dxfId="0">
      <formula>"Resolved"</formula>
    </cfRule>
    <cfRule type="cellIs" priority="298" operator="equal" dxfId="0">
      <formula>"Closed"</formula>
    </cfRule>
    <cfRule type="cellIs" priority="299" operator="equal" dxfId="2">
      <formula>"Blocked"</formula>
    </cfRule>
  </conditionalFormatting>
  <conditionalFormatting sqref="G38">
    <cfRule type="cellIs" priority="300" operator="equal" dxfId="0">
      <formula>"Resolved"</formula>
    </cfRule>
    <cfRule type="cellIs" priority="301" operator="equal" dxfId="0">
      <formula>"Closed"</formula>
    </cfRule>
    <cfRule type="cellIs" priority="302" operator="equal" dxfId="2">
      <formula>"Blocked"</formula>
    </cfRule>
  </conditionalFormatting>
  <conditionalFormatting sqref="G39">
    <cfRule type="cellIs" priority="303" operator="equal" dxfId="0">
      <formula>"Resolved"</formula>
    </cfRule>
    <cfRule type="cellIs" priority="304" operator="equal" dxfId="0">
      <formula>"Closed"</formula>
    </cfRule>
    <cfRule type="cellIs" priority="305" operator="equal" dxfId="2">
      <formula>"Blocked"</formula>
    </cfRule>
  </conditionalFormatting>
  <conditionalFormatting sqref="G40">
    <cfRule type="cellIs" priority="306" operator="equal" dxfId="0">
      <formula>"Resolved"</formula>
    </cfRule>
    <cfRule type="cellIs" priority="307" operator="equal" dxfId="0">
      <formula>"Closed"</formula>
    </cfRule>
    <cfRule type="cellIs" priority="308" operator="equal" dxfId="2">
      <formula>"Blocked"</formula>
    </cfRule>
  </conditionalFormatting>
  <conditionalFormatting sqref="G41">
    <cfRule type="cellIs" priority="309" operator="equal" dxfId="0">
      <formula>"Resolved"</formula>
    </cfRule>
    <cfRule type="cellIs" priority="310" operator="equal" dxfId="0">
      <formula>"Closed"</formula>
    </cfRule>
    <cfRule type="cellIs" priority="311" operator="equal" dxfId="2">
      <formula>"Blocked"</formula>
    </cfRule>
  </conditionalFormatting>
  <conditionalFormatting sqref="G42">
    <cfRule type="cellIs" priority="312" operator="equal" dxfId="0">
      <formula>"Resolved"</formula>
    </cfRule>
    <cfRule type="cellIs" priority="313" operator="equal" dxfId="0">
      <formula>"Closed"</formula>
    </cfRule>
    <cfRule type="cellIs" priority="314" operator="equal" dxfId="2">
      <formula>"Blocked"</formula>
    </cfRule>
  </conditionalFormatting>
  <conditionalFormatting sqref="G43">
    <cfRule type="cellIs" priority="315" operator="equal" dxfId="0">
      <formula>"Resolved"</formula>
    </cfRule>
    <cfRule type="cellIs" priority="316" operator="equal" dxfId="0">
      <formula>"Closed"</formula>
    </cfRule>
    <cfRule type="cellIs" priority="317" operator="equal" dxfId="2">
      <formula>"Blocked"</formula>
    </cfRule>
  </conditionalFormatting>
  <conditionalFormatting sqref="G44">
    <cfRule type="cellIs" priority="318" operator="equal" dxfId="0">
      <formula>"Resolved"</formula>
    </cfRule>
    <cfRule type="cellIs" priority="319" operator="equal" dxfId="0">
      <formula>"Closed"</formula>
    </cfRule>
    <cfRule type="cellIs" priority="320" operator="equal" dxfId="2">
      <formula>"Blocked"</formula>
    </cfRule>
  </conditionalFormatting>
  <conditionalFormatting sqref="G45">
    <cfRule type="cellIs" priority="321" operator="equal" dxfId="0">
      <formula>"Resolved"</formula>
    </cfRule>
    <cfRule type="cellIs" priority="322" operator="equal" dxfId="0">
      <formula>"Closed"</formula>
    </cfRule>
    <cfRule type="cellIs" priority="323" operator="equal" dxfId="2">
      <formula>"Blocked"</formula>
    </cfRule>
  </conditionalFormatting>
  <conditionalFormatting sqref="G46">
    <cfRule type="cellIs" priority="324" operator="equal" dxfId="0">
      <formula>"Resolved"</formula>
    </cfRule>
    <cfRule type="cellIs" priority="325" operator="equal" dxfId="0">
      <formula>"Closed"</formula>
    </cfRule>
    <cfRule type="cellIs" priority="326" operator="equal" dxfId="2">
      <formula>"Blocked"</formula>
    </cfRule>
  </conditionalFormatting>
  <conditionalFormatting sqref="G47">
    <cfRule type="cellIs" priority="327" operator="equal" dxfId="0">
      <formula>"Resolved"</formula>
    </cfRule>
    <cfRule type="cellIs" priority="328" operator="equal" dxfId="0">
      <formula>"Closed"</formula>
    </cfRule>
    <cfRule type="cellIs" priority="329" operator="equal" dxfId="2">
      <formula>"Blocked"</formula>
    </cfRule>
  </conditionalFormatting>
  <conditionalFormatting sqref="G48">
    <cfRule type="cellIs" priority="330" operator="equal" dxfId="0">
      <formula>"Resolved"</formula>
    </cfRule>
    <cfRule type="cellIs" priority="331" operator="equal" dxfId="0">
      <formula>"Closed"</formula>
    </cfRule>
    <cfRule type="cellIs" priority="332" operator="equal" dxfId="2">
      <formula>"Blocked"</formula>
    </cfRule>
  </conditionalFormatting>
  <conditionalFormatting sqref="G49">
    <cfRule type="cellIs" priority="333" operator="equal" dxfId="0">
      <formula>"Resolved"</formula>
    </cfRule>
    <cfRule type="cellIs" priority="334" operator="equal" dxfId="0">
      <formula>"Closed"</formula>
    </cfRule>
    <cfRule type="cellIs" priority="335" operator="equal" dxfId="2">
      <formula>"Blocked"</formula>
    </cfRule>
  </conditionalFormatting>
  <conditionalFormatting sqref="G50">
    <cfRule type="cellIs" priority="336" operator="equal" dxfId="0">
      <formula>"Resolved"</formula>
    </cfRule>
    <cfRule type="cellIs" priority="337" operator="equal" dxfId="0">
      <formula>"Closed"</formula>
    </cfRule>
    <cfRule type="cellIs" priority="338" operator="equal" dxfId="2">
      <formula>"Blocked"</formula>
    </cfRule>
  </conditionalFormatting>
  <conditionalFormatting sqref="G51">
    <cfRule type="cellIs" priority="339" operator="equal" dxfId="0">
      <formula>"Resolved"</formula>
    </cfRule>
    <cfRule type="cellIs" priority="340" operator="equal" dxfId="0">
      <formula>"Closed"</formula>
    </cfRule>
    <cfRule type="cellIs" priority="341" operator="equal" dxfId="2">
      <formula>"Blocked"</formula>
    </cfRule>
  </conditionalFormatting>
  <conditionalFormatting sqref="G52">
    <cfRule type="cellIs" priority="342" operator="equal" dxfId="0">
      <formula>"Resolved"</formula>
    </cfRule>
    <cfRule type="cellIs" priority="343" operator="equal" dxfId="0">
      <formula>"Closed"</formula>
    </cfRule>
    <cfRule type="cellIs" priority="344" operator="equal" dxfId="2">
      <formula>"Blocked"</formula>
    </cfRule>
  </conditionalFormatting>
  <conditionalFormatting sqref="G53">
    <cfRule type="cellIs" priority="345" operator="equal" dxfId="0">
      <formula>"Resolved"</formula>
    </cfRule>
    <cfRule type="cellIs" priority="346" operator="equal" dxfId="0">
      <formula>"Closed"</formula>
    </cfRule>
    <cfRule type="cellIs" priority="347" operator="equal" dxfId="2">
      <formula>"Blocked"</formula>
    </cfRule>
  </conditionalFormatting>
  <conditionalFormatting sqref="G54">
    <cfRule type="cellIs" priority="348" operator="equal" dxfId="0">
      <formula>"Resolved"</formula>
    </cfRule>
    <cfRule type="cellIs" priority="349" operator="equal" dxfId="0">
      <formula>"Closed"</formula>
    </cfRule>
    <cfRule type="cellIs" priority="350" operator="equal" dxfId="2">
      <formula>"Blocked"</formula>
    </cfRule>
  </conditionalFormatting>
  <dataValidations count="52">
    <dataValidation sqref="B5" showDropDown="0" showInputMessage="0" showErrorMessage="0" allowBlank="0" type="list">
      <formula1>"Tool_Integration,IOC_Quality,Dissemination,Stakeholder_Engagement,Process,Automation,Other"</formula1>
    </dataValidation>
    <dataValidation sqref="B6" showDropDown="0" showInputMessage="0" showErrorMessage="0" allowBlank="0" type="list">
      <formula1>"Tool_Integration,IOC_Quality,Dissemination,Stakeholder_Engagement,Process,Automation,Other"</formula1>
    </dataValidation>
    <dataValidation sqref="B7" showDropDown="0" showInputMessage="0" showErrorMessage="0" allowBlank="0" type="list">
      <formula1>"Tool_Integration,IOC_Quality,Dissemination,Stakeholder_Engagement,Process,Automation,Other"</formula1>
    </dataValidation>
    <dataValidation sqref="B8" showDropDown="0" showInputMessage="0" showErrorMessage="0" allowBlank="0" type="list">
      <formula1>"Tool_Integration,IOC_Quality,Dissemination,Stakeholder_Engagement,Process,Automation,Other"</formula1>
    </dataValidation>
    <dataValidation sqref="B9" showDropDown="0" showInputMessage="0" showErrorMessage="0" allowBlank="0" type="list">
      <formula1>"Tool_Integration,IOC_Quality,Dissemination,Stakeholder_Engagement,Process,Automation,Other"</formula1>
    </dataValidation>
    <dataValidation sqref="B10" showDropDown="0" showInputMessage="0" showErrorMessage="0" allowBlank="0" type="list">
      <formula1>"Tool_Integration,IOC_Quality,Dissemination,Stakeholder_Engagement,Process,Automation,Other"</formula1>
    </dataValidation>
    <dataValidation sqref="B11" showDropDown="0" showInputMessage="0" showErrorMessage="0" allowBlank="0" type="list">
      <formula1>"Tool_Integration,IOC_Quality,Dissemination,Stakeholder_Engagement,Process,Automation,Other"</formula1>
    </dataValidation>
    <dataValidation sqref="B12" showDropDown="0" showInputMessage="0" showErrorMessage="0" allowBlank="0" type="list">
      <formula1>"Tool_Integration,IOC_Quality,Dissemination,Stakeholder_Engagement,Process,Automation,Other"</formula1>
    </dataValidation>
    <dataValidation sqref="B13" showDropDown="0" showInputMessage="0" showErrorMessage="0" allowBlank="0" type="list">
      <formula1>"Tool_Integration,IOC_Quality,Dissemination,Stakeholder_Engagement,Process,Automation,Other"</formula1>
    </dataValidation>
    <dataValidation sqref="B14" showDropDown="0" showInputMessage="0" showErrorMessage="0" allowBlank="0" type="list">
      <formula1>"Tool_Integration,IOC_Quality,Dissemination,Stakeholder_Engagement,Process,Automation,Other"</formula1>
    </dataValidation>
    <dataValidation sqref="B15" showDropDown="0" showInputMessage="0" showErrorMessage="0" allowBlank="0" type="list">
      <formula1>"Tool_Integration,IOC_Quality,Dissemination,Stakeholder_Engagement,Process,Automation,Other"</formula1>
    </dataValidation>
    <dataValidation sqref="B16" showDropDown="0" showInputMessage="0" showErrorMessage="0" allowBlank="0" type="list">
      <formula1>"Tool_Integration,IOC_Quality,Dissemination,Stakeholder_Engagement,Process,Automation,Other"</formula1>
    </dataValidation>
    <dataValidation sqref="B17" showDropDown="0" showInputMessage="0" showErrorMessage="0" allowBlank="0" type="list">
      <formula1>"Tool_Integration,IOC_Quality,Dissemination,Stakeholder_Engagement,Process,Automation,Other"</formula1>
    </dataValidation>
    <dataValidation sqref="B18" showDropDown="0" showInputMessage="0" showErrorMessage="0" allowBlank="0" type="list">
      <formula1>"Tool_Integration,IOC_Quality,Dissemination,Stakeholder_Engagement,Process,Automation,Other"</formula1>
    </dataValidation>
    <dataValidation sqref="B19" showDropDown="0" showInputMessage="0" showErrorMessage="0" allowBlank="0" type="list">
      <formula1>"Tool_Integration,IOC_Quality,Dissemination,Stakeholder_Engagement,Process,Automation,Other"</formula1>
    </dataValidation>
    <dataValidation sqref="B20" showDropDown="0" showInputMessage="0" showErrorMessage="0" allowBlank="0" type="list">
      <formula1>"Tool_Integration,IOC_Quality,Dissemination,Stakeholder_Engagement,Process,Automation,Other"</formula1>
    </dataValidation>
    <dataValidation sqref="B21" showDropDown="0" showInputMessage="0" showErrorMessage="0" allowBlank="0" type="list">
      <formula1>"Tool_Integration,IOC_Quality,Dissemination,Stakeholder_Engagement,Process,Automation,Other"</formula1>
    </dataValidation>
    <dataValidation sqref="B22" showDropDown="0" showInputMessage="0" showErrorMessage="0" allowBlank="0" type="list">
      <formula1>"Tool_Integration,IOC_Quality,Dissemination,Stakeholder_Engagement,Process,Automation,Other"</formula1>
    </dataValidation>
    <dataValidation sqref="B23" showDropDown="0" showInputMessage="0" showErrorMessage="0" allowBlank="0" type="list">
      <formula1>"Tool_Integration,IOC_Quality,Dissemination,Stakeholder_Engagement,Process,Automation,Other"</formula1>
    </dataValidation>
    <dataValidation sqref="B24" showDropDown="0" showInputMessage="0" showErrorMessage="0" allowBlank="0" type="list">
      <formula1>"Tool_Integration,IOC_Quality,Dissemination,Stakeholder_Engagement,Process,Automation,Other"</formula1>
    </dataValidation>
    <dataValidation sqref="B25" showDropDown="0" showInputMessage="0" showErrorMessage="0" allowBlank="0" type="list">
      <formula1>"Tool_Integration,IOC_Quality,Dissemination,Stakeholder_Engagement,Process,Automation,Other"</formula1>
    </dataValidation>
    <dataValidation sqref="B26" showDropDown="0" showInputMessage="0" showErrorMessage="0" allowBlank="0" type="list">
      <formula1>"Tool_Integration,IOC_Quality,Dissemination,Stakeholder_Engagement,Process,Automation,Other"</formula1>
    </dataValidation>
    <dataValidation sqref="B27" showDropDown="0" showInputMessage="0" showErrorMessage="0" allowBlank="0" type="list">
      <formula1>"Tool_Integration,IOC_Quality,Dissemination,Stakeholder_Engagement,Process,Automation,Other"</formula1>
    </dataValidation>
    <dataValidation sqref="B28" showDropDown="0" showInputMessage="0" showErrorMessage="0" allowBlank="0" type="list">
      <formula1>"Tool_Integration,IOC_Quality,Dissemination,Stakeholder_Engagement,Process,Automation,Other"</formula1>
    </dataValidation>
    <dataValidation sqref="B29" showDropDown="0" showInputMessage="0" showErrorMessage="0" allowBlank="0" type="list">
      <formula1>"Tool_Integration,IOC_Quality,Dissemination,Stakeholder_Engagement,Process,Automation,Other"</formula1>
    </dataValidation>
    <dataValidation sqref="B30" showDropDown="0" showInputMessage="0" showErrorMessage="0" allowBlank="0" type="list">
      <formula1>"Tool_Integration,IOC_Quality,Dissemination,Stakeholder_Engagement,Process,Automation,Other"</formula1>
    </dataValidation>
    <dataValidation sqref="B31" showDropDown="0" showInputMessage="0" showErrorMessage="0" allowBlank="0" type="list">
      <formula1>"Tool_Integration,IOC_Quality,Dissemination,Stakeholder_Engagement,Process,Automation,Other"</formula1>
    </dataValidation>
    <dataValidation sqref="B32" showDropDown="0" showInputMessage="0" showErrorMessage="0" allowBlank="0" type="list">
      <formula1>"Tool_Integration,IOC_Quality,Dissemination,Stakeholder_Engagement,Process,Automation,Other"</formula1>
    </dataValidation>
    <dataValidation sqref="B33" showDropDown="0" showInputMessage="0" showErrorMessage="0" allowBlank="0" type="list">
      <formula1>"Tool_Integration,IOC_Quality,Dissemination,Stakeholder_Engagement,Process,Automation,Other"</formula1>
    </dataValidation>
    <dataValidation sqref="B34" showDropDown="0" showInputMessage="0" showErrorMessage="0" allowBlank="0" type="list">
      <formula1>"Tool_Integration,IOC_Quality,Dissemination,Stakeholder_Engagement,Process,Automation,Other"</formula1>
    </dataValidation>
    <dataValidation sqref="B35" showDropDown="0" showInputMessage="0" showErrorMessage="0" allowBlank="0" type="list">
      <formula1>"Tool_Integration,IOC_Quality,Dissemination,Stakeholder_Engagement,Process,Automation,Other"</formula1>
    </dataValidation>
    <dataValidation sqref="B36" showDropDown="0" showInputMessage="0" showErrorMessage="0" allowBlank="0" type="list">
      <formula1>"Tool_Integration,IOC_Quality,Dissemination,Stakeholder_Engagement,Process,Automation,Other"</formula1>
    </dataValidation>
    <dataValidation sqref="B37" showDropDown="0" showInputMessage="0" showErrorMessage="0" allowBlank="0" type="list">
      <formula1>"Tool_Integration,IOC_Quality,Dissemination,Stakeholder_Engagement,Process,Automation,Other"</formula1>
    </dataValidation>
    <dataValidation sqref="B38" showDropDown="0" showInputMessage="0" showErrorMessage="0" allowBlank="0" type="list">
      <formula1>"Tool_Integration,IOC_Quality,Dissemination,Stakeholder_Engagement,Process,Automation,Other"</formula1>
    </dataValidation>
    <dataValidation sqref="B39" showDropDown="0" showInputMessage="0" showErrorMessage="0" allowBlank="0" type="list">
      <formula1>"Tool_Integration,IOC_Quality,Dissemination,Stakeholder_Engagement,Process,Automation,Other"</formula1>
    </dataValidation>
    <dataValidation sqref="B40" showDropDown="0" showInputMessage="0" showErrorMessage="0" allowBlank="0" type="list">
      <formula1>"Tool_Integration,IOC_Quality,Dissemination,Stakeholder_Engagement,Process,Automation,Other"</formula1>
    </dataValidation>
    <dataValidation sqref="B41" showDropDown="0" showInputMessage="0" showErrorMessage="0" allowBlank="0" type="list">
      <formula1>"Tool_Integration,IOC_Quality,Dissemination,Stakeholder_Engagement,Process,Automation,Other"</formula1>
    </dataValidation>
    <dataValidation sqref="B42" showDropDown="0" showInputMessage="0" showErrorMessage="0" allowBlank="0" type="list">
      <formula1>"Tool_Integration,IOC_Quality,Dissemination,Stakeholder_Engagement,Process,Automation,Other"</formula1>
    </dataValidation>
    <dataValidation sqref="B43" showDropDown="0" showInputMessage="0" showErrorMessage="0" allowBlank="0" type="list">
      <formula1>"Tool_Integration,IOC_Quality,Dissemination,Stakeholder_Engagement,Process,Automation,Other"</formula1>
    </dataValidation>
    <dataValidation sqref="B44" showDropDown="0" showInputMessage="0" showErrorMessage="0" allowBlank="0" type="list">
      <formula1>"Tool_Integration,IOC_Quality,Dissemination,Stakeholder_Engagement,Process,Automation,Other"</formula1>
    </dataValidation>
    <dataValidation sqref="B45" showDropDown="0" showInputMessage="0" showErrorMessage="0" allowBlank="0" type="list">
      <formula1>"Tool_Integration,IOC_Quality,Dissemination,Stakeholder_Engagement,Process,Automation,Other"</formula1>
    </dataValidation>
    <dataValidation sqref="B46" showDropDown="0" showInputMessage="0" showErrorMessage="0" allowBlank="0" type="list">
      <formula1>"Tool_Integration,IOC_Quality,Dissemination,Stakeholder_Engagement,Process,Automation,Other"</formula1>
    </dataValidation>
    <dataValidation sqref="B47" showDropDown="0" showInputMessage="0" showErrorMessage="0" allowBlank="0" type="list">
      <formula1>"Tool_Integration,IOC_Quality,Dissemination,Stakeholder_Engagement,Process,Automation,Other"</formula1>
    </dataValidation>
    <dataValidation sqref="B48" showDropDown="0" showInputMessage="0" showErrorMessage="0" allowBlank="0" type="list">
      <formula1>"Tool_Integration,IOC_Quality,Dissemination,Stakeholder_Engagement,Process,Automation,Other"</formula1>
    </dataValidation>
    <dataValidation sqref="B49" showDropDown="0" showInputMessage="0" showErrorMessage="0" allowBlank="0" type="list">
      <formula1>"Tool_Integration,IOC_Quality,Dissemination,Stakeholder_Engagement,Process,Automation,Other"</formula1>
    </dataValidation>
    <dataValidation sqref="B50" showDropDown="0" showInputMessage="0" showErrorMessage="0" allowBlank="0" type="list">
      <formula1>"Tool_Integration,IOC_Quality,Dissemination,Stakeholder_Engagement,Process,Automation,Other"</formula1>
    </dataValidation>
    <dataValidation sqref="B51" showDropDown="0" showInputMessage="0" showErrorMessage="0" allowBlank="0" type="list">
      <formula1>"Tool_Integration,IOC_Quality,Dissemination,Stakeholder_Engagement,Process,Automation,Other"</formula1>
    </dataValidation>
    <dataValidation sqref="B52" showDropDown="0" showInputMessage="0" showErrorMessage="0" allowBlank="0" type="list">
      <formula1>"Tool_Integration,IOC_Quality,Dissemination,Stakeholder_Engagement,Process,Automation,Other"</formula1>
    </dataValidation>
    <dataValidation sqref="B53" showDropDown="0" showInputMessage="0" showErrorMessage="0" allowBlank="0" type="list">
      <formula1>"Tool_Integration,IOC_Quality,Dissemination,Stakeholder_Engagement,Process,Automation,Other"</formula1>
    </dataValidation>
    <dataValidation sqref="B54" showDropDown="0" showInputMessage="0" showErrorMessage="0" allowBlank="0" type="list">
      <formula1>"Tool_Integration,IOC_Quality,Dissemination,Stakeholder_Engagement,Process,Automation,Other"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5" customWidth="1" min="1" max="1"/>
    <col width="28"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33" t="inlineStr">
        <is>
          <t>EVIDENCE REGISTER</t>
        </is>
      </c>
      <c r="B1" s="6" t="n"/>
      <c r="C1" s="6" t="n"/>
      <c r="D1" s="6" t="n"/>
      <c r="E1" s="6" t="n"/>
      <c r="F1" s="6" t="n"/>
      <c r="G1" s="6" t="n"/>
      <c r="H1" s="6" t="n"/>
    </row>
    <row r="2">
      <c r="A2" s="34" t="inlineStr">
        <is>
          <t>ISMS-IMP-A.5.7.3 | ISO/IEC 27001:2022 - Control A.5.7: Threat Intelligence</t>
        </is>
      </c>
      <c r="B2" s="6" t="n"/>
      <c r="C2" s="6" t="n"/>
      <c r="D2" s="6" t="n"/>
      <c r="E2" s="6" t="n"/>
      <c r="F2" s="6" t="n"/>
      <c r="G2" s="6" t="n"/>
      <c r="H2" s="6" t="n"/>
    </row>
    <row r="4">
      <c r="A4" s="35" t="inlineStr">
        <is>
          <t>Evidence ID</t>
        </is>
      </c>
      <c r="B4" s="35" t="inlineStr">
        <is>
          <t>Assessment Area</t>
        </is>
      </c>
      <c r="C4" s="35" t="inlineStr">
        <is>
          <t>Evidence Type</t>
        </is>
      </c>
      <c r="D4" s="35" t="inlineStr">
        <is>
          <t>Description</t>
        </is>
      </c>
      <c r="E4" s="35" t="inlineStr">
        <is>
          <t>Location / Path</t>
        </is>
      </c>
      <c r="F4" s="35" t="inlineStr">
        <is>
          <t>Date Collected</t>
        </is>
      </c>
      <c r="G4" s="35" t="inlineStr">
        <is>
          <t>Collected By</t>
        </is>
      </c>
      <c r="H4" s="35" t="inlineStr">
        <is>
          <t>Verification Status</t>
        </is>
      </c>
    </row>
    <row r="5">
      <c r="A5" s="36" t="inlineStr">
        <is>
          <t>EV-001</t>
        </is>
      </c>
      <c r="B5" s="37" t="inlineStr">
        <is>
          <t>Tool Integration Matrix</t>
        </is>
      </c>
      <c r="C5" s="37" t="inlineStr">
        <is>
          <t>Screenshot</t>
        </is>
      </c>
      <c r="D5" s="37" t="inlineStr">
        <is>
          <t>SIEM integration configuration showing STIX/TAXII feed subscription and IOC ingestion</t>
        </is>
      </c>
      <c r="E5" s="37" t="inlineStr">
        <is>
          <t>/evidence/a57/siem-integration-config-2026-01-15.png</t>
        </is>
      </c>
      <c r="F5" s="37" t="inlineStr">
        <is>
          <t>10.03.2026</t>
        </is>
      </c>
      <c r="G5" s="37" t="inlineStr">
        <is>
          <t>Security Manager</t>
        </is>
      </c>
      <c r="H5" s="37" t="inlineStr">
        <is>
          <t>✅ Verified</t>
        </is>
      </c>
    </row>
    <row r="6">
      <c r="A6" s="38" t="n"/>
      <c r="B6" s="39" t="n"/>
      <c r="C6" s="39" t="n"/>
      <c r="D6" s="39" t="n"/>
      <c r="E6" s="39" t="n"/>
      <c r="F6" s="39" t="n"/>
      <c r="G6" s="39" t="n"/>
      <c r="H6" s="39" t="n"/>
    </row>
    <row r="7">
      <c r="A7" s="38" t="n"/>
      <c r="B7" s="39" t="n"/>
      <c r="C7" s="39" t="n"/>
      <c r="D7" s="39" t="n"/>
      <c r="E7" s="39" t="n"/>
      <c r="F7" s="39" t="n"/>
      <c r="G7" s="39" t="n"/>
      <c r="H7" s="39" t="n"/>
    </row>
    <row r="8">
      <c r="A8" s="38" t="n"/>
      <c r="B8" s="39" t="n"/>
      <c r="C8" s="39" t="n"/>
      <c r="D8" s="39" t="n"/>
      <c r="E8" s="39" t="n"/>
      <c r="F8" s="39" t="n"/>
      <c r="G8" s="39" t="n"/>
      <c r="H8" s="39" t="n"/>
    </row>
    <row r="9">
      <c r="A9" s="38" t="n"/>
      <c r="B9" s="39" t="n"/>
      <c r="C9" s="39" t="n"/>
      <c r="D9" s="39" t="n"/>
      <c r="E9" s="39" t="n"/>
      <c r="F9" s="39" t="n"/>
      <c r="G9" s="39" t="n"/>
      <c r="H9" s="39" t="n"/>
    </row>
    <row r="10">
      <c r="A10" s="38" t="n"/>
      <c r="B10" s="39" t="n"/>
      <c r="C10" s="39" t="n"/>
      <c r="D10" s="39" t="n"/>
      <c r="E10" s="39" t="n"/>
      <c r="F10" s="39" t="n"/>
      <c r="G10" s="39" t="n"/>
      <c r="H10" s="39" t="n"/>
    </row>
    <row r="11">
      <c r="A11" s="38" t="n"/>
      <c r="B11" s="39" t="n"/>
      <c r="C11" s="39" t="n"/>
      <c r="D11" s="39" t="n"/>
      <c r="E11" s="39" t="n"/>
      <c r="F11" s="39" t="n"/>
      <c r="G11" s="39" t="n"/>
      <c r="H11" s="39" t="n"/>
    </row>
    <row r="12">
      <c r="A12" s="38" t="n"/>
      <c r="B12" s="39" t="n"/>
      <c r="C12" s="39" t="n"/>
      <c r="D12" s="39" t="n"/>
      <c r="E12" s="39" t="n"/>
      <c r="F12" s="39" t="n"/>
      <c r="G12" s="39" t="n"/>
      <c r="H12" s="39" t="n"/>
    </row>
    <row r="13">
      <c r="A13" s="38" t="n"/>
      <c r="B13" s="39" t="n"/>
      <c r="C13" s="39" t="n"/>
      <c r="D13" s="39" t="n"/>
      <c r="E13" s="39" t="n"/>
      <c r="F13" s="39" t="n"/>
      <c r="G13" s="39" t="n"/>
      <c r="H13" s="39" t="n"/>
    </row>
    <row r="14">
      <c r="A14" s="38" t="n"/>
      <c r="B14" s="39" t="n"/>
      <c r="C14" s="39" t="n"/>
      <c r="D14" s="39" t="n"/>
      <c r="E14" s="39" t="n"/>
      <c r="F14" s="39" t="n"/>
      <c r="G14" s="39" t="n"/>
      <c r="H14" s="39" t="n"/>
    </row>
    <row r="15">
      <c r="A15" s="38" t="n"/>
      <c r="B15" s="39" t="n"/>
      <c r="C15" s="39" t="n"/>
      <c r="D15" s="39" t="n"/>
      <c r="E15" s="39" t="n"/>
      <c r="F15" s="39" t="n"/>
      <c r="G15" s="39" t="n"/>
      <c r="H15" s="39" t="n"/>
    </row>
    <row r="16">
      <c r="A16" s="38" t="n"/>
      <c r="B16" s="39" t="n"/>
      <c r="C16" s="39" t="n"/>
      <c r="D16" s="39" t="n"/>
      <c r="E16" s="39" t="n"/>
      <c r="F16" s="39" t="n"/>
      <c r="G16" s="39" t="n"/>
      <c r="H16" s="39" t="n"/>
    </row>
    <row r="17">
      <c r="A17" s="38" t="n"/>
      <c r="B17" s="39" t="n"/>
      <c r="C17" s="39" t="n"/>
      <c r="D17" s="39" t="n"/>
      <c r="E17" s="39" t="n"/>
      <c r="F17" s="39" t="n"/>
      <c r="G17" s="39" t="n"/>
      <c r="H17" s="39" t="n"/>
    </row>
    <row r="18">
      <c r="A18" s="38" t="n"/>
      <c r="B18" s="39" t="n"/>
      <c r="C18" s="39" t="n"/>
      <c r="D18" s="39" t="n"/>
      <c r="E18" s="39" t="n"/>
      <c r="F18" s="39" t="n"/>
      <c r="G18" s="39" t="n"/>
      <c r="H18" s="39" t="n"/>
    </row>
    <row r="19">
      <c r="A19" s="38" t="n"/>
      <c r="B19" s="39" t="n"/>
      <c r="C19" s="39" t="n"/>
      <c r="D19" s="39" t="n"/>
      <c r="E19" s="39" t="n"/>
      <c r="F19" s="39" t="n"/>
      <c r="G19" s="39" t="n"/>
      <c r="H19" s="39" t="n"/>
    </row>
    <row r="20">
      <c r="A20" s="38" t="n"/>
      <c r="B20" s="39" t="n"/>
      <c r="C20" s="39" t="n"/>
      <c r="D20" s="39" t="n"/>
      <c r="E20" s="39" t="n"/>
      <c r="F20" s="39" t="n"/>
      <c r="G20" s="39" t="n"/>
      <c r="H20" s="39" t="n"/>
    </row>
    <row r="21">
      <c r="A21" s="38" t="n"/>
      <c r="B21" s="39" t="n"/>
      <c r="C21" s="39" t="n"/>
      <c r="D21" s="39" t="n"/>
      <c r="E21" s="39" t="n"/>
      <c r="F21" s="39" t="n"/>
      <c r="G21" s="39" t="n"/>
      <c r="H21" s="39" t="n"/>
    </row>
    <row r="22">
      <c r="A22" s="38" t="n"/>
      <c r="B22" s="39" t="n"/>
      <c r="C22" s="39" t="n"/>
      <c r="D22" s="39" t="n"/>
      <c r="E22" s="39" t="n"/>
      <c r="F22" s="39" t="n"/>
      <c r="G22" s="39" t="n"/>
      <c r="H22" s="39" t="n"/>
    </row>
    <row r="23">
      <c r="A23" s="38" t="n"/>
      <c r="B23" s="39" t="n"/>
      <c r="C23" s="39" t="n"/>
      <c r="D23" s="39" t="n"/>
      <c r="E23" s="39" t="n"/>
      <c r="F23" s="39" t="n"/>
      <c r="G23" s="39" t="n"/>
      <c r="H23" s="39" t="n"/>
    </row>
    <row r="24">
      <c r="A24" s="38" t="n"/>
      <c r="B24" s="39" t="n"/>
      <c r="C24" s="39" t="n"/>
      <c r="D24" s="39" t="n"/>
      <c r="E24" s="39" t="n"/>
      <c r="F24" s="39" t="n"/>
      <c r="G24" s="39" t="n"/>
      <c r="H24" s="39" t="n"/>
    </row>
    <row r="25">
      <c r="A25" s="38" t="n"/>
      <c r="B25" s="39" t="n"/>
      <c r="C25" s="39" t="n"/>
      <c r="D25" s="39" t="n"/>
      <c r="E25" s="39" t="n"/>
      <c r="F25" s="39" t="n"/>
      <c r="G25" s="39" t="n"/>
      <c r="H25" s="39" t="n"/>
    </row>
    <row r="26">
      <c r="A26" s="38" t="n"/>
      <c r="B26" s="39" t="n"/>
      <c r="C26" s="39" t="n"/>
      <c r="D26" s="39" t="n"/>
      <c r="E26" s="39" t="n"/>
      <c r="F26" s="39" t="n"/>
      <c r="G26" s="39" t="n"/>
      <c r="H26" s="39" t="n"/>
    </row>
    <row r="27">
      <c r="A27" s="38" t="n"/>
      <c r="B27" s="39" t="n"/>
      <c r="C27" s="39" t="n"/>
      <c r="D27" s="39" t="n"/>
      <c r="E27" s="39" t="n"/>
      <c r="F27" s="39" t="n"/>
      <c r="G27" s="39" t="n"/>
      <c r="H27" s="39" t="n"/>
    </row>
    <row r="28">
      <c r="A28" s="38" t="n"/>
      <c r="B28" s="39" t="n"/>
      <c r="C28" s="39" t="n"/>
      <c r="D28" s="39" t="n"/>
      <c r="E28" s="39" t="n"/>
      <c r="F28" s="39" t="n"/>
      <c r="G28" s="39" t="n"/>
      <c r="H28" s="39" t="n"/>
    </row>
    <row r="29">
      <c r="A29" s="38" t="n"/>
      <c r="B29" s="39" t="n"/>
      <c r="C29" s="39" t="n"/>
      <c r="D29" s="39" t="n"/>
      <c r="E29" s="39" t="n"/>
      <c r="F29" s="39" t="n"/>
      <c r="G29" s="39" t="n"/>
      <c r="H29" s="39" t="n"/>
    </row>
    <row r="30">
      <c r="A30" s="38" t="n"/>
      <c r="B30" s="39" t="n"/>
      <c r="C30" s="39" t="n"/>
      <c r="D30" s="39" t="n"/>
      <c r="E30" s="39" t="n"/>
      <c r="F30" s="39" t="n"/>
      <c r="G30" s="39" t="n"/>
      <c r="H30" s="39" t="n"/>
    </row>
    <row r="31">
      <c r="A31" s="38" t="n"/>
      <c r="B31" s="39" t="n"/>
      <c r="C31" s="39" t="n"/>
      <c r="D31" s="39" t="n"/>
      <c r="E31" s="39" t="n"/>
      <c r="F31" s="39" t="n"/>
      <c r="G31" s="39" t="n"/>
      <c r="H31" s="39" t="n"/>
    </row>
    <row r="32">
      <c r="A32" s="38" t="n"/>
      <c r="B32" s="39" t="n"/>
      <c r="C32" s="39" t="n"/>
      <c r="D32" s="39" t="n"/>
      <c r="E32" s="39" t="n"/>
      <c r="F32" s="39" t="n"/>
      <c r="G32" s="39" t="n"/>
      <c r="H32" s="39" t="n"/>
    </row>
    <row r="33">
      <c r="A33" s="38" t="n"/>
      <c r="B33" s="39" t="n"/>
      <c r="C33" s="39" t="n"/>
      <c r="D33" s="39" t="n"/>
      <c r="E33" s="39" t="n"/>
      <c r="F33" s="39" t="n"/>
      <c r="G33" s="39" t="n"/>
      <c r="H33" s="39" t="n"/>
    </row>
    <row r="34">
      <c r="A34" s="38" t="n"/>
      <c r="B34" s="39" t="n"/>
      <c r="C34" s="39" t="n"/>
      <c r="D34" s="39" t="n"/>
      <c r="E34" s="39" t="n"/>
      <c r="F34" s="39" t="n"/>
      <c r="G34" s="39" t="n"/>
      <c r="H34" s="39" t="n"/>
    </row>
    <row r="35">
      <c r="A35" s="38" t="n"/>
      <c r="B35" s="39" t="n"/>
      <c r="C35" s="39" t="n"/>
      <c r="D35" s="39" t="n"/>
      <c r="E35" s="39" t="n"/>
      <c r="F35" s="39" t="n"/>
      <c r="G35" s="39" t="n"/>
      <c r="H35" s="39" t="n"/>
    </row>
    <row r="36">
      <c r="A36" s="38" t="n"/>
      <c r="B36" s="39" t="n"/>
      <c r="C36" s="39" t="n"/>
      <c r="D36" s="39" t="n"/>
      <c r="E36" s="39" t="n"/>
      <c r="F36" s="39" t="n"/>
      <c r="G36" s="39" t="n"/>
      <c r="H36" s="39" t="n"/>
    </row>
    <row r="37">
      <c r="A37" s="38" t="n"/>
      <c r="B37" s="39" t="n"/>
      <c r="C37" s="39" t="n"/>
      <c r="D37" s="39" t="n"/>
      <c r="E37" s="39" t="n"/>
      <c r="F37" s="39" t="n"/>
      <c r="G37" s="39" t="n"/>
      <c r="H37" s="39" t="n"/>
    </row>
    <row r="38">
      <c r="A38" s="38" t="n"/>
      <c r="B38" s="39" t="n"/>
      <c r="C38" s="39" t="n"/>
      <c r="D38" s="39" t="n"/>
      <c r="E38" s="39" t="n"/>
      <c r="F38" s="39" t="n"/>
      <c r="G38" s="39" t="n"/>
      <c r="H38" s="39" t="n"/>
    </row>
    <row r="39">
      <c r="A39" s="38" t="n"/>
      <c r="B39" s="39" t="n"/>
      <c r="C39" s="39" t="n"/>
      <c r="D39" s="39" t="n"/>
      <c r="E39" s="39" t="n"/>
      <c r="F39" s="39" t="n"/>
      <c r="G39" s="39" t="n"/>
      <c r="H39" s="39" t="n"/>
    </row>
    <row r="40">
      <c r="A40" s="38" t="n"/>
      <c r="B40" s="39" t="n"/>
      <c r="C40" s="39" t="n"/>
      <c r="D40" s="39" t="n"/>
      <c r="E40" s="39" t="n"/>
      <c r="F40" s="39" t="n"/>
      <c r="G40" s="39" t="n"/>
      <c r="H40" s="39" t="n"/>
    </row>
    <row r="41">
      <c r="A41" s="38" t="n"/>
      <c r="B41" s="39" t="n"/>
      <c r="C41" s="39" t="n"/>
      <c r="D41" s="39" t="n"/>
      <c r="E41" s="39" t="n"/>
      <c r="F41" s="39" t="n"/>
      <c r="G41" s="39" t="n"/>
      <c r="H41" s="39" t="n"/>
    </row>
    <row r="42">
      <c r="A42" s="38" t="n"/>
      <c r="B42" s="39" t="n"/>
      <c r="C42" s="39" t="n"/>
      <c r="D42" s="39" t="n"/>
      <c r="E42" s="39" t="n"/>
      <c r="F42" s="39" t="n"/>
      <c r="G42" s="39" t="n"/>
      <c r="H42" s="39" t="n"/>
    </row>
    <row r="43">
      <c r="A43" s="38" t="n"/>
      <c r="B43" s="39" t="n"/>
      <c r="C43" s="39" t="n"/>
      <c r="D43" s="39" t="n"/>
      <c r="E43" s="39" t="n"/>
      <c r="F43" s="39" t="n"/>
      <c r="G43" s="39" t="n"/>
      <c r="H43" s="39" t="n"/>
    </row>
    <row r="44">
      <c r="A44" s="38" t="n"/>
      <c r="B44" s="39" t="n"/>
      <c r="C44" s="39" t="n"/>
      <c r="D44" s="39" t="n"/>
      <c r="E44" s="39" t="n"/>
      <c r="F44" s="39" t="n"/>
      <c r="G44" s="39" t="n"/>
      <c r="H44" s="39" t="n"/>
    </row>
    <row r="45">
      <c r="A45" s="38" t="n"/>
      <c r="B45" s="39" t="n"/>
      <c r="C45" s="39" t="n"/>
      <c r="D45" s="39" t="n"/>
      <c r="E45" s="39" t="n"/>
      <c r="F45" s="39" t="n"/>
      <c r="G45" s="39" t="n"/>
      <c r="H45" s="39" t="n"/>
    </row>
    <row r="46">
      <c r="A46" s="38" t="n"/>
      <c r="B46" s="39" t="n"/>
      <c r="C46" s="39" t="n"/>
      <c r="D46" s="39" t="n"/>
      <c r="E46" s="39" t="n"/>
      <c r="F46" s="39" t="n"/>
      <c r="G46" s="39" t="n"/>
      <c r="H46" s="39" t="n"/>
    </row>
    <row r="47">
      <c r="A47" s="38" t="n"/>
      <c r="B47" s="39" t="n"/>
      <c r="C47" s="39" t="n"/>
      <c r="D47" s="39" t="n"/>
      <c r="E47" s="39" t="n"/>
      <c r="F47" s="39" t="n"/>
      <c r="G47" s="39" t="n"/>
      <c r="H47" s="39" t="n"/>
    </row>
    <row r="48">
      <c r="A48" s="38" t="n"/>
      <c r="B48" s="39" t="n"/>
      <c r="C48" s="39" t="n"/>
      <c r="D48" s="39" t="n"/>
      <c r="E48" s="39" t="n"/>
      <c r="F48" s="39" t="n"/>
      <c r="G48" s="39" t="n"/>
      <c r="H48" s="39" t="n"/>
    </row>
    <row r="49">
      <c r="A49" s="38" t="n"/>
      <c r="B49" s="39" t="n"/>
      <c r="C49" s="39" t="n"/>
      <c r="D49" s="39" t="n"/>
      <c r="E49" s="39" t="n"/>
      <c r="F49" s="39" t="n"/>
      <c r="G49" s="39" t="n"/>
      <c r="H49" s="39" t="n"/>
    </row>
    <row r="50">
      <c r="A50" s="38" t="n"/>
      <c r="B50" s="39" t="n"/>
      <c r="C50" s="39" t="n"/>
      <c r="D50" s="39" t="n"/>
      <c r="E50" s="39" t="n"/>
      <c r="F50" s="39" t="n"/>
      <c r="G50" s="39" t="n"/>
      <c r="H50" s="39" t="n"/>
    </row>
    <row r="51">
      <c r="A51" s="38" t="n"/>
      <c r="B51" s="39" t="n"/>
      <c r="C51" s="39" t="n"/>
      <c r="D51" s="39" t="n"/>
      <c r="E51" s="39" t="n"/>
      <c r="F51" s="39" t="n"/>
      <c r="G51" s="39" t="n"/>
      <c r="H51" s="39" t="n"/>
    </row>
    <row r="52">
      <c r="A52" s="38" t="n"/>
      <c r="B52" s="39" t="n"/>
      <c r="C52" s="39" t="n"/>
      <c r="D52" s="39" t="n"/>
      <c r="E52" s="39" t="n"/>
      <c r="F52" s="39" t="n"/>
      <c r="G52" s="39" t="n"/>
      <c r="H52" s="39" t="n"/>
    </row>
    <row r="53">
      <c r="A53" s="38" t="n"/>
      <c r="B53" s="39" t="n"/>
      <c r="C53" s="39" t="n"/>
      <c r="D53" s="39" t="n"/>
      <c r="E53" s="39" t="n"/>
      <c r="F53" s="39" t="n"/>
      <c r="G53" s="39" t="n"/>
      <c r="H53" s="39" t="n"/>
    </row>
    <row r="54">
      <c r="A54" s="38" t="n"/>
      <c r="B54" s="39" t="n"/>
      <c r="C54" s="39" t="n"/>
      <c r="D54" s="39" t="n"/>
      <c r="E54" s="39" t="n"/>
      <c r="F54" s="39" t="n"/>
      <c r="G54" s="39" t="n"/>
      <c r="H54" s="39" t="n"/>
    </row>
    <row r="55">
      <c r="A55" s="38" t="n"/>
      <c r="B55" s="39" t="n"/>
      <c r="C55" s="39" t="n"/>
      <c r="D55" s="39" t="n"/>
      <c r="E55" s="39" t="n"/>
      <c r="F55" s="39" t="n"/>
      <c r="G55" s="39" t="n"/>
      <c r="H55" s="39" t="n"/>
    </row>
    <row r="56">
      <c r="A56" s="38" t="n"/>
      <c r="B56" s="39" t="n"/>
      <c r="C56" s="39" t="n"/>
      <c r="D56" s="39" t="n"/>
      <c r="E56" s="39" t="n"/>
      <c r="F56" s="39" t="n"/>
      <c r="G56" s="39" t="n"/>
      <c r="H56" s="39" t="n"/>
    </row>
    <row r="57">
      <c r="A57" s="38" t="n"/>
      <c r="B57" s="39" t="n"/>
      <c r="C57" s="39" t="n"/>
      <c r="D57" s="39" t="n"/>
      <c r="E57" s="39" t="n"/>
      <c r="F57" s="39" t="n"/>
      <c r="G57" s="39" t="n"/>
      <c r="H57" s="39" t="n"/>
    </row>
    <row r="58">
      <c r="A58" s="38" t="n"/>
      <c r="B58" s="39" t="n"/>
      <c r="C58" s="39" t="n"/>
      <c r="D58" s="39" t="n"/>
      <c r="E58" s="39" t="n"/>
      <c r="F58" s="39" t="n"/>
      <c r="G58" s="39" t="n"/>
      <c r="H58" s="39" t="n"/>
    </row>
    <row r="59">
      <c r="A59" s="38" t="n"/>
      <c r="B59" s="39" t="n"/>
      <c r="C59" s="39" t="n"/>
      <c r="D59" s="39" t="n"/>
      <c r="E59" s="39" t="n"/>
      <c r="F59" s="39" t="n"/>
      <c r="G59" s="39" t="n"/>
      <c r="H59" s="39" t="n"/>
    </row>
    <row r="60">
      <c r="A60" s="38" t="n"/>
      <c r="B60" s="39" t="n"/>
      <c r="C60" s="39" t="n"/>
      <c r="D60" s="39" t="n"/>
      <c r="E60" s="39" t="n"/>
      <c r="F60" s="39" t="n"/>
      <c r="G60" s="39" t="n"/>
      <c r="H60" s="39" t="n"/>
    </row>
    <row r="61">
      <c r="A61" s="38" t="n"/>
      <c r="B61" s="39" t="n"/>
      <c r="C61" s="39" t="n"/>
      <c r="D61" s="39" t="n"/>
      <c r="E61" s="39" t="n"/>
      <c r="F61" s="39" t="n"/>
      <c r="G61" s="39" t="n"/>
      <c r="H61" s="39" t="n"/>
    </row>
    <row r="62">
      <c r="A62" s="38" t="n"/>
      <c r="B62" s="39" t="n"/>
      <c r="C62" s="39" t="n"/>
      <c r="D62" s="39" t="n"/>
      <c r="E62" s="39" t="n"/>
      <c r="F62" s="39" t="n"/>
      <c r="G62" s="39" t="n"/>
      <c r="H62" s="39" t="n"/>
    </row>
    <row r="63">
      <c r="A63" s="38" t="n"/>
      <c r="B63" s="39" t="n"/>
      <c r="C63" s="39" t="n"/>
      <c r="D63" s="39" t="n"/>
      <c r="E63" s="39" t="n"/>
      <c r="F63" s="39" t="n"/>
      <c r="G63" s="39" t="n"/>
      <c r="H63" s="39" t="n"/>
    </row>
    <row r="64">
      <c r="A64" s="38" t="n"/>
      <c r="B64" s="39" t="n"/>
      <c r="C64" s="39" t="n"/>
      <c r="D64" s="39" t="n"/>
      <c r="E64" s="39" t="n"/>
      <c r="F64" s="39" t="n"/>
      <c r="G64" s="39" t="n"/>
      <c r="H64" s="39" t="n"/>
    </row>
    <row r="65">
      <c r="A65" s="38" t="n"/>
      <c r="B65" s="39" t="n"/>
      <c r="C65" s="39" t="n"/>
      <c r="D65" s="39" t="n"/>
      <c r="E65" s="39" t="n"/>
      <c r="F65" s="39" t="n"/>
      <c r="G65" s="39" t="n"/>
      <c r="H65" s="39" t="n"/>
    </row>
    <row r="66">
      <c r="A66" s="38" t="n"/>
      <c r="B66" s="39" t="n"/>
      <c r="C66" s="39" t="n"/>
      <c r="D66" s="39" t="n"/>
      <c r="E66" s="39" t="n"/>
      <c r="F66" s="39" t="n"/>
      <c r="G66" s="39" t="n"/>
      <c r="H66" s="39" t="n"/>
    </row>
    <row r="67">
      <c r="A67" s="38" t="n"/>
      <c r="B67" s="39" t="n"/>
      <c r="C67" s="39" t="n"/>
      <c r="D67" s="39" t="n"/>
      <c r="E67" s="39" t="n"/>
      <c r="F67" s="39" t="n"/>
      <c r="G67" s="39" t="n"/>
      <c r="H67" s="39" t="n"/>
    </row>
    <row r="68">
      <c r="A68" s="38" t="n"/>
      <c r="B68" s="39" t="n"/>
      <c r="C68" s="39" t="n"/>
      <c r="D68" s="39" t="n"/>
      <c r="E68" s="39" t="n"/>
      <c r="F68" s="39" t="n"/>
      <c r="G68" s="39" t="n"/>
      <c r="H68" s="39" t="n"/>
    </row>
    <row r="69">
      <c r="A69" s="38" t="n"/>
      <c r="B69" s="39" t="n"/>
      <c r="C69" s="39" t="n"/>
      <c r="D69" s="39" t="n"/>
      <c r="E69" s="39" t="n"/>
      <c r="F69" s="39" t="n"/>
      <c r="G69" s="39" t="n"/>
      <c r="H69" s="39" t="n"/>
    </row>
    <row r="70">
      <c r="A70" s="38" t="n"/>
      <c r="B70" s="39" t="n"/>
      <c r="C70" s="39" t="n"/>
      <c r="D70" s="39" t="n"/>
      <c r="E70" s="39" t="n"/>
      <c r="F70" s="39" t="n"/>
      <c r="G70" s="39" t="n"/>
      <c r="H70" s="39" t="n"/>
    </row>
    <row r="71">
      <c r="A71" s="38" t="n"/>
      <c r="B71" s="39" t="n"/>
      <c r="C71" s="39" t="n"/>
      <c r="D71" s="39" t="n"/>
      <c r="E71" s="39" t="n"/>
      <c r="F71" s="39" t="n"/>
      <c r="G71" s="39" t="n"/>
      <c r="H71" s="39" t="n"/>
    </row>
    <row r="72">
      <c r="A72" s="38" t="n"/>
      <c r="B72" s="39" t="n"/>
      <c r="C72" s="39" t="n"/>
      <c r="D72" s="39" t="n"/>
      <c r="E72" s="39" t="n"/>
      <c r="F72" s="39" t="n"/>
      <c r="G72" s="39" t="n"/>
      <c r="H72" s="39" t="n"/>
    </row>
    <row r="73">
      <c r="A73" s="38" t="n"/>
      <c r="B73" s="39" t="n"/>
      <c r="C73" s="39" t="n"/>
      <c r="D73" s="39" t="n"/>
      <c r="E73" s="39" t="n"/>
      <c r="F73" s="39" t="n"/>
      <c r="G73" s="39" t="n"/>
      <c r="H73" s="39" t="n"/>
    </row>
    <row r="74">
      <c r="A74" s="38" t="n"/>
      <c r="B74" s="39" t="n"/>
      <c r="C74" s="39" t="n"/>
      <c r="D74" s="39" t="n"/>
      <c r="E74" s="39" t="n"/>
      <c r="F74" s="39" t="n"/>
      <c r="G74" s="39" t="n"/>
      <c r="H74" s="39" t="n"/>
    </row>
    <row r="75">
      <c r="A75" s="38" t="n"/>
      <c r="B75" s="39" t="n"/>
      <c r="C75" s="39" t="n"/>
      <c r="D75" s="39" t="n"/>
      <c r="E75" s="39" t="n"/>
      <c r="F75" s="39" t="n"/>
      <c r="G75" s="39" t="n"/>
      <c r="H75" s="39" t="n"/>
    </row>
    <row r="76">
      <c r="A76" s="38" t="n"/>
      <c r="B76" s="39" t="n"/>
      <c r="C76" s="39" t="n"/>
      <c r="D76" s="39" t="n"/>
      <c r="E76" s="39" t="n"/>
      <c r="F76" s="39" t="n"/>
      <c r="G76" s="39" t="n"/>
      <c r="H76" s="39" t="n"/>
    </row>
    <row r="77">
      <c r="A77" s="38" t="n"/>
      <c r="B77" s="39" t="n"/>
      <c r="C77" s="39" t="n"/>
      <c r="D77" s="39" t="n"/>
      <c r="E77" s="39" t="n"/>
      <c r="F77" s="39" t="n"/>
      <c r="G77" s="39" t="n"/>
      <c r="H77" s="39" t="n"/>
    </row>
    <row r="78">
      <c r="A78" s="38" t="n"/>
      <c r="B78" s="39" t="n"/>
      <c r="C78" s="39" t="n"/>
      <c r="D78" s="39" t="n"/>
      <c r="E78" s="39" t="n"/>
      <c r="F78" s="39" t="n"/>
      <c r="G78" s="39" t="n"/>
      <c r="H78" s="39" t="n"/>
    </row>
    <row r="79">
      <c r="A79" s="38" t="n"/>
      <c r="B79" s="39" t="n"/>
      <c r="C79" s="39" t="n"/>
      <c r="D79" s="39" t="n"/>
      <c r="E79" s="39" t="n"/>
      <c r="F79" s="39" t="n"/>
      <c r="G79" s="39" t="n"/>
      <c r="H79" s="39" t="n"/>
    </row>
    <row r="80">
      <c r="A80" s="38" t="n"/>
      <c r="B80" s="39" t="n"/>
      <c r="C80" s="39" t="n"/>
      <c r="D80" s="39" t="n"/>
      <c r="E80" s="39" t="n"/>
      <c r="F80" s="39" t="n"/>
      <c r="G80" s="39" t="n"/>
      <c r="H80" s="39" t="n"/>
    </row>
    <row r="81">
      <c r="A81" s="38" t="n"/>
      <c r="B81" s="39" t="n"/>
      <c r="C81" s="39" t="n"/>
      <c r="D81" s="39" t="n"/>
      <c r="E81" s="39" t="n"/>
      <c r="F81" s="39" t="n"/>
      <c r="G81" s="39" t="n"/>
      <c r="H81" s="39" t="n"/>
    </row>
    <row r="82">
      <c r="A82" s="38" t="n"/>
      <c r="B82" s="39" t="n"/>
      <c r="C82" s="39" t="n"/>
      <c r="D82" s="39" t="n"/>
      <c r="E82" s="39" t="n"/>
      <c r="F82" s="39" t="n"/>
      <c r="G82" s="39" t="n"/>
      <c r="H82" s="39" t="n"/>
    </row>
    <row r="83">
      <c r="A83" s="38" t="n"/>
      <c r="B83" s="39" t="n"/>
      <c r="C83" s="39" t="n"/>
      <c r="D83" s="39" t="n"/>
      <c r="E83" s="39" t="n"/>
      <c r="F83" s="39" t="n"/>
      <c r="G83" s="39" t="n"/>
      <c r="H83" s="39" t="n"/>
    </row>
    <row r="84">
      <c r="A84" s="38" t="n"/>
      <c r="B84" s="39" t="n"/>
      <c r="C84" s="39" t="n"/>
      <c r="D84" s="39" t="n"/>
      <c r="E84" s="39" t="n"/>
      <c r="F84" s="39" t="n"/>
      <c r="G84" s="39" t="n"/>
      <c r="H84" s="39" t="n"/>
    </row>
    <row r="85">
      <c r="A85" s="38" t="n"/>
      <c r="B85" s="39" t="n"/>
      <c r="C85" s="39" t="n"/>
      <c r="D85" s="39" t="n"/>
      <c r="E85" s="39" t="n"/>
      <c r="F85" s="39" t="n"/>
      <c r="G85" s="39" t="n"/>
      <c r="H85" s="39" t="n"/>
    </row>
    <row r="86">
      <c r="A86" s="38" t="n"/>
      <c r="B86" s="39" t="n"/>
      <c r="C86" s="39" t="n"/>
      <c r="D86" s="39" t="n"/>
      <c r="E86" s="39" t="n"/>
      <c r="F86" s="39" t="n"/>
      <c r="G86" s="39" t="n"/>
      <c r="H86" s="39" t="n"/>
    </row>
    <row r="87">
      <c r="A87" s="38" t="n"/>
      <c r="B87" s="39" t="n"/>
      <c r="C87" s="39" t="n"/>
      <c r="D87" s="39" t="n"/>
      <c r="E87" s="39" t="n"/>
      <c r="F87" s="39" t="n"/>
      <c r="G87" s="39" t="n"/>
      <c r="H87" s="39" t="n"/>
    </row>
    <row r="88">
      <c r="A88" s="38" t="n"/>
      <c r="B88" s="39" t="n"/>
      <c r="C88" s="39" t="n"/>
      <c r="D88" s="39" t="n"/>
      <c r="E88" s="39" t="n"/>
      <c r="F88" s="39" t="n"/>
      <c r="G88" s="39" t="n"/>
      <c r="H88" s="39" t="n"/>
    </row>
    <row r="89">
      <c r="A89" s="38" t="n"/>
      <c r="B89" s="39" t="n"/>
      <c r="C89" s="39" t="n"/>
      <c r="D89" s="39" t="n"/>
      <c r="E89" s="39" t="n"/>
      <c r="F89" s="39" t="n"/>
      <c r="G89" s="39" t="n"/>
      <c r="H89" s="39" t="n"/>
    </row>
    <row r="90">
      <c r="A90" s="38" t="n"/>
      <c r="B90" s="39" t="n"/>
      <c r="C90" s="39" t="n"/>
      <c r="D90" s="39" t="n"/>
      <c r="E90" s="39" t="n"/>
      <c r="F90" s="39" t="n"/>
      <c r="G90" s="39" t="n"/>
      <c r="H90" s="39" t="n"/>
    </row>
    <row r="91">
      <c r="A91" s="38" t="n"/>
      <c r="B91" s="39" t="n"/>
      <c r="C91" s="39" t="n"/>
      <c r="D91" s="39" t="n"/>
      <c r="E91" s="39" t="n"/>
      <c r="F91" s="39" t="n"/>
      <c r="G91" s="39" t="n"/>
      <c r="H91" s="39" t="n"/>
    </row>
    <row r="92">
      <c r="A92" s="38" t="n"/>
      <c r="B92" s="39" t="n"/>
      <c r="C92" s="39" t="n"/>
      <c r="D92" s="39" t="n"/>
      <c r="E92" s="39" t="n"/>
      <c r="F92" s="39" t="n"/>
      <c r="G92" s="39" t="n"/>
      <c r="H92" s="39" t="n"/>
    </row>
    <row r="93">
      <c r="A93" s="38" t="n"/>
      <c r="B93" s="39" t="n"/>
      <c r="C93" s="39" t="n"/>
      <c r="D93" s="39" t="n"/>
      <c r="E93" s="39" t="n"/>
      <c r="F93" s="39" t="n"/>
      <c r="G93" s="39" t="n"/>
      <c r="H93" s="39" t="n"/>
    </row>
    <row r="94">
      <c r="A94" s="38" t="n"/>
      <c r="B94" s="39" t="n"/>
      <c r="C94" s="39" t="n"/>
      <c r="D94" s="39" t="n"/>
      <c r="E94" s="39" t="n"/>
      <c r="F94" s="39" t="n"/>
      <c r="G94" s="39" t="n"/>
      <c r="H94" s="39" t="n"/>
    </row>
    <row r="95">
      <c r="A95" s="38" t="n"/>
      <c r="B95" s="39" t="n"/>
      <c r="C95" s="39" t="n"/>
      <c r="D95" s="39" t="n"/>
      <c r="E95" s="39" t="n"/>
      <c r="F95" s="39" t="n"/>
      <c r="G95" s="39" t="n"/>
      <c r="H95" s="39" t="n"/>
    </row>
    <row r="96">
      <c r="A96" s="38" t="n"/>
      <c r="B96" s="39" t="n"/>
      <c r="C96" s="39" t="n"/>
      <c r="D96" s="39" t="n"/>
      <c r="E96" s="39" t="n"/>
      <c r="F96" s="39" t="n"/>
      <c r="G96" s="39" t="n"/>
      <c r="H96" s="39" t="n"/>
    </row>
    <row r="97">
      <c r="A97" s="38" t="n"/>
      <c r="B97" s="39" t="n"/>
      <c r="C97" s="39" t="n"/>
      <c r="D97" s="39" t="n"/>
      <c r="E97" s="39" t="n"/>
      <c r="F97" s="39" t="n"/>
      <c r="G97" s="39" t="n"/>
      <c r="H97" s="39" t="n"/>
    </row>
    <row r="98">
      <c r="A98" s="38" t="n"/>
      <c r="B98" s="39" t="n"/>
      <c r="C98" s="39" t="n"/>
      <c r="D98" s="39" t="n"/>
      <c r="E98" s="39" t="n"/>
      <c r="F98" s="39" t="n"/>
      <c r="G98" s="39" t="n"/>
      <c r="H98" s="39" t="n"/>
    </row>
    <row r="99">
      <c r="A99" s="38" t="n"/>
      <c r="B99" s="39" t="n"/>
      <c r="C99" s="39" t="n"/>
      <c r="D99" s="39" t="n"/>
      <c r="E99" s="39" t="n"/>
      <c r="F99" s="39" t="n"/>
      <c r="G99" s="39" t="n"/>
      <c r="H99" s="39" t="n"/>
    </row>
    <row r="100">
      <c r="A100" s="38" t="n"/>
      <c r="B100" s="39" t="n"/>
      <c r="C100" s="39" t="n"/>
      <c r="D100" s="39" t="n"/>
      <c r="E100" s="39" t="n"/>
      <c r="F100" s="39" t="n"/>
      <c r="G100" s="39" t="n"/>
      <c r="H100" s="39" t="n"/>
    </row>
    <row r="101">
      <c r="A101" s="38" t="n"/>
      <c r="B101" s="39" t="n"/>
      <c r="C101" s="39" t="n"/>
      <c r="D101" s="39" t="n"/>
      <c r="E101" s="39" t="n"/>
      <c r="F101" s="39" t="n"/>
      <c r="G101" s="39" t="n"/>
      <c r="H101" s="39" t="n"/>
    </row>
    <row r="102">
      <c r="A102" s="38" t="n"/>
      <c r="B102" s="39" t="n"/>
      <c r="C102" s="39" t="n"/>
      <c r="D102" s="39" t="n"/>
      <c r="E102" s="39" t="n"/>
      <c r="F102" s="39" t="n"/>
      <c r="G102" s="39" t="n"/>
      <c r="H102" s="39" t="n"/>
    </row>
    <row r="103">
      <c r="A103" s="38" t="n"/>
      <c r="B103" s="39" t="n"/>
      <c r="C103" s="39" t="n"/>
      <c r="D103" s="39" t="n"/>
      <c r="E103" s="39" t="n"/>
      <c r="F103" s="39" t="n"/>
      <c r="G103" s="39" t="n"/>
      <c r="H103" s="39" t="n"/>
    </row>
    <row r="104">
      <c r="A104" s="38" t="n"/>
      <c r="B104" s="39" t="n"/>
      <c r="C104" s="39" t="n"/>
      <c r="D104" s="39" t="n"/>
      <c r="E104" s="39" t="n"/>
      <c r="F104" s="39" t="n"/>
      <c r="G104" s="39" t="n"/>
      <c r="H104" s="39" t="n"/>
    </row>
    <row r="105">
      <c r="A105" s="38" t="n"/>
      <c r="B105" s="39" t="n"/>
      <c r="C105" s="39" t="n"/>
      <c r="D105" s="39" t="n"/>
      <c r="E105" s="39" t="n"/>
      <c r="F105" s="39" t="n"/>
      <c r="G105" s="39" t="n"/>
      <c r="H105" s="39"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36" customWidth="1" min="1" max="1"/>
    <col width="14" customWidth="1" min="2" max="2"/>
    <col width="14" customWidth="1" min="3" max="3"/>
    <col width="36" customWidth="1" min="4" max="4"/>
    <col width="14" customWidth="1" min="5" max="5"/>
    <col width="14" customWidth="1" min="6" max="6"/>
  </cols>
  <sheetData>
    <row r="1" ht="35" customHeight="1">
      <c r="A1" s="40" t="inlineStr">
        <is>
          <t>ISMS-IMP-A.5.7.3 — THREAT INTELLIGENCE INTEGRATION &amp; DISTRIBUTION — SUMMARY DASHBOARD</t>
        </is>
      </c>
      <c r="B1" s="6" t="n"/>
      <c r="C1" s="6" t="n"/>
      <c r="D1" s="6" t="n"/>
      <c r="E1" s="6" t="n"/>
      <c r="F1" s="6" t="n"/>
    </row>
    <row r="2">
      <c r="A2" s="41" t="inlineStr">
        <is>
          <t>ISO/IEC 27001:2022 | Control A.5.7 | Tool integration status, IOC deployment health, and action tracking</t>
        </is>
      </c>
    </row>
    <row r="4">
      <c r="A4" s="42" t="inlineStr">
        <is>
          <t>TABLE 1: STATUS DISTRIBUTION</t>
        </is>
      </c>
      <c r="B4" s="6" t="n"/>
      <c r="C4" s="6" t="n"/>
      <c r="D4" s="6" t="n"/>
      <c r="E4" s="6" t="n"/>
      <c r="F4" s="6" t="n"/>
    </row>
    <row r="5">
      <c r="A5" s="43" t="inlineStr">
        <is>
          <t>Section A: Tool Integration Status ('Tool Integration Matrix' — Column G, rows 5:34)</t>
        </is>
      </c>
      <c r="B5" s="6" t="n"/>
      <c r="C5" s="6" t="n"/>
      <c r="D5" s="6" t="n"/>
      <c r="E5" s="6" t="n"/>
      <c r="F5" s="6" t="n"/>
    </row>
    <row r="6">
      <c r="A6" s="44" t="inlineStr">
        <is>
          <t>Status</t>
        </is>
      </c>
      <c r="B6" s="44" t="inlineStr">
        <is>
          <t>Count</t>
        </is>
      </c>
      <c r="C6" s="44" t="inlineStr">
        <is>
          <t>% of Total</t>
        </is>
      </c>
    </row>
    <row r="7">
      <c r="A7" s="45" t="inlineStr">
        <is>
          <t>Fully_Integrated</t>
        </is>
      </c>
      <c r="B7" s="46">
        <f>COUNTIF('Tool Integration Matrix'!G5:G34,"Fully_Integrated")</f>
        <v/>
      </c>
      <c r="C7" s="46">
        <f>IF($B$11=0,"—",TEXT(B7/$B$11,"0.0%"))</f>
        <v/>
      </c>
    </row>
    <row r="8">
      <c r="A8" s="45" t="inlineStr">
        <is>
          <t>Partially_Integrated</t>
        </is>
      </c>
      <c r="B8" s="46">
        <f>COUNTIF('Tool Integration Matrix'!G5:G34,"Partially_Integrated")</f>
        <v/>
      </c>
      <c r="C8" s="46">
        <f>IF($B$11=0,"—",TEXT(B8/$B$11,"0.0%"))</f>
        <v/>
      </c>
    </row>
    <row r="9">
      <c r="A9" s="45" t="inlineStr">
        <is>
          <t>Planned</t>
        </is>
      </c>
      <c r="B9" s="46">
        <f>COUNTIF('Tool Integration Matrix'!G5:G34,"Planned")</f>
        <v/>
      </c>
      <c r="C9" s="46">
        <f>IF($B$11=0,"—",TEXT(B9/$B$11,"0.0%"))</f>
        <v/>
      </c>
    </row>
    <row r="10">
      <c r="A10" s="45" t="inlineStr">
        <is>
          <t>Not_Integrated</t>
        </is>
      </c>
      <c r="B10" s="46">
        <f>COUNTIF('Tool Integration Matrix'!G5:G34,"Not_Integrated")</f>
        <v/>
      </c>
      <c r="C10" s="46">
        <f>IF($B$11=0,"—",TEXT(B10/$B$11,"0.0%"))</f>
        <v/>
      </c>
    </row>
    <row r="11">
      <c r="A11" s="47" t="inlineStr">
        <is>
          <t>TOTAL</t>
        </is>
      </c>
      <c r="B11" s="48">
        <f>SUM(B7:B10)</f>
        <v/>
      </c>
      <c r="C11" s="48" t="inlineStr">
        <is>
          <t>—</t>
        </is>
      </c>
    </row>
    <row r="12">
      <c r="A12" s="43" t="inlineStr">
        <is>
          <t>Section B: IOC Deployment Status ('IOC Deployment' — Column N, rows 5:104)</t>
        </is>
      </c>
      <c r="B12" s="6" t="n"/>
      <c r="C12" s="6" t="n"/>
      <c r="D12" s="6" t="n"/>
      <c r="E12" s="6" t="n"/>
      <c r="F12" s="6" t="n"/>
    </row>
    <row r="13">
      <c r="A13" s="44" t="inlineStr">
        <is>
          <t>Status</t>
        </is>
      </c>
      <c r="B13" s="44" t="inlineStr">
        <is>
          <t>Count</t>
        </is>
      </c>
      <c r="C13" s="44" t="inlineStr">
        <is>
          <t>% of Total</t>
        </is>
      </c>
    </row>
    <row r="14">
      <c r="A14" s="45" t="inlineStr">
        <is>
          <t>Active</t>
        </is>
      </c>
      <c r="B14" s="46">
        <f>COUNTIF('IOC Deployment'!N5:N104,"Active")</f>
        <v/>
      </c>
      <c r="C14" s="46">
        <f>IF($B$18=0,"—",TEXT(B14/$B$18,"0.0%"))</f>
        <v/>
      </c>
    </row>
    <row r="15">
      <c r="A15" s="45" t="inlineStr">
        <is>
          <t>Expired</t>
        </is>
      </c>
      <c r="B15" s="46">
        <f>COUNTIF('IOC Deployment'!N5:N104,"Expired")</f>
        <v/>
      </c>
      <c r="C15" s="46">
        <f>IF($B$18=0,"—",TEXT(B15/$B$18,"0.0%"))</f>
        <v/>
      </c>
    </row>
    <row r="16">
      <c r="A16" s="45" t="inlineStr">
        <is>
          <t>Withdrawn</t>
        </is>
      </c>
      <c r="B16" s="46">
        <f>COUNTIF('IOC Deployment'!N5:N104,"Withdrawn")</f>
        <v/>
      </c>
      <c r="C16" s="46">
        <f>IF($B$18=0,"—",TEXT(B16/$B$18,"0.0%"))</f>
        <v/>
      </c>
    </row>
    <row r="17">
      <c r="A17" s="45" t="inlineStr">
        <is>
          <t>Under_Review</t>
        </is>
      </c>
      <c r="B17" s="46">
        <f>COUNTIF('IOC Deployment'!N5:N104,"Under_Review")</f>
        <v/>
      </c>
      <c r="C17" s="46">
        <f>IF($B$18=0,"—",TEXT(B17/$B$18,"0.0%"))</f>
        <v/>
      </c>
    </row>
    <row r="18">
      <c r="A18" s="47" t="inlineStr">
        <is>
          <t>TOTAL</t>
        </is>
      </c>
      <c r="B18" s="48">
        <f>SUM(B14:B17)</f>
        <v/>
      </c>
      <c r="C18" s="48" t="inlineStr">
        <is>
          <t>—</t>
        </is>
      </c>
    </row>
    <row r="19">
      <c r="A19" s="49" t="n"/>
      <c r="B19" s="49" t="n"/>
      <c r="C19" s="49" t="n"/>
      <c r="D19" s="49" t="n"/>
      <c r="E19" s="49" t="n"/>
      <c r="F19" s="49" t="n"/>
    </row>
    <row r="20">
      <c r="A20" s="42" t="inlineStr">
        <is>
          <t>TABLE 2: KEY PERFORMANCE INDICATORS</t>
        </is>
      </c>
      <c r="B20" s="6" t="n"/>
      <c r="C20" s="6" t="n"/>
      <c r="D20" s="6" t="n"/>
      <c r="E20" s="6" t="n"/>
      <c r="F20" s="6" t="n"/>
    </row>
    <row r="21">
      <c r="A21" s="44" t="inlineStr">
        <is>
          <t>KPI Metric</t>
        </is>
      </c>
      <c r="B21" s="44" t="inlineStr">
        <is>
          <t>Value</t>
        </is>
      </c>
      <c r="C21" s="44" t="inlineStr">
        <is>
          <t>Notes</t>
        </is>
      </c>
      <c r="D21" s="50" t="n"/>
      <c r="E21" s="50" t="n"/>
      <c r="F21" s="51" t="n"/>
    </row>
    <row r="22">
      <c r="A22" s="52" t="inlineStr">
        <is>
          <t>Total Tools in Scope</t>
        </is>
      </c>
      <c r="B22" s="53">
        <f>COUNTA('Tool Integration Matrix'!A5:A34)</f>
        <v/>
      </c>
      <c r="C22" s="52" t="inlineStr">
        <is>
          <t>All security tools tracked in integration matrix</t>
        </is>
      </c>
      <c r="D22" s="50" t="n"/>
      <c r="E22" s="50" t="n"/>
      <c r="F22" s="51" t="n"/>
    </row>
    <row r="23">
      <c r="A23" s="52" t="inlineStr">
        <is>
          <t>Fully Integrated Tools</t>
        </is>
      </c>
      <c r="B23" s="53">
        <f>COUNTIF('Tool Integration Matrix'!G5:G34,"Fully_Integrated")</f>
        <v/>
      </c>
      <c r="C23" s="52" t="inlineStr">
        <is>
          <t>Tools with complete threat intelligence integration</t>
        </is>
      </c>
      <c r="D23" s="50" t="n"/>
      <c r="E23" s="50" t="n"/>
      <c r="F23" s="51" t="n"/>
    </row>
    <row r="24">
      <c r="A24" s="52" t="inlineStr">
        <is>
          <t>Not Integrated Tools</t>
        </is>
      </c>
      <c r="B24" s="53">
        <f>COUNTIF('Tool Integration Matrix'!G5:G34,"Not_Integrated")</f>
        <v/>
      </c>
      <c r="C24" s="52" t="inlineStr">
        <is>
          <t>Tools with no integration — gap requiring remediation</t>
        </is>
      </c>
      <c r="D24" s="50" t="n"/>
      <c r="E24" s="50" t="n"/>
      <c r="F24" s="51" t="n"/>
    </row>
    <row r="25">
      <c r="A25" s="52" t="inlineStr">
        <is>
          <t>Active IOC Deployments</t>
        </is>
      </c>
      <c r="B25" s="53">
        <f>COUNTIF('IOC Deployment'!N5:N104,"Active")</f>
        <v/>
      </c>
      <c r="C25" s="52" t="inlineStr">
        <is>
          <t>IOCs currently deployed and active</t>
        </is>
      </c>
      <c r="D25" s="50" t="n"/>
      <c r="E25" s="50" t="n"/>
      <c r="F25" s="51" t="n"/>
    </row>
    <row r="26">
      <c r="A26" s="52" t="inlineStr">
        <is>
          <t>Open Action Items</t>
        </is>
      </c>
      <c r="B26" s="53">
        <f>COUNTIF('Action Items'!G5:G54,"Open")</f>
        <v/>
      </c>
      <c r="C26" s="52" t="inlineStr">
        <is>
          <t>Actions not yet started — requires attention</t>
        </is>
      </c>
      <c r="D26" s="50" t="n"/>
      <c r="E26" s="50" t="n"/>
      <c r="F26" s="51" t="n"/>
    </row>
    <row r="27">
      <c r="A27" s="52" t="inlineStr">
        <is>
          <t>Closed Action Items</t>
        </is>
      </c>
      <c r="B27" s="53">
        <f>COUNTIF('Action Items'!G5:G54,"Closed")</f>
        <v/>
      </c>
      <c r="C27" s="52" t="inlineStr">
        <is>
          <t>Successfully closed improvement actions</t>
        </is>
      </c>
      <c r="D27" s="50" t="n"/>
      <c r="E27" s="50" t="n"/>
      <c r="F27" s="51" t="n"/>
    </row>
    <row r="28">
      <c r="A28" s="49" t="n"/>
      <c r="B28" s="49" t="n"/>
      <c r="C28" s="49" t="n"/>
      <c r="D28" s="49" t="n"/>
      <c r="E28" s="49" t="n"/>
      <c r="F28" s="49" t="n"/>
    </row>
    <row r="29">
      <c r="A29" s="54" t="inlineStr">
        <is>
          <t>TABLE 3: CRITICAL FINDINGS</t>
        </is>
      </c>
      <c r="B29" s="6" t="n"/>
      <c r="C29" s="6" t="n"/>
      <c r="D29" s="6" t="n"/>
      <c r="E29" s="6" t="n"/>
      <c r="F29" s="6" t="n"/>
    </row>
    <row r="30">
      <c r="A30" s="44" t="inlineStr">
        <is>
          <t>Finding</t>
        </is>
      </c>
      <c r="B30" s="44" t="inlineStr">
        <is>
          <t>Count</t>
        </is>
      </c>
      <c r="C30" s="44" t="inlineStr">
        <is>
          <t>Action Required</t>
        </is>
      </c>
      <c r="D30" s="50" t="n"/>
      <c r="E30" s="50" t="n"/>
      <c r="F30" s="51" t="n"/>
    </row>
    <row r="31">
      <c r="A31" s="55" t="inlineStr">
        <is>
          <t>Not Integrated Tools</t>
        </is>
      </c>
      <c r="B31" s="56">
        <f>COUNTIF('Tool Integration Matrix'!G5:G34,"Not_Integrated")</f>
        <v/>
      </c>
      <c r="C31" s="45" t="inlineStr">
        <is>
          <t>Define integration plan and schedule for each unintegrated tool</t>
        </is>
      </c>
      <c r="D31" s="50" t="n"/>
      <c r="E31" s="50" t="n"/>
      <c r="F31" s="51" t="n"/>
    </row>
    <row r="32">
      <c r="A32" s="55" t="inlineStr">
        <is>
          <t>Expired or Withdrawn IOCs</t>
        </is>
      </c>
      <c r="B32" s="56">
        <f>COUNTIF('IOC Deployment'!N5:N104,"Expired")+COUNTIF('IOC Deployment'!N5:N104,"Withdrawn")</f>
        <v/>
      </c>
      <c r="C32" s="45" t="inlineStr">
        <is>
          <t>Remove expired/withdrawn IOCs from active feeds and update records</t>
        </is>
      </c>
      <c r="D32" s="50" t="n"/>
      <c r="E32" s="50" t="n"/>
      <c r="F32" s="51" t="n"/>
    </row>
    <row r="33">
      <c r="A33" s="55" t="inlineStr">
        <is>
          <t>Open Action Items</t>
        </is>
      </c>
      <c r="B33" s="56">
        <f>COUNTIF('Action Items'!G5:G54,"Open")</f>
        <v/>
      </c>
      <c r="C33" s="45" t="inlineStr">
        <is>
          <t>Review and assign all open actions; set realistic due dates</t>
        </is>
      </c>
      <c r="D33" s="50" t="n"/>
      <c r="E33" s="50" t="n"/>
      <c r="F33" s="51" t="n"/>
    </row>
  </sheetData>
  <mergeCells count="18">
    <mergeCell ref="C22:F22"/>
    <mergeCell ref="A2:F2"/>
    <mergeCell ref="C31:F31"/>
    <mergeCell ref="C23:F23"/>
    <mergeCell ref="C32:F32"/>
    <mergeCell ref="A1:F1"/>
    <mergeCell ref="A5:F5"/>
    <mergeCell ref="C26:F26"/>
    <mergeCell ref="C27:F27"/>
    <mergeCell ref="C21:F21"/>
    <mergeCell ref="C30:F30"/>
    <mergeCell ref="A12:F12"/>
    <mergeCell ref="A4:F4"/>
    <mergeCell ref="C25:F25"/>
    <mergeCell ref="A20:F20"/>
    <mergeCell ref="C33:F33"/>
    <mergeCell ref="C24:F24"/>
    <mergeCell ref="A29:F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7" t="inlineStr">
        <is>
          <t>ASSESSMENT APPROVAL AND SIGN-OFF</t>
        </is>
      </c>
      <c r="B1" s="6" t="n"/>
      <c r="C1" s="6" t="n"/>
      <c r="D1" s="6" t="n"/>
      <c r="E1" s="6" t="n"/>
    </row>
    <row r="2">
      <c r="A2" s="58" t="inlineStr">
        <is>
          <t>ISMS-IMP-A.5.7.3 | ISO/IEC 27001:2022 - Control A.5.7: Threat Intelligence</t>
        </is>
      </c>
      <c r="B2" s="6" t="n"/>
      <c r="C2" s="6" t="n"/>
      <c r="D2" s="6" t="n"/>
      <c r="E2" s="6" t="n"/>
    </row>
    <row r="3">
      <c r="A3" s="59" t="inlineStr">
        <is>
          <t>ASSESSMENT SUMMARY</t>
        </is>
      </c>
      <c r="B3" s="6" t="n"/>
      <c r="C3" s="6" t="n"/>
      <c r="D3" s="6" t="n"/>
      <c r="E3" s="6" t="n"/>
    </row>
    <row r="4">
      <c r="A4" s="60" t="inlineStr">
        <is>
          <t>Document:</t>
        </is>
      </c>
      <c r="B4" s="6" t="inlineStr">
        <is>
          <t>ISMS-IMP-A.5.7.3 - Intelligence Integration &amp; Distribution Assessment</t>
        </is>
      </c>
      <c r="C4" s="6" t="n"/>
      <c r="D4" s="6" t="n"/>
      <c r="E4" s="6" t="n"/>
    </row>
    <row r="5">
      <c r="A5" s="60" t="inlineStr">
        <is>
          <t>Assessment Period:</t>
        </is>
      </c>
      <c r="B5" s="15" t="inlineStr"/>
      <c r="C5" s="15" t="n"/>
      <c r="D5" s="15" t="n"/>
      <c r="E5" s="15" t="n"/>
    </row>
    <row r="6">
      <c r="A6" s="60" t="inlineStr">
        <is>
          <t>Overall Compliance Rate:</t>
        </is>
      </c>
      <c r="B6" s="61">
        <f>IFERROR('Summary Dashboard'!B7/'Summary Dashboard'!B11,"")</f>
        <v/>
      </c>
      <c r="C6" s="15" t="n"/>
      <c r="D6" s="15" t="n"/>
      <c r="E6" s="15" t="n"/>
    </row>
    <row r="7">
      <c r="A7" s="60" t="inlineStr">
        <is>
          <t>Assessment Status:</t>
        </is>
      </c>
      <c r="B7" s="15" t="inlineStr"/>
      <c r="C7" s="15" t="n"/>
      <c r="D7" s="15" t="n"/>
      <c r="E7" s="15" t="n"/>
    </row>
    <row r="8">
      <c r="A8" s="60" t="inlineStr">
        <is>
          <t>Assessed By:</t>
        </is>
      </c>
      <c r="B8" s="15" t="inlineStr"/>
      <c r="C8" s="15" t="n"/>
      <c r="D8" s="15" t="n"/>
      <c r="E8" s="15" t="n"/>
    </row>
    <row r="11">
      <c r="A11" s="59" t="inlineStr">
        <is>
          <t>COMPLETED BY (ASSESSOR)</t>
        </is>
      </c>
      <c r="B11" s="6" t="n"/>
      <c r="C11" s="6" t="n"/>
      <c r="D11" s="6" t="n"/>
      <c r="E11" s="6" t="n"/>
    </row>
    <row r="12">
      <c r="A12" s="60" t="inlineStr">
        <is>
          <t>Name:</t>
        </is>
      </c>
      <c r="B12" s="15" t="n"/>
      <c r="C12" s="15" t="n"/>
      <c r="D12" s="15" t="n"/>
      <c r="E12" s="15" t="n"/>
    </row>
    <row r="13">
      <c r="A13" s="60" t="inlineStr">
        <is>
          <t>Title:</t>
        </is>
      </c>
      <c r="B13" s="15" t="n"/>
      <c r="C13" s="15" t="n"/>
      <c r="D13" s="15" t="n"/>
      <c r="E13" s="15" t="n"/>
    </row>
    <row r="14">
      <c r="A14" s="60" t="inlineStr">
        <is>
          <t>Date:</t>
        </is>
      </c>
      <c r="B14" s="15" t="n"/>
      <c r="C14" s="15" t="n"/>
      <c r="D14" s="15" t="n"/>
      <c r="E14" s="15" t="n"/>
    </row>
    <row r="15">
      <c r="A15" s="60" t="inlineStr">
        <is>
          <t>Signature:</t>
        </is>
      </c>
      <c r="B15" s="15" t="n"/>
      <c r="C15" s="15" t="n"/>
      <c r="D15" s="15" t="n"/>
      <c r="E15" s="15" t="n"/>
    </row>
    <row r="16">
      <c r="A16" s="60" t="inlineStr">
        <is>
          <t>Comments:</t>
        </is>
      </c>
      <c r="B16" s="15" t="n"/>
      <c r="C16" s="15" t="n"/>
      <c r="D16" s="15" t="n"/>
      <c r="E16" s="15" t="n"/>
    </row>
    <row r="18">
      <c r="A18" s="59" t="inlineStr">
        <is>
          <t>REVIEWED BY (INFORMATION SECURITY OFFICER)</t>
        </is>
      </c>
      <c r="B18" s="6" t="n"/>
      <c r="C18" s="6" t="n"/>
      <c r="D18" s="6" t="n"/>
      <c r="E18" s="6" t="n"/>
    </row>
    <row r="19">
      <c r="A19" s="60" t="inlineStr">
        <is>
          <t>Name:</t>
        </is>
      </c>
      <c r="B19" s="15" t="n"/>
      <c r="C19" s="15" t="n"/>
      <c r="D19" s="15" t="n"/>
      <c r="E19" s="15" t="n"/>
    </row>
    <row r="20">
      <c r="A20" s="60" t="inlineStr">
        <is>
          <t>Title:</t>
        </is>
      </c>
      <c r="B20" s="15" t="n"/>
      <c r="C20" s="15" t="n"/>
      <c r="D20" s="15" t="n"/>
      <c r="E20" s="15" t="n"/>
    </row>
    <row r="21">
      <c r="A21" s="60" t="inlineStr">
        <is>
          <t>Date:</t>
        </is>
      </c>
      <c r="B21" s="15" t="n"/>
      <c r="C21" s="15" t="n"/>
      <c r="D21" s="15" t="n"/>
      <c r="E21" s="15" t="n"/>
    </row>
    <row r="22">
      <c r="A22" s="60" t="inlineStr">
        <is>
          <t>Signature:</t>
        </is>
      </c>
      <c r="B22" s="15" t="n"/>
      <c r="C22" s="15" t="n"/>
      <c r="D22" s="15" t="n"/>
      <c r="E22" s="15" t="n"/>
    </row>
    <row r="23">
      <c r="A23" s="60" t="inlineStr">
        <is>
          <t>Comments:</t>
        </is>
      </c>
      <c r="B23" s="15" t="n"/>
      <c r="C23" s="15" t="n"/>
      <c r="D23" s="15" t="n"/>
      <c r="E23" s="15" t="n"/>
    </row>
    <row r="25">
      <c r="A25" s="62" t="inlineStr">
        <is>
          <t>APPROVED BY (CISO)</t>
        </is>
      </c>
      <c r="B25" s="6" t="n"/>
      <c r="C25" s="6" t="n"/>
      <c r="D25" s="6" t="n"/>
      <c r="E25" s="6" t="n"/>
    </row>
    <row r="26">
      <c r="A26" s="60" t="inlineStr">
        <is>
          <t>Name:</t>
        </is>
      </c>
      <c r="B26" s="15" t="n"/>
      <c r="C26" s="15" t="n"/>
      <c r="D26" s="15" t="n"/>
      <c r="E26" s="15" t="n"/>
    </row>
    <row r="27">
      <c r="A27" s="60" t="inlineStr">
        <is>
          <t>Title:</t>
        </is>
      </c>
      <c r="B27" s="15" t="n"/>
      <c r="C27" s="15" t="n"/>
      <c r="D27" s="15" t="n"/>
      <c r="E27" s="15" t="n"/>
    </row>
    <row r="28">
      <c r="A28" s="60" t="inlineStr">
        <is>
          <t>Date:</t>
        </is>
      </c>
      <c r="B28" s="15" t="n"/>
      <c r="C28" s="15" t="n"/>
      <c r="D28" s="15" t="n"/>
      <c r="E28" s="15" t="n"/>
    </row>
    <row r="29">
      <c r="A29" s="60" t="inlineStr">
        <is>
          <t>Signature:</t>
        </is>
      </c>
      <c r="B29" s="15" t="n"/>
      <c r="C29" s="15" t="n"/>
      <c r="D29" s="15" t="n"/>
      <c r="E29" s="15" t="n"/>
    </row>
    <row r="30">
      <c r="A30" s="60" t="inlineStr">
        <is>
          <t>Comments:</t>
        </is>
      </c>
      <c r="B30" s="15" t="n"/>
      <c r="C30" s="15" t="n"/>
      <c r="D30" s="15" t="n"/>
      <c r="E30" s="15" t="n"/>
    </row>
    <row r="32">
      <c r="A32" s="63" t="inlineStr">
        <is>
          <t>FINAL DECISION:</t>
        </is>
      </c>
      <c r="B32" s="15" t="n"/>
      <c r="C32" s="15" t="n"/>
      <c r="D32" s="15" t="n"/>
      <c r="E32" s="15" t="n"/>
    </row>
    <row r="35">
      <c r="A35" s="59" t="inlineStr">
        <is>
          <t>NEXT REVIEW DETAILS</t>
        </is>
      </c>
      <c r="B35" s="6" t="n"/>
      <c r="C35" s="6" t="n"/>
      <c r="D35" s="6" t="n"/>
      <c r="E35" s="6" t="n"/>
    </row>
    <row r="36">
      <c r="A36" s="60" t="inlineStr">
        <is>
          <t>Next Review Date:</t>
        </is>
      </c>
      <c r="B36" s="15" t="n"/>
      <c r="C36" s="15" t="n"/>
      <c r="D36" s="15" t="n"/>
      <c r="E36" s="15" t="n"/>
    </row>
    <row r="37">
      <c r="A37" s="60" t="inlineStr">
        <is>
          <t>Review Responsible:</t>
        </is>
      </c>
      <c r="B37" s="15" t="n"/>
      <c r="C37" s="15" t="n"/>
      <c r="D37" s="15" t="n"/>
      <c r="E37" s="15" t="n"/>
    </row>
    <row r="38">
      <c r="A38" s="60"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ISMS-IMP-A.5.7.3 — Intelligence Integration &amp; Distribution Assessment</dc:title>
  <dc:description xmlns:dc="http://purl.org/dc/elements/1.1/">ISMS Implementation Workbook — ISMS-IMP-A.5.7.3</dc:description>
  <dc:subject xmlns:dc="http://purl.org/dc/elements/1.1/">ISO/IEC 27001:2022 — Control A.5.7: Threat Intelligence</dc:subject>
  <dcterms:created xmlns:dcterms="http://purl.org/dc/terms/" xmlns:xsi="http://www.w3.org/2001/XMLSchema-instance" xsi:type="dcterms:W3CDTF">2026-03-10T18:48:58Z</dcterms:created>
  <dcterms:modified xmlns:dcterms="http://purl.org/dc/terms/" xmlns:xsi="http://www.w3.org/2001/XMLSchema-instance" xsi:type="dcterms:W3CDTF">2026-03-10T18:48:58Z</dcterms:modified>
</cp:coreProperties>
</file>