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urce Inventory" sheetId="2" state="visible" r:id="rId2"/>
    <sheet xmlns:r="http://schemas.openxmlformats.org/officeDocument/2006/relationships" name="Source Evaluation" sheetId="3" state="visible" r:id="rId3"/>
    <sheet xmlns:r="http://schemas.openxmlformats.org/officeDocument/2006/relationships" name="Coverage Matrix" sheetId="4" state="visible" r:id="rId4"/>
    <sheet xmlns:r="http://schemas.openxmlformats.org/officeDocument/2006/relationships" name="Cost Analysis" sheetId="5" state="visible" r:id="rId5"/>
    <sheet xmlns:r="http://schemas.openxmlformats.org/officeDocument/2006/relationships" name="Compliance Check" sheetId="6" state="visible" r:id="rId6"/>
    <sheet xmlns:r="http://schemas.openxmlformats.org/officeDocument/2006/relationships" name="Action Items" sheetId="7" state="visible" r:id="rId7"/>
    <sheet xmlns:r="http://schemas.openxmlformats.org/officeDocument/2006/relationships" name="Metadata" sheetId="8" state="visible" r:id="rId8"/>
    <sheet xmlns:r="http://schemas.openxmlformats.org/officeDocument/2006/relationships" name="Update Frequency" sheetId="9" state="visible" r:id="rId9"/>
    <sheet xmlns:r="http://schemas.openxmlformats.org/officeDocument/2006/relationships" name="Source Contacts" sheetId="10" state="visible" r:id="rId10"/>
    <sheet xmlns:r="http://schemas.openxmlformats.org/officeDocument/2006/relationships" name="Vendor SLAs" sheetId="11" state="visible" r:id="rId11"/>
    <sheet xmlns:r="http://schemas.openxmlformats.org/officeDocument/2006/relationships" name="Source Performance Validation"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5">
    <numFmt numFmtId="164" formatCode="DD.MM.YYYY"/>
    <numFmt numFmtId="165" formatCode="0.0%"/>
    <numFmt numFmtId="166" formatCode="&quot;CHF &quot;#,##0.00"/>
    <numFmt numFmtId="167" formatCode="0&quot;%&quot;"/>
    <numFmt numFmtId="168" formatCode="0.0&quot;%&quot;"/>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name val="Calibri"/>
      <sz val="10"/>
    </font>
    <font>
      <name val="Calibri"/>
      <b val="1"/>
      <color rgb="00FFFFFF"/>
      <sz val="11"/>
    </font>
    <font>
      <b val="1"/>
    </font>
    <font>
      <name val="Calibri"/>
      <b val="1"/>
      <color rgb="00FFFFFF"/>
      <sz val="10"/>
    </font>
    <font>
      <i val="1"/>
      <color rgb="00003366"/>
      <sz val="9"/>
    </font>
    <font>
      <b val="1"/>
      <sz val="11"/>
    </font>
    <font>
      <b val="1"/>
      <color rgb="00006100"/>
      <sz val="12"/>
    </font>
    <font>
      <b val="1"/>
      <color rgb="000066CC"/>
      <sz val="11"/>
    </font>
    <font>
      <b val="1"/>
      <color rgb="00006100"/>
    </font>
    <font>
      <b val="1"/>
      <color rgb="009C0006"/>
    </font>
    <font>
      <b val="1"/>
      <color rgb="00C65911"/>
    </font>
    <font>
      <name val="Calibri"/>
      <b val="1"/>
      <sz val="9"/>
    </font>
    <font>
      <name val="Calibri"/>
      <sz val="9"/>
    </font>
    <font>
      <name val="Calibri"/>
      <i val="1"/>
      <color rgb="00003366"/>
      <sz val="10"/>
    </font>
    <font>
      <name val="Calibri"/>
      <b val="1"/>
      <color rgb="00FFFFFF"/>
      <sz val="12"/>
    </font>
    <font>
      <name val="Calibri"/>
      <b val="1"/>
      <color rgb="00000000"/>
      <sz val="10"/>
    </font>
    <font>
      <name val="Calibri"/>
      <color rgb="00000000"/>
    </font>
    <font>
      <name val="Calibri"/>
      <b val="1"/>
      <color rgb="0000000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4472C4"/>
      </patternFill>
    </fill>
    <fill>
      <patternFill patternType="solid">
        <fgColor rgb="00FFFFFF"/>
      </patternFill>
    </fill>
    <fill>
      <patternFill patternType="solid">
        <f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5" fillId="0" borderId="0" applyAlignment="1" pivotButton="0" quotePrefix="0" xfId="0">
      <alignment horizontal="left" vertical="center"/>
    </xf>
    <xf numFmtId="164" fontId="6" fillId="10" borderId="1" applyAlignment="1" pivotButton="0" quotePrefix="0" xfId="0">
      <alignment horizontal="left" vertical="center"/>
    </xf>
    <xf numFmtId="2" fontId="6" fillId="10" borderId="1" applyAlignment="1" pivotButton="0" quotePrefix="0" xfId="0">
      <alignment horizontal="left" vertical="center"/>
    </xf>
    <xf numFmtId="165" fontId="6" fillId="10" borderId="1" applyAlignment="1" pivotButton="0" quotePrefix="0" xfId="0">
      <alignment horizontal="left" vertical="center"/>
    </xf>
    <xf numFmtId="1" fontId="6" fillId="10" borderId="1" applyAlignment="1" pivotButton="0" quotePrefix="0" xfId="0">
      <alignment horizontal="left" vertical="center"/>
    </xf>
    <xf numFmtId="2" fontId="0" fillId="11" borderId="1" applyAlignment="1" pivotButton="0" quotePrefix="0" xfId="0">
      <alignment horizontal="left" vertical="center"/>
    </xf>
    <xf numFmtId="165" fontId="0" fillId="11" borderId="1" applyAlignment="1" pivotButton="0" quotePrefix="0" xfId="0">
      <alignment horizontal="left" vertical="center"/>
    </xf>
    <xf numFmtId="1" fontId="0" fillId="11" borderId="1" applyAlignment="1" pivotButton="0" quotePrefix="0" xfId="0">
      <alignment horizontal="left" vertical="center"/>
    </xf>
    <xf numFmtId="0" fontId="7" fillId="12" borderId="0" applyAlignment="1" pivotButton="0" quotePrefix="0" xfId="0">
      <alignment horizontal="left" vertical="center"/>
    </xf>
    <xf numFmtId="0" fontId="0" fillId="11" borderId="1" pivotButton="0" quotePrefix="0" xfId="0"/>
    <xf numFmtId="0" fontId="0" fillId="9" borderId="1" pivotButton="0" quotePrefix="0" xfId="0"/>
    <xf numFmtId="0" fontId="0" fillId="11" borderId="1" applyAlignment="1" pivotButton="0" quotePrefix="0" xfId="0">
      <alignment horizontal="center"/>
    </xf>
    <xf numFmtId="0" fontId="8" fillId="0" borderId="1" pivotButton="0" quotePrefix="0" xfId="0"/>
    <xf numFmtId="0" fontId="8" fillId="9" borderId="1" applyAlignment="1" pivotButton="0" quotePrefix="0" xfId="0">
      <alignment horizontal="center"/>
    </xf>
    <xf numFmtId="0" fontId="9" fillId="12" borderId="0" pivotButton="0" quotePrefix="0" xfId="0"/>
    <xf numFmtId="0" fontId="10" fillId="0" borderId="0" pivotButton="0" quotePrefix="0" xfId="0"/>
    <xf numFmtId="166" fontId="6" fillId="10" borderId="1" applyAlignment="1" pivotButton="0" quotePrefix="0" xfId="0">
      <alignment horizontal="left" vertical="center"/>
    </xf>
    <xf numFmtId="3" fontId="6" fillId="10" borderId="1" applyAlignment="1" pivotButton="0" quotePrefix="0" xfId="0">
      <alignment horizontal="left" vertical="center"/>
    </xf>
    <xf numFmtId="167" fontId="6" fillId="10" borderId="1" applyAlignment="1" pivotButton="0" quotePrefix="0" xfId="0">
      <alignment horizontal="left" vertical="center"/>
    </xf>
    <xf numFmtId="166" fontId="0" fillId="11" borderId="1" pivotButton="0" quotePrefix="0" xfId="0"/>
    <xf numFmtId="166" fontId="8" fillId="9" borderId="1" pivotButton="0" quotePrefix="0" xfId="0"/>
    <xf numFmtId="3" fontId="0" fillId="11" borderId="1" pivotButton="0" quotePrefix="0" xfId="0"/>
    <xf numFmtId="166" fontId="0" fillId="9" borderId="1" pivotButton="0" quotePrefix="0" xfId="0"/>
    <xf numFmtId="167" fontId="0" fillId="11" borderId="1" pivotButton="0" quotePrefix="0" xfId="0"/>
    <xf numFmtId="164" fontId="0" fillId="11" borderId="1" pivotButton="0" quotePrefix="0" xfId="0"/>
    <xf numFmtId="0" fontId="8" fillId="0" borderId="0" pivotButton="0" quotePrefix="0" xfId="0"/>
    <xf numFmtId="166" fontId="11" fillId="0" borderId="0" pivotButton="0" quotePrefix="0" xfId="0"/>
    <xf numFmtId="166" fontId="8" fillId="0" borderId="0" pivotButton="0" quotePrefix="0" xfId="0"/>
    <xf numFmtId="166" fontId="12" fillId="0" borderId="0" pivotButton="0" quotePrefix="0" xfId="0"/>
    <xf numFmtId="166" fontId="13" fillId="0" borderId="0" pivotButton="0" quotePrefix="0" xfId="0"/>
    <xf numFmtId="164" fontId="0" fillId="9" borderId="1" pivotButton="0" quotePrefix="0" xfId="0"/>
    <xf numFmtId="0" fontId="14" fillId="0" borderId="0" pivotButton="0" quotePrefix="0" xfId="0"/>
    <xf numFmtId="0" fontId="15" fillId="0" borderId="0" pivotButton="0" quotePrefix="0" xfId="0"/>
    <xf numFmtId="0" fontId="16" fillId="0" borderId="0" pivotButton="0" quotePrefix="0" xfId="0"/>
    <xf numFmtId="0" fontId="1" fillId="8"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17" fillId="9" borderId="0" applyAlignment="1" pivotButton="0" quotePrefix="0" xfId="0">
      <alignment horizontal="center" vertical="center" wrapText="1"/>
    </xf>
    <xf numFmtId="0" fontId="18" fillId="10" borderId="1" applyAlignment="1" pivotButton="0" quotePrefix="0" xfId="0">
      <alignment horizontal="left" vertical="center"/>
    </xf>
    <xf numFmtId="164" fontId="18" fillId="10" borderId="1" applyAlignment="1" pivotButton="0" quotePrefix="0" xfId="0">
      <alignment horizontal="left" vertical="center"/>
    </xf>
    <xf numFmtId="168" fontId="18" fillId="10" borderId="1" applyAlignment="1" pivotButton="0" quotePrefix="0" xfId="0">
      <alignment horizontal="left" vertical="center"/>
    </xf>
    <xf numFmtId="0" fontId="18" fillId="11" borderId="1" applyAlignment="1" pivotButton="0" quotePrefix="0" xfId="0">
      <alignment horizontal="left" vertical="center"/>
    </xf>
    <xf numFmtId="164" fontId="18" fillId="11" borderId="1" applyAlignment="1" pivotButton="0" quotePrefix="0" xfId="0">
      <alignment horizontal="left" vertical="center"/>
    </xf>
    <xf numFmtId="1" fontId="18" fillId="11" borderId="1" applyAlignment="1" pivotButton="0" quotePrefix="0" xfId="0">
      <alignment horizontal="left" vertical="center"/>
    </xf>
    <xf numFmtId="168" fontId="18" fillId="11" borderId="1" applyAlignment="1" pivotButton="0" quotePrefix="0" xfId="0">
      <alignment horizontal="left" vertical="center"/>
    </xf>
    <xf numFmtId="0" fontId="1" fillId="8" borderId="1" applyAlignment="1" pivotButton="0" quotePrefix="0" xfId="0">
      <alignment horizontal="center" vertical="center"/>
    </xf>
    <xf numFmtId="0" fontId="19" fillId="0" borderId="1" applyAlignment="1" pivotButton="0" quotePrefix="0" xfId="0">
      <alignment horizontal="left" vertical="center"/>
    </xf>
    <xf numFmtId="0" fontId="9" fillId="8"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19" fillId="0" borderId="0" applyAlignment="1" pivotButton="0" quotePrefix="0" xfId="0">
      <alignment horizontal="left" vertical="center"/>
    </xf>
    <xf numFmtId="0" fontId="20" fillId="2" borderId="1" applyAlignment="1" pivotButton="0" quotePrefix="0" xfId="0">
      <alignment horizontal="left" vertical="center"/>
    </xf>
    <xf numFmtId="0" fontId="9" fillId="13" borderId="1" applyAlignment="1" pivotButton="0" quotePrefix="0" xfId="0">
      <alignment horizontal="left" vertical="center"/>
    </xf>
    <xf numFmtId="0" fontId="21" fillId="4" borderId="1" applyAlignment="1" pivotButton="0" quotePrefix="0" xfId="0">
      <alignment horizontal="center" vertical="center"/>
    </xf>
    <xf numFmtId="0" fontId="22" fillId="3" borderId="1" applyAlignment="1" pivotButton="0" quotePrefix="0" xfId="0">
      <alignment horizontal="left" vertical="center" wrapText="1"/>
    </xf>
    <xf numFmtId="0" fontId="22" fillId="3" borderId="1" applyAlignment="1" pivotButton="0" quotePrefix="0" xfId="0">
      <alignment horizontal="center" vertical="center" wrapText="1"/>
    </xf>
    <xf numFmtId="0" fontId="23" fillId="4" borderId="1" applyAlignment="1" pivotButton="0" quotePrefix="0" xfId="0">
      <alignment horizontal="left" vertical="center" wrapText="1"/>
    </xf>
    <xf numFmtId="0" fontId="22" fillId="4" borderId="1" applyAlignment="1" pivotButton="0" quotePrefix="0" xfId="0">
      <alignment horizontal="center" vertical="center" wrapText="1"/>
    </xf>
    <xf numFmtId="0" fontId="0" fillId="14" borderId="0" pivotButton="0" quotePrefix="0" xfId="0"/>
    <xf numFmtId="0" fontId="0" fillId="0" borderId="4" pivotButton="0" quotePrefix="0" xfId="0"/>
    <xf numFmtId="0" fontId="0" fillId="0" borderId="5" pivotButton="0" quotePrefix="0" xfId="0"/>
    <xf numFmtId="0" fontId="22" fillId="14" borderId="1" applyAlignment="1" pivotButton="0" quotePrefix="0" xfId="0">
      <alignment horizontal="left" vertical="center" wrapText="1"/>
    </xf>
    <xf numFmtId="0" fontId="22" fillId="14" borderId="1" applyAlignment="1" pivotButton="0" quotePrefix="0" xfId="0">
      <alignment horizontal="center" vertical="center"/>
    </xf>
    <xf numFmtId="0" fontId="20" fillId="15" borderId="1" applyAlignment="1" pivotButton="0" quotePrefix="0" xfId="0">
      <alignment horizontal="left" vertical="center"/>
    </xf>
    <xf numFmtId="0" fontId="23" fillId="3" borderId="1" applyAlignment="1" pivotButton="0" quotePrefix="0" xfId="0">
      <alignment horizontal="left" vertical="center" wrapText="1"/>
    </xf>
    <xf numFmtId="0" fontId="22" fillId="3" borderId="1" applyAlignment="1" pivotButton="0" quotePrefix="0" xfId="0">
      <alignment horizontal="center" vertical="center"/>
    </xf>
    <xf numFmtId="0" fontId="19" fillId="0" borderId="1" applyAlignment="1" pivotButton="0" quotePrefix="0" xfId="0">
      <alignment horizontal="center" vertical="center"/>
    </xf>
    <xf numFmtId="0" fontId="7" fillId="12" borderId="1" applyAlignment="1" pivotButton="0" quotePrefix="0" xfId="0">
      <alignment horizontal="left" vertical="center"/>
    </xf>
    <xf numFmtId="0" fontId="4" fillId="0" borderId="1" pivotButton="0" quotePrefix="0" xfId="0"/>
    <xf numFmtId="165" fontId="0" fillId="11" borderId="1" pivotButton="0" quotePrefix="0" xfId="0"/>
    <xf numFmtId="0" fontId="7" fillId="8" borderId="1" applyAlignment="1" pivotButton="0" quotePrefix="0" xfId="0">
      <alignment horizontal="left" vertical="center"/>
    </xf>
    <xf numFmtId="0" fontId="24" fillId="0" borderId="1" pivotButton="0" quotePrefix="0" xfId="0"/>
  </cellXfs>
  <cellStyles count="1">
    <cellStyle name="Normal" xfId="0" builtinId="0" hidden="0"/>
  </cellStyles>
  <dxfs count="10">
    <dxf>
      <fill>
        <patternFill patternType="solid">
          <fgColor rgb="00C6EFCE"/>
          <bgColor rgb="00C6EFCE"/>
        </patternFill>
      </fill>
    </dxf>
    <dxf>
      <fill>
        <patternFill patternType="solid">
          <fgColor rgb="00E7F4E4"/>
          <bgColor rgb="00E7F4E4"/>
        </patternFill>
      </fill>
    </dxf>
    <dxf>
      <fill>
        <patternFill patternType="solid">
          <fgColor rgb="00FFEB9C"/>
          <bgColor rgb="00FFEB9C"/>
        </patternFill>
      </fill>
    </dxf>
    <dxf>
      <fill>
        <patternFill patternType="solid">
          <fgColor rgb="00FFF4CC"/>
          <bgColor rgb="00FFF4CC"/>
        </patternFill>
      </fill>
    </dxf>
    <dxf>
      <fill>
        <patternFill patternType="solid">
          <fgColor rgb="00FFC7CE"/>
          <bgColor rgb="00FFC7CE"/>
        </patternFill>
      </fill>
    </dxf>
    <dxf>
      <fill>
        <patternFill patternType="solid">
          <fgColor rgb="00D9D9D9"/>
          <bgColor rgb="00D9D9D9"/>
        </patternFill>
      </fill>
    </dxf>
    <dxf>
      <fill>
        <patternFill patternType="solid">
          <fgColor rgb="0000B050"/>
          <bgColor rgb="0000B050"/>
        </patternFill>
      </fill>
    </dxf>
    <dxf>
      <font>
        <b val="1"/>
        <color rgb="00FFFFFF"/>
      </font>
      <fill>
        <patternFill patternType="solid">
          <fgColor rgb="00006100"/>
          <bgColor rgb="00006100"/>
        </patternFill>
      </fill>
    </dxf>
    <dxf>
      <font>
        <b val="1"/>
        <color rgb="009C0006"/>
      </font>
      <fill>
        <patternFill patternType="solid">
          <fgColor rgb="00FFC7CE"/>
          <bgColor rgb="00FFC7CE"/>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ISMS-IMP-A.5.7.1  -  Threat Intelligence Sources Assessment
ISO/IEC 27001:2022 - Control A.5.7: Threat Intelligence</t>
        </is>
      </c>
    </row>
    <row r="3">
      <c r="A3" s="2" t="inlineStr">
        <is>
          <t>Document Information</t>
        </is>
      </c>
    </row>
    <row r="4">
      <c r="A4" s="3" t="inlineStr">
        <is>
          <t>Document ID</t>
        </is>
      </c>
      <c r="B4" t="inlineStr">
        <is>
          <t>ISMS-IMP-A.5.7.1</t>
        </is>
      </c>
    </row>
    <row r="5">
      <c r="A5" s="3" t="inlineStr">
        <is>
          <t>Workbook Title</t>
        </is>
      </c>
      <c r="B5" t="inlineStr">
        <is>
          <t>Threat Intelligence Sources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threat intelligence sources used by your organisation in the Source Inventory sheet (commercial feeds, ISACs, open-source, vendor advisories).</t>
        </is>
      </c>
    </row>
    <row r="14">
      <c r="A14" t="inlineStr">
        <is>
          <t>2. Evaluate each source for reliability, timeliness, accuracy, and relevance in the Source Evaluation sheet using the scoring criteria provided.</t>
        </is>
      </c>
    </row>
    <row r="15">
      <c r="A15" t="inlineStr">
        <is>
          <t>3. Classify sources by intelligence type (strategic, tactical, operational, technical) and threat category in the Source Classification sheet.</t>
        </is>
      </c>
    </row>
    <row r="16">
      <c r="A16" t="inlineStr">
        <is>
          <t>4. Review and record subscription and licensing details for each paid source — including contract start/end dates, renewal status, and contact information.</t>
        </is>
      </c>
    </row>
    <row r="17">
      <c r="A17" t="inlineStr">
        <is>
          <t>5. Use the dropdown menus for standardised ratings: source type, reliability score, and integration status.</t>
        </is>
      </c>
    </row>
    <row r="18">
      <c r="A18" t="inlineStr">
        <is>
          <t>6. Flag sources scoring below acceptable thresholds or with lapsed contracts for review and potential replacement.</t>
        </is>
      </c>
    </row>
    <row r="19">
      <c r="A19" t="inlineStr">
        <is>
          <t>7. Maintain the Evidence Register with subscription agreements, evaluation reports, sample feed outputs, and ISAC membership certificates.</t>
        </is>
      </c>
    </row>
    <row r="20">
      <c r="A20" t="inlineStr">
        <is>
          <t>8. Obtain final sign-off from the Threat Intelligence Lead, Information Security Manager, and CISO.</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Threat intelligence feed subscription agreements and service-level agreements</t>
        </is>
      </c>
    </row>
    <row r="31">
      <c r="A31" t="inlineStr">
        <is>
          <t>✓ Source reliability and evaluation reports with scoring rationale</t>
        </is>
      </c>
    </row>
    <row r="32">
      <c r="A32" t="inlineStr">
        <is>
          <t>✓ Sample intelligence feed outputs (sanitised — no classified data)</t>
        </is>
      </c>
    </row>
    <row r="33">
      <c r="A33" t="inlineStr">
        <is>
          <t>✓ ISAC / ISAO membership certificates and access documentation</t>
        </is>
      </c>
    </row>
    <row r="34">
      <c r="A34" t="inlineStr">
        <is>
          <t>✓ Source classification records and periodic review decisions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15" customWidth="1" min="3" max="3"/>
    <col width="20" customWidth="1" min="4" max="4"/>
    <col width="25" customWidth="1" min="5" max="5"/>
    <col width="30" customWidth="1" min="6" max="6"/>
    <col width="15" customWidth="1" min="7" max="7"/>
    <col width="15" customWidth="1" min="8" max="8"/>
    <col width="15" customWidth="1" min="9" max="9"/>
    <col width="15" customWidth="1" min="10" max="10"/>
    <col width="18" customWidth="1" min="11" max="11"/>
    <col width="25" customWidth="1" min="12" max="12"/>
    <col width="25" customWidth="1" min="13" max="13"/>
    <col width="15" customWidth="1" min="14" max="14"/>
    <col width="15" customWidth="1" min="15" max="15"/>
    <col width="50" customWidth="1" min="16" max="16"/>
  </cols>
  <sheetData>
    <row r="1" ht="35" customHeight="1">
      <c r="A1" s="11" t="inlineStr">
        <is>
          <t>THREAT INTELLIGENCE SOURCE INVENTORY (WITH CVSS CAPABILITY TRACKING)</t>
        </is>
      </c>
    </row>
    <row r="2">
      <c r="A2" s="12" t="inlineStr">
        <is>
          <t>Document all threat intelligence sources. NEW: Track CVSS v4.0/3.1 support for vulnerability intelligence integration with Control 8.8.</t>
        </is>
      </c>
    </row>
    <row r="4">
      <c r="A4" s="13" t="inlineStr">
        <is>
          <t>Source ID</t>
        </is>
      </c>
      <c r="B4" s="13" t="inlineStr">
        <is>
          <t>Source Name</t>
        </is>
      </c>
      <c r="C4" s="13" t="inlineStr">
        <is>
          <t>Source Type</t>
        </is>
      </c>
      <c r="D4" s="13" t="inlineStr">
        <is>
          <t>Source Category</t>
        </is>
      </c>
      <c r="E4" s="13" t="inlineStr">
        <is>
          <t>Provider</t>
        </is>
      </c>
      <c r="F4" s="13" t="inlineStr">
        <is>
          <t>Contact Email</t>
        </is>
      </c>
      <c r="G4" s="13" t="inlineStr">
        <is>
          <t>Contract Start</t>
        </is>
      </c>
      <c r="H4" s="13" t="inlineStr">
        <is>
          <t>Contract End</t>
        </is>
      </c>
      <c r="I4" s="13" t="inlineStr">
        <is>
          <t>Auto Renew</t>
        </is>
      </c>
      <c r="J4" s="13" t="inlineStr">
        <is>
          <t>Status</t>
        </is>
      </c>
      <c r="K4" s="13" t="inlineStr">
        <is>
          <t>CVSS Support</t>
        </is>
      </c>
      <c r="L4" s="13" t="inlineStr">
        <is>
          <t>Primary Owner</t>
        </is>
      </c>
      <c r="M4" s="13" t="inlineStr">
        <is>
          <t>Backup Owner</t>
        </is>
      </c>
      <c r="N4" s="13" t="inlineStr">
        <is>
          <t>Last Review Date</t>
        </is>
      </c>
      <c r="O4" s="13" t="inlineStr">
        <is>
          <t>Next Review Date</t>
        </is>
      </c>
      <c r="P4" s="13" t="inlineStr">
        <is>
          <t>Notes</t>
        </is>
      </c>
    </row>
    <row r="5">
      <c r="A5" s="14" t="inlineStr">
        <is>
          <t>SRC-001</t>
        </is>
      </c>
      <c r="B5" s="14" t="inlineStr">
        <is>
          <t>MISP Community Feed</t>
        </is>
      </c>
      <c r="C5" s="14" t="inlineStr">
        <is>
          <t>OSINT</t>
        </is>
      </c>
      <c r="D5" s="14" t="inlineStr">
        <is>
          <t>Threat Feed</t>
        </is>
      </c>
      <c r="E5" s="14" t="inlineStr">
        <is>
          <t>CIRCL Luxembourg</t>
        </is>
      </c>
      <c r="F5" s="14" t="inlineStr">
        <is>
          <t>info@circl.lu</t>
        </is>
      </c>
      <c r="G5" s="14" t="inlineStr">
        <is>
          <t>01.01.2025</t>
        </is>
      </c>
      <c r="H5" s="14" t="inlineStr">
        <is>
          <t>31.12.2025</t>
        </is>
      </c>
      <c r="I5" s="14" t="inlineStr">
        <is>
          <t>No</t>
        </is>
      </c>
      <c r="J5" s="14" t="inlineStr">
        <is>
          <t>Active</t>
        </is>
      </c>
      <c r="K5" s="14" t="inlineStr">
        <is>
          <t>Full</t>
        </is>
      </c>
      <c r="L5" s="14" t="inlineStr">
        <is>
          <t>CISO</t>
        </is>
      </c>
      <c r="M5" s="14" t="inlineStr">
        <is>
          <t>Security Manager</t>
        </is>
      </c>
      <c r="N5" s="14" t="inlineStr">
        <is>
          <t>01.01.2025</t>
        </is>
      </c>
      <c r="O5" s="14" t="inlineStr">
        <is>
          <t>01.04.2025</t>
        </is>
      </c>
      <c r="P5" s="14" t="inlineStr">
        <is>
          <t>Open-source threat intelligence — primary OSINT feed</t>
        </is>
      </c>
    </row>
    <row r="6">
      <c r="A6" s="15" t="n"/>
      <c r="B6" s="15" t="n"/>
      <c r="C6" s="15" t="n"/>
      <c r="D6" s="15" t="n"/>
      <c r="E6" s="15" t="n"/>
      <c r="F6" s="15" t="n"/>
      <c r="G6" s="16" t="n"/>
      <c r="H6" s="16" t="n"/>
      <c r="I6" s="15" t="n"/>
      <c r="J6" s="15" t="n"/>
      <c r="K6" s="15" t="n"/>
      <c r="L6" s="15" t="n"/>
      <c r="M6" s="15" t="n"/>
      <c r="N6" s="16" t="n"/>
      <c r="O6" s="16">
        <f>IF(N6&lt;&gt;"", N6+90, "")</f>
        <v/>
      </c>
      <c r="P6" s="15" t="n"/>
    </row>
    <row r="7">
      <c r="A7" s="15" t="n"/>
      <c r="B7" s="15" t="n"/>
      <c r="C7" s="15" t="n"/>
      <c r="D7" s="15" t="n"/>
      <c r="E7" s="15" t="n"/>
      <c r="F7" s="15" t="n"/>
      <c r="G7" s="16" t="n"/>
      <c r="H7" s="16" t="n"/>
      <c r="I7" s="15" t="n"/>
      <c r="J7" s="15" t="n"/>
      <c r="K7" s="15" t="n"/>
      <c r="L7" s="15" t="n"/>
      <c r="M7" s="15" t="n"/>
      <c r="N7" s="16" t="n"/>
      <c r="O7" s="16">
        <f>IF(N7&lt;&gt;"", N7+90, "")</f>
        <v/>
      </c>
      <c r="P7" s="15" t="n"/>
    </row>
    <row r="8">
      <c r="A8" s="15" t="n"/>
      <c r="B8" s="15" t="n"/>
      <c r="C8" s="15" t="n"/>
      <c r="D8" s="15" t="n"/>
      <c r="E8" s="15" t="n"/>
      <c r="F8" s="15" t="n"/>
      <c r="G8" s="16" t="n"/>
      <c r="H8" s="16" t="n"/>
      <c r="I8" s="15" t="n"/>
      <c r="J8" s="15" t="n"/>
      <c r="K8" s="15" t="n"/>
      <c r="L8" s="15" t="n"/>
      <c r="M8" s="15" t="n"/>
      <c r="N8" s="16" t="n"/>
      <c r="O8" s="16">
        <f>IF(N8&lt;&gt;"", N8+90, "")</f>
        <v/>
      </c>
      <c r="P8" s="15" t="n"/>
    </row>
    <row r="9">
      <c r="A9" s="15" t="n"/>
      <c r="B9" s="15" t="n"/>
      <c r="C9" s="15" t="n"/>
      <c r="D9" s="15" t="n"/>
      <c r="E9" s="15" t="n"/>
      <c r="F9" s="15" t="n"/>
      <c r="G9" s="16" t="n"/>
      <c r="H9" s="16" t="n"/>
      <c r="I9" s="15" t="n"/>
      <c r="J9" s="15" t="n"/>
      <c r="K9" s="15" t="n"/>
      <c r="L9" s="15" t="n"/>
      <c r="M9" s="15" t="n"/>
      <c r="N9" s="16" t="n"/>
      <c r="O9" s="16">
        <f>IF(N9&lt;&gt;"", N9+90, "")</f>
        <v/>
      </c>
      <c r="P9" s="15" t="n"/>
    </row>
    <row r="10">
      <c r="A10" s="15" t="n"/>
      <c r="B10" s="15" t="n"/>
      <c r="C10" s="15" t="n"/>
      <c r="D10" s="15" t="n"/>
      <c r="E10" s="15" t="n"/>
      <c r="F10" s="15" t="n"/>
      <c r="G10" s="16" t="n"/>
      <c r="H10" s="16" t="n"/>
      <c r="I10" s="15" t="n"/>
      <c r="J10" s="15" t="n"/>
      <c r="K10" s="15" t="n"/>
      <c r="L10" s="15" t="n"/>
      <c r="M10" s="15" t="n"/>
      <c r="N10" s="16" t="n"/>
      <c r="O10" s="16">
        <f>IF(N10&lt;&gt;"", N10+90, "")</f>
        <v/>
      </c>
      <c r="P10" s="15" t="n"/>
    </row>
    <row r="11">
      <c r="A11" s="15" t="n"/>
      <c r="B11" s="15" t="n"/>
      <c r="C11" s="15" t="n"/>
      <c r="D11" s="15" t="n"/>
      <c r="E11" s="15" t="n"/>
      <c r="F11" s="15" t="n"/>
      <c r="G11" s="16" t="n"/>
      <c r="H11" s="16" t="n"/>
      <c r="I11" s="15" t="n"/>
      <c r="J11" s="15" t="n"/>
      <c r="K11" s="15" t="n"/>
      <c r="L11" s="15" t="n"/>
      <c r="M11" s="15" t="n"/>
      <c r="N11" s="16" t="n"/>
      <c r="O11" s="16">
        <f>IF(N11&lt;&gt;"", N11+90, "")</f>
        <v/>
      </c>
      <c r="P11" s="15" t="n"/>
    </row>
    <row r="12">
      <c r="A12" s="15" t="n"/>
      <c r="B12" s="15" t="n"/>
      <c r="C12" s="15" t="n"/>
      <c r="D12" s="15" t="n"/>
      <c r="E12" s="15" t="n"/>
      <c r="F12" s="15" t="n"/>
      <c r="G12" s="16" t="n"/>
      <c r="H12" s="16" t="n"/>
      <c r="I12" s="15" t="n"/>
      <c r="J12" s="15" t="n"/>
      <c r="K12" s="15" t="n"/>
      <c r="L12" s="15" t="n"/>
      <c r="M12" s="15" t="n"/>
      <c r="N12" s="16" t="n"/>
      <c r="O12" s="16">
        <f>IF(N12&lt;&gt;"", N12+90, "")</f>
        <v/>
      </c>
      <c r="P12" s="15" t="n"/>
    </row>
    <row r="13">
      <c r="A13" s="15" t="n"/>
      <c r="B13" s="15" t="n"/>
      <c r="C13" s="15" t="n"/>
      <c r="D13" s="15" t="n"/>
      <c r="E13" s="15" t="n"/>
      <c r="F13" s="15" t="n"/>
      <c r="G13" s="16" t="n"/>
      <c r="H13" s="16" t="n"/>
      <c r="I13" s="15" t="n"/>
      <c r="J13" s="15" t="n"/>
      <c r="K13" s="15" t="n"/>
      <c r="L13" s="15" t="n"/>
      <c r="M13" s="15" t="n"/>
      <c r="N13" s="16" t="n"/>
      <c r="O13" s="16">
        <f>IF(N13&lt;&gt;"", N13+90, "")</f>
        <v/>
      </c>
      <c r="P13" s="15" t="n"/>
    </row>
    <row r="14">
      <c r="A14" s="15" t="n"/>
      <c r="B14" s="15" t="n"/>
      <c r="C14" s="15" t="n"/>
      <c r="D14" s="15" t="n"/>
      <c r="E14" s="15" t="n"/>
      <c r="F14" s="15" t="n"/>
      <c r="G14" s="16" t="n"/>
      <c r="H14" s="16" t="n"/>
      <c r="I14" s="15" t="n"/>
      <c r="J14" s="15" t="n"/>
      <c r="K14" s="15" t="n"/>
      <c r="L14" s="15" t="n"/>
      <c r="M14" s="15" t="n"/>
      <c r="N14" s="16" t="n"/>
      <c r="O14" s="16">
        <f>IF(N14&lt;&gt;"", N14+90, "")</f>
        <v/>
      </c>
      <c r="P14" s="15" t="n"/>
    </row>
    <row r="15">
      <c r="A15" s="15" t="n"/>
      <c r="B15" s="15" t="n"/>
      <c r="C15" s="15" t="n"/>
      <c r="D15" s="15" t="n"/>
      <c r="E15" s="15" t="n"/>
      <c r="F15" s="15" t="n"/>
      <c r="G15" s="16" t="n"/>
      <c r="H15" s="16" t="n"/>
      <c r="I15" s="15" t="n"/>
      <c r="J15" s="15" t="n"/>
      <c r="K15" s="15" t="n"/>
      <c r="L15" s="15" t="n"/>
      <c r="M15" s="15" t="n"/>
      <c r="N15" s="16" t="n"/>
      <c r="O15" s="16">
        <f>IF(N15&lt;&gt;"", N15+90, "")</f>
        <v/>
      </c>
      <c r="P15" s="15" t="n"/>
    </row>
    <row r="16">
      <c r="A16" s="15" t="n"/>
      <c r="B16" s="15" t="n"/>
      <c r="C16" s="15" t="n"/>
      <c r="D16" s="15" t="n"/>
      <c r="E16" s="15" t="n"/>
      <c r="F16" s="15" t="n"/>
      <c r="G16" s="16" t="n"/>
      <c r="H16" s="16" t="n"/>
      <c r="I16" s="15" t="n"/>
      <c r="J16" s="15" t="n"/>
      <c r="K16" s="15" t="n"/>
      <c r="L16" s="15" t="n"/>
      <c r="M16" s="15" t="n"/>
      <c r="N16" s="16" t="n"/>
      <c r="O16" s="16">
        <f>IF(N16&lt;&gt;"", N16+90, "")</f>
        <v/>
      </c>
      <c r="P16" s="15" t="n"/>
    </row>
    <row r="17">
      <c r="A17" s="15" t="n"/>
      <c r="B17" s="15" t="n"/>
      <c r="C17" s="15" t="n"/>
      <c r="D17" s="15" t="n"/>
      <c r="E17" s="15" t="n"/>
      <c r="F17" s="15" t="n"/>
      <c r="G17" s="16" t="n"/>
      <c r="H17" s="16" t="n"/>
      <c r="I17" s="15" t="n"/>
      <c r="J17" s="15" t="n"/>
      <c r="K17" s="15" t="n"/>
      <c r="L17" s="15" t="n"/>
      <c r="M17" s="15" t="n"/>
      <c r="N17" s="16" t="n"/>
      <c r="O17" s="16">
        <f>IF(N17&lt;&gt;"", N17+90, "")</f>
        <v/>
      </c>
      <c r="P17" s="15" t="n"/>
    </row>
    <row r="18">
      <c r="A18" s="15" t="n"/>
      <c r="B18" s="15" t="n"/>
      <c r="C18" s="15" t="n"/>
      <c r="D18" s="15" t="n"/>
      <c r="E18" s="15" t="n"/>
      <c r="F18" s="15" t="n"/>
      <c r="G18" s="16" t="n"/>
      <c r="H18" s="16" t="n"/>
      <c r="I18" s="15" t="n"/>
      <c r="J18" s="15" t="n"/>
      <c r="K18" s="15" t="n"/>
      <c r="L18" s="15" t="n"/>
      <c r="M18" s="15" t="n"/>
      <c r="N18" s="16" t="n"/>
      <c r="O18" s="16">
        <f>IF(N18&lt;&gt;"", N18+90, "")</f>
        <v/>
      </c>
      <c r="P18" s="15" t="n"/>
    </row>
    <row r="19">
      <c r="A19" s="15" t="n"/>
      <c r="B19" s="15" t="n"/>
      <c r="C19" s="15" t="n"/>
      <c r="D19" s="15" t="n"/>
      <c r="E19" s="15" t="n"/>
      <c r="F19" s="15" t="n"/>
      <c r="G19" s="16" t="n"/>
      <c r="H19" s="16" t="n"/>
      <c r="I19" s="15" t="n"/>
      <c r="J19" s="15" t="n"/>
      <c r="K19" s="15" t="n"/>
      <c r="L19" s="15" t="n"/>
      <c r="M19" s="15" t="n"/>
      <c r="N19" s="16" t="n"/>
      <c r="O19" s="16">
        <f>IF(N19&lt;&gt;"", N19+90, "")</f>
        <v/>
      </c>
      <c r="P19" s="15" t="n"/>
    </row>
    <row r="20">
      <c r="A20" s="15" t="n"/>
      <c r="B20" s="15" t="n"/>
      <c r="C20" s="15" t="n"/>
      <c r="D20" s="15" t="n"/>
      <c r="E20" s="15" t="n"/>
      <c r="F20" s="15" t="n"/>
      <c r="G20" s="16" t="n"/>
      <c r="H20" s="16" t="n"/>
      <c r="I20" s="15" t="n"/>
      <c r="J20" s="15" t="n"/>
      <c r="K20" s="15" t="n"/>
      <c r="L20" s="15" t="n"/>
      <c r="M20" s="15" t="n"/>
      <c r="N20" s="16" t="n"/>
      <c r="O20" s="16">
        <f>IF(N20&lt;&gt;"", N20+90, "")</f>
        <v/>
      </c>
      <c r="P20" s="15" t="n"/>
    </row>
    <row r="21">
      <c r="A21" s="15" t="n"/>
      <c r="B21" s="15" t="n"/>
      <c r="C21" s="15" t="n"/>
      <c r="D21" s="15" t="n"/>
      <c r="E21" s="15" t="n"/>
      <c r="F21" s="15" t="n"/>
      <c r="G21" s="16" t="n"/>
      <c r="H21" s="16" t="n"/>
      <c r="I21" s="15" t="n"/>
      <c r="J21" s="15" t="n"/>
      <c r="K21" s="15" t="n"/>
      <c r="L21" s="15" t="n"/>
      <c r="M21" s="15" t="n"/>
      <c r="N21" s="16" t="n"/>
      <c r="O21" s="16">
        <f>IF(N21&lt;&gt;"", N21+90, "")</f>
        <v/>
      </c>
      <c r="P21" s="15" t="n"/>
    </row>
    <row r="22">
      <c r="A22" s="15" t="n"/>
      <c r="B22" s="15" t="n"/>
      <c r="C22" s="15" t="n"/>
      <c r="D22" s="15" t="n"/>
      <c r="E22" s="15" t="n"/>
      <c r="F22" s="15" t="n"/>
      <c r="G22" s="16" t="n"/>
      <c r="H22" s="16" t="n"/>
      <c r="I22" s="15" t="n"/>
      <c r="J22" s="15" t="n"/>
      <c r="K22" s="15" t="n"/>
      <c r="L22" s="15" t="n"/>
      <c r="M22" s="15" t="n"/>
      <c r="N22" s="16" t="n"/>
      <c r="O22" s="16">
        <f>IF(N22&lt;&gt;"", N22+90, "")</f>
        <v/>
      </c>
      <c r="P22" s="15" t="n"/>
    </row>
    <row r="23">
      <c r="A23" s="15" t="n"/>
      <c r="B23" s="15" t="n"/>
      <c r="C23" s="15" t="n"/>
      <c r="D23" s="15" t="n"/>
      <c r="E23" s="15" t="n"/>
      <c r="F23" s="15" t="n"/>
      <c r="G23" s="16" t="n"/>
      <c r="H23" s="16" t="n"/>
      <c r="I23" s="15" t="n"/>
      <c r="J23" s="15" t="n"/>
      <c r="K23" s="15" t="n"/>
      <c r="L23" s="15" t="n"/>
      <c r="M23" s="15" t="n"/>
      <c r="N23" s="16" t="n"/>
      <c r="O23" s="16">
        <f>IF(N23&lt;&gt;"", N23+90, "")</f>
        <v/>
      </c>
      <c r="P23" s="15" t="n"/>
    </row>
    <row r="24">
      <c r="A24" s="15" t="n"/>
      <c r="B24" s="15" t="n"/>
      <c r="C24" s="15" t="n"/>
      <c r="D24" s="15" t="n"/>
      <c r="E24" s="15" t="n"/>
      <c r="F24" s="15" t="n"/>
      <c r="G24" s="16" t="n"/>
      <c r="H24" s="16" t="n"/>
      <c r="I24" s="15" t="n"/>
      <c r="J24" s="15" t="n"/>
      <c r="K24" s="15" t="n"/>
      <c r="L24" s="15" t="n"/>
      <c r="M24" s="15" t="n"/>
      <c r="N24" s="16" t="n"/>
      <c r="O24" s="16">
        <f>IF(N24&lt;&gt;"", N24+90, "")</f>
        <v/>
      </c>
      <c r="P24" s="15" t="n"/>
    </row>
    <row r="25">
      <c r="A25" s="15" t="n"/>
      <c r="B25" s="15" t="n"/>
      <c r="C25" s="15" t="n"/>
      <c r="D25" s="15" t="n"/>
      <c r="E25" s="15" t="n"/>
      <c r="F25" s="15" t="n"/>
      <c r="G25" s="16" t="n"/>
      <c r="H25" s="16" t="n"/>
      <c r="I25" s="15" t="n"/>
      <c r="J25" s="15" t="n"/>
      <c r="K25" s="15" t="n"/>
      <c r="L25" s="15" t="n"/>
      <c r="M25" s="15" t="n"/>
      <c r="N25" s="16" t="n"/>
      <c r="O25" s="16">
        <f>IF(N25&lt;&gt;"", N25+90, "")</f>
        <v/>
      </c>
      <c r="P25" s="15" t="n"/>
    </row>
    <row r="26">
      <c r="A26" s="15" t="n"/>
      <c r="B26" s="15" t="n"/>
      <c r="C26" s="15" t="n"/>
      <c r="D26" s="15" t="n"/>
      <c r="E26" s="15" t="n"/>
      <c r="F26" s="15" t="n"/>
      <c r="G26" s="16" t="n"/>
      <c r="H26" s="16" t="n"/>
      <c r="I26" s="15" t="n"/>
      <c r="J26" s="15" t="n"/>
      <c r="K26" s="15" t="n"/>
      <c r="L26" s="15" t="n"/>
      <c r="M26" s="15" t="n"/>
      <c r="N26" s="16" t="n"/>
      <c r="O26" s="16">
        <f>IF(N26&lt;&gt;"", N26+90, "")</f>
        <v/>
      </c>
      <c r="P26" s="15" t="n"/>
    </row>
    <row r="27">
      <c r="A27" s="15" t="n"/>
      <c r="B27" s="15" t="n"/>
      <c r="C27" s="15" t="n"/>
      <c r="D27" s="15" t="n"/>
      <c r="E27" s="15" t="n"/>
      <c r="F27" s="15" t="n"/>
      <c r="G27" s="16" t="n"/>
      <c r="H27" s="16" t="n"/>
      <c r="I27" s="15" t="n"/>
      <c r="J27" s="15" t="n"/>
      <c r="K27" s="15" t="n"/>
      <c r="L27" s="15" t="n"/>
      <c r="M27" s="15" t="n"/>
      <c r="N27" s="16" t="n"/>
      <c r="O27" s="16">
        <f>IF(N27&lt;&gt;"", N27+90, "")</f>
        <v/>
      </c>
      <c r="P27" s="15" t="n"/>
    </row>
    <row r="28">
      <c r="A28" s="15" t="n"/>
      <c r="B28" s="15" t="n"/>
      <c r="C28" s="15" t="n"/>
      <c r="D28" s="15" t="n"/>
      <c r="E28" s="15" t="n"/>
      <c r="F28" s="15" t="n"/>
      <c r="G28" s="16" t="n"/>
      <c r="H28" s="16" t="n"/>
      <c r="I28" s="15" t="n"/>
      <c r="J28" s="15" t="n"/>
      <c r="K28" s="15" t="n"/>
      <c r="L28" s="15" t="n"/>
      <c r="M28" s="15" t="n"/>
      <c r="N28" s="16" t="n"/>
      <c r="O28" s="16">
        <f>IF(N28&lt;&gt;"", N28+90, "")</f>
        <v/>
      </c>
      <c r="P28" s="15" t="n"/>
    </row>
    <row r="29">
      <c r="A29" s="15" t="n"/>
      <c r="B29" s="15" t="n"/>
      <c r="C29" s="15" t="n"/>
      <c r="D29" s="15" t="n"/>
      <c r="E29" s="15" t="n"/>
      <c r="F29" s="15" t="n"/>
      <c r="G29" s="16" t="n"/>
      <c r="H29" s="16" t="n"/>
      <c r="I29" s="15" t="n"/>
      <c r="J29" s="15" t="n"/>
      <c r="K29" s="15" t="n"/>
      <c r="L29" s="15" t="n"/>
      <c r="M29" s="15" t="n"/>
      <c r="N29" s="16" t="n"/>
      <c r="O29" s="16">
        <f>IF(N29&lt;&gt;"", N29+90, "")</f>
        <v/>
      </c>
      <c r="P29" s="15" t="n"/>
    </row>
    <row r="30">
      <c r="A30" s="15" t="n"/>
      <c r="B30" s="15" t="n"/>
      <c r="C30" s="15" t="n"/>
      <c r="D30" s="15" t="n"/>
      <c r="E30" s="15" t="n"/>
      <c r="F30" s="15" t="n"/>
      <c r="G30" s="16" t="n"/>
      <c r="H30" s="16" t="n"/>
      <c r="I30" s="15" t="n"/>
      <c r="J30" s="15" t="n"/>
      <c r="K30" s="15" t="n"/>
      <c r="L30" s="15" t="n"/>
      <c r="M30" s="15" t="n"/>
      <c r="N30" s="16" t="n"/>
      <c r="O30" s="16">
        <f>IF(N30&lt;&gt;"", N30+90, "")</f>
        <v/>
      </c>
      <c r="P30" s="15" t="n"/>
    </row>
    <row r="31">
      <c r="A31" s="15" t="n"/>
      <c r="B31" s="15" t="n"/>
      <c r="C31" s="15" t="n"/>
      <c r="D31" s="15" t="n"/>
      <c r="E31" s="15" t="n"/>
      <c r="F31" s="15" t="n"/>
      <c r="G31" s="16" t="n"/>
      <c r="H31" s="16" t="n"/>
      <c r="I31" s="15" t="n"/>
      <c r="J31" s="15" t="n"/>
      <c r="K31" s="15" t="n"/>
      <c r="L31" s="15" t="n"/>
      <c r="M31" s="15" t="n"/>
      <c r="N31" s="16" t="n"/>
      <c r="O31" s="16">
        <f>IF(N31&lt;&gt;"", N31+90, "")</f>
        <v/>
      </c>
      <c r="P31" s="15" t="n"/>
    </row>
    <row r="32">
      <c r="A32" s="15" t="n"/>
      <c r="B32" s="15" t="n"/>
      <c r="C32" s="15" t="n"/>
      <c r="D32" s="15" t="n"/>
      <c r="E32" s="15" t="n"/>
      <c r="F32" s="15" t="n"/>
      <c r="G32" s="16" t="n"/>
      <c r="H32" s="16" t="n"/>
      <c r="I32" s="15" t="n"/>
      <c r="J32" s="15" t="n"/>
      <c r="K32" s="15" t="n"/>
      <c r="L32" s="15" t="n"/>
      <c r="M32" s="15" t="n"/>
      <c r="N32" s="16" t="n"/>
      <c r="O32" s="16">
        <f>IF(N32&lt;&gt;"", N32+90, "")</f>
        <v/>
      </c>
      <c r="P32" s="15" t="n"/>
    </row>
    <row r="33">
      <c r="A33" s="15" t="n"/>
      <c r="B33" s="15" t="n"/>
      <c r="C33" s="15" t="n"/>
      <c r="D33" s="15" t="n"/>
      <c r="E33" s="15" t="n"/>
      <c r="F33" s="15" t="n"/>
      <c r="G33" s="16" t="n"/>
      <c r="H33" s="16" t="n"/>
      <c r="I33" s="15" t="n"/>
      <c r="J33" s="15" t="n"/>
      <c r="K33" s="15" t="n"/>
      <c r="L33" s="15" t="n"/>
      <c r="M33" s="15" t="n"/>
      <c r="N33" s="16" t="n"/>
      <c r="O33" s="16">
        <f>IF(N33&lt;&gt;"", N33+90, "")</f>
        <v/>
      </c>
      <c r="P33" s="15" t="n"/>
    </row>
    <row r="34">
      <c r="A34" s="15" t="n"/>
      <c r="B34" s="15" t="n"/>
      <c r="C34" s="15" t="n"/>
      <c r="D34" s="15" t="n"/>
      <c r="E34" s="15" t="n"/>
      <c r="F34" s="15" t="n"/>
      <c r="G34" s="16" t="n"/>
      <c r="H34" s="16" t="n"/>
      <c r="I34" s="15" t="n"/>
      <c r="J34" s="15" t="n"/>
      <c r="K34" s="15" t="n"/>
      <c r="L34" s="15" t="n"/>
      <c r="M34" s="15" t="n"/>
      <c r="N34" s="16" t="n"/>
      <c r="O34" s="16">
        <f>IF(N34&lt;&gt;"", N34+90, "")</f>
        <v/>
      </c>
      <c r="P34" s="15" t="n"/>
    </row>
    <row r="35">
      <c r="A35" s="15" t="n"/>
      <c r="B35" s="15" t="n"/>
      <c r="C35" s="15" t="n"/>
      <c r="D35" s="15" t="n"/>
      <c r="E35" s="15" t="n"/>
      <c r="F35" s="15" t="n"/>
      <c r="G35" s="16" t="n"/>
      <c r="H35" s="16" t="n"/>
      <c r="I35" s="15" t="n"/>
      <c r="J35" s="15" t="n"/>
      <c r="K35" s="15" t="n"/>
      <c r="L35" s="15" t="n"/>
      <c r="M35" s="15" t="n"/>
      <c r="N35" s="16" t="n"/>
      <c r="O35" s="16">
        <f>IF(N35&lt;&gt;"", N35+90, "")</f>
        <v/>
      </c>
      <c r="P35" s="15" t="n"/>
    </row>
    <row r="36">
      <c r="A36" s="15" t="n"/>
      <c r="B36" s="15" t="n"/>
      <c r="C36" s="15" t="n"/>
      <c r="D36" s="15" t="n"/>
      <c r="E36" s="15" t="n"/>
      <c r="F36" s="15" t="n"/>
      <c r="G36" s="16" t="n"/>
      <c r="H36" s="16" t="n"/>
      <c r="I36" s="15" t="n"/>
      <c r="J36" s="15" t="n"/>
      <c r="K36" s="15" t="n"/>
      <c r="L36" s="15" t="n"/>
      <c r="M36" s="15" t="n"/>
      <c r="N36" s="16" t="n"/>
      <c r="O36" s="16">
        <f>IF(N36&lt;&gt;"", N36+90, "")</f>
        <v/>
      </c>
      <c r="P36" s="15" t="n"/>
    </row>
    <row r="37">
      <c r="A37" s="15" t="n"/>
      <c r="B37" s="15" t="n"/>
      <c r="C37" s="15" t="n"/>
      <c r="D37" s="15" t="n"/>
      <c r="E37" s="15" t="n"/>
      <c r="F37" s="15" t="n"/>
      <c r="G37" s="16" t="n"/>
      <c r="H37" s="16" t="n"/>
      <c r="I37" s="15" t="n"/>
      <c r="J37" s="15" t="n"/>
      <c r="K37" s="15" t="n"/>
      <c r="L37" s="15" t="n"/>
      <c r="M37" s="15" t="n"/>
      <c r="N37" s="16" t="n"/>
      <c r="O37" s="16">
        <f>IF(N37&lt;&gt;"", N37+90, "")</f>
        <v/>
      </c>
      <c r="P37" s="15" t="n"/>
    </row>
    <row r="38">
      <c r="A38" s="15" t="n"/>
      <c r="B38" s="15" t="n"/>
      <c r="C38" s="15" t="n"/>
      <c r="D38" s="15" t="n"/>
      <c r="E38" s="15" t="n"/>
      <c r="F38" s="15" t="n"/>
      <c r="G38" s="16" t="n"/>
      <c r="H38" s="16" t="n"/>
      <c r="I38" s="15" t="n"/>
      <c r="J38" s="15" t="n"/>
      <c r="K38" s="15" t="n"/>
      <c r="L38" s="15" t="n"/>
      <c r="M38" s="15" t="n"/>
      <c r="N38" s="16" t="n"/>
      <c r="O38" s="16">
        <f>IF(N38&lt;&gt;"", N38+90, "")</f>
        <v/>
      </c>
      <c r="P38" s="15" t="n"/>
    </row>
    <row r="39">
      <c r="A39" s="15" t="n"/>
      <c r="B39" s="15" t="n"/>
      <c r="C39" s="15" t="n"/>
      <c r="D39" s="15" t="n"/>
      <c r="E39" s="15" t="n"/>
      <c r="F39" s="15" t="n"/>
      <c r="G39" s="16" t="n"/>
      <c r="H39" s="16" t="n"/>
      <c r="I39" s="15" t="n"/>
      <c r="J39" s="15" t="n"/>
      <c r="K39" s="15" t="n"/>
      <c r="L39" s="15" t="n"/>
      <c r="M39" s="15" t="n"/>
      <c r="N39" s="16" t="n"/>
      <c r="O39" s="16">
        <f>IF(N39&lt;&gt;"", N39+90, "")</f>
        <v/>
      </c>
      <c r="P39" s="15" t="n"/>
    </row>
    <row r="40">
      <c r="A40" s="15" t="n"/>
      <c r="B40" s="15" t="n"/>
      <c r="C40" s="15" t="n"/>
      <c r="D40" s="15" t="n"/>
      <c r="E40" s="15" t="n"/>
      <c r="F40" s="15" t="n"/>
      <c r="G40" s="16" t="n"/>
      <c r="H40" s="16" t="n"/>
      <c r="I40" s="15" t="n"/>
      <c r="J40" s="15" t="n"/>
      <c r="K40" s="15" t="n"/>
      <c r="L40" s="15" t="n"/>
      <c r="M40" s="15" t="n"/>
      <c r="N40" s="16" t="n"/>
      <c r="O40" s="16">
        <f>IF(N40&lt;&gt;"", N40+90, "")</f>
        <v/>
      </c>
      <c r="P40" s="15" t="n"/>
    </row>
    <row r="41">
      <c r="A41" s="15" t="n"/>
      <c r="B41" s="15" t="n"/>
      <c r="C41" s="15" t="n"/>
      <c r="D41" s="15" t="n"/>
      <c r="E41" s="15" t="n"/>
      <c r="F41" s="15" t="n"/>
      <c r="G41" s="16" t="n"/>
      <c r="H41" s="16" t="n"/>
      <c r="I41" s="15" t="n"/>
      <c r="J41" s="15" t="n"/>
      <c r="K41" s="15" t="n"/>
      <c r="L41" s="15" t="n"/>
      <c r="M41" s="15" t="n"/>
      <c r="N41" s="16" t="n"/>
      <c r="O41" s="16">
        <f>IF(N41&lt;&gt;"", N41+90, "")</f>
        <v/>
      </c>
      <c r="P41" s="15" t="n"/>
    </row>
    <row r="42">
      <c r="A42" s="15" t="n"/>
      <c r="B42" s="15" t="n"/>
      <c r="C42" s="15" t="n"/>
      <c r="D42" s="15" t="n"/>
      <c r="E42" s="15" t="n"/>
      <c r="F42" s="15" t="n"/>
      <c r="G42" s="16" t="n"/>
      <c r="H42" s="16" t="n"/>
      <c r="I42" s="15" t="n"/>
      <c r="J42" s="15" t="n"/>
      <c r="K42" s="15" t="n"/>
      <c r="L42" s="15" t="n"/>
      <c r="M42" s="15" t="n"/>
      <c r="N42" s="16" t="n"/>
      <c r="O42" s="16">
        <f>IF(N42&lt;&gt;"", N42+90, "")</f>
        <v/>
      </c>
      <c r="P42" s="15" t="n"/>
    </row>
    <row r="43">
      <c r="A43" s="15" t="n"/>
      <c r="B43" s="15" t="n"/>
      <c r="C43" s="15" t="n"/>
      <c r="D43" s="15" t="n"/>
      <c r="E43" s="15" t="n"/>
      <c r="F43" s="15" t="n"/>
      <c r="G43" s="16" t="n"/>
      <c r="H43" s="16" t="n"/>
      <c r="I43" s="15" t="n"/>
      <c r="J43" s="15" t="n"/>
      <c r="K43" s="15" t="n"/>
      <c r="L43" s="15" t="n"/>
      <c r="M43" s="15" t="n"/>
      <c r="N43" s="16" t="n"/>
      <c r="O43" s="16">
        <f>IF(N43&lt;&gt;"", N43+90, "")</f>
        <v/>
      </c>
      <c r="P43" s="15" t="n"/>
    </row>
    <row r="44">
      <c r="A44" s="15" t="n"/>
      <c r="B44" s="15" t="n"/>
      <c r="C44" s="15" t="n"/>
      <c r="D44" s="15" t="n"/>
      <c r="E44" s="15" t="n"/>
      <c r="F44" s="15" t="n"/>
      <c r="G44" s="16" t="n"/>
      <c r="H44" s="16" t="n"/>
      <c r="I44" s="15" t="n"/>
      <c r="J44" s="15" t="n"/>
      <c r="K44" s="15" t="n"/>
      <c r="L44" s="15" t="n"/>
      <c r="M44" s="15" t="n"/>
      <c r="N44" s="16" t="n"/>
      <c r="O44" s="16">
        <f>IF(N44&lt;&gt;"", N44+90, "")</f>
        <v/>
      </c>
      <c r="P44" s="15" t="n"/>
    </row>
    <row r="45">
      <c r="A45" s="15" t="n"/>
      <c r="B45" s="15" t="n"/>
      <c r="C45" s="15" t="n"/>
      <c r="D45" s="15" t="n"/>
      <c r="E45" s="15" t="n"/>
      <c r="F45" s="15" t="n"/>
      <c r="G45" s="16" t="n"/>
      <c r="H45" s="16" t="n"/>
      <c r="I45" s="15" t="n"/>
      <c r="J45" s="15" t="n"/>
      <c r="K45" s="15" t="n"/>
      <c r="L45" s="15" t="n"/>
      <c r="M45" s="15" t="n"/>
      <c r="N45" s="16" t="n"/>
      <c r="O45" s="16">
        <f>IF(N45&lt;&gt;"", N45+90, "")</f>
        <v/>
      </c>
      <c r="P45" s="15" t="n"/>
    </row>
    <row r="46">
      <c r="A46" s="15" t="n"/>
      <c r="B46" s="15" t="n"/>
      <c r="C46" s="15" t="n"/>
      <c r="D46" s="15" t="n"/>
      <c r="E46" s="15" t="n"/>
      <c r="F46" s="15" t="n"/>
      <c r="G46" s="16" t="n"/>
      <c r="H46" s="16" t="n"/>
      <c r="I46" s="15" t="n"/>
      <c r="J46" s="15" t="n"/>
      <c r="K46" s="15" t="n"/>
      <c r="L46" s="15" t="n"/>
      <c r="M46" s="15" t="n"/>
      <c r="N46" s="16" t="n"/>
      <c r="O46" s="16">
        <f>IF(N46&lt;&gt;"", N46+90, "")</f>
        <v/>
      </c>
      <c r="P46" s="15" t="n"/>
    </row>
    <row r="47">
      <c r="A47" s="15" t="n"/>
      <c r="B47" s="15" t="n"/>
      <c r="C47" s="15" t="n"/>
      <c r="D47" s="15" t="n"/>
      <c r="E47" s="15" t="n"/>
      <c r="F47" s="15" t="n"/>
      <c r="G47" s="16" t="n"/>
      <c r="H47" s="16" t="n"/>
      <c r="I47" s="15" t="n"/>
      <c r="J47" s="15" t="n"/>
      <c r="K47" s="15" t="n"/>
      <c r="L47" s="15" t="n"/>
      <c r="M47" s="15" t="n"/>
      <c r="N47" s="16" t="n"/>
      <c r="O47" s="16">
        <f>IF(N47&lt;&gt;"", N47+90, "")</f>
        <v/>
      </c>
      <c r="P47" s="15" t="n"/>
    </row>
    <row r="48">
      <c r="A48" s="15" t="n"/>
      <c r="B48" s="15" t="n"/>
      <c r="C48" s="15" t="n"/>
      <c r="D48" s="15" t="n"/>
      <c r="E48" s="15" t="n"/>
      <c r="F48" s="15" t="n"/>
      <c r="G48" s="16" t="n"/>
      <c r="H48" s="16" t="n"/>
      <c r="I48" s="15" t="n"/>
      <c r="J48" s="15" t="n"/>
      <c r="K48" s="15" t="n"/>
      <c r="L48" s="15" t="n"/>
      <c r="M48" s="15" t="n"/>
      <c r="N48" s="16" t="n"/>
      <c r="O48" s="16">
        <f>IF(N48&lt;&gt;"", N48+90, "")</f>
        <v/>
      </c>
      <c r="P48" s="15" t="n"/>
    </row>
    <row r="49">
      <c r="A49" s="15" t="n"/>
      <c r="B49" s="15" t="n"/>
      <c r="C49" s="15" t="n"/>
      <c r="D49" s="15" t="n"/>
      <c r="E49" s="15" t="n"/>
      <c r="F49" s="15" t="n"/>
      <c r="G49" s="16" t="n"/>
      <c r="H49" s="16" t="n"/>
      <c r="I49" s="15" t="n"/>
      <c r="J49" s="15" t="n"/>
      <c r="K49" s="15" t="n"/>
      <c r="L49" s="15" t="n"/>
      <c r="M49" s="15" t="n"/>
      <c r="N49" s="16" t="n"/>
      <c r="O49" s="16">
        <f>IF(N49&lt;&gt;"", N49+90, "")</f>
        <v/>
      </c>
      <c r="P49" s="15" t="n"/>
    </row>
    <row r="50">
      <c r="A50" s="15" t="n"/>
      <c r="B50" s="15" t="n"/>
      <c r="C50" s="15" t="n"/>
      <c r="D50" s="15" t="n"/>
      <c r="E50" s="15" t="n"/>
      <c r="F50" s="15" t="n"/>
      <c r="G50" s="16" t="n"/>
      <c r="H50" s="16" t="n"/>
      <c r="I50" s="15" t="n"/>
      <c r="J50" s="15" t="n"/>
      <c r="K50" s="15" t="n"/>
      <c r="L50" s="15" t="n"/>
      <c r="M50" s="15" t="n"/>
      <c r="N50" s="16" t="n"/>
      <c r="O50" s="16">
        <f>IF(N50&lt;&gt;"", N50+90, "")</f>
        <v/>
      </c>
      <c r="P50" s="15" t="n"/>
    </row>
    <row r="51">
      <c r="A51" s="15" t="n"/>
      <c r="B51" s="15" t="n"/>
      <c r="C51" s="15" t="n"/>
      <c r="D51" s="15" t="n"/>
      <c r="E51" s="15" t="n"/>
      <c r="F51" s="15" t="n"/>
      <c r="G51" s="16" t="n"/>
      <c r="H51" s="16" t="n"/>
      <c r="I51" s="15" t="n"/>
      <c r="J51" s="15" t="n"/>
      <c r="K51" s="15" t="n"/>
      <c r="L51" s="15" t="n"/>
      <c r="M51" s="15" t="n"/>
      <c r="N51" s="16" t="n"/>
      <c r="O51" s="16">
        <f>IF(N51&lt;&gt;"", N51+90, "")</f>
        <v/>
      </c>
      <c r="P51" s="15" t="n"/>
    </row>
    <row r="52">
      <c r="A52" s="15" t="n"/>
      <c r="B52" s="15" t="n"/>
      <c r="C52" s="15" t="n"/>
      <c r="D52" s="15" t="n"/>
      <c r="E52" s="15" t="n"/>
      <c r="F52" s="15" t="n"/>
      <c r="G52" s="16" t="n"/>
      <c r="H52" s="16" t="n"/>
      <c r="I52" s="15" t="n"/>
      <c r="J52" s="15" t="n"/>
      <c r="K52" s="15" t="n"/>
      <c r="L52" s="15" t="n"/>
      <c r="M52" s="15" t="n"/>
      <c r="N52" s="16" t="n"/>
      <c r="O52" s="16">
        <f>IF(N52&lt;&gt;"", N52+90, "")</f>
        <v/>
      </c>
      <c r="P52" s="15" t="n"/>
    </row>
    <row r="53">
      <c r="A53" s="15" t="n"/>
      <c r="B53" s="15" t="n"/>
      <c r="C53" s="15" t="n"/>
      <c r="D53" s="15" t="n"/>
      <c r="E53" s="15" t="n"/>
      <c r="F53" s="15" t="n"/>
      <c r="G53" s="16" t="n"/>
      <c r="H53" s="16" t="n"/>
      <c r="I53" s="15" t="n"/>
      <c r="J53" s="15" t="n"/>
      <c r="K53" s="15" t="n"/>
      <c r="L53" s="15" t="n"/>
      <c r="M53" s="15" t="n"/>
      <c r="N53" s="16" t="n"/>
      <c r="O53" s="16">
        <f>IF(N53&lt;&gt;"", N53+90, "")</f>
        <v/>
      </c>
      <c r="P53" s="15" t="n"/>
    </row>
    <row r="54">
      <c r="A54" s="15" t="n"/>
      <c r="B54" s="15" t="n"/>
      <c r="C54" s="15" t="n"/>
      <c r="D54" s="15" t="n"/>
      <c r="E54" s="15" t="n"/>
      <c r="F54" s="15" t="n"/>
      <c r="G54" s="16" t="n"/>
      <c r="H54" s="16" t="n"/>
      <c r="I54" s="15" t="n"/>
      <c r="J54" s="15" t="n"/>
      <c r="K54" s="15" t="n"/>
      <c r="L54" s="15" t="n"/>
      <c r="M54" s="15" t="n"/>
      <c r="N54" s="16" t="n"/>
      <c r="O54" s="16">
        <f>IF(N54&lt;&gt;"", N54+90, "")</f>
        <v/>
      </c>
      <c r="P54" s="15" t="n"/>
    </row>
    <row r="55">
      <c r="A55" s="15" t="n"/>
      <c r="B55" s="15" t="n"/>
      <c r="C55" s="15" t="n"/>
      <c r="D55" s="15" t="n"/>
      <c r="E55" s="15" t="n"/>
      <c r="F55" s="15" t="n"/>
      <c r="G55" s="16" t="n"/>
      <c r="H55" s="16" t="n"/>
      <c r="I55" s="15" t="n"/>
      <c r="J55" s="15" t="n"/>
      <c r="K55" s="15" t="n"/>
      <c r="L55" s="15" t="n"/>
      <c r="M55" s="15" t="n"/>
      <c r="N55" s="16" t="n"/>
      <c r="O55" s="16">
        <f>IF(N55&lt;&gt;"", N55+90, "")</f>
        <v/>
      </c>
      <c r="P55" s="15" t="n"/>
    </row>
  </sheetData>
  <mergeCells count="2">
    <mergeCell ref="A1:P1"/>
    <mergeCell ref="A2:P2"/>
  </mergeCells>
  <conditionalFormatting sqref="K6:K55">
    <cfRule type="cellIs" priority="1" operator="equal" dxfId="0">
      <formula>"4.0 Full"</formula>
    </cfRule>
    <cfRule type="cellIs" priority="2" operator="equal" dxfId="1">
      <formula>"4.0 Basic"</formula>
    </cfRule>
    <cfRule type="cellIs" priority="3" operator="equal" dxfId="2">
      <formula>"3.1 Full"</formula>
    </cfRule>
    <cfRule type="cellIs" priority="4" operator="equal" dxfId="3">
      <formula>"3.1 Basic"</formula>
    </cfRule>
    <cfRule type="cellIs" priority="5" operator="equal" dxfId="2">
      <formula>"2.0 Only"</formula>
    </cfRule>
    <cfRule type="cellIs" priority="6" operator="equal" dxfId="4">
      <formula>"Proprietary"</formula>
    </cfRule>
    <cfRule type="cellIs" priority="7" operator="equal" dxfId="4">
      <formula>"None"</formula>
    </cfRule>
  </conditionalFormatting>
  <conditionalFormatting sqref="J6:J55">
    <cfRule type="cellIs" priority="8" operator="equal" dxfId="5">
      <formula>"Inactive"</formula>
    </cfRule>
    <cfRule type="cellIs" priority="9" operator="equal" dxfId="5">
      <formula>"Cancelled"</formula>
    </cfRule>
  </conditionalFormatting>
  <conditionalFormatting sqref="H6:H55">
    <cfRule type="cellIs" priority="10" operator="lessThan" dxfId="4">
      <formula>TODAY()</formula>
    </cfRule>
  </conditionalFormatting>
  <conditionalFormatting sqref="O6:O55">
    <cfRule type="cellIs" priority="11" operator="lessThan" dxfId="2">
      <formula>TODAY()</formula>
    </cfRule>
  </conditionalFormatting>
  <dataValidations count="1">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"Yes,No,Under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5"/>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25" customWidth="1" min="4" max="4"/>
    <col width="20" customWidth="1" min="5" max="5"/>
    <col width="35" customWidth="1" min="6" max="6"/>
    <col width="20" customWidth="1" min="7" max="7"/>
    <col width="35" customWidth="1" min="8" max="8"/>
    <col width="12" customWidth="1" min="9" max="9"/>
    <col width="30" customWidth="1" min="10" max="10"/>
    <col width="12" customWidth="1" min="11" max="11"/>
    <col width="30" customWidth="1" min="12" max="12"/>
    <col width="15" customWidth="1" min="13" max="13"/>
    <col width="30" customWidth="1" min="14" max="14"/>
    <col width="18" customWidth="1" min="15" max="15"/>
    <col width="15" customWidth="1" min="16" max="16"/>
    <col width="18" customWidth="1" min="17" max="17"/>
    <col width="15" customWidth="1" min="18" max="18"/>
    <col width="15" customWidth="1" min="19" max="19"/>
    <col width="15" customWidth="1" min="20" max="20"/>
    <col width="30" customWidth="1" min="21" max="21"/>
    <col width="18" customWidth="1" min="22" max="22"/>
    <col width="15" customWidth="1" min="23" max="23"/>
  </cols>
  <sheetData>
    <row r="1" ht="35" customHeight="1">
      <c r="A1" s="11" t="inlineStr">
        <is>
          <t>THREAT INTELLIGENCE SOURCE EVALUATION (QUALITY + CVSS ACCURACY ASSESSMENT)</t>
        </is>
      </c>
    </row>
    <row r="2">
      <c r="A2" s="17" t="inlineStr">
        <is>
          <t>Assess source reliability using Admiralty Code. NEW: Track CVSS accuracy rate per ISMS-POL-A.5.7-S4 Section 4.4.3 (target: ≥90%).</t>
        </is>
      </c>
    </row>
    <row r="4">
      <c r="A4" s="13" t="inlineStr">
        <is>
          <t>Source ID</t>
        </is>
      </c>
      <c r="B4" s="13" t="inlineStr">
        <is>
          <t>Source Name</t>
        </is>
      </c>
      <c r="C4" s="13" t="inlineStr">
        <is>
          <t>Evaluation Date</t>
        </is>
      </c>
      <c r="D4" s="13" t="inlineStr">
        <is>
          <t>Evaluator</t>
        </is>
      </c>
      <c r="E4" s="13" t="inlineStr">
        <is>
          <t>Reliability Rating</t>
        </is>
      </c>
      <c r="F4" s="13" t="inlineStr">
        <is>
          <t>Reliability Justification</t>
        </is>
      </c>
      <c r="G4" s="13" t="inlineStr">
        <is>
          <t>Credibility Rating</t>
        </is>
      </c>
      <c r="H4" s="13" t="inlineStr">
        <is>
          <t>Credibility Justification</t>
        </is>
      </c>
      <c r="I4" s="13" t="inlineStr">
        <is>
          <t>Timeliness Score</t>
        </is>
      </c>
      <c r="J4" s="13" t="inlineStr">
        <is>
          <t>Timeliness Notes</t>
        </is>
      </c>
      <c r="K4" s="13" t="inlineStr">
        <is>
          <t>Relevance Score</t>
        </is>
      </c>
      <c r="L4" s="13" t="inlineStr">
        <is>
          <t>Relevance Notes</t>
        </is>
      </c>
      <c r="M4" s="13" t="inlineStr">
        <is>
          <t>Actionability Score</t>
        </is>
      </c>
      <c r="N4" s="13" t="inlineStr">
        <is>
          <t>Actionability Notes</t>
        </is>
      </c>
      <c r="O4" s="13" t="inlineStr">
        <is>
          <t>Overall Quality Score</t>
        </is>
      </c>
      <c r="P4" s="13" t="inlineStr">
        <is>
          <t>Quality Rating</t>
        </is>
      </c>
      <c r="Q4" s="13" t="inlineStr">
        <is>
          <t>False Positive Rate</t>
        </is>
      </c>
      <c r="R4" s="13" t="inlineStr">
        <is>
          <t>CVSS Accuracy Rate</t>
        </is>
      </c>
      <c r="S4" s="13" t="inlineStr">
        <is>
          <t>CVSS Sample Size</t>
        </is>
      </c>
      <c r="T4" s="13" t="inlineStr">
        <is>
          <t>CVSS Validation Date</t>
        </is>
      </c>
      <c r="U4" s="13" t="inlineStr">
        <is>
          <t>Evidence Link</t>
        </is>
      </c>
      <c r="V4" s="13" t="inlineStr">
        <is>
          <t>Recommendation</t>
        </is>
      </c>
      <c r="W4" s="13" t="inlineStr">
        <is>
          <t>Next Evaluation</t>
        </is>
      </c>
    </row>
    <row r="5">
      <c r="A5" s="14" t="inlineStr">
        <is>
          <t>SRC-001</t>
        </is>
      </c>
      <c r="B5" s="14" t="inlineStr">
        <is>
          <t>MISP Community Feed</t>
        </is>
      </c>
      <c r="C5" s="18" t="inlineStr">
        <is>
          <t>15.01.2025</t>
        </is>
      </c>
      <c r="D5" s="14" t="inlineStr">
        <is>
          <t>Jane Smith</t>
        </is>
      </c>
      <c r="E5" s="14" t="inlineStr">
        <is>
          <t>B</t>
        </is>
      </c>
      <c r="F5" s="14" t="inlineStr">
        <is>
          <t>Reliable — consistent accuracy over 12 months</t>
        </is>
      </c>
      <c r="G5" s="14" t="inlineStr">
        <is>
          <t>2</t>
        </is>
      </c>
      <c r="H5" s="14" t="inlineStr">
        <is>
          <t>Independently corroborated by CERT-EU</t>
        </is>
      </c>
      <c r="I5" s="14" t="n">
        <v>4</v>
      </c>
      <c r="J5" s="14" t="inlineStr">
        <is>
          <t>Feeds updated daily, occasional 2h delays</t>
        </is>
      </c>
      <c r="K5" s="14" t="n">
        <v>4</v>
      </c>
      <c r="L5" s="14" t="inlineStr">
        <is>
          <t>Covers EU threats; limited Asia-Pacific</t>
        </is>
      </c>
      <c r="M5" s="14" t="n">
        <v>4</v>
      </c>
      <c r="N5" s="14" t="inlineStr">
        <is>
          <t>High actionability for network-based indicators</t>
        </is>
      </c>
      <c r="O5" s="19">
        <f>IF(AND(I5&lt;&gt;"",K5&lt;&gt;"",M5&lt;&gt;""),AVERAGE(I5,K5,M5),"")</f>
        <v/>
      </c>
      <c r="P5" s="14">
        <f>IF(O5="","",IF(O5&gt;=4.5,"Excellent",IF(O5&gt;=3.5,"Good",IF(O5&gt;=2.5,"Fair","Poor"))))</f>
        <v/>
      </c>
      <c r="Q5" s="14" t="inlineStr">
        <is>
          <t>Low</t>
        </is>
      </c>
      <c r="R5" s="20" t="n">
        <v>0.91</v>
      </c>
      <c r="S5" s="21" t="n">
        <v>47</v>
      </c>
      <c r="T5" s="18" t="inlineStr">
        <is>
          <t>10.01.2025</t>
        </is>
      </c>
      <c r="U5" s="14" t="inlineStr">
        <is>
          <t>/evidence/a57/source-eval-2025-01.pdf</t>
        </is>
      </c>
      <c r="V5" s="14" t="inlineStr">
        <is>
          <t>Continue</t>
        </is>
      </c>
      <c r="W5" s="18">
        <f>IF(C5&lt;&gt;"",C5+90,"")</f>
        <v/>
      </c>
    </row>
    <row r="6">
      <c r="A6" s="15" t="n"/>
      <c r="B6" s="15">
        <f>IF(A6="","",IFERROR(VLOOKUP(A6,'Source Inventory'!$A$6:$P$55,2,FALSE),"[Source Not Found]"))</f>
        <v/>
      </c>
      <c r="C6" s="16">
        <f>IF(A6&lt;&gt;"",TODAY(),"")</f>
        <v/>
      </c>
      <c r="D6" s="15" t="n"/>
      <c r="E6" s="15" t="n"/>
      <c r="F6" s="15" t="n"/>
      <c r="G6" s="15" t="n"/>
      <c r="H6" s="15" t="n"/>
      <c r="I6" s="15" t="n"/>
      <c r="J6" s="15" t="n"/>
      <c r="K6" s="15" t="n"/>
      <c r="L6" s="15" t="n"/>
      <c r="M6" s="15" t="n"/>
      <c r="N6" s="15" t="n"/>
      <c r="O6" s="22">
        <f>IF(AND(I6&lt;&gt;"",K6&lt;&gt;"",M6&lt;&gt;""),AVERAGE(I6,K6,M6),"")</f>
        <v/>
      </c>
      <c r="P6" s="15">
        <f>IF(O6="","",IF(O6&gt;=4.5,"Excellent",IF(O6&gt;=3.5,"Good",IF(O6&gt;=2.5,"Fair","Poor"))))</f>
        <v/>
      </c>
      <c r="Q6" s="15" t="n"/>
      <c r="R6" s="23" t="n"/>
      <c r="S6" s="24" t="n"/>
      <c r="T6" s="16" t="n"/>
      <c r="U6" s="15" t="n"/>
      <c r="V6" s="15" t="n"/>
      <c r="W6" s="16">
        <f>IF(C6&lt;&gt;"",C6+90,"")</f>
        <v/>
      </c>
    </row>
    <row r="7">
      <c r="A7" s="15" t="n"/>
      <c r="B7" s="15">
        <f>IF(A7="","",IFERROR(VLOOKUP(A7,'Source Inventory'!$A$6:$P$55,2,FALSE),"[Source Not Found]"))</f>
        <v/>
      </c>
      <c r="C7" s="16">
        <f>IF(A7&lt;&gt;"",TODAY(),"")</f>
        <v/>
      </c>
      <c r="D7" s="15" t="n"/>
      <c r="E7" s="15" t="n"/>
      <c r="F7" s="15" t="n"/>
      <c r="G7" s="15" t="n"/>
      <c r="H7" s="15" t="n"/>
      <c r="I7" s="15" t="n"/>
      <c r="J7" s="15" t="n"/>
      <c r="K7" s="15" t="n"/>
      <c r="L7" s="15" t="n"/>
      <c r="M7" s="15" t="n"/>
      <c r="N7" s="15" t="n"/>
      <c r="O7" s="22">
        <f>IF(AND(I7&lt;&gt;"",K7&lt;&gt;"",M7&lt;&gt;""),AVERAGE(I7,K7,M7),"")</f>
        <v/>
      </c>
      <c r="P7" s="15">
        <f>IF(O7="","",IF(O7&gt;=4.5,"Excellent",IF(O7&gt;=3.5,"Good",IF(O7&gt;=2.5,"Fair","Poor"))))</f>
        <v/>
      </c>
      <c r="Q7" s="15" t="n"/>
      <c r="R7" s="23" t="n"/>
      <c r="S7" s="24" t="n"/>
      <c r="T7" s="16" t="n"/>
      <c r="U7" s="15" t="n"/>
      <c r="V7" s="15" t="n"/>
      <c r="W7" s="16">
        <f>IF(C7&lt;&gt;"",C7+90,"")</f>
        <v/>
      </c>
    </row>
    <row r="8">
      <c r="A8" s="15" t="n"/>
      <c r="B8" s="15">
        <f>IF(A8="","",IFERROR(VLOOKUP(A8,'Source Inventory'!$A$6:$P$55,2,FALSE),"[Source Not Found]"))</f>
        <v/>
      </c>
      <c r="C8" s="16">
        <f>IF(A8&lt;&gt;"",TODAY(),"")</f>
        <v/>
      </c>
      <c r="D8" s="15" t="n"/>
      <c r="E8" s="15" t="n"/>
      <c r="F8" s="15" t="n"/>
      <c r="G8" s="15" t="n"/>
      <c r="H8" s="15" t="n"/>
      <c r="I8" s="15" t="n"/>
      <c r="J8" s="15" t="n"/>
      <c r="K8" s="15" t="n"/>
      <c r="L8" s="15" t="n"/>
      <c r="M8" s="15" t="n"/>
      <c r="N8" s="15" t="n"/>
      <c r="O8" s="22">
        <f>IF(AND(I8&lt;&gt;"",K8&lt;&gt;"",M8&lt;&gt;""),AVERAGE(I8,K8,M8),"")</f>
        <v/>
      </c>
      <c r="P8" s="15">
        <f>IF(O8="","",IF(O8&gt;=4.5,"Excellent",IF(O8&gt;=3.5,"Good",IF(O8&gt;=2.5,"Fair","Poor"))))</f>
        <v/>
      </c>
      <c r="Q8" s="15" t="n"/>
      <c r="R8" s="23" t="n"/>
      <c r="S8" s="24" t="n"/>
      <c r="T8" s="16" t="n"/>
      <c r="U8" s="15" t="n"/>
      <c r="V8" s="15" t="n"/>
      <c r="W8" s="16">
        <f>IF(C8&lt;&gt;"",C8+90,"")</f>
        <v/>
      </c>
    </row>
    <row r="9">
      <c r="A9" s="15" t="n"/>
      <c r="B9" s="15">
        <f>IF(A9="","",IFERROR(VLOOKUP(A9,'Source Inventory'!$A$6:$P$55,2,FALSE),"[Source Not Found]"))</f>
        <v/>
      </c>
      <c r="C9" s="16">
        <f>IF(A9&lt;&gt;"",TODAY(),"")</f>
        <v/>
      </c>
      <c r="D9" s="15" t="n"/>
      <c r="E9" s="15" t="n"/>
      <c r="F9" s="15" t="n"/>
      <c r="G9" s="15" t="n"/>
      <c r="H9" s="15" t="n"/>
      <c r="I9" s="15" t="n"/>
      <c r="J9" s="15" t="n"/>
      <c r="K9" s="15" t="n"/>
      <c r="L9" s="15" t="n"/>
      <c r="M9" s="15" t="n"/>
      <c r="N9" s="15" t="n"/>
      <c r="O9" s="22">
        <f>IF(AND(I9&lt;&gt;"",K9&lt;&gt;"",M9&lt;&gt;""),AVERAGE(I9,K9,M9),"")</f>
        <v/>
      </c>
      <c r="P9" s="15">
        <f>IF(O9="","",IF(O9&gt;=4.5,"Excellent",IF(O9&gt;=3.5,"Good",IF(O9&gt;=2.5,"Fair","Poor"))))</f>
        <v/>
      </c>
      <c r="Q9" s="15" t="n"/>
      <c r="R9" s="23" t="n"/>
      <c r="S9" s="24" t="n"/>
      <c r="T9" s="16" t="n"/>
      <c r="U9" s="15" t="n"/>
      <c r="V9" s="15" t="n"/>
      <c r="W9" s="16">
        <f>IF(C9&lt;&gt;"",C9+90,"")</f>
        <v/>
      </c>
    </row>
    <row r="10">
      <c r="A10" s="15" t="n"/>
      <c r="B10" s="15">
        <f>IF(A10="","",IFERROR(VLOOKUP(A10,'Source Inventory'!$A$6:$P$55,2,FALSE),"[Source Not Found]"))</f>
        <v/>
      </c>
      <c r="C10" s="16">
        <f>IF(A10&lt;&gt;"",TODAY(),"")</f>
        <v/>
      </c>
      <c r="D10" s="15" t="n"/>
      <c r="E10" s="15" t="n"/>
      <c r="F10" s="15" t="n"/>
      <c r="G10" s="15" t="n"/>
      <c r="H10" s="15" t="n"/>
      <c r="I10" s="15" t="n"/>
      <c r="J10" s="15" t="n"/>
      <c r="K10" s="15" t="n"/>
      <c r="L10" s="15" t="n"/>
      <c r="M10" s="15" t="n"/>
      <c r="N10" s="15" t="n"/>
      <c r="O10" s="22">
        <f>IF(AND(I10&lt;&gt;"",K10&lt;&gt;"",M10&lt;&gt;""),AVERAGE(I10,K10,M10),"")</f>
        <v/>
      </c>
      <c r="P10" s="15">
        <f>IF(O10="","",IF(O10&gt;=4.5,"Excellent",IF(O10&gt;=3.5,"Good",IF(O10&gt;=2.5,"Fair","Poor"))))</f>
        <v/>
      </c>
      <c r="Q10" s="15" t="n"/>
      <c r="R10" s="23" t="n"/>
      <c r="S10" s="24" t="n"/>
      <c r="T10" s="16" t="n"/>
      <c r="U10" s="15" t="n"/>
      <c r="V10" s="15" t="n"/>
      <c r="W10" s="16">
        <f>IF(C10&lt;&gt;"",C10+90,"")</f>
        <v/>
      </c>
    </row>
    <row r="11">
      <c r="A11" s="15" t="n"/>
      <c r="B11" s="15">
        <f>IF(A11="","",IFERROR(VLOOKUP(A11,'Source Inventory'!$A$6:$P$55,2,FALSE),"[Source Not Found]"))</f>
        <v/>
      </c>
      <c r="C11" s="16">
        <f>IF(A11&lt;&gt;"",TODAY(),"")</f>
        <v/>
      </c>
      <c r="D11" s="15" t="n"/>
      <c r="E11" s="15" t="n"/>
      <c r="F11" s="15" t="n"/>
      <c r="G11" s="15" t="n"/>
      <c r="H11" s="15" t="n"/>
      <c r="I11" s="15" t="n"/>
      <c r="J11" s="15" t="n"/>
      <c r="K11" s="15" t="n"/>
      <c r="L11" s="15" t="n"/>
      <c r="M11" s="15" t="n"/>
      <c r="N11" s="15" t="n"/>
      <c r="O11" s="22">
        <f>IF(AND(I11&lt;&gt;"",K11&lt;&gt;"",M11&lt;&gt;""),AVERAGE(I11,K11,M11),"")</f>
        <v/>
      </c>
      <c r="P11" s="15">
        <f>IF(O11="","",IF(O11&gt;=4.5,"Excellent",IF(O11&gt;=3.5,"Good",IF(O11&gt;=2.5,"Fair","Poor"))))</f>
        <v/>
      </c>
      <c r="Q11" s="15" t="n"/>
      <c r="R11" s="23" t="n"/>
      <c r="S11" s="24" t="n"/>
      <c r="T11" s="16" t="n"/>
      <c r="U11" s="15" t="n"/>
      <c r="V11" s="15" t="n"/>
      <c r="W11" s="16">
        <f>IF(C11&lt;&gt;"",C11+90,"")</f>
        <v/>
      </c>
    </row>
    <row r="12">
      <c r="A12" s="15" t="n"/>
      <c r="B12" s="15">
        <f>IF(A12="","",IFERROR(VLOOKUP(A12,'Source Inventory'!$A$6:$P$55,2,FALSE),"[Source Not Found]"))</f>
        <v/>
      </c>
      <c r="C12" s="16">
        <f>IF(A12&lt;&gt;"",TODAY(),"")</f>
        <v/>
      </c>
      <c r="D12" s="15" t="n"/>
      <c r="E12" s="15" t="n"/>
      <c r="F12" s="15" t="n"/>
      <c r="G12" s="15" t="n"/>
      <c r="H12" s="15" t="n"/>
      <c r="I12" s="15" t="n"/>
      <c r="J12" s="15" t="n"/>
      <c r="K12" s="15" t="n"/>
      <c r="L12" s="15" t="n"/>
      <c r="M12" s="15" t="n"/>
      <c r="N12" s="15" t="n"/>
      <c r="O12" s="22">
        <f>IF(AND(I12&lt;&gt;"",K12&lt;&gt;"",M12&lt;&gt;""),AVERAGE(I12,K12,M12),"")</f>
        <v/>
      </c>
      <c r="P12" s="15">
        <f>IF(O12="","",IF(O12&gt;=4.5,"Excellent",IF(O12&gt;=3.5,"Good",IF(O12&gt;=2.5,"Fair","Poor"))))</f>
        <v/>
      </c>
      <c r="Q12" s="15" t="n"/>
      <c r="R12" s="23" t="n"/>
      <c r="S12" s="24" t="n"/>
      <c r="T12" s="16" t="n"/>
      <c r="U12" s="15" t="n"/>
      <c r="V12" s="15" t="n"/>
      <c r="W12" s="16">
        <f>IF(C12&lt;&gt;"",C12+90,"")</f>
        <v/>
      </c>
    </row>
    <row r="13">
      <c r="A13" s="15" t="n"/>
      <c r="B13" s="15">
        <f>IF(A13="","",IFERROR(VLOOKUP(A13,'Source Inventory'!$A$6:$P$55,2,FALSE),"[Source Not Found]"))</f>
        <v/>
      </c>
      <c r="C13" s="16">
        <f>IF(A13&lt;&gt;"",TODAY(),"")</f>
        <v/>
      </c>
      <c r="D13" s="15" t="n"/>
      <c r="E13" s="15" t="n"/>
      <c r="F13" s="15" t="n"/>
      <c r="G13" s="15" t="n"/>
      <c r="H13" s="15" t="n"/>
      <c r="I13" s="15" t="n"/>
      <c r="J13" s="15" t="n"/>
      <c r="K13" s="15" t="n"/>
      <c r="L13" s="15" t="n"/>
      <c r="M13" s="15" t="n"/>
      <c r="N13" s="15" t="n"/>
      <c r="O13" s="22">
        <f>IF(AND(I13&lt;&gt;"",K13&lt;&gt;"",M13&lt;&gt;""),AVERAGE(I13,K13,M13),"")</f>
        <v/>
      </c>
      <c r="P13" s="15">
        <f>IF(O13="","",IF(O13&gt;=4.5,"Excellent",IF(O13&gt;=3.5,"Good",IF(O13&gt;=2.5,"Fair","Poor"))))</f>
        <v/>
      </c>
      <c r="Q13" s="15" t="n"/>
      <c r="R13" s="23" t="n"/>
      <c r="S13" s="24" t="n"/>
      <c r="T13" s="16" t="n"/>
      <c r="U13" s="15" t="n"/>
      <c r="V13" s="15" t="n"/>
      <c r="W13" s="16">
        <f>IF(C13&lt;&gt;"",C13+90,"")</f>
        <v/>
      </c>
    </row>
    <row r="14">
      <c r="A14" s="15" t="n"/>
      <c r="B14" s="15">
        <f>IF(A14="","",IFERROR(VLOOKUP(A14,'Source Inventory'!$A$6:$P$55,2,FALSE),"[Source Not Found]"))</f>
        <v/>
      </c>
      <c r="C14" s="16">
        <f>IF(A14&lt;&gt;"",TODAY(),"")</f>
        <v/>
      </c>
      <c r="D14" s="15" t="n"/>
      <c r="E14" s="15" t="n"/>
      <c r="F14" s="15" t="n"/>
      <c r="G14" s="15" t="n"/>
      <c r="H14" s="15" t="n"/>
      <c r="I14" s="15" t="n"/>
      <c r="J14" s="15" t="n"/>
      <c r="K14" s="15" t="n"/>
      <c r="L14" s="15" t="n"/>
      <c r="M14" s="15" t="n"/>
      <c r="N14" s="15" t="n"/>
      <c r="O14" s="22">
        <f>IF(AND(I14&lt;&gt;"",K14&lt;&gt;"",M14&lt;&gt;""),AVERAGE(I14,K14,M14),"")</f>
        <v/>
      </c>
      <c r="P14" s="15">
        <f>IF(O14="","",IF(O14&gt;=4.5,"Excellent",IF(O14&gt;=3.5,"Good",IF(O14&gt;=2.5,"Fair","Poor"))))</f>
        <v/>
      </c>
      <c r="Q14" s="15" t="n"/>
      <c r="R14" s="23" t="n"/>
      <c r="S14" s="24" t="n"/>
      <c r="T14" s="16" t="n"/>
      <c r="U14" s="15" t="n"/>
      <c r="V14" s="15" t="n"/>
      <c r="W14" s="16">
        <f>IF(C14&lt;&gt;"",C14+90,"")</f>
        <v/>
      </c>
    </row>
    <row r="15">
      <c r="A15" s="15" t="n"/>
      <c r="B15" s="15">
        <f>IF(A15="","",IFERROR(VLOOKUP(A15,'Source Inventory'!$A$6:$P$55,2,FALSE),"[Source Not Found]"))</f>
        <v/>
      </c>
      <c r="C15" s="16">
        <f>IF(A15&lt;&gt;"",TODAY(),"")</f>
        <v/>
      </c>
      <c r="D15" s="15" t="n"/>
      <c r="E15" s="15" t="n"/>
      <c r="F15" s="15" t="n"/>
      <c r="G15" s="15" t="n"/>
      <c r="H15" s="15" t="n"/>
      <c r="I15" s="15" t="n"/>
      <c r="J15" s="15" t="n"/>
      <c r="K15" s="15" t="n"/>
      <c r="L15" s="15" t="n"/>
      <c r="M15" s="15" t="n"/>
      <c r="N15" s="15" t="n"/>
      <c r="O15" s="22">
        <f>IF(AND(I15&lt;&gt;"",K15&lt;&gt;"",M15&lt;&gt;""),AVERAGE(I15,K15,M15),"")</f>
        <v/>
      </c>
      <c r="P15" s="15">
        <f>IF(O15="","",IF(O15&gt;=4.5,"Excellent",IF(O15&gt;=3.5,"Good",IF(O15&gt;=2.5,"Fair","Poor"))))</f>
        <v/>
      </c>
      <c r="Q15" s="15" t="n"/>
      <c r="R15" s="23" t="n"/>
      <c r="S15" s="24" t="n"/>
      <c r="T15" s="16" t="n"/>
      <c r="U15" s="15" t="n"/>
      <c r="V15" s="15" t="n"/>
      <c r="W15" s="16">
        <f>IF(C15&lt;&gt;"",C15+90,"")</f>
        <v/>
      </c>
    </row>
    <row r="16">
      <c r="A16" s="15" t="n"/>
      <c r="B16" s="15">
        <f>IF(A16="","",IFERROR(VLOOKUP(A16,'Source Inventory'!$A$6:$P$55,2,FALSE),"[Source Not Found]"))</f>
        <v/>
      </c>
      <c r="C16" s="16">
        <f>IF(A16&lt;&gt;"",TODAY(),"")</f>
        <v/>
      </c>
      <c r="D16" s="15" t="n"/>
      <c r="E16" s="15" t="n"/>
      <c r="F16" s="15" t="n"/>
      <c r="G16" s="15" t="n"/>
      <c r="H16" s="15" t="n"/>
      <c r="I16" s="15" t="n"/>
      <c r="J16" s="15" t="n"/>
      <c r="K16" s="15" t="n"/>
      <c r="L16" s="15" t="n"/>
      <c r="M16" s="15" t="n"/>
      <c r="N16" s="15" t="n"/>
      <c r="O16" s="22">
        <f>IF(AND(I16&lt;&gt;"",K16&lt;&gt;"",M16&lt;&gt;""),AVERAGE(I16,K16,M16),"")</f>
        <v/>
      </c>
      <c r="P16" s="15">
        <f>IF(O16="","",IF(O16&gt;=4.5,"Excellent",IF(O16&gt;=3.5,"Good",IF(O16&gt;=2.5,"Fair","Poor"))))</f>
        <v/>
      </c>
      <c r="Q16" s="15" t="n"/>
      <c r="R16" s="23" t="n"/>
      <c r="S16" s="24" t="n"/>
      <c r="T16" s="16" t="n"/>
      <c r="U16" s="15" t="n"/>
      <c r="V16" s="15" t="n"/>
      <c r="W16" s="16">
        <f>IF(C16&lt;&gt;"",C16+90,"")</f>
        <v/>
      </c>
    </row>
    <row r="17">
      <c r="A17" s="15" t="n"/>
      <c r="B17" s="15">
        <f>IF(A17="","",IFERROR(VLOOKUP(A17,'Source Inventory'!$A$6:$P$55,2,FALSE),"[Source Not Found]"))</f>
        <v/>
      </c>
      <c r="C17" s="16">
        <f>IF(A17&lt;&gt;"",TODAY(),"")</f>
        <v/>
      </c>
      <c r="D17" s="15" t="n"/>
      <c r="E17" s="15" t="n"/>
      <c r="F17" s="15" t="n"/>
      <c r="G17" s="15" t="n"/>
      <c r="H17" s="15" t="n"/>
      <c r="I17" s="15" t="n"/>
      <c r="J17" s="15" t="n"/>
      <c r="K17" s="15" t="n"/>
      <c r="L17" s="15" t="n"/>
      <c r="M17" s="15" t="n"/>
      <c r="N17" s="15" t="n"/>
      <c r="O17" s="22">
        <f>IF(AND(I17&lt;&gt;"",K17&lt;&gt;"",M17&lt;&gt;""),AVERAGE(I17,K17,M17),"")</f>
        <v/>
      </c>
      <c r="P17" s="15">
        <f>IF(O17="","",IF(O17&gt;=4.5,"Excellent",IF(O17&gt;=3.5,"Good",IF(O17&gt;=2.5,"Fair","Poor"))))</f>
        <v/>
      </c>
      <c r="Q17" s="15" t="n"/>
      <c r="R17" s="23" t="n"/>
      <c r="S17" s="24" t="n"/>
      <c r="T17" s="16" t="n"/>
      <c r="U17" s="15" t="n"/>
      <c r="V17" s="15" t="n"/>
      <c r="W17" s="16">
        <f>IF(C17&lt;&gt;"",C17+90,"")</f>
        <v/>
      </c>
    </row>
    <row r="18">
      <c r="A18" s="15" t="n"/>
      <c r="B18" s="15">
        <f>IF(A18="","",IFERROR(VLOOKUP(A18,'Source Inventory'!$A$6:$P$55,2,FALSE),"[Source Not Found]"))</f>
        <v/>
      </c>
      <c r="C18" s="16">
        <f>IF(A18&lt;&gt;"",TODAY(),"")</f>
        <v/>
      </c>
      <c r="D18" s="15" t="n"/>
      <c r="E18" s="15" t="n"/>
      <c r="F18" s="15" t="n"/>
      <c r="G18" s="15" t="n"/>
      <c r="H18" s="15" t="n"/>
      <c r="I18" s="15" t="n"/>
      <c r="J18" s="15" t="n"/>
      <c r="K18" s="15" t="n"/>
      <c r="L18" s="15" t="n"/>
      <c r="M18" s="15" t="n"/>
      <c r="N18" s="15" t="n"/>
      <c r="O18" s="22">
        <f>IF(AND(I18&lt;&gt;"",K18&lt;&gt;"",M18&lt;&gt;""),AVERAGE(I18,K18,M18),"")</f>
        <v/>
      </c>
      <c r="P18" s="15">
        <f>IF(O18="","",IF(O18&gt;=4.5,"Excellent",IF(O18&gt;=3.5,"Good",IF(O18&gt;=2.5,"Fair","Poor"))))</f>
        <v/>
      </c>
      <c r="Q18" s="15" t="n"/>
      <c r="R18" s="23" t="n"/>
      <c r="S18" s="24" t="n"/>
      <c r="T18" s="16" t="n"/>
      <c r="U18" s="15" t="n"/>
      <c r="V18" s="15" t="n"/>
      <c r="W18" s="16">
        <f>IF(C18&lt;&gt;"",C18+90,"")</f>
        <v/>
      </c>
    </row>
    <row r="19">
      <c r="A19" s="15" t="n"/>
      <c r="B19" s="15">
        <f>IF(A19="","",IFERROR(VLOOKUP(A19,'Source Inventory'!$A$6:$P$55,2,FALSE),"[Source Not Found]"))</f>
        <v/>
      </c>
      <c r="C19" s="16">
        <f>IF(A19&lt;&gt;"",TODAY(),"")</f>
        <v/>
      </c>
      <c r="D19" s="15" t="n"/>
      <c r="E19" s="15" t="n"/>
      <c r="F19" s="15" t="n"/>
      <c r="G19" s="15" t="n"/>
      <c r="H19" s="15" t="n"/>
      <c r="I19" s="15" t="n"/>
      <c r="J19" s="15" t="n"/>
      <c r="K19" s="15" t="n"/>
      <c r="L19" s="15" t="n"/>
      <c r="M19" s="15" t="n"/>
      <c r="N19" s="15" t="n"/>
      <c r="O19" s="22">
        <f>IF(AND(I19&lt;&gt;"",K19&lt;&gt;"",M19&lt;&gt;""),AVERAGE(I19,K19,M19),"")</f>
        <v/>
      </c>
      <c r="P19" s="15">
        <f>IF(O19="","",IF(O19&gt;=4.5,"Excellent",IF(O19&gt;=3.5,"Good",IF(O19&gt;=2.5,"Fair","Poor"))))</f>
        <v/>
      </c>
      <c r="Q19" s="15" t="n"/>
      <c r="R19" s="23" t="n"/>
      <c r="S19" s="24" t="n"/>
      <c r="T19" s="16" t="n"/>
      <c r="U19" s="15" t="n"/>
      <c r="V19" s="15" t="n"/>
      <c r="W19" s="16">
        <f>IF(C19&lt;&gt;"",C19+90,"")</f>
        <v/>
      </c>
    </row>
    <row r="20">
      <c r="A20" s="15" t="n"/>
      <c r="B20" s="15">
        <f>IF(A20="","",IFERROR(VLOOKUP(A20,'Source Inventory'!$A$6:$P$55,2,FALSE),"[Source Not Found]"))</f>
        <v/>
      </c>
      <c r="C20" s="16">
        <f>IF(A20&lt;&gt;"",TODAY(),"")</f>
        <v/>
      </c>
      <c r="D20" s="15" t="n"/>
      <c r="E20" s="15" t="n"/>
      <c r="F20" s="15" t="n"/>
      <c r="G20" s="15" t="n"/>
      <c r="H20" s="15" t="n"/>
      <c r="I20" s="15" t="n"/>
      <c r="J20" s="15" t="n"/>
      <c r="K20" s="15" t="n"/>
      <c r="L20" s="15" t="n"/>
      <c r="M20" s="15" t="n"/>
      <c r="N20" s="15" t="n"/>
      <c r="O20" s="22">
        <f>IF(AND(I20&lt;&gt;"",K20&lt;&gt;"",M20&lt;&gt;""),AVERAGE(I20,K20,M20),"")</f>
        <v/>
      </c>
      <c r="P20" s="15">
        <f>IF(O20="","",IF(O20&gt;=4.5,"Excellent",IF(O20&gt;=3.5,"Good",IF(O20&gt;=2.5,"Fair","Poor"))))</f>
        <v/>
      </c>
      <c r="Q20" s="15" t="n"/>
      <c r="R20" s="23" t="n"/>
      <c r="S20" s="24" t="n"/>
      <c r="T20" s="16" t="n"/>
      <c r="U20" s="15" t="n"/>
      <c r="V20" s="15" t="n"/>
      <c r="W20" s="16">
        <f>IF(C20&lt;&gt;"",C20+90,"")</f>
        <v/>
      </c>
    </row>
    <row r="21">
      <c r="A21" s="15" t="n"/>
      <c r="B21" s="15">
        <f>IF(A21="","",IFERROR(VLOOKUP(A21,'Source Inventory'!$A$6:$P$55,2,FALSE),"[Source Not Found]"))</f>
        <v/>
      </c>
      <c r="C21" s="16">
        <f>IF(A21&lt;&gt;"",TODAY(),"")</f>
        <v/>
      </c>
      <c r="D21" s="15" t="n"/>
      <c r="E21" s="15" t="n"/>
      <c r="F21" s="15" t="n"/>
      <c r="G21" s="15" t="n"/>
      <c r="H21" s="15" t="n"/>
      <c r="I21" s="15" t="n"/>
      <c r="J21" s="15" t="n"/>
      <c r="K21" s="15" t="n"/>
      <c r="L21" s="15" t="n"/>
      <c r="M21" s="15" t="n"/>
      <c r="N21" s="15" t="n"/>
      <c r="O21" s="22">
        <f>IF(AND(I21&lt;&gt;"",K21&lt;&gt;"",M21&lt;&gt;""),AVERAGE(I21,K21,M21),"")</f>
        <v/>
      </c>
      <c r="P21" s="15">
        <f>IF(O21="","",IF(O21&gt;=4.5,"Excellent",IF(O21&gt;=3.5,"Good",IF(O21&gt;=2.5,"Fair","Poor"))))</f>
        <v/>
      </c>
      <c r="Q21" s="15" t="n"/>
      <c r="R21" s="23" t="n"/>
      <c r="S21" s="24" t="n"/>
      <c r="T21" s="16" t="n"/>
      <c r="U21" s="15" t="n"/>
      <c r="V21" s="15" t="n"/>
      <c r="W21" s="16">
        <f>IF(C21&lt;&gt;"",C21+90,"")</f>
        <v/>
      </c>
    </row>
    <row r="22">
      <c r="A22" s="15" t="n"/>
      <c r="B22" s="15">
        <f>IF(A22="","",IFERROR(VLOOKUP(A22,'Source Inventory'!$A$6:$P$55,2,FALSE),"[Source Not Found]"))</f>
        <v/>
      </c>
      <c r="C22" s="16">
        <f>IF(A22&lt;&gt;"",TODAY(),"")</f>
        <v/>
      </c>
      <c r="D22" s="15" t="n"/>
      <c r="E22" s="15" t="n"/>
      <c r="F22" s="15" t="n"/>
      <c r="G22" s="15" t="n"/>
      <c r="H22" s="15" t="n"/>
      <c r="I22" s="15" t="n"/>
      <c r="J22" s="15" t="n"/>
      <c r="K22" s="15" t="n"/>
      <c r="L22" s="15" t="n"/>
      <c r="M22" s="15" t="n"/>
      <c r="N22" s="15" t="n"/>
      <c r="O22" s="22">
        <f>IF(AND(I22&lt;&gt;"",K22&lt;&gt;"",M22&lt;&gt;""),AVERAGE(I22,K22,M22),"")</f>
        <v/>
      </c>
      <c r="P22" s="15">
        <f>IF(O22="","",IF(O22&gt;=4.5,"Excellent",IF(O22&gt;=3.5,"Good",IF(O22&gt;=2.5,"Fair","Poor"))))</f>
        <v/>
      </c>
      <c r="Q22" s="15" t="n"/>
      <c r="R22" s="23" t="n"/>
      <c r="S22" s="24" t="n"/>
      <c r="T22" s="16" t="n"/>
      <c r="U22" s="15" t="n"/>
      <c r="V22" s="15" t="n"/>
      <c r="W22" s="16">
        <f>IF(C22&lt;&gt;"",C22+90,"")</f>
        <v/>
      </c>
    </row>
    <row r="23">
      <c r="A23" s="15" t="n"/>
      <c r="B23" s="15">
        <f>IF(A23="","",IFERROR(VLOOKUP(A23,'Source Inventory'!$A$6:$P$55,2,FALSE),"[Source Not Found]"))</f>
        <v/>
      </c>
      <c r="C23" s="16">
        <f>IF(A23&lt;&gt;"",TODAY(),"")</f>
        <v/>
      </c>
      <c r="D23" s="15" t="n"/>
      <c r="E23" s="15" t="n"/>
      <c r="F23" s="15" t="n"/>
      <c r="G23" s="15" t="n"/>
      <c r="H23" s="15" t="n"/>
      <c r="I23" s="15" t="n"/>
      <c r="J23" s="15" t="n"/>
      <c r="K23" s="15" t="n"/>
      <c r="L23" s="15" t="n"/>
      <c r="M23" s="15" t="n"/>
      <c r="N23" s="15" t="n"/>
      <c r="O23" s="22">
        <f>IF(AND(I23&lt;&gt;"",K23&lt;&gt;"",M23&lt;&gt;""),AVERAGE(I23,K23,M23),"")</f>
        <v/>
      </c>
      <c r="P23" s="15">
        <f>IF(O23="","",IF(O23&gt;=4.5,"Excellent",IF(O23&gt;=3.5,"Good",IF(O23&gt;=2.5,"Fair","Poor"))))</f>
        <v/>
      </c>
      <c r="Q23" s="15" t="n"/>
      <c r="R23" s="23" t="n"/>
      <c r="S23" s="24" t="n"/>
      <c r="T23" s="16" t="n"/>
      <c r="U23" s="15" t="n"/>
      <c r="V23" s="15" t="n"/>
      <c r="W23" s="16">
        <f>IF(C23&lt;&gt;"",C23+90,"")</f>
        <v/>
      </c>
    </row>
    <row r="24">
      <c r="A24" s="15" t="n"/>
      <c r="B24" s="15">
        <f>IF(A24="","",IFERROR(VLOOKUP(A24,'Source Inventory'!$A$6:$P$55,2,FALSE),"[Source Not Found]"))</f>
        <v/>
      </c>
      <c r="C24" s="16">
        <f>IF(A24&lt;&gt;"",TODAY(),"")</f>
        <v/>
      </c>
      <c r="D24" s="15" t="n"/>
      <c r="E24" s="15" t="n"/>
      <c r="F24" s="15" t="n"/>
      <c r="G24" s="15" t="n"/>
      <c r="H24" s="15" t="n"/>
      <c r="I24" s="15" t="n"/>
      <c r="J24" s="15" t="n"/>
      <c r="K24" s="15" t="n"/>
      <c r="L24" s="15" t="n"/>
      <c r="M24" s="15" t="n"/>
      <c r="N24" s="15" t="n"/>
      <c r="O24" s="22">
        <f>IF(AND(I24&lt;&gt;"",K24&lt;&gt;"",M24&lt;&gt;""),AVERAGE(I24,K24,M24),"")</f>
        <v/>
      </c>
      <c r="P24" s="15">
        <f>IF(O24="","",IF(O24&gt;=4.5,"Excellent",IF(O24&gt;=3.5,"Good",IF(O24&gt;=2.5,"Fair","Poor"))))</f>
        <v/>
      </c>
      <c r="Q24" s="15" t="n"/>
      <c r="R24" s="23" t="n"/>
      <c r="S24" s="24" t="n"/>
      <c r="T24" s="16" t="n"/>
      <c r="U24" s="15" t="n"/>
      <c r="V24" s="15" t="n"/>
      <c r="W24" s="16">
        <f>IF(C24&lt;&gt;"",C24+90,"")</f>
        <v/>
      </c>
    </row>
    <row r="25">
      <c r="A25" s="15" t="n"/>
      <c r="B25" s="15">
        <f>IF(A25="","",IFERROR(VLOOKUP(A25,'Source Inventory'!$A$6:$P$55,2,FALSE),"[Source Not Found]"))</f>
        <v/>
      </c>
      <c r="C25" s="16">
        <f>IF(A25&lt;&gt;"",TODAY(),"")</f>
        <v/>
      </c>
      <c r="D25" s="15" t="n"/>
      <c r="E25" s="15" t="n"/>
      <c r="F25" s="15" t="n"/>
      <c r="G25" s="15" t="n"/>
      <c r="H25" s="15" t="n"/>
      <c r="I25" s="15" t="n"/>
      <c r="J25" s="15" t="n"/>
      <c r="K25" s="15" t="n"/>
      <c r="L25" s="15" t="n"/>
      <c r="M25" s="15" t="n"/>
      <c r="N25" s="15" t="n"/>
      <c r="O25" s="22">
        <f>IF(AND(I25&lt;&gt;"",K25&lt;&gt;"",M25&lt;&gt;""),AVERAGE(I25,K25,M25),"")</f>
        <v/>
      </c>
      <c r="P25" s="15">
        <f>IF(O25="","",IF(O25&gt;=4.5,"Excellent",IF(O25&gt;=3.5,"Good",IF(O25&gt;=2.5,"Fair","Poor"))))</f>
        <v/>
      </c>
      <c r="Q25" s="15" t="n"/>
      <c r="R25" s="23" t="n"/>
      <c r="S25" s="24" t="n"/>
      <c r="T25" s="16" t="n"/>
      <c r="U25" s="15" t="n"/>
      <c r="V25" s="15" t="n"/>
      <c r="W25" s="16">
        <f>IF(C25&lt;&gt;"",C25+90,"")</f>
        <v/>
      </c>
    </row>
    <row r="26">
      <c r="A26" s="15" t="n"/>
      <c r="B26" s="15">
        <f>IF(A26="","",IFERROR(VLOOKUP(A26,'Source Inventory'!$A$6:$P$55,2,FALSE),"[Source Not Found]"))</f>
        <v/>
      </c>
      <c r="C26" s="16">
        <f>IF(A26&lt;&gt;"",TODAY(),"")</f>
        <v/>
      </c>
      <c r="D26" s="15" t="n"/>
      <c r="E26" s="15" t="n"/>
      <c r="F26" s="15" t="n"/>
      <c r="G26" s="15" t="n"/>
      <c r="H26" s="15" t="n"/>
      <c r="I26" s="15" t="n"/>
      <c r="J26" s="15" t="n"/>
      <c r="K26" s="15" t="n"/>
      <c r="L26" s="15" t="n"/>
      <c r="M26" s="15" t="n"/>
      <c r="N26" s="15" t="n"/>
      <c r="O26" s="22">
        <f>IF(AND(I26&lt;&gt;"",K26&lt;&gt;"",M26&lt;&gt;""),AVERAGE(I26,K26,M26),"")</f>
        <v/>
      </c>
      <c r="P26" s="15">
        <f>IF(O26="","",IF(O26&gt;=4.5,"Excellent",IF(O26&gt;=3.5,"Good",IF(O26&gt;=2.5,"Fair","Poor"))))</f>
        <v/>
      </c>
      <c r="Q26" s="15" t="n"/>
      <c r="R26" s="23" t="n"/>
      <c r="S26" s="24" t="n"/>
      <c r="T26" s="16" t="n"/>
      <c r="U26" s="15" t="n"/>
      <c r="V26" s="15" t="n"/>
      <c r="W26" s="16">
        <f>IF(C26&lt;&gt;"",C26+90,"")</f>
        <v/>
      </c>
    </row>
    <row r="27">
      <c r="A27" s="15" t="n"/>
      <c r="B27" s="15">
        <f>IF(A27="","",IFERROR(VLOOKUP(A27,'Source Inventory'!$A$6:$P$55,2,FALSE),"[Source Not Found]"))</f>
        <v/>
      </c>
      <c r="C27" s="16">
        <f>IF(A27&lt;&gt;"",TODAY(),"")</f>
        <v/>
      </c>
      <c r="D27" s="15" t="n"/>
      <c r="E27" s="15" t="n"/>
      <c r="F27" s="15" t="n"/>
      <c r="G27" s="15" t="n"/>
      <c r="H27" s="15" t="n"/>
      <c r="I27" s="15" t="n"/>
      <c r="J27" s="15" t="n"/>
      <c r="K27" s="15" t="n"/>
      <c r="L27" s="15" t="n"/>
      <c r="M27" s="15" t="n"/>
      <c r="N27" s="15" t="n"/>
      <c r="O27" s="22">
        <f>IF(AND(I27&lt;&gt;"",K27&lt;&gt;"",M27&lt;&gt;""),AVERAGE(I27,K27,M27),"")</f>
        <v/>
      </c>
      <c r="P27" s="15">
        <f>IF(O27="","",IF(O27&gt;=4.5,"Excellent",IF(O27&gt;=3.5,"Good",IF(O27&gt;=2.5,"Fair","Poor"))))</f>
        <v/>
      </c>
      <c r="Q27" s="15" t="n"/>
      <c r="R27" s="23" t="n"/>
      <c r="S27" s="24" t="n"/>
      <c r="T27" s="16" t="n"/>
      <c r="U27" s="15" t="n"/>
      <c r="V27" s="15" t="n"/>
      <c r="W27" s="16">
        <f>IF(C27&lt;&gt;"",C27+90,"")</f>
        <v/>
      </c>
    </row>
    <row r="28">
      <c r="A28" s="15" t="n"/>
      <c r="B28" s="15">
        <f>IF(A28="","",IFERROR(VLOOKUP(A28,'Source Inventory'!$A$6:$P$55,2,FALSE),"[Source Not Found]"))</f>
        <v/>
      </c>
      <c r="C28" s="16">
        <f>IF(A28&lt;&gt;"",TODAY(),"")</f>
        <v/>
      </c>
      <c r="D28" s="15" t="n"/>
      <c r="E28" s="15" t="n"/>
      <c r="F28" s="15" t="n"/>
      <c r="G28" s="15" t="n"/>
      <c r="H28" s="15" t="n"/>
      <c r="I28" s="15" t="n"/>
      <c r="J28" s="15" t="n"/>
      <c r="K28" s="15" t="n"/>
      <c r="L28" s="15" t="n"/>
      <c r="M28" s="15" t="n"/>
      <c r="N28" s="15" t="n"/>
      <c r="O28" s="22">
        <f>IF(AND(I28&lt;&gt;"",K28&lt;&gt;"",M28&lt;&gt;""),AVERAGE(I28,K28,M28),"")</f>
        <v/>
      </c>
      <c r="P28" s="15">
        <f>IF(O28="","",IF(O28&gt;=4.5,"Excellent",IF(O28&gt;=3.5,"Good",IF(O28&gt;=2.5,"Fair","Poor"))))</f>
        <v/>
      </c>
      <c r="Q28" s="15" t="n"/>
      <c r="R28" s="23" t="n"/>
      <c r="S28" s="24" t="n"/>
      <c r="T28" s="16" t="n"/>
      <c r="U28" s="15" t="n"/>
      <c r="V28" s="15" t="n"/>
      <c r="W28" s="16">
        <f>IF(C28&lt;&gt;"",C28+90,"")</f>
        <v/>
      </c>
    </row>
    <row r="29">
      <c r="A29" s="15" t="n"/>
      <c r="B29" s="15">
        <f>IF(A29="","",IFERROR(VLOOKUP(A29,'Source Inventory'!$A$6:$P$55,2,FALSE),"[Source Not Found]"))</f>
        <v/>
      </c>
      <c r="C29" s="16">
        <f>IF(A29&lt;&gt;"",TODAY(),"")</f>
        <v/>
      </c>
      <c r="D29" s="15" t="n"/>
      <c r="E29" s="15" t="n"/>
      <c r="F29" s="15" t="n"/>
      <c r="G29" s="15" t="n"/>
      <c r="H29" s="15" t="n"/>
      <c r="I29" s="15" t="n"/>
      <c r="J29" s="15" t="n"/>
      <c r="K29" s="15" t="n"/>
      <c r="L29" s="15" t="n"/>
      <c r="M29" s="15" t="n"/>
      <c r="N29" s="15" t="n"/>
      <c r="O29" s="22">
        <f>IF(AND(I29&lt;&gt;"",K29&lt;&gt;"",M29&lt;&gt;""),AVERAGE(I29,K29,M29),"")</f>
        <v/>
      </c>
      <c r="P29" s="15">
        <f>IF(O29="","",IF(O29&gt;=4.5,"Excellent",IF(O29&gt;=3.5,"Good",IF(O29&gt;=2.5,"Fair","Poor"))))</f>
        <v/>
      </c>
      <c r="Q29" s="15" t="n"/>
      <c r="R29" s="23" t="n"/>
      <c r="S29" s="24" t="n"/>
      <c r="T29" s="16" t="n"/>
      <c r="U29" s="15" t="n"/>
      <c r="V29" s="15" t="n"/>
      <c r="W29" s="16">
        <f>IF(C29&lt;&gt;"",C29+90,"")</f>
        <v/>
      </c>
    </row>
    <row r="30">
      <c r="A30" s="15" t="n"/>
      <c r="B30" s="15">
        <f>IF(A30="","",IFERROR(VLOOKUP(A30,'Source Inventory'!$A$6:$P$55,2,FALSE),"[Source Not Found]"))</f>
        <v/>
      </c>
      <c r="C30" s="16">
        <f>IF(A30&lt;&gt;"",TODAY(),"")</f>
        <v/>
      </c>
      <c r="D30" s="15" t="n"/>
      <c r="E30" s="15" t="n"/>
      <c r="F30" s="15" t="n"/>
      <c r="G30" s="15" t="n"/>
      <c r="H30" s="15" t="n"/>
      <c r="I30" s="15" t="n"/>
      <c r="J30" s="15" t="n"/>
      <c r="K30" s="15" t="n"/>
      <c r="L30" s="15" t="n"/>
      <c r="M30" s="15" t="n"/>
      <c r="N30" s="15" t="n"/>
      <c r="O30" s="22">
        <f>IF(AND(I30&lt;&gt;"",K30&lt;&gt;"",M30&lt;&gt;""),AVERAGE(I30,K30,M30),"")</f>
        <v/>
      </c>
      <c r="P30" s="15">
        <f>IF(O30="","",IF(O30&gt;=4.5,"Excellent",IF(O30&gt;=3.5,"Good",IF(O30&gt;=2.5,"Fair","Poor"))))</f>
        <v/>
      </c>
      <c r="Q30" s="15" t="n"/>
      <c r="R30" s="23" t="n"/>
      <c r="S30" s="24" t="n"/>
      <c r="T30" s="16" t="n"/>
      <c r="U30" s="15" t="n"/>
      <c r="V30" s="15" t="n"/>
      <c r="W30" s="16">
        <f>IF(C30&lt;&gt;"",C30+90,"")</f>
        <v/>
      </c>
    </row>
    <row r="31">
      <c r="A31" s="15" t="n"/>
      <c r="B31" s="15">
        <f>IF(A31="","",IFERROR(VLOOKUP(A31,'Source Inventory'!$A$6:$P$55,2,FALSE),"[Source Not Found]"))</f>
        <v/>
      </c>
      <c r="C31" s="16">
        <f>IF(A31&lt;&gt;"",TODAY(),"")</f>
        <v/>
      </c>
      <c r="D31" s="15" t="n"/>
      <c r="E31" s="15" t="n"/>
      <c r="F31" s="15" t="n"/>
      <c r="G31" s="15" t="n"/>
      <c r="H31" s="15" t="n"/>
      <c r="I31" s="15" t="n"/>
      <c r="J31" s="15" t="n"/>
      <c r="K31" s="15" t="n"/>
      <c r="L31" s="15" t="n"/>
      <c r="M31" s="15" t="n"/>
      <c r="N31" s="15" t="n"/>
      <c r="O31" s="22">
        <f>IF(AND(I31&lt;&gt;"",K31&lt;&gt;"",M31&lt;&gt;""),AVERAGE(I31,K31,M31),"")</f>
        <v/>
      </c>
      <c r="P31" s="15">
        <f>IF(O31="","",IF(O31&gt;=4.5,"Excellent",IF(O31&gt;=3.5,"Good",IF(O31&gt;=2.5,"Fair","Poor"))))</f>
        <v/>
      </c>
      <c r="Q31" s="15" t="n"/>
      <c r="R31" s="23" t="n"/>
      <c r="S31" s="24" t="n"/>
      <c r="T31" s="16" t="n"/>
      <c r="U31" s="15" t="n"/>
      <c r="V31" s="15" t="n"/>
      <c r="W31" s="16">
        <f>IF(C31&lt;&gt;"",C31+90,"")</f>
        <v/>
      </c>
    </row>
    <row r="32">
      <c r="A32" s="15" t="n"/>
      <c r="B32" s="15">
        <f>IF(A32="","",IFERROR(VLOOKUP(A32,'Source Inventory'!$A$6:$P$55,2,FALSE),"[Source Not Found]"))</f>
        <v/>
      </c>
      <c r="C32" s="16">
        <f>IF(A32&lt;&gt;"",TODAY(),"")</f>
        <v/>
      </c>
      <c r="D32" s="15" t="n"/>
      <c r="E32" s="15" t="n"/>
      <c r="F32" s="15" t="n"/>
      <c r="G32" s="15" t="n"/>
      <c r="H32" s="15" t="n"/>
      <c r="I32" s="15" t="n"/>
      <c r="J32" s="15" t="n"/>
      <c r="K32" s="15" t="n"/>
      <c r="L32" s="15" t="n"/>
      <c r="M32" s="15" t="n"/>
      <c r="N32" s="15" t="n"/>
      <c r="O32" s="22">
        <f>IF(AND(I32&lt;&gt;"",K32&lt;&gt;"",M32&lt;&gt;""),AVERAGE(I32,K32,M32),"")</f>
        <v/>
      </c>
      <c r="P32" s="15">
        <f>IF(O32="","",IF(O32&gt;=4.5,"Excellent",IF(O32&gt;=3.5,"Good",IF(O32&gt;=2.5,"Fair","Poor"))))</f>
        <v/>
      </c>
      <c r="Q32" s="15" t="n"/>
      <c r="R32" s="23" t="n"/>
      <c r="S32" s="24" t="n"/>
      <c r="T32" s="16" t="n"/>
      <c r="U32" s="15" t="n"/>
      <c r="V32" s="15" t="n"/>
      <c r="W32" s="16">
        <f>IF(C32&lt;&gt;"",C32+90,"")</f>
        <v/>
      </c>
    </row>
    <row r="33">
      <c r="A33" s="15" t="n"/>
      <c r="B33" s="15">
        <f>IF(A33="","",IFERROR(VLOOKUP(A33,'Source Inventory'!$A$6:$P$55,2,FALSE),"[Source Not Found]"))</f>
        <v/>
      </c>
      <c r="C33" s="16">
        <f>IF(A33&lt;&gt;"",TODAY(),"")</f>
        <v/>
      </c>
      <c r="D33" s="15" t="n"/>
      <c r="E33" s="15" t="n"/>
      <c r="F33" s="15" t="n"/>
      <c r="G33" s="15" t="n"/>
      <c r="H33" s="15" t="n"/>
      <c r="I33" s="15" t="n"/>
      <c r="J33" s="15" t="n"/>
      <c r="K33" s="15" t="n"/>
      <c r="L33" s="15" t="n"/>
      <c r="M33" s="15" t="n"/>
      <c r="N33" s="15" t="n"/>
      <c r="O33" s="22">
        <f>IF(AND(I33&lt;&gt;"",K33&lt;&gt;"",M33&lt;&gt;""),AVERAGE(I33,K33,M33),"")</f>
        <v/>
      </c>
      <c r="P33" s="15">
        <f>IF(O33="","",IF(O33&gt;=4.5,"Excellent",IF(O33&gt;=3.5,"Good",IF(O33&gt;=2.5,"Fair","Poor"))))</f>
        <v/>
      </c>
      <c r="Q33" s="15" t="n"/>
      <c r="R33" s="23" t="n"/>
      <c r="S33" s="24" t="n"/>
      <c r="T33" s="16" t="n"/>
      <c r="U33" s="15" t="n"/>
      <c r="V33" s="15" t="n"/>
      <c r="W33" s="16">
        <f>IF(C33&lt;&gt;"",C33+90,"")</f>
        <v/>
      </c>
    </row>
    <row r="34">
      <c r="A34" s="15" t="n"/>
      <c r="B34" s="15">
        <f>IF(A34="","",IFERROR(VLOOKUP(A34,'Source Inventory'!$A$6:$P$55,2,FALSE),"[Source Not Found]"))</f>
        <v/>
      </c>
      <c r="C34" s="16">
        <f>IF(A34&lt;&gt;"",TODAY(),"")</f>
        <v/>
      </c>
      <c r="D34" s="15" t="n"/>
      <c r="E34" s="15" t="n"/>
      <c r="F34" s="15" t="n"/>
      <c r="G34" s="15" t="n"/>
      <c r="H34" s="15" t="n"/>
      <c r="I34" s="15" t="n"/>
      <c r="J34" s="15" t="n"/>
      <c r="K34" s="15" t="n"/>
      <c r="L34" s="15" t="n"/>
      <c r="M34" s="15" t="n"/>
      <c r="N34" s="15" t="n"/>
      <c r="O34" s="22">
        <f>IF(AND(I34&lt;&gt;"",K34&lt;&gt;"",M34&lt;&gt;""),AVERAGE(I34,K34,M34),"")</f>
        <v/>
      </c>
      <c r="P34" s="15">
        <f>IF(O34="","",IF(O34&gt;=4.5,"Excellent",IF(O34&gt;=3.5,"Good",IF(O34&gt;=2.5,"Fair","Poor"))))</f>
        <v/>
      </c>
      <c r="Q34" s="15" t="n"/>
      <c r="R34" s="23" t="n"/>
      <c r="S34" s="24" t="n"/>
      <c r="T34" s="16" t="n"/>
      <c r="U34" s="15" t="n"/>
      <c r="V34" s="15" t="n"/>
      <c r="W34" s="16">
        <f>IF(C34&lt;&gt;"",C34+90,"")</f>
        <v/>
      </c>
    </row>
    <row r="35">
      <c r="A35" s="15" t="n"/>
      <c r="B35" s="15">
        <f>IF(A35="","",IFERROR(VLOOKUP(A35,'Source Inventory'!$A$6:$P$55,2,FALSE),"[Source Not Found]"))</f>
        <v/>
      </c>
      <c r="C35" s="16">
        <f>IF(A35&lt;&gt;"",TODAY(),"")</f>
        <v/>
      </c>
      <c r="D35" s="15" t="n"/>
      <c r="E35" s="15" t="n"/>
      <c r="F35" s="15" t="n"/>
      <c r="G35" s="15" t="n"/>
      <c r="H35" s="15" t="n"/>
      <c r="I35" s="15" t="n"/>
      <c r="J35" s="15" t="n"/>
      <c r="K35" s="15" t="n"/>
      <c r="L35" s="15" t="n"/>
      <c r="M35" s="15" t="n"/>
      <c r="N35" s="15" t="n"/>
      <c r="O35" s="22">
        <f>IF(AND(I35&lt;&gt;"",K35&lt;&gt;"",M35&lt;&gt;""),AVERAGE(I35,K35,M35),"")</f>
        <v/>
      </c>
      <c r="P35" s="15">
        <f>IF(O35="","",IF(O35&gt;=4.5,"Excellent",IF(O35&gt;=3.5,"Good",IF(O35&gt;=2.5,"Fair","Poor"))))</f>
        <v/>
      </c>
      <c r="Q35" s="15" t="n"/>
      <c r="R35" s="23" t="n"/>
      <c r="S35" s="24" t="n"/>
      <c r="T35" s="16" t="n"/>
      <c r="U35" s="15" t="n"/>
      <c r="V35" s="15" t="n"/>
      <c r="W35" s="16">
        <f>IF(C35&lt;&gt;"",C35+90,"")</f>
        <v/>
      </c>
    </row>
    <row r="36">
      <c r="A36" s="15" t="n"/>
      <c r="B36" s="15">
        <f>IF(A36="","",IFERROR(VLOOKUP(A36,'Source Inventory'!$A$6:$P$55,2,FALSE),"[Source Not Found]"))</f>
        <v/>
      </c>
      <c r="C36" s="16">
        <f>IF(A36&lt;&gt;"",TODAY(),"")</f>
        <v/>
      </c>
      <c r="D36" s="15" t="n"/>
      <c r="E36" s="15" t="n"/>
      <c r="F36" s="15" t="n"/>
      <c r="G36" s="15" t="n"/>
      <c r="H36" s="15" t="n"/>
      <c r="I36" s="15" t="n"/>
      <c r="J36" s="15" t="n"/>
      <c r="K36" s="15" t="n"/>
      <c r="L36" s="15" t="n"/>
      <c r="M36" s="15" t="n"/>
      <c r="N36" s="15" t="n"/>
      <c r="O36" s="22">
        <f>IF(AND(I36&lt;&gt;"",K36&lt;&gt;"",M36&lt;&gt;""),AVERAGE(I36,K36,M36),"")</f>
        <v/>
      </c>
      <c r="P36" s="15">
        <f>IF(O36="","",IF(O36&gt;=4.5,"Excellent",IF(O36&gt;=3.5,"Good",IF(O36&gt;=2.5,"Fair","Poor"))))</f>
        <v/>
      </c>
      <c r="Q36" s="15" t="n"/>
      <c r="R36" s="23" t="n"/>
      <c r="S36" s="24" t="n"/>
      <c r="T36" s="16" t="n"/>
      <c r="U36" s="15" t="n"/>
      <c r="V36" s="15" t="n"/>
      <c r="W36" s="16">
        <f>IF(C36&lt;&gt;"",C36+90,"")</f>
        <v/>
      </c>
    </row>
    <row r="37">
      <c r="A37" s="15" t="n"/>
      <c r="B37" s="15">
        <f>IF(A37="","",IFERROR(VLOOKUP(A37,'Source Inventory'!$A$6:$P$55,2,FALSE),"[Source Not Found]"))</f>
        <v/>
      </c>
      <c r="C37" s="16">
        <f>IF(A37&lt;&gt;"",TODAY(),"")</f>
        <v/>
      </c>
      <c r="D37" s="15" t="n"/>
      <c r="E37" s="15" t="n"/>
      <c r="F37" s="15" t="n"/>
      <c r="G37" s="15" t="n"/>
      <c r="H37" s="15" t="n"/>
      <c r="I37" s="15" t="n"/>
      <c r="J37" s="15" t="n"/>
      <c r="K37" s="15" t="n"/>
      <c r="L37" s="15" t="n"/>
      <c r="M37" s="15" t="n"/>
      <c r="N37" s="15" t="n"/>
      <c r="O37" s="22">
        <f>IF(AND(I37&lt;&gt;"",K37&lt;&gt;"",M37&lt;&gt;""),AVERAGE(I37,K37,M37),"")</f>
        <v/>
      </c>
      <c r="P37" s="15">
        <f>IF(O37="","",IF(O37&gt;=4.5,"Excellent",IF(O37&gt;=3.5,"Good",IF(O37&gt;=2.5,"Fair","Poor"))))</f>
        <v/>
      </c>
      <c r="Q37" s="15" t="n"/>
      <c r="R37" s="23" t="n"/>
      <c r="S37" s="24" t="n"/>
      <c r="T37" s="16" t="n"/>
      <c r="U37" s="15" t="n"/>
      <c r="V37" s="15" t="n"/>
      <c r="W37" s="16">
        <f>IF(C37&lt;&gt;"",C37+90,"")</f>
        <v/>
      </c>
    </row>
    <row r="38">
      <c r="A38" s="15" t="n"/>
      <c r="B38" s="15">
        <f>IF(A38="","",IFERROR(VLOOKUP(A38,'Source Inventory'!$A$6:$P$55,2,FALSE),"[Source Not Found]"))</f>
        <v/>
      </c>
      <c r="C38" s="16">
        <f>IF(A38&lt;&gt;"",TODAY(),"")</f>
        <v/>
      </c>
      <c r="D38" s="15" t="n"/>
      <c r="E38" s="15" t="n"/>
      <c r="F38" s="15" t="n"/>
      <c r="G38" s="15" t="n"/>
      <c r="H38" s="15" t="n"/>
      <c r="I38" s="15" t="n"/>
      <c r="J38" s="15" t="n"/>
      <c r="K38" s="15" t="n"/>
      <c r="L38" s="15" t="n"/>
      <c r="M38" s="15" t="n"/>
      <c r="N38" s="15" t="n"/>
      <c r="O38" s="22">
        <f>IF(AND(I38&lt;&gt;"",K38&lt;&gt;"",M38&lt;&gt;""),AVERAGE(I38,K38,M38),"")</f>
        <v/>
      </c>
      <c r="P38" s="15">
        <f>IF(O38="","",IF(O38&gt;=4.5,"Excellent",IF(O38&gt;=3.5,"Good",IF(O38&gt;=2.5,"Fair","Poor"))))</f>
        <v/>
      </c>
      <c r="Q38" s="15" t="n"/>
      <c r="R38" s="23" t="n"/>
      <c r="S38" s="24" t="n"/>
      <c r="T38" s="16" t="n"/>
      <c r="U38" s="15" t="n"/>
      <c r="V38" s="15" t="n"/>
      <c r="W38" s="16">
        <f>IF(C38&lt;&gt;"",C38+90,"")</f>
        <v/>
      </c>
    </row>
    <row r="39">
      <c r="A39" s="15" t="n"/>
      <c r="B39" s="15">
        <f>IF(A39="","",IFERROR(VLOOKUP(A39,'Source Inventory'!$A$6:$P$55,2,FALSE),"[Source Not Found]"))</f>
        <v/>
      </c>
      <c r="C39" s="16">
        <f>IF(A39&lt;&gt;"",TODAY(),"")</f>
        <v/>
      </c>
      <c r="D39" s="15" t="n"/>
      <c r="E39" s="15" t="n"/>
      <c r="F39" s="15" t="n"/>
      <c r="G39" s="15" t="n"/>
      <c r="H39" s="15" t="n"/>
      <c r="I39" s="15" t="n"/>
      <c r="J39" s="15" t="n"/>
      <c r="K39" s="15" t="n"/>
      <c r="L39" s="15" t="n"/>
      <c r="M39" s="15" t="n"/>
      <c r="N39" s="15" t="n"/>
      <c r="O39" s="22">
        <f>IF(AND(I39&lt;&gt;"",K39&lt;&gt;"",M39&lt;&gt;""),AVERAGE(I39,K39,M39),"")</f>
        <v/>
      </c>
      <c r="P39" s="15">
        <f>IF(O39="","",IF(O39&gt;=4.5,"Excellent",IF(O39&gt;=3.5,"Good",IF(O39&gt;=2.5,"Fair","Poor"))))</f>
        <v/>
      </c>
      <c r="Q39" s="15" t="n"/>
      <c r="R39" s="23" t="n"/>
      <c r="S39" s="24" t="n"/>
      <c r="T39" s="16" t="n"/>
      <c r="U39" s="15" t="n"/>
      <c r="V39" s="15" t="n"/>
      <c r="W39" s="16">
        <f>IF(C39&lt;&gt;"",C39+90,"")</f>
        <v/>
      </c>
    </row>
    <row r="40">
      <c r="A40" s="15" t="n"/>
      <c r="B40" s="15">
        <f>IF(A40="","",IFERROR(VLOOKUP(A40,'Source Inventory'!$A$6:$P$55,2,FALSE),"[Source Not Found]"))</f>
        <v/>
      </c>
      <c r="C40" s="16">
        <f>IF(A40&lt;&gt;"",TODAY(),"")</f>
        <v/>
      </c>
      <c r="D40" s="15" t="n"/>
      <c r="E40" s="15" t="n"/>
      <c r="F40" s="15" t="n"/>
      <c r="G40" s="15" t="n"/>
      <c r="H40" s="15" t="n"/>
      <c r="I40" s="15" t="n"/>
      <c r="J40" s="15" t="n"/>
      <c r="K40" s="15" t="n"/>
      <c r="L40" s="15" t="n"/>
      <c r="M40" s="15" t="n"/>
      <c r="N40" s="15" t="n"/>
      <c r="O40" s="22">
        <f>IF(AND(I40&lt;&gt;"",K40&lt;&gt;"",M40&lt;&gt;""),AVERAGE(I40,K40,M40),"")</f>
        <v/>
      </c>
      <c r="P40" s="15">
        <f>IF(O40="","",IF(O40&gt;=4.5,"Excellent",IF(O40&gt;=3.5,"Good",IF(O40&gt;=2.5,"Fair","Poor"))))</f>
        <v/>
      </c>
      <c r="Q40" s="15" t="n"/>
      <c r="R40" s="23" t="n"/>
      <c r="S40" s="24" t="n"/>
      <c r="T40" s="16" t="n"/>
      <c r="U40" s="15" t="n"/>
      <c r="V40" s="15" t="n"/>
      <c r="W40" s="16">
        <f>IF(C40&lt;&gt;"",C40+90,"")</f>
        <v/>
      </c>
    </row>
    <row r="41">
      <c r="A41" s="15" t="n"/>
      <c r="B41" s="15">
        <f>IF(A41="","",IFERROR(VLOOKUP(A41,'Source Inventory'!$A$6:$P$55,2,FALSE),"[Source Not Found]"))</f>
        <v/>
      </c>
      <c r="C41" s="16">
        <f>IF(A41&lt;&gt;"",TODAY(),"")</f>
        <v/>
      </c>
      <c r="D41" s="15" t="n"/>
      <c r="E41" s="15" t="n"/>
      <c r="F41" s="15" t="n"/>
      <c r="G41" s="15" t="n"/>
      <c r="H41" s="15" t="n"/>
      <c r="I41" s="15" t="n"/>
      <c r="J41" s="15" t="n"/>
      <c r="K41" s="15" t="n"/>
      <c r="L41" s="15" t="n"/>
      <c r="M41" s="15" t="n"/>
      <c r="N41" s="15" t="n"/>
      <c r="O41" s="22">
        <f>IF(AND(I41&lt;&gt;"",K41&lt;&gt;"",M41&lt;&gt;""),AVERAGE(I41,K41,M41),"")</f>
        <v/>
      </c>
      <c r="P41" s="15">
        <f>IF(O41="","",IF(O41&gt;=4.5,"Excellent",IF(O41&gt;=3.5,"Good",IF(O41&gt;=2.5,"Fair","Poor"))))</f>
        <v/>
      </c>
      <c r="Q41" s="15" t="n"/>
      <c r="R41" s="23" t="n"/>
      <c r="S41" s="24" t="n"/>
      <c r="T41" s="16" t="n"/>
      <c r="U41" s="15" t="n"/>
      <c r="V41" s="15" t="n"/>
      <c r="W41" s="16">
        <f>IF(C41&lt;&gt;"",C41+90,"")</f>
        <v/>
      </c>
    </row>
    <row r="42">
      <c r="A42" s="15" t="n"/>
      <c r="B42" s="15">
        <f>IF(A42="","",IFERROR(VLOOKUP(A42,'Source Inventory'!$A$6:$P$55,2,FALSE),"[Source Not Found]"))</f>
        <v/>
      </c>
      <c r="C42" s="16">
        <f>IF(A42&lt;&gt;"",TODAY(),"")</f>
        <v/>
      </c>
      <c r="D42" s="15" t="n"/>
      <c r="E42" s="15" t="n"/>
      <c r="F42" s="15" t="n"/>
      <c r="G42" s="15" t="n"/>
      <c r="H42" s="15" t="n"/>
      <c r="I42" s="15" t="n"/>
      <c r="J42" s="15" t="n"/>
      <c r="K42" s="15" t="n"/>
      <c r="L42" s="15" t="n"/>
      <c r="M42" s="15" t="n"/>
      <c r="N42" s="15" t="n"/>
      <c r="O42" s="22">
        <f>IF(AND(I42&lt;&gt;"",K42&lt;&gt;"",M42&lt;&gt;""),AVERAGE(I42,K42,M42),"")</f>
        <v/>
      </c>
      <c r="P42" s="15">
        <f>IF(O42="","",IF(O42&gt;=4.5,"Excellent",IF(O42&gt;=3.5,"Good",IF(O42&gt;=2.5,"Fair","Poor"))))</f>
        <v/>
      </c>
      <c r="Q42" s="15" t="n"/>
      <c r="R42" s="23" t="n"/>
      <c r="S42" s="24" t="n"/>
      <c r="T42" s="16" t="n"/>
      <c r="U42" s="15" t="n"/>
      <c r="V42" s="15" t="n"/>
      <c r="W42" s="16">
        <f>IF(C42&lt;&gt;"",C42+90,"")</f>
        <v/>
      </c>
    </row>
    <row r="43">
      <c r="A43" s="15" t="n"/>
      <c r="B43" s="15">
        <f>IF(A43="","",IFERROR(VLOOKUP(A43,'Source Inventory'!$A$6:$P$55,2,FALSE),"[Source Not Found]"))</f>
        <v/>
      </c>
      <c r="C43" s="16">
        <f>IF(A43&lt;&gt;"",TODAY(),"")</f>
        <v/>
      </c>
      <c r="D43" s="15" t="n"/>
      <c r="E43" s="15" t="n"/>
      <c r="F43" s="15" t="n"/>
      <c r="G43" s="15" t="n"/>
      <c r="H43" s="15" t="n"/>
      <c r="I43" s="15" t="n"/>
      <c r="J43" s="15" t="n"/>
      <c r="K43" s="15" t="n"/>
      <c r="L43" s="15" t="n"/>
      <c r="M43" s="15" t="n"/>
      <c r="N43" s="15" t="n"/>
      <c r="O43" s="22">
        <f>IF(AND(I43&lt;&gt;"",K43&lt;&gt;"",M43&lt;&gt;""),AVERAGE(I43,K43,M43),"")</f>
        <v/>
      </c>
      <c r="P43" s="15">
        <f>IF(O43="","",IF(O43&gt;=4.5,"Excellent",IF(O43&gt;=3.5,"Good",IF(O43&gt;=2.5,"Fair","Poor"))))</f>
        <v/>
      </c>
      <c r="Q43" s="15" t="n"/>
      <c r="R43" s="23" t="n"/>
      <c r="S43" s="24" t="n"/>
      <c r="T43" s="16" t="n"/>
      <c r="U43" s="15" t="n"/>
      <c r="V43" s="15" t="n"/>
      <c r="W43" s="16">
        <f>IF(C43&lt;&gt;"",C43+90,"")</f>
        <v/>
      </c>
    </row>
    <row r="44">
      <c r="A44" s="15" t="n"/>
      <c r="B44" s="15">
        <f>IF(A44="","",IFERROR(VLOOKUP(A44,'Source Inventory'!$A$6:$P$55,2,FALSE),"[Source Not Found]"))</f>
        <v/>
      </c>
      <c r="C44" s="16">
        <f>IF(A44&lt;&gt;"",TODAY(),"")</f>
        <v/>
      </c>
      <c r="D44" s="15" t="n"/>
      <c r="E44" s="15" t="n"/>
      <c r="F44" s="15" t="n"/>
      <c r="G44" s="15" t="n"/>
      <c r="H44" s="15" t="n"/>
      <c r="I44" s="15" t="n"/>
      <c r="J44" s="15" t="n"/>
      <c r="K44" s="15" t="n"/>
      <c r="L44" s="15" t="n"/>
      <c r="M44" s="15" t="n"/>
      <c r="N44" s="15" t="n"/>
      <c r="O44" s="22">
        <f>IF(AND(I44&lt;&gt;"",K44&lt;&gt;"",M44&lt;&gt;""),AVERAGE(I44,K44,M44),"")</f>
        <v/>
      </c>
      <c r="P44" s="15">
        <f>IF(O44="","",IF(O44&gt;=4.5,"Excellent",IF(O44&gt;=3.5,"Good",IF(O44&gt;=2.5,"Fair","Poor"))))</f>
        <v/>
      </c>
      <c r="Q44" s="15" t="n"/>
      <c r="R44" s="23" t="n"/>
      <c r="S44" s="24" t="n"/>
      <c r="T44" s="16" t="n"/>
      <c r="U44" s="15" t="n"/>
      <c r="V44" s="15" t="n"/>
      <c r="W44" s="16">
        <f>IF(C44&lt;&gt;"",C44+90,"")</f>
        <v/>
      </c>
    </row>
    <row r="45">
      <c r="A45" s="15" t="n"/>
      <c r="B45" s="15">
        <f>IF(A45="","",IFERROR(VLOOKUP(A45,'Source Inventory'!$A$6:$P$55,2,FALSE),"[Source Not Found]"))</f>
        <v/>
      </c>
      <c r="C45" s="16">
        <f>IF(A45&lt;&gt;"",TODAY(),"")</f>
        <v/>
      </c>
      <c r="D45" s="15" t="n"/>
      <c r="E45" s="15" t="n"/>
      <c r="F45" s="15" t="n"/>
      <c r="G45" s="15" t="n"/>
      <c r="H45" s="15" t="n"/>
      <c r="I45" s="15" t="n"/>
      <c r="J45" s="15" t="n"/>
      <c r="K45" s="15" t="n"/>
      <c r="L45" s="15" t="n"/>
      <c r="M45" s="15" t="n"/>
      <c r="N45" s="15" t="n"/>
      <c r="O45" s="22">
        <f>IF(AND(I45&lt;&gt;"",K45&lt;&gt;"",M45&lt;&gt;""),AVERAGE(I45,K45,M45),"")</f>
        <v/>
      </c>
      <c r="P45" s="15">
        <f>IF(O45="","",IF(O45&gt;=4.5,"Excellent",IF(O45&gt;=3.5,"Good",IF(O45&gt;=2.5,"Fair","Poor"))))</f>
        <v/>
      </c>
      <c r="Q45" s="15" t="n"/>
      <c r="R45" s="23" t="n"/>
      <c r="S45" s="24" t="n"/>
      <c r="T45" s="16" t="n"/>
      <c r="U45" s="15" t="n"/>
      <c r="V45" s="15" t="n"/>
      <c r="W45" s="16">
        <f>IF(C45&lt;&gt;"",C45+90,"")</f>
        <v/>
      </c>
    </row>
    <row r="46">
      <c r="A46" s="15" t="n"/>
      <c r="B46" s="15">
        <f>IF(A46="","",IFERROR(VLOOKUP(A46,'Source Inventory'!$A$6:$P$55,2,FALSE),"[Source Not Found]"))</f>
        <v/>
      </c>
      <c r="C46" s="16">
        <f>IF(A46&lt;&gt;"",TODAY(),"")</f>
        <v/>
      </c>
      <c r="D46" s="15" t="n"/>
      <c r="E46" s="15" t="n"/>
      <c r="F46" s="15" t="n"/>
      <c r="G46" s="15" t="n"/>
      <c r="H46" s="15" t="n"/>
      <c r="I46" s="15" t="n"/>
      <c r="J46" s="15" t="n"/>
      <c r="K46" s="15" t="n"/>
      <c r="L46" s="15" t="n"/>
      <c r="M46" s="15" t="n"/>
      <c r="N46" s="15" t="n"/>
      <c r="O46" s="22">
        <f>IF(AND(I46&lt;&gt;"",K46&lt;&gt;"",M46&lt;&gt;""),AVERAGE(I46,K46,M46),"")</f>
        <v/>
      </c>
      <c r="P46" s="15">
        <f>IF(O46="","",IF(O46&gt;=4.5,"Excellent",IF(O46&gt;=3.5,"Good",IF(O46&gt;=2.5,"Fair","Poor"))))</f>
        <v/>
      </c>
      <c r="Q46" s="15" t="n"/>
      <c r="R46" s="23" t="n"/>
      <c r="S46" s="24" t="n"/>
      <c r="T46" s="16" t="n"/>
      <c r="U46" s="15" t="n"/>
      <c r="V46" s="15" t="n"/>
      <c r="W46" s="16">
        <f>IF(C46&lt;&gt;"",C46+90,"")</f>
        <v/>
      </c>
    </row>
    <row r="47">
      <c r="A47" s="15" t="n"/>
      <c r="B47" s="15">
        <f>IF(A47="","",IFERROR(VLOOKUP(A47,'Source Inventory'!$A$6:$P$55,2,FALSE),"[Source Not Found]"))</f>
        <v/>
      </c>
      <c r="C47" s="16">
        <f>IF(A47&lt;&gt;"",TODAY(),"")</f>
        <v/>
      </c>
      <c r="D47" s="15" t="n"/>
      <c r="E47" s="15" t="n"/>
      <c r="F47" s="15" t="n"/>
      <c r="G47" s="15" t="n"/>
      <c r="H47" s="15" t="n"/>
      <c r="I47" s="15" t="n"/>
      <c r="J47" s="15" t="n"/>
      <c r="K47" s="15" t="n"/>
      <c r="L47" s="15" t="n"/>
      <c r="M47" s="15" t="n"/>
      <c r="N47" s="15" t="n"/>
      <c r="O47" s="22">
        <f>IF(AND(I47&lt;&gt;"",K47&lt;&gt;"",M47&lt;&gt;""),AVERAGE(I47,K47,M47),"")</f>
        <v/>
      </c>
      <c r="P47" s="15">
        <f>IF(O47="","",IF(O47&gt;=4.5,"Excellent",IF(O47&gt;=3.5,"Good",IF(O47&gt;=2.5,"Fair","Poor"))))</f>
        <v/>
      </c>
      <c r="Q47" s="15" t="n"/>
      <c r="R47" s="23" t="n"/>
      <c r="S47" s="24" t="n"/>
      <c r="T47" s="16" t="n"/>
      <c r="U47" s="15" t="n"/>
      <c r="V47" s="15" t="n"/>
      <c r="W47" s="16">
        <f>IF(C47&lt;&gt;"",C47+90,"")</f>
        <v/>
      </c>
    </row>
    <row r="48">
      <c r="A48" s="15" t="n"/>
      <c r="B48" s="15">
        <f>IF(A48="","",IFERROR(VLOOKUP(A48,'Source Inventory'!$A$6:$P$55,2,FALSE),"[Source Not Found]"))</f>
        <v/>
      </c>
      <c r="C48" s="16">
        <f>IF(A48&lt;&gt;"",TODAY(),"")</f>
        <v/>
      </c>
      <c r="D48" s="15" t="n"/>
      <c r="E48" s="15" t="n"/>
      <c r="F48" s="15" t="n"/>
      <c r="G48" s="15" t="n"/>
      <c r="H48" s="15" t="n"/>
      <c r="I48" s="15" t="n"/>
      <c r="J48" s="15" t="n"/>
      <c r="K48" s="15" t="n"/>
      <c r="L48" s="15" t="n"/>
      <c r="M48" s="15" t="n"/>
      <c r="N48" s="15" t="n"/>
      <c r="O48" s="22">
        <f>IF(AND(I48&lt;&gt;"",K48&lt;&gt;"",M48&lt;&gt;""),AVERAGE(I48,K48,M48),"")</f>
        <v/>
      </c>
      <c r="P48" s="15">
        <f>IF(O48="","",IF(O48&gt;=4.5,"Excellent",IF(O48&gt;=3.5,"Good",IF(O48&gt;=2.5,"Fair","Poor"))))</f>
        <v/>
      </c>
      <c r="Q48" s="15" t="n"/>
      <c r="R48" s="23" t="n"/>
      <c r="S48" s="24" t="n"/>
      <c r="T48" s="16" t="n"/>
      <c r="U48" s="15" t="n"/>
      <c r="V48" s="15" t="n"/>
      <c r="W48" s="16">
        <f>IF(C48&lt;&gt;"",C48+90,"")</f>
        <v/>
      </c>
    </row>
    <row r="49">
      <c r="A49" s="15" t="n"/>
      <c r="B49" s="15">
        <f>IF(A49="","",IFERROR(VLOOKUP(A49,'Source Inventory'!$A$6:$P$55,2,FALSE),"[Source Not Found]"))</f>
        <v/>
      </c>
      <c r="C49" s="16">
        <f>IF(A49&lt;&gt;"",TODAY(),"")</f>
        <v/>
      </c>
      <c r="D49" s="15" t="n"/>
      <c r="E49" s="15" t="n"/>
      <c r="F49" s="15" t="n"/>
      <c r="G49" s="15" t="n"/>
      <c r="H49" s="15" t="n"/>
      <c r="I49" s="15" t="n"/>
      <c r="J49" s="15" t="n"/>
      <c r="K49" s="15" t="n"/>
      <c r="L49" s="15" t="n"/>
      <c r="M49" s="15" t="n"/>
      <c r="N49" s="15" t="n"/>
      <c r="O49" s="22">
        <f>IF(AND(I49&lt;&gt;"",K49&lt;&gt;"",M49&lt;&gt;""),AVERAGE(I49,K49,M49),"")</f>
        <v/>
      </c>
      <c r="P49" s="15">
        <f>IF(O49="","",IF(O49&gt;=4.5,"Excellent",IF(O49&gt;=3.5,"Good",IF(O49&gt;=2.5,"Fair","Poor"))))</f>
        <v/>
      </c>
      <c r="Q49" s="15" t="n"/>
      <c r="R49" s="23" t="n"/>
      <c r="S49" s="24" t="n"/>
      <c r="T49" s="16" t="n"/>
      <c r="U49" s="15" t="n"/>
      <c r="V49" s="15" t="n"/>
      <c r="W49" s="16">
        <f>IF(C49&lt;&gt;"",C49+90,"")</f>
        <v/>
      </c>
    </row>
    <row r="50">
      <c r="A50" s="15" t="n"/>
      <c r="B50" s="15">
        <f>IF(A50="","",IFERROR(VLOOKUP(A50,'Source Inventory'!$A$6:$P$55,2,FALSE),"[Source Not Found]"))</f>
        <v/>
      </c>
      <c r="C50" s="16">
        <f>IF(A50&lt;&gt;"",TODAY(),"")</f>
        <v/>
      </c>
      <c r="D50" s="15" t="n"/>
      <c r="E50" s="15" t="n"/>
      <c r="F50" s="15" t="n"/>
      <c r="G50" s="15" t="n"/>
      <c r="H50" s="15" t="n"/>
      <c r="I50" s="15" t="n"/>
      <c r="J50" s="15" t="n"/>
      <c r="K50" s="15" t="n"/>
      <c r="L50" s="15" t="n"/>
      <c r="M50" s="15" t="n"/>
      <c r="N50" s="15" t="n"/>
      <c r="O50" s="22">
        <f>IF(AND(I50&lt;&gt;"",K50&lt;&gt;"",M50&lt;&gt;""),AVERAGE(I50,K50,M50),"")</f>
        <v/>
      </c>
      <c r="P50" s="15">
        <f>IF(O50="","",IF(O50&gt;=4.5,"Excellent",IF(O50&gt;=3.5,"Good",IF(O50&gt;=2.5,"Fair","Poor"))))</f>
        <v/>
      </c>
      <c r="Q50" s="15" t="n"/>
      <c r="R50" s="23" t="n"/>
      <c r="S50" s="24" t="n"/>
      <c r="T50" s="16" t="n"/>
      <c r="U50" s="15" t="n"/>
      <c r="V50" s="15" t="n"/>
      <c r="W50" s="16">
        <f>IF(C50&lt;&gt;"",C50+90,"")</f>
        <v/>
      </c>
    </row>
    <row r="51">
      <c r="A51" s="15" t="n"/>
      <c r="B51" s="15">
        <f>IF(A51="","",IFERROR(VLOOKUP(A51,'Source Inventory'!$A$6:$P$55,2,FALSE),"[Source Not Found]"))</f>
        <v/>
      </c>
      <c r="C51" s="16">
        <f>IF(A51&lt;&gt;"",TODAY(),"")</f>
        <v/>
      </c>
      <c r="D51" s="15" t="n"/>
      <c r="E51" s="15" t="n"/>
      <c r="F51" s="15" t="n"/>
      <c r="G51" s="15" t="n"/>
      <c r="H51" s="15" t="n"/>
      <c r="I51" s="15" t="n"/>
      <c r="J51" s="15" t="n"/>
      <c r="K51" s="15" t="n"/>
      <c r="L51" s="15" t="n"/>
      <c r="M51" s="15" t="n"/>
      <c r="N51" s="15" t="n"/>
      <c r="O51" s="22">
        <f>IF(AND(I51&lt;&gt;"",K51&lt;&gt;"",M51&lt;&gt;""),AVERAGE(I51,K51,M51),"")</f>
        <v/>
      </c>
      <c r="P51" s="15">
        <f>IF(O51="","",IF(O51&gt;=4.5,"Excellent",IF(O51&gt;=3.5,"Good",IF(O51&gt;=2.5,"Fair","Poor"))))</f>
        <v/>
      </c>
      <c r="Q51" s="15" t="n"/>
      <c r="R51" s="23" t="n"/>
      <c r="S51" s="24" t="n"/>
      <c r="T51" s="16" t="n"/>
      <c r="U51" s="15" t="n"/>
      <c r="V51" s="15" t="n"/>
      <c r="W51" s="16">
        <f>IF(C51&lt;&gt;"",C51+90,"")</f>
        <v/>
      </c>
    </row>
    <row r="52">
      <c r="A52" s="15" t="n"/>
      <c r="B52" s="15">
        <f>IF(A52="","",IFERROR(VLOOKUP(A52,'Source Inventory'!$A$6:$P$55,2,FALSE),"[Source Not Found]"))</f>
        <v/>
      </c>
      <c r="C52" s="16">
        <f>IF(A52&lt;&gt;"",TODAY(),"")</f>
        <v/>
      </c>
      <c r="D52" s="15" t="n"/>
      <c r="E52" s="15" t="n"/>
      <c r="F52" s="15" t="n"/>
      <c r="G52" s="15" t="n"/>
      <c r="H52" s="15" t="n"/>
      <c r="I52" s="15" t="n"/>
      <c r="J52" s="15" t="n"/>
      <c r="K52" s="15" t="n"/>
      <c r="L52" s="15" t="n"/>
      <c r="M52" s="15" t="n"/>
      <c r="N52" s="15" t="n"/>
      <c r="O52" s="22">
        <f>IF(AND(I52&lt;&gt;"",K52&lt;&gt;"",M52&lt;&gt;""),AVERAGE(I52,K52,M52),"")</f>
        <v/>
      </c>
      <c r="P52" s="15">
        <f>IF(O52="","",IF(O52&gt;=4.5,"Excellent",IF(O52&gt;=3.5,"Good",IF(O52&gt;=2.5,"Fair","Poor"))))</f>
        <v/>
      </c>
      <c r="Q52" s="15" t="n"/>
      <c r="R52" s="23" t="n"/>
      <c r="S52" s="24" t="n"/>
      <c r="T52" s="16" t="n"/>
      <c r="U52" s="15" t="n"/>
      <c r="V52" s="15" t="n"/>
      <c r="W52" s="16">
        <f>IF(C52&lt;&gt;"",C52+90,"")</f>
        <v/>
      </c>
    </row>
    <row r="53">
      <c r="A53" s="15" t="n"/>
      <c r="B53" s="15">
        <f>IF(A53="","",IFERROR(VLOOKUP(A53,'Source Inventory'!$A$6:$P$55,2,FALSE),"[Source Not Found]"))</f>
        <v/>
      </c>
      <c r="C53" s="16">
        <f>IF(A53&lt;&gt;"",TODAY(),"")</f>
        <v/>
      </c>
      <c r="D53" s="15" t="n"/>
      <c r="E53" s="15" t="n"/>
      <c r="F53" s="15" t="n"/>
      <c r="G53" s="15" t="n"/>
      <c r="H53" s="15" t="n"/>
      <c r="I53" s="15" t="n"/>
      <c r="J53" s="15" t="n"/>
      <c r="K53" s="15" t="n"/>
      <c r="L53" s="15" t="n"/>
      <c r="M53" s="15" t="n"/>
      <c r="N53" s="15" t="n"/>
      <c r="O53" s="22">
        <f>IF(AND(I53&lt;&gt;"",K53&lt;&gt;"",M53&lt;&gt;""),AVERAGE(I53,K53,M53),"")</f>
        <v/>
      </c>
      <c r="P53" s="15">
        <f>IF(O53="","",IF(O53&gt;=4.5,"Excellent",IF(O53&gt;=3.5,"Good",IF(O53&gt;=2.5,"Fair","Poor"))))</f>
        <v/>
      </c>
      <c r="Q53" s="15" t="n"/>
      <c r="R53" s="23" t="n"/>
      <c r="S53" s="24" t="n"/>
      <c r="T53" s="16" t="n"/>
      <c r="U53" s="15" t="n"/>
      <c r="V53" s="15" t="n"/>
      <c r="W53" s="16">
        <f>IF(C53&lt;&gt;"",C53+90,"")</f>
        <v/>
      </c>
    </row>
    <row r="54">
      <c r="A54" s="15" t="n"/>
      <c r="B54" s="15">
        <f>IF(A54="","",IFERROR(VLOOKUP(A54,'Source Inventory'!$A$6:$P$55,2,FALSE),"[Source Not Found]"))</f>
        <v/>
      </c>
      <c r="C54" s="16">
        <f>IF(A54&lt;&gt;"",TODAY(),"")</f>
        <v/>
      </c>
      <c r="D54" s="15" t="n"/>
      <c r="E54" s="15" t="n"/>
      <c r="F54" s="15" t="n"/>
      <c r="G54" s="15" t="n"/>
      <c r="H54" s="15" t="n"/>
      <c r="I54" s="15" t="n"/>
      <c r="J54" s="15" t="n"/>
      <c r="K54" s="15" t="n"/>
      <c r="L54" s="15" t="n"/>
      <c r="M54" s="15" t="n"/>
      <c r="N54" s="15" t="n"/>
      <c r="O54" s="22">
        <f>IF(AND(I54&lt;&gt;"",K54&lt;&gt;"",M54&lt;&gt;""),AVERAGE(I54,K54,M54),"")</f>
        <v/>
      </c>
      <c r="P54" s="15">
        <f>IF(O54="","",IF(O54&gt;=4.5,"Excellent",IF(O54&gt;=3.5,"Good",IF(O54&gt;=2.5,"Fair","Poor"))))</f>
        <v/>
      </c>
      <c r="Q54" s="15" t="n"/>
      <c r="R54" s="23" t="n"/>
      <c r="S54" s="24" t="n"/>
      <c r="T54" s="16" t="n"/>
      <c r="U54" s="15" t="n"/>
      <c r="V54" s="15" t="n"/>
      <c r="W54" s="16">
        <f>IF(C54&lt;&gt;"",C54+90,"")</f>
        <v/>
      </c>
    </row>
    <row r="55">
      <c r="A55" s="15" t="n"/>
      <c r="B55" s="15">
        <f>IF(A55="","",IFERROR(VLOOKUP(A55,'Source Inventory'!$A$6:$P$55,2,FALSE),"[Source Not Found]"))</f>
        <v/>
      </c>
      <c r="C55" s="16">
        <f>IF(A55&lt;&gt;"",TODAY(),"")</f>
        <v/>
      </c>
      <c r="D55" s="15" t="n"/>
      <c r="E55" s="15" t="n"/>
      <c r="F55" s="15" t="n"/>
      <c r="G55" s="15" t="n"/>
      <c r="H55" s="15" t="n"/>
      <c r="I55" s="15" t="n"/>
      <c r="J55" s="15" t="n"/>
      <c r="K55" s="15" t="n"/>
      <c r="L55" s="15" t="n"/>
      <c r="M55" s="15" t="n"/>
      <c r="N55" s="15" t="n"/>
      <c r="O55" s="22">
        <f>IF(AND(I55&lt;&gt;"",K55&lt;&gt;"",M55&lt;&gt;""),AVERAGE(I55,K55,M55),"")</f>
        <v/>
      </c>
      <c r="P55" s="15">
        <f>IF(O55="","",IF(O55&gt;=4.5,"Excellent",IF(O55&gt;=3.5,"Good",IF(O55&gt;=2.5,"Fair","Poor"))))</f>
        <v/>
      </c>
      <c r="Q55" s="15" t="n"/>
      <c r="R55" s="23" t="n"/>
      <c r="S55" s="24" t="n"/>
      <c r="T55" s="16" t="n"/>
      <c r="U55" s="15" t="n"/>
      <c r="V55" s="15" t="n"/>
      <c r="W55" s="16">
        <f>IF(C55&lt;&gt;"",C55+90,"")</f>
        <v/>
      </c>
    </row>
  </sheetData>
  <mergeCells count="2">
    <mergeCell ref="A2:W2"/>
    <mergeCell ref="A1:W1"/>
  </mergeCells>
  <conditionalFormatting sqref="P6:P55">
    <cfRule type="cellIs" priority="1" operator="equal" dxfId="6">
      <formula>"Excellent"</formula>
    </cfRule>
    <cfRule type="cellIs" priority="2" operator="equal" dxfId="0">
      <formula>"Good"</formula>
    </cfRule>
    <cfRule type="cellIs" priority="3" operator="equal" dxfId="2">
      <formula>"Fair"</formula>
    </cfRule>
    <cfRule type="cellIs" priority="4" operator="equal" dxfId="4">
      <formula>"Poor"</formula>
    </cfRule>
  </conditionalFormatting>
  <conditionalFormatting sqref="R6:R55">
    <cfRule type="cellIs" priority="5" operator="greaterThanOrEqual" dxfId="7">
      <formula>0.95</formula>
    </cfRule>
    <cfRule type="cellIs" priority="6" operator="greaterThanOrEqual" dxfId="6">
      <formula>0.9</formula>
    </cfRule>
    <cfRule type="cellIs" priority="7" operator="greaterThanOrEqual" dxfId="2">
      <formula>0.85</formula>
    </cfRule>
    <cfRule type="cellIs" priority="8" operator="lessThan" dxfId="8">
      <formula>0.85</formula>
    </cfRule>
  </conditionalFormatting>
  <conditionalFormatting sqref="V6:V55">
    <cfRule type="cellIs" priority="9" operator="equal" dxfId="4">
      <formula>"Discontinue"</formula>
    </cfRule>
  </conditionalFormatting>
  <dataValidations count="6">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I6 I7 I8 I9 I10 I11 I12 I13 I14 I15 I16 I17 I18 I19 I20 I21 I22 I23 I24 I25 I26 I27 I28 I29 I30 I31 I32 I33 I34 I35 I36 I37 I38 I39 I40 I41 I42 I43 I44 I45 I46 I47 I48 I49 I50 I51 I52 I53 I54 I55 K6 K7 K8 K9 K10 K11 K12 K13 K14 K15 K16 K17 K18 K19 K20 K21 K22 K23 K24 K25 K26 K27 K28 K29 K30 K31 K32 K33 K34 K35 K36 K37 K38 K39 K40 K41 K42 K43 K44 K45 K46 K47 K48 K49 K50 K51 K52 K53 K54 K55 M6 M7 M8 M9 M10 M11 M12 M13 M14 M15 M16 M17 M18 M19 M20 M21 M22 M23 M24 M25 M26 M27 M28 M29 M30 M31 M32 M33 M34 M35 M36 M37 M38 M39 M40 M41 M42 M43 M44 M45 M46 M47 M48 M49 M50 M51 M52 M53 M54 M55" showDropDown="0" showInputMessage="0" showErrorMessage="0" allowBlank="0" type="whole" operator="between">
      <formula1>1</formula1>
      <formula2>5</formula2>
    </dataValidation>
    <dataValidation sqref="Q6 Q7 Q8 Q9 Q10 Q11 Q12 Q13 Q14 Q15 Q16 Q17 Q18 Q19 Q20 Q21 Q22 Q23 Q24 Q25 Q26 Q27 Q28 Q29 Q30 Q31 Q32 Q33 Q34 Q35 Q36 Q37 Q38 Q39 Q40 Q41 Q42 Q43 Q44 Q45 Q46 Q47 Q48 Q49 Q50 Q51 Q52 Q53 Q54 Q55" showDropDown="0" showInputMessage="0" showErrorMessage="0" allowBlank="1" type="list">
      <formula1>"High,Medium,Low,Unknown"</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"Continue,Enhance,Review,Discontinue"</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"A - Completely Reliable,B - Usually Reliable,C - Fairly Reliable,D - Not Usually Reliable,E - Unreliable,F - Cannot Judge"</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"1 - Confirmed,2 - Probably True,3 - Possibly True,4 - Doubtful,5 - Improbable,6 - Cannot Judge"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7"/>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0" customWidth="1" min="3" max="3"/>
    <col width="10" customWidth="1" min="4" max="4"/>
    <col width="12" customWidth="1" min="5" max="5"/>
    <col width="12" customWidth="1" min="6" max="6"/>
    <col width="8" customWidth="1" min="7" max="7"/>
    <col width="10" customWidth="1" min="8" max="8"/>
    <col width="13" customWidth="1" min="9" max="9"/>
    <col width="10" customWidth="1" min="10" max="10"/>
    <col width="8" customWidth="1" min="11" max="11"/>
    <col width="15" customWidth="1" min="12" max="12"/>
  </cols>
  <sheetData>
    <row r="1" ht="35" customHeight="1">
      <c r="A1" s="11" t="inlineStr">
        <is>
          <t>THREAT INTELLIGENCE COVERAGE MATRIX</t>
        </is>
      </c>
    </row>
    <row r="2">
      <c r="A2" s="12" t="inlineStr">
        <is>
          <t>Map sources to coverage dimensions to identify gaps. Minimum 2 sources recommended per critical category.</t>
        </is>
      </c>
    </row>
    <row r="4">
      <c r="A4" s="25" t="inlineStr">
        <is>
          <t>GEOGRAPHIC COVERAGE</t>
        </is>
      </c>
    </row>
    <row r="5">
      <c r="A5" s="13" t="inlineStr">
        <is>
          <t>Source ID</t>
        </is>
      </c>
      <c r="B5" s="13" t="inlineStr">
        <is>
          <t>Source Name</t>
        </is>
      </c>
      <c r="C5" s="13" t="inlineStr">
        <is>
          <t>Global</t>
        </is>
      </c>
      <c r="D5" s="13" t="inlineStr">
        <is>
          <t>North America</t>
        </is>
      </c>
      <c r="E5" s="13" t="inlineStr">
        <is>
          <t>Europe</t>
        </is>
      </c>
      <c r="F5" s="13" t="inlineStr">
        <is>
          <t>Asia Pacific</t>
        </is>
      </c>
      <c r="G5" s="13" t="inlineStr">
        <is>
          <t>Middle East</t>
        </is>
      </c>
      <c r="H5" s="13" t="inlineStr">
        <is>
          <t>Latin America</t>
        </is>
      </c>
      <c r="I5" s="13" t="inlineStr">
        <is>
          <t>Africa</t>
        </is>
      </c>
    </row>
    <row r="6">
      <c r="A6" s="26" t="n"/>
      <c r="B6" s="27">
        <f>IFERROR(VLOOKUP(A6,'Source Inventory'!A:B,2,FALSE),"")</f>
        <v/>
      </c>
      <c r="C6" s="28" t="n"/>
      <c r="D6" s="28" t="n"/>
      <c r="E6" s="28" t="n"/>
      <c r="F6" s="28" t="n"/>
      <c r="G6" s="28" t="n"/>
      <c r="H6" s="28" t="n"/>
      <c r="I6" s="28" t="n"/>
    </row>
    <row r="7">
      <c r="A7" s="26" t="n"/>
      <c r="B7" s="27">
        <f>IFERROR(VLOOKUP(A7,'Source Inventory'!A:B,2,FALSE),"")</f>
        <v/>
      </c>
      <c r="C7" s="28" t="n"/>
      <c r="D7" s="28" t="n"/>
      <c r="E7" s="28" t="n"/>
      <c r="F7" s="28" t="n"/>
      <c r="G7" s="28" t="n"/>
      <c r="H7" s="28" t="n"/>
      <c r="I7" s="28" t="n"/>
    </row>
    <row r="8">
      <c r="A8" s="26" t="n"/>
      <c r="B8" s="27">
        <f>IFERROR(VLOOKUP(A8,'Source Inventory'!A:B,2,FALSE),"")</f>
        <v/>
      </c>
      <c r="C8" s="28" t="n"/>
      <c r="D8" s="28" t="n"/>
      <c r="E8" s="28" t="n"/>
      <c r="F8" s="28" t="n"/>
      <c r="G8" s="28" t="n"/>
      <c r="H8" s="28" t="n"/>
      <c r="I8" s="28" t="n"/>
    </row>
    <row r="9">
      <c r="A9" s="26" t="n"/>
      <c r="B9" s="27">
        <f>IFERROR(VLOOKUP(A9,'Source Inventory'!A:B,2,FALSE),"")</f>
        <v/>
      </c>
      <c r="C9" s="28" t="n"/>
      <c r="D9" s="28" t="n"/>
      <c r="E9" s="28" t="n"/>
      <c r="F9" s="28" t="n"/>
      <c r="G9" s="28" t="n"/>
      <c r="H9" s="28" t="n"/>
      <c r="I9" s="28" t="n"/>
    </row>
    <row r="10">
      <c r="A10" s="26" t="n"/>
      <c r="B10" s="27">
        <f>IFERROR(VLOOKUP(A10,'Source Inventory'!A:B,2,FALSE),"")</f>
        <v/>
      </c>
      <c r="C10" s="28" t="n"/>
      <c r="D10" s="28" t="n"/>
      <c r="E10" s="28" t="n"/>
      <c r="F10" s="28" t="n"/>
      <c r="G10" s="28" t="n"/>
      <c r="H10" s="28" t="n"/>
      <c r="I10" s="28" t="n"/>
    </row>
    <row r="11">
      <c r="A11" s="26" t="n"/>
      <c r="B11" s="27">
        <f>IFERROR(VLOOKUP(A11,'Source Inventory'!A:B,2,FALSE),"")</f>
        <v/>
      </c>
      <c r="C11" s="28" t="n"/>
      <c r="D11" s="28" t="n"/>
      <c r="E11" s="28" t="n"/>
      <c r="F11" s="28" t="n"/>
      <c r="G11" s="28" t="n"/>
      <c r="H11" s="28" t="n"/>
      <c r="I11" s="28" t="n"/>
    </row>
    <row r="12">
      <c r="A12" s="26" t="n"/>
      <c r="B12" s="27">
        <f>IFERROR(VLOOKUP(A12,'Source Inventory'!A:B,2,FALSE),"")</f>
        <v/>
      </c>
      <c r="C12" s="28" t="n"/>
      <c r="D12" s="28" t="n"/>
      <c r="E12" s="28" t="n"/>
      <c r="F12" s="28" t="n"/>
      <c r="G12" s="28" t="n"/>
      <c r="H12" s="28" t="n"/>
      <c r="I12" s="28" t="n"/>
    </row>
    <row r="13">
      <c r="A13" s="26" t="n"/>
      <c r="B13" s="27">
        <f>IFERROR(VLOOKUP(A13,'Source Inventory'!A:B,2,FALSE),"")</f>
        <v/>
      </c>
      <c r="C13" s="28" t="n"/>
      <c r="D13" s="28" t="n"/>
      <c r="E13" s="28" t="n"/>
      <c r="F13" s="28" t="n"/>
      <c r="G13" s="28" t="n"/>
      <c r="H13" s="28" t="n"/>
      <c r="I13" s="28" t="n"/>
    </row>
    <row r="14">
      <c r="A14" s="26" t="n"/>
      <c r="B14" s="27">
        <f>IFERROR(VLOOKUP(A14,'Source Inventory'!A:B,2,FALSE),"")</f>
        <v/>
      </c>
      <c r="C14" s="28" t="n"/>
      <c r="D14" s="28" t="n"/>
      <c r="E14" s="28" t="n"/>
      <c r="F14" s="28" t="n"/>
      <c r="G14" s="28" t="n"/>
      <c r="H14" s="28" t="n"/>
      <c r="I14" s="28" t="n"/>
    </row>
    <row r="15">
      <c r="A15" s="26" t="n"/>
      <c r="B15" s="27">
        <f>IFERROR(VLOOKUP(A15,'Source Inventory'!A:B,2,FALSE),"")</f>
        <v/>
      </c>
      <c r="C15" s="28" t="n"/>
      <c r="D15" s="28" t="n"/>
      <c r="E15" s="28" t="n"/>
      <c r="F15" s="28" t="n"/>
      <c r="G15" s="28" t="n"/>
      <c r="H15" s="28" t="n"/>
      <c r="I15" s="28" t="n"/>
    </row>
    <row r="16">
      <c r="A16" s="26" t="n"/>
      <c r="B16" s="27">
        <f>IFERROR(VLOOKUP(A16,'Source Inventory'!A:B,2,FALSE),"")</f>
        <v/>
      </c>
      <c r="C16" s="28" t="n"/>
      <c r="D16" s="28" t="n"/>
      <c r="E16" s="28" t="n"/>
      <c r="F16" s="28" t="n"/>
      <c r="G16" s="28" t="n"/>
      <c r="H16" s="28" t="n"/>
      <c r="I16" s="28" t="n"/>
    </row>
    <row r="17">
      <c r="A17" s="26" t="n"/>
      <c r="B17" s="27">
        <f>IFERROR(VLOOKUP(A17,'Source Inventory'!A:B,2,FALSE),"")</f>
        <v/>
      </c>
      <c r="C17" s="28" t="n"/>
      <c r="D17" s="28" t="n"/>
      <c r="E17" s="28" t="n"/>
      <c r="F17" s="28" t="n"/>
      <c r="G17" s="28" t="n"/>
      <c r="H17" s="28" t="n"/>
      <c r="I17" s="28" t="n"/>
    </row>
    <row r="18">
      <c r="A18" s="26" t="n"/>
      <c r="B18" s="27">
        <f>IFERROR(VLOOKUP(A18,'Source Inventory'!A:B,2,FALSE),"")</f>
        <v/>
      </c>
      <c r="C18" s="28" t="n"/>
      <c r="D18" s="28" t="n"/>
      <c r="E18" s="28" t="n"/>
      <c r="F18" s="28" t="n"/>
      <c r="G18" s="28" t="n"/>
      <c r="H18" s="28" t="n"/>
      <c r="I18" s="28" t="n"/>
    </row>
    <row r="19">
      <c r="A19" s="26" t="n"/>
      <c r="B19" s="27">
        <f>IFERROR(VLOOKUP(A19,'Source Inventory'!A:B,2,FALSE),"")</f>
        <v/>
      </c>
      <c r="C19" s="28" t="n"/>
      <c r="D19" s="28" t="n"/>
      <c r="E19" s="28" t="n"/>
      <c r="F19" s="28" t="n"/>
      <c r="G19" s="28" t="n"/>
      <c r="H19" s="28" t="n"/>
      <c r="I19" s="28" t="n"/>
    </row>
    <row r="20">
      <c r="A20" s="26" t="n"/>
      <c r="B20" s="27">
        <f>IFERROR(VLOOKUP(A20,'Source Inventory'!A:B,2,FALSE),"")</f>
        <v/>
      </c>
      <c r="C20" s="28" t="n"/>
      <c r="D20" s="28" t="n"/>
      <c r="E20" s="28" t="n"/>
      <c r="F20" s="28" t="n"/>
      <c r="G20" s="28" t="n"/>
      <c r="H20" s="28" t="n"/>
      <c r="I20" s="28" t="n"/>
    </row>
    <row r="21">
      <c r="A21" s="26" t="n"/>
      <c r="B21" s="27">
        <f>IFERROR(VLOOKUP(A21,'Source Inventory'!A:B,2,FALSE),"")</f>
        <v/>
      </c>
      <c r="C21" s="28" t="n"/>
      <c r="D21" s="28" t="n"/>
      <c r="E21" s="28" t="n"/>
      <c r="F21" s="28" t="n"/>
      <c r="G21" s="28" t="n"/>
      <c r="H21" s="28" t="n"/>
      <c r="I21" s="28" t="n"/>
    </row>
    <row r="22">
      <c r="A22" s="26" t="n"/>
      <c r="B22" s="27">
        <f>IFERROR(VLOOKUP(A22,'Source Inventory'!A:B,2,FALSE),"")</f>
        <v/>
      </c>
      <c r="C22" s="28" t="n"/>
      <c r="D22" s="28" t="n"/>
      <c r="E22" s="28" t="n"/>
      <c r="F22" s="28" t="n"/>
      <c r="G22" s="28" t="n"/>
      <c r="H22" s="28" t="n"/>
      <c r="I22" s="28" t="n"/>
    </row>
    <row r="23">
      <c r="A23" s="26" t="n"/>
      <c r="B23" s="27">
        <f>IFERROR(VLOOKUP(A23,'Source Inventory'!A:B,2,FALSE),"")</f>
        <v/>
      </c>
      <c r="C23" s="28" t="n"/>
      <c r="D23" s="28" t="n"/>
      <c r="E23" s="28" t="n"/>
      <c r="F23" s="28" t="n"/>
      <c r="G23" s="28" t="n"/>
      <c r="H23" s="28" t="n"/>
      <c r="I23" s="28" t="n"/>
    </row>
    <row r="24">
      <c r="A24" s="26" t="n"/>
      <c r="B24" s="27">
        <f>IFERROR(VLOOKUP(A24,'Source Inventory'!A:B,2,FALSE),"")</f>
        <v/>
      </c>
      <c r="C24" s="28" t="n"/>
      <c r="D24" s="28" t="n"/>
      <c r="E24" s="28" t="n"/>
      <c r="F24" s="28" t="n"/>
      <c r="G24" s="28" t="n"/>
      <c r="H24" s="28" t="n"/>
      <c r="I24" s="28" t="n"/>
    </row>
    <row r="25">
      <c r="A25" s="26" t="n"/>
      <c r="B25" s="27">
        <f>IFERROR(VLOOKUP(A25,'Source Inventory'!A:B,2,FALSE),"")</f>
        <v/>
      </c>
      <c r="C25" s="28" t="n"/>
      <c r="D25" s="28" t="n"/>
      <c r="E25" s="28" t="n"/>
      <c r="F25" s="28" t="n"/>
      <c r="G25" s="28" t="n"/>
      <c r="H25" s="28" t="n"/>
      <c r="I25" s="28" t="n"/>
    </row>
    <row r="26">
      <c r="A26" s="29" t="inlineStr">
        <is>
          <t>Sources per Region:</t>
        </is>
      </c>
      <c r="C26" s="30">
        <f>COUNTIF(C6:C25,"Yes")</f>
        <v/>
      </c>
      <c r="D26" s="30">
        <f>COUNTIF(D6:D25,"Yes")</f>
        <v/>
      </c>
      <c r="E26" s="30">
        <f>COUNTIF(E6:E25,"Yes")</f>
        <v/>
      </c>
      <c r="F26" s="30">
        <f>COUNTIF(F6:F25,"Yes")</f>
        <v/>
      </c>
      <c r="G26" s="30">
        <f>COUNTIF(G6:G25,"Yes")</f>
        <v/>
      </c>
      <c r="H26" s="30">
        <f>COUNTIF(H6:H25,"Yes")</f>
        <v/>
      </c>
      <c r="I26" s="30">
        <f>COUNTIF(I6:I25,"Yes")</f>
        <v/>
      </c>
    </row>
    <row r="28">
      <c r="A28" s="25" t="inlineStr">
        <is>
          <t>SECTOR COVERAGE</t>
        </is>
      </c>
    </row>
    <row r="29">
      <c r="A29" s="13" t="inlineStr">
        <is>
          <t>Source ID</t>
        </is>
      </c>
      <c r="B29" s="13" t="inlineStr">
        <is>
          <t>Source Name</t>
        </is>
      </c>
      <c r="C29" s="13" t="inlineStr">
        <is>
          <t>Financial</t>
        </is>
      </c>
      <c r="D29" s="13" t="inlineStr">
        <is>
          <t>Healthcare</t>
        </is>
      </c>
      <c r="E29" s="13" t="inlineStr">
        <is>
          <t>Government</t>
        </is>
      </c>
      <c r="F29" s="13" t="inlineStr">
        <is>
          <t>Critical Infra</t>
        </is>
      </c>
      <c r="G29" s="13" t="inlineStr">
        <is>
          <t>Technology</t>
        </is>
      </c>
      <c r="H29" s="13" t="inlineStr">
        <is>
          <t>Education</t>
        </is>
      </c>
      <c r="I29" s="13" t="inlineStr">
        <is>
          <t>Retail</t>
        </is>
      </c>
      <c r="J29" s="13" t="inlineStr">
        <is>
          <t>Manufacturing</t>
        </is>
      </c>
      <c r="K29" s="13" t="inlineStr">
        <is>
          <t>All Sectors</t>
        </is>
      </c>
    </row>
    <row r="30">
      <c r="A30" s="26" t="n"/>
      <c r="B30" s="27">
        <f>IFERROR(VLOOKUP(A30,'Source Inventory'!A:B,2,FALSE),"")</f>
        <v/>
      </c>
      <c r="C30" s="28" t="n"/>
      <c r="D30" s="28" t="n"/>
      <c r="E30" s="28" t="n"/>
      <c r="F30" s="28" t="n"/>
      <c r="G30" s="28" t="n"/>
      <c r="H30" s="28" t="n"/>
      <c r="I30" s="28" t="n"/>
      <c r="J30" s="28" t="n"/>
      <c r="K30" s="28" t="n"/>
    </row>
    <row r="31">
      <c r="A31" s="26" t="n"/>
      <c r="B31" s="27">
        <f>IFERROR(VLOOKUP(A31,'Source Inventory'!A:B,2,FALSE),"")</f>
        <v/>
      </c>
      <c r="C31" s="28" t="n"/>
      <c r="D31" s="28" t="n"/>
      <c r="E31" s="28" t="n"/>
      <c r="F31" s="28" t="n"/>
      <c r="G31" s="28" t="n"/>
      <c r="H31" s="28" t="n"/>
      <c r="I31" s="28" t="n"/>
      <c r="J31" s="28" t="n"/>
      <c r="K31" s="28" t="n"/>
    </row>
    <row r="32">
      <c r="A32" s="26" t="n"/>
      <c r="B32" s="27">
        <f>IFERROR(VLOOKUP(A32,'Source Inventory'!A:B,2,FALSE),"")</f>
        <v/>
      </c>
      <c r="C32" s="28" t="n"/>
      <c r="D32" s="28" t="n"/>
      <c r="E32" s="28" t="n"/>
      <c r="F32" s="28" t="n"/>
      <c r="G32" s="28" t="n"/>
      <c r="H32" s="28" t="n"/>
      <c r="I32" s="28" t="n"/>
      <c r="J32" s="28" t="n"/>
      <c r="K32" s="28" t="n"/>
    </row>
    <row r="33">
      <c r="A33" s="26" t="n"/>
      <c r="B33" s="27">
        <f>IFERROR(VLOOKUP(A33,'Source Inventory'!A:B,2,FALSE),"")</f>
        <v/>
      </c>
      <c r="C33" s="28" t="n"/>
      <c r="D33" s="28" t="n"/>
      <c r="E33" s="28" t="n"/>
      <c r="F33" s="28" t="n"/>
      <c r="G33" s="28" t="n"/>
      <c r="H33" s="28" t="n"/>
      <c r="I33" s="28" t="n"/>
      <c r="J33" s="28" t="n"/>
      <c r="K33" s="28" t="n"/>
    </row>
    <row r="34">
      <c r="A34" s="26" t="n"/>
      <c r="B34" s="27">
        <f>IFERROR(VLOOKUP(A34,'Source Inventory'!A:B,2,FALSE),"")</f>
        <v/>
      </c>
      <c r="C34" s="28" t="n"/>
      <c r="D34" s="28" t="n"/>
      <c r="E34" s="28" t="n"/>
      <c r="F34" s="28" t="n"/>
      <c r="G34" s="28" t="n"/>
      <c r="H34" s="28" t="n"/>
      <c r="I34" s="28" t="n"/>
      <c r="J34" s="28" t="n"/>
      <c r="K34" s="28" t="n"/>
    </row>
    <row r="35">
      <c r="A35" s="26" t="n"/>
      <c r="B35" s="27">
        <f>IFERROR(VLOOKUP(A35,'Source Inventory'!A:B,2,FALSE),"")</f>
        <v/>
      </c>
      <c r="C35" s="28" t="n"/>
      <c r="D35" s="28" t="n"/>
      <c r="E35" s="28" t="n"/>
      <c r="F35" s="28" t="n"/>
      <c r="G35" s="28" t="n"/>
      <c r="H35" s="28" t="n"/>
      <c r="I35" s="28" t="n"/>
      <c r="J35" s="28" t="n"/>
      <c r="K35" s="28" t="n"/>
    </row>
    <row r="36">
      <c r="A36" s="26" t="n"/>
      <c r="B36" s="27">
        <f>IFERROR(VLOOKUP(A36,'Source Inventory'!A:B,2,FALSE),"")</f>
        <v/>
      </c>
      <c r="C36" s="28" t="n"/>
      <c r="D36" s="28" t="n"/>
      <c r="E36" s="28" t="n"/>
      <c r="F36" s="28" t="n"/>
      <c r="G36" s="28" t="n"/>
      <c r="H36" s="28" t="n"/>
      <c r="I36" s="28" t="n"/>
      <c r="J36" s="28" t="n"/>
      <c r="K36" s="28" t="n"/>
    </row>
    <row r="37">
      <c r="A37" s="26" t="n"/>
      <c r="B37" s="27">
        <f>IFERROR(VLOOKUP(A37,'Source Inventory'!A:B,2,FALSE),"")</f>
        <v/>
      </c>
      <c r="C37" s="28" t="n"/>
      <c r="D37" s="28" t="n"/>
      <c r="E37" s="28" t="n"/>
      <c r="F37" s="28" t="n"/>
      <c r="G37" s="28" t="n"/>
      <c r="H37" s="28" t="n"/>
      <c r="I37" s="28" t="n"/>
      <c r="J37" s="28" t="n"/>
      <c r="K37" s="28" t="n"/>
    </row>
    <row r="38">
      <c r="A38" s="26" t="n"/>
      <c r="B38" s="27">
        <f>IFERROR(VLOOKUP(A38,'Source Inventory'!A:B,2,FALSE),"")</f>
        <v/>
      </c>
      <c r="C38" s="28" t="n"/>
      <c r="D38" s="28" t="n"/>
      <c r="E38" s="28" t="n"/>
      <c r="F38" s="28" t="n"/>
      <c r="G38" s="28" t="n"/>
      <c r="H38" s="28" t="n"/>
      <c r="I38" s="28" t="n"/>
      <c r="J38" s="28" t="n"/>
      <c r="K38" s="28" t="n"/>
    </row>
    <row r="39">
      <c r="A39" s="26" t="n"/>
      <c r="B39" s="27">
        <f>IFERROR(VLOOKUP(A39,'Source Inventory'!A:B,2,FALSE),"")</f>
        <v/>
      </c>
      <c r="C39" s="28" t="n"/>
      <c r="D39" s="28" t="n"/>
      <c r="E39" s="28" t="n"/>
      <c r="F39" s="28" t="n"/>
      <c r="G39" s="28" t="n"/>
      <c r="H39" s="28" t="n"/>
      <c r="I39" s="28" t="n"/>
      <c r="J39" s="28" t="n"/>
      <c r="K39" s="28" t="n"/>
    </row>
    <row r="40">
      <c r="A40" s="26" t="n"/>
      <c r="B40" s="27">
        <f>IFERROR(VLOOKUP(A40,'Source Inventory'!A:B,2,FALSE),"")</f>
        <v/>
      </c>
      <c r="C40" s="28" t="n"/>
      <c r="D40" s="28" t="n"/>
      <c r="E40" s="28" t="n"/>
      <c r="F40" s="28" t="n"/>
      <c r="G40" s="28" t="n"/>
      <c r="H40" s="28" t="n"/>
      <c r="I40" s="28" t="n"/>
      <c r="J40" s="28" t="n"/>
      <c r="K40" s="28" t="n"/>
    </row>
    <row r="41">
      <c r="A41" s="26" t="n"/>
      <c r="B41" s="27">
        <f>IFERROR(VLOOKUP(A41,'Source Inventory'!A:B,2,FALSE),"")</f>
        <v/>
      </c>
      <c r="C41" s="28" t="n"/>
      <c r="D41" s="28" t="n"/>
      <c r="E41" s="28" t="n"/>
      <c r="F41" s="28" t="n"/>
      <c r="G41" s="28" t="n"/>
      <c r="H41" s="28" t="n"/>
      <c r="I41" s="28" t="n"/>
      <c r="J41" s="28" t="n"/>
      <c r="K41" s="28" t="n"/>
    </row>
    <row r="42">
      <c r="A42" s="26" t="n"/>
      <c r="B42" s="27">
        <f>IFERROR(VLOOKUP(A42,'Source Inventory'!A:B,2,FALSE),"")</f>
        <v/>
      </c>
      <c r="C42" s="28" t="n"/>
      <c r="D42" s="28" t="n"/>
      <c r="E42" s="28" t="n"/>
      <c r="F42" s="28" t="n"/>
      <c r="G42" s="28" t="n"/>
      <c r="H42" s="28" t="n"/>
      <c r="I42" s="28" t="n"/>
      <c r="J42" s="28" t="n"/>
      <c r="K42" s="28" t="n"/>
    </row>
    <row r="43">
      <c r="A43" s="26" t="n"/>
      <c r="B43" s="27">
        <f>IFERROR(VLOOKUP(A43,'Source Inventory'!A:B,2,FALSE),"")</f>
        <v/>
      </c>
      <c r="C43" s="28" t="n"/>
      <c r="D43" s="28" t="n"/>
      <c r="E43" s="28" t="n"/>
      <c r="F43" s="28" t="n"/>
      <c r="G43" s="28" t="n"/>
      <c r="H43" s="28" t="n"/>
      <c r="I43" s="28" t="n"/>
      <c r="J43" s="28" t="n"/>
      <c r="K43" s="28" t="n"/>
    </row>
    <row r="44">
      <c r="A44" s="26" t="n"/>
      <c r="B44" s="27">
        <f>IFERROR(VLOOKUP(A44,'Source Inventory'!A:B,2,FALSE),"")</f>
        <v/>
      </c>
      <c r="C44" s="28" t="n"/>
      <c r="D44" s="28" t="n"/>
      <c r="E44" s="28" t="n"/>
      <c r="F44" s="28" t="n"/>
      <c r="G44" s="28" t="n"/>
      <c r="H44" s="28" t="n"/>
      <c r="I44" s="28" t="n"/>
      <c r="J44" s="28" t="n"/>
      <c r="K44" s="28" t="n"/>
    </row>
    <row r="45">
      <c r="A45" s="26" t="n"/>
      <c r="B45" s="27">
        <f>IFERROR(VLOOKUP(A45,'Source Inventory'!A:B,2,FALSE),"")</f>
        <v/>
      </c>
      <c r="C45" s="28" t="n"/>
      <c r="D45" s="28" t="n"/>
      <c r="E45" s="28" t="n"/>
      <c r="F45" s="28" t="n"/>
      <c r="G45" s="28" t="n"/>
      <c r="H45" s="28" t="n"/>
      <c r="I45" s="28" t="n"/>
      <c r="J45" s="28" t="n"/>
      <c r="K45" s="28" t="n"/>
    </row>
    <row r="46">
      <c r="A46" s="26" t="n"/>
      <c r="B46" s="27">
        <f>IFERROR(VLOOKUP(A46,'Source Inventory'!A:B,2,FALSE),"")</f>
        <v/>
      </c>
      <c r="C46" s="28" t="n"/>
      <c r="D46" s="28" t="n"/>
      <c r="E46" s="28" t="n"/>
      <c r="F46" s="28" t="n"/>
      <c r="G46" s="28" t="n"/>
      <c r="H46" s="28" t="n"/>
      <c r="I46" s="28" t="n"/>
      <c r="J46" s="28" t="n"/>
      <c r="K46" s="28" t="n"/>
    </row>
    <row r="47">
      <c r="A47" s="26" t="n"/>
      <c r="B47" s="27">
        <f>IFERROR(VLOOKUP(A47,'Source Inventory'!A:B,2,FALSE),"")</f>
        <v/>
      </c>
      <c r="C47" s="28" t="n"/>
      <c r="D47" s="28" t="n"/>
      <c r="E47" s="28" t="n"/>
      <c r="F47" s="28" t="n"/>
      <c r="G47" s="28" t="n"/>
      <c r="H47" s="28" t="n"/>
      <c r="I47" s="28" t="n"/>
      <c r="J47" s="28" t="n"/>
      <c r="K47" s="28" t="n"/>
    </row>
    <row r="48">
      <c r="A48" s="26" t="n"/>
      <c r="B48" s="27">
        <f>IFERROR(VLOOKUP(A48,'Source Inventory'!A:B,2,FALSE),"")</f>
        <v/>
      </c>
      <c r="C48" s="28" t="n"/>
      <c r="D48" s="28" t="n"/>
      <c r="E48" s="28" t="n"/>
      <c r="F48" s="28" t="n"/>
      <c r="G48" s="28" t="n"/>
      <c r="H48" s="28" t="n"/>
      <c r="I48" s="28" t="n"/>
      <c r="J48" s="28" t="n"/>
      <c r="K48" s="28" t="n"/>
    </row>
    <row r="49">
      <c r="A49" s="26" t="n"/>
      <c r="B49" s="27">
        <f>IFERROR(VLOOKUP(A49,'Source Inventory'!A:B,2,FALSE),"")</f>
        <v/>
      </c>
      <c r="C49" s="28" t="n"/>
      <c r="D49" s="28" t="n"/>
      <c r="E49" s="28" t="n"/>
      <c r="F49" s="28" t="n"/>
      <c r="G49" s="28" t="n"/>
      <c r="H49" s="28" t="n"/>
      <c r="I49" s="28" t="n"/>
      <c r="J49" s="28" t="n"/>
      <c r="K49" s="28" t="n"/>
    </row>
    <row r="50">
      <c r="A50" s="29" t="inlineStr">
        <is>
          <t>Sources per Sector:</t>
        </is>
      </c>
      <c r="C50" s="30">
        <f>COUNTIF(C30:C49,"Yes")</f>
        <v/>
      </c>
      <c r="D50" s="30">
        <f>COUNTIF(D30:D49,"Yes")</f>
        <v/>
      </c>
      <c r="E50" s="30">
        <f>COUNTIF(E30:E49,"Yes")</f>
        <v/>
      </c>
      <c r="F50" s="30">
        <f>COUNTIF(F30:F49,"Yes")</f>
        <v/>
      </c>
      <c r="G50" s="30">
        <f>COUNTIF(G30:G49,"Yes")</f>
        <v/>
      </c>
      <c r="H50" s="30">
        <f>COUNTIF(H30:H49,"Yes")</f>
        <v/>
      </c>
      <c r="I50" s="30">
        <f>COUNTIF(I30:I49,"Yes")</f>
        <v/>
      </c>
      <c r="J50" s="30">
        <f>COUNTIF(J30:J49,"Yes")</f>
        <v/>
      </c>
    </row>
    <row r="52">
      <c r="A52" s="25" t="inlineStr">
        <is>
          <t>THREAT TYPE COVERAGE</t>
        </is>
      </c>
    </row>
    <row r="53">
      <c r="A53" s="13" t="inlineStr">
        <is>
          <t>Source ID</t>
        </is>
      </c>
      <c r="B53" s="13" t="inlineStr">
        <is>
          <t>Source Name</t>
        </is>
      </c>
      <c r="C53" s="13" t="inlineStr">
        <is>
          <t>Malware</t>
        </is>
      </c>
      <c r="D53" s="13" t="inlineStr">
        <is>
          <t>Phishing</t>
        </is>
      </c>
      <c r="E53" s="13" t="inlineStr">
        <is>
          <t>Ransomware</t>
        </is>
      </c>
      <c r="F53" s="13" t="inlineStr">
        <is>
          <t>Data Breach</t>
        </is>
      </c>
      <c r="G53" s="13" t="inlineStr">
        <is>
          <t>DDoS</t>
        </is>
      </c>
      <c r="H53" s="13" t="inlineStr">
        <is>
          <t>Insider</t>
        </is>
      </c>
      <c r="I53" s="13" t="inlineStr">
        <is>
          <t>Supply Chain</t>
        </is>
      </c>
      <c r="J53" s="13" t="inlineStr">
        <is>
          <t>Zero Day</t>
        </is>
      </c>
      <c r="K53" s="13" t="inlineStr">
        <is>
          <t>APT</t>
        </is>
      </c>
      <c r="L53" s="13" t="inlineStr">
        <is>
          <t>Vulnerabilities</t>
        </is>
      </c>
    </row>
    <row r="54">
      <c r="A54" s="26" t="n"/>
      <c r="B54" s="27">
        <f>IFERROR(VLOOKUP(A54,'Source Inventory'!A:B,2,FALSE),"")</f>
        <v/>
      </c>
      <c r="C54" s="28" t="n"/>
      <c r="D54" s="28" t="n"/>
      <c r="E54" s="28" t="n"/>
      <c r="F54" s="28" t="n"/>
      <c r="G54" s="28" t="n"/>
      <c r="H54" s="28" t="n"/>
      <c r="I54" s="28" t="n"/>
      <c r="J54" s="28" t="n"/>
      <c r="K54" s="28" t="n"/>
      <c r="L54" s="28" t="n"/>
    </row>
    <row r="55">
      <c r="A55" s="26" t="n"/>
      <c r="B55" s="27">
        <f>IFERROR(VLOOKUP(A55,'Source Inventory'!A:B,2,FALSE),"")</f>
        <v/>
      </c>
      <c r="C55" s="28" t="n"/>
      <c r="D55" s="28" t="n"/>
      <c r="E55" s="28" t="n"/>
      <c r="F55" s="28" t="n"/>
      <c r="G55" s="28" t="n"/>
      <c r="H55" s="28" t="n"/>
      <c r="I55" s="28" t="n"/>
      <c r="J55" s="28" t="n"/>
      <c r="K55" s="28" t="n"/>
      <c r="L55" s="28" t="n"/>
    </row>
    <row r="56">
      <c r="A56" s="26" t="n"/>
      <c r="B56" s="27">
        <f>IFERROR(VLOOKUP(A56,'Source Inventory'!A:B,2,FALSE),"")</f>
        <v/>
      </c>
      <c r="C56" s="28" t="n"/>
      <c r="D56" s="28" t="n"/>
      <c r="E56" s="28" t="n"/>
      <c r="F56" s="28" t="n"/>
      <c r="G56" s="28" t="n"/>
      <c r="H56" s="28" t="n"/>
      <c r="I56" s="28" t="n"/>
      <c r="J56" s="28" t="n"/>
      <c r="K56" s="28" t="n"/>
      <c r="L56" s="28" t="n"/>
    </row>
    <row r="57">
      <c r="A57" s="26" t="n"/>
      <c r="B57" s="27">
        <f>IFERROR(VLOOKUP(A57,'Source Inventory'!A:B,2,FALSE),"")</f>
        <v/>
      </c>
      <c r="C57" s="28" t="n"/>
      <c r="D57" s="28" t="n"/>
      <c r="E57" s="28" t="n"/>
      <c r="F57" s="28" t="n"/>
      <c r="G57" s="28" t="n"/>
      <c r="H57" s="28" t="n"/>
      <c r="I57" s="28" t="n"/>
      <c r="J57" s="28" t="n"/>
      <c r="K57" s="28" t="n"/>
      <c r="L57" s="28" t="n"/>
    </row>
    <row r="58">
      <c r="A58" s="26" t="n"/>
      <c r="B58" s="27">
        <f>IFERROR(VLOOKUP(A58,'Source Inventory'!A:B,2,FALSE),"")</f>
        <v/>
      </c>
      <c r="C58" s="28" t="n"/>
      <c r="D58" s="28" t="n"/>
      <c r="E58" s="28" t="n"/>
      <c r="F58" s="28" t="n"/>
      <c r="G58" s="28" t="n"/>
      <c r="H58" s="28" t="n"/>
      <c r="I58" s="28" t="n"/>
      <c r="J58" s="28" t="n"/>
      <c r="K58" s="28" t="n"/>
      <c r="L58" s="28" t="n"/>
    </row>
    <row r="59">
      <c r="A59" s="26" t="n"/>
      <c r="B59" s="27">
        <f>IFERROR(VLOOKUP(A59,'Source Inventory'!A:B,2,FALSE),"")</f>
        <v/>
      </c>
      <c r="C59" s="28" t="n"/>
      <c r="D59" s="28" t="n"/>
      <c r="E59" s="28" t="n"/>
      <c r="F59" s="28" t="n"/>
      <c r="G59" s="28" t="n"/>
      <c r="H59" s="28" t="n"/>
      <c r="I59" s="28" t="n"/>
      <c r="J59" s="28" t="n"/>
      <c r="K59" s="28" t="n"/>
      <c r="L59" s="28" t="n"/>
    </row>
    <row r="60">
      <c r="A60" s="26" t="n"/>
      <c r="B60" s="27">
        <f>IFERROR(VLOOKUP(A60,'Source Inventory'!A:B,2,FALSE),"")</f>
        <v/>
      </c>
      <c r="C60" s="28" t="n"/>
      <c r="D60" s="28" t="n"/>
      <c r="E60" s="28" t="n"/>
      <c r="F60" s="28" t="n"/>
      <c r="G60" s="28" t="n"/>
      <c r="H60" s="28" t="n"/>
      <c r="I60" s="28" t="n"/>
      <c r="J60" s="28" t="n"/>
      <c r="K60" s="28" t="n"/>
      <c r="L60" s="28" t="n"/>
    </row>
    <row r="61">
      <c r="A61" s="26" t="n"/>
      <c r="B61" s="27">
        <f>IFERROR(VLOOKUP(A61,'Source Inventory'!A:B,2,FALSE),"")</f>
        <v/>
      </c>
      <c r="C61" s="28" t="n"/>
      <c r="D61" s="28" t="n"/>
      <c r="E61" s="28" t="n"/>
      <c r="F61" s="28" t="n"/>
      <c r="G61" s="28" t="n"/>
      <c r="H61" s="28" t="n"/>
      <c r="I61" s="28" t="n"/>
      <c r="J61" s="28" t="n"/>
      <c r="K61" s="28" t="n"/>
      <c r="L61" s="28" t="n"/>
    </row>
    <row r="62">
      <c r="A62" s="26" t="n"/>
      <c r="B62" s="27">
        <f>IFERROR(VLOOKUP(A62,'Source Inventory'!A:B,2,FALSE),"")</f>
        <v/>
      </c>
      <c r="C62" s="28" t="n"/>
      <c r="D62" s="28" t="n"/>
      <c r="E62" s="28" t="n"/>
      <c r="F62" s="28" t="n"/>
      <c r="G62" s="28" t="n"/>
      <c r="H62" s="28" t="n"/>
      <c r="I62" s="28" t="n"/>
      <c r="J62" s="28" t="n"/>
      <c r="K62" s="28" t="n"/>
      <c r="L62" s="28" t="n"/>
    </row>
    <row r="63">
      <c r="A63" s="26" t="n"/>
      <c r="B63" s="27">
        <f>IFERROR(VLOOKUP(A63,'Source Inventory'!A:B,2,FALSE),"")</f>
        <v/>
      </c>
      <c r="C63" s="28" t="n"/>
      <c r="D63" s="28" t="n"/>
      <c r="E63" s="28" t="n"/>
      <c r="F63" s="28" t="n"/>
      <c r="G63" s="28" t="n"/>
      <c r="H63" s="28" t="n"/>
      <c r="I63" s="28" t="n"/>
      <c r="J63" s="28" t="n"/>
      <c r="K63" s="28" t="n"/>
      <c r="L63" s="28" t="n"/>
    </row>
    <row r="64">
      <c r="A64" s="26" t="n"/>
      <c r="B64" s="27">
        <f>IFERROR(VLOOKUP(A64,'Source Inventory'!A:B,2,FALSE),"")</f>
        <v/>
      </c>
      <c r="C64" s="28" t="n"/>
      <c r="D64" s="28" t="n"/>
      <c r="E64" s="28" t="n"/>
      <c r="F64" s="28" t="n"/>
      <c r="G64" s="28" t="n"/>
      <c r="H64" s="28" t="n"/>
      <c r="I64" s="28" t="n"/>
      <c r="J64" s="28" t="n"/>
      <c r="K64" s="28" t="n"/>
      <c r="L64" s="28" t="n"/>
    </row>
    <row r="65">
      <c r="A65" s="26" t="n"/>
      <c r="B65" s="27">
        <f>IFERROR(VLOOKUP(A65,'Source Inventory'!A:B,2,FALSE),"")</f>
        <v/>
      </c>
      <c r="C65" s="28" t="n"/>
      <c r="D65" s="28" t="n"/>
      <c r="E65" s="28" t="n"/>
      <c r="F65" s="28" t="n"/>
      <c r="G65" s="28" t="n"/>
      <c r="H65" s="28" t="n"/>
      <c r="I65" s="28" t="n"/>
      <c r="J65" s="28" t="n"/>
      <c r="K65" s="28" t="n"/>
      <c r="L65" s="28" t="n"/>
    </row>
    <row r="66">
      <c r="A66" s="26" t="n"/>
      <c r="B66" s="27">
        <f>IFERROR(VLOOKUP(A66,'Source Inventory'!A:B,2,FALSE),"")</f>
        <v/>
      </c>
      <c r="C66" s="28" t="n"/>
      <c r="D66" s="28" t="n"/>
      <c r="E66" s="28" t="n"/>
      <c r="F66" s="28" t="n"/>
      <c r="G66" s="28" t="n"/>
      <c r="H66" s="28" t="n"/>
      <c r="I66" s="28" t="n"/>
      <c r="J66" s="28" t="n"/>
      <c r="K66" s="28" t="n"/>
      <c r="L66" s="28" t="n"/>
    </row>
    <row r="67">
      <c r="A67" s="26" t="n"/>
      <c r="B67" s="27">
        <f>IFERROR(VLOOKUP(A67,'Source Inventory'!A:B,2,FALSE),"")</f>
        <v/>
      </c>
      <c r="C67" s="28" t="n"/>
      <c r="D67" s="28" t="n"/>
      <c r="E67" s="28" t="n"/>
      <c r="F67" s="28" t="n"/>
      <c r="G67" s="28" t="n"/>
      <c r="H67" s="28" t="n"/>
      <c r="I67" s="28" t="n"/>
      <c r="J67" s="28" t="n"/>
      <c r="K67" s="28" t="n"/>
      <c r="L67" s="28" t="n"/>
    </row>
    <row r="68">
      <c r="A68" s="26" t="n"/>
      <c r="B68" s="27">
        <f>IFERROR(VLOOKUP(A68,'Source Inventory'!A:B,2,FALSE),"")</f>
        <v/>
      </c>
      <c r="C68" s="28" t="n"/>
      <c r="D68" s="28" t="n"/>
      <c r="E68" s="28" t="n"/>
      <c r="F68" s="28" t="n"/>
      <c r="G68" s="28" t="n"/>
      <c r="H68" s="28" t="n"/>
      <c r="I68" s="28" t="n"/>
      <c r="J68" s="28" t="n"/>
      <c r="K68" s="28" t="n"/>
      <c r="L68" s="28" t="n"/>
    </row>
    <row r="69">
      <c r="A69" s="26" t="n"/>
      <c r="B69" s="27">
        <f>IFERROR(VLOOKUP(A69,'Source Inventory'!A:B,2,FALSE),"")</f>
        <v/>
      </c>
      <c r="C69" s="28" t="n"/>
      <c r="D69" s="28" t="n"/>
      <c r="E69" s="28" t="n"/>
      <c r="F69" s="28" t="n"/>
      <c r="G69" s="28" t="n"/>
      <c r="H69" s="28" t="n"/>
      <c r="I69" s="28" t="n"/>
      <c r="J69" s="28" t="n"/>
      <c r="K69" s="28" t="n"/>
      <c r="L69" s="28" t="n"/>
    </row>
    <row r="70">
      <c r="A70" s="26" t="n"/>
      <c r="B70" s="27">
        <f>IFERROR(VLOOKUP(A70,'Source Inventory'!A:B,2,FALSE),"")</f>
        <v/>
      </c>
      <c r="C70" s="28" t="n"/>
      <c r="D70" s="28" t="n"/>
      <c r="E70" s="28" t="n"/>
      <c r="F70" s="28" t="n"/>
      <c r="G70" s="28" t="n"/>
      <c r="H70" s="28" t="n"/>
      <c r="I70" s="28" t="n"/>
      <c r="J70" s="28" t="n"/>
      <c r="K70" s="28" t="n"/>
      <c r="L70" s="28" t="n"/>
    </row>
    <row r="71">
      <c r="A71" s="26" t="n"/>
      <c r="B71" s="27">
        <f>IFERROR(VLOOKUP(A71,'Source Inventory'!A:B,2,FALSE),"")</f>
        <v/>
      </c>
      <c r="C71" s="28" t="n"/>
      <c r="D71" s="28" t="n"/>
      <c r="E71" s="28" t="n"/>
      <c r="F71" s="28" t="n"/>
      <c r="G71" s="28" t="n"/>
      <c r="H71" s="28" t="n"/>
      <c r="I71" s="28" t="n"/>
      <c r="J71" s="28" t="n"/>
      <c r="K71" s="28" t="n"/>
      <c r="L71" s="28" t="n"/>
    </row>
    <row r="72">
      <c r="A72" s="26" t="n"/>
      <c r="B72" s="27">
        <f>IFERROR(VLOOKUP(A72,'Source Inventory'!A:B,2,FALSE),"")</f>
        <v/>
      </c>
      <c r="C72" s="28" t="n"/>
      <c r="D72" s="28" t="n"/>
      <c r="E72" s="28" t="n"/>
      <c r="F72" s="28" t="n"/>
      <c r="G72" s="28" t="n"/>
      <c r="H72" s="28" t="n"/>
      <c r="I72" s="28" t="n"/>
      <c r="J72" s="28" t="n"/>
      <c r="K72" s="28" t="n"/>
      <c r="L72" s="28" t="n"/>
    </row>
    <row r="73">
      <c r="A73" s="26" t="n"/>
      <c r="B73" s="27">
        <f>IFERROR(VLOOKUP(A73,'Source Inventory'!A:B,2,FALSE),"")</f>
        <v/>
      </c>
      <c r="C73" s="28" t="n"/>
      <c r="D73" s="28" t="n"/>
      <c r="E73" s="28" t="n"/>
      <c r="F73" s="28" t="n"/>
      <c r="G73" s="28" t="n"/>
      <c r="H73" s="28" t="n"/>
      <c r="I73" s="28" t="n"/>
      <c r="J73" s="28" t="n"/>
      <c r="K73" s="28" t="n"/>
      <c r="L73" s="28" t="n"/>
    </row>
    <row r="74">
      <c r="A74" s="29" t="inlineStr">
        <is>
          <t>Sources per Threat Type:</t>
        </is>
      </c>
      <c r="C74" s="30">
        <f>COUNTIF(C54:C73,"Yes")</f>
        <v/>
      </c>
      <c r="D74" s="30">
        <f>COUNTIF(D54:D73,"Yes")</f>
        <v/>
      </c>
      <c r="E74" s="30">
        <f>COUNTIF(E54:E73,"Yes")</f>
        <v/>
      </c>
      <c r="F74" s="30">
        <f>COUNTIF(F54:F73,"Yes")</f>
        <v/>
      </c>
      <c r="G74" s="30">
        <f>COUNTIF(G54:G73,"Yes")</f>
        <v/>
      </c>
      <c r="H74" s="30">
        <f>COUNTIF(H54:H73,"Yes")</f>
        <v/>
      </c>
      <c r="I74" s="30">
        <f>COUNTIF(I54:I73,"Yes")</f>
        <v/>
      </c>
      <c r="J74" s="30">
        <f>COUNTIF(J54:J73,"Yes")</f>
        <v/>
      </c>
      <c r="K74" s="30">
        <f>COUNTIF(K54:K73,"Yes")</f>
        <v/>
      </c>
      <c r="L74" s="30">
        <f>COUNTIF(L54:L73,"Yes")</f>
        <v/>
      </c>
    </row>
    <row r="76">
      <c r="A76" s="31" t="inlineStr">
        <is>
          <t>COVERAGE GAP INDICATORS</t>
        </is>
      </c>
    </row>
    <row r="77">
      <c r="A77" s="32" t="inlineStr">
        <is>
          <t>Categories with &lt;2 sources indicate potential coverage gaps requiring attention.</t>
        </is>
      </c>
    </row>
  </sheetData>
  <mergeCells count="6">
    <mergeCell ref="A1:M1"/>
    <mergeCell ref="A76:E76"/>
    <mergeCell ref="A4:M4"/>
    <mergeCell ref="A2:M2"/>
    <mergeCell ref="A52:M52"/>
    <mergeCell ref="A28:M28"/>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D6 D7 D8 D9 D10 D11 D12 D13 D14 D15 D16 D17 D18 D19 D20 D21 D22 D23 D24 D25 D26 D27 D28 D29 D30 D31 D32 D33 D34 D35 D36 D37 D38 D39 D40 D41 D42 D43 D44 D45 D46 D47 D48 D49 D50 D51 D52 D53 D54 D55 D56 D57 D58 D59 D60 D61 D62 D63 D64 D65 D66 D67 D68 D69 D70 D71 D72 D73 E6 E7 E8 E9 E10 E11 E12 E13 E14 E15 E16 E17 E18 E19 E20 E21 E22 E23 E24 E25 E26 E27 E28 E29 E30 E31 E32 E33 E34 E35 E36 E37 E38 E39 E40 E41 E42 E43 E44 E45 E46 E47 E48 E49 E50 E51 E52 E53 E54 E55 E56 E57 E58 E59 E60 E61 E62 E63 E64 E65 E66 E67 E68 E69 E70 E71 E72 E73 F6 F7 F8 F9 F10 F11 F12 F13 F14 F15 F16 F17 F18 F19 F20 F21 F22 F23 F24 F25 F26 F27 F28 F29 F30 F31 F32 F33 F34 F35 F36 F37 F38 F39 F40 F41 F42 F43 F44 F45 F46 F47 F48 F49 F50 F51 F52 F53 F54 F55 F56 F57 F58 F59 F60 F61 F62 F63 F64 F65 F66 F67 F68 F69 F70 F71 F72 F73 G6 G7 G8 G9 G10 G11 G12 G13 G14 G15 G16 G17 G18 G19 G20 G21 G22 G23 G24 G25 G30 G31 G32 G33 G34 G35 G36 G37 G38 G39 G40 G41 G42 G43 G44 G45 G46 G47 G48 G49 G54 G55 G56 G57 G58 G59 G60 G61 G62 G63 G64 G65 G66 G67 G68 G69 G70 G71 G72 G73 H6 H7 H8 H9 H10 H11 H12 H13 H14 H15 H16 H17 H18 H19 H20 H21 H22 H23 H24 H25 H30 H31 H32 H33 H34 H35 H36 H37 H38 H39 H40 H41 H42 H43 H44 H45 H46 H47 H48 H49 H54 H55 H56 H57 H58 H59 H60 H61 H62 H63 H64 H65 H66 H67 H68 H69 H70 H71 H72 H73 I6 I7 I8 I9 I10 I11 I12 I13 I14 I15 I16 I17 I18 I19 I20 I21 I22 I23 I24 I25 I26 I27 I28 I29 I30 I31 I32 I33 I34 I35 I36 I37 I38 I39 I40 I41 I42 I43 I44 I45 I46 I47 I48 I49 I50 I51 I52 I53 I54 I55 I56 I57 I58 I59 I60 I61 I62 I63 I64 I65 I66 I67 I68 I69 I70 I71 I72 I73 J6 J7 J8 J9 J10 J11 J12 J13 J14 J15 J16 J17 J18 J19 J20 J21 J22 J23 J24 J25 J26 J27 J28 J29 J30 J31 J32 J33 J34 J35 J36 J37 J38 J39 J40 J41 J42 J43 J44 J45 J46 J47 J48 J49 J50 J51 J52 J53 J54 J55 J56 J57 J58 J59 J60 J61 J62 J63 J64 J65 J66 J67 J68 J69 J70 J71 J72 J73 K30 K31 K32 K33 K34 K35 K36 K37 K38 K39 K40 K41 K42 K43 K44 K45 K46 K47 K48 K49 K54 K55 K56 K57 K58 K59 K60 K61 K62 K63 K64 K65 K66 K67 K68 K69 K70 K71 K72 K73 L54 L55 L56 L57 L58 L59 L60 L61 L62 L63 L64 L65 L66 L67 L68 L69 L70 L71 L72 L73"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22" customWidth="1" min="5" max="5"/>
    <col width="15" customWidth="1" min="6" max="6"/>
    <col width="18" customWidth="1" min="7" max="7"/>
    <col width="18" customWidth="1" min="8" max="8"/>
    <col width="20" customWidth="1" min="9" max="9"/>
    <col width="15" customWidth="1" min="10" max="10"/>
    <col width="18" customWidth="1" min="11" max="11"/>
    <col width="18" customWidth="1" min="12" max="12"/>
    <col width="15" customWidth="1" min="13" max="13"/>
    <col width="30" customWidth="1" min="14" max="14"/>
  </cols>
  <sheetData>
    <row r="1" ht="35" customHeight="1">
      <c r="A1" s="11" t="inlineStr">
        <is>
          <t>THREAT INTELLIGENCE COST &amp; ROI ANALYSIS</t>
        </is>
      </c>
    </row>
    <row r="2">
      <c r="A2" s="17" t="inlineStr">
        <is>
          <t>Track costs, analyse ROI, and manage budget for all threat intelligence sources. Include subscription fees, implementation, and operational costs.</t>
        </is>
      </c>
    </row>
    <row r="4">
      <c r="A4" s="13" t="inlineStr">
        <is>
          <t>Source ID</t>
        </is>
      </c>
      <c r="B4" s="13" t="inlineStr">
        <is>
          <t>Source Name</t>
        </is>
      </c>
      <c r="C4" s="13" t="inlineStr">
        <is>
          <t>Annual Cost CHF</t>
        </is>
      </c>
      <c r="D4" s="13" t="inlineStr">
        <is>
          <t>Implementation Cost</t>
        </is>
      </c>
      <c r="E4" s="13" t="inlineStr">
        <is>
          <t>Operational Cost Annual</t>
        </is>
      </c>
      <c r="F4" s="13" t="inlineStr">
        <is>
          <t>Total Cost</t>
        </is>
      </c>
      <c r="G4" s="13" t="inlineStr">
        <is>
          <t>Alerts Per Month</t>
        </is>
      </c>
      <c r="H4" s="13" t="inlineStr">
        <is>
          <t>Cost Per Alert</t>
        </is>
      </c>
      <c r="I4" s="13" t="inlineStr">
        <is>
          <t>Actionable Alerts Pct</t>
        </is>
      </c>
      <c r="J4" s="13" t="inlineStr">
        <is>
          <t>Value Rating</t>
        </is>
      </c>
      <c r="K4" s="13" t="inlineStr">
        <is>
          <t>ROI Assessment</t>
        </is>
      </c>
      <c r="L4" s="13" t="inlineStr">
        <is>
          <t>Budget Next Year</t>
        </is>
      </c>
      <c r="M4" s="13" t="inlineStr">
        <is>
          <t>Renewal Date</t>
        </is>
      </c>
      <c r="N4" s="13" t="inlineStr">
        <is>
          <t>Notes</t>
        </is>
      </c>
    </row>
    <row r="5">
      <c r="A5" s="14" t="inlineStr">
        <is>
          <t>SRC-001</t>
        </is>
      </c>
      <c r="B5" s="14" t="inlineStr">
        <is>
          <t>MISP Community Feed</t>
        </is>
      </c>
      <c r="C5" s="33" t="n">
        <v>0</v>
      </c>
      <c r="D5" s="33" t="n">
        <v>2500</v>
      </c>
      <c r="E5" s="33" t="n">
        <v>1200</v>
      </c>
      <c r="F5" s="33">
        <f>IF(AND(C5="",D5="",E5=""),"",SUM(C5:E5))</f>
        <v/>
      </c>
      <c r="G5" s="34" t="n">
        <v>450</v>
      </c>
      <c r="H5" s="33">
        <f>IF(OR(F5="",G5="",G5=0),"",F5/(G5*12))</f>
        <v/>
      </c>
      <c r="I5" s="35" t="n">
        <v>85</v>
      </c>
      <c r="J5" s="14" t="inlineStr">
        <is>
          <t>Good</t>
        </is>
      </c>
      <c r="K5" s="14" t="inlineStr">
        <is>
          <t>Good_Value</t>
        </is>
      </c>
      <c r="L5" s="33" t="n">
        <v>0</v>
      </c>
      <c r="M5" s="18" t="inlineStr">
        <is>
          <t>31.12.2025</t>
        </is>
      </c>
      <c r="N5" s="14" t="inlineStr">
        <is>
          <t>Free OSINT feed; implementation cost for API integration</t>
        </is>
      </c>
    </row>
    <row r="6">
      <c r="A6" s="26" t="n"/>
      <c r="B6" s="27">
        <f>IFERROR(VLOOKUP(A6,'Source Inventory'!$A$6:$P$55,2,FALSE),"")</f>
        <v/>
      </c>
      <c r="C6" s="36" t="n"/>
      <c r="D6" s="36" t="n"/>
      <c r="E6" s="36" t="n"/>
      <c r="F6" s="37">
        <f>IF(AND(C6="",D6="",E6=""),"",SUM(C6:E6))</f>
        <v/>
      </c>
      <c r="G6" s="38" t="n"/>
      <c r="H6" s="39">
        <f>IF(OR(F6="",G6="",G6=0),"",F6/(G6*12))</f>
        <v/>
      </c>
      <c r="I6" s="40" t="n"/>
      <c r="J6" s="26" t="n"/>
      <c r="K6" s="26" t="n"/>
      <c r="L6" s="36" t="n"/>
      <c r="M6" s="41" t="n"/>
      <c r="N6" s="26" t="n"/>
    </row>
    <row r="7">
      <c r="A7" s="26" t="n"/>
      <c r="B7" s="27">
        <f>IFERROR(VLOOKUP(A7,'Source Inventory'!$A$6:$P$55,2,FALSE),"")</f>
        <v/>
      </c>
      <c r="C7" s="36" t="n"/>
      <c r="D7" s="36" t="n"/>
      <c r="E7" s="36" t="n"/>
      <c r="F7" s="37">
        <f>IF(AND(C7="",D7="",E7=""),"",SUM(C7:E7))</f>
        <v/>
      </c>
      <c r="G7" s="38" t="n"/>
      <c r="H7" s="39">
        <f>IF(OR(F7="",G7="",G7=0),"",F7/(G7*12))</f>
        <v/>
      </c>
      <c r="I7" s="40" t="n"/>
      <c r="J7" s="26" t="n"/>
      <c r="K7" s="26" t="n"/>
      <c r="L7" s="36" t="n"/>
      <c r="M7" s="41" t="n"/>
      <c r="N7" s="26" t="n"/>
    </row>
    <row r="8">
      <c r="A8" s="26" t="n"/>
      <c r="B8" s="27">
        <f>IFERROR(VLOOKUP(A8,'Source Inventory'!$A$6:$P$55,2,FALSE),"")</f>
        <v/>
      </c>
      <c r="C8" s="36" t="n"/>
      <c r="D8" s="36" t="n"/>
      <c r="E8" s="36" t="n"/>
      <c r="F8" s="37">
        <f>IF(AND(C8="",D8="",E8=""),"",SUM(C8:E8))</f>
        <v/>
      </c>
      <c r="G8" s="38" t="n"/>
      <c r="H8" s="39">
        <f>IF(OR(F8="",G8="",G8=0),"",F8/(G8*12))</f>
        <v/>
      </c>
      <c r="I8" s="40" t="n"/>
      <c r="J8" s="26" t="n"/>
      <c r="K8" s="26" t="n"/>
      <c r="L8" s="36" t="n"/>
      <c r="M8" s="41" t="n"/>
      <c r="N8" s="26" t="n"/>
    </row>
    <row r="9">
      <c r="A9" s="26" t="n"/>
      <c r="B9" s="27">
        <f>IFERROR(VLOOKUP(A9,'Source Inventory'!$A$6:$P$55,2,FALSE),"")</f>
        <v/>
      </c>
      <c r="C9" s="36" t="n"/>
      <c r="D9" s="36" t="n"/>
      <c r="E9" s="36" t="n"/>
      <c r="F9" s="37">
        <f>IF(AND(C9="",D9="",E9=""),"",SUM(C9:E9))</f>
        <v/>
      </c>
      <c r="G9" s="38" t="n"/>
      <c r="H9" s="39">
        <f>IF(OR(F9="",G9="",G9=0),"",F9/(G9*12))</f>
        <v/>
      </c>
      <c r="I9" s="40" t="n"/>
      <c r="J9" s="26" t="n"/>
      <c r="K9" s="26" t="n"/>
      <c r="L9" s="36" t="n"/>
      <c r="M9" s="41" t="n"/>
      <c r="N9" s="26" t="n"/>
    </row>
    <row r="10">
      <c r="A10" s="26" t="n"/>
      <c r="B10" s="27">
        <f>IFERROR(VLOOKUP(A10,'Source Inventory'!$A$6:$P$55,2,FALSE),"")</f>
        <v/>
      </c>
      <c r="C10" s="36" t="n"/>
      <c r="D10" s="36" t="n"/>
      <c r="E10" s="36" t="n"/>
      <c r="F10" s="37">
        <f>IF(AND(C10="",D10="",E10=""),"",SUM(C10:E10))</f>
        <v/>
      </c>
      <c r="G10" s="38" t="n"/>
      <c r="H10" s="39">
        <f>IF(OR(F10="",G10="",G10=0),"",F10/(G10*12))</f>
        <v/>
      </c>
      <c r="I10" s="40" t="n"/>
      <c r="J10" s="26" t="n"/>
      <c r="K10" s="26" t="n"/>
      <c r="L10" s="36" t="n"/>
      <c r="M10" s="41" t="n"/>
      <c r="N10" s="26" t="n"/>
    </row>
    <row r="11">
      <c r="A11" s="26" t="n"/>
      <c r="B11" s="27">
        <f>IFERROR(VLOOKUP(A11,'Source Inventory'!$A$6:$P$55,2,FALSE),"")</f>
        <v/>
      </c>
      <c r="C11" s="36" t="n"/>
      <c r="D11" s="36" t="n"/>
      <c r="E11" s="36" t="n"/>
      <c r="F11" s="37">
        <f>IF(AND(C11="",D11="",E11=""),"",SUM(C11:E11))</f>
        <v/>
      </c>
      <c r="G11" s="38" t="n"/>
      <c r="H11" s="39">
        <f>IF(OR(F11="",G11="",G11=0),"",F11/(G11*12))</f>
        <v/>
      </c>
      <c r="I11" s="40" t="n"/>
      <c r="J11" s="26" t="n"/>
      <c r="K11" s="26" t="n"/>
      <c r="L11" s="36" t="n"/>
      <c r="M11" s="41" t="n"/>
      <c r="N11" s="26" t="n"/>
    </row>
    <row r="12">
      <c r="A12" s="26" t="n"/>
      <c r="B12" s="27">
        <f>IFERROR(VLOOKUP(A12,'Source Inventory'!$A$6:$P$55,2,FALSE),"")</f>
        <v/>
      </c>
      <c r="C12" s="36" t="n"/>
      <c r="D12" s="36" t="n"/>
      <c r="E12" s="36" t="n"/>
      <c r="F12" s="37">
        <f>IF(AND(C12="",D12="",E12=""),"",SUM(C12:E12))</f>
        <v/>
      </c>
      <c r="G12" s="38" t="n"/>
      <c r="H12" s="39">
        <f>IF(OR(F12="",G12="",G12=0),"",F12/(G12*12))</f>
        <v/>
      </c>
      <c r="I12" s="40" t="n"/>
      <c r="J12" s="26" t="n"/>
      <c r="K12" s="26" t="n"/>
      <c r="L12" s="36" t="n"/>
      <c r="M12" s="41" t="n"/>
      <c r="N12" s="26" t="n"/>
    </row>
    <row r="13">
      <c r="A13" s="26" t="n"/>
      <c r="B13" s="27">
        <f>IFERROR(VLOOKUP(A13,'Source Inventory'!$A$6:$P$55,2,FALSE),"")</f>
        <v/>
      </c>
      <c r="C13" s="36" t="n"/>
      <c r="D13" s="36" t="n"/>
      <c r="E13" s="36" t="n"/>
      <c r="F13" s="37">
        <f>IF(AND(C13="",D13="",E13=""),"",SUM(C13:E13))</f>
        <v/>
      </c>
      <c r="G13" s="38" t="n"/>
      <c r="H13" s="39">
        <f>IF(OR(F13="",G13="",G13=0),"",F13/(G13*12))</f>
        <v/>
      </c>
      <c r="I13" s="40" t="n"/>
      <c r="J13" s="26" t="n"/>
      <c r="K13" s="26" t="n"/>
      <c r="L13" s="36" t="n"/>
      <c r="M13" s="41" t="n"/>
      <c r="N13" s="26" t="n"/>
    </row>
    <row r="14">
      <c r="A14" s="26" t="n"/>
      <c r="B14" s="27">
        <f>IFERROR(VLOOKUP(A14,'Source Inventory'!$A$6:$P$55,2,FALSE),"")</f>
        <v/>
      </c>
      <c r="C14" s="36" t="n"/>
      <c r="D14" s="36" t="n"/>
      <c r="E14" s="36" t="n"/>
      <c r="F14" s="37">
        <f>IF(AND(C14="",D14="",E14=""),"",SUM(C14:E14))</f>
        <v/>
      </c>
      <c r="G14" s="38" t="n"/>
      <c r="H14" s="39">
        <f>IF(OR(F14="",G14="",G14=0),"",F14/(G14*12))</f>
        <v/>
      </c>
      <c r="I14" s="40" t="n"/>
      <c r="J14" s="26" t="n"/>
      <c r="K14" s="26" t="n"/>
      <c r="L14" s="36" t="n"/>
      <c r="M14" s="41" t="n"/>
      <c r="N14" s="26" t="n"/>
    </row>
    <row r="15">
      <c r="A15" s="26" t="n"/>
      <c r="B15" s="27">
        <f>IFERROR(VLOOKUP(A15,'Source Inventory'!$A$6:$P$55,2,FALSE),"")</f>
        <v/>
      </c>
      <c r="C15" s="36" t="n"/>
      <c r="D15" s="36" t="n"/>
      <c r="E15" s="36" t="n"/>
      <c r="F15" s="37">
        <f>IF(AND(C15="",D15="",E15=""),"",SUM(C15:E15))</f>
        <v/>
      </c>
      <c r="G15" s="38" t="n"/>
      <c r="H15" s="39">
        <f>IF(OR(F15="",G15="",G15=0),"",F15/(G15*12))</f>
        <v/>
      </c>
      <c r="I15" s="40" t="n"/>
      <c r="J15" s="26" t="n"/>
      <c r="K15" s="26" t="n"/>
      <c r="L15" s="36" t="n"/>
      <c r="M15" s="41" t="n"/>
      <c r="N15" s="26" t="n"/>
    </row>
    <row r="16">
      <c r="A16" s="26" t="n"/>
      <c r="B16" s="27">
        <f>IFERROR(VLOOKUP(A16,'Source Inventory'!$A$6:$P$55,2,FALSE),"")</f>
        <v/>
      </c>
      <c r="C16" s="36" t="n"/>
      <c r="D16" s="36" t="n"/>
      <c r="E16" s="36" t="n"/>
      <c r="F16" s="37">
        <f>IF(AND(C16="",D16="",E16=""),"",SUM(C16:E16))</f>
        <v/>
      </c>
      <c r="G16" s="38" t="n"/>
      <c r="H16" s="39">
        <f>IF(OR(F16="",G16="",G16=0),"",F16/(G16*12))</f>
        <v/>
      </c>
      <c r="I16" s="40" t="n"/>
      <c r="J16" s="26" t="n"/>
      <c r="K16" s="26" t="n"/>
      <c r="L16" s="36" t="n"/>
      <c r="M16" s="41" t="n"/>
      <c r="N16" s="26" t="n"/>
    </row>
    <row r="17">
      <c r="A17" s="26" t="n"/>
      <c r="B17" s="27">
        <f>IFERROR(VLOOKUP(A17,'Source Inventory'!$A$6:$P$55,2,FALSE),"")</f>
        <v/>
      </c>
      <c r="C17" s="36" t="n"/>
      <c r="D17" s="36" t="n"/>
      <c r="E17" s="36" t="n"/>
      <c r="F17" s="37">
        <f>IF(AND(C17="",D17="",E17=""),"",SUM(C17:E17))</f>
        <v/>
      </c>
      <c r="G17" s="38" t="n"/>
      <c r="H17" s="39">
        <f>IF(OR(F17="",G17="",G17=0),"",F17/(G17*12))</f>
        <v/>
      </c>
      <c r="I17" s="40" t="n"/>
      <c r="J17" s="26" t="n"/>
      <c r="K17" s="26" t="n"/>
      <c r="L17" s="36" t="n"/>
      <c r="M17" s="41" t="n"/>
      <c r="N17" s="26" t="n"/>
    </row>
    <row r="18">
      <c r="A18" s="26" t="n"/>
      <c r="B18" s="27">
        <f>IFERROR(VLOOKUP(A18,'Source Inventory'!$A$6:$P$55,2,FALSE),"")</f>
        <v/>
      </c>
      <c r="C18" s="36" t="n"/>
      <c r="D18" s="36" t="n"/>
      <c r="E18" s="36" t="n"/>
      <c r="F18" s="37">
        <f>IF(AND(C18="",D18="",E18=""),"",SUM(C18:E18))</f>
        <v/>
      </c>
      <c r="G18" s="38" t="n"/>
      <c r="H18" s="39">
        <f>IF(OR(F18="",G18="",G18=0),"",F18/(G18*12))</f>
        <v/>
      </c>
      <c r="I18" s="40" t="n"/>
      <c r="J18" s="26" t="n"/>
      <c r="K18" s="26" t="n"/>
      <c r="L18" s="36" t="n"/>
      <c r="M18" s="41" t="n"/>
      <c r="N18" s="26" t="n"/>
    </row>
    <row r="19">
      <c r="A19" s="26" t="n"/>
      <c r="B19" s="27">
        <f>IFERROR(VLOOKUP(A19,'Source Inventory'!$A$6:$P$55,2,FALSE),"")</f>
        <v/>
      </c>
      <c r="C19" s="36" t="n"/>
      <c r="D19" s="36" t="n"/>
      <c r="E19" s="36" t="n"/>
      <c r="F19" s="37">
        <f>IF(AND(C19="",D19="",E19=""),"",SUM(C19:E19))</f>
        <v/>
      </c>
      <c r="G19" s="38" t="n"/>
      <c r="H19" s="39">
        <f>IF(OR(F19="",G19="",G19=0),"",F19/(G19*12))</f>
        <v/>
      </c>
      <c r="I19" s="40" t="n"/>
      <c r="J19" s="26" t="n"/>
      <c r="K19" s="26" t="n"/>
      <c r="L19" s="36" t="n"/>
      <c r="M19" s="41" t="n"/>
      <c r="N19" s="26" t="n"/>
    </row>
    <row r="20">
      <c r="A20" s="26" t="n"/>
      <c r="B20" s="27">
        <f>IFERROR(VLOOKUP(A20,'Source Inventory'!$A$6:$P$55,2,FALSE),"")</f>
        <v/>
      </c>
      <c r="C20" s="36" t="n"/>
      <c r="D20" s="36" t="n"/>
      <c r="E20" s="36" t="n"/>
      <c r="F20" s="37">
        <f>IF(AND(C20="",D20="",E20=""),"",SUM(C20:E20))</f>
        <v/>
      </c>
      <c r="G20" s="38" t="n"/>
      <c r="H20" s="39">
        <f>IF(OR(F20="",G20="",G20=0),"",F20/(G20*12))</f>
        <v/>
      </c>
      <c r="I20" s="40" t="n"/>
      <c r="J20" s="26" t="n"/>
      <c r="K20" s="26" t="n"/>
      <c r="L20" s="36" t="n"/>
      <c r="M20" s="41" t="n"/>
      <c r="N20" s="26" t="n"/>
    </row>
    <row r="21">
      <c r="A21" s="26" t="n"/>
      <c r="B21" s="27">
        <f>IFERROR(VLOOKUP(A21,'Source Inventory'!$A$6:$P$55,2,FALSE),"")</f>
        <v/>
      </c>
      <c r="C21" s="36" t="n"/>
      <c r="D21" s="36" t="n"/>
      <c r="E21" s="36" t="n"/>
      <c r="F21" s="37">
        <f>IF(AND(C21="",D21="",E21=""),"",SUM(C21:E21))</f>
        <v/>
      </c>
      <c r="G21" s="38" t="n"/>
      <c r="H21" s="39">
        <f>IF(OR(F21="",G21="",G21=0),"",F21/(G21*12))</f>
        <v/>
      </c>
      <c r="I21" s="40" t="n"/>
      <c r="J21" s="26" t="n"/>
      <c r="K21" s="26" t="n"/>
      <c r="L21" s="36" t="n"/>
      <c r="M21" s="41" t="n"/>
      <c r="N21" s="26" t="n"/>
    </row>
    <row r="22">
      <c r="A22" s="26" t="n"/>
      <c r="B22" s="27">
        <f>IFERROR(VLOOKUP(A22,'Source Inventory'!$A$6:$P$55,2,FALSE),"")</f>
        <v/>
      </c>
      <c r="C22" s="36" t="n"/>
      <c r="D22" s="36" t="n"/>
      <c r="E22" s="36" t="n"/>
      <c r="F22" s="37">
        <f>IF(AND(C22="",D22="",E22=""),"",SUM(C22:E22))</f>
        <v/>
      </c>
      <c r="G22" s="38" t="n"/>
      <c r="H22" s="39">
        <f>IF(OR(F22="",G22="",G22=0),"",F22/(G22*12))</f>
        <v/>
      </c>
      <c r="I22" s="40" t="n"/>
      <c r="J22" s="26" t="n"/>
      <c r="K22" s="26" t="n"/>
      <c r="L22" s="36" t="n"/>
      <c r="M22" s="41" t="n"/>
      <c r="N22" s="26" t="n"/>
    </row>
    <row r="23">
      <c r="A23" s="26" t="n"/>
      <c r="B23" s="27">
        <f>IFERROR(VLOOKUP(A23,'Source Inventory'!$A$6:$P$55,2,FALSE),"")</f>
        <v/>
      </c>
      <c r="C23" s="36" t="n"/>
      <c r="D23" s="36" t="n"/>
      <c r="E23" s="36" t="n"/>
      <c r="F23" s="37">
        <f>IF(AND(C23="",D23="",E23=""),"",SUM(C23:E23))</f>
        <v/>
      </c>
      <c r="G23" s="38" t="n"/>
      <c r="H23" s="39">
        <f>IF(OR(F23="",G23="",G23=0),"",F23/(G23*12))</f>
        <v/>
      </c>
      <c r="I23" s="40" t="n"/>
      <c r="J23" s="26" t="n"/>
      <c r="K23" s="26" t="n"/>
      <c r="L23" s="36" t="n"/>
      <c r="M23" s="41" t="n"/>
      <c r="N23" s="26" t="n"/>
    </row>
    <row r="24">
      <c r="A24" s="26" t="n"/>
      <c r="B24" s="27">
        <f>IFERROR(VLOOKUP(A24,'Source Inventory'!$A$6:$P$55,2,FALSE),"")</f>
        <v/>
      </c>
      <c r="C24" s="36" t="n"/>
      <c r="D24" s="36" t="n"/>
      <c r="E24" s="36" t="n"/>
      <c r="F24" s="37">
        <f>IF(AND(C24="",D24="",E24=""),"",SUM(C24:E24))</f>
        <v/>
      </c>
      <c r="G24" s="38" t="n"/>
      <c r="H24" s="39">
        <f>IF(OR(F24="",G24="",G24=0),"",F24/(G24*12))</f>
        <v/>
      </c>
      <c r="I24" s="40" t="n"/>
      <c r="J24" s="26" t="n"/>
      <c r="K24" s="26" t="n"/>
      <c r="L24" s="36" t="n"/>
      <c r="M24" s="41" t="n"/>
      <c r="N24" s="26" t="n"/>
    </row>
    <row r="25">
      <c r="A25" s="26" t="n"/>
      <c r="B25" s="27">
        <f>IFERROR(VLOOKUP(A25,'Source Inventory'!$A$6:$P$55,2,FALSE),"")</f>
        <v/>
      </c>
      <c r="C25" s="36" t="n"/>
      <c r="D25" s="36" t="n"/>
      <c r="E25" s="36" t="n"/>
      <c r="F25" s="37">
        <f>IF(AND(C25="",D25="",E25=""),"",SUM(C25:E25))</f>
        <v/>
      </c>
      <c r="G25" s="38" t="n"/>
      <c r="H25" s="39">
        <f>IF(OR(F25="",G25="",G25=0),"",F25/(G25*12))</f>
        <v/>
      </c>
      <c r="I25" s="40" t="n"/>
      <c r="J25" s="26" t="n"/>
      <c r="K25" s="26" t="n"/>
      <c r="L25" s="36" t="n"/>
      <c r="M25" s="41" t="n"/>
      <c r="N25" s="26" t="n"/>
    </row>
    <row r="26">
      <c r="A26" s="26" t="n"/>
      <c r="B26" s="27">
        <f>IFERROR(VLOOKUP(A26,'Source Inventory'!$A$6:$P$55,2,FALSE),"")</f>
        <v/>
      </c>
      <c r="C26" s="36" t="n"/>
      <c r="D26" s="36" t="n"/>
      <c r="E26" s="36" t="n"/>
      <c r="F26" s="37">
        <f>IF(AND(C26="",D26="",E26=""),"",SUM(C26:E26))</f>
        <v/>
      </c>
      <c r="G26" s="38" t="n"/>
      <c r="H26" s="39">
        <f>IF(OR(F26="",G26="",G26=0),"",F26/(G26*12))</f>
        <v/>
      </c>
      <c r="I26" s="40" t="n"/>
      <c r="J26" s="26" t="n"/>
      <c r="K26" s="26" t="n"/>
      <c r="L26" s="36" t="n"/>
      <c r="M26" s="41" t="n"/>
      <c r="N26" s="26" t="n"/>
    </row>
    <row r="27">
      <c r="A27" s="26" t="n"/>
      <c r="B27" s="27">
        <f>IFERROR(VLOOKUP(A27,'Source Inventory'!$A$6:$P$55,2,FALSE),"")</f>
        <v/>
      </c>
      <c r="C27" s="36" t="n"/>
      <c r="D27" s="36" t="n"/>
      <c r="E27" s="36" t="n"/>
      <c r="F27" s="37">
        <f>IF(AND(C27="",D27="",E27=""),"",SUM(C27:E27))</f>
        <v/>
      </c>
      <c r="G27" s="38" t="n"/>
      <c r="H27" s="39">
        <f>IF(OR(F27="",G27="",G27=0),"",F27/(G27*12))</f>
        <v/>
      </c>
      <c r="I27" s="40" t="n"/>
      <c r="J27" s="26" t="n"/>
      <c r="K27" s="26" t="n"/>
      <c r="L27" s="36" t="n"/>
      <c r="M27" s="41" t="n"/>
      <c r="N27" s="26" t="n"/>
    </row>
    <row r="28">
      <c r="A28" s="26" t="n"/>
      <c r="B28" s="27">
        <f>IFERROR(VLOOKUP(A28,'Source Inventory'!$A$6:$P$55,2,FALSE),"")</f>
        <v/>
      </c>
      <c r="C28" s="36" t="n"/>
      <c r="D28" s="36" t="n"/>
      <c r="E28" s="36" t="n"/>
      <c r="F28" s="37">
        <f>IF(AND(C28="",D28="",E28=""),"",SUM(C28:E28))</f>
        <v/>
      </c>
      <c r="G28" s="38" t="n"/>
      <c r="H28" s="39">
        <f>IF(OR(F28="",G28="",G28=0),"",F28/(G28*12))</f>
        <v/>
      </c>
      <c r="I28" s="40" t="n"/>
      <c r="J28" s="26" t="n"/>
      <c r="K28" s="26" t="n"/>
      <c r="L28" s="36" t="n"/>
      <c r="M28" s="41" t="n"/>
      <c r="N28" s="26" t="n"/>
    </row>
    <row r="29">
      <c r="A29" s="26" t="n"/>
      <c r="B29" s="27">
        <f>IFERROR(VLOOKUP(A29,'Source Inventory'!$A$6:$P$55,2,FALSE),"")</f>
        <v/>
      </c>
      <c r="C29" s="36" t="n"/>
      <c r="D29" s="36" t="n"/>
      <c r="E29" s="36" t="n"/>
      <c r="F29" s="37">
        <f>IF(AND(C29="",D29="",E29=""),"",SUM(C29:E29))</f>
        <v/>
      </c>
      <c r="G29" s="38" t="n"/>
      <c r="H29" s="39">
        <f>IF(OR(F29="",G29="",G29=0),"",F29/(G29*12))</f>
        <v/>
      </c>
      <c r="I29" s="40" t="n"/>
      <c r="J29" s="26" t="n"/>
      <c r="K29" s="26" t="n"/>
      <c r="L29" s="36" t="n"/>
      <c r="M29" s="41" t="n"/>
      <c r="N29" s="26" t="n"/>
    </row>
    <row r="30">
      <c r="A30" s="26" t="n"/>
      <c r="B30" s="27">
        <f>IFERROR(VLOOKUP(A30,'Source Inventory'!$A$6:$P$55,2,FALSE),"")</f>
        <v/>
      </c>
      <c r="C30" s="36" t="n"/>
      <c r="D30" s="36" t="n"/>
      <c r="E30" s="36" t="n"/>
      <c r="F30" s="37">
        <f>IF(AND(C30="",D30="",E30=""),"",SUM(C30:E30))</f>
        <v/>
      </c>
      <c r="G30" s="38" t="n"/>
      <c r="H30" s="39">
        <f>IF(OR(F30="",G30="",G30=0),"",F30/(G30*12))</f>
        <v/>
      </c>
      <c r="I30" s="40" t="n"/>
      <c r="J30" s="26" t="n"/>
      <c r="K30" s="26" t="n"/>
      <c r="L30" s="36" t="n"/>
      <c r="M30" s="41" t="n"/>
      <c r="N30" s="26" t="n"/>
    </row>
    <row r="31">
      <c r="A31" s="26" t="n"/>
      <c r="B31" s="27">
        <f>IFERROR(VLOOKUP(A31,'Source Inventory'!$A$6:$P$55,2,FALSE),"")</f>
        <v/>
      </c>
      <c r="C31" s="36" t="n"/>
      <c r="D31" s="36" t="n"/>
      <c r="E31" s="36" t="n"/>
      <c r="F31" s="37">
        <f>IF(AND(C31="",D31="",E31=""),"",SUM(C31:E31))</f>
        <v/>
      </c>
      <c r="G31" s="38" t="n"/>
      <c r="H31" s="39">
        <f>IF(OR(F31="",G31="",G31=0),"",F31/(G31*12))</f>
        <v/>
      </c>
      <c r="I31" s="40" t="n"/>
      <c r="J31" s="26" t="n"/>
      <c r="K31" s="26" t="n"/>
      <c r="L31" s="36" t="n"/>
      <c r="M31" s="41" t="n"/>
      <c r="N31" s="26" t="n"/>
    </row>
    <row r="32">
      <c r="A32" s="26" t="n"/>
      <c r="B32" s="27">
        <f>IFERROR(VLOOKUP(A32,'Source Inventory'!$A$6:$P$55,2,FALSE),"")</f>
        <v/>
      </c>
      <c r="C32" s="36" t="n"/>
      <c r="D32" s="36" t="n"/>
      <c r="E32" s="36" t="n"/>
      <c r="F32" s="37">
        <f>IF(AND(C32="",D32="",E32=""),"",SUM(C32:E32))</f>
        <v/>
      </c>
      <c r="G32" s="38" t="n"/>
      <c r="H32" s="39">
        <f>IF(OR(F32="",G32="",G32=0),"",F32/(G32*12))</f>
        <v/>
      </c>
      <c r="I32" s="40" t="n"/>
      <c r="J32" s="26" t="n"/>
      <c r="K32" s="26" t="n"/>
      <c r="L32" s="36" t="n"/>
      <c r="M32" s="41" t="n"/>
      <c r="N32" s="26" t="n"/>
    </row>
    <row r="33">
      <c r="A33" s="26" t="n"/>
      <c r="B33" s="27">
        <f>IFERROR(VLOOKUP(A33,'Source Inventory'!$A$6:$P$55,2,FALSE),"")</f>
        <v/>
      </c>
      <c r="C33" s="36" t="n"/>
      <c r="D33" s="36" t="n"/>
      <c r="E33" s="36" t="n"/>
      <c r="F33" s="37">
        <f>IF(AND(C33="",D33="",E33=""),"",SUM(C33:E33))</f>
        <v/>
      </c>
      <c r="G33" s="38" t="n"/>
      <c r="H33" s="39">
        <f>IF(OR(F33="",G33="",G33=0),"",F33/(G33*12))</f>
        <v/>
      </c>
      <c r="I33" s="40" t="n"/>
      <c r="J33" s="26" t="n"/>
      <c r="K33" s="26" t="n"/>
      <c r="L33" s="36" t="n"/>
      <c r="M33" s="41" t="n"/>
      <c r="N33" s="26" t="n"/>
    </row>
    <row r="34">
      <c r="A34" s="26" t="n"/>
      <c r="B34" s="27">
        <f>IFERROR(VLOOKUP(A34,'Source Inventory'!$A$6:$P$55,2,FALSE),"")</f>
        <v/>
      </c>
      <c r="C34" s="36" t="n"/>
      <c r="D34" s="36" t="n"/>
      <c r="E34" s="36" t="n"/>
      <c r="F34" s="37">
        <f>IF(AND(C34="",D34="",E34=""),"",SUM(C34:E34))</f>
        <v/>
      </c>
      <c r="G34" s="38" t="n"/>
      <c r="H34" s="39">
        <f>IF(OR(F34="",G34="",G34=0),"",F34/(G34*12))</f>
        <v/>
      </c>
      <c r="I34" s="40" t="n"/>
      <c r="J34" s="26" t="n"/>
      <c r="K34" s="26" t="n"/>
      <c r="L34" s="36" t="n"/>
      <c r="M34" s="41" t="n"/>
      <c r="N34" s="26" t="n"/>
    </row>
    <row r="35">
      <c r="A35" s="26" t="n"/>
      <c r="B35" s="27">
        <f>IFERROR(VLOOKUP(A35,'Source Inventory'!$A$6:$P$55,2,FALSE),"")</f>
        <v/>
      </c>
      <c r="C35" s="36" t="n"/>
      <c r="D35" s="36" t="n"/>
      <c r="E35" s="36" t="n"/>
      <c r="F35" s="37">
        <f>IF(AND(C35="",D35="",E35=""),"",SUM(C35:E35))</f>
        <v/>
      </c>
      <c r="G35" s="38" t="n"/>
      <c r="H35" s="39">
        <f>IF(OR(F35="",G35="",G35=0),"",F35/(G35*12))</f>
        <v/>
      </c>
      <c r="I35" s="40" t="n"/>
      <c r="J35" s="26" t="n"/>
      <c r="K35" s="26" t="n"/>
      <c r="L35" s="36" t="n"/>
      <c r="M35" s="41" t="n"/>
      <c r="N35" s="26" t="n"/>
    </row>
    <row r="36">
      <c r="A36" s="26" t="n"/>
      <c r="B36" s="27">
        <f>IFERROR(VLOOKUP(A36,'Source Inventory'!$A$6:$P$55,2,FALSE),"")</f>
        <v/>
      </c>
      <c r="C36" s="36" t="n"/>
      <c r="D36" s="36" t="n"/>
      <c r="E36" s="36" t="n"/>
      <c r="F36" s="37">
        <f>IF(AND(C36="",D36="",E36=""),"",SUM(C36:E36))</f>
        <v/>
      </c>
      <c r="G36" s="38" t="n"/>
      <c r="H36" s="39">
        <f>IF(OR(F36="",G36="",G36=0),"",F36/(G36*12))</f>
        <v/>
      </c>
      <c r="I36" s="40" t="n"/>
      <c r="J36" s="26" t="n"/>
      <c r="K36" s="26" t="n"/>
      <c r="L36" s="36" t="n"/>
      <c r="M36" s="41" t="n"/>
      <c r="N36" s="26" t="n"/>
    </row>
    <row r="37">
      <c r="A37" s="26" t="n"/>
      <c r="B37" s="27">
        <f>IFERROR(VLOOKUP(A37,'Source Inventory'!$A$6:$P$55,2,FALSE),"")</f>
        <v/>
      </c>
      <c r="C37" s="36" t="n"/>
      <c r="D37" s="36" t="n"/>
      <c r="E37" s="36" t="n"/>
      <c r="F37" s="37">
        <f>IF(AND(C37="",D37="",E37=""),"",SUM(C37:E37))</f>
        <v/>
      </c>
      <c r="G37" s="38" t="n"/>
      <c r="H37" s="39">
        <f>IF(OR(F37="",G37="",G37=0),"",F37/(G37*12))</f>
        <v/>
      </c>
      <c r="I37" s="40" t="n"/>
      <c r="J37" s="26" t="n"/>
      <c r="K37" s="26" t="n"/>
      <c r="L37" s="36" t="n"/>
      <c r="M37" s="41" t="n"/>
      <c r="N37" s="26" t="n"/>
    </row>
    <row r="38">
      <c r="A38" s="26" t="n"/>
      <c r="B38" s="27">
        <f>IFERROR(VLOOKUP(A38,'Source Inventory'!$A$6:$P$55,2,FALSE),"")</f>
        <v/>
      </c>
      <c r="C38" s="36" t="n"/>
      <c r="D38" s="36" t="n"/>
      <c r="E38" s="36" t="n"/>
      <c r="F38" s="37">
        <f>IF(AND(C38="",D38="",E38=""),"",SUM(C38:E38))</f>
        <v/>
      </c>
      <c r="G38" s="38" t="n"/>
      <c r="H38" s="39">
        <f>IF(OR(F38="",G38="",G38=0),"",F38/(G38*12))</f>
        <v/>
      </c>
      <c r="I38" s="40" t="n"/>
      <c r="J38" s="26" t="n"/>
      <c r="K38" s="26" t="n"/>
      <c r="L38" s="36" t="n"/>
      <c r="M38" s="41" t="n"/>
      <c r="N38" s="26" t="n"/>
    </row>
    <row r="39">
      <c r="A39" s="26" t="n"/>
      <c r="B39" s="27">
        <f>IFERROR(VLOOKUP(A39,'Source Inventory'!$A$6:$P$55,2,FALSE),"")</f>
        <v/>
      </c>
      <c r="C39" s="36" t="n"/>
      <c r="D39" s="36" t="n"/>
      <c r="E39" s="36" t="n"/>
      <c r="F39" s="37">
        <f>IF(AND(C39="",D39="",E39=""),"",SUM(C39:E39))</f>
        <v/>
      </c>
      <c r="G39" s="38" t="n"/>
      <c r="H39" s="39">
        <f>IF(OR(F39="",G39="",G39=0),"",F39/(G39*12))</f>
        <v/>
      </c>
      <c r="I39" s="40" t="n"/>
      <c r="J39" s="26" t="n"/>
      <c r="K39" s="26" t="n"/>
      <c r="L39" s="36" t="n"/>
      <c r="M39" s="41" t="n"/>
      <c r="N39" s="26" t="n"/>
    </row>
    <row r="40">
      <c r="A40" s="26" t="n"/>
      <c r="B40" s="27">
        <f>IFERROR(VLOOKUP(A40,'Source Inventory'!$A$6:$P$55,2,FALSE),"")</f>
        <v/>
      </c>
      <c r="C40" s="36" t="n"/>
      <c r="D40" s="36" t="n"/>
      <c r="E40" s="36" t="n"/>
      <c r="F40" s="37">
        <f>IF(AND(C40="",D40="",E40=""),"",SUM(C40:E40))</f>
        <v/>
      </c>
      <c r="G40" s="38" t="n"/>
      <c r="H40" s="39">
        <f>IF(OR(F40="",G40="",G40=0),"",F40/(G40*12))</f>
        <v/>
      </c>
      <c r="I40" s="40" t="n"/>
      <c r="J40" s="26" t="n"/>
      <c r="K40" s="26" t="n"/>
      <c r="L40" s="36" t="n"/>
      <c r="M40" s="41" t="n"/>
      <c r="N40" s="26" t="n"/>
    </row>
    <row r="41">
      <c r="A41" s="26" t="n"/>
      <c r="B41" s="27">
        <f>IFERROR(VLOOKUP(A41,'Source Inventory'!$A$6:$P$55,2,FALSE),"")</f>
        <v/>
      </c>
      <c r="C41" s="36" t="n"/>
      <c r="D41" s="36" t="n"/>
      <c r="E41" s="36" t="n"/>
      <c r="F41" s="37">
        <f>IF(AND(C41="",D41="",E41=""),"",SUM(C41:E41))</f>
        <v/>
      </c>
      <c r="G41" s="38" t="n"/>
      <c r="H41" s="39">
        <f>IF(OR(F41="",G41="",G41=0),"",F41/(G41*12))</f>
        <v/>
      </c>
      <c r="I41" s="40" t="n"/>
      <c r="J41" s="26" t="n"/>
      <c r="K41" s="26" t="n"/>
      <c r="L41" s="36" t="n"/>
      <c r="M41" s="41" t="n"/>
      <c r="N41" s="26" t="n"/>
    </row>
    <row r="42">
      <c r="A42" s="26" t="n"/>
      <c r="B42" s="27">
        <f>IFERROR(VLOOKUP(A42,'Source Inventory'!$A$6:$P$55,2,FALSE),"")</f>
        <v/>
      </c>
      <c r="C42" s="36" t="n"/>
      <c r="D42" s="36" t="n"/>
      <c r="E42" s="36" t="n"/>
      <c r="F42" s="37">
        <f>IF(AND(C42="",D42="",E42=""),"",SUM(C42:E42))</f>
        <v/>
      </c>
      <c r="G42" s="38" t="n"/>
      <c r="H42" s="39">
        <f>IF(OR(F42="",G42="",G42=0),"",F42/(G42*12))</f>
        <v/>
      </c>
      <c r="I42" s="40" t="n"/>
      <c r="J42" s="26" t="n"/>
      <c r="K42" s="26" t="n"/>
      <c r="L42" s="36" t="n"/>
      <c r="M42" s="41" t="n"/>
      <c r="N42" s="26" t="n"/>
    </row>
    <row r="43">
      <c r="A43" s="26" t="n"/>
      <c r="B43" s="27">
        <f>IFERROR(VLOOKUP(A43,'Source Inventory'!$A$6:$P$55,2,FALSE),"")</f>
        <v/>
      </c>
      <c r="C43" s="36" t="n"/>
      <c r="D43" s="36" t="n"/>
      <c r="E43" s="36" t="n"/>
      <c r="F43" s="37">
        <f>IF(AND(C43="",D43="",E43=""),"",SUM(C43:E43))</f>
        <v/>
      </c>
      <c r="G43" s="38" t="n"/>
      <c r="H43" s="39">
        <f>IF(OR(F43="",G43="",G43=0),"",F43/(G43*12))</f>
        <v/>
      </c>
      <c r="I43" s="40" t="n"/>
      <c r="J43" s="26" t="n"/>
      <c r="K43" s="26" t="n"/>
      <c r="L43" s="36" t="n"/>
      <c r="M43" s="41" t="n"/>
      <c r="N43" s="26" t="n"/>
    </row>
    <row r="44">
      <c r="A44" s="26" t="n"/>
      <c r="B44" s="27">
        <f>IFERROR(VLOOKUP(A44,'Source Inventory'!$A$6:$P$55,2,FALSE),"")</f>
        <v/>
      </c>
      <c r="C44" s="36" t="n"/>
      <c r="D44" s="36" t="n"/>
      <c r="E44" s="36" t="n"/>
      <c r="F44" s="37">
        <f>IF(AND(C44="",D44="",E44=""),"",SUM(C44:E44))</f>
        <v/>
      </c>
      <c r="G44" s="38" t="n"/>
      <c r="H44" s="39">
        <f>IF(OR(F44="",G44="",G44=0),"",F44/(G44*12))</f>
        <v/>
      </c>
      <c r="I44" s="40" t="n"/>
      <c r="J44" s="26" t="n"/>
      <c r="K44" s="26" t="n"/>
      <c r="L44" s="36" t="n"/>
      <c r="M44" s="41" t="n"/>
      <c r="N44" s="26" t="n"/>
    </row>
    <row r="45">
      <c r="A45" s="26" t="n"/>
      <c r="B45" s="27">
        <f>IFERROR(VLOOKUP(A45,'Source Inventory'!$A$6:$P$55,2,FALSE),"")</f>
        <v/>
      </c>
      <c r="C45" s="36" t="n"/>
      <c r="D45" s="36" t="n"/>
      <c r="E45" s="36" t="n"/>
      <c r="F45" s="37">
        <f>IF(AND(C45="",D45="",E45=""),"",SUM(C45:E45))</f>
        <v/>
      </c>
      <c r="G45" s="38" t="n"/>
      <c r="H45" s="39">
        <f>IF(OR(F45="",G45="",G45=0),"",F45/(G45*12))</f>
        <v/>
      </c>
      <c r="I45" s="40" t="n"/>
      <c r="J45" s="26" t="n"/>
      <c r="K45" s="26" t="n"/>
      <c r="L45" s="36" t="n"/>
      <c r="M45" s="41" t="n"/>
      <c r="N45" s="26" t="n"/>
    </row>
    <row r="46">
      <c r="A46" s="26" t="n"/>
      <c r="B46" s="27">
        <f>IFERROR(VLOOKUP(A46,'Source Inventory'!$A$6:$P$55,2,FALSE),"")</f>
        <v/>
      </c>
      <c r="C46" s="36" t="n"/>
      <c r="D46" s="36" t="n"/>
      <c r="E46" s="36" t="n"/>
      <c r="F46" s="37">
        <f>IF(AND(C46="",D46="",E46=""),"",SUM(C46:E46))</f>
        <v/>
      </c>
      <c r="G46" s="38" t="n"/>
      <c r="H46" s="39">
        <f>IF(OR(F46="",G46="",G46=0),"",F46/(G46*12))</f>
        <v/>
      </c>
      <c r="I46" s="40" t="n"/>
      <c r="J46" s="26" t="n"/>
      <c r="K46" s="26" t="n"/>
      <c r="L46" s="36" t="n"/>
      <c r="M46" s="41" t="n"/>
      <c r="N46" s="26" t="n"/>
    </row>
    <row r="47">
      <c r="A47" s="26" t="n"/>
      <c r="B47" s="27">
        <f>IFERROR(VLOOKUP(A47,'Source Inventory'!$A$6:$P$55,2,FALSE),"")</f>
        <v/>
      </c>
      <c r="C47" s="36" t="n"/>
      <c r="D47" s="36" t="n"/>
      <c r="E47" s="36" t="n"/>
      <c r="F47" s="37">
        <f>IF(AND(C47="",D47="",E47=""),"",SUM(C47:E47))</f>
        <v/>
      </c>
      <c r="G47" s="38" t="n"/>
      <c r="H47" s="39">
        <f>IF(OR(F47="",G47="",G47=0),"",F47/(G47*12))</f>
        <v/>
      </c>
      <c r="I47" s="40" t="n"/>
      <c r="J47" s="26" t="n"/>
      <c r="K47" s="26" t="n"/>
      <c r="L47" s="36" t="n"/>
      <c r="M47" s="41" t="n"/>
      <c r="N47" s="26" t="n"/>
    </row>
    <row r="48">
      <c r="A48" s="26" t="n"/>
      <c r="B48" s="27">
        <f>IFERROR(VLOOKUP(A48,'Source Inventory'!$A$6:$P$55,2,FALSE),"")</f>
        <v/>
      </c>
      <c r="C48" s="36" t="n"/>
      <c r="D48" s="36" t="n"/>
      <c r="E48" s="36" t="n"/>
      <c r="F48" s="37">
        <f>IF(AND(C48="",D48="",E48=""),"",SUM(C48:E48))</f>
        <v/>
      </c>
      <c r="G48" s="38" t="n"/>
      <c r="H48" s="39">
        <f>IF(OR(F48="",G48="",G48=0),"",F48/(G48*12))</f>
        <v/>
      </c>
      <c r="I48" s="40" t="n"/>
      <c r="J48" s="26" t="n"/>
      <c r="K48" s="26" t="n"/>
      <c r="L48" s="36" t="n"/>
      <c r="M48" s="41" t="n"/>
      <c r="N48" s="26" t="n"/>
    </row>
    <row r="49">
      <c r="A49" s="26" t="n"/>
      <c r="B49" s="27">
        <f>IFERROR(VLOOKUP(A49,'Source Inventory'!$A$6:$P$55,2,FALSE),"")</f>
        <v/>
      </c>
      <c r="C49" s="36" t="n"/>
      <c r="D49" s="36" t="n"/>
      <c r="E49" s="36" t="n"/>
      <c r="F49" s="37">
        <f>IF(AND(C49="",D49="",E49=""),"",SUM(C49:E49))</f>
        <v/>
      </c>
      <c r="G49" s="38" t="n"/>
      <c r="H49" s="39">
        <f>IF(OR(F49="",G49="",G49=0),"",F49/(G49*12))</f>
        <v/>
      </c>
      <c r="I49" s="40" t="n"/>
      <c r="J49" s="26" t="n"/>
      <c r="K49" s="26" t="n"/>
      <c r="L49" s="36" t="n"/>
      <c r="M49" s="41" t="n"/>
      <c r="N49" s="26" t="n"/>
    </row>
    <row r="50">
      <c r="A50" s="26" t="n"/>
      <c r="B50" s="27">
        <f>IFERROR(VLOOKUP(A50,'Source Inventory'!$A$6:$P$55,2,FALSE),"")</f>
        <v/>
      </c>
      <c r="C50" s="36" t="n"/>
      <c r="D50" s="36" t="n"/>
      <c r="E50" s="36" t="n"/>
      <c r="F50" s="37">
        <f>IF(AND(C50="",D50="",E50=""),"",SUM(C50:E50))</f>
        <v/>
      </c>
      <c r="G50" s="38" t="n"/>
      <c r="H50" s="39">
        <f>IF(OR(F50="",G50="",G50=0),"",F50/(G50*12))</f>
        <v/>
      </c>
      <c r="I50" s="40" t="n"/>
      <c r="J50" s="26" t="n"/>
      <c r="K50" s="26" t="n"/>
      <c r="L50" s="36" t="n"/>
      <c r="M50" s="41" t="n"/>
      <c r="N50" s="26" t="n"/>
    </row>
    <row r="51">
      <c r="A51" s="26" t="n"/>
      <c r="B51" s="27">
        <f>IFERROR(VLOOKUP(A51,'Source Inventory'!$A$6:$P$55,2,FALSE),"")</f>
        <v/>
      </c>
      <c r="C51" s="36" t="n"/>
      <c r="D51" s="36" t="n"/>
      <c r="E51" s="36" t="n"/>
      <c r="F51" s="37">
        <f>IF(AND(C51="",D51="",E51=""),"",SUM(C51:E51))</f>
        <v/>
      </c>
      <c r="G51" s="38" t="n"/>
      <c r="H51" s="39">
        <f>IF(OR(F51="",G51="",G51=0),"",F51/(G51*12))</f>
        <v/>
      </c>
      <c r="I51" s="40" t="n"/>
      <c r="J51" s="26" t="n"/>
      <c r="K51" s="26" t="n"/>
      <c r="L51" s="36" t="n"/>
      <c r="M51" s="41" t="n"/>
      <c r="N51" s="26" t="n"/>
    </row>
    <row r="52">
      <c r="A52" s="26" t="n"/>
      <c r="B52" s="27">
        <f>IFERROR(VLOOKUP(A52,'Source Inventory'!$A$6:$P$55,2,FALSE),"")</f>
        <v/>
      </c>
      <c r="C52" s="36" t="n"/>
      <c r="D52" s="36" t="n"/>
      <c r="E52" s="36" t="n"/>
      <c r="F52" s="37">
        <f>IF(AND(C52="",D52="",E52=""),"",SUM(C52:E52))</f>
        <v/>
      </c>
      <c r="G52" s="38" t="n"/>
      <c r="H52" s="39">
        <f>IF(OR(F52="",G52="",G52=0),"",F52/(G52*12))</f>
        <v/>
      </c>
      <c r="I52" s="40" t="n"/>
      <c r="J52" s="26" t="n"/>
      <c r="K52" s="26" t="n"/>
      <c r="L52" s="36" t="n"/>
      <c r="M52" s="41" t="n"/>
      <c r="N52" s="26" t="n"/>
    </row>
    <row r="53">
      <c r="A53" s="26" t="n"/>
      <c r="B53" s="27">
        <f>IFERROR(VLOOKUP(A53,'Source Inventory'!$A$6:$P$55,2,FALSE),"")</f>
        <v/>
      </c>
      <c r="C53" s="36" t="n"/>
      <c r="D53" s="36" t="n"/>
      <c r="E53" s="36" t="n"/>
      <c r="F53" s="37">
        <f>IF(AND(C53="",D53="",E53=""),"",SUM(C53:E53))</f>
        <v/>
      </c>
      <c r="G53" s="38" t="n"/>
      <c r="H53" s="39">
        <f>IF(OR(F53="",G53="",G53=0),"",F53/(G53*12))</f>
        <v/>
      </c>
      <c r="I53" s="40" t="n"/>
      <c r="J53" s="26" t="n"/>
      <c r="K53" s="26" t="n"/>
      <c r="L53" s="36" t="n"/>
      <c r="M53" s="41" t="n"/>
      <c r="N53" s="26" t="n"/>
    </row>
    <row r="54">
      <c r="A54" s="26" t="n"/>
      <c r="B54" s="27">
        <f>IFERROR(VLOOKUP(A54,'Source Inventory'!$A$6:$P$55,2,FALSE),"")</f>
        <v/>
      </c>
      <c r="C54" s="36" t="n"/>
      <c r="D54" s="36" t="n"/>
      <c r="E54" s="36" t="n"/>
      <c r="F54" s="37">
        <f>IF(AND(C54="",D54="",E54=""),"",SUM(C54:E54))</f>
        <v/>
      </c>
      <c r="G54" s="38" t="n"/>
      <c r="H54" s="39">
        <f>IF(OR(F54="",G54="",G54=0),"",F54/(G54*12))</f>
        <v/>
      </c>
      <c r="I54" s="40" t="n"/>
      <c r="J54" s="26" t="n"/>
      <c r="K54" s="26" t="n"/>
      <c r="L54" s="36" t="n"/>
      <c r="M54" s="41" t="n"/>
      <c r="N54" s="26" t="n"/>
    </row>
    <row r="55">
      <c r="A55" s="26" t="n"/>
      <c r="B55" s="27">
        <f>IFERROR(VLOOKUP(A55,'Source Inventory'!$A$6:$P$55,2,FALSE),"")</f>
        <v/>
      </c>
      <c r="C55" s="36" t="n"/>
      <c r="D55" s="36" t="n"/>
      <c r="E55" s="36" t="n"/>
      <c r="F55" s="37">
        <f>IF(AND(C55="",D55="",E55=""),"",SUM(C55:E55))</f>
        <v/>
      </c>
      <c r="G55" s="38" t="n"/>
      <c r="H55" s="39">
        <f>IF(OR(F55="",G55="",G55=0),"",F55/(G55*12))</f>
        <v/>
      </c>
      <c r="I55" s="40" t="n"/>
      <c r="J55" s="26" t="n"/>
      <c r="K55" s="26" t="n"/>
      <c r="L55" s="36" t="n"/>
      <c r="M55" s="41" t="n"/>
      <c r="N55" s="26" t="n"/>
    </row>
    <row r="57">
      <c r="A57" s="31" t="inlineStr">
        <is>
          <t>COST SUMMARY</t>
        </is>
      </c>
    </row>
    <row r="58">
      <c r="A58" s="42" t="inlineStr">
        <is>
          <t>Total Annual Spend:</t>
        </is>
      </c>
      <c r="B58" s="43">
        <f>SUM(C6:C55)</f>
        <v/>
      </c>
    </row>
    <row r="59">
      <c r="A59" s="42" t="inlineStr">
        <is>
          <t>Total Implementation:</t>
        </is>
      </c>
      <c r="B59" s="44">
        <f>SUM(D6:D55)</f>
        <v/>
      </c>
    </row>
    <row r="60">
      <c r="A60" s="42" t="inlineStr">
        <is>
          <t>Total Operational:</t>
        </is>
      </c>
      <c r="B60" s="44">
        <f>SUM(E6:E55)</f>
        <v/>
      </c>
    </row>
    <row r="61">
      <c r="A61" s="42" t="inlineStr">
        <is>
          <t>Grand Total:</t>
        </is>
      </c>
      <c r="B61" s="45">
        <f>SUM(F6:F55)</f>
        <v/>
      </c>
    </row>
    <row r="62">
      <c r="A62" s="42" t="inlineStr">
        <is>
          <t>Next Year Budget:</t>
        </is>
      </c>
      <c r="B62" s="46">
        <f>SUM(L6:L55)</f>
        <v/>
      </c>
    </row>
    <row r="64">
      <c r="A64" s="42" t="inlineStr">
        <is>
          <t>Average Cost Per Alert:</t>
        </is>
      </c>
      <c r="B64" s="44">
        <f>AVERAGE(H6:H55)</f>
        <v/>
      </c>
    </row>
  </sheetData>
  <mergeCells count="3">
    <mergeCell ref="A2:N2"/>
    <mergeCell ref="A57:E57"/>
    <mergeCell ref="A1:N1"/>
  </mergeCells>
  <conditionalFormatting sqref="K6:K55">
    <cfRule type="cellIs" priority="1" operator="equal" dxfId="0">
      <formula>"High_Value"</formula>
    </cfRule>
    <cfRule type="cellIs" priority="2" operator="equal" dxfId="0">
      <formula>"Good_Value"</formula>
    </cfRule>
    <cfRule type="cellIs" priority="3" operator="equal" dxfId="2">
      <formula>"Acceptable"</formula>
    </cfRule>
    <cfRule type="cellIs" priority="4" operator="equal" dxfId="2">
      <formula>"Reconsider"</formula>
    </cfRule>
    <cfRule type="cellIs" priority="5" operator="equal" dxfId="4">
      <formula>"Discontinue"</formula>
    </cfRule>
  </conditionalFormatting>
  <dataValidations count="2">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"Excellent,Good,Fair,Poor"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"High_Value,Good_Value,Acceptable,Reconsider,Discontinue"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3"/>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5" customWidth="1" min="3" max="3"/>
    <col width="18" customWidth="1" min="4" max="4"/>
    <col width="18" customWidth="1" min="5" max="5"/>
    <col width="15" customWidth="1" min="6" max="6"/>
    <col width="18" customWidth="1" min="7" max="7"/>
    <col width="18" customWidth="1" min="8" max="8"/>
    <col width="15" customWidth="1" min="9" max="9"/>
    <col width="15" customWidth="1" min="10" max="10"/>
    <col width="18" customWidth="1" min="11" max="11"/>
    <col width="35" customWidth="1" min="12" max="12"/>
  </cols>
  <sheetData>
    <row r="1" ht="35" customHeight="1">
      <c r="A1" s="11" t="inlineStr">
        <is>
          <t>THREAT INTELLIGENCE COMPLIANCE VERIFICATION</t>
        </is>
      </c>
    </row>
    <row r="2">
      <c r="A2" s="17" t="inlineStr">
        <is>
          <t>Verify compliance with GDPR, FADP, data processing agreements, and organisational policies for all TI sources handling personal data.</t>
        </is>
      </c>
    </row>
    <row r="4">
      <c r="A4" s="13" t="inlineStr">
        <is>
          <t>Source ID</t>
        </is>
      </c>
      <c r="B4" s="13" t="inlineStr">
        <is>
          <t>Source Name</t>
        </is>
      </c>
      <c r="C4" s="13" t="inlineStr">
        <is>
          <t>Handles PII</t>
        </is>
      </c>
      <c r="D4" s="13" t="inlineStr">
        <is>
          <t>GDPR Applicable</t>
        </is>
      </c>
      <c r="E4" s="13" t="inlineStr">
        <is>
          <t>FADP Applicable</t>
        </is>
      </c>
      <c r="F4" s="13" t="inlineStr">
        <is>
          <t>DPA In Place</t>
        </is>
      </c>
      <c r="G4" s="13" t="inlineStr">
        <is>
          <t>DPA Signed Date</t>
        </is>
      </c>
      <c r="H4" s="13" t="inlineStr">
        <is>
          <t>DPA Review Date</t>
        </is>
      </c>
      <c r="I4" s="13" t="inlineStr">
        <is>
          <t>SCC Required</t>
        </is>
      </c>
      <c r="J4" s="13" t="inlineStr">
        <is>
          <t>SCC In Place</t>
        </is>
      </c>
      <c r="K4" s="13" t="inlineStr">
        <is>
          <t>Compliance Status</t>
        </is>
      </c>
      <c r="L4" s="13" t="inlineStr">
        <is>
          <t>Notes</t>
        </is>
      </c>
    </row>
    <row r="5">
      <c r="A5" s="14" t="inlineStr">
        <is>
          <t>SRC-001</t>
        </is>
      </c>
      <c r="B5" s="14" t="inlineStr">
        <is>
          <t>MISP Community Feed</t>
        </is>
      </c>
      <c r="C5" s="14" t="inlineStr">
        <is>
          <t>No</t>
        </is>
      </c>
      <c r="D5" s="14" t="inlineStr">
        <is>
          <t>No</t>
        </is>
      </c>
      <c r="E5" s="14" t="inlineStr">
        <is>
          <t>No</t>
        </is>
      </c>
      <c r="F5" s="14" t="inlineStr">
        <is>
          <t>No</t>
        </is>
      </c>
      <c r="G5" s="18" t="inlineStr"/>
      <c r="H5" s="18">
        <f>IF(G5="","",G5+365)</f>
        <v/>
      </c>
      <c r="I5" s="14" t="inlineStr">
        <is>
          <t>No</t>
        </is>
      </c>
      <c r="J5" s="14" t="inlineStr">
        <is>
          <t>No</t>
        </is>
      </c>
      <c r="K5" s="14" t="inlineStr">
        <is>
          <t>✅ Compliant</t>
        </is>
      </c>
      <c r="L5" s="14" t="inlineStr">
        <is>
          <t>OSINT feed; no PII processed</t>
        </is>
      </c>
    </row>
    <row r="6">
      <c r="A6" s="26" t="n"/>
      <c r="B6" s="27">
        <f>IFERROR(VLOOKUP(A6,'Source Inventory'!A:B,2,FALSE),"")</f>
        <v/>
      </c>
      <c r="C6" s="28" t="n"/>
      <c r="D6" s="28" t="n"/>
      <c r="E6" s="28" t="n"/>
      <c r="F6" s="28" t="n"/>
      <c r="G6" s="41" t="n"/>
      <c r="H6" s="47">
        <f>IF(G6="","",G6+365)</f>
        <v/>
      </c>
      <c r="I6" s="28" t="n"/>
      <c r="J6" s="28" t="n"/>
      <c r="K6" s="26" t="n"/>
      <c r="L6" s="26" t="n"/>
    </row>
    <row r="7">
      <c r="A7" s="26" t="n"/>
      <c r="B7" s="27">
        <f>IFERROR(VLOOKUP(A7,'Source Inventory'!A:B,2,FALSE),"")</f>
        <v/>
      </c>
      <c r="C7" s="28" t="n"/>
      <c r="D7" s="28" t="n"/>
      <c r="E7" s="28" t="n"/>
      <c r="F7" s="28" t="n"/>
      <c r="G7" s="41" t="n"/>
      <c r="H7" s="47">
        <f>IF(G7="","",G7+365)</f>
        <v/>
      </c>
      <c r="I7" s="28" t="n"/>
      <c r="J7" s="28" t="n"/>
      <c r="K7" s="26" t="n"/>
      <c r="L7" s="26" t="n"/>
    </row>
    <row r="8">
      <c r="A8" s="26" t="n"/>
      <c r="B8" s="27">
        <f>IFERROR(VLOOKUP(A8,'Source Inventory'!A:B,2,FALSE),"")</f>
        <v/>
      </c>
      <c r="C8" s="28" t="n"/>
      <c r="D8" s="28" t="n"/>
      <c r="E8" s="28" t="n"/>
      <c r="F8" s="28" t="n"/>
      <c r="G8" s="41" t="n"/>
      <c r="H8" s="47">
        <f>IF(G8="","",G8+365)</f>
        <v/>
      </c>
      <c r="I8" s="28" t="n"/>
      <c r="J8" s="28" t="n"/>
      <c r="K8" s="26" t="n"/>
      <c r="L8" s="26" t="n"/>
    </row>
    <row r="9">
      <c r="A9" s="26" t="n"/>
      <c r="B9" s="27">
        <f>IFERROR(VLOOKUP(A9,'Source Inventory'!A:B,2,FALSE),"")</f>
        <v/>
      </c>
      <c r="C9" s="28" t="n"/>
      <c r="D9" s="28" t="n"/>
      <c r="E9" s="28" t="n"/>
      <c r="F9" s="28" t="n"/>
      <c r="G9" s="41" t="n"/>
      <c r="H9" s="47">
        <f>IF(G9="","",G9+365)</f>
        <v/>
      </c>
      <c r="I9" s="28" t="n"/>
      <c r="J9" s="28" t="n"/>
      <c r="K9" s="26" t="n"/>
      <c r="L9" s="26" t="n"/>
    </row>
    <row r="10">
      <c r="A10" s="26" t="n"/>
      <c r="B10" s="27">
        <f>IFERROR(VLOOKUP(A10,'Source Inventory'!A:B,2,FALSE),"")</f>
        <v/>
      </c>
      <c r="C10" s="28" t="n"/>
      <c r="D10" s="28" t="n"/>
      <c r="E10" s="28" t="n"/>
      <c r="F10" s="28" t="n"/>
      <c r="G10" s="41" t="n"/>
      <c r="H10" s="47">
        <f>IF(G10="","",G10+365)</f>
        <v/>
      </c>
      <c r="I10" s="28" t="n"/>
      <c r="J10" s="28" t="n"/>
      <c r="K10" s="26" t="n"/>
      <c r="L10" s="26" t="n"/>
    </row>
    <row r="11">
      <c r="A11" s="26" t="n"/>
      <c r="B11" s="27">
        <f>IFERROR(VLOOKUP(A11,'Source Inventory'!A:B,2,FALSE),"")</f>
        <v/>
      </c>
      <c r="C11" s="28" t="n"/>
      <c r="D11" s="28" t="n"/>
      <c r="E11" s="28" t="n"/>
      <c r="F11" s="28" t="n"/>
      <c r="G11" s="41" t="n"/>
      <c r="H11" s="47">
        <f>IF(G11="","",G11+365)</f>
        <v/>
      </c>
      <c r="I11" s="28" t="n"/>
      <c r="J11" s="28" t="n"/>
      <c r="K11" s="26" t="n"/>
      <c r="L11" s="26" t="n"/>
    </row>
    <row r="12">
      <c r="A12" s="26" t="n"/>
      <c r="B12" s="27">
        <f>IFERROR(VLOOKUP(A12,'Source Inventory'!A:B,2,FALSE),"")</f>
        <v/>
      </c>
      <c r="C12" s="28" t="n"/>
      <c r="D12" s="28" t="n"/>
      <c r="E12" s="28" t="n"/>
      <c r="F12" s="28" t="n"/>
      <c r="G12" s="41" t="n"/>
      <c r="H12" s="47">
        <f>IF(G12="","",G12+365)</f>
        <v/>
      </c>
      <c r="I12" s="28" t="n"/>
      <c r="J12" s="28" t="n"/>
      <c r="K12" s="26" t="n"/>
      <c r="L12" s="26" t="n"/>
    </row>
    <row r="13">
      <c r="A13" s="26" t="n"/>
      <c r="B13" s="27">
        <f>IFERROR(VLOOKUP(A13,'Source Inventory'!A:B,2,FALSE),"")</f>
        <v/>
      </c>
      <c r="C13" s="28" t="n"/>
      <c r="D13" s="28" t="n"/>
      <c r="E13" s="28" t="n"/>
      <c r="F13" s="28" t="n"/>
      <c r="G13" s="41" t="n"/>
      <c r="H13" s="47">
        <f>IF(G13="","",G13+365)</f>
        <v/>
      </c>
      <c r="I13" s="28" t="n"/>
      <c r="J13" s="28" t="n"/>
      <c r="K13" s="26" t="n"/>
      <c r="L13" s="26" t="n"/>
    </row>
    <row r="14">
      <c r="A14" s="26" t="n"/>
      <c r="B14" s="27">
        <f>IFERROR(VLOOKUP(A14,'Source Inventory'!A:B,2,FALSE),"")</f>
        <v/>
      </c>
      <c r="C14" s="28" t="n"/>
      <c r="D14" s="28" t="n"/>
      <c r="E14" s="28" t="n"/>
      <c r="F14" s="28" t="n"/>
      <c r="G14" s="41" t="n"/>
      <c r="H14" s="47">
        <f>IF(G14="","",G14+365)</f>
        <v/>
      </c>
      <c r="I14" s="28" t="n"/>
      <c r="J14" s="28" t="n"/>
      <c r="K14" s="26" t="n"/>
      <c r="L14" s="26" t="n"/>
    </row>
    <row r="15">
      <c r="A15" s="26" t="n"/>
      <c r="B15" s="27">
        <f>IFERROR(VLOOKUP(A15,'Source Inventory'!A:B,2,FALSE),"")</f>
        <v/>
      </c>
      <c r="C15" s="28" t="n"/>
      <c r="D15" s="28" t="n"/>
      <c r="E15" s="28" t="n"/>
      <c r="F15" s="28" t="n"/>
      <c r="G15" s="41" t="n"/>
      <c r="H15" s="47">
        <f>IF(G15="","",G15+365)</f>
        <v/>
      </c>
      <c r="I15" s="28" t="n"/>
      <c r="J15" s="28" t="n"/>
      <c r="K15" s="26" t="n"/>
      <c r="L15" s="26" t="n"/>
    </row>
    <row r="16">
      <c r="A16" s="26" t="n"/>
      <c r="B16" s="27">
        <f>IFERROR(VLOOKUP(A16,'Source Inventory'!A:B,2,FALSE),"")</f>
        <v/>
      </c>
      <c r="C16" s="28" t="n"/>
      <c r="D16" s="28" t="n"/>
      <c r="E16" s="28" t="n"/>
      <c r="F16" s="28" t="n"/>
      <c r="G16" s="41" t="n"/>
      <c r="H16" s="47">
        <f>IF(G16="","",G16+365)</f>
        <v/>
      </c>
      <c r="I16" s="28" t="n"/>
      <c r="J16" s="28" t="n"/>
      <c r="K16" s="26" t="n"/>
      <c r="L16" s="26" t="n"/>
    </row>
    <row r="17">
      <c r="A17" s="26" t="n"/>
      <c r="B17" s="27">
        <f>IFERROR(VLOOKUP(A17,'Source Inventory'!A:B,2,FALSE),"")</f>
        <v/>
      </c>
      <c r="C17" s="28" t="n"/>
      <c r="D17" s="28" t="n"/>
      <c r="E17" s="28" t="n"/>
      <c r="F17" s="28" t="n"/>
      <c r="G17" s="41" t="n"/>
      <c r="H17" s="47">
        <f>IF(G17="","",G17+365)</f>
        <v/>
      </c>
      <c r="I17" s="28" t="n"/>
      <c r="J17" s="28" t="n"/>
      <c r="K17" s="26" t="n"/>
      <c r="L17" s="26" t="n"/>
    </row>
    <row r="18">
      <c r="A18" s="26" t="n"/>
      <c r="B18" s="27">
        <f>IFERROR(VLOOKUP(A18,'Source Inventory'!A:B,2,FALSE),"")</f>
        <v/>
      </c>
      <c r="C18" s="28" t="n"/>
      <c r="D18" s="28" t="n"/>
      <c r="E18" s="28" t="n"/>
      <c r="F18" s="28" t="n"/>
      <c r="G18" s="41" t="n"/>
      <c r="H18" s="47">
        <f>IF(G18="","",G18+365)</f>
        <v/>
      </c>
      <c r="I18" s="28" t="n"/>
      <c r="J18" s="28" t="n"/>
      <c r="K18" s="26" t="n"/>
      <c r="L18" s="26" t="n"/>
    </row>
    <row r="19">
      <c r="A19" s="26" t="n"/>
      <c r="B19" s="27">
        <f>IFERROR(VLOOKUP(A19,'Source Inventory'!A:B,2,FALSE),"")</f>
        <v/>
      </c>
      <c r="C19" s="28" t="n"/>
      <c r="D19" s="28" t="n"/>
      <c r="E19" s="28" t="n"/>
      <c r="F19" s="28" t="n"/>
      <c r="G19" s="41" t="n"/>
      <c r="H19" s="47">
        <f>IF(G19="","",G19+365)</f>
        <v/>
      </c>
      <c r="I19" s="28" t="n"/>
      <c r="J19" s="28" t="n"/>
      <c r="K19" s="26" t="n"/>
      <c r="L19" s="26" t="n"/>
    </row>
    <row r="20">
      <c r="A20" s="26" t="n"/>
      <c r="B20" s="27">
        <f>IFERROR(VLOOKUP(A20,'Source Inventory'!A:B,2,FALSE),"")</f>
        <v/>
      </c>
      <c r="C20" s="28" t="n"/>
      <c r="D20" s="28" t="n"/>
      <c r="E20" s="28" t="n"/>
      <c r="F20" s="28" t="n"/>
      <c r="G20" s="41" t="n"/>
      <c r="H20" s="47">
        <f>IF(G20="","",G20+365)</f>
        <v/>
      </c>
      <c r="I20" s="28" t="n"/>
      <c r="J20" s="28" t="n"/>
      <c r="K20" s="26" t="n"/>
      <c r="L20" s="26" t="n"/>
    </row>
    <row r="21">
      <c r="A21" s="26" t="n"/>
      <c r="B21" s="27">
        <f>IFERROR(VLOOKUP(A21,'Source Inventory'!A:B,2,FALSE),"")</f>
        <v/>
      </c>
      <c r="C21" s="28" t="n"/>
      <c r="D21" s="28" t="n"/>
      <c r="E21" s="28" t="n"/>
      <c r="F21" s="28" t="n"/>
      <c r="G21" s="41" t="n"/>
      <c r="H21" s="47">
        <f>IF(G21="","",G21+365)</f>
        <v/>
      </c>
      <c r="I21" s="28" t="n"/>
      <c r="J21" s="28" t="n"/>
      <c r="K21" s="26" t="n"/>
      <c r="L21" s="26" t="n"/>
    </row>
    <row r="22">
      <c r="A22" s="26" t="n"/>
      <c r="B22" s="27">
        <f>IFERROR(VLOOKUP(A22,'Source Inventory'!A:B,2,FALSE),"")</f>
        <v/>
      </c>
      <c r="C22" s="28" t="n"/>
      <c r="D22" s="28" t="n"/>
      <c r="E22" s="28" t="n"/>
      <c r="F22" s="28" t="n"/>
      <c r="G22" s="41" t="n"/>
      <c r="H22" s="47">
        <f>IF(G22="","",G22+365)</f>
        <v/>
      </c>
      <c r="I22" s="28" t="n"/>
      <c r="J22" s="28" t="n"/>
      <c r="K22" s="26" t="n"/>
      <c r="L22" s="26" t="n"/>
    </row>
    <row r="23">
      <c r="A23" s="26" t="n"/>
      <c r="B23" s="27">
        <f>IFERROR(VLOOKUP(A23,'Source Inventory'!A:B,2,FALSE),"")</f>
        <v/>
      </c>
      <c r="C23" s="28" t="n"/>
      <c r="D23" s="28" t="n"/>
      <c r="E23" s="28" t="n"/>
      <c r="F23" s="28" t="n"/>
      <c r="G23" s="41" t="n"/>
      <c r="H23" s="47">
        <f>IF(G23="","",G23+365)</f>
        <v/>
      </c>
      <c r="I23" s="28" t="n"/>
      <c r="J23" s="28" t="n"/>
      <c r="K23" s="26" t="n"/>
      <c r="L23" s="26" t="n"/>
    </row>
    <row r="24">
      <c r="A24" s="26" t="n"/>
      <c r="B24" s="27">
        <f>IFERROR(VLOOKUP(A24,'Source Inventory'!A:B,2,FALSE),"")</f>
        <v/>
      </c>
      <c r="C24" s="28" t="n"/>
      <c r="D24" s="28" t="n"/>
      <c r="E24" s="28" t="n"/>
      <c r="F24" s="28" t="n"/>
      <c r="G24" s="41" t="n"/>
      <c r="H24" s="47">
        <f>IF(G24="","",G24+365)</f>
        <v/>
      </c>
      <c r="I24" s="28" t="n"/>
      <c r="J24" s="28" t="n"/>
      <c r="K24" s="26" t="n"/>
      <c r="L24" s="26" t="n"/>
    </row>
    <row r="25">
      <c r="A25" s="26" t="n"/>
      <c r="B25" s="27">
        <f>IFERROR(VLOOKUP(A25,'Source Inventory'!A:B,2,FALSE),"")</f>
        <v/>
      </c>
      <c r="C25" s="28" t="n"/>
      <c r="D25" s="28" t="n"/>
      <c r="E25" s="28" t="n"/>
      <c r="F25" s="28" t="n"/>
      <c r="G25" s="41" t="n"/>
      <c r="H25" s="47">
        <f>IF(G25="","",G25+365)</f>
        <v/>
      </c>
      <c r="I25" s="28" t="n"/>
      <c r="J25" s="28" t="n"/>
      <c r="K25" s="26" t="n"/>
      <c r="L25" s="26" t="n"/>
    </row>
    <row r="26">
      <c r="A26" s="26" t="n"/>
      <c r="B26" s="27">
        <f>IFERROR(VLOOKUP(A26,'Source Inventory'!A:B,2,FALSE),"")</f>
        <v/>
      </c>
      <c r="C26" s="28" t="n"/>
      <c r="D26" s="28" t="n"/>
      <c r="E26" s="28" t="n"/>
      <c r="F26" s="28" t="n"/>
      <c r="G26" s="41" t="n"/>
      <c r="H26" s="47">
        <f>IF(G26="","",G26+365)</f>
        <v/>
      </c>
      <c r="I26" s="28" t="n"/>
      <c r="J26" s="28" t="n"/>
      <c r="K26" s="26" t="n"/>
      <c r="L26" s="26" t="n"/>
    </row>
    <row r="27">
      <c r="A27" s="26" t="n"/>
      <c r="B27" s="27">
        <f>IFERROR(VLOOKUP(A27,'Source Inventory'!A:B,2,FALSE),"")</f>
        <v/>
      </c>
      <c r="C27" s="28" t="n"/>
      <c r="D27" s="28" t="n"/>
      <c r="E27" s="28" t="n"/>
      <c r="F27" s="28" t="n"/>
      <c r="G27" s="41" t="n"/>
      <c r="H27" s="47">
        <f>IF(G27="","",G27+365)</f>
        <v/>
      </c>
      <c r="I27" s="28" t="n"/>
      <c r="J27" s="28" t="n"/>
      <c r="K27" s="26" t="n"/>
      <c r="L27" s="26" t="n"/>
    </row>
    <row r="28">
      <c r="A28" s="26" t="n"/>
      <c r="B28" s="27">
        <f>IFERROR(VLOOKUP(A28,'Source Inventory'!A:B,2,FALSE),"")</f>
        <v/>
      </c>
      <c r="C28" s="28" t="n"/>
      <c r="D28" s="28" t="n"/>
      <c r="E28" s="28" t="n"/>
      <c r="F28" s="28" t="n"/>
      <c r="G28" s="41" t="n"/>
      <c r="H28" s="47">
        <f>IF(G28="","",G28+365)</f>
        <v/>
      </c>
      <c r="I28" s="28" t="n"/>
      <c r="J28" s="28" t="n"/>
      <c r="K28" s="26" t="n"/>
      <c r="L28" s="26" t="n"/>
    </row>
    <row r="29">
      <c r="A29" s="26" t="n"/>
      <c r="B29" s="27">
        <f>IFERROR(VLOOKUP(A29,'Source Inventory'!A:B,2,FALSE),"")</f>
        <v/>
      </c>
      <c r="C29" s="28" t="n"/>
      <c r="D29" s="28" t="n"/>
      <c r="E29" s="28" t="n"/>
      <c r="F29" s="28" t="n"/>
      <c r="G29" s="41" t="n"/>
      <c r="H29" s="47">
        <f>IF(G29="","",G29+365)</f>
        <v/>
      </c>
      <c r="I29" s="28" t="n"/>
      <c r="J29" s="28" t="n"/>
      <c r="K29" s="26" t="n"/>
      <c r="L29" s="26" t="n"/>
    </row>
    <row r="30">
      <c r="A30" s="26" t="n"/>
      <c r="B30" s="27">
        <f>IFERROR(VLOOKUP(A30,'Source Inventory'!A:B,2,FALSE),"")</f>
        <v/>
      </c>
      <c r="C30" s="28" t="n"/>
      <c r="D30" s="28" t="n"/>
      <c r="E30" s="28" t="n"/>
      <c r="F30" s="28" t="n"/>
      <c r="G30" s="41" t="n"/>
      <c r="H30" s="47">
        <f>IF(G30="","",G30+365)</f>
        <v/>
      </c>
      <c r="I30" s="28" t="n"/>
      <c r="J30" s="28" t="n"/>
      <c r="K30" s="26" t="n"/>
      <c r="L30" s="26" t="n"/>
    </row>
    <row r="31">
      <c r="A31" s="26" t="n"/>
      <c r="B31" s="27">
        <f>IFERROR(VLOOKUP(A31,'Source Inventory'!A:B,2,FALSE),"")</f>
        <v/>
      </c>
      <c r="C31" s="28" t="n"/>
      <c r="D31" s="28" t="n"/>
      <c r="E31" s="28" t="n"/>
      <c r="F31" s="28" t="n"/>
      <c r="G31" s="41" t="n"/>
      <c r="H31" s="47">
        <f>IF(G31="","",G31+365)</f>
        <v/>
      </c>
      <c r="I31" s="28" t="n"/>
      <c r="J31" s="28" t="n"/>
      <c r="K31" s="26" t="n"/>
      <c r="L31" s="26" t="n"/>
    </row>
    <row r="32">
      <c r="A32" s="26" t="n"/>
      <c r="B32" s="27">
        <f>IFERROR(VLOOKUP(A32,'Source Inventory'!A:B,2,FALSE),"")</f>
        <v/>
      </c>
      <c r="C32" s="28" t="n"/>
      <c r="D32" s="28" t="n"/>
      <c r="E32" s="28" t="n"/>
      <c r="F32" s="28" t="n"/>
      <c r="G32" s="41" t="n"/>
      <c r="H32" s="47">
        <f>IF(G32="","",G32+365)</f>
        <v/>
      </c>
      <c r="I32" s="28" t="n"/>
      <c r="J32" s="28" t="n"/>
      <c r="K32" s="26" t="n"/>
      <c r="L32" s="26" t="n"/>
    </row>
    <row r="33">
      <c r="A33" s="26" t="n"/>
      <c r="B33" s="27">
        <f>IFERROR(VLOOKUP(A33,'Source Inventory'!A:B,2,FALSE),"")</f>
        <v/>
      </c>
      <c r="C33" s="28" t="n"/>
      <c r="D33" s="28" t="n"/>
      <c r="E33" s="28" t="n"/>
      <c r="F33" s="28" t="n"/>
      <c r="G33" s="41" t="n"/>
      <c r="H33" s="47">
        <f>IF(G33="","",G33+365)</f>
        <v/>
      </c>
      <c r="I33" s="28" t="n"/>
      <c r="J33" s="28" t="n"/>
      <c r="K33" s="26" t="n"/>
      <c r="L33" s="26" t="n"/>
    </row>
    <row r="34">
      <c r="A34" s="26" t="n"/>
      <c r="B34" s="27">
        <f>IFERROR(VLOOKUP(A34,'Source Inventory'!A:B,2,FALSE),"")</f>
        <v/>
      </c>
      <c r="C34" s="28" t="n"/>
      <c r="D34" s="28" t="n"/>
      <c r="E34" s="28" t="n"/>
      <c r="F34" s="28" t="n"/>
      <c r="G34" s="41" t="n"/>
      <c r="H34" s="47">
        <f>IF(G34="","",G34+365)</f>
        <v/>
      </c>
      <c r="I34" s="28" t="n"/>
      <c r="J34" s="28" t="n"/>
      <c r="K34" s="26" t="n"/>
      <c r="L34" s="26" t="n"/>
    </row>
    <row r="35">
      <c r="A35" s="26" t="n"/>
      <c r="B35" s="27">
        <f>IFERROR(VLOOKUP(A35,'Source Inventory'!A:B,2,FALSE),"")</f>
        <v/>
      </c>
      <c r="C35" s="28" t="n"/>
      <c r="D35" s="28" t="n"/>
      <c r="E35" s="28" t="n"/>
      <c r="F35" s="28" t="n"/>
      <c r="G35" s="41" t="n"/>
      <c r="H35" s="47">
        <f>IF(G35="","",G35+365)</f>
        <v/>
      </c>
      <c r="I35" s="28" t="n"/>
      <c r="J35" s="28" t="n"/>
      <c r="K35" s="26" t="n"/>
      <c r="L35" s="26" t="n"/>
    </row>
    <row r="36">
      <c r="A36" s="26" t="n"/>
      <c r="B36" s="27">
        <f>IFERROR(VLOOKUP(A36,'Source Inventory'!A:B,2,FALSE),"")</f>
        <v/>
      </c>
      <c r="C36" s="28" t="n"/>
      <c r="D36" s="28" t="n"/>
      <c r="E36" s="28" t="n"/>
      <c r="F36" s="28" t="n"/>
      <c r="G36" s="41" t="n"/>
      <c r="H36" s="47">
        <f>IF(G36="","",G36+365)</f>
        <v/>
      </c>
      <c r="I36" s="28" t="n"/>
      <c r="J36" s="28" t="n"/>
      <c r="K36" s="26" t="n"/>
      <c r="L36" s="26" t="n"/>
    </row>
    <row r="37">
      <c r="A37" s="26" t="n"/>
      <c r="B37" s="27">
        <f>IFERROR(VLOOKUP(A37,'Source Inventory'!A:B,2,FALSE),"")</f>
        <v/>
      </c>
      <c r="C37" s="28" t="n"/>
      <c r="D37" s="28" t="n"/>
      <c r="E37" s="28" t="n"/>
      <c r="F37" s="28" t="n"/>
      <c r="G37" s="41" t="n"/>
      <c r="H37" s="47">
        <f>IF(G37="","",G37+365)</f>
        <v/>
      </c>
      <c r="I37" s="28" t="n"/>
      <c r="J37" s="28" t="n"/>
      <c r="K37" s="26" t="n"/>
      <c r="L37" s="26" t="n"/>
    </row>
    <row r="38">
      <c r="A38" s="26" t="n"/>
      <c r="B38" s="27">
        <f>IFERROR(VLOOKUP(A38,'Source Inventory'!A:B,2,FALSE),"")</f>
        <v/>
      </c>
      <c r="C38" s="28" t="n"/>
      <c r="D38" s="28" t="n"/>
      <c r="E38" s="28" t="n"/>
      <c r="F38" s="28" t="n"/>
      <c r="G38" s="41" t="n"/>
      <c r="H38" s="47">
        <f>IF(G38="","",G38+365)</f>
        <v/>
      </c>
      <c r="I38" s="28" t="n"/>
      <c r="J38" s="28" t="n"/>
      <c r="K38" s="26" t="n"/>
      <c r="L38" s="26" t="n"/>
    </row>
    <row r="39">
      <c r="A39" s="26" t="n"/>
      <c r="B39" s="27">
        <f>IFERROR(VLOOKUP(A39,'Source Inventory'!A:B,2,FALSE),"")</f>
        <v/>
      </c>
      <c r="C39" s="28" t="n"/>
      <c r="D39" s="28" t="n"/>
      <c r="E39" s="28" t="n"/>
      <c r="F39" s="28" t="n"/>
      <c r="G39" s="41" t="n"/>
      <c r="H39" s="47">
        <f>IF(G39="","",G39+365)</f>
        <v/>
      </c>
      <c r="I39" s="28" t="n"/>
      <c r="J39" s="28" t="n"/>
      <c r="K39" s="26" t="n"/>
      <c r="L39" s="26" t="n"/>
    </row>
    <row r="40">
      <c r="A40" s="26" t="n"/>
      <c r="B40" s="27">
        <f>IFERROR(VLOOKUP(A40,'Source Inventory'!A:B,2,FALSE),"")</f>
        <v/>
      </c>
      <c r="C40" s="28" t="n"/>
      <c r="D40" s="28" t="n"/>
      <c r="E40" s="28" t="n"/>
      <c r="F40" s="28" t="n"/>
      <c r="G40" s="41" t="n"/>
      <c r="H40" s="47">
        <f>IF(G40="","",G40+365)</f>
        <v/>
      </c>
      <c r="I40" s="28" t="n"/>
      <c r="J40" s="28" t="n"/>
      <c r="K40" s="26" t="n"/>
      <c r="L40" s="26" t="n"/>
    </row>
    <row r="41">
      <c r="A41" s="26" t="n"/>
      <c r="B41" s="27">
        <f>IFERROR(VLOOKUP(A41,'Source Inventory'!A:B,2,FALSE),"")</f>
        <v/>
      </c>
      <c r="C41" s="28" t="n"/>
      <c r="D41" s="28" t="n"/>
      <c r="E41" s="28" t="n"/>
      <c r="F41" s="28" t="n"/>
      <c r="G41" s="41" t="n"/>
      <c r="H41" s="47">
        <f>IF(G41="","",G41+365)</f>
        <v/>
      </c>
      <c r="I41" s="28" t="n"/>
      <c r="J41" s="28" t="n"/>
      <c r="K41" s="26" t="n"/>
      <c r="L41" s="26" t="n"/>
    </row>
    <row r="42">
      <c r="A42" s="26" t="n"/>
      <c r="B42" s="27">
        <f>IFERROR(VLOOKUP(A42,'Source Inventory'!A:B,2,FALSE),"")</f>
        <v/>
      </c>
      <c r="C42" s="28" t="n"/>
      <c r="D42" s="28" t="n"/>
      <c r="E42" s="28" t="n"/>
      <c r="F42" s="28" t="n"/>
      <c r="G42" s="41" t="n"/>
      <c r="H42" s="47">
        <f>IF(G42="","",G42+365)</f>
        <v/>
      </c>
      <c r="I42" s="28" t="n"/>
      <c r="J42" s="28" t="n"/>
      <c r="K42" s="26" t="n"/>
      <c r="L42" s="26" t="n"/>
    </row>
    <row r="43">
      <c r="A43" s="26" t="n"/>
      <c r="B43" s="27">
        <f>IFERROR(VLOOKUP(A43,'Source Inventory'!A:B,2,FALSE),"")</f>
        <v/>
      </c>
      <c r="C43" s="28" t="n"/>
      <c r="D43" s="28" t="n"/>
      <c r="E43" s="28" t="n"/>
      <c r="F43" s="28" t="n"/>
      <c r="G43" s="41" t="n"/>
      <c r="H43" s="47">
        <f>IF(G43="","",G43+365)</f>
        <v/>
      </c>
      <c r="I43" s="28" t="n"/>
      <c r="J43" s="28" t="n"/>
      <c r="K43" s="26" t="n"/>
      <c r="L43" s="26" t="n"/>
    </row>
    <row r="44">
      <c r="A44" s="26" t="n"/>
      <c r="B44" s="27">
        <f>IFERROR(VLOOKUP(A44,'Source Inventory'!A:B,2,FALSE),"")</f>
        <v/>
      </c>
      <c r="C44" s="28" t="n"/>
      <c r="D44" s="28" t="n"/>
      <c r="E44" s="28" t="n"/>
      <c r="F44" s="28" t="n"/>
      <c r="G44" s="41" t="n"/>
      <c r="H44" s="47">
        <f>IF(G44="","",G44+365)</f>
        <v/>
      </c>
      <c r="I44" s="28" t="n"/>
      <c r="J44" s="28" t="n"/>
      <c r="K44" s="26" t="n"/>
      <c r="L44" s="26" t="n"/>
    </row>
    <row r="45">
      <c r="A45" s="26" t="n"/>
      <c r="B45" s="27">
        <f>IFERROR(VLOOKUP(A45,'Source Inventory'!A:B,2,FALSE),"")</f>
        <v/>
      </c>
      <c r="C45" s="28" t="n"/>
      <c r="D45" s="28" t="n"/>
      <c r="E45" s="28" t="n"/>
      <c r="F45" s="28" t="n"/>
      <c r="G45" s="41" t="n"/>
      <c r="H45" s="47">
        <f>IF(G45="","",G45+365)</f>
        <v/>
      </c>
      <c r="I45" s="28" t="n"/>
      <c r="J45" s="28" t="n"/>
      <c r="K45" s="26" t="n"/>
      <c r="L45" s="26" t="n"/>
    </row>
    <row r="46">
      <c r="A46" s="26" t="n"/>
      <c r="B46" s="27">
        <f>IFERROR(VLOOKUP(A46,'Source Inventory'!A:B,2,FALSE),"")</f>
        <v/>
      </c>
      <c r="C46" s="28" t="n"/>
      <c r="D46" s="28" t="n"/>
      <c r="E46" s="28" t="n"/>
      <c r="F46" s="28" t="n"/>
      <c r="G46" s="41" t="n"/>
      <c r="H46" s="47">
        <f>IF(G46="","",G46+365)</f>
        <v/>
      </c>
      <c r="I46" s="28" t="n"/>
      <c r="J46" s="28" t="n"/>
      <c r="K46" s="26" t="n"/>
      <c r="L46" s="26" t="n"/>
    </row>
    <row r="47">
      <c r="A47" s="26" t="n"/>
      <c r="B47" s="27">
        <f>IFERROR(VLOOKUP(A47,'Source Inventory'!A:B,2,FALSE),"")</f>
        <v/>
      </c>
      <c r="C47" s="28" t="n"/>
      <c r="D47" s="28" t="n"/>
      <c r="E47" s="28" t="n"/>
      <c r="F47" s="28" t="n"/>
      <c r="G47" s="41" t="n"/>
      <c r="H47" s="47">
        <f>IF(G47="","",G47+365)</f>
        <v/>
      </c>
      <c r="I47" s="28" t="n"/>
      <c r="J47" s="28" t="n"/>
      <c r="K47" s="26" t="n"/>
      <c r="L47" s="26" t="n"/>
    </row>
    <row r="48">
      <c r="A48" s="26" t="n"/>
      <c r="B48" s="27">
        <f>IFERROR(VLOOKUP(A48,'Source Inventory'!A:B,2,FALSE),"")</f>
        <v/>
      </c>
      <c r="C48" s="28" t="n"/>
      <c r="D48" s="28" t="n"/>
      <c r="E48" s="28" t="n"/>
      <c r="F48" s="28" t="n"/>
      <c r="G48" s="41" t="n"/>
      <c r="H48" s="47">
        <f>IF(G48="","",G48+365)</f>
        <v/>
      </c>
      <c r="I48" s="28" t="n"/>
      <c r="J48" s="28" t="n"/>
      <c r="K48" s="26" t="n"/>
      <c r="L48" s="26" t="n"/>
    </row>
    <row r="49">
      <c r="A49" s="26" t="n"/>
      <c r="B49" s="27">
        <f>IFERROR(VLOOKUP(A49,'Source Inventory'!A:B,2,FALSE),"")</f>
        <v/>
      </c>
      <c r="C49" s="28" t="n"/>
      <c r="D49" s="28" t="n"/>
      <c r="E49" s="28" t="n"/>
      <c r="F49" s="28" t="n"/>
      <c r="G49" s="41" t="n"/>
      <c r="H49" s="47">
        <f>IF(G49="","",G49+365)</f>
        <v/>
      </c>
      <c r="I49" s="28" t="n"/>
      <c r="J49" s="28" t="n"/>
      <c r="K49" s="26" t="n"/>
      <c r="L49" s="26" t="n"/>
    </row>
    <row r="50">
      <c r="A50" s="26" t="n"/>
      <c r="B50" s="27">
        <f>IFERROR(VLOOKUP(A50,'Source Inventory'!A:B,2,FALSE),"")</f>
        <v/>
      </c>
      <c r="C50" s="28" t="n"/>
      <c r="D50" s="28" t="n"/>
      <c r="E50" s="28" t="n"/>
      <c r="F50" s="28" t="n"/>
      <c r="G50" s="41" t="n"/>
      <c r="H50" s="47">
        <f>IF(G50="","",G50+365)</f>
        <v/>
      </c>
      <c r="I50" s="28" t="n"/>
      <c r="J50" s="28" t="n"/>
      <c r="K50" s="26" t="n"/>
      <c r="L50" s="26" t="n"/>
    </row>
    <row r="51">
      <c r="A51" s="26" t="n"/>
      <c r="B51" s="27">
        <f>IFERROR(VLOOKUP(A51,'Source Inventory'!A:B,2,FALSE),"")</f>
        <v/>
      </c>
      <c r="C51" s="28" t="n"/>
      <c r="D51" s="28" t="n"/>
      <c r="E51" s="28" t="n"/>
      <c r="F51" s="28" t="n"/>
      <c r="G51" s="41" t="n"/>
      <c r="H51" s="47">
        <f>IF(G51="","",G51+365)</f>
        <v/>
      </c>
      <c r="I51" s="28" t="n"/>
      <c r="J51" s="28" t="n"/>
      <c r="K51" s="26" t="n"/>
      <c r="L51" s="26" t="n"/>
    </row>
    <row r="52">
      <c r="A52" s="26" t="n"/>
      <c r="B52" s="27">
        <f>IFERROR(VLOOKUP(A52,'Source Inventory'!A:B,2,FALSE),"")</f>
        <v/>
      </c>
      <c r="C52" s="28" t="n"/>
      <c r="D52" s="28" t="n"/>
      <c r="E52" s="28" t="n"/>
      <c r="F52" s="28" t="n"/>
      <c r="G52" s="41" t="n"/>
      <c r="H52" s="47">
        <f>IF(G52="","",G52+365)</f>
        <v/>
      </c>
      <c r="I52" s="28" t="n"/>
      <c r="J52" s="28" t="n"/>
      <c r="K52" s="26" t="n"/>
      <c r="L52" s="26" t="n"/>
    </row>
    <row r="53">
      <c r="A53" s="26" t="n"/>
      <c r="B53" s="27">
        <f>IFERROR(VLOOKUP(A53,'Source Inventory'!A:B,2,FALSE),"")</f>
        <v/>
      </c>
      <c r="C53" s="28" t="n"/>
      <c r="D53" s="28" t="n"/>
      <c r="E53" s="28" t="n"/>
      <c r="F53" s="28" t="n"/>
      <c r="G53" s="41" t="n"/>
      <c r="H53" s="47">
        <f>IF(G53="","",G53+365)</f>
        <v/>
      </c>
      <c r="I53" s="28" t="n"/>
      <c r="J53" s="28" t="n"/>
      <c r="K53" s="26" t="n"/>
      <c r="L53" s="26" t="n"/>
    </row>
    <row r="54">
      <c r="A54" s="26" t="n"/>
      <c r="B54" s="27">
        <f>IFERROR(VLOOKUP(A54,'Source Inventory'!A:B,2,FALSE),"")</f>
        <v/>
      </c>
      <c r="C54" s="28" t="n"/>
      <c r="D54" s="28" t="n"/>
      <c r="E54" s="28" t="n"/>
      <c r="F54" s="28" t="n"/>
      <c r="G54" s="41" t="n"/>
      <c r="H54" s="47">
        <f>IF(G54="","",G54+365)</f>
        <v/>
      </c>
      <c r="I54" s="28" t="n"/>
      <c r="J54" s="28" t="n"/>
      <c r="K54" s="26" t="n"/>
      <c r="L54" s="26" t="n"/>
    </row>
    <row r="55">
      <c r="A55" s="26" t="n"/>
      <c r="B55" s="27">
        <f>IFERROR(VLOOKUP(A55,'Source Inventory'!A:B,2,FALSE),"")</f>
        <v/>
      </c>
      <c r="C55" s="28" t="n"/>
      <c r="D55" s="28" t="n"/>
      <c r="E55" s="28" t="n"/>
      <c r="F55" s="28" t="n"/>
      <c r="G55" s="41" t="n"/>
      <c r="H55" s="47">
        <f>IF(G55="","",G55+365)</f>
        <v/>
      </c>
      <c r="I55" s="28" t="n"/>
      <c r="J55" s="28" t="n"/>
      <c r="K55" s="26" t="n"/>
      <c r="L55" s="26" t="n"/>
    </row>
    <row r="57">
      <c r="A57" s="31" t="inlineStr">
        <is>
          <t>COMPLIANCE SUMMARY</t>
        </is>
      </c>
    </row>
    <row r="58">
      <c r="A58" s="42" t="inlineStr">
        <is>
          <t>Sources Handling PII:</t>
        </is>
      </c>
      <c r="B58" s="42">
        <f>COUNTIF(C6:C55,"Yes")</f>
        <v/>
      </c>
    </row>
    <row r="59">
      <c r="A59" s="42" t="inlineStr">
        <is>
          <t>DPAs in Place:</t>
        </is>
      </c>
      <c r="B59" s="48">
        <f>COUNTIF(F6:F55,"Yes")</f>
        <v/>
      </c>
    </row>
    <row r="60">
      <c r="A60" s="42" t="inlineStr">
        <is>
          <t>DPAs Missing:</t>
        </is>
      </c>
      <c r="B60" s="49">
        <f>COUNTIFS(C6:C55,"Yes",F6:F55,"No")</f>
        <v/>
      </c>
    </row>
    <row r="61">
      <c r="A61" s="42" t="inlineStr">
        <is>
          <t>Compliant Sources:</t>
        </is>
      </c>
      <c r="B61" s="48">
        <f>COUNTIF(K6:K55,"Compliant")</f>
        <v/>
      </c>
    </row>
    <row r="62">
      <c r="A62" s="42" t="inlineStr">
        <is>
          <t>Non-Compliant:</t>
        </is>
      </c>
      <c r="B62" s="49">
        <f>COUNTIF(K6:K55,"Non_Compliant")</f>
        <v/>
      </c>
    </row>
    <row r="63">
      <c r="A63" s="42" t="inlineStr">
        <is>
          <t>Under Review:</t>
        </is>
      </c>
      <c r="B63" s="50">
        <f>COUNTIF(K6:K55,"Under_Review")</f>
        <v/>
      </c>
    </row>
  </sheetData>
  <mergeCells count="3">
    <mergeCell ref="A2:L2"/>
    <mergeCell ref="A1:L1"/>
    <mergeCell ref="A57:E57"/>
  </mergeCells>
  <conditionalFormatting sqref="K6:K55">
    <cfRule type="cellIs" priority="1" operator="equal" dxfId="0">
      <formula>"Compliant"</formula>
    </cfRule>
    <cfRule type="cellIs" priority="2" operator="equal" dxfId="4">
      <formula>"Non_Compliant"</formula>
    </cfRule>
    <cfRule type="cellIs" priority="3" operator="equal" dxfId="2">
      <formula>"Under_Review"</formula>
    </cfRule>
    <cfRule type="cellIs" priority="4" operator="equal" dxfId="5">
      <formula>"Not_Applicable"</formula>
    </cfRule>
  </conditionalFormatting>
  <conditionalFormatting sqref="H6:H55">
    <cfRule type="cellIs" priority="5" operator="between" dxfId="2">
      <formula>TODAY()</formula>
      <formula>TODAY()+30</formula>
    </cfRule>
  </conditionalFormatting>
  <dataValidations count="2">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 Compliant,❌ Non_Compliant,⚠ Under_Review,— Not_Applicable"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8" customWidth="1" min="3" max="3"/>
    <col width="40" customWidth="1" min="4" max="4"/>
    <col width="20" customWidth="1" min="5" max="5"/>
    <col width="12" customWidth="1" min="6" max="6"/>
    <col width="25" customWidth="1" min="7" max="7"/>
    <col width="15" customWidth="1" min="8" max="8"/>
    <col width="15" customWidth="1" min="9" max="9"/>
    <col width="30" customWidth="1" min="10" max="10"/>
    <col width="15" customWidth="1" min="11" max="11"/>
    <col width="30" customWidth="1" min="12" max="12"/>
    <col width="15" customWidth="1" min="13" max="13"/>
    <col width="25" customWidth="1" min="14" max="14"/>
    <col width="15" customWidth="1" min="15" max="15"/>
  </cols>
  <sheetData>
    <row r="1" ht="35" customHeight="1">
      <c r="A1" s="51" t="inlineStr">
        <is>
          <t>ACTION ITEMS - REMEDIATION AND IMPROVEMENT TASKS</t>
        </is>
      </c>
      <c r="B1" s="6" t="n"/>
      <c r="C1" s="6" t="n"/>
      <c r="D1" s="6" t="n"/>
      <c r="E1" s="6" t="n"/>
      <c r="F1" s="6" t="n"/>
      <c r="G1" s="6" t="n"/>
      <c r="H1" s="6" t="n"/>
      <c r="I1" s="6" t="n"/>
      <c r="J1" s="6" t="n"/>
      <c r="K1" s="6" t="n"/>
      <c r="L1" s="6" t="n"/>
      <c r="M1" s="6" t="n"/>
      <c r="N1" s="6" t="n"/>
      <c r="O1" s="6" t="n"/>
    </row>
    <row r="2">
      <c r="A2" s="17" t="inlineStr">
        <is>
          <t>ISO/IEC 27001:2022 | Control A.5.7 | Track remediation tasks and improvements for all threat intelligence source issues</t>
        </is>
      </c>
    </row>
    <row r="4">
      <c r="A4" s="13" t="inlineStr">
        <is>
          <t>Action ID</t>
        </is>
      </c>
      <c r="B4" s="13" t="inlineStr">
        <is>
          <t>Source ID</t>
        </is>
      </c>
      <c r="C4" s="13" t="inlineStr">
        <is>
          <t>Issue Type</t>
        </is>
      </c>
      <c r="D4" s="13" t="inlineStr">
        <is>
          <t>Issue Description</t>
        </is>
      </c>
      <c r="E4" s="13" t="inlineStr">
        <is>
          <t>Detected In Sheet</t>
        </is>
      </c>
      <c r="F4" s="13" t="inlineStr">
        <is>
          <t>Priority</t>
        </is>
      </c>
      <c r="G4" s="13" t="inlineStr">
        <is>
          <t>Assigned To</t>
        </is>
      </c>
      <c r="H4" s="13" t="inlineStr">
        <is>
          <t>Due Date</t>
        </is>
      </c>
      <c r="I4" s="13" t="inlineStr">
        <is>
          <t>Status</t>
        </is>
      </c>
      <c r="J4" s="13" t="inlineStr">
        <is>
          <t>Status Notes</t>
        </is>
      </c>
      <c r="K4" s="13" t="inlineStr">
        <is>
          <t>Resolution Date</t>
        </is>
      </c>
      <c r="L4" s="13" t="inlineStr">
        <is>
          <t>Evidence Link</t>
        </is>
      </c>
      <c r="M4" s="13" t="inlineStr">
        <is>
          <t>Created Date</t>
        </is>
      </c>
      <c r="N4" s="13" t="inlineStr">
        <is>
          <t>Created By</t>
        </is>
      </c>
      <c r="O4" s="13" t="inlineStr">
        <is>
          <t>Last Updated</t>
        </is>
      </c>
    </row>
    <row r="5">
      <c r="A5" s="52" t="inlineStr">
        <is>
          <t>ACT-NNN</t>
        </is>
      </c>
      <c r="B5" s="52" t="inlineStr">
        <is>
          <t>SRC-001</t>
        </is>
      </c>
      <c r="C5" s="52" t="inlineStr">
        <is>
          <t>Quality</t>
        </is>
      </c>
      <c r="D5" s="52" t="inlineStr">
        <is>
          <t>CVSS accuracy dropped below 85% threshold — source requires re-evaluation</t>
        </is>
      </c>
      <c r="E5" s="52" t="inlineStr">
        <is>
          <t>Source Evaluation</t>
        </is>
      </c>
      <c r="F5" s="52" t="inlineStr">
        <is>
          <t>High</t>
        </is>
      </c>
      <c r="G5" s="52" t="inlineStr">
        <is>
          <t>Security Analyst</t>
        </is>
      </c>
      <c r="H5" s="52" t="inlineStr">
        <is>
          <t>31.03.2025</t>
        </is>
      </c>
      <c r="I5" s="52" t="inlineStr">
        <is>
          <t>Open</t>
        </is>
      </c>
      <c r="J5" s="52" t="inlineStr">
        <is>
          <t>Vendor notified — awaiting corrected feed</t>
        </is>
      </c>
      <c r="K5" s="52" t="inlineStr"/>
      <c r="L5" s="52" t="inlineStr">
        <is>
          <t>/evidence/act_src001_quality.pdf</t>
        </is>
      </c>
      <c r="M5" s="52" t="inlineStr">
        <is>
          <t>15.01.2025</t>
        </is>
      </c>
      <c r="N5" s="52" t="inlineStr">
        <is>
          <t>CISO</t>
        </is>
      </c>
      <c r="O5" s="52" t="inlineStr">
        <is>
          <t>15.01.2025</t>
        </is>
      </c>
    </row>
    <row r="6">
      <c r="A6" s="53" t="n"/>
      <c r="B6" s="53" t="n"/>
      <c r="C6" s="53" t="n"/>
      <c r="D6" s="53" t="n"/>
      <c r="E6" s="53" t="n"/>
      <c r="F6" s="53" t="n"/>
      <c r="G6" s="53" t="n"/>
      <c r="H6" s="54" t="n"/>
      <c r="I6" s="53" t="n"/>
      <c r="J6" s="53" t="n"/>
      <c r="K6" s="54" t="n"/>
      <c r="L6" s="53" t="n"/>
      <c r="M6" s="54" t="n"/>
      <c r="N6" s="53" t="n"/>
      <c r="O6" s="54" t="n"/>
    </row>
    <row r="7">
      <c r="A7" s="53" t="n"/>
      <c r="B7" s="53" t="n"/>
      <c r="C7" s="53" t="n"/>
      <c r="D7" s="53" t="n"/>
      <c r="E7" s="53" t="n"/>
      <c r="F7" s="53" t="n"/>
      <c r="G7" s="53" t="n"/>
      <c r="H7" s="54" t="n"/>
      <c r="I7" s="53" t="n"/>
      <c r="J7" s="53" t="n"/>
      <c r="K7" s="54" t="n"/>
      <c r="L7" s="53" t="n"/>
      <c r="M7" s="54" t="n"/>
      <c r="N7" s="53" t="n"/>
      <c r="O7" s="54" t="n"/>
    </row>
    <row r="8">
      <c r="A8" s="53" t="n"/>
      <c r="B8" s="53" t="n"/>
      <c r="C8" s="53" t="n"/>
      <c r="D8" s="53" t="n"/>
      <c r="E8" s="53" t="n"/>
      <c r="F8" s="53" t="n"/>
      <c r="G8" s="53" t="n"/>
      <c r="H8" s="54" t="n"/>
      <c r="I8" s="53" t="n"/>
      <c r="J8" s="53" t="n"/>
      <c r="K8" s="54" t="n"/>
      <c r="L8" s="53" t="n"/>
      <c r="M8" s="54" t="n"/>
      <c r="N8" s="53" t="n"/>
      <c r="O8" s="54" t="n"/>
    </row>
    <row r="9">
      <c r="A9" s="53" t="n"/>
      <c r="B9" s="53" t="n"/>
      <c r="C9" s="53" t="n"/>
      <c r="D9" s="53" t="n"/>
      <c r="E9" s="53" t="n"/>
      <c r="F9" s="53" t="n"/>
      <c r="G9" s="53" t="n"/>
      <c r="H9" s="54" t="n"/>
      <c r="I9" s="53" t="n"/>
      <c r="J9" s="53" t="n"/>
      <c r="K9" s="54" t="n"/>
      <c r="L9" s="53" t="n"/>
      <c r="M9" s="54" t="n"/>
      <c r="N9" s="53" t="n"/>
      <c r="O9" s="54" t="n"/>
    </row>
    <row r="10">
      <c r="A10" s="53" t="n"/>
      <c r="B10" s="53" t="n"/>
      <c r="C10" s="53" t="n"/>
      <c r="D10" s="53" t="n"/>
      <c r="E10" s="53" t="n"/>
      <c r="F10" s="53" t="n"/>
      <c r="G10" s="53" t="n"/>
      <c r="H10" s="54" t="n"/>
      <c r="I10" s="53" t="n"/>
      <c r="J10" s="53" t="n"/>
      <c r="K10" s="54" t="n"/>
      <c r="L10" s="53" t="n"/>
      <c r="M10" s="54" t="n"/>
      <c r="N10" s="53" t="n"/>
      <c r="O10" s="54" t="n"/>
    </row>
    <row r="11">
      <c r="A11" s="53" t="n"/>
      <c r="B11" s="53" t="n"/>
      <c r="C11" s="53" t="n"/>
      <c r="D11" s="53" t="n"/>
      <c r="E11" s="53" t="n"/>
      <c r="F11" s="53" t="n"/>
      <c r="G11" s="53" t="n"/>
      <c r="H11" s="54" t="n"/>
      <c r="I11" s="53" t="n"/>
      <c r="J11" s="53" t="n"/>
      <c r="K11" s="54" t="n"/>
      <c r="L11" s="53" t="n"/>
      <c r="M11" s="54" t="n"/>
      <c r="N11" s="53" t="n"/>
      <c r="O11" s="54" t="n"/>
    </row>
    <row r="12">
      <c r="A12" s="53" t="n"/>
      <c r="B12" s="53" t="n"/>
      <c r="C12" s="53" t="n"/>
      <c r="D12" s="53" t="n"/>
      <c r="E12" s="53" t="n"/>
      <c r="F12" s="53" t="n"/>
      <c r="G12" s="53" t="n"/>
      <c r="H12" s="54" t="n"/>
      <c r="I12" s="53" t="n"/>
      <c r="J12" s="53" t="n"/>
      <c r="K12" s="54" t="n"/>
      <c r="L12" s="53" t="n"/>
      <c r="M12" s="54" t="n"/>
      <c r="N12" s="53" t="n"/>
      <c r="O12" s="54" t="n"/>
    </row>
    <row r="13">
      <c r="A13" s="53" t="n"/>
      <c r="B13" s="53" t="n"/>
      <c r="C13" s="53" t="n"/>
      <c r="D13" s="53" t="n"/>
      <c r="E13" s="53" t="n"/>
      <c r="F13" s="53" t="n"/>
      <c r="G13" s="53" t="n"/>
      <c r="H13" s="54" t="n"/>
      <c r="I13" s="53" t="n"/>
      <c r="J13" s="53" t="n"/>
      <c r="K13" s="54" t="n"/>
      <c r="L13" s="53" t="n"/>
      <c r="M13" s="54" t="n"/>
      <c r="N13" s="53" t="n"/>
      <c r="O13" s="54" t="n"/>
    </row>
    <row r="14">
      <c r="A14" s="53" t="n"/>
      <c r="B14" s="53" t="n"/>
      <c r="C14" s="53" t="n"/>
      <c r="D14" s="53" t="n"/>
      <c r="E14" s="53" t="n"/>
      <c r="F14" s="53" t="n"/>
      <c r="G14" s="53" t="n"/>
      <c r="H14" s="54" t="n"/>
      <c r="I14" s="53" t="n"/>
      <c r="J14" s="53" t="n"/>
      <c r="K14" s="54" t="n"/>
      <c r="L14" s="53" t="n"/>
      <c r="M14" s="54" t="n"/>
      <c r="N14" s="53" t="n"/>
      <c r="O14" s="54" t="n"/>
    </row>
    <row r="15">
      <c r="A15" s="53" t="n"/>
      <c r="B15" s="53" t="n"/>
      <c r="C15" s="53" t="n"/>
      <c r="D15" s="53" t="n"/>
      <c r="E15" s="53" t="n"/>
      <c r="F15" s="53" t="n"/>
      <c r="G15" s="53" t="n"/>
      <c r="H15" s="54" t="n"/>
      <c r="I15" s="53" t="n"/>
      <c r="J15" s="53" t="n"/>
      <c r="K15" s="54" t="n"/>
      <c r="L15" s="53" t="n"/>
      <c r="M15" s="54" t="n"/>
      <c r="N15" s="53" t="n"/>
      <c r="O15" s="54" t="n"/>
    </row>
    <row r="16">
      <c r="A16" s="53" t="n"/>
      <c r="B16" s="53" t="n"/>
      <c r="C16" s="53" t="n"/>
      <c r="D16" s="53" t="n"/>
      <c r="E16" s="53" t="n"/>
      <c r="F16" s="53" t="n"/>
      <c r="G16" s="53" t="n"/>
      <c r="H16" s="54" t="n"/>
      <c r="I16" s="53" t="n"/>
      <c r="J16" s="53" t="n"/>
      <c r="K16" s="54" t="n"/>
      <c r="L16" s="53" t="n"/>
      <c r="M16" s="54" t="n"/>
      <c r="N16" s="53" t="n"/>
      <c r="O16" s="54" t="n"/>
    </row>
    <row r="17">
      <c r="A17" s="53" t="n"/>
      <c r="B17" s="53" t="n"/>
      <c r="C17" s="53" t="n"/>
      <c r="D17" s="53" t="n"/>
      <c r="E17" s="53" t="n"/>
      <c r="F17" s="53" t="n"/>
      <c r="G17" s="53" t="n"/>
      <c r="H17" s="54" t="n"/>
      <c r="I17" s="53" t="n"/>
      <c r="J17" s="53" t="n"/>
      <c r="K17" s="54" t="n"/>
      <c r="L17" s="53" t="n"/>
      <c r="M17" s="54" t="n"/>
      <c r="N17" s="53" t="n"/>
      <c r="O17" s="54" t="n"/>
    </row>
    <row r="18">
      <c r="A18" s="53" t="n"/>
      <c r="B18" s="53" t="n"/>
      <c r="C18" s="53" t="n"/>
      <c r="D18" s="53" t="n"/>
      <c r="E18" s="53" t="n"/>
      <c r="F18" s="53" t="n"/>
      <c r="G18" s="53" t="n"/>
      <c r="H18" s="54" t="n"/>
      <c r="I18" s="53" t="n"/>
      <c r="J18" s="53" t="n"/>
      <c r="K18" s="54" t="n"/>
      <c r="L18" s="53" t="n"/>
      <c r="M18" s="54" t="n"/>
      <c r="N18" s="53" t="n"/>
      <c r="O18" s="54" t="n"/>
    </row>
    <row r="19">
      <c r="A19" s="53" t="n"/>
      <c r="B19" s="53" t="n"/>
      <c r="C19" s="53" t="n"/>
      <c r="D19" s="53" t="n"/>
      <c r="E19" s="53" t="n"/>
      <c r="F19" s="53" t="n"/>
      <c r="G19" s="53" t="n"/>
      <c r="H19" s="54" t="n"/>
      <c r="I19" s="53" t="n"/>
      <c r="J19" s="53" t="n"/>
      <c r="K19" s="54" t="n"/>
      <c r="L19" s="53" t="n"/>
      <c r="M19" s="54" t="n"/>
      <c r="N19" s="53" t="n"/>
      <c r="O19" s="54" t="n"/>
    </row>
    <row r="20">
      <c r="A20" s="53" t="n"/>
      <c r="B20" s="53" t="n"/>
      <c r="C20" s="53" t="n"/>
      <c r="D20" s="53" t="n"/>
      <c r="E20" s="53" t="n"/>
      <c r="F20" s="53" t="n"/>
      <c r="G20" s="53" t="n"/>
      <c r="H20" s="54" t="n"/>
      <c r="I20" s="53" t="n"/>
      <c r="J20" s="53" t="n"/>
      <c r="K20" s="54" t="n"/>
      <c r="L20" s="53" t="n"/>
      <c r="M20" s="54" t="n"/>
      <c r="N20" s="53" t="n"/>
      <c r="O20" s="54" t="n"/>
    </row>
    <row r="21">
      <c r="A21" s="53" t="n"/>
      <c r="B21" s="53" t="n"/>
      <c r="C21" s="53" t="n"/>
      <c r="D21" s="53" t="n"/>
      <c r="E21" s="53" t="n"/>
      <c r="F21" s="53" t="n"/>
      <c r="G21" s="53" t="n"/>
      <c r="H21" s="54" t="n"/>
      <c r="I21" s="53" t="n"/>
      <c r="J21" s="53" t="n"/>
      <c r="K21" s="54" t="n"/>
      <c r="L21" s="53" t="n"/>
      <c r="M21" s="54" t="n"/>
      <c r="N21" s="53" t="n"/>
      <c r="O21" s="54" t="n"/>
    </row>
    <row r="22">
      <c r="A22" s="53" t="n"/>
      <c r="B22" s="53" t="n"/>
      <c r="C22" s="53" t="n"/>
      <c r="D22" s="53" t="n"/>
      <c r="E22" s="53" t="n"/>
      <c r="F22" s="53" t="n"/>
      <c r="G22" s="53" t="n"/>
      <c r="H22" s="54" t="n"/>
      <c r="I22" s="53" t="n"/>
      <c r="J22" s="53" t="n"/>
      <c r="K22" s="54" t="n"/>
      <c r="L22" s="53" t="n"/>
      <c r="M22" s="54" t="n"/>
      <c r="N22" s="53" t="n"/>
      <c r="O22" s="54" t="n"/>
    </row>
    <row r="23">
      <c r="A23" s="53" t="n"/>
      <c r="B23" s="53" t="n"/>
      <c r="C23" s="53" t="n"/>
      <c r="D23" s="53" t="n"/>
      <c r="E23" s="53" t="n"/>
      <c r="F23" s="53" t="n"/>
      <c r="G23" s="53" t="n"/>
      <c r="H23" s="54" t="n"/>
      <c r="I23" s="53" t="n"/>
      <c r="J23" s="53" t="n"/>
      <c r="K23" s="54" t="n"/>
      <c r="L23" s="53" t="n"/>
      <c r="M23" s="54" t="n"/>
      <c r="N23" s="53" t="n"/>
      <c r="O23" s="54" t="n"/>
    </row>
    <row r="24">
      <c r="A24" s="53" t="n"/>
      <c r="B24" s="53" t="n"/>
      <c r="C24" s="53" t="n"/>
      <c r="D24" s="53" t="n"/>
      <c r="E24" s="53" t="n"/>
      <c r="F24" s="53" t="n"/>
      <c r="G24" s="53" t="n"/>
      <c r="H24" s="54" t="n"/>
      <c r="I24" s="53" t="n"/>
      <c r="J24" s="53" t="n"/>
      <c r="K24" s="54" t="n"/>
      <c r="L24" s="53" t="n"/>
      <c r="M24" s="54" t="n"/>
      <c r="N24" s="53" t="n"/>
      <c r="O24" s="54" t="n"/>
    </row>
    <row r="25">
      <c r="A25" s="53" t="n"/>
      <c r="B25" s="53" t="n"/>
      <c r="C25" s="53" t="n"/>
      <c r="D25" s="53" t="n"/>
      <c r="E25" s="53" t="n"/>
      <c r="F25" s="53" t="n"/>
      <c r="G25" s="53" t="n"/>
      <c r="H25" s="54" t="n"/>
      <c r="I25" s="53" t="n"/>
      <c r="J25" s="53" t="n"/>
      <c r="K25" s="54" t="n"/>
      <c r="L25" s="53" t="n"/>
      <c r="M25" s="54" t="n"/>
      <c r="N25" s="53" t="n"/>
      <c r="O25" s="54" t="n"/>
    </row>
    <row r="26">
      <c r="A26" s="53" t="n"/>
      <c r="B26" s="53" t="n"/>
      <c r="C26" s="53" t="n"/>
      <c r="D26" s="53" t="n"/>
      <c r="E26" s="53" t="n"/>
      <c r="F26" s="53" t="n"/>
      <c r="G26" s="53" t="n"/>
      <c r="H26" s="54" t="n"/>
      <c r="I26" s="53" t="n"/>
      <c r="J26" s="53" t="n"/>
      <c r="K26" s="54" t="n"/>
      <c r="L26" s="53" t="n"/>
      <c r="M26" s="54" t="n"/>
      <c r="N26" s="53" t="n"/>
      <c r="O26" s="54" t="n"/>
    </row>
    <row r="27">
      <c r="A27" s="53" t="n"/>
      <c r="B27" s="53" t="n"/>
      <c r="C27" s="53" t="n"/>
      <c r="D27" s="53" t="n"/>
      <c r="E27" s="53" t="n"/>
      <c r="F27" s="53" t="n"/>
      <c r="G27" s="53" t="n"/>
      <c r="H27" s="54" t="n"/>
      <c r="I27" s="53" t="n"/>
      <c r="J27" s="53" t="n"/>
      <c r="K27" s="54" t="n"/>
      <c r="L27" s="53" t="n"/>
      <c r="M27" s="54" t="n"/>
      <c r="N27" s="53" t="n"/>
      <c r="O27" s="54" t="n"/>
    </row>
    <row r="28">
      <c r="A28" s="53" t="n"/>
      <c r="B28" s="53" t="n"/>
      <c r="C28" s="53" t="n"/>
      <c r="D28" s="53" t="n"/>
      <c r="E28" s="53" t="n"/>
      <c r="F28" s="53" t="n"/>
      <c r="G28" s="53" t="n"/>
      <c r="H28" s="54" t="n"/>
      <c r="I28" s="53" t="n"/>
      <c r="J28" s="53" t="n"/>
      <c r="K28" s="54" t="n"/>
      <c r="L28" s="53" t="n"/>
      <c r="M28" s="54" t="n"/>
      <c r="N28" s="53" t="n"/>
      <c r="O28" s="54" t="n"/>
    </row>
    <row r="29">
      <c r="A29" s="53" t="n"/>
      <c r="B29" s="53" t="n"/>
      <c r="C29" s="53" t="n"/>
      <c r="D29" s="53" t="n"/>
      <c r="E29" s="53" t="n"/>
      <c r="F29" s="53" t="n"/>
      <c r="G29" s="53" t="n"/>
      <c r="H29" s="54" t="n"/>
      <c r="I29" s="53" t="n"/>
      <c r="J29" s="53" t="n"/>
      <c r="K29" s="54" t="n"/>
      <c r="L29" s="53" t="n"/>
      <c r="M29" s="54" t="n"/>
      <c r="N29" s="53" t="n"/>
      <c r="O29" s="54" t="n"/>
    </row>
    <row r="30">
      <c r="A30" s="53" t="n"/>
      <c r="B30" s="53" t="n"/>
      <c r="C30" s="53" t="n"/>
      <c r="D30" s="53" t="n"/>
      <c r="E30" s="53" t="n"/>
      <c r="F30" s="53" t="n"/>
      <c r="G30" s="53" t="n"/>
      <c r="H30" s="54" t="n"/>
      <c r="I30" s="53" t="n"/>
      <c r="J30" s="53" t="n"/>
      <c r="K30" s="54" t="n"/>
      <c r="L30" s="53" t="n"/>
      <c r="M30" s="54" t="n"/>
      <c r="N30" s="53" t="n"/>
      <c r="O30" s="54" t="n"/>
    </row>
    <row r="31">
      <c r="A31" s="53" t="n"/>
      <c r="B31" s="53" t="n"/>
      <c r="C31" s="53" t="n"/>
      <c r="D31" s="53" t="n"/>
      <c r="E31" s="53" t="n"/>
      <c r="F31" s="53" t="n"/>
      <c r="G31" s="53" t="n"/>
      <c r="H31" s="54" t="n"/>
      <c r="I31" s="53" t="n"/>
      <c r="J31" s="53" t="n"/>
      <c r="K31" s="54" t="n"/>
      <c r="L31" s="53" t="n"/>
      <c r="M31" s="54" t="n"/>
      <c r="N31" s="53" t="n"/>
      <c r="O31" s="54" t="n"/>
    </row>
    <row r="32">
      <c r="A32" s="53" t="n"/>
      <c r="B32" s="53" t="n"/>
      <c r="C32" s="53" t="n"/>
      <c r="D32" s="53" t="n"/>
      <c r="E32" s="53" t="n"/>
      <c r="F32" s="53" t="n"/>
      <c r="G32" s="53" t="n"/>
      <c r="H32" s="54" t="n"/>
      <c r="I32" s="53" t="n"/>
      <c r="J32" s="53" t="n"/>
      <c r="K32" s="54" t="n"/>
      <c r="L32" s="53" t="n"/>
      <c r="M32" s="54" t="n"/>
      <c r="N32" s="53" t="n"/>
      <c r="O32" s="54" t="n"/>
    </row>
    <row r="33">
      <c r="A33" s="53" t="n"/>
      <c r="B33" s="53" t="n"/>
      <c r="C33" s="53" t="n"/>
      <c r="D33" s="53" t="n"/>
      <c r="E33" s="53" t="n"/>
      <c r="F33" s="53" t="n"/>
      <c r="G33" s="53" t="n"/>
      <c r="H33" s="54" t="n"/>
      <c r="I33" s="53" t="n"/>
      <c r="J33" s="53" t="n"/>
      <c r="K33" s="54" t="n"/>
      <c r="L33" s="53" t="n"/>
      <c r="M33" s="54" t="n"/>
      <c r="N33" s="53" t="n"/>
      <c r="O33" s="54" t="n"/>
    </row>
    <row r="34">
      <c r="A34" s="53" t="n"/>
      <c r="B34" s="53" t="n"/>
      <c r="C34" s="53" t="n"/>
      <c r="D34" s="53" t="n"/>
      <c r="E34" s="53" t="n"/>
      <c r="F34" s="53" t="n"/>
      <c r="G34" s="53" t="n"/>
      <c r="H34" s="54" t="n"/>
      <c r="I34" s="53" t="n"/>
      <c r="J34" s="53" t="n"/>
      <c r="K34" s="54" t="n"/>
      <c r="L34" s="53" t="n"/>
      <c r="M34" s="54" t="n"/>
      <c r="N34" s="53" t="n"/>
      <c r="O34" s="54" t="n"/>
    </row>
    <row r="35">
      <c r="A35" s="53" t="n"/>
      <c r="B35" s="53" t="n"/>
      <c r="C35" s="53" t="n"/>
      <c r="D35" s="53" t="n"/>
      <c r="E35" s="53" t="n"/>
      <c r="F35" s="53" t="n"/>
      <c r="G35" s="53" t="n"/>
      <c r="H35" s="54" t="n"/>
      <c r="I35" s="53" t="n"/>
      <c r="J35" s="53" t="n"/>
      <c r="K35" s="54" t="n"/>
      <c r="L35" s="53" t="n"/>
      <c r="M35" s="54" t="n"/>
      <c r="N35" s="53" t="n"/>
      <c r="O35" s="54" t="n"/>
    </row>
    <row r="36">
      <c r="A36" s="53" t="n"/>
      <c r="B36" s="53" t="n"/>
      <c r="C36" s="53" t="n"/>
      <c r="D36" s="53" t="n"/>
      <c r="E36" s="53" t="n"/>
      <c r="F36" s="53" t="n"/>
      <c r="G36" s="53" t="n"/>
      <c r="H36" s="54" t="n"/>
      <c r="I36" s="53" t="n"/>
      <c r="J36" s="53" t="n"/>
      <c r="K36" s="54" t="n"/>
      <c r="L36" s="53" t="n"/>
      <c r="M36" s="54" t="n"/>
      <c r="N36" s="53" t="n"/>
      <c r="O36" s="54" t="n"/>
    </row>
    <row r="37">
      <c r="A37" s="53" t="n"/>
      <c r="B37" s="53" t="n"/>
      <c r="C37" s="53" t="n"/>
      <c r="D37" s="53" t="n"/>
      <c r="E37" s="53" t="n"/>
      <c r="F37" s="53" t="n"/>
      <c r="G37" s="53" t="n"/>
      <c r="H37" s="54" t="n"/>
      <c r="I37" s="53" t="n"/>
      <c r="J37" s="53" t="n"/>
      <c r="K37" s="54" t="n"/>
      <c r="L37" s="53" t="n"/>
      <c r="M37" s="54" t="n"/>
      <c r="N37" s="53" t="n"/>
      <c r="O37" s="54" t="n"/>
    </row>
    <row r="38">
      <c r="A38" s="53" t="n"/>
      <c r="B38" s="53" t="n"/>
      <c r="C38" s="53" t="n"/>
      <c r="D38" s="53" t="n"/>
      <c r="E38" s="53" t="n"/>
      <c r="F38" s="53" t="n"/>
      <c r="G38" s="53" t="n"/>
      <c r="H38" s="54" t="n"/>
      <c r="I38" s="53" t="n"/>
      <c r="J38" s="53" t="n"/>
      <c r="K38" s="54" t="n"/>
      <c r="L38" s="53" t="n"/>
      <c r="M38" s="54" t="n"/>
      <c r="N38" s="53" t="n"/>
      <c r="O38" s="54" t="n"/>
    </row>
    <row r="39">
      <c r="A39" s="53" t="n"/>
      <c r="B39" s="53" t="n"/>
      <c r="C39" s="53" t="n"/>
      <c r="D39" s="53" t="n"/>
      <c r="E39" s="53" t="n"/>
      <c r="F39" s="53" t="n"/>
      <c r="G39" s="53" t="n"/>
      <c r="H39" s="54" t="n"/>
      <c r="I39" s="53" t="n"/>
      <c r="J39" s="53" t="n"/>
      <c r="K39" s="54" t="n"/>
      <c r="L39" s="53" t="n"/>
      <c r="M39" s="54" t="n"/>
      <c r="N39" s="53" t="n"/>
      <c r="O39" s="54" t="n"/>
    </row>
    <row r="40">
      <c r="A40" s="53" t="n"/>
      <c r="B40" s="53" t="n"/>
      <c r="C40" s="53" t="n"/>
      <c r="D40" s="53" t="n"/>
      <c r="E40" s="53" t="n"/>
      <c r="F40" s="53" t="n"/>
      <c r="G40" s="53" t="n"/>
      <c r="H40" s="54" t="n"/>
      <c r="I40" s="53" t="n"/>
      <c r="J40" s="53" t="n"/>
      <c r="K40" s="54" t="n"/>
      <c r="L40" s="53" t="n"/>
      <c r="M40" s="54" t="n"/>
      <c r="N40" s="53" t="n"/>
      <c r="O40" s="54" t="n"/>
    </row>
    <row r="41">
      <c r="A41" s="53" t="n"/>
      <c r="B41" s="53" t="n"/>
      <c r="C41" s="53" t="n"/>
      <c r="D41" s="53" t="n"/>
      <c r="E41" s="53" t="n"/>
      <c r="F41" s="53" t="n"/>
      <c r="G41" s="53" t="n"/>
      <c r="H41" s="54" t="n"/>
      <c r="I41" s="53" t="n"/>
      <c r="J41" s="53" t="n"/>
      <c r="K41" s="54" t="n"/>
      <c r="L41" s="53" t="n"/>
      <c r="M41" s="54" t="n"/>
      <c r="N41" s="53" t="n"/>
      <c r="O41" s="54" t="n"/>
    </row>
    <row r="42">
      <c r="A42" s="53" t="n"/>
      <c r="B42" s="53" t="n"/>
      <c r="C42" s="53" t="n"/>
      <c r="D42" s="53" t="n"/>
      <c r="E42" s="53" t="n"/>
      <c r="F42" s="53" t="n"/>
      <c r="G42" s="53" t="n"/>
      <c r="H42" s="54" t="n"/>
      <c r="I42" s="53" t="n"/>
      <c r="J42" s="53" t="n"/>
      <c r="K42" s="54" t="n"/>
      <c r="L42" s="53" t="n"/>
      <c r="M42" s="54" t="n"/>
      <c r="N42" s="53" t="n"/>
      <c r="O42" s="54" t="n"/>
    </row>
    <row r="43">
      <c r="A43" s="53" t="n"/>
      <c r="B43" s="53" t="n"/>
      <c r="C43" s="53" t="n"/>
      <c r="D43" s="53" t="n"/>
      <c r="E43" s="53" t="n"/>
      <c r="F43" s="53" t="n"/>
      <c r="G43" s="53" t="n"/>
      <c r="H43" s="54" t="n"/>
      <c r="I43" s="53" t="n"/>
      <c r="J43" s="53" t="n"/>
      <c r="K43" s="54" t="n"/>
      <c r="L43" s="53" t="n"/>
      <c r="M43" s="54" t="n"/>
      <c r="N43" s="53" t="n"/>
      <c r="O43" s="54" t="n"/>
    </row>
    <row r="44">
      <c r="A44" s="53" t="n"/>
      <c r="B44" s="53" t="n"/>
      <c r="C44" s="53" t="n"/>
      <c r="D44" s="53" t="n"/>
      <c r="E44" s="53" t="n"/>
      <c r="F44" s="53" t="n"/>
      <c r="G44" s="53" t="n"/>
      <c r="H44" s="54" t="n"/>
      <c r="I44" s="53" t="n"/>
      <c r="J44" s="53" t="n"/>
      <c r="K44" s="54" t="n"/>
      <c r="L44" s="53" t="n"/>
      <c r="M44" s="54" t="n"/>
      <c r="N44" s="53" t="n"/>
      <c r="O44" s="54" t="n"/>
    </row>
    <row r="45">
      <c r="A45" s="53" t="n"/>
      <c r="B45" s="53" t="n"/>
      <c r="C45" s="53" t="n"/>
      <c r="D45" s="53" t="n"/>
      <c r="E45" s="53" t="n"/>
      <c r="F45" s="53" t="n"/>
      <c r="G45" s="53" t="n"/>
      <c r="H45" s="54" t="n"/>
      <c r="I45" s="53" t="n"/>
      <c r="J45" s="53" t="n"/>
      <c r="K45" s="54" t="n"/>
      <c r="L45" s="53" t="n"/>
      <c r="M45" s="54" t="n"/>
      <c r="N45" s="53" t="n"/>
      <c r="O45" s="54" t="n"/>
    </row>
    <row r="46">
      <c r="A46" s="53" t="n"/>
      <c r="B46" s="53" t="n"/>
      <c r="C46" s="53" t="n"/>
      <c r="D46" s="53" t="n"/>
      <c r="E46" s="53" t="n"/>
      <c r="F46" s="53" t="n"/>
      <c r="G46" s="53" t="n"/>
      <c r="H46" s="54" t="n"/>
      <c r="I46" s="53" t="n"/>
      <c r="J46" s="53" t="n"/>
      <c r="K46" s="54" t="n"/>
      <c r="L46" s="53" t="n"/>
      <c r="M46" s="54" t="n"/>
      <c r="N46" s="53" t="n"/>
      <c r="O46" s="54" t="n"/>
    </row>
    <row r="47">
      <c r="A47" s="53" t="n"/>
      <c r="B47" s="53" t="n"/>
      <c r="C47" s="53" t="n"/>
      <c r="D47" s="53" t="n"/>
      <c r="E47" s="53" t="n"/>
      <c r="F47" s="53" t="n"/>
      <c r="G47" s="53" t="n"/>
      <c r="H47" s="54" t="n"/>
      <c r="I47" s="53" t="n"/>
      <c r="J47" s="53" t="n"/>
      <c r="K47" s="54" t="n"/>
      <c r="L47" s="53" t="n"/>
      <c r="M47" s="54" t="n"/>
      <c r="N47" s="53" t="n"/>
      <c r="O47" s="54" t="n"/>
    </row>
    <row r="48">
      <c r="A48" s="53" t="n"/>
      <c r="B48" s="53" t="n"/>
      <c r="C48" s="53" t="n"/>
      <c r="D48" s="53" t="n"/>
      <c r="E48" s="53" t="n"/>
      <c r="F48" s="53" t="n"/>
      <c r="G48" s="53" t="n"/>
      <c r="H48" s="54" t="n"/>
      <c r="I48" s="53" t="n"/>
      <c r="J48" s="53" t="n"/>
      <c r="K48" s="54" t="n"/>
      <c r="L48" s="53" t="n"/>
      <c r="M48" s="54" t="n"/>
      <c r="N48" s="53" t="n"/>
      <c r="O48" s="54" t="n"/>
    </row>
    <row r="49">
      <c r="A49" s="53" t="n"/>
      <c r="B49" s="53" t="n"/>
      <c r="C49" s="53" t="n"/>
      <c r="D49" s="53" t="n"/>
      <c r="E49" s="53" t="n"/>
      <c r="F49" s="53" t="n"/>
      <c r="G49" s="53" t="n"/>
      <c r="H49" s="54" t="n"/>
      <c r="I49" s="53" t="n"/>
      <c r="J49" s="53" t="n"/>
      <c r="K49" s="54" t="n"/>
      <c r="L49" s="53" t="n"/>
      <c r="M49" s="54" t="n"/>
      <c r="N49" s="53" t="n"/>
      <c r="O49" s="54" t="n"/>
    </row>
    <row r="50">
      <c r="A50" s="53" t="n"/>
      <c r="B50" s="53" t="n"/>
      <c r="C50" s="53" t="n"/>
      <c r="D50" s="53" t="n"/>
      <c r="E50" s="53" t="n"/>
      <c r="F50" s="53" t="n"/>
      <c r="G50" s="53" t="n"/>
      <c r="H50" s="54" t="n"/>
      <c r="I50" s="53" t="n"/>
      <c r="J50" s="53" t="n"/>
      <c r="K50" s="54" t="n"/>
      <c r="L50" s="53" t="n"/>
      <c r="M50" s="54" t="n"/>
      <c r="N50" s="53" t="n"/>
      <c r="O50" s="54" t="n"/>
    </row>
    <row r="51">
      <c r="A51" s="53" t="n"/>
      <c r="B51" s="53" t="n"/>
      <c r="C51" s="53" t="n"/>
      <c r="D51" s="53" t="n"/>
      <c r="E51" s="53" t="n"/>
      <c r="F51" s="53" t="n"/>
      <c r="G51" s="53" t="n"/>
      <c r="H51" s="54" t="n"/>
      <c r="I51" s="53" t="n"/>
      <c r="J51" s="53" t="n"/>
      <c r="K51" s="54" t="n"/>
      <c r="L51" s="53" t="n"/>
      <c r="M51" s="54" t="n"/>
      <c r="N51" s="53" t="n"/>
      <c r="O51" s="54" t="n"/>
    </row>
    <row r="52">
      <c r="A52" s="53" t="n"/>
      <c r="B52" s="53" t="n"/>
      <c r="C52" s="53" t="n"/>
      <c r="D52" s="53" t="n"/>
      <c r="E52" s="53" t="n"/>
      <c r="F52" s="53" t="n"/>
      <c r="G52" s="53" t="n"/>
      <c r="H52" s="54" t="n"/>
      <c r="I52" s="53" t="n"/>
      <c r="J52" s="53" t="n"/>
      <c r="K52" s="54" t="n"/>
      <c r="L52" s="53" t="n"/>
      <c r="M52" s="54" t="n"/>
      <c r="N52" s="53" t="n"/>
      <c r="O52" s="54" t="n"/>
    </row>
    <row r="53">
      <c r="A53" s="53" t="n"/>
      <c r="B53" s="53" t="n"/>
      <c r="C53" s="53" t="n"/>
      <c r="D53" s="53" t="n"/>
      <c r="E53" s="53" t="n"/>
      <c r="F53" s="53" t="n"/>
      <c r="G53" s="53" t="n"/>
      <c r="H53" s="54" t="n"/>
      <c r="I53" s="53" t="n"/>
      <c r="J53" s="53" t="n"/>
      <c r="K53" s="54" t="n"/>
      <c r="L53" s="53" t="n"/>
      <c r="M53" s="54" t="n"/>
      <c r="N53" s="53" t="n"/>
      <c r="O53" s="54" t="n"/>
    </row>
    <row r="54">
      <c r="A54" s="53" t="n"/>
      <c r="B54" s="53" t="n"/>
      <c r="C54" s="53" t="n"/>
      <c r="D54" s="53" t="n"/>
      <c r="E54" s="53" t="n"/>
      <c r="F54" s="53" t="n"/>
      <c r="G54" s="53" t="n"/>
      <c r="H54" s="54" t="n"/>
      <c r="I54" s="53" t="n"/>
      <c r="J54" s="53" t="n"/>
      <c r="K54" s="54" t="n"/>
      <c r="L54" s="53" t="n"/>
      <c r="M54" s="54" t="n"/>
      <c r="N54" s="53" t="n"/>
      <c r="O54" s="54" t="n"/>
    </row>
    <row r="55">
      <c r="A55" s="53" t="n"/>
      <c r="B55" s="53" t="n"/>
      <c r="C55" s="53" t="n"/>
      <c r="D55" s="53" t="n"/>
      <c r="E55" s="53" t="n"/>
      <c r="F55" s="53" t="n"/>
      <c r="G55" s="53" t="n"/>
      <c r="H55" s="54" t="n"/>
      <c r="I55" s="53" t="n"/>
      <c r="J55" s="53" t="n"/>
      <c r="K55" s="54" t="n"/>
      <c r="L55" s="53" t="n"/>
      <c r="M55" s="54" t="n"/>
      <c r="N55" s="53" t="n"/>
      <c r="O55" s="54" t="n"/>
    </row>
  </sheetData>
  <mergeCells count="2">
    <mergeCell ref="A1:O1"/>
    <mergeCell ref="A2:O2"/>
  </mergeCells>
  <conditionalFormatting sqref="F6:F55">
    <cfRule type="cellIs" priority="1" operator="equal" dxfId="4">
      <formula>"Critical"</formula>
    </cfRule>
    <cfRule type="cellIs" priority="2" operator="equal" dxfId="2">
      <formula>"High"</formula>
    </cfRule>
  </conditionalFormatting>
  <conditionalFormatting sqref="I6:I55">
    <cfRule type="cellIs" priority="3" operator="equal" dxfId="0">
      <formula>"Resolved"</formula>
    </cfRule>
    <cfRule type="cellIs" priority="4" operator="equal" dxfId="2">
      <formula>"Blocked"</formula>
    </cfRule>
  </conditionalFormatting>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"Quality,Coverage Gap,Cost,Compliance,Contract,Integration,CVSS Accuracy,Continuity,Other"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"Source Evaluation,Coverage Matrix,Cost Analysis,Compliance Check,Update Frequency,Source Contacts,Vendor SLAs,Source Performance Validation"</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"Open,In Progress,Blocked,Resolved,Closed"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sheetData>
    <row r="1">
      <c r="A1" s="11" t="inlineStr">
        <is>
          <t>WORKBOOK METADATA AND VERSION CONTROL</t>
        </is>
      </c>
    </row>
    <row r="4">
      <c r="A4" s="42" t="inlineStr">
        <is>
          <t>Workbook_Version</t>
        </is>
      </c>
      <c r="B4" t="inlineStr">
        <is>
          <t>2.0</t>
        </is>
      </c>
    </row>
    <row r="5">
      <c r="A5" s="42" t="inlineStr">
        <is>
          <t>Total_Sheets</t>
        </is>
      </c>
      <c r="B5" t="inlineStr">
        <is>
          <t>15</t>
        </is>
      </c>
    </row>
    <row r="6">
      <c r="A6" t="inlineStr">
        <is>
          <t>Generation_Date</t>
        </is>
      </c>
      <c r="B6" t="inlineStr">
        <is>
          <t>07.03.2026 12:27:43</t>
        </is>
      </c>
    </row>
    <row r="7">
      <c r="A7" t="inlineStr">
        <is>
          <t>Generator_Script</t>
        </is>
      </c>
      <c r="B7" t="inlineStr">
        <is>
          <t>generate_a57_1_sources.py</t>
        </is>
      </c>
    </row>
    <row r="8">
      <c r="A8" t="inlineStr">
        <is>
          <t>Script_Version</t>
        </is>
      </c>
      <c r="B8" t="inlineStr">
        <is>
          <t>2.0.0</t>
        </is>
      </c>
    </row>
    <row r="9">
      <c r="A9" t="inlineStr">
        <is>
          <t>Python_Version</t>
        </is>
      </c>
      <c r="B9" t="inlineStr">
        <is>
          <t>3.12+</t>
        </is>
      </c>
    </row>
    <row r="10">
      <c r="A10" t="inlineStr">
        <is>
          <t>openpyxl_Version</t>
        </is>
      </c>
      <c r="B10" t="inlineStr">
        <is>
          <t>3.1+</t>
        </is>
      </c>
    </row>
    <row r="11">
      <c r="A11" t="inlineStr">
        <is>
          <t>Related_Policy</t>
        </is>
      </c>
      <c r="B11" t="inlineStr">
        <is>
          <t>ISMS-POL-A.5.7</t>
        </is>
      </c>
    </row>
    <row r="12">
      <c r="A12" t="inlineStr">
        <is>
          <t>Related_IMP_Spec</t>
        </is>
      </c>
      <c r="B12" t="inlineStr">
        <is>
          <t>ISMS-IMP-A.5.7.1 v1.0</t>
        </is>
      </c>
    </row>
    <row r="13">
      <c r="A13" t="inlineStr"/>
      <c r="B13" t="inlineStr"/>
    </row>
    <row r="14">
      <c r="A14" s="42" t="inlineStr">
        <is>
          <t>V1.0_Changes</t>
        </is>
      </c>
      <c r="B14" t="inlineStr"/>
    </row>
    <row r="15">
      <c r="A15" t="inlineStr">
        <is>
          <t>CVSS_Support_Added</t>
        </is>
      </c>
      <c r="B15" t="inlineStr">
        <is>
          <t>Sheet 2 - Column K</t>
        </is>
      </c>
    </row>
    <row r="16">
      <c r="A16" t="inlineStr">
        <is>
          <t>CVSS_Accuracy_Added</t>
        </is>
      </c>
      <c r="B16" t="inlineStr">
        <is>
          <t>Sheet 3 - Columns R, S, T</t>
        </is>
      </c>
    </row>
    <row r="17">
      <c r="A17" t="inlineStr">
        <is>
          <t>Vendor_Mgmt_Added</t>
        </is>
      </c>
      <c r="B17" t="inlineStr">
        <is>
          <t>Sheets 9-13 (Integration, SLAs, Contacts, API)</t>
        </is>
      </c>
    </row>
    <row r="18">
      <c r="A18" t="inlineStr">
        <is>
          <t>Audit_Evidence_Added</t>
        </is>
      </c>
      <c r="B18" t="inlineStr">
        <is>
          <t>Sheets 14-15 (Validation, Continuity)</t>
        </is>
      </c>
    </row>
    <row r="19">
      <c r="A19" s="42" t="inlineStr">
        <is>
          <t>Sheet_14_CRITICAL</t>
        </is>
      </c>
      <c r="B19" t="inlineStr">
        <is>
          <t>Source_Performance_Validation (Quarterly validation per POL Section 4.4.3)</t>
        </is>
      </c>
    </row>
    <row r="20">
      <c r="A20" s="42" t="inlineStr">
        <is>
          <t>Sheet_15_CRITICAL</t>
        </is>
      </c>
      <c r="B20" t="inlineStr">
        <is>
          <t>Business_Continuity_Plan (Annual testing per POL Section 4.4.6)</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22" customWidth="1" min="6" max="6"/>
    <col width="22" customWidth="1" min="7" max="7"/>
    <col width="18" customWidth="1" min="8" max="8"/>
    <col width="12" customWidth="1" min="9" max="9"/>
    <col width="35" customWidth="1" min="10" max="10"/>
    <col width="22" customWidth="1" min="11" max="11"/>
    <col width="22" customWidth="1" min="12" max="12"/>
    <col width="22" customWidth="1" min="13" max="13"/>
    <col width="18" customWidth="1" min="14" max="14"/>
    <col width="18" customWidth="1" min="15" max="15"/>
    <col width="18" customWidth="1" min="16" max="16"/>
    <col width="18" customWidth="1" min="17" max="17"/>
    <col width="35" customWidth="1" min="18" max="18"/>
  </cols>
  <sheetData>
    <row r="1" ht="35" customHeight="1">
      <c r="A1" s="51" t="inlineStr">
        <is>
          <t>UPDATE FREQUENCY - SLA COMPLIANCE TRACKING</t>
        </is>
      </c>
      <c r="B1" s="6" t="n"/>
      <c r="C1" s="6" t="n"/>
      <c r="D1" s="6" t="n"/>
      <c r="E1" s="6" t="n"/>
      <c r="F1" s="6" t="n"/>
      <c r="G1" s="6" t="n"/>
      <c r="H1" s="6" t="n"/>
      <c r="I1" s="6" t="n"/>
      <c r="J1" s="6" t="n"/>
      <c r="K1" s="6" t="n"/>
      <c r="L1" s="6" t="n"/>
      <c r="M1" s="6" t="n"/>
      <c r="N1" s="6" t="n"/>
      <c r="O1" s="6" t="n"/>
      <c r="P1" s="6" t="n"/>
      <c r="Q1" s="6" t="n"/>
      <c r="R1" s="6" t="n"/>
    </row>
    <row r="2">
      <c r="A2" s="17" t="inlineStr">
        <is>
          <t>ISO/IEC 27001:2022 | Control A.5.7 | Track update SLA compliance and timeliness for all threat intelligence sources</t>
        </is>
      </c>
    </row>
    <row r="4">
      <c r="A4" s="13" t="inlineStr">
        <is>
          <t>Source ID</t>
        </is>
      </c>
      <c r="B4" s="13" t="inlineStr">
        <is>
          <t>Source Name</t>
        </is>
      </c>
      <c r="C4" s="13" t="inlineStr">
        <is>
          <t>Contractual Frequency</t>
        </is>
      </c>
      <c r="D4" s="13" t="inlineStr">
        <is>
          <t>Actual Avg Frequency</t>
        </is>
      </c>
      <c r="E4" s="13" t="inlineStr">
        <is>
          <t>Last Update Received</t>
        </is>
      </c>
      <c r="F4" s="13" t="inlineStr">
        <is>
          <t>Update Count Last 30 Days</t>
        </is>
      </c>
      <c r="G4" s="13" t="inlineStr">
        <is>
          <t>Expected Update Count</t>
        </is>
      </c>
      <c r="H4" s="13" t="inlineStr">
        <is>
          <t>Update Variance</t>
        </is>
      </c>
      <c r="I4" s="13" t="inlineStr">
        <is>
          <t>SLA Met</t>
        </is>
      </c>
      <c r="J4" s="13" t="inlineStr">
        <is>
          <t>SLA Met Justification</t>
        </is>
      </c>
      <c r="K4" s="13" t="inlineStr">
        <is>
          <t>Outage Count Last Quarter</t>
        </is>
      </c>
      <c r="L4" s="13" t="inlineStr">
        <is>
          <t>Longest Outage Duration</t>
        </is>
      </c>
      <c r="M4" s="13" t="inlineStr">
        <is>
          <t>Average Outage Duration</t>
        </is>
      </c>
      <c r="N4" s="13" t="inlineStr">
        <is>
          <t>Timeliness Score</t>
        </is>
      </c>
      <c r="O4" s="13" t="inlineStr">
        <is>
          <t>Timeliness Trend</t>
        </is>
      </c>
      <c r="P4" s="13" t="inlineStr">
        <is>
          <t>Last SLA Review</t>
        </is>
      </c>
      <c r="Q4" s="13" t="inlineStr">
        <is>
          <t>Next SLA Review</t>
        </is>
      </c>
      <c r="R4" s="13" t="inlineStr">
        <is>
          <t>Notes</t>
        </is>
      </c>
    </row>
    <row r="5">
      <c r="A5" s="14" t="inlineStr">
        <is>
          <t>SRC-001</t>
        </is>
      </c>
      <c r="B5" s="14" t="inlineStr">
        <is>
          <t>MISP Community Feed</t>
        </is>
      </c>
      <c r="C5" s="14" t="inlineStr">
        <is>
          <t>Daily</t>
        </is>
      </c>
      <c r="D5" s="14" t="inlineStr">
        <is>
          <t>Daily</t>
        </is>
      </c>
      <c r="E5" s="14" t="inlineStr">
        <is>
          <t>15.02.2025</t>
        </is>
      </c>
      <c r="F5" s="14" t="inlineStr">
        <is>
          <t>28</t>
        </is>
      </c>
      <c r="G5" s="14" t="inlineStr">
        <is>
          <t>28</t>
        </is>
      </c>
      <c r="H5" s="14" t="inlineStr">
        <is>
          <t>0</t>
        </is>
      </c>
      <c r="I5" s="14" t="inlineStr">
        <is>
          <t>Yes</t>
        </is>
      </c>
      <c r="J5" s="14" t="inlineStr">
        <is>
          <t>All updates received within SLA window</t>
        </is>
      </c>
      <c r="K5" s="14" t="inlineStr">
        <is>
          <t>0</t>
        </is>
      </c>
      <c r="L5" s="14" t="inlineStr">
        <is>
          <t>N/A</t>
        </is>
      </c>
      <c r="M5" s="14" t="inlineStr">
        <is>
          <t>N/A</t>
        </is>
      </c>
      <c r="N5" s="14" t="inlineStr">
        <is>
          <t>98</t>
        </is>
      </c>
      <c r="O5" s="14" t="inlineStr">
        <is>
          <t>Stable</t>
        </is>
      </c>
      <c r="P5" s="14" t="inlineStr">
        <is>
          <t>01.01.2025</t>
        </is>
      </c>
      <c r="Q5" s="14" t="inlineStr">
        <is>
          <t>01.04.2025</t>
        </is>
      </c>
      <c r="R5" s="14" t="inlineStr">
        <is>
          <t>Highly reliable feed — no issues this quarter</t>
        </is>
      </c>
    </row>
    <row r="6">
      <c r="A6" s="15" t="n"/>
      <c r="B6" s="15">
        <f>IFERROR(VLOOKUP(A6,'Source Inventory'!$A$6:$P$55,2,FALSE),"")</f>
        <v/>
      </c>
      <c r="C6" s="15" t="n"/>
      <c r="D6" s="15" t="n"/>
      <c r="E6" s="16" t="n"/>
      <c r="F6" s="15" t="n"/>
      <c r="G6" s="15" t="n"/>
      <c r="H6" s="15" t="n"/>
      <c r="I6" s="15" t="n"/>
      <c r="J6" s="15" t="n"/>
      <c r="K6" s="15" t="n"/>
      <c r="L6" s="15" t="n"/>
      <c r="M6" s="15" t="n"/>
      <c r="N6" s="15" t="n"/>
      <c r="O6" s="15" t="n"/>
      <c r="P6" s="16" t="n"/>
      <c r="Q6" s="16">
        <f>IF(P6&lt;&gt;"",P6+90,"")</f>
        <v/>
      </c>
      <c r="R6" s="15" t="n"/>
    </row>
    <row r="7">
      <c r="A7" s="15" t="n"/>
      <c r="B7" s="15">
        <f>IFERROR(VLOOKUP(A7,'Source Inventory'!$A$6:$P$55,2,FALSE),"")</f>
        <v/>
      </c>
      <c r="C7" s="15" t="n"/>
      <c r="D7" s="15" t="n"/>
      <c r="E7" s="16" t="n"/>
      <c r="F7" s="15" t="n"/>
      <c r="G7" s="15" t="n"/>
      <c r="H7" s="15" t="n"/>
      <c r="I7" s="15" t="n"/>
      <c r="J7" s="15" t="n"/>
      <c r="K7" s="15" t="n"/>
      <c r="L7" s="15" t="n"/>
      <c r="M7" s="15" t="n"/>
      <c r="N7" s="15" t="n"/>
      <c r="O7" s="15" t="n"/>
      <c r="P7" s="16" t="n"/>
      <c r="Q7" s="16">
        <f>IF(P7&lt;&gt;"",P7+90,"")</f>
        <v/>
      </c>
      <c r="R7" s="15" t="n"/>
    </row>
    <row r="8">
      <c r="A8" s="15" t="n"/>
      <c r="B8" s="15">
        <f>IFERROR(VLOOKUP(A8,'Source Inventory'!$A$6:$P$55,2,FALSE),"")</f>
        <v/>
      </c>
      <c r="C8" s="15" t="n"/>
      <c r="D8" s="15" t="n"/>
      <c r="E8" s="16" t="n"/>
      <c r="F8" s="15" t="n"/>
      <c r="G8" s="15" t="n"/>
      <c r="H8" s="15" t="n"/>
      <c r="I8" s="15" t="n"/>
      <c r="J8" s="15" t="n"/>
      <c r="K8" s="15" t="n"/>
      <c r="L8" s="15" t="n"/>
      <c r="M8" s="15" t="n"/>
      <c r="N8" s="15" t="n"/>
      <c r="O8" s="15" t="n"/>
      <c r="P8" s="16" t="n"/>
      <c r="Q8" s="16">
        <f>IF(P8&lt;&gt;"",P8+90,"")</f>
        <v/>
      </c>
      <c r="R8" s="15" t="n"/>
    </row>
    <row r="9">
      <c r="A9" s="15" t="n"/>
      <c r="B9" s="15">
        <f>IFERROR(VLOOKUP(A9,'Source Inventory'!$A$6:$P$55,2,FALSE),"")</f>
        <v/>
      </c>
      <c r="C9" s="15" t="n"/>
      <c r="D9" s="15" t="n"/>
      <c r="E9" s="16" t="n"/>
      <c r="F9" s="15" t="n"/>
      <c r="G9" s="15" t="n"/>
      <c r="H9" s="15" t="n"/>
      <c r="I9" s="15" t="n"/>
      <c r="J9" s="15" t="n"/>
      <c r="K9" s="15" t="n"/>
      <c r="L9" s="15" t="n"/>
      <c r="M9" s="15" t="n"/>
      <c r="N9" s="15" t="n"/>
      <c r="O9" s="15" t="n"/>
      <c r="P9" s="16" t="n"/>
      <c r="Q9" s="16">
        <f>IF(P9&lt;&gt;"",P9+90,"")</f>
        <v/>
      </c>
      <c r="R9" s="15" t="n"/>
    </row>
    <row r="10">
      <c r="A10" s="15" t="n"/>
      <c r="B10" s="15">
        <f>IFERROR(VLOOKUP(A10,'Source Inventory'!$A$6:$P$55,2,FALSE),"")</f>
        <v/>
      </c>
      <c r="C10" s="15" t="n"/>
      <c r="D10" s="15" t="n"/>
      <c r="E10" s="16" t="n"/>
      <c r="F10" s="15" t="n"/>
      <c r="G10" s="15" t="n"/>
      <c r="H10" s="15" t="n"/>
      <c r="I10" s="15" t="n"/>
      <c r="J10" s="15" t="n"/>
      <c r="K10" s="15" t="n"/>
      <c r="L10" s="15" t="n"/>
      <c r="M10" s="15" t="n"/>
      <c r="N10" s="15" t="n"/>
      <c r="O10" s="15" t="n"/>
      <c r="P10" s="16" t="n"/>
      <c r="Q10" s="16">
        <f>IF(P10&lt;&gt;"",P10+90,"")</f>
        <v/>
      </c>
      <c r="R10" s="15" t="n"/>
    </row>
    <row r="11">
      <c r="A11" s="15" t="n"/>
      <c r="B11" s="15">
        <f>IFERROR(VLOOKUP(A11,'Source Inventory'!$A$6:$P$55,2,FALSE),"")</f>
        <v/>
      </c>
      <c r="C11" s="15" t="n"/>
      <c r="D11" s="15" t="n"/>
      <c r="E11" s="16" t="n"/>
      <c r="F11" s="15" t="n"/>
      <c r="G11" s="15" t="n"/>
      <c r="H11" s="15" t="n"/>
      <c r="I11" s="15" t="n"/>
      <c r="J11" s="15" t="n"/>
      <c r="K11" s="15" t="n"/>
      <c r="L11" s="15" t="n"/>
      <c r="M11" s="15" t="n"/>
      <c r="N11" s="15" t="n"/>
      <c r="O11" s="15" t="n"/>
      <c r="P11" s="16" t="n"/>
      <c r="Q11" s="16">
        <f>IF(P11&lt;&gt;"",P11+90,"")</f>
        <v/>
      </c>
      <c r="R11" s="15" t="n"/>
    </row>
    <row r="12">
      <c r="A12" s="15" t="n"/>
      <c r="B12" s="15">
        <f>IFERROR(VLOOKUP(A12,'Source Inventory'!$A$6:$P$55,2,FALSE),"")</f>
        <v/>
      </c>
      <c r="C12" s="15" t="n"/>
      <c r="D12" s="15" t="n"/>
      <c r="E12" s="16" t="n"/>
      <c r="F12" s="15" t="n"/>
      <c r="G12" s="15" t="n"/>
      <c r="H12" s="15" t="n"/>
      <c r="I12" s="15" t="n"/>
      <c r="J12" s="15" t="n"/>
      <c r="K12" s="15" t="n"/>
      <c r="L12" s="15" t="n"/>
      <c r="M12" s="15" t="n"/>
      <c r="N12" s="15" t="n"/>
      <c r="O12" s="15" t="n"/>
      <c r="P12" s="16" t="n"/>
      <c r="Q12" s="16">
        <f>IF(P12&lt;&gt;"",P12+90,"")</f>
        <v/>
      </c>
      <c r="R12" s="15" t="n"/>
    </row>
    <row r="13">
      <c r="A13" s="15" t="n"/>
      <c r="B13" s="15">
        <f>IFERROR(VLOOKUP(A13,'Source Inventory'!$A$6:$P$55,2,FALSE),"")</f>
        <v/>
      </c>
      <c r="C13" s="15" t="n"/>
      <c r="D13" s="15" t="n"/>
      <c r="E13" s="16" t="n"/>
      <c r="F13" s="15" t="n"/>
      <c r="G13" s="15" t="n"/>
      <c r="H13" s="15" t="n"/>
      <c r="I13" s="15" t="n"/>
      <c r="J13" s="15" t="n"/>
      <c r="K13" s="15" t="n"/>
      <c r="L13" s="15" t="n"/>
      <c r="M13" s="15" t="n"/>
      <c r="N13" s="15" t="n"/>
      <c r="O13" s="15" t="n"/>
      <c r="P13" s="16" t="n"/>
      <c r="Q13" s="16">
        <f>IF(P13&lt;&gt;"",P13+90,"")</f>
        <v/>
      </c>
      <c r="R13" s="15" t="n"/>
    </row>
    <row r="14">
      <c r="A14" s="15" t="n"/>
      <c r="B14" s="15">
        <f>IFERROR(VLOOKUP(A14,'Source Inventory'!$A$6:$P$55,2,FALSE),"")</f>
        <v/>
      </c>
      <c r="C14" s="15" t="n"/>
      <c r="D14" s="15" t="n"/>
      <c r="E14" s="16" t="n"/>
      <c r="F14" s="15" t="n"/>
      <c r="G14" s="15" t="n"/>
      <c r="H14" s="15" t="n"/>
      <c r="I14" s="15" t="n"/>
      <c r="J14" s="15" t="n"/>
      <c r="K14" s="15" t="n"/>
      <c r="L14" s="15" t="n"/>
      <c r="M14" s="15" t="n"/>
      <c r="N14" s="15" t="n"/>
      <c r="O14" s="15" t="n"/>
      <c r="P14" s="16" t="n"/>
      <c r="Q14" s="16">
        <f>IF(P14&lt;&gt;"",P14+90,"")</f>
        <v/>
      </c>
      <c r="R14" s="15" t="n"/>
    </row>
    <row r="15">
      <c r="A15" s="15" t="n"/>
      <c r="B15" s="15">
        <f>IFERROR(VLOOKUP(A15,'Source Inventory'!$A$6:$P$55,2,FALSE),"")</f>
        <v/>
      </c>
      <c r="C15" s="15" t="n"/>
      <c r="D15" s="15" t="n"/>
      <c r="E15" s="16" t="n"/>
      <c r="F15" s="15" t="n"/>
      <c r="G15" s="15" t="n"/>
      <c r="H15" s="15" t="n"/>
      <c r="I15" s="15" t="n"/>
      <c r="J15" s="15" t="n"/>
      <c r="K15" s="15" t="n"/>
      <c r="L15" s="15" t="n"/>
      <c r="M15" s="15" t="n"/>
      <c r="N15" s="15" t="n"/>
      <c r="O15" s="15" t="n"/>
      <c r="P15" s="16" t="n"/>
      <c r="Q15" s="16">
        <f>IF(P15&lt;&gt;"",P15+90,"")</f>
        <v/>
      </c>
      <c r="R15" s="15" t="n"/>
    </row>
    <row r="16">
      <c r="A16" s="15" t="n"/>
      <c r="B16" s="15">
        <f>IFERROR(VLOOKUP(A16,'Source Inventory'!$A$6:$P$55,2,FALSE),"")</f>
        <v/>
      </c>
      <c r="C16" s="15" t="n"/>
      <c r="D16" s="15" t="n"/>
      <c r="E16" s="16" t="n"/>
      <c r="F16" s="15" t="n"/>
      <c r="G16" s="15" t="n"/>
      <c r="H16" s="15" t="n"/>
      <c r="I16" s="15" t="n"/>
      <c r="J16" s="15" t="n"/>
      <c r="K16" s="15" t="n"/>
      <c r="L16" s="15" t="n"/>
      <c r="M16" s="15" t="n"/>
      <c r="N16" s="15" t="n"/>
      <c r="O16" s="15" t="n"/>
      <c r="P16" s="16" t="n"/>
      <c r="Q16" s="16">
        <f>IF(P16&lt;&gt;"",P16+90,"")</f>
        <v/>
      </c>
      <c r="R16" s="15" t="n"/>
    </row>
    <row r="17">
      <c r="A17" s="15" t="n"/>
      <c r="B17" s="15">
        <f>IFERROR(VLOOKUP(A17,'Source Inventory'!$A$6:$P$55,2,FALSE),"")</f>
        <v/>
      </c>
      <c r="C17" s="15" t="n"/>
      <c r="D17" s="15" t="n"/>
      <c r="E17" s="16" t="n"/>
      <c r="F17" s="15" t="n"/>
      <c r="G17" s="15" t="n"/>
      <c r="H17" s="15" t="n"/>
      <c r="I17" s="15" t="n"/>
      <c r="J17" s="15" t="n"/>
      <c r="K17" s="15" t="n"/>
      <c r="L17" s="15" t="n"/>
      <c r="M17" s="15" t="n"/>
      <c r="N17" s="15" t="n"/>
      <c r="O17" s="15" t="n"/>
      <c r="P17" s="16" t="n"/>
      <c r="Q17" s="16">
        <f>IF(P17&lt;&gt;"",P17+90,"")</f>
        <v/>
      </c>
      <c r="R17" s="15" t="n"/>
    </row>
    <row r="18">
      <c r="A18" s="15" t="n"/>
      <c r="B18" s="15">
        <f>IFERROR(VLOOKUP(A18,'Source Inventory'!$A$6:$P$55,2,FALSE),"")</f>
        <v/>
      </c>
      <c r="C18" s="15" t="n"/>
      <c r="D18" s="15" t="n"/>
      <c r="E18" s="16" t="n"/>
      <c r="F18" s="15" t="n"/>
      <c r="G18" s="15" t="n"/>
      <c r="H18" s="15" t="n"/>
      <c r="I18" s="15" t="n"/>
      <c r="J18" s="15" t="n"/>
      <c r="K18" s="15" t="n"/>
      <c r="L18" s="15" t="n"/>
      <c r="M18" s="15" t="n"/>
      <c r="N18" s="15" t="n"/>
      <c r="O18" s="15" t="n"/>
      <c r="P18" s="16" t="n"/>
      <c r="Q18" s="16">
        <f>IF(P18&lt;&gt;"",P18+90,"")</f>
        <v/>
      </c>
      <c r="R18" s="15" t="n"/>
    </row>
    <row r="19">
      <c r="A19" s="15" t="n"/>
      <c r="B19" s="15">
        <f>IFERROR(VLOOKUP(A19,'Source Inventory'!$A$6:$P$55,2,FALSE),"")</f>
        <v/>
      </c>
      <c r="C19" s="15" t="n"/>
      <c r="D19" s="15" t="n"/>
      <c r="E19" s="16" t="n"/>
      <c r="F19" s="15" t="n"/>
      <c r="G19" s="15" t="n"/>
      <c r="H19" s="15" t="n"/>
      <c r="I19" s="15" t="n"/>
      <c r="J19" s="15" t="n"/>
      <c r="K19" s="15" t="n"/>
      <c r="L19" s="15" t="n"/>
      <c r="M19" s="15" t="n"/>
      <c r="N19" s="15" t="n"/>
      <c r="O19" s="15" t="n"/>
      <c r="P19" s="16" t="n"/>
      <c r="Q19" s="16">
        <f>IF(P19&lt;&gt;"",P19+90,"")</f>
        <v/>
      </c>
      <c r="R19" s="15" t="n"/>
    </row>
    <row r="20">
      <c r="A20" s="15" t="n"/>
      <c r="B20" s="15">
        <f>IFERROR(VLOOKUP(A20,'Source Inventory'!$A$6:$P$55,2,FALSE),"")</f>
        <v/>
      </c>
      <c r="C20" s="15" t="n"/>
      <c r="D20" s="15" t="n"/>
      <c r="E20" s="16" t="n"/>
      <c r="F20" s="15" t="n"/>
      <c r="G20" s="15" t="n"/>
      <c r="H20" s="15" t="n"/>
      <c r="I20" s="15" t="n"/>
      <c r="J20" s="15" t="n"/>
      <c r="K20" s="15" t="n"/>
      <c r="L20" s="15" t="n"/>
      <c r="M20" s="15" t="n"/>
      <c r="N20" s="15" t="n"/>
      <c r="O20" s="15" t="n"/>
      <c r="P20" s="16" t="n"/>
      <c r="Q20" s="16">
        <f>IF(P20&lt;&gt;"",P20+90,"")</f>
        <v/>
      </c>
      <c r="R20" s="15" t="n"/>
    </row>
    <row r="21">
      <c r="A21" s="15" t="n"/>
      <c r="B21" s="15">
        <f>IFERROR(VLOOKUP(A21,'Source Inventory'!$A$6:$P$55,2,FALSE),"")</f>
        <v/>
      </c>
      <c r="C21" s="15" t="n"/>
      <c r="D21" s="15" t="n"/>
      <c r="E21" s="16" t="n"/>
      <c r="F21" s="15" t="n"/>
      <c r="G21" s="15" t="n"/>
      <c r="H21" s="15" t="n"/>
      <c r="I21" s="15" t="n"/>
      <c r="J21" s="15" t="n"/>
      <c r="K21" s="15" t="n"/>
      <c r="L21" s="15" t="n"/>
      <c r="M21" s="15" t="n"/>
      <c r="N21" s="15" t="n"/>
      <c r="O21" s="15" t="n"/>
      <c r="P21" s="16" t="n"/>
      <c r="Q21" s="16">
        <f>IF(P21&lt;&gt;"",P21+90,"")</f>
        <v/>
      </c>
      <c r="R21" s="15" t="n"/>
    </row>
    <row r="22">
      <c r="A22" s="15" t="n"/>
      <c r="B22" s="15">
        <f>IFERROR(VLOOKUP(A22,'Source Inventory'!$A$6:$P$55,2,FALSE),"")</f>
        <v/>
      </c>
      <c r="C22" s="15" t="n"/>
      <c r="D22" s="15" t="n"/>
      <c r="E22" s="16" t="n"/>
      <c r="F22" s="15" t="n"/>
      <c r="G22" s="15" t="n"/>
      <c r="H22" s="15" t="n"/>
      <c r="I22" s="15" t="n"/>
      <c r="J22" s="15" t="n"/>
      <c r="K22" s="15" t="n"/>
      <c r="L22" s="15" t="n"/>
      <c r="M22" s="15" t="n"/>
      <c r="N22" s="15" t="n"/>
      <c r="O22" s="15" t="n"/>
      <c r="P22" s="16" t="n"/>
      <c r="Q22" s="16">
        <f>IF(P22&lt;&gt;"",P22+90,"")</f>
        <v/>
      </c>
      <c r="R22" s="15" t="n"/>
    </row>
    <row r="23">
      <c r="A23" s="15" t="n"/>
      <c r="B23" s="15">
        <f>IFERROR(VLOOKUP(A23,'Source Inventory'!$A$6:$P$55,2,FALSE),"")</f>
        <v/>
      </c>
      <c r="C23" s="15" t="n"/>
      <c r="D23" s="15" t="n"/>
      <c r="E23" s="16" t="n"/>
      <c r="F23" s="15" t="n"/>
      <c r="G23" s="15" t="n"/>
      <c r="H23" s="15" t="n"/>
      <c r="I23" s="15" t="n"/>
      <c r="J23" s="15" t="n"/>
      <c r="K23" s="15" t="n"/>
      <c r="L23" s="15" t="n"/>
      <c r="M23" s="15" t="n"/>
      <c r="N23" s="15" t="n"/>
      <c r="O23" s="15" t="n"/>
      <c r="P23" s="16" t="n"/>
      <c r="Q23" s="16">
        <f>IF(P23&lt;&gt;"",P23+90,"")</f>
        <v/>
      </c>
      <c r="R23" s="15" t="n"/>
    </row>
    <row r="24">
      <c r="A24" s="15" t="n"/>
      <c r="B24" s="15">
        <f>IFERROR(VLOOKUP(A24,'Source Inventory'!$A$6:$P$55,2,FALSE),"")</f>
        <v/>
      </c>
      <c r="C24" s="15" t="n"/>
      <c r="D24" s="15" t="n"/>
      <c r="E24" s="16" t="n"/>
      <c r="F24" s="15" t="n"/>
      <c r="G24" s="15" t="n"/>
      <c r="H24" s="15" t="n"/>
      <c r="I24" s="15" t="n"/>
      <c r="J24" s="15" t="n"/>
      <c r="K24" s="15" t="n"/>
      <c r="L24" s="15" t="n"/>
      <c r="M24" s="15" t="n"/>
      <c r="N24" s="15" t="n"/>
      <c r="O24" s="15" t="n"/>
      <c r="P24" s="16" t="n"/>
      <c r="Q24" s="16">
        <f>IF(P24&lt;&gt;"",P24+90,"")</f>
        <v/>
      </c>
      <c r="R24" s="15" t="n"/>
    </row>
    <row r="25">
      <c r="A25" s="15" t="n"/>
      <c r="B25" s="15">
        <f>IFERROR(VLOOKUP(A25,'Source Inventory'!$A$6:$P$55,2,FALSE),"")</f>
        <v/>
      </c>
      <c r="C25" s="15" t="n"/>
      <c r="D25" s="15" t="n"/>
      <c r="E25" s="16" t="n"/>
      <c r="F25" s="15" t="n"/>
      <c r="G25" s="15" t="n"/>
      <c r="H25" s="15" t="n"/>
      <c r="I25" s="15" t="n"/>
      <c r="J25" s="15" t="n"/>
      <c r="K25" s="15" t="n"/>
      <c r="L25" s="15" t="n"/>
      <c r="M25" s="15" t="n"/>
      <c r="N25" s="15" t="n"/>
      <c r="O25" s="15" t="n"/>
      <c r="P25" s="16" t="n"/>
      <c r="Q25" s="16">
        <f>IF(P25&lt;&gt;"",P25+90,"")</f>
        <v/>
      </c>
      <c r="R25" s="15" t="n"/>
    </row>
    <row r="26">
      <c r="A26" s="15" t="n"/>
      <c r="B26" s="15">
        <f>IFERROR(VLOOKUP(A26,'Source Inventory'!$A$6:$P$55,2,FALSE),"")</f>
        <v/>
      </c>
      <c r="C26" s="15" t="n"/>
      <c r="D26" s="15" t="n"/>
      <c r="E26" s="16" t="n"/>
      <c r="F26" s="15" t="n"/>
      <c r="G26" s="15" t="n"/>
      <c r="H26" s="15" t="n"/>
      <c r="I26" s="15" t="n"/>
      <c r="J26" s="15" t="n"/>
      <c r="K26" s="15" t="n"/>
      <c r="L26" s="15" t="n"/>
      <c r="M26" s="15" t="n"/>
      <c r="N26" s="15" t="n"/>
      <c r="O26" s="15" t="n"/>
      <c r="P26" s="16" t="n"/>
      <c r="Q26" s="16">
        <f>IF(P26&lt;&gt;"",P26+90,"")</f>
        <v/>
      </c>
      <c r="R26" s="15" t="n"/>
    </row>
    <row r="27">
      <c r="A27" s="15" t="n"/>
      <c r="B27" s="15">
        <f>IFERROR(VLOOKUP(A27,'Source Inventory'!$A$6:$P$55,2,FALSE),"")</f>
        <v/>
      </c>
      <c r="C27" s="15" t="n"/>
      <c r="D27" s="15" t="n"/>
      <c r="E27" s="16" t="n"/>
      <c r="F27" s="15" t="n"/>
      <c r="G27" s="15" t="n"/>
      <c r="H27" s="15" t="n"/>
      <c r="I27" s="15" t="n"/>
      <c r="J27" s="15" t="n"/>
      <c r="K27" s="15" t="n"/>
      <c r="L27" s="15" t="n"/>
      <c r="M27" s="15" t="n"/>
      <c r="N27" s="15" t="n"/>
      <c r="O27" s="15" t="n"/>
      <c r="P27" s="16" t="n"/>
      <c r="Q27" s="16">
        <f>IF(P27&lt;&gt;"",P27+90,"")</f>
        <v/>
      </c>
      <c r="R27" s="15" t="n"/>
    </row>
    <row r="28">
      <c r="A28" s="15" t="n"/>
      <c r="B28" s="15">
        <f>IFERROR(VLOOKUP(A28,'Source Inventory'!$A$6:$P$55,2,FALSE),"")</f>
        <v/>
      </c>
      <c r="C28" s="15" t="n"/>
      <c r="D28" s="15" t="n"/>
      <c r="E28" s="16" t="n"/>
      <c r="F28" s="15" t="n"/>
      <c r="G28" s="15" t="n"/>
      <c r="H28" s="15" t="n"/>
      <c r="I28" s="15" t="n"/>
      <c r="J28" s="15" t="n"/>
      <c r="K28" s="15" t="n"/>
      <c r="L28" s="15" t="n"/>
      <c r="M28" s="15" t="n"/>
      <c r="N28" s="15" t="n"/>
      <c r="O28" s="15" t="n"/>
      <c r="P28" s="16" t="n"/>
      <c r="Q28" s="16">
        <f>IF(P28&lt;&gt;"",P28+90,"")</f>
        <v/>
      </c>
      <c r="R28" s="15" t="n"/>
    </row>
    <row r="29">
      <c r="A29" s="15" t="n"/>
      <c r="B29" s="15">
        <f>IFERROR(VLOOKUP(A29,'Source Inventory'!$A$6:$P$55,2,FALSE),"")</f>
        <v/>
      </c>
      <c r="C29" s="15" t="n"/>
      <c r="D29" s="15" t="n"/>
      <c r="E29" s="16" t="n"/>
      <c r="F29" s="15" t="n"/>
      <c r="G29" s="15" t="n"/>
      <c r="H29" s="15" t="n"/>
      <c r="I29" s="15" t="n"/>
      <c r="J29" s="15" t="n"/>
      <c r="K29" s="15" t="n"/>
      <c r="L29" s="15" t="n"/>
      <c r="M29" s="15" t="n"/>
      <c r="N29" s="15" t="n"/>
      <c r="O29" s="15" t="n"/>
      <c r="P29" s="16" t="n"/>
      <c r="Q29" s="16">
        <f>IF(P29&lt;&gt;"",P29+90,"")</f>
        <v/>
      </c>
      <c r="R29" s="15" t="n"/>
    </row>
    <row r="30">
      <c r="A30" s="15" t="n"/>
      <c r="B30" s="15">
        <f>IFERROR(VLOOKUP(A30,'Source Inventory'!$A$6:$P$55,2,FALSE),"")</f>
        <v/>
      </c>
      <c r="C30" s="15" t="n"/>
      <c r="D30" s="15" t="n"/>
      <c r="E30" s="16" t="n"/>
      <c r="F30" s="15" t="n"/>
      <c r="G30" s="15" t="n"/>
      <c r="H30" s="15" t="n"/>
      <c r="I30" s="15" t="n"/>
      <c r="J30" s="15" t="n"/>
      <c r="K30" s="15" t="n"/>
      <c r="L30" s="15" t="n"/>
      <c r="M30" s="15" t="n"/>
      <c r="N30" s="15" t="n"/>
      <c r="O30" s="15" t="n"/>
      <c r="P30" s="16" t="n"/>
      <c r="Q30" s="16">
        <f>IF(P30&lt;&gt;"",P30+90,"")</f>
        <v/>
      </c>
      <c r="R30" s="15" t="n"/>
    </row>
    <row r="31">
      <c r="A31" s="15" t="n"/>
      <c r="B31" s="15">
        <f>IFERROR(VLOOKUP(A31,'Source Inventory'!$A$6:$P$55,2,FALSE),"")</f>
        <v/>
      </c>
      <c r="C31" s="15" t="n"/>
      <c r="D31" s="15" t="n"/>
      <c r="E31" s="16" t="n"/>
      <c r="F31" s="15" t="n"/>
      <c r="G31" s="15" t="n"/>
      <c r="H31" s="15" t="n"/>
      <c r="I31" s="15" t="n"/>
      <c r="J31" s="15" t="n"/>
      <c r="K31" s="15" t="n"/>
      <c r="L31" s="15" t="n"/>
      <c r="M31" s="15" t="n"/>
      <c r="N31" s="15" t="n"/>
      <c r="O31" s="15" t="n"/>
      <c r="P31" s="16" t="n"/>
      <c r="Q31" s="16">
        <f>IF(P31&lt;&gt;"",P31+90,"")</f>
        <v/>
      </c>
      <c r="R31" s="15" t="n"/>
    </row>
    <row r="32">
      <c r="A32" s="15" t="n"/>
      <c r="B32" s="15">
        <f>IFERROR(VLOOKUP(A32,'Source Inventory'!$A$6:$P$55,2,FALSE),"")</f>
        <v/>
      </c>
      <c r="C32" s="15" t="n"/>
      <c r="D32" s="15" t="n"/>
      <c r="E32" s="16" t="n"/>
      <c r="F32" s="15" t="n"/>
      <c r="G32" s="15" t="n"/>
      <c r="H32" s="15" t="n"/>
      <c r="I32" s="15" t="n"/>
      <c r="J32" s="15" t="n"/>
      <c r="K32" s="15" t="n"/>
      <c r="L32" s="15" t="n"/>
      <c r="M32" s="15" t="n"/>
      <c r="N32" s="15" t="n"/>
      <c r="O32" s="15" t="n"/>
      <c r="P32" s="16" t="n"/>
      <c r="Q32" s="16">
        <f>IF(P32&lt;&gt;"",P32+90,"")</f>
        <v/>
      </c>
      <c r="R32" s="15" t="n"/>
    </row>
    <row r="33">
      <c r="A33" s="15" t="n"/>
      <c r="B33" s="15">
        <f>IFERROR(VLOOKUP(A33,'Source Inventory'!$A$6:$P$55,2,FALSE),"")</f>
        <v/>
      </c>
      <c r="C33" s="15" t="n"/>
      <c r="D33" s="15" t="n"/>
      <c r="E33" s="16" t="n"/>
      <c r="F33" s="15" t="n"/>
      <c r="G33" s="15" t="n"/>
      <c r="H33" s="15" t="n"/>
      <c r="I33" s="15" t="n"/>
      <c r="J33" s="15" t="n"/>
      <c r="K33" s="15" t="n"/>
      <c r="L33" s="15" t="n"/>
      <c r="M33" s="15" t="n"/>
      <c r="N33" s="15" t="n"/>
      <c r="O33" s="15" t="n"/>
      <c r="P33" s="16" t="n"/>
      <c r="Q33" s="16">
        <f>IF(P33&lt;&gt;"",P33+90,"")</f>
        <v/>
      </c>
      <c r="R33" s="15" t="n"/>
    </row>
    <row r="34">
      <c r="A34" s="15" t="n"/>
      <c r="B34" s="15">
        <f>IFERROR(VLOOKUP(A34,'Source Inventory'!$A$6:$P$55,2,FALSE),"")</f>
        <v/>
      </c>
      <c r="C34" s="15" t="n"/>
      <c r="D34" s="15" t="n"/>
      <c r="E34" s="16" t="n"/>
      <c r="F34" s="15" t="n"/>
      <c r="G34" s="15" t="n"/>
      <c r="H34" s="15" t="n"/>
      <c r="I34" s="15" t="n"/>
      <c r="J34" s="15" t="n"/>
      <c r="K34" s="15" t="n"/>
      <c r="L34" s="15" t="n"/>
      <c r="M34" s="15" t="n"/>
      <c r="N34" s="15" t="n"/>
      <c r="O34" s="15" t="n"/>
      <c r="P34" s="16" t="n"/>
      <c r="Q34" s="16">
        <f>IF(P34&lt;&gt;"",P34+90,"")</f>
        <v/>
      </c>
      <c r="R34" s="15" t="n"/>
    </row>
    <row r="35">
      <c r="A35" s="15" t="n"/>
      <c r="B35" s="15">
        <f>IFERROR(VLOOKUP(A35,'Source Inventory'!$A$6:$P$55,2,FALSE),"")</f>
        <v/>
      </c>
      <c r="C35" s="15" t="n"/>
      <c r="D35" s="15" t="n"/>
      <c r="E35" s="16" t="n"/>
      <c r="F35" s="15" t="n"/>
      <c r="G35" s="15" t="n"/>
      <c r="H35" s="15" t="n"/>
      <c r="I35" s="15" t="n"/>
      <c r="J35" s="15" t="n"/>
      <c r="K35" s="15" t="n"/>
      <c r="L35" s="15" t="n"/>
      <c r="M35" s="15" t="n"/>
      <c r="N35" s="15" t="n"/>
      <c r="O35" s="15" t="n"/>
      <c r="P35" s="16" t="n"/>
      <c r="Q35" s="16">
        <f>IF(P35&lt;&gt;"",P35+90,"")</f>
        <v/>
      </c>
      <c r="R35" s="15" t="n"/>
    </row>
    <row r="36">
      <c r="A36" s="15" t="n"/>
      <c r="B36" s="15">
        <f>IFERROR(VLOOKUP(A36,'Source Inventory'!$A$6:$P$55,2,FALSE),"")</f>
        <v/>
      </c>
      <c r="C36" s="15" t="n"/>
      <c r="D36" s="15" t="n"/>
      <c r="E36" s="16" t="n"/>
      <c r="F36" s="15" t="n"/>
      <c r="G36" s="15" t="n"/>
      <c r="H36" s="15" t="n"/>
      <c r="I36" s="15" t="n"/>
      <c r="J36" s="15" t="n"/>
      <c r="K36" s="15" t="n"/>
      <c r="L36" s="15" t="n"/>
      <c r="M36" s="15" t="n"/>
      <c r="N36" s="15" t="n"/>
      <c r="O36" s="15" t="n"/>
      <c r="P36" s="16" t="n"/>
      <c r="Q36" s="16">
        <f>IF(P36&lt;&gt;"",P36+90,"")</f>
        <v/>
      </c>
      <c r="R36" s="15" t="n"/>
    </row>
    <row r="37">
      <c r="A37" s="15" t="n"/>
      <c r="B37" s="15">
        <f>IFERROR(VLOOKUP(A37,'Source Inventory'!$A$6:$P$55,2,FALSE),"")</f>
        <v/>
      </c>
      <c r="C37" s="15" t="n"/>
      <c r="D37" s="15" t="n"/>
      <c r="E37" s="16" t="n"/>
      <c r="F37" s="15" t="n"/>
      <c r="G37" s="15" t="n"/>
      <c r="H37" s="15" t="n"/>
      <c r="I37" s="15" t="n"/>
      <c r="J37" s="15" t="n"/>
      <c r="K37" s="15" t="n"/>
      <c r="L37" s="15" t="n"/>
      <c r="M37" s="15" t="n"/>
      <c r="N37" s="15" t="n"/>
      <c r="O37" s="15" t="n"/>
      <c r="P37" s="16" t="n"/>
      <c r="Q37" s="16">
        <f>IF(P37&lt;&gt;"",P37+90,"")</f>
        <v/>
      </c>
      <c r="R37" s="15" t="n"/>
    </row>
    <row r="38">
      <c r="A38" s="15" t="n"/>
      <c r="B38" s="15">
        <f>IFERROR(VLOOKUP(A38,'Source Inventory'!$A$6:$P$55,2,FALSE),"")</f>
        <v/>
      </c>
      <c r="C38" s="15" t="n"/>
      <c r="D38" s="15" t="n"/>
      <c r="E38" s="16" t="n"/>
      <c r="F38" s="15" t="n"/>
      <c r="G38" s="15" t="n"/>
      <c r="H38" s="15" t="n"/>
      <c r="I38" s="15" t="n"/>
      <c r="J38" s="15" t="n"/>
      <c r="K38" s="15" t="n"/>
      <c r="L38" s="15" t="n"/>
      <c r="M38" s="15" t="n"/>
      <c r="N38" s="15" t="n"/>
      <c r="O38" s="15" t="n"/>
      <c r="P38" s="16" t="n"/>
      <c r="Q38" s="16">
        <f>IF(P38&lt;&gt;"",P38+90,"")</f>
        <v/>
      </c>
      <c r="R38" s="15" t="n"/>
    </row>
    <row r="39">
      <c r="A39" s="15" t="n"/>
      <c r="B39" s="15">
        <f>IFERROR(VLOOKUP(A39,'Source Inventory'!$A$6:$P$55,2,FALSE),"")</f>
        <v/>
      </c>
      <c r="C39" s="15" t="n"/>
      <c r="D39" s="15" t="n"/>
      <c r="E39" s="16" t="n"/>
      <c r="F39" s="15" t="n"/>
      <c r="G39" s="15" t="n"/>
      <c r="H39" s="15" t="n"/>
      <c r="I39" s="15" t="n"/>
      <c r="J39" s="15" t="n"/>
      <c r="K39" s="15" t="n"/>
      <c r="L39" s="15" t="n"/>
      <c r="M39" s="15" t="n"/>
      <c r="N39" s="15" t="n"/>
      <c r="O39" s="15" t="n"/>
      <c r="P39" s="16" t="n"/>
      <c r="Q39" s="16">
        <f>IF(P39&lt;&gt;"",P39+90,"")</f>
        <v/>
      </c>
      <c r="R39" s="15" t="n"/>
    </row>
    <row r="40">
      <c r="A40" s="15" t="n"/>
      <c r="B40" s="15">
        <f>IFERROR(VLOOKUP(A40,'Source Inventory'!$A$6:$P$55,2,FALSE),"")</f>
        <v/>
      </c>
      <c r="C40" s="15" t="n"/>
      <c r="D40" s="15" t="n"/>
      <c r="E40" s="16" t="n"/>
      <c r="F40" s="15" t="n"/>
      <c r="G40" s="15" t="n"/>
      <c r="H40" s="15" t="n"/>
      <c r="I40" s="15" t="n"/>
      <c r="J40" s="15" t="n"/>
      <c r="K40" s="15" t="n"/>
      <c r="L40" s="15" t="n"/>
      <c r="M40" s="15" t="n"/>
      <c r="N40" s="15" t="n"/>
      <c r="O40" s="15" t="n"/>
      <c r="P40" s="16" t="n"/>
      <c r="Q40" s="16">
        <f>IF(P40&lt;&gt;"",P40+90,"")</f>
        <v/>
      </c>
      <c r="R40" s="15" t="n"/>
    </row>
    <row r="41">
      <c r="A41" s="15" t="n"/>
      <c r="B41" s="15">
        <f>IFERROR(VLOOKUP(A41,'Source Inventory'!$A$6:$P$55,2,FALSE),"")</f>
        <v/>
      </c>
      <c r="C41" s="15" t="n"/>
      <c r="D41" s="15" t="n"/>
      <c r="E41" s="16" t="n"/>
      <c r="F41" s="15" t="n"/>
      <c r="G41" s="15" t="n"/>
      <c r="H41" s="15" t="n"/>
      <c r="I41" s="15" t="n"/>
      <c r="J41" s="15" t="n"/>
      <c r="K41" s="15" t="n"/>
      <c r="L41" s="15" t="n"/>
      <c r="M41" s="15" t="n"/>
      <c r="N41" s="15" t="n"/>
      <c r="O41" s="15" t="n"/>
      <c r="P41" s="16" t="n"/>
      <c r="Q41" s="16">
        <f>IF(P41&lt;&gt;"",P41+90,"")</f>
        <v/>
      </c>
      <c r="R41" s="15" t="n"/>
    </row>
    <row r="42">
      <c r="A42" s="15" t="n"/>
      <c r="B42" s="15">
        <f>IFERROR(VLOOKUP(A42,'Source Inventory'!$A$6:$P$55,2,FALSE),"")</f>
        <v/>
      </c>
      <c r="C42" s="15" t="n"/>
      <c r="D42" s="15" t="n"/>
      <c r="E42" s="16" t="n"/>
      <c r="F42" s="15" t="n"/>
      <c r="G42" s="15" t="n"/>
      <c r="H42" s="15" t="n"/>
      <c r="I42" s="15" t="n"/>
      <c r="J42" s="15" t="n"/>
      <c r="K42" s="15" t="n"/>
      <c r="L42" s="15" t="n"/>
      <c r="M42" s="15" t="n"/>
      <c r="N42" s="15" t="n"/>
      <c r="O42" s="15" t="n"/>
      <c r="P42" s="16" t="n"/>
      <c r="Q42" s="16">
        <f>IF(P42&lt;&gt;"",P42+90,"")</f>
        <v/>
      </c>
      <c r="R42" s="15" t="n"/>
    </row>
    <row r="43">
      <c r="A43" s="15" t="n"/>
      <c r="B43" s="15">
        <f>IFERROR(VLOOKUP(A43,'Source Inventory'!$A$6:$P$55,2,FALSE),"")</f>
        <v/>
      </c>
      <c r="C43" s="15" t="n"/>
      <c r="D43" s="15" t="n"/>
      <c r="E43" s="16" t="n"/>
      <c r="F43" s="15" t="n"/>
      <c r="G43" s="15" t="n"/>
      <c r="H43" s="15" t="n"/>
      <c r="I43" s="15" t="n"/>
      <c r="J43" s="15" t="n"/>
      <c r="K43" s="15" t="n"/>
      <c r="L43" s="15" t="n"/>
      <c r="M43" s="15" t="n"/>
      <c r="N43" s="15" t="n"/>
      <c r="O43" s="15" t="n"/>
      <c r="P43" s="16" t="n"/>
      <c r="Q43" s="16">
        <f>IF(P43&lt;&gt;"",P43+90,"")</f>
        <v/>
      </c>
      <c r="R43" s="15" t="n"/>
    </row>
    <row r="44">
      <c r="A44" s="15" t="n"/>
      <c r="B44" s="15">
        <f>IFERROR(VLOOKUP(A44,'Source Inventory'!$A$6:$P$55,2,FALSE),"")</f>
        <v/>
      </c>
      <c r="C44" s="15" t="n"/>
      <c r="D44" s="15" t="n"/>
      <c r="E44" s="16" t="n"/>
      <c r="F44" s="15" t="n"/>
      <c r="G44" s="15" t="n"/>
      <c r="H44" s="15" t="n"/>
      <c r="I44" s="15" t="n"/>
      <c r="J44" s="15" t="n"/>
      <c r="K44" s="15" t="n"/>
      <c r="L44" s="15" t="n"/>
      <c r="M44" s="15" t="n"/>
      <c r="N44" s="15" t="n"/>
      <c r="O44" s="15" t="n"/>
      <c r="P44" s="16" t="n"/>
      <c r="Q44" s="16">
        <f>IF(P44&lt;&gt;"",P44+90,"")</f>
        <v/>
      </c>
      <c r="R44" s="15" t="n"/>
    </row>
    <row r="45">
      <c r="A45" s="15" t="n"/>
      <c r="B45" s="15">
        <f>IFERROR(VLOOKUP(A45,'Source Inventory'!$A$6:$P$55,2,FALSE),"")</f>
        <v/>
      </c>
      <c r="C45" s="15" t="n"/>
      <c r="D45" s="15" t="n"/>
      <c r="E45" s="16" t="n"/>
      <c r="F45" s="15" t="n"/>
      <c r="G45" s="15" t="n"/>
      <c r="H45" s="15" t="n"/>
      <c r="I45" s="15" t="n"/>
      <c r="J45" s="15" t="n"/>
      <c r="K45" s="15" t="n"/>
      <c r="L45" s="15" t="n"/>
      <c r="M45" s="15" t="n"/>
      <c r="N45" s="15" t="n"/>
      <c r="O45" s="15" t="n"/>
      <c r="P45" s="16" t="n"/>
      <c r="Q45" s="16">
        <f>IF(P45&lt;&gt;"",P45+90,"")</f>
        <v/>
      </c>
      <c r="R45" s="15" t="n"/>
    </row>
    <row r="46">
      <c r="A46" s="15" t="n"/>
      <c r="B46" s="15">
        <f>IFERROR(VLOOKUP(A46,'Source Inventory'!$A$6:$P$55,2,FALSE),"")</f>
        <v/>
      </c>
      <c r="C46" s="15" t="n"/>
      <c r="D46" s="15" t="n"/>
      <c r="E46" s="16" t="n"/>
      <c r="F46" s="15" t="n"/>
      <c r="G46" s="15" t="n"/>
      <c r="H46" s="15" t="n"/>
      <c r="I46" s="15" t="n"/>
      <c r="J46" s="15" t="n"/>
      <c r="K46" s="15" t="n"/>
      <c r="L46" s="15" t="n"/>
      <c r="M46" s="15" t="n"/>
      <c r="N46" s="15" t="n"/>
      <c r="O46" s="15" t="n"/>
      <c r="P46" s="16" t="n"/>
      <c r="Q46" s="16">
        <f>IF(P46&lt;&gt;"",P46+90,"")</f>
        <v/>
      </c>
      <c r="R46" s="15" t="n"/>
    </row>
    <row r="47">
      <c r="A47" s="15" t="n"/>
      <c r="B47" s="15">
        <f>IFERROR(VLOOKUP(A47,'Source Inventory'!$A$6:$P$55,2,FALSE),"")</f>
        <v/>
      </c>
      <c r="C47" s="15" t="n"/>
      <c r="D47" s="15" t="n"/>
      <c r="E47" s="16" t="n"/>
      <c r="F47" s="15" t="n"/>
      <c r="G47" s="15" t="n"/>
      <c r="H47" s="15" t="n"/>
      <c r="I47" s="15" t="n"/>
      <c r="J47" s="15" t="n"/>
      <c r="K47" s="15" t="n"/>
      <c r="L47" s="15" t="n"/>
      <c r="M47" s="15" t="n"/>
      <c r="N47" s="15" t="n"/>
      <c r="O47" s="15" t="n"/>
      <c r="P47" s="16" t="n"/>
      <c r="Q47" s="16">
        <f>IF(P47&lt;&gt;"",P47+90,"")</f>
        <v/>
      </c>
      <c r="R47" s="15" t="n"/>
    </row>
    <row r="48">
      <c r="A48" s="15" t="n"/>
      <c r="B48" s="15">
        <f>IFERROR(VLOOKUP(A48,'Source Inventory'!$A$6:$P$55,2,FALSE),"")</f>
        <v/>
      </c>
      <c r="C48" s="15" t="n"/>
      <c r="D48" s="15" t="n"/>
      <c r="E48" s="16" t="n"/>
      <c r="F48" s="15" t="n"/>
      <c r="G48" s="15" t="n"/>
      <c r="H48" s="15" t="n"/>
      <c r="I48" s="15" t="n"/>
      <c r="J48" s="15" t="n"/>
      <c r="K48" s="15" t="n"/>
      <c r="L48" s="15" t="n"/>
      <c r="M48" s="15" t="n"/>
      <c r="N48" s="15" t="n"/>
      <c r="O48" s="15" t="n"/>
      <c r="P48" s="16" t="n"/>
      <c r="Q48" s="16">
        <f>IF(P48&lt;&gt;"",P48+90,"")</f>
        <v/>
      </c>
      <c r="R48" s="15" t="n"/>
    </row>
    <row r="49">
      <c r="A49" s="15" t="n"/>
      <c r="B49" s="15">
        <f>IFERROR(VLOOKUP(A49,'Source Inventory'!$A$6:$P$55,2,FALSE),"")</f>
        <v/>
      </c>
      <c r="C49" s="15" t="n"/>
      <c r="D49" s="15" t="n"/>
      <c r="E49" s="16" t="n"/>
      <c r="F49" s="15" t="n"/>
      <c r="G49" s="15" t="n"/>
      <c r="H49" s="15" t="n"/>
      <c r="I49" s="15" t="n"/>
      <c r="J49" s="15" t="n"/>
      <c r="K49" s="15" t="n"/>
      <c r="L49" s="15" t="n"/>
      <c r="M49" s="15" t="n"/>
      <c r="N49" s="15" t="n"/>
      <c r="O49" s="15" t="n"/>
      <c r="P49" s="16" t="n"/>
      <c r="Q49" s="16">
        <f>IF(P49&lt;&gt;"",P49+90,"")</f>
        <v/>
      </c>
      <c r="R49" s="15" t="n"/>
    </row>
    <row r="50">
      <c r="A50" s="15" t="n"/>
      <c r="B50" s="15">
        <f>IFERROR(VLOOKUP(A50,'Source Inventory'!$A$6:$P$55,2,FALSE),"")</f>
        <v/>
      </c>
      <c r="C50" s="15" t="n"/>
      <c r="D50" s="15" t="n"/>
      <c r="E50" s="16" t="n"/>
      <c r="F50" s="15" t="n"/>
      <c r="G50" s="15" t="n"/>
      <c r="H50" s="15" t="n"/>
      <c r="I50" s="15" t="n"/>
      <c r="J50" s="15" t="n"/>
      <c r="K50" s="15" t="n"/>
      <c r="L50" s="15" t="n"/>
      <c r="M50" s="15" t="n"/>
      <c r="N50" s="15" t="n"/>
      <c r="O50" s="15" t="n"/>
      <c r="P50" s="16" t="n"/>
      <c r="Q50" s="16">
        <f>IF(P50&lt;&gt;"",P50+90,"")</f>
        <v/>
      </c>
      <c r="R50" s="15" t="n"/>
    </row>
    <row r="51">
      <c r="A51" s="15" t="n"/>
      <c r="B51" s="15">
        <f>IFERROR(VLOOKUP(A51,'Source Inventory'!$A$6:$P$55,2,FALSE),"")</f>
        <v/>
      </c>
      <c r="C51" s="15" t="n"/>
      <c r="D51" s="15" t="n"/>
      <c r="E51" s="16" t="n"/>
      <c r="F51" s="15" t="n"/>
      <c r="G51" s="15" t="n"/>
      <c r="H51" s="15" t="n"/>
      <c r="I51" s="15" t="n"/>
      <c r="J51" s="15" t="n"/>
      <c r="K51" s="15" t="n"/>
      <c r="L51" s="15" t="n"/>
      <c r="M51" s="15" t="n"/>
      <c r="N51" s="15" t="n"/>
      <c r="O51" s="15" t="n"/>
      <c r="P51" s="16" t="n"/>
      <c r="Q51" s="16">
        <f>IF(P51&lt;&gt;"",P51+90,"")</f>
        <v/>
      </c>
      <c r="R51" s="15" t="n"/>
    </row>
    <row r="52">
      <c r="A52" s="15" t="n"/>
      <c r="B52" s="15">
        <f>IFERROR(VLOOKUP(A52,'Source Inventory'!$A$6:$P$55,2,FALSE),"")</f>
        <v/>
      </c>
      <c r="C52" s="15" t="n"/>
      <c r="D52" s="15" t="n"/>
      <c r="E52" s="16" t="n"/>
      <c r="F52" s="15" t="n"/>
      <c r="G52" s="15" t="n"/>
      <c r="H52" s="15" t="n"/>
      <c r="I52" s="15" t="n"/>
      <c r="J52" s="15" t="n"/>
      <c r="K52" s="15" t="n"/>
      <c r="L52" s="15" t="n"/>
      <c r="M52" s="15" t="n"/>
      <c r="N52" s="15" t="n"/>
      <c r="O52" s="15" t="n"/>
      <c r="P52" s="16" t="n"/>
      <c r="Q52" s="16">
        <f>IF(P52&lt;&gt;"",P52+90,"")</f>
        <v/>
      </c>
      <c r="R52" s="15" t="n"/>
    </row>
    <row r="53">
      <c r="A53" s="15" t="n"/>
      <c r="B53" s="15">
        <f>IFERROR(VLOOKUP(A53,'Source Inventory'!$A$6:$P$55,2,FALSE),"")</f>
        <v/>
      </c>
      <c r="C53" s="15" t="n"/>
      <c r="D53" s="15" t="n"/>
      <c r="E53" s="16" t="n"/>
      <c r="F53" s="15" t="n"/>
      <c r="G53" s="15" t="n"/>
      <c r="H53" s="15" t="n"/>
      <c r="I53" s="15" t="n"/>
      <c r="J53" s="15" t="n"/>
      <c r="K53" s="15" t="n"/>
      <c r="L53" s="15" t="n"/>
      <c r="M53" s="15" t="n"/>
      <c r="N53" s="15" t="n"/>
      <c r="O53" s="15" t="n"/>
      <c r="P53" s="16" t="n"/>
      <c r="Q53" s="16">
        <f>IF(P53&lt;&gt;"",P53+90,"")</f>
        <v/>
      </c>
      <c r="R53" s="15" t="n"/>
    </row>
    <row r="54">
      <c r="A54" s="15" t="n"/>
      <c r="B54" s="15">
        <f>IFERROR(VLOOKUP(A54,'Source Inventory'!$A$6:$P$55,2,FALSE),"")</f>
        <v/>
      </c>
      <c r="C54" s="15" t="n"/>
      <c r="D54" s="15" t="n"/>
      <c r="E54" s="16" t="n"/>
      <c r="F54" s="15" t="n"/>
      <c r="G54" s="15" t="n"/>
      <c r="H54" s="15" t="n"/>
      <c r="I54" s="15" t="n"/>
      <c r="J54" s="15" t="n"/>
      <c r="K54" s="15" t="n"/>
      <c r="L54" s="15" t="n"/>
      <c r="M54" s="15" t="n"/>
      <c r="N54" s="15" t="n"/>
      <c r="O54" s="15" t="n"/>
      <c r="P54" s="16" t="n"/>
      <c r="Q54" s="16">
        <f>IF(P54&lt;&gt;"",P54+90,"")</f>
        <v/>
      </c>
      <c r="R54" s="15" t="n"/>
    </row>
    <row r="55">
      <c r="A55" s="15" t="n"/>
      <c r="B55" s="15">
        <f>IFERROR(VLOOKUP(A55,'Source Inventory'!$A$6:$P$55,2,FALSE),"")</f>
        <v/>
      </c>
      <c r="C55" s="15" t="n"/>
      <c r="D55" s="15" t="n"/>
      <c r="E55" s="16" t="n"/>
      <c r="F55" s="15" t="n"/>
      <c r="G55" s="15" t="n"/>
      <c r="H55" s="15" t="n"/>
      <c r="I55" s="15" t="n"/>
      <c r="J55" s="15" t="n"/>
      <c r="K55" s="15" t="n"/>
      <c r="L55" s="15" t="n"/>
      <c r="M55" s="15" t="n"/>
      <c r="N55" s="15" t="n"/>
      <c r="O55" s="15" t="n"/>
      <c r="P55" s="16" t="n"/>
      <c r="Q55" s="16">
        <f>IF(P55&lt;&gt;"",P55+90,"")</f>
        <v/>
      </c>
      <c r="R55" s="15" t="n"/>
    </row>
  </sheetData>
  <mergeCells count="2">
    <mergeCell ref="A2:R2"/>
    <mergeCell ref="A1:R1"/>
  </mergeCells>
  <conditionalFormatting sqref="I6:I55">
    <cfRule type="cellIs" priority="1" operator="equal" dxfId="4">
      <formula>"No"</formula>
    </cfRule>
  </conditionalFormatting>
  <dataValidations count="2">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2" customWidth="1" min="3" max="3"/>
    <col width="25" customWidth="1" min="4" max="4"/>
    <col width="25" customWidth="1" min="5" max="5"/>
    <col width="30" customWidth="1" min="6" max="6"/>
    <col width="18" customWidth="1" min="7" max="7"/>
    <col width="18" customWidth="1" min="8" max="8"/>
    <col width="18" customWidth="1" min="9" max="9"/>
    <col width="30" customWidth="1" min="10" max="10"/>
    <col width="25" customWidth="1" min="11" max="11"/>
    <col width="20" customWidth="1" min="12" max="12"/>
    <col width="18" customWidth="1" min="13" max="13"/>
    <col width="30" customWidth="1" min="14" max="14"/>
    <col width="18" customWidth="1" min="15" max="15"/>
    <col width="18" customWidth="1" min="16" max="16"/>
    <col width="18" customWidth="1" min="17" max="17"/>
    <col width="25" customWidth="1" min="18" max="18"/>
    <col width="18" customWidth="1" min="19" max="19"/>
    <col width="18" customWidth="1" min="20" max="20"/>
    <col width="35" customWidth="1" min="21" max="21"/>
  </cols>
  <sheetData>
    <row r="1" ht="35" customHeight="1">
      <c r="A1" s="51" t="inlineStr">
        <is>
          <t>SOURCE CONTACTS - VENDOR ESCALATION AND SUPPORT</t>
        </is>
      </c>
      <c r="B1" s="6" t="n"/>
      <c r="C1" s="6" t="n"/>
      <c r="D1" s="6" t="n"/>
      <c r="E1" s="6" t="n"/>
      <c r="F1" s="6" t="n"/>
      <c r="G1" s="6" t="n"/>
      <c r="H1" s="6" t="n"/>
      <c r="I1" s="6" t="n"/>
      <c r="J1" s="6" t="n"/>
      <c r="K1" s="6" t="n"/>
      <c r="L1" s="6" t="n"/>
      <c r="M1" s="6" t="n"/>
      <c r="N1" s="6" t="n"/>
      <c r="O1" s="6" t="n"/>
      <c r="P1" s="6" t="n"/>
      <c r="Q1" s="6" t="n"/>
      <c r="R1" s="6" t="n"/>
      <c r="S1" s="6" t="n"/>
      <c r="T1" s="6" t="n"/>
      <c r="U1" s="6" t="n"/>
    </row>
    <row r="2">
      <c r="A2" s="17" t="inlineStr">
        <is>
          <t>ISO/IEC 27001:2022 | Control A.5.7 | Vendor escalation contacts and support channels for all threat intelligence sources</t>
        </is>
      </c>
    </row>
    <row r="4">
      <c r="A4" s="13" t="inlineStr">
        <is>
          <t>Source ID</t>
        </is>
      </c>
      <c r="B4" s="13" t="inlineStr">
        <is>
          <t>Source Name</t>
        </is>
      </c>
      <c r="C4" s="13" t="inlineStr">
        <is>
          <t>Contact Type</t>
        </is>
      </c>
      <c r="D4" s="13" t="inlineStr">
        <is>
          <t>Contact Name</t>
        </is>
      </c>
      <c r="E4" s="13" t="inlineStr">
        <is>
          <t>Contact Title</t>
        </is>
      </c>
      <c r="F4" s="13" t="inlineStr">
        <is>
          <t>Contact Email</t>
        </is>
      </c>
      <c r="G4" s="13" t="inlineStr">
        <is>
          <t>Contact Phone</t>
        </is>
      </c>
      <c r="H4" s="13" t="inlineStr">
        <is>
          <t>Contact Region</t>
        </is>
      </c>
      <c r="I4" s="13" t="inlineStr">
        <is>
          <t>Availability</t>
        </is>
      </c>
      <c r="J4" s="13" t="inlineStr">
        <is>
          <t>Escalation Path</t>
        </is>
      </c>
      <c r="K4" s="13" t="inlineStr">
        <is>
          <t>Preferred Contact Method</t>
        </is>
      </c>
      <c r="L4" s="13" t="inlineStr">
        <is>
          <t>Language Supported</t>
        </is>
      </c>
      <c r="M4" s="13" t="inlineStr">
        <is>
          <t>Last Contact Date</t>
        </is>
      </c>
      <c r="N4" s="13" t="inlineStr">
        <is>
          <t>Last Contact Reason</t>
        </is>
      </c>
      <c r="O4" s="13" t="inlineStr">
        <is>
          <t>Response Quality</t>
        </is>
      </c>
      <c r="P4" s="13" t="inlineStr">
        <is>
          <t>Response Time</t>
        </is>
      </c>
      <c r="Q4" s="13" t="inlineStr">
        <is>
          <t>Contact Status</t>
        </is>
      </c>
      <c r="R4" s="13" t="inlineStr">
        <is>
          <t>Replacement Contact</t>
        </is>
      </c>
      <c r="S4" s="13" t="inlineStr">
        <is>
          <t>Last Verified</t>
        </is>
      </c>
      <c r="T4" s="13" t="inlineStr">
        <is>
          <t>Next Verification</t>
        </is>
      </c>
      <c r="U4" s="13" t="inlineStr">
        <is>
          <t>Notes</t>
        </is>
      </c>
    </row>
    <row r="5">
      <c r="A5" s="14" t="inlineStr">
        <is>
          <t>SRC-001</t>
        </is>
      </c>
      <c r="B5" s="14" t="inlineStr">
        <is>
          <t>MISP Community Feed</t>
        </is>
      </c>
      <c r="C5" s="14" t="inlineStr">
        <is>
          <t>Technical Support</t>
        </is>
      </c>
      <c r="D5" s="14" t="inlineStr">
        <is>
          <t>Jean-Marc Leroux</t>
        </is>
      </c>
      <c r="E5" s="14" t="inlineStr">
        <is>
          <t>Senior Threat Analyst</t>
        </is>
      </c>
      <c r="F5" s="14" t="inlineStr">
        <is>
          <t>jm.leroux@circl.lu</t>
        </is>
      </c>
      <c r="G5" s="14" t="inlineStr">
        <is>
          <t>+352 621 000001</t>
        </is>
      </c>
      <c r="H5" s="14" t="inlineStr">
        <is>
          <t>Europe</t>
        </is>
      </c>
      <c r="I5" s="14" t="inlineStr">
        <is>
          <t>Business Hours CET</t>
        </is>
      </c>
      <c r="J5" s="14" t="inlineStr">
        <is>
          <t>Email → Phone → Escalation Manager</t>
        </is>
      </c>
      <c r="K5" s="14" t="inlineStr">
        <is>
          <t>Email</t>
        </is>
      </c>
      <c r="L5" s="14" t="inlineStr">
        <is>
          <t>English, French</t>
        </is>
      </c>
      <c r="M5" s="14" t="inlineStr">
        <is>
          <t>10.01.2025</t>
        </is>
      </c>
      <c r="N5" s="14" t="inlineStr">
        <is>
          <t>API integration query</t>
        </is>
      </c>
      <c r="O5" s="14" t="inlineStr">
        <is>
          <t>Excellent</t>
        </is>
      </c>
      <c r="P5" s="14" t="inlineStr">
        <is>
          <t>&lt; 4 hours</t>
        </is>
      </c>
      <c r="Q5" s="14" t="inlineStr">
        <is>
          <t>Active</t>
        </is>
      </c>
      <c r="R5" s="14" t="inlineStr"/>
      <c r="S5" s="14" t="inlineStr">
        <is>
          <t>01.01.2025</t>
        </is>
      </c>
      <c r="T5" s="14" t="inlineStr">
        <is>
          <t>01.07.2025</t>
        </is>
      </c>
      <c r="U5" s="14" t="inlineStr">
        <is>
          <t>Primary technical contact for API issues</t>
        </is>
      </c>
    </row>
    <row r="6">
      <c r="A6" s="15" t="n"/>
      <c r="B6" s="15">
        <f>IFERROR(VLOOKUP(A6,'Source Inventory'!$A$6:$P$55,2,FALSE),"")</f>
        <v/>
      </c>
      <c r="C6" s="15" t="n"/>
      <c r="D6" s="15" t="n"/>
      <c r="E6" s="15" t="n"/>
      <c r="F6" s="15" t="n"/>
      <c r="G6" s="15" t="n"/>
      <c r="H6" s="15" t="n"/>
      <c r="I6" s="15" t="n"/>
      <c r="J6" s="15" t="n"/>
      <c r="K6" s="15" t="n"/>
      <c r="L6" s="15" t="n"/>
      <c r="M6" s="16" t="n"/>
      <c r="N6" s="15" t="n"/>
      <c r="O6" s="15" t="n"/>
      <c r="P6" s="15" t="n"/>
      <c r="Q6" s="15" t="n"/>
      <c r="R6" s="15" t="n"/>
      <c r="S6" s="16" t="n"/>
      <c r="T6" s="16">
        <f>IF(S6&lt;&gt;"",S6+180,"")</f>
        <v/>
      </c>
      <c r="U6" s="15" t="n"/>
    </row>
    <row r="7">
      <c r="A7" s="15" t="n"/>
      <c r="B7" s="15">
        <f>IFERROR(VLOOKUP(A7,'Source Inventory'!$A$6:$P$55,2,FALSE),"")</f>
        <v/>
      </c>
      <c r="C7" s="15" t="n"/>
      <c r="D7" s="15" t="n"/>
      <c r="E7" s="15" t="n"/>
      <c r="F7" s="15" t="n"/>
      <c r="G7" s="15" t="n"/>
      <c r="H7" s="15" t="n"/>
      <c r="I7" s="15" t="n"/>
      <c r="J7" s="15" t="n"/>
      <c r="K7" s="15" t="n"/>
      <c r="L7" s="15" t="n"/>
      <c r="M7" s="16" t="n"/>
      <c r="N7" s="15" t="n"/>
      <c r="O7" s="15" t="n"/>
      <c r="P7" s="15" t="n"/>
      <c r="Q7" s="15" t="n"/>
      <c r="R7" s="15" t="n"/>
      <c r="S7" s="16" t="n"/>
      <c r="T7" s="16">
        <f>IF(S7&lt;&gt;"",S7+180,"")</f>
        <v/>
      </c>
      <c r="U7" s="15" t="n"/>
    </row>
    <row r="8">
      <c r="A8" s="15" t="n"/>
      <c r="B8" s="15">
        <f>IFERROR(VLOOKUP(A8,'Source Inventory'!$A$6:$P$55,2,FALSE),"")</f>
        <v/>
      </c>
      <c r="C8" s="15" t="n"/>
      <c r="D8" s="15" t="n"/>
      <c r="E8" s="15" t="n"/>
      <c r="F8" s="15" t="n"/>
      <c r="G8" s="15" t="n"/>
      <c r="H8" s="15" t="n"/>
      <c r="I8" s="15" t="n"/>
      <c r="J8" s="15" t="n"/>
      <c r="K8" s="15" t="n"/>
      <c r="L8" s="15" t="n"/>
      <c r="M8" s="16" t="n"/>
      <c r="N8" s="15" t="n"/>
      <c r="O8" s="15" t="n"/>
      <c r="P8" s="15" t="n"/>
      <c r="Q8" s="15" t="n"/>
      <c r="R8" s="15" t="n"/>
      <c r="S8" s="16" t="n"/>
      <c r="T8" s="16">
        <f>IF(S8&lt;&gt;"",S8+180,"")</f>
        <v/>
      </c>
      <c r="U8" s="15" t="n"/>
    </row>
    <row r="9">
      <c r="A9" s="15" t="n"/>
      <c r="B9" s="15">
        <f>IFERROR(VLOOKUP(A9,'Source Inventory'!$A$6:$P$55,2,FALSE),"")</f>
        <v/>
      </c>
      <c r="C9" s="15" t="n"/>
      <c r="D9" s="15" t="n"/>
      <c r="E9" s="15" t="n"/>
      <c r="F9" s="15" t="n"/>
      <c r="G9" s="15" t="n"/>
      <c r="H9" s="15" t="n"/>
      <c r="I9" s="15" t="n"/>
      <c r="J9" s="15" t="n"/>
      <c r="K9" s="15" t="n"/>
      <c r="L9" s="15" t="n"/>
      <c r="M9" s="16" t="n"/>
      <c r="N9" s="15" t="n"/>
      <c r="O9" s="15" t="n"/>
      <c r="P9" s="15" t="n"/>
      <c r="Q9" s="15" t="n"/>
      <c r="R9" s="15" t="n"/>
      <c r="S9" s="16" t="n"/>
      <c r="T9" s="16">
        <f>IF(S9&lt;&gt;"",S9+180,"")</f>
        <v/>
      </c>
      <c r="U9" s="15" t="n"/>
    </row>
    <row r="10">
      <c r="A10" s="15" t="n"/>
      <c r="B10" s="15">
        <f>IFERROR(VLOOKUP(A10,'Source Inventory'!$A$6:$P$55,2,FALSE),"")</f>
        <v/>
      </c>
      <c r="C10" s="15" t="n"/>
      <c r="D10" s="15" t="n"/>
      <c r="E10" s="15" t="n"/>
      <c r="F10" s="15" t="n"/>
      <c r="G10" s="15" t="n"/>
      <c r="H10" s="15" t="n"/>
      <c r="I10" s="15" t="n"/>
      <c r="J10" s="15" t="n"/>
      <c r="K10" s="15" t="n"/>
      <c r="L10" s="15" t="n"/>
      <c r="M10" s="16" t="n"/>
      <c r="N10" s="15" t="n"/>
      <c r="O10" s="15" t="n"/>
      <c r="P10" s="15" t="n"/>
      <c r="Q10" s="15" t="n"/>
      <c r="R10" s="15" t="n"/>
      <c r="S10" s="16" t="n"/>
      <c r="T10" s="16">
        <f>IF(S10&lt;&gt;"",S10+180,"")</f>
        <v/>
      </c>
      <c r="U10" s="15" t="n"/>
    </row>
    <row r="11">
      <c r="A11" s="15" t="n"/>
      <c r="B11" s="15">
        <f>IFERROR(VLOOKUP(A11,'Source Inventory'!$A$6:$P$55,2,FALSE),"")</f>
        <v/>
      </c>
      <c r="C11" s="15" t="n"/>
      <c r="D11" s="15" t="n"/>
      <c r="E11" s="15" t="n"/>
      <c r="F11" s="15" t="n"/>
      <c r="G11" s="15" t="n"/>
      <c r="H11" s="15" t="n"/>
      <c r="I11" s="15" t="n"/>
      <c r="J11" s="15" t="n"/>
      <c r="K11" s="15" t="n"/>
      <c r="L11" s="15" t="n"/>
      <c r="M11" s="16" t="n"/>
      <c r="N11" s="15" t="n"/>
      <c r="O11" s="15" t="n"/>
      <c r="P11" s="15" t="n"/>
      <c r="Q11" s="15" t="n"/>
      <c r="R11" s="15" t="n"/>
      <c r="S11" s="16" t="n"/>
      <c r="T11" s="16">
        <f>IF(S11&lt;&gt;"",S11+180,"")</f>
        <v/>
      </c>
      <c r="U11" s="15" t="n"/>
    </row>
    <row r="12">
      <c r="A12" s="15" t="n"/>
      <c r="B12" s="15">
        <f>IFERROR(VLOOKUP(A12,'Source Inventory'!$A$6:$P$55,2,FALSE),"")</f>
        <v/>
      </c>
      <c r="C12" s="15" t="n"/>
      <c r="D12" s="15" t="n"/>
      <c r="E12" s="15" t="n"/>
      <c r="F12" s="15" t="n"/>
      <c r="G12" s="15" t="n"/>
      <c r="H12" s="15" t="n"/>
      <c r="I12" s="15" t="n"/>
      <c r="J12" s="15" t="n"/>
      <c r="K12" s="15" t="n"/>
      <c r="L12" s="15" t="n"/>
      <c r="M12" s="16" t="n"/>
      <c r="N12" s="15" t="n"/>
      <c r="O12" s="15" t="n"/>
      <c r="P12" s="15" t="n"/>
      <c r="Q12" s="15" t="n"/>
      <c r="R12" s="15" t="n"/>
      <c r="S12" s="16" t="n"/>
      <c r="T12" s="16">
        <f>IF(S12&lt;&gt;"",S12+180,"")</f>
        <v/>
      </c>
      <c r="U12" s="15" t="n"/>
    </row>
    <row r="13">
      <c r="A13" s="15" t="n"/>
      <c r="B13" s="15">
        <f>IFERROR(VLOOKUP(A13,'Source Inventory'!$A$6:$P$55,2,FALSE),"")</f>
        <v/>
      </c>
      <c r="C13" s="15" t="n"/>
      <c r="D13" s="15" t="n"/>
      <c r="E13" s="15" t="n"/>
      <c r="F13" s="15" t="n"/>
      <c r="G13" s="15" t="n"/>
      <c r="H13" s="15" t="n"/>
      <c r="I13" s="15" t="n"/>
      <c r="J13" s="15" t="n"/>
      <c r="K13" s="15" t="n"/>
      <c r="L13" s="15" t="n"/>
      <c r="M13" s="16" t="n"/>
      <c r="N13" s="15" t="n"/>
      <c r="O13" s="15" t="n"/>
      <c r="P13" s="15" t="n"/>
      <c r="Q13" s="15" t="n"/>
      <c r="R13" s="15" t="n"/>
      <c r="S13" s="16" t="n"/>
      <c r="T13" s="16">
        <f>IF(S13&lt;&gt;"",S13+180,"")</f>
        <v/>
      </c>
      <c r="U13" s="15" t="n"/>
    </row>
    <row r="14">
      <c r="A14" s="15" t="n"/>
      <c r="B14" s="15">
        <f>IFERROR(VLOOKUP(A14,'Source Inventory'!$A$6:$P$55,2,FALSE),"")</f>
        <v/>
      </c>
      <c r="C14" s="15" t="n"/>
      <c r="D14" s="15" t="n"/>
      <c r="E14" s="15" t="n"/>
      <c r="F14" s="15" t="n"/>
      <c r="G14" s="15" t="n"/>
      <c r="H14" s="15" t="n"/>
      <c r="I14" s="15" t="n"/>
      <c r="J14" s="15" t="n"/>
      <c r="K14" s="15" t="n"/>
      <c r="L14" s="15" t="n"/>
      <c r="M14" s="16" t="n"/>
      <c r="N14" s="15" t="n"/>
      <c r="O14" s="15" t="n"/>
      <c r="P14" s="15" t="n"/>
      <c r="Q14" s="15" t="n"/>
      <c r="R14" s="15" t="n"/>
      <c r="S14" s="16" t="n"/>
      <c r="T14" s="16">
        <f>IF(S14&lt;&gt;"",S14+180,"")</f>
        <v/>
      </c>
      <c r="U14" s="15" t="n"/>
    </row>
    <row r="15">
      <c r="A15" s="15" t="n"/>
      <c r="B15" s="15">
        <f>IFERROR(VLOOKUP(A15,'Source Inventory'!$A$6:$P$55,2,FALSE),"")</f>
        <v/>
      </c>
      <c r="C15" s="15" t="n"/>
      <c r="D15" s="15" t="n"/>
      <c r="E15" s="15" t="n"/>
      <c r="F15" s="15" t="n"/>
      <c r="G15" s="15" t="n"/>
      <c r="H15" s="15" t="n"/>
      <c r="I15" s="15" t="n"/>
      <c r="J15" s="15" t="n"/>
      <c r="K15" s="15" t="n"/>
      <c r="L15" s="15" t="n"/>
      <c r="M15" s="16" t="n"/>
      <c r="N15" s="15" t="n"/>
      <c r="O15" s="15" t="n"/>
      <c r="P15" s="15" t="n"/>
      <c r="Q15" s="15" t="n"/>
      <c r="R15" s="15" t="n"/>
      <c r="S15" s="16" t="n"/>
      <c r="T15" s="16">
        <f>IF(S15&lt;&gt;"",S15+180,"")</f>
        <v/>
      </c>
      <c r="U15" s="15" t="n"/>
    </row>
    <row r="16">
      <c r="A16" s="15" t="n"/>
      <c r="B16" s="15">
        <f>IFERROR(VLOOKUP(A16,'Source Inventory'!$A$6:$P$55,2,FALSE),"")</f>
        <v/>
      </c>
      <c r="C16" s="15" t="n"/>
      <c r="D16" s="15" t="n"/>
      <c r="E16" s="15" t="n"/>
      <c r="F16" s="15" t="n"/>
      <c r="G16" s="15" t="n"/>
      <c r="H16" s="15" t="n"/>
      <c r="I16" s="15" t="n"/>
      <c r="J16" s="15" t="n"/>
      <c r="K16" s="15" t="n"/>
      <c r="L16" s="15" t="n"/>
      <c r="M16" s="16" t="n"/>
      <c r="N16" s="15" t="n"/>
      <c r="O16" s="15" t="n"/>
      <c r="P16" s="15" t="n"/>
      <c r="Q16" s="15" t="n"/>
      <c r="R16" s="15" t="n"/>
      <c r="S16" s="16" t="n"/>
      <c r="T16" s="16">
        <f>IF(S16&lt;&gt;"",S16+180,"")</f>
        <v/>
      </c>
      <c r="U16" s="15" t="n"/>
    </row>
    <row r="17">
      <c r="A17" s="15" t="n"/>
      <c r="B17" s="15">
        <f>IFERROR(VLOOKUP(A17,'Source Inventory'!$A$6:$P$55,2,FALSE),"")</f>
        <v/>
      </c>
      <c r="C17" s="15" t="n"/>
      <c r="D17" s="15" t="n"/>
      <c r="E17" s="15" t="n"/>
      <c r="F17" s="15" t="n"/>
      <c r="G17" s="15" t="n"/>
      <c r="H17" s="15" t="n"/>
      <c r="I17" s="15" t="n"/>
      <c r="J17" s="15" t="n"/>
      <c r="K17" s="15" t="n"/>
      <c r="L17" s="15" t="n"/>
      <c r="M17" s="16" t="n"/>
      <c r="N17" s="15" t="n"/>
      <c r="O17" s="15" t="n"/>
      <c r="P17" s="15" t="n"/>
      <c r="Q17" s="15" t="n"/>
      <c r="R17" s="15" t="n"/>
      <c r="S17" s="16" t="n"/>
      <c r="T17" s="16">
        <f>IF(S17&lt;&gt;"",S17+180,"")</f>
        <v/>
      </c>
      <c r="U17" s="15" t="n"/>
    </row>
    <row r="18">
      <c r="A18" s="15" t="n"/>
      <c r="B18" s="15">
        <f>IFERROR(VLOOKUP(A18,'Source Inventory'!$A$6:$P$55,2,FALSE),"")</f>
        <v/>
      </c>
      <c r="C18" s="15" t="n"/>
      <c r="D18" s="15" t="n"/>
      <c r="E18" s="15" t="n"/>
      <c r="F18" s="15" t="n"/>
      <c r="G18" s="15" t="n"/>
      <c r="H18" s="15" t="n"/>
      <c r="I18" s="15" t="n"/>
      <c r="J18" s="15" t="n"/>
      <c r="K18" s="15" t="n"/>
      <c r="L18" s="15" t="n"/>
      <c r="M18" s="16" t="n"/>
      <c r="N18" s="15" t="n"/>
      <c r="O18" s="15" t="n"/>
      <c r="P18" s="15" t="n"/>
      <c r="Q18" s="15" t="n"/>
      <c r="R18" s="15" t="n"/>
      <c r="S18" s="16" t="n"/>
      <c r="T18" s="16">
        <f>IF(S18&lt;&gt;"",S18+180,"")</f>
        <v/>
      </c>
      <c r="U18" s="15" t="n"/>
    </row>
    <row r="19">
      <c r="A19" s="15" t="n"/>
      <c r="B19" s="15">
        <f>IFERROR(VLOOKUP(A19,'Source Inventory'!$A$6:$P$55,2,FALSE),"")</f>
        <v/>
      </c>
      <c r="C19" s="15" t="n"/>
      <c r="D19" s="15" t="n"/>
      <c r="E19" s="15" t="n"/>
      <c r="F19" s="15" t="n"/>
      <c r="G19" s="15" t="n"/>
      <c r="H19" s="15" t="n"/>
      <c r="I19" s="15" t="n"/>
      <c r="J19" s="15" t="n"/>
      <c r="K19" s="15" t="n"/>
      <c r="L19" s="15" t="n"/>
      <c r="M19" s="16" t="n"/>
      <c r="N19" s="15" t="n"/>
      <c r="O19" s="15" t="n"/>
      <c r="P19" s="15" t="n"/>
      <c r="Q19" s="15" t="n"/>
      <c r="R19" s="15" t="n"/>
      <c r="S19" s="16" t="n"/>
      <c r="T19" s="16">
        <f>IF(S19&lt;&gt;"",S19+180,"")</f>
        <v/>
      </c>
      <c r="U19" s="15" t="n"/>
    </row>
    <row r="20">
      <c r="A20" s="15" t="n"/>
      <c r="B20" s="15">
        <f>IFERROR(VLOOKUP(A20,'Source Inventory'!$A$6:$P$55,2,FALSE),"")</f>
        <v/>
      </c>
      <c r="C20" s="15" t="n"/>
      <c r="D20" s="15" t="n"/>
      <c r="E20" s="15" t="n"/>
      <c r="F20" s="15" t="n"/>
      <c r="G20" s="15" t="n"/>
      <c r="H20" s="15" t="n"/>
      <c r="I20" s="15" t="n"/>
      <c r="J20" s="15" t="n"/>
      <c r="K20" s="15" t="n"/>
      <c r="L20" s="15" t="n"/>
      <c r="M20" s="16" t="n"/>
      <c r="N20" s="15" t="n"/>
      <c r="O20" s="15" t="n"/>
      <c r="P20" s="15" t="n"/>
      <c r="Q20" s="15" t="n"/>
      <c r="R20" s="15" t="n"/>
      <c r="S20" s="16" t="n"/>
      <c r="T20" s="16">
        <f>IF(S20&lt;&gt;"",S20+180,"")</f>
        <v/>
      </c>
      <c r="U20" s="15" t="n"/>
    </row>
    <row r="21">
      <c r="A21" s="15" t="n"/>
      <c r="B21" s="15">
        <f>IFERROR(VLOOKUP(A21,'Source Inventory'!$A$6:$P$55,2,FALSE),"")</f>
        <v/>
      </c>
      <c r="C21" s="15" t="n"/>
      <c r="D21" s="15" t="n"/>
      <c r="E21" s="15" t="n"/>
      <c r="F21" s="15" t="n"/>
      <c r="G21" s="15" t="n"/>
      <c r="H21" s="15" t="n"/>
      <c r="I21" s="15" t="n"/>
      <c r="J21" s="15" t="n"/>
      <c r="K21" s="15" t="n"/>
      <c r="L21" s="15" t="n"/>
      <c r="M21" s="16" t="n"/>
      <c r="N21" s="15" t="n"/>
      <c r="O21" s="15" t="n"/>
      <c r="P21" s="15" t="n"/>
      <c r="Q21" s="15" t="n"/>
      <c r="R21" s="15" t="n"/>
      <c r="S21" s="16" t="n"/>
      <c r="T21" s="16">
        <f>IF(S21&lt;&gt;"",S21+180,"")</f>
        <v/>
      </c>
      <c r="U21" s="15" t="n"/>
    </row>
    <row r="22">
      <c r="A22" s="15" t="n"/>
      <c r="B22" s="15">
        <f>IFERROR(VLOOKUP(A22,'Source Inventory'!$A$6:$P$55,2,FALSE),"")</f>
        <v/>
      </c>
      <c r="C22" s="15" t="n"/>
      <c r="D22" s="15" t="n"/>
      <c r="E22" s="15" t="n"/>
      <c r="F22" s="15" t="n"/>
      <c r="G22" s="15" t="n"/>
      <c r="H22" s="15" t="n"/>
      <c r="I22" s="15" t="n"/>
      <c r="J22" s="15" t="n"/>
      <c r="K22" s="15" t="n"/>
      <c r="L22" s="15" t="n"/>
      <c r="M22" s="16" t="n"/>
      <c r="N22" s="15" t="n"/>
      <c r="O22" s="15" t="n"/>
      <c r="P22" s="15" t="n"/>
      <c r="Q22" s="15" t="n"/>
      <c r="R22" s="15" t="n"/>
      <c r="S22" s="16" t="n"/>
      <c r="T22" s="16">
        <f>IF(S22&lt;&gt;"",S22+180,"")</f>
        <v/>
      </c>
      <c r="U22" s="15" t="n"/>
    </row>
    <row r="23">
      <c r="A23" s="15" t="n"/>
      <c r="B23" s="15">
        <f>IFERROR(VLOOKUP(A23,'Source Inventory'!$A$6:$P$55,2,FALSE),"")</f>
        <v/>
      </c>
      <c r="C23" s="15" t="n"/>
      <c r="D23" s="15" t="n"/>
      <c r="E23" s="15" t="n"/>
      <c r="F23" s="15" t="n"/>
      <c r="G23" s="15" t="n"/>
      <c r="H23" s="15" t="n"/>
      <c r="I23" s="15" t="n"/>
      <c r="J23" s="15" t="n"/>
      <c r="K23" s="15" t="n"/>
      <c r="L23" s="15" t="n"/>
      <c r="M23" s="16" t="n"/>
      <c r="N23" s="15" t="n"/>
      <c r="O23" s="15" t="n"/>
      <c r="P23" s="15" t="n"/>
      <c r="Q23" s="15" t="n"/>
      <c r="R23" s="15" t="n"/>
      <c r="S23" s="16" t="n"/>
      <c r="T23" s="16">
        <f>IF(S23&lt;&gt;"",S23+180,"")</f>
        <v/>
      </c>
      <c r="U23" s="15" t="n"/>
    </row>
    <row r="24">
      <c r="A24" s="15" t="n"/>
      <c r="B24" s="15">
        <f>IFERROR(VLOOKUP(A24,'Source Inventory'!$A$6:$P$55,2,FALSE),"")</f>
        <v/>
      </c>
      <c r="C24" s="15" t="n"/>
      <c r="D24" s="15" t="n"/>
      <c r="E24" s="15" t="n"/>
      <c r="F24" s="15" t="n"/>
      <c r="G24" s="15" t="n"/>
      <c r="H24" s="15" t="n"/>
      <c r="I24" s="15" t="n"/>
      <c r="J24" s="15" t="n"/>
      <c r="K24" s="15" t="n"/>
      <c r="L24" s="15" t="n"/>
      <c r="M24" s="16" t="n"/>
      <c r="N24" s="15" t="n"/>
      <c r="O24" s="15" t="n"/>
      <c r="P24" s="15" t="n"/>
      <c r="Q24" s="15" t="n"/>
      <c r="R24" s="15" t="n"/>
      <c r="S24" s="16" t="n"/>
      <c r="T24" s="16">
        <f>IF(S24&lt;&gt;"",S24+180,"")</f>
        <v/>
      </c>
      <c r="U24" s="15" t="n"/>
    </row>
    <row r="25">
      <c r="A25" s="15" t="n"/>
      <c r="B25" s="15">
        <f>IFERROR(VLOOKUP(A25,'Source Inventory'!$A$6:$P$55,2,FALSE),"")</f>
        <v/>
      </c>
      <c r="C25" s="15" t="n"/>
      <c r="D25" s="15" t="n"/>
      <c r="E25" s="15" t="n"/>
      <c r="F25" s="15" t="n"/>
      <c r="G25" s="15" t="n"/>
      <c r="H25" s="15" t="n"/>
      <c r="I25" s="15" t="n"/>
      <c r="J25" s="15" t="n"/>
      <c r="K25" s="15" t="n"/>
      <c r="L25" s="15" t="n"/>
      <c r="M25" s="16" t="n"/>
      <c r="N25" s="15" t="n"/>
      <c r="O25" s="15" t="n"/>
      <c r="P25" s="15" t="n"/>
      <c r="Q25" s="15" t="n"/>
      <c r="R25" s="15" t="n"/>
      <c r="S25" s="16" t="n"/>
      <c r="T25" s="16">
        <f>IF(S25&lt;&gt;"",S25+180,"")</f>
        <v/>
      </c>
      <c r="U25" s="15" t="n"/>
    </row>
    <row r="26">
      <c r="A26" s="15" t="n"/>
      <c r="B26" s="15">
        <f>IFERROR(VLOOKUP(A26,'Source Inventory'!$A$6:$P$55,2,FALSE),"")</f>
        <v/>
      </c>
      <c r="C26" s="15" t="n"/>
      <c r="D26" s="15" t="n"/>
      <c r="E26" s="15" t="n"/>
      <c r="F26" s="15" t="n"/>
      <c r="G26" s="15" t="n"/>
      <c r="H26" s="15" t="n"/>
      <c r="I26" s="15" t="n"/>
      <c r="J26" s="15" t="n"/>
      <c r="K26" s="15" t="n"/>
      <c r="L26" s="15" t="n"/>
      <c r="M26" s="16" t="n"/>
      <c r="N26" s="15" t="n"/>
      <c r="O26" s="15" t="n"/>
      <c r="P26" s="15" t="n"/>
      <c r="Q26" s="15" t="n"/>
      <c r="R26" s="15" t="n"/>
      <c r="S26" s="16" t="n"/>
      <c r="T26" s="16">
        <f>IF(S26&lt;&gt;"",S26+180,"")</f>
        <v/>
      </c>
      <c r="U26" s="15" t="n"/>
    </row>
    <row r="27">
      <c r="A27" s="15" t="n"/>
      <c r="B27" s="15">
        <f>IFERROR(VLOOKUP(A27,'Source Inventory'!$A$6:$P$55,2,FALSE),"")</f>
        <v/>
      </c>
      <c r="C27" s="15" t="n"/>
      <c r="D27" s="15" t="n"/>
      <c r="E27" s="15" t="n"/>
      <c r="F27" s="15" t="n"/>
      <c r="G27" s="15" t="n"/>
      <c r="H27" s="15" t="n"/>
      <c r="I27" s="15" t="n"/>
      <c r="J27" s="15" t="n"/>
      <c r="K27" s="15" t="n"/>
      <c r="L27" s="15" t="n"/>
      <c r="M27" s="16" t="n"/>
      <c r="N27" s="15" t="n"/>
      <c r="O27" s="15" t="n"/>
      <c r="P27" s="15" t="n"/>
      <c r="Q27" s="15" t="n"/>
      <c r="R27" s="15" t="n"/>
      <c r="S27" s="16" t="n"/>
      <c r="T27" s="16">
        <f>IF(S27&lt;&gt;"",S27+180,"")</f>
        <v/>
      </c>
      <c r="U27" s="15" t="n"/>
    </row>
    <row r="28">
      <c r="A28" s="15" t="n"/>
      <c r="B28" s="15">
        <f>IFERROR(VLOOKUP(A28,'Source Inventory'!$A$6:$P$55,2,FALSE),"")</f>
        <v/>
      </c>
      <c r="C28" s="15" t="n"/>
      <c r="D28" s="15" t="n"/>
      <c r="E28" s="15" t="n"/>
      <c r="F28" s="15" t="n"/>
      <c r="G28" s="15" t="n"/>
      <c r="H28" s="15" t="n"/>
      <c r="I28" s="15" t="n"/>
      <c r="J28" s="15" t="n"/>
      <c r="K28" s="15" t="n"/>
      <c r="L28" s="15" t="n"/>
      <c r="M28" s="16" t="n"/>
      <c r="N28" s="15" t="n"/>
      <c r="O28" s="15" t="n"/>
      <c r="P28" s="15" t="n"/>
      <c r="Q28" s="15" t="n"/>
      <c r="R28" s="15" t="n"/>
      <c r="S28" s="16" t="n"/>
      <c r="T28" s="16">
        <f>IF(S28&lt;&gt;"",S28+180,"")</f>
        <v/>
      </c>
      <c r="U28" s="15" t="n"/>
    </row>
    <row r="29">
      <c r="A29" s="15" t="n"/>
      <c r="B29" s="15">
        <f>IFERROR(VLOOKUP(A29,'Source Inventory'!$A$6:$P$55,2,FALSE),"")</f>
        <v/>
      </c>
      <c r="C29" s="15" t="n"/>
      <c r="D29" s="15" t="n"/>
      <c r="E29" s="15" t="n"/>
      <c r="F29" s="15" t="n"/>
      <c r="G29" s="15" t="n"/>
      <c r="H29" s="15" t="n"/>
      <c r="I29" s="15" t="n"/>
      <c r="J29" s="15" t="n"/>
      <c r="K29" s="15" t="n"/>
      <c r="L29" s="15" t="n"/>
      <c r="M29" s="16" t="n"/>
      <c r="N29" s="15" t="n"/>
      <c r="O29" s="15" t="n"/>
      <c r="P29" s="15" t="n"/>
      <c r="Q29" s="15" t="n"/>
      <c r="R29" s="15" t="n"/>
      <c r="S29" s="16" t="n"/>
      <c r="T29" s="16">
        <f>IF(S29&lt;&gt;"",S29+180,"")</f>
        <v/>
      </c>
      <c r="U29" s="15" t="n"/>
    </row>
    <row r="30">
      <c r="A30" s="15" t="n"/>
      <c r="B30" s="15">
        <f>IFERROR(VLOOKUP(A30,'Source Inventory'!$A$6:$P$55,2,FALSE),"")</f>
        <v/>
      </c>
      <c r="C30" s="15" t="n"/>
      <c r="D30" s="15" t="n"/>
      <c r="E30" s="15" t="n"/>
      <c r="F30" s="15" t="n"/>
      <c r="G30" s="15" t="n"/>
      <c r="H30" s="15" t="n"/>
      <c r="I30" s="15" t="n"/>
      <c r="J30" s="15" t="n"/>
      <c r="K30" s="15" t="n"/>
      <c r="L30" s="15" t="n"/>
      <c r="M30" s="16" t="n"/>
      <c r="N30" s="15" t="n"/>
      <c r="O30" s="15" t="n"/>
      <c r="P30" s="15" t="n"/>
      <c r="Q30" s="15" t="n"/>
      <c r="R30" s="15" t="n"/>
      <c r="S30" s="16" t="n"/>
      <c r="T30" s="16">
        <f>IF(S30&lt;&gt;"",S30+180,"")</f>
        <v/>
      </c>
      <c r="U30" s="15" t="n"/>
    </row>
    <row r="31">
      <c r="A31" s="15" t="n"/>
      <c r="B31" s="15">
        <f>IFERROR(VLOOKUP(A31,'Source Inventory'!$A$6:$P$55,2,FALSE),"")</f>
        <v/>
      </c>
      <c r="C31" s="15" t="n"/>
      <c r="D31" s="15" t="n"/>
      <c r="E31" s="15" t="n"/>
      <c r="F31" s="15" t="n"/>
      <c r="G31" s="15" t="n"/>
      <c r="H31" s="15" t="n"/>
      <c r="I31" s="15" t="n"/>
      <c r="J31" s="15" t="n"/>
      <c r="K31" s="15" t="n"/>
      <c r="L31" s="15" t="n"/>
      <c r="M31" s="16" t="n"/>
      <c r="N31" s="15" t="n"/>
      <c r="O31" s="15" t="n"/>
      <c r="P31" s="15" t="n"/>
      <c r="Q31" s="15" t="n"/>
      <c r="R31" s="15" t="n"/>
      <c r="S31" s="16" t="n"/>
      <c r="T31" s="16">
        <f>IF(S31&lt;&gt;"",S31+180,"")</f>
        <v/>
      </c>
      <c r="U31" s="15" t="n"/>
    </row>
    <row r="32">
      <c r="A32" s="15" t="n"/>
      <c r="B32" s="15">
        <f>IFERROR(VLOOKUP(A32,'Source Inventory'!$A$6:$P$55,2,FALSE),"")</f>
        <v/>
      </c>
      <c r="C32" s="15" t="n"/>
      <c r="D32" s="15" t="n"/>
      <c r="E32" s="15" t="n"/>
      <c r="F32" s="15" t="n"/>
      <c r="G32" s="15" t="n"/>
      <c r="H32" s="15" t="n"/>
      <c r="I32" s="15" t="n"/>
      <c r="J32" s="15" t="n"/>
      <c r="K32" s="15" t="n"/>
      <c r="L32" s="15" t="n"/>
      <c r="M32" s="16" t="n"/>
      <c r="N32" s="15" t="n"/>
      <c r="O32" s="15" t="n"/>
      <c r="P32" s="15" t="n"/>
      <c r="Q32" s="15" t="n"/>
      <c r="R32" s="15" t="n"/>
      <c r="S32" s="16" t="n"/>
      <c r="T32" s="16">
        <f>IF(S32&lt;&gt;"",S32+180,"")</f>
        <v/>
      </c>
      <c r="U32" s="15" t="n"/>
    </row>
    <row r="33">
      <c r="A33" s="15" t="n"/>
      <c r="B33" s="15">
        <f>IFERROR(VLOOKUP(A33,'Source Inventory'!$A$6:$P$55,2,FALSE),"")</f>
        <v/>
      </c>
      <c r="C33" s="15" t="n"/>
      <c r="D33" s="15" t="n"/>
      <c r="E33" s="15" t="n"/>
      <c r="F33" s="15" t="n"/>
      <c r="G33" s="15" t="n"/>
      <c r="H33" s="15" t="n"/>
      <c r="I33" s="15" t="n"/>
      <c r="J33" s="15" t="n"/>
      <c r="K33" s="15" t="n"/>
      <c r="L33" s="15" t="n"/>
      <c r="M33" s="16" t="n"/>
      <c r="N33" s="15" t="n"/>
      <c r="O33" s="15" t="n"/>
      <c r="P33" s="15" t="n"/>
      <c r="Q33" s="15" t="n"/>
      <c r="R33" s="15" t="n"/>
      <c r="S33" s="16" t="n"/>
      <c r="T33" s="16">
        <f>IF(S33&lt;&gt;"",S33+180,"")</f>
        <v/>
      </c>
      <c r="U33" s="15" t="n"/>
    </row>
    <row r="34">
      <c r="A34" s="15" t="n"/>
      <c r="B34" s="15">
        <f>IFERROR(VLOOKUP(A34,'Source Inventory'!$A$6:$P$55,2,FALSE),"")</f>
        <v/>
      </c>
      <c r="C34" s="15" t="n"/>
      <c r="D34" s="15" t="n"/>
      <c r="E34" s="15" t="n"/>
      <c r="F34" s="15" t="n"/>
      <c r="G34" s="15" t="n"/>
      <c r="H34" s="15" t="n"/>
      <c r="I34" s="15" t="n"/>
      <c r="J34" s="15" t="n"/>
      <c r="K34" s="15" t="n"/>
      <c r="L34" s="15" t="n"/>
      <c r="M34" s="16" t="n"/>
      <c r="N34" s="15" t="n"/>
      <c r="O34" s="15" t="n"/>
      <c r="P34" s="15" t="n"/>
      <c r="Q34" s="15" t="n"/>
      <c r="R34" s="15" t="n"/>
      <c r="S34" s="16" t="n"/>
      <c r="T34" s="16">
        <f>IF(S34&lt;&gt;"",S34+180,"")</f>
        <v/>
      </c>
      <c r="U34" s="15" t="n"/>
    </row>
    <row r="35">
      <c r="A35" s="15" t="n"/>
      <c r="B35" s="15">
        <f>IFERROR(VLOOKUP(A35,'Source Inventory'!$A$6:$P$55,2,FALSE),"")</f>
        <v/>
      </c>
      <c r="C35" s="15" t="n"/>
      <c r="D35" s="15" t="n"/>
      <c r="E35" s="15" t="n"/>
      <c r="F35" s="15" t="n"/>
      <c r="G35" s="15" t="n"/>
      <c r="H35" s="15" t="n"/>
      <c r="I35" s="15" t="n"/>
      <c r="J35" s="15" t="n"/>
      <c r="K35" s="15" t="n"/>
      <c r="L35" s="15" t="n"/>
      <c r="M35" s="16" t="n"/>
      <c r="N35" s="15" t="n"/>
      <c r="O35" s="15" t="n"/>
      <c r="P35" s="15" t="n"/>
      <c r="Q35" s="15" t="n"/>
      <c r="R35" s="15" t="n"/>
      <c r="S35" s="16" t="n"/>
      <c r="T35" s="16">
        <f>IF(S35&lt;&gt;"",S35+180,"")</f>
        <v/>
      </c>
      <c r="U35" s="15" t="n"/>
    </row>
    <row r="36">
      <c r="A36" s="15" t="n"/>
      <c r="B36" s="15">
        <f>IFERROR(VLOOKUP(A36,'Source Inventory'!$A$6:$P$55,2,FALSE),"")</f>
        <v/>
      </c>
      <c r="C36" s="15" t="n"/>
      <c r="D36" s="15" t="n"/>
      <c r="E36" s="15" t="n"/>
      <c r="F36" s="15" t="n"/>
      <c r="G36" s="15" t="n"/>
      <c r="H36" s="15" t="n"/>
      <c r="I36" s="15" t="n"/>
      <c r="J36" s="15" t="n"/>
      <c r="K36" s="15" t="n"/>
      <c r="L36" s="15" t="n"/>
      <c r="M36" s="16" t="n"/>
      <c r="N36" s="15" t="n"/>
      <c r="O36" s="15" t="n"/>
      <c r="P36" s="15" t="n"/>
      <c r="Q36" s="15" t="n"/>
      <c r="R36" s="15" t="n"/>
      <c r="S36" s="16" t="n"/>
      <c r="T36" s="16">
        <f>IF(S36&lt;&gt;"",S36+180,"")</f>
        <v/>
      </c>
      <c r="U36" s="15" t="n"/>
    </row>
    <row r="37">
      <c r="A37" s="15" t="n"/>
      <c r="B37" s="15">
        <f>IFERROR(VLOOKUP(A37,'Source Inventory'!$A$6:$P$55,2,FALSE),"")</f>
        <v/>
      </c>
      <c r="C37" s="15" t="n"/>
      <c r="D37" s="15" t="n"/>
      <c r="E37" s="15" t="n"/>
      <c r="F37" s="15" t="n"/>
      <c r="G37" s="15" t="n"/>
      <c r="H37" s="15" t="n"/>
      <c r="I37" s="15" t="n"/>
      <c r="J37" s="15" t="n"/>
      <c r="K37" s="15" t="n"/>
      <c r="L37" s="15" t="n"/>
      <c r="M37" s="16" t="n"/>
      <c r="N37" s="15" t="n"/>
      <c r="O37" s="15" t="n"/>
      <c r="P37" s="15" t="n"/>
      <c r="Q37" s="15" t="n"/>
      <c r="R37" s="15" t="n"/>
      <c r="S37" s="16" t="n"/>
      <c r="T37" s="16">
        <f>IF(S37&lt;&gt;"",S37+180,"")</f>
        <v/>
      </c>
      <c r="U37" s="15" t="n"/>
    </row>
    <row r="38">
      <c r="A38" s="15" t="n"/>
      <c r="B38" s="15">
        <f>IFERROR(VLOOKUP(A38,'Source Inventory'!$A$6:$P$55,2,FALSE),"")</f>
        <v/>
      </c>
      <c r="C38" s="15" t="n"/>
      <c r="D38" s="15" t="n"/>
      <c r="E38" s="15" t="n"/>
      <c r="F38" s="15" t="n"/>
      <c r="G38" s="15" t="n"/>
      <c r="H38" s="15" t="n"/>
      <c r="I38" s="15" t="n"/>
      <c r="J38" s="15" t="n"/>
      <c r="K38" s="15" t="n"/>
      <c r="L38" s="15" t="n"/>
      <c r="M38" s="16" t="n"/>
      <c r="N38" s="15" t="n"/>
      <c r="O38" s="15" t="n"/>
      <c r="P38" s="15" t="n"/>
      <c r="Q38" s="15" t="n"/>
      <c r="R38" s="15" t="n"/>
      <c r="S38" s="16" t="n"/>
      <c r="T38" s="16">
        <f>IF(S38&lt;&gt;"",S38+180,"")</f>
        <v/>
      </c>
      <c r="U38" s="15" t="n"/>
    </row>
    <row r="39">
      <c r="A39" s="15" t="n"/>
      <c r="B39" s="15">
        <f>IFERROR(VLOOKUP(A39,'Source Inventory'!$A$6:$P$55,2,FALSE),"")</f>
        <v/>
      </c>
      <c r="C39" s="15" t="n"/>
      <c r="D39" s="15" t="n"/>
      <c r="E39" s="15" t="n"/>
      <c r="F39" s="15" t="n"/>
      <c r="G39" s="15" t="n"/>
      <c r="H39" s="15" t="n"/>
      <c r="I39" s="15" t="n"/>
      <c r="J39" s="15" t="n"/>
      <c r="K39" s="15" t="n"/>
      <c r="L39" s="15" t="n"/>
      <c r="M39" s="16" t="n"/>
      <c r="N39" s="15" t="n"/>
      <c r="O39" s="15" t="n"/>
      <c r="P39" s="15" t="n"/>
      <c r="Q39" s="15" t="n"/>
      <c r="R39" s="15" t="n"/>
      <c r="S39" s="16" t="n"/>
      <c r="T39" s="16">
        <f>IF(S39&lt;&gt;"",S39+180,"")</f>
        <v/>
      </c>
      <c r="U39" s="15" t="n"/>
    </row>
    <row r="40">
      <c r="A40" s="15" t="n"/>
      <c r="B40" s="15">
        <f>IFERROR(VLOOKUP(A40,'Source Inventory'!$A$6:$P$55,2,FALSE),"")</f>
        <v/>
      </c>
      <c r="C40" s="15" t="n"/>
      <c r="D40" s="15" t="n"/>
      <c r="E40" s="15" t="n"/>
      <c r="F40" s="15" t="n"/>
      <c r="G40" s="15" t="n"/>
      <c r="H40" s="15" t="n"/>
      <c r="I40" s="15" t="n"/>
      <c r="J40" s="15" t="n"/>
      <c r="K40" s="15" t="n"/>
      <c r="L40" s="15" t="n"/>
      <c r="M40" s="16" t="n"/>
      <c r="N40" s="15" t="n"/>
      <c r="O40" s="15" t="n"/>
      <c r="P40" s="15" t="n"/>
      <c r="Q40" s="15" t="n"/>
      <c r="R40" s="15" t="n"/>
      <c r="S40" s="16" t="n"/>
      <c r="T40" s="16">
        <f>IF(S40&lt;&gt;"",S40+180,"")</f>
        <v/>
      </c>
      <c r="U40" s="15" t="n"/>
    </row>
    <row r="41">
      <c r="A41" s="15" t="n"/>
      <c r="B41" s="15">
        <f>IFERROR(VLOOKUP(A41,'Source Inventory'!$A$6:$P$55,2,FALSE),"")</f>
        <v/>
      </c>
      <c r="C41" s="15" t="n"/>
      <c r="D41" s="15" t="n"/>
      <c r="E41" s="15" t="n"/>
      <c r="F41" s="15" t="n"/>
      <c r="G41" s="15" t="n"/>
      <c r="H41" s="15" t="n"/>
      <c r="I41" s="15" t="n"/>
      <c r="J41" s="15" t="n"/>
      <c r="K41" s="15" t="n"/>
      <c r="L41" s="15" t="n"/>
      <c r="M41" s="16" t="n"/>
      <c r="N41" s="15" t="n"/>
      <c r="O41" s="15" t="n"/>
      <c r="P41" s="15" t="n"/>
      <c r="Q41" s="15" t="n"/>
      <c r="R41" s="15" t="n"/>
      <c r="S41" s="16" t="n"/>
      <c r="T41" s="16">
        <f>IF(S41&lt;&gt;"",S41+180,"")</f>
        <v/>
      </c>
      <c r="U41" s="15" t="n"/>
    </row>
    <row r="42">
      <c r="A42" s="15" t="n"/>
      <c r="B42" s="15">
        <f>IFERROR(VLOOKUP(A42,'Source Inventory'!$A$6:$P$55,2,FALSE),"")</f>
        <v/>
      </c>
      <c r="C42" s="15" t="n"/>
      <c r="D42" s="15" t="n"/>
      <c r="E42" s="15" t="n"/>
      <c r="F42" s="15" t="n"/>
      <c r="G42" s="15" t="n"/>
      <c r="H42" s="15" t="n"/>
      <c r="I42" s="15" t="n"/>
      <c r="J42" s="15" t="n"/>
      <c r="K42" s="15" t="n"/>
      <c r="L42" s="15" t="n"/>
      <c r="M42" s="16" t="n"/>
      <c r="N42" s="15" t="n"/>
      <c r="O42" s="15" t="n"/>
      <c r="P42" s="15" t="n"/>
      <c r="Q42" s="15" t="n"/>
      <c r="R42" s="15" t="n"/>
      <c r="S42" s="16" t="n"/>
      <c r="T42" s="16">
        <f>IF(S42&lt;&gt;"",S42+180,"")</f>
        <v/>
      </c>
      <c r="U42" s="15" t="n"/>
    </row>
    <row r="43">
      <c r="A43" s="15" t="n"/>
      <c r="B43" s="15">
        <f>IFERROR(VLOOKUP(A43,'Source Inventory'!$A$6:$P$55,2,FALSE),"")</f>
        <v/>
      </c>
      <c r="C43" s="15" t="n"/>
      <c r="D43" s="15" t="n"/>
      <c r="E43" s="15" t="n"/>
      <c r="F43" s="15" t="n"/>
      <c r="G43" s="15" t="n"/>
      <c r="H43" s="15" t="n"/>
      <c r="I43" s="15" t="n"/>
      <c r="J43" s="15" t="n"/>
      <c r="K43" s="15" t="n"/>
      <c r="L43" s="15" t="n"/>
      <c r="M43" s="16" t="n"/>
      <c r="N43" s="15" t="n"/>
      <c r="O43" s="15" t="n"/>
      <c r="P43" s="15" t="n"/>
      <c r="Q43" s="15" t="n"/>
      <c r="R43" s="15" t="n"/>
      <c r="S43" s="16" t="n"/>
      <c r="T43" s="16">
        <f>IF(S43&lt;&gt;"",S43+180,"")</f>
        <v/>
      </c>
      <c r="U43" s="15" t="n"/>
    </row>
    <row r="44">
      <c r="A44" s="15" t="n"/>
      <c r="B44" s="15">
        <f>IFERROR(VLOOKUP(A44,'Source Inventory'!$A$6:$P$55,2,FALSE),"")</f>
        <v/>
      </c>
      <c r="C44" s="15" t="n"/>
      <c r="D44" s="15" t="n"/>
      <c r="E44" s="15" t="n"/>
      <c r="F44" s="15" t="n"/>
      <c r="G44" s="15" t="n"/>
      <c r="H44" s="15" t="n"/>
      <c r="I44" s="15" t="n"/>
      <c r="J44" s="15" t="n"/>
      <c r="K44" s="15" t="n"/>
      <c r="L44" s="15" t="n"/>
      <c r="M44" s="16" t="n"/>
      <c r="N44" s="15" t="n"/>
      <c r="O44" s="15" t="n"/>
      <c r="P44" s="15" t="n"/>
      <c r="Q44" s="15" t="n"/>
      <c r="R44" s="15" t="n"/>
      <c r="S44" s="16" t="n"/>
      <c r="T44" s="16">
        <f>IF(S44&lt;&gt;"",S44+180,"")</f>
        <v/>
      </c>
      <c r="U44" s="15" t="n"/>
    </row>
    <row r="45">
      <c r="A45" s="15" t="n"/>
      <c r="B45" s="15">
        <f>IFERROR(VLOOKUP(A45,'Source Inventory'!$A$6:$P$55,2,FALSE),"")</f>
        <v/>
      </c>
      <c r="C45" s="15" t="n"/>
      <c r="D45" s="15" t="n"/>
      <c r="E45" s="15" t="n"/>
      <c r="F45" s="15" t="n"/>
      <c r="G45" s="15" t="n"/>
      <c r="H45" s="15" t="n"/>
      <c r="I45" s="15" t="n"/>
      <c r="J45" s="15" t="n"/>
      <c r="K45" s="15" t="n"/>
      <c r="L45" s="15" t="n"/>
      <c r="M45" s="16" t="n"/>
      <c r="N45" s="15" t="n"/>
      <c r="O45" s="15" t="n"/>
      <c r="P45" s="15" t="n"/>
      <c r="Q45" s="15" t="n"/>
      <c r="R45" s="15" t="n"/>
      <c r="S45" s="16" t="n"/>
      <c r="T45" s="16">
        <f>IF(S45&lt;&gt;"",S45+180,"")</f>
        <v/>
      </c>
      <c r="U45" s="15" t="n"/>
    </row>
    <row r="46">
      <c r="A46" s="15" t="n"/>
      <c r="B46" s="15">
        <f>IFERROR(VLOOKUP(A46,'Source Inventory'!$A$6:$P$55,2,FALSE),"")</f>
        <v/>
      </c>
      <c r="C46" s="15" t="n"/>
      <c r="D46" s="15" t="n"/>
      <c r="E46" s="15" t="n"/>
      <c r="F46" s="15" t="n"/>
      <c r="G46" s="15" t="n"/>
      <c r="H46" s="15" t="n"/>
      <c r="I46" s="15" t="n"/>
      <c r="J46" s="15" t="n"/>
      <c r="K46" s="15" t="n"/>
      <c r="L46" s="15" t="n"/>
      <c r="M46" s="16" t="n"/>
      <c r="N46" s="15" t="n"/>
      <c r="O46" s="15" t="n"/>
      <c r="P46" s="15" t="n"/>
      <c r="Q46" s="15" t="n"/>
      <c r="R46" s="15" t="n"/>
      <c r="S46" s="16" t="n"/>
      <c r="T46" s="16">
        <f>IF(S46&lt;&gt;"",S46+180,"")</f>
        <v/>
      </c>
      <c r="U46" s="15" t="n"/>
    </row>
    <row r="47">
      <c r="A47" s="15" t="n"/>
      <c r="B47" s="15">
        <f>IFERROR(VLOOKUP(A47,'Source Inventory'!$A$6:$P$55,2,FALSE),"")</f>
        <v/>
      </c>
      <c r="C47" s="15" t="n"/>
      <c r="D47" s="15" t="n"/>
      <c r="E47" s="15" t="n"/>
      <c r="F47" s="15" t="n"/>
      <c r="G47" s="15" t="n"/>
      <c r="H47" s="15" t="n"/>
      <c r="I47" s="15" t="n"/>
      <c r="J47" s="15" t="n"/>
      <c r="K47" s="15" t="n"/>
      <c r="L47" s="15" t="n"/>
      <c r="M47" s="16" t="n"/>
      <c r="N47" s="15" t="n"/>
      <c r="O47" s="15" t="n"/>
      <c r="P47" s="15" t="n"/>
      <c r="Q47" s="15" t="n"/>
      <c r="R47" s="15" t="n"/>
      <c r="S47" s="16" t="n"/>
      <c r="T47" s="16">
        <f>IF(S47&lt;&gt;"",S47+180,"")</f>
        <v/>
      </c>
      <c r="U47" s="15" t="n"/>
    </row>
    <row r="48">
      <c r="A48" s="15" t="n"/>
      <c r="B48" s="15">
        <f>IFERROR(VLOOKUP(A48,'Source Inventory'!$A$6:$P$55,2,FALSE),"")</f>
        <v/>
      </c>
      <c r="C48" s="15" t="n"/>
      <c r="D48" s="15" t="n"/>
      <c r="E48" s="15" t="n"/>
      <c r="F48" s="15" t="n"/>
      <c r="G48" s="15" t="n"/>
      <c r="H48" s="15" t="n"/>
      <c r="I48" s="15" t="n"/>
      <c r="J48" s="15" t="n"/>
      <c r="K48" s="15" t="n"/>
      <c r="L48" s="15" t="n"/>
      <c r="M48" s="16" t="n"/>
      <c r="N48" s="15" t="n"/>
      <c r="O48" s="15" t="n"/>
      <c r="P48" s="15" t="n"/>
      <c r="Q48" s="15" t="n"/>
      <c r="R48" s="15" t="n"/>
      <c r="S48" s="16" t="n"/>
      <c r="T48" s="16">
        <f>IF(S48&lt;&gt;"",S48+180,"")</f>
        <v/>
      </c>
      <c r="U48" s="15" t="n"/>
    </row>
    <row r="49">
      <c r="A49" s="15" t="n"/>
      <c r="B49" s="15">
        <f>IFERROR(VLOOKUP(A49,'Source Inventory'!$A$6:$P$55,2,FALSE),"")</f>
        <v/>
      </c>
      <c r="C49" s="15" t="n"/>
      <c r="D49" s="15" t="n"/>
      <c r="E49" s="15" t="n"/>
      <c r="F49" s="15" t="n"/>
      <c r="G49" s="15" t="n"/>
      <c r="H49" s="15" t="n"/>
      <c r="I49" s="15" t="n"/>
      <c r="J49" s="15" t="n"/>
      <c r="K49" s="15" t="n"/>
      <c r="L49" s="15" t="n"/>
      <c r="M49" s="16" t="n"/>
      <c r="N49" s="15" t="n"/>
      <c r="O49" s="15" t="n"/>
      <c r="P49" s="15" t="n"/>
      <c r="Q49" s="15" t="n"/>
      <c r="R49" s="15" t="n"/>
      <c r="S49" s="16" t="n"/>
      <c r="T49" s="16">
        <f>IF(S49&lt;&gt;"",S49+180,"")</f>
        <v/>
      </c>
      <c r="U49" s="15" t="n"/>
    </row>
    <row r="50">
      <c r="A50" s="15" t="n"/>
      <c r="B50" s="15">
        <f>IFERROR(VLOOKUP(A50,'Source Inventory'!$A$6:$P$55,2,FALSE),"")</f>
        <v/>
      </c>
      <c r="C50" s="15" t="n"/>
      <c r="D50" s="15" t="n"/>
      <c r="E50" s="15" t="n"/>
      <c r="F50" s="15" t="n"/>
      <c r="G50" s="15" t="n"/>
      <c r="H50" s="15" t="n"/>
      <c r="I50" s="15" t="n"/>
      <c r="J50" s="15" t="n"/>
      <c r="K50" s="15" t="n"/>
      <c r="L50" s="15" t="n"/>
      <c r="M50" s="16" t="n"/>
      <c r="N50" s="15" t="n"/>
      <c r="O50" s="15" t="n"/>
      <c r="P50" s="15" t="n"/>
      <c r="Q50" s="15" t="n"/>
      <c r="R50" s="15" t="n"/>
      <c r="S50" s="16" t="n"/>
      <c r="T50" s="16">
        <f>IF(S50&lt;&gt;"",S50+180,"")</f>
        <v/>
      </c>
      <c r="U50" s="15" t="n"/>
    </row>
    <row r="51">
      <c r="A51" s="15" t="n"/>
      <c r="B51" s="15">
        <f>IFERROR(VLOOKUP(A51,'Source Inventory'!$A$6:$P$55,2,FALSE),"")</f>
        <v/>
      </c>
      <c r="C51" s="15" t="n"/>
      <c r="D51" s="15" t="n"/>
      <c r="E51" s="15" t="n"/>
      <c r="F51" s="15" t="n"/>
      <c r="G51" s="15" t="n"/>
      <c r="H51" s="15" t="n"/>
      <c r="I51" s="15" t="n"/>
      <c r="J51" s="15" t="n"/>
      <c r="K51" s="15" t="n"/>
      <c r="L51" s="15" t="n"/>
      <c r="M51" s="16" t="n"/>
      <c r="N51" s="15" t="n"/>
      <c r="O51" s="15" t="n"/>
      <c r="P51" s="15" t="n"/>
      <c r="Q51" s="15" t="n"/>
      <c r="R51" s="15" t="n"/>
      <c r="S51" s="16" t="n"/>
      <c r="T51" s="16">
        <f>IF(S51&lt;&gt;"",S51+180,"")</f>
        <v/>
      </c>
      <c r="U51" s="15" t="n"/>
    </row>
    <row r="52">
      <c r="A52" s="15" t="n"/>
      <c r="B52" s="15">
        <f>IFERROR(VLOOKUP(A52,'Source Inventory'!$A$6:$P$55,2,FALSE),"")</f>
        <v/>
      </c>
      <c r="C52" s="15" t="n"/>
      <c r="D52" s="15" t="n"/>
      <c r="E52" s="15" t="n"/>
      <c r="F52" s="15" t="n"/>
      <c r="G52" s="15" t="n"/>
      <c r="H52" s="15" t="n"/>
      <c r="I52" s="15" t="n"/>
      <c r="J52" s="15" t="n"/>
      <c r="K52" s="15" t="n"/>
      <c r="L52" s="15" t="n"/>
      <c r="M52" s="16" t="n"/>
      <c r="N52" s="15" t="n"/>
      <c r="O52" s="15" t="n"/>
      <c r="P52" s="15" t="n"/>
      <c r="Q52" s="15" t="n"/>
      <c r="R52" s="15" t="n"/>
      <c r="S52" s="16" t="n"/>
      <c r="T52" s="16">
        <f>IF(S52&lt;&gt;"",S52+180,"")</f>
        <v/>
      </c>
      <c r="U52" s="15" t="n"/>
    </row>
    <row r="53">
      <c r="A53" s="15" t="n"/>
      <c r="B53" s="15">
        <f>IFERROR(VLOOKUP(A53,'Source Inventory'!$A$6:$P$55,2,FALSE),"")</f>
        <v/>
      </c>
      <c r="C53" s="15" t="n"/>
      <c r="D53" s="15" t="n"/>
      <c r="E53" s="15" t="n"/>
      <c r="F53" s="15" t="n"/>
      <c r="G53" s="15" t="n"/>
      <c r="H53" s="15" t="n"/>
      <c r="I53" s="15" t="n"/>
      <c r="J53" s="15" t="n"/>
      <c r="K53" s="15" t="n"/>
      <c r="L53" s="15" t="n"/>
      <c r="M53" s="16" t="n"/>
      <c r="N53" s="15" t="n"/>
      <c r="O53" s="15" t="n"/>
      <c r="P53" s="15" t="n"/>
      <c r="Q53" s="15" t="n"/>
      <c r="R53" s="15" t="n"/>
      <c r="S53" s="16" t="n"/>
      <c r="T53" s="16">
        <f>IF(S53&lt;&gt;"",S53+180,"")</f>
        <v/>
      </c>
      <c r="U53" s="15" t="n"/>
    </row>
    <row r="54">
      <c r="A54" s="15" t="n"/>
      <c r="B54" s="15">
        <f>IFERROR(VLOOKUP(A54,'Source Inventory'!$A$6:$P$55,2,FALSE),"")</f>
        <v/>
      </c>
      <c r="C54" s="15" t="n"/>
      <c r="D54" s="15" t="n"/>
      <c r="E54" s="15" t="n"/>
      <c r="F54" s="15" t="n"/>
      <c r="G54" s="15" t="n"/>
      <c r="H54" s="15" t="n"/>
      <c r="I54" s="15" t="n"/>
      <c r="J54" s="15" t="n"/>
      <c r="K54" s="15" t="n"/>
      <c r="L54" s="15" t="n"/>
      <c r="M54" s="16" t="n"/>
      <c r="N54" s="15" t="n"/>
      <c r="O54" s="15" t="n"/>
      <c r="P54" s="15" t="n"/>
      <c r="Q54" s="15" t="n"/>
      <c r="R54" s="15" t="n"/>
      <c r="S54" s="16" t="n"/>
      <c r="T54" s="16">
        <f>IF(S54&lt;&gt;"",S54+180,"")</f>
        <v/>
      </c>
      <c r="U54" s="15" t="n"/>
    </row>
    <row r="55">
      <c r="A55" s="15" t="n"/>
      <c r="B55" s="15">
        <f>IFERROR(VLOOKUP(A55,'Source Inventory'!$A$6:$P$55,2,FALSE),"")</f>
        <v/>
      </c>
      <c r="C55" s="15" t="n"/>
      <c r="D55" s="15" t="n"/>
      <c r="E55" s="15" t="n"/>
      <c r="F55" s="15" t="n"/>
      <c r="G55" s="15" t="n"/>
      <c r="H55" s="15" t="n"/>
      <c r="I55" s="15" t="n"/>
      <c r="J55" s="15" t="n"/>
      <c r="K55" s="15" t="n"/>
      <c r="L55" s="15" t="n"/>
      <c r="M55" s="16" t="n"/>
      <c r="N55" s="15" t="n"/>
      <c r="O55" s="15" t="n"/>
      <c r="P55" s="15" t="n"/>
      <c r="Q55" s="15" t="n"/>
      <c r="R55" s="15" t="n"/>
      <c r="S55" s="16" t="n"/>
      <c r="T55" s="16">
        <f>IF(S55&lt;&gt;"",S55+180,"")</f>
        <v/>
      </c>
      <c r="U55" s="15" t="n"/>
    </row>
  </sheetData>
  <mergeCells count="2">
    <mergeCell ref="A1:U1"/>
    <mergeCell ref="A2:U2"/>
  </mergeCells>
  <dataValidations count="2">
    <dataValidation sqref="A6 A7 A8 A9 A10 A11 A12 A13 A14 A15 A16 A17 A18 A19 A20 A21 A22 A23 A24 A25 A26 A27 A28 A29 A30 A31 A32 A33 A34 A35 A36 A37 A38 A39 A40 A41 A42 A43 A44 A45 A46 A47 A48 A49 A50 A51 A52 A53 A54 A55" showDropDown="0" showInputMessage="0" showErrorMessage="0" allowBlank="1" type="list">
      <formula1>='Source Inventory'!$A$6:$A$55</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 Support,Account Manager,Emergency Contact,Billing,Executive,Data Protection Officer,Security Team"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55"/>
  <sheetViews>
    <sheetView showGridLines="0" workbookViewId="0">
      <pane ySplit="4" topLeftCell="A5"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22" customWidth="1" min="6" max="6"/>
    <col width="22" customWidth="1" min="7" max="7"/>
    <col width="22" customWidth="1" min="8" max="8"/>
    <col width="20" customWidth="1" min="9" max="9"/>
    <col width="20" customWidth="1" min="10" max="10"/>
    <col width="22" customWidth="1" min="11" max="11"/>
    <col width="22" customWidth="1" min="12" max="12"/>
    <col width="15" customWidth="1" min="13" max="13"/>
    <col width="18" customWidth="1" min="14" max="14"/>
    <col width="15" customWidth="1" min="15" max="15"/>
    <col width="18" customWidth="1" min="16" max="16"/>
    <col width="15" customWidth="1" min="17" max="17"/>
    <col width="22" customWidth="1" min="18" max="18"/>
    <col width="15" customWidth="1" min="19" max="19"/>
    <col width="20" customWidth="1" min="20" max="20"/>
    <col width="18" customWidth="1" min="21" max="21"/>
    <col width="30" customWidth="1" min="22" max="22"/>
    <col width="18" customWidth="1" min="23" max="23"/>
    <col width="18" customWidth="1" min="24" max="24"/>
    <col width="25" customWidth="1" min="25" max="25"/>
    <col width="35" customWidth="1" min="26" max="26"/>
  </cols>
  <sheetData>
    <row r="1" ht="35" customHeight="1">
      <c r="A1" s="51" t="inlineStr">
        <is>
          <t>VENDOR SLAS - PERFORMANCE VS. CONTRACTUAL COMMITMENTS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17" t="inlineStr">
        <is>
          <t>ISO/IEC 27001:2022 | Control A.5.7 | Track SLA performance vs. contractual commitments for all threat intelligence sources</t>
        </is>
      </c>
    </row>
    <row r="4">
      <c r="A4" s="13" t="inlineStr">
        <is>
          <t>SLA Record ID</t>
        </is>
      </c>
      <c r="B4" s="13" t="inlineStr">
        <is>
          <t>Source ID</t>
        </is>
      </c>
      <c r="C4" s="13" t="inlineStr">
        <is>
          <t>Source Name</t>
        </is>
      </c>
      <c r="D4" s="13" t="inlineStr">
        <is>
          <t>SLA Metric</t>
        </is>
      </c>
      <c r="E4" s="13" t="inlineStr">
        <is>
          <t>Contractual Target</t>
        </is>
      </c>
      <c r="F4" s="13" t="inlineStr">
        <is>
          <t>Contractual Target Numeric</t>
        </is>
      </c>
      <c r="G4" s="13" t="inlineStr">
        <is>
          <t>Actual Performance</t>
        </is>
      </c>
      <c r="H4" s="13" t="inlineStr">
        <is>
          <t>Actual Performance Numeric</t>
        </is>
      </c>
      <c r="I4" s="13" t="inlineStr">
        <is>
          <t>Performance Variance</t>
        </is>
      </c>
      <c r="J4" s="13" t="inlineStr">
        <is>
          <t>Measurement Period</t>
        </is>
      </c>
      <c r="K4" s="13" t="inlineStr">
        <is>
          <t>Measurement Start Date</t>
        </is>
      </c>
      <c r="L4" s="13" t="inlineStr">
        <is>
          <t>Measurement End Date</t>
        </is>
      </c>
      <c r="M4" s="13" t="inlineStr">
        <is>
          <t>SLA Status</t>
        </is>
      </c>
      <c r="N4" s="13" t="inlineStr">
        <is>
          <t>SLA Breach Count</t>
        </is>
      </c>
      <c r="O4" s="13" t="inlineStr">
        <is>
          <t>Penalty Clause</t>
        </is>
      </c>
      <c r="P4" s="13" t="inlineStr">
        <is>
          <t>Penalty Amount</t>
        </is>
      </c>
      <c r="Q4" s="13" t="inlineStr">
        <is>
          <t>Penalty Applied</t>
        </is>
      </c>
      <c r="R4" s="13" t="inlineStr">
        <is>
          <t>Penalty Application Date</t>
        </is>
      </c>
      <c r="S4" s="13" t="inlineStr">
        <is>
          <t>Credit Received</t>
        </is>
      </c>
      <c r="T4" s="13" t="inlineStr">
        <is>
          <t>Escalated To Vendor</t>
        </is>
      </c>
      <c r="U4" s="13" t="inlineStr">
        <is>
          <t>Escalation Date</t>
        </is>
      </c>
      <c r="V4" s="13" t="inlineStr">
        <is>
          <t>Vendor Response</t>
        </is>
      </c>
      <c r="W4" s="13" t="inlineStr">
        <is>
          <t>Last Review Date</t>
        </is>
      </c>
      <c r="X4" s="13" t="inlineStr">
        <is>
          <t>Next Review Date</t>
        </is>
      </c>
      <c r="Y4" s="13" t="inlineStr">
        <is>
          <t>Reviewer</t>
        </is>
      </c>
      <c r="Z4" s="13" t="inlineStr">
        <is>
          <t>Notes</t>
        </is>
      </c>
    </row>
    <row r="5">
      <c r="A5" s="14" t="inlineStr">
        <is>
          <t>SLA-001</t>
        </is>
      </c>
      <c r="B5" s="14" t="inlineStr">
        <is>
          <t>SRC-001</t>
        </is>
      </c>
      <c r="C5" s="14" t="inlineStr">
        <is>
          <t>MISP Community Feed</t>
        </is>
      </c>
      <c r="D5" s="14" t="inlineStr">
        <is>
          <t>Update Frequency</t>
        </is>
      </c>
      <c r="E5" s="14" t="inlineStr">
        <is>
          <t>Daily</t>
        </is>
      </c>
      <c r="F5" s="14" t="inlineStr">
        <is>
          <t>1</t>
        </is>
      </c>
      <c r="G5" s="14" t="inlineStr">
        <is>
          <t>Daily</t>
        </is>
      </c>
      <c r="H5" s="14" t="inlineStr">
        <is>
          <t>1</t>
        </is>
      </c>
      <c r="I5" s="14" t="inlineStr">
        <is>
          <t>0</t>
        </is>
      </c>
      <c r="J5" s="14" t="inlineStr">
        <is>
          <t>Q1 2025</t>
        </is>
      </c>
      <c r="K5" s="14" t="inlineStr">
        <is>
          <t>01.01.2025</t>
        </is>
      </c>
      <c r="L5" s="14" t="inlineStr">
        <is>
          <t>31.03.2025</t>
        </is>
      </c>
      <c r="M5" s="14" t="inlineStr">
        <is>
          <t>Met</t>
        </is>
      </c>
      <c r="N5" s="14" t="inlineStr">
        <is>
          <t>0</t>
        </is>
      </c>
      <c r="O5" s="14" t="inlineStr">
        <is>
          <t>No</t>
        </is>
      </c>
      <c r="P5" s="14" t="inlineStr"/>
      <c r="Q5" s="14" t="inlineStr">
        <is>
          <t>No</t>
        </is>
      </c>
      <c r="R5" s="14" t="inlineStr"/>
      <c r="S5" s="14" t="inlineStr"/>
      <c r="T5" s="14" t="inlineStr">
        <is>
          <t>No</t>
        </is>
      </c>
      <c r="U5" s="14" t="inlineStr"/>
      <c r="V5" s="14" t="inlineStr"/>
      <c r="W5" s="14" t="inlineStr">
        <is>
          <t>01.04.2025</t>
        </is>
      </c>
      <c r="X5" s="14" t="inlineStr">
        <is>
          <t>01.07.2025</t>
        </is>
      </c>
      <c r="Y5" s="14" t="inlineStr">
        <is>
          <t>Security Manager</t>
        </is>
      </c>
      <c r="Z5" s="14" t="inlineStr">
        <is>
          <t>All SLAs met for Q1 2025</t>
        </is>
      </c>
    </row>
    <row r="6">
      <c r="A6" s="15" t="n"/>
      <c r="B6" s="15" t="n"/>
      <c r="C6" s="15">
        <f>IFERROR(VLOOKUP(B6,'Source Inventory'!$A$6:$P$55,2,FALSE),"")</f>
        <v/>
      </c>
      <c r="D6" s="15" t="n"/>
      <c r="E6" s="15" t="n"/>
      <c r="F6" s="15" t="n"/>
      <c r="G6" s="15" t="n"/>
      <c r="H6" s="15" t="n"/>
      <c r="I6" s="15">
        <f>IF(AND(H6&lt;&gt;"",F6&lt;&gt;""),H6-F6,"")</f>
        <v/>
      </c>
      <c r="J6" s="15" t="n"/>
      <c r="K6" s="16" t="n"/>
      <c r="L6" s="16" t="n"/>
      <c r="M6" s="15" t="n"/>
      <c r="N6" s="15" t="n"/>
      <c r="O6" s="15" t="n"/>
      <c r="P6" s="15" t="n"/>
      <c r="Q6" s="15" t="n"/>
      <c r="R6" s="16" t="n"/>
      <c r="S6" s="15" t="n"/>
      <c r="T6" s="15" t="n"/>
      <c r="U6" s="16" t="n"/>
      <c r="V6" s="15" t="n"/>
      <c r="W6" s="16" t="n"/>
      <c r="X6" s="16" t="n"/>
      <c r="Y6" s="15" t="n"/>
      <c r="Z6" s="15" t="n"/>
    </row>
    <row r="7">
      <c r="A7" s="15" t="n"/>
      <c r="B7" s="15" t="n"/>
      <c r="C7" s="15">
        <f>IFERROR(VLOOKUP(B7,'Source Inventory'!$A$6:$P$55,2,FALSE),"")</f>
        <v/>
      </c>
      <c r="D7" s="15" t="n"/>
      <c r="E7" s="15" t="n"/>
      <c r="F7" s="15" t="n"/>
      <c r="G7" s="15" t="n"/>
      <c r="H7" s="15" t="n"/>
      <c r="I7" s="15">
        <f>IF(AND(H7&lt;&gt;"",F7&lt;&gt;""),H7-F7,"")</f>
        <v/>
      </c>
      <c r="J7" s="15" t="n"/>
      <c r="K7" s="16" t="n"/>
      <c r="L7" s="16" t="n"/>
      <c r="M7" s="15" t="n"/>
      <c r="N7" s="15" t="n"/>
      <c r="O7" s="15" t="n"/>
      <c r="P7" s="15" t="n"/>
      <c r="Q7" s="15" t="n"/>
      <c r="R7" s="16" t="n"/>
      <c r="S7" s="15" t="n"/>
      <c r="T7" s="15" t="n"/>
      <c r="U7" s="16" t="n"/>
      <c r="V7" s="15" t="n"/>
      <c r="W7" s="16" t="n"/>
      <c r="X7" s="16" t="n"/>
      <c r="Y7" s="15" t="n"/>
      <c r="Z7" s="15" t="n"/>
    </row>
    <row r="8">
      <c r="A8" s="15" t="n"/>
      <c r="B8" s="15" t="n"/>
      <c r="C8" s="15">
        <f>IFERROR(VLOOKUP(B8,'Source Inventory'!$A$6:$P$55,2,FALSE),"")</f>
        <v/>
      </c>
      <c r="D8" s="15" t="n"/>
      <c r="E8" s="15" t="n"/>
      <c r="F8" s="15" t="n"/>
      <c r="G8" s="15" t="n"/>
      <c r="H8" s="15" t="n"/>
      <c r="I8" s="15">
        <f>IF(AND(H8&lt;&gt;"",F8&lt;&gt;""),H8-F8,"")</f>
        <v/>
      </c>
      <c r="J8" s="15" t="n"/>
      <c r="K8" s="16" t="n"/>
      <c r="L8" s="16" t="n"/>
      <c r="M8" s="15" t="n"/>
      <c r="N8" s="15" t="n"/>
      <c r="O8" s="15" t="n"/>
      <c r="P8" s="15" t="n"/>
      <c r="Q8" s="15" t="n"/>
      <c r="R8" s="16" t="n"/>
      <c r="S8" s="15" t="n"/>
      <c r="T8" s="15" t="n"/>
      <c r="U8" s="16" t="n"/>
      <c r="V8" s="15" t="n"/>
      <c r="W8" s="16" t="n"/>
      <c r="X8" s="16" t="n"/>
      <c r="Y8" s="15" t="n"/>
      <c r="Z8" s="15" t="n"/>
    </row>
    <row r="9">
      <c r="A9" s="15" t="n"/>
      <c r="B9" s="15" t="n"/>
      <c r="C9" s="15">
        <f>IFERROR(VLOOKUP(B9,'Source Inventory'!$A$6:$P$55,2,FALSE),"")</f>
        <v/>
      </c>
      <c r="D9" s="15" t="n"/>
      <c r="E9" s="15" t="n"/>
      <c r="F9" s="15" t="n"/>
      <c r="G9" s="15" t="n"/>
      <c r="H9" s="15" t="n"/>
      <c r="I9" s="15">
        <f>IF(AND(H9&lt;&gt;"",F9&lt;&gt;""),H9-F9,"")</f>
        <v/>
      </c>
      <c r="J9" s="15" t="n"/>
      <c r="K9" s="16" t="n"/>
      <c r="L9" s="16" t="n"/>
      <c r="M9" s="15" t="n"/>
      <c r="N9" s="15" t="n"/>
      <c r="O9" s="15" t="n"/>
      <c r="P9" s="15" t="n"/>
      <c r="Q9" s="15" t="n"/>
      <c r="R9" s="16" t="n"/>
      <c r="S9" s="15" t="n"/>
      <c r="T9" s="15" t="n"/>
      <c r="U9" s="16" t="n"/>
      <c r="V9" s="15" t="n"/>
      <c r="W9" s="16" t="n"/>
      <c r="X9" s="16" t="n"/>
      <c r="Y9" s="15" t="n"/>
      <c r="Z9" s="15" t="n"/>
    </row>
    <row r="10">
      <c r="A10" s="15" t="n"/>
      <c r="B10" s="15" t="n"/>
      <c r="C10" s="15">
        <f>IFERROR(VLOOKUP(B10,'Source Inventory'!$A$6:$P$55,2,FALSE),"")</f>
        <v/>
      </c>
      <c r="D10" s="15" t="n"/>
      <c r="E10" s="15" t="n"/>
      <c r="F10" s="15" t="n"/>
      <c r="G10" s="15" t="n"/>
      <c r="H10" s="15" t="n"/>
      <c r="I10" s="15">
        <f>IF(AND(H10&lt;&gt;"",F10&lt;&gt;""),H10-F10,"")</f>
        <v/>
      </c>
      <c r="J10" s="15" t="n"/>
      <c r="K10" s="16" t="n"/>
      <c r="L10" s="16" t="n"/>
      <c r="M10" s="15" t="n"/>
      <c r="N10" s="15" t="n"/>
      <c r="O10" s="15" t="n"/>
      <c r="P10" s="15" t="n"/>
      <c r="Q10" s="15" t="n"/>
      <c r="R10" s="16" t="n"/>
      <c r="S10" s="15" t="n"/>
      <c r="T10" s="15" t="n"/>
      <c r="U10" s="16" t="n"/>
      <c r="V10" s="15" t="n"/>
      <c r="W10" s="16" t="n"/>
      <c r="X10" s="16" t="n"/>
      <c r="Y10" s="15" t="n"/>
      <c r="Z10" s="15" t="n"/>
    </row>
    <row r="11">
      <c r="A11" s="15" t="n"/>
      <c r="B11" s="15" t="n"/>
      <c r="C11" s="15">
        <f>IFERROR(VLOOKUP(B11,'Source Inventory'!$A$6:$P$55,2,FALSE),"")</f>
        <v/>
      </c>
      <c r="D11" s="15" t="n"/>
      <c r="E11" s="15" t="n"/>
      <c r="F11" s="15" t="n"/>
      <c r="G11" s="15" t="n"/>
      <c r="H11" s="15" t="n"/>
      <c r="I11" s="15">
        <f>IF(AND(H11&lt;&gt;"",F11&lt;&gt;""),H11-F11,"")</f>
        <v/>
      </c>
      <c r="J11" s="15" t="n"/>
      <c r="K11" s="16" t="n"/>
      <c r="L11" s="16" t="n"/>
      <c r="M11" s="15" t="n"/>
      <c r="N11" s="15" t="n"/>
      <c r="O11" s="15" t="n"/>
      <c r="P11" s="15" t="n"/>
      <c r="Q11" s="15" t="n"/>
      <c r="R11" s="16" t="n"/>
      <c r="S11" s="15" t="n"/>
      <c r="T11" s="15" t="n"/>
      <c r="U11" s="16" t="n"/>
      <c r="V11" s="15" t="n"/>
      <c r="W11" s="16" t="n"/>
      <c r="X11" s="16" t="n"/>
      <c r="Y11" s="15" t="n"/>
      <c r="Z11" s="15" t="n"/>
    </row>
    <row r="12">
      <c r="A12" s="15" t="n"/>
      <c r="B12" s="15" t="n"/>
      <c r="C12" s="15">
        <f>IFERROR(VLOOKUP(B12,'Source Inventory'!$A$6:$P$55,2,FALSE),"")</f>
        <v/>
      </c>
      <c r="D12" s="15" t="n"/>
      <c r="E12" s="15" t="n"/>
      <c r="F12" s="15" t="n"/>
      <c r="G12" s="15" t="n"/>
      <c r="H12" s="15" t="n"/>
      <c r="I12" s="15">
        <f>IF(AND(H12&lt;&gt;"",F12&lt;&gt;""),H12-F12,"")</f>
        <v/>
      </c>
      <c r="J12" s="15" t="n"/>
      <c r="K12" s="16" t="n"/>
      <c r="L12" s="16" t="n"/>
      <c r="M12" s="15" t="n"/>
      <c r="N12" s="15" t="n"/>
      <c r="O12" s="15" t="n"/>
      <c r="P12" s="15" t="n"/>
      <c r="Q12" s="15" t="n"/>
      <c r="R12" s="16" t="n"/>
      <c r="S12" s="15" t="n"/>
      <c r="T12" s="15" t="n"/>
      <c r="U12" s="16" t="n"/>
      <c r="V12" s="15" t="n"/>
      <c r="W12" s="16" t="n"/>
      <c r="X12" s="16" t="n"/>
      <c r="Y12" s="15" t="n"/>
      <c r="Z12" s="15" t="n"/>
    </row>
    <row r="13">
      <c r="A13" s="15" t="n"/>
      <c r="B13" s="15" t="n"/>
      <c r="C13" s="15">
        <f>IFERROR(VLOOKUP(B13,'Source Inventory'!$A$6:$P$55,2,FALSE),"")</f>
        <v/>
      </c>
      <c r="D13" s="15" t="n"/>
      <c r="E13" s="15" t="n"/>
      <c r="F13" s="15" t="n"/>
      <c r="G13" s="15" t="n"/>
      <c r="H13" s="15" t="n"/>
      <c r="I13" s="15">
        <f>IF(AND(H13&lt;&gt;"",F13&lt;&gt;""),H13-F13,"")</f>
        <v/>
      </c>
      <c r="J13" s="15" t="n"/>
      <c r="K13" s="16" t="n"/>
      <c r="L13" s="16" t="n"/>
      <c r="M13" s="15" t="n"/>
      <c r="N13" s="15" t="n"/>
      <c r="O13" s="15" t="n"/>
      <c r="P13" s="15" t="n"/>
      <c r="Q13" s="15" t="n"/>
      <c r="R13" s="16" t="n"/>
      <c r="S13" s="15" t="n"/>
      <c r="T13" s="15" t="n"/>
      <c r="U13" s="16" t="n"/>
      <c r="V13" s="15" t="n"/>
      <c r="W13" s="16" t="n"/>
      <c r="X13" s="16" t="n"/>
      <c r="Y13" s="15" t="n"/>
      <c r="Z13" s="15" t="n"/>
    </row>
    <row r="14">
      <c r="A14" s="15" t="n"/>
      <c r="B14" s="15" t="n"/>
      <c r="C14" s="15">
        <f>IFERROR(VLOOKUP(B14,'Source Inventory'!$A$6:$P$55,2,FALSE),"")</f>
        <v/>
      </c>
      <c r="D14" s="15" t="n"/>
      <c r="E14" s="15" t="n"/>
      <c r="F14" s="15" t="n"/>
      <c r="G14" s="15" t="n"/>
      <c r="H14" s="15" t="n"/>
      <c r="I14" s="15">
        <f>IF(AND(H14&lt;&gt;"",F14&lt;&gt;""),H14-F14,"")</f>
        <v/>
      </c>
      <c r="J14" s="15" t="n"/>
      <c r="K14" s="16" t="n"/>
      <c r="L14" s="16" t="n"/>
      <c r="M14" s="15" t="n"/>
      <c r="N14" s="15" t="n"/>
      <c r="O14" s="15" t="n"/>
      <c r="P14" s="15" t="n"/>
      <c r="Q14" s="15" t="n"/>
      <c r="R14" s="16" t="n"/>
      <c r="S14" s="15" t="n"/>
      <c r="T14" s="15" t="n"/>
      <c r="U14" s="16" t="n"/>
      <c r="V14" s="15" t="n"/>
      <c r="W14" s="16" t="n"/>
      <c r="X14" s="16" t="n"/>
      <c r="Y14" s="15" t="n"/>
      <c r="Z14" s="15" t="n"/>
    </row>
    <row r="15">
      <c r="A15" s="15" t="n"/>
      <c r="B15" s="15" t="n"/>
      <c r="C15" s="15">
        <f>IFERROR(VLOOKUP(B15,'Source Inventory'!$A$6:$P$55,2,FALSE),"")</f>
        <v/>
      </c>
      <c r="D15" s="15" t="n"/>
      <c r="E15" s="15" t="n"/>
      <c r="F15" s="15" t="n"/>
      <c r="G15" s="15" t="n"/>
      <c r="H15" s="15" t="n"/>
      <c r="I15" s="15">
        <f>IF(AND(H15&lt;&gt;"",F15&lt;&gt;""),H15-F15,"")</f>
        <v/>
      </c>
      <c r="J15" s="15" t="n"/>
      <c r="K15" s="16" t="n"/>
      <c r="L15" s="16" t="n"/>
      <c r="M15" s="15" t="n"/>
      <c r="N15" s="15" t="n"/>
      <c r="O15" s="15" t="n"/>
      <c r="P15" s="15" t="n"/>
      <c r="Q15" s="15" t="n"/>
      <c r="R15" s="16" t="n"/>
      <c r="S15" s="15" t="n"/>
      <c r="T15" s="15" t="n"/>
      <c r="U15" s="16" t="n"/>
      <c r="V15" s="15" t="n"/>
      <c r="W15" s="16" t="n"/>
      <c r="X15" s="16" t="n"/>
      <c r="Y15" s="15" t="n"/>
      <c r="Z15" s="15" t="n"/>
    </row>
    <row r="16">
      <c r="A16" s="15" t="n"/>
      <c r="B16" s="15" t="n"/>
      <c r="C16" s="15">
        <f>IFERROR(VLOOKUP(B16,'Source Inventory'!$A$6:$P$55,2,FALSE),"")</f>
        <v/>
      </c>
      <c r="D16" s="15" t="n"/>
      <c r="E16" s="15" t="n"/>
      <c r="F16" s="15" t="n"/>
      <c r="G16" s="15" t="n"/>
      <c r="H16" s="15" t="n"/>
      <c r="I16" s="15">
        <f>IF(AND(H16&lt;&gt;"",F16&lt;&gt;""),H16-F16,"")</f>
        <v/>
      </c>
      <c r="J16" s="15" t="n"/>
      <c r="K16" s="16" t="n"/>
      <c r="L16" s="16" t="n"/>
      <c r="M16" s="15" t="n"/>
      <c r="N16" s="15" t="n"/>
      <c r="O16" s="15" t="n"/>
      <c r="P16" s="15" t="n"/>
      <c r="Q16" s="15" t="n"/>
      <c r="R16" s="16" t="n"/>
      <c r="S16" s="15" t="n"/>
      <c r="T16" s="15" t="n"/>
      <c r="U16" s="16" t="n"/>
      <c r="V16" s="15" t="n"/>
      <c r="W16" s="16" t="n"/>
      <c r="X16" s="16" t="n"/>
      <c r="Y16" s="15" t="n"/>
      <c r="Z16" s="15" t="n"/>
    </row>
    <row r="17">
      <c r="A17" s="15" t="n"/>
      <c r="B17" s="15" t="n"/>
      <c r="C17" s="15">
        <f>IFERROR(VLOOKUP(B17,'Source Inventory'!$A$6:$P$55,2,FALSE),"")</f>
        <v/>
      </c>
      <c r="D17" s="15" t="n"/>
      <c r="E17" s="15" t="n"/>
      <c r="F17" s="15" t="n"/>
      <c r="G17" s="15" t="n"/>
      <c r="H17" s="15" t="n"/>
      <c r="I17" s="15">
        <f>IF(AND(H17&lt;&gt;"",F17&lt;&gt;""),H17-F17,"")</f>
        <v/>
      </c>
      <c r="J17" s="15" t="n"/>
      <c r="K17" s="16" t="n"/>
      <c r="L17" s="16" t="n"/>
      <c r="M17" s="15" t="n"/>
      <c r="N17" s="15" t="n"/>
      <c r="O17" s="15" t="n"/>
      <c r="P17" s="15" t="n"/>
      <c r="Q17" s="15" t="n"/>
      <c r="R17" s="16" t="n"/>
      <c r="S17" s="15" t="n"/>
      <c r="T17" s="15" t="n"/>
      <c r="U17" s="16" t="n"/>
      <c r="V17" s="15" t="n"/>
      <c r="W17" s="16" t="n"/>
      <c r="X17" s="16" t="n"/>
      <c r="Y17" s="15" t="n"/>
      <c r="Z17" s="15" t="n"/>
    </row>
    <row r="18">
      <c r="A18" s="15" t="n"/>
      <c r="B18" s="15" t="n"/>
      <c r="C18" s="15">
        <f>IFERROR(VLOOKUP(B18,'Source Inventory'!$A$6:$P$55,2,FALSE),"")</f>
        <v/>
      </c>
      <c r="D18" s="15" t="n"/>
      <c r="E18" s="15" t="n"/>
      <c r="F18" s="15" t="n"/>
      <c r="G18" s="15" t="n"/>
      <c r="H18" s="15" t="n"/>
      <c r="I18" s="15">
        <f>IF(AND(H18&lt;&gt;"",F18&lt;&gt;""),H18-F18,"")</f>
        <v/>
      </c>
      <c r="J18" s="15" t="n"/>
      <c r="K18" s="16" t="n"/>
      <c r="L18" s="16" t="n"/>
      <c r="M18" s="15" t="n"/>
      <c r="N18" s="15" t="n"/>
      <c r="O18" s="15" t="n"/>
      <c r="P18" s="15" t="n"/>
      <c r="Q18" s="15" t="n"/>
      <c r="R18" s="16" t="n"/>
      <c r="S18" s="15" t="n"/>
      <c r="T18" s="15" t="n"/>
      <c r="U18" s="16" t="n"/>
      <c r="V18" s="15" t="n"/>
      <c r="W18" s="16" t="n"/>
      <c r="X18" s="16" t="n"/>
      <c r="Y18" s="15" t="n"/>
      <c r="Z18" s="15" t="n"/>
    </row>
    <row r="19">
      <c r="A19" s="15" t="n"/>
      <c r="B19" s="15" t="n"/>
      <c r="C19" s="15">
        <f>IFERROR(VLOOKUP(B19,'Source Inventory'!$A$6:$P$55,2,FALSE),"")</f>
        <v/>
      </c>
      <c r="D19" s="15" t="n"/>
      <c r="E19" s="15" t="n"/>
      <c r="F19" s="15" t="n"/>
      <c r="G19" s="15" t="n"/>
      <c r="H19" s="15" t="n"/>
      <c r="I19" s="15">
        <f>IF(AND(H19&lt;&gt;"",F19&lt;&gt;""),H19-F19,"")</f>
        <v/>
      </c>
      <c r="J19" s="15" t="n"/>
      <c r="K19" s="16" t="n"/>
      <c r="L19" s="16" t="n"/>
      <c r="M19" s="15" t="n"/>
      <c r="N19" s="15" t="n"/>
      <c r="O19" s="15" t="n"/>
      <c r="P19" s="15" t="n"/>
      <c r="Q19" s="15" t="n"/>
      <c r="R19" s="16" t="n"/>
      <c r="S19" s="15" t="n"/>
      <c r="T19" s="15" t="n"/>
      <c r="U19" s="16" t="n"/>
      <c r="V19" s="15" t="n"/>
      <c r="W19" s="16" t="n"/>
      <c r="X19" s="16" t="n"/>
      <c r="Y19" s="15" t="n"/>
      <c r="Z19" s="15" t="n"/>
    </row>
    <row r="20">
      <c r="A20" s="15" t="n"/>
      <c r="B20" s="15" t="n"/>
      <c r="C20" s="15">
        <f>IFERROR(VLOOKUP(B20,'Source Inventory'!$A$6:$P$55,2,FALSE),"")</f>
        <v/>
      </c>
      <c r="D20" s="15" t="n"/>
      <c r="E20" s="15" t="n"/>
      <c r="F20" s="15" t="n"/>
      <c r="G20" s="15" t="n"/>
      <c r="H20" s="15" t="n"/>
      <c r="I20" s="15">
        <f>IF(AND(H20&lt;&gt;"",F20&lt;&gt;""),H20-F20,"")</f>
        <v/>
      </c>
      <c r="J20" s="15" t="n"/>
      <c r="K20" s="16" t="n"/>
      <c r="L20" s="16" t="n"/>
      <c r="M20" s="15" t="n"/>
      <c r="N20" s="15" t="n"/>
      <c r="O20" s="15" t="n"/>
      <c r="P20" s="15" t="n"/>
      <c r="Q20" s="15" t="n"/>
      <c r="R20" s="16" t="n"/>
      <c r="S20" s="15" t="n"/>
      <c r="T20" s="15" t="n"/>
      <c r="U20" s="16" t="n"/>
      <c r="V20" s="15" t="n"/>
      <c r="W20" s="16" t="n"/>
      <c r="X20" s="16" t="n"/>
      <c r="Y20" s="15" t="n"/>
      <c r="Z20" s="15" t="n"/>
    </row>
    <row r="21">
      <c r="A21" s="15" t="n"/>
      <c r="B21" s="15" t="n"/>
      <c r="C21" s="15">
        <f>IFERROR(VLOOKUP(B21,'Source Inventory'!$A$6:$P$55,2,FALSE),"")</f>
        <v/>
      </c>
      <c r="D21" s="15" t="n"/>
      <c r="E21" s="15" t="n"/>
      <c r="F21" s="15" t="n"/>
      <c r="G21" s="15" t="n"/>
      <c r="H21" s="15" t="n"/>
      <c r="I21" s="15">
        <f>IF(AND(H21&lt;&gt;"",F21&lt;&gt;""),H21-F21,"")</f>
        <v/>
      </c>
      <c r="J21" s="15" t="n"/>
      <c r="K21" s="16" t="n"/>
      <c r="L21" s="16" t="n"/>
      <c r="M21" s="15" t="n"/>
      <c r="N21" s="15" t="n"/>
      <c r="O21" s="15" t="n"/>
      <c r="P21" s="15" t="n"/>
      <c r="Q21" s="15" t="n"/>
      <c r="R21" s="16" t="n"/>
      <c r="S21" s="15" t="n"/>
      <c r="T21" s="15" t="n"/>
      <c r="U21" s="16" t="n"/>
      <c r="V21" s="15" t="n"/>
      <c r="W21" s="16" t="n"/>
      <c r="X21" s="16" t="n"/>
      <c r="Y21" s="15" t="n"/>
      <c r="Z21" s="15" t="n"/>
    </row>
    <row r="22">
      <c r="A22" s="15" t="n"/>
      <c r="B22" s="15" t="n"/>
      <c r="C22" s="15">
        <f>IFERROR(VLOOKUP(B22,'Source Inventory'!$A$6:$P$55,2,FALSE),"")</f>
        <v/>
      </c>
      <c r="D22" s="15" t="n"/>
      <c r="E22" s="15" t="n"/>
      <c r="F22" s="15" t="n"/>
      <c r="G22" s="15" t="n"/>
      <c r="H22" s="15" t="n"/>
      <c r="I22" s="15">
        <f>IF(AND(H22&lt;&gt;"",F22&lt;&gt;""),H22-F22,"")</f>
        <v/>
      </c>
      <c r="J22" s="15" t="n"/>
      <c r="K22" s="16" t="n"/>
      <c r="L22" s="16" t="n"/>
      <c r="M22" s="15" t="n"/>
      <c r="N22" s="15" t="n"/>
      <c r="O22" s="15" t="n"/>
      <c r="P22" s="15" t="n"/>
      <c r="Q22" s="15" t="n"/>
      <c r="R22" s="16" t="n"/>
      <c r="S22" s="15" t="n"/>
      <c r="T22" s="15" t="n"/>
      <c r="U22" s="16" t="n"/>
      <c r="V22" s="15" t="n"/>
      <c r="W22" s="16" t="n"/>
      <c r="X22" s="16" t="n"/>
      <c r="Y22" s="15" t="n"/>
      <c r="Z22" s="15" t="n"/>
    </row>
    <row r="23">
      <c r="A23" s="15" t="n"/>
      <c r="B23" s="15" t="n"/>
      <c r="C23" s="15">
        <f>IFERROR(VLOOKUP(B23,'Source Inventory'!$A$6:$P$55,2,FALSE),"")</f>
        <v/>
      </c>
      <c r="D23" s="15" t="n"/>
      <c r="E23" s="15" t="n"/>
      <c r="F23" s="15" t="n"/>
      <c r="G23" s="15" t="n"/>
      <c r="H23" s="15" t="n"/>
      <c r="I23" s="15">
        <f>IF(AND(H23&lt;&gt;"",F23&lt;&gt;""),H23-F23,"")</f>
        <v/>
      </c>
      <c r="J23" s="15" t="n"/>
      <c r="K23" s="16" t="n"/>
      <c r="L23" s="16" t="n"/>
      <c r="M23" s="15" t="n"/>
      <c r="N23" s="15" t="n"/>
      <c r="O23" s="15" t="n"/>
      <c r="P23" s="15" t="n"/>
      <c r="Q23" s="15" t="n"/>
      <c r="R23" s="16" t="n"/>
      <c r="S23" s="15" t="n"/>
      <c r="T23" s="15" t="n"/>
      <c r="U23" s="16" t="n"/>
      <c r="V23" s="15" t="n"/>
      <c r="W23" s="16" t="n"/>
      <c r="X23" s="16" t="n"/>
      <c r="Y23" s="15" t="n"/>
      <c r="Z23" s="15" t="n"/>
    </row>
    <row r="24">
      <c r="A24" s="15" t="n"/>
      <c r="B24" s="15" t="n"/>
      <c r="C24" s="15">
        <f>IFERROR(VLOOKUP(B24,'Source Inventory'!$A$6:$P$55,2,FALSE),"")</f>
        <v/>
      </c>
      <c r="D24" s="15" t="n"/>
      <c r="E24" s="15" t="n"/>
      <c r="F24" s="15" t="n"/>
      <c r="G24" s="15" t="n"/>
      <c r="H24" s="15" t="n"/>
      <c r="I24" s="15">
        <f>IF(AND(H24&lt;&gt;"",F24&lt;&gt;""),H24-F24,"")</f>
        <v/>
      </c>
      <c r="J24" s="15" t="n"/>
      <c r="K24" s="16" t="n"/>
      <c r="L24" s="16" t="n"/>
      <c r="M24" s="15" t="n"/>
      <c r="N24" s="15" t="n"/>
      <c r="O24" s="15" t="n"/>
      <c r="P24" s="15" t="n"/>
      <c r="Q24" s="15" t="n"/>
      <c r="R24" s="16" t="n"/>
      <c r="S24" s="15" t="n"/>
      <c r="T24" s="15" t="n"/>
      <c r="U24" s="16" t="n"/>
      <c r="V24" s="15" t="n"/>
      <c r="W24" s="16" t="n"/>
      <c r="X24" s="16" t="n"/>
      <c r="Y24" s="15" t="n"/>
      <c r="Z24" s="15" t="n"/>
    </row>
    <row r="25">
      <c r="A25" s="15" t="n"/>
      <c r="B25" s="15" t="n"/>
      <c r="C25" s="15">
        <f>IFERROR(VLOOKUP(B25,'Source Inventory'!$A$6:$P$55,2,FALSE),"")</f>
        <v/>
      </c>
      <c r="D25" s="15" t="n"/>
      <c r="E25" s="15" t="n"/>
      <c r="F25" s="15" t="n"/>
      <c r="G25" s="15" t="n"/>
      <c r="H25" s="15" t="n"/>
      <c r="I25" s="15">
        <f>IF(AND(H25&lt;&gt;"",F25&lt;&gt;""),H25-F25,"")</f>
        <v/>
      </c>
      <c r="J25" s="15" t="n"/>
      <c r="K25" s="16" t="n"/>
      <c r="L25" s="16" t="n"/>
      <c r="M25" s="15" t="n"/>
      <c r="N25" s="15" t="n"/>
      <c r="O25" s="15" t="n"/>
      <c r="P25" s="15" t="n"/>
      <c r="Q25" s="15" t="n"/>
      <c r="R25" s="16" t="n"/>
      <c r="S25" s="15" t="n"/>
      <c r="T25" s="15" t="n"/>
      <c r="U25" s="16" t="n"/>
      <c r="V25" s="15" t="n"/>
      <c r="W25" s="16" t="n"/>
      <c r="X25" s="16" t="n"/>
      <c r="Y25" s="15" t="n"/>
      <c r="Z25" s="15" t="n"/>
    </row>
    <row r="26">
      <c r="A26" s="15" t="n"/>
      <c r="B26" s="15" t="n"/>
      <c r="C26" s="15">
        <f>IFERROR(VLOOKUP(B26,'Source Inventory'!$A$6:$P$55,2,FALSE),"")</f>
        <v/>
      </c>
      <c r="D26" s="15" t="n"/>
      <c r="E26" s="15" t="n"/>
      <c r="F26" s="15" t="n"/>
      <c r="G26" s="15" t="n"/>
      <c r="H26" s="15" t="n"/>
      <c r="I26" s="15">
        <f>IF(AND(H26&lt;&gt;"",F26&lt;&gt;""),H26-F26,"")</f>
        <v/>
      </c>
      <c r="J26" s="15" t="n"/>
      <c r="K26" s="16" t="n"/>
      <c r="L26" s="16" t="n"/>
      <c r="M26" s="15" t="n"/>
      <c r="N26" s="15" t="n"/>
      <c r="O26" s="15" t="n"/>
      <c r="P26" s="15" t="n"/>
      <c r="Q26" s="15" t="n"/>
      <c r="R26" s="16" t="n"/>
      <c r="S26" s="15" t="n"/>
      <c r="T26" s="15" t="n"/>
      <c r="U26" s="16" t="n"/>
      <c r="V26" s="15" t="n"/>
      <c r="W26" s="16" t="n"/>
      <c r="X26" s="16" t="n"/>
      <c r="Y26" s="15" t="n"/>
      <c r="Z26" s="15" t="n"/>
    </row>
    <row r="27">
      <c r="A27" s="15" t="n"/>
      <c r="B27" s="15" t="n"/>
      <c r="C27" s="15">
        <f>IFERROR(VLOOKUP(B27,'Source Inventory'!$A$6:$P$55,2,FALSE),"")</f>
        <v/>
      </c>
      <c r="D27" s="15" t="n"/>
      <c r="E27" s="15" t="n"/>
      <c r="F27" s="15" t="n"/>
      <c r="G27" s="15" t="n"/>
      <c r="H27" s="15" t="n"/>
      <c r="I27" s="15">
        <f>IF(AND(H27&lt;&gt;"",F27&lt;&gt;""),H27-F27,"")</f>
        <v/>
      </c>
      <c r="J27" s="15" t="n"/>
      <c r="K27" s="16" t="n"/>
      <c r="L27" s="16" t="n"/>
      <c r="M27" s="15" t="n"/>
      <c r="N27" s="15" t="n"/>
      <c r="O27" s="15" t="n"/>
      <c r="P27" s="15" t="n"/>
      <c r="Q27" s="15" t="n"/>
      <c r="R27" s="16" t="n"/>
      <c r="S27" s="15" t="n"/>
      <c r="T27" s="15" t="n"/>
      <c r="U27" s="16" t="n"/>
      <c r="V27" s="15" t="n"/>
      <c r="W27" s="16" t="n"/>
      <c r="X27" s="16" t="n"/>
      <c r="Y27" s="15" t="n"/>
      <c r="Z27" s="15" t="n"/>
    </row>
    <row r="28">
      <c r="A28" s="15" t="n"/>
      <c r="B28" s="15" t="n"/>
      <c r="C28" s="15">
        <f>IFERROR(VLOOKUP(B28,'Source Inventory'!$A$6:$P$55,2,FALSE),"")</f>
        <v/>
      </c>
      <c r="D28" s="15" t="n"/>
      <c r="E28" s="15" t="n"/>
      <c r="F28" s="15" t="n"/>
      <c r="G28" s="15" t="n"/>
      <c r="H28" s="15" t="n"/>
      <c r="I28" s="15">
        <f>IF(AND(H28&lt;&gt;"",F28&lt;&gt;""),H28-F28,"")</f>
        <v/>
      </c>
      <c r="J28" s="15" t="n"/>
      <c r="K28" s="16" t="n"/>
      <c r="L28" s="16" t="n"/>
      <c r="M28" s="15" t="n"/>
      <c r="N28" s="15" t="n"/>
      <c r="O28" s="15" t="n"/>
      <c r="P28" s="15" t="n"/>
      <c r="Q28" s="15" t="n"/>
      <c r="R28" s="16" t="n"/>
      <c r="S28" s="15" t="n"/>
      <c r="T28" s="15" t="n"/>
      <c r="U28" s="16" t="n"/>
      <c r="V28" s="15" t="n"/>
      <c r="W28" s="16" t="n"/>
      <c r="X28" s="16" t="n"/>
      <c r="Y28" s="15" t="n"/>
      <c r="Z28" s="15" t="n"/>
    </row>
    <row r="29">
      <c r="A29" s="15" t="n"/>
      <c r="B29" s="15" t="n"/>
      <c r="C29" s="15">
        <f>IFERROR(VLOOKUP(B29,'Source Inventory'!$A$6:$P$55,2,FALSE),"")</f>
        <v/>
      </c>
      <c r="D29" s="15" t="n"/>
      <c r="E29" s="15" t="n"/>
      <c r="F29" s="15" t="n"/>
      <c r="G29" s="15" t="n"/>
      <c r="H29" s="15" t="n"/>
      <c r="I29" s="15">
        <f>IF(AND(H29&lt;&gt;"",F29&lt;&gt;""),H29-F29,"")</f>
        <v/>
      </c>
      <c r="J29" s="15" t="n"/>
      <c r="K29" s="16" t="n"/>
      <c r="L29" s="16" t="n"/>
      <c r="M29" s="15" t="n"/>
      <c r="N29" s="15" t="n"/>
      <c r="O29" s="15" t="n"/>
      <c r="P29" s="15" t="n"/>
      <c r="Q29" s="15" t="n"/>
      <c r="R29" s="16" t="n"/>
      <c r="S29" s="15" t="n"/>
      <c r="T29" s="15" t="n"/>
      <c r="U29" s="16" t="n"/>
      <c r="V29" s="15" t="n"/>
      <c r="W29" s="16" t="n"/>
      <c r="X29" s="16" t="n"/>
      <c r="Y29" s="15" t="n"/>
      <c r="Z29" s="15" t="n"/>
    </row>
    <row r="30">
      <c r="A30" s="15" t="n"/>
      <c r="B30" s="15" t="n"/>
      <c r="C30" s="15">
        <f>IFERROR(VLOOKUP(B30,'Source Inventory'!$A$6:$P$55,2,FALSE),"")</f>
        <v/>
      </c>
      <c r="D30" s="15" t="n"/>
      <c r="E30" s="15" t="n"/>
      <c r="F30" s="15" t="n"/>
      <c r="G30" s="15" t="n"/>
      <c r="H30" s="15" t="n"/>
      <c r="I30" s="15">
        <f>IF(AND(H30&lt;&gt;"",F30&lt;&gt;""),H30-F30,"")</f>
        <v/>
      </c>
      <c r="J30" s="15" t="n"/>
      <c r="K30" s="16" t="n"/>
      <c r="L30" s="16" t="n"/>
      <c r="M30" s="15" t="n"/>
      <c r="N30" s="15" t="n"/>
      <c r="O30" s="15" t="n"/>
      <c r="P30" s="15" t="n"/>
      <c r="Q30" s="15" t="n"/>
      <c r="R30" s="16" t="n"/>
      <c r="S30" s="15" t="n"/>
      <c r="T30" s="15" t="n"/>
      <c r="U30" s="16" t="n"/>
      <c r="V30" s="15" t="n"/>
      <c r="W30" s="16" t="n"/>
      <c r="X30" s="16" t="n"/>
      <c r="Y30" s="15" t="n"/>
      <c r="Z30" s="15" t="n"/>
    </row>
    <row r="31">
      <c r="A31" s="15" t="n"/>
      <c r="B31" s="15" t="n"/>
      <c r="C31" s="15">
        <f>IFERROR(VLOOKUP(B31,'Source Inventory'!$A$6:$P$55,2,FALSE),"")</f>
        <v/>
      </c>
      <c r="D31" s="15" t="n"/>
      <c r="E31" s="15" t="n"/>
      <c r="F31" s="15" t="n"/>
      <c r="G31" s="15" t="n"/>
      <c r="H31" s="15" t="n"/>
      <c r="I31" s="15">
        <f>IF(AND(H31&lt;&gt;"",F31&lt;&gt;""),H31-F31,"")</f>
        <v/>
      </c>
      <c r="J31" s="15" t="n"/>
      <c r="K31" s="16" t="n"/>
      <c r="L31" s="16" t="n"/>
      <c r="M31" s="15" t="n"/>
      <c r="N31" s="15" t="n"/>
      <c r="O31" s="15" t="n"/>
      <c r="P31" s="15" t="n"/>
      <c r="Q31" s="15" t="n"/>
      <c r="R31" s="16" t="n"/>
      <c r="S31" s="15" t="n"/>
      <c r="T31" s="15" t="n"/>
      <c r="U31" s="16" t="n"/>
      <c r="V31" s="15" t="n"/>
      <c r="W31" s="16" t="n"/>
      <c r="X31" s="16" t="n"/>
      <c r="Y31" s="15" t="n"/>
      <c r="Z31" s="15" t="n"/>
    </row>
    <row r="32">
      <c r="A32" s="15" t="n"/>
      <c r="B32" s="15" t="n"/>
      <c r="C32" s="15">
        <f>IFERROR(VLOOKUP(B32,'Source Inventory'!$A$6:$P$55,2,FALSE),"")</f>
        <v/>
      </c>
      <c r="D32" s="15" t="n"/>
      <c r="E32" s="15" t="n"/>
      <c r="F32" s="15" t="n"/>
      <c r="G32" s="15" t="n"/>
      <c r="H32" s="15" t="n"/>
      <c r="I32" s="15">
        <f>IF(AND(H32&lt;&gt;"",F32&lt;&gt;""),H32-F32,"")</f>
        <v/>
      </c>
      <c r="J32" s="15" t="n"/>
      <c r="K32" s="16" t="n"/>
      <c r="L32" s="16" t="n"/>
      <c r="M32" s="15" t="n"/>
      <c r="N32" s="15" t="n"/>
      <c r="O32" s="15" t="n"/>
      <c r="P32" s="15" t="n"/>
      <c r="Q32" s="15" t="n"/>
      <c r="R32" s="16" t="n"/>
      <c r="S32" s="15" t="n"/>
      <c r="T32" s="15" t="n"/>
      <c r="U32" s="16" t="n"/>
      <c r="V32" s="15" t="n"/>
      <c r="W32" s="16" t="n"/>
      <c r="X32" s="16" t="n"/>
      <c r="Y32" s="15" t="n"/>
      <c r="Z32" s="15" t="n"/>
    </row>
    <row r="33">
      <c r="A33" s="15" t="n"/>
      <c r="B33" s="15" t="n"/>
      <c r="C33" s="15">
        <f>IFERROR(VLOOKUP(B33,'Source Inventory'!$A$6:$P$55,2,FALSE),"")</f>
        <v/>
      </c>
      <c r="D33" s="15" t="n"/>
      <c r="E33" s="15" t="n"/>
      <c r="F33" s="15" t="n"/>
      <c r="G33" s="15" t="n"/>
      <c r="H33" s="15" t="n"/>
      <c r="I33" s="15">
        <f>IF(AND(H33&lt;&gt;"",F33&lt;&gt;""),H33-F33,"")</f>
        <v/>
      </c>
      <c r="J33" s="15" t="n"/>
      <c r="K33" s="16" t="n"/>
      <c r="L33" s="16" t="n"/>
      <c r="M33" s="15" t="n"/>
      <c r="N33" s="15" t="n"/>
      <c r="O33" s="15" t="n"/>
      <c r="P33" s="15" t="n"/>
      <c r="Q33" s="15" t="n"/>
      <c r="R33" s="16" t="n"/>
      <c r="S33" s="15" t="n"/>
      <c r="T33" s="15" t="n"/>
      <c r="U33" s="16" t="n"/>
      <c r="V33" s="15" t="n"/>
      <c r="W33" s="16" t="n"/>
      <c r="X33" s="16" t="n"/>
      <c r="Y33" s="15" t="n"/>
      <c r="Z33" s="15" t="n"/>
    </row>
    <row r="34">
      <c r="A34" s="15" t="n"/>
      <c r="B34" s="15" t="n"/>
      <c r="C34" s="15">
        <f>IFERROR(VLOOKUP(B34,'Source Inventory'!$A$6:$P$55,2,FALSE),"")</f>
        <v/>
      </c>
      <c r="D34" s="15" t="n"/>
      <c r="E34" s="15" t="n"/>
      <c r="F34" s="15" t="n"/>
      <c r="G34" s="15" t="n"/>
      <c r="H34" s="15" t="n"/>
      <c r="I34" s="15">
        <f>IF(AND(H34&lt;&gt;"",F34&lt;&gt;""),H34-F34,"")</f>
        <v/>
      </c>
      <c r="J34" s="15" t="n"/>
      <c r="K34" s="16" t="n"/>
      <c r="L34" s="16" t="n"/>
      <c r="M34" s="15" t="n"/>
      <c r="N34" s="15" t="n"/>
      <c r="O34" s="15" t="n"/>
      <c r="P34" s="15" t="n"/>
      <c r="Q34" s="15" t="n"/>
      <c r="R34" s="16" t="n"/>
      <c r="S34" s="15" t="n"/>
      <c r="T34" s="15" t="n"/>
      <c r="U34" s="16" t="n"/>
      <c r="V34" s="15" t="n"/>
      <c r="W34" s="16" t="n"/>
      <c r="X34" s="16" t="n"/>
      <c r="Y34" s="15" t="n"/>
      <c r="Z34" s="15" t="n"/>
    </row>
    <row r="35">
      <c r="A35" s="15" t="n"/>
      <c r="B35" s="15" t="n"/>
      <c r="C35" s="15">
        <f>IFERROR(VLOOKUP(B35,'Source Inventory'!$A$6:$P$55,2,FALSE),"")</f>
        <v/>
      </c>
      <c r="D35" s="15" t="n"/>
      <c r="E35" s="15" t="n"/>
      <c r="F35" s="15" t="n"/>
      <c r="G35" s="15" t="n"/>
      <c r="H35" s="15" t="n"/>
      <c r="I35" s="15">
        <f>IF(AND(H35&lt;&gt;"",F35&lt;&gt;""),H35-F35,"")</f>
        <v/>
      </c>
      <c r="J35" s="15" t="n"/>
      <c r="K35" s="16" t="n"/>
      <c r="L35" s="16" t="n"/>
      <c r="M35" s="15" t="n"/>
      <c r="N35" s="15" t="n"/>
      <c r="O35" s="15" t="n"/>
      <c r="P35" s="15" t="n"/>
      <c r="Q35" s="15" t="n"/>
      <c r="R35" s="16" t="n"/>
      <c r="S35" s="15" t="n"/>
      <c r="T35" s="15" t="n"/>
      <c r="U35" s="16" t="n"/>
      <c r="V35" s="15" t="n"/>
      <c r="W35" s="16" t="n"/>
      <c r="X35" s="16" t="n"/>
      <c r="Y35" s="15" t="n"/>
      <c r="Z35" s="15" t="n"/>
    </row>
    <row r="36">
      <c r="A36" s="15" t="n"/>
      <c r="B36" s="15" t="n"/>
      <c r="C36" s="15">
        <f>IFERROR(VLOOKUP(B36,'Source Inventory'!$A$6:$P$55,2,FALSE),"")</f>
        <v/>
      </c>
      <c r="D36" s="15" t="n"/>
      <c r="E36" s="15" t="n"/>
      <c r="F36" s="15" t="n"/>
      <c r="G36" s="15" t="n"/>
      <c r="H36" s="15" t="n"/>
      <c r="I36" s="15">
        <f>IF(AND(H36&lt;&gt;"",F36&lt;&gt;""),H36-F36,"")</f>
        <v/>
      </c>
      <c r="J36" s="15" t="n"/>
      <c r="K36" s="16" t="n"/>
      <c r="L36" s="16" t="n"/>
      <c r="M36" s="15" t="n"/>
      <c r="N36" s="15" t="n"/>
      <c r="O36" s="15" t="n"/>
      <c r="P36" s="15" t="n"/>
      <c r="Q36" s="15" t="n"/>
      <c r="R36" s="16" t="n"/>
      <c r="S36" s="15" t="n"/>
      <c r="T36" s="15" t="n"/>
      <c r="U36" s="16" t="n"/>
      <c r="V36" s="15" t="n"/>
      <c r="W36" s="16" t="n"/>
      <c r="X36" s="16" t="n"/>
      <c r="Y36" s="15" t="n"/>
      <c r="Z36" s="15" t="n"/>
    </row>
    <row r="37">
      <c r="A37" s="15" t="n"/>
      <c r="B37" s="15" t="n"/>
      <c r="C37" s="15">
        <f>IFERROR(VLOOKUP(B37,'Source Inventory'!$A$6:$P$55,2,FALSE),"")</f>
        <v/>
      </c>
      <c r="D37" s="15" t="n"/>
      <c r="E37" s="15" t="n"/>
      <c r="F37" s="15" t="n"/>
      <c r="G37" s="15" t="n"/>
      <c r="H37" s="15" t="n"/>
      <c r="I37" s="15">
        <f>IF(AND(H37&lt;&gt;"",F37&lt;&gt;""),H37-F37,"")</f>
        <v/>
      </c>
      <c r="J37" s="15" t="n"/>
      <c r="K37" s="16" t="n"/>
      <c r="L37" s="16" t="n"/>
      <c r="M37" s="15" t="n"/>
      <c r="N37" s="15" t="n"/>
      <c r="O37" s="15" t="n"/>
      <c r="P37" s="15" t="n"/>
      <c r="Q37" s="15" t="n"/>
      <c r="R37" s="16" t="n"/>
      <c r="S37" s="15" t="n"/>
      <c r="T37" s="15" t="n"/>
      <c r="U37" s="16" t="n"/>
      <c r="V37" s="15" t="n"/>
      <c r="W37" s="16" t="n"/>
      <c r="X37" s="16" t="n"/>
      <c r="Y37" s="15" t="n"/>
      <c r="Z37" s="15" t="n"/>
    </row>
    <row r="38">
      <c r="A38" s="15" t="n"/>
      <c r="B38" s="15" t="n"/>
      <c r="C38" s="15">
        <f>IFERROR(VLOOKUP(B38,'Source Inventory'!$A$6:$P$55,2,FALSE),"")</f>
        <v/>
      </c>
      <c r="D38" s="15" t="n"/>
      <c r="E38" s="15" t="n"/>
      <c r="F38" s="15" t="n"/>
      <c r="G38" s="15" t="n"/>
      <c r="H38" s="15" t="n"/>
      <c r="I38" s="15">
        <f>IF(AND(H38&lt;&gt;"",F38&lt;&gt;""),H38-F38,"")</f>
        <v/>
      </c>
      <c r="J38" s="15" t="n"/>
      <c r="K38" s="16" t="n"/>
      <c r="L38" s="16" t="n"/>
      <c r="M38" s="15" t="n"/>
      <c r="N38" s="15" t="n"/>
      <c r="O38" s="15" t="n"/>
      <c r="P38" s="15" t="n"/>
      <c r="Q38" s="15" t="n"/>
      <c r="R38" s="16" t="n"/>
      <c r="S38" s="15" t="n"/>
      <c r="T38" s="15" t="n"/>
      <c r="U38" s="16" t="n"/>
      <c r="V38" s="15" t="n"/>
      <c r="W38" s="16" t="n"/>
      <c r="X38" s="16" t="n"/>
      <c r="Y38" s="15" t="n"/>
      <c r="Z38" s="15" t="n"/>
    </row>
    <row r="39">
      <c r="A39" s="15" t="n"/>
      <c r="B39" s="15" t="n"/>
      <c r="C39" s="15">
        <f>IFERROR(VLOOKUP(B39,'Source Inventory'!$A$6:$P$55,2,FALSE),"")</f>
        <v/>
      </c>
      <c r="D39" s="15" t="n"/>
      <c r="E39" s="15" t="n"/>
      <c r="F39" s="15" t="n"/>
      <c r="G39" s="15" t="n"/>
      <c r="H39" s="15" t="n"/>
      <c r="I39" s="15">
        <f>IF(AND(H39&lt;&gt;"",F39&lt;&gt;""),H39-F39,"")</f>
        <v/>
      </c>
      <c r="J39" s="15" t="n"/>
      <c r="K39" s="16" t="n"/>
      <c r="L39" s="16" t="n"/>
      <c r="M39" s="15" t="n"/>
      <c r="N39" s="15" t="n"/>
      <c r="O39" s="15" t="n"/>
      <c r="P39" s="15" t="n"/>
      <c r="Q39" s="15" t="n"/>
      <c r="R39" s="16" t="n"/>
      <c r="S39" s="15" t="n"/>
      <c r="T39" s="15" t="n"/>
      <c r="U39" s="16" t="n"/>
      <c r="V39" s="15" t="n"/>
      <c r="W39" s="16" t="n"/>
      <c r="X39" s="16" t="n"/>
      <c r="Y39" s="15" t="n"/>
      <c r="Z39" s="15" t="n"/>
    </row>
    <row r="40">
      <c r="A40" s="15" t="n"/>
      <c r="B40" s="15" t="n"/>
      <c r="C40" s="15">
        <f>IFERROR(VLOOKUP(B40,'Source Inventory'!$A$6:$P$55,2,FALSE),"")</f>
        <v/>
      </c>
      <c r="D40" s="15" t="n"/>
      <c r="E40" s="15" t="n"/>
      <c r="F40" s="15" t="n"/>
      <c r="G40" s="15" t="n"/>
      <c r="H40" s="15" t="n"/>
      <c r="I40" s="15">
        <f>IF(AND(H40&lt;&gt;"",F40&lt;&gt;""),H40-F40,"")</f>
        <v/>
      </c>
      <c r="J40" s="15" t="n"/>
      <c r="K40" s="16" t="n"/>
      <c r="L40" s="16" t="n"/>
      <c r="M40" s="15" t="n"/>
      <c r="N40" s="15" t="n"/>
      <c r="O40" s="15" t="n"/>
      <c r="P40" s="15" t="n"/>
      <c r="Q40" s="15" t="n"/>
      <c r="R40" s="16" t="n"/>
      <c r="S40" s="15" t="n"/>
      <c r="T40" s="15" t="n"/>
      <c r="U40" s="16" t="n"/>
      <c r="V40" s="15" t="n"/>
      <c r="W40" s="16" t="n"/>
      <c r="X40" s="16" t="n"/>
      <c r="Y40" s="15" t="n"/>
      <c r="Z40" s="15" t="n"/>
    </row>
    <row r="41">
      <c r="A41" s="15" t="n"/>
      <c r="B41" s="15" t="n"/>
      <c r="C41" s="15">
        <f>IFERROR(VLOOKUP(B41,'Source Inventory'!$A$6:$P$55,2,FALSE),"")</f>
        <v/>
      </c>
      <c r="D41" s="15" t="n"/>
      <c r="E41" s="15" t="n"/>
      <c r="F41" s="15" t="n"/>
      <c r="G41" s="15" t="n"/>
      <c r="H41" s="15" t="n"/>
      <c r="I41" s="15">
        <f>IF(AND(H41&lt;&gt;"",F41&lt;&gt;""),H41-F41,"")</f>
        <v/>
      </c>
      <c r="J41" s="15" t="n"/>
      <c r="K41" s="16" t="n"/>
      <c r="L41" s="16" t="n"/>
      <c r="M41" s="15" t="n"/>
      <c r="N41" s="15" t="n"/>
      <c r="O41" s="15" t="n"/>
      <c r="P41" s="15" t="n"/>
      <c r="Q41" s="15" t="n"/>
      <c r="R41" s="16" t="n"/>
      <c r="S41" s="15" t="n"/>
      <c r="T41" s="15" t="n"/>
      <c r="U41" s="16" t="n"/>
      <c r="V41" s="15" t="n"/>
      <c r="W41" s="16" t="n"/>
      <c r="X41" s="16" t="n"/>
      <c r="Y41" s="15" t="n"/>
      <c r="Z41" s="15" t="n"/>
    </row>
    <row r="42">
      <c r="A42" s="15" t="n"/>
      <c r="B42" s="15" t="n"/>
      <c r="C42" s="15">
        <f>IFERROR(VLOOKUP(B42,'Source Inventory'!$A$6:$P$55,2,FALSE),"")</f>
        <v/>
      </c>
      <c r="D42" s="15" t="n"/>
      <c r="E42" s="15" t="n"/>
      <c r="F42" s="15" t="n"/>
      <c r="G42" s="15" t="n"/>
      <c r="H42" s="15" t="n"/>
      <c r="I42" s="15">
        <f>IF(AND(H42&lt;&gt;"",F42&lt;&gt;""),H42-F42,"")</f>
        <v/>
      </c>
      <c r="J42" s="15" t="n"/>
      <c r="K42" s="16" t="n"/>
      <c r="L42" s="16" t="n"/>
      <c r="M42" s="15" t="n"/>
      <c r="N42" s="15" t="n"/>
      <c r="O42" s="15" t="n"/>
      <c r="P42" s="15" t="n"/>
      <c r="Q42" s="15" t="n"/>
      <c r="R42" s="16" t="n"/>
      <c r="S42" s="15" t="n"/>
      <c r="T42" s="15" t="n"/>
      <c r="U42" s="16" t="n"/>
      <c r="V42" s="15" t="n"/>
      <c r="W42" s="16" t="n"/>
      <c r="X42" s="16" t="n"/>
      <c r="Y42" s="15" t="n"/>
      <c r="Z42" s="15" t="n"/>
    </row>
    <row r="43">
      <c r="A43" s="15" t="n"/>
      <c r="B43" s="15" t="n"/>
      <c r="C43" s="15">
        <f>IFERROR(VLOOKUP(B43,'Source Inventory'!$A$6:$P$55,2,FALSE),"")</f>
        <v/>
      </c>
      <c r="D43" s="15" t="n"/>
      <c r="E43" s="15" t="n"/>
      <c r="F43" s="15" t="n"/>
      <c r="G43" s="15" t="n"/>
      <c r="H43" s="15" t="n"/>
      <c r="I43" s="15">
        <f>IF(AND(H43&lt;&gt;"",F43&lt;&gt;""),H43-F43,"")</f>
        <v/>
      </c>
      <c r="J43" s="15" t="n"/>
      <c r="K43" s="16" t="n"/>
      <c r="L43" s="16" t="n"/>
      <c r="M43" s="15" t="n"/>
      <c r="N43" s="15" t="n"/>
      <c r="O43" s="15" t="n"/>
      <c r="P43" s="15" t="n"/>
      <c r="Q43" s="15" t="n"/>
      <c r="R43" s="16" t="n"/>
      <c r="S43" s="15" t="n"/>
      <c r="T43" s="15" t="n"/>
      <c r="U43" s="16" t="n"/>
      <c r="V43" s="15" t="n"/>
      <c r="W43" s="16" t="n"/>
      <c r="X43" s="16" t="n"/>
      <c r="Y43" s="15" t="n"/>
      <c r="Z43" s="15" t="n"/>
    </row>
    <row r="44">
      <c r="A44" s="15" t="n"/>
      <c r="B44" s="15" t="n"/>
      <c r="C44" s="15">
        <f>IFERROR(VLOOKUP(B44,'Source Inventory'!$A$6:$P$55,2,FALSE),"")</f>
        <v/>
      </c>
      <c r="D44" s="15" t="n"/>
      <c r="E44" s="15" t="n"/>
      <c r="F44" s="15" t="n"/>
      <c r="G44" s="15" t="n"/>
      <c r="H44" s="15" t="n"/>
      <c r="I44" s="15">
        <f>IF(AND(H44&lt;&gt;"",F44&lt;&gt;""),H44-F44,"")</f>
        <v/>
      </c>
      <c r="J44" s="15" t="n"/>
      <c r="K44" s="16" t="n"/>
      <c r="L44" s="16" t="n"/>
      <c r="M44" s="15" t="n"/>
      <c r="N44" s="15" t="n"/>
      <c r="O44" s="15" t="n"/>
      <c r="P44" s="15" t="n"/>
      <c r="Q44" s="15" t="n"/>
      <c r="R44" s="16" t="n"/>
      <c r="S44" s="15" t="n"/>
      <c r="T44" s="15" t="n"/>
      <c r="U44" s="16" t="n"/>
      <c r="V44" s="15" t="n"/>
      <c r="W44" s="16" t="n"/>
      <c r="X44" s="16" t="n"/>
      <c r="Y44" s="15" t="n"/>
      <c r="Z44" s="15" t="n"/>
    </row>
    <row r="45">
      <c r="A45" s="15" t="n"/>
      <c r="B45" s="15" t="n"/>
      <c r="C45" s="15">
        <f>IFERROR(VLOOKUP(B45,'Source Inventory'!$A$6:$P$55,2,FALSE),"")</f>
        <v/>
      </c>
      <c r="D45" s="15" t="n"/>
      <c r="E45" s="15" t="n"/>
      <c r="F45" s="15" t="n"/>
      <c r="G45" s="15" t="n"/>
      <c r="H45" s="15" t="n"/>
      <c r="I45" s="15">
        <f>IF(AND(H45&lt;&gt;"",F45&lt;&gt;""),H45-F45,"")</f>
        <v/>
      </c>
      <c r="J45" s="15" t="n"/>
      <c r="K45" s="16" t="n"/>
      <c r="L45" s="16" t="n"/>
      <c r="M45" s="15" t="n"/>
      <c r="N45" s="15" t="n"/>
      <c r="O45" s="15" t="n"/>
      <c r="P45" s="15" t="n"/>
      <c r="Q45" s="15" t="n"/>
      <c r="R45" s="16" t="n"/>
      <c r="S45" s="15" t="n"/>
      <c r="T45" s="15" t="n"/>
      <c r="U45" s="16" t="n"/>
      <c r="V45" s="15" t="n"/>
      <c r="W45" s="16" t="n"/>
      <c r="X45" s="16" t="n"/>
      <c r="Y45" s="15" t="n"/>
      <c r="Z45" s="15" t="n"/>
    </row>
    <row r="46">
      <c r="A46" s="15" t="n"/>
      <c r="B46" s="15" t="n"/>
      <c r="C46" s="15">
        <f>IFERROR(VLOOKUP(B46,'Source Inventory'!$A$6:$P$55,2,FALSE),"")</f>
        <v/>
      </c>
      <c r="D46" s="15" t="n"/>
      <c r="E46" s="15" t="n"/>
      <c r="F46" s="15" t="n"/>
      <c r="G46" s="15" t="n"/>
      <c r="H46" s="15" t="n"/>
      <c r="I46" s="15">
        <f>IF(AND(H46&lt;&gt;"",F46&lt;&gt;""),H46-F46,"")</f>
        <v/>
      </c>
      <c r="J46" s="15" t="n"/>
      <c r="K46" s="16" t="n"/>
      <c r="L46" s="16" t="n"/>
      <c r="M46" s="15" t="n"/>
      <c r="N46" s="15" t="n"/>
      <c r="O46" s="15" t="n"/>
      <c r="P46" s="15" t="n"/>
      <c r="Q46" s="15" t="n"/>
      <c r="R46" s="16" t="n"/>
      <c r="S46" s="15" t="n"/>
      <c r="T46" s="15" t="n"/>
      <c r="U46" s="16" t="n"/>
      <c r="V46" s="15" t="n"/>
      <c r="W46" s="16" t="n"/>
      <c r="X46" s="16" t="n"/>
      <c r="Y46" s="15" t="n"/>
      <c r="Z46" s="15" t="n"/>
    </row>
    <row r="47">
      <c r="A47" s="15" t="n"/>
      <c r="B47" s="15" t="n"/>
      <c r="C47" s="15">
        <f>IFERROR(VLOOKUP(B47,'Source Inventory'!$A$6:$P$55,2,FALSE),"")</f>
        <v/>
      </c>
      <c r="D47" s="15" t="n"/>
      <c r="E47" s="15" t="n"/>
      <c r="F47" s="15" t="n"/>
      <c r="G47" s="15" t="n"/>
      <c r="H47" s="15" t="n"/>
      <c r="I47" s="15">
        <f>IF(AND(H47&lt;&gt;"",F47&lt;&gt;""),H47-F47,"")</f>
        <v/>
      </c>
      <c r="J47" s="15" t="n"/>
      <c r="K47" s="16" t="n"/>
      <c r="L47" s="16" t="n"/>
      <c r="M47" s="15" t="n"/>
      <c r="N47" s="15" t="n"/>
      <c r="O47" s="15" t="n"/>
      <c r="P47" s="15" t="n"/>
      <c r="Q47" s="15" t="n"/>
      <c r="R47" s="16" t="n"/>
      <c r="S47" s="15" t="n"/>
      <c r="T47" s="15" t="n"/>
      <c r="U47" s="16" t="n"/>
      <c r="V47" s="15" t="n"/>
      <c r="W47" s="16" t="n"/>
      <c r="X47" s="16" t="n"/>
      <c r="Y47" s="15" t="n"/>
      <c r="Z47" s="15" t="n"/>
    </row>
    <row r="48">
      <c r="A48" s="15" t="n"/>
      <c r="B48" s="15" t="n"/>
      <c r="C48" s="15">
        <f>IFERROR(VLOOKUP(B48,'Source Inventory'!$A$6:$P$55,2,FALSE),"")</f>
        <v/>
      </c>
      <c r="D48" s="15" t="n"/>
      <c r="E48" s="15" t="n"/>
      <c r="F48" s="15" t="n"/>
      <c r="G48" s="15" t="n"/>
      <c r="H48" s="15" t="n"/>
      <c r="I48" s="15">
        <f>IF(AND(H48&lt;&gt;"",F48&lt;&gt;""),H48-F48,"")</f>
        <v/>
      </c>
      <c r="J48" s="15" t="n"/>
      <c r="K48" s="16" t="n"/>
      <c r="L48" s="16" t="n"/>
      <c r="M48" s="15" t="n"/>
      <c r="N48" s="15" t="n"/>
      <c r="O48" s="15" t="n"/>
      <c r="P48" s="15" t="n"/>
      <c r="Q48" s="15" t="n"/>
      <c r="R48" s="16" t="n"/>
      <c r="S48" s="15" t="n"/>
      <c r="T48" s="15" t="n"/>
      <c r="U48" s="16" t="n"/>
      <c r="V48" s="15" t="n"/>
      <c r="W48" s="16" t="n"/>
      <c r="X48" s="16" t="n"/>
      <c r="Y48" s="15" t="n"/>
      <c r="Z48" s="15" t="n"/>
    </row>
    <row r="49">
      <c r="A49" s="15" t="n"/>
      <c r="B49" s="15" t="n"/>
      <c r="C49" s="15">
        <f>IFERROR(VLOOKUP(B49,'Source Inventory'!$A$6:$P$55,2,FALSE),"")</f>
        <v/>
      </c>
      <c r="D49" s="15" t="n"/>
      <c r="E49" s="15" t="n"/>
      <c r="F49" s="15" t="n"/>
      <c r="G49" s="15" t="n"/>
      <c r="H49" s="15" t="n"/>
      <c r="I49" s="15">
        <f>IF(AND(H49&lt;&gt;"",F49&lt;&gt;""),H49-F49,"")</f>
        <v/>
      </c>
      <c r="J49" s="15" t="n"/>
      <c r="K49" s="16" t="n"/>
      <c r="L49" s="16" t="n"/>
      <c r="M49" s="15" t="n"/>
      <c r="N49" s="15" t="n"/>
      <c r="O49" s="15" t="n"/>
      <c r="P49" s="15" t="n"/>
      <c r="Q49" s="15" t="n"/>
      <c r="R49" s="16" t="n"/>
      <c r="S49" s="15" t="n"/>
      <c r="T49" s="15" t="n"/>
      <c r="U49" s="16" t="n"/>
      <c r="V49" s="15" t="n"/>
      <c r="W49" s="16" t="n"/>
      <c r="X49" s="16" t="n"/>
      <c r="Y49" s="15" t="n"/>
      <c r="Z49" s="15" t="n"/>
    </row>
    <row r="50">
      <c r="A50" s="15" t="n"/>
      <c r="B50" s="15" t="n"/>
      <c r="C50" s="15">
        <f>IFERROR(VLOOKUP(B50,'Source Inventory'!$A$6:$P$55,2,FALSE),"")</f>
        <v/>
      </c>
      <c r="D50" s="15" t="n"/>
      <c r="E50" s="15" t="n"/>
      <c r="F50" s="15" t="n"/>
      <c r="G50" s="15" t="n"/>
      <c r="H50" s="15" t="n"/>
      <c r="I50" s="15">
        <f>IF(AND(H50&lt;&gt;"",F50&lt;&gt;""),H50-F50,"")</f>
        <v/>
      </c>
      <c r="J50" s="15" t="n"/>
      <c r="K50" s="16" t="n"/>
      <c r="L50" s="16" t="n"/>
      <c r="M50" s="15" t="n"/>
      <c r="N50" s="15" t="n"/>
      <c r="O50" s="15" t="n"/>
      <c r="P50" s="15" t="n"/>
      <c r="Q50" s="15" t="n"/>
      <c r="R50" s="16" t="n"/>
      <c r="S50" s="15" t="n"/>
      <c r="T50" s="15" t="n"/>
      <c r="U50" s="16" t="n"/>
      <c r="V50" s="15" t="n"/>
      <c r="W50" s="16" t="n"/>
      <c r="X50" s="16" t="n"/>
      <c r="Y50" s="15" t="n"/>
      <c r="Z50" s="15" t="n"/>
    </row>
    <row r="51">
      <c r="A51" s="15" t="n"/>
      <c r="B51" s="15" t="n"/>
      <c r="C51" s="15">
        <f>IFERROR(VLOOKUP(B51,'Source Inventory'!$A$6:$P$55,2,FALSE),"")</f>
        <v/>
      </c>
      <c r="D51" s="15" t="n"/>
      <c r="E51" s="15" t="n"/>
      <c r="F51" s="15" t="n"/>
      <c r="G51" s="15" t="n"/>
      <c r="H51" s="15" t="n"/>
      <c r="I51" s="15">
        <f>IF(AND(H51&lt;&gt;"",F51&lt;&gt;""),H51-F51,"")</f>
        <v/>
      </c>
      <c r="J51" s="15" t="n"/>
      <c r="K51" s="16" t="n"/>
      <c r="L51" s="16" t="n"/>
      <c r="M51" s="15" t="n"/>
      <c r="N51" s="15" t="n"/>
      <c r="O51" s="15" t="n"/>
      <c r="P51" s="15" t="n"/>
      <c r="Q51" s="15" t="n"/>
      <c r="R51" s="16" t="n"/>
      <c r="S51" s="15" t="n"/>
      <c r="T51" s="15" t="n"/>
      <c r="U51" s="16" t="n"/>
      <c r="V51" s="15" t="n"/>
      <c r="W51" s="16" t="n"/>
      <c r="X51" s="16" t="n"/>
      <c r="Y51" s="15" t="n"/>
      <c r="Z51" s="15" t="n"/>
    </row>
    <row r="52">
      <c r="A52" s="15" t="n"/>
      <c r="B52" s="15" t="n"/>
      <c r="C52" s="15">
        <f>IFERROR(VLOOKUP(B52,'Source Inventory'!$A$6:$P$55,2,FALSE),"")</f>
        <v/>
      </c>
      <c r="D52" s="15" t="n"/>
      <c r="E52" s="15" t="n"/>
      <c r="F52" s="15" t="n"/>
      <c r="G52" s="15" t="n"/>
      <c r="H52" s="15" t="n"/>
      <c r="I52" s="15">
        <f>IF(AND(H52&lt;&gt;"",F52&lt;&gt;""),H52-F52,"")</f>
        <v/>
      </c>
      <c r="J52" s="15" t="n"/>
      <c r="K52" s="16" t="n"/>
      <c r="L52" s="16" t="n"/>
      <c r="M52" s="15" t="n"/>
      <c r="N52" s="15" t="n"/>
      <c r="O52" s="15" t="n"/>
      <c r="P52" s="15" t="n"/>
      <c r="Q52" s="15" t="n"/>
      <c r="R52" s="16" t="n"/>
      <c r="S52" s="15" t="n"/>
      <c r="T52" s="15" t="n"/>
      <c r="U52" s="16" t="n"/>
      <c r="V52" s="15" t="n"/>
      <c r="W52" s="16" t="n"/>
      <c r="X52" s="16" t="n"/>
      <c r="Y52" s="15" t="n"/>
      <c r="Z52" s="15" t="n"/>
    </row>
    <row r="53">
      <c r="A53" s="15" t="n"/>
      <c r="B53" s="15" t="n"/>
      <c r="C53" s="15">
        <f>IFERROR(VLOOKUP(B53,'Source Inventory'!$A$6:$P$55,2,FALSE),"")</f>
        <v/>
      </c>
      <c r="D53" s="15" t="n"/>
      <c r="E53" s="15" t="n"/>
      <c r="F53" s="15" t="n"/>
      <c r="G53" s="15" t="n"/>
      <c r="H53" s="15" t="n"/>
      <c r="I53" s="15">
        <f>IF(AND(H53&lt;&gt;"",F53&lt;&gt;""),H53-F53,"")</f>
        <v/>
      </c>
      <c r="J53" s="15" t="n"/>
      <c r="K53" s="16" t="n"/>
      <c r="L53" s="16" t="n"/>
      <c r="M53" s="15" t="n"/>
      <c r="N53" s="15" t="n"/>
      <c r="O53" s="15" t="n"/>
      <c r="P53" s="15" t="n"/>
      <c r="Q53" s="15" t="n"/>
      <c r="R53" s="16" t="n"/>
      <c r="S53" s="15" t="n"/>
      <c r="T53" s="15" t="n"/>
      <c r="U53" s="16" t="n"/>
      <c r="V53" s="15" t="n"/>
      <c r="W53" s="16" t="n"/>
      <c r="X53" s="16" t="n"/>
      <c r="Y53" s="15" t="n"/>
      <c r="Z53" s="15" t="n"/>
    </row>
    <row r="54">
      <c r="A54" s="15" t="n"/>
      <c r="B54" s="15" t="n"/>
      <c r="C54" s="15">
        <f>IFERROR(VLOOKUP(B54,'Source Inventory'!$A$6:$P$55,2,FALSE),"")</f>
        <v/>
      </c>
      <c r="D54" s="15" t="n"/>
      <c r="E54" s="15" t="n"/>
      <c r="F54" s="15" t="n"/>
      <c r="G54" s="15" t="n"/>
      <c r="H54" s="15" t="n"/>
      <c r="I54" s="15">
        <f>IF(AND(H54&lt;&gt;"",F54&lt;&gt;""),H54-F54,"")</f>
        <v/>
      </c>
      <c r="J54" s="15" t="n"/>
      <c r="K54" s="16" t="n"/>
      <c r="L54" s="16" t="n"/>
      <c r="M54" s="15" t="n"/>
      <c r="N54" s="15" t="n"/>
      <c r="O54" s="15" t="n"/>
      <c r="P54" s="15" t="n"/>
      <c r="Q54" s="15" t="n"/>
      <c r="R54" s="16" t="n"/>
      <c r="S54" s="15" t="n"/>
      <c r="T54" s="15" t="n"/>
      <c r="U54" s="16" t="n"/>
      <c r="V54" s="15" t="n"/>
      <c r="W54" s="16" t="n"/>
      <c r="X54" s="16" t="n"/>
      <c r="Y54" s="15" t="n"/>
      <c r="Z54" s="15" t="n"/>
    </row>
    <row r="55">
      <c r="A55" s="15" t="n"/>
      <c r="B55" s="15" t="n"/>
      <c r="C55" s="15">
        <f>IFERROR(VLOOKUP(B55,'Source Inventory'!$A$6:$P$55,2,FALSE),"")</f>
        <v/>
      </c>
      <c r="D55" s="15" t="n"/>
      <c r="E55" s="15" t="n"/>
      <c r="F55" s="15" t="n"/>
      <c r="G55" s="15" t="n"/>
      <c r="H55" s="15" t="n"/>
      <c r="I55" s="15">
        <f>IF(AND(H55&lt;&gt;"",F55&lt;&gt;""),H55-F55,"")</f>
        <v/>
      </c>
      <c r="J55" s="15" t="n"/>
      <c r="K55" s="16" t="n"/>
      <c r="L55" s="16" t="n"/>
      <c r="M55" s="15" t="n"/>
      <c r="N55" s="15" t="n"/>
      <c r="O55" s="15" t="n"/>
      <c r="P55" s="15" t="n"/>
      <c r="Q55" s="15" t="n"/>
      <c r="R55" s="16" t="n"/>
      <c r="S55" s="15" t="n"/>
      <c r="T55" s="15" t="n"/>
      <c r="U55" s="16" t="n"/>
      <c r="V55" s="15" t="n"/>
      <c r="W55" s="16" t="n"/>
      <c r="X55" s="16" t="n"/>
      <c r="Y55" s="15" t="n"/>
      <c r="Z55" s="15" t="n"/>
    </row>
  </sheetData>
  <mergeCells count="2">
    <mergeCell ref="A1:Z1"/>
    <mergeCell ref="A2:Z2"/>
  </mergeCells>
  <conditionalFormatting sqref="M6:M55">
    <cfRule type="cellIs" priority="1" operator="equal" dxfId="4">
      <formula>"Missed"</formula>
    </cfRule>
    <cfRule type="cellIs" priority="2" operator="equal" dxfId="0">
      <formula>"Exceeded"</formula>
    </cfRule>
  </conditionalFormatting>
  <dataValidations count="2">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='Source Inventory'!$A$6:$A$55</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"Met,Missed,Exceeded,Disputed,Waived"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O55"/>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15" customWidth="1" min="4" max="4"/>
    <col width="15" customWidth="1" min="5" max="5"/>
    <col width="25"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5" customWidth="1" min="19" max="19"/>
    <col width="40" customWidth="1" min="20" max="20"/>
    <col width="15" customWidth="1" min="21" max="21"/>
    <col width="12" customWidth="1" min="22" max="22"/>
    <col width="12" customWidth="1" min="23" max="23"/>
    <col width="12" customWidth="1" min="24" max="24"/>
    <col width="15" customWidth="1" min="25" max="25"/>
    <col width="30" customWidth="1" min="26" max="26"/>
    <col width="15" customWidth="1" min="27" max="27"/>
    <col width="40" customWidth="1" min="28" max="28"/>
    <col width="12" customWidth="1" min="29" max="29"/>
    <col width="15" customWidth="1" min="30" max="30"/>
    <col width="40" customWidth="1" min="31" max="31"/>
    <col width="25" customWidth="1" min="32" max="32"/>
    <col width="15" customWidth="1" min="33" max="33"/>
    <col width="15" customWidth="1" min="34" max="34"/>
  </cols>
  <sheetData>
    <row r="1" ht="35" customHeight="1">
      <c r="A1" s="55" t="inlineStr">
        <is>
          <t>SOURCE PERFORMANCE VALIDATION - QUARTERLY ACCURACY ASSESSMENT (AUDIT CRITICAL)</t>
        </is>
      </c>
    </row>
    <row r="2">
      <c r="A2" s="17" t="inlineStr">
        <is>
          <t>QUARTERLY REQUIREMENT per ISMS-POL-A.5.7-S4 Section 4.4.3: Validate source accuracy. Sample ≥10 IOCs + ≥10 CVEs per source. Target: ≥85% overall, ≥90% CVSS. Evidence required for audit.</t>
        </is>
      </c>
    </row>
    <row r="4">
      <c r="A4" s="56" t="inlineStr">
        <is>
          <t>Validation ID</t>
        </is>
      </c>
      <c r="B4" s="56" t="inlineStr">
        <is>
          <t>Source ID</t>
        </is>
      </c>
      <c r="C4" s="56" t="inlineStr">
        <is>
          <t>Source Name</t>
        </is>
      </c>
      <c r="D4" s="56" t="inlineStr">
        <is>
          <t>Validation Quarter</t>
        </is>
      </c>
      <c r="E4" s="56" t="inlineStr">
        <is>
          <t>Validation Date</t>
        </is>
      </c>
      <c r="F4" s="56" t="inlineStr">
        <is>
          <t>Validator</t>
        </is>
      </c>
      <c r="G4" s="56" t="inlineStr">
        <is>
          <t>Validation Method</t>
        </is>
      </c>
      <c r="H4" s="56" t="inlineStr">
        <is>
          <t>Total Sample Size</t>
        </is>
      </c>
      <c r="I4" s="56" t="inlineStr">
        <is>
          <t>IOC Sample Size</t>
        </is>
      </c>
      <c r="J4" s="56" t="inlineStr">
        <is>
          <t>IOC True Positives</t>
        </is>
      </c>
      <c r="K4" s="56" t="inlineStr">
        <is>
          <t>IOC False Positives</t>
        </is>
      </c>
      <c r="L4" s="56" t="inlineStr">
        <is>
          <t>IOC Accuracy</t>
        </is>
      </c>
      <c r="M4" s="56" t="inlineStr">
        <is>
          <t>CVE Sample Size</t>
        </is>
      </c>
      <c r="N4" s="56" t="inlineStr">
        <is>
          <t>CVE Accurate</t>
        </is>
      </c>
      <c r="O4" s="56" t="inlineStr">
        <is>
          <t>CVE Inaccurate</t>
        </is>
      </c>
      <c r="P4" s="56" t="inlineStr">
        <is>
          <t>CVE Accuracy</t>
        </is>
      </c>
      <c r="Q4" s="56" t="inlineStr">
        <is>
          <t>CVSS Accurate Count</t>
        </is>
      </c>
      <c r="R4" s="56" t="inlineStr">
        <is>
          <t>CVSS Inaccurate Count</t>
        </is>
      </c>
      <c r="S4" s="56" t="inlineStr">
        <is>
          <t>CVSS Accuracy Rate</t>
        </is>
      </c>
      <c r="T4" s="56" t="inlineStr">
        <is>
          <t>CVSS Accuracy Method</t>
        </is>
      </c>
      <c r="U4" s="56" t="inlineStr">
        <is>
          <t>Overall Accuracy Rate</t>
        </is>
      </c>
      <c r="V4" s="56" t="inlineStr">
        <is>
          <t>Admiralty Code Source</t>
        </is>
      </c>
      <c r="W4" s="56" t="inlineStr">
        <is>
          <t>Admiralty Code Info</t>
        </is>
      </c>
      <c r="X4" s="56" t="inlineStr">
        <is>
          <t>Admiralty Combined</t>
        </is>
      </c>
      <c r="Y4" s="56" t="inlineStr">
        <is>
          <t>Validation Pass</t>
        </is>
      </c>
      <c r="Z4" s="56" t="inlineStr">
        <is>
          <t>Pass Criteria Met</t>
        </is>
      </c>
      <c r="AA4" s="56" t="inlineStr">
        <is>
          <t>Action Required</t>
        </is>
      </c>
      <c r="AB4" s="56" t="inlineStr">
        <is>
          <t>Action Notes</t>
        </is>
      </c>
      <c r="AC4" s="56" t="inlineStr">
        <is>
          <t>Action Item Created</t>
        </is>
      </c>
      <c r="AD4" s="56" t="inlineStr">
        <is>
          <t>Action Item ID</t>
        </is>
      </c>
      <c r="AE4" s="56" t="inlineStr">
        <is>
          <t>Evidence Location</t>
        </is>
      </c>
      <c r="AF4" s="56" t="inlineStr">
        <is>
          <t>Reviewed By</t>
        </is>
      </c>
      <c r="AG4" s="56" t="inlineStr">
        <is>
          <t>Review Date</t>
        </is>
      </c>
      <c r="AH4" s="56" t="inlineStr">
        <is>
          <t>Next Validation Date</t>
        </is>
      </c>
    </row>
    <row r="5">
      <c r="A5" s="57" t="inlineStr">
        <is>
          <t>VAL-NNN</t>
        </is>
      </c>
      <c r="B5" s="57" t="inlineStr">
        <is>
          <t>SRC-001</t>
        </is>
      </c>
      <c r="C5" s="57">
        <f>IFERROR(VLOOKUP(B5,'Source Inventory'!$A$6:$P$55,2,FALSE),"[Not Found]")</f>
        <v/>
      </c>
      <c r="D5" s="57" t="inlineStr">
        <is>
          <t>Q1 2025</t>
        </is>
      </c>
      <c r="E5" s="58" t="inlineStr">
        <is>
          <t>15.01.2025</t>
        </is>
      </c>
      <c r="F5" s="57" t="inlineStr">
        <is>
          <t>Jane Smith</t>
        </is>
      </c>
      <c r="G5" s="57" t="inlineStr">
        <is>
          <t>Random sampling of IOCs and CVEs from 30-day feed capture</t>
        </is>
      </c>
      <c r="H5" s="57" t="n">
        <v>25</v>
      </c>
      <c r="I5" s="57" t="n">
        <v>12</v>
      </c>
      <c r="J5" s="57" t="n">
        <v>11</v>
      </c>
      <c r="K5" s="57" t="n">
        <v>1</v>
      </c>
      <c r="L5" s="59">
        <f>IFERROR((J5/I5)*100,"")</f>
        <v/>
      </c>
      <c r="M5" s="57" t="n">
        <v>13</v>
      </c>
      <c r="N5" s="57" t="n">
        <v>12</v>
      </c>
      <c r="O5" s="57" t="n">
        <v>1</v>
      </c>
      <c r="P5" s="59">
        <f>IFERROR((N5/M5)*100,"")</f>
        <v/>
      </c>
      <c r="Q5" s="57" t="n">
        <v>12</v>
      </c>
      <c r="R5" s="57" t="n">
        <v>1</v>
      </c>
      <c r="S5" s="59">
        <f>IFERROR((Q5/M5)*100,"")</f>
        <v/>
      </c>
      <c r="T5" s="57" t="inlineStr">
        <is>
          <t>Direct comparison with NVD CVSS scores</t>
        </is>
      </c>
      <c r="U5" s="59">
        <f>IFERROR(((J5+N5)/H5)*100,"")</f>
        <v/>
      </c>
      <c r="V5" s="57" t="inlineStr">
        <is>
          <t>A</t>
        </is>
      </c>
      <c r="W5" s="57" t="inlineStr">
        <is>
          <t>1</t>
        </is>
      </c>
      <c r="X5" s="57">
        <f>IF(AND(V5&lt;&gt;"",W5&lt;&gt;""),CONCATENATE(V5,W5),"")</f>
        <v/>
      </c>
      <c r="Y5" s="57">
        <f>IF(AND(U5&gt;=85,S5&gt;=90),"Pass",IF(AND(U5&gt;=80,S5&gt;=85),"Conditional_Pass","Fail"))</f>
        <v/>
      </c>
      <c r="Z5" s="57">
        <f>IF(U5&gt;=85,"Overall &gt;=85% [OK]","Overall &lt;85% [X]") &amp; ", " &amp; IF(S5&gt;=90,"CVSS &gt;=90% [OK]","CVSS &lt;90% [X]")</f>
        <v/>
      </c>
      <c r="AA5" s="57">
        <f>IF(Y5="Pass","None",IF(Y5="Conditional_Pass","Review",IF(OR(V5="A",V5="B"),"Improve","Deprecate")))</f>
        <v/>
      </c>
      <c r="AB5" s="57" t="inlineStr">
        <is>
          <t>High quality source — continue monitoring</t>
        </is>
      </c>
      <c r="AC5" s="57" t="inlineStr">
        <is>
          <t>No</t>
        </is>
      </c>
      <c r="AD5" s="57" t="inlineStr"/>
      <c r="AE5" s="57" t="inlineStr">
        <is>
          <t>/evidence/a57/val-q1-2025-src001.pdf</t>
        </is>
      </c>
      <c r="AF5" s="57" t="inlineStr">
        <is>
          <t>John Doe</t>
        </is>
      </c>
      <c r="AG5" s="58" t="inlineStr">
        <is>
          <t>30.01.2025</t>
        </is>
      </c>
      <c r="AH5" s="58">
        <f>IF(E5&lt;&gt;"",E5+90,"")</f>
        <v/>
      </c>
    </row>
    <row r="6">
      <c r="A6" s="60" t="n"/>
      <c r="B6" s="60" t="n"/>
      <c r="C6" s="60">
        <f>IFERROR(VLOOKUP(B6,'Source Inventory'!$A$6:$P$55,2,FALSE),"[Not Found]")</f>
        <v/>
      </c>
      <c r="D6" s="60" t="n"/>
      <c r="E6" s="61" t="n"/>
      <c r="F6" s="60" t="n"/>
      <c r="G6" s="60" t="n"/>
      <c r="H6" s="62" t="n"/>
      <c r="I6" s="62" t="n"/>
      <c r="J6" s="60" t="n"/>
      <c r="K6" s="60" t="n"/>
      <c r="L6" s="63">
        <f>IFERROR((J6/I6)*100,"")</f>
        <v/>
      </c>
      <c r="M6" s="62" t="n"/>
      <c r="N6" s="60" t="n"/>
      <c r="O6" s="60" t="n"/>
      <c r="P6" s="63">
        <f>IFERROR((N6/M6)*100,"")</f>
        <v/>
      </c>
      <c r="Q6" s="60" t="n"/>
      <c r="R6" s="60" t="n"/>
      <c r="S6" s="63">
        <f>IFERROR((Q6/M6)*100,"")</f>
        <v/>
      </c>
      <c r="T6" s="60" t="n"/>
      <c r="U6" s="63">
        <f>IFERROR(((J6+N6)/H6)*100,"")</f>
        <v/>
      </c>
      <c r="V6" s="60" t="n"/>
      <c r="W6" s="60" t="n"/>
      <c r="X6" s="60">
        <f>IF(AND(V6&lt;&gt;"",W6&lt;&gt;""),CONCATENATE(V6,W6),"")</f>
        <v/>
      </c>
      <c r="Y6" s="60">
        <f>IF(AND(U6&gt;=85,S6&gt;=90),"Pass",IF(AND(U6&gt;=80,S6&gt;=85),"Conditional_Pass","Fail"))</f>
        <v/>
      </c>
      <c r="Z6" s="60">
        <f>IF(U6&gt;=85,"Overall &gt;=85% [OK]","Overall &lt;85% [X]") &amp; ", " &amp; IF(S6&gt;=90,"CVSS &gt;=90% [OK]","CVSS &lt;90% [X]")</f>
        <v/>
      </c>
      <c r="AA6" s="60">
        <f>IF(Y6="Pass","None",IF(Y6="Conditional_Pass","Review",IF(OR(V6="A",V6="B"),"Improve","Deprecate")))</f>
        <v/>
      </c>
      <c r="AB6" s="60" t="n"/>
      <c r="AC6" s="60" t="n"/>
      <c r="AD6" s="60" t="n"/>
      <c r="AE6" s="60" t="n"/>
      <c r="AF6" s="60" t="n"/>
      <c r="AG6" s="61" t="n"/>
      <c r="AH6" s="61">
        <f>IF(E6&lt;&gt;"",E6+90,"")</f>
        <v/>
      </c>
    </row>
    <row r="7">
      <c r="A7" s="60" t="n"/>
      <c r="B7" s="60" t="n"/>
      <c r="C7" s="60">
        <f>IFERROR(VLOOKUP(B7,'Source Inventory'!$A$6:$P$55,2,FALSE),"[Not Found]")</f>
        <v/>
      </c>
      <c r="D7" s="60" t="n"/>
      <c r="E7" s="61" t="n"/>
      <c r="F7" s="60" t="n"/>
      <c r="G7" s="60" t="n"/>
      <c r="H7" s="62" t="n"/>
      <c r="I7" s="62" t="n"/>
      <c r="J7" s="60" t="n"/>
      <c r="K7" s="60" t="n"/>
      <c r="L7" s="63">
        <f>IFERROR((J7/I7)*100,"")</f>
        <v/>
      </c>
      <c r="M7" s="62" t="n"/>
      <c r="N7" s="60" t="n"/>
      <c r="O7" s="60" t="n"/>
      <c r="P7" s="63">
        <f>IFERROR((N7/M7)*100,"")</f>
        <v/>
      </c>
      <c r="Q7" s="60" t="n"/>
      <c r="R7" s="60" t="n"/>
      <c r="S7" s="63">
        <f>IFERROR((Q7/M7)*100,"")</f>
        <v/>
      </c>
      <c r="T7" s="60" t="n"/>
      <c r="U7" s="63">
        <f>IFERROR(((J7+N7)/H7)*100,"")</f>
        <v/>
      </c>
      <c r="V7" s="60" t="n"/>
      <c r="W7" s="60" t="n"/>
      <c r="X7" s="60">
        <f>IF(AND(V7&lt;&gt;"",W7&lt;&gt;""),CONCATENATE(V7,W7),"")</f>
        <v/>
      </c>
      <c r="Y7" s="60">
        <f>IF(AND(U7&gt;=85,S7&gt;=90),"Pass",IF(AND(U7&gt;=80,S7&gt;=85),"Conditional_Pass","Fail"))</f>
        <v/>
      </c>
      <c r="Z7" s="60">
        <f>IF(U7&gt;=85,"Overall &gt;=85% [OK]","Overall &lt;85% [X]") &amp; ", " &amp; IF(S7&gt;=90,"CVSS &gt;=90% [OK]","CVSS &lt;90% [X]")</f>
        <v/>
      </c>
      <c r="AA7" s="60">
        <f>IF(Y7="Pass","None",IF(Y7="Conditional_Pass","Review",IF(OR(V7="A",V7="B"),"Improve","Deprecate")))</f>
        <v/>
      </c>
      <c r="AB7" s="60" t="n"/>
      <c r="AC7" s="60" t="n"/>
      <c r="AD7" s="60" t="n"/>
      <c r="AE7" s="60" t="n"/>
      <c r="AF7" s="60" t="n"/>
      <c r="AG7" s="61" t="n"/>
      <c r="AH7" s="61">
        <f>IF(E7&lt;&gt;"",E7+90,"")</f>
        <v/>
      </c>
    </row>
    <row r="8">
      <c r="A8" s="60" t="n"/>
      <c r="B8" s="60" t="n"/>
      <c r="C8" s="60">
        <f>IFERROR(VLOOKUP(B8,'Source Inventory'!$A$6:$P$55,2,FALSE),"[Not Found]")</f>
        <v/>
      </c>
      <c r="D8" s="60" t="n"/>
      <c r="E8" s="61" t="n"/>
      <c r="F8" s="60" t="n"/>
      <c r="G8" s="60" t="n"/>
      <c r="H8" s="62" t="n"/>
      <c r="I8" s="62" t="n"/>
      <c r="J8" s="60" t="n"/>
      <c r="K8" s="60" t="n"/>
      <c r="L8" s="63">
        <f>IFERROR((J8/I8)*100,"")</f>
        <v/>
      </c>
      <c r="M8" s="62" t="n"/>
      <c r="N8" s="60" t="n"/>
      <c r="O8" s="60" t="n"/>
      <c r="P8" s="63">
        <f>IFERROR((N8/M8)*100,"")</f>
        <v/>
      </c>
      <c r="Q8" s="60" t="n"/>
      <c r="R8" s="60" t="n"/>
      <c r="S8" s="63">
        <f>IFERROR((Q8/M8)*100,"")</f>
        <v/>
      </c>
      <c r="T8" s="60" t="n"/>
      <c r="U8" s="63">
        <f>IFERROR(((J8+N8)/H8)*100,"")</f>
        <v/>
      </c>
      <c r="V8" s="60" t="n"/>
      <c r="W8" s="60" t="n"/>
      <c r="X8" s="60">
        <f>IF(AND(V8&lt;&gt;"",W8&lt;&gt;""),CONCATENATE(V8,W8),"")</f>
        <v/>
      </c>
      <c r="Y8" s="60">
        <f>IF(AND(U8&gt;=85,S8&gt;=90),"Pass",IF(AND(U8&gt;=80,S8&gt;=85),"Conditional_Pass","Fail"))</f>
        <v/>
      </c>
      <c r="Z8" s="60">
        <f>IF(U8&gt;=85,"Overall &gt;=85% [OK]","Overall &lt;85% [X]") &amp; ", " &amp; IF(S8&gt;=90,"CVSS &gt;=90% [OK]","CVSS &lt;90% [X]")</f>
        <v/>
      </c>
      <c r="AA8" s="60">
        <f>IF(Y8="Pass","None",IF(Y8="Conditional_Pass","Review",IF(OR(V8="A",V8="B"),"Improve","Deprecate")))</f>
        <v/>
      </c>
      <c r="AB8" s="60" t="n"/>
      <c r="AC8" s="60" t="n"/>
      <c r="AD8" s="60" t="n"/>
      <c r="AE8" s="60" t="n"/>
      <c r="AF8" s="60" t="n"/>
      <c r="AG8" s="61" t="n"/>
      <c r="AH8" s="61">
        <f>IF(E8&lt;&gt;"",E8+90,"")</f>
        <v/>
      </c>
    </row>
    <row r="9">
      <c r="A9" s="60" t="n"/>
      <c r="B9" s="60" t="n"/>
      <c r="C9" s="60">
        <f>IFERROR(VLOOKUP(B9,'Source Inventory'!$A$6:$P$55,2,FALSE),"[Not Found]")</f>
        <v/>
      </c>
      <c r="D9" s="60" t="n"/>
      <c r="E9" s="61" t="n"/>
      <c r="F9" s="60" t="n"/>
      <c r="G9" s="60" t="n"/>
      <c r="H9" s="62" t="n"/>
      <c r="I9" s="62" t="n"/>
      <c r="J9" s="60" t="n"/>
      <c r="K9" s="60" t="n"/>
      <c r="L9" s="63">
        <f>IFERROR((J9/I9)*100,"")</f>
        <v/>
      </c>
      <c r="M9" s="62" t="n"/>
      <c r="N9" s="60" t="n"/>
      <c r="O9" s="60" t="n"/>
      <c r="P9" s="63">
        <f>IFERROR((N9/M9)*100,"")</f>
        <v/>
      </c>
      <c r="Q9" s="60" t="n"/>
      <c r="R9" s="60" t="n"/>
      <c r="S9" s="63">
        <f>IFERROR((Q9/M9)*100,"")</f>
        <v/>
      </c>
      <c r="T9" s="60" t="n"/>
      <c r="U9" s="63">
        <f>IFERROR(((J9+N9)/H9)*100,"")</f>
        <v/>
      </c>
      <c r="V9" s="60" t="n"/>
      <c r="W9" s="60" t="n"/>
      <c r="X9" s="60">
        <f>IF(AND(V9&lt;&gt;"",W9&lt;&gt;""),CONCATENATE(V9,W9),"")</f>
        <v/>
      </c>
      <c r="Y9" s="60">
        <f>IF(AND(U9&gt;=85,S9&gt;=90),"Pass",IF(AND(U9&gt;=80,S9&gt;=85),"Conditional_Pass","Fail"))</f>
        <v/>
      </c>
      <c r="Z9" s="60">
        <f>IF(U9&gt;=85,"Overall &gt;=85% [OK]","Overall &lt;85% [X]") &amp; ", " &amp; IF(S9&gt;=90,"CVSS &gt;=90% [OK]","CVSS &lt;90% [X]")</f>
        <v/>
      </c>
      <c r="AA9" s="60">
        <f>IF(Y9="Pass","None",IF(Y9="Conditional_Pass","Review",IF(OR(V9="A",V9="B"),"Improve","Deprecate")))</f>
        <v/>
      </c>
      <c r="AB9" s="60" t="n"/>
      <c r="AC9" s="60" t="n"/>
      <c r="AD9" s="60" t="n"/>
      <c r="AE9" s="60" t="n"/>
      <c r="AF9" s="60" t="n"/>
      <c r="AG9" s="61" t="n"/>
      <c r="AH9" s="61">
        <f>IF(E9&lt;&gt;"",E9+90,"")</f>
        <v/>
      </c>
    </row>
    <row r="10">
      <c r="A10" s="60" t="n"/>
      <c r="B10" s="60" t="n"/>
      <c r="C10" s="60">
        <f>IFERROR(VLOOKUP(B10,'Source Inventory'!$A$6:$P$55,2,FALSE),"[Not Found]")</f>
        <v/>
      </c>
      <c r="D10" s="60" t="n"/>
      <c r="E10" s="61" t="n"/>
      <c r="F10" s="60" t="n"/>
      <c r="G10" s="60" t="n"/>
      <c r="H10" s="62" t="n"/>
      <c r="I10" s="62" t="n"/>
      <c r="J10" s="60" t="n"/>
      <c r="K10" s="60" t="n"/>
      <c r="L10" s="63">
        <f>IFERROR((J10/I10)*100,"")</f>
        <v/>
      </c>
      <c r="M10" s="62" t="n"/>
      <c r="N10" s="60" t="n"/>
      <c r="O10" s="60" t="n"/>
      <c r="P10" s="63">
        <f>IFERROR((N10/M10)*100,"")</f>
        <v/>
      </c>
      <c r="Q10" s="60" t="n"/>
      <c r="R10" s="60" t="n"/>
      <c r="S10" s="63">
        <f>IFERROR((Q10/M10)*100,"")</f>
        <v/>
      </c>
      <c r="T10" s="60" t="n"/>
      <c r="U10" s="63">
        <f>IFERROR(((J10+N10)/H10)*100,"")</f>
        <v/>
      </c>
      <c r="V10" s="60" t="n"/>
      <c r="W10" s="60" t="n"/>
      <c r="X10" s="60">
        <f>IF(AND(V10&lt;&gt;"",W10&lt;&gt;""),CONCATENATE(V10,W10),"")</f>
        <v/>
      </c>
      <c r="Y10" s="60">
        <f>IF(AND(U10&gt;=85,S10&gt;=90),"Pass",IF(AND(U10&gt;=80,S10&gt;=85),"Conditional_Pass","Fail"))</f>
        <v/>
      </c>
      <c r="Z10" s="60">
        <f>IF(U10&gt;=85,"Overall &gt;=85% [OK]","Overall &lt;85% [X]") &amp; ", " &amp; IF(S10&gt;=90,"CVSS &gt;=90% [OK]","CVSS &lt;90% [X]")</f>
        <v/>
      </c>
      <c r="AA10" s="60">
        <f>IF(Y10="Pass","None",IF(Y10="Conditional_Pass","Review",IF(OR(V10="A",V10="B"),"Improve","Deprecate")))</f>
        <v/>
      </c>
      <c r="AB10" s="60" t="n"/>
      <c r="AC10" s="60" t="n"/>
      <c r="AD10" s="60" t="n"/>
      <c r="AE10" s="60" t="n"/>
      <c r="AF10" s="60" t="n"/>
      <c r="AG10" s="61" t="n"/>
      <c r="AH10" s="61">
        <f>IF(E10&lt;&gt;"",E10+90,"")</f>
        <v/>
      </c>
    </row>
    <row r="11">
      <c r="A11" s="60" t="n"/>
      <c r="B11" s="60" t="n"/>
      <c r="C11" s="60">
        <f>IFERROR(VLOOKUP(B11,'Source Inventory'!$A$6:$P$55,2,FALSE),"[Not Found]")</f>
        <v/>
      </c>
      <c r="D11" s="60" t="n"/>
      <c r="E11" s="61" t="n"/>
      <c r="F11" s="60" t="n"/>
      <c r="G11" s="60" t="n"/>
      <c r="H11" s="62" t="n"/>
      <c r="I11" s="62" t="n"/>
      <c r="J11" s="60" t="n"/>
      <c r="K11" s="60" t="n"/>
      <c r="L11" s="63">
        <f>IFERROR((J11/I11)*100,"")</f>
        <v/>
      </c>
      <c r="M11" s="62" t="n"/>
      <c r="N11" s="60" t="n"/>
      <c r="O11" s="60" t="n"/>
      <c r="P11" s="63">
        <f>IFERROR((N11/M11)*100,"")</f>
        <v/>
      </c>
      <c r="Q11" s="60" t="n"/>
      <c r="R11" s="60" t="n"/>
      <c r="S11" s="63">
        <f>IFERROR((Q11/M11)*100,"")</f>
        <v/>
      </c>
      <c r="T11" s="60" t="n"/>
      <c r="U11" s="63">
        <f>IFERROR(((J11+N11)/H11)*100,"")</f>
        <v/>
      </c>
      <c r="V11" s="60" t="n"/>
      <c r="W11" s="60" t="n"/>
      <c r="X11" s="60">
        <f>IF(AND(V11&lt;&gt;"",W11&lt;&gt;""),CONCATENATE(V11,W11),"")</f>
        <v/>
      </c>
      <c r="Y11" s="60">
        <f>IF(AND(U11&gt;=85,S11&gt;=90),"Pass",IF(AND(U11&gt;=80,S11&gt;=85),"Conditional_Pass","Fail"))</f>
        <v/>
      </c>
      <c r="Z11" s="60">
        <f>IF(U11&gt;=85,"Overall &gt;=85% [OK]","Overall &lt;85% [X]") &amp; ", " &amp; IF(S11&gt;=90,"CVSS &gt;=90% [OK]","CVSS &lt;90% [X]")</f>
        <v/>
      </c>
      <c r="AA11" s="60">
        <f>IF(Y11="Pass","None",IF(Y11="Conditional_Pass","Review",IF(OR(V11="A",V11="B"),"Improve","Deprecate")))</f>
        <v/>
      </c>
      <c r="AB11" s="60" t="n"/>
      <c r="AC11" s="60" t="n"/>
      <c r="AD11" s="60" t="n"/>
      <c r="AE11" s="60" t="n"/>
      <c r="AF11" s="60" t="n"/>
      <c r="AG11" s="61" t="n"/>
      <c r="AH11" s="61">
        <f>IF(E11&lt;&gt;"",E11+90,"")</f>
        <v/>
      </c>
    </row>
    <row r="12">
      <c r="A12" s="60" t="n"/>
      <c r="B12" s="60" t="n"/>
      <c r="C12" s="60">
        <f>IFERROR(VLOOKUP(B12,'Source Inventory'!$A$6:$P$55,2,FALSE),"[Not Found]")</f>
        <v/>
      </c>
      <c r="D12" s="60" t="n"/>
      <c r="E12" s="61" t="n"/>
      <c r="F12" s="60" t="n"/>
      <c r="G12" s="60" t="n"/>
      <c r="H12" s="62" t="n"/>
      <c r="I12" s="62" t="n"/>
      <c r="J12" s="60" t="n"/>
      <c r="K12" s="60" t="n"/>
      <c r="L12" s="63">
        <f>IFERROR((J12/I12)*100,"")</f>
        <v/>
      </c>
      <c r="M12" s="62" t="n"/>
      <c r="N12" s="60" t="n"/>
      <c r="O12" s="60" t="n"/>
      <c r="P12" s="63">
        <f>IFERROR((N12/M12)*100,"")</f>
        <v/>
      </c>
      <c r="Q12" s="60" t="n"/>
      <c r="R12" s="60" t="n"/>
      <c r="S12" s="63">
        <f>IFERROR((Q12/M12)*100,"")</f>
        <v/>
      </c>
      <c r="T12" s="60" t="n"/>
      <c r="U12" s="63">
        <f>IFERROR(((J12+N12)/H12)*100,"")</f>
        <v/>
      </c>
      <c r="V12" s="60" t="n"/>
      <c r="W12" s="60" t="n"/>
      <c r="X12" s="60">
        <f>IF(AND(V12&lt;&gt;"",W12&lt;&gt;""),CONCATENATE(V12,W12),"")</f>
        <v/>
      </c>
      <c r="Y12" s="60">
        <f>IF(AND(U12&gt;=85,S12&gt;=90),"Pass",IF(AND(U12&gt;=80,S12&gt;=85),"Conditional_Pass","Fail"))</f>
        <v/>
      </c>
      <c r="Z12" s="60">
        <f>IF(U12&gt;=85,"Overall &gt;=85% [OK]","Overall &lt;85% [X]") &amp; ", " &amp; IF(S12&gt;=90,"CVSS &gt;=90% [OK]","CVSS &lt;90% [X]")</f>
        <v/>
      </c>
      <c r="AA12" s="60">
        <f>IF(Y12="Pass","None",IF(Y12="Conditional_Pass","Review",IF(OR(V12="A",V12="B"),"Improve","Deprecate")))</f>
        <v/>
      </c>
      <c r="AB12" s="60" t="n"/>
      <c r="AC12" s="60" t="n"/>
      <c r="AD12" s="60" t="n"/>
      <c r="AE12" s="60" t="n"/>
      <c r="AF12" s="60" t="n"/>
      <c r="AG12" s="61" t="n"/>
      <c r="AH12" s="61">
        <f>IF(E12&lt;&gt;"",E12+90,"")</f>
        <v/>
      </c>
    </row>
    <row r="13">
      <c r="A13" s="60" t="n"/>
      <c r="B13" s="60" t="n"/>
      <c r="C13" s="60">
        <f>IFERROR(VLOOKUP(B13,'Source Inventory'!$A$6:$P$55,2,FALSE),"[Not Found]")</f>
        <v/>
      </c>
      <c r="D13" s="60" t="n"/>
      <c r="E13" s="61" t="n"/>
      <c r="F13" s="60" t="n"/>
      <c r="G13" s="60" t="n"/>
      <c r="H13" s="62" t="n"/>
      <c r="I13" s="62" t="n"/>
      <c r="J13" s="60" t="n"/>
      <c r="K13" s="60" t="n"/>
      <c r="L13" s="63">
        <f>IFERROR((J13/I13)*100,"")</f>
        <v/>
      </c>
      <c r="M13" s="62" t="n"/>
      <c r="N13" s="60" t="n"/>
      <c r="O13" s="60" t="n"/>
      <c r="P13" s="63">
        <f>IFERROR((N13/M13)*100,"")</f>
        <v/>
      </c>
      <c r="Q13" s="60" t="n"/>
      <c r="R13" s="60" t="n"/>
      <c r="S13" s="63">
        <f>IFERROR((Q13/M13)*100,"")</f>
        <v/>
      </c>
      <c r="T13" s="60" t="n"/>
      <c r="U13" s="63">
        <f>IFERROR(((J13+N13)/H13)*100,"")</f>
        <v/>
      </c>
      <c r="V13" s="60" t="n"/>
      <c r="W13" s="60" t="n"/>
      <c r="X13" s="60">
        <f>IF(AND(V13&lt;&gt;"",W13&lt;&gt;""),CONCATENATE(V13,W13),"")</f>
        <v/>
      </c>
      <c r="Y13" s="60">
        <f>IF(AND(U13&gt;=85,S13&gt;=90),"Pass",IF(AND(U13&gt;=80,S13&gt;=85),"Conditional_Pass","Fail"))</f>
        <v/>
      </c>
      <c r="Z13" s="60">
        <f>IF(U13&gt;=85,"Overall &gt;=85% [OK]","Overall &lt;85% [X]") &amp; ", " &amp; IF(S13&gt;=90,"CVSS &gt;=90% [OK]","CVSS &lt;90% [X]")</f>
        <v/>
      </c>
      <c r="AA13" s="60">
        <f>IF(Y13="Pass","None",IF(Y13="Conditional_Pass","Review",IF(OR(V13="A",V13="B"),"Improve","Deprecate")))</f>
        <v/>
      </c>
      <c r="AB13" s="60" t="n"/>
      <c r="AC13" s="60" t="n"/>
      <c r="AD13" s="60" t="n"/>
      <c r="AE13" s="60" t="n"/>
      <c r="AF13" s="60" t="n"/>
      <c r="AG13" s="61" t="n"/>
      <c r="AH13" s="61">
        <f>IF(E13&lt;&gt;"",E13+90,"")</f>
        <v/>
      </c>
    </row>
    <row r="14">
      <c r="A14" s="60" t="n"/>
      <c r="B14" s="60" t="n"/>
      <c r="C14" s="60">
        <f>IFERROR(VLOOKUP(B14,'Source Inventory'!$A$6:$P$55,2,FALSE),"[Not Found]")</f>
        <v/>
      </c>
      <c r="D14" s="60" t="n"/>
      <c r="E14" s="61" t="n"/>
      <c r="F14" s="60" t="n"/>
      <c r="G14" s="60" t="n"/>
      <c r="H14" s="62" t="n"/>
      <c r="I14" s="62" t="n"/>
      <c r="J14" s="60" t="n"/>
      <c r="K14" s="60" t="n"/>
      <c r="L14" s="63">
        <f>IFERROR((J14/I14)*100,"")</f>
        <v/>
      </c>
      <c r="M14" s="62" t="n"/>
      <c r="N14" s="60" t="n"/>
      <c r="O14" s="60" t="n"/>
      <c r="P14" s="63">
        <f>IFERROR((N14/M14)*100,"")</f>
        <v/>
      </c>
      <c r="Q14" s="60" t="n"/>
      <c r="R14" s="60" t="n"/>
      <c r="S14" s="63">
        <f>IFERROR((Q14/M14)*100,"")</f>
        <v/>
      </c>
      <c r="T14" s="60" t="n"/>
      <c r="U14" s="63">
        <f>IFERROR(((J14+N14)/H14)*100,"")</f>
        <v/>
      </c>
      <c r="V14" s="60" t="n"/>
      <c r="W14" s="60" t="n"/>
      <c r="X14" s="60">
        <f>IF(AND(V14&lt;&gt;"",W14&lt;&gt;""),CONCATENATE(V14,W14),"")</f>
        <v/>
      </c>
      <c r="Y14" s="60">
        <f>IF(AND(U14&gt;=85,S14&gt;=90),"Pass",IF(AND(U14&gt;=80,S14&gt;=85),"Conditional_Pass","Fail"))</f>
        <v/>
      </c>
      <c r="Z14" s="60">
        <f>IF(U14&gt;=85,"Overall &gt;=85% [OK]","Overall &lt;85% [X]") &amp; ", " &amp; IF(S14&gt;=90,"CVSS &gt;=90% [OK]","CVSS &lt;90% [X]")</f>
        <v/>
      </c>
      <c r="AA14" s="60">
        <f>IF(Y14="Pass","None",IF(Y14="Conditional_Pass","Review",IF(OR(V14="A",V14="B"),"Improve","Deprecate")))</f>
        <v/>
      </c>
      <c r="AB14" s="60" t="n"/>
      <c r="AC14" s="60" t="n"/>
      <c r="AD14" s="60" t="n"/>
      <c r="AE14" s="60" t="n"/>
      <c r="AF14" s="60" t="n"/>
      <c r="AG14" s="61" t="n"/>
      <c r="AH14" s="61">
        <f>IF(E14&lt;&gt;"",E14+90,"")</f>
        <v/>
      </c>
    </row>
    <row r="15">
      <c r="A15" s="60" t="n"/>
      <c r="B15" s="60" t="n"/>
      <c r="C15" s="60">
        <f>IFERROR(VLOOKUP(B15,'Source Inventory'!$A$6:$P$55,2,FALSE),"[Not Found]")</f>
        <v/>
      </c>
      <c r="D15" s="60" t="n"/>
      <c r="E15" s="61" t="n"/>
      <c r="F15" s="60" t="n"/>
      <c r="G15" s="60" t="n"/>
      <c r="H15" s="62" t="n"/>
      <c r="I15" s="62" t="n"/>
      <c r="J15" s="60" t="n"/>
      <c r="K15" s="60" t="n"/>
      <c r="L15" s="63">
        <f>IFERROR((J15/I15)*100,"")</f>
        <v/>
      </c>
      <c r="M15" s="62" t="n"/>
      <c r="N15" s="60" t="n"/>
      <c r="O15" s="60" t="n"/>
      <c r="P15" s="63">
        <f>IFERROR((N15/M15)*100,"")</f>
        <v/>
      </c>
      <c r="Q15" s="60" t="n"/>
      <c r="R15" s="60" t="n"/>
      <c r="S15" s="63">
        <f>IFERROR((Q15/M15)*100,"")</f>
        <v/>
      </c>
      <c r="T15" s="60" t="n"/>
      <c r="U15" s="63">
        <f>IFERROR(((J15+N15)/H15)*100,"")</f>
        <v/>
      </c>
      <c r="V15" s="60" t="n"/>
      <c r="W15" s="60" t="n"/>
      <c r="X15" s="60">
        <f>IF(AND(V15&lt;&gt;"",W15&lt;&gt;""),CONCATENATE(V15,W15),"")</f>
        <v/>
      </c>
      <c r="Y15" s="60">
        <f>IF(AND(U15&gt;=85,S15&gt;=90),"Pass",IF(AND(U15&gt;=80,S15&gt;=85),"Conditional_Pass","Fail"))</f>
        <v/>
      </c>
      <c r="Z15" s="60">
        <f>IF(U15&gt;=85,"Overall &gt;=85% [OK]","Overall &lt;85% [X]") &amp; ", " &amp; IF(S15&gt;=90,"CVSS &gt;=90% [OK]","CVSS &lt;90% [X]")</f>
        <v/>
      </c>
      <c r="AA15" s="60">
        <f>IF(Y15="Pass","None",IF(Y15="Conditional_Pass","Review",IF(OR(V15="A",V15="B"),"Improve","Deprecate")))</f>
        <v/>
      </c>
      <c r="AB15" s="60" t="n"/>
      <c r="AC15" s="60" t="n"/>
      <c r="AD15" s="60" t="n"/>
      <c r="AE15" s="60" t="n"/>
      <c r="AF15" s="60" t="n"/>
      <c r="AG15" s="61" t="n"/>
      <c r="AH15" s="61">
        <f>IF(E15&lt;&gt;"",E15+90,"")</f>
        <v/>
      </c>
    </row>
    <row r="16">
      <c r="A16" s="60" t="n"/>
      <c r="B16" s="60" t="n"/>
      <c r="C16" s="60">
        <f>IFERROR(VLOOKUP(B16,'Source Inventory'!$A$6:$P$55,2,FALSE),"[Not Found]")</f>
        <v/>
      </c>
      <c r="D16" s="60" t="n"/>
      <c r="E16" s="61" t="n"/>
      <c r="F16" s="60" t="n"/>
      <c r="G16" s="60" t="n"/>
      <c r="H16" s="62" t="n"/>
      <c r="I16" s="62" t="n"/>
      <c r="J16" s="60" t="n"/>
      <c r="K16" s="60" t="n"/>
      <c r="L16" s="63">
        <f>IFERROR((J16/I16)*100,"")</f>
        <v/>
      </c>
      <c r="M16" s="62" t="n"/>
      <c r="N16" s="60" t="n"/>
      <c r="O16" s="60" t="n"/>
      <c r="P16" s="63">
        <f>IFERROR((N16/M16)*100,"")</f>
        <v/>
      </c>
      <c r="Q16" s="60" t="n"/>
      <c r="R16" s="60" t="n"/>
      <c r="S16" s="63">
        <f>IFERROR((Q16/M16)*100,"")</f>
        <v/>
      </c>
      <c r="T16" s="60" t="n"/>
      <c r="U16" s="63">
        <f>IFERROR(((J16+N16)/H16)*100,"")</f>
        <v/>
      </c>
      <c r="V16" s="60" t="n"/>
      <c r="W16" s="60" t="n"/>
      <c r="X16" s="60">
        <f>IF(AND(V16&lt;&gt;"",W16&lt;&gt;""),CONCATENATE(V16,W16),"")</f>
        <v/>
      </c>
      <c r="Y16" s="60">
        <f>IF(AND(U16&gt;=85,S16&gt;=90),"Pass",IF(AND(U16&gt;=80,S16&gt;=85),"Conditional_Pass","Fail"))</f>
        <v/>
      </c>
      <c r="Z16" s="60">
        <f>IF(U16&gt;=85,"Overall &gt;=85% [OK]","Overall &lt;85% [X]") &amp; ", " &amp; IF(S16&gt;=90,"CVSS &gt;=90% [OK]","CVSS &lt;90% [X]")</f>
        <v/>
      </c>
      <c r="AA16" s="60">
        <f>IF(Y16="Pass","None",IF(Y16="Conditional_Pass","Review",IF(OR(V16="A",V16="B"),"Improve","Deprecate")))</f>
        <v/>
      </c>
      <c r="AB16" s="60" t="n"/>
      <c r="AC16" s="60" t="n"/>
      <c r="AD16" s="60" t="n"/>
      <c r="AE16" s="60" t="n"/>
      <c r="AF16" s="60" t="n"/>
      <c r="AG16" s="61" t="n"/>
      <c r="AH16" s="61">
        <f>IF(E16&lt;&gt;"",E16+90,"")</f>
        <v/>
      </c>
    </row>
    <row r="17">
      <c r="A17" s="60" t="n"/>
      <c r="B17" s="60" t="n"/>
      <c r="C17" s="60">
        <f>IFERROR(VLOOKUP(B17,'Source Inventory'!$A$6:$P$55,2,FALSE),"[Not Found]")</f>
        <v/>
      </c>
      <c r="D17" s="60" t="n"/>
      <c r="E17" s="61" t="n"/>
      <c r="F17" s="60" t="n"/>
      <c r="G17" s="60" t="n"/>
      <c r="H17" s="62" t="n"/>
      <c r="I17" s="62" t="n"/>
      <c r="J17" s="60" t="n"/>
      <c r="K17" s="60" t="n"/>
      <c r="L17" s="63">
        <f>IFERROR((J17/I17)*100,"")</f>
        <v/>
      </c>
      <c r="M17" s="62" t="n"/>
      <c r="N17" s="60" t="n"/>
      <c r="O17" s="60" t="n"/>
      <c r="P17" s="63">
        <f>IFERROR((N17/M17)*100,"")</f>
        <v/>
      </c>
      <c r="Q17" s="60" t="n"/>
      <c r="R17" s="60" t="n"/>
      <c r="S17" s="63">
        <f>IFERROR((Q17/M17)*100,"")</f>
        <v/>
      </c>
      <c r="T17" s="60" t="n"/>
      <c r="U17" s="63">
        <f>IFERROR(((J17+N17)/H17)*100,"")</f>
        <v/>
      </c>
      <c r="V17" s="60" t="n"/>
      <c r="W17" s="60" t="n"/>
      <c r="X17" s="60">
        <f>IF(AND(V17&lt;&gt;"",W17&lt;&gt;""),CONCATENATE(V17,W17),"")</f>
        <v/>
      </c>
      <c r="Y17" s="60">
        <f>IF(AND(U17&gt;=85,S17&gt;=90),"Pass",IF(AND(U17&gt;=80,S17&gt;=85),"Conditional_Pass","Fail"))</f>
        <v/>
      </c>
      <c r="Z17" s="60">
        <f>IF(U17&gt;=85,"Overall &gt;=85% [OK]","Overall &lt;85% [X]") &amp; ", " &amp; IF(S17&gt;=90,"CVSS &gt;=90% [OK]","CVSS &lt;90% [X]")</f>
        <v/>
      </c>
      <c r="AA17" s="60">
        <f>IF(Y17="Pass","None",IF(Y17="Conditional_Pass","Review",IF(OR(V17="A",V17="B"),"Improve","Deprecate")))</f>
        <v/>
      </c>
      <c r="AB17" s="60" t="n"/>
      <c r="AC17" s="60" t="n"/>
      <c r="AD17" s="60" t="n"/>
      <c r="AE17" s="60" t="n"/>
      <c r="AF17" s="60" t="n"/>
      <c r="AG17" s="61" t="n"/>
      <c r="AH17" s="61">
        <f>IF(E17&lt;&gt;"",E17+90,"")</f>
        <v/>
      </c>
    </row>
    <row r="18">
      <c r="A18" s="60" t="n"/>
      <c r="B18" s="60" t="n"/>
      <c r="C18" s="60">
        <f>IFERROR(VLOOKUP(B18,'Source Inventory'!$A$6:$P$55,2,FALSE),"[Not Found]")</f>
        <v/>
      </c>
      <c r="D18" s="60" t="n"/>
      <c r="E18" s="61" t="n"/>
      <c r="F18" s="60" t="n"/>
      <c r="G18" s="60" t="n"/>
      <c r="H18" s="62" t="n"/>
      <c r="I18" s="62" t="n"/>
      <c r="J18" s="60" t="n"/>
      <c r="K18" s="60" t="n"/>
      <c r="L18" s="63">
        <f>IFERROR((J18/I18)*100,"")</f>
        <v/>
      </c>
      <c r="M18" s="62" t="n"/>
      <c r="N18" s="60" t="n"/>
      <c r="O18" s="60" t="n"/>
      <c r="P18" s="63">
        <f>IFERROR((N18/M18)*100,"")</f>
        <v/>
      </c>
      <c r="Q18" s="60" t="n"/>
      <c r="R18" s="60" t="n"/>
      <c r="S18" s="63">
        <f>IFERROR((Q18/M18)*100,"")</f>
        <v/>
      </c>
      <c r="T18" s="60" t="n"/>
      <c r="U18" s="63">
        <f>IFERROR(((J18+N18)/H18)*100,"")</f>
        <v/>
      </c>
      <c r="V18" s="60" t="n"/>
      <c r="W18" s="60" t="n"/>
      <c r="X18" s="60">
        <f>IF(AND(V18&lt;&gt;"",W18&lt;&gt;""),CONCATENATE(V18,W18),"")</f>
        <v/>
      </c>
      <c r="Y18" s="60">
        <f>IF(AND(U18&gt;=85,S18&gt;=90),"Pass",IF(AND(U18&gt;=80,S18&gt;=85),"Conditional_Pass","Fail"))</f>
        <v/>
      </c>
      <c r="Z18" s="60">
        <f>IF(U18&gt;=85,"Overall &gt;=85% [OK]","Overall &lt;85% [X]") &amp; ", " &amp; IF(S18&gt;=90,"CVSS &gt;=90% [OK]","CVSS &lt;90% [X]")</f>
        <v/>
      </c>
      <c r="AA18" s="60">
        <f>IF(Y18="Pass","None",IF(Y18="Conditional_Pass","Review",IF(OR(V18="A",V18="B"),"Improve","Deprecate")))</f>
        <v/>
      </c>
      <c r="AB18" s="60" t="n"/>
      <c r="AC18" s="60" t="n"/>
      <c r="AD18" s="60" t="n"/>
      <c r="AE18" s="60" t="n"/>
      <c r="AF18" s="60" t="n"/>
      <c r="AG18" s="61" t="n"/>
      <c r="AH18" s="61">
        <f>IF(E18&lt;&gt;"",E18+90,"")</f>
        <v/>
      </c>
    </row>
    <row r="19">
      <c r="A19" s="60" t="n"/>
      <c r="B19" s="60" t="n"/>
      <c r="C19" s="60">
        <f>IFERROR(VLOOKUP(B19,'Source Inventory'!$A$6:$P$55,2,FALSE),"[Not Found]")</f>
        <v/>
      </c>
      <c r="D19" s="60" t="n"/>
      <c r="E19" s="61" t="n"/>
      <c r="F19" s="60" t="n"/>
      <c r="G19" s="60" t="n"/>
      <c r="H19" s="62" t="n"/>
      <c r="I19" s="62" t="n"/>
      <c r="J19" s="60" t="n"/>
      <c r="K19" s="60" t="n"/>
      <c r="L19" s="63">
        <f>IFERROR((J19/I19)*100,"")</f>
        <v/>
      </c>
      <c r="M19" s="62" t="n"/>
      <c r="N19" s="60" t="n"/>
      <c r="O19" s="60" t="n"/>
      <c r="P19" s="63">
        <f>IFERROR((N19/M19)*100,"")</f>
        <v/>
      </c>
      <c r="Q19" s="60" t="n"/>
      <c r="R19" s="60" t="n"/>
      <c r="S19" s="63">
        <f>IFERROR((Q19/M19)*100,"")</f>
        <v/>
      </c>
      <c r="T19" s="60" t="n"/>
      <c r="U19" s="63">
        <f>IFERROR(((J19+N19)/H19)*100,"")</f>
        <v/>
      </c>
      <c r="V19" s="60" t="n"/>
      <c r="W19" s="60" t="n"/>
      <c r="X19" s="60">
        <f>IF(AND(V19&lt;&gt;"",W19&lt;&gt;""),CONCATENATE(V19,W19),"")</f>
        <v/>
      </c>
      <c r="Y19" s="60">
        <f>IF(AND(U19&gt;=85,S19&gt;=90),"Pass",IF(AND(U19&gt;=80,S19&gt;=85),"Conditional_Pass","Fail"))</f>
        <v/>
      </c>
      <c r="Z19" s="60">
        <f>IF(U19&gt;=85,"Overall &gt;=85% [OK]","Overall &lt;85% [X]") &amp; ", " &amp; IF(S19&gt;=90,"CVSS &gt;=90% [OK]","CVSS &lt;90% [X]")</f>
        <v/>
      </c>
      <c r="AA19" s="60">
        <f>IF(Y19="Pass","None",IF(Y19="Conditional_Pass","Review",IF(OR(V19="A",V19="B"),"Improve","Deprecate")))</f>
        <v/>
      </c>
      <c r="AB19" s="60" t="n"/>
      <c r="AC19" s="60" t="n"/>
      <c r="AD19" s="60" t="n"/>
      <c r="AE19" s="60" t="n"/>
      <c r="AF19" s="60" t="n"/>
      <c r="AG19" s="61" t="n"/>
      <c r="AH19" s="61">
        <f>IF(E19&lt;&gt;"",E19+90,"")</f>
        <v/>
      </c>
    </row>
    <row r="20">
      <c r="A20" s="60" t="n"/>
      <c r="B20" s="60" t="n"/>
      <c r="C20" s="60">
        <f>IFERROR(VLOOKUP(B20,'Source Inventory'!$A$6:$P$55,2,FALSE),"[Not Found]")</f>
        <v/>
      </c>
      <c r="D20" s="60" t="n"/>
      <c r="E20" s="61" t="n"/>
      <c r="F20" s="60" t="n"/>
      <c r="G20" s="60" t="n"/>
      <c r="H20" s="62" t="n"/>
      <c r="I20" s="62" t="n"/>
      <c r="J20" s="60" t="n"/>
      <c r="K20" s="60" t="n"/>
      <c r="L20" s="63">
        <f>IFERROR((J20/I20)*100,"")</f>
        <v/>
      </c>
      <c r="M20" s="62" t="n"/>
      <c r="N20" s="60" t="n"/>
      <c r="O20" s="60" t="n"/>
      <c r="P20" s="63">
        <f>IFERROR((N20/M20)*100,"")</f>
        <v/>
      </c>
      <c r="Q20" s="60" t="n"/>
      <c r="R20" s="60" t="n"/>
      <c r="S20" s="63">
        <f>IFERROR((Q20/M20)*100,"")</f>
        <v/>
      </c>
      <c r="T20" s="60" t="n"/>
      <c r="U20" s="63">
        <f>IFERROR(((J20+N20)/H20)*100,"")</f>
        <v/>
      </c>
      <c r="V20" s="60" t="n"/>
      <c r="W20" s="60" t="n"/>
      <c r="X20" s="60">
        <f>IF(AND(V20&lt;&gt;"",W20&lt;&gt;""),CONCATENATE(V20,W20),"")</f>
        <v/>
      </c>
      <c r="Y20" s="60">
        <f>IF(AND(U20&gt;=85,S20&gt;=90),"Pass",IF(AND(U20&gt;=80,S20&gt;=85),"Conditional_Pass","Fail"))</f>
        <v/>
      </c>
      <c r="Z20" s="60">
        <f>IF(U20&gt;=85,"Overall &gt;=85% [OK]","Overall &lt;85% [X]") &amp; ", " &amp; IF(S20&gt;=90,"CVSS &gt;=90% [OK]","CVSS &lt;90% [X]")</f>
        <v/>
      </c>
      <c r="AA20" s="60">
        <f>IF(Y20="Pass","None",IF(Y20="Conditional_Pass","Review",IF(OR(V20="A",V20="B"),"Improve","Deprecate")))</f>
        <v/>
      </c>
      <c r="AB20" s="60" t="n"/>
      <c r="AC20" s="60" t="n"/>
      <c r="AD20" s="60" t="n"/>
      <c r="AE20" s="60" t="n"/>
      <c r="AF20" s="60" t="n"/>
      <c r="AG20" s="61" t="n"/>
      <c r="AH20" s="61">
        <f>IF(E20&lt;&gt;"",E20+90,"")</f>
        <v/>
      </c>
    </row>
    <row r="21">
      <c r="A21" s="60" t="n"/>
      <c r="B21" s="60" t="n"/>
      <c r="C21" s="60">
        <f>IFERROR(VLOOKUP(B21,'Source Inventory'!$A$6:$P$55,2,FALSE),"[Not Found]")</f>
        <v/>
      </c>
      <c r="D21" s="60" t="n"/>
      <c r="E21" s="61" t="n"/>
      <c r="F21" s="60" t="n"/>
      <c r="G21" s="60" t="n"/>
      <c r="H21" s="62" t="n"/>
      <c r="I21" s="62" t="n"/>
      <c r="J21" s="60" t="n"/>
      <c r="K21" s="60" t="n"/>
      <c r="L21" s="63">
        <f>IFERROR((J21/I21)*100,"")</f>
        <v/>
      </c>
      <c r="M21" s="62" t="n"/>
      <c r="N21" s="60" t="n"/>
      <c r="O21" s="60" t="n"/>
      <c r="P21" s="63">
        <f>IFERROR((N21/M21)*100,"")</f>
        <v/>
      </c>
      <c r="Q21" s="60" t="n"/>
      <c r="R21" s="60" t="n"/>
      <c r="S21" s="63">
        <f>IFERROR((Q21/M21)*100,"")</f>
        <v/>
      </c>
      <c r="T21" s="60" t="n"/>
      <c r="U21" s="63">
        <f>IFERROR(((J21+N21)/H21)*100,"")</f>
        <v/>
      </c>
      <c r="V21" s="60" t="n"/>
      <c r="W21" s="60" t="n"/>
      <c r="X21" s="60">
        <f>IF(AND(V21&lt;&gt;"",W21&lt;&gt;""),CONCATENATE(V21,W21),"")</f>
        <v/>
      </c>
      <c r="Y21" s="60">
        <f>IF(AND(U21&gt;=85,S21&gt;=90),"Pass",IF(AND(U21&gt;=80,S21&gt;=85),"Conditional_Pass","Fail"))</f>
        <v/>
      </c>
      <c r="Z21" s="60">
        <f>IF(U21&gt;=85,"Overall &gt;=85% [OK]","Overall &lt;85% [X]") &amp; ", " &amp; IF(S21&gt;=90,"CVSS &gt;=90% [OK]","CVSS &lt;90% [X]")</f>
        <v/>
      </c>
      <c r="AA21" s="60">
        <f>IF(Y21="Pass","None",IF(Y21="Conditional_Pass","Review",IF(OR(V21="A",V21="B"),"Improve","Deprecate")))</f>
        <v/>
      </c>
      <c r="AB21" s="60" t="n"/>
      <c r="AC21" s="60" t="n"/>
      <c r="AD21" s="60" t="n"/>
      <c r="AE21" s="60" t="n"/>
      <c r="AF21" s="60" t="n"/>
      <c r="AG21" s="61" t="n"/>
      <c r="AH21" s="61">
        <f>IF(E21&lt;&gt;"",E21+90,"")</f>
        <v/>
      </c>
    </row>
    <row r="22">
      <c r="A22" s="60" t="n"/>
      <c r="B22" s="60" t="n"/>
      <c r="C22" s="60">
        <f>IFERROR(VLOOKUP(B22,'Source Inventory'!$A$6:$P$55,2,FALSE),"[Not Found]")</f>
        <v/>
      </c>
      <c r="D22" s="60" t="n"/>
      <c r="E22" s="61" t="n"/>
      <c r="F22" s="60" t="n"/>
      <c r="G22" s="60" t="n"/>
      <c r="H22" s="62" t="n"/>
      <c r="I22" s="62" t="n"/>
      <c r="J22" s="60" t="n"/>
      <c r="K22" s="60" t="n"/>
      <c r="L22" s="63">
        <f>IFERROR((J22/I22)*100,"")</f>
        <v/>
      </c>
      <c r="M22" s="62" t="n"/>
      <c r="N22" s="60" t="n"/>
      <c r="O22" s="60" t="n"/>
      <c r="P22" s="63">
        <f>IFERROR((N22/M22)*100,"")</f>
        <v/>
      </c>
      <c r="Q22" s="60" t="n"/>
      <c r="R22" s="60" t="n"/>
      <c r="S22" s="63">
        <f>IFERROR((Q22/M22)*100,"")</f>
        <v/>
      </c>
      <c r="T22" s="60" t="n"/>
      <c r="U22" s="63">
        <f>IFERROR(((J22+N22)/H22)*100,"")</f>
        <v/>
      </c>
      <c r="V22" s="60" t="n"/>
      <c r="W22" s="60" t="n"/>
      <c r="X22" s="60">
        <f>IF(AND(V22&lt;&gt;"",W22&lt;&gt;""),CONCATENATE(V22,W22),"")</f>
        <v/>
      </c>
      <c r="Y22" s="60">
        <f>IF(AND(U22&gt;=85,S22&gt;=90),"Pass",IF(AND(U22&gt;=80,S22&gt;=85),"Conditional_Pass","Fail"))</f>
        <v/>
      </c>
      <c r="Z22" s="60">
        <f>IF(U22&gt;=85,"Overall &gt;=85% [OK]","Overall &lt;85% [X]") &amp; ", " &amp; IF(S22&gt;=90,"CVSS &gt;=90% [OK]","CVSS &lt;90% [X]")</f>
        <v/>
      </c>
      <c r="AA22" s="60">
        <f>IF(Y22="Pass","None",IF(Y22="Conditional_Pass","Review",IF(OR(V22="A",V22="B"),"Improve","Deprecate")))</f>
        <v/>
      </c>
      <c r="AB22" s="60" t="n"/>
      <c r="AC22" s="60" t="n"/>
      <c r="AD22" s="60" t="n"/>
      <c r="AE22" s="60" t="n"/>
      <c r="AF22" s="60" t="n"/>
      <c r="AG22" s="61" t="n"/>
      <c r="AH22" s="61">
        <f>IF(E22&lt;&gt;"",E22+90,"")</f>
        <v/>
      </c>
    </row>
    <row r="23">
      <c r="A23" s="60" t="n"/>
      <c r="B23" s="60" t="n"/>
      <c r="C23" s="60">
        <f>IFERROR(VLOOKUP(B23,'Source Inventory'!$A$6:$P$55,2,FALSE),"[Not Found]")</f>
        <v/>
      </c>
      <c r="D23" s="60" t="n"/>
      <c r="E23" s="61" t="n"/>
      <c r="F23" s="60" t="n"/>
      <c r="G23" s="60" t="n"/>
      <c r="H23" s="62" t="n"/>
      <c r="I23" s="62" t="n"/>
      <c r="J23" s="60" t="n"/>
      <c r="K23" s="60" t="n"/>
      <c r="L23" s="63">
        <f>IFERROR((J23/I23)*100,"")</f>
        <v/>
      </c>
      <c r="M23" s="62" t="n"/>
      <c r="N23" s="60" t="n"/>
      <c r="O23" s="60" t="n"/>
      <c r="P23" s="63">
        <f>IFERROR((N23/M23)*100,"")</f>
        <v/>
      </c>
      <c r="Q23" s="60" t="n"/>
      <c r="R23" s="60" t="n"/>
      <c r="S23" s="63">
        <f>IFERROR((Q23/M23)*100,"")</f>
        <v/>
      </c>
      <c r="T23" s="60" t="n"/>
      <c r="U23" s="63">
        <f>IFERROR(((J23+N23)/H23)*100,"")</f>
        <v/>
      </c>
      <c r="V23" s="60" t="n"/>
      <c r="W23" s="60" t="n"/>
      <c r="X23" s="60">
        <f>IF(AND(V23&lt;&gt;"",W23&lt;&gt;""),CONCATENATE(V23,W23),"")</f>
        <v/>
      </c>
      <c r="Y23" s="60">
        <f>IF(AND(U23&gt;=85,S23&gt;=90),"Pass",IF(AND(U23&gt;=80,S23&gt;=85),"Conditional_Pass","Fail"))</f>
        <v/>
      </c>
      <c r="Z23" s="60">
        <f>IF(U23&gt;=85,"Overall &gt;=85% [OK]","Overall &lt;85% [X]") &amp; ", " &amp; IF(S23&gt;=90,"CVSS &gt;=90% [OK]","CVSS &lt;90% [X]")</f>
        <v/>
      </c>
      <c r="AA23" s="60">
        <f>IF(Y23="Pass","None",IF(Y23="Conditional_Pass","Review",IF(OR(V23="A",V23="B"),"Improve","Deprecate")))</f>
        <v/>
      </c>
      <c r="AB23" s="60" t="n"/>
      <c r="AC23" s="60" t="n"/>
      <c r="AD23" s="60" t="n"/>
      <c r="AE23" s="60" t="n"/>
      <c r="AF23" s="60" t="n"/>
      <c r="AG23" s="61" t="n"/>
      <c r="AH23" s="61">
        <f>IF(E23&lt;&gt;"",E23+90,"")</f>
        <v/>
      </c>
    </row>
    <row r="24">
      <c r="A24" s="60" t="n"/>
      <c r="B24" s="60" t="n"/>
      <c r="C24" s="60">
        <f>IFERROR(VLOOKUP(B24,'Source Inventory'!$A$6:$P$55,2,FALSE),"[Not Found]")</f>
        <v/>
      </c>
      <c r="D24" s="60" t="n"/>
      <c r="E24" s="61" t="n"/>
      <c r="F24" s="60" t="n"/>
      <c r="G24" s="60" t="n"/>
      <c r="H24" s="62" t="n"/>
      <c r="I24" s="62" t="n"/>
      <c r="J24" s="60" t="n"/>
      <c r="K24" s="60" t="n"/>
      <c r="L24" s="63">
        <f>IFERROR((J24/I24)*100,"")</f>
        <v/>
      </c>
      <c r="M24" s="62" t="n"/>
      <c r="N24" s="60" t="n"/>
      <c r="O24" s="60" t="n"/>
      <c r="P24" s="63">
        <f>IFERROR((N24/M24)*100,"")</f>
        <v/>
      </c>
      <c r="Q24" s="60" t="n"/>
      <c r="R24" s="60" t="n"/>
      <c r="S24" s="63">
        <f>IFERROR((Q24/M24)*100,"")</f>
        <v/>
      </c>
      <c r="T24" s="60" t="n"/>
      <c r="U24" s="63">
        <f>IFERROR(((J24+N24)/H24)*100,"")</f>
        <v/>
      </c>
      <c r="V24" s="60" t="n"/>
      <c r="W24" s="60" t="n"/>
      <c r="X24" s="60">
        <f>IF(AND(V24&lt;&gt;"",W24&lt;&gt;""),CONCATENATE(V24,W24),"")</f>
        <v/>
      </c>
      <c r="Y24" s="60">
        <f>IF(AND(U24&gt;=85,S24&gt;=90),"Pass",IF(AND(U24&gt;=80,S24&gt;=85),"Conditional_Pass","Fail"))</f>
        <v/>
      </c>
      <c r="Z24" s="60">
        <f>IF(U24&gt;=85,"Overall &gt;=85% [OK]","Overall &lt;85% [X]") &amp; ", " &amp; IF(S24&gt;=90,"CVSS &gt;=90% [OK]","CVSS &lt;90% [X]")</f>
        <v/>
      </c>
      <c r="AA24" s="60">
        <f>IF(Y24="Pass","None",IF(Y24="Conditional_Pass","Review",IF(OR(V24="A",V24="B"),"Improve","Deprecate")))</f>
        <v/>
      </c>
      <c r="AB24" s="60" t="n"/>
      <c r="AC24" s="60" t="n"/>
      <c r="AD24" s="60" t="n"/>
      <c r="AE24" s="60" t="n"/>
      <c r="AF24" s="60" t="n"/>
      <c r="AG24" s="61" t="n"/>
      <c r="AH24" s="61">
        <f>IF(E24&lt;&gt;"",E24+90,"")</f>
        <v/>
      </c>
    </row>
    <row r="25">
      <c r="A25" s="60" t="n"/>
      <c r="B25" s="60" t="n"/>
      <c r="C25" s="60">
        <f>IFERROR(VLOOKUP(B25,'Source Inventory'!$A$6:$P$55,2,FALSE),"[Not Found]")</f>
        <v/>
      </c>
      <c r="D25" s="60" t="n"/>
      <c r="E25" s="61" t="n"/>
      <c r="F25" s="60" t="n"/>
      <c r="G25" s="60" t="n"/>
      <c r="H25" s="62" t="n"/>
      <c r="I25" s="62" t="n"/>
      <c r="J25" s="60" t="n"/>
      <c r="K25" s="60" t="n"/>
      <c r="L25" s="63">
        <f>IFERROR((J25/I25)*100,"")</f>
        <v/>
      </c>
      <c r="M25" s="62" t="n"/>
      <c r="N25" s="60" t="n"/>
      <c r="O25" s="60" t="n"/>
      <c r="P25" s="63">
        <f>IFERROR((N25/M25)*100,"")</f>
        <v/>
      </c>
      <c r="Q25" s="60" t="n"/>
      <c r="R25" s="60" t="n"/>
      <c r="S25" s="63">
        <f>IFERROR((Q25/M25)*100,"")</f>
        <v/>
      </c>
      <c r="T25" s="60" t="n"/>
      <c r="U25" s="63">
        <f>IFERROR(((J25+N25)/H25)*100,"")</f>
        <v/>
      </c>
      <c r="V25" s="60" t="n"/>
      <c r="W25" s="60" t="n"/>
      <c r="X25" s="60">
        <f>IF(AND(V25&lt;&gt;"",W25&lt;&gt;""),CONCATENATE(V25,W25),"")</f>
        <v/>
      </c>
      <c r="Y25" s="60">
        <f>IF(AND(U25&gt;=85,S25&gt;=90),"Pass",IF(AND(U25&gt;=80,S25&gt;=85),"Conditional_Pass","Fail"))</f>
        <v/>
      </c>
      <c r="Z25" s="60">
        <f>IF(U25&gt;=85,"Overall &gt;=85% [OK]","Overall &lt;85% [X]") &amp; ", " &amp; IF(S25&gt;=90,"CVSS &gt;=90% [OK]","CVSS &lt;90% [X]")</f>
        <v/>
      </c>
      <c r="AA25" s="60">
        <f>IF(Y25="Pass","None",IF(Y25="Conditional_Pass","Review",IF(OR(V25="A",V25="B"),"Improve","Deprecate")))</f>
        <v/>
      </c>
      <c r="AB25" s="60" t="n"/>
      <c r="AC25" s="60" t="n"/>
      <c r="AD25" s="60" t="n"/>
      <c r="AE25" s="60" t="n"/>
      <c r="AF25" s="60" t="n"/>
      <c r="AG25" s="61" t="n"/>
      <c r="AH25" s="61">
        <f>IF(E25&lt;&gt;"",E25+90,"")</f>
        <v/>
      </c>
    </row>
    <row r="26">
      <c r="A26" s="60" t="n"/>
      <c r="B26" s="60" t="n"/>
      <c r="C26" s="60">
        <f>IFERROR(VLOOKUP(B26,'Source Inventory'!$A$6:$P$55,2,FALSE),"[Not Found]")</f>
        <v/>
      </c>
      <c r="D26" s="60" t="n"/>
      <c r="E26" s="61" t="n"/>
      <c r="F26" s="60" t="n"/>
      <c r="G26" s="60" t="n"/>
      <c r="H26" s="62" t="n"/>
      <c r="I26" s="62" t="n"/>
      <c r="J26" s="60" t="n"/>
      <c r="K26" s="60" t="n"/>
      <c r="L26" s="63">
        <f>IFERROR((J26/I26)*100,"")</f>
        <v/>
      </c>
      <c r="M26" s="62" t="n"/>
      <c r="N26" s="60" t="n"/>
      <c r="O26" s="60" t="n"/>
      <c r="P26" s="63">
        <f>IFERROR((N26/M26)*100,"")</f>
        <v/>
      </c>
      <c r="Q26" s="60" t="n"/>
      <c r="R26" s="60" t="n"/>
      <c r="S26" s="63">
        <f>IFERROR((Q26/M26)*100,"")</f>
        <v/>
      </c>
      <c r="T26" s="60" t="n"/>
      <c r="U26" s="63">
        <f>IFERROR(((J26+N26)/H26)*100,"")</f>
        <v/>
      </c>
      <c r="V26" s="60" t="n"/>
      <c r="W26" s="60" t="n"/>
      <c r="X26" s="60">
        <f>IF(AND(V26&lt;&gt;"",W26&lt;&gt;""),CONCATENATE(V26,W26),"")</f>
        <v/>
      </c>
      <c r="Y26" s="60">
        <f>IF(AND(U26&gt;=85,S26&gt;=90),"Pass",IF(AND(U26&gt;=80,S26&gt;=85),"Conditional_Pass","Fail"))</f>
        <v/>
      </c>
      <c r="Z26" s="60">
        <f>IF(U26&gt;=85,"Overall &gt;=85% [OK]","Overall &lt;85% [X]") &amp; ", " &amp; IF(S26&gt;=90,"CVSS &gt;=90% [OK]","CVSS &lt;90% [X]")</f>
        <v/>
      </c>
      <c r="AA26" s="60">
        <f>IF(Y26="Pass","None",IF(Y26="Conditional_Pass","Review",IF(OR(V26="A",V26="B"),"Improve","Deprecate")))</f>
        <v/>
      </c>
      <c r="AB26" s="60" t="n"/>
      <c r="AC26" s="60" t="n"/>
      <c r="AD26" s="60" t="n"/>
      <c r="AE26" s="60" t="n"/>
      <c r="AF26" s="60" t="n"/>
      <c r="AG26" s="61" t="n"/>
      <c r="AH26" s="61">
        <f>IF(E26&lt;&gt;"",E26+90,"")</f>
        <v/>
      </c>
    </row>
    <row r="27">
      <c r="A27" s="60" t="n"/>
      <c r="B27" s="60" t="n"/>
      <c r="C27" s="60">
        <f>IFERROR(VLOOKUP(B27,'Source Inventory'!$A$6:$P$55,2,FALSE),"[Not Found]")</f>
        <v/>
      </c>
      <c r="D27" s="60" t="n"/>
      <c r="E27" s="61" t="n"/>
      <c r="F27" s="60" t="n"/>
      <c r="G27" s="60" t="n"/>
      <c r="H27" s="62" t="n"/>
      <c r="I27" s="62" t="n"/>
      <c r="J27" s="60" t="n"/>
      <c r="K27" s="60" t="n"/>
      <c r="L27" s="63">
        <f>IFERROR((J27/I27)*100,"")</f>
        <v/>
      </c>
      <c r="M27" s="62" t="n"/>
      <c r="N27" s="60" t="n"/>
      <c r="O27" s="60" t="n"/>
      <c r="P27" s="63">
        <f>IFERROR((N27/M27)*100,"")</f>
        <v/>
      </c>
      <c r="Q27" s="60" t="n"/>
      <c r="R27" s="60" t="n"/>
      <c r="S27" s="63">
        <f>IFERROR((Q27/M27)*100,"")</f>
        <v/>
      </c>
      <c r="T27" s="60" t="n"/>
      <c r="U27" s="63">
        <f>IFERROR(((J27+N27)/H27)*100,"")</f>
        <v/>
      </c>
      <c r="V27" s="60" t="n"/>
      <c r="W27" s="60" t="n"/>
      <c r="X27" s="60">
        <f>IF(AND(V27&lt;&gt;"",W27&lt;&gt;""),CONCATENATE(V27,W27),"")</f>
        <v/>
      </c>
      <c r="Y27" s="60">
        <f>IF(AND(U27&gt;=85,S27&gt;=90),"Pass",IF(AND(U27&gt;=80,S27&gt;=85),"Conditional_Pass","Fail"))</f>
        <v/>
      </c>
      <c r="Z27" s="60">
        <f>IF(U27&gt;=85,"Overall &gt;=85% [OK]","Overall &lt;85% [X]") &amp; ", " &amp; IF(S27&gt;=90,"CVSS &gt;=90% [OK]","CVSS &lt;90% [X]")</f>
        <v/>
      </c>
      <c r="AA27" s="60">
        <f>IF(Y27="Pass","None",IF(Y27="Conditional_Pass","Review",IF(OR(V27="A",V27="B"),"Improve","Deprecate")))</f>
        <v/>
      </c>
      <c r="AB27" s="60" t="n"/>
      <c r="AC27" s="60" t="n"/>
      <c r="AD27" s="60" t="n"/>
      <c r="AE27" s="60" t="n"/>
      <c r="AF27" s="60" t="n"/>
      <c r="AG27" s="61" t="n"/>
      <c r="AH27" s="61">
        <f>IF(E27&lt;&gt;"",E27+90,"")</f>
        <v/>
      </c>
    </row>
    <row r="28">
      <c r="A28" s="60" t="n"/>
      <c r="B28" s="60" t="n"/>
      <c r="C28" s="60">
        <f>IFERROR(VLOOKUP(B28,'Source Inventory'!$A$6:$P$55,2,FALSE),"[Not Found]")</f>
        <v/>
      </c>
      <c r="D28" s="60" t="n"/>
      <c r="E28" s="61" t="n"/>
      <c r="F28" s="60" t="n"/>
      <c r="G28" s="60" t="n"/>
      <c r="H28" s="62" t="n"/>
      <c r="I28" s="62" t="n"/>
      <c r="J28" s="60" t="n"/>
      <c r="K28" s="60" t="n"/>
      <c r="L28" s="63">
        <f>IFERROR((J28/I28)*100,"")</f>
        <v/>
      </c>
      <c r="M28" s="62" t="n"/>
      <c r="N28" s="60" t="n"/>
      <c r="O28" s="60" t="n"/>
      <c r="P28" s="63">
        <f>IFERROR((N28/M28)*100,"")</f>
        <v/>
      </c>
      <c r="Q28" s="60" t="n"/>
      <c r="R28" s="60" t="n"/>
      <c r="S28" s="63">
        <f>IFERROR((Q28/M28)*100,"")</f>
        <v/>
      </c>
      <c r="T28" s="60" t="n"/>
      <c r="U28" s="63">
        <f>IFERROR(((J28+N28)/H28)*100,"")</f>
        <v/>
      </c>
      <c r="V28" s="60" t="n"/>
      <c r="W28" s="60" t="n"/>
      <c r="X28" s="60">
        <f>IF(AND(V28&lt;&gt;"",W28&lt;&gt;""),CONCATENATE(V28,W28),"")</f>
        <v/>
      </c>
      <c r="Y28" s="60">
        <f>IF(AND(U28&gt;=85,S28&gt;=90),"Pass",IF(AND(U28&gt;=80,S28&gt;=85),"Conditional_Pass","Fail"))</f>
        <v/>
      </c>
      <c r="Z28" s="60">
        <f>IF(U28&gt;=85,"Overall &gt;=85% [OK]","Overall &lt;85% [X]") &amp; ", " &amp; IF(S28&gt;=90,"CVSS &gt;=90% [OK]","CVSS &lt;90% [X]")</f>
        <v/>
      </c>
      <c r="AA28" s="60">
        <f>IF(Y28="Pass","None",IF(Y28="Conditional_Pass","Review",IF(OR(V28="A",V28="B"),"Improve","Deprecate")))</f>
        <v/>
      </c>
      <c r="AB28" s="60" t="n"/>
      <c r="AC28" s="60" t="n"/>
      <c r="AD28" s="60" t="n"/>
      <c r="AE28" s="60" t="n"/>
      <c r="AF28" s="60" t="n"/>
      <c r="AG28" s="61" t="n"/>
      <c r="AH28" s="61">
        <f>IF(E28&lt;&gt;"",E28+90,"")</f>
        <v/>
      </c>
    </row>
    <row r="29">
      <c r="A29" s="60" t="n"/>
      <c r="B29" s="60" t="n"/>
      <c r="C29" s="60">
        <f>IFERROR(VLOOKUP(B29,'Source Inventory'!$A$6:$P$55,2,FALSE),"[Not Found]")</f>
        <v/>
      </c>
      <c r="D29" s="60" t="n"/>
      <c r="E29" s="61" t="n"/>
      <c r="F29" s="60" t="n"/>
      <c r="G29" s="60" t="n"/>
      <c r="H29" s="62" t="n"/>
      <c r="I29" s="62" t="n"/>
      <c r="J29" s="60" t="n"/>
      <c r="K29" s="60" t="n"/>
      <c r="L29" s="63">
        <f>IFERROR((J29/I29)*100,"")</f>
        <v/>
      </c>
      <c r="M29" s="62" t="n"/>
      <c r="N29" s="60" t="n"/>
      <c r="O29" s="60" t="n"/>
      <c r="P29" s="63">
        <f>IFERROR((N29/M29)*100,"")</f>
        <v/>
      </c>
      <c r="Q29" s="60" t="n"/>
      <c r="R29" s="60" t="n"/>
      <c r="S29" s="63">
        <f>IFERROR((Q29/M29)*100,"")</f>
        <v/>
      </c>
      <c r="T29" s="60" t="n"/>
      <c r="U29" s="63">
        <f>IFERROR(((J29+N29)/H29)*100,"")</f>
        <v/>
      </c>
      <c r="V29" s="60" t="n"/>
      <c r="W29" s="60" t="n"/>
      <c r="X29" s="60">
        <f>IF(AND(V29&lt;&gt;"",W29&lt;&gt;""),CONCATENATE(V29,W29),"")</f>
        <v/>
      </c>
      <c r="Y29" s="60">
        <f>IF(AND(U29&gt;=85,S29&gt;=90),"Pass",IF(AND(U29&gt;=80,S29&gt;=85),"Conditional_Pass","Fail"))</f>
        <v/>
      </c>
      <c r="Z29" s="60">
        <f>IF(U29&gt;=85,"Overall &gt;=85% [OK]","Overall &lt;85% [X]") &amp; ", " &amp; IF(S29&gt;=90,"CVSS &gt;=90% [OK]","CVSS &lt;90% [X]")</f>
        <v/>
      </c>
      <c r="AA29" s="60">
        <f>IF(Y29="Pass","None",IF(Y29="Conditional_Pass","Review",IF(OR(V29="A",V29="B"),"Improve","Deprecate")))</f>
        <v/>
      </c>
      <c r="AB29" s="60" t="n"/>
      <c r="AC29" s="60" t="n"/>
      <c r="AD29" s="60" t="n"/>
      <c r="AE29" s="60" t="n"/>
      <c r="AF29" s="60" t="n"/>
      <c r="AG29" s="61" t="n"/>
      <c r="AH29" s="61">
        <f>IF(E29&lt;&gt;"",E29+90,"")</f>
        <v/>
      </c>
    </row>
    <row r="30">
      <c r="A30" s="60" t="n"/>
      <c r="B30" s="60" t="n"/>
      <c r="C30" s="60">
        <f>IFERROR(VLOOKUP(B30,'Source Inventory'!$A$6:$P$55,2,FALSE),"[Not Found]")</f>
        <v/>
      </c>
      <c r="D30" s="60" t="n"/>
      <c r="E30" s="61" t="n"/>
      <c r="F30" s="60" t="n"/>
      <c r="G30" s="60" t="n"/>
      <c r="H30" s="62" t="n"/>
      <c r="I30" s="62" t="n"/>
      <c r="J30" s="60" t="n"/>
      <c r="K30" s="60" t="n"/>
      <c r="L30" s="63">
        <f>IFERROR((J30/I30)*100,"")</f>
        <v/>
      </c>
      <c r="M30" s="62" t="n"/>
      <c r="N30" s="60" t="n"/>
      <c r="O30" s="60" t="n"/>
      <c r="P30" s="63">
        <f>IFERROR((N30/M30)*100,"")</f>
        <v/>
      </c>
      <c r="Q30" s="60" t="n"/>
      <c r="R30" s="60" t="n"/>
      <c r="S30" s="63">
        <f>IFERROR((Q30/M30)*100,"")</f>
        <v/>
      </c>
      <c r="T30" s="60" t="n"/>
      <c r="U30" s="63">
        <f>IFERROR(((J30+N30)/H30)*100,"")</f>
        <v/>
      </c>
      <c r="V30" s="60" t="n"/>
      <c r="W30" s="60" t="n"/>
      <c r="X30" s="60">
        <f>IF(AND(V30&lt;&gt;"",W30&lt;&gt;""),CONCATENATE(V30,W30),"")</f>
        <v/>
      </c>
      <c r="Y30" s="60">
        <f>IF(AND(U30&gt;=85,S30&gt;=90),"Pass",IF(AND(U30&gt;=80,S30&gt;=85),"Conditional_Pass","Fail"))</f>
        <v/>
      </c>
      <c r="Z30" s="60">
        <f>IF(U30&gt;=85,"Overall &gt;=85% [OK]","Overall &lt;85% [X]") &amp; ", " &amp; IF(S30&gt;=90,"CVSS &gt;=90% [OK]","CVSS &lt;90% [X]")</f>
        <v/>
      </c>
      <c r="AA30" s="60">
        <f>IF(Y30="Pass","None",IF(Y30="Conditional_Pass","Review",IF(OR(V30="A",V30="B"),"Improve","Deprecate")))</f>
        <v/>
      </c>
      <c r="AB30" s="60" t="n"/>
      <c r="AC30" s="60" t="n"/>
      <c r="AD30" s="60" t="n"/>
      <c r="AE30" s="60" t="n"/>
      <c r="AF30" s="60" t="n"/>
      <c r="AG30" s="61" t="n"/>
      <c r="AH30" s="61">
        <f>IF(E30&lt;&gt;"",E30+90,"")</f>
        <v/>
      </c>
    </row>
    <row r="31">
      <c r="A31" s="60" t="n"/>
      <c r="B31" s="60" t="n"/>
      <c r="C31" s="60">
        <f>IFERROR(VLOOKUP(B31,'Source Inventory'!$A$6:$P$55,2,FALSE),"[Not Found]")</f>
        <v/>
      </c>
      <c r="D31" s="60" t="n"/>
      <c r="E31" s="61" t="n"/>
      <c r="F31" s="60" t="n"/>
      <c r="G31" s="60" t="n"/>
      <c r="H31" s="62" t="n"/>
      <c r="I31" s="62" t="n"/>
      <c r="J31" s="60" t="n"/>
      <c r="K31" s="60" t="n"/>
      <c r="L31" s="63">
        <f>IFERROR((J31/I31)*100,"")</f>
        <v/>
      </c>
      <c r="M31" s="62" t="n"/>
      <c r="N31" s="60" t="n"/>
      <c r="O31" s="60" t="n"/>
      <c r="P31" s="63">
        <f>IFERROR((N31/M31)*100,"")</f>
        <v/>
      </c>
      <c r="Q31" s="60" t="n"/>
      <c r="R31" s="60" t="n"/>
      <c r="S31" s="63">
        <f>IFERROR((Q31/M31)*100,"")</f>
        <v/>
      </c>
      <c r="T31" s="60" t="n"/>
      <c r="U31" s="63">
        <f>IFERROR(((J31+N31)/H31)*100,"")</f>
        <v/>
      </c>
      <c r="V31" s="60" t="n"/>
      <c r="W31" s="60" t="n"/>
      <c r="X31" s="60">
        <f>IF(AND(V31&lt;&gt;"",W31&lt;&gt;""),CONCATENATE(V31,W31),"")</f>
        <v/>
      </c>
      <c r="Y31" s="60">
        <f>IF(AND(U31&gt;=85,S31&gt;=90),"Pass",IF(AND(U31&gt;=80,S31&gt;=85),"Conditional_Pass","Fail"))</f>
        <v/>
      </c>
      <c r="Z31" s="60">
        <f>IF(U31&gt;=85,"Overall &gt;=85% [OK]","Overall &lt;85% [X]") &amp; ", " &amp; IF(S31&gt;=90,"CVSS &gt;=90% [OK]","CVSS &lt;90% [X]")</f>
        <v/>
      </c>
      <c r="AA31" s="60">
        <f>IF(Y31="Pass","None",IF(Y31="Conditional_Pass","Review",IF(OR(V31="A",V31="B"),"Improve","Deprecate")))</f>
        <v/>
      </c>
      <c r="AB31" s="60" t="n"/>
      <c r="AC31" s="60" t="n"/>
      <c r="AD31" s="60" t="n"/>
      <c r="AE31" s="60" t="n"/>
      <c r="AF31" s="60" t="n"/>
      <c r="AG31" s="61" t="n"/>
      <c r="AH31" s="61">
        <f>IF(E31&lt;&gt;"",E31+90,"")</f>
        <v/>
      </c>
    </row>
    <row r="32">
      <c r="A32" s="60" t="n"/>
      <c r="B32" s="60" t="n"/>
      <c r="C32" s="60">
        <f>IFERROR(VLOOKUP(B32,'Source Inventory'!$A$6:$P$55,2,FALSE),"[Not Found]")</f>
        <v/>
      </c>
      <c r="D32" s="60" t="n"/>
      <c r="E32" s="61" t="n"/>
      <c r="F32" s="60" t="n"/>
      <c r="G32" s="60" t="n"/>
      <c r="H32" s="62" t="n"/>
      <c r="I32" s="62" t="n"/>
      <c r="J32" s="60" t="n"/>
      <c r="K32" s="60" t="n"/>
      <c r="L32" s="63">
        <f>IFERROR((J32/I32)*100,"")</f>
        <v/>
      </c>
      <c r="M32" s="62" t="n"/>
      <c r="N32" s="60" t="n"/>
      <c r="O32" s="60" t="n"/>
      <c r="P32" s="63">
        <f>IFERROR((N32/M32)*100,"")</f>
        <v/>
      </c>
      <c r="Q32" s="60" t="n"/>
      <c r="R32" s="60" t="n"/>
      <c r="S32" s="63">
        <f>IFERROR((Q32/M32)*100,"")</f>
        <v/>
      </c>
      <c r="T32" s="60" t="n"/>
      <c r="U32" s="63">
        <f>IFERROR(((J32+N32)/H32)*100,"")</f>
        <v/>
      </c>
      <c r="V32" s="60" t="n"/>
      <c r="W32" s="60" t="n"/>
      <c r="X32" s="60">
        <f>IF(AND(V32&lt;&gt;"",W32&lt;&gt;""),CONCATENATE(V32,W32),"")</f>
        <v/>
      </c>
      <c r="Y32" s="60">
        <f>IF(AND(U32&gt;=85,S32&gt;=90),"Pass",IF(AND(U32&gt;=80,S32&gt;=85),"Conditional_Pass","Fail"))</f>
        <v/>
      </c>
      <c r="Z32" s="60">
        <f>IF(U32&gt;=85,"Overall &gt;=85% [OK]","Overall &lt;85% [X]") &amp; ", " &amp; IF(S32&gt;=90,"CVSS &gt;=90% [OK]","CVSS &lt;90% [X]")</f>
        <v/>
      </c>
      <c r="AA32" s="60">
        <f>IF(Y32="Pass","None",IF(Y32="Conditional_Pass","Review",IF(OR(V32="A",V32="B"),"Improve","Deprecate")))</f>
        <v/>
      </c>
      <c r="AB32" s="60" t="n"/>
      <c r="AC32" s="60" t="n"/>
      <c r="AD32" s="60" t="n"/>
      <c r="AE32" s="60" t="n"/>
      <c r="AF32" s="60" t="n"/>
      <c r="AG32" s="61" t="n"/>
      <c r="AH32" s="61">
        <f>IF(E32&lt;&gt;"",E32+90,"")</f>
        <v/>
      </c>
    </row>
    <row r="33">
      <c r="A33" s="60" t="n"/>
      <c r="B33" s="60" t="n"/>
      <c r="C33" s="60">
        <f>IFERROR(VLOOKUP(B33,'Source Inventory'!$A$6:$P$55,2,FALSE),"[Not Found]")</f>
        <v/>
      </c>
      <c r="D33" s="60" t="n"/>
      <c r="E33" s="61" t="n"/>
      <c r="F33" s="60" t="n"/>
      <c r="G33" s="60" t="n"/>
      <c r="H33" s="62" t="n"/>
      <c r="I33" s="62" t="n"/>
      <c r="J33" s="60" t="n"/>
      <c r="K33" s="60" t="n"/>
      <c r="L33" s="63">
        <f>IFERROR((J33/I33)*100,"")</f>
        <v/>
      </c>
      <c r="M33" s="62" t="n"/>
      <c r="N33" s="60" t="n"/>
      <c r="O33" s="60" t="n"/>
      <c r="P33" s="63">
        <f>IFERROR((N33/M33)*100,"")</f>
        <v/>
      </c>
      <c r="Q33" s="60" t="n"/>
      <c r="R33" s="60" t="n"/>
      <c r="S33" s="63">
        <f>IFERROR((Q33/M33)*100,"")</f>
        <v/>
      </c>
      <c r="T33" s="60" t="n"/>
      <c r="U33" s="63">
        <f>IFERROR(((J33+N33)/H33)*100,"")</f>
        <v/>
      </c>
      <c r="V33" s="60" t="n"/>
      <c r="W33" s="60" t="n"/>
      <c r="X33" s="60">
        <f>IF(AND(V33&lt;&gt;"",W33&lt;&gt;""),CONCATENATE(V33,W33),"")</f>
        <v/>
      </c>
      <c r="Y33" s="60">
        <f>IF(AND(U33&gt;=85,S33&gt;=90),"Pass",IF(AND(U33&gt;=80,S33&gt;=85),"Conditional_Pass","Fail"))</f>
        <v/>
      </c>
      <c r="Z33" s="60">
        <f>IF(U33&gt;=85,"Overall &gt;=85% [OK]","Overall &lt;85% [X]") &amp; ", " &amp; IF(S33&gt;=90,"CVSS &gt;=90% [OK]","CVSS &lt;90% [X]")</f>
        <v/>
      </c>
      <c r="AA33" s="60">
        <f>IF(Y33="Pass","None",IF(Y33="Conditional_Pass","Review",IF(OR(V33="A",V33="B"),"Improve","Deprecate")))</f>
        <v/>
      </c>
      <c r="AB33" s="60" t="n"/>
      <c r="AC33" s="60" t="n"/>
      <c r="AD33" s="60" t="n"/>
      <c r="AE33" s="60" t="n"/>
      <c r="AF33" s="60" t="n"/>
      <c r="AG33" s="61" t="n"/>
      <c r="AH33" s="61">
        <f>IF(E33&lt;&gt;"",E33+90,"")</f>
        <v/>
      </c>
    </row>
    <row r="34">
      <c r="A34" s="60" t="n"/>
      <c r="B34" s="60" t="n"/>
      <c r="C34" s="60">
        <f>IFERROR(VLOOKUP(B34,'Source Inventory'!$A$6:$P$55,2,FALSE),"[Not Found]")</f>
        <v/>
      </c>
      <c r="D34" s="60" t="n"/>
      <c r="E34" s="61" t="n"/>
      <c r="F34" s="60" t="n"/>
      <c r="G34" s="60" t="n"/>
      <c r="H34" s="62" t="n"/>
      <c r="I34" s="62" t="n"/>
      <c r="J34" s="60" t="n"/>
      <c r="K34" s="60" t="n"/>
      <c r="L34" s="63">
        <f>IFERROR((J34/I34)*100,"")</f>
        <v/>
      </c>
      <c r="M34" s="62" t="n"/>
      <c r="N34" s="60" t="n"/>
      <c r="O34" s="60" t="n"/>
      <c r="P34" s="63">
        <f>IFERROR((N34/M34)*100,"")</f>
        <v/>
      </c>
      <c r="Q34" s="60" t="n"/>
      <c r="R34" s="60" t="n"/>
      <c r="S34" s="63">
        <f>IFERROR((Q34/M34)*100,"")</f>
        <v/>
      </c>
      <c r="T34" s="60" t="n"/>
      <c r="U34" s="63">
        <f>IFERROR(((J34+N34)/H34)*100,"")</f>
        <v/>
      </c>
      <c r="V34" s="60" t="n"/>
      <c r="W34" s="60" t="n"/>
      <c r="X34" s="60">
        <f>IF(AND(V34&lt;&gt;"",W34&lt;&gt;""),CONCATENATE(V34,W34),"")</f>
        <v/>
      </c>
      <c r="Y34" s="60">
        <f>IF(AND(U34&gt;=85,S34&gt;=90),"Pass",IF(AND(U34&gt;=80,S34&gt;=85),"Conditional_Pass","Fail"))</f>
        <v/>
      </c>
      <c r="Z34" s="60">
        <f>IF(U34&gt;=85,"Overall &gt;=85% [OK]","Overall &lt;85% [X]") &amp; ", " &amp; IF(S34&gt;=90,"CVSS &gt;=90% [OK]","CVSS &lt;90% [X]")</f>
        <v/>
      </c>
      <c r="AA34" s="60">
        <f>IF(Y34="Pass","None",IF(Y34="Conditional_Pass","Review",IF(OR(V34="A",V34="B"),"Improve","Deprecate")))</f>
        <v/>
      </c>
      <c r="AB34" s="60" t="n"/>
      <c r="AC34" s="60" t="n"/>
      <c r="AD34" s="60" t="n"/>
      <c r="AE34" s="60" t="n"/>
      <c r="AF34" s="60" t="n"/>
      <c r="AG34" s="61" t="n"/>
      <c r="AH34" s="61">
        <f>IF(E34&lt;&gt;"",E34+90,"")</f>
        <v/>
      </c>
    </row>
    <row r="35">
      <c r="A35" s="60" t="n"/>
      <c r="B35" s="60" t="n"/>
      <c r="C35" s="60">
        <f>IFERROR(VLOOKUP(B35,'Source Inventory'!$A$6:$P$55,2,FALSE),"[Not Found]")</f>
        <v/>
      </c>
      <c r="D35" s="60" t="n"/>
      <c r="E35" s="61" t="n"/>
      <c r="F35" s="60" t="n"/>
      <c r="G35" s="60" t="n"/>
      <c r="H35" s="62" t="n"/>
      <c r="I35" s="62" t="n"/>
      <c r="J35" s="60" t="n"/>
      <c r="K35" s="60" t="n"/>
      <c r="L35" s="63">
        <f>IFERROR((J35/I35)*100,"")</f>
        <v/>
      </c>
      <c r="M35" s="62" t="n"/>
      <c r="N35" s="60" t="n"/>
      <c r="O35" s="60" t="n"/>
      <c r="P35" s="63">
        <f>IFERROR((N35/M35)*100,"")</f>
        <v/>
      </c>
      <c r="Q35" s="60" t="n"/>
      <c r="R35" s="60" t="n"/>
      <c r="S35" s="63">
        <f>IFERROR((Q35/M35)*100,"")</f>
        <v/>
      </c>
      <c r="T35" s="60" t="n"/>
      <c r="U35" s="63">
        <f>IFERROR(((J35+N35)/H35)*100,"")</f>
        <v/>
      </c>
      <c r="V35" s="60" t="n"/>
      <c r="W35" s="60" t="n"/>
      <c r="X35" s="60">
        <f>IF(AND(V35&lt;&gt;"",W35&lt;&gt;""),CONCATENATE(V35,W35),"")</f>
        <v/>
      </c>
      <c r="Y35" s="60">
        <f>IF(AND(U35&gt;=85,S35&gt;=90),"Pass",IF(AND(U35&gt;=80,S35&gt;=85),"Conditional_Pass","Fail"))</f>
        <v/>
      </c>
      <c r="Z35" s="60">
        <f>IF(U35&gt;=85,"Overall &gt;=85% [OK]","Overall &lt;85% [X]") &amp; ", " &amp; IF(S35&gt;=90,"CVSS &gt;=90% [OK]","CVSS &lt;90% [X]")</f>
        <v/>
      </c>
      <c r="AA35" s="60">
        <f>IF(Y35="Pass","None",IF(Y35="Conditional_Pass","Review",IF(OR(V35="A",V35="B"),"Improve","Deprecate")))</f>
        <v/>
      </c>
      <c r="AB35" s="60" t="n"/>
      <c r="AC35" s="60" t="n"/>
      <c r="AD35" s="60" t="n"/>
      <c r="AE35" s="60" t="n"/>
      <c r="AF35" s="60" t="n"/>
      <c r="AG35" s="61" t="n"/>
      <c r="AH35" s="61">
        <f>IF(E35&lt;&gt;"",E35+90,"")</f>
        <v/>
      </c>
    </row>
    <row r="36">
      <c r="A36" s="60" t="n"/>
      <c r="B36" s="60" t="n"/>
      <c r="C36" s="60">
        <f>IFERROR(VLOOKUP(B36,'Source Inventory'!$A$6:$P$55,2,FALSE),"[Not Found]")</f>
        <v/>
      </c>
      <c r="D36" s="60" t="n"/>
      <c r="E36" s="61" t="n"/>
      <c r="F36" s="60" t="n"/>
      <c r="G36" s="60" t="n"/>
      <c r="H36" s="62" t="n"/>
      <c r="I36" s="62" t="n"/>
      <c r="J36" s="60" t="n"/>
      <c r="K36" s="60" t="n"/>
      <c r="L36" s="63">
        <f>IFERROR((J36/I36)*100,"")</f>
        <v/>
      </c>
      <c r="M36" s="62" t="n"/>
      <c r="N36" s="60" t="n"/>
      <c r="O36" s="60" t="n"/>
      <c r="P36" s="63">
        <f>IFERROR((N36/M36)*100,"")</f>
        <v/>
      </c>
      <c r="Q36" s="60" t="n"/>
      <c r="R36" s="60" t="n"/>
      <c r="S36" s="63">
        <f>IFERROR((Q36/M36)*100,"")</f>
        <v/>
      </c>
      <c r="T36" s="60" t="n"/>
      <c r="U36" s="63">
        <f>IFERROR(((J36+N36)/H36)*100,"")</f>
        <v/>
      </c>
      <c r="V36" s="60" t="n"/>
      <c r="W36" s="60" t="n"/>
      <c r="X36" s="60">
        <f>IF(AND(V36&lt;&gt;"",W36&lt;&gt;""),CONCATENATE(V36,W36),"")</f>
        <v/>
      </c>
      <c r="Y36" s="60">
        <f>IF(AND(U36&gt;=85,S36&gt;=90),"Pass",IF(AND(U36&gt;=80,S36&gt;=85),"Conditional_Pass","Fail"))</f>
        <v/>
      </c>
      <c r="Z36" s="60">
        <f>IF(U36&gt;=85,"Overall &gt;=85% [OK]","Overall &lt;85% [X]") &amp; ", " &amp; IF(S36&gt;=90,"CVSS &gt;=90% [OK]","CVSS &lt;90% [X]")</f>
        <v/>
      </c>
      <c r="AA36" s="60">
        <f>IF(Y36="Pass","None",IF(Y36="Conditional_Pass","Review",IF(OR(V36="A",V36="B"),"Improve","Deprecate")))</f>
        <v/>
      </c>
      <c r="AB36" s="60" t="n"/>
      <c r="AC36" s="60" t="n"/>
      <c r="AD36" s="60" t="n"/>
      <c r="AE36" s="60" t="n"/>
      <c r="AF36" s="60" t="n"/>
      <c r="AG36" s="61" t="n"/>
      <c r="AH36" s="61">
        <f>IF(E36&lt;&gt;"",E36+90,"")</f>
        <v/>
      </c>
    </row>
    <row r="37">
      <c r="A37" s="60" t="n"/>
      <c r="B37" s="60" t="n"/>
      <c r="C37" s="60">
        <f>IFERROR(VLOOKUP(B37,'Source Inventory'!$A$6:$P$55,2,FALSE),"[Not Found]")</f>
        <v/>
      </c>
      <c r="D37" s="60" t="n"/>
      <c r="E37" s="61" t="n"/>
      <c r="F37" s="60" t="n"/>
      <c r="G37" s="60" t="n"/>
      <c r="H37" s="62" t="n"/>
      <c r="I37" s="62" t="n"/>
      <c r="J37" s="60" t="n"/>
      <c r="K37" s="60" t="n"/>
      <c r="L37" s="63">
        <f>IFERROR((J37/I37)*100,"")</f>
        <v/>
      </c>
      <c r="M37" s="62" t="n"/>
      <c r="N37" s="60" t="n"/>
      <c r="O37" s="60" t="n"/>
      <c r="P37" s="63">
        <f>IFERROR((N37/M37)*100,"")</f>
        <v/>
      </c>
      <c r="Q37" s="60" t="n"/>
      <c r="R37" s="60" t="n"/>
      <c r="S37" s="63">
        <f>IFERROR((Q37/M37)*100,"")</f>
        <v/>
      </c>
      <c r="T37" s="60" t="n"/>
      <c r="U37" s="63">
        <f>IFERROR(((J37+N37)/H37)*100,"")</f>
        <v/>
      </c>
      <c r="V37" s="60" t="n"/>
      <c r="W37" s="60" t="n"/>
      <c r="X37" s="60">
        <f>IF(AND(V37&lt;&gt;"",W37&lt;&gt;""),CONCATENATE(V37,W37),"")</f>
        <v/>
      </c>
      <c r="Y37" s="60">
        <f>IF(AND(U37&gt;=85,S37&gt;=90),"Pass",IF(AND(U37&gt;=80,S37&gt;=85),"Conditional_Pass","Fail"))</f>
        <v/>
      </c>
      <c r="Z37" s="60">
        <f>IF(U37&gt;=85,"Overall &gt;=85% [OK]","Overall &lt;85% [X]") &amp; ", " &amp; IF(S37&gt;=90,"CVSS &gt;=90% [OK]","CVSS &lt;90% [X]")</f>
        <v/>
      </c>
      <c r="AA37" s="60">
        <f>IF(Y37="Pass","None",IF(Y37="Conditional_Pass","Review",IF(OR(V37="A",V37="B"),"Improve","Deprecate")))</f>
        <v/>
      </c>
      <c r="AB37" s="60" t="n"/>
      <c r="AC37" s="60" t="n"/>
      <c r="AD37" s="60" t="n"/>
      <c r="AE37" s="60" t="n"/>
      <c r="AF37" s="60" t="n"/>
      <c r="AG37" s="61" t="n"/>
      <c r="AH37" s="61">
        <f>IF(E37&lt;&gt;"",E37+90,"")</f>
        <v/>
      </c>
    </row>
    <row r="38">
      <c r="A38" s="60" t="n"/>
      <c r="B38" s="60" t="n"/>
      <c r="C38" s="60">
        <f>IFERROR(VLOOKUP(B38,'Source Inventory'!$A$6:$P$55,2,FALSE),"[Not Found]")</f>
        <v/>
      </c>
      <c r="D38" s="60" t="n"/>
      <c r="E38" s="61" t="n"/>
      <c r="F38" s="60" t="n"/>
      <c r="G38" s="60" t="n"/>
      <c r="H38" s="62" t="n"/>
      <c r="I38" s="62" t="n"/>
      <c r="J38" s="60" t="n"/>
      <c r="K38" s="60" t="n"/>
      <c r="L38" s="63">
        <f>IFERROR((J38/I38)*100,"")</f>
        <v/>
      </c>
      <c r="M38" s="62" t="n"/>
      <c r="N38" s="60" t="n"/>
      <c r="O38" s="60" t="n"/>
      <c r="P38" s="63">
        <f>IFERROR((N38/M38)*100,"")</f>
        <v/>
      </c>
      <c r="Q38" s="60" t="n"/>
      <c r="R38" s="60" t="n"/>
      <c r="S38" s="63">
        <f>IFERROR((Q38/M38)*100,"")</f>
        <v/>
      </c>
      <c r="T38" s="60" t="n"/>
      <c r="U38" s="63">
        <f>IFERROR(((J38+N38)/H38)*100,"")</f>
        <v/>
      </c>
      <c r="V38" s="60" t="n"/>
      <c r="W38" s="60" t="n"/>
      <c r="X38" s="60">
        <f>IF(AND(V38&lt;&gt;"",W38&lt;&gt;""),CONCATENATE(V38,W38),"")</f>
        <v/>
      </c>
      <c r="Y38" s="60">
        <f>IF(AND(U38&gt;=85,S38&gt;=90),"Pass",IF(AND(U38&gt;=80,S38&gt;=85),"Conditional_Pass","Fail"))</f>
        <v/>
      </c>
      <c r="Z38" s="60">
        <f>IF(U38&gt;=85,"Overall &gt;=85% [OK]","Overall &lt;85% [X]") &amp; ", " &amp; IF(S38&gt;=90,"CVSS &gt;=90% [OK]","CVSS &lt;90% [X]")</f>
        <v/>
      </c>
      <c r="AA38" s="60">
        <f>IF(Y38="Pass","None",IF(Y38="Conditional_Pass","Review",IF(OR(V38="A",V38="B"),"Improve","Deprecate")))</f>
        <v/>
      </c>
      <c r="AB38" s="60" t="n"/>
      <c r="AC38" s="60" t="n"/>
      <c r="AD38" s="60" t="n"/>
      <c r="AE38" s="60" t="n"/>
      <c r="AF38" s="60" t="n"/>
      <c r="AG38" s="61" t="n"/>
      <c r="AH38" s="61">
        <f>IF(E38&lt;&gt;"",E38+90,"")</f>
        <v/>
      </c>
    </row>
    <row r="39">
      <c r="A39" s="60" t="n"/>
      <c r="B39" s="60" t="n"/>
      <c r="C39" s="60">
        <f>IFERROR(VLOOKUP(B39,'Source Inventory'!$A$6:$P$55,2,FALSE),"[Not Found]")</f>
        <v/>
      </c>
      <c r="D39" s="60" t="n"/>
      <c r="E39" s="61" t="n"/>
      <c r="F39" s="60" t="n"/>
      <c r="G39" s="60" t="n"/>
      <c r="H39" s="62" t="n"/>
      <c r="I39" s="62" t="n"/>
      <c r="J39" s="60" t="n"/>
      <c r="K39" s="60" t="n"/>
      <c r="L39" s="63">
        <f>IFERROR((J39/I39)*100,"")</f>
        <v/>
      </c>
      <c r="M39" s="62" t="n"/>
      <c r="N39" s="60" t="n"/>
      <c r="O39" s="60" t="n"/>
      <c r="P39" s="63">
        <f>IFERROR((N39/M39)*100,"")</f>
        <v/>
      </c>
      <c r="Q39" s="60" t="n"/>
      <c r="R39" s="60" t="n"/>
      <c r="S39" s="63">
        <f>IFERROR((Q39/M39)*100,"")</f>
        <v/>
      </c>
      <c r="T39" s="60" t="n"/>
      <c r="U39" s="63">
        <f>IFERROR(((J39+N39)/H39)*100,"")</f>
        <v/>
      </c>
      <c r="V39" s="60" t="n"/>
      <c r="W39" s="60" t="n"/>
      <c r="X39" s="60">
        <f>IF(AND(V39&lt;&gt;"",W39&lt;&gt;""),CONCATENATE(V39,W39),"")</f>
        <v/>
      </c>
      <c r="Y39" s="60">
        <f>IF(AND(U39&gt;=85,S39&gt;=90),"Pass",IF(AND(U39&gt;=80,S39&gt;=85),"Conditional_Pass","Fail"))</f>
        <v/>
      </c>
      <c r="Z39" s="60">
        <f>IF(U39&gt;=85,"Overall &gt;=85% [OK]","Overall &lt;85% [X]") &amp; ", " &amp; IF(S39&gt;=90,"CVSS &gt;=90% [OK]","CVSS &lt;90% [X]")</f>
        <v/>
      </c>
      <c r="AA39" s="60">
        <f>IF(Y39="Pass","None",IF(Y39="Conditional_Pass","Review",IF(OR(V39="A",V39="B"),"Improve","Deprecate")))</f>
        <v/>
      </c>
      <c r="AB39" s="60" t="n"/>
      <c r="AC39" s="60" t="n"/>
      <c r="AD39" s="60" t="n"/>
      <c r="AE39" s="60" t="n"/>
      <c r="AF39" s="60" t="n"/>
      <c r="AG39" s="61" t="n"/>
      <c r="AH39" s="61">
        <f>IF(E39&lt;&gt;"",E39+90,"")</f>
        <v/>
      </c>
    </row>
    <row r="40">
      <c r="A40" s="60" t="n"/>
      <c r="B40" s="60" t="n"/>
      <c r="C40" s="60">
        <f>IFERROR(VLOOKUP(B40,'Source Inventory'!$A$6:$P$55,2,FALSE),"[Not Found]")</f>
        <v/>
      </c>
      <c r="D40" s="60" t="n"/>
      <c r="E40" s="61" t="n"/>
      <c r="F40" s="60" t="n"/>
      <c r="G40" s="60" t="n"/>
      <c r="H40" s="62" t="n"/>
      <c r="I40" s="62" t="n"/>
      <c r="J40" s="60" t="n"/>
      <c r="K40" s="60" t="n"/>
      <c r="L40" s="63">
        <f>IFERROR((J40/I40)*100,"")</f>
        <v/>
      </c>
      <c r="M40" s="62" t="n"/>
      <c r="N40" s="60" t="n"/>
      <c r="O40" s="60" t="n"/>
      <c r="P40" s="63">
        <f>IFERROR((N40/M40)*100,"")</f>
        <v/>
      </c>
      <c r="Q40" s="60" t="n"/>
      <c r="R40" s="60" t="n"/>
      <c r="S40" s="63">
        <f>IFERROR((Q40/M40)*100,"")</f>
        <v/>
      </c>
      <c r="T40" s="60" t="n"/>
      <c r="U40" s="63">
        <f>IFERROR(((J40+N40)/H40)*100,"")</f>
        <v/>
      </c>
      <c r="V40" s="60" t="n"/>
      <c r="W40" s="60" t="n"/>
      <c r="X40" s="60">
        <f>IF(AND(V40&lt;&gt;"",W40&lt;&gt;""),CONCATENATE(V40,W40),"")</f>
        <v/>
      </c>
      <c r="Y40" s="60">
        <f>IF(AND(U40&gt;=85,S40&gt;=90),"Pass",IF(AND(U40&gt;=80,S40&gt;=85),"Conditional_Pass","Fail"))</f>
        <v/>
      </c>
      <c r="Z40" s="60">
        <f>IF(U40&gt;=85,"Overall &gt;=85% [OK]","Overall &lt;85% [X]") &amp; ", " &amp; IF(S40&gt;=90,"CVSS &gt;=90% [OK]","CVSS &lt;90% [X]")</f>
        <v/>
      </c>
      <c r="AA40" s="60">
        <f>IF(Y40="Pass","None",IF(Y40="Conditional_Pass","Review",IF(OR(V40="A",V40="B"),"Improve","Deprecate")))</f>
        <v/>
      </c>
      <c r="AB40" s="60" t="n"/>
      <c r="AC40" s="60" t="n"/>
      <c r="AD40" s="60" t="n"/>
      <c r="AE40" s="60" t="n"/>
      <c r="AF40" s="60" t="n"/>
      <c r="AG40" s="61" t="n"/>
      <c r="AH40" s="61">
        <f>IF(E40&lt;&gt;"",E40+90,"")</f>
        <v/>
      </c>
    </row>
    <row r="41">
      <c r="A41" s="60" t="n"/>
      <c r="B41" s="60" t="n"/>
      <c r="C41" s="60">
        <f>IFERROR(VLOOKUP(B41,'Source Inventory'!$A$6:$P$55,2,FALSE),"[Not Found]")</f>
        <v/>
      </c>
      <c r="D41" s="60" t="n"/>
      <c r="E41" s="61" t="n"/>
      <c r="F41" s="60" t="n"/>
      <c r="G41" s="60" t="n"/>
      <c r="H41" s="62" t="n"/>
      <c r="I41" s="62" t="n"/>
      <c r="J41" s="60" t="n"/>
      <c r="K41" s="60" t="n"/>
      <c r="L41" s="63">
        <f>IFERROR((J41/I41)*100,"")</f>
        <v/>
      </c>
      <c r="M41" s="62" t="n"/>
      <c r="N41" s="60" t="n"/>
      <c r="O41" s="60" t="n"/>
      <c r="P41" s="63">
        <f>IFERROR((N41/M41)*100,"")</f>
        <v/>
      </c>
      <c r="Q41" s="60" t="n"/>
      <c r="R41" s="60" t="n"/>
      <c r="S41" s="63">
        <f>IFERROR((Q41/M41)*100,"")</f>
        <v/>
      </c>
      <c r="T41" s="60" t="n"/>
      <c r="U41" s="63">
        <f>IFERROR(((J41+N41)/H41)*100,"")</f>
        <v/>
      </c>
      <c r="V41" s="60" t="n"/>
      <c r="W41" s="60" t="n"/>
      <c r="X41" s="60">
        <f>IF(AND(V41&lt;&gt;"",W41&lt;&gt;""),CONCATENATE(V41,W41),"")</f>
        <v/>
      </c>
      <c r="Y41" s="60">
        <f>IF(AND(U41&gt;=85,S41&gt;=90),"Pass",IF(AND(U41&gt;=80,S41&gt;=85),"Conditional_Pass","Fail"))</f>
        <v/>
      </c>
      <c r="Z41" s="60">
        <f>IF(U41&gt;=85,"Overall &gt;=85% [OK]","Overall &lt;85% [X]") &amp; ", " &amp; IF(S41&gt;=90,"CVSS &gt;=90% [OK]","CVSS &lt;90% [X]")</f>
        <v/>
      </c>
      <c r="AA41" s="60">
        <f>IF(Y41="Pass","None",IF(Y41="Conditional_Pass","Review",IF(OR(V41="A",V41="B"),"Improve","Deprecate")))</f>
        <v/>
      </c>
      <c r="AB41" s="60" t="n"/>
      <c r="AC41" s="60" t="n"/>
      <c r="AD41" s="60" t="n"/>
      <c r="AE41" s="60" t="n"/>
      <c r="AF41" s="60" t="n"/>
      <c r="AG41" s="61" t="n"/>
      <c r="AH41" s="61">
        <f>IF(E41&lt;&gt;"",E41+90,"")</f>
        <v/>
      </c>
    </row>
    <row r="42">
      <c r="A42" s="60" t="n"/>
      <c r="B42" s="60" t="n"/>
      <c r="C42" s="60">
        <f>IFERROR(VLOOKUP(B42,'Source Inventory'!$A$6:$P$55,2,FALSE),"[Not Found]")</f>
        <v/>
      </c>
      <c r="D42" s="60" t="n"/>
      <c r="E42" s="61" t="n"/>
      <c r="F42" s="60" t="n"/>
      <c r="G42" s="60" t="n"/>
      <c r="H42" s="62" t="n"/>
      <c r="I42" s="62" t="n"/>
      <c r="J42" s="60" t="n"/>
      <c r="K42" s="60" t="n"/>
      <c r="L42" s="63">
        <f>IFERROR((J42/I42)*100,"")</f>
        <v/>
      </c>
      <c r="M42" s="62" t="n"/>
      <c r="N42" s="60" t="n"/>
      <c r="O42" s="60" t="n"/>
      <c r="P42" s="63">
        <f>IFERROR((N42/M42)*100,"")</f>
        <v/>
      </c>
      <c r="Q42" s="60" t="n"/>
      <c r="R42" s="60" t="n"/>
      <c r="S42" s="63">
        <f>IFERROR((Q42/M42)*100,"")</f>
        <v/>
      </c>
      <c r="T42" s="60" t="n"/>
      <c r="U42" s="63">
        <f>IFERROR(((J42+N42)/H42)*100,"")</f>
        <v/>
      </c>
      <c r="V42" s="60" t="n"/>
      <c r="W42" s="60" t="n"/>
      <c r="X42" s="60">
        <f>IF(AND(V42&lt;&gt;"",W42&lt;&gt;""),CONCATENATE(V42,W42),"")</f>
        <v/>
      </c>
      <c r="Y42" s="60">
        <f>IF(AND(U42&gt;=85,S42&gt;=90),"Pass",IF(AND(U42&gt;=80,S42&gt;=85),"Conditional_Pass","Fail"))</f>
        <v/>
      </c>
      <c r="Z42" s="60">
        <f>IF(U42&gt;=85,"Overall &gt;=85% [OK]","Overall &lt;85% [X]") &amp; ", " &amp; IF(S42&gt;=90,"CVSS &gt;=90% [OK]","CVSS &lt;90% [X]")</f>
        <v/>
      </c>
      <c r="AA42" s="60">
        <f>IF(Y42="Pass","None",IF(Y42="Conditional_Pass","Review",IF(OR(V42="A",V42="B"),"Improve","Deprecate")))</f>
        <v/>
      </c>
      <c r="AB42" s="60" t="n"/>
      <c r="AC42" s="60" t="n"/>
      <c r="AD42" s="60" t="n"/>
      <c r="AE42" s="60" t="n"/>
      <c r="AF42" s="60" t="n"/>
      <c r="AG42" s="61" t="n"/>
      <c r="AH42" s="61">
        <f>IF(E42&lt;&gt;"",E42+90,"")</f>
        <v/>
      </c>
    </row>
    <row r="43">
      <c r="A43" s="60" t="n"/>
      <c r="B43" s="60" t="n"/>
      <c r="C43" s="60">
        <f>IFERROR(VLOOKUP(B43,'Source Inventory'!$A$6:$P$55,2,FALSE),"[Not Found]")</f>
        <v/>
      </c>
      <c r="D43" s="60" t="n"/>
      <c r="E43" s="61" t="n"/>
      <c r="F43" s="60" t="n"/>
      <c r="G43" s="60" t="n"/>
      <c r="H43" s="62" t="n"/>
      <c r="I43" s="62" t="n"/>
      <c r="J43" s="60" t="n"/>
      <c r="K43" s="60" t="n"/>
      <c r="L43" s="63">
        <f>IFERROR((J43/I43)*100,"")</f>
        <v/>
      </c>
      <c r="M43" s="62" t="n"/>
      <c r="N43" s="60" t="n"/>
      <c r="O43" s="60" t="n"/>
      <c r="P43" s="63">
        <f>IFERROR((N43/M43)*100,"")</f>
        <v/>
      </c>
      <c r="Q43" s="60" t="n"/>
      <c r="R43" s="60" t="n"/>
      <c r="S43" s="63">
        <f>IFERROR((Q43/M43)*100,"")</f>
        <v/>
      </c>
      <c r="T43" s="60" t="n"/>
      <c r="U43" s="63">
        <f>IFERROR(((J43+N43)/H43)*100,"")</f>
        <v/>
      </c>
      <c r="V43" s="60" t="n"/>
      <c r="W43" s="60" t="n"/>
      <c r="X43" s="60">
        <f>IF(AND(V43&lt;&gt;"",W43&lt;&gt;""),CONCATENATE(V43,W43),"")</f>
        <v/>
      </c>
      <c r="Y43" s="60">
        <f>IF(AND(U43&gt;=85,S43&gt;=90),"Pass",IF(AND(U43&gt;=80,S43&gt;=85),"Conditional_Pass","Fail"))</f>
        <v/>
      </c>
      <c r="Z43" s="60">
        <f>IF(U43&gt;=85,"Overall &gt;=85% [OK]","Overall &lt;85% [X]") &amp; ", " &amp; IF(S43&gt;=90,"CVSS &gt;=90% [OK]","CVSS &lt;90% [X]")</f>
        <v/>
      </c>
      <c r="AA43" s="60">
        <f>IF(Y43="Pass","None",IF(Y43="Conditional_Pass","Review",IF(OR(V43="A",V43="B"),"Improve","Deprecate")))</f>
        <v/>
      </c>
      <c r="AB43" s="60" t="n"/>
      <c r="AC43" s="60" t="n"/>
      <c r="AD43" s="60" t="n"/>
      <c r="AE43" s="60" t="n"/>
      <c r="AF43" s="60" t="n"/>
      <c r="AG43" s="61" t="n"/>
      <c r="AH43" s="61">
        <f>IF(E43&lt;&gt;"",E43+90,"")</f>
        <v/>
      </c>
    </row>
    <row r="44">
      <c r="A44" s="60" t="n"/>
      <c r="B44" s="60" t="n"/>
      <c r="C44" s="60">
        <f>IFERROR(VLOOKUP(B44,'Source Inventory'!$A$6:$P$55,2,FALSE),"[Not Found]")</f>
        <v/>
      </c>
      <c r="D44" s="60" t="n"/>
      <c r="E44" s="61" t="n"/>
      <c r="F44" s="60" t="n"/>
      <c r="G44" s="60" t="n"/>
      <c r="H44" s="62" t="n"/>
      <c r="I44" s="62" t="n"/>
      <c r="J44" s="60" t="n"/>
      <c r="K44" s="60" t="n"/>
      <c r="L44" s="63">
        <f>IFERROR((J44/I44)*100,"")</f>
        <v/>
      </c>
      <c r="M44" s="62" t="n"/>
      <c r="N44" s="60" t="n"/>
      <c r="O44" s="60" t="n"/>
      <c r="P44" s="63">
        <f>IFERROR((N44/M44)*100,"")</f>
        <v/>
      </c>
      <c r="Q44" s="60" t="n"/>
      <c r="R44" s="60" t="n"/>
      <c r="S44" s="63">
        <f>IFERROR((Q44/M44)*100,"")</f>
        <v/>
      </c>
      <c r="T44" s="60" t="n"/>
      <c r="U44" s="63">
        <f>IFERROR(((J44+N44)/H44)*100,"")</f>
        <v/>
      </c>
      <c r="V44" s="60" t="n"/>
      <c r="W44" s="60" t="n"/>
      <c r="X44" s="60">
        <f>IF(AND(V44&lt;&gt;"",W44&lt;&gt;""),CONCATENATE(V44,W44),"")</f>
        <v/>
      </c>
      <c r="Y44" s="60">
        <f>IF(AND(U44&gt;=85,S44&gt;=90),"Pass",IF(AND(U44&gt;=80,S44&gt;=85),"Conditional_Pass","Fail"))</f>
        <v/>
      </c>
      <c r="Z44" s="60">
        <f>IF(U44&gt;=85,"Overall &gt;=85% [OK]","Overall &lt;85% [X]") &amp; ", " &amp; IF(S44&gt;=90,"CVSS &gt;=90% [OK]","CVSS &lt;90% [X]")</f>
        <v/>
      </c>
      <c r="AA44" s="60">
        <f>IF(Y44="Pass","None",IF(Y44="Conditional_Pass","Review",IF(OR(V44="A",V44="B"),"Improve","Deprecate")))</f>
        <v/>
      </c>
      <c r="AB44" s="60" t="n"/>
      <c r="AC44" s="60" t="n"/>
      <c r="AD44" s="60" t="n"/>
      <c r="AE44" s="60" t="n"/>
      <c r="AF44" s="60" t="n"/>
      <c r="AG44" s="61" t="n"/>
      <c r="AH44" s="61">
        <f>IF(E44&lt;&gt;"",E44+90,"")</f>
        <v/>
      </c>
    </row>
    <row r="45">
      <c r="A45" s="60" t="n"/>
      <c r="B45" s="60" t="n"/>
      <c r="C45" s="60">
        <f>IFERROR(VLOOKUP(B45,'Source Inventory'!$A$6:$P$55,2,FALSE),"[Not Found]")</f>
        <v/>
      </c>
      <c r="D45" s="60" t="n"/>
      <c r="E45" s="61" t="n"/>
      <c r="F45" s="60" t="n"/>
      <c r="G45" s="60" t="n"/>
      <c r="H45" s="62" t="n"/>
      <c r="I45" s="62" t="n"/>
      <c r="J45" s="60" t="n"/>
      <c r="K45" s="60" t="n"/>
      <c r="L45" s="63">
        <f>IFERROR((J45/I45)*100,"")</f>
        <v/>
      </c>
      <c r="M45" s="62" t="n"/>
      <c r="N45" s="60" t="n"/>
      <c r="O45" s="60" t="n"/>
      <c r="P45" s="63">
        <f>IFERROR((N45/M45)*100,"")</f>
        <v/>
      </c>
      <c r="Q45" s="60" t="n"/>
      <c r="R45" s="60" t="n"/>
      <c r="S45" s="63">
        <f>IFERROR((Q45/M45)*100,"")</f>
        <v/>
      </c>
      <c r="T45" s="60" t="n"/>
      <c r="U45" s="63">
        <f>IFERROR(((J45+N45)/H45)*100,"")</f>
        <v/>
      </c>
      <c r="V45" s="60" t="n"/>
      <c r="W45" s="60" t="n"/>
      <c r="X45" s="60">
        <f>IF(AND(V45&lt;&gt;"",W45&lt;&gt;""),CONCATENATE(V45,W45),"")</f>
        <v/>
      </c>
      <c r="Y45" s="60">
        <f>IF(AND(U45&gt;=85,S45&gt;=90),"Pass",IF(AND(U45&gt;=80,S45&gt;=85),"Conditional_Pass","Fail"))</f>
        <v/>
      </c>
      <c r="Z45" s="60">
        <f>IF(U45&gt;=85,"Overall &gt;=85% [OK]","Overall &lt;85% [X]") &amp; ", " &amp; IF(S45&gt;=90,"CVSS &gt;=90% [OK]","CVSS &lt;90% [X]")</f>
        <v/>
      </c>
      <c r="AA45" s="60">
        <f>IF(Y45="Pass","None",IF(Y45="Conditional_Pass","Review",IF(OR(V45="A",V45="B"),"Improve","Deprecate")))</f>
        <v/>
      </c>
      <c r="AB45" s="60" t="n"/>
      <c r="AC45" s="60" t="n"/>
      <c r="AD45" s="60" t="n"/>
      <c r="AE45" s="60" t="n"/>
      <c r="AF45" s="60" t="n"/>
      <c r="AG45" s="61" t="n"/>
      <c r="AH45" s="61">
        <f>IF(E45&lt;&gt;"",E45+90,"")</f>
        <v/>
      </c>
    </row>
    <row r="46">
      <c r="A46" s="60" t="n"/>
      <c r="B46" s="60" t="n"/>
      <c r="C46" s="60">
        <f>IFERROR(VLOOKUP(B46,'Source Inventory'!$A$6:$P$55,2,FALSE),"[Not Found]")</f>
        <v/>
      </c>
      <c r="D46" s="60" t="n"/>
      <c r="E46" s="61" t="n"/>
      <c r="F46" s="60" t="n"/>
      <c r="G46" s="60" t="n"/>
      <c r="H46" s="62" t="n"/>
      <c r="I46" s="62" t="n"/>
      <c r="J46" s="60" t="n"/>
      <c r="K46" s="60" t="n"/>
      <c r="L46" s="63">
        <f>IFERROR((J46/I46)*100,"")</f>
        <v/>
      </c>
      <c r="M46" s="62" t="n"/>
      <c r="N46" s="60" t="n"/>
      <c r="O46" s="60" t="n"/>
      <c r="P46" s="63">
        <f>IFERROR((N46/M46)*100,"")</f>
        <v/>
      </c>
      <c r="Q46" s="60" t="n"/>
      <c r="R46" s="60" t="n"/>
      <c r="S46" s="63">
        <f>IFERROR((Q46/M46)*100,"")</f>
        <v/>
      </c>
      <c r="T46" s="60" t="n"/>
      <c r="U46" s="63">
        <f>IFERROR(((J46+N46)/H46)*100,"")</f>
        <v/>
      </c>
      <c r="V46" s="60" t="n"/>
      <c r="W46" s="60" t="n"/>
      <c r="X46" s="60">
        <f>IF(AND(V46&lt;&gt;"",W46&lt;&gt;""),CONCATENATE(V46,W46),"")</f>
        <v/>
      </c>
      <c r="Y46" s="60">
        <f>IF(AND(U46&gt;=85,S46&gt;=90),"Pass",IF(AND(U46&gt;=80,S46&gt;=85),"Conditional_Pass","Fail"))</f>
        <v/>
      </c>
      <c r="Z46" s="60">
        <f>IF(U46&gt;=85,"Overall &gt;=85% [OK]","Overall &lt;85% [X]") &amp; ", " &amp; IF(S46&gt;=90,"CVSS &gt;=90% [OK]","CVSS &lt;90% [X]")</f>
        <v/>
      </c>
      <c r="AA46" s="60">
        <f>IF(Y46="Pass","None",IF(Y46="Conditional_Pass","Review",IF(OR(V46="A",V46="B"),"Improve","Deprecate")))</f>
        <v/>
      </c>
      <c r="AB46" s="60" t="n"/>
      <c r="AC46" s="60" t="n"/>
      <c r="AD46" s="60" t="n"/>
      <c r="AE46" s="60" t="n"/>
      <c r="AF46" s="60" t="n"/>
      <c r="AG46" s="61" t="n"/>
      <c r="AH46" s="61">
        <f>IF(E46&lt;&gt;"",E46+90,"")</f>
        <v/>
      </c>
    </row>
    <row r="47">
      <c r="A47" s="60" t="n"/>
      <c r="B47" s="60" t="n"/>
      <c r="C47" s="60">
        <f>IFERROR(VLOOKUP(B47,'Source Inventory'!$A$6:$P$55,2,FALSE),"[Not Found]")</f>
        <v/>
      </c>
      <c r="D47" s="60" t="n"/>
      <c r="E47" s="61" t="n"/>
      <c r="F47" s="60" t="n"/>
      <c r="G47" s="60" t="n"/>
      <c r="H47" s="62" t="n"/>
      <c r="I47" s="62" t="n"/>
      <c r="J47" s="60" t="n"/>
      <c r="K47" s="60" t="n"/>
      <c r="L47" s="63">
        <f>IFERROR((J47/I47)*100,"")</f>
        <v/>
      </c>
      <c r="M47" s="62" t="n"/>
      <c r="N47" s="60" t="n"/>
      <c r="O47" s="60" t="n"/>
      <c r="P47" s="63">
        <f>IFERROR((N47/M47)*100,"")</f>
        <v/>
      </c>
      <c r="Q47" s="60" t="n"/>
      <c r="R47" s="60" t="n"/>
      <c r="S47" s="63">
        <f>IFERROR((Q47/M47)*100,"")</f>
        <v/>
      </c>
      <c r="T47" s="60" t="n"/>
      <c r="U47" s="63">
        <f>IFERROR(((J47+N47)/H47)*100,"")</f>
        <v/>
      </c>
      <c r="V47" s="60" t="n"/>
      <c r="W47" s="60" t="n"/>
      <c r="X47" s="60">
        <f>IF(AND(V47&lt;&gt;"",W47&lt;&gt;""),CONCATENATE(V47,W47),"")</f>
        <v/>
      </c>
      <c r="Y47" s="60">
        <f>IF(AND(U47&gt;=85,S47&gt;=90),"Pass",IF(AND(U47&gt;=80,S47&gt;=85),"Conditional_Pass","Fail"))</f>
        <v/>
      </c>
      <c r="Z47" s="60">
        <f>IF(U47&gt;=85,"Overall &gt;=85% [OK]","Overall &lt;85% [X]") &amp; ", " &amp; IF(S47&gt;=90,"CVSS &gt;=90% [OK]","CVSS &lt;90% [X]")</f>
        <v/>
      </c>
      <c r="AA47" s="60">
        <f>IF(Y47="Pass","None",IF(Y47="Conditional_Pass","Review",IF(OR(V47="A",V47="B"),"Improve","Deprecate")))</f>
        <v/>
      </c>
      <c r="AB47" s="60" t="n"/>
      <c r="AC47" s="60" t="n"/>
      <c r="AD47" s="60" t="n"/>
      <c r="AE47" s="60" t="n"/>
      <c r="AF47" s="60" t="n"/>
      <c r="AG47" s="61" t="n"/>
      <c r="AH47" s="61">
        <f>IF(E47&lt;&gt;"",E47+90,"")</f>
        <v/>
      </c>
    </row>
    <row r="48">
      <c r="A48" s="60" t="n"/>
      <c r="B48" s="60" t="n"/>
      <c r="C48" s="60">
        <f>IFERROR(VLOOKUP(B48,'Source Inventory'!$A$6:$P$55,2,FALSE),"[Not Found]")</f>
        <v/>
      </c>
      <c r="D48" s="60" t="n"/>
      <c r="E48" s="61" t="n"/>
      <c r="F48" s="60" t="n"/>
      <c r="G48" s="60" t="n"/>
      <c r="H48" s="62" t="n"/>
      <c r="I48" s="62" t="n"/>
      <c r="J48" s="60" t="n"/>
      <c r="K48" s="60" t="n"/>
      <c r="L48" s="63">
        <f>IFERROR((J48/I48)*100,"")</f>
        <v/>
      </c>
      <c r="M48" s="62" t="n"/>
      <c r="N48" s="60" t="n"/>
      <c r="O48" s="60" t="n"/>
      <c r="P48" s="63">
        <f>IFERROR((N48/M48)*100,"")</f>
        <v/>
      </c>
      <c r="Q48" s="60" t="n"/>
      <c r="R48" s="60" t="n"/>
      <c r="S48" s="63">
        <f>IFERROR((Q48/M48)*100,"")</f>
        <v/>
      </c>
      <c r="T48" s="60" t="n"/>
      <c r="U48" s="63">
        <f>IFERROR(((J48+N48)/H48)*100,"")</f>
        <v/>
      </c>
      <c r="V48" s="60" t="n"/>
      <c r="W48" s="60" t="n"/>
      <c r="X48" s="60">
        <f>IF(AND(V48&lt;&gt;"",W48&lt;&gt;""),CONCATENATE(V48,W48),"")</f>
        <v/>
      </c>
      <c r="Y48" s="60">
        <f>IF(AND(U48&gt;=85,S48&gt;=90),"Pass",IF(AND(U48&gt;=80,S48&gt;=85),"Conditional_Pass","Fail"))</f>
        <v/>
      </c>
      <c r="Z48" s="60">
        <f>IF(U48&gt;=85,"Overall &gt;=85% [OK]","Overall &lt;85% [X]") &amp; ", " &amp; IF(S48&gt;=90,"CVSS &gt;=90% [OK]","CVSS &lt;90% [X]")</f>
        <v/>
      </c>
      <c r="AA48" s="60">
        <f>IF(Y48="Pass","None",IF(Y48="Conditional_Pass","Review",IF(OR(V48="A",V48="B"),"Improve","Deprecate")))</f>
        <v/>
      </c>
      <c r="AB48" s="60" t="n"/>
      <c r="AC48" s="60" t="n"/>
      <c r="AD48" s="60" t="n"/>
      <c r="AE48" s="60" t="n"/>
      <c r="AF48" s="60" t="n"/>
      <c r="AG48" s="61" t="n"/>
      <c r="AH48" s="61">
        <f>IF(E48&lt;&gt;"",E48+90,"")</f>
        <v/>
      </c>
    </row>
    <row r="49">
      <c r="A49" s="60" t="n"/>
      <c r="B49" s="60" t="n"/>
      <c r="C49" s="60">
        <f>IFERROR(VLOOKUP(B49,'Source Inventory'!$A$6:$P$55,2,FALSE),"[Not Found]")</f>
        <v/>
      </c>
      <c r="D49" s="60" t="n"/>
      <c r="E49" s="61" t="n"/>
      <c r="F49" s="60" t="n"/>
      <c r="G49" s="60" t="n"/>
      <c r="H49" s="62" t="n"/>
      <c r="I49" s="62" t="n"/>
      <c r="J49" s="60" t="n"/>
      <c r="K49" s="60" t="n"/>
      <c r="L49" s="63">
        <f>IFERROR((J49/I49)*100,"")</f>
        <v/>
      </c>
      <c r="M49" s="62" t="n"/>
      <c r="N49" s="60" t="n"/>
      <c r="O49" s="60" t="n"/>
      <c r="P49" s="63">
        <f>IFERROR((N49/M49)*100,"")</f>
        <v/>
      </c>
      <c r="Q49" s="60" t="n"/>
      <c r="R49" s="60" t="n"/>
      <c r="S49" s="63">
        <f>IFERROR((Q49/M49)*100,"")</f>
        <v/>
      </c>
      <c r="T49" s="60" t="n"/>
      <c r="U49" s="63">
        <f>IFERROR(((J49+N49)/H49)*100,"")</f>
        <v/>
      </c>
      <c r="V49" s="60" t="n"/>
      <c r="W49" s="60" t="n"/>
      <c r="X49" s="60">
        <f>IF(AND(V49&lt;&gt;"",W49&lt;&gt;""),CONCATENATE(V49,W49),"")</f>
        <v/>
      </c>
      <c r="Y49" s="60">
        <f>IF(AND(U49&gt;=85,S49&gt;=90),"Pass",IF(AND(U49&gt;=80,S49&gt;=85),"Conditional_Pass","Fail"))</f>
        <v/>
      </c>
      <c r="Z49" s="60">
        <f>IF(U49&gt;=85,"Overall &gt;=85% [OK]","Overall &lt;85% [X]") &amp; ", " &amp; IF(S49&gt;=90,"CVSS &gt;=90% [OK]","CVSS &lt;90% [X]")</f>
        <v/>
      </c>
      <c r="AA49" s="60">
        <f>IF(Y49="Pass","None",IF(Y49="Conditional_Pass","Review",IF(OR(V49="A",V49="B"),"Improve","Deprecate")))</f>
        <v/>
      </c>
      <c r="AB49" s="60" t="n"/>
      <c r="AC49" s="60" t="n"/>
      <c r="AD49" s="60" t="n"/>
      <c r="AE49" s="60" t="n"/>
      <c r="AF49" s="60" t="n"/>
      <c r="AG49" s="61" t="n"/>
      <c r="AH49" s="61">
        <f>IF(E49&lt;&gt;"",E49+90,"")</f>
        <v/>
      </c>
    </row>
    <row r="50">
      <c r="A50" s="60" t="n"/>
      <c r="B50" s="60" t="n"/>
      <c r="C50" s="60">
        <f>IFERROR(VLOOKUP(B50,'Source Inventory'!$A$6:$P$55,2,FALSE),"[Not Found]")</f>
        <v/>
      </c>
      <c r="D50" s="60" t="n"/>
      <c r="E50" s="61" t="n"/>
      <c r="F50" s="60" t="n"/>
      <c r="G50" s="60" t="n"/>
      <c r="H50" s="62" t="n"/>
      <c r="I50" s="62" t="n"/>
      <c r="J50" s="60" t="n"/>
      <c r="K50" s="60" t="n"/>
      <c r="L50" s="63">
        <f>IFERROR((J50/I50)*100,"")</f>
        <v/>
      </c>
      <c r="M50" s="62" t="n"/>
      <c r="N50" s="60" t="n"/>
      <c r="O50" s="60" t="n"/>
      <c r="P50" s="63">
        <f>IFERROR((N50/M50)*100,"")</f>
        <v/>
      </c>
      <c r="Q50" s="60" t="n"/>
      <c r="R50" s="60" t="n"/>
      <c r="S50" s="63">
        <f>IFERROR((Q50/M50)*100,"")</f>
        <v/>
      </c>
      <c r="T50" s="60" t="n"/>
      <c r="U50" s="63">
        <f>IFERROR(((J50+N50)/H50)*100,"")</f>
        <v/>
      </c>
      <c r="V50" s="60" t="n"/>
      <c r="W50" s="60" t="n"/>
      <c r="X50" s="60">
        <f>IF(AND(V50&lt;&gt;"",W50&lt;&gt;""),CONCATENATE(V50,W50),"")</f>
        <v/>
      </c>
      <c r="Y50" s="60">
        <f>IF(AND(U50&gt;=85,S50&gt;=90),"Pass",IF(AND(U50&gt;=80,S50&gt;=85),"Conditional_Pass","Fail"))</f>
        <v/>
      </c>
      <c r="Z50" s="60">
        <f>IF(U50&gt;=85,"Overall &gt;=85% [OK]","Overall &lt;85% [X]") &amp; ", " &amp; IF(S50&gt;=90,"CVSS &gt;=90% [OK]","CVSS &lt;90% [X]")</f>
        <v/>
      </c>
      <c r="AA50" s="60">
        <f>IF(Y50="Pass","None",IF(Y50="Conditional_Pass","Review",IF(OR(V50="A",V50="B"),"Improve","Deprecate")))</f>
        <v/>
      </c>
      <c r="AB50" s="60" t="n"/>
      <c r="AC50" s="60" t="n"/>
      <c r="AD50" s="60" t="n"/>
      <c r="AE50" s="60" t="n"/>
      <c r="AF50" s="60" t="n"/>
      <c r="AG50" s="61" t="n"/>
      <c r="AH50" s="61">
        <f>IF(E50&lt;&gt;"",E50+90,"")</f>
        <v/>
      </c>
    </row>
    <row r="51">
      <c r="A51" s="60" t="n"/>
      <c r="B51" s="60" t="n"/>
      <c r="C51" s="60">
        <f>IFERROR(VLOOKUP(B51,'Source Inventory'!$A$6:$P$55,2,FALSE),"[Not Found]")</f>
        <v/>
      </c>
      <c r="D51" s="60" t="n"/>
      <c r="E51" s="61" t="n"/>
      <c r="F51" s="60" t="n"/>
      <c r="G51" s="60" t="n"/>
      <c r="H51" s="62" t="n"/>
      <c r="I51" s="62" t="n"/>
      <c r="J51" s="60" t="n"/>
      <c r="K51" s="60" t="n"/>
      <c r="L51" s="63">
        <f>IFERROR((J51/I51)*100,"")</f>
        <v/>
      </c>
      <c r="M51" s="62" t="n"/>
      <c r="N51" s="60" t="n"/>
      <c r="O51" s="60" t="n"/>
      <c r="P51" s="63">
        <f>IFERROR((N51/M51)*100,"")</f>
        <v/>
      </c>
      <c r="Q51" s="60" t="n"/>
      <c r="R51" s="60" t="n"/>
      <c r="S51" s="63">
        <f>IFERROR((Q51/M51)*100,"")</f>
        <v/>
      </c>
      <c r="T51" s="60" t="n"/>
      <c r="U51" s="63">
        <f>IFERROR(((J51+N51)/H51)*100,"")</f>
        <v/>
      </c>
      <c r="V51" s="60" t="n"/>
      <c r="W51" s="60" t="n"/>
      <c r="X51" s="60">
        <f>IF(AND(V51&lt;&gt;"",W51&lt;&gt;""),CONCATENATE(V51,W51),"")</f>
        <v/>
      </c>
      <c r="Y51" s="60">
        <f>IF(AND(U51&gt;=85,S51&gt;=90),"Pass",IF(AND(U51&gt;=80,S51&gt;=85),"Conditional_Pass","Fail"))</f>
        <v/>
      </c>
      <c r="Z51" s="60">
        <f>IF(U51&gt;=85,"Overall &gt;=85% [OK]","Overall &lt;85% [X]") &amp; ", " &amp; IF(S51&gt;=90,"CVSS &gt;=90% [OK]","CVSS &lt;90% [X]")</f>
        <v/>
      </c>
      <c r="AA51" s="60">
        <f>IF(Y51="Pass","None",IF(Y51="Conditional_Pass","Review",IF(OR(V51="A",V51="B"),"Improve","Deprecate")))</f>
        <v/>
      </c>
      <c r="AB51" s="60" t="n"/>
      <c r="AC51" s="60" t="n"/>
      <c r="AD51" s="60" t="n"/>
      <c r="AE51" s="60" t="n"/>
      <c r="AF51" s="60" t="n"/>
      <c r="AG51" s="61" t="n"/>
      <c r="AH51" s="61">
        <f>IF(E51&lt;&gt;"",E51+90,"")</f>
        <v/>
      </c>
    </row>
    <row r="52">
      <c r="A52" s="60" t="n"/>
      <c r="B52" s="60" t="n"/>
      <c r="C52" s="60">
        <f>IFERROR(VLOOKUP(B52,'Source Inventory'!$A$6:$P$55,2,FALSE),"[Not Found]")</f>
        <v/>
      </c>
      <c r="D52" s="60" t="n"/>
      <c r="E52" s="61" t="n"/>
      <c r="F52" s="60" t="n"/>
      <c r="G52" s="60" t="n"/>
      <c r="H52" s="62" t="n"/>
      <c r="I52" s="62" t="n"/>
      <c r="J52" s="60" t="n"/>
      <c r="K52" s="60" t="n"/>
      <c r="L52" s="63">
        <f>IFERROR((J52/I52)*100,"")</f>
        <v/>
      </c>
      <c r="M52" s="62" t="n"/>
      <c r="N52" s="60" t="n"/>
      <c r="O52" s="60" t="n"/>
      <c r="P52" s="63">
        <f>IFERROR((N52/M52)*100,"")</f>
        <v/>
      </c>
      <c r="Q52" s="60" t="n"/>
      <c r="R52" s="60" t="n"/>
      <c r="S52" s="63">
        <f>IFERROR((Q52/M52)*100,"")</f>
        <v/>
      </c>
      <c r="T52" s="60" t="n"/>
      <c r="U52" s="63">
        <f>IFERROR(((J52+N52)/H52)*100,"")</f>
        <v/>
      </c>
      <c r="V52" s="60" t="n"/>
      <c r="W52" s="60" t="n"/>
      <c r="X52" s="60">
        <f>IF(AND(V52&lt;&gt;"",W52&lt;&gt;""),CONCATENATE(V52,W52),"")</f>
        <v/>
      </c>
      <c r="Y52" s="60">
        <f>IF(AND(U52&gt;=85,S52&gt;=90),"Pass",IF(AND(U52&gt;=80,S52&gt;=85),"Conditional_Pass","Fail"))</f>
        <v/>
      </c>
      <c r="Z52" s="60">
        <f>IF(U52&gt;=85,"Overall &gt;=85% [OK]","Overall &lt;85% [X]") &amp; ", " &amp; IF(S52&gt;=90,"CVSS &gt;=90% [OK]","CVSS &lt;90% [X]")</f>
        <v/>
      </c>
      <c r="AA52" s="60">
        <f>IF(Y52="Pass","None",IF(Y52="Conditional_Pass","Review",IF(OR(V52="A",V52="B"),"Improve","Deprecate")))</f>
        <v/>
      </c>
      <c r="AB52" s="60" t="n"/>
      <c r="AC52" s="60" t="n"/>
      <c r="AD52" s="60" t="n"/>
      <c r="AE52" s="60" t="n"/>
      <c r="AF52" s="60" t="n"/>
      <c r="AG52" s="61" t="n"/>
      <c r="AH52" s="61">
        <f>IF(E52&lt;&gt;"",E52+90,"")</f>
        <v/>
      </c>
    </row>
    <row r="53">
      <c r="A53" s="60" t="n"/>
      <c r="B53" s="60" t="n"/>
      <c r="C53" s="60">
        <f>IFERROR(VLOOKUP(B53,'Source Inventory'!$A$6:$P$55,2,FALSE),"[Not Found]")</f>
        <v/>
      </c>
      <c r="D53" s="60" t="n"/>
      <c r="E53" s="61" t="n"/>
      <c r="F53" s="60" t="n"/>
      <c r="G53" s="60" t="n"/>
      <c r="H53" s="62" t="n"/>
      <c r="I53" s="62" t="n"/>
      <c r="J53" s="60" t="n"/>
      <c r="K53" s="60" t="n"/>
      <c r="L53" s="63">
        <f>IFERROR((J53/I53)*100,"")</f>
        <v/>
      </c>
      <c r="M53" s="62" t="n"/>
      <c r="N53" s="60" t="n"/>
      <c r="O53" s="60" t="n"/>
      <c r="P53" s="63">
        <f>IFERROR((N53/M53)*100,"")</f>
        <v/>
      </c>
      <c r="Q53" s="60" t="n"/>
      <c r="R53" s="60" t="n"/>
      <c r="S53" s="63">
        <f>IFERROR((Q53/M53)*100,"")</f>
        <v/>
      </c>
      <c r="T53" s="60" t="n"/>
      <c r="U53" s="63">
        <f>IFERROR(((J53+N53)/H53)*100,"")</f>
        <v/>
      </c>
      <c r="V53" s="60" t="n"/>
      <c r="W53" s="60" t="n"/>
      <c r="X53" s="60">
        <f>IF(AND(V53&lt;&gt;"",W53&lt;&gt;""),CONCATENATE(V53,W53),"")</f>
        <v/>
      </c>
      <c r="Y53" s="60">
        <f>IF(AND(U53&gt;=85,S53&gt;=90),"Pass",IF(AND(U53&gt;=80,S53&gt;=85),"Conditional_Pass","Fail"))</f>
        <v/>
      </c>
      <c r="Z53" s="60">
        <f>IF(U53&gt;=85,"Overall &gt;=85% [OK]","Overall &lt;85% [X]") &amp; ", " &amp; IF(S53&gt;=90,"CVSS &gt;=90% [OK]","CVSS &lt;90% [X]")</f>
        <v/>
      </c>
      <c r="AA53" s="60">
        <f>IF(Y53="Pass","None",IF(Y53="Conditional_Pass","Review",IF(OR(V53="A",V53="B"),"Improve","Deprecate")))</f>
        <v/>
      </c>
      <c r="AB53" s="60" t="n"/>
      <c r="AC53" s="60" t="n"/>
      <c r="AD53" s="60" t="n"/>
      <c r="AE53" s="60" t="n"/>
      <c r="AF53" s="60" t="n"/>
      <c r="AG53" s="61" t="n"/>
      <c r="AH53" s="61">
        <f>IF(E53&lt;&gt;"",E53+90,"")</f>
        <v/>
      </c>
    </row>
    <row r="54">
      <c r="A54" s="60" t="n"/>
      <c r="B54" s="60" t="n"/>
      <c r="C54" s="60">
        <f>IFERROR(VLOOKUP(B54,'Source Inventory'!$A$6:$P$55,2,FALSE),"[Not Found]")</f>
        <v/>
      </c>
      <c r="D54" s="60" t="n"/>
      <c r="E54" s="61" t="n"/>
      <c r="F54" s="60" t="n"/>
      <c r="G54" s="60" t="n"/>
      <c r="H54" s="62" t="n"/>
      <c r="I54" s="62" t="n"/>
      <c r="J54" s="60" t="n"/>
      <c r="K54" s="60" t="n"/>
      <c r="L54" s="63">
        <f>IFERROR((J54/I54)*100,"")</f>
        <v/>
      </c>
      <c r="M54" s="62" t="n"/>
      <c r="N54" s="60" t="n"/>
      <c r="O54" s="60" t="n"/>
      <c r="P54" s="63">
        <f>IFERROR((N54/M54)*100,"")</f>
        <v/>
      </c>
      <c r="Q54" s="60" t="n"/>
      <c r="R54" s="60" t="n"/>
      <c r="S54" s="63">
        <f>IFERROR((Q54/M54)*100,"")</f>
        <v/>
      </c>
      <c r="T54" s="60" t="n"/>
      <c r="U54" s="63">
        <f>IFERROR(((J54+N54)/H54)*100,"")</f>
        <v/>
      </c>
      <c r="V54" s="60" t="n"/>
      <c r="W54" s="60" t="n"/>
      <c r="X54" s="60">
        <f>IF(AND(V54&lt;&gt;"",W54&lt;&gt;""),CONCATENATE(V54,W54),"")</f>
        <v/>
      </c>
      <c r="Y54" s="60">
        <f>IF(AND(U54&gt;=85,S54&gt;=90),"Pass",IF(AND(U54&gt;=80,S54&gt;=85),"Conditional_Pass","Fail"))</f>
        <v/>
      </c>
      <c r="Z54" s="60">
        <f>IF(U54&gt;=85,"Overall &gt;=85% [OK]","Overall &lt;85% [X]") &amp; ", " &amp; IF(S54&gt;=90,"CVSS &gt;=90% [OK]","CVSS &lt;90% [X]")</f>
        <v/>
      </c>
      <c r="AA54" s="60">
        <f>IF(Y54="Pass","None",IF(Y54="Conditional_Pass","Review",IF(OR(V54="A",V54="B"),"Improve","Deprecate")))</f>
        <v/>
      </c>
      <c r="AB54" s="60" t="n"/>
      <c r="AC54" s="60" t="n"/>
      <c r="AD54" s="60" t="n"/>
      <c r="AE54" s="60" t="n"/>
      <c r="AF54" s="60" t="n"/>
      <c r="AG54" s="61" t="n"/>
      <c r="AH54" s="61">
        <f>IF(E54&lt;&gt;"",E54+90,"")</f>
        <v/>
      </c>
    </row>
    <row r="55">
      <c r="A55" s="60" t="n"/>
      <c r="B55" s="60" t="n"/>
      <c r="C55" s="60">
        <f>IFERROR(VLOOKUP(B55,'Source Inventory'!$A$6:$P$55,2,FALSE),"[Not Found]")</f>
        <v/>
      </c>
      <c r="D55" s="60" t="n"/>
      <c r="E55" s="61" t="n"/>
      <c r="F55" s="60" t="n"/>
      <c r="G55" s="60" t="n"/>
      <c r="H55" s="62" t="n"/>
      <c r="I55" s="62" t="n"/>
      <c r="J55" s="60" t="n"/>
      <c r="K55" s="60" t="n"/>
      <c r="L55" s="63">
        <f>IFERROR((J55/I55)*100,"")</f>
        <v/>
      </c>
      <c r="M55" s="62" t="n"/>
      <c r="N55" s="60" t="n"/>
      <c r="O55" s="60" t="n"/>
      <c r="P55" s="63">
        <f>IFERROR((N55/M55)*100,"")</f>
        <v/>
      </c>
      <c r="Q55" s="60" t="n"/>
      <c r="R55" s="60" t="n"/>
      <c r="S55" s="63">
        <f>IFERROR((Q55/M55)*100,"")</f>
        <v/>
      </c>
      <c r="T55" s="60" t="n"/>
      <c r="U55" s="63">
        <f>IFERROR(((J55+N55)/H55)*100,"")</f>
        <v/>
      </c>
      <c r="V55" s="60" t="n"/>
      <c r="W55" s="60" t="n"/>
      <c r="X55" s="60">
        <f>IF(AND(V55&lt;&gt;"",W55&lt;&gt;""),CONCATENATE(V55,W55),"")</f>
        <v/>
      </c>
      <c r="Y55" s="60">
        <f>IF(AND(U55&gt;=85,S55&gt;=90),"Pass",IF(AND(U55&gt;=80,S55&gt;=85),"Conditional_Pass","Fail"))</f>
        <v/>
      </c>
      <c r="Z55" s="60">
        <f>IF(U55&gt;=85,"Overall &gt;=85% [OK]","Overall &lt;85% [X]") &amp; ", " &amp; IF(S55&gt;=90,"CVSS &gt;=90% [OK]","CVSS &lt;90% [X]")</f>
        <v/>
      </c>
      <c r="AA55" s="60">
        <f>IF(Y55="Pass","None",IF(Y55="Conditional_Pass","Review",IF(OR(V55="A",V55="B"),"Improve","Deprecate")))</f>
        <v/>
      </c>
      <c r="AB55" s="60" t="n"/>
      <c r="AC55" s="60" t="n"/>
      <c r="AD55" s="60" t="n"/>
      <c r="AE55" s="60" t="n"/>
      <c r="AF55" s="60" t="n"/>
      <c r="AG55" s="61" t="n"/>
      <c r="AH55" s="61">
        <f>IF(E55&lt;&gt;"",E55+90,"")</f>
        <v/>
      </c>
    </row>
  </sheetData>
  <mergeCells count="2">
    <mergeCell ref="A2:AO2"/>
    <mergeCell ref="A1:AO1"/>
  </mergeCells>
  <conditionalFormatting sqref="U6:U55">
    <cfRule type="cellIs" priority="1" operator="greaterThanOrEqual" dxfId="7">
      <formula>0.95</formula>
    </cfRule>
    <cfRule type="cellIs" priority="2" operator="greaterThanOrEqual" dxfId="6">
      <formula>0.9</formula>
    </cfRule>
    <cfRule type="cellIs" priority="3" operator="greaterThanOrEqual" dxfId="0">
      <formula>0.85</formula>
    </cfRule>
    <cfRule type="cellIs" priority="4" operator="greaterThanOrEqual" dxfId="2">
      <formula>0.8</formula>
    </cfRule>
    <cfRule type="cellIs" priority="5" operator="lessThan" dxfId="8">
      <formula>0.8</formula>
    </cfRule>
  </conditionalFormatting>
  <conditionalFormatting sqref="S6:S55">
    <cfRule type="cellIs" priority="6" operator="greaterThanOrEqual" dxfId="7">
      <formula>0.95</formula>
    </cfRule>
    <cfRule type="cellIs" priority="7" operator="greaterThanOrEqual" dxfId="6">
      <formula>0.9</formula>
    </cfRule>
    <cfRule type="cellIs" priority="8" operator="greaterThanOrEqual" dxfId="2">
      <formula>0.85</formula>
    </cfRule>
    <cfRule type="cellIs" priority="9" operator="lessThan" dxfId="8">
      <formula>0.85</formula>
    </cfRule>
  </conditionalFormatting>
  <conditionalFormatting sqref="Y6:Y55">
    <cfRule type="cellIs" priority="10" operator="equal" dxfId="0">
      <formula>"Pass"</formula>
    </cfRule>
    <cfRule type="cellIs" priority="11" operator="equal" dxfId="2">
      <formula>"Conditional_Pass"</formula>
    </cfRule>
    <cfRule type="cellIs" priority="12" operator="equal" dxfId="9">
      <formula>"Fail"</formula>
    </cfRule>
  </conditionalFormatting>
  <conditionalFormatting sqref="AA6:AA55">
    <cfRule type="cellIs" priority="13" operator="equal" dxfId="9">
      <formula>"Deprecate"</formula>
    </cfRule>
    <cfRule type="cellIs" priority="14" operator="equal" dxfId="2">
      <formula>"Improve"</formula>
    </cfRule>
    <cfRule type="cellIs" priority="15" operator="equal" dxfId="2">
      <formula>"Review"</formula>
    </cfRule>
  </conditionalFormatting>
  <conditionalFormatting sqref="AH6:AH55">
    <cfRule type="cellIs" priority="16" operator="lessThan" dxfId="4">
      <formula>TODAY()</formula>
    </cfRule>
    <cfRule type="cellIs" priority="17" operator="between" dxfId="2">
      <formula>TODAY()</formula>
      <formula>TODAY()+14</formula>
    </cfRule>
  </conditionalFormatting>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='Source Inventory'!$A$6:$A$55</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0" type="list">
      <formula1>"A,B,C,D,E,F"</formula1>
    </dataValidation>
    <dataValidation sqref="W6 W7 W8 W9 W10 W11 W12 W13 W14 W15 W16 W17 W18 W19 W20 W21 W22 W23 W24 W25 W26 W27 W28 W29 W30 W31 W32 W33 W34 W35 W36 W37 W38 W39 W40 W41 W42 W43 W44 W45 W46 W47 W48 W49 W50 W51 W52 W53 W54 W55" showDropDown="0" showInputMessage="0" showErrorMessage="0" allowBlank="0" type="list">
      <formula1>"1,2,3,4,5,6"</formula1>
    </dataValidation>
    <dataValidation sqref="AC6 AC7 AC8 AC9 AC10 AC11 AC12 AC13 AC14 AC15 AC16 AC17 AC18 AC19 AC20 AC21 AC22 AC23 AC24 AC25 AC26 AC27 AC28 AC29 AC30 AC31 AC32 AC33 AC34 AC35 AC36 AC37 AC38 AC39 AC40 AC41 AC42 AC43 AC44 AC45 AC46 AC47 AC48 AC49 AC50 AC51 AC52 AC53 AC54 AC55" showDropDown="0" showInputMessage="0" showErrorMessage="0" allowBlank="1" type="list">
      <formula1>"Yes,No,N/A"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64" t="inlineStr">
        <is>
          <t>EVIDENCE REGISTER</t>
        </is>
      </c>
      <c r="B1" s="6" t="n"/>
      <c r="C1" s="6" t="n"/>
      <c r="D1" s="6" t="n"/>
      <c r="E1" s="6" t="n"/>
      <c r="F1" s="6" t="n"/>
      <c r="G1" s="6" t="n"/>
      <c r="H1" s="6" t="n"/>
    </row>
    <row r="2">
      <c r="A2" s="65" t="inlineStr">
        <is>
          <t>ISMS-IMP-A.5.7.1 | ISO/IEC 27001:2022 - Control A.5.7: Threat Intelligence</t>
        </is>
      </c>
      <c r="B2" s="6" t="n"/>
      <c r="C2" s="6" t="n"/>
      <c r="D2" s="6" t="n"/>
      <c r="E2" s="6" t="n"/>
      <c r="F2" s="6" t="n"/>
      <c r="G2" s="6" t="n"/>
      <c r="H2" s="6" t="n"/>
    </row>
    <row r="4">
      <c r="A4" s="66" t="inlineStr">
        <is>
          <t>Evidence ID</t>
        </is>
      </c>
      <c r="B4" s="66" t="inlineStr">
        <is>
          <t>Assessment Area</t>
        </is>
      </c>
      <c r="C4" s="66" t="inlineStr">
        <is>
          <t>Evidence Type</t>
        </is>
      </c>
      <c r="D4" s="66" t="inlineStr">
        <is>
          <t>Description</t>
        </is>
      </c>
      <c r="E4" s="66" t="inlineStr">
        <is>
          <t>Location / Path</t>
        </is>
      </c>
      <c r="F4" s="66" t="inlineStr">
        <is>
          <t>Date Collected</t>
        </is>
      </c>
      <c r="G4" s="66" t="inlineStr">
        <is>
          <t>Collected By</t>
        </is>
      </c>
      <c r="H4" s="66" t="inlineStr">
        <is>
          <t>Verification Status</t>
        </is>
      </c>
    </row>
    <row r="5">
      <c r="A5" s="67" t="inlineStr">
        <is>
          <t>EV-001</t>
        </is>
      </c>
      <c r="B5" s="52" t="inlineStr">
        <is>
          <t>Threat Intelligence Sources</t>
        </is>
      </c>
      <c r="C5" s="52" t="inlineStr">
        <is>
          <t>Screenshot</t>
        </is>
      </c>
      <c r="D5" s="52" t="inlineStr">
        <is>
          <t>MISP Community Feed configuration showing active subscription and API integration</t>
        </is>
      </c>
      <c r="E5" s="52" t="inlineStr">
        <is>
          <t>/evidence/a57/misp-feed-config-2025-01-15.png</t>
        </is>
      </c>
      <c r="F5" s="52" t="inlineStr">
        <is>
          <t>07.03.2026</t>
        </is>
      </c>
      <c r="G5" s="52" t="inlineStr">
        <is>
          <t>Security Manager</t>
        </is>
      </c>
      <c r="H5" s="52" t="inlineStr">
        <is>
          <t>✅ Verified</t>
        </is>
      </c>
    </row>
    <row r="6">
      <c r="A6" s="68" t="n"/>
      <c r="B6" s="53" t="n"/>
      <c r="C6" s="53" t="n"/>
      <c r="D6" s="53" t="n"/>
      <c r="E6" s="53" t="n"/>
      <c r="F6" s="53" t="n"/>
      <c r="G6" s="53" t="n"/>
      <c r="H6" s="53" t="n"/>
    </row>
    <row r="7">
      <c r="A7" s="68" t="n"/>
      <c r="B7" s="53" t="n"/>
      <c r="C7" s="53" t="n"/>
      <c r="D7" s="53" t="n"/>
      <c r="E7" s="53" t="n"/>
      <c r="F7" s="53" t="n"/>
      <c r="G7" s="53" t="n"/>
      <c r="H7" s="53" t="n"/>
    </row>
    <row r="8">
      <c r="A8" s="68" t="n"/>
      <c r="B8" s="53" t="n"/>
      <c r="C8" s="53" t="n"/>
      <c r="D8" s="53" t="n"/>
      <c r="E8" s="53" t="n"/>
      <c r="F8" s="53" t="n"/>
      <c r="G8" s="53" t="n"/>
      <c r="H8" s="53" t="n"/>
    </row>
    <row r="9">
      <c r="A9" s="68" t="n"/>
      <c r="B9" s="53" t="n"/>
      <c r="C9" s="53" t="n"/>
      <c r="D9" s="53" t="n"/>
      <c r="E9" s="53" t="n"/>
      <c r="F9" s="53" t="n"/>
      <c r="G9" s="53" t="n"/>
      <c r="H9" s="53" t="n"/>
    </row>
    <row r="10">
      <c r="A10" s="68" t="n"/>
      <c r="B10" s="53" t="n"/>
      <c r="C10" s="53" t="n"/>
      <c r="D10" s="53" t="n"/>
      <c r="E10" s="53" t="n"/>
      <c r="F10" s="53" t="n"/>
      <c r="G10" s="53" t="n"/>
      <c r="H10" s="53" t="n"/>
    </row>
    <row r="11">
      <c r="A11" s="68" t="n"/>
      <c r="B11" s="53" t="n"/>
      <c r="C11" s="53" t="n"/>
      <c r="D11" s="53" t="n"/>
      <c r="E11" s="53" t="n"/>
      <c r="F11" s="53" t="n"/>
      <c r="G11" s="53" t="n"/>
      <c r="H11" s="53" t="n"/>
    </row>
    <row r="12">
      <c r="A12" s="68" t="n"/>
      <c r="B12" s="53" t="n"/>
      <c r="C12" s="53" t="n"/>
      <c r="D12" s="53" t="n"/>
      <c r="E12" s="53" t="n"/>
      <c r="F12" s="53" t="n"/>
      <c r="G12" s="53" t="n"/>
      <c r="H12" s="53" t="n"/>
    </row>
    <row r="13">
      <c r="A13" s="68" t="n"/>
      <c r="B13" s="53" t="n"/>
      <c r="C13" s="53" t="n"/>
      <c r="D13" s="53" t="n"/>
      <c r="E13" s="53" t="n"/>
      <c r="F13" s="53" t="n"/>
      <c r="G13" s="53" t="n"/>
      <c r="H13" s="53" t="n"/>
    </row>
    <row r="14">
      <c r="A14" s="68" t="n"/>
      <c r="B14" s="53" t="n"/>
      <c r="C14" s="53" t="n"/>
      <c r="D14" s="53" t="n"/>
      <c r="E14" s="53" t="n"/>
      <c r="F14" s="53" t="n"/>
      <c r="G14" s="53" t="n"/>
      <c r="H14" s="53" t="n"/>
    </row>
    <row r="15">
      <c r="A15" s="68" t="n"/>
      <c r="B15" s="53" t="n"/>
      <c r="C15" s="53" t="n"/>
      <c r="D15" s="53" t="n"/>
      <c r="E15" s="53" t="n"/>
      <c r="F15" s="53" t="n"/>
      <c r="G15" s="53" t="n"/>
      <c r="H15" s="53" t="n"/>
    </row>
    <row r="16">
      <c r="A16" s="68" t="n"/>
      <c r="B16" s="53" t="n"/>
      <c r="C16" s="53" t="n"/>
      <c r="D16" s="53" t="n"/>
      <c r="E16" s="53" t="n"/>
      <c r="F16" s="53" t="n"/>
      <c r="G16" s="53" t="n"/>
      <c r="H16" s="53" t="n"/>
    </row>
    <row r="17">
      <c r="A17" s="68" t="n"/>
      <c r="B17" s="53" t="n"/>
      <c r="C17" s="53" t="n"/>
      <c r="D17" s="53" t="n"/>
      <c r="E17" s="53" t="n"/>
      <c r="F17" s="53" t="n"/>
      <c r="G17" s="53" t="n"/>
      <c r="H17" s="53" t="n"/>
    </row>
    <row r="18">
      <c r="A18" s="68" t="n"/>
      <c r="B18" s="53" t="n"/>
      <c r="C18" s="53" t="n"/>
      <c r="D18" s="53" t="n"/>
      <c r="E18" s="53" t="n"/>
      <c r="F18" s="53" t="n"/>
      <c r="G18" s="53" t="n"/>
      <c r="H18" s="53" t="n"/>
    </row>
    <row r="19">
      <c r="A19" s="68" t="n"/>
      <c r="B19" s="53" t="n"/>
      <c r="C19" s="53" t="n"/>
      <c r="D19" s="53" t="n"/>
      <c r="E19" s="53" t="n"/>
      <c r="F19" s="53" t="n"/>
      <c r="G19" s="53" t="n"/>
      <c r="H19" s="53" t="n"/>
    </row>
    <row r="20">
      <c r="A20" s="68" t="n"/>
      <c r="B20" s="53" t="n"/>
      <c r="C20" s="53" t="n"/>
      <c r="D20" s="53" t="n"/>
      <c r="E20" s="53" t="n"/>
      <c r="F20" s="53" t="n"/>
      <c r="G20" s="53" t="n"/>
      <c r="H20" s="53" t="n"/>
    </row>
    <row r="21">
      <c r="A21" s="68" t="n"/>
      <c r="B21" s="53" t="n"/>
      <c r="C21" s="53" t="n"/>
      <c r="D21" s="53" t="n"/>
      <c r="E21" s="53" t="n"/>
      <c r="F21" s="53" t="n"/>
      <c r="G21" s="53" t="n"/>
      <c r="H21" s="53" t="n"/>
    </row>
    <row r="22">
      <c r="A22" s="68" t="n"/>
      <c r="B22" s="53" t="n"/>
      <c r="C22" s="53" t="n"/>
      <c r="D22" s="53" t="n"/>
      <c r="E22" s="53" t="n"/>
      <c r="F22" s="53" t="n"/>
      <c r="G22" s="53" t="n"/>
      <c r="H22" s="53" t="n"/>
    </row>
    <row r="23">
      <c r="A23" s="68" t="n"/>
      <c r="B23" s="53" t="n"/>
      <c r="C23" s="53" t="n"/>
      <c r="D23" s="53" t="n"/>
      <c r="E23" s="53" t="n"/>
      <c r="F23" s="53" t="n"/>
      <c r="G23" s="53" t="n"/>
      <c r="H23" s="53" t="n"/>
    </row>
    <row r="24">
      <c r="A24" s="68" t="n"/>
      <c r="B24" s="53" t="n"/>
      <c r="C24" s="53" t="n"/>
      <c r="D24" s="53" t="n"/>
      <c r="E24" s="53" t="n"/>
      <c r="F24" s="53" t="n"/>
      <c r="G24" s="53" t="n"/>
      <c r="H24" s="53" t="n"/>
    </row>
    <row r="25">
      <c r="A25" s="68" t="n"/>
      <c r="B25" s="53" t="n"/>
      <c r="C25" s="53" t="n"/>
      <c r="D25" s="53" t="n"/>
      <c r="E25" s="53" t="n"/>
      <c r="F25" s="53" t="n"/>
      <c r="G25" s="53" t="n"/>
      <c r="H25" s="53" t="n"/>
    </row>
    <row r="26">
      <c r="A26" s="68" t="n"/>
      <c r="B26" s="53" t="n"/>
      <c r="C26" s="53" t="n"/>
      <c r="D26" s="53" t="n"/>
      <c r="E26" s="53" t="n"/>
      <c r="F26" s="53" t="n"/>
      <c r="G26" s="53" t="n"/>
      <c r="H26" s="53" t="n"/>
    </row>
    <row r="27">
      <c r="A27" s="68" t="n"/>
      <c r="B27" s="53" t="n"/>
      <c r="C27" s="53" t="n"/>
      <c r="D27" s="53" t="n"/>
      <c r="E27" s="53" t="n"/>
      <c r="F27" s="53" t="n"/>
      <c r="G27" s="53" t="n"/>
      <c r="H27" s="53" t="n"/>
    </row>
    <row r="28">
      <c r="A28" s="68" t="n"/>
      <c r="B28" s="53" t="n"/>
      <c r="C28" s="53" t="n"/>
      <c r="D28" s="53" t="n"/>
      <c r="E28" s="53" t="n"/>
      <c r="F28" s="53" t="n"/>
      <c r="G28" s="53" t="n"/>
      <c r="H28" s="53" t="n"/>
    </row>
    <row r="29">
      <c r="A29" s="68" t="n"/>
      <c r="B29" s="53" t="n"/>
      <c r="C29" s="53" t="n"/>
      <c r="D29" s="53" t="n"/>
      <c r="E29" s="53" t="n"/>
      <c r="F29" s="53" t="n"/>
      <c r="G29" s="53" t="n"/>
      <c r="H29" s="53" t="n"/>
    </row>
    <row r="30">
      <c r="A30" s="68" t="n"/>
      <c r="B30" s="53" t="n"/>
      <c r="C30" s="53" t="n"/>
      <c r="D30" s="53" t="n"/>
      <c r="E30" s="53" t="n"/>
      <c r="F30" s="53" t="n"/>
      <c r="G30" s="53" t="n"/>
      <c r="H30" s="53" t="n"/>
    </row>
    <row r="31">
      <c r="A31" s="68" t="n"/>
      <c r="B31" s="53" t="n"/>
      <c r="C31" s="53" t="n"/>
      <c r="D31" s="53" t="n"/>
      <c r="E31" s="53" t="n"/>
      <c r="F31" s="53" t="n"/>
      <c r="G31" s="53" t="n"/>
      <c r="H31" s="53" t="n"/>
    </row>
    <row r="32">
      <c r="A32" s="68" t="n"/>
      <c r="B32" s="53" t="n"/>
      <c r="C32" s="53" t="n"/>
      <c r="D32" s="53" t="n"/>
      <c r="E32" s="53" t="n"/>
      <c r="F32" s="53" t="n"/>
      <c r="G32" s="53" t="n"/>
      <c r="H32" s="53" t="n"/>
    </row>
    <row r="33">
      <c r="A33" s="68" t="n"/>
      <c r="B33" s="53" t="n"/>
      <c r="C33" s="53" t="n"/>
      <c r="D33" s="53" t="n"/>
      <c r="E33" s="53" t="n"/>
      <c r="F33" s="53" t="n"/>
      <c r="G33" s="53" t="n"/>
      <c r="H33" s="53" t="n"/>
    </row>
    <row r="34">
      <c r="A34" s="68" t="n"/>
      <c r="B34" s="53" t="n"/>
      <c r="C34" s="53" t="n"/>
      <c r="D34" s="53" t="n"/>
      <c r="E34" s="53" t="n"/>
      <c r="F34" s="53" t="n"/>
      <c r="G34" s="53" t="n"/>
      <c r="H34" s="53" t="n"/>
    </row>
    <row r="35">
      <c r="A35" s="68" t="n"/>
      <c r="B35" s="53" t="n"/>
      <c r="C35" s="53" t="n"/>
      <c r="D35" s="53" t="n"/>
      <c r="E35" s="53" t="n"/>
      <c r="F35" s="53" t="n"/>
      <c r="G35" s="53" t="n"/>
      <c r="H35" s="53" t="n"/>
    </row>
    <row r="36">
      <c r="A36" s="68" t="n"/>
      <c r="B36" s="53" t="n"/>
      <c r="C36" s="53" t="n"/>
      <c r="D36" s="53" t="n"/>
      <c r="E36" s="53" t="n"/>
      <c r="F36" s="53" t="n"/>
      <c r="G36" s="53" t="n"/>
      <c r="H36" s="53" t="n"/>
    </row>
    <row r="37">
      <c r="A37" s="68" t="n"/>
      <c r="B37" s="53" t="n"/>
      <c r="C37" s="53" t="n"/>
      <c r="D37" s="53" t="n"/>
      <c r="E37" s="53" t="n"/>
      <c r="F37" s="53" t="n"/>
      <c r="G37" s="53" t="n"/>
      <c r="H37" s="53" t="n"/>
    </row>
    <row r="38">
      <c r="A38" s="68" t="n"/>
      <c r="B38" s="53" t="n"/>
      <c r="C38" s="53" t="n"/>
      <c r="D38" s="53" t="n"/>
      <c r="E38" s="53" t="n"/>
      <c r="F38" s="53" t="n"/>
      <c r="G38" s="53" t="n"/>
      <c r="H38" s="53" t="n"/>
    </row>
    <row r="39">
      <c r="A39" s="68" t="n"/>
      <c r="B39" s="53" t="n"/>
      <c r="C39" s="53" t="n"/>
      <c r="D39" s="53" t="n"/>
      <c r="E39" s="53" t="n"/>
      <c r="F39" s="53" t="n"/>
      <c r="G39" s="53" t="n"/>
      <c r="H39" s="53" t="n"/>
    </row>
    <row r="40">
      <c r="A40" s="68" t="n"/>
      <c r="B40" s="53" t="n"/>
      <c r="C40" s="53" t="n"/>
      <c r="D40" s="53" t="n"/>
      <c r="E40" s="53" t="n"/>
      <c r="F40" s="53" t="n"/>
      <c r="G40" s="53" t="n"/>
      <c r="H40" s="53" t="n"/>
    </row>
    <row r="41">
      <c r="A41" s="68" t="n"/>
      <c r="B41" s="53" t="n"/>
      <c r="C41" s="53" t="n"/>
      <c r="D41" s="53" t="n"/>
      <c r="E41" s="53" t="n"/>
      <c r="F41" s="53" t="n"/>
      <c r="G41" s="53" t="n"/>
      <c r="H41" s="53" t="n"/>
    </row>
    <row r="42">
      <c r="A42" s="68" t="n"/>
      <c r="B42" s="53" t="n"/>
      <c r="C42" s="53" t="n"/>
      <c r="D42" s="53" t="n"/>
      <c r="E42" s="53" t="n"/>
      <c r="F42" s="53" t="n"/>
      <c r="G42" s="53" t="n"/>
      <c r="H42" s="53" t="n"/>
    </row>
    <row r="43">
      <c r="A43" s="68" t="n"/>
      <c r="B43" s="53" t="n"/>
      <c r="C43" s="53" t="n"/>
      <c r="D43" s="53" t="n"/>
      <c r="E43" s="53" t="n"/>
      <c r="F43" s="53" t="n"/>
      <c r="G43" s="53" t="n"/>
      <c r="H43" s="53" t="n"/>
    </row>
    <row r="44">
      <c r="A44" s="68" t="n"/>
      <c r="B44" s="53" t="n"/>
      <c r="C44" s="53" t="n"/>
      <c r="D44" s="53" t="n"/>
      <c r="E44" s="53" t="n"/>
      <c r="F44" s="53" t="n"/>
      <c r="G44" s="53" t="n"/>
      <c r="H44" s="53" t="n"/>
    </row>
    <row r="45">
      <c r="A45" s="68" t="n"/>
      <c r="B45" s="53" t="n"/>
      <c r="C45" s="53" t="n"/>
      <c r="D45" s="53" t="n"/>
      <c r="E45" s="53" t="n"/>
      <c r="F45" s="53" t="n"/>
      <c r="G45" s="53" t="n"/>
      <c r="H45" s="53" t="n"/>
    </row>
    <row r="46">
      <c r="A46" s="68" t="n"/>
      <c r="B46" s="53" t="n"/>
      <c r="C46" s="53" t="n"/>
      <c r="D46" s="53" t="n"/>
      <c r="E46" s="53" t="n"/>
      <c r="F46" s="53" t="n"/>
      <c r="G46" s="53" t="n"/>
      <c r="H46" s="53" t="n"/>
    </row>
    <row r="47">
      <c r="A47" s="68" t="n"/>
      <c r="B47" s="53" t="n"/>
      <c r="C47" s="53" t="n"/>
      <c r="D47" s="53" t="n"/>
      <c r="E47" s="53" t="n"/>
      <c r="F47" s="53" t="n"/>
      <c r="G47" s="53" t="n"/>
      <c r="H47" s="53" t="n"/>
    </row>
    <row r="48">
      <c r="A48" s="68" t="n"/>
      <c r="B48" s="53" t="n"/>
      <c r="C48" s="53" t="n"/>
      <c r="D48" s="53" t="n"/>
      <c r="E48" s="53" t="n"/>
      <c r="F48" s="53" t="n"/>
      <c r="G48" s="53" t="n"/>
      <c r="H48" s="53" t="n"/>
    </row>
    <row r="49">
      <c r="A49" s="68" t="n"/>
      <c r="B49" s="53" t="n"/>
      <c r="C49" s="53" t="n"/>
      <c r="D49" s="53" t="n"/>
      <c r="E49" s="53" t="n"/>
      <c r="F49" s="53" t="n"/>
      <c r="G49" s="53" t="n"/>
      <c r="H49" s="53" t="n"/>
    </row>
    <row r="50">
      <c r="A50" s="68" t="n"/>
      <c r="B50" s="53" t="n"/>
      <c r="C50" s="53" t="n"/>
      <c r="D50" s="53" t="n"/>
      <c r="E50" s="53" t="n"/>
      <c r="F50" s="53" t="n"/>
      <c r="G50" s="53" t="n"/>
      <c r="H50" s="53" t="n"/>
    </row>
    <row r="51">
      <c r="A51" s="68" t="n"/>
      <c r="B51" s="53" t="n"/>
      <c r="C51" s="53" t="n"/>
      <c r="D51" s="53" t="n"/>
      <c r="E51" s="53" t="n"/>
      <c r="F51" s="53" t="n"/>
      <c r="G51" s="53" t="n"/>
      <c r="H51" s="53" t="n"/>
    </row>
    <row r="52">
      <c r="A52" s="68" t="n"/>
      <c r="B52" s="53" t="n"/>
      <c r="C52" s="53" t="n"/>
      <c r="D52" s="53" t="n"/>
      <c r="E52" s="53" t="n"/>
      <c r="F52" s="53" t="n"/>
      <c r="G52" s="53" t="n"/>
      <c r="H52" s="53" t="n"/>
    </row>
    <row r="53">
      <c r="A53" s="68" t="n"/>
      <c r="B53" s="53" t="n"/>
      <c r="C53" s="53" t="n"/>
      <c r="D53" s="53" t="n"/>
      <c r="E53" s="53" t="n"/>
      <c r="F53" s="53" t="n"/>
      <c r="G53" s="53" t="n"/>
      <c r="H53" s="53" t="n"/>
    </row>
    <row r="54">
      <c r="A54" s="68" t="n"/>
      <c r="B54" s="53" t="n"/>
      <c r="C54" s="53" t="n"/>
      <c r="D54" s="53" t="n"/>
      <c r="E54" s="53" t="n"/>
      <c r="F54" s="53" t="n"/>
      <c r="G54" s="53" t="n"/>
      <c r="H54" s="53" t="n"/>
    </row>
    <row r="55">
      <c r="A55" s="68" t="n"/>
      <c r="B55" s="53" t="n"/>
      <c r="C55" s="53" t="n"/>
      <c r="D55" s="53" t="n"/>
      <c r="E55" s="53" t="n"/>
      <c r="F55" s="53" t="n"/>
      <c r="G55" s="53" t="n"/>
      <c r="H55" s="53" t="n"/>
    </row>
    <row r="56">
      <c r="A56" s="68" t="n"/>
      <c r="B56" s="53" t="n"/>
      <c r="C56" s="53" t="n"/>
      <c r="D56" s="53" t="n"/>
      <c r="E56" s="53" t="n"/>
      <c r="F56" s="53" t="n"/>
      <c r="G56" s="53" t="n"/>
      <c r="H56" s="53" t="n"/>
    </row>
    <row r="57">
      <c r="A57" s="68" t="n"/>
      <c r="B57" s="53" t="n"/>
      <c r="C57" s="53" t="n"/>
      <c r="D57" s="53" t="n"/>
      <c r="E57" s="53" t="n"/>
      <c r="F57" s="53" t="n"/>
      <c r="G57" s="53" t="n"/>
      <c r="H57" s="53" t="n"/>
    </row>
    <row r="58">
      <c r="A58" s="68" t="n"/>
      <c r="B58" s="53" t="n"/>
      <c r="C58" s="53" t="n"/>
      <c r="D58" s="53" t="n"/>
      <c r="E58" s="53" t="n"/>
      <c r="F58" s="53" t="n"/>
      <c r="G58" s="53" t="n"/>
      <c r="H58" s="53" t="n"/>
    </row>
    <row r="59">
      <c r="A59" s="68" t="n"/>
      <c r="B59" s="53" t="n"/>
      <c r="C59" s="53" t="n"/>
      <c r="D59" s="53" t="n"/>
      <c r="E59" s="53" t="n"/>
      <c r="F59" s="53" t="n"/>
      <c r="G59" s="53" t="n"/>
      <c r="H59" s="53" t="n"/>
    </row>
    <row r="60">
      <c r="A60" s="68" t="n"/>
      <c r="B60" s="53" t="n"/>
      <c r="C60" s="53" t="n"/>
      <c r="D60" s="53" t="n"/>
      <c r="E60" s="53" t="n"/>
      <c r="F60" s="53" t="n"/>
      <c r="G60" s="53" t="n"/>
      <c r="H60" s="53" t="n"/>
    </row>
    <row r="61">
      <c r="A61" s="68" t="n"/>
      <c r="B61" s="53" t="n"/>
      <c r="C61" s="53" t="n"/>
      <c r="D61" s="53" t="n"/>
      <c r="E61" s="53" t="n"/>
      <c r="F61" s="53" t="n"/>
      <c r="G61" s="53" t="n"/>
      <c r="H61" s="53" t="n"/>
    </row>
    <row r="62">
      <c r="A62" s="68" t="n"/>
      <c r="B62" s="53" t="n"/>
      <c r="C62" s="53" t="n"/>
      <c r="D62" s="53" t="n"/>
      <c r="E62" s="53" t="n"/>
      <c r="F62" s="53" t="n"/>
      <c r="G62" s="53" t="n"/>
      <c r="H62" s="53" t="n"/>
    </row>
    <row r="63">
      <c r="A63" s="68" t="n"/>
      <c r="B63" s="53" t="n"/>
      <c r="C63" s="53" t="n"/>
      <c r="D63" s="53" t="n"/>
      <c r="E63" s="53" t="n"/>
      <c r="F63" s="53" t="n"/>
      <c r="G63" s="53" t="n"/>
      <c r="H63" s="53" t="n"/>
    </row>
    <row r="64">
      <c r="A64" s="68" t="n"/>
      <c r="B64" s="53" t="n"/>
      <c r="C64" s="53" t="n"/>
      <c r="D64" s="53" t="n"/>
      <c r="E64" s="53" t="n"/>
      <c r="F64" s="53" t="n"/>
      <c r="G64" s="53" t="n"/>
      <c r="H64" s="53" t="n"/>
    </row>
    <row r="65">
      <c r="A65" s="68" t="n"/>
      <c r="B65" s="53" t="n"/>
      <c r="C65" s="53" t="n"/>
      <c r="D65" s="53" t="n"/>
      <c r="E65" s="53" t="n"/>
      <c r="F65" s="53" t="n"/>
      <c r="G65" s="53" t="n"/>
      <c r="H65" s="53" t="n"/>
    </row>
    <row r="66">
      <c r="A66" s="68" t="n"/>
      <c r="B66" s="53" t="n"/>
      <c r="C66" s="53" t="n"/>
      <c r="D66" s="53" t="n"/>
      <c r="E66" s="53" t="n"/>
      <c r="F66" s="53" t="n"/>
      <c r="G66" s="53" t="n"/>
      <c r="H66" s="53" t="n"/>
    </row>
    <row r="67">
      <c r="A67" s="68" t="n"/>
      <c r="B67" s="53" t="n"/>
      <c r="C67" s="53" t="n"/>
      <c r="D67" s="53" t="n"/>
      <c r="E67" s="53" t="n"/>
      <c r="F67" s="53" t="n"/>
      <c r="G67" s="53" t="n"/>
      <c r="H67" s="53" t="n"/>
    </row>
    <row r="68">
      <c r="A68" s="68" t="n"/>
      <c r="B68" s="53" t="n"/>
      <c r="C68" s="53" t="n"/>
      <c r="D68" s="53" t="n"/>
      <c r="E68" s="53" t="n"/>
      <c r="F68" s="53" t="n"/>
      <c r="G68" s="53" t="n"/>
      <c r="H68" s="53" t="n"/>
    </row>
    <row r="69">
      <c r="A69" s="68" t="n"/>
      <c r="B69" s="53" t="n"/>
      <c r="C69" s="53" t="n"/>
      <c r="D69" s="53" t="n"/>
      <c r="E69" s="53" t="n"/>
      <c r="F69" s="53" t="n"/>
      <c r="G69" s="53" t="n"/>
      <c r="H69" s="53" t="n"/>
    </row>
    <row r="70">
      <c r="A70" s="68" t="n"/>
      <c r="B70" s="53" t="n"/>
      <c r="C70" s="53" t="n"/>
      <c r="D70" s="53" t="n"/>
      <c r="E70" s="53" t="n"/>
      <c r="F70" s="53" t="n"/>
      <c r="G70" s="53" t="n"/>
      <c r="H70" s="53" t="n"/>
    </row>
    <row r="71">
      <c r="A71" s="68" t="n"/>
      <c r="B71" s="53" t="n"/>
      <c r="C71" s="53" t="n"/>
      <c r="D71" s="53" t="n"/>
      <c r="E71" s="53" t="n"/>
      <c r="F71" s="53" t="n"/>
      <c r="G71" s="53" t="n"/>
      <c r="H71" s="53" t="n"/>
    </row>
    <row r="72">
      <c r="A72" s="68" t="n"/>
      <c r="B72" s="53" t="n"/>
      <c r="C72" s="53" t="n"/>
      <c r="D72" s="53" t="n"/>
      <c r="E72" s="53" t="n"/>
      <c r="F72" s="53" t="n"/>
      <c r="G72" s="53" t="n"/>
      <c r="H72" s="53" t="n"/>
    </row>
    <row r="73">
      <c r="A73" s="68" t="n"/>
      <c r="B73" s="53" t="n"/>
      <c r="C73" s="53" t="n"/>
      <c r="D73" s="53" t="n"/>
      <c r="E73" s="53" t="n"/>
      <c r="F73" s="53" t="n"/>
      <c r="G73" s="53" t="n"/>
      <c r="H73" s="53" t="n"/>
    </row>
    <row r="74">
      <c r="A74" s="68" t="n"/>
      <c r="B74" s="53" t="n"/>
      <c r="C74" s="53" t="n"/>
      <c r="D74" s="53" t="n"/>
      <c r="E74" s="53" t="n"/>
      <c r="F74" s="53" t="n"/>
      <c r="G74" s="53" t="n"/>
      <c r="H74" s="53" t="n"/>
    </row>
    <row r="75">
      <c r="A75" s="68" t="n"/>
      <c r="B75" s="53" t="n"/>
      <c r="C75" s="53" t="n"/>
      <c r="D75" s="53" t="n"/>
      <c r="E75" s="53" t="n"/>
      <c r="F75" s="53" t="n"/>
      <c r="G75" s="53" t="n"/>
      <c r="H75" s="53" t="n"/>
    </row>
    <row r="76">
      <c r="A76" s="68" t="n"/>
      <c r="B76" s="53" t="n"/>
      <c r="C76" s="53" t="n"/>
      <c r="D76" s="53" t="n"/>
      <c r="E76" s="53" t="n"/>
      <c r="F76" s="53" t="n"/>
      <c r="G76" s="53" t="n"/>
      <c r="H76" s="53" t="n"/>
    </row>
    <row r="77">
      <c r="A77" s="68" t="n"/>
      <c r="B77" s="53" t="n"/>
      <c r="C77" s="53" t="n"/>
      <c r="D77" s="53" t="n"/>
      <c r="E77" s="53" t="n"/>
      <c r="F77" s="53" t="n"/>
      <c r="G77" s="53" t="n"/>
      <c r="H77" s="53" t="n"/>
    </row>
    <row r="78">
      <c r="A78" s="68" t="n"/>
      <c r="B78" s="53" t="n"/>
      <c r="C78" s="53" t="n"/>
      <c r="D78" s="53" t="n"/>
      <c r="E78" s="53" t="n"/>
      <c r="F78" s="53" t="n"/>
      <c r="G78" s="53" t="n"/>
      <c r="H78" s="53" t="n"/>
    </row>
    <row r="79">
      <c r="A79" s="68" t="n"/>
      <c r="B79" s="53" t="n"/>
      <c r="C79" s="53" t="n"/>
      <c r="D79" s="53" t="n"/>
      <c r="E79" s="53" t="n"/>
      <c r="F79" s="53" t="n"/>
      <c r="G79" s="53" t="n"/>
      <c r="H79" s="53" t="n"/>
    </row>
    <row r="80">
      <c r="A80" s="68" t="n"/>
      <c r="B80" s="53" t="n"/>
      <c r="C80" s="53" t="n"/>
      <c r="D80" s="53" t="n"/>
      <c r="E80" s="53" t="n"/>
      <c r="F80" s="53" t="n"/>
      <c r="G80" s="53" t="n"/>
      <c r="H80" s="53" t="n"/>
    </row>
    <row r="81">
      <c r="A81" s="68" t="n"/>
      <c r="B81" s="53" t="n"/>
      <c r="C81" s="53" t="n"/>
      <c r="D81" s="53" t="n"/>
      <c r="E81" s="53" t="n"/>
      <c r="F81" s="53" t="n"/>
      <c r="G81" s="53" t="n"/>
      <c r="H81" s="53" t="n"/>
    </row>
    <row r="82">
      <c r="A82" s="68" t="n"/>
      <c r="B82" s="53" t="n"/>
      <c r="C82" s="53" t="n"/>
      <c r="D82" s="53" t="n"/>
      <c r="E82" s="53" t="n"/>
      <c r="F82" s="53" t="n"/>
      <c r="G82" s="53" t="n"/>
      <c r="H82" s="53" t="n"/>
    </row>
    <row r="83">
      <c r="A83" s="68" t="n"/>
      <c r="B83" s="53" t="n"/>
      <c r="C83" s="53" t="n"/>
      <c r="D83" s="53" t="n"/>
      <c r="E83" s="53" t="n"/>
      <c r="F83" s="53" t="n"/>
      <c r="G83" s="53" t="n"/>
      <c r="H83" s="53" t="n"/>
    </row>
    <row r="84">
      <c r="A84" s="68" t="n"/>
      <c r="B84" s="53" t="n"/>
      <c r="C84" s="53" t="n"/>
      <c r="D84" s="53" t="n"/>
      <c r="E84" s="53" t="n"/>
      <c r="F84" s="53" t="n"/>
      <c r="G84" s="53" t="n"/>
      <c r="H84" s="53" t="n"/>
    </row>
    <row r="85">
      <c r="A85" s="68" t="n"/>
      <c r="B85" s="53" t="n"/>
      <c r="C85" s="53" t="n"/>
      <c r="D85" s="53" t="n"/>
      <c r="E85" s="53" t="n"/>
      <c r="F85" s="53" t="n"/>
      <c r="G85" s="53" t="n"/>
      <c r="H85" s="53" t="n"/>
    </row>
    <row r="86">
      <c r="A86" s="68" t="n"/>
      <c r="B86" s="53" t="n"/>
      <c r="C86" s="53" t="n"/>
      <c r="D86" s="53" t="n"/>
      <c r="E86" s="53" t="n"/>
      <c r="F86" s="53" t="n"/>
      <c r="G86" s="53" t="n"/>
      <c r="H86" s="53" t="n"/>
    </row>
    <row r="87">
      <c r="A87" s="68" t="n"/>
      <c r="B87" s="53" t="n"/>
      <c r="C87" s="53" t="n"/>
      <c r="D87" s="53" t="n"/>
      <c r="E87" s="53" t="n"/>
      <c r="F87" s="53" t="n"/>
      <c r="G87" s="53" t="n"/>
      <c r="H87" s="53" t="n"/>
    </row>
    <row r="88">
      <c r="A88" s="68" t="n"/>
      <c r="B88" s="53" t="n"/>
      <c r="C88" s="53" t="n"/>
      <c r="D88" s="53" t="n"/>
      <c r="E88" s="53" t="n"/>
      <c r="F88" s="53" t="n"/>
      <c r="G88" s="53" t="n"/>
      <c r="H88" s="53" t="n"/>
    </row>
    <row r="89">
      <c r="A89" s="68" t="n"/>
      <c r="B89" s="53" t="n"/>
      <c r="C89" s="53" t="n"/>
      <c r="D89" s="53" t="n"/>
      <c r="E89" s="53" t="n"/>
      <c r="F89" s="53" t="n"/>
      <c r="G89" s="53" t="n"/>
      <c r="H89" s="53" t="n"/>
    </row>
    <row r="90">
      <c r="A90" s="68" t="n"/>
      <c r="B90" s="53" t="n"/>
      <c r="C90" s="53" t="n"/>
      <c r="D90" s="53" t="n"/>
      <c r="E90" s="53" t="n"/>
      <c r="F90" s="53" t="n"/>
      <c r="G90" s="53" t="n"/>
      <c r="H90" s="53" t="n"/>
    </row>
    <row r="91">
      <c r="A91" s="68" t="n"/>
      <c r="B91" s="53" t="n"/>
      <c r="C91" s="53" t="n"/>
      <c r="D91" s="53" t="n"/>
      <c r="E91" s="53" t="n"/>
      <c r="F91" s="53" t="n"/>
      <c r="G91" s="53" t="n"/>
      <c r="H91" s="53" t="n"/>
    </row>
    <row r="92">
      <c r="A92" s="68" t="n"/>
      <c r="B92" s="53" t="n"/>
      <c r="C92" s="53" t="n"/>
      <c r="D92" s="53" t="n"/>
      <c r="E92" s="53" t="n"/>
      <c r="F92" s="53" t="n"/>
      <c r="G92" s="53" t="n"/>
      <c r="H92" s="53" t="n"/>
    </row>
    <row r="93">
      <c r="A93" s="68" t="n"/>
      <c r="B93" s="53" t="n"/>
      <c r="C93" s="53" t="n"/>
      <c r="D93" s="53" t="n"/>
      <c r="E93" s="53" t="n"/>
      <c r="F93" s="53" t="n"/>
      <c r="G93" s="53" t="n"/>
      <c r="H93" s="53" t="n"/>
    </row>
    <row r="94">
      <c r="A94" s="68" t="n"/>
      <c r="B94" s="53" t="n"/>
      <c r="C94" s="53" t="n"/>
      <c r="D94" s="53" t="n"/>
      <c r="E94" s="53" t="n"/>
      <c r="F94" s="53" t="n"/>
      <c r="G94" s="53" t="n"/>
      <c r="H94" s="53" t="n"/>
    </row>
    <row r="95">
      <c r="A95" s="68" t="n"/>
      <c r="B95" s="53" t="n"/>
      <c r="C95" s="53" t="n"/>
      <c r="D95" s="53" t="n"/>
      <c r="E95" s="53" t="n"/>
      <c r="F95" s="53" t="n"/>
      <c r="G95" s="53" t="n"/>
      <c r="H95" s="53" t="n"/>
    </row>
    <row r="96">
      <c r="A96" s="68" t="n"/>
      <c r="B96" s="53" t="n"/>
      <c r="C96" s="53" t="n"/>
      <c r="D96" s="53" t="n"/>
      <c r="E96" s="53" t="n"/>
      <c r="F96" s="53" t="n"/>
      <c r="G96" s="53" t="n"/>
      <c r="H96" s="53" t="n"/>
    </row>
    <row r="97">
      <c r="A97" s="68" t="n"/>
      <c r="B97" s="53" t="n"/>
      <c r="C97" s="53" t="n"/>
      <c r="D97" s="53" t="n"/>
      <c r="E97" s="53" t="n"/>
      <c r="F97" s="53" t="n"/>
      <c r="G97" s="53" t="n"/>
      <c r="H97" s="53" t="n"/>
    </row>
    <row r="98">
      <c r="A98" s="68" t="n"/>
      <c r="B98" s="53" t="n"/>
      <c r="C98" s="53" t="n"/>
      <c r="D98" s="53" t="n"/>
      <c r="E98" s="53" t="n"/>
      <c r="F98" s="53" t="n"/>
      <c r="G98" s="53" t="n"/>
      <c r="H98" s="53" t="n"/>
    </row>
    <row r="99">
      <c r="A99" s="68" t="n"/>
      <c r="B99" s="53" t="n"/>
      <c r="C99" s="53" t="n"/>
      <c r="D99" s="53" t="n"/>
      <c r="E99" s="53" t="n"/>
      <c r="F99" s="53" t="n"/>
      <c r="G99" s="53" t="n"/>
      <c r="H99" s="53" t="n"/>
    </row>
    <row r="100">
      <c r="A100" s="68" t="n"/>
      <c r="B100" s="53" t="n"/>
      <c r="C100" s="53" t="n"/>
      <c r="D100" s="53" t="n"/>
      <c r="E100" s="53" t="n"/>
      <c r="F100" s="53" t="n"/>
      <c r="G100" s="53" t="n"/>
      <c r="H100" s="53" t="n"/>
    </row>
    <row r="101">
      <c r="A101" s="68" t="n"/>
      <c r="B101" s="53" t="n"/>
      <c r="C101" s="53" t="n"/>
      <c r="D101" s="53" t="n"/>
      <c r="E101" s="53" t="n"/>
      <c r="F101" s="53" t="n"/>
      <c r="G101" s="53" t="n"/>
      <c r="H101" s="53" t="n"/>
    </row>
    <row r="102">
      <c r="A102" s="68" t="n"/>
      <c r="B102" s="53" t="n"/>
      <c r="C102" s="53" t="n"/>
      <c r="D102" s="53" t="n"/>
      <c r="E102" s="53" t="n"/>
      <c r="F102" s="53" t="n"/>
      <c r="G102" s="53" t="n"/>
      <c r="H102" s="53" t="n"/>
    </row>
    <row r="103">
      <c r="A103" s="68" t="n"/>
      <c r="B103" s="53" t="n"/>
      <c r="C103" s="53" t="n"/>
      <c r="D103" s="53" t="n"/>
      <c r="E103" s="53" t="n"/>
      <c r="F103" s="53" t="n"/>
      <c r="G103" s="53" t="n"/>
      <c r="H103" s="53" t="n"/>
    </row>
    <row r="104">
      <c r="A104" s="68" t="n"/>
      <c r="B104" s="53" t="n"/>
      <c r="C104" s="53" t="n"/>
      <c r="D104" s="53" t="n"/>
      <c r="E104" s="53" t="n"/>
      <c r="F104" s="53" t="n"/>
      <c r="G104" s="53" t="n"/>
      <c r="H104" s="53" t="n"/>
    </row>
    <row r="105">
      <c r="A105" s="68" t="n"/>
      <c r="B105" s="53" t="n"/>
      <c r="C105" s="53" t="n"/>
      <c r="D105" s="53" t="n"/>
      <c r="E105" s="53" t="n"/>
      <c r="F105" s="53" t="n"/>
      <c r="G105" s="53" t="n"/>
      <c r="H105" s="5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69" t="inlineStr">
        <is>
          <t>ISMS-IMP-A.5.7.1 — THREAT INTELLIGENCE SOURCES ASSESSMENT — SUMMARY DASHBOARD</t>
        </is>
      </c>
      <c r="B1" s="6" t="n"/>
      <c r="C1" s="6" t="n"/>
      <c r="D1" s="6" t="n"/>
      <c r="E1" s="6" t="n"/>
      <c r="F1" s="6" t="n"/>
    </row>
    <row r="2">
      <c r="A2" s="70" t="inlineStr">
        <is>
          <t>ISO/IEC 27001:2022 | Control A.5.7 | Source health, compliance status, and open actions</t>
        </is>
      </c>
    </row>
    <row r="4">
      <c r="A4" s="71" t="inlineStr">
        <is>
          <t>TABLE 1: STATUS DISTRIBUTION</t>
        </is>
      </c>
      <c r="B4" s="6" t="n"/>
      <c r="C4" s="6" t="n"/>
      <c r="D4" s="6" t="n"/>
      <c r="E4" s="6" t="n"/>
      <c r="F4" s="6" t="n"/>
    </row>
    <row r="5">
      <c r="A5" s="72" t="inlineStr">
        <is>
          <t>Section A: Source Inventory Status ('Source Inventory' — Column J, rows 6:55)</t>
        </is>
      </c>
      <c r="B5" s="6" t="n"/>
      <c r="C5" s="6" t="n"/>
      <c r="D5" s="6" t="n"/>
      <c r="E5" s="6" t="n"/>
      <c r="F5" s="6" t="n"/>
    </row>
    <row r="6">
      <c r="A6" s="73" t="inlineStr">
        <is>
          <t>Status</t>
        </is>
      </c>
      <c r="B6" s="73" t="inlineStr">
        <is>
          <t>Count</t>
        </is>
      </c>
      <c r="C6" s="73" t="inlineStr">
        <is>
          <t>% of Total</t>
        </is>
      </c>
    </row>
    <row r="7">
      <c r="A7" s="74" t="inlineStr">
        <is>
          <t>Active</t>
        </is>
      </c>
      <c r="B7" s="75">
        <f>COUNTIF('Source Inventory'!J6:J55,"Active")</f>
        <v/>
      </c>
      <c r="C7" s="75">
        <f>IF($B$12=0,"—",TEXT(B7/$B$12,"0.0%"))</f>
        <v/>
      </c>
    </row>
    <row r="8">
      <c r="A8" s="74" t="inlineStr">
        <is>
          <t>Inactive</t>
        </is>
      </c>
      <c r="B8" s="75">
        <f>COUNTIF('Source Inventory'!J6:J55,"Inactive")</f>
        <v/>
      </c>
      <c r="C8" s="75">
        <f>IF($B$12=0,"—",TEXT(B8/$B$12,"0.0%"))</f>
        <v/>
      </c>
    </row>
    <row r="9">
      <c r="A9" s="74" t="inlineStr">
        <is>
          <t>Trial</t>
        </is>
      </c>
      <c r="B9" s="75">
        <f>COUNTIF('Source Inventory'!J6:J55,"Trial")</f>
        <v/>
      </c>
      <c r="C9" s="75">
        <f>IF($B$12=0,"—",TEXT(B9/$B$12,"0.0%"))</f>
        <v/>
      </c>
    </row>
    <row r="10">
      <c r="A10" s="74" t="inlineStr">
        <is>
          <t>Pending_Renewal</t>
        </is>
      </c>
      <c r="B10" s="75">
        <f>COUNTIF('Source Inventory'!J6:J55,"Pending_Renewal")</f>
        <v/>
      </c>
      <c r="C10" s="75">
        <f>IF($B$12=0,"—",TEXT(B10/$B$12,"0.0%"))</f>
        <v/>
      </c>
    </row>
    <row r="11">
      <c r="A11" s="74" t="inlineStr">
        <is>
          <t>Cancelled</t>
        </is>
      </c>
      <c r="B11" s="75">
        <f>COUNTIF('Source Inventory'!J6:J55,"Cancelled")</f>
        <v/>
      </c>
      <c r="C11" s="75">
        <f>IF($B$12=0,"—",TEXT(B11/$B$12,"0.0%"))</f>
        <v/>
      </c>
    </row>
    <row r="12">
      <c r="A12" s="76" t="inlineStr">
        <is>
          <t>TOTAL</t>
        </is>
      </c>
      <c r="B12" s="77">
        <f>SUM(B7:B11)</f>
        <v/>
      </c>
      <c r="C12" s="77" t="inlineStr">
        <is>
          <t>—</t>
        </is>
      </c>
    </row>
    <row r="13">
      <c r="A13" s="72" t="inlineStr">
        <is>
          <t>Section B: Compliance Check Status ('Compliance Check' — Column K, rows 6:55)</t>
        </is>
      </c>
      <c r="B13" s="6" t="n"/>
      <c r="C13" s="6" t="n"/>
      <c r="D13" s="6" t="n"/>
      <c r="E13" s="6" t="n"/>
      <c r="F13" s="6" t="n"/>
    </row>
    <row r="14">
      <c r="A14" s="73" t="inlineStr">
        <is>
          <t>Status</t>
        </is>
      </c>
      <c r="B14" s="73" t="inlineStr">
        <is>
          <t>Count</t>
        </is>
      </c>
      <c r="C14" s="73" t="inlineStr">
        <is>
          <t>% of Total</t>
        </is>
      </c>
    </row>
    <row r="15">
      <c r="A15" s="74" t="inlineStr">
        <is>
          <t>✅ Compliant</t>
        </is>
      </c>
      <c r="B15" s="75">
        <f>COUNTIF('Compliance Check'!K6:K55,"✅ Compliant")</f>
        <v/>
      </c>
      <c r="C15" s="75">
        <f>IF($B$19=0,"—",TEXT(B15/$B$19,"0.0%"))</f>
        <v/>
      </c>
    </row>
    <row r="16">
      <c r="A16" s="74" t="inlineStr">
        <is>
          <t>❌ Non_Compliant</t>
        </is>
      </c>
      <c r="B16" s="75">
        <f>COUNTIF('Compliance Check'!K6:K55,"❌ Non_Compliant")</f>
        <v/>
      </c>
      <c r="C16" s="75">
        <f>IF($B$19=0,"—",TEXT(B16/$B$19,"0.0%"))</f>
        <v/>
      </c>
    </row>
    <row r="17">
      <c r="A17" s="74" t="inlineStr">
        <is>
          <t>⚠ Under_Review</t>
        </is>
      </c>
      <c r="B17" s="75">
        <f>COUNTIF('Compliance Check'!K6:K55,"⚠ Under_Review")</f>
        <v/>
      </c>
      <c r="C17" s="75">
        <f>IF($B$19=0,"—",TEXT(B17/$B$19,"0.0%"))</f>
        <v/>
      </c>
    </row>
    <row r="18">
      <c r="A18" s="74" t="inlineStr">
        <is>
          <t>— Not_Applicable</t>
        </is>
      </c>
      <c r="B18" s="75">
        <f>COUNTIF('Compliance Check'!K6:K55,"— Not_Applicable")</f>
        <v/>
      </c>
      <c r="C18" s="75">
        <f>IF($B$19=0,"—",TEXT(B18/$B$19,"0.0%"))</f>
        <v/>
      </c>
    </row>
    <row r="19">
      <c r="A19" s="76" t="inlineStr">
        <is>
          <t>TOTAL</t>
        </is>
      </c>
      <c r="B19" s="77">
        <f>SUM(B15:B18)</f>
        <v/>
      </c>
      <c r="C19" s="77" t="inlineStr">
        <is>
          <t>—</t>
        </is>
      </c>
    </row>
    <row r="20">
      <c r="A20" s="78" t="n"/>
      <c r="B20" s="78" t="n"/>
      <c r="C20" s="78" t="n"/>
      <c r="D20" s="78" t="n"/>
      <c r="E20" s="78" t="n"/>
      <c r="F20" s="78" t="n"/>
    </row>
    <row r="21">
      <c r="A21" s="71" t="inlineStr">
        <is>
          <t>TABLE 2: KEY PERFORMANCE INDICATORS</t>
        </is>
      </c>
      <c r="B21" s="6" t="n"/>
      <c r="C21" s="6" t="n"/>
      <c r="D21" s="6" t="n"/>
      <c r="E21" s="6" t="n"/>
      <c r="F21" s="6" t="n"/>
    </row>
    <row r="22">
      <c r="A22" s="73" t="inlineStr">
        <is>
          <t>KPI Metric</t>
        </is>
      </c>
      <c r="B22" s="73" t="inlineStr">
        <is>
          <t>Value</t>
        </is>
      </c>
      <c r="C22" s="73" t="inlineStr">
        <is>
          <t>Notes</t>
        </is>
      </c>
      <c r="D22" s="79" t="n"/>
      <c r="E22" s="79" t="n"/>
      <c r="F22" s="80" t="n"/>
    </row>
    <row r="23">
      <c r="A23" s="81" t="inlineStr">
        <is>
          <t>Total Sources in Inventory</t>
        </is>
      </c>
      <c r="B23" s="82">
        <f>COUNTA('Source Inventory'!A6:A55)</f>
        <v/>
      </c>
      <c r="C23" s="81" t="inlineStr">
        <is>
          <t>All sources tracked in Source Inventory</t>
        </is>
      </c>
      <c r="D23" s="79" t="n"/>
      <c r="E23" s="79" t="n"/>
      <c r="F23" s="80" t="n"/>
    </row>
    <row r="24">
      <c r="A24" s="81" t="inlineStr">
        <is>
          <t>Active Sources</t>
        </is>
      </c>
      <c r="B24" s="82">
        <f>COUNTIF('Source Inventory'!J6:J55,"Active")</f>
        <v/>
      </c>
      <c r="C24" s="81" t="inlineStr">
        <is>
          <t>Sources with status = Active</t>
        </is>
      </c>
      <c r="D24" s="79" t="n"/>
      <c r="E24" s="79" t="n"/>
      <c r="F24" s="80" t="n"/>
    </row>
    <row r="25">
      <c r="A25" s="81" t="inlineStr">
        <is>
          <t>Compliant Sources</t>
        </is>
      </c>
      <c r="B25" s="82">
        <f>COUNTIF('Compliance Check'!K6:K55,"✅ Compliant")</f>
        <v/>
      </c>
      <c r="C25" s="81" t="inlineStr">
        <is>
          <t>Sources meeting compliance requirements</t>
        </is>
      </c>
      <c r="D25" s="79" t="n"/>
      <c r="E25" s="79" t="n"/>
      <c r="F25" s="80" t="n"/>
    </row>
    <row r="26">
      <c r="A26" s="81" t="inlineStr">
        <is>
          <t>Non-Compliant Sources</t>
        </is>
      </c>
      <c r="B26" s="82">
        <f>COUNTIF('Compliance Check'!K6:K55,"❌ Non_Compliant")</f>
        <v/>
      </c>
      <c r="C26" s="81" t="inlineStr">
        <is>
          <t>Sources failing compliance check — requires action</t>
        </is>
      </c>
      <c r="D26" s="79" t="n"/>
      <c r="E26" s="79" t="n"/>
      <c r="F26" s="80" t="n"/>
    </row>
    <row r="27">
      <c r="A27" s="81" t="inlineStr">
        <is>
          <t>Open Action Items</t>
        </is>
      </c>
      <c r="B27" s="82">
        <f>COUNTIF('Action Items'!I6:I55,"Open")</f>
        <v/>
      </c>
      <c r="C27" s="81" t="inlineStr">
        <is>
          <t>Action Items with status = Open</t>
        </is>
      </c>
      <c r="D27" s="79" t="n"/>
      <c r="E27" s="79" t="n"/>
      <c r="F27" s="80" t="n"/>
    </row>
    <row r="28">
      <c r="A28" s="81" t="inlineStr">
        <is>
          <t>Blocked Action Items</t>
        </is>
      </c>
      <c r="B28" s="82">
        <f>COUNTIF('Action Items'!I6:I55,"Blocked")</f>
        <v/>
      </c>
      <c r="C28" s="81" t="inlineStr">
        <is>
          <t>Action Items blocked — requires escalation</t>
        </is>
      </c>
      <c r="D28" s="79" t="n"/>
      <c r="E28" s="79" t="n"/>
      <c r="F28" s="80" t="n"/>
    </row>
    <row r="29">
      <c r="A29" s="78" t="n"/>
      <c r="B29" s="78" t="n"/>
      <c r="C29" s="78" t="n"/>
      <c r="D29" s="78" t="n"/>
      <c r="E29" s="78" t="n"/>
      <c r="F29" s="78" t="n"/>
    </row>
    <row r="30">
      <c r="A30" s="83" t="inlineStr">
        <is>
          <t>TABLE 3: CRITICAL FINDINGS</t>
        </is>
      </c>
      <c r="B30" s="6" t="n"/>
      <c r="C30" s="6" t="n"/>
      <c r="D30" s="6" t="n"/>
      <c r="E30" s="6" t="n"/>
      <c r="F30" s="6" t="n"/>
    </row>
    <row r="31">
      <c r="A31" s="73" t="inlineStr">
        <is>
          <t>Finding</t>
        </is>
      </c>
      <c r="B31" s="73" t="inlineStr">
        <is>
          <t>Count</t>
        </is>
      </c>
      <c r="C31" s="73" t="inlineStr">
        <is>
          <t>Action Required</t>
        </is>
      </c>
      <c r="D31" s="79" t="n"/>
      <c r="E31" s="79" t="n"/>
      <c r="F31" s="80" t="n"/>
    </row>
    <row r="32">
      <c r="A32" s="84" t="inlineStr">
        <is>
          <t>Non-Compliant Sources</t>
        </is>
      </c>
      <c r="B32" s="85">
        <f>COUNTIF('Compliance Check'!K6:K55,"❌ Non_Compliant")</f>
        <v/>
      </c>
      <c r="C32" s="74" t="inlineStr">
        <is>
          <t>Review and remediate all non-compliant sources immediately</t>
        </is>
      </c>
      <c r="D32" s="79" t="n"/>
      <c r="E32" s="79" t="n"/>
      <c r="F32" s="80" t="n"/>
    </row>
    <row r="33">
      <c r="A33" s="84" t="inlineStr">
        <is>
          <t>Inactive or Cancelled Sources</t>
        </is>
      </c>
      <c r="B33" s="85">
        <f>COUNTIF('Source Inventory'!J6:J55,"Inactive")+COUNTIF('Source Inventory'!J6:J55,"Cancelled")</f>
        <v/>
      </c>
      <c r="C33" s="74" t="inlineStr">
        <is>
          <t>Confirm inactive sources are intentional; archive or remove cancelled</t>
        </is>
      </c>
      <c r="D33" s="79" t="n"/>
      <c r="E33" s="79" t="n"/>
      <c r="F33" s="80" t="n"/>
    </row>
    <row r="34">
      <c r="A34" s="84" t="inlineStr">
        <is>
          <t>Blocked Action Items</t>
        </is>
      </c>
      <c r="B34" s="85">
        <f>COUNTIF('Action Items'!I6:I55,"Blocked")</f>
        <v/>
      </c>
      <c r="C34" s="74" t="inlineStr">
        <is>
          <t>Escalate blocked actions — identify dependency and unblock</t>
        </is>
      </c>
      <c r="D34" s="79" t="n"/>
      <c r="E34" s="79" t="n"/>
      <c r="F34" s="80" t="n"/>
    </row>
  </sheetData>
  <mergeCells count="18">
    <mergeCell ref="C22:F22"/>
    <mergeCell ref="A2:F2"/>
    <mergeCell ref="A30:F30"/>
    <mergeCell ref="C23:F23"/>
    <mergeCell ref="C31:F31"/>
    <mergeCell ref="C32:F32"/>
    <mergeCell ref="A13:F13"/>
    <mergeCell ref="A1:F1"/>
    <mergeCell ref="A5:F5"/>
    <mergeCell ref="C26:F26"/>
    <mergeCell ref="C27:F27"/>
    <mergeCell ref="C34:F34"/>
    <mergeCell ref="C33:F33"/>
    <mergeCell ref="A4:F4"/>
    <mergeCell ref="C25:F25"/>
    <mergeCell ref="C24:F24"/>
    <mergeCell ref="A21:F21"/>
    <mergeCell ref="C28:F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1" t="inlineStr">
        <is>
          <t>ASSESSMENT APPROVAL AND SIGN-OFF</t>
        </is>
      </c>
      <c r="B1" s="6" t="n"/>
      <c r="C1" s="6" t="n"/>
      <c r="D1" s="6" t="n"/>
      <c r="E1" s="6" t="n"/>
    </row>
    <row r="2">
      <c r="A2" s="86" t="inlineStr">
        <is>
          <t>ISMS-IMP-A.5.7.1 | ISO/IEC 27001:2022 - Control A.5.7: Threat Intelligence</t>
        </is>
      </c>
      <c r="B2" s="6" t="n"/>
      <c r="C2" s="6" t="n"/>
      <c r="D2" s="6" t="n"/>
      <c r="E2" s="6" t="n"/>
    </row>
    <row r="3">
      <c r="A3" s="87" t="inlineStr">
        <is>
          <t>ASSESSMENT SUMMARY</t>
        </is>
      </c>
      <c r="B3" s="6" t="n"/>
      <c r="C3" s="6" t="n"/>
      <c r="D3" s="6" t="n"/>
      <c r="E3" s="6" t="n"/>
    </row>
    <row r="4">
      <c r="A4" s="88" t="inlineStr">
        <is>
          <t>Document:</t>
        </is>
      </c>
      <c r="B4" s="6" t="inlineStr">
        <is>
          <t>ISMS-IMP-A.5.7.1 - Threat Intelligence Sources Assessment</t>
        </is>
      </c>
      <c r="C4" s="6" t="n"/>
      <c r="D4" s="6" t="n"/>
      <c r="E4" s="6" t="n"/>
    </row>
    <row r="5">
      <c r="A5" s="88" t="inlineStr">
        <is>
          <t>Assessment Period:</t>
        </is>
      </c>
      <c r="B5" s="26" t="inlineStr"/>
      <c r="C5" s="26" t="n"/>
      <c r="D5" s="26" t="n"/>
      <c r="E5" s="26" t="n"/>
    </row>
    <row r="6">
      <c r="A6" s="88" t="inlineStr">
        <is>
          <t>Overall Compliance Rate:</t>
        </is>
      </c>
      <c r="B6" s="89">
        <f>IFERROR('Summary Dashboard'!B15/'Summary Dashboard'!B19,"")</f>
        <v/>
      </c>
      <c r="C6" s="26" t="n"/>
      <c r="D6" s="26" t="n"/>
      <c r="E6" s="26" t="n"/>
    </row>
    <row r="7">
      <c r="A7" s="88" t="inlineStr">
        <is>
          <t>Assessment Status:</t>
        </is>
      </c>
      <c r="B7" s="26" t="inlineStr"/>
      <c r="C7" s="26" t="n"/>
      <c r="D7" s="26" t="n"/>
      <c r="E7" s="26" t="n"/>
    </row>
    <row r="8">
      <c r="A8" s="88" t="inlineStr">
        <is>
          <t>Assessed By:</t>
        </is>
      </c>
      <c r="B8" s="26" t="inlineStr"/>
      <c r="C8" s="26" t="n"/>
      <c r="D8" s="26" t="n"/>
      <c r="E8" s="26" t="n"/>
    </row>
    <row r="11">
      <c r="A11" s="87" t="inlineStr">
        <is>
          <t>COMPLETED BY (ASSESSOR)</t>
        </is>
      </c>
      <c r="B11" s="6" t="n"/>
      <c r="C11" s="6" t="n"/>
      <c r="D11" s="6" t="n"/>
      <c r="E11" s="6" t="n"/>
    </row>
    <row r="12">
      <c r="A12" s="88" t="inlineStr">
        <is>
          <t>Name:</t>
        </is>
      </c>
      <c r="B12" s="26" t="n"/>
      <c r="C12" s="26" t="n"/>
      <c r="D12" s="26" t="n"/>
      <c r="E12" s="26" t="n"/>
    </row>
    <row r="13">
      <c r="A13" s="88" t="inlineStr">
        <is>
          <t>Title:</t>
        </is>
      </c>
      <c r="B13" s="26" t="n"/>
      <c r="C13" s="26" t="n"/>
      <c r="D13" s="26" t="n"/>
      <c r="E13" s="26" t="n"/>
    </row>
    <row r="14">
      <c r="A14" s="88" t="inlineStr">
        <is>
          <t>Date:</t>
        </is>
      </c>
      <c r="B14" s="26" t="n"/>
      <c r="C14" s="26" t="n"/>
      <c r="D14" s="26" t="n"/>
      <c r="E14" s="26" t="n"/>
    </row>
    <row r="15">
      <c r="A15" s="88" t="inlineStr">
        <is>
          <t>Signature:</t>
        </is>
      </c>
      <c r="B15" s="26" t="n"/>
      <c r="C15" s="26" t="n"/>
      <c r="D15" s="26" t="n"/>
      <c r="E15" s="26" t="n"/>
    </row>
    <row r="16">
      <c r="A16" s="88" t="inlineStr">
        <is>
          <t>Comments:</t>
        </is>
      </c>
      <c r="B16" s="26" t="n"/>
      <c r="C16" s="26" t="n"/>
      <c r="D16" s="26" t="n"/>
      <c r="E16" s="26" t="n"/>
    </row>
    <row r="18">
      <c r="A18" s="87" t="inlineStr">
        <is>
          <t>REVIEWED BY (INFORMATION SECURITY OFFICER)</t>
        </is>
      </c>
      <c r="B18" s="6" t="n"/>
      <c r="C18" s="6" t="n"/>
      <c r="D18" s="6" t="n"/>
      <c r="E18" s="6" t="n"/>
    </row>
    <row r="19">
      <c r="A19" s="88" t="inlineStr">
        <is>
          <t>Name:</t>
        </is>
      </c>
      <c r="B19" s="26" t="n"/>
      <c r="C19" s="26" t="n"/>
      <c r="D19" s="26" t="n"/>
      <c r="E19" s="26" t="n"/>
    </row>
    <row r="20">
      <c r="A20" s="88" t="inlineStr">
        <is>
          <t>Title:</t>
        </is>
      </c>
      <c r="B20" s="26" t="n"/>
      <c r="C20" s="26" t="n"/>
      <c r="D20" s="26" t="n"/>
      <c r="E20" s="26" t="n"/>
    </row>
    <row r="21">
      <c r="A21" s="88" t="inlineStr">
        <is>
          <t>Date:</t>
        </is>
      </c>
      <c r="B21" s="26" t="n"/>
      <c r="C21" s="26" t="n"/>
      <c r="D21" s="26" t="n"/>
      <c r="E21" s="26" t="n"/>
    </row>
    <row r="22">
      <c r="A22" s="88" t="inlineStr">
        <is>
          <t>Signature:</t>
        </is>
      </c>
      <c r="B22" s="26" t="n"/>
      <c r="C22" s="26" t="n"/>
      <c r="D22" s="26" t="n"/>
      <c r="E22" s="26" t="n"/>
    </row>
    <row r="23">
      <c r="A23" s="88" t="inlineStr">
        <is>
          <t>Comments:</t>
        </is>
      </c>
      <c r="B23" s="26" t="n"/>
      <c r="C23" s="26" t="n"/>
      <c r="D23" s="26" t="n"/>
      <c r="E23" s="26" t="n"/>
    </row>
    <row r="25">
      <c r="A25" s="90" t="inlineStr">
        <is>
          <t>APPROVED BY (CISO)</t>
        </is>
      </c>
      <c r="B25" s="6" t="n"/>
      <c r="C25" s="6" t="n"/>
      <c r="D25" s="6" t="n"/>
      <c r="E25" s="6" t="n"/>
    </row>
    <row r="26">
      <c r="A26" s="88" t="inlineStr">
        <is>
          <t>Name:</t>
        </is>
      </c>
      <c r="B26" s="26" t="n"/>
      <c r="C26" s="26" t="n"/>
      <c r="D26" s="26" t="n"/>
      <c r="E26" s="26" t="n"/>
    </row>
    <row r="27">
      <c r="A27" s="88" t="inlineStr">
        <is>
          <t>Title:</t>
        </is>
      </c>
      <c r="B27" s="26" t="n"/>
      <c r="C27" s="26" t="n"/>
      <c r="D27" s="26" t="n"/>
      <c r="E27" s="26" t="n"/>
    </row>
    <row r="28">
      <c r="A28" s="88" t="inlineStr">
        <is>
          <t>Date:</t>
        </is>
      </c>
      <c r="B28" s="26" t="n"/>
      <c r="C28" s="26" t="n"/>
      <c r="D28" s="26" t="n"/>
      <c r="E28" s="26" t="n"/>
    </row>
    <row r="29">
      <c r="A29" s="88" t="inlineStr">
        <is>
          <t>Signature:</t>
        </is>
      </c>
      <c r="B29" s="26" t="n"/>
      <c r="C29" s="26" t="n"/>
      <c r="D29" s="26" t="n"/>
      <c r="E29" s="26" t="n"/>
    </row>
    <row r="30">
      <c r="A30" s="88" t="inlineStr">
        <is>
          <t>Comments:</t>
        </is>
      </c>
      <c r="B30" s="26" t="n"/>
      <c r="C30" s="26" t="n"/>
      <c r="D30" s="26" t="n"/>
      <c r="E30" s="26" t="n"/>
    </row>
    <row r="32">
      <c r="A32" s="91" t="inlineStr">
        <is>
          <t>FINAL DECISION:</t>
        </is>
      </c>
      <c r="B32" s="26" t="n"/>
      <c r="C32" s="26" t="n"/>
      <c r="D32" s="26" t="n"/>
      <c r="E32" s="26" t="n"/>
    </row>
    <row r="35">
      <c r="A35" s="87" t="inlineStr">
        <is>
          <t>NEXT REVIEW DETAILS</t>
        </is>
      </c>
      <c r="B35" s="6" t="n"/>
      <c r="C35" s="6" t="n"/>
      <c r="D35" s="6" t="n"/>
      <c r="E35" s="6" t="n"/>
    </row>
    <row r="36">
      <c r="A36" s="88" t="inlineStr">
        <is>
          <t>Next Review Date:</t>
        </is>
      </c>
      <c r="B36" s="26" t="n"/>
      <c r="C36" s="26" t="n"/>
      <c r="D36" s="26" t="n"/>
      <c r="E36" s="26" t="n"/>
    </row>
    <row r="37">
      <c r="A37" s="88" t="inlineStr">
        <is>
          <t>Review Responsible:</t>
        </is>
      </c>
      <c r="B37" s="26" t="n"/>
      <c r="C37" s="26" t="n"/>
      <c r="D37" s="26" t="n"/>
      <c r="E37" s="26" t="n"/>
    </row>
    <row r="38">
      <c r="A38" s="88"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ISMS-IMP-A.5.7.1 — Threat Intelligence Sources Assessment</dc:title>
  <dc:description xmlns:dc="http://purl.org/dc/elements/1.1/">ISMS Implementation Workbook — ISMS-IMP-A.5.7.1</dc:description>
  <dc:subject xmlns:dc="http://purl.org/dc/elements/1.1/">ISO/IEC 27001:2022 — Control A.5.7: Threat Intelligence</dc:subject>
  <dcterms:created xmlns:dcterms="http://purl.org/dc/terms/" xmlns:xsi="http://www.w3.org/2001/XMLSchema-instance" xsi:type="dcterms:W3CDTF">2026-03-07T11:27:43Z</dcterms:created>
  <dcterms:modified xmlns:dcterms="http://purl.org/dc/terms/" xmlns:xsi="http://www.w3.org/2001/XMLSchema-instance" xsi:type="dcterms:W3CDTF">2026-03-07T11:27:44Z</dcterms:modified>
</cp:coreProperties>
</file>